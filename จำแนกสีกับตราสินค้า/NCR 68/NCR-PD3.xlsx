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userName="user" algorithmName="SHA-512" hashValue="UOwWYB7RUkF0ShW1AFxXs+BX7hHw7uDEPT+7vIDQQlKAZs0nMOkwDQcjkgU9GjwsAe9H3CITgJ1b1aW3nMQNpg==" saltValue="tg7DDNLN+9CQmqJ2vKfdUQ==" spinCount="100000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Z:\1.งาน QA รายวัน\งาน QA รายวัน 2568\NCR 68\"/>
    </mc:Choice>
  </mc:AlternateContent>
  <xr:revisionPtr revIDLastSave="0" documentId="13_ncr:10001_{4C3BAECF-80F5-4501-918C-8FDA72827D54}" xr6:coauthVersionLast="47" xr6:coauthVersionMax="47" xr10:uidLastSave="{00000000-0000-0000-0000-000000000000}"/>
  <bookViews>
    <workbookView xWindow="-120" yWindow="-120" windowWidth="24240" windowHeight="13140" tabRatio="599" activeTab="3" xr2:uid="{00000000-000D-0000-FFFF-FFFF00000000}"/>
  </bookViews>
  <sheets>
    <sheet name="ฟอร์ม" sheetId="13" r:id="rId1"/>
    <sheet name="ข้อกำหนด" sheetId="14" r:id="rId2"/>
    <sheet name="Sheet3" sheetId="3" state="hidden" r:id="rId3"/>
    <sheet name="NC รวม" sheetId="1" r:id="rId4"/>
    <sheet name="ฟอร์มค้างตอบNC" sheetId="4" r:id="rId5"/>
    <sheet name="ลูกกลิ้งเป็นรอย" sheetId="18" r:id="rId6"/>
    <sheet name="ใบปะหน้า" sheetId="2" r:id="rId7"/>
    <sheet name="รายงานปัญหา" sheetId="10" r:id="rId8"/>
    <sheet name="ปัญหางานพิมพ์สีหาย" sheetId="9" r:id="rId9"/>
    <sheet name="Sheet1" sheetId="15" r:id="rId10"/>
    <sheet name="Sheet2" sheetId="16" r:id="rId11"/>
  </sheets>
  <definedNames>
    <definedName name="_xlnm._FilterDatabase" localSheetId="3" hidden="1">'NC รวม'!$A$1:$AM$2001</definedName>
    <definedName name="_xlnm._FilterDatabase" localSheetId="6" hidden="1">ใบปะหน้า!$A$1:$AD$10</definedName>
    <definedName name="_xlnm._FilterDatabase" localSheetId="8" hidden="1">ปัญหางานพิมพ์สีหาย!$A$2:$N$2</definedName>
    <definedName name="_xlnm.Print_Area" localSheetId="3">'NC รวม'!$A$1:$AL$1998</definedName>
    <definedName name="ค้างที่">Sheet3!$K$1:$K$4</definedName>
    <definedName name="เครื่อง">Sheet3!$D$1:$D$17</definedName>
    <definedName name="เดือน">Sheet3!$C$1:$C$12</definedName>
    <definedName name="ปัญหา">Sheet3!$H$1:$H$10</definedName>
    <definedName name="แผนก">Sheet3!$A$1:$A$9</definedName>
    <definedName name="วันที่">Sheet3!$B$1:$B$3895</definedName>
    <definedName name="สถานะ">Sheet3!$F$1:$F$3</definedName>
    <definedName name="สเปค">Sheet3!$G$1:$G$10</definedName>
    <definedName name="หน่วย">Sheet3!$E$1:$E$9</definedName>
  </definedNames>
  <calcPr calcId="191029"/>
  <pivotCaches>
    <pivotCache cacheId="0" r:id="rId12"/>
  </pivotCaches>
</workbook>
</file>

<file path=xl/calcChain.xml><?xml version="1.0" encoding="utf-8"?>
<calcChain xmlns="http://schemas.openxmlformats.org/spreadsheetml/2006/main">
  <c r="AH2" i="10" l="1"/>
  <c r="AG2" i="10"/>
  <c r="AI2" i="10" s="1"/>
  <c r="AJ8" i="2"/>
  <c r="AI8" i="2"/>
  <c r="AK8" i="2" s="1"/>
  <c r="AJ7" i="2"/>
  <c r="AI7" i="2"/>
  <c r="AK7" i="2" s="1"/>
  <c r="AJ6" i="2"/>
  <c r="AI6" i="2"/>
  <c r="AK6" i="2" s="1"/>
  <c r="AJ13" i="2"/>
  <c r="AI13" i="2"/>
  <c r="AK13" i="2" s="1"/>
  <c r="AJ12" i="2"/>
  <c r="AI12" i="2"/>
  <c r="AK12" i="2" s="1"/>
  <c r="AJ11" i="2"/>
  <c r="AI11" i="2"/>
  <c r="AK11" i="2" s="1"/>
  <c r="AJ10" i="2"/>
  <c r="AI10" i="2"/>
  <c r="AK10" i="2" s="1"/>
  <c r="AJ9" i="2"/>
  <c r="AI9" i="2"/>
  <c r="AK9" i="2" s="1"/>
  <c r="AJ16" i="2" l="1"/>
  <c r="AI16" i="2"/>
  <c r="AK16" i="2" s="1"/>
  <c r="AJ15" i="2"/>
  <c r="AI15" i="2"/>
  <c r="AK15" i="2" s="1"/>
  <c r="AJ14" i="2"/>
  <c r="AI14" i="2"/>
  <c r="AK14" i="2" s="1"/>
  <c r="V1685" i="1"/>
  <c r="W1685" i="1"/>
  <c r="X1685" i="1"/>
  <c r="V1601" i="1" l="1"/>
  <c r="W1601" i="1"/>
  <c r="X1601" i="1"/>
  <c r="V1602" i="1"/>
  <c r="W1602" i="1"/>
  <c r="X1602" i="1"/>
  <c r="V1603" i="1"/>
  <c r="W1603" i="1"/>
  <c r="X1603" i="1"/>
  <c r="V1604" i="1"/>
  <c r="W1604" i="1"/>
  <c r="X1604" i="1"/>
  <c r="V1605" i="1"/>
  <c r="W1605" i="1"/>
  <c r="X1605" i="1"/>
  <c r="V1606" i="1"/>
  <c r="W1606" i="1"/>
  <c r="X1606" i="1"/>
  <c r="V1607" i="1"/>
  <c r="W1607" i="1"/>
  <c r="X1607" i="1"/>
  <c r="V1608" i="1"/>
  <c r="W1608" i="1"/>
  <c r="X1608" i="1"/>
  <c r="V1609" i="1"/>
  <c r="W1609" i="1"/>
  <c r="X1609" i="1"/>
  <c r="V1610" i="1"/>
  <c r="W1610" i="1"/>
  <c r="X1610" i="1"/>
  <c r="V1611" i="1"/>
  <c r="W1611" i="1"/>
  <c r="X1611" i="1"/>
  <c r="V1612" i="1"/>
  <c r="W1612" i="1"/>
  <c r="X1612" i="1"/>
  <c r="V1613" i="1"/>
  <c r="W1613" i="1"/>
  <c r="X1613" i="1"/>
  <c r="V1614" i="1"/>
  <c r="W1614" i="1"/>
  <c r="X1614" i="1"/>
  <c r="V1615" i="1"/>
  <c r="W1615" i="1"/>
  <c r="X1615" i="1"/>
  <c r="V1616" i="1"/>
  <c r="W1616" i="1"/>
  <c r="X1616" i="1"/>
  <c r="V1617" i="1"/>
  <c r="W1617" i="1"/>
  <c r="X1617" i="1"/>
  <c r="V1618" i="1"/>
  <c r="W1618" i="1"/>
  <c r="X1618" i="1"/>
  <c r="V1619" i="1"/>
  <c r="W1619" i="1"/>
  <c r="X1619" i="1"/>
  <c r="V1620" i="1"/>
  <c r="W1620" i="1"/>
  <c r="X1620" i="1"/>
  <c r="V1621" i="1"/>
  <c r="W1621" i="1"/>
  <c r="X1621" i="1"/>
  <c r="V1622" i="1"/>
  <c r="W1622" i="1"/>
  <c r="X1622" i="1"/>
  <c r="V1623" i="1"/>
  <c r="W1623" i="1"/>
  <c r="X1623" i="1"/>
  <c r="V1624" i="1"/>
  <c r="W1624" i="1"/>
  <c r="X1624" i="1"/>
  <c r="V1625" i="1"/>
  <c r="W1625" i="1"/>
  <c r="X1625" i="1"/>
  <c r="V1626" i="1"/>
  <c r="W1626" i="1"/>
  <c r="X1626" i="1"/>
  <c r="V1627" i="1"/>
  <c r="W1627" i="1"/>
  <c r="X1627" i="1"/>
  <c r="V1628" i="1"/>
  <c r="W1628" i="1"/>
  <c r="X1628" i="1"/>
  <c r="V1629" i="1"/>
  <c r="W1629" i="1"/>
  <c r="X1629" i="1"/>
  <c r="V1630" i="1"/>
  <c r="W1630" i="1"/>
  <c r="X1630" i="1"/>
  <c r="V1631" i="1"/>
  <c r="W1631" i="1"/>
  <c r="X1631" i="1"/>
  <c r="V1632" i="1"/>
  <c r="W1632" i="1"/>
  <c r="X1632" i="1"/>
  <c r="V1633" i="1"/>
  <c r="W1633" i="1"/>
  <c r="X1633" i="1"/>
  <c r="V1634" i="1"/>
  <c r="W1634" i="1"/>
  <c r="X1634" i="1"/>
  <c r="V1635" i="1"/>
  <c r="W1635" i="1"/>
  <c r="X1635" i="1"/>
  <c r="V1636" i="1"/>
  <c r="W1636" i="1"/>
  <c r="X1636" i="1"/>
  <c r="V1637" i="1"/>
  <c r="W1637" i="1"/>
  <c r="X1637" i="1"/>
  <c r="V1638" i="1"/>
  <c r="W1638" i="1"/>
  <c r="X1638" i="1"/>
  <c r="V1639" i="1"/>
  <c r="W1639" i="1"/>
  <c r="X1639" i="1"/>
  <c r="V1640" i="1"/>
  <c r="W1640" i="1"/>
  <c r="X1640" i="1"/>
  <c r="V1641" i="1"/>
  <c r="W1641" i="1"/>
  <c r="X1641" i="1"/>
  <c r="V1642" i="1"/>
  <c r="W1642" i="1"/>
  <c r="X1642" i="1"/>
  <c r="V1643" i="1"/>
  <c r="W1643" i="1"/>
  <c r="X1643" i="1"/>
  <c r="V1644" i="1"/>
  <c r="W1644" i="1"/>
  <c r="X1644" i="1"/>
  <c r="V1645" i="1"/>
  <c r="W1645" i="1"/>
  <c r="X1645" i="1"/>
  <c r="V1646" i="1"/>
  <c r="W1646" i="1"/>
  <c r="X1646" i="1"/>
  <c r="V1647" i="1"/>
  <c r="W1647" i="1"/>
  <c r="X1647" i="1"/>
  <c r="V1648" i="1"/>
  <c r="W1648" i="1"/>
  <c r="X1648" i="1"/>
  <c r="V1649" i="1"/>
  <c r="W1649" i="1"/>
  <c r="X1649" i="1"/>
  <c r="V1650" i="1"/>
  <c r="W1650" i="1"/>
  <c r="X1650" i="1"/>
  <c r="V1651" i="1"/>
  <c r="W1651" i="1"/>
  <c r="X1651" i="1"/>
  <c r="V1652" i="1"/>
  <c r="W1652" i="1"/>
  <c r="X1652" i="1"/>
  <c r="V1653" i="1"/>
  <c r="W1653" i="1"/>
  <c r="X1653" i="1"/>
  <c r="V1654" i="1"/>
  <c r="W1654" i="1"/>
  <c r="X1654" i="1"/>
  <c r="V1655" i="1"/>
  <c r="W1655" i="1"/>
  <c r="X1655" i="1"/>
  <c r="V1656" i="1"/>
  <c r="W1656" i="1"/>
  <c r="X1656" i="1"/>
  <c r="V1657" i="1"/>
  <c r="W1657" i="1"/>
  <c r="X1657" i="1"/>
  <c r="V1658" i="1"/>
  <c r="W1658" i="1"/>
  <c r="X1658" i="1"/>
  <c r="V1659" i="1"/>
  <c r="W1659" i="1"/>
  <c r="X1659" i="1"/>
  <c r="V1660" i="1"/>
  <c r="W1660" i="1"/>
  <c r="X1660" i="1"/>
  <c r="V1661" i="1"/>
  <c r="W1661" i="1"/>
  <c r="X1661" i="1"/>
  <c r="V1662" i="1"/>
  <c r="W1662" i="1"/>
  <c r="X1662" i="1"/>
  <c r="V1663" i="1"/>
  <c r="W1663" i="1"/>
  <c r="X1663" i="1"/>
  <c r="V1664" i="1"/>
  <c r="W1664" i="1"/>
  <c r="X1664" i="1"/>
  <c r="V1665" i="1"/>
  <c r="W1665" i="1"/>
  <c r="X1665" i="1"/>
  <c r="V1666" i="1"/>
  <c r="W1666" i="1"/>
  <c r="X1666" i="1"/>
  <c r="V1667" i="1"/>
  <c r="W1667" i="1"/>
  <c r="X1667" i="1"/>
  <c r="V1668" i="1"/>
  <c r="W1668" i="1"/>
  <c r="X1668" i="1"/>
  <c r="V1669" i="1"/>
  <c r="W1669" i="1"/>
  <c r="X1669" i="1"/>
  <c r="V1670" i="1"/>
  <c r="W1670" i="1"/>
  <c r="X1670" i="1"/>
  <c r="V1671" i="1"/>
  <c r="W1671" i="1"/>
  <c r="X1671" i="1"/>
  <c r="V1672" i="1"/>
  <c r="W1672" i="1"/>
  <c r="X1672" i="1"/>
  <c r="V1673" i="1"/>
  <c r="W1673" i="1"/>
  <c r="X1673" i="1"/>
  <c r="V1674" i="1"/>
  <c r="W1674" i="1"/>
  <c r="X1674" i="1"/>
  <c r="V1675" i="1"/>
  <c r="W1675" i="1"/>
  <c r="X1675" i="1"/>
  <c r="V1676" i="1"/>
  <c r="W1676" i="1"/>
  <c r="X1676" i="1"/>
  <c r="V1677" i="1"/>
  <c r="W1677" i="1"/>
  <c r="X1677" i="1"/>
  <c r="V1678" i="1"/>
  <c r="W1678" i="1"/>
  <c r="X1678" i="1"/>
  <c r="V1679" i="1"/>
  <c r="W1679" i="1"/>
  <c r="X1679" i="1"/>
  <c r="V1680" i="1"/>
  <c r="W1680" i="1"/>
  <c r="X1680" i="1"/>
  <c r="V1681" i="1"/>
  <c r="W1681" i="1"/>
  <c r="X1681" i="1"/>
  <c r="V1682" i="1"/>
  <c r="W1682" i="1"/>
  <c r="X1682" i="1"/>
  <c r="V1683" i="1"/>
  <c r="W1683" i="1"/>
  <c r="X1683" i="1"/>
  <c r="V1684" i="1"/>
  <c r="W1684" i="1"/>
  <c r="X1684" i="1"/>
  <c r="V1686" i="1"/>
  <c r="W1686" i="1"/>
  <c r="X1686" i="1"/>
  <c r="V1687" i="1"/>
  <c r="W1687" i="1"/>
  <c r="X1687" i="1"/>
  <c r="V1688" i="1"/>
  <c r="W1688" i="1"/>
  <c r="X1688" i="1"/>
  <c r="V1689" i="1"/>
  <c r="W1689" i="1"/>
  <c r="X1689" i="1"/>
  <c r="V1690" i="1"/>
  <c r="W1690" i="1"/>
  <c r="X1690" i="1"/>
  <c r="V1691" i="1"/>
  <c r="W1691" i="1"/>
  <c r="X1691" i="1"/>
  <c r="V1692" i="1"/>
  <c r="W1692" i="1"/>
  <c r="X1692" i="1"/>
  <c r="V1693" i="1"/>
  <c r="W1693" i="1"/>
  <c r="X1693" i="1"/>
  <c r="V1694" i="1"/>
  <c r="W1694" i="1"/>
  <c r="X1694" i="1"/>
  <c r="V1695" i="1"/>
  <c r="W1695" i="1"/>
  <c r="X1695" i="1"/>
  <c r="V1696" i="1"/>
  <c r="W1696" i="1"/>
  <c r="X1696" i="1"/>
  <c r="V1697" i="1"/>
  <c r="W1697" i="1"/>
  <c r="X1697" i="1"/>
  <c r="V1698" i="1"/>
  <c r="W1698" i="1"/>
  <c r="X1698" i="1"/>
  <c r="V1699" i="1"/>
  <c r="W1699" i="1"/>
  <c r="X1699" i="1"/>
  <c r="V1700" i="1"/>
  <c r="W1700" i="1"/>
  <c r="X1700" i="1"/>
  <c r="V1701" i="1"/>
  <c r="W1701" i="1"/>
  <c r="X1701" i="1"/>
  <c r="V1702" i="1"/>
  <c r="W1702" i="1"/>
  <c r="X1702" i="1"/>
  <c r="V1703" i="1"/>
  <c r="W1703" i="1"/>
  <c r="X1703" i="1"/>
  <c r="V1704" i="1"/>
  <c r="W1704" i="1"/>
  <c r="X1704" i="1"/>
  <c r="V1705" i="1"/>
  <c r="W1705" i="1"/>
  <c r="X1705" i="1"/>
  <c r="V1706" i="1"/>
  <c r="W1706" i="1"/>
  <c r="X1706" i="1"/>
  <c r="V1707" i="1"/>
  <c r="W1707" i="1"/>
  <c r="X1707" i="1"/>
  <c r="V1708" i="1"/>
  <c r="W1708" i="1"/>
  <c r="X1708" i="1"/>
  <c r="V1709" i="1"/>
  <c r="W1709" i="1"/>
  <c r="X1709" i="1"/>
  <c r="V1710" i="1"/>
  <c r="W1710" i="1"/>
  <c r="X1710" i="1"/>
  <c r="V1711" i="1"/>
  <c r="W1711" i="1"/>
  <c r="X1711" i="1"/>
  <c r="V1712" i="1"/>
  <c r="W1712" i="1"/>
  <c r="X1712" i="1"/>
  <c r="V1713" i="1"/>
  <c r="W1713" i="1"/>
  <c r="X1713" i="1"/>
  <c r="V1714" i="1"/>
  <c r="W1714" i="1"/>
  <c r="X1714" i="1"/>
  <c r="V1715" i="1"/>
  <c r="W1715" i="1"/>
  <c r="X1715" i="1"/>
  <c r="V1716" i="1"/>
  <c r="W1716" i="1"/>
  <c r="X1716" i="1"/>
  <c r="V1717" i="1"/>
  <c r="W1717" i="1"/>
  <c r="X1717" i="1"/>
  <c r="V1718" i="1"/>
  <c r="W1718" i="1"/>
  <c r="X1718" i="1"/>
  <c r="V1719" i="1"/>
  <c r="W1719" i="1"/>
  <c r="X1719" i="1"/>
  <c r="V1720" i="1"/>
  <c r="W1720" i="1"/>
  <c r="X1720" i="1"/>
  <c r="V1721" i="1"/>
  <c r="W1721" i="1"/>
  <c r="X1721" i="1"/>
  <c r="V1722" i="1"/>
  <c r="W1722" i="1"/>
  <c r="X1722" i="1"/>
  <c r="V1723" i="1"/>
  <c r="W1723" i="1"/>
  <c r="X1723" i="1"/>
  <c r="V1724" i="1"/>
  <c r="W1724" i="1"/>
  <c r="X1724" i="1"/>
  <c r="V1725" i="1"/>
  <c r="W1725" i="1"/>
  <c r="X1725" i="1"/>
  <c r="V1726" i="1"/>
  <c r="W1726" i="1"/>
  <c r="X1726" i="1"/>
  <c r="V1727" i="1"/>
  <c r="W1727" i="1"/>
  <c r="X1727" i="1"/>
  <c r="V1728" i="1"/>
  <c r="W1728" i="1"/>
  <c r="X1728" i="1"/>
  <c r="V1729" i="1"/>
  <c r="W1729" i="1"/>
  <c r="X1729" i="1"/>
  <c r="V1730" i="1"/>
  <c r="W1730" i="1"/>
  <c r="X1730" i="1"/>
  <c r="V1731" i="1"/>
  <c r="W1731" i="1"/>
  <c r="X1731" i="1"/>
  <c r="V1732" i="1"/>
  <c r="W1732" i="1"/>
  <c r="X1732" i="1"/>
  <c r="V1733" i="1"/>
  <c r="W1733" i="1"/>
  <c r="X1733" i="1"/>
  <c r="V1734" i="1"/>
  <c r="W1734" i="1"/>
  <c r="X1734" i="1"/>
  <c r="V1735" i="1"/>
  <c r="W1735" i="1"/>
  <c r="X1735" i="1"/>
  <c r="V1736" i="1"/>
  <c r="W1736" i="1"/>
  <c r="X1736" i="1"/>
  <c r="V1737" i="1"/>
  <c r="W1737" i="1"/>
  <c r="X1737" i="1"/>
  <c r="V1738" i="1"/>
  <c r="W1738" i="1"/>
  <c r="X1738" i="1"/>
  <c r="V1739" i="1"/>
  <c r="W1739" i="1"/>
  <c r="X1739" i="1"/>
  <c r="V1740" i="1"/>
  <c r="W1740" i="1"/>
  <c r="X1740" i="1"/>
  <c r="V1741" i="1"/>
  <c r="W1741" i="1"/>
  <c r="X1741" i="1"/>
  <c r="V1742" i="1"/>
  <c r="W1742" i="1"/>
  <c r="X1742" i="1"/>
  <c r="V1743" i="1"/>
  <c r="W1743" i="1"/>
  <c r="X1743" i="1"/>
  <c r="V1744" i="1"/>
  <c r="W1744" i="1"/>
  <c r="X1744" i="1"/>
  <c r="V1745" i="1"/>
  <c r="W1745" i="1"/>
  <c r="X1745" i="1"/>
  <c r="V1746" i="1"/>
  <c r="W1746" i="1"/>
  <c r="X1746" i="1"/>
  <c r="V1747" i="1"/>
  <c r="W1747" i="1"/>
  <c r="X1747" i="1"/>
  <c r="V1748" i="1"/>
  <c r="W1748" i="1"/>
  <c r="X1748" i="1"/>
  <c r="V1749" i="1"/>
  <c r="W1749" i="1"/>
  <c r="X1749" i="1"/>
  <c r="V1750" i="1"/>
  <c r="W1750" i="1"/>
  <c r="X1750" i="1"/>
  <c r="V1751" i="1"/>
  <c r="W1751" i="1"/>
  <c r="X1751" i="1"/>
  <c r="V1752" i="1"/>
  <c r="W1752" i="1"/>
  <c r="X1752" i="1"/>
  <c r="V1753" i="1"/>
  <c r="W1753" i="1"/>
  <c r="X1753" i="1"/>
  <c r="V1754" i="1"/>
  <c r="W1754" i="1"/>
  <c r="X1754" i="1"/>
  <c r="V1755" i="1"/>
  <c r="W1755" i="1"/>
  <c r="X1755" i="1"/>
  <c r="V1756" i="1"/>
  <c r="W1756" i="1"/>
  <c r="X1756" i="1"/>
  <c r="V1757" i="1"/>
  <c r="W1757" i="1"/>
  <c r="X1757" i="1"/>
  <c r="V1758" i="1"/>
  <c r="W1758" i="1"/>
  <c r="X1758" i="1"/>
  <c r="V1759" i="1"/>
  <c r="W1759" i="1"/>
  <c r="X1759" i="1"/>
  <c r="V1760" i="1"/>
  <c r="W1760" i="1"/>
  <c r="X1760" i="1"/>
  <c r="V1761" i="1"/>
  <c r="W1761" i="1"/>
  <c r="X1761" i="1"/>
  <c r="V1762" i="1"/>
  <c r="W1762" i="1"/>
  <c r="X1762" i="1"/>
  <c r="V1763" i="1"/>
  <c r="W1763" i="1"/>
  <c r="X1763" i="1"/>
  <c r="V1764" i="1"/>
  <c r="W1764" i="1"/>
  <c r="X1764" i="1"/>
  <c r="V1765" i="1"/>
  <c r="W1765" i="1"/>
  <c r="X1765" i="1"/>
  <c r="V1766" i="1"/>
  <c r="W1766" i="1"/>
  <c r="X1766" i="1"/>
  <c r="V1767" i="1"/>
  <c r="W1767" i="1"/>
  <c r="X1767" i="1"/>
  <c r="V1768" i="1"/>
  <c r="W1768" i="1"/>
  <c r="X1768" i="1"/>
  <c r="V1769" i="1"/>
  <c r="W1769" i="1"/>
  <c r="X1769" i="1"/>
  <c r="V1770" i="1"/>
  <c r="W1770" i="1"/>
  <c r="X1770" i="1"/>
  <c r="V1771" i="1"/>
  <c r="W1771" i="1"/>
  <c r="X1771" i="1"/>
  <c r="V1772" i="1"/>
  <c r="W1772" i="1"/>
  <c r="X1772" i="1"/>
  <c r="V1773" i="1"/>
  <c r="W1773" i="1"/>
  <c r="X1773" i="1"/>
  <c r="V1774" i="1"/>
  <c r="W1774" i="1"/>
  <c r="X1774" i="1"/>
  <c r="V1775" i="1"/>
  <c r="W1775" i="1"/>
  <c r="X1775" i="1"/>
  <c r="V1776" i="1"/>
  <c r="W1776" i="1"/>
  <c r="X1776" i="1"/>
  <c r="V1777" i="1"/>
  <c r="W1777" i="1"/>
  <c r="X1777" i="1"/>
  <c r="V1778" i="1"/>
  <c r="W1778" i="1"/>
  <c r="X1778" i="1"/>
  <c r="V1779" i="1"/>
  <c r="W1779" i="1"/>
  <c r="X1779" i="1"/>
  <c r="V1780" i="1"/>
  <c r="W1780" i="1"/>
  <c r="X1780" i="1"/>
  <c r="V1781" i="1"/>
  <c r="W1781" i="1"/>
  <c r="X1781" i="1"/>
  <c r="V1782" i="1"/>
  <c r="W1782" i="1"/>
  <c r="X1782" i="1"/>
  <c r="V1783" i="1"/>
  <c r="W1783" i="1"/>
  <c r="X1783" i="1"/>
  <c r="V1784" i="1"/>
  <c r="W1784" i="1"/>
  <c r="X1784" i="1"/>
  <c r="V1785" i="1"/>
  <c r="W1785" i="1"/>
  <c r="X1785" i="1"/>
  <c r="V1786" i="1"/>
  <c r="W1786" i="1"/>
  <c r="X1786" i="1"/>
  <c r="V1787" i="1"/>
  <c r="W1787" i="1"/>
  <c r="X1787" i="1"/>
  <c r="V1788" i="1"/>
  <c r="W1788" i="1"/>
  <c r="X1788" i="1"/>
  <c r="V1789" i="1"/>
  <c r="W1789" i="1"/>
  <c r="X1789" i="1"/>
  <c r="V1790" i="1"/>
  <c r="W1790" i="1"/>
  <c r="X1790" i="1"/>
  <c r="V1791" i="1"/>
  <c r="W1791" i="1"/>
  <c r="X1791" i="1"/>
  <c r="V1792" i="1"/>
  <c r="W1792" i="1"/>
  <c r="X1792" i="1"/>
  <c r="V1793" i="1"/>
  <c r="W1793" i="1"/>
  <c r="X1793" i="1"/>
  <c r="V1794" i="1"/>
  <c r="W1794" i="1"/>
  <c r="X1794" i="1"/>
  <c r="V1795" i="1"/>
  <c r="W1795" i="1"/>
  <c r="X1795" i="1"/>
  <c r="V1796" i="1"/>
  <c r="W1796" i="1"/>
  <c r="X1796" i="1"/>
  <c r="V1797" i="1"/>
  <c r="W1797" i="1"/>
  <c r="X1797" i="1"/>
  <c r="V1798" i="1"/>
  <c r="W1798" i="1"/>
  <c r="X1798" i="1"/>
  <c r="V1799" i="1"/>
  <c r="W1799" i="1"/>
  <c r="X1799" i="1"/>
  <c r="V1800" i="1"/>
  <c r="W1800" i="1"/>
  <c r="X1800" i="1"/>
  <c r="V1801" i="1"/>
  <c r="W1801" i="1"/>
  <c r="X1801" i="1"/>
  <c r="V1802" i="1"/>
  <c r="W1802" i="1"/>
  <c r="X1802" i="1"/>
  <c r="V1803" i="1"/>
  <c r="W1803" i="1"/>
  <c r="X1803" i="1"/>
  <c r="V1804" i="1"/>
  <c r="W1804" i="1"/>
  <c r="X1804" i="1"/>
  <c r="V1805" i="1"/>
  <c r="W1805" i="1"/>
  <c r="X1805" i="1"/>
  <c r="V1806" i="1"/>
  <c r="W1806" i="1"/>
  <c r="X1806" i="1"/>
  <c r="V1807" i="1"/>
  <c r="W1807" i="1"/>
  <c r="X1807" i="1"/>
  <c r="V1808" i="1"/>
  <c r="W1808" i="1"/>
  <c r="X1808" i="1"/>
  <c r="V1809" i="1"/>
  <c r="W1809" i="1"/>
  <c r="X1809" i="1"/>
  <c r="V1810" i="1"/>
  <c r="W1810" i="1"/>
  <c r="X1810" i="1"/>
  <c r="V1811" i="1"/>
  <c r="W1811" i="1"/>
  <c r="X1811" i="1"/>
  <c r="V1812" i="1"/>
  <c r="W1812" i="1"/>
  <c r="X1812" i="1"/>
  <c r="V1813" i="1"/>
  <c r="W1813" i="1"/>
  <c r="X1813" i="1"/>
  <c r="V1814" i="1"/>
  <c r="W1814" i="1"/>
  <c r="X1814" i="1"/>
  <c r="V1815" i="1"/>
  <c r="W1815" i="1"/>
  <c r="X1815" i="1"/>
  <c r="V1816" i="1"/>
  <c r="W1816" i="1"/>
  <c r="X1816" i="1"/>
  <c r="V1817" i="1"/>
  <c r="W1817" i="1"/>
  <c r="X1817" i="1"/>
  <c r="V1818" i="1"/>
  <c r="W1818" i="1"/>
  <c r="X1818" i="1"/>
  <c r="V1819" i="1"/>
  <c r="W1819" i="1"/>
  <c r="X1819" i="1"/>
  <c r="V1820" i="1"/>
  <c r="W1820" i="1"/>
  <c r="X1820" i="1"/>
  <c r="V1821" i="1"/>
  <c r="W1821" i="1"/>
  <c r="X1821" i="1"/>
  <c r="V1822" i="1"/>
  <c r="W1822" i="1"/>
  <c r="X1822" i="1"/>
  <c r="V1823" i="1"/>
  <c r="W1823" i="1"/>
  <c r="X1823" i="1"/>
  <c r="V1824" i="1"/>
  <c r="W1824" i="1"/>
  <c r="X1824" i="1"/>
  <c r="V1825" i="1"/>
  <c r="W1825" i="1"/>
  <c r="X1825" i="1"/>
  <c r="V1826" i="1"/>
  <c r="W1826" i="1"/>
  <c r="X1826" i="1"/>
  <c r="V1827" i="1"/>
  <c r="W1827" i="1"/>
  <c r="X1827" i="1"/>
  <c r="V1828" i="1"/>
  <c r="W1828" i="1"/>
  <c r="X1828" i="1"/>
  <c r="V1829" i="1"/>
  <c r="W1829" i="1"/>
  <c r="X1829" i="1"/>
  <c r="V1830" i="1"/>
  <c r="W1830" i="1"/>
  <c r="X1830" i="1"/>
  <c r="V1831" i="1"/>
  <c r="W1831" i="1"/>
  <c r="X1831" i="1"/>
  <c r="V1832" i="1"/>
  <c r="W1832" i="1"/>
  <c r="X1832" i="1"/>
  <c r="V1833" i="1"/>
  <c r="W1833" i="1"/>
  <c r="X1833" i="1"/>
  <c r="V1834" i="1"/>
  <c r="W1834" i="1"/>
  <c r="X1834" i="1"/>
  <c r="V1835" i="1"/>
  <c r="W1835" i="1"/>
  <c r="X1835" i="1"/>
  <c r="V1836" i="1"/>
  <c r="W1836" i="1"/>
  <c r="X1836" i="1"/>
  <c r="V1837" i="1"/>
  <c r="W1837" i="1"/>
  <c r="X1837" i="1"/>
  <c r="V1838" i="1"/>
  <c r="W1838" i="1"/>
  <c r="X1838" i="1"/>
  <c r="V1839" i="1"/>
  <c r="W1839" i="1"/>
  <c r="X1839" i="1"/>
  <c r="V1840" i="1"/>
  <c r="W1840" i="1"/>
  <c r="X1840" i="1"/>
  <c r="V1841" i="1"/>
  <c r="W1841" i="1"/>
  <c r="X1841" i="1"/>
  <c r="V1842" i="1"/>
  <c r="W1842" i="1"/>
  <c r="X1842" i="1"/>
  <c r="V1843" i="1"/>
  <c r="W1843" i="1"/>
  <c r="X1843" i="1"/>
  <c r="V1844" i="1"/>
  <c r="W1844" i="1"/>
  <c r="X1844" i="1"/>
  <c r="V1845" i="1"/>
  <c r="W1845" i="1"/>
  <c r="X1845" i="1"/>
  <c r="V1846" i="1"/>
  <c r="W1846" i="1"/>
  <c r="X1846" i="1"/>
  <c r="V1847" i="1"/>
  <c r="W1847" i="1"/>
  <c r="X1847" i="1"/>
  <c r="V1848" i="1"/>
  <c r="W1848" i="1"/>
  <c r="X1848" i="1"/>
  <c r="V1849" i="1"/>
  <c r="W1849" i="1"/>
  <c r="X1849" i="1"/>
  <c r="V1850" i="1"/>
  <c r="W1850" i="1"/>
  <c r="X1850" i="1"/>
  <c r="V1851" i="1"/>
  <c r="W1851" i="1"/>
  <c r="X1851" i="1"/>
  <c r="V1852" i="1"/>
  <c r="W1852" i="1"/>
  <c r="X1852" i="1"/>
  <c r="V1853" i="1"/>
  <c r="W1853" i="1"/>
  <c r="X1853" i="1"/>
  <c r="V1854" i="1"/>
  <c r="W1854" i="1"/>
  <c r="X1854" i="1"/>
  <c r="V1855" i="1"/>
  <c r="W1855" i="1"/>
  <c r="X1855" i="1"/>
  <c r="V1856" i="1"/>
  <c r="W1856" i="1"/>
  <c r="X1856" i="1"/>
  <c r="V1857" i="1"/>
  <c r="W1857" i="1"/>
  <c r="X1857" i="1"/>
  <c r="V1858" i="1"/>
  <c r="W1858" i="1"/>
  <c r="X1858" i="1"/>
  <c r="V1859" i="1"/>
  <c r="W1859" i="1"/>
  <c r="X1859" i="1"/>
  <c r="V1860" i="1"/>
  <c r="W1860" i="1"/>
  <c r="X1860" i="1"/>
  <c r="V1861" i="1"/>
  <c r="W1861" i="1"/>
  <c r="X1861" i="1"/>
  <c r="V1862" i="1"/>
  <c r="W1862" i="1"/>
  <c r="X1862" i="1"/>
  <c r="V1863" i="1"/>
  <c r="W1863" i="1"/>
  <c r="X1863" i="1"/>
  <c r="V1864" i="1"/>
  <c r="W1864" i="1"/>
  <c r="X1864" i="1"/>
  <c r="V1865" i="1"/>
  <c r="W1865" i="1"/>
  <c r="X1865" i="1"/>
  <c r="V1866" i="1"/>
  <c r="W1866" i="1"/>
  <c r="X1866" i="1"/>
  <c r="V1867" i="1"/>
  <c r="W1867" i="1"/>
  <c r="X1867" i="1"/>
  <c r="V1868" i="1"/>
  <c r="W1868" i="1"/>
  <c r="X1868" i="1"/>
  <c r="V1869" i="1"/>
  <c r="W1869" i="1"/>
  <c r="X1869" i="1"/>
  <c r="V1870" i="1"/>
  <c r="W1870" i="1"/>
  <c r="X1870" i="1"/>
  <c r="V1871" i="1"/>
  <c r="W1871" i="1"/>
  <c r="X1871" i="1"/>
  <c r="V1872" i="1"/>
  <c r="W1872" i="1"/>
  <c r="X1872" i="1"/>
  <c r="V1873" i="1"/>
  <c r="W1873" i="1"/>
  <c r="X1873" i="1"/>
  <c r="V1874" i="1"/>
  <c r="W1874" i="1"/>
  <c r="X1874" i="1"/>
  <c r="V1875" i="1"/>
  <c r="W1875" i="1"/>
  <c r="X1875" i="1"/>
  <c r="V1876" i="1"/>
  <c r="W1876" i="1"/>
  <c r="X1876" i="1"/>
  <c r="V1877" i="1"/>
  <c r="W1877" i="1"/>
  <c r="X1877" i="1"/>
  <c r="V1878" i="1"/>
  <c r="W1878" i="1"/>
  <c r="X1878" i="1"/>
  <c r="V1879" i="1"/>
  <c r="W1879" i="1"/>
  <c r="X1879" i="1"/>
  <c r="V1880" i="1"/>
  <c r="W1880" i="1"/>
  <c r="X1880" i="1"/>
  <c r="V1881" i="1"/>
  <c r="W1881" i="1"/>
  <c r="X1881" i="1"/>
  <c r="V1882" i="1"/>
  <c r="W1882" i="1"/>
  <c r="X1882" i="1"/>
  <c r="V1883" i="1"/>
  <c r="W1883" i="1"/>
  <c r="X1883" i="1"/>
  <c r="V1884" i="1"/>
  <c r="W1884" i="1"/>
  <c r="X1884" i="1"/>
  <c r="V1885" i="1"/>
  <c r="W1885" i="1"/>
  <c r="X1885" i="1"/>
  <c r="V1886" i="1"/>
  <c r="W1886" i="1"/>
  <c r="X1886" i="1"/>
  <c r="V1887" i="1"/>
  <c r="W1887" i="1"/>
  <c r="X1887" i="1"/>
  <c r="V1888" i="1"/>
  <c r="W1888" i="1"/>
  <c r="X1888" i="1"/>
  <c r="V1889" i="1"/>
  <c r="W1889" i="1"/>
  <c r="X1889" i="1"/>
  <c r="V1890" i="1"/>
  <c r="W1890" i="1"/>
  <c r="X1890" i="1"/>
  <c r="V1891" i="1"/>
  <c r="W1891" i="1"/>
  <c r="X1891" i="1"/>
  <c r="V1892" i="1"/>
  <c r="W1892" i="1"/>
  <c r="X1892" i="1"/>
  <c r="V1893" i="1"/>
  <c r="W1893" i="1"/>
  <c r="X1893" i="1"/>
  <c r="V1894" i="1"/>
  <c r="W1894" i="1"/>
  <c r="X1894" i="1"/>
  <c r="V1895" i="1"/>
  <c r="W1895" i="1"/>
  <c r="X1895" i="1"/>
  <c r="V1896" i="1"/>
  <c r="W1896" i="1"/>
  <c r="X1896" i="1"/>
  <c r="V1897" i="1"/>
  <c r="W1897" i="1"/>
  <c r="X1897" i="1"/>
  <c r="V1898" i="1"/>
  <c r="W1898" i="1"/>
  <c r="X1898" i="1"/>
  <c r="V1899" i="1"/>
  <c r="W1899" i="1"/>
  <c r="X1899" i="1"/>
  <c r="V1900" i="1"/>
  <c r="W1900" i="1"/>
  <c r="X1900" i="1"/>
  <c r="V1901" i="1"/>
  <c r="W1901" i="1"/>
  <c r="X1901" i="1"/>
  <c r="V1902" i="1"/>
  <c r="W1902" i="1"/>
  <c r="X1902" i="1"/>
  <c r="V1903" i="1"/>
  <c r="W1903" i="1"/>
  <c r="X1903" i="1"/>
  <c r="V1904" i="1"/>
  <c r="W1904" i="1"/>
  <c r="X1904" i="1"/>
  <c r="V1905" i="1"/>
  <c r="W1905" i="1"/>
  <c r="X1905" i="1"/>
  <c r="V1906" i="1"/>
  <c r="W1906" i="1"/>
  <c r="X1906" i="1"/>
  <c r="V1907" i="1"/>
  <c r="W1907" i="1"/>
  <c r="X1907" i="1"/>
  <c r="V1908" i="1"/>
  <c r="W1908" i="1"/>
  <c r="X1908" i="1"/>
  <c r="V1909" i="1"/>
  <c r="W1909" i="1"/>
  <c r="X1909" i="1"/>
  <c r="V1910" i="1"/>
  <c r="W1910" i="1"/>
  <c r="X1910" i="1"/>
  <c r="V1911" i="1"/>
  <c r="W1911" i="1"/>
  <c r="X1911" i="1"/>
  <c r="V1912" i="1"/>
  <c r="W1912" i="1"/>
  <c r="X1912" i="1"/>
  <c r="V1913" i="1"/>
  <c r="W1913" i="1"/>
  <c r="X1913" i="1"/>
  <c r="V1914" i="1"/>
  <c r="W1914" i="1"/>
  <c r="X1914" i="1"/>
  <c r="V1915" i="1"/>
  <c r="W1915" i="1"/>
  <c r="X1915" i="1"/>
  <c r="V1916" i="1"/>
  <c r="W1916" i="1"/>
  <c r="X1916" i="1"/>
  <c r="V1917" i="1"/>
  <c r="W1917" i="1"/>
  <c r="X1917" i="1"/>
  <c r="V1918" i="1"/>
  <c r="W1918" i="1"/>
  <c r="X1918" i="1"/>
  <c r="V1919" i="1"/>
  <c r="W1919" i="1"/>
  <c r="X1919" i="1"/>
  <c r="V1920" i="1"/>
  <c r="W1920" i="1"/>
  <c r="X1920" i="1"/>
  <c r="V1921" i="1"/>
  <c r="W1921" i="1"/>
  <c r="X1921" i="1"/>
  <c r="V1922" i="1"/>
  <c r="W1922" i="1"/>
  <c r="X1922" i="1"/>
  <c r="V1923" i="1"/>
  <c r="W1923" i="1"/>
  <c r="X1923" i="1"/>
  <c r="V1924" i="1"/>
  <c r="W1924" i="1"/>
  <c r="X1924" i="1"/>
  <c r="V1925" i="1"/>
  <c r="W1925" i="1"/>
  <c r="X1925" i="1"/>
  <c r="V1926" i="1"/>
  <c r="W1926" i="1"/>
  <c r="X1926" i="1"/>
  <c r="V1927" i="1"/>
  <c r="W1927" i="1"/>
  <c r="X1927" i="1"/>
  <c r="V1928" i="1"/>
  <c r="W1928" i="1"/>
  <c r="X1928" i="1"/>
  <c r="V1929" i="1"/>
  <c r="W1929" i="1"/>
  <c r="X1929" i="1"/>
  <c r="V1930" i="1"/>
  <c r="W1930" i="1"/>
  <c r="X1930" i="1"/>
  <c r="V1931" i="1"/>
  <c r="W1931" i="1"/>
  <c r="X1931" i="1"/>
  <c r="V1932" i="1"/>
  <c r="W1932" i="1"/>
  <c r="X1932" i="1"/>
  <c r="V1933" i="1"/>
  <c r="W1933" i="1"/>
  <c r="X1933" i="1"/>
  <c r="V1934" i="1"/>
  <c r="W1934" i="1"/>
  <c r="X1934" i="1"/>
  <c r="V1935" i="1"/>
  <c r="W1935" i="1"/>
  <c r="X1935" i="1"/>
  <c r="V1936" i="1"/>
  <c r="W1936" i="1"/>
  <c r="X1936" i="1"/>
  <c r="V1937" i="1"/>
  <c r="W1937" i="1"/>
  <c r="X1937" i="1"/>
  <c r="V1938" i="1"/>
  <c r="W1938" i="1"/>
  <c r="X1938" i="1"/>
  <c r="V1939" i="1"/>
  <c r="W1939" i="1"/>
  <c r="X1939" i="1"/>
  <c r="V1940" i="1"/>
  <c r="W1940" i="1"/>
  <c r="X1940" i="1"/>
  <c r="V1941" i="1"/>
  <c r="W1941" i="1"/>
  <c r="X1941" i="1"/>
  <c r="V1942" i="1"/>
  <c r="W1942" i="1"/>
  <c r="X1942" i="1"/>
  <c r="V1943" i="1"/>
  <c r="W1943" i="1"/>
  <c r="X1943" i="1"/>
  <c r="V1944" i="1"/>
  <c r="W1944" i="1"/>
  <c r="X1944" i="1"/>
  <c r="V1945" i="1"/>
  <c r="W1945" i="1"/>
  <c r="X1945" i="1"/>
  <c r="V1946" i="1"/>
  <c r="W1946" i="1"/>
  <c r="X1946" i="1"/>
  <c r="V1947" i="1"/>
  <c r="W1947" i="1"/>
  <c r="X1947" i="1"/>
  <c r="V1948" i="1"/>
  <c r="W1948" i="1"/>
  <c r="X1948" i="1"/>
  <c r="V1949" i="1"/>
  <c r="W1949" i="1"/>
  <c r="X1949" i="1"/>
  <c r="V1950" i="1"/>
  <c r="W1950" i="1"/>
  <c r="X1950" i="1"/>
  <c r="V1951" i="1"/>
  <c r="W1951" i="1"/>
  <c r="X1951" i="1"/>
  <c r="V1952" i="1"/>
  <c r="W1952" i="1"/>
  <c r="X1952" i="1"/>
  <c r="V1953" i="1"/>
  <c r="W1953" i="1"/>
  <c r="X1953" i="1"/>
  <c r="V1954" i="1"/>
  <c r="W1954" i="1"/>
  <c r="X1954" i="1"/>
  <c r="V1955" i="1"/>
  <c r="W1955" i="1"/>
  <c r="X1955" i="1"/>
  <c r="V1956" i="1"/>
  <c r="W1956" i="1"/>
  <c r="X1956" i="1"/>
  <c r="V1957" i="1"/>
  <c r="W1957" i="1"/>
  <c r="X1957" i="1"/>
  <c r="V1958" i="1"/>
  <c r="W1958" i="1"/>
  <c r="X1958" i="1"/>
  <c r="V1959" i="1"/>
  <c r="W1959" i="1"/>
  <c r="X1959" i="1"/>
  <c r="V1960" i="1"/>
  <c r="W1960" i="1"/>
  <c r="X1960" i="1"/>
  <c r="V1961" i="1"/>
  <c r="W1961" i="1"/>
  <c r="X1961" i="1"/>
  <c r="V1962" i="1"/>
  <c r="W1962" i="1"/>
  <c r="X1962" i="1"/>
  <c r="V1963" i="1"/>
  <c r="W1963" i="1"/>
  <c r="X1963" i="1"/>
  <c r="V1964" i="1"/>
  <c r="W1964" i="1"/>
  <c r="X1964" i="1"/>
  <c r="V1965" i="1"/>
  <c r="W1965" i="1"/>
  <c r="X1965" i="1"/>
  <c r="V1966" i="1"/>
  <c r="W1966" i="1"/>
  <c r="X1966" i="1"/>
  <c r="V1967" i="1"/>
  <c r="W1967" i="1"/>
  <c r="X1967" i="1"/>
  <c r="V1968" i="1"/>
  <c r="W1968" i="1"/>
  <c r="X1968" i="1"/>
  <c r="V1969" i="1"/>
  <c r="W1969" i="1"/>
  <c r="X1969" i="1"/>
  <c r="V1970" i="1"/>
  <c r="W1970" i="1"/>
  <c r="X1970" i="1"/>
  <c r="V1971" i="1"/>
  <c r="W1971" i="1"/>
  <c r="X1971" i="1"/>
  <c r="V1972" i="1"/>
  <c r="W1972" i="1"/>
  <c r="X1972" i="1"/>
  <c r="V1973" i="1"/>
  <c r="W1973" i="1"/>
  <c r="X1973" i="1"/>
  <c r="V1974" i="1"/>
  <c r="W1974" i="1"/>
  <c r="X1974" i="1"/>
  <c r="V1975" i="1"/>
  <c r="W1975" i="1"/>
  <c r="X1975" i="1"/>
  <c r="V1976" i="1"/>
  <c r="W1976" i="1"/>
  <c r="X1976" i="1"/>
  <c r="V1977" i="1"/>
  <c r="W1977" i="1"/>
  <c r="X1977" i="1"/>
  <c r="V1978" i="1"/>
  <c r="W1978" i="1"/>
  <c r="X1978" i="1"/>
  <c r="V1979" i="1"/>
  <c r="W1979" i="1"/>
  <c r="X1979" i="1"/>
  <c r="V1980" i="1"/>
  <c r="W1980" i="1"/>
  <c r="X1980" i="1"/>
  <c r="V1981" i="1"/>
  <c r="W1981" i="1"/>
  <c r="X1981" i="1"/>
  <c r="V1982" i="1"/>
  <c r="W1982" i="1"/>
  <c r="X1982" i="1"/>
  <c r="V1983" i="1"/>
  <c r="W1983" i="1"/>
  <c r="X1983" i="1"/>
  <c r="V1984" i="1"/>
  <c r="W1984" i="1"/>
  <c r="X1984" i="1"/>
  <c r="V1985" i="1"/>
  <c r="W1985" i="1"/>
  <c r="X1985" i="1"/>
  <c r="V1986" i="1"/>
  <c r="W1986" i="1"/>
  <c r="X1986" i="1"/>
  <c r="V1987" i="1"/>
  <c r="W1987" i="1"/>
  <c r="X1987" i="1"/>
  <c r="V1988" i="1"/>
  <c r="W1988" i="1"/>
  <c r="X1988" i="1"/>
  <c r="V1989" i="1"/>
  <c r="W1989" i="1"/>
  <c r="X1989" i="1"/>
  <c r="V1990" i="1"/>
  <c r="W1990" i="1"/>
  <c r="X1990" i="1"/>
  <c r="V1991" i="1"/>
  <c r="W1991" i="1"/>
  <c r="X1991" i="1"/>
  <c r="V1992" i="1"/>
  <c r="W1992" i="1"/>
  <c r="X1992" i="1"/>
  <c r="V1993" i="1"/>
  <c r="W1993" i="1"/>
  <c r="X1993" i="1"/>
  <c r="V1994" i="1"/>
  <c r="W1994" i="1"/>
  <c r="X1994" i="1"/>
  <c r="V1995" i="1"/>
  <c r="W1995" i="1"/>
  <c r="X1995" i="1"/>
  <c r="V1996" i="1"/>
  <c r="W1996" i="1"/>
  <c r="X1996" i="1"/>
  <c r="V1997" i="1"/>
  <c r="W1997" i="1"/>
  <c r="X1997" i="1"/>
  <c r="V1998" i="1"/>
  <c r="W1998" i="1"/>
  <c r="X1998" i="1"/>
  <c r="V1999" i="1"/>
  <c r="W1999" i="1"/>
  <c r="X1999" i="1"/>
  <c r="V2000" i="1"/>
  <c r="W2000" i="1"/>
  <c r="X2000" i="1"/>
  <c r="V2001" i="1"/>
  <c r="W2001" i="1"/>
  <c r="X2001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G1660" i="1"/>
  <c r="AH1660" i="1"/>
  <c r="AG1661" i="1"/>
  <c r="AH1661" i="1"/>
  <c r="AG1662" i="1"/>
  <c r="AH1662" i="1"/>
  <c r="AG1663" i="1"/>
  <c r="AH1663" i="1"/>
  <c r="AG1664" i="1"/>
  <c r="AH1664" i="1"/>
  <c r="AG1665" i="1"/>
  <c r="AH1665" i="1"/>
  <c r="AG1666" i="1"/>
  <c r="AH1666" i="1"/>
  <c r="AG1667" i="1"/>
  <c r="AH1667" i="1"/>
  <c r="AG1668" i="1"/>
  <c r="AH1668" i="1"/>
  <c r="AG1669" i="1"/>
  <c r="AH1669" i="1"/>
  <c r="AG1670" i="1"/>
  <c r="AH1670" i="1"/>
  <c r="AG1671" i="1"/>
  <c r="AH1671" i="1"/>
  <c r="AG1672" i="1"/>
  <c r="AH1672" i="1"/>
  <c r="AG1673" i="1"/>
  <c r="AH1673" i="1"/>
  <c r="AG1674" i="1"/>
  <c r="AH1674" i="1"/>
  <c r="AG1675" i="1"/>
  <c r="AH1675" i="1"/>
  <c r="AG1676" i="1"/>
  <c r="AH1676" i="1"/>
  <c r="AG1677" i="1"/>
  <c r="AH1677" i="1"/>
  <c r="AG1678" i="1"/>
  <c r="AH1678" i="1"/>
  <c r="AG1679" i="1"/>
  <c r="AH1679" i="1"/>
  <c r="AG1680" i="1"/>
  <c r="AH1680" i="1"/>
  <c r="AG1681" i="1"/>
  <c r="AH1681" i="1"/>
  <c r="AG1682" i="1"/>
  <c r="AH1682" i="1"/>
  <c r="AG1683" i="1"/>
  <c r="AH1683" i="1"/>
  <c r="AG1684" i="1"/>
  <c r="AH1684" i="1"/>
  <c r="AG1685" i="1"/>
  <c r="AH1685" i="1"/>
  <c r="AG1686" i="1"/>
  <c r="AH1686" i="1"/>
  <c r="AG1687" i="1"/>
  <c r="AH1687" i="1"/>
  <c r="AG1688" i="1"/>
  <c r="AH1688" i="1"/>
  <c r="AG1689" i="1"/>
  <c r="AH1689" i="1"/>
  <c r="AG1690" i="1"/>
  <c r="AH1690" i="1"/>
  <c r="AG1691" i="1"/>
  <c r="AH1691" i="1"/>
  <c r="AG1692" i="1"/>
  <c r="AH1692" i="1"/>
  <c r="AG1693" i="1"/>
  <c r="AH1693" i="1"/>
  <c r="AG1694" i="1"/>
  <c r="AH1694" i="1"/>
  <c r="AG1695" i="1"/>
  <c r="AH1695" i="1"/>
  <c r="AG1696" i="1"/>
  <c r="AH1696" i="1"/>
  <c r="AG1697" i="1"/>
  <c r="AH1697" i="1"/>
  <c r="AG1698" i="1"/>
  <c r="AH1698" i="1"/>
  <c r="AG1699" i="1"/>
  <c r="AH1699" i="1"/>
  <c r="AG1700" i="1"/>
  <c r="AH1700" i="1"/>
  <c r="AG1701" i="1"/>
  <c r="AH1701" i="1"/>
  <c r="AG1702" i="1"/>
  <c r="AH1702" i="1"/>
  <c r="AG1703" i="1"/>
  <c r="AH1703" i="1"/>
  <c r="AG1704" i="1"/>
  <c r="AH1704" i="1"/>
  <c r="AG1705" i="1"/>
  <c r="AH1705" i="1"/>
  <c r="AG1706" i="1"/>
  <c r="AH1706" i="1"/>
  <c r="AG1707" i="1"/>
  <c r="AH1707" i="1"/>
  <c r="AG1708" i="1"/>
  <c r="AH1708" i="1"/>
  <c r="AG1709" i="1"/>
  <c r="AH1709" i="1"/>
  <c r="AG1710" i="1"/>
  <c r="AH1710" i="1"/>
  <c r="AG1711" i="1"/>
  <c r="AH1711" i="1"/>
  <c r="AG1712" i="1"/>
  <c r="AH1712" i="1"/>
  <c r="AG1713" i="1"/>
  <c r="AH1713" i="1"/>
  <c r="AG1714" i="1"/>
  <c r="AH1714" i="1"/>
  <c r="AG1715" i="1"/>
  <c r="AH1715" i="1"/>
  <c r="AG1716" i="1"/>
  <c r="AH1716" i="1"/>
  <c r="AG1717" i="1"/>
  <c r="AH1717" i="1"/>
  <c r="AG1718" i="1"/>
  <c r="AH1718" i="1"/>
  <c r="AG1719" i="1"/>
  <c r="AH1719" i="1"/>
  <c r="AG1720" i="1"/>
  <c r="AH1720" i="1"/>
  <c r="AG1721" i="1"/>
  <c r="AH1721" i="1"/>
  <c r="AG1722" i="1"/>
  <c r="AH1722" i="1"/>
  <c r="AG1723" i="1"/>
  <c r="AH1723" i="1"/>
  <c r="AG1724" i="1"/>
  <c r="AH1724" i="1"/>
  <c r="AG1725" i="1"/>
  <c r="AH1725" i="1"/>
  <c r="AG1726" i="1"/>
  <c r="AH1726" i="1"/>
  <c r="AG1727" i="1"/>
  <c r="AH1727" i="1"/>
  <c r="AG1728" i="1"/>
  <c r="AH1728" i="1"/>
  <c r="AG1729" i="1"/>
  <c r="AH1729" i="1"/>
  <c r="AG1730" i="1"/>
  <c r="AH1730" i="1"/>
  <c r="AG1731" i="1"/>
  <c r="AH1731" i="1"/>
  <c r="AG1732" i="1"/>
  <c r="AH1732" i="1"/>
  <c r="AG1733" i="1"/>
  <c r="AH1733" i="1"/>
  <c r="AG1734" i="1"/>
  <c r="AH1734" i="1"/>
  <c r="AG1735" i="1"/>
  <c r="AH1735" i="1"/>
  <c r="AG1736" i="1"/>
  <c r="AH1736" i="1"/>
  <c r="AG1737" i="1"/>
  <c r="AH1737" i="1"/>
  <c r="AG1738" i="1"/>
  <c r="AH1738" i="1"/>
  <c r="AG1739" i="1"/>
  <c r="AH1739" i="1"/>
  <c r="AG1740" i="1"/>
  <c r="AH1740" i="1"/>
  <c r="AG1741" i="1"/>
  <c r="AH1741" i="1"/>
  <c r="AG1742" i="1"/>
  <c r="AH1742" i="1"/>
  <c r="AG1743" i="1"/>
  <c r="AH1743" i="1"/>
  <c r="AG1744" i="1"/>
  <c r="AH1744" i="1"/>
  <c r="AG1745" i="1"/>
  <c r="AH1745" i="1"/>
  <c r="AG1746" i="1"/>
  <c r="AH1746" i="1"/>
  <c r="AG1747" i="1"/>
  <c r="AH1747" i="1"/>
  <c r="AG1748" i="1"/>
  <c r="AH1748" i="1"/>
  <c r="AG1749" i="1"/>
  <c r="AH1749" i="1"/>
  <c r="AG1750" i="1"/>
  <c r="AH1750" i="1"/>
  <c r="AG1751" i="1"/>
  <c r="AH1751" i="1"/>
  <c r="AG1752" i="1"/>
  <c r="AH1752" i="1"/>
  <c r="AG1753" i="1"/>
  <c r="AH1753" i="1"/>
  <c r="AG1754" i="1"/>
  <c r="AH1754" i="1"/>
  <c r="AG1755" i="1"/>
  <c r="AH1755" i="1"/>
  <c r="AG1756" i="1"/>
  <c r="AH1756" i="1"/>
  <c r="AG1757" i="1"/>
  <c r="AH1757" i="1"/>
  <c r="AG1758" i="1"/>
  <c r="AH1758" i="1"/>
  <c r="AG1759" i="1"/>
  <c r="AH1759" i="1"/>
  <c r="AG1760" i="1"/>
  <c r="AH1760" i="1"/>
  <c r="AG1761" i="1"/>
  <c r="AH1761" i="1"/>
  <c r="AG1762" i="1"/>
  <c r="AH1762" i="1"/>
  <c r="AG1763" i="1"/>
  <c r="AH1763" i="1"/>
  <c r="AG1764" i="1"/>
  <c r="AH1764" i="1"/>
  <c r="AG1765" i="1"/>
  <c r="AH1765" i="1"/>
  <c r="AG1766" i="1"/>
  <c r="AH1766" i="1"/>
  <c r="AG1767" i="1"/>
  <c r="AH1767" i="1"/>
  <c r="AG1768" i="1"/>
  <c r="AH1768" i="1"/>
  <c r="AG1769" i="1"/>
  <c r="AH1769" i="1"/>
  <c r="AG1770" i="1"/>
  <c r="AH1770" i="1"/>
  <c r="AG1771" i="1"/>
  <c r="AH1771" i="1"/>
  <c r="AG1772" i="1"/>
  <c r="AH1772" i="1"/>
  <c r="AG1773" i="1"/>
  <c r="AH1773" i="1"/>
  <c r="AG1774" i="1"/>
  <c r="AH1774" i="1"/>
  <c r="AG1775" i="1"/>
  <c r="AH1775" i="1"/>
  <c r="AG1776" i="1"/>
  <c r="AH1776" i="1"/>
  <c r="AG1777" i="1"/>
  <c r="AH1777" i="1"/>
  <c r="AG1778" i="1"/>
  <c r="AH1778" i="1"/>
  <c r="AG1779" i="1"/>
  <c r="AH1779" i="1"/>
  <c r="AG1780" i="1"/>
  <c r="AH1780" i="1"/>
  <c r="AG1781" i="1"/>
  <c r="AH1781" i="1"/>
  <c r="AG1782" i="1"/>
  <c r="AH1782" i="1"/>
  <c r="AG1783" i="1"/>
  <c r="AH1783" i="1"/>
  <c r="AG1784" i="1"/>
  <c r="AH1784" i="1"/>
  <c r="AG1785" i="1"/>
  <c r="AH1785" i="1"/>
  <c r="AG1786" i="1"/>
  <c r="AH1786" i="1"/>
  <c r="AG1787" i="1"/>
  <c r="AH1787" i="1"/>
  <c r="AG1788" i="1"/>
  <c r="AH1788" i="1"/>
  <c r="AG1789" i="1"/>
  <c r="AH1789" i="1"/>
  <c r="AG1790" i="1"/>
  <c r="AH1790" i="1"/>
  <c r="AG1791" i="1"/>
  <c r="AH1791" i="1"/>
  <c r="AG1792" i="1"/>
  <c r="AH1792" i="1"/>
  <c r="AG1793" i="1"/>
  <c r="AH1793" i="1"/>
  <c r="AG1794" i="1"/>
  <c r="AH1794" i="1"/>
  <c r="AG1795" i="1"/>
  <c r="AH1795" i="1"/>
  <c r="AG1796" i="1"/>
  <c r="AH1796" i="1"/>
  <c r="AG1797" i="1"/>
  <c r="AH1797" i="1"/>
  <c r="AG1798" i="1"/>
  <c r="AH1798" i="1"/>
  <c r="AG1799" i="1"/>
  <c r="AH1799" i="1"/>
  <c r="AG1800" i="1"/>
  <c r="AH1800" i="1"/>
  <c r="AG1801" i="1"/>
  <c r="AH1801" i="1"/>
  <c r="AG1802" i="1"/>
  <c r="AH1802" i="1"/>
  <c r="AG1803" i="1"/>
  <c r="AH1803" i="1"/>
  <c r="AG1804" i="1"/>
  <c r="AH1804" i="1"/>
  <c r="AG1805" i="1"/>
  <c r="AH1805" i="1"/>
  <c r="AG1806" i="1"/>
  <c r="AH1806" i="1"/>
  <c r="AG1807" i="1"/>
  <c r="AH1807" i="1"/>
  <c r="AG1808" i="1"/>
  <c r="AH1808" i="1"/>
  <c r="AG1809" i="1"/>
  <c r="AH1809" i="1"/>
  <c r="AG1810" i="1"/>
  <c r="AH1810" i="1"/>
  <c r="AG1811" i="1"/>
  <c r="AH1811" i="1"/>
  <c r="AG1812" i="1"/>
  <c r="AH1812" i="1"/>
  <c r="AG1813" i="1"/>
  <c r="AH1813" i="1"/>
  <c r="AG1814" i="1"/>
  <c r="AH1814" i="1"/>
  <c r="AG1815" i="1"/>
  <c r="AH1815" i="1"/>
  <c r="AG1816" i="1"/>
  <c r="AH1816" i="1"/>
  <c r="AG1817" i="1"/>
  <c r="AH1817" i="1"/>
  <c r="AG1818" i="1"/>
  <c r="AH1818" i="1"/>
  <c r="AG1819" i="1"/>
  <c r="AH1819" i="1"/>
  <c r="AG1820" i="1"/>
  <c r="AH1820" i="1"/>
  <c r="AG1821" i="1"/>
  <c r="AH1821" i="1"/>
  <c r="AG1822" i="1"/>
  <c r="AH1822" i="1"/>
  <c r="AG1823" i="1"/>
  <c r="AH1823" i="1"/>
  <c r="AG1824" i="1"/>
  <c r="AH1824" i="1"/>
  <c r="AG1825" i="1"/>
  <c r="AH1825" i="1"/>
  <c r="AG1826" i="1"/>
  <c r="AH1826" i="1"/>
  <c r="AG1827" i="1"/>
  <c r="AH1827" i="1"/>
  <c r="AG1828" i="1"/>
  <c r="AH1828" i="1"/>
  <c r="AG1829" i="1"/>
  <c r="AH1829" i="1"/>
  <c r="AG1830" i="1"/>
  <c r="AH1830" i="1"/>
  <c r="AG1831" i="1"/>
  <c r="AH1831" i="1"/>
  <c r="AG1832" i="1"/>
  <c r="AH1832" i="1"/>
  <c r="AG1833" i="1"/>
  <c r="AH1833" i="1"/>
  <c r="AG1834" i="1"/>
  <c r="AH1834" i="1"/>
  <c r="AG1835" i="1"/>
  <c r="AH1835" i="1"/>
  <c r="AG1836" i="1"/>
  <c r="AH1836" i="1"/>
  <c r="AG1837" i="1"/>
  <c r="AH1837" i="1"/>
  <c r="AG1838" i="1"/>
  <c r="AH1838" i="1"/>
  <c r="AG1839" i="1"/>
  <c r="AH1839" i="1"/>
  <c r="AG1840" i="1"/>
  <c r="AH1840" i="1"/>
  <c r="AG1841" i="1"/>
  <c r="AH1841" i="1"/>
  <c r="AG1842" i="1"/>
  <c r="AH1842" i="1"/>
  <c r="AG1843" i="1"/>
  <c r="AH1843" i="1"/>
  <c r="AG1844" i="1"/>
  <c r="AH1844" i="1"/>
  <c r="AG1845" i="1"/>
  <c r="AH1845" i="1"/>
  <c r="AG1846" i="1"/>
  <c r="AH1846" i="1"/>
  <c r="AG1847" i="1"/>
  <c r="AH1847" i="1"/>
  <c r="AG1848" i="1"/>
  <c r="AH1848" i="1"/>
  <c r="AG1849" i="1"/>
  <c r="AH1849" i="1"/>
  <c r="AG1850" i="1"/>
  <c r="AH1850" i="1"/>
  <c r="AG1851" i="1"/>
  <c r="AH1851" i="1"/>
  <c r="AG1852" i="1"/>
  <c r="AH1852" i="1"/>
  <c r="AG1853" i="1"/>
  <c r="AH1853" i="1"/>
  <c r="AG1854" i="1"/>
  <c r="AH1854" i="1"/>
  <c r="AG1855" i="1"/>
  <c r="AH1855" i="1"/>
  <c r="AG1856" i="1"/>
  <c r="AH1856" i="1"/>
  <c r="AG1857" i="1"/>
  <c r="AH1857" i="1"/>
  <c r="AG1858" i="1"/>
  <c r="AH1858" i="1"/>
  <c r="AG1859" i="1"/>
  <c r="AH1859" i="1"/>
  <c r="AG1860" i="1"/>
  <c r="AH1860" i="1"/>
  <c r="AG1861" i="1"/>
  <c r="AH1861" i="1"/>
  <c r="AG1862" i="1"/>
  <c r="AH1862" i="1"/>
  <c r="AG1863" i="1"/>
  <c r="AH1863" i="1"/>
  <c r="AG1864" i="1"/>
  <c r="AH1864" i="1"/>
  <c r="AG1865" i="1"/>
  <c r="AH1865" i="1"/>
  <c r="AG1866" i="1"/>
  <c r="AH1866" i="1"/>
  <c r="AG1867" i="1"/>
  <c r="AH1867" i="1"/>
  <c r="AG1868" i="1"/>
  <c r="AH1868" i="1"/>
  <c r="AG1869" i="1"/>
  <c r="AH1869" i="1"/>
  <c r="AG1870" i="1"/>
  <c r="AH1870" i="1"/>
  <c r="AG1871" i="1"/>
  <c r="AH1871" i="1"/>
  <c r="AG1872" i="1"/>
  <c r="AH1872" i="1"/>
  <c r="AG1873" i="1"/>
  <c r="AH1873" i="1"/>
  <c r="AG1874" i="1"/>
  <c r="AH1874" i="1"/>
  <c r="AG1875" i="1"/>
  <c r="AH1875" i="1"/>
  <c r="AG1876" i="1"/>
  <c r="AH1876" i="1"/>
  <c r="AG1877" i="1"/>
  <c r="AH1877" i="1"/>
  <c r="AG1878" i="1"/>
  <c r="AH1878" i="1"/>
  <c r="AG1879" i="1"/>
  <c r="AH1879" i="1"/>
  <c r="AG1880" i="1"/>
  <c r="AH1880" i="1"/>
  <c r="AG1881" i="1"/>
  <c r="AH1881" i="1"/>
  <c r="AG1882" i="1"/>
  <c r="AH1882" i="1"/>
  <c r="AG1883" i="1"/>
  <c r="AH1883" i="1"/>
  <c r="AG1884" i="1"/>
  <c r="AH1884" i="1"/>
  <c r="AG1885" i="1"/>
  <c r="AH1885" i="1"/>
  <c r="AG1886" i="1"/>
  <c r="AH1886" i="1"/>
  <c r="AG1887" i="1"/>
  <c r="AH1887" i="1"/>
  <c r="AG1888" i="1"/>
  <c r="AH1888" i="1"/>
  <c r="AG1889" i="1"/>
  <c r="AH1889" i="1"/>
  <c r="AG1890" i="1"/>
  <c r="AH1890" i="1"/>
  <c r="AG1891" i="1"/>
  <c r="AH1891" i="1"/>
  <c r="AG1892" i="1"/>
  <c r="AH1892" i="1"/>
  <c r="AG1893" i="1"/>
  <c r="AH1893" i="1"/>
  <c r="AG1894" i="1"/>
  <c r="AH1894" i="1"/>
  <c r="AG1895" i="1"/>
  <c r="AH1895" i="1"/>
  <c r="AG1896" i="1"/>
  <c r="AH1896" i="1"/>
  <c r="AG1897" i="1"/>
  <c r="AH1897" i="1"/>
  <c r="AG1898" i="1"/>
  <c r="AH1898" i="1"/>
  <c r="AG1899" i="1"/>
  <c r="AH1899" i="1"/>
  <c r="AG1900" i="1"/>
  <c r="AH1900" i="1"/>
  <c r="AG1901" i="1"/>
  <c r="AH1901" i="1"/>
  <c r="AG1902" i="1"/>
  <c r="AH1902" i="1"/>
  <c r="AG1903" i="1"/>
  <c r="AH1903" i="1"/>
  <c r="AG1904" i="1"/>
  <c r="AH1904" i="1"/>
  <c r="AG1905" i="1"/>
  <c r="AH1905" i="1"/>
  <c r="AG1906" i="1"/>
  <c r="AH1906" i="1"/>
  <c r="AG1907" i="1"/>
  <c r="AH1907" i="1"/>
  <c r="AG1908" i="1"/>
  <c r="AH1908" i="1"/>
  <c r="AG1909" i="1"/>
  <c r="AH1909" i="1"/>
  <c r="AG1910" i="1"/>
  <c r="AH1910" i="1"/>
  <c r="AG1911" i="1"/>
  <c r="AH1911" i="1"/>
  <c r="AG1912" i="1"/>
  <c r="AH1912" i="1"/>
  <c r="AG1913" i="1"/>
  <c r="AH1913" i="1"/>
  <c r="AG1914" i="1"/>
  <c r="AH1914" i="1"/>
  <c r="AG1915" i="1"/>
  <c r="AH1915" i="1"/>
  <c r="AG1916" i="1"/>
  <c r="AH1916" i="1"/>
  <c r="AG1917" i="1"/>
  <c r="AH1917" i="1"/>
  <c r="AG1918" i="1"/>
  <c r="AH1918" i="1"/>
  <c r="AG1919" i="1"/>
  <c r="AH1919" i="1"/>
  <c r="AG1920" i="1"/>
  <c r="AH1920" i="1"/>
  <c r="AG1921" i="1"/>
  <c r="AH1921" i="1"/>
  <c r="AG1922" i="1"/>
  <c r="AH1922" i="1"/>
  <c r="AG1923" i="1"/>
  <c r="AH1923" i="1"/>
  <c r="AG1924" i="1"/>
  <c r="AH1924" i="1"/>
  <c r="AG1925" i="1"/>
  <c r="AH1925" i="1"/>
  <c r="AG1926" i="1"/>
  <c r="AH1926" i="1"/>
  <c r="AG1927" i="1"/>
  <c r="AH1927" i="1"/>
  <c r="AG1928" i="1"/>
  <c r="AH1928" i="1"/>
  <c r="AG1929" i="1"/>
  <c r="AH1929" i="1"/>
  <c r="AG1930" i="1"/>
  <c r="AH1930" i="1"/>
  <c r="AG1931" i="1"/>
  <c r="AH1931" i="1"/>
  <c r="AG1932" i="1"/>
  <c r="AH1932" i="1"/>
  <c r="AG1933" i="1"/>
  <c r="AH1933" i="1"/>
  <c r="AG1934" i="1"/>
  <c r="AH1934" i="1"/>
  <c r="AG1935" i="1"/>
  <c r="AH1935" i="1"/>
  <c r="AG1936" i="1"/>
  <c r="AH1936" i="1"/>
  <c r="AG1937" i="1"/>
  <c r="AH1937" i="1"/>
  <c r="AG1938" i="1"/>
  <c r="AH1938" i="1"/>
  <c r="AG1939" i="1"/>
  <c r="AH1939" i="1"/>
  <c r="AG1940" i="1"/>
  <c r="AH1940" i="1"/>
  <c r="AG1941" i="1"/>
  <c r="AH1941" i="1"/>
  <c r="AG1942" i="1"/>
  <c r="AH1942" i="1"/>
  <c r="AG1943" i="1"/>
  <c r="AH1943" i="1"/>
  <c r="AG1944" i="1"/>
  <c r="AH1944" i="1"/>
  <c r="AG1945" i="1"/>
  <c r="AH1945" i="1"/>
  <c r="AG1946" i="1"/>
  <c r="AH1946" i="1"/>
  <c r="AG1947" i="1"/>
  <c r="AH1947" i="1"/>
  <c r="AG1948" i="1"/>
  <c r="AH1948" i="1"/>
  <c r="AG1949" i="1"/>
  <c r="AH1949" i="1"/>
  <c r="AG1950" i="1"/>
  <c r="AH1950" i="1"/>
  <c r="AG1951" i="1"/>
  <c r="AH1951" i="1"/>
  <c r="AG1952" i="1"/>
  <c r="AH1952" i="1"/>
  <c r="AG1953" i="1"/>
  <c r="AH1953" i="1"/>
  <c r="AG1954" i="1"/>
  <c r="AH1954" i="1"/>
  <c r="AG1955" i="1"/>
  <c r="AH1955" i="1"/>
  <c r="AG1956" i="1"/>
  <c r="AH1956" i="1"/>
  <c r="AG1957" i="1"/>
  <c r="AH1957" i="1"/>
  <c r="AG1958" i="1"/>
  <c r="AH1958" i="1"/>
  <c r="AG1959" i="1"/>
  <c r="AH1959" i="1"/>
  <c r="AG1960" i="1"/>
  <c r="AH1960" i="1"/>
  <c r="AG1961" i="1"/>
  <c r="AH1961" i="1"/>
  <c r="AG1962" i="1"/>
  <c r="AH1962" i="1"/>
  <c r="AG1963" i="1"/>
  <c r="AH1963" i="1"/>
  <c r="AG1964" i="1"/>
  <c r="AH1964" i="1"/>
  <c r="AG1965" i="1"/>
  <c r="AH1965" i="1"/>
  <c r="AG1966" i="1"/>
  <c r="AH1966" i="1"/>
  <c r="AG1967" i="1"/>
  <c r="AH1967" i="1"/>
  <c r="AG1968" i="1"/>
  <c r="AH1968" i="1"/>
  <c r="AG1969" i="1"/>
  <c r="AH1969" i="1"/>
  <c r="AG1970" i="1"/>
  <c r="AH1970" i="1"/>
  <c r="AG1971" i="1"/>
  <c r="AH1971" i="1"/>
  <c r="AG1972" i="1"/>
  <c r="AH1972" i="1"/>
  <c r="AG1973" i="1"/>
  <c r="AH1973" i="1"/>
  <c r="AG1974" i="1"/>
  <c r="AH1974" i="1"/>
  <c r="AG1975" i="1"/>
  <c r="AH1975" i="1"/>
  <c r="AG1976" i="1"/>
  <c r="AH1976" i="1"/>
  <c r="AG1977" i="1"/>
  <c r="AH1977" i="1"/>
  <c r="AG1978" i="1"/>
  <c r="AH1978" i="1"/>
  <c r="AG1979" i="1"/>
  <c r="AH1979" i="1"/>
  <c r="AG1980" i="1"/>
  <c r="AH1980" i="1"/>
  <c r="AG1981" i="1"/>
  <c r="AH1981" i="1"/>
  <c r="AG1982" i="1"/>
  <c r="AH1982" i="1"/>
  <c r="AG1983" i="1"/>
  <c r="AH1983" i="1"/>
  <c r="AG1984" i="1"/>
  <c r="AH1984" i="1"/>
  <c r="AG1985" i="1"/>
  <c r="AH1985" i="1"/>
  <c r="AG1986" i="1"/>
  <c r="AH1986" i="1"/>
  <c r="AG1987" i="1"/>
  <c r="AH1987" i="1"/>
  <c r="AG1988" i="1"/>
  <c r="AH1988" i="1"/>
  <c r="AG1989" i="1"/>
  <c r="AH1989" i="1"/>
  <c r="AG1990" i="1"/>
  <c r="AH1990" i="1"/>
  <c r="AG1991" i="1"/>
  <c r="AH1991" i="1"/>
  <c r="AG1992" i="1"/>
  <c r="AH1992" i="1"/>
  <c r="AG1993" i="1"/>
  <c r="AH1993" i="1"/>
  <c r="AG1994" i="1"/>
  <c r="AH1994" i="1"/>
  <c r="AG1995" i="1"/>
  <c r="AH1995" i="1"/>
  <c r="AG1996" i="1"/>
  <c r="AH1996" i="1"/>
  <c r="AG1997" i="1"/>
  <c r="AH1997" i="1"/>
  <c r="AG1998" i="1"/>
  <c r="AH1998" i="1"/>
  <c r="AG1999" i="1"/>
  <c r="AH1999" i="1"/>
  <c r="AG2000" i="1"/>
  <c r="AH2000" i="1"/>
  <c r="AG2001" i="1"/>
  <c r="AH2001" i="1"/>
  <c r="AH1600" i="1" l="1"/>
  <c r="AG1600" i="1"/>
  <c r="W1600" i="1"/>
  <c r="V1600" i="1"/>
  <c r="X1600" i="1" s="1"/>
  <c r="AH1599" i="1"/>
  <c r="AG1599" i="1"/>
  <c r="W1599" i="1"/>
  <c r="V1599" i="1"/>
  <c r="X1599" i="1" s="1"/>
  <c r="AH1598" i="1"/>
  <c r="AG1598" i="1"/>
  <c r="W1598" i="1"/>
  <c r="V1598" i="1"/>
  <c r="X1598" i="1" s="1"/>
  <c r="AH1597" i="1"/>
  <c r="AG1597" i="1"/>
  <c r="W1597" i="1"/>
  <c r="V1597" i="1"/>
  <c r="X1597" i="1" s="1"/>
  <c r="AH1596" i="1"/>
  <c r="AG1596" i="1"/>
  <c r="W1596" i="1"/>
  <c r="V1596" i="1"/>
  <c r="X1596" i="1" s="1"/>
  <c r="AH1595" i="1"/>
  <c r="AG1595" i="1"/>
  <c r="W1595" i="1"/>
  <c r="V1595" i="1"/>
  <c r="X1595" i="1" s="1"/>
  <c r="AH1594" i="1"/>
  <c r="AG1594" i="1"/>
  <c r="W1594" i="1"/>
  <c r="V1594" i="1"/>
  <c r="X1594" i="1" s="1"/>
  <c r="AH1593" i="1"/>
  <c r="AG1593" i="1"/>
  <c r="W1593" i="1"/>
  <c r="V1593" i="1"/>
  <c r="X1593" i="1" s="1"/>
  <c r="AH1592" i="1"/>
  <c r="AG1592" i="1"/>
  <c r="W1592" i="1"/>
  <c r="V1592" i="1"/>
  <c r="X1592" i="1" s="1"/>
  <c r="AH1591" i="1"/>
  <c r="AG1591" i="1"/>
  <c r="W1591" i="1"/>
  <c r="V1591" i="1"/>
  <c r="X1591" i="1" s="1"/>
  <c r="AH1590" i="1"/>
  <c r="AG1590" i="1"/>
  <c r="W1590" i="1"/>
  <c r="V1590" i="1"/>
  <c r="X1590" i="1" s="1"/>
  <c r="AH1589" i="1"/>
  <c r="AG1589" i="1"/>
  <c r="W1589" i="1"/>
  <c r="V1589" i="1"/>
  <c r="X1589" i="1" s="1"/>
  <c r="AH1588" i="1"/>
  <c r="AG1588" i="1"/>
  <c r="W1588" i="1"/>
  <c r="V1588" i="1"/>
  <c r="X1588" i="1" s="1"/>
  <c r="AH1587" i="1"/>
  <c r="AG1587" i="1"/>
  <c r="W1587" i="1"/>
  <c r="V1587" i="1"/>
  <c r="X1587" i="1" s="1"/>
  <c r="AH1586" i="1"/>
  <c r="AG1586" i="1"/>
  <c r="W1586" i="1"/>
  <c r="V1586" i="1"/>
  <c r="X1586" i="1" s="1"/>
  <c r="AH1585" i="1"/>
  <c r="AG1585" i="1"/>
  <c r="W1585" i="1"/>
  <c r="V1585" i="1"/>
  <c r="X1585" i="1" s="1"/>
  <c r="AH1584" i="1"/>
  <c r="AG1584" i="1"/>
  <c r="W1584" i="1"/>
  <c r="V1584" i="1"/>
  <c r="X1584" i="1" s="1"/>
  <c r="AH1583" i="1"/>
  <c r="AG1583" i="1"/>
  <c r="W1583" i="1"/>
  <c r="V1583" i="1"/>
  <c r="X1583" i="1" s="1"/>
  <c r="AH1582" i="1"/>
  <c r="AG1582" i="1"/>
  <c r="W1582" i="1"/>
  <c r="V1582" i="1"/>
  <c r="X1582" i="1" s="1"/>
  <c r="AH1581" i="1"/>
  <c r="AG1581" i="1"/>
  <c r="W1581" i="1"/>
  <c r="V1581" i="1"/>
  <c r="X1581" i="1" s="1"/>
  <c r="AH1580" i="1"/>
  <c r="AG1580" i="1"/>
  <c r="W1580" i="1"/>
  <c r="V1580" i="1"/>
  <c r="X1580" i="1" s="1"/>
  <c r="AH1579" i="1"/>
  <c r="AG1579" i="1"/>
  <c r="W1579" i="1"/>
  <c r="V1579" i="1"/>
  <c r="X1579" i="1" s="1"/>
  <c r="AH1578" i="1"/>
  <c r="AG1578" i="1"/>
  <c r="W1578" i="1"/>
  <c r="V1578" i="1"/>
  <c r="X1578" i="1" s="1"/>
  <c r="AH1577" i="1"/>
  <c r="AG1577" i="1"/>
  <c r="W1577" i="1"/>
  <c r="V1577" i="1"/>
  <c r="X1577" i="1" s="1"/>
  <c r="AH1576" i="1"/>
  <c r="AG1576" i="1"/>
  <c r="W1576" i="1"/>
  <c r="V1576" i="1"/>
  <c r="X1576" i="1" s="1"/>
  <c r="AH1575" i="1"/>
  <c r="AG1575" i="1"/>
  <c r="W1575" i="1"/>
  <c r="V1575" i="1"/>
  <c r="X1575" i="1" s="1"/>
  <c r="AH1574" i="1"/>
  <c r="AG1574" i="1"/>
  <c r="W1574" i="1"/>
  <c r="V1574" i="1"/>
  <c r="X1574" i="1" s="1"/>
  <c r="AH1573" i="1"/>
  <c r="AG1573" i="1"/>
  <c r="W1573" i="1"/>
  <c r="V1573" i="1"/>
  <c r="X1573" i="1" s="1"/>
  <c r="AH1572" i="1"/>
  <c r="AG1572" i="1"/>
  <c r="W1572" i="1"/>
  <c r="V1572" i="1"/>
  <c r="X1572" i="1" s="1"/>
  <c r="AH1571" i="1"/>
  <c r="AG1571" i="1"/>
  <c r="W1571" i="1"/>
  <c r="V1571" i="1"/>
  <c r="X1571" i="1" s="1"/>
  <c r="AH1570" i="1"/>
  <c r="AG1570" i="1"/>
  <c r="W1570" i="1"/>
  <c r="V1570" i="1"/>
  <c r="X1570" i="1" s="1"/>
  <c r="AH1569" i="1"/>
  <c r="AG1569" i="1"/>
  <c r="W1569" i="1"/>
  <c r="V1569" i="1"/>
  <c r="X1569" i="1" s="1"/>
  <c r="AH1568" i="1"/>
  <c r="AG1568" i="1"/>
  <c r="W1568" i="1"/>
  <c r="V1568" i="1"/>
  <c r="X1568" i="1" s="1"/>
  <c r="AH1567" i="1"/>
  <c r="AG1567" i="1"/>
  <c r="W1567" i="1"/>
  <c r="V1567" i="1"/>
  <c r="X1567" i="1" s="1"/>
  <c r="AH1566" i="1"/>
  <c r="AG1566" i="1"/>
  <c r="W1566" i="1"/>
  <c r="V1566" i="1"/>
  <c r="X1566" i="1" s="1"/>
  <c r="AH1565" i="1"/>
  <c r="AG1565" i="1"/>
  <c r="W1565" i="1"/>
  <c r="V1565" i="1"/>
  <c r="X1565" i="1" s="1"/>
  <c r="AH1564" i="1"/>
  <c r="AG1564" i="1"/>
  <c r="W1564" i="1"/>
  <c r="V1564" i="1"/>
  <c r="X1564" i="1" s="1"/>
  <c r="AH1563" i="1"/>
  <c r="AG1563" i="1"/>
  <c r="W1563" i="1"/>
  <c r="V1563" i="1"/>
  <c r="X1563" i="1" s="1"/>
  <c r="AH1562" i="1"/>
  <c r="AG1562" i="1"/>
  <c r="W1562" i="1"/>
  <c r="V1562" i="1"/>
  <c r="X1562" i="1" s="1"/>
  <c r="AH1561" i="1"/>
  <c r="AG1561" i="1"/>
  <c r="W1561" i="1"/>
  <c r="V1561" i="1"/>
  <c r="X1561" i="1" s="1"/>
  <c r="AH1560" i="1"/>
  <c r="AG1560" i="1"/>
  <c r="W1560" i="1"/>
  <c r="V1560" i="1"/>
  <c r="X1560" i="1" s="1"/>
  <c r="AH1559" i="1"/>
  <c r="AG1559" i="1"/>
  <c r="W1559" i="1"/>
  <c r="V1559" i="1"/>
  <c r="X1559" i="1" s="1"/>
  <c r="AH1558" i="1"/>
  <c r="AG1558" i="1"/>
  <c r="W1558" i="1"/>
  <c r="V1558" i="1"/>
  <c r="X1558" i="1" s="1"/>
  <c r="AH1557" i="1"/>
  <c r="AG1557" i="1"/>
  <c r="W1557" i="1"/>
  <c r="V1557" i="1"/>
  <c r="X1557" i="1" s="1"/>
  <c r="AH1556" i="1"/>
  <c r="AG1556" i="1"/>
  <c r="W1556" i="1"/>
  <c r="V1556" i="1"/>
  <c r="X1556" i="1" s="1"/>
  <c r="AH1555" i="1"/>
  <c r="AG1555" i="1"/>
  <c r="W1555" i="1"/>
  <c r="V1555" i="1"/>
  <c r="X1555" i="1" s="1"/>
  <c r="AH1554" i="1"/>
  <c r="AG1554" i="1"/>
  <c r="W1554" i="1"/>
  <c r="V1554" i="1"/>
  <c r="X1554" i="1" s="1"/>
  <c r="AH1553" i="1"/>
  <c r="AG1553" i="1"/>
  <c r="W1553" i="1"/>
  <c r="V1553" i="1"/>
  <c r="X1553" i="1" s="1"/>
  <c r="AH1552" i="1"/>
  <c r="AG1552" i="1"/>
  <c r="W1552" i="1"/>
  <c r="V1552" i="1"/>
  <c r="X1552" i="1" s="1"/>
  <c r="AH1551" i="1"/>
  <c r="AG1551" i="1"/>
  <c r="W1551" i="1"/>
  <c r="V1551" i="1"/>
  <c r="X1551" i="1" s="1"/>
  <c r="AH1550" i="1"/>
  <c r="AG1550" i="1"/>
  <c r="W1550" i="1"/>
  <c r="V1550" i="1"/>
  <c r="X1550" i="1" s="1"/>
  <c r="AH1549" i="1"/>
  <c r="AG1549" i="1"/>
  <c r="W1549" i="1"/>
  <c r="V1549" i="1"/>
  <c r="X1549" i="1" s="1"/>
  <c r="AH1548" i="1"/>
  <c r="AG1548" i="1"/>
  <c r="W1548" i="1"/>
  <c r="V1548" i="1"/>
  <c r="X1548" i="1" s="1"/>
  <c r="AH1547" i="1"/>
  <c r="AG1547" i="1"/>
  <c r="W1547" i="1"/>
  <c r="V1547" i="1"/>
  <c r="X1547" i="1" s="1"/>
  <c r="AH1546" i="1"/>
  <c r="AG1546" i="1"/>
  <c r="W1546" i="1"/>
  <c r="V1546" i="1"/>
  <c r="X1546" i="1" s="1"/>
  <c r="AH1545" i="1"/>
  <c r="AG1545" i="1"/>
  <c r="W1545" i="1"/>
  <c r="V1545" i="1"/>
  <c r="X1545" i="1" s="1"/>
  <c r="AH1544" i="1"/>
  <c r="AG1544" i="1"/>
  <c r="W1544" i="1"/>
  <c r="V1544" i="1"/>
  <c r="X1544" i="1" s="1"/>
  <c r="AH1543" i="1"/>
  <c r="AG1543" i="1"/>
  <c r="W1543" i="1"/>
  <c r="V1543" i="1"/>
  <c r="X1543" i="1" s="1"/>
  <c r="AH1542" i="1"/>
  <c r="AG1542" i="1"/>
  <c r="W1542" i="1"/>
  <c r="V1542" i="1"/>
  <c r="X1542" i="1" s="1"/>
  <c r="AH1541" i="1"/>
  <c r="AG1541" i="1"/>
  <c r="W1541" i="1"/>
  <c r="V1541" i="1"/>
  <c r="X1541" i="1" s="1"/>
  <c r="AH1540" i="1"/>
  <c r="AG1540" i="1"/>
  <c r="W1540" i="1"/>
  <c r="V1540" i="1"/>
  <c r="X1540" i="1" s="1"/>
  <c r="AH1539" i="1"/>
  <c r="AG1539" i="1"/>
  <c r="W1539" i="1"/>
  <c r="V1539" i="1"/>
  <c r="X1539" i="1" s="1"/>
  <c r="AH1538" i="1"/>
  <c r="AG1538" i="1"/>
  <c r="W1538" i="1"/>
  <c r="V1538" i="1"/>
  <c r="X1538" i="1" s="1"/>
  <c r="AH1537" i="1"/>
  <c r="AG1537" i="1"/>
  <c r="W1537" i="1"/>
  <c r="V1537" i="1"/>
  <c r="X1537" i="1" s="1"/>
  <c r="AH1536" i="1"/>
  <c r="AG1536" i="1"/>
  <c r="W1536" i="1"/>
  <c r="V1536" i="1"/>
  <c r="X1536" i="1" s="1"/>
  <c r="AH1535" i="1"/>
  <c r="AG1535" i="1"/>
  <c r="W1535" i="1"/>
  <c r="V1535" i="1"/>
  <c r="X1535" i="1" s="1"/>
  <c r="AH1534" i="1"/>
  <c r="AG1534" i="1"/>
  <c r="W1534" i="1"/>
  <c r="V1534" i="1"/>
  <c r="X1534" i="1" s="1"/>
  <c r="AH1533" i="1"/>
  <c r="AG1533" i="1"/>
  <c r="W1533" i="1"/>
  <c r="V1533" i="1"/>
  <c r="X1533" i="1" s="1"/>
  <c r="AH1532" i="1"/>
  <c r="AG1532" i="1"/>
  <c r="W1532" i="1"/>
  <c r="V1532" i="1"/>
  <c r="X1532" i="1" s="1"/>
  <c r="AH1531" i="1"/>
  <c r="AG1531" i="1"/>
  <c r="W1531" i="1"/>
  <c r="V1531" i="1"/>
  <c r="X1531" i="1" s="1"/>
  <c r="AH1530" i="1"/>
  <c r="AG1530" i="1"/>
  <c r="W1530" i="1"/>
  <c r="V1530" i="1"/>
  <c r="X1530" i="1" s="1"/>
  <c r="AH1529" i="1"/>
  <c r="AG1529" i="1"/>
  <c r="W1529" i="1"/>
  <c r="V1529" i="1"/>
  <c r="X1529" i="1" s="1"/>
  <c r="AH1528" i="1"/>
  <c r="AG1528" i="1"/>
  <c r="W1528" i="1"/>
  <c r="V1528" i="1"/>
  <c r="X1528" i="1" s="1"/>
  <c r="AH1527" i="1"/>
  <c r="AG1527" i="1"/>
  <c r="W1527" i="1"/>
  <c r="V1527" i="1"/>
  <c r="X1527" i="1" s="1"/>
  <c r="AH1526" i="1"/>
  <c r="AG1526" i="1"/>
  <c r="W1526" i="1"/>
  <c r="V1526" i="1"/>
  <c r="X1526" i="1" s="1"/>
  <c r="AH1525" i="1"/>
  <c r="AG1525" i="1"/>
  <c r="W1525" i="1"/>
  <c r="V1525" i="1"/>
  <c r="X1525" i="1" s="1"/>
  <c r="AH1524" i="1"/>
  <c r="AG1524" i="1"/>
  <c r="W1524" i="1"/>
  <c r="V1524" i="1"/>
  <c r="X1524" i="1" s="1"/>
  <c r="AH1523" i="1"/>
  <c r="AG1523" i="1"/>
  <c r="W1523" i="1"/>
  <c r="V1523" i="1"/>
  <c r="X1523" i="1" s="1"/>
  <c r="AH1522" i="1"/>
  <c r="AG1522" i="1"/>
  <c r="W1522" i="1"/>
  <c r="V1522" i="1"/>
  <c r="X1522" i="1" s="1"/>
  <c r="AH1521" i="1"/>
  <c r="AG1521" i="1"/>
  <c r="W1521" i="1"/>
  <c r="V1521" i="1"/>
  <c r="X1521" i="1" s="1"/>
  <c r="AH1520" i="1"/>
  <c r="AG1520" i="1"/>
  <c r="W1520" i="1"/>
  <c r="V1520" i="1"/>
  <c r="X1520" i="1" s="1"/>
  <c r="AH1519" i="1"/>
  <c r="AG1519" i="1"/>
  <c r="W1519" i="1"/>
  <c r="V1519" i="1"/>
  <c r="X1519" i="1" s="1"/>
  <c r="AH1518" i="1"/>
  <c r="AG1518" i="1"/>
  <c r="W1518" i="1"/>
  <c r="V1518" i="1"/>
  <c r="X1518" i="1" s="1"/>
  <c r="AH1517" i="1"/>
  <c r="AG1517" i="1"/>
  <c r="W1517" i="1"/>
  <c r="V1517" i="1"/>
  <c r="X1517" i="1" s="1"/>
  <c r="AH1516" i="1"/>
  <c r="AG1516" i="1"/>
  <c r="W1516" i="1"/>
  <c r="V1516" i="1"/>
  <c r="X1516" i="1" s="1"/>
  <c r="AH1515" i="1"/>
  <c r="AG1515" i="1"/>
  <c r="W1515" i="1"/>
  <c r="V1515" i="1"/>
  <c r="X1515" i="1" s="1"/>
  <c r="AH1514" i="1"/>
  <c r="AG1514" i="1"/>
  <c r="W1514" i="1"/>
  <c r="V1514" i="1"/>
  <c r="X1514" i="1" s="1"/>
  <c r="AH1513" i="1"/>
  <c r="AG1513" i="1"/>
  <c r="W1513" i="1"/>
  <c r="V1513" i="1"/>
  <c r="X1513" i="1" s="1"/>
  <c r="AH1512" i="1"/>
  <c r="AG1512" i="1"/>
  <c r="W1512" i="1"/>
  <c r="V1512" i="1"/>
  <c r="X1512" i="1" s="1"/>
  <c r="AH1511" i="1"/>
  <c r="AG1511" i="1"/>
  <c r="W1511" i="1"/>
  <c r="V1511" i="1"/>
  <c r="X1511" i="1" s="1"/>
  <c r="AH1510" i="1"/>
  <c r="AG1510" i="1"/>
  <c r="W1510" i="1"/>
  <c r="V1510" i="1"/>
  <c r="X1510" i="1" s="1"/>
  <c r="AH1509" i="1"/>
  <c r="AG1509" i="1"/>
  <c r="W1509" i="1"/>
  <c r="V1509" i="1"/>
  <c r="X1509" i="1" s="1"/>
  <c r="AH1508" i="1"/>
  <c r="AG1508" i="1"/>
  <c r="W1508" i="1"/>
  <c r="V1508" i="1"/>
  <c r="X1508" i="1" s="1"/>
  <c r="AH1507" i="1"/>
  <c r="AG1507" i="1"/>
  <c r="W1507" i="1"/>
  <c r="V1507" i="1"/>
  <c r="X1507" i="1" s="1"/>
  <c r="AH1506" i="1"/>
  <c r="AG1506" i="1"/>
  <c r="W1506" i="1"/>
  <c r="V1506" i="1"/>
  <c r="X1506" i="1" s="1"/>
  <c r="AH1505" i="1"/>
  <c r="AG1505" i="1"/>
  <c r="W1505" i="1"/>
  <c r="V1505" i="1"/>
  <c r="X1505" i="1" s="1"/>
  <c r="AH1504" i="1"/>
  <c r="AG1504" i="1"/>
  <c r="W1504" i="1"/>
  <c r="V1504" i="1"/>
  <c r="X1504" i="1" s="1"/>
  <c r="AH1503" i="1"/>
  <c r="AG1503" i="1"/>
  <c r="W1503" i="1"/>
  <c r="V1503" i="1"/>
  <c r="X1503" i="1" s="1"/>
  <c r="AH1502" i="1"/>
  <c r="AG1502" i="1"/>
  <c r="W1502" i="1"/>
  <c r="V1502" i="1"/>
  <c r="X1502" i="1" s="1"/>
  <c r="AG1501" i="1"/>
  <c r="AH150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V1118" i="1" l="1"/>
  <c r="W1118" i="1"/>
  <c r="X1118" i="1"/>
  <c r="V1119" i="1"/>
  <c r="W1119" i="1"/>
  <c r="X1119" i="1"/>
  <c r="V1120" i="1"/>
  <c r="W1120" i="1"/>
  <c r="X1120" i="1"/>
  <c r="V1121" i="1"/>
  <c r="W1121" i="1"/>
  <c r="X1121" i="1"/>
  <c r="V1122" i="1"/>
  <c r="W1122" i="1"/>
  <c r="X1122" i="1"/>
  <c r="V1123" i="1"/>
  <c r="W1123" i="1"/>
  <c r="X1123" i="1"/>
  <c r="V1124" i="1"/>
  <c r="W1124" i="1"/>
  <c r="X1124" i="1"/>
  <c r="V1125" i="1"/>
  <c r="W1125" i="1"/>
  <c r="X1125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8" i="2" l="1"/>
  <c r="B8" i="2"/>
  <c r="C8" i="2"/>
  <c r="D8" i="2"/>
  <c r="E8" i="2"/>
  <c r="F8" i="2"/>
  <c r="G8" i="2"/>
  <c r="H8" i="2"/>
  <c r="I8" i="2"/>
  <c r="J8" i="2"/>
  <c r="K8" i="2"/>
  <c r="A9" i="2"/>
  <c r="B9" i="2"/>
  <c r="C9" i="2"/>
  <c r="D9" i="2"/>
  <c r="E9" i="2"/>
  <c r="F9" i="2"/>
  <c r="G9" i="2"/>
  <c r="H9" i="2"/>
  <c r="I9" i="2"/>
  <c r="J9" i="2"/>
  <c r="K9" i="2"/>
  <c r="A10" i="2"/>
  <c r="B10" i="2"/>
  <c r="C10" i="2"/>
  <c r="D10" i="2"/>
  <c r="E10" i="2"/>
  <c r="F10" i="2"/>
  <c r="G10" i="2"/>
  <c r="H10" i="2"/>
  <c r="I10" i="2"/>
  <c r="J10" i="2"/>
  <c r="K10" i="2"/>
  <c r="A11" i="2"/>
  <c r="B11" i="2"/>
  <c r="C11" i="2"/>
  <c r="D11" i="2"/>
  <c r="E11" i="2"/>
  <c r="F11" i="2"/>
  <c r="G11" i="2"/>
  <c r="H11" i="2"/>
  <c r="I11" i="2"/>
  <c r="J11" i="2"/>
  <c r="K11" i="2"/>
  <c r="AG480" i="1" l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3" i="1"/>
  <c r="AH553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301" i="1" l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179" i="1" l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G13" i="2" l="1"/>
  <c r="AS2" i="10"/>
  <c r="AR2" i="10"/>
  <c r="AG12" i="1" l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3" i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H2" i="1"/>
  <c r="AG2" i="1"/>
  <c r="V1501" i="1" l="1"/>
  <c r="X1501" i="1" s="1"/>
  <c r="W1501" i="1"/>
  <c r="V1401" i="1"/>
  <c r="X1401" i="1" s="1"/>
  <c r="W1401" i="1"/>
  <c r="V1402" i="1"/>
  <c r="X1402" i="1" s="1"/>
  <c r="W1402" i="1"/>
  <c r="V1403" i="1"/>
  <c r="X1403" i="1" s="1"/>
  <c r="W1403" i="1"/>
  <c r="V1404" i="1"/>
  <c r="X1404" i="1" s="1"/>
  <c r="W1404" i="1"/>
  <c r="V1405" i="1"/>
  <c r="X1405" i="1" s="1"/>
  <c r="W1405" i="1"/>
  <c r="V1406" i="1"/>
  <c r="X1406" i="1" s="1"/>
  <c r="W1406" i="1"/>
  <c r="V1407" i="1"/>
  <c r="W1407" i="1"/>
  <c r="X1407" i="1"/>
  <c r="V1408" i="1"/>
  <c r="X1408" i="1" s="1"/>
  <c r="W1408" i="1"/>
  <c r="V1409" i="1"/>
  <c r="X1409" i="1" s="1"/>
  <c r="W1409" i="1"/>
  <c r="V1410" i="1"/>
  <c r="W1410" i="1"/>
  <c r="X1410" i="1"/>
  <c r="V1411" i="1"/>
  <c r="X1411" i="1" s="1"/>
  <c r="W1411" i="1"/>
  <c r="V1412" i="1"/>
  <c r="X1412" i="1" s="1"/>
  <c r="W1412" i="1"/>
  <c r="V1413" i="1"/>
  <c r="X1413" i="1" s="1"/>
  <c r="W1413" i="1"/>
  <c r="V1414" i="1"/>
  <c r="X1414" i="1" s="1"/>
  <c r="W1414" i="1"/>
  <c r="V1415" i="1"/>
  <c r="X1415" i="1" s="1"/>
  <c r="W1415" i="1"/>
  <c r="V1416" i="1"/>
  <c r="X1416" i="1" s="1"/>
  <c r="W1416" i="1"/>
  <c r="V1417" i="1"/>
  <c r="X1417" i="1" s="1"/>
  <c r="W1417" i="1"/>
  <c r="V1418" i="1"/>
  <c r="X1418" i="1" s="1"/>
  <c r="W1418" i="1"/>
  <c r="V1419" i="1"/>
  <c r="W1419" i="1"/>
  <c r="X1419" i="1"/>
  <c r="V1420" i="1"/>
  <c r="X1420" i="1" s="1"/>
  <c r="W1420" i="1"/>
  <c r="V1421" i="1"/>
  <c r="X1421" i="1" s="1"/>
  <c r="W1421" i="1"/>
  <c r="V1422" i="1"/>
  <c r="W1422" i="1"/>
  <c r="X1422" i="1"/>
  <c r="V1423" i="1"/>
  <c r="X1423" i="1" s="1"/>
  <c r="W1423" i="1"/>
  <c r="V1424" i="1"/>
  <c r="X1424" i="1" s="1"/>
  <c r="W1424" i="1"/>
  <c r="V1425" i="1"/>
  <c r="X1425" i="1" s="1"/>
  <c r="W1425" i="1"/>
  <c r="V1426" i="1"/>
  <c r="X1426" i="1" s="1"/>
  <c r="W1426" i="1"/>
  <c r="V1427" i="1"/>
  <c r="X1427" i="1" s="1"/>
  <c r="W1427" i="1"/>
  <c r="V1428" i="1"/>
  <c r="X1428" i="1" s="1"/>
  <c r="W1428" i="1"/>
  <c r="V1429" i="1"/>
  <c r="X1429" i="1" s="1"/>
  <c r="W1429" i="1"/>
  <c r="V1430" i="1"/>
  <c r="X1430" i="1" s="1"/>
  <c r="W1430" i="1"/>
  <c r="V1431" i="1"/>
  <c r="X1431" i="1" s="1"/>
  <c r="W1431" i="1"/>
  <c r="V1432" i="1"/>
  <c r="W1432" i="1"/>
  <c r="X1432" i="1"/>
  <c r="V1433" i="1"/>
  <c r="X1433" i="1" s="1"/>
  <c r="W1433" i="1"/>
  <c r="V1434" i="1"/>
  <c r="X1434" i="1" s="1"/>
  <c r="W1434" i="1"/>
  <c r="V1435" i="1"/>
  <c r="W1435" i="1"/>
  <c r="X1435" i="1"/>
  <c r="V1436" i="1"/>
  <c r="X1436" i="1" s="1"/>
  <c r="W1436" i="1"/>
  <c r="V1437" i="1"/>
  <c r="W1437" i="1"/>
  <c r="X1437" i="1"/>
  <c r="V1438" i="1"/>
  <c r="X1438" i="1" s="1"/>
  <c r="W1438" i="1"/>
  <c r="V1439" i="1"/>
  <c r="X1439" i="1" s="1"/>
  <c r="W1439" i="1"/>
  <c r="V1440" i="1"/>
  <c r="W1440" i="1"/>
  <c r="X1440" i="1"/>
  <c r="V1441" i="1"/>
  <c r="X1441" i="1" s="1"/>
  <c r="W1441" i="1"/>
  <c r="V1442" i="1"/>
  <c r="X1442" i="1" s="1"/>
  <c r="W1442" i="1"/>
  <c r="V1443" i="1"/>
  <c r="X1443" i="1" s="1"/>
  <c r="W1443" i="1"/>
  <c r="V1444" i="1"/>
  <c r="X1444" i="1" s="1"/>
  <c r="W1444" i="1"/>
  <c r="V1445" i="1"/>
  <c r="X1445" i="1" s="1"/>
  <c r="W1445" i="1"/>
  <c r="V1446" i="1"/>
  <c r="X1446" i="1" s="1"/>
  <c r="W1446" i="1"/>
  <c r="V1447" i="1"/>
  <c r="X1447" i="1" s="1"/>
  <c r="W1447" i="1"/>
  <c r="V1448" i="1"/>
  <c r="W1448" i="1"/>
  <c r="X1448" i="1"/>
  <c r="V1449" i="1"/>
  <c r="W1449" i="1"/>
  <c r="X1449" i="1"/>
  <c r="V1450" i="1"/>
  <c r="X1450" i="1" s="1"/>
  <c r="W1450" i="1"/>
  <c r="V1451" i="1"/>
  <c r="X1451" i="1" s="1"/>
  <c r="W1451" i="1"/>
  <c r="V1452" i="1"/>
  <c r="X1452" i="1" s="1"/>
  <c r="W1452" i="1"/>
  <c r="V1453" i="1"/>
  <c r="X1453" i="1" s="1"/>
  <c r="W1453" i="1"/>
  <c r="V1454" i="1"/>
  <c r="X1454" i="1" s="1"/>
  <c r="W1454" i="1"/>
  <c r="V1455" i="1"/>
  <c r="X1455" i="1" s="1"/>
  <c r="W1455" i="1"/>
  <c r="V1456" i="1"/>
  <c r="W1456" i="1"/>
  <c r="X1456" i="1"/>
  <c r="V1457" i="1"/>
  <c r="X1457" i="1" s="1"/>
  <c r="W1457" i="1"/>
  <c r="V1458" i="1"/>
  <c r="X1458" i="1" s="1"/>
  <c r="W1458" i="1"/>
  <c r="V1459" i="1"/>
  <c r="W1459" i="1"/>
  <c r="X1459" i="1"/>
  <c r="V1460" i="1"/>
  <c r="X1460" i="1" s="1"/>
  <c r="W1460" i="1"/>
  <c r="V1461" i="1"/>
  <c r="X1461" i="1" s="1"/>
  <c r="W1461" i="1"/>
  <c r="V1462" i="1"/>
  <c r="W1462" i="1"/>
  <c r="X1462" i="1"/>
  <c r="V1463" i="1"/>
  <c r="X1463" i="1" s="1"/>
  <c r="W1463" i="1"/>
  <c r="V1464" i="1"/>
  <c r="X1464" i="1" s="1"/>
  <c r="W1464" i="1"/>
  <c r="V1465" i="1"/>
  <c r="X1465" i="1" s="1"/>
  <c r="W1465" i="1"/>
  <c r="V1466" i="1"/>
  <c r="X1466" i="1" s="1"/>
  <c r="W1466" i="1"/>
  <c r="V1467" i="1"/>
  <c r="X1467" i="1" s="1"/>
  <c r="W1467" i="1"/>
  <c r="V1468" i="1"/>
  <c r="X1468" i="1" s="1"/>
  <c r="W1468" i="1"/>
  <c r="V1469" i="1"/>
  <c r="X1469" i="1" s="1"/>
  <c r="W1469" i="1"/>
  <c r="V1470" i="1"/>
  <c r="X1470" i="1" s="1"/>
  <c r="W1470" i="1"/>
  <c r="V1471" i="1"/>
  <c r="W1471" i="1"/>
  <c r="X1471" i="1"/>
  <c r="V1472" i="1"/>
  <c r="X1472" i="1" s="1"/>
  <c r="W1472" i="1"/>
  <c r="V1473" i="1"/>
  <c r="X1473" i="1" s="1"/>
  <c r="W1473" i="1"/>
  <c r="V1474" i="1"/>
  <c r="W1474" i="1"/>
  <c r="X1474" i="1"/>
  <c r="V1475" i="1"/>
  <c r="X1475" i="1" s="1"/>
  <c r="W1475" i="1"/>
  <c r="V1476" i="1"/>
  <c r="X1476" i="1" s="1"/>
  <c r="W1476" i="1"/>
  <c r="V1477" i="1"/>
  <c r="X1477" i="1" s="1"/>
  <c r="W1477" i="1"/>
  <c r="V1478" i="1"/>
  <c r="X1478" i="1" s="1"/>
  <c r="W1478" i="1"/>
  <c r="V1479" i="1"/>
  <c r="W1479" i="1"/>
  <c r="X1479" i="1"/>
  <c r="V1480" i="1"/>
  <c r="X1480" i="1" s="1"/>
  <c r="W1480" i="1"/>
  <c r="V1481" i="1"/>
  <c r="X1481" i="1" s="1"/>
  <c r="W1481" i="1"/>
  <c r="V1482" i="1"/>
  <c r="W1482" i="1"/>
  <c r="X1482" i="1"/>
  <c r="V1483" i="1"/>
  <c r="X1483" i="1" s="1"/>
  <c r="W1483" i="1"/>
  <c r="V1484" i="1"/>
  <c r="X1484" i="1" s="1"/>
  <c r="W1484" i="1"/>
  <c r="V1485" i="1"/>
  <c r="X1485" i="1" s="1"/>
  <c r="W1485" i="1"/>
  <c r="V1486" i="1"/>
  <c r="X1486" i="1" s="1"/>
  <c r="W1486" i="1"/>
  <c r="V1487" i="1"/>
  <c r="X1487" i="1" s="1"/>
  <c r="W1487" i="1"/>
  <c r="V1488" i="1"/>
  <c r="X1488" i="1" s="1"/>
  <c r="W1488" i="1"/>
  <c r="V1489" i="1"/>
  <c r="W1489" i="1"/>
  <c r="X1489" i="1"/>
  <c r="V1490" i="1"/>
  <c r="X1490" i="1" s="1"/>
  <c r="W1490" i="1"/>
  <c r="V1491" i="1"/>
  <c r="X1491" i="1" s="1"/>
  <c r="W1491" i="1"/>
  <c r="V1492" i="1"/>
  <c r="W1492" i="1"/>
  <c r="X1492" i="1"/>
  <c r="V1493" i="1"/>
  <c r="X1493" i="1" s="1"/>
  <c r="W1493" i="1"/>
  <c r="V1494" i="1"/>
  <c r="X1494" i="1" s="1"/>
  <c r="W1494" i="1"/>
  <c r="V1495" i="1"/>
  <c r="X1495" i="1" s="1"/>
  <c r="W1495" i="1"/>
  <c r="V1496" i="1"/>
  <c r="X1496" i="1" s="1"/>
  <c r="W1496" i="1"/>
  <c r="V1497" i="1"/>
  <c r="X1497" i="1" s="1"/>
  <c r="W1497" i="1"/>
  <c r="V1498" i="1"/>
  <c r="X1498" i="1" s="1"/>
  <c r="W1498" i="1"/>
  <c r="V1499" i="1"/>
  <c r="X1499" i="1" s="1"/>
  <c r="W1499" i="1"/>
  <c r="V1500" i="1"/>
  <c r="X1500" i="1" s="1"/>
  <c r="W1500" i="1"/>
  <c r="V1101" i="1" l="1"/>
  <c r="X1101" i="1" s="1"/>
  <c r="W1101" i="1"/>
  <c r="V1102" i="1"/>
  <c r="X1102" i="1" s="1"/>
  <c r="W1102" i="1"/>
  <c r="V1103" i="1"/>
  <c r="X1103" i="1" s="1"/>
  <c r="W1103" i="1"/>
  <c r="V1104" i="1"/>
  <c r="X1104" i="1" s="1"/>
  <c r="W1104" i="1"/>
  <c r="V1105" i="1"/>
  <c r="X1105" i="1" s="1"/>
  <c r="W1105" i="1"/>
  <c r="V1106" i="1"/>
  <c r="X1106" i="1" s="1"/>
  <c r="W1106" i="1"/>
  <c r="V1107" i="1"/>
  <c r="X1107" i="1" s="1"/>
  <c r="W1107" i="1"/>
  <c r="V1108" i="1"/>
  <c r="X1108" i="1" s="1"/>
  <c r="W1108" i="1"/>
  <c r="V1109" i="1"/>
  <c r="X1109" i="1" s="1"/>
  <c r="W1109" i="1"/>
  <c r="V1110" i="1"/>
  <c r="X1110" i="1" s="1"/>
  <c r="W1110" i="1"/>
  <c r="V1111" i="1"/>
  <c r="X1111" i="1" s="1"/>
  <c r="W1111" i="1"/>
  <c r="V1112" i="1"/>
  <c r="X1112" i="1" s="1"/>
  <c r="W1112" i="1"/>
  <c r="V1113" i="1"/>
  <c r="X1113" i="1" s="1"/>
  <c r="W1113" i="1"/>
  <c r="V1114" i="1"/>
  <c r="X1114" i="1" s="1"/>
  <c r="W1114" i="1"/>
  <c r="V1115" i="1"/>
  <c r="X1115" i="1" s="1"/>
  <c r="W1115" i="1"/>
  <c r="V1116" i="1"/>
  <c r="X1116" i="1" s="1"/>
  <c r="W1116" i="1"/>
  <c r="V1117" i="1"/>
  <c r="X1117" i="1" s="1"/>
  <c r="W1117" i="1"/>
  <c r="V1126" i="1"/>
  <c r="X1126" i="1" s="1"/>
  <c r="W1126" i="1"/>
  <c r="V1127" i="1"/>
  <c r="X1127" i="1" s="1"/>
  <c r="W1127" i="1"/>
  <c r="V1128" i="1"/>
  <c r="X1128" i="1" s="1"/>
  <c r="W1128" i="1"/>
  <c r="V1129" i="1"/>
  <c r="X1129" i="1" s="1"/>
  <c r="W1129" i="1"/>
  <c r="V1130" i="1"/>
  <c r="X1130" i="1" s="1"/>
  <c r="W1130" i="1"/>
  <c r="V1131" i="1"/>
  <c r="X1131" i="1" s="1"/>
  <c r="W1131" i="1"/>
  <c r="V1132" i="1"/>
  <c r="X1132" i="1" s="1"/>
  <c r="W1132" i="1"/>
  <c r="V1133" i="1"/>
  <c r="X1133" i="1" s="1"/>
  <c r="W1133" i="1"/>
  <c r="V1134" i="1"/>
  <c r="X1134" i="1" s="1"/>
  <c r="W1134" i="1"/>
  <c r="V1135" i="1"/>
  <c r="X1135" i="1" s="1"/>
  <c r="W1135" i="1"/>
  <c r="V1136" i="1"/>
  <c r="X1136" i="1" s="1"/>
  <c r="W1136" i="1"/>
  <c r="V1137" i="1"/>
  <c r="X1137" i="1" s="1"/>
  <c r="W1137" i="1"/>
  <c r="V1138" i="1"/>
  <c r="X1138" i="1" s="1"/>
  <c r="W1138" i="1"/>
  <c r="V1139" i="1"/>
  <c r="X1139" i="1" s="1"/>
  <c r="W1139" i="1"/>
  <c r="V1140" i="1"/>
  <c r="X1140" i="1" s="1"/>
  <c r="W1140" i="1"/>
  <c r="V1141" i="1"/>
  <c r="X1141" i="1" s="1"/>
  <c r="W1141" i="1"/>
  <c r="V1142" i="1"/>
  <c r="X1142" i="1" s="1"/>
  <c r="W1142" i="1"/>
  <c r="V1143" i="1"/>
  <c r="X1143" i="1" s="1"/>
  <c r="W1143" i="1"/>
  <c r="V1144" i="1"/>
  <c r="X1144" i="1" s="1"/>
  <c r="W1144" i="1"/>
  <c r="V1145" i="1"/>
  <c r="X1145" i="1" s="1"/>
  <c r="W1145" i="1"/>
  <c r="V1146" i="1"/>
  <c r="X1146" i="1" s="1"/>
  <c r="W1146" i="1"/>
  <c r="V1147" i="1"/>
  <c r="X1147" i="1" s="1"/>
  <c r="W1147" i="1"/>
  <c r="V1148" i="1"/>
  <c r="X1148" i="1" s="1"/>
  <c r="W1148" i="1"/>
  <c r="V1149" i="1"/>
  <c r="X1149" i="1" s="1"/>
  <c r="W1149" i="1"/>
  <c r="V1150" i="1"/>
  <c r="X1150" i="1" s="1"/>
  <c r="W1150" i="1"/>
  <c r="V1151" i="1"/>
  <c r="X1151" i="1" s="1"/>
  <c r="W1151" i="1"/>
  <c r="V1152" i="1"/>
  <c r="X1152" i="1" s="1"/>
  <c r="W1152" i="1"/>
  <c r="V1153" i="1"/>
  <c r="X1153" i="1" s="1"/>
  <c r="W1153" i="1"/>
  <c r="V1154" i="1"/>
  <c r="X1154" i="1" s="1"/>
  <c r="W1154" i="1"/>
  <c r="V1155" i="1"/>
  <c r="X1155" i="1" s="1"/>
  <c r="W1155" i="1"/>
  <c r="V1156" i="1"/>
  <c r="X1156" i="1" s="1"/>
  <c r="W1156" i="1"/>
  <c r="V1157" i="1"/>
  <c r="X1157" i="1" s="1"/>
  <c r="W1157" i="1"/>
  <c r="V1158" i="1"/>
  <c r="X1158" i="1" s="1"/>
  <c r="W1158" i="1"/>
  <c r="V1159" i="1"/>
  <c r="X1159" i="1" s="1"/>
  <c r="W1159" i="1"/>
  <c r="V1160" i="1"/>
  <c r="X1160" i="1" s="1"/>
  <c r="W1160" i="1"/>
  <c r="V1161" i="1"/>
  <c r="X1161" i="1" s="1"/>
  <c r="W1161" i="1"/>
  <c r="V1162" i="1"/>
  <c r="X1162" i="1" s="1"/>
  <c r="W1162" i="1"/>
  <c r="V1163" i="1"/>
  <c r="X1163" i="1" s="1"/>
  <c r="W1163" i="1"/>
  <c r="V1164" i="1"/>
  <c r="X1164" i="1" s="1"/>
  <c r="W1164" i="1"/>
  <c r="V1165" i="1"/>
  <c r="X1165" i="1" s="1"/>
  <c r="W1165" i="1"/>
  <c r="V1166" i="1"/>
  <c r="X1166" i="1" s="1"/>
  <c r="W1166" i="1"/>
  <c r="V1167" i="1"/>
  <c r="X1167" i="1" s="1"/>
  <c r="W1167" i="1"/>
  <c r="V1168" i="1"/>
  <c r="X1168" i="1" s="1"/>
  <c r="W1168" i="1"/>
  <c r="V1169" i="1"/>
  <c r="X1169" i="1" s="1"/>
  <c r="W1169" i="1"/>
  <c r="V1170" i="1"/>
  <c r="X1170" i="1" s="1"/>
  <c r="W1170" i="1"/>
  <c r="V1171" i="1"/>
  <c r="X1171" i="1" s="1"/>
  <c r="W1171" i="1"/>
  <c r="V1172" i="1"/>
  <c r="X1172" i="1" s="1"/>
  <c r="W1172" i="1"/>
  <c r="V1173" i="1"/>
  <c r="X1173" i="1" s="1"/>
  <c r="W1173" i="1"/>
  <c r="V1174" i="1"/>
  <c r="X1174" i="1" s="1"/>
  <c r="W1174" i="1"/>
  <c r="V1175" i="1"/>
  <c r="X1175" i="1" s="1"/>
  <c r="W1175" i="1"/>
  <c r="V1176" i="1"/>
  <c r="X1176" i="1" s="1"/>
  <c r="W1176" i="1"/>
  <c r="V1177" i="1"/>
  <c r="X1177" i="1" s="1"/>
  <c r="W1177" i="1"/>
  <c r="V1178" i="1"/>
  <c r="X1178" i="1" s="1"/>
  <c r="W1178" i="1"/>
  <c r="V1179" i="1"/>
  <c r="X1179" i="1" s="1"/>
  <c r="W1179" i="1"/>
  <c r="V1180" i="1"/>
  <c r="X1180" i="1" s="1"/>
  <c r="W1180" i="1"/>
  <c r="V1181" i="1"/>
  <c r="X1181" i="1" s="1"/>
  <c r="W1181" i="1"/>
  <c r="V1182" i="1"/>
  <c r="X1182" i="1" s="1"/>
  <c r="W1182" i="1"/>
  <c r="V1183" i="1"/>
  <c r="X1183" i="1" s="1"/>
  <c r="W1183" i="1"/>
  <c r="V1184" i="1"/>
  <c r="X1184" i="1" s="1"/>
  <c r="W1184" i="1"/>
  <c r="V1185" i="1"/>
  <c r="X1185" i="1" s="1"/>
  <c r="W1185" i="1"/>
  <c r="V1186" i="1"/>
  <c r="X1186" i="1" s="1"/>
  <c r="W1186" i="1"/>
  <c r="V1187" i="1"/>
  <c r="X1187" i="1" s="1"/>
  <c r="W1187" i="1"/>
  <c r="V1188" i="1"/>
  <c r="X1188" i="1" s="1"/>
  <c r="W1188" i="1"/>
  <c r="V1189" i="1"/>
  <c r="X1189" i="1" s="1"/>
  <c r="W1189" i="1"/>
  <c r="V1190" i="1"/>
  <c r="X1190" i="1" s="1"/>
  <c r="W1190" i="1"/>
  <c r="V1191" i="1"/>
  <c r="X1191" i="1" s="1"/>
  <c r="W1191" i="1"/>
  <c r="V1192" i="1"/>
  <c r="X1192" i="1" s="1"/>
  <c r="W1192" i="1"/>
  <c r="V1193" i="1"/>
  <c r="X1193" i="1" s="1"/>
  <c r="W1193" i="1"/>
  <c r="V1194" i="1"/>
  <c r="X1194" i="1" s="1"/>
  <c r="W1194" i="1"/>
  <c r="V1195" i="1"/>
  <c r="X1195" i="1" s="1"/>
  <c r="W1195" i="1"/>
  <c r="V1196" i="1"/>
  <c r="X1196" i="1" s="1"/>
  <c r="W1196" i="1"/>
  <c r="V1197" i="1"/>
  <c r="X1197" i="1" s="1"/>
  <c r="W1197" i="1"/>
  <c r="V1198" i="1"/>
  <c r="X1198" i="1" s="1"/>
  <c r="W1198" i="1"/>
  <c r="V1199" i="1"/>
  <c r="X1199" i="1" s="1"/>
  <c r="W1199" i="1"/>
  <c r="V1200" i="1"/>
  <c r="X1200" i="1" s="1"/>
  <c r="W1200" i="1"/>
  <c r="V1201" i="1"/>
  <c r="X1201" i="1" s="1"/>
  <c r="W1201" i="1"/>
  <c r="V1202" i="1"/>
  <c r="X1202" i="1" s="1"/>
  <c r="W1202" i="1"/>
  <c r="V1203" i="1"/>
  <c r="X1203" i="1" s="1"/>
  <c r="W1203" i="1"/>
  <c r="V1204" i="1"/>
  <c r="X1204" i="1" s="1"/>
  <c r="W1204" i="1"/>
  <c r="V1205" i="1"/>
  <c r="X1205" i="1" s="1"/>
  <c r="W1205" i="1"/>
  <c r="V1206" i="1"/>
  <c r="X1206" i="1" s="1"/>
  <c r="W1206" i="1"/>
  <c r="V1207" i="1"/>
  <c r="X1207" i="1" s="1"/>
  <c r="W1207" i="1"/>
  <c r="V1208" i="1"/>
  <c r="X1208" i="1" s="1"/>
  <c r="W1208" i="1"/>
  <c r="V1209" i="1"/>
  <c r="X1209" i="1" s="1"/>
  <c r="W1209" i="1"/>
  <c r="V1210" i="1"/>
  <c r="X1210" i="1" s="1"/>
  <c r="W1210" i="1"/>
  <c r="V1211" i="1"/>
  <c r="X1211" i="1" s="1"/>
  <c r="W1211" i="1"/>
  <c r="V1212" i="1"/>
  <c r="X1212" i="1" s="1"/>
  <c r="W1212" i="1"/>
  <c r="V1213" i="1"/>
  <c r="X1213" i="1" s="1"/>
  <c r="W1213" i="1"/>
  <c r="V1214" i="1"/>
  <c r="X1214" i="1" s="1"/>
  <c r="W1214" i="1"/>
  <c r="V1215" i="1"/>
  <c r="X1215" i="1" s="1"/>
  <c r="W1215" i="1"/>
  <c r="V1216" i="1"/>
  <c r="X1216" i="1" s="1"/>
  <c r="W1216" i="1"/>
  <c r="V1217" i="1"/>
  <c r="X1217" i="1" s="1"/>
  <c r="W1217" i="1"/>
  <c r="V1218" i="1"/>
  <c r="X1218" i="1" s="1"/>
  <c r="W1218" i="1"/>
  <c r="V1219" i="1"/>
  <c r="X1219" i="1" s="1"/>
  <c r="W1219" i="1"/>
  <c r="V1220" i="1"/>
  <c r="X1220" i="1" s="1"/>
  <c r="W1220" i="1"/>
  <c r="V1221" i="1"/>
  <c r="X1221" i="1" s="1"/>
  <c r="W1221" i="1"/>
  <c r="V1222" i="1"/>
  <c r="X1222" i="1" s="1"/>
  <c r="W1222" i="1"/>
  <c r="V1223" i="1"/>
  <c r="X1223" i="1" s="1"/>
  <c r="W1223" i="1"/>
  <c r="V1224" i="1"/>
  <c r="X1224" i="1" s="1"/>
  <c r="W1224" i="1"/>
  <c r="V1225" i="1"/>
  <c r="X1225" i="1" s="1"/>
  <c r="W1225" i="1"/>
  <c r="V1226" i="1"/>
  <c r="X1226" i="1" s="1"/>
  <c r="W1226" i="1"/>
  <c r="V1227" i="1"/>
  <c r="X1227" i="1" s="1"/>
  <c r="W1227" i="1"/>
  <c r="V1228" i="1"/>
  <c r="X1228" i="1" s="1"/>
  <c r="W1228" i="1"/>
  <c r="V1229" i="1"/>
  <c r="X1229" i="1" s="1"/>
  <c r="W1229" i="1"/>
  <c r="V1230" i="1"/>
  <c r="X1230" i="1" s="1"/>
  <c r="W1230" i="1"/>
  <c r="V1231" i="1"/>
  <c r="X1231" i="1" s="1"/>
  <c r="W1231" i="1"/>
  <c r="V1232" i="1"/>
  <c r="X1232" i="1" s="1"/>
  <c r="W1232" i="1"/>
  <c r="V1233" i="1"/>
  <c r="X1233" i="1" s="1"/>
  <c r="W1233" i="1"/>
  <c r="V1234" i="1"/>
  <c r="X1234" i="1" s="1"/>
  <c r="W1234" i="1"/>
  <c r="V1235" i="1"/>
  <c r="X1235" i="1" s="1"/>
  <c r="W1235" i="1"/>
  <c r="V1236" i="1"/>
  <c r="X1236" i="1" s="1"/>
  <c r="W1236" i="1"/>
  <c r="V1237" i="1"/>
  <c r="X1237" i="1" s="1"/>
  <c r="W1237" i="1"/>
  <c r="V1238" i="1"/>
  <c r="X1238" i="1" s="1"/>
  <c r="W1238" i="1"/>
  <c r="V1239" i="1"/>
  <c r="X1239" i="1" s="1"/>
  <c r="W1239" i="1"/>
  <c r="V1240" i="1"/>
  <c r="X1240" i="1" s="1"/>
  <c r="W1240" i="1"/>
  <c r="V1241" i="1"/>
  <c r="X1241" i="1" s="1"/>
  <c r="W1241" i="1"/>
  <c r="V1242" i="1"/>
  <c r="X1242" i="1" s="1"/>
  <c r="W1242" i="1"/>
  <c r="V1243" i="1"/>
  <c r="X1243" i="1" s="1"/>
  <c r="W1243" i="1"/>
  <c r="V1244" i="1"/>
  <c r="X1244" i="1" s="1"/>
  <c r="W1244" i="1"/>
  <c r="V1245" i="1"/>
  <c r="X1245" i="1" s="1"/>
  <c r="W1245" i="1"/>
  <c r="V1246" i="1"/>
  <c r="X1246" i="1" s="1"/>
  <c r="W1246" i="1"/>
  <c r="V1247" i="1"/>
  <c r="X1247" i="1" s="1"/>
  <c r="W1247" i="1"/>
  <c r="V1248" i="1"/>
  <c r="X1248" i="1" s="1"/>
  <c r="W1248" i="1"/>
  <c r="V1249" i="1"/>
  <c r="X1249" i="1" s="1"/>
  <c r="W1249" i="1"/>
  <c r="V1250" i="1"/>
  <c r="X1250" i="1" s="1"/>
  <c r="W1250" i="1"/>
  <c r="V1251" i="1"/>
  <c r="X1251" i="1" s="1"/>
  <c r="W1251" i="1"/>
  <c r="V1252" i="1"/>
  <c r="X1252" i="1" s="1"/>
  <c r="W1252" i="1"/>
  <c r="V1253" i="1"/>
  <c r="X1253" i="1" s="1"/>
  <c r="W1253" i="1"/>
  <c r="V1254" i="1"/>
  <c r="X1254" i="1" s="1"/>
  <c r="W1254" i="1"/>
  <c r="V1255" i="1"/>
  <c r="X1255" i="1" s="1"/>
  <c r="W1255" i="1"/>
  <c r="V1256" i="1"/>
  <c r="X1256" i="1" s="1"/>
  <c r="W1256" i="1"/>
  <c r="V1257" i="1"/>
  <c r="X1257" i="1" s="1"/>
  <c r="W1257" i="1"/>
  <c r="V1258" i="1"/>
  <c r="X1258" i="1" s="1"/>
  <c r="W1258" i="1"/>
  <c r="V1259" i="1"/>
  <c r="X1259" i="1" s="1"/>
  <c r="W1259" i="1"/>
  <c r="V1260" i="1"/>
  <c r="X1260" i="1" s="1"/>
  <c r="W1260" i="1"/>
  <c r="V1261" i="1"/>
  <c r="X1261" i="1" s="1"/>
  <c r="W1261" i="1"/>
  <c r="V1262" i="1"/>
  <c r="X1262" i="1" s="1"/>
  <c r="W1262" i="1"/>
  <c r="V1263" i="1"/>
  <c r="X1263" i="1" s="1"/>
  <c r="W1263" i="1"/>
  <c r="V1264" i="1"/>
  <c r="X1264" i="1" s="1"/>
  <c r="W1264" i="1"/>
  <c r="V1265" i="1"/>
  <c r="X1265" i="1" s="1"/>
  <c r="W1265" i="1"/>
  <c r="V1266" i="1"/>
  <c r="X1266" i="1" s="1"/>
  <c r="W1266" i="1"/>
  <c r="V1267" i="1"/>
  <c r="X1267" i="1" s="1"/>
  <c r="W1267" i="1"/>
  <c r="V1268" i="1"/>
  <c r="X1268" i="1" s="1"/>
  <c r="W1268" i="1"/>
  <c r="V1269" i="1"/>
  <c r="X1269" i="1" s="1"/>
  <c r="W1269" i="1"/>
  <c r="V1270" i="1"/>
  <c r="X1270" i="1" s="1"/>
  <c r="W1270" i="1"/>
  <c r="V1271" i="1"/>
  <c r="X1271" i="1" s="1"/>
  <c r="W1271" i="1"/>
  <c r="V1272" i="1"/>
  <c r="X1272" i="1" s="1"/>
  <c r="W1272" i="1"/>
  <c r="V1273" i="1"/>
  <c r="X1273" i="1" s="1"/>
  <c r="W1273" i="1"/>
  <c r="V1274" i="1"/>
  <c r="X1274" i="1" s="1"/>
  <c r="W1274" i="1"/>
  <c r="V1275" i="1"/>
  <c r="X1275" i="1" s="1"/>
  <c r="W1275" i="1"/>
  <c r="V1276" i="1"/>
  <c r="X1276" i="1" s="1"/>
  <c r="W1276" i="1"/>
  <c r="V1277" i="1"/>
  <c r="X1277" i="1" s="1"/>
  <c r="W1277" i="1"/>
  <c r="V1278" i="1"/>
  <c r="X1278" i="1" s="1"/>
  <c r="W1278" i="1"/>
  <c r="V1279" i="1"/>
  <c r="X1279" i="1" s="1"/>
  <c r="W1279" i="1"/>
  <c r="V1280" i="1"/>
  <c r="X1280" i="1" s="1"/>
  <c r="W1280" i="1"/>
  <c r="V1281" i="1"/>
  <c r="X1281" i="1" s="1"/>
  <c r="W1281" i="1"/>
  <c r="V1282" i="1"/>
  <c r="X1282" i="1" s="1"/>
  <c r="W1282" i="1"/>
  <c r="V1283" i="1"/>
  <c r="X1283" i="1" s="1"/>
  <c r="W1283" i="1"/>
  <c r="V1284" i="1"/>
  <c r="X1284" i="1" s="1"/>
  <c r="W1284" i="1"/>
  <c r="V1285" i="1"/>
  <c r="X1285" i="1" s="1"/>
  <c r="W1285" i="1"/>
  <c r="V1286" i="1"/>
  <c r="X1286" i="1" s="1"/>
  <c r="W1286" i="1"/>
  <c r="V1287" i="1"/>
  <c r="X1287" i="1" s="1"/>
  <c r="W1287" i="1"/>
  <c r="V1288" i="1"/>
  <c r="X1288" i="1" s="1"/>
  <c r="W1288" i="1"/>
  <c r="V1289" i="1"/>
  <c r="X1289" i="1" s="1"/>
  <c r="W1289" i="1"/>
  <c r="V1290" i="1"/>
  <c r="X1290" i="1" s="1"/>
  <c r="W1290" i="1"/>
  <c r="V1291" i="1"/>
  <c r="X1291" i="1" s="1"/>
  <c r="W1291" i="1"/>
  <c r="V1292" i="1"/>
  <c r="X1292" i="1" s="1"/>
  <c r="W1292" i="1"/>
  <c r="V1293" i="1"/>
  <c r="X1293" i="1" s="1"/>
  <c r="W1293" i="1"/>
  <c r="V1294" i="1"/>
  <c r="X1294" i="1" s="1"/>
  <c r="W1294" i="1"/>
  <c r="V1295" i="1"/>
  <c r="X1295" i="1" s="1"/>
  <c r="W1295" i="1"/>
  <c r="V1296" i="1"/>
  <c r="X1296" i="1" s="1"/>
  <c r="W1296" i="1"/>
  <c r="V1297" i="1"/>
  <c r="X1297" i="1" s="1"/>
  <c r="W1297" i="1"/>
  <c r="V1298" i="1"/>
  <c r="X1298" i="1" s="1"/>
  <c r="W1298" i="1"/>
  <c r="V1299" i="1"/>
  <c r="X1299" i="1" s="1"/>
  <c r="W1299" i="1"/>
  <c r="V1300" i="1"/>
  <c r="X1300" i="1" s="1"/>
  <c r="W1300" i="1"/>
  <c r="V1301" i="1"/>
  <c r="X1301" i="1" s="1"/>
  <c r="W1301" i="1"/>
  <c r="V1302" i="1"/>
  <c r="X1302" i="1" s="1"/>
  <c r="W1302" i="1"/>
  <c r="V1303" i="1"/>
  <c r="X1303" i="1" s="1"/>
  <c r="W1303" i="1"/>
  <c r="V1304" i="1"/>
  <c r="X1304" i="1" s="1"/>
  <c r="W1304" i="1"/>
  <c r="V1305" i="1"/>
  <c r="X1305" i="1" s="1"/>
  <c r="W1305" i="1"/>
  <c r="V1306" i="1"/>
  <c r="X1306" i="1" s="1"/>
  <c r="W1306" i="1"/>
  <c r="V1307" i="1"/>
  <c r="X1307" i="1" s="1"/>
  <c r="W1307" i="1"/>
  <c r="V1308" i="1"/>
  <c r="X1308" i="1" s="1"/>
  <c r="W1308" i="1"/>
  <c r="V1309" i="1"/>
  <c r="X1309" i="1" s="1"/>
  <c r="W1309" i="1"/>
  <c r="V1310" i="1"/>
  <c r="X1310" i="1" s="1"/>
  <c r="W1310" i="1"/>
  <c r="V1311" i="1"/>
  <c r="X1311" i="1" s="1"/>
  <c r="W1311" i="1"/>
  <c r="V1312" i="1"/>
  <c r="X1312" i="1" s="1"/>
  <c r="W1312" i="1"/>
  <c r="V1313" i="1"/>
  <c r="X1313" i="1" s="1"/>
  <c r="W1313" i="1"/>
  <c r="V1314" i="1"/>
  <c r="X1314" i="1" s="1"/>
  <c r="W1314" i="1"/>
  <c r="V1315" i="1"/>
  <c r="X1315" i="1" s="1"/>
  <c r="W1315" i="1"/>
  <c r="V1316" i="1"/>
  <c r="X1316" i="1" s="1"/>
  <c r="W1316" i="1"/>
  <c r="V1317" i="1"/>
  <c r="X1317" i="1" s="1"/>
  <c r="W1317" i="1"/>
  <c r="V1318" i="1"/>
  <c r="X1318" i="1" s="1"/>
  <c r="W1318" i="1"/>
  <c r="V1319" i="1"/>
  <c r="X1319" i="1" s="1"/>
  <c r="W1319" i="1"/>
  <c r="V1320" i="1"/>
  <c r="X1320" i="1" s="1"/>
  <c r="W1320" i="1"/>
  <c r="V1321" i="1"/>
  <c r="X1321" i="1" s="1"/>
  <c r="W1321" i="1"/>
  <c r="V1322" i="1"/>
  <c r="X1322" i="1" s="1"/>
  <c r="W1322" i="1"/>
  <c r="V1323" i="1"/>
  <c r="X1323" i="1" s="1"/>
  <c r="W1323" i="1"/>
  <c r="V1324" i="1"/>
  <c r="X1324" i="1" s="1"/>
  <c r="W1324" i="1"/>
  <c r="V1325" i="1"/>
  <c r="X1325" i="1" s="1"/>
  <c r="W1325" i="1"/>
  <c r="V1326" i="1"/>
  <c r="X1326" i="1" s="1"/>
  <c r="W1326" i="1"/>
  <c r="V1327" i="1"/>
  <c r="X1327" i="1" s="1"/>
  <c r="W1327" i="1"/>
  <c r="V1328" i="1"/>
  <c r="X1328" i="1" s="1"/>
  <c r="W1328" i="1"/>
  <c r="V1329" i="1"/>
  <c r="X1329" i="1" s="1"/>
  <c r="W1329" i="1"/>
  <c r="V1330" i="1"/>
  <c r="X1330" i="1" s="1"/>
  <c r="W1330" i="1"/>
  <c r="V1331" i="1"/>
  <c r="X1331" i="1" s="1"/>
  <c r="W1331" i="1"/>
  <c r="V1332" i="1"/>
  <c r="X1332" i="1" s="1"/>
  <c r="W1332" i="1"/>
  <c r="V1333" i="1"/>
  <c r="X1333" i="1" s="1"/>
  <c r="W1333" i="1"/>
  <c r="V1334" i="1"/>
  <c r="X1334" i="1" s="1"/>
  <c r="W1334" i="1"/>
  <c r="V1335" i="1"/>
  <c r="X1335" i="1" s="1"/>
  <c r="W1335" i="1"/>
  <c r="V1336" i="1"/>
  <c r="X1336" i="1" s="1"/>
  <c r="W1336" i="1"/>
  <c r="V1337" i="1"/>
  <c r="X1337" i="1" s="1"/>
  <c r="W1337" i="1"/>
  <c r="V1338" i="1"/>
  <c r="X1338" i="1" s="1"/>
  <c r="W1338" i="1"/>
  <c r="V1339" i="1"/>
  <c r="X1339" i="1" s="1"/>
  <c r="W1339" i="1"/>
  <c r="V1340" i="1"/>
  <c r="X1340" i="1" s="1"/>
  <c r="W1340" i="1"/>
  <c r="V1341" i="1"/>
  <c r="X1341" i="1" s="1"/>
  <c r="W1341" i="1"/>
  <c r="V1342" i="1"/>
  <c r="X1342" i="1" s="1"/>
  <c r="W1342" i="1"/>
  <c r="V1343" i="1"/>
  <c r="X1343" i="1" s="1"/>
  <c r="W1343" i="1"/>
  <c r="V1344" i="1"/>
  <c r="X1344" i="1" s="1"/>
  <c r="W1344" i="1"/>
  <c r="V1345" i="1"/>
  <c r="X1345" i="1" s="1"/>
  <c r="W1345" i="1"/>
  <c r="V1346" i="1"/>
  <c r="X1346" i="1" s="1"/>
  <c r="W1346" i="1"/>
  <c r="V1347" i="1"/>
  <c r="X1347" i="1" s="1"/>
  <c r="W1347" i="1"/>
  <c r="V1348" i="1"/>
  <c r="X1348" i="1" s="1"/>
  <c r="W1348" i="1"/>
  <c r="V1349" i="1"/>
  <c r="X1349" i="1" s="1"/>
  <c r="W1349" i="1"/>
  <c r="V1350" i="1"/>
  <c r="X1350" i="1" s="1"/>
  <c r="W1350" i="1"/>
  <c r="V1351" i="1"/>
  <c r="X1351" i="1" s="1"/>
  <c r="W1351" i="1"/>
  <c r="V1352" i="1"/>
  <c r="X1352" i="1" s="1"/>
  <c r="W1352" i="1"/>
  <c r="V1353" i="1"/>
  <c r="X1353" i="1" s="1"/>
  <c r="W1353" i="1"/>
  <c r="V1354" i="1"/>
  <c r="X1354" i="1" s="1"/>
  <c r="W1354" i="1"/>
  <c r="V1355" i="1"/>
  <c r="X1355" i="1" s="1"/>
  <c r="W1355" i="1"/>
  <c r="V1356" i="1"/>
  <c r="X1356" i="1" s="1"/>
  <c r="W1356" i="1"/>
  <c r="V1357" i="1"/>
  <c r="X1357" i="1" s="1"/>
  <c r="W1357" i="1"/>
  <c r="V1358" i="1"/>
  <c r="X1358" i="1" s="1"/>
  <c r="W1358" i="1"/>
  <c r="V1359" i="1"/>
  <c r="X1359" i="1" s="1"/>
  <c r="W1359" i="1"/>
  <c r="V1360" i="1"/>
  <c r="X1360" i="1" s="1"/>
  <c r="W1360" i="1"/>
  <c r="V1361" i="1"/>
  <c r="X1361" i="1" s="1"/>
  <c r="W1361" i="1"/>
  <c r="V1362" i="1"/>
  <c r="X1362" i="1" s="1"/>
  <c r="W1362" i="1"/>
  <c r="V1363" i="1"/>
  <c r="X1363" i="1" s="1"/>
  <c r="W1363" i="1"/>
  <c r="V1364" i="1"/>
  <c r="X1364" i="1" s="1"/>
  <c r="W1364" i="1"/>
  <c r="V1365" i="1"/>
  <c r="X1365" i="1" s="1"/>
  <c r="W1365" i="1"/>
  <c r="V1366" i="1"/>
  <c r="X1366" i="1" s="1"/>
  <c r="W1366" i="1"/>
  <c r="V1367" i="1"/>
  <c r="X1367" i="1" s="1"/>
  <c r="W1367" i="1"/>
  <c r="V1368" i="1"/>
  <c r="X1368" i="1" s="1"/>
  <c r="W1368" i="1"/>
  <c r="V1369" i="1"/>
  <c r="X1369" i="1" s="1"/>
  <c r="W1369" i="1"/>
  <c r="V1370" i="1"/>
  <c r="X1370" i="1" s="1"/>
  <c r="W1370" i="1"/>
  <c r="V1371" i="1"/>
  <c r="X1371" i="1" s="1"/>
  <c r="W1371" i="1"/>
  <c r="V1372" i="1"/>
  <c r="X1372" i="1" s="1"/>
  <c r="W1372" i="1"/>
  <c r="V1373" i="1"/>
  <c r="X1373" i="1" s="1"/>
  <c r="W1373" i="1"/>
  <c r="V1374" i="1"/>
  <c r="X1374" i="1" s="1"/>
  <c r="W1374" i="1"/>
  <c r="V1375" i="1"/>
  <c r="X1375" i="1" s="1"/>
  <c r="W1375" i="1"/>
  <c r="V1376" i="1"/>
  <c r="X1376" i="1" s="1"/>
  <c r="W1376" i="1"/>
  <c r="V1377" i="1"/>
  <c r="X1377" i="1" s="1"/>
  <c r="W1377" i="1"/>
  <c r="V1378" i="1"/>
  <c r="X1378" i="1" s="1"/>
  <c r="W1378" i="1"/>
  <c r="V1379" i="1"/>
  <c r="X1379" i="1" s="1"/>
  <c r="W1379" i="1"/>
  <c r="V1380" i="1"/>
  <c r="X1380" i="1" s="1"/>
  <c r="W1380" i="1"/>
  <c r="V1381" i="1"/>
  <c r="X1381" i="1" s="1"/>
  <c r="W1381" i="1"/>
  <c r="V1382" i="1"/>
  <c r="X1382" i="1" s="1"/>
  <c r="W1382" i="1"/>
  <c r="V1383" i="1"/>
  <c r="X1383" i="1" s="1"/>
  <c r="W1383" i="1"/>
  <c r="V1384" i="1"/>
  <c r="X1384" i="1" s="1"/>
  <c r="W1384" i="1"/>
  <c r="V1385" i="1"/>
  <c r="X1385" i="1" s="1"/>
  <c r="W1385" i="1"/>
  <c r="V1386" i="1"/>
  <c r="X1386" i="1" s="1"/>
  <c r="W1386" i="1"/>
  <c r="V1387" i="1"/>
  <c r="X1387" i="1" s="1"/>
  <c r="W1387" i="1"/>
  <c r="V1388" i="1"/>
  <c r="X1388" i="1" s="1"/>
  <c r="W1388" i="1"/>
  <c r="V1389" i="1"/>
  <c r="X1389" i="1" s="1"/>
  <c r="W1389" i="1"/>
  <c r="V1390" i="1"/>
  <c r="X1390" i="1" s="1"/>
  <c r="W1390" i="1"/>
  <c r="V1391" i="1"/>
  <c r="X1391" i="1" s="1"/>
  <c r="W1391" i="1"/>
  <c r="V1392" i="1"/>
  <c r="X1392" i="1" s="1"/>
  <c r="W1392" i="1"/>
  <c r="V1393" i="1"/>
  <c r="X1393" i="1" s="1"/>
  <c r="W1393" i="1"/>
  <c r="V1394" i="1"/>
  <c r="X1394" i="1" s="1"/>
  <c r="W1394" i="1"/>
  <c r="V1395" i="1"/>
  <c r="X1395" i="1" s="1"/>
  <c r="W1395" i="1"/>
  <c r="V1396" i="1"/>
  <c r="X1396" i="1" s="1"/>
  <c r="W1396" i="1"/>
  <c r="V1397" i="1"/>
  <c r="X1397" i="1" s="1"/>
  <c r="W1397" i="1"/>
  <c r="V1398" i="1"/>
  <c r="X1398" i="1" s="1"/>
  <c r="W1398" i="1"/>
  <c r="V1399" i="1"/>
  <c r="X1399" i="1" s="1"/>
  <c r="W1399" i="1"/>
  <c r="V1400" i="1"/>
  <c r="X1400" i="1" s="1"/>
  <c r="W1400" i="1"/>
  <c r="V1000" i="1" l="1"/>
  <c r="X1000" i="1" s="1"/>
  <c r="W1000" i="1"/>
  <c r="V1001" i="1"/>
  <c r="X1001" i="1" s="1"/>
  <c r="W1001" i="1"/>
  <c r="V1002" i="1"/>
  <c r="X1002" i="1" s="1"/>
  <c r="W1002" i="1"/>
  <c r="V1003" i="1"/>
  <c r="X1003" i="1" s="1"/>
  <c r="W1003" i="1"/>
  <c r="V1004" i="1"/>
  <c r="X1004" i="1" s="1"/>
  <c r="W1004" i="1"/>
  <c r="V1005" i="1"/>
  <c r="X1005" i="1" s="1"/>
  <c r="W1005" i="1"/>
  <c r="V1006" i="1"/>
  <c r="X1006" i="1" s="1"/>
  <c r="W1006" i="1"/>
  <c r="V1007" i="1"/>
  <c r="X1007" i="1" s="1"/>
  <c r="W1007" i="1"/>
  <c r="V1008" i="1"/>
  <c r="X1008" i="1" s="1"/>
  <c r="W1008" i="1"/>
  <c r="V1009" i="1"/>
  <c r="X1009" i="1" s="1"/>
  <c r="W1009" i="1"/>
  <c r="V1010" i="1"/>
  <c r="X1010" i="1" s="1"/>
  <c r="W1010" i="1"/>
  <c r="V1011" i="1"/>
  <c r="X1011" i="1" s="1"/>
  <c r="W1011" i="1"/>
  <c r="V1012" i="1"/>
  <c r="X1012" i="1" s="1"/>
  <c r="W1012" i="1"/>
  <c r="V1013" i="1"/>
  <c r="X1013" i="1" s="1"/>
  <c r="W1013" i="1"/>
  <c r="V1014" i="1"/>
  <c r="X1014" i="1" s="1"/>
  <c r="W1014" i="1"/>
  <c r="V1015" i="1"/>
  <c r="X1015" i="1" s="1"/>
  <c r="W1015" i="1"/>
  <c r="V1016" i="1"/>
  <c r="X1016" i="1" s="1"/>
  <c r="W1016" i="1"/>
  <c r="V1017" i="1"/>
  <c r="X1017" i="1" s="1"/>
  <c r="W1017" i="1"/>
  <c r="V1018" i="1"/>
  <c r="X1018" i="1" s="1"/>
  <c r="W1018" i="1"/>
  <c r="V1019" i="1"/>
  <c r="X1019" i="1" s="1"/>
  <c r="W1019" i="1"/>
  <c r="V1020" i="1"/>
  <c r="X1020" i="1" s="1"/>
  <c r="W1020" i="1"/>
  <c r="V1021" i="1"/>
  <c r="X1021" i="1" s="1"/>
  <c r="W1021" i="1"/>
  <c r="V1022" i="1"/>
  <c r="X1022" i="1" s="1"/>
  <c r="W1022" i="1"/>
  <c r="V1023" i="1"/>
  <c r="X1023" i="1" s="1"/>
  <c r="W1023" i="1"/>
  <c r="V1024" i="1"/>
  <c r="X1024" i="1" s="1"/>
  <c r="W1024" i="1"/>
  <c r="V1025" i="1"/>
  <c r="X1025" i="1" s="1"/>
  <c r="W1025" i="1"/>
  <c r="V1026" i="1"/>
  <c r="X1026" i="1" s="1"/>
  <c r="W1026" i="1"/>
  <c r="V1027" i="1"/>
  <c r="X1027" i="1" s="1"/>
  <c r="W1027" i="1"/>
  <c r="V1028" i="1"/>
  <c r="X1028" i="1" s="1"/>
  <c r="W1028" i="1"/>
  <c r="V1029" i="1"/>
  <c r="X1029" i="1" s="1"/>
  <c r="W1029" i="1"/>
  <c r="V1030" i="1"/>
  <c r="X1030" i="1" s="1"/>
  <c r="W1030" i="1"/>
  <c r="V1031" i="1"/>
  <c r="X1031" i="1" s="1"/>
  <c r="W1031" i="1"/>
  <c r="V1032" i="1"/>
  <c r="X1032" i="1" s="1"/>
  <c r="W1032" i="1"/>
  <c r="V1033" i="1"/>
  <c r="X1033" i="1" s="1"/>
  <c r="W1033" i="1"/>
  <c r="V1034" i="1"/>
  <c r="X1034" i="1" s="1"/>
  <c r="W1034" i="1"/>
  <c r="V1035" i="1"/>
  <c r="X1035" i="1" s="1"/>
  <c r="W1035" i="1"/>
  <c r="V1036" i="1"/>
  <c r="X1036" i="1" s="1"/>
  <c r="W1036" i="1"/>
  <c r="V1037" i="1"/>
  <c r="X1037" i="1" s="1"/>
  <c r="W1037" i="1"/>
  <c r="V1038" i="1"/>
  <c r="X1038" i="1" s="1"/>
  <c r="W1038" i="1"/>
  <c r="V1039" i="1"/>
  <c r="X1039" i="1" s="1"/>
  <c r="W1039" i="1"/>
  <c r="V1040" i="1"/>
  <c r="X1040" i="1" s="1"/>
  <c r="W1040" i="1"/>
  <c r="V1041" i="1"/>
  <c r="X1041" i="1" s="1"/>
  <c r="W1041" i="1"/>
  <c r="V1042" i="1"/>
  <c r="X1042" i="1" s="1"/>
  <c r="W1042" i="1"/>
  <c r="V1043" i="1"/>
  <c r="X1043" i="1" s="1"/>
  <c r="W1043" i="1"/>
  <c r="V1044" i="1"/>
  <c r="X1044" i="1" s="1"/>
  <c r="W1044" i="1"/>
  <c r="V1045" i="1"/>
  <c r="X1045" i="1" s="1"/>
  <c r="W1045" i="1"/>
  <c r="V1046" i="1"/>
  <c r="X1046" i="1" s="1"/>
  <c r="W1046" i="1"/>
  <c r="V1047" i="1"/>
  <c r="X1047" i="1" s="1"/>
  <c r="W1047" i="1"/>
  <c r="V1048" i="1"/>
  <c r="X1048" i="1" s="1"/>
  <c r="W1048" i="1"/>
  <c r="V1049" i="1"/>
  <c r="X1049" i="1" s="1"/>
  <c r="W1049" i="1"/>
  <c r="V1050" i="1"/>
  <c r="X1050" i="1" s="1"/>
  <c r="W1050" i="1"/>
  <c r="V1051" i="1"/>
  <c r="X1051" i="1" s="1"/>
  <c r="W1051" i="1"/>
  <c r="V1052" i="1"/>
  <c r="X1052" i="1" s="1"/>
  <c r="W1052" i="1"/>
  <c r="V1053" i="1"/>
  <c r="X1053" i="1" s="1"/>
  <c r="W1053" i="1"/>
  <c r="V1054" i="1"/>
  <c r="X1054" i="1" s="1"/>
  <c r="W1054" i="1"/>
  <c r="V1055" i="1"/>
  <c r="X1055" i="1" s="1"/>
  <c r="W1055" i="1"/>
  <c r="V1056" i="1"/>
  <c r="X1056" i="1" s="1"/>
  <c r="W1056" i="1"/>
  <c r="V1057" i="1"/>
  <c r="X1057" i="1" s="1"/>
  <c r="W1057" i="1"/>
  <c r="V1058" i="1"/>
  <c r="X1058" i="1" s="1"/>
  <c r="W1058" i="1"/>
  <c r="V1059" i="1"/>
  <c r="X1059" i="1" s="1"/>
  <c r="W1059" i="1"/>
  <c r="V1060" i="1"/>
  <c r="X1060" i="1" s="1"/>
  <c r="W1060" i="1"/>
  <c r="V1061" i="1"/>
  <c r="X1061" i="1" s="1"/>
  <c r="W1061" i="1"/>
  <c r="V1062" i="1"/>
  <c r="X1062" i="1" s="1"/>
  <c r="W1062" i="1"/>
  <c r="V1063" i="1"/>
  <c r="X1063" i="1" s="1"/>
  <c r="W1063" i="1"/>
  <c r="V1064" i="1"/>
  <c r="X1064" i="1" s="1"/>
  <c r="W1064" i="1"/>
  <c r="V1065" i="1"/>
  <c r="X1065" i="1" s="1"/>
  <c r="W1065" i="1"/>
  <c r="V1066" i="1"/>
  <c r="X1066" i="1" s="1"/>
  <c r="W1066" i="1"/>
  <c r="V1067" i="1"/>
  <c r="X1067" i="1" s="1"/>
  <c r="W1067" i="1"/>
  <c r="V1068" i="1"/>
  <c r="X1068" i="1" s="1"/>
  <c r="W1068" i="1"/>
  <c r="V1069" i="1"/>
  <c r="X1069" i="1" s="1"/>
  <c r="W1069" i="1"/>
  <c r="V1070" i="1"/>
  <c r="X1070" i="1" s="1"/>
  <c r="W1070" i="1"/>
  <c r="V1071" i="1"/>
  <c r="X1071" i="1" s="1"/>
  <c r="W1071" i="1"/>
  <c r="V1072" i="1"/>
  <c r="X1072" i="1" s="1"/>
  <c r="W1072" i="1"/>
  <c r="V1073" i="1"/>
  <c r="X1073" i="1" s="1"/>
  <c r="W1073" i="1"/>
  <c r="V1074" i="1"/>
  <c r="X1074" i="1" s="1"/>
  <c r="W1074" i="1"/>
  <c r="V1075" i="1"/>
  <c r="X1075" i="1" s="1"/>
  <c r="W1075" i="1"/>
  <c r="V1076" i="1"/>
  <c r="X1076" i="1" s="1"/>
  <c r="W1076" i="1"/>
  <c r="V1077" i="1"/>
  <c r="X1077" i="1" s="1"/>
  <c r="W1077" i="1"/>
  <c r="V1078" i="1"/>
  <c r="X1078" i="1" s="1"/>
  <c r="W1078" i="1"/>
  <c r="V1079" i="1"/>
  <c r="X1079" i="1" s="1"/>
  <c r="W1079" i="1"/>
  <c r="V1080" i="1"/>
  <c r="X1080" i="1" s="1"/>
  <c r="W1080" i="1"/>
  <c r="V1081" i="1"/>
  <c r="X1081" i="1" s="1"/>
  <c r="W1081" i="1"/>
  <c r="V1082" i="1"/>
  <c r="X1082" i="1" s="1"/>
  <c r="W1082" i="1"/>
  <c r="V1083" i="1"/>
  <c r="X1083" i="1" s="1"/>
  <c r="W1083" i="1"/>
  <c r="V1084" i="1"/>
  <c r="X1084" i="1" s="1"/>
  <c r="W1084" i="1"/>
  <c r="V1085" i="1"/>
  <c r="X1085" i="1" s="1"/>
  <c r="W1085" i="1"/>
  <c r="V1086" i="1"/>
  <c r="X1086" i="1" s="1"/>
  <c r="W1086" i="1"/>
  <c r="V1087" i="1"/>
  <c r="X1087" i="1" s="1"/>
  <c r="W1087" i="1"/>
  <c r="V1088" i="1"/>
  <c r="X1088" i="1" s="1"/>
  <c r="W1088" i="1"/>
  <c r="V1089" i="1"/>
  <c r="X1089" i="1" s="1"/>
  <c r="W1089" i="1"/>
  <c r="V1090" i="1"/>
  <c r="X1090" i="1" s="1"/>
  <c r="W1090" i="1"/>
  <c r="V1091" i="1"/>
  <c r="X1091" i="1" s="1"/>
  <c r="W1091" i="1"/>
  <c r="V1092" i="1"/>
  <c r="X1092" i="1" s="1"/>
  <c r="W1092" i="1"/>
  <c r="V1093" i="1"/>
  <c r="X1093" i="1" s="1"/>
  <c r="W1093" i="1"/>
  <c r="V1094" i="1"/>
  <c r="X1094" i="1" s="1"/>
  <c r="W1094" i="1"/>
  <c r="V1095" i="1"/>
  <c r="X1095" i="1" s="1"/>
  <c r="W1095" i="1"/>
  <c r="V1096" i="1"/>
  <c r="X1096" i="1" s="1"/>
  <c r="W1096" i="1"/>
  <c r="V1097" i="1"/>
  <c r="X1097" i="1" s="1"/>
  <c r="W1097" i="1"/>
  <c r="V1098" i="1"/>
  <c r="X1098" i="1" s="1"/>
  <c r="W1098" i="1"/>
  <c r="V1099" i="1"/>
  <c r="X1099" i="1" s="1"/>
  <c r="W1099" i="1"/>
  <c r="V1100" i="1"/>
  <c r="X1100" i="1" s="1"/>
  <c r="W1100" i="1"/>
  <c r="V960" i="1" l="1"/>
  <c r="X960" i="1" s="1"/>
  <c r="W960" i="1"/>
  <c r="K6" i="2" l="1"/>
  <c r="V833" i="1" l="1"/>
  <c r="X833" i="1" s="1"/>
  <c r="W833" i="1"/>
  <c r="A13" i="2" l="1"/>
  <c r="G14" i="2" l="1"/>
  <c r="A12" i="2" l="1"/>
  <c r="V623" i="1"/>
  <c r="X623" i="1" s="1"/>
  <c r="W623" i="1"/>
  <c r="V624" i="1"/>
  <c r="X624" i="1" s="1"/>
  <c r="W624" i="1"/>
  <c r="V625" i="1"/>
  <c r="X625" i="1" s="1"/>
  <c r="W625" i="1"/>
  <c r="V626" i="1"/>
  <c r="X626" i="1" s="1"/>
  <c r="W626" i="1"/>
  <c r="V627" i="1"/>
  <c r="X627" i="1" s="1"/>
  <c r="W627" i="1"/>
  <c r="V628" i="1"/>
  <c r="X628" i="1" s="1"/>
  <c r="W628" i="1"/>
  <c r="V629" i="1"/>
  <c r="X629" i="1" s="1"/>
  <c r="W629" i="1"/>
  <c r="V630" i="1"/>
  <c r="X630" i="1" s="1"/>
  <c r="W630" i="1"/>
  <c r="V631" i="1"/>
  <c r="X631" i="1" s="1"/>
  <c r="W631" i="1"/>
  <c r="V632" i="1"/>
  <c r="X632" i="1" s="1"/>
  <c r="W632" i="1"/>
  <c r="V633" i="1"/>
  <c r="X633" i="1" s="1"/>
  <c r="W633" i="1"/>
  <c r="V634" i="1"/>
  <c r="X634" i="1" s="1"/>
  <c r="W634" i="1"/>
  <c r="V635" i="1"/>
  <c r="X635" i="1" s="1"/>
  <c r="W635" i="1"/>
  <c r="V636" i="1"/>
  <c r="X636" i="1" s="1"/>
  <c r="W636" i="1"/>
  <c r="V637" i="1"/>
  <c r="X637" i="1" s="1"/>
  <c r="W637" i="1"/>
  <c r="V638" i="1"/>
  <c r="X638" i="1" s="1"/>
  <c r="W638" i="1"/>
  <c r="V639" i="1"/>
  <c r="X639" i="1" s="1"/>
  <c r="W639" i="1"/>
  <c r="V640" i="1"/>
  <c r="X640" i="1" s="1"/>
  <c r="W640" i="1"/>
  <c r="V641" i="1"/>
  <c r="X641" i="1" s="1"/>
  <c r="W641" i="1"/>
  <c r="V642" i="1"/>
  <c r="X642" i="1" s="1"/>
  <c r="W642" i="1"/>
  <c r="V643" i="1"/>
  <c r="X643" i="1" s="1"/>
  <c r="W643" i="1"/>
  <c r="V644" i="1"/>
  <c r="X644" i="1" s="1"/>
  <c r="W644" i="1"/>
  <c r="V645" i="1"/>
  <c r="X645" i="1" s="1"/>
  <c r="W645" i="1"/>
  <c r="V646" i="1"/>
  <c r="X646" i="1" s="1"/>
  <c r="W646" i="1"/>
  <c r="V647" i="1"/>
  <c r="X647" i="1" s="1"/>
  <c r="W647" i="1"/>
  <c r="V648" i="1"/>
  <c r="X648" i="1" s="1"/>
  <c r="W648" i="1"/>
  <c r="V649" i="1"/>
  <c r="X649" i="1" s="1"/>
  <c r="W649" i="1"/>
  <c r="V650" i="1"/>
  <c r="X650" i="1" s="1"/>
  <c r="W650" i="1"/>
  <c r="V651" i="1"/>
  <c r="X651" i="1" s="1"/>
  <c r="W651" i="1"/>
  <c r="V652" i="1"/>
  <c r="X652" i="1" s="1"/>
  <c r="W652" i="1"/>
  <c r="V653" i="1"/>
  <c r="X653" i="1" s="1"/>
  <c r="W653" i="1"/>
  <c r="V654" i="1"/>
  <c r="X654" i="1" s="1"/>
  <c r="W654" i="1"/>
  <c r="V655" i="1"/>
  <c r="X655" i="1" s="1"/>
  <c r="W655" i="1"/>
  <c r="V656" i="1"/>
  <c r="X656" i="1" s="1"/>
  <c r="W656" i="1"/>
  <c r="V657" i="1"/>
  <c r="X657" i="1" s="1"/>
  <c r="W657" i="1"/>
  <c r="V658" i="1"/>
  <c r="X658" i="1" s="1"/>
  <c r="W658" i="1"/>
  <c r="V659" i="1"/>
  <c r="X659" i="1" s="1"/>
  <c r="W659" i="1"/>
  <c r="V660" i="1"/>
  <c r="X660" i="1" s="1"/>
  <c r="W660" i="1"/>
  <c r="V661" i="1"/>
  <c r="X661" i="1" s="1"/>
  <c r="W661" i="1"/>
  <c r="V662" i="1"/>
  <c r="X662" i="1" s="1"/>
  <c r="W662" i="1"/>
  <c r="V663" i="1"/>
  <c r="X663" i="1" s="1"/>
  <c r="W663" i="1"/>
  <c r="V664" i="1"/>
  <c r="X664" i="1" s="1"/>
  <c r="W664" i="1"/>
  <c r="V665" i="1"/>
  <c r="X665" i="1" s="1"/>
  <c r="W665" i="1"/>
  <c r="V666" i="1"/>
  <c r="X666" i="1" s="1"/>
  <c r="W666" i="1"/>
  <c r="V667" i="1"/>
  <c r="X667" i="1" s="1"/>
  <c r="W667" i="1"/>
  <c r="V668" i="1"/>
  <c r="X668" i="1" s="1"/>
  <c r="W668" i="1"/>
  <c r="V669" i="1"/>
  <c r="X669" i="1" s="1"/>
  <c r="W669" i="1"/>
  <c r="V670" i="1"/>
  <c r="X670" i="1" s="1"/>
  <c r="W670" i="1"/>
  <c r="V671" i="1"/>
  <c r="X671" i="1" s="1"/>
  <c r="W671" i="1"/>
  <c r="V672" i="1"/>
  <c r="X672" i="1" s="1"/>
  <c r="W672" i="1"/>
  <c r="V673" i="1"/>
  <c r="X673" i="1" s="1"/>
  <c r="W673" i="1"/>
  <c r="V674" i="1"/>
  <c r="X674" i="1" s="1"/>
  <c r="W674" i="1"/>
  <c r="V675" i="1"/>
  <c r="X675" i="1" s="1"/>
  <c r="W675" i="1"/>
  <c r="V676" i="1"/>
  <c r="X676" i="1" s="1"/>
  <c r="W676" i="1"/>
  <c r="V677" i="1"/>
  <c r="X677" i="1" s="1"/>
  <c r="W677" i="1"/>
  <c r="V678" i="1"/>
  <c r="X678" i="1" s="1"/>
  <c r="W678" i="1"/>
  <c r="V679" i="1"/>
  <c r="X679" i="1" s="1"/>
  <c r="W679" i="1"/>
  <c r="V680" i="1"/>
  <c r="X680" i="1" s="1"/>
  <c r="W680" i="1"/>
  <c r="V681" i="1"/>
  <c r="X681" i="1" s="1"/>
  <c r="W681" i="1"/>
  <c r="V682" i="1"/>
  <c r="X682" i="1" s="1"/>
  <c r="W682" i="1"/>
  <c r="V683" i="1"/>
  <c r="X683" i="1" s="1"/>
  <c r="W683" i="1"/>
  <c r="V684" i="1"/>
  <c r="X684" i="1" s="1"/>
  <c r="W684" i="1"/>
  <c r="V685" i="1"/>
  <c r="X685" i="1" s="1"/>
  <c r="W685" i="1"/>
  <c r="V686" i="1"/>
  <c r="X686" i="1" s="1"/>
  <c r="W686" i="1"/>
  <c r="V687" i="1"/>
  <c r="X687" i="1" s="1"/>
  <c r="W687" i="1"/>
  <c r="V688" i="1"/>
  <c r="X688" i="1" s="1"/>
  <c r="W688" i="1"/>
  <c r="V689" i="1"/>
  <c r="X689" i="1" s="1"/>
  <c r="W689" i="1"/>
  <c r="V690" i="1"/>
  <c r="X690" i="1" s="1"/>
  <c r="W690" i="1"/>
  <c r="V691" i="1"/>
  <c r="X691" i="1" s="1"/>
  <c r="W691" i="1"/>
  <c r="V692" i="1"/>
  <c r="X692" i="1" s="1"/>
  <c r="W692" i="1"/>
  <c r="V693" i="1"/>
  <c r="X693" i="1" s="1"/>
  <c r="W693" i="1"/>
  <c r="V694" i="1"/>
  <c r="X694" i="1" s="1"/>
  <c r="W694" i="1"/>
  <c r="V695" i="1"/>
  <c r="X695" i="1" s="1"/>
  <c r="W695" i="1"/>
  <c r="V696" i="1"/>
  <c r="X696" i="1" s="1"/>
  <c r="W696" i="1"/>
  <c r="V697" i="1"/>
  <c r="X697" i="1" s="1"/>
  <c r="W697" i="1"/>
  <c r="V698" i="1"/>
  <c r="X698" i="1" s="1"/>
  <c r="W698" i="1"/>
  <c r="V699" i="1"/>
  <c r="X699" i="1" s="1"/>
  <c r="W699" i="1"/>
  <c r="V700" i="1"/>
  <c r="X700" i="1" s="1"/>
  <c r="W700" i="1"/>
  <c r="V701" i="1"/>
  <c r="X701" i="1" s="1"/>
  <c r="W701" i="1"/>
  <c r="V702" i="1"/>
  <c r="X702" i="1" s="1"/>
  <c r="W702" i="1"/>
  <c r="V703" i="1"/>
  <c r="X703" i="1" s="1"/>
  <c r="W703" i="1"/>
  <c r="V704" i="1"/>
  <c r="X704" i="1" s="1"/>
  <c r="W704" i="1"/>
  <c r="V705" i="1"/>
  <c r="X705" i="1" s="1"/>
  <c r="W705" i="1"/>
  <c r="V706" i="1"/>
  <c r="X706" i="1" s="1"/>
  <c r="W706" i="1"/>
  <c r="V707" i="1"/>
  <c r="X707" i="1" s="1"/>
  <c r="W707" i="1"/>
  <c r="V708" i="1"/>
  <c r="X708" i="1" s="1"/>
  <c r="W708" i="1"/>
  <c r="V709" i="1"/>
  <c r="X709" i="1" s="1"/>
  <c r="W709" i="1"/>
  <c r="V710" i="1"/>
  <c r="X710" i="1" s="1"/>
  <c r="W710" i="1"/>
  <c r="V711" i="1"/>
  <c r="X711" i="1" s="1"/>
  <c r="W711" i="1"/>
  <c r="V712" i="1"/>
  <c r="X712" i="1" s="1"/>
  <c r="W712" i="1"/>
  <c r="V713" i="1"/>
  <c r="X713" i="1" s="1"/>
  <c r="W713" i="1"/>
  <c r="V714" i="1"/>
  <c r="X714" i="1" s="1"/>
  <c r="W714" i="1"/>
  <c r="V715" i="1"/>
  <c r="X715" i="1" s="1"/>
  <c r="W715" i="1"/>
  <c r="V716" i="1"/>
  <c r="X716" i="1" s="1"/>
  <c r="W716" i="1"/>
  <c r="V717" i="1"/>
  <c r="X717" i="1" s="1"/>
  <c r="W717" i="1"/>
  <c r="V718" i="1"/>
  <c r="X718" i="1" s="1"/>
  <c r="W718" i="1"/>
  <c r="V719" i="1"/>
  <c r="X719" i="1" s="1"/>
  <c r="W719" i="1"/>
  <c r="V720" i="1"/>
  <c r="X720" i="1" s="1"/>
  <c r="W720" i="1"/>
  <c r="V721" i="1"/>
  <c r="X721" i="1" s="1"/>
  <c r="W721" i="1"/>
  <c r="V722" i="1"/>
  <c r="X722" i="1" s="1"/>
  <c r="W722" i="1"/>
  <c r="V723" i="1"/>
  <c r="X723" i="1" s="1"/>
  <c r="W723" i="1"/>
  <c r="V724" i="1"/>
  <c r="X724" i="1" s="1"/>
  <c r="W724" i="1"/>
  <c r="V725" i="1"/>
  <c r="X725" i="1" s="1"/>
  <c r="W725" i="1"/>
  <c r="V726" i="1"/>
  <c r="X726" i="1" s="1"/>
  <c r="W726" i="1"/>
  <c r="V727" i="1"/>
  <c r="X727" i="1" s="1"/>
  <c r="W727" i="1"/>
  <c r="V728" i="1"/>
  <c r="X728" i="1" s="1"/>
  <c r="W728" i="1"/>
  <c r="V729" i="1"/>
  <c r="X729" i="1" s="1"/>
  <c r="W729" i="1"/>
  <c r="V730" i="1"/>
  <c r="X730" i="1" s="1"/>
  <c r="W730" i="1"/>
  <c r="V731" i="1"/>
  <c r="X731" i="1" s="1"/>
  <c r="W731" i="1"/>
  <c r="V732" i="1"/>
  <c r="X732" i="1" s="1"/>
  <c r="W732" i="1"/>
  <c r="V733" i="1"/>
  <c r="X733" i="1" s="1"/>
  <c r="W733" i="1"/>
  <c r="V734" i="1"/>
  <c r="X734" i="1" s="1"/>
  <c r="W734" i="1"/>
  <c r="V735" i="1"/>
  <c r="X735" i="1" s="1"/>
  <c r="W735" i="1"/>
  <c r="V736" i="1"/>
  <c r="X736" i="1" s="1"/>
  <c r="W736" i="1"/>
  <c r="V737" i="1"/>
  <c r="X737" i="1" s="1"/>
  <c r="W737" i="1"/>
  <c r="V738" i="1"/>
  <c r="X738" i="1" s="1"/>
  <c r="W738" i="1"/>
  <c r="V739" i="1"/>
  <c r="X739" i="1" s="1"/>
  <c r="W739" i="1"/>
  <c r="V740" i="1"/>
  <c r="X740" i="1" s="1"/>
  <c r="W740" i="1"/>
  <c r="V741" i="1"/>
  <c r="X741" i="1" s="1"/>
  <c r="W741" i="1"/>
  <c r="V742" i="1"/>
  <c r="X742" i="1" s="1"/>
  <c r="W742" i="1"/>
  <c r="V743" i="1"/>
  <c r="X743" i="1" s="1"/>
  <c r="W743" i="1"/>
  <c r="V744" i="1"/>
  <c r="X744" i="1" s="1"/>
  <c r="W744" i="1"/>
  <c r="V745" i="1"/>
  <c r="X745" i="1" s="1"/>
  <c r="W745" i="1"/>
  <c r="V746" i="1"/>
  <c r="X746" i="1" s="1"/>
  <c r="W746" i="1"/>
  <c r="V747" i="1"/>
  <c r="X747" i="1" s="1"/>
  <c r="W747" i="1"/>
  <c r="V748" i="1"/>
  <c r="X748" i="1" s="1"/>
  <c r="W748" i="1"/>
  <c r="V749" i="1"/>
  <c r="X749" i="1" s="1"/>
  <c r="W749" i="1"/>
  <c r="V750" i="1"/>
  <c r="X750" i="1" s="1"/>
  <c r="W750" i="1"/>
  <c r="V751" i="1"/>
  <c r="X751" i="1" s="1"/>
  <c r="W751" i="1"/>
  <c r="V752" i="1"/>
  <c r="X752" i="1" s="1"/>
  <c r="W752" i="1"/>
  <c r="V753" i="1"/>
  <c r="X753" i="1" s="1"/>
  <c r="W753" i="1"/>
  <c r="V754" i="1"/>
  <c r="X754" i="1" s="1"/>
  <c r="W754" i="1"/>
  <c r="V755" i="1"/>
  <c r="X755" i="1" s="1"/>
  <c r="W755" i="1"/>
  <c r="V756" i="1"/>
  <c r="X756" i="1" s="1"/>
  <c r="W756" i="1"/>
  <c r="V757" i="1"/>
  <c r="X757" i="1" s="1"/>
  <c r="W757" i="1"/>
  <c r="V758" i="1"/>
  <c r="X758" i="1" s="1"/>
  <c r="W758" i="1"/>
  <c r="V759" i="1"/>
  <c r="X759" i="1" s="1"/>
  <c r="W759" i="1"/>
  <c r="V760" i="1"/>
  <c r="X760" i="1" s="1"/>
  <c r="W760" i="1"/>
  <c r="V761" i="1"/>
  <c r="X761" i="1" s="1"/>
  <c r="W761" i="1"/>
  <c r="V762" i="1"/>
  <c r="X762" i="1" s="1"/>
  <c r="W762" i="1"/>
  <c r="V763" i="1"/>
  <c r="X763" i="1" s="1"/>
  <c r="W763" i="1"/>
  <c r="V764" i="1"/>
  <c r="X764" i="1" s="1"/>
  <c r="W764" i="1"/>
  <c r="V765" i="1"/>
  <c r="X765" i="1" s="1"/>
  <c r="W765" i="1"/>
  <c r="V766" i="1"/>
  <c r="X766" i="1" s="1"/>
  <c r="W766" i="1"/>
  <c r="V767" i="1"/>
  <c r="X767" i="1" s="1"/>
  <c r="W767" i="1"/>
  <c r="V768" i="1"/>
  <c r="X768" i="1" s="1"/>
  <c r="W768" i="1"/>
  <c r="V769" i="1"/>
  <c r="X769" i="1" s="1"/>
  <c r="W769" i="1"/>
  <c r="V770" i="1"/>
  <c r="X770" i="1" s="1"/>
  <c r="W770" i="1"/>
  <c r="V771" i="1"/>
  <c r="X771" i="1" s="1"/>
  <c r="W771" i="1"/>
  <c r="V772" i="1"/>
  <c r="X772" i="1" s="1"/>
  <c r="W772" i="1"/>
  <c r="V773" i="1"/>
  <c r="X773" i="1" s="1"/>
  <c r="W773" i="1"/>
  <c r="V774" i="1"/>
  <c r="X774" i="1" s="1"/>
  <c r="W774" i="1"/>
  <c r="V775" i="1"/>
  <c r="X775" i="1" s="1"/>
  <c r="W775" i="1"/>
  <c r="V776" i="1"/>
  <c r="X776" i="1" s="1"/>
  <c r="W776" i="1"/>
  <c r="V777" i="1"/>
  <c r="X777" i="1" s="1"/>
  <c r="W777" i="1"/>
  <c r="V778" i="1"/>
  <c r="X778" i="1" s="1"/>
  <c r="W778" i="1"/>
  <c r="V779" i="1"/>
  <c r="X779" i="1" s="1"/>
  <c r="W779" i="1"/>
  <c r="V780" i="1"/>
  <c r="X780" i="1" s="1"/>
  <c r="W780" i="1"/>
  <c r="V781" i="1"/>
  <c r="X781" i="1" s="1"/>
  <c r="W781" i="1"/>
  <c r="V782" i="1"/>
  <c r="X782" i="1" s="1"/>
  <c r="W782" i="1"/>
  <c r="V783" i="1"/>
  <c r="X783" i="1" s="1"/>
  <c r="W783" i="1"/>
  <c r="V784" i="1"/>
  <c r="X784" i="1" s="1"/>
  <c r="W784" i="1"/>
  <c r="V785" i="1"/>
  <c r="X785" i="1" s="1"/>
  <c r="W785" i="1"/>
  <c r="V786" i="1"/>
  <c r="X786" i="1" s="1"/>
  <c r="W786" i="1"/>
  <c r="V787" i="1"/>
  <c r="X787" i="1" s="1"/>
  <c r="W787" i="1"/>
  <c r="V788" i="1"/>
  <c r="X788" i="1" s="1"/>
  <c r="W788" i="1"/>
  <c r="V789" i="1"/>
  <c r="X789" i="1" s="1"/>
  <c r="W789" i="1"/>
  <c r="V790" i="1"/>
  <c r="X790" i="1" s="1"/>
  <c r="W790" i="1"/>
  <c r="V791" i="1"/>
  <c r="X791" i="1" s="1"/>
  <c r="W791" i="1"/>
  <c r="V792" i="1"/>
  <c r="X792" i="1" s="1"/>
  <c r="W792" i="1"/>
  <c r="V793" i="1"/>
  <c r="X793" i="1" s="1"/>
  <c r="W793" i="1"/>
  <c r="V794" i="1"/>
  <c r="X794" i="1" s="1"/>
  <c r="W794" i="1"/>
  <c r="V795" i="1"/>
  <c r="X795" i="1" s="1"/>
  <c r="W795" i="1"/>
  <c r="V796" i="1"/>
  <c r="X796" i="1" s="1"/>
  <c r="W796" i="1"/>
  <c r="V797" i="1"/>
  <c r="X797" i="1" s="1"/>
  <c r="W797" i="1"/>
  <c r="V798" i="1"/>
  <c r="X798" i="1" s="1"/>
  <c r="W798" i="1"/>
  <c r="V799" i="1"/>
  <c r="X799" i="1" s="1"/>
  <c r="W799" i="1"/>
  <c r="V800" i="1"/>
  <c r="X800" i="1" s="1"/>
  <c r="W800" i="1"/>
  <c r="V801" i="1"/>
  <c r="X801" i="1" s="1"/>
  <c r="W801" i="1"/>
  <c r="V802" i="1"/>
  <c r="X802" i="1" s="1"/>
  <c r="W802" i="1"/>
  <c r="V803" i="1"/>
  <c r="X803" i="1" s="1"/>
  <c r="W803" i="1"/>
  <c r="V804" i="1"/>
  <c r="X804" i="1" s="1"/>
  <c r="W804" i="1"/>
  <c r="V805" i="1"/>
  <c r="X805" i="1" s="1"/>
  <c r="W805" i="1"/>
  <c r="V806" i="1"/>
  <c r="X806" i="1" s="1"/>
  <c r="W806" i="1"/>
  <c r="V807" i="1"/>
  <c r="X807" i="1" s="1"/>
  <c r="W807" i="1"/>
  <c r="V808" i="1"/>
  <c r="X808" i="1" s="1"/>
  <c r="W808" i="1"/>
  <c r="V809" i="1"/>
  <c r="X809" i="1" s="1"/>
  <c r="W809" i="1"/>
  <c r="V810" i="1"/>
  <c r="X810" i="1" s="1"/>
  <c r="W810" i="1"/>
  <c r="V811" i="1"/>
  <c r="X811" i="1" s="1"/>
  <c r="W811" i="1"/>
  <c r="V812" i="1"/>
  <c r="X812" i="1" s="1"/>
  <c r="W812" i="1"/>
  <c r="V813" i="1"/>
  <c r="X813" i="1" s="1"/>
  <c r="W813" i="1"/>
  <c r="V814" i="1"/>
  <c r="X814" i="1" s="1"/>
  <c r="W814" i="1"/>
  <c r="V815" i="1"/>
  <c r="X815" i="1" s="1"/>
  <c r="W815" i="1"/>
  <c r="V816" i="1"/>
  <c r="X816" i="1" s="1"/>
  <c r="W816" i="1"/>
  <c r="V817" i="1"/>
  <c r="X817" i="1" s="1"/>
  <c r="W817" i="1"/>
  <c r="V818" i="1"/>
  <c r="X818" i="1" s="1"/>
  <c r="W818" i="1"/>
  <c r="V819" i="1"/>
  <c r="X819" i="1" s="1"/>
  <c r="W819" i="1"/>
  <c r="V820" i="1"/>
  <c r="X820" i="1" s="1"/>
  <c r="W820" i="1"/>
  <c r="V821" i="1"/>
  <c r="X821" i="1" s="1"/>
  <c r="W821" i="1"/>
  <c r="V822" i="1"/>
  <c r="X822" i="1" s="1"/>
  <c r="W822" i="1"/>
  <c r="V823" i="1"/>
  <c r="X823" i="1" s="1"/>
  <c r="W823" i="1"/>
  <c r="V824" i="1"/>
  <c r="X824" i="1" s="1"/>
  <c r="W824" i="1"/>
  <c r="V825" i="1"/>
  <c r="X825" i="1" s="1"/>
  <c r="W825" i="1"/>
  <c r="V826" i="1"/>
  <c r="X826" i="1" s="1"/>
  <c r="W826" i="1"/>
  <c r="V827" i="1"/>
  <c r="X827" i="1" s="1"/>
  <c r="W827" i="1"/>
  <c r="V828" i="1"/>
  <c r="X828" i="1" s="1"/>
  <c r="W828" i="1"/>
  <c r="V829" i="1"/>
  <c r="X829" i="1" s="1"/>
  <c r="W829" i="1"/>
  <c r="V830" i="1"/>
  <c r="X830" i="1" s="1"/>
  <c r="W830" i="1"/>
  <c r="V831" i="1"/>
  <c r="X831" i="1" s="1"/>
  <c r="W831" i="1"/>
  <c r="V832" i="1"/>
  <c r="X832" i="1" s="1"/>
  <c r="W832" i="1"/>
  <c r="V834" i="1"/>
  <c r="X834" i="1" s="1"/>
  <c r="W834" i="1"/>
  <c r="V835" i="1"/>
  <c r="X835" i="1" s="1"/>
  <c r="W835" i="1"/>
  <c r="V836" i="1"/>
  <c r="X836" i="1" s="1"/>
  <c r="W836" i="1"/>
  <c r="V837" i="1"/>
  <c r="X837" i="1" s="1"/>
  <c r="W837" i="1"/>
  <c r="V838" i="1"/>
  <c r="X838" i="1" s="1"/>
  <c r="W838" i="1"/>
  <c r="V839" i="1"/>
  <c r="X839" i="1" s="1"/>
  <c r="W839" i="1"/>
  <c r="V840" i="1"/>
  <c r="X840" i="1" s="1"/>
  <c r="W840" i="1"/>
  <c r="V841" i="1"/>
  <c r="X841" i="1" s="1"/>
  <c r="W841" i="1"/>
  <c r="V842" i="1"/>
  <c r="X842" i="1" s="1"/>
  <c r="W842" i="1"/>
  <c r="V843" i="1"/>
  <c r="X843" i="1" s="1"/>
  <c r="W843" i="1"/>
  <c r="V844" i="1"/>
  <c r="X844" i="1" s="1"/>
  <c r="W844" i="1"/>
  <c r="V845" i="1"/>
  <c r="X845" i="1" s="1"/>
  <c r="W845" i="1"/>
  <c r="V846" i="1"/>
  <c r="X846" i="1" s="1"/>
  <c r="W846" i="1"/>
  <c r="V847" i="1"/>
  <c r="X847" i="1" s="1"/>
  <c r="W847" i="1"/>
  <c r="V848" i="1"/>
  <c r="X848" i="1" s="1"/>
  <c r="W848" i="1"/>
  <c r="V849" i="1"/>
  <c r="X849" i="1" s="1"/>
  <c r="W849" i="1"/>
  <c r="V850" i="1"/>
  <c r="X850" i="1" s="1"/>
  <c r="W850" i="1"/>
  <c r="V851" i="1"/>
  <c r="X851" i="1" s="1"/>
  <c r="W851" i="1"/>
  <c r="V852" i="1"/>
  <c r="X852" i="1" s="1"/>
  <c r="W852" i="1"/>
  <c r="V853" i="1"/>
  <c r="X853" i="1" s="1"/>
  <c r="W853" i="1"/>
  <c r="V854" i="1"/>
  <c r="X854" i="1" s="1"/>
  <c r="W854" i="1"/>
  <c r="V855" i="1"/>
  <c r="X855" i="1" s="1"/>
  <c r="W855" i="1"/>
  <c r="V856" i="1"/>
  <c r="X856" i="1" s="1"/>
  <c r="W856" i="1"/>
  <c r="V857" i="1"/>
  <c r="X857" i="1" s="1"/>
  <c r="W857" i="1"/>
  <c r="V858" i="1"/>
  <c r="X858" i="1" s="1"/>
  <c r="W858" i="1"/>
  <c r="V859" i="1"/>
  <c r="X859" i="1" s="1"/>
  <c r="W859" i="1"/>
  <c r="V860" i="1"/>
  <c r="X860" i="1" s="1"/>
  <c r="W860" i="1"/>
  <c r="V861" i="1"/>
  <c r="X861" i="1" s="1"/>
  <c r="W861" i="1"/>
  <c r="V862" i="1"/>
  <c r="X862" i="1" s="1"/>
  <c r="W862" i="1"/>
  <c r="V863" i="1"/>
  <c r="X863" i="1" s="1"/>
  <c r="W863" i="1"/>
  <c r="V864" i="1"/>
  <c r="X864" i="1" s="1"/>
  <c r="W864" i="1"/>
  <c r="V865" i="1"/>
  <c r="X865" i="1" s="1"/>
  <c r="W865" i="1"/>
  <c r="V866" i="1"/>
  <c r="X866" i="1" s="1"/>
  <c r="W866" i="1"/>
  <c r="V867" i="1"/>
  <c r="X867" i="1" s="1"/>
  <c r="W867" i="1"/>
  <c r="V868" i="1"/>
  <c r="X868" i="1" s="1"/>
  <c r="W868" i="1"/>
  <c r="V869" i="1"/>
  <c r="X869" i="1" s="1"/>
  <c r="W869" i="1"/>
  <c r="V870" i="1"/>
  <c r="X870" i="1" s="1"/>
  <c r="W870" i="1"/>
  <c r="V871" i="1"/>
  <c r="X871" i="1" s="1"/>
  <c r="W871" i="1"/>
  <c r="V872" i="1"/>
  <c r="X872" i="1" s="1"/>
  <c r="W872" i="1"/>
  <c r="V873" i="1"/>
  <c r="X873" i="1" s="1"/>
  <c r="W873" i="1"/>
  <c r="V874" i="1"/>
  <c r="X874" i="1" s="1"/>
  <c r="W874" i="1"/>
  <c r="V875" i="1"/>
  <c r="X875" i="1" s="1"/>
  <c r="W875" i="1"/>
  <c r="V876" i="1"/>
  <c r="X876" i="1" s="1"/>
  <c r="W876" i="1"/>
  <c r="V877" i="1"/>
  <c r="X877" i="1" s="1"/>
  <c r="W877" i="1"/>
  <c r="V878" i="1"/>
  <c r="X878" i="1" s="1"/>
  <c r="W878" i="1"/>
  <c r="V879" i="1"/>
  <c r="X879" i="1" s="1"/>
  <c r="W879" i="1"/>
  <c r="V880" i="1"/>
  <c r="X880" i="1" s="1"/>
  <c r="W880" i="1"/>
  <c r="V881" i="1"/>
  <c r="X881" i="1" s="1"/>
  <c r="W881" i="1"/>
  <c r="V882" i="1"/>
  <c r="X882" i="1" s="1"/>
  <c r="W882" i="1"/>
  <c r="V883" i="1"/>
  <c r="X883" i="1" s="1"/>
  <c r="W883" i="1"/>
  <c r="V884" i="1"/>
  <c r="X884" i="1" s="1"/>
  <c r="W884" i="1"/>
  <c r="V885" i="1"/>
  <c r="X885" i="1" s="1"/>
  <c r="W885" i="1"/>
  <c r="V886" i="1"/>
  <c r="X886" i="1" s="1"/>
  <c r="W886" i="1"/>
  <c r="V887" i="1"/>
  <c r="X887" i="1" s="1"/>
  <c r="W887" i="1"/>
  <c r="V888" i="1"/>
  <c r="X888" i="1" s="1"/>
  <c r="W888" i="1"/>
  <c r="V889" i="1"/>
  <c r="X889" i="1" s="1"/>
  <c r="W889" i="1"/>
  <c r="V890" i="1"/>
  <c r="X890" i="1" s="1"/>
  <c r="W890" i="1"/>
  <c r="V891" i="1"/>
  <c r="X891" i="1" s="1"/>
  <c r="W891" i="1"/>
  <c r="V892" i="1"/>
  <c r="X892" i="1" s="1"/>
  <c r="W892" i="1"/>
  <c r="V893" i="1"/>
  <c r="X893" i="1" s="1"/>
  <c r="W893" i="1"/>
  <c r="V894" i="1"/>
  <c r="X894" i="1" s="1"/>
  <c r="W894" i="1"/>
  <c r="V895" i="1"/>
  <c r="X895" i="1" s="1"/>
  <c r="W895" i="1"/>
  <c r="V896" i="1"/>
  <c r="X896" i="1" s="1"/>
  <c r="W896" i="1"/>
  <c r="V897" i="1"/>
  <c r="X897" i="1" s="1"/>
  <c r="W897" i="1"/>
  <c r="V898" i="1"/>
  <c r="X898" i="1" s="1"/>
  <c r="W898" i="1"/>
  <c r="V899" i="1"/>
  <c r="X899" i="1" s="1"/>
  <c r="W899" i="1"/>
  <c r="V900" i="1"/>
  <c r="X900" i="1" s="1"/>
  <c r="W900" i="1"/>
  <c r="V901" i="1"/>
  <c r="X901" i="1" s="1"/>
  <c r="W901" i="1"/>
  <c r="V902" i="1"/>
  <c r="X902" i="1" s="1"/>
  <c r="W902" i="1"/>
  <c r="V903" i="1"/>
  <c r="X903" i="1" s="1"/>
  <c r="W903" i="1"/>
  <c r="V904" i="1"/>
  <c r="X904" i="1" s="1"/>
  <c r="W904" i="1"/>
  <c r="V905" i="1"/>
  <c r="X905" i="1" s="1"/>
  <c r="W905" i="1"/>
  <c r="V906" i="1"/>
  <c r="X906" i="1" s="1"/>
  <c r="W906" i="1"/>
  <c r="V907" i="1"/>
  <c r="X907" i="1" s="1"/>
  <c r="W907" i="1"/>
  <c r="V908" i="1"/>
  <c r="X908" i="1" s="1"/>
  <c r="W908" i="1"/>
  <c r="V909" i="1"/>
  <c r="X909" i="1" s="1"/>
  <c r="W909" i="1"/>
  <c r="V910" i="1"/>
  <c r="X910" i="1" s="1"/>
  <c r="W910" i="1"/>
  <c r="V911" i="1"/>
  <c r="X911" i="1" s="1"/>
  <c r="W911" i="1"/>
  <c r="V912" i="1"/>
  <c r="X912" i="1" s="1"/>
  <c r="W912" i="1"/>
  <c r="V913" i="1"/>
  <c r="X913" i="1" s="1"/>
  <c r="W913" i="1"/>
  <c r="V914" i="1"/>
  <c r="X914" i="1" s="1"/>
  <c r="W914" i="1"/>
  <c r="V915" i="1"/>
  <c r="X915" i="1" s="1"/>
  <c r="W915" i="1"/>
  <c r="V916" i="1"/>
  <c r="X916" i="1" s="1"/>
  <c r="W916" i="1"/>
  <c r="V917" i="1"/>
  <c r="X917" i="1" s="1"/>
  <c r="W917" i="1"/>
  <c r="V918" i="1"/>
  <c r="X918" i="1" s="1"/>
  <c r="W918" i="1"/>
  <c r="V919" i="1"/>
  <c r="X919" i="1" s="1"/>
  <c r="W919" i="1"/>
  <c r="V920" i="1"/>
  <c r="X920" i="1" s="1"/>
  <c r="W920" i="1"/>
  <c r="V921" i="1"/>
  <c r="X921" i="1" s="1"/>
  <c r="W921" i="1"/>
  <c r="V922" i="1"/>
  <c r="X922" i="1" s="1"/>
  <c r="W922" i="1"/>
  <c r="V923" i="1"/>
  <c r="X923" i="1" s="1"/>
  <c r="W923" i="1"/>
  <c r="V924" i="1"/>
  <c r="X924" i="1" s="1"/>
  <c r="W924" i="1"/>
  <c r="V925" i="1"/>
  <c r="X925" i="1" s="1"/>
  <c r="W925" i="1"/>
  <c r="V926" i="1"/>
  <c r="X926" i="1" s="1"/>
  <c r="W926" i="1"/>
  <c r="V927" i="1"/>
  <c r="X927" i="1" s="1"/>
  <c r="W927" i="1"/>
  <c r="V928" i="1"/>
  <c r="X928" i="1" s="1"/>
  <c r="W928" i="1"/>
  <c r="V929" i="1"/>
  <c r="X929" i="1" s="1"/>
  <c r="W929" i="1"/>
  <c r="V930" i="1"/>
  <c r="X930" i="1" s="1"/>
  <c r="W930" i="1"/>
  <c r="V931" i="1"/>
  <c r="X931" i="1" s="1"/>
  <c r="W931" i="1"/>
  <c r="V932" i="1"/>
  <c r="X932" i="1" s="1"/>
  <c r="W932" i="1"/>
  <c r="V933" i="1"/>
  <c r="X933" i="1" s="1"/>
  <c r="W933" i="1"/>
  <c r="V934" i="1"/>
  <c r="X934" i="1" s="1"/>
  <c r="W934" i="1"/>
  <c r="V935" i="1"/>
  <c r="X935" i="1" s="1"/>
  <c r="W935" i="1"/>
  <c r="V936" i="1"/>
  <c r="X936" i="1" s="1"/>
  <c r="W936" i="1"/>
  <c r="V937" i="1"/>
  <c r="X937" i="1" s="1"/>
  <c r="W937" i="1"/>
  <c r="V938" i="1"/>
  <c r="X938" i="1" s="1"/>
  <c r="W938" i="1"/>
  <c r="V939" i="1"/>
  <c r="X939" i="1" s="1"/>
  <c r="W939" i="1"/>
  <c r="V940" i="1"/>
  <c r="X940" i="1" s="1"/>
  <c r="W940" i="1"/>
  <c r="V941" i="1"/>
  <c r="X941" i="1" s="1"/>
  <c r="W941" i="1"/>
  <c r="V942" i="1"/>
  <c r="X942" i="1" s="1"/>
  <c r="W942" i="1"/>
  <c r="V943" i="1"/>
  <c r="X943" i="1" s="1"/>
  <c r="W943" i="1"/>
  <c r="V944" i="1"/>
  <c r="X944" i="1" s="1"/>
  <c r="W944" i="1"/>
  <c r="V945" i="1"/>
  <c r="X945" i="1" s="1"/>
  <c r="W945" i="1"/>
  <c r="V946" i="1"/>
  <c r="X946" i="1" s="1"/>
  <c r="W946" i="1"/>
  <c r="V947" i="1"/>
  <c r="X947" i="1" s="1"/>
  <c r="W947" i="1"/>
  <c r="V948" i="1"/>
  <c r="X948" i="1" s="1"/>
  <c r="W948" i="1"/>
  <c r="V949" i="1"/>
  <c r="X949" i="1" s="1"/>
  <c r="W949" i="1"/>
  <c r="V950" i="1"/>
  <c r="X950" i="1" s="1"/>
  <c r="W950" i="1"/>
  <c r="V951" i="1"/>
  <c r="X951" i="1" s="1"/>
  <c r="W951" i="1"/>
  <c r="V952" i="1"/>
  <c r="X952" i="1" s="1"/>
  <c r="W952" i="1"/>
  <c r="V953" i="1"/>
  <c r="X953" i="1" s="1"/>
  <c r="W953" i="1"/>
  <c r="V954" i="1"/>
  <c r="X954" i="1" s="1"/>
  <c r="W954" i="1"/>
  <c r="V955" i="1"/>
  <c r="X955" i="1" s="1"/>
  <c r="W955" i="1"/>
  <c r="V956" i="1"/>
  <c r="X956" i="1" s="1"/>
  <c r="W956" i="1"/>
  <c r="V957" i="1"/>
  <c r="X957" i="1" s="1"/>
  <c r="W957" i="1"/>
  <c r="V958" i="1"/>
  <c r="X958" i="1" s="1"/>
  <c r="W958" i="1"/>
  <c r="V959" i="1"/>
  <c r="X959" i="1" s="1"/>
  <c r="W959" i="1"/>
  <c r="V961" i="1"/>
  <c r="X961" i="1" s="1"/>
  <c r="W961" i="1"/>
  <c r="V962" i="1"/>
  <c r="X962" i="1" s="1"/>
  <c r="W962" i="1"/>
  <c r="V963" i="1"/>
  <c r="X963" i="1" s="1"/>
  <c r="W963" i="1"/>
  <c r="V964" i="1"/>
  <c r="X964" i="1" s="1"/>
  <c r="W964" i="1"/>
  <c r="V965" i="1"/>
  <c r="X965" i="1" s="1"/>
  <c r="W965" i="1"/>
  <c r="V966" i="1"/>
  <c r="X966" i="1" s="1"/>
  <c r="W966" i="1"/>
  <c r="V967" i="1"/>
  <c r="X967" i="1" s="1"/>
  <c r="W967" i="1"/>
  <c r="V968" i="1"/>
  <c r="X968" i="1" s="1"/>
  <c r="W968" i="1"/>
  <c r="V969" i="1"/>
  <c r="X969" i="1" s="1"/>
  <c r="W969" i="1"/>
  <c r="V970" i="1"/>
  <c r="X970" i="1" s="1"/>
  <c r="W970" i="1"/>
  <c r="V971" i="1"/>
  <c r="X971" i="1" s="1"/>
  <c r="W971" i="1"/>
  <c r="V972" i="1"/>
  <c r="X972" i="1" s="1"/>
  <c r="W972" i="1"/>
  <c r="V973" i="1"/>
  <c r="X973" i="1" s="1"/>
  <c r="W973" i="1"/>
  <c r="V974" i="1"/>
  <c r="X974" i="1" s="1"/>
  <c r="W974" i="1"/>
  <c r="V975" i="1"/>
  <c r="X975" i="1" s="1"/>
  <c r="W975" i="1"/>
  <c r="V976" i="1"/>
  <c r="X976" i="1" s="1"/>
  <c r="W976" i="1"/>
  <c r="V977" i="1"/>
  <c r="X977" i="1" s="1"/>
  <c r="W977" i="1"/>
  <c r="V978" i="1"/>
  <c r="X978" i="1" s="1"/>
  <c r="W978" i="1"/>
  <c r="V979" i="1"/>
  <c r="X979" i="1" s="1"/>
  <c r="W979" i="1"/>
  <c r="V980" i="1"/>
  <c r="X980" i="1" s="1"/>
  <c r="W980" i="1"/>
  <c r="V981" i="1"/>
  <c r="X981" i="1" s="1"/>
  <c r="W981" i="1"/>
  <c r="V982" i="1"/>
  <c r="X982" i="1" s="1"/>
  <c r="W982" i="1"/>
  <c r="V983" i="1"/>
  <c r="X983" i="1" s="1"/>
  <c r="W983" i="1"/>
  <c r="V984" i="1"/>
  <c r="X984" i="1" s="1"/>
  <c r="W984" i="1"/>
  <c r="V985" i="1"/>
  <c r="X985" i="1" s="1"/>
  <c r="W985" i="1"/>
  <c r="V986" i="1"/>
  <c r="X986" i="1" s="1"/>
  <c r="W986" i="1"/>
  <c r="V987" i="1"/>
  <c r="X987" i="1" s="1"/>
  <c r="W987" i="1"/>
  <c r="V988" i="1"/>
  <c r="X988" i="1" s="1"/>
  <c r="W988" i="1"/>
  <c r="V989" i="1"/>
  <c r="X989" i="1" s="1"/>
  <c r="W989" i="1"/>
  <c r="V990" i="1"/>
  <c r="X990" i="1" s="1"/>
  <c r="W990" i="1"/>
  <c r="V991" i="1"/>
  <c r="X991" i="1" s="1"/>
  <c r="W991" i="1"/>
  <c r="V992" i="1"/>
  <c r="X992" i="1" s="1"/>
  <c r="W992" i="1"/>
  <c r="V993" i="1"/>
  <c r="X993" i="1" s="1"/>
  <c r="W993" i="1"/>
  <c r="V994" i="1"/>
  <c r="X994" i="1" s="1"/>
  <c r="W994" i="1"/>
  <c r="V995" i="1"/>
  <c r="X995" i="1" s="1"/>
  <c r="W995" i="1"/>
  <c r="V996" i="1"/>
  <c r="X996" i="1" s="1"/>
  <c r="W996" i="1"/>
  <c r="V997" i="1"/>
  <c r="X997" i="1" s="1"/>
  <c r="W997" i="1"/>
  <c r="V998" i="1"/>
  <c r="X998" i="1" s="1"/>
  <c r="W998" i="1"/>
  <c r="V999" i="1"/>
  <c r="X999" i="1" s="1"/>
  <c r="W999" i="1"/>
  <c r="V620" i="1"/>
  <c r="V601" i="1" l="1"/>
  <c r="X601" i="1" s="1"/>
  <c r="W601" i="1"/>
  <c r="V602" i="1"/>
  <c r="X602" i="1" s="1"/>
  <c r="W602" i="1"/>
  <c r="V603" i="1"/>
  <c r="X603" i="1" s="1"/>
  <c r="W603" i="1"/>
  <c r="V604" i="1"/>
  <c r="X604" i="1" s="1"/>
  <c r="W604" i="1"/>
  <c r="V605" i="1"/>
  <c r="X605" i="1" s="1"/>
  <c r="W605" i="1"/>
  <c r="V606" i="1"/>
  <c r="X606" i="1" s="1"/>
  <c r="W606" i="1"/>
  <c r="V607" i="1"/>
  <c r="X607" i="1" s="1"/>
  <c r="W607" i="1"/>
  <c r="V608" i="1"/>
  <c r="X608" i="1" s="1"/>
  <c r="W608" i="1"/>
  <c r="V609" i="1"/>
  <c r="X609" i="1" s="1"/>
  <c r="W609" i="1"/>
  <c r="V610" i="1"/>
  <c r="X610" i="1" s="1"/>
  <c r="W610" i="1"/>
  <c r="V611" i="1"/>
  <c r="X611" i="1" s="1"/>
  <c r="W611" i="1"/>
  <c r="V612" i="1"/>
  <c r="X612" i="1" s="1"/>
  <c r="W612" i="1"/>
  <c r="V613" i="1"/>
  <c r="X613" i="1" s="1"/>
  <c r="W613" i="1"/>
  <c r="V614" i="1"/>
  <c r="X614" i="1" s="1"/>
  <c r="W614" i="1"/>
  <c r="V615" i="1"/>
  <c r="X615" i="1" s="1"/>
  <c r="W615" i="1"/>
  <c r="V616" i="1"/>
  <c r="X616" i="1" s="1"/>
  <c r="W616" i="1"/>
  <c r="V617" i="1"/>
  <c r="X617" i="1" s="1"/>
  <c r="W617" i="1"/>
  <c r="V618" i="1"/>
  <c r="X618" i="1" s="1"/>
  <c r="W618" i="1"/>
  <c r="V619" i="1"/>
  <c r="X619" i="1" s="1"/>
  <c r="W619" i="1"/>
  <c r="W620" i="1"/>
  <c r="X620" i="1"/>
  <c r="V621" i="1"/>
  <c r="X621" i="1" s="1"/>
  <c r="W621" i="1"/>
  <c r="V622" i="1"/>
  <c r="X622" i="1" s="1"/>
  <c r="W622" i="1"/>
  <c r="V502" i="1" l="1"/>
  <c r="X502" i="1" s="1"/>
  <c r="W502" i="1"/>
  <c r="V503" i="1"/>
  <c r="X503" i="1" s="1"/>
  <c r="W503" i="1"/>
  <c r="V504" i="1"/>
  <c r="X504" i="1" s="1"/>
  <c r="W504" i="1"/>
  <c r="V505" i="1"/>
  <c r="X505" i="1" s="1"/>
  <c r="W505" i="1"/>
  <c r="V506" i="1"/>
  <c r="X506" i="1" s="1"/>
  <c r="W506" i="1"/>
  <c r="V507" i="1"/>
  <c r="X507" i="1" s="1"/>
  <c r="W507" i="1"/>
  <c r="V508" i="1"/>
  <c r="X508" i="1" s="1"/>
  <c r="W508" i="1"/>
  <c r="V509" i="1"/>
  <c r="X509" i="1" s="1"/>
  <c r="W509" i="1"/>
  <c r="V510" i="1"/>
  <c r="X510" i="1" s="1"/>
  <c r="W510" i="1"/>
  <c r="V511" i="1"/>
  <c r="X511" i="1" s="1"/>
  <c r="W511" i="1"/>
  <c r="V512" i="1"/>
  <c r="X512" i="1" s="1"/>
  <c r="W512" i="1"/>
  <c r="V513" i="1"/>
  <c r="X513" i="1" s="1"/>
  <c r="W513" i="1"/>
  <c r="V514" i="1"/>
  <c r="X514" i="1" s="1"/>
  <c r="W514" i="1"/>
  <c r="V515" i="1"/>
  <c r="X515" i="1" s="1"/>
  <c r="W515" i="1"/>
  <c r="V516" i="1"/>
  <c r="X516" i="1" s="1"/>
  <c r="W516" i="1"/>
  <c r="V517" i="1"/>
  <c r="X517" i="1" s="1"/>
  <c r="W517" i="1"/>
  <c r="V518" i="1"/>
  <c r="X518" i="1" s="1"/>
  <c r="W518" i="1"/>
  <c r="V519" i="1"/>
  <c r="X519" i="1" s="1"/>
  <c r="W519" i="1"/>
  <c r="V520" i="1"/>
  <c r="X520" i="1" s="1"/>
  <c r="W520" i="1"/>
  <c r="V521" i="1"/>
  <c r="X521" i="1" s="1"/>
  <c r="W521" i="1"/>
  <c r="V522" i="1"/>
  <c r="X522" i="1" s="1"/>
  <c r="W522" i="1"/>
  <c r="V523" i="1"/>
  <c r="X523" i="1" s="1"/>
  <c r="W523" i="1"/>
  <c r="V524" i="1"/>
  <c r="X524" i="1" s="1"/>
  <c r="W524" i="1"/>
  <c r="V525" i="1"/>
  <c r="X525" i="1" s="1"/>
  <c r="W525" i="1"/>
  <c r="V526" i="1"/>
  <c r="X526" i="1" s="1"/>
  <c r="W526" i="1"/>
  <c r="V527" i="1"/>
  <c r="X527" i="1" s="1"/>
  <c r="W527" i="1"/>
  <c r="V528" i="1"/>
  <c r="X528" i="1" s="1"/>
  <c r="W528" i="1"/>
  <c r="V529" i="1"/>
  <c r="X529" i="1" s="1"/>
  <c r="W529" i="1"/>
  <c r="V530" i="1"/>
  <c r="X530" i="1" s="1"/>
  <c r="W530" i="1"/>
  <c r="V531" i="1"/>
  <c r="X531" i="1" s="1"/>
  <c r="W531" i="1"/>
  <c r="V532" i="1"/>
  <c r="X532" i="1" s="1"/>
  <c r="W532" i="1"/>
  <c r="V533" i="1"/>
  <c r="X533" i="1" s="1"/>
  <c r="W533" i="1"/>
  <c r="V534" i="1"/>
  <c r="X534" i="1" s="1"/>
  <c r="W534" i="1"/>
  <c r="V535" i="1"/>
  <c r="X535" i="1" s="1"/>
  <c r="W535" i="1"/>
  <c r="V536" i="1"/>
  <c r="X536" i="1" s="1"/>
  <c r="W536" i="1"/>
  <c r="V537" i="1"/>
  <c r="X537" i="1" s="1"/>
  <c r="W537" i="1"/>
  <c r="V538" i="1"/>
  <c r="X538" i="1" s="1"/>
  <c r="W538" i="1"/>
  <c r="V539" i="1"/>
  <c r="X539" i="1" s="1"/>
  <c r="W539" i="1"/>
  <c r="V540" i="1"/>
  <c r="X540" i="1" s="1"/>
  <c r="W540" i="1"/>
  <c r="V541" i="1"/>
  <c r="X541" i="1" s="1"/>
  <c r="W541" i="1"/>
  <c r="V542" i="1"/>
  <c r="X542" i="1" s="1"/>
  <c r="W542" i="1"/>
  <c r="V543" i="1"/>
  <c r="X543" i="1" s="1"/>
  <c r="W543" i="1"/>
  <c r="V544" i="1"/>
  <c r="X544" i="1" s="1"/>
  <c r="W544" i="1"/>
  <c r="V545" i="1"/>
  <c r="X545" i="1" s="1"/>
  <c r="W545" i="1"/>
  <c r="V546" i="1"/>
  <c r="X546" i="1" s="1"/>
  <c r="W546" i="1"/>
  <c r="V547" i="1"/>
  <c r="X547" i="1" s="1"/>
  <c r="W547" i="1"/>
  <c r="V548" i="1"/>
  <c r="X548" i="1" s="1"/>
  <c r="W548" i="1"/>
  <c r="V549" i="1"/>
  <c r="X549" i="1" s="1"/>
  <c r="W549" i="1"/>
  <c r="V550" i="1"/>
  <c r="X550" i="1" s="1"/>
  <c r="W550" i="1"/>
  <c r="V551" i="1"/>
  <c r="X551" i="1" s="1"/>
  <c r="W551" i="1"/>
  <c r="V552" i="1"/>
  <c r="X552" i="1" s="1"/>
  <c r="W552" i="1"/>
  <c r="V553" i="1"/>
  <c r="X553" i="1" s="1"/>
  <c r="W553" i="1"/>
  <c r="V554" i="1"/>
  <c r="X554" i="1" s="1"/>
  <c r="W554" i="1"/>
  <c r="V555" i="1"/>
  <c r="X555" i="1" s="1"/>
  <c r="W555" i="1"/>
  <c r="V556" i="1"/>
  <c r="X556" i="1" s="1"/>
  <c r="W556" i="1"/>
  <c r="V557" i="1"/>
  <c r="X557" i="1" s="1"/>
  <c r="W557" i="1"/>
  <c r="V558" i="1"/>
  <c r="X558" i="1" s="1"/>
  <c r="W558" i="1"/>
  <c r="V559" i="1"/>
  <c r="X559" i="1" s="1"/>
  <c r="W559" i="1"/>
  <c r="V560" i="1"/>
  <c r="X560" i="1" s="1"/>
  <c r="W560" i="1"/>
  <c r="V561" i="1"/>
  <c r="X561" i="1" s="1"/>
  <c r="W561" i="1"/>
  <c r="V562" i="1"/>
  <c r="X562" i="1" s="1"/>
  <c r="W562" i="1"/>
  <c r="V563" i="1"/>
  <c r="X563" i="1" s="1"/>
  <c r="W563" i="1"/>
  <c r="V564" i="1"/>
  <c r="X564" i="1" s="1"/>
  <c r="W564" i="1"/>
  <c r="V565" i="1"/>
  <c r="X565" i="1" s="1"/>
  <c r="W565" i="1"/>
  <c r="V566" i="1"/>
  <c r="X566" i="1" s="1"/>
  <c r="W566" i="1"/>
  <c r="V567" i="1"/>
  <c r="X567" i="1" s="1"/>
  <c r="W567" i="1"/>
  <c r="V568" i="1"/>
  <c r="X568" i="1" s="1"/>
  <c r="W568" i="1"/>
  <c r="V569" i="1"/>
  <c r="X569" i="1" s="1"/>
  <c r="W569" i="1"/>
  <c r="V570" i="1"/>
  <c r="X570" i="1" s="1"/>
  <c r="W570" i="1"/>
  <c r="V571" i="1"/>
  <c r="X571" i="1" s="1"/>
  <c r="W571" i="1"/>
  <c r="V572" i="1"/>
  <c r="X572" i="1" s="1"/>
  <c r="W572" i="1"/>
  <c r="V573" i="1"/>
  <c r="X573" i="1" s="1"/>
  <c r="W573" i="1"/>
  <c r="V574" i="1"/>
  <c r="X574" i="1" s="1"/>
  <c r="W574" i="1"/>
  <c r="V575" i="1"/>
  <c r="X575" i="1" s="1"/>
  <c r="W575" i="1"/>
  <c r="V576" i="1"/>
  <c r="X576" i="1" s="1"/>
  <c r="W576" i="1"/>
  <c r="V577" i="1"/>
  <c r="X577" i="1" s="1"/>
  <c r="W577" i="1"/>
  <c r="V578" i="1"/>
  <c r="X578" i="1" s="1"/>
  <c r="W578" i="1"/>
  <c r="V579" i="1"/>
  <c r="X579" i="1" s="1"/>
  <c r="W579" i="1"/>
  <c r="V580" i="1"/>
  <c r="X580" i="1" s="1"/>
  <c r="W580" i="1"/>
  <c r="V581" i="1"/>
  <c r="X581" i="1" s="1"/>
  <c r="W581" i="1"/>
  <c r="V582" i="1"/>
  <c r="X582" i="1" s="1"/>
  <c r="W582" i="1"/>
  <c r="V583" i="1"/>
  <c r="X583" i="1" s="1"/>
  <c r="W583" i="1"/>
  <c r="V584" i="1"/>
  <c r="X584" i="1" s="1"/>
  <c r="W584" i="1"/>
  <c r="V585" i="1"/>
  <c r="X585" i="1" s="1"/>
  <c r="W585" i="1"/>
  <c r="V586" i="1"/>
  <c r="X586" i="1" s="1"/>
  <c r="W586" i="1"/>
  <c r="V587" i="1"/>
  <c r="X587" i="1" s="1"/>
  <c r="W587" i="1"/>
  <c r="V588" i="1"/>
  <c r="X588" i="1" s="1"/>
  <c r="W588" i="1"/>
  <c r="V589" i="1"/>
  <c r="X589" i="1" s="1"/>
  <c r="W589" i="1"/>
  <c r="V590" i="1"/>
  <c r="X590" i="1" s="1"/>
  <c r="W590" i="1"/>
  <c r="V591" i="1"/>
  <c r="X591" i="1" s="1"/>
  <c r="W591" i="1"/>
  <c r="V592" i="1"/>
  <c r="X592" i="1" s="1"/>
  <c r="W592" i="1"/>
  <c r="V593" i="1"/>
  <c r="X593" i="1" s="1"/>
  <c r="W593" i="1"/>
  <c r="V594" i="1"/>
  <c r="X594" i="1" s="1"/>
  <c r="W594" i="1"/>
  <c r="V595" i="1"/>
  <c r="X595" i="1" s="1"/>
  <c r="W595" i="1"/>
  <c r="V596" i="1"/>
  <c r="X596" i="1" s="1"/>
  <c r="W596" i="1"/>
  <c r="V597" i="1"/>
  <c r="X597" i="1" s="1"/>
  <c r="W597" i="1"/>
  <c r="V598" i="1"/>
  <c r="X598" i="1" s="1"/>
  <c r="W598" i="1"/>
  <c r="V599" i="1"/>
  <c r="X599" i="1" s="1"/>
  <c r="W599" i="1"/>
  <c r="V600" i="1"/>
  <c r="X600" i="1" s="1"/>
  <c r="W600" i="1"/>
  <c r="V484" i="1" l="1"/>
  <c r="X484" i="1" s="1"/>
  <c r="W484" i="1"/>
  <c r="G16" i="2" l="1"/>
  <c r="V452" i="1"/>
  <c r="V402" i="1" l="1"/>
  <c r="X402" i="1" s="1"/>
  <c r="W402" i="1"/>
  <c r="V403" i="1"/>
  <c r="X403" i="1" s="1"/>
  <c r="W403" i="1"/>
  <c r="V404" i="1"/>
  <c r="X404" i="1" s="1"/>
  <c r="W404" i="1"/>
  <c r="V405" i="1"/>
  <c r="X405" i="1" s="1"/>
  <c r="W405" i="1"/>
  <c r="V406" i="1"/>
  <c r="X406" i="1" s="1"/>
  <c r="W406" i="1"/>
  <c r="V407" i="1"/>
  <c r="X407" i="1" s="1"/>
  <c r="W407" i="1"/>
  <c r="V408" i="1"/>
  <c r="X408" i="1" s="1"/>
  <c r="W408" i="1"/>
  <c r="V409" i="1"/>
  <c r="X409" i="1" s="1"/>
  <c r="W409" i="1"/>
  <c r="V410" i="1"/>
  <c r="X410" i="1" s="1"/>
  <c r="W410" i="1"/>
  <c r="V411" i="1"/>
  <c r="X411" i="1" s="1"/>
  <c r="W411" i="1"/>
  <c r="V412" i="1"/>
  <c r="X412" i="1" s="1"/>
  <c r="W412" i="1"/>
  <c r="V413" i="1"/>
  <c r="X413" i="1" s="1"/>
  <c r="W413" i="1"/>
  <c r="V414" i="1"/>
  <c r="X414" i="1" s="1"/>
  <c r="W414" i="1"/>
  <c r="V415" i="1"/>
  <c r="X415" i="1" s="1"/>
  <c r="W415" i="1"/>
  <c r="V416" i="1"/>
  <c r="X416" i="1" s="1"/>
  <c r="W416" i="1"/>
  <c r="V417" i="1"/>
  <c r="X417" i="1" s="1"/>
  <c r="W417" i="1"/>
  <c r="V418" i="1"/>
  <c r="X418" i="1" s="1"/>
  <c r="W418" i="1"/>
  <c r="V419" i="1"/>
  <c r="X419" i="1" s="1"/>
  <c r="W419" i="1"/>
  <c r="V420" i="1"/>
  <c r="X420" i="1" s="1"/>
  <c r="W420" i="1"/>
  <c r="V421" i="1"/>
  <c r="X421" i="1" s="1"/>
  <c r="W421" i="1"/>
  <c r="V422" i="1"/>
  <c r="X422" i="1" s="1"/>
  <c r="W422" i="1"/>
  <c r="V423" i="1"/>
  <c r="X423" i="1" s="1"/>
  <c r="W423" i="1"/>
  <c r="V424" i="1"/>
  <c r="X424" i="1" s="1"/>
  <c r="W424" i="1"/>
  <c r="V425" i="1"/>
  <c r="X425" i="1" s="1"/>
  <c r="W425" i="1"/>
  <c r="V426" i="1"/>
  <c r="X426" i="1" s="1"/>
  <c r="W426" i="1"/>
  <c r="V427" i="1"/>
  <c r="X427" i="1" s="1"/>
  <c r="W427" i="1"/>
  <c r="V428" i="1"/>
  <c r="X428" i="1" s="1"/>
  <c r="W428" i="1"/>
  <c r="V429" i="1"/>
  <c r="X429" i="1" s="1"/>
  <c r="W429" i="1"/>
  <c r="V430" i="1"/>
  <c r="X430" i="1" s="1"/>
  <c r="W430" i="1"/>
  <c r="V431" i="1"/>
  <c r="X431" i="1" s="1"/>
  <c r="W431" i="1"/>
  <c r="V432" i="1"/>
  <c r="X432" i="1" s="1"/>
  <c r="W432" i="1"/>
  <c r="V433" i="1"/>
  <c r="X433" i="1" s="1"/>
  <c r="W433" i="1"/>
  <c r="V434" i="1"/>
  <c r="X434" i="1" s="1"/>
  <c r="W434" i="1"/>
  <c r="V435" i="1"/>
  <c r="X435" i="1" s="1"/>
  <c r="W435" i="1"/>
  <c r="V436" i="1"/>
  <c r="X436" i="1" s="1"/>
  <c r="W436" i="1"/>
  <c r="V437" i="1"/>
  <c r="X437" i="1" s="1"/>
  <c r="W437" i="1"/>
  <c r="V438" i="1"/>
  <c r="X438" i="1" s="1"/>
  <c r="W438" i="1"/>
  <c r="V439" i="1"/>
  <c r="X439" i="1" s="1"/>
  <c r="W439" i="1"/>
  <c r="V440" i="1"/>
  <c r="X440" i="1" s="1"/>
  <c r="W440" i="1"/>
  <c r="V441" i="1"/>
  <c r="X441" i="1" s="1"/>
  <c r="W441" i="1"/>
  <c r="V442" i="1"/>
  <c r="X442" i="1" s="1"/>
  <c r="W442" i="1"/>
  <c r="V443" i="1"/>
  <c r="X443" i="1" s="1"/>
  <c r="W443" i="1"/>
  <c r="V444" i="1"/>
  <c r="X444" i="1" s="1"/>
  <c r="W444" i="1"/>
  <c r="V445" i="1"/>
  <c r="X445" i="1" s="1"/>
  <c r="W445" i="1"/>
  <c r="V446" i="1"/>
  <c r="X446" i="1" s="1"/>
  <c r="W446" i="1"/>
  <c r="V447" i="1"/>
  <c r="X447" i="1" s="1"/>
  <c r="W447" i="1"/>
  <c r="V448" i="1"/>
  <c r="X448" i="1" s="1"/>
  <c r="W448" i="1"/>
  <c r="V449" i="1"/>
  <c r="X449" i="1" s="1"/>
  <c r="W449" i="1"/>
  <c r="V450" i="1"/>
  <c r="X450" i="1" s="1"/>
  <c r="W450" i="1"/>
  <c r="V451" i="1"/>
  <c r="X451" i="1" s="1"/>
  <c r="W451" i="1"/>
  <c r="W452" i="1"/>
  <c r="X452" i="1"/>
  <c r="V453" i="1"/>
  <c r="X453" i="1" s="1"/>
  <c r="W453" i="1"/>
  <c r="V454" i="1"/>
  <c r="X454" i="1" s="1"/>
  <c r="W454" i="1"/>
  <c r="V455" i="1"/>
  <c r="X455" i="1" s="1"/>
  <c r="W455" i="1"/>
  <c r="V456" i="1"/>
  <c r="X456" i="1" s="1"/>
  <c r="W456" i="1"/>
  <c r="V457" i="1"/>
  <c r="X457" i="1" s="1"/>
  <c r="W457" i="1"/>
  <c r="V458" i="1"/>
  <c r="X458" i="1" s="1"/>
  <c r="W458" i="1"/>
  <c r="V459" i="1"/>
  <c r="X459" i="1" s="1"/>
  <c r="W459" i="1"/>
  <c r="V460" i="1"/>
  <c r="X460" i="1" s="1"/>
  <c r="W460" i="1"/>
  <c r="V461" i="1"/>
  <c r="X461" i="1" s="1"/>
  <c r="W461" i="1"/>
  <c r="V462" i="1"/>
  <c r="X462" i="1" s="1"/>
  <c r="W462" i="1"/>
  <c r="V463" i="1"/>
  <c r="X463" i="1" s="1"/>
  <c r="W463" i="1"/>
  <c r="V464" i="1"/>
  <c r="X464" i="1" s="1"/>
  <c r="W464" i="1"/>
  <c r="V465" i="1"/>
  <c r="X465" i="1" s="1"/>
  <c r="W465" i="1"/>
  <c r="V466" i="1"/>
  <c r="X466" i="1" s="1"/>
  <c r="W466" i="1"/>
  <c r="V467" i="1"/>
  <c r="X467" i="1" s="1"/>
  <c r="W467" i="1"/>
  <c r="V468" i="1"/>
  <c r="X468" i="1" s="1"/>
  <c r="W468" i="1"/>
  <c r="V469" i="1"/>
  <c r="X469" i="1" s="1"/>
  <c r="W469" i="1"/>
  <c r="V470" i="1"/>
  <c r="X470" i="1" s="1"/>
  <c r="W470" i="1"/>
  <c r="V471" i="1"/>
  <c r="X471" i="1" s="1"/>
  <c r="W471" i="1"/>
  <c r="V472" i="1"/>
  <c r="X472" i="1" s="1"/>
  <c r="W472" i="1"/>
  <c r="V473" i="1"/>
  <c r="X473" i="1" s="1"/>
  <c r="W473" i="1"/>
  <c r="V474" i="1"/>
  <c r="X474" i="1" s="1"/>
  <c r="W474" i="1"/>
  <c r="V475" i="1"/>
  <c r="X475" i="1" s="1"/>
  <c r="W475" i="1"/>
  <c r="V476" i="1"/>
  <c r="X476" i="1" s="1"/>
  <c r="W476" i="1"/>
  <c r="V477" i="1"/>
  <c r="X477" i="1" s="1"/>
  <c r="W477" i="1"/>
  <c r="V478" i="1"/>
  <c r="X478" i="1" s="1"/>
  <c r="W478" i="1"/>
  <c r="V479" i="1"/>
  <c r="X479" i="1" s="1"/>
  <c r="W479" i="1"/>
  <c r="V480" i="1"/>
  <c r="X480" i="1" s="1"/>
  <c r="W480" i="1"/>
  <c r="V481" i="1"/>
  <c r="X481" i="1" s="1"/>
  <c r="W481" i="1"/>
  <c r="V482" i="1"/>
  <c r="X482" i="1" s="1"/>
  <c r="W482" i="1"/>
  <c r="V483" i="1"/>
  <c r="X483" i="1" s="1"/>
  <c r="W483" i="1"/>
  <c r="V485" i="1"/>
  <c r="X485" i="1" s="1"/>
  <c r="W485" i="1"/>
  <c r="V486" i="1"/>
  <c r="X486" i="1" s="1"/>
  <c r="W486" i="1"/>
  <c r="V487" i="1"/>
  <c r="X487" i="1" s="1"/>
  <c r="W487" i="1"/>
  <c r="V488" i="1"/>
  <c r="X488" i="1" s="1"/>
  <c r="W488" i="1"/>
  <c r="V489" i="1"/>
  <c r="X489" i="1" s="1"/>
  <c r="W489" i="1"/>
  <c r="V490" i="1"/>
  <c r="X490" i="1" s="1"/>
  <c r="W490" i="1"/>
  <c r="V491" i="1"/>
  <c r="X491" i="1" s="1"/>
  <c r="W491" i="1"/>
  <c r="V492" i="1"/>
  <c r="X492" i="1" s="1"/>
  <c r="W492" i="1"/>
  <c r="V493" i="1"/>
  <c r="X493" i="1" s="1"/>
  <c r="W493" i="1"/>
  <c r="V494" i="1"/>
  <c r="X494" i="1" s="1"/>
  <c r="W494" i="1"/>
  <c r="V495" i="1"/>
  <c r="X495" i="1" s="1"/>
  <c r="W495" i="1"/>
  <c r="V496" i="1"/>
  <c r="X496" i="1" s="1"/>
  <c r="W496" i="1"/>
  <c r="V497" i="1"/>
  <c r="X497" i="1" s="1"/>
  <c r="W497" i="1"/>
  <c r="V498" i="1"/>
  <c r="X498" i="1" s="1"/>
  <c r="W498" i="1"/>
  <c r="V499" i="1"/>
  <c r="X499" i="1" s="1"/>
  <c r="W499" i="1"/>
  <c r="V500" i="1"/>
  <c r="X500" i="1" s="1"/>
  <c r="W500" i="1"/>
  <c r="V501" i="1"/>
  <c r="X501" i="1" s="1"/>
  <c r="W501" i="1"/>
  <c r="W324" i="1" l="1"/>
  <c r="V302" i="1" l="1"/>
  <c r="X302" i="1" s="1"/>
  <c r="W302" i="1"/>
  <c r="V303" i="1"/>
  <c r="X303" i="1" s="1"/>
  <c r="W303" i="1"/>
  <c r="V304" i="1"/>
  <c r="X304" i="1" s="1"/>
  <c r="W304" i="1"/>
  <c r="V305" i="1"/>
  <c r="X305" i="1" s="1"/>
  <c r="W305" i="1"/>
  <c r="V306" i="1"/>
  <c r="X306" i="1" s="1"/>
  <c r="W306" i="1"/>
  <c r="V307" i="1"/>
  <c r="X307" i="1" s="1"/>
  <c r="W307" i="1"/>
  <c r="V308" i="1"/>
  <c r="X308" i="1" s="1"/>
  <c r="W308" i="1"/>
  <c r="V309" i="1"/>
  <c r="X309" i="1" s="1"/>
  <c r="W309" i="1"/>
  <c r="V310" i="1"/>
  <c r="X310" i="1" s="1"/>
  <c r="W310" i="1"/>
  <c r="V311" i="1"/>
  <c r="X311" i="1" s="1"/>
  <c r="W311" i="1"/>
  <c r="V312" i="1"/>
  <c r="X312" i="1" s="1"/>
  <c r="W312" i="1"/>
  <c r="V313" i="1"/>
  <c r="X313" i="1" s="1"/>
  <c r="W313" i="1"/>
  <c r="V314" i="1"/>
  <c r="X314" i="1" s="1"/>
  <c r="W314" i="1"/>
  <c r="V315" i="1"/>
  <c r="X315" i="1" s="1"/>
  <c r="W315" i="1"/>
  <c r="V316" i="1"/>
  <c r="X316" i="1" s="1"/>
  <c r="W316" i="1"/>
  <c r="V317" i="1"/>
  <c r="X317" i="1" s="1"/>
  <c r="W317" i="1"/>
  <c r="V318" i="1"/>
  <c r="X318" i="1" s="1"/>
  <c r="W318" i="1"/>
  <c r="V319" i="1"/>
  <c r="X319" i="1" s="1"/>
  <c r="W319" i="1"/>
  <c r="V320" i="1"/>
  <c r="X320" i="1" s="1"/>
  <c r="W320" i="1"/>
  <c r="V321" i="1"/>
  <c r="X321" i="1" s="1"/>
  <c r="W321" i="1"/>
  <c r="V322" i="1"/>
  <c r="X322" i="1" s="1"/>
  <c r="W322" i="1"/>
  <c r="V323" i="1"/>
  <c r="X323" i="1" s="1"/>
  <c r="W323" i="1"/>
  <c r="V324" i="1"/>
  <c r="X324" i="1" s="1"/>
  <c r="V325" i="1"/>
  <c r="X325" i="1" s="1"/>
  <c r="W325" i="1"/>
  <c r="V326" i="1"/>
  <c r="X326" i="1" s="1"/>
  <c r="W326" i="1"/>
  <c r="V327" i="1"/>
  <c r="X327" i="1" s="1"/>
  <c r="W327" i="1"/>
  <c r="V328" i="1"/>
  <c r="X328" i="1" s="1"/>
  <c r="W328" i="1"/>
  <c r="V329" i="1"/>
  <c r="X329" i="1" s="1"/>
  <c r="W329" i="1"/>
  <c r="V330" i="1"/>
  <c r="X330" i="1" s="1"/>
  <c r="W330" i="1"/>
  <c r="V331" i="1"/>
  <c r="X331" i="1" s="1"/>
  <c r="W331" i="1"/>
  <c r="V332" i="1"/>
  <c r="X332" i="1" s="1"/>
  <c r="W332" i="1"/>
  <c r="V333" i="1"/>
  <c r="X333" i="1" s="1"/>
  <c r="W333" i="1"/>
  <c r="V334" i="1"/>
  <c r="X334" i="1" s="1"/>
  <c r="W334" i="1"/>
  <c r="V335" i="1"/>
  <c r="X335" i="1" s="1"/>
  <c r="W335" i="1"/>
  <c r="V336" i="1"/>
  <c r="X336" i="1" s="1"/>
  <c r="W336" i="1"/>
  <c r="V337" i="1"/>
  <c r="W337" i="1"/>
  <c r="X337" i="1"/>
  <c r="V338" i="1"/>
  <c r="X338" i="1" s="1"/>
  <c r="W338" i="1"/>
  <c r="V339" i="1"/>
  <c r="X339" i="1" s="1"/>
  <c r="W339" i="1"/>
  <c r="V340" i="1"/>
  <c r="X340" i="1" s="1"/>
  <c r="W340" i="1"/>
  <c r="V341" i="1"/>
  <c r="X341" i="1" s="1"/>
  <c r="W341" i="1"/>
  <c r="V342" i="1"/>
  <c r="X342" i="1" s="1"/>
  <c r="W342" i="1"/>
  <c r="V343" i="1"/>
  <c r="X343" i="1" s="1"/>
  <c r="W343" i="1"/>
  <c r="V344" i="1"/>
  <c r="X344" i="1" s="1"/>
  <c r="W344" i="1"/>
  <c r="V345" i="1"/>
  <c r="X345" i="1" s="1"/>
  <c r="W345" i="1"/>
  <c r="V346" i="1"/>
  <c r="X346" i="1" s="1"/>
  <c r="W346" i="1"/>
  <c r="V347" i="1"/>
  <c r="X347" i="1" s="1"/>
  <c r="W347" i="1"/>
  <c r="V348" i="1"/>
  <c r="X348" i="1" s="1"/>
  <c r="W348" i="1"/>
  <c r="V349" i="1"/>
  <c r="X349" i="1" s="1"/>
  <c r="W349" i="1"/>
  <c r="V350" i="1"/>
  <c r="X350" i="1" s="1"/>
  <c r="W350" i="1"/>
  <c r="V351" i="1"/>
  <c r="X351" i="1" s="1"/>
  <c r="W351" i="1"/>
  <c r="V352" i="1"/>
  <c r="X352" i="1" s="1"/>
  <c r="W352" i="1"/>
  <c r="V353" i="1"/>
  <c r="X353" i="1" s="1"/>
  <c r="W353" i="1"/>
  <c r="V354" i="1"/>
  <c r="X354" i="1" s="1"/>
  <c r="W354" i="1"/>
  <c r="V355" i="1"/>
  <c r="X355" i="1" s="1"/>
  <c r="W355" i="1"/>
  <c r="V356" i="1"/>
  <c r="X356" i="1" s="1"/>
  <c r="W356" i="1"/>
  <c r="V357" i="1"/>
  <c r="X357" i="1" s="1"/>
  <c r="W357" i="1"/>
  <c r="V358" i="1"/>
  <c r="X358" i="1" s="1"/>
  <c r="W358" i="1"/>
  <c r="V359" i="1"/>
  <c r="X359" i="1" s="1"/>
  <c r="W359" i="1"/>
  <c r="V360" i="1"/>
  <c r="X360" i="1" s="1"/>
  <c r="W360" i="1"/>
  <c r="V361" i="1"/>
  <c r="X361" i="1" s="1"/>
  <c r="W361" i="1"/>
  <c r="V362" i="1"/>
  <c r="X362" i="1" s="1"/>
  <c r="W362" i="1"/>
  <c r="V363" i="1"/>
  <c r="X363" i="1" s="1"/>
  <c r="W363" i="1"/>
  <c r="V364" i="1"/>
  <c r="X364" i="1" s="1"/>
  <c r="W364" i="1"/>
  <c r="V365" i="1"/>
  <c r="X365" i="1" s="1"/>
  <c r="W365" i="1"/>
  <c r="V366" i="1"/>
  <c r="X366" i="1" s="1"/>
  <c r="W366" i="1"/>
  <c r="V367" i="1"/>
  <c r="X367" i="1" s="1"/>
  <c r="W367" i="1"/>
  <c r="V368" i="1"/>
  <c r="X368" i="1" s="1"/>
  <c r="W368" i="1"/>
  <c r="V369" i="1"/>
  <c r="X369" i="1" s="1"/>
  <c r="W369" i="1"/>
  <c r="V370" i="1"/>
  <c r="X370" i="1" s="1"/>
  <c r="W370" i="1"/>
  <c r="V371" i="1"/>
  <c r="X371" i="1" s="1"/>
  <c r="W371" i="1"/>
  <c r="V372" i="1"/>
  <c r="X372" i="1" s="1"/>
  <c r="W372" i="1"/>
  <c r="V373" i="1"/>
  <c r="X373" i="1" s="1"/>
  <c r="W373" i="1"/>
  <c r="V374" i="1"/>
  <c r="X374" i="1" s="1"/>
  <c r="W374" i="1"/>
  <c r="V375" i="1"/>
  <c r="X375" i="1" s="1"/>
  <c r="W375" i="1"/>
  <c r="V376" i="1"/>
  <c r="X376" i="1" s="1"/>
  <c r="W376" i="1"/>
  <c r="V377" i="1"/>
  <c r="X377" i="1" s="1"/>
  <c r="W377" i="1"/>
  <c r="V378" i="1"/>
  <c r="X378" i="1" s="1"/>
  <c r="W378" i="1"/>
  <c r="V379" i="1"/>
  <c r="X379" i="1" s="1"/>
  <c r="W379" i="1"/>
  <c r="V380" i="1"/>
  <c r="X380" i="1" s="1"/>
  <c r="W380" i="1"/>
  <c r="V381" i="1"/>
  <c r="X381" i="1" s="1"/>
  <c r="W381" i="1"/>
  <c r="V382" i="1"/>
  <c r="X382" i="1" s="1"/>
  <c r="W382" i="1"/>
  <c r="V383" i="1"/>
  <c r="X383" i="1" s="1"/>
  <c r="W383" i="1"/>
  <c r="V384" i="1"/>
  <c r="X384" i="1" s="1"/>
  <c r="W384" i="1"/>
  <c r="V385" i="1"/>
  <c r="X385" i="1" s="1"/>
  <c r="W385" i="1"/>
  <c r="V386" i="1"/>
  <c r="X386" i="1" s="1"/>
  <c r="W386" i="1"/>
  <c r="V387" i="1"/>
  <c r="X387" i="1" s="1"/>
  <c r="W387" i="1"/>
  <c r="V388" i="1"/>
  <c r="X388" i="1" s="1"/>
  <c r="W388" i="1"/>
  <c r="V389" i="1"/>
  <c r="X389" i="1" s="1"/>
  <c r="W389" i="1"/>
  <c r="V390" i="1"/>
  <c r="X390" i="1" s="1"/>
  <c r="W390" i="1"/>
  <c r="V391" i="1"/>
  <c r="X391" i="1" s="1"/>
  <c r="W391" i="1"/>
  <c r="V392" i="1"/>
  <c r="X392" i="1" s="1"/>
  <c r="W392" i="1"/>
  <c r="V393" i="1"/>
  <c r="X393" i="1" s="1"/>
  <c r="W393" i="1"/>
  <c r="V394" i="1"/>
  <c r="X394" i="1" s="1"/>
  <c r="W394" i="1"/>
  <c r="V395" i="1"/>
  <c r="X395" i="1" s="1"/>
  <c r="W395" i="1"/>
  <c r="V396" i="1"/>
  <c r="X396" i="1" s="1"/>
  <c r="W396" i="1"/>
  <c r="V397" i="1"/>
  <c r="X397" i="1" s="1"/>
  <c r="W397" i="1"/>
  <c r="V398" i="1"/>
  <c r="X398" i="1" s="1"/>
  <c r="W398" i="1"/>
  <c r="V399" i="1"/>
  <c r="X399" i="1" s="1"/>
  <c r="W399" i="1"/>
  <c r="V400" i="1"/>
  <c r="X400" i="1" s="1"/>
  <c r="W400" i="1"/>
  <c r="V401" i="1"/>
  <c r="X401" i="1" s="1"/>
  <c r="W401" i="1"/>
  <c r="AK1" i="1" l="1"/>
  <c r="J16" i="2"/>
  <c r="E13" i="2"/>
  <c r="V301" i="1" l="1"/>
  <c r="X301" i="1" s="1"/>
  <c r="W301" i="1"/>
  <c r="V231" i="1"/>
  <c r="X231" i="1" s="1"/>
  <c r="W231" i="1"/>
  <c r="V232" i="1"/>
  <c r="X232" i="1" s="1"/>
  <c r="W232" i="1"/>
  <c r="V233" i="1"/>
  <c r="X233" i="1" s="1"/>
  <c r="W233" i="1"/>
  <c r="V234" i="1"/>
  <c r="X234" i="1" s="1"/>
  <c r="W234" i="1"/>
  <c r="V235" i="1"/>
  <c r="X235" i="1" s="1"/>
  <c r="W235" i="1"/>
  <c r="V236" i="1"/>
  <c r="X236" i="1" s="1"/>
  <c r="W236" i="1"/>
  <c r="V237" i="1"/>
  <c r="X237" i="1" s="1"/>
  <c r="W237" i="1"/>
  <c r="V238" i="1"/>
  <c r="X238" i="1" s="1"/>
  <c r="W238" i="1"/>
  <c r="V239" i="1"/>
  <c r="X239" i="1" s="1"/>
  <c r="W239" i="1"/>
  <c r="V240" i="1"/>
  <c r="X240" i="1" s="1"/>
  <c r="W240" i="1"/>
  <c r="V241" i="1"/>
  <c r="X241" i="1" s="1"/>
  <c r="W241" i="1"/>
  <c r="V242" i="1"/>
  <c r="X242" i="1" s="1"/>
  <c r="W242" i="1"/>
  <c r="V243" i="1"/>
  <c r="X243" i="1" s="1"/>
  <c r="W243" i="1"/>
  <c r="V244" i="1"/>
  <c r="X244" i="1" s="1"/>
  <c r="W244" i="1"/>
  <c r="V245" i="1"/>
  <c r="X245" i="1" s="1"/>
  <c r="W245" i="1"/>
  <c r="V246" i="1"/>
  <c r="X246" i="1" s="1"/>
  <c r="W246" i="1"/>
  <c r="V247" i="1"/>
  <c r="X247" i="1" s="1"/>
  <c r="W247" i="1"/>
  <c r="V248" i="1"/>
  <c r="X248" i="1" s="1"/>
  <c r="W248" i="1"/>
  <c r="V249" i="1"/>
  <c r="X249" i="1" s="1"/>
  <c r="W249" i="1"/>
  <c r="V250" i="1"/>
  <c r="X250" i="1" s="1"/>
  <c r="W250" i="1"/>
  <c r="V251" i="1"/>
  <c r="X251" i="1" s="1"/>
  <c r="W251" i="1"/>
  <c r="V252" i="1"/>
  <c r="X252" i="1" s="1"/>
  <c r="W252" i="1"/>
  <c r="V253" i="1"/>
  <c r="X253" i="1" s="1"/>
  <c r="W253" i="1"/>
  <c r="V254" i="1"/>
  <c r="X254" i="1" s="1"/>
  <c r="W254" i="1"/>
  <c r="V255" i="1"/>
  <c r="X255" i="1" s="1"/>
  <c r="W255" i="1"/>
  <c r="V256" i="1"/>
  <c r="X256" i="1" s="1"/>
  <c r="W256" i="1"/>
  <c r="V257" i="1"/>
  <c r="X257" i="1" s="1"/>
  <c r="W257" i="1"/>
  <c r="V258" i="1"/>
  <c r="X258" i="1" s="1"/>
  <c r="W258" i="1"/>
  <c r="V259" i="1"/>
  <c r="X259" i="1" s="1"/>
  <c r="W259" i="1"/>
  <c r="V260" i="1"/>
  <c r="X260" i="1" s="1"/>
  <c r="W260" i="1"/>
  <c r="V261" i="1"/>
  <c r="X261" i="1" s="1"/>
  <c r="W261" i="1"/>
  <c r="V262" i="1"/>
  <c r="X262" i="1" s="1"/>
  <c r="W262" i="1"/>
  <c r="V263" i="1"/>
  <c r="X263" i="1" s="1"/>
  <c r="W263" i="1"/>
  <c r="V264" i="1"/>
  <c r="X264" i="1" s="1"/>
  <c r="W264" i="1"/>
  <c r="V265" i="1"/>
  <c r="X265" i="1" s="1"/>
  <c r="W265" i="1"/>
  <c r="V266" i="1"/>
  <c r="X266" i="1" s="1"/>
  <c r="W266" i="1"/>
  <c r="V267" i="1"/>
  <c r="X267" i="1" s="1"/>
  <c r="W267" i="1"/>
  <c r="V268" i="1"/>
  <c r="X268" i="1" s="1"/>
  <c r="W268" i="1"/>
  <c r="V269" i="1"/>
  <c r="X269" i="1" s="1"/>
  <c r="W269" i="1"/>
  <c r="V270" i="1"/>
  <c r="X270" i="1" s="1"/>
  <c r="W270" i="1"/>
  <c r="V271" i="1"/>
  <c r="X271" i="1" s="1"/>
  <c r="W271" i="1"/>
  <c r="V272" i="1"/>
  <c r="X272" i="1" s="1"/>
  <c r="W272" i="1"/>
  <c r="V273" i="1"/>
  <c r="X273" i="1" s="1"/>
  <c r="W273" i="1"/>
  <c r="V274" i="1"/>
  <c r="X274" i="1" s="1"/>
  <c r="W274" i="1"/>
  <c r="V275" i="1"/>
  <c r="X275" i="1" s="1"/>
  <c r="W275" i="1"/>
  <c r="V276" i="1"/>
  <c r="X276" i="1" s="1"/>
  <c r="W276" i="1"/>
  <c r="V277" i="1"/>
  <c r="X277" i="1" s="1"/>
  <c r="W277" i="1"/>
  <c r="V278" i="1"/>
  <c r="X278" i="1" s="1"/>
  <c r="W278" i="1"/>
  <c r="V279" i="1"/>
  <c r="X279" i="1" s="1"/>
  <c r="W279" i="1"/>
  <c r="V280" i="1"/>
  <c r="X280" i="1" s="1"/>
  <c r="W280" i="1"/>
  <c r="V281" i="1"/>
  <c r="X281" i="1" s="1"/>
  <c r="W281" i="1"/>
  <c r="V282" i="1"/>
  <c r="X282" i="1" s="1"/>
  <c r="W282" i="1"/>
  <c r="V283" i="1"/>
  <c r="X283" i="1" s="1"/>
  <c r="W283" i="1"/>
  <c r="V284" i="1"/>
  <c r="X284" i="1" s="1"/>
  <c r="W284" i="1"/>
  <c r="V285" i="1"/>
  <c r="X285" i="1" s="1"/>
  <c r="W285" i="1"/>
  <c r="V286" i="1"/>
  <c r="X286" i="1" s="1"/>
  <c r="W286" i="1"/>
  <c r="V287" i="1"/>
  <c r="X287" i="1" s="1"/>
  <c r="W287" i="1"/>
  <c r="V288" i="1"/>
  <c r="X288" i="1" s="1"/>
  <c r="W288" i="1"/>
  <c r="V289" i="1"/>
  <c r="X289" i="1" s="1"/>
  <c r="W289" i="1"/>
  <c r="V290" i="1"/>
  <c r="X290" i="1" s="1"/>
  <c r="W290" i="1"/>
  <c r="V291" i="1"/>
  <c r="X291" i="1" s="1"/>
  <c r="W291" i="1"/>
  <c r="V292" i="1"/>
  <c r="X292" i="1" s="1"/>
  <c r="W292" i="1"/>
  <c r="V293" i="1"/>
  <c r="X293" i="1" s="1"/>
  <c r="W293" i="1"/>
  <c r="V294" i="1"/>
  <c r="X294" i="1" s="1"/>
  <c r="W294" i="1"/>
  <c r="V295" i="1"/>
  <c r="X295" i="1" s="1"/>
  <c r="W295" i="1"/>
  <c r="V296" i="1"/>
  <c r="X296" i="1" s="1"/>
  <c r="W296" i="1"/>
  <c r="V297" i="1"/>
  <c r="X297" i="1" s="1"/>
  <c r="W297" i="1"/>
  <c r="V298" i="1"/>
  <c r="X298" i="1" s="1"/>
  <c r="W298" i="1"/>
  <c r="V299" i="1"/>
  <c r="X299" i="1" s="1"/>
  <c r="W299" i="1"/>
  <c r="V300" i="1"/>
  <c r="X300" i="1" s="1"/>
  <c r="W300" i="1"/>
  <c r="V202" i="1" l="1"/>
  <c r="X202" i="1" s="1"/>
  <c r="W202" i="1"/>
  <c r="V203" i="1"/>
  <c r="X203" i="1" s="1"/>
  <c r="W203" i="1"/>
  <c r="V204" i="1"/>
  <c r="X204" i="1" s="1"/>
  <c r="W204" i="1"/>
  <c r="V205" i="1"/>
  <c r="X205" i="1" s="1"/>
  <c r="W205" i="1"/>
  <c r="V206" i="1"/>
  <c r="X206" i="1" s="1"/>
  <c r="W206" i="1"/>
  <c r="V207" i="1"/>
  <c r="X207" i="1" s="1"/>
  <c r="W207" i="1"/>
  <c r="V208" i="1"/>
  <c r="X208" i="1" s="1"/>
  <c r="W208" i="1"/>
  <c r="V209" i="1"/>
  <c r="X209" i="1" s="1"/>
  <c r="W209" i="1"/>
  <c r="V210" i="1"/>
  <c r="X210" i="1" s="1"/>
  <c r="W210" i="1"/>
  <c r="V211" i="1"/>
  <c r="X211" i="1" s="1"/>
  <c r="W211" i="1"/>
  <c r="V212" i="1"/>
  <c r="X212" i="1" s="1"/>
  <c r="W212" i="1"/>
  <c r="V213" i="1"/>
  <c r="X213" i="1" s="1"/>
  <c r="W213" i="1"/>
  <c r="V214" i="1"/>
  <c r="X214" i="1" s="1"/>
  <c r="W214" i="1"/>
  <c r="V215" i="1"/>
  <c r="X215" i="1" s="1"/>
  <c r="W215" i="1"/>
  <c r="V216" i="1"/>
  <c r="X216" i="1" s="1"/>
  <c r="W216" i="1"/>
  <c r="V217" i="1"/>
  <c r="X217" i="1" s="1"/>
  <c r="W217" i="1"/>
  <c r="V218" i="1"/>
  <c r="X218" i="1" s="1"/>
  <c r="W218" i="1"/>
  <c r="V219" i="1"/>
  <c r="X219" i="1" s="1"/>
  <c r="W219" i="1"/>
  <c r="V220" i="1"/>
  <c r="X220" i="1" s="1"/>
  <c r="W220" i="1"/>
  <c r="V221" i="1"/>
  <c r="X221" i="1" s="1"/>
  <c r="W221" i="1"/>
  <c r="V222" i="1"/>
  <c r="X222" i="1" s="1"/>
  <c r="W222" i="1"/>
  <c r="V223" i="1"/>
  <c r="X223" i="1" s="1"/>
  <c r="W223" i="1"/>
  <c r="V224" i="1"/>
  <c r="X224" i="1" s="1"/>
  <c r="W224" i="1"/>
  <c r="V225" i="1"/>
  <c r="X225" i="1" s="1"/>
  <c r="W225" i="1"/>
  <c r="V226" i="1"/>
  <c r="X226" i="1" s="1"/>
  <c r="W226" i="1"/>
  <c r="V227" i="1"/>
  <c r="X227" i="1" s="1"/>
  <c r="W227" i="1"/>
  <c r="V228" i="1"/>
  <c r="X228" i="1" s="1"/>
  <c r="W228" i="1"/>
  <c r="V229" i="1"/>
  <c r="X229" i="1" s="1"/>
  <c r="W229" i="1"/>
  <c r="V230" i="1"/>
  <c r="X230" i="1" s="1"/>
  <c r="W230" i="1"/>
  <c r="A14" i="2" l="1"/>
  <c r="V201" i="1" l="1"/>
  <c r="X201" i="1" s="1"/>
  <c r="W201" i="1"/>
  <c r="V107" i="1"/>
  <c r="X107" i="1" s="1"/>
  <c r="W107" i="1"/>
  <c r="V108" i="1"/>
  <c r="X108" i="1" s="1"/>
  <c r="W108" i="1"/>
  <c r="V109" i="1"/>
  <c r="X109" i="1" s="1"/>
  <c r="W109" i="1"/>
  <c r="V110" i="1"/>
  <c r="X110" i="1" s="1"/>
  <c r="W110" i="1"/>
  <c r="V111" i="1"/>
  <c r="X111" i="1" s="1"/>
  <c r="W111" i="1"/>
  <c r="V112" i="1"/>
  <c r="X112" i="1" s="1"/>
  <c r="W112" i="1"/>
  <c r="V113" i="1"/>
  <c r="X113" i="1" s="1"/>
  <c r="W113" i="1"/>
  <c r="V114" i="1"/>
  <c r="X114" i="1" s="1"/>
  <c r="W114" i="1"/>
  <c r="V115" i="1"/>
  <c r="X115" i="1" s="1"/>
  <c r="W115" i="1"/>
  <c r="V116" i="1"/>
  <c r="X116" i="1" s="1"/>
  <c r="W116" i="1"/>
  <c r="V117" i="1"/>
  <c r="X117" i="1" s="1"/>
  <c r="W117" i="1"/>
  <c r="V118" i="1"/>
  <c r="X118" i="1" s="1"/>
  <c r="W118" i="1"/>
  <c r="V119" i="1"/>
  <c r="X119" i="1" s="1"/>
  <c r="W119" i="1"/>
  <c r="V120" i="1"/>
  <c r="X120" i="1" s="1"/>
  <c r="W120" i="1"/>
  <c r="V121" i="1"/>
  <c r="X121" i="1" s="1"/>
  <c r="W121" i="1"/>
  <c r="V122" i="1"/>
  <c r="X122" i="1" s="1"/>
  <c r="W122" i="1"/>
  <c r="V123" i="1"/>
  <c r="X123" i="1" s="1"/>
  <c r="W123" i="1"/>
  <c r="V124" i="1"/>
  <c r="X124" i="1" s="1"/>
  <c r="W124" i="1"/>
  <c r="V125" i="1"/>
  <c r="X125" i="1" s="1"/>
  <c r="W125" i="1"/>
  <c r="V126" i="1"/>
  <c r="X126" i="1" s="1"/>
  <c r="W126" i="1"/>
  <c r="V127" i="1"/>
  <c r="X127" i="1" s="1"/>
  <c r="W127" i="1"/>
  <c r="V128" i="1"/>
  <c r="X128" i="1" s="1"/>
  <c r="W128" i="1"/>
  <c r="V129" i="1"/>
  <c r="X129" i="1" s="1"/>
  <c r="W129" i="1"/>
  <c r="V130" i="1"/>
  <c r="X130" i="1" s="1"/>
  <c r="W130" i="1"/>
  <c r="V131" i="1"/>
  <c r="X131" i="1" s="1"/>
  <c r="W131" i="1"/>
  <c r="V132" i="1"/>
  <c r="X132" i="1" s="1"/>
  <c r="W132" i="1"/>
  <c r="V133" i="1"/>
  <c r="X133" i="1" s="1"/>
  <c r="W133" i="1"/>
  <c r="V134" i="1"/>
  <c r="X134" i="1" s="1"/>
  <c r="W134" i="1"/>
  <c r="V135" i="1"/>
  <c r="X135" i="1" s="1"/>
  <c r="W135" i="1"/>
  <c r="V136" i="1"/>
  <c r="X136" i="1" s="1"/>
  <c r="W136" i="1"/>
  <c r="V137" i="1"/>
  <c r="X137" i="1" s="1"/>
  <c r="W137" i="1"/>
  <c r="V138" i="1"/>
  <c r="X138" i="1" s="1"/>
  <c r="W138" i="1"/>
  <c r="V139" i="1"/>
  <c r="X139" i="1" s="1"/>
  <c r="W139" i="1"/>
  <c r="V140" i="1"/>
  <c r="X140" i="1" s="1"/>
  <c r="W140" i="1"/>
  <c r="V141" i="1"/>
  <c r="X141" i="1" s="1"/>
  <c r="W141" i="1"/>
  <c r="V142" i="1"/>
  <c r="X142" i="1" s="1"/>
  <c r="W142" i="1"/>
  <c r="V143" i="1"/>
  <c r="X143" i="1" s="1"/>
  <c r="W143" i="1"/>
  <c r="V144" i="1"/>
  <c r="X144" i="1" s="1"/>
  <c r="W144" i="1"/>
  <c r="V145" i="1"/>
  <c r="X145" i="1" s="1"/>
  <c r="W145" i="1"/>
  <c r="V146" i="1"/>
  <c r="X146" i="1" s="1"/>
  <c r="W146" i="1"/>
  <c r="V147" i="1"/>
  <c r="X147" i="1" s="1"/>
  <c r="W147" i="1"/>
  <c r="V148" i="1"/>
  <c r="X148" i="1" s="1"/>
  <c r="W148" i="1"/>
  <c r="V149" i="1"/>
  <c r="X149" i="1" s="1"/>
  <c r="W149" i="1"/>
  <c r="V150" i="1"/>
  <c r="X150" i="1" s="1"/>
  <c r="W150" i="1"/>
  <c r="V151" i="1"/>
  <c r="X151" i="1" s="1"/>
  <c r="W151" i="1"/>
  <c r="V152" i="1"/>
  <c r="X152" i="1" s="1"/>
  <c r="W152" i="1"/>
  <c r="V153" i="1"/>
  <c r="X153" i="1" s="1"/>
  <c r="W153" i="1"/>
  <c r="V154" i="1"/>
  <c r="X154" i="1" s="1"/>
  <c r="W154" i="1"/>
  <c r="V155" i="1"/>
  <c r="X155" i="1" s="1"/>
  <c r="W155" i="1"/>
  <c r="V156" i="1"/>
  <c r="X156" i="1" s="1"/>
  <c r="W156" i="1"/>
  <c r="V157" i="1"/>
  <c r="X157" i="1" s="1"/>
  <c r="W157" i="1"/>
  <c r="V158" i="1"/>
  <c r="X158" i="1" s="1"/>
  <c r="W158" i="1"/>
  <c r="V159" i="1"/>
  <c r="X159" i="1" s="1"/>
  <c r="W159" i="1"/>
  <c r="V160" i="1"/>
  <c r="X160" i="1" s="1"/>
  <c r="W160" i="1"/>
  <c r="V161" i="1"/>
  <c r="X161" i="1" s="1"/>
  <c r="W161" i="1"/>
  <c r="V162" i="1"/>
  <c r="X162" i="1" s="1"/>
  <c r="W162" i="1"/>
  <c r="V163" i="1"/>
  <c r="X163" i="1" s="1"/>
  <c r="W163" i="1"/>
  <c r="V164" i="1"/>
  <c r="X164" i="1" s="1"/>
  <c r="W164" i="1"/>
  <c r="V165" i="1"/>
  <c r="X165" i="1" s="1"/>
  <c r="W165" i="1"/>
  <c r="V166" i="1"/>
  <c r="X166" i="1" s="1"/>
  <c r="W166" i="1"/>
  <c r="V167" i="1"/>
  <c r="X167" i="1" s="1"/>
  <c r="W167" i="1"/>
  <c r="V168" i="1"/>
  <c r="X168" i="1" s="1"/>
  <c r="W168" i="1"/>
  <c r="V169" i="1"/>
  <c r="X169" i="1" s="1"/>
  <c r="W169" i="1"/>
  <c r="V170" i="1"/>
  <c r="X170" i="1" s="1"/>
  <c r="W170" i="1"/>
  <c r="V171" i="1"/>
  <c r="X171" i="1" s="1"/>
  <c r="W171" i="1"/>
  <c r="V172" i="1"/>
  <c r="X172" i="1" s="1"/>
  <c r="W172" i="1"/>
  <c r="V173" i="1"/>
  <c r="X173" i="1" s="1"/>
  <c r="W173" i="1"/>
  <c r="V174" i="1"/>
  <c r="X174" i="1" s="1"/>
  <c r="W174" i="1"/>
  <c r="V175" i="1"/>
  <c r="X175" i="1" s="1"/>
  <c r="W175" i="1"/>
  <c r="V176" i="1"/>
  <c r="X176" i="1" s="1"/>
  <c r="W176" i="1"/>
  <c r="V177" i="1"/>
  <c r="X177" i="1" s="1"/>
  <c r="W177" i="1"/>
  <c r="V178" i="1"/>
  <c r="X178" i="1" s="1"/>
  <c r="W178" i="1"/>
  <c r="V179" i="1"/>
  <c r="X179" i="1" s="1"/>
  <c r="W179" i="1"/>
  <c r="V180" i="1"/>
  <c r="X180" i="1" s="1"/>
  <c r="W180" i="1"/>
  <c r="V181" i="1"/>
  <c r="X181" i="1" s="1"/>
  <c r="W181" i="1"/>
  <c r="V182" i="1"/>
  <c r="X182" i="1" s="1"/>
  <c r="W182" i="1"/>
  <c r="V183" i="1"/>
  <c r="X183" i="1" s="1"/>
  <c r="W183" i="1"/>
  <c r="V184" i="1"/>
  <c r="X184" i="1" s="1"/>
  <c r="W184" i="1"/>
  <c r="V185" i="1"/>
  <c r="X185" i="1" s="1"/>
  <c r="W185" i="1"/>
  <c r="V186" i="1"/>
  <c r="X186" i="1" s="1"/>
  <c r="W186" i="1"/>
  <c r="V187" i="1"/>
  <c r="X187" i="1" s="1"/>
  <c r="W187" i="1"/>
  <c r="V188" i="1"/>
  <c r="X188" i="1" s="1"/>
  <c r="W188" i="1"/>
  <c r="V189" i="1"/>
  <c r="X189" i="1" s="1"/>
  <c r="W189" i="1"/>
  <c r="V190" i="1"/>
  <c r="X190" i="1" s="1"/>
  <c r="W190" i="1"/>
  <c r="V191" i="1"/>
  <c r="X191" i="1" s="1"/>
  <c r="W191" i="1"/>
  <c r="V192" i="1"/>
  <c r="X192" i="1" s="1"/>
  <c r="W192" i="1"/>
  <c r="V193" i="1"/>
  <c r="X193" i="1" s="1"/>
  <c r="W193" i="1"/>
  <c r="V194" i="1"/>
  <c r="X194" i="1" s="1"/>
  <c r="W194" i="1"/>
  <c r="V195" i="1"/>
  <c r="X195" i="1" s="1"/>
  <c r="W195" i="1"/>
  <c r="V196" i="1"/>
  <c r="X196" i="1" s="1"/>
  <c r="W196" i="1"/>
  <c r="V197" i="1"/>
  <c r="X197" i="1" s="1"/>
  <c r="W197" i="1"/>
  <c r="V198" i="1"/>
  <c r="X198" i="1" s="1"/>
  <c r="W198" i="1"/>
  <c r="V199" i="1"/>
  <c r="X199" i="1" s="1"/>
  <c r="W199" i="1"/>
  <c r="V200" i="1"/>
  <c r="X200" i="1" s="1"/>
  <c r="W200" i="1"/>
  <c r="V105" i="1"/>
  <c r="X105" i="1" s="1"/>
  <c r="W105" i="1"/>
  <c r="V106" i="1"/>
  <c r="X106" i="1" s="1"/>
  <c r="W106" i="1"/>
  <c r="V104" i="1"/>
  <c r="X104" i="1" s="1"/>
  <c r="W104" i="1"/>
  <c r="V102" i="1" l="1"/>
  <c r="X102" i="1" s="1"/>
  <c r="W102" i="1"/>
  <c r="V103" i="1"/>
  <c r="X103" i="1" s="1"/>
  <c r="W103" i="1"/>
  <c r="V51" i="1" l="1"/>
  <c r="X51" i="1" s="1"/>
  <c r="W51" i="1"/>
  <c r="V52" i="1"/>
  <c r="X52" i="1" s="1"/>
  <c r="W52" i="1"/>
  <c r="V53" i="1"/>
  <c r="X53" i="1" s="1"/>
  <c r="W53" i="1"/>
  <c r="V54" i="1"/>
  <c r="X54" i="1" s="1"/>
  <c r="W54" i="1"/>
  <c r="V55" i="1"/>
  <c r="X55" i="1" s="1"/>
  <c r="W55" i="1"/>
  <c r="V56" i="1"/>
  <c r="X56" i="1" s="1"/>
  <c r="W56" i="1"/>
  <c r="V57" i="1"/>
  <c r="X57" i="1" s="1"/>
  <c r="W57" i="1"/>
  <c r="V58" i="1"/>
  <c r="X58" i="1" s="1"/>
  <c r="W58" i="1"/>
  <c r="V59" i="1"/>
  <c r="X59" i="1" s="1"/>
  <c r="W59" i="1"/>
  <c r="V60" i="1"/>
  <c r="X60" i="1" s="1"/>
  <c r="W60" i="1"/>
  <c r="V61" i="1"/>
  <c r="X61" i="1" s="1"/>
  <c r="W61" i="1"/>
  <c r="V62" i="1"/>
  <c r="X62" i="1" s="1"/>
  <c r="W62" i="1"/>
  <c r="V63" i="1"/>
  <c r="X63" i="1" s="1"/>
  <c r="W63" i="1"/>
  <c r="V64" i="1"/>
  <c r="X64" i="1" s="1"/>
  <c r="W64" i="1"/>
  <c r="V65" i="1"/>
  <c r="X65" i="1" s="1"/>
  <c r="W65" i="1"/>
  <c r="V66" i="1"/>
  <c r="X66" i="1" s="1"/>
  <c r="W66" i="1"/>
  <c r="V67" i="1"/>
  <c r="X67" i="1" s="1"/>
  <c r="W67" i="1"/>
  <c r="V68" i="1"/>
  <c r="X68" i="1" s="1"/>
  <c r="W68" i="1"/>
  <c r="V69" i="1"/>
  <c r="X69" i="1" s="1"/>
  <c r="W69" i="1"/>
  <c r="V70" i="1"/>
  <c r="X70" i="1" s="1"/>
  <c r="W70" i="1"/>
  <c r="V71" i="1"/>
  <c r="X71" i="1" s="1"/>
  <c r="W71" i="1"/>
  <c r="V72" i="1"/>
  <c r="X72" i="1" s="1"/>
  <c r="W72" i="1"/>
  <c r="V73" i="1"/>
  <c r="X73" i="1" s="1"/>
  <c r="W73" i="1"/>
  <c r="V74" i="1"/>
  <c r="X74" i="1" s="1"/>
  <c r="W74" i="1"/>
  <c r="V75" i="1"/>
  <c r="X75" i="1" s="1"/>
  <c r="W75" i="1"/>
  <c r="V76" i="1"/>
  <c r="X76" i="1" s="1"/>
  <c r="W76" i="1"/>
  <c r="V77" i="1"/>
  <c r="X77" i="1" s="1"/>
  <c r="W77" i="1"/>
  <c r="V78" i="1"/>
  <c r="X78" i="1" s="1"/>
  <c r="W78" i="1"/>
  <c r="V79" i="1"/>
  <c r="X79" i="1" s="1"/>
  <c r="W79" i="1"/>
  <c r="V80" i="1"/>
  <c r="X80" i="1" s="1"/>
  <c r="W80" i="1"/>
  <c r="V81" i="1"/>
  <c r="X81" i="1" s="1"/>
  <c r="W81" i="1"/>
  <c r="V82" i="1"/>
  <c r="X82" i="1" s="1"/>
  <c r="W82" i="1"/>
  <c r="V83" i="1"/>
  <c r="X83" i="1" s="1"/>
  <c r="W83" i="1"/>
  <c r="V84" i="1"/>
  <c r="X84" i="1" s="1"/>
  <c r="W84" i="1"/>
  <c r="V85" i="1"/>
  <c r="X85" i="1" s="1"/>
  <c r="W85" i="1"/>
  <c r="V86" i="1"/>
  <c r="X86" i="1" s="1"/>
  <c r="W86" i="1"/>
  <c r="V87" i="1"/>
  <c r="X87" i="1" s="1"/>
  <c r="W87" i="1"/>
  <c r="V88" i="1"/>
  <c r="X88" i="1" s="1"/>
  <c r="W88" i="1"/>
  <c r="V89" i="1"/>
  <c r="X89" i="1" s="1"/>
  <c r="W89" i="1"/>
  <c r="V90" i="1"/>
  <c r="X90" i="1" s="1"/>
  <c r="W90" i="1"/>
  <c r="V91" i="1"/>
  <c r="X91" i="1" s="1"/>
  <c r="W91" i="1"/>
  <c r="V92" i="1"/>
  <c r="X92" i="1" s="1"/>
  <c r="W92" i="1"/>
  <c r="V93" i="1"/>
  <c r="X93" i="1" s="1"/>
  <c r="W93" i="1"/>
  <c r="V94" i="1"/>
  <c r="X94" i="1" s="1"/>
  <c r="W94" i="1"/>
  <c r="V95" i="1"/>
  <c r="X95" i="1" s="1"/>
  <c r="W95" i="1"/>
  <c r="V96" i="1"/>
  <c r="X96" i="1" s="1"/>
  <c r="W96" i="1"/>
  <c r="V97" i="1"/>
  <c r="X97" i="1" s="1"/>
  <c r="W97" i="1"/>
  <c r="V98" i="1"/>
  <c r="X98" i="1" s="1"/>
  <c r="W98" i="1"/>
  <c r="V99" i="1"/>
  <c r="X99" i="1" s="1"/>
  <c r="W99" i="1"/>
  <c r="V100" i="1"/>
  <c r="X100" i="1" s="1"/>
  <c r="W100" i="1"/>
  <c r="V101" i="1"/>
  <c r="X101" i="1" s="1"/>
  <c r="W101" i="1"/>
  <c r="V50" i="1"/>
  <c r="X50" i="1" s="1"/>
  <c r="V49" i="1"/>
  <c r="X49" i="1" s="1"/>
  <c r="W49" i="1"/>
  <c r="W50" i="1"/>
  <c r="V44" i="1"/>
  <c r="X44" i="1" s="1"/>
  <c r="W44" i="1"/>
  <c r="V45" i="1"/>
  <c r="X45" i="1" s="1"/>
  <c r="W45" i="1"/>
  <c r="V46" i="1"/>
  <c r="X46" i="1" s="1"/>
  <c r="W46" i="1"/>
  <c r="V47" i="1"/>
  <c r="X47" i="1" s="1"/>
  <c r="W47" i="1"/>
  <c r="V48" i="1"/>
  <c r="X48" i="1" s="1"/>
  <c r="W48" i="1"/>
  <c r="D12" i="2" l="1"/>
  <c r="D7" i="2" l="1"/>
  <c r="E7" i="2" l="1"/>
  <c r="D14" i="2" l="1"/>
  <c r="C6" i="2" l="1"/>
  <c r="V6" i="1" l="1"/>
  <c r="X6" i="1" s="1"/>
  <c r="W6" i="1"/>
  <c r="V7" i="1"/>
  <c r="X7" i="1" s="1"/>
  <c r="W7" i="1"/>
  <c r="V8" i="1"/>
  <c r="X8" i="1" s="1"/>
  <c r="W8" i="1"/>
  <c r="V9" i="1"/>
  <c r="X9" i="1" s="1"/>
  <c r="W9" i="1"/>
  <c r="V10" i="1"/>
  <c r="X10" i="1" s="1"/>
  <c r="W10" i="1"/>
  <c r="V11" i="1"/>
  <c r="X11" i="1" s="1"/>
  <c r="W11" i="1"/>
  <c r="V12" i="1"/>
  <c r="X12" i="1" s="1"/>
  <c r="W12" i="1"/>
  <c r="V13" i="1"/>
  <c r="X13" i="1" s="1"/>
  <c r="W13" i="1"/>
  <c r="V14" i="1"/>
  <c r="X14" i="1" s="1"/>
  <c r="W14" i="1"/>
  <c r="V15" i="1"/>
  <c r="X15" i="1" s="1"/>
  <c r="W15" i="1"/>
  <c r="V16" i="1"/>
  <c r="X16" i="1" s="1"/>
  <c r="W16" i="1"/>
  <c r="V17" i="1"/>
  <c r="X17" i="1" s="1"/>
  <c r="W17" i="1"/>
  <c r="V18" i="1"/>
  <c r="X18" i="1" s="1"/>
  <c r="W18" i="1"/>
  <c r="V19" i="1"/>
  <c r="X19" i="1" s="1"/>
  <c r="W19" i="1"/>
  <c r="V20" i="1"/>
  <c r="X20" i="1" s="1"/>
  <c r="W20" i="1"/>
  <c r="V21" i="1"/>
  <c r="X21" i="1" s="1"/>
  <c r="W21" i="1"/>
  <c r="V22" i="1"/>
  <c r="X22" i="1" s="1"/>
  <c r="W22" i="1"/>
  <c r="V23" i="1"/>
  <c r="X23" i="1" s="1"/>
  <c r="W23" i="1"/>
  <c r="V24" i="1"/>
  <c r="X24" i="1" s="1"/>
  <c r="W24" i="1"/>
  <c r="V25" i="1"/>
  <c r="X25" i="1" s="1"/>
  <c r="W25" i="1"/>
  <c r="V26" i="1"/>
  <c r="X26" i="1" s="1"/>
  <c r="W26" i="1"/>
  <c r="V27" i="1"/>
  <c r="X27" i="1" s="1"/>
  <c r="W27" i="1"/>
  <c r="V28" i="1"/>
  <c r="X28" i="1" s="1"/>
  <c r="W28" i="1"/>
  <c r="V29" i="1"/>
  <c r="X29" i="1" s="1"/>
  <c r="W29" i="1"/>
  <c r="V30" i="1"/>
  <c r="X30" i="1" s="1"/>
  <c r="W30" i="1"/>
  <c r="V31" i="1"/>
  <c r="X31" i="1" s="1"/>
  <c r="W31" i="1"/>
  <c r="V32" i="1"/>
  <c r="X32" i="1" s="1"/>
  <c r="W32" i="1"/>
  <c r="V33" i="1"/>
  <c r="X33" i="1" s="1"/>
  <c r="W33" i="1"/>
  <c r="V34" i="1"/>
  <c r="X34" i="1" s="1"/>
  <c r="W34" i="1"/>
  <c r="V35" i="1"/>
  <c r="X35" i="1" s="1"/>
  <c r="W35" i="1"/>
  <c r="V36" i="1"/>
  <c r="X36" i="1" s="1"/>
  <c r="W36" i="1"/>
  <c r="V37" i="1"/>
  <c r="X37" i="1" s="1"/>
  <c r="W37" i="1"/>
  <c r="V38" i="1"/>
  <c r="X38" i="1" s="1"/>
  <c r="W38" i="1"/>
  <c r="V39" i="1"/>
  <c r="X39" i="1" s="1"/>
  <c r="W39" i="1"/>
  <c r="V40" i="1"/>
  <c r="X40" i="1" s="1"/>
  <c r="W40" i="1"/>
  <c r="V41" i="1"/>
  <c r="X41" i="1" s="1"/>
  <c r="W41" i="1"/>
  <c r="V42" i="1"/>
  <c r="X42" i="1" s="1"/>
  <c r="W42" i="1"/>
  <c r="V43" i="1"/>
  <c r="X43" i="1" s="1"/>
  <c r="W43" i="1"/>
  <c r="A6" i="2" l="1"/>
  <c r="B6" i="2"/>
  <c r="D6" i="2"/>
  <c r="E6" i="2"/>
  <c r="F6" i="2"/>
  <c r="G6" i="2"/>
  <c r="H6" i="2"/>
  <c r="I6" i="2"/>
  <c r="J6" i="2"/>
  <c r="A7" i="2"/>
  <c r="B7" i="2"/>
  <c r="C7" i="2"/>
  <c r="F7" i="2"/>
  <c r="G7" i="2"/>
  <c r="H7" i="2"/>
  <c r="I7" i="2"/>
  <c r="J7" i="2"/>
  <c r="K7" i="2"/>
  <c r="B12" i="2" l="1"/>
  <c r="C12" i="2"/>
  <c r="E12" i="2"/>
  <c r="F12" i="2"/>
  <c r="H12" i="2"/>
  <c r="I12" i="2"/>
  <c r="J12" i="2"/>
  <c r="K12" i="2"/>
  <c r="D13" i="2" l="1"/>
  <c r="H14" i="2" l="1"/>
  <c r="C13" i="2" l="1"/>
  <c r="L7" i="4" l="1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L18" i="4"/>
  <c r="M18" i="4"/>
  <c r="L19" i="4"/>
  <c r="M19" i="4"/>
  <c r="L20" i="4"/>
  <c r="M20" i="4"/>
  <c r="L21" i="4"/>
  <c r="M21" i="4"/>
  <c r="L22" i="4"/>
  <c r="M22" i="4"/>
  <c r="L23" i="4"/>
  <c r="M23" i="4"/>
  <c r="L24" i="4"/>
  <c r="M24" i="4"/>
  <c r="L25" i="4"/>
  <c r="M25" i="4"/>
  <c r="L26" i="4"/>
  <c r="M26" i="4"/>
  <c r="L27" i="4"/>
  <c r="M27" i="4"/>
  <c r="L28" i="4"/>
  <c r="M28" i="4"/>
  <c r="L29" i="4"/>
  <c r="M29" i="4"/>
  <c r="L30" i="4"/>
  <c r="M30" i="4"/>
  <c r="L31" i="4"/>
  <c r="M31" i="4"/>
  <c r="L32" i="4"/>
  <c r="M32" i="4"/>
  <c r="L33" i="4"/>
  <c r="M33" i="4"/>
  <c r="L34" i="4"/>
  <c r="M34" i="4"/>
  <c r="L35" i="4"/>
  <c r="M35" i="4"/>
  <c r="L36" i="4"/>
  <c r="M36" i="4"/>
  <c r="L37" i="4"/>
  <c r="N37" i="4" s="1"/>
  <c r="M37" i="4"/>
  <c r="L38" i="4"/>
  <c r="M38" i="4"/>
  <c r="L39" i="4"/>
  <c r="M39" i="4"/>
  <c r="L40" i="4"/>
  <c r="M40" i="4"/>
  <c r="L41" i="4"/>
  <c r="M41" i="4"/>
  <c r="L42" i="4"/>
  <c r="M42" i="4"/>
  <c r="L43" i="4"/>
  <c r="M43" i="4"/>
  <c r="L44" i="4"/>
  <c r="M44" i="4"/>
  <c r="L45" i="4"/>
  <c r="M45" i="4"/>
  <c r="L46" i="4"/>
  <c r="M46" i="4"/>
  <c r="L47" i="4"/>
  <c r="M47" i="4"/>
  <c r="L48" i="4"/>
  <c r="M48" i="4"/>
  <c r="L49" i="4"/>
  <c r="M49" i="4"/>
  <c r="L50" i="4"/>
  <c r="M50" i="4"/>
  <c r="L51" i="4"/>
  <c r="M51" i="4"/>
  <c r="L52" i="4"/>
  <c r="M52" i="4"/>
  <c r="L53" i="4"/>
  <c r="M53" i="4"/>
  <c r="L54" i="4"/>
  <c r="M54" i="4"/>
  <c r="L55" i="4"/>
  <c r="M55" i="4"/>
  <c r="L56" i="4"/>
  <c r="M56" i="4"/>
  <c r="L57" i="4"/>
  <c r="M57" i="4"/>
  <c r="L58" i="4"/>
  <c r="M58" i="4"/>
  <c r="L59" i="4"/>
  <c r="M59" i="4"/>
  <c r="L60" i="4"/>
  <c r="M60" i="4"/>
  <c r="M6" i="4"/>
  <c r="L6" i="4"/>
  <c r="N33" i="4" l="1"/>
  <c r="N41" i="4"/>
  <c r="A53" i="4"/>
  <c r="B53" i="4"/>
  <c r="C53" i="4"/>
  <c r="D53" i="4"/>
  <c r="E53" i="4"/>
  <c r="F53" i="4"/>
  <c r="G53" i="4"/>
  <c r="H53" i="4"/>
  <c r="I53" i="4"/>
  <c r="J53" i="4"/>
  <c r="K53" i="4"/>
  <c r="N53" i="4"/>
  <c r="A54" i="4"/>
  <c r="B54" i="4"/>
  <c r="C54" i="4"/>
  <c r="D54" i="4"/>
  <c r="E54" i="4"/>
  <c r="F54" i="4"/>
  <c r="G54" i="4"/>
  <c r="H54" i="4"/>
  <c r="I54" i="4"/>
  <c r="J54" i="4"/>
  <c r="K54" i="4"/>
  <c r="N54" i="4"/>
  <c r="A55" i="4"/>
  <c r="B55" i="4"/>
  <c r="C55" i="4"/>
  <c r="D55" i="4"/>
  <c r="E55" i="4"/>
  <c r="F55" i="4"/>
  <c r="G55" i="4"/>
  <c r="H55" i="4"/>
  <c r="I55" i="4"/>
  <c r="J55" i="4"/>
  <c r="K55" i="4"/>
  <c r="N55" i="4"/>
  <c r="A56" i="4"/>
  <c r="B56" i="4"/>
  <c r="C56" i="4"/>
  <c r="D56" i="4"/>
  <c r="E56" i="4"/>
  <c r="F56" i="4"/>
  <c r="G56" i="4"/>
  <c r="H56" i="4"/>
  <c r="I56" i="4"/>
  <c r="J56" i="4"/>
  <c r="K56" i="4"/>
  <c r="N56" i="4"/>
  <c r="A57" i="4"/>
  <c r="B57" i="4"/>
  <c r="C57" i="4"/>
  <c r="D57" i="4"/>
  <c r="E57" i="4"/>
  <c r="F57" i="4"/>
  <c r="G57" i="4"/>
  <c r="H57" i="4"/>
  <c r="I57" i="4"/>
  <c r="J57" i="4"/>
  <c r="K57" i="4"/>
  <c r="N57" i="4"/>
  <c r="A58" i="4"/>
  <c r="B58" i="4"/>
  <c r="C58" i="4"/>
  <c r="D58" i="4"/>
  <c r="E58" i="4"/>
  <c r="F58" i="4"/>
  <c r="G58" i="4"/>
  <c r="H58" i="4"/>
  <c r="I58" i="4"/>
  <c r="J58" i="4"/>
  <c r="K58" i="4"/>
  <c r="N58" i="4"/>
  <c r="A59" i="4"/>
  <c r="B59" i="4"/>
  <c r="C59" i="4"/>
  <c r="D59" i="4"/>
  <c r="E59" i="4"/>
  <c r="F59" i="4"/>
  <c r="G59" i="4"/>
  <c r="H59" i="4"/>
  <c r="I59" i="4"/>
  <c r="J59" i="4"/>
  <c r="K59" i="4"/>
  <c r="N59" i="4"/>
  <c r="A60" i="4"/>
  <c r="B60" i="4"/>
  <c r="C60" i="4"/>
  <c r="D60" i="4"/>
  <c r="E60" i="4"/>
  <c r="F60" i="4"/>
  <c r="G60" i="4"/>
  <c r="H60" i="4"/>
  <c r="I60" i="4"/>
  <c r="J60" i="4"/>
  <c r="K60" i="4"/>
  <c r="N60" i="4"/>
  <c r="A33" i="4"/>
  <c r="B33" i="4"/>
  <c r="C33" i="4"/>
  <c r="D33" i="4"/>
  <c r="E33" i="4"/>
  <c r="F33" i="4"/>
  <c r="G33" i="4"/>
  <c r="H33" i="4"/>
  <c r="I33" i="4"/>
  <c r="J33" i="4"/>
  <c r="K33" i="4"/>
  <c r="A34" i="4"/>
  <c r="B34" i="4"/>
  <c r="C34" i="4"/>
  <c r="D34" i="4"/>
  <c r="E34" i="4"/>
  <c r="F34" i="4"/>
  <c r="G34" i="4"/>
  <c r="H34" i="4"/>
  <c r="I34" i="4"/>
  <c r="J34" i="4"/>
  <c r="K34" i="4"/>
  <c r="N34" i="4"/>
  <c r="A35" i="4"/>
  <c r="B35" i="4"/>
  <c r="C35" i="4"/>
  <c r="D35" i="4"/>
  <c r="E35" i="4"/>
  <c r="F35" i="4"/>
  <c r="G35" i="4"/>
  <c r="H35" i="4"/>
  <c r="I35" i="4"/>
  <c r="J35" i="4"/>
  <c r="K35" i="4"/>
  <c r="N35" i="4"/>
  <c r="A36" i="4"/>
  <c r="B36" i="4"/>
  <c r="C36" i="4"/>
  <c r="D36" i="4"/>
  <c r="E36" i="4"/>
  <c r="F36" i="4"/>
  <c r="G36" i="4"/>
  <c r="H36" i="4"/>
  <c r="I36" i="4"/>
  <c r="J36" i="4"/>
  <c r="K36" i="4"/>
  <c r="N36" i="4"/>
  <c r="A37" i="4"/>
  <c r="B37" i="4"/>
  <c r="C37" i="4"/>
  <c r="D37" i="4"/>
  <c r="E37" i="4"/>
  <c r="F37" i="4"/>
  <c r="G37" i="4"/>
  <c r="H37" i="4"/>
  <c r="I37" i="4"/>
  <c r="J37" i="4"/>
  <c r="K37" i="4"/>
  <c r="A38" i="4"/>
  <c r="B38" i="4"/>
  <c r="C38" i="4"/>
  <c r="D38" i="4"/>
  <c r="E38" i="4"/>
  <c r="F38" i="4"/>
  <c r="G38" i="4"/>
  <c r="H38" i="4"/>
  <c r="I38" i="4"/>
  <c r="J38" i="4"/>
  <c r="K38" i="4"/>
  <c r="N38" i="4"/>
  <c r="A39" i="4"/>
  <c r="B39" i="4"/>
  <c r="C39" i="4"/>
  <c r="D39" i="4"/>
  <c r="E39" i="4"/>
  <c r="F39" i="4"/>
  <c r="G39" i="4"/>
  <c r="H39" i="4"/>
  <c r="I39" i="4"/>
  <c r="J39" i="4"/>
  <c r="K39" i="4"/>
  <c r="N39" i="4"/>
  <c r="A40" i="4"/>
  <c r="B40" i="4"/>
  <c r="C40" i="4"/>
  <c r="D40" i="4"/>
  <c r="E40" i="4"/>
  <c r="F40" i="4"/>
  <c r="G40" i="4"/>
  <c r="H40" i="4"/>
  <c r="I40" i="4"/>
  <c r="J40" i="4"/>
  <c r="K40" i="4"/>
  <c r="N40" i="4"/>
  <c r="A41" i="4"/>
  <c r="B41" i="4"/>
  <c r="C41" i="4"/>
  <c r="D41" i="4"/>
  <c r="E41" i="4"/>
  <c r="F41" i="4"/>
  <c r="G41" i="4"/>
  <c r="H41" i="4"/>
  <c r="I41" i="4"/>
  <c r="J41" i="4"/>
  <c r="K41" i="4"/>
  <c r="A42" i="4"/>
  <c r="B42" i="4"/>
  <c r="C42" i="4"/>
  <c r="D42" i="4"/>
  <c r="E42" i="4"/>
  <c r="F42" i="4"/>
  <c r="G42" i="4"/>
  <c r="H42" i="4"/>
  <c r="I42" i="4"/>
  <c r="J42" i="4"/>
  <c r="K42" i="4"/>
  <c r="N42" i="4"/>
  <c r="A43" i="4"/>
  <c r="B43" i="4"/>
  <c r="C43" i="4"/>
  <c r="D43" i="4"/>
  <c r="E43" i="4"/>
  <c r="F43" i="4"/>
  <c r="G43" i="4"/>
  <c r="H43" i="4"/>
  <c r="I43" i="4"/>
  <c r="J43" i="4"/>
  <c r="K43" i="4"/>
  <c r="N43" i="4"/>
  <c r="A44" i="4"/>
  <c r="B44" i="4"/>
  <c r="C44" i="4"/>
  <c r="D44" i="4"/>
  <c r="E44" i="4"/>
  <c r="F44" i="4"/>
  <c r="G44" i="4"/>
  <c r="H44" i="4"/>
  <c r="I44" i="4"/>
  <c r="J44" i="4"/>
  <c r="K44" i="4"/>
  <c r="N44" i="4"/>
  <c r="A45" i="4"/>
  <c r="B45" i="4"/>
  <c r="C45" i="4"/>
  <c r="D45" i="4"/>
  <c r="E45" i="4"/>
  <c r="F45" i="4"/>
  <c r="G45" i="4"/>
  <c r="H45" i="4"/>
  <c r="I45" i="4"/>
  <c r="J45" i="4"/>
  <c r="K45" i="4"/>
  <c r="N45" i="4"/>
  <c r="A46" i="4"/>
  <c r="B46" i="4"/>
  <c r="C46" i="4"/>
  <c r="D46" i="4"/>
  <c r="E46" i="4"/>
  <c r="F46" i="4"/>
  <c r="G46" i="4"/>
  <c r="H46" i="4"/>
  <c r="I46" i="4"/>
  <c r="J46" i="4"/>
  <c r="K46" i="4"/>
  <c r="N46" i="4"/>
  <c r="A47" i="4"/>
  <c r="B47" i="4"/>
  <c r="C47" i="4"/>
  <c r="D47" i="4"/>
  <c r="E47" i="4"/>
  <c r="F47" i="4"/>
  <c r="G47" i="4"/>
  <c r="H47" i="4"/>
  <c r="I47" i="4"/>
  <c r="J47" i="4"/>
  <c r="K47" i="4"/>
  <c r="N47" i="4"/>
  <c r="A48" i="4"/>
  <c r="B48" i="4"/>
  <c r="C48" i="4"/>
  <c r="D48" i="4"/>
  <c r="E48" i="4"/>
  <c r="F48" i="4"/>
  <c r="G48" i="4"/>
  <c r="H48" i="4"/>
  <c r="I48" i="4"/>
  <c r="J48" i="4"/>
  <c r="K48" i="4"/>
  <c r="N48" i="4"/>
  <c r="A49" i="4"/>
  <c r="B49" i="4"/>
  <c r="C49" i="4"/>
  <c r="D49" i="4"/>
  <c r="E49" i="4"/>
  <c r="F49" i="4"/>
  <c r="G49" i="4"/>
  <c r="H49" i="4"/>
  <c r="I49" i="4"/>
  <c r="J49" i="4"/>
  <c r="K49" i="4"/>
  <c r="N49" i="4"/>
  <c r="A50" i="4"/>
  <c r="B50" i="4"/>
  <c r="C50" i="4"/>
  <c r="D50" i="4"/>
  <c r="E50" i="4"/>
  <c r="F50" i="4"/>
  <c r="G50" i="4"/>
  <c r="H50" i="4"/>
  <c r="I50" i="4"/>
  <c r="J50" i="4"/>
  <c r="K50" i="4"/>
  <c r="N50" i="4"/>
  <c r="A51" i="4"/>
  <c r="B51" i="4"/>
  <c r="C51" i="4"/>
  <c r="D51" i="4"/>
  <c r="E51" i="4"/>
  <c r="F51" i="4"/>
  <c r="G51" i="4"/>
  <c r="H51" i="4"/>
  <c r="I51" i="4"/>
  <c r="J51" i="4"/>
  <c r="K51" i="4"/>
  <c r="N51" i="4"/>
  <c r="A52" i="4"/>
  <c r="B52" i="4"/>
  <c r="C52" i="4"/>
  <c r="D52" i="4"/>
  <c r="E52" i="4"/>
  <c r="F52" i="4"/>
  <c r="G52" i="4"/>
  <c r="H52" i="4"/>
  <c r="I52" i="4"/>
  <c r="J52" i="4"/>
  <c r="K52" i="4"/>
  <c r="N52" i="4"/>
  <c r="A32" i="4"/>
  <c r="B32" i="4"/>
  <c r="C32" i="4"/>
  <c r="D32" i="4"/>
  <c r="E32" i="4"/>
  <c r="F32" i="4"/>
  <c r="G32" i="4"/>
  <c r="H32" i="4"/>
  <c r="I32" i="4"/>
  <c r="J32" i="4"/>
  <c r="K32" i="4"/>
  <c r="N32" i="4"/>
  <c r="K63" i="4"/>
  <c r="V3" i="1" l="1"/>
  <c r="X3" i="1" s="1"/>
  <c r="W3" i="1"/>
  <c r="V4" i="1"/>
  <c r="X4" i="1" s="1"/>
  <c r="W4" i="1"/>
  <c r="V2" i="1"/>
  <c r="X2" i="1" s="1"/>
  <c r="W2" i="1"/>
  <c r="AI17" i="2" l="1"/>
  <c r="AK17" i="2" l="1"/>
  <c r="AJ17" i="2"/>
  <c r="I14" i="2" l="1"/>
  <c r="AI18" i="2" l="1"/>
  <c r="AJ18" i="2" s="1"/>
  <c r="AK18" i="2" l="1"/>
  <c r="AI20" i="2" l="1"/>
  <c r="AK20" i="2" s="1"/>
  <c r="AI19" i="2"/>
  <c r="AK19" i="2" s="1"/>
  <c r="AJ19" i="2" l="1"/>
  <c r="AJ20" i="2"/>
  <c r="F8" i="10" l="1"/>
  <c r="J8" i="10"/>
  <c r="J13" i="2"/>
  <c r="J14" i="2"/>
  <c r="J15" i="2"/>
  <c r="I13" i="2"/>
  <c r="I15" i="2"/>
  <c r="I16" i="2"/>
  <c r="A11" i="10"/>
  <c r="K14" i="2" l="1"/>
  <c r="K15" i="2"/>
  <c r="H15" i="2"/>
  <c r="F14" i="2"/>
  <c r="F15" i="2"/>
  <c r="E14" i="2"/>
  <c r="E15" i="2"/>
  <c r="D15" i="2"/>
  <c r="C14" i="2"/>
  <c r="C15" i="2"/>
  <c r="B14" i="2"/>
  <c r="B15" i="2"/>
  <c r="A15" i="2"/>
  <c r="K13" i="2" l="1"/>
  <c r="H13" i="2"/>
  <c r="G12" i="2"/>
  <c r="F13" i="2"/>
  <c r="B13" i="2"/>
  <c r="K16" i="2" l="1"/>
  <c r="H16" i="2"/>
  <c r="G15" i="2"/>
  <c r="F16" i="2"/>
  <c r="E16" i="2"/>
  <c r="D16" i="2"/>
  <c r="C16" i="2"/>
  <c r="B16" i="2"/>
  <c r="A16" i="2"/>
  <c r="H3" i="2" l="1"/>
  <c r="V5" i="1" l="1"/>
  <c r="W5" i="1" s="1"/>
  <c r="X5" i="1" l="1"/>
  <c r="AX8" i="2" l="1"/>
  <c r="AX7" i="2"/>
  <c r="AX11" i="2" l="1"/>
  <c r="AX10" i="2"/>
  <c r="AX9" i="2" l="1"/>
  <c r="B8" i="10" l="1"/>
  <c r="B7" i="10"/>
  <c r="A13" i="4"/>
  <c r="B13" i="4"/>
  <c r="C13" i="4"/>
  <c r="D13" i="4"/>
  <c r="E13" i="4"/>
  <c r="F13" i="4"/>
  <c r="G13" i="4"/>
  <c r="H13" i="4"/>
  <c r="I13" i="4"/>
  <c r="J13" i="4"/>
  <c r="K13" i="4"/>
  <c r="N13" i="4"/>
  <c r="A14" i="4"/>
  <c r="B14" i="4"/>
  <c r="C14" i="4"/>
  <c r="D14" i="4"/>
  <c r="E14" i="4"/>
  <c r="F14" i="4"/>
  <c r="G14" i="4"/>
  <c r="H14" i="4"/>
  <c r="I14" i="4"/>
  <c r="J14" i="4"/>
  <c r="K14" i="4"/>
  <c r="N14" i="4"/>
  <c r="A15" i="4"/>
  <c r="B15" i="4"/>
  <c r="C15" i="4"/>
  <c r="D15" i="4"/>
  <c r="E15" i="4"/>
  <c r="F15" i="4"/>
  <c r="G15" i="4"/>
  <c r="H15" i="4"/>
  <c r="I15" i="4"/>
  <c r="J15" i="4"/>
  <c r="K15" i="4"/>
  <c r="N15" i="4"/>
  <c r="A16" i="4"/>
  <c r="B16" i="4"/>
  <c r="C16" i="4"/>
  <c r="D16" i="4"/>
  <c r="E16" i="4"/>
  <c r="F16" i="4"/>
  <c r="G16" i="4"/>
  <c r="H16" i="4"/>
  <c r="I16" i="4"/>
  <c r="J16" i="4"/>
  <c r="K16" i="4"/>
  <c r="N16" i="4"/>
  <c r="A17" i="4"/>
  <c r="B17" i="4"/>
  <c r="C17" i="4"/>
  <c r="D17" i="4"/>
  <c r="E17" i="4"/>
  <c r="F17" i="4"/>
  <c r="G17" i="4"/>
  <c r="H17" i="4"/>
  <c r="I17" i="4"/>
  <c r="J17" i="4"/>
  <c r="K17" i="4"/>
  <c r="N17" i="4"/>
  <c r="A18" i="4"/>
  <c r="B18" i="4"/>
  <c r="C18" i="4"/>
  <c r="D18" i="4"/>
  <c r="E18" i="4"/>
  <c r="F18" i="4"/>
  <c r="G18" i="4"/>
  <c r="H18" i="4"/>
  <c r="I18" i="4"/>
  <c r="J18" i="4"/>
  <c r="K18" i="4"/>
  <c r="N18" i="4"/>
  <c r="A19" i="4"/>
  <c r="B19" i="4"/>
  <c r="C19" i="4"/>
  <c r="D19" i="4"/>
  <c r="E19" i="4"/>
  <c r="F19" i="4"/>
  <c r="G19" i="4"/>
  <c r="H19" i="4"/>
  <c r="I19" i="4"/>
  <c r="J19" i="4"/>
  <c r="K19" i="4"/>
  <c r="N19" i="4"/>
  <c r="A20" i="4"/>
  <c r="B20" i="4"/>
  <c r="C20" i="4"/>
  <c r="D20" i="4"/>
  <c r="E20" i="4"/>
  <c r="F20" i="4"/>
  <c r="G20" i="4"/>
  <c r="H20" i="4"/>
  <c r="I20" i="4"/>
  <c r="J20" i="4"/>
  <c r="K20" i="4"/>
  <c r="N20" i="4"/>
  <c r="A21" i="4"/>
  <c r="B21" i="4"/>
  <c r="C21" i="4"/>
  <c r="D21" i="4"/>
  <c r="E21" i="4"/>
  <c r="F21" i="4"/>
  <c r="G21" i="4"/>
  <c r="H21" i="4"/>
  <c r="I21" i="4"/>
  <c r="J21" i="4"/>
  <c r="K21" i="4"/>
  <c r="N21" i="4"/>
  <c r="A22" i="4"/>
  <c r="B22" i="4"/>
  <c r="C22" i="4"/>
  <c r="D22" i="4"/>
  <c r="E22" i="4"/>
  <c r="F22" i="4"/>
  <c r="G22" i="4"/>
  <c r="H22" i="4"/>
  <c r="I22" i="4"/>
  <c r="J22" i="4"/>
  <c r="K22" i="4"/>
  <c r="N22" i="4"/>
  <c r="A23" i="4"/>
  <c r="B23" i="4"/>
  <c r="C23" i="4"/>
  <c r="D23" i="4"/>
  <c r="E23" i="4"/>
  <c r="F23" i="4"/>
  <c r="G23" i="4"/>
  <c r="H23" i="4"/>
  <c r="I23" i="4"/>
  <c r="J23" i="4"/>
  <c r="K23" i="4"/>
  <c r="N23" i="4"/>
  <c r="A24" i="4"/>
  <c r="B24" i="4"/>
  <c r="C24" i="4"/>
  <c r="D24" i="4"/>
  <c r="E24" i="4"/>
  <c r="F24" i="4"/>
  <c r="G24" i="4"/>
  <c r="H24" i="4"/>
  <c r="I24" i="4"/>
  <c r="J24" i="4"/>
  <c r="K24" i="4"/>
  <c r="N24" i="4"/>
  <c r="A25" i="4"/>
  <c r="B25" i="4"/>
  <c r="C25" i="4"/>
  <c r="D25" i="4"/>
  <c r="E25" i="4"/>
  <c r="F25" i="4"/>
  <c r="G25" i="4"/>
  <c r="H25" i="4"/>
  <c r="I25" i="4"/>
  <c r="J25" i="4"/>
  <c r="K25" i="4"/>
  <c r="N25" i="4"/>
  <c r="A26" i="4"/>
  <c r="B26" i="4"/>
  <c r="C26" i="4"/>
  <c r="D26" i="4"/>
  <c r="E26" i="4"/>
  <c r="F26" i="4"/>
  <c r="G26" i="4"/>
  <c r="H26" i="4"/>
  <c r="I26" i="4"/>
  <c r="J26" i="4"/>
  <c r="K26" i="4"/>
  <c r="N26" i="4"/>
  <c r="A27" i="4"/>
  <c r="B27" i="4"/>
  <c r="C27" i="4"/>
  <c r="D27" i="4"/>
  <c r="E27" i="4"/>
  <c r="F27" i="4"/>
  <c r="G27" i="4"/>
  <c r="H27" i="4"/>
  <c r="I27" i="4"/>
  <c r="J27" i="4"/>
  <c r="K27" i="4"/>
  <c r="N27" i="4"/>
  <c r="A28" i="4"/>
  <c r="B28" i="4"/>
  <c r="C28" i="4"/>
  <c r="D28" i="4"/>
  <c r="E28" i="4"/>
  <c r="F28" i="4"/>
  <c r="G28" i="4"/>
  <c r="H28" i="4"/>
  <c r="I28" i="4"/>
  <c r="J28" i="4"/>
  <c r="K28" i="4"/>
  <c r="N28" i="4"/>
  <c r="A29" i="4"/>
  <c r="B29" i="4"/>
  <c r="C29" i="4"/>
  <c r="D29" i="4"/>
  <c r="E29" i="4"/>
  <c r="F29" i="4"/>
  <c r="G29" i="4"/>
  <c r="H29" i="4"/>
  <c r="I29" i="4"/>
  <c r="J29" i="4"/>
  <c r="K29" i="4"/>
  <c r="N29" i="4"/>
  <c r="A30" i="4"/>
  <c r="B30" i="4"/>
  <c r="C30" i="4"/>
  <c r="D30" i="4"/>
  <c r="E30" i="4"/>
  <c r="F30" i="4"/>
  <c r="G30" i="4"/>
  <c r="H30" i="4"/>
  <c r="I30" i="4"/>
  <c r="J30" i="4"/>
  <c r="K30" i="4"/>
  <c r="N30" i="4"/>
  <c r="A31" i="4"/>
  <c r="B31" i="4"/>
  <c r="C31" i="4"/>
  <c r="D31" i="4"/>
  <c r="E31" i="4"/>
  <c r="F31" i="4"/>
  <c r="G31" i="4"/>
  <c r="H31" i="4"/>
  <c r="I31" i="4"/>
  <c r="J31" i="4"/>
  <c r="K31" i="4"/>
  <c r="N31" i="4"/>
  <c r="B7" i="4"/>
  <c r="C7" i="4"/>
  <c r="D7" i="4"/>
  <c r="E7" i="4"/>
  <c r="F7" i="4"/>
  <c r="G7" i="4"/>
  <c r="H7" i="4"/>
  <c r="I7" i="4"/>
  <c r="J7" i="4"/>
  <c r="K7" i="4"/>
  <c r="N7" i="4"/>
  <c r="B8" i="4"/>
  <c r="C8" i="4"/>
  <c r="D8" i="4"/>
  <c r="E8" i="4"/>
  <c r="F8" i="4"/>
  <c r="G8" i="4"/>
  <c r="H8" i="4"/>
  <c r="I8" i="4"/>
  <c r="J8" i="4"/>
  <c r="K8" i="4"/>
  <c r="N8" i="4"/>
  <c r="B9" i="4"/>
  <c r="C9" i="4"/>
  <c r="D9" i="4"/>
  <c r="E9" i="4"/>
  <c r="F9" i="4"/>
  <c r="G9" i="4"/>
  <c r="H9" i="4"/>
  <c r="I9" i="4"/>
  <c r="J9" i="4"/>
  <c r="K9" i="4"/>
  <c r="N9" i="4"/>
  <c r="B10" i="4"/>
  <c r="C10" i="4"/>
  <c r="D10" i="4"/>
  <c r="E10" i="4"/>
  <c r="F10" i="4"/>
  <c r="G10" i="4"/>
  <c r="H10" i="4"/>
  <c r="I10" i="4"/>
  <c r="J10" i="4"/>
  <c r="K10" i="4"/>
  <c r="N10" i="4"/>
  <c r="B11" i="4"/>
  <c r="C11" i="4"/>
  <c r="D11" i="4"/>
  <c r="E11" i="4"/>
  <c r="F11" i="4"/>
  <c r="G11" i="4"/>
  <c r="H11" i="4"/>
  <c r="I11" i="4"/>
  <c r="J11" i="4"/>
  <c r="K11" i="4"/>
  <c r="N11" i="4"/>
  <c r="B12" i="4"/>
  <c r="C12" i="4"/>
  <c r="D12" i="4"/>
  <c r="E12" i="4"/>
  <c r="F12" i="4"/>
  <c r="G12" i="4"/>
  <c r="H12" i="4"/>
  <c r="I12" i="4"/>
  <c r="J12" i="4"/>
  <c r="K12" i="4"/>
  <c r="N12" i="4"/>
  <c r="A7" i="4"/>
  <c r="A8" i="4"/>
  <c r="A9" i="4"/>
  <c r="A10" i="4"/>
  <c r="A11" i="4"/>
  <c r="A12" i="4"/>
  <c r="K6" i="4"/>
  <c r="J6" i="4"/>
  <c r="I6" i="4"/>
  <c r="H6" i="4"/>
  <c r="G6" i="4"/>
  <c r="F6" i="4"/>
  <c r="D6" i="4"/>
  <c r="C6" i="4"/>
  <c r="B6" i="4"/>
  <c r="A6" i="4"/>
  <c r="N6" i="4"/>
  <c r="A4" i="2"/>
  <c r="J2" i="2"/>
  <c r="L2" i="2" s="1"/>
  <c r="K2" i="2" l="1"/>
  <c r="H3" i="10" l="1"/>
  <c r="J16" i="10" l="1"/>
  <c r="J7" i="10"/>
  <c r="F7" i="10"/>
  <c r="J3" i="10"/>
  <c r="G3" i="10"/>
  <c r="B3" i="10"/>
  <c r="G4" i="10" s="1"/>
  <c r="J2" i="10"/>
  <c r="B4" i="10" l="1"/>
  <c r="K20" i="2"/>
  <c r="AR5" i="2"/>
  <c r="E6" i="4" l="1"/>
  <c r="H3" i="4" l="1"/>
</calcChain>
</file>

<file path=xl/sharedStrings.xml><?xml version="1.0" encoding="utf-8"?>
<sst xmlns="http://schemas.openxmlformats.org/spreadsheetml/2006/main" count="33038" uniqueCount="4895">
  <si>
    <t>วันที่</t>
  </si>
  <si>
    <t>แผนก</t>
  </si>
  <si>
    <t>กำหนดปิด</t>
  </si>
  <si>
    <t>แจ้งNCR</t>
  </si>
  <si>
    <t>ตรวจสอบ</t>
  </si>
  <si>
    <t>ปิด</t>
  </si>
  <si>
    <t>กำหนดตอบNCR</t>
  </si>
  <si>
    <t>D/M/Y</t>
  </si>
  <si>
    <t>เดือน</t>
  </si>
  <si>
    <t>Q.A.</t>
  </si>
  <si>
    <t>PD1รีดเส้น</t>
  </si>
  <si>
    <t>PD1เป่าถุง</t>
  </si>
  <si>
    <t>PD1เคลือบ</t>
  </si>
  <si>
    <t>PD2ทอ</t>
  </si>
  <si>
    <t>PD3พิมพ์</t>
  </si>
  <si>
    <t>PD4ตัดเย็บ</t>
  </si>
  <si>
    <t>PD4สำเร็จรูป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</si>
  <si>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</si>
  <si>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</si>
  <si>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</si>
  <si>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</si>
  <si>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</si>
  <si>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</si>
  <si>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</si>
  <si>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</si>
  <si>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</si>
  <si>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</si>
  <si>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</si>
  <si>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</si>
  <si>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รหัสสินค้า</t>
  </si>
  <si>
    <t>Lot No.</t>
  </si>
  <si>
    <t>เลขที่ผลิตภัณฑ์</t>
  </si>
  <si>
    <t>เครื่อง</t>
  </si>
  <si>
    <t>Spec</t>
  </si>
  <si>
    <t>ผลการตรวจสอบ</t>
  </si>
  <si>
    <t xml:space="preserve">จำนวน </t>
  </si>
  <si>
    <t>หน่วย</t>
  </si>
  <si>
    <t>TL1</t>
  </si>
  <si>
    <t>TL3</t>
  </si>
  <si>
    <t>LM1</t>
  </si>
  <si>
    <t>LM2</t>
  </si>
  <si>
    <t>FT1</t>
  </si>
  <si>
    <t>FT2</t>
  </si>
  <si>
    <t>เครื่องตัด1</t>
  </si>
  <si>
    <t>เครื่องตัด2</t>
  </si>
  <si>
    <t>PT1</t>
  </si>
  <si>
    <t>PT2</t>
  </si>
  <si>
    <t>CL</t>
  </si>
  <si>
    <t>CS</t>
  </si>
  <si>
    <t>เมตร</t>
  </si>
  <si>
    <t>ก.ก.</t>
  </si>
  <si>
    <t>ใบ</t>
  </si>
  <si>
    <t>กรง/ก.ก.</t>
  </si>
  <si>
    <t>ม้วน/เมตร</t>
  </si>
  <si>
    <t>Pass</t>
  </si>
  <si>
    <t>wait</t>
  </si>
  <si>
    <t>Approve</t>
  </si>
  <si>
    <t>PDตอบNCR</t>
  </si>
  <si>
    <t>สูง กว่ามาตรฐาน</t>
  </si>
  <si>
    <t>D</t>
  </si>
  <si>
    <t>Std. ไม่เกิน 30 D</t>
  </si>
  <si>
    <t>Std.เกินกว่ามาตรฐาน</t>
  </si>
  <si>
    <t>Dev ไม่เกิน 60 D</t>
  </si>
  <si>
    <t>Dev.เกินกว่ามาตรฐาน</t>
  </si>
  <si>
    <t>Elong  25-35 %</t>
  </si>
  <si>
    <t>ผ่าน</t>
  </si>
  <si>
    <t>%</t>
  </si>
  <si>
    <t>kgf.</t>
  </si>
  <si>
    <t>ไม่ผ่าน</t>
  </si>
  <si>
    <t>g/D</t>
  </si>
  <si>
    <t>ขนาดเส้นเทป(+-0.1 mm)</t>
  </si>
  <si>
    <t>mm.</t>
  </si>
  <si>
    <t>สีของเส้นเทป</t>
  </si>
  <si>
    <t>Kg f ≥(4.0xD/1000) kgf.</t>
  </si>
  <si>
    <t>Kg f ≥(4.3xD/1000) kgf.</t>
  </si>
  <si>
    <t>Avg of D +10,-20 D</t>
  </si>
  <si>
    <t>ผลการตัดสินใจ</t>
  </si>
  <si>
    <t>SPEC</t>
  </si>
  <si>
    <t>สาเหตุของการออกเอกสาร  NCR</t>
  </si>
  <si>
    <t>เลขที่ NCR.</t>
  </si>
  <si>
    <t>จำนวน</t>
  </si>
  <si>
    <t>ถัง</t>
  </si>
  <si>
    <t>Tenacity ≥  4.0 g/D</t>
  </si>
  <si>
    <t>Tenacity ≥  4.3 g/D</t>
  </si>
  <si>
    <t xml:space="preserve">ประจำเดือน </t>
  </si>
  <si>
    <t>ผลต่าง</t>
  </si>
  <si>
    <t>ขอแสดงความนับถือ</t>
  </si>
  <si>
    <t>แผนกประกันคุณภาพ</t>
  </si>
  <si>
    <t>**ไม่เกิน 7 วัน หลังจากแจ้ง</t>
  </si>
  <si>
    <t>**ไม่เกิน 2 วันหลังจากแจ้ง</t>
  </si>
  <si>
    <t>กรัม/ใบ</t>
  </si>
  <si>
    <t>เมตร/ก.ก.</t>
  </si>
  <si>
    <t>เมตร/ใบ</t>
  </si>
  <si>
    <t>ผลการปิด</t>
  </si>
  <si>
    <t>พาสงาน</t>
  </si>
  <si>
    <t/>
  </si>
  <si>
    <t>วันที่แจ้ง</t>
  </si>
  <si>
    <t>อนุมัติออกNCR (คุณหน่อย)</t>
  </si>
  <si>
    <t xml:space="preserve">         อนุมัติ          (คุณตาล)</t>
  </si>
  <si>
    <t>Elong ต่ำกว่ามาตรฐาน</t>
  </si>
  <si>
    <t>**กำหนดปิด               ไม่เกิน 7 วัน หลังจากแจ้ง</t>
  </si>
  <si>
    <t>**กำหนดตอบNCR    ไม่เกิน 2 วัน หลังจากแจ้ง</t>
  </si>
  <si>
    <t>คุณตาล</t>
  </si>
  <si>
    <t>คุณหน่อย</t>
  </si>
  <si>
    <t>ผลิต</t>
  </si>
  <si>
    <t>PT3</t>
  </si>
  <si>
    <t>PT4</t>
  </si>
  <si>
    <t>PT6</t>
  </si>
  <si>
    <t>PT8</t>
  </si>
  <si>
    <t>Elong สูงกว่ามาตรฐาน</t>
  </si>
  <si>
    <t>Avg สูงกว่ามาตรฐาน</t>
  </si>
  <si>
    <t>Avg ต่ำกว่ามาตรฐาน</t>
  </si>
  <si>
    <t>Kg.ต่ำกว่ามาตรฐาน</t>
  </si>
  <si>
    <t>Kg.สูงกว่ามาตรฐาน</t>
  </si>
  <si>
    <t>Tenacityต่ำกว่ามาตรฐาน</t>
  </si>
  <si>
    <t xml:space="preserve">ใช้การลบข้อมูลหรือแก้ไขในส่วนพื้นที่วางข้อมูลได้เท่านั้น  </t>
  </si>
  <si>
    <t>ส่วนในพื้นที่ผูกศูตรมีข้อมูลบางช่องไม่ต้องการให้แสดง</t>
  </si>
  <si>
    <t>ให้ใช้การปรับตัวอักษรให้เป็นสีขาวนะคะ</t>
  </si>
  <si>
    <r>
      <t xml:space="preserve">***ห้าม </t>
    </r>
    <r>
      <rPr>
        <b/>
        <i/>
        <u val="double"/>
        <sz val="16"/>
        <color rgb="FFC00000"/>
        <rFont val="Angsana New"/>
        <family val="1"/>
      </rPr>
      <t>แก้ไข ลบ แทรก ซ่อน</t>
    </r>
    <r>
      <rPr>
        <b/>
        <u/>
        <sz val="16"/>
        <color rgb="FFC00000"/>
        <rFont val="Angsana New"/>
        <family val="1"/>
      </rPr>
      <t xml:space="preserve"> ในช่องที่ทำการผูกสูตรไว้นะคะ</t>
    </r>
  </si>
  <si>
    <t>PD</t>
  </si>
  <si>
    <t>เรียน  ฝ่ายงานที่เกี่ยวข้อง</t>
  </si>
  <si>
    <t>TL4</t>
  </si>
  <si>
    <t>งานพิมพ์ไม่สมบรูณ์</t>
  </si>
  <si>
    <t>FWBWT2137100PL</t>
  </si>
  <si>
    <t>PT9</t>
  </si>
  <si>
    <t>ซันฟีด ไก่ไข่</t>
  </si>
  <si>
    <t>โมโม่ 402 โกล</t>
  </si>
  <si>
    <t>FWBWT193060P</t>
  </si>
  <si>
    <t>FWBWT203780P</t>
  </si>
  <si>
    <t>ไทยลักซ์ 8925-2</t>
  </si>
  <si>
    <t>FWBWT233468P</t>
  </si>
  <si>
    <t>FWBWT2038100PLM</t>
  </si>
  <si>
    <t>FWBWT2039102PLM</t>
  </si>
  <si>
    <t>FWBWT2037100PL</t>
  </si>
  <si>
    <t>PT01</t>
  </si>
  <si>
    <t>เรียน กรรมการผู้จัดการ/รองกรรมการผู้จัดการ</t>
  </si>
  <si>
    <t>ส่งแต้มสี</t>
  </si>
  <si>
    <t>ซันฟีด 953</t>
  </si>
  <si>
    <t>งานพิมพ์สมบรูณ์ตามอาร์ตพิมพ์</t>
  </si>
  <si>
    <t>FWBWT203795P</t>
  </si>
  <si>
    <t>TTD36</t>
  </si>
  <si>
    <t xml:space="preserve"> </t>
  </si>
  <si>
    <t>ถุงเขียว</t>
  </si>
  <si>
    <t>FWBWT203984P</t>
  </si>
  <si>
    <t>PD463080512</t>
  </si>
  <si>
    <t>PT3 ม้วนที่ 1,2</t>
  </si>
  <si>
    <t>เลข 6 ส่งแต้ม ส่วนลูกไก่ผสมส่ง</t>
  </si>
  <si>
    <t>เลข 6 1765 ใบ ลูกไก่ 160 ใบ</t>
  </si>
  <si>
    <t>SPM 170</t>
  </si>
  <si>
    <t>FWBWT203880P</t>
  </si>
  <si>
    <t>PD463080522</t>
  </si>
  <si>
    <t>PT2 ม้วนที่1,3</t>
  </si>
  <si>
    <t>กิโลกรัม ร สีลงไม่เต็ม</t>
  </si>
  <si>
    <t>ผสม 25/75</t>
  </si>
  <si>
    <t>PD463080401</t>
  </si>
  <si>
    <t>ฮ.นกฮูก</t>
  </si>
  <si>
    <t>PD463081003</t>
  </si>
  <si>
    <t>สีหาย บริเวณ ตรา ฮ.นกฮูกด้านล่าง</t>
  </si>
  <si>
    <t>งานพิมพ์ไม่สมบรูณ์ สีลงไม่เต็ม</t>
  </si>
  <si>
    <t>FWBWT2138102PLM</t>
  </si>
  <si>
    <t>PD463081020</t>
  </si>
  <si>
    <t>คำว่ารำละเอียด 'อ'  สีลงไม่เต็ม</t>
  </si>
  <si>
    <t>TTD335</t>
  </si>
  <si>
    <t xml:space="preserve"> PD463081921</t>
  </si>
  <si>
    <t>PT9 ม้วนที่ 1</t>
  </si>
  <si>
    <t xml:space="preserve">งานพิมพ์ตัวหนัง สีดำด้านหน้าบริเวณรังไข่ สีหาย </t>
  </si>
  <si>
    <t>ขอผสม 25/75</t>
  </si>
  <si>
    <t>งานพิมพ์สมบูรณ์ตามอาร์ตพิมพ์</t>
  </si>
  <si>
    <t>PD463081812</t>
  </si>
  <si>
    <t>PT4 ม้วนที่ 1</t>
  </si>
  <si>
    <t>รูปถุงสีเขียวด้านข้างสีหาย</t>
  </si>
  <si>
    <t>ขอแบ่งผสม</t>
  </si>
  <si>
    <t>PD463081918</t>
  </si>
  <si>
    <t>ตัวหนังสือสีดำด้านหลังสีหาย</t>
  </si>
  <si>
    <t>ซันฟีด 551</t>
  </si>
  <si>
    <t>PD463081813</t>
  </si>
  <si>
    <t>PT3 ม้วนที่ 4</t>
  </si>
  <si>
    <t>งานพิมพ์สีเขียวแถบข้างสีหาย</t>
  </si>
  <si>
    <t>เบทาโกร 215</t>
  </si>
  <si>
    <t>PD463081820</t>
  </si>
  <si>
    <t>PT3 ม้วนที่ 5</t>
  </si>
  <si>
    <t>งานพิมพ์สีเขียวด้านข้างสีหาย</t>
  </si>
  <si>
    <t>ส่งแต้มสีผสม25/75</t>
  </si>
  <si>
    <t>แอ็กกี้ฟีด 112</t>
  </si>
  <si>
    <t>PD463081819</t>
  </si>
  <si>
    <t>PT1 ม้วนที่ 3</t>
  </si>
  <si>
    <t>งานพิมพ์สีน้ำเงินด้านข้างสีหาย</t>
  </si>
  <si>
    <t>บาลานส์ 924</t>
  </si>
  <si>
    <t>PD463082802</t>
  </si>
  <si>
    <t>สีม่วงแถบด้านข้างสีลงไม่เต็มเป็นจุดๆ</t>
  </si>
  <si>
    <t xml:space="preserve"> งานพิมพ์ไม่สมบรูณ์ สีลงไม่เต็ม</t>
  </si>
  <si>
    <t>ส่งแต้ม</t>
  </si>
  <si>
    <t>การ์เซียส์ฟีช 112</t>
  </si>
  <si>
    <t>PD463082813</t>
  </si>
  <si>
    <t>บริเวณตัวปลาช่วงคลีบสีลงไม่เต็ม</t>
  </si>
  <si>
    <t>ตัวหนังสือด้านหลังสีน้ำเงิน สีหาย</t>
  </si>
  <si>
    <t>วันที่ออกเอกสาร</t>
  </si>
  <si>
    <t>ผู้รับผิดชอบ</t>
  </si>
  <si>
    <t>รายงานผลิตภัณฑ์</t>
  </si>
  <si>
    <t>ข้อบกพร่องที่พบ</t>
  </si>
  <si>
    <t>บันทึกเพิ่มเติม</t>
  </si>
  <si>
    <t>ส่วนนี้สำหรับหน่วยงานที่รับผิดชอบ</t>
  </si>
  <si>
    <t>สาเหตุที่เกิด</t>
  </si>
  <si>
    <t>แนวทางแก้ใขป้องกัน</t>
  </si>
  <si>
    <t>กำหนดเสร็จ</t>
  </si>
  <si>
    <t>เสนอให้ดำเนินการกับผลิตภัณฑ์ดังนี้</t>
  </si>
  <si>
    <t>ผู้ขออนุมัติดำนินการ</t>
  </si>
  <si>
    <t>ผู้ตรวจสอบ</t>
  </si>
  <si>
    <t>ผู้อนุมัติ</t>
  </si>
  <si>
    <t>ข้อคิดเห็นเพิ่มเติม</t>
  </si>
  <si>
    <t xml:space="preserve">                         .................................................</t>
  </si>
  <si>
    <t>หน.แผนกQA.</t>
  </si>
  <si>
    <t>รองกรรมการผู้จัดการขึ้นไป</t>
  </si>
  <si>
    <t>ปัญหางานพิมพ์สีหาย</t>
  </si>
  <si>
    <t>APM422GOAL</t>
  </si>
  <si>
    <t>ซันฟีด918</t>
  </si>
  <si>
    <t>ซันฟีด915</t>
  </si>
  <si>
    <t>SPEED PLUS 405 ENG</t>
  </si>
  <si>
    <t>WBฟาร์ม F932</t>
  </si>
  <si>
    <t>แวนน่า วี4เอส</t>
  </si>
  <si>
    <t>NB FISH 202</t>
  </si>
  <si>
    <t>AGGIE FEED 111</t>
  </si>
  <si>
    <t>นกทอง</t>
  </si>
  <si>
    <t>NB 555</t>
  </si>
  <si>
    <t xml:space="preserve">PT4 </t>
  </si>
  <si>
    <t>ตัวหนังสือด้านหลังสีส้มคำว่า ฟีด สีหาย</t>
  </si>
  <si>
    <t>สีดำตรงรังไข่หาย</t>
  </si>
  <si>
    <t>สีส้ม+แดงตรงด้านข้างหาย</t>
  </si>
  <si>
    <t>ตัวหนังสือด้านหลังสีดำคำว่า ผลิต สีหาย</t>
  </si>
  <si>
    <t>ตัวหนังสือด้านข้างสีส้มคำว่า เอฟ สีหาย</t>
  </si>
  <si>
    <t>ตัวหนังสือด้านหลังสีดำคำว่า ป่น สีหาย</t>
  </si>
  <si>
    <t>ตัวหนังสือด้านหน้าสีทองคำว่า NB สีหาย</t>
  </si>
  <si>
    <t>สีชมพูด้านบนตรงแถบสีหาย 5-8 ใบต่อแปะ</t>
  </si>
  <si>
    <t>สีน้ำเงินด้านบน ตรงคำว่า HIGH QUALITY สีหาย</t>
  </si>
  <si>
    <t>สีเหลือง ตรงหัวนก  สีหาย</t>
  </si>
  <si>
    <t>สีน้ำเงินด้านหน้า ข่างล่าง สีหาย</t>
  </si>
  <si>
    <t>ไม่ได้แจ้งจำนวน</t>
  </si>
  <si>
    <t>แซมแปะละใบ</t>
  </si>
  <si>
    <t>แซม</t>
  </si>
  <si>
    <t>จำนวนที่พิมพ์</t>
  </si>
  <si>
    <t>จำนวนที่พบ</t>
  </si>
  <si>
    <t>เลขที่</t>
  </si>
  <si>
    <t>หน่วยงานที่รับผิดชอบ</t>
  </si>
  <si>
    <t>ชื่อผลิตภัณฑ์</t>
  </si>
  <si>
    <t>ชื่อลูกค้า</t>
  </si>
  <si>
    <t>จำนวนทั้งหมด</t>
  </si>
  <si>
    <t>ผู้รายงาน</t>
  </si>
  <si>
    <t>............./............../................</t>
  </si>
  <si>
    <t>....................................................</t>
  </si>
  <si>
    <t xml:space="preserve">       หัวหน้าแผนก </t>
  </si>
  <si>
    <t xml:space="preserve"> ผู้จัดการฝ่าย</t>
  </si>
  <si>
    <t>QA.ผู้รายงาน</t>
  </si>
  <si>
    <t>กำหนดตอบ</t>
  </si>
  <si>
    <t>O  ซ่อม/นำกลับสู่กระบวนการใหม่</t>
  </si>
  <si>
    <t>O   ลดเกรด</t>
  </si>
  <si>
    <t>O   อนุมัติใช้กรณีพิเศษ</t>
  </si>
  <si>
    <t>O อนุมัติ     O ไม่อนุมัติ</t>
  </si>
  <si>
    <t>O   ทำลาย</t>
  </si>
  <si>
    <t>วันที่ปิด</t>
  </si>
  <si>
    <t>รายงานผลิตภัณฑ์มีปัญหา</t>
  </si>
  <si>
    <r>
      <t xml:space="preserve">O   อื่นๆ(ระบุ) </t>
    </r>
    <r>
      <rPr>
        <sz val="14"/>
        <rFont val="Angsana New"/>
        <family val="1"/>
      </rPr>
      <t>.................................................</t>
    </r>
  </si>
  <si>
    <t>.............................        .........../.........../............</t>
  </si>
  <si>
    <t>...................    ........../........./..........</t>
  </si>
  <si>
    <t>หมายเลขล็อต(Lot. No.)</t>
  </si>
  <si>
    <t>ข้อกำหนดการออก NCR และ รายงานผลิตภัณฑ์มีปัญหา</t>
  </si>
  <si>
    <t>รายงานผลิตภัณฑ์มีปัญหา เกินกำหนด</t>
  </si>
  <si>
    <t>ลูกค้า</t>
  </si>
  <si>
    <t>แผนกที่พบ</t>
  </si>
  <si>
    <t>ตัดเย็บ</t>
  </si>
  <si>
    <t>ผลการตรวจสอบ1</t>
  </si>
  <si>
    <t>เลขที่NC</t>
  </si>
  <si>
    <t xml:space="preserve">รายงานผลิตภัณฑ์มีปัญหา </t>
  </si>
  <si>
    <t>เลขที่ NC.</t>
  </si>
  <si>
    <t>สาเหตุของการออกเอกสาร  NC</t>
  </si>
  <si>
    <t>แจ้งNC</t>
  </si>
  <si>
    <t>ตรา</t>
  </si>
  <si>
    <t>นีโอ แอล03</t>
  </si>
  <si>
    <t>แชมป์เปี้ยนเหลือง</t>
  </si>
  <si>
    <t>เส้นเทปติดด้านหลัง ตรงคำว่า"สารเสริม"</t>
  </si>
  <si>
    <t>บล็อคเลื่อนด้านข้าง</t>
  </si>
  <si>
    <t>เอาไปเลยไม่ขอผสม</t>
  </si>
  <si>
    <t>ช้างไทยสีแดง</t>
  </si>
  <si>
    <t>บาลานส์ 909(มิตรภาพ)</t>
  </si>
  <si>
    <t>มาสเตอร์ 5555</t>
  </si>
  <si>
    <t>สไมล์951M</t>
  </si>
  <si>
    <t>เคมีแมน CAL100 50Kg</t>
  </si>
  <si>
    <t>FWBWT213797PL</t>
  </si>
  <si>
    <t>FWBWT193484PL</t>
  </si>
  <si>
    <t>FWBWT203765P</t>
  </si>
  <si>
    <t>FWBWT2040108PLM</t>
  </si>
  <si>
    <t>FWBWT213665P</t>
  </si>
  <si>
    <t>PD463090411</t>
  </si>
  <si>
    <t>PD463090519</t>
  </si>
  <si>
    <t>PD463090518</t>
  </si>
  <si>
    <t>PD463090716</t>
  </si>
  <si>
    <t>PD463090709</t>
  </si>
  <si>
    <t>PD463090902</t>
  </si>
  <si>
    <t>PD463091124</t>
  </si>
  <si>
    <t>PD463091120</t>
  </si>
  <si>
    <t>PD463091215</t>
  </si>
  <si>
    <t>PD463091601</t>
  </si>
  <si>
    <t>PD463091602</t>
  </si>
  <si>
    <t>PD463091620</t>
  </si>
  <si>
    <t>PD463091604</t>
  </si>
  <si>
    <t>PD463091810</t>
  </si>
  <si>
    <t>PD463091815</t>
  </si>
  <si>
    <t>PD463091802</t>
  </si>
  <si>
    <t>PD463091704</t>
  </si>
  <si>
    <t>PD463091702</t>
  </si>
  <si>
    <t>สีหายตรง "ม"คำว่า " กรัม"</t>
  </si>
  <si>
    <t>เส้นเทปติดด้านหลัง ที่อยู่ตรงเบอร์โทรศัพท์</t>
  </si>
  <si>
    <t>สีชมพูหายด้านหลัง</t>
  </si>
  <si>
    <t>สีดำตายด้านหน้า</t>
  </si>
  <si>
    <t>สีลงไม่เต็ม</t>
  </si>
  <si>
    <t>ขอแซมห่างๆ</t>
  </si>
  <si>
    <t>ไม่ออก NCR</t>
  </si>
  <si>
    <t>NCR</t>
  </si>
  <si>
    <t>งานตีกลับ</t>
  </si>
  <si>
    <t>สิ่งปนเปื้อน</t>
  </si>
  <si>
    <t xml:space="preserve"> พิมพ์เสีย (ตั้งแต่100 ใบ ขึ้น)</t>
  </si>
  <si>
    <t>ในกรณีที่เกิดความเสียหายจากการทำงานผิดขั้นตอน ไม่สามารถส่งงานได้  (ตั้งบล็อคผิด , ขึ้นผ้าผิด สีผิด)</t>
  </si>
  <si>
    <t>ปัญหาทอที่ไม่สามารถส่งได้ เช่น -ด้ายแตก -เส้นเทปเปื้อน (ตั้งแต่ 50ใบขึ้นไป)</t>
  </si>
  <si>
    <t>งานมีปัญหาที่สามารถแก้ไขได้หรือแซมผสมไปได้ เช่น -สีหาย -สีเปื้อน -เส้นเทปติด -สี2ข้างไม่เท่ากัน -บล็อคเลื่อน -ผ้าพับ (ตั้งแต่ 100ใบ ขึ้น)</t>
  </si>
  <si>
    <t>ผสม</t>
  </si>
  <si>
    <t>คุณภานุมาส</t>
  </si>
  <si>
    <t>พบรอยเปื้อนสีดำจำนวน 272 ใบ **คัดแยกไว้หน้างาน **</t>
  </si>
  <si>
    <t>พบรอยเส้นเทปติด  1100 ใบ **ให้ผสม 3/1**</t>
  </si>
  <si>
    <t>ตังหนังสือหาย200ใบ**ให้แต้ม**</t>
  </si>
  <si>
    <t>พบรอยเส้นเทปติด   งานพิมพ์ไม่ชัดเจน900 ใบ **ให้ผสม 3/1**</t>
  </si>
  <si>
    <t>พบรอยเปื้อนสีดำจำนวน 1200 ใบ **คัดแยกไว้ส่งลบสี **</t>
  </si>
  <si>
    <t>พบรอยเปื่อนจำนวน200ใบ**คัดแยกไว้ส่งลบสี</t>
  </si>
  <si>
    <t>พบสีตาย150ใบ**แซมแปะละ2ใบ</t>
  </si>
  <si>
    <t>ตังหนังสือหาย525ใบ**ให้ผสม25/75**</t>
  </si>
  <si>
    <t>พบรอยเปื้อนจำนวน244ใบ**คัดแยกไว้ส่งลบสี</t>
  </si>
  <si>
    <t>พบรอยเปื้อนจำนวน400ใบ**คัดแยกไว้ส่งลบสี</t>
  </si>
  <si>
    <t>พบรอยเปื้อนสีดำจำนวน 200 ใบ **คัดแยกไว้ส่งลบสี **</t>
  </si>
  <si>
    <t>พบรอยเส้นเทปติด   งานพิมพ์ไม่ชัดเจน1200 ใบ **ให้ผสม 25/75**</t>
  </si>
  <si>
    <t>FWBWT2337130P</t>
  </si>
  <si>
    <t>พบรอยสีหายด้านหลัง 350ใบ**ขอผสม2/2**</t>
  </si>
  <si>
    <t>พบรอยเส้นเทปติด ร  1700 ใบ **ขอผสม 50/50**</t>
  </si>
  <si>
    <t>พบบล็อคเคลื่อน200ใบที่ผสมได้125ใบ75ใบคัดแยกไว้**</t>
  </si>
  <si>
    <t>สีลงเต็มสม่ำเสมอ งานพิมพ์ชัดเจน</t>
  </si>
  <si>
    <t>พบรอยเส้นเทปติด 420 ใบ **ขอผสม 3/1**</t>
  </si>
  <si>
    <t>พบตัวหนังสือหาย200ใบ**ขอผสม3/1**</t>
  </si>
  <si>
    <t>พบรอยเปื้อนจำนวน375ใบ**คัดแยกไว้ส่งลบสี</t>
  </si>
  <si>
    <t>ตังหนังสือหาย200ใบ**ให้ผสม3/1**</t>
  </si>
  <si>
    <t>พบรอยเส้นเทปติด 1600 ใบ **ขอผสม 3/1**</t>
  </si>
  <si>
    <t>ลบสี</t>
  </si>
  <si>
    <t>พบรอยเส้นเทปติด 700 ใบ **ขอผสม 25/75**</t>
  </si>
  <si>
    <t>พบรอยเปื้อนจำนวน250ใบ**คัดแยกไว้ส่งลบสี</t>
  </si>
  <si>
    <t>น้ำหนักสูง**ผสมส่งลูกค้า**</t>
  </si>
  <si>
    <t>พบรอยเปื้อนจำนวน200ใบ**คัดแยกไว้ส่งลบสี</t>
  </si>
  <si>
    <t>พบรอยหนังสือหาย350ใบ**ผสม25/75**พิมพ์เสีย162ใบ</t>
  </si>
  <si>
    <t>พบรอยเส้นเทปติด 600 ใบ **ขอผสม 3/1**</t>
  </si>
  <si>
    <t>พบสีหายด้านข้าง250ใบ**ขอผสม3/1**</t>
  </si>
  <si>
    <t>พบรอยหนังสือหาย450ใบ**ผสม3/1**พบลบสี850ใบ**ส่งลบ**</t>
  </si>
  <si>
    <t>พบสีหาย125ใบ**ขอผสม3/1**</t>
  </si>
  <si>
    <t>พบสีหายด้านข้าง250ใบ**แต้ม**</t>
  </si>
  <si>
    <t>พบสีหาย1450ใบ**ขอผสม**</t>
  </si>
  <si>
    <t>พบสีหายตรงเลข5จำนวน500        **ขอผสม3/1</t>
  </si>
  <si>
    <t>พบสีไม้โทหาย1600ใบ**ขอผสม2/2**</t>
  </si>
  <si>
    <t>พบสีหายจำนวน184ใบ**ส่งแต้ม    พบรอยเปื่อนจำนวน1200ใบ**คัดแยกส่งลบสี</t>
  </si>
  <si>
    <t>พบรอยฟันจักร์ขาดเป็นรูจำนวน165ใบ**แซมแปะละ 1 ใบ</t>
  </si>
  <si>
    <t>พบสีหาย 325 ใบ **ผสมรอบหน้า**</t>
  </si>
  <si>
    <t>พบตัวหนังสือสีหายจำนวน175ใบ**ขอผสม25/75**</t>
  </si>
  <si>
    <t>พบสีหายจำนวน225.ใบ  **ขอผสม25/75**</t>
  </si>
  <si>
    <t>ตรวจพบใช้ผ้าผิดจาก2025850(80+)เป็น2025800(76-78)รอนำไปตัดดูน้ำหนักใบ *****Spec20*37 80+</t>
  </si>
  <si>
    <t>พบสีดำหายจำนวน500ใบ**ขอผสม3/1**</t>
  </si>
  <si>
    <t>พบสีตรงตัวเลขหาย300ใบ**ขอผสม25/75**</t>
  </si>
  <si>
    <t>พบตัวหนังสือหายด้านหลัง300ใบ**ขอผสม3/1**</t>
  </si>
  <si>
    <t>พบลบสีจำนวน600ใบ**คัดแยกส่งลบสี</t>
  </si>
  <si>
    <t>พบรอยดส้นเทปติดจำนวน1625ใบ**ขอส่งลบ25/75**</t>
  </si>
  <si>
    <t>พบสีเปื่อนจำนวน600ใบ**คัดแยกส่งลบ**</t>
  </si>
  <si>
    <t>พบสีเปื่อนจำนวน350ใบ**คัดแยกส่งลบ**</t>
  </si>
  <si>
    <t>พบตัวหนังสือหาย1600ใบ**ขอผสม25/75**</t>
  </si>
  <si>
    <t>พบสีเปื่อนจำนวน4875ใบ**คัดแยกส่งลบสี**</t>
  </si>
  <si>
    <t>พบสีเปื่อนจำนวน1895ใบ**คัดแยกส่งลบสี**</t>
  </si>
  <si>
    <t>พบพิมพ์เสียจำนวน166ใบ**คัดแยก**</t>
  </si>
  <si>
    <t>พบสีเปื่อนจำนวน5525ใบ**คัดแยกส่งลบ**</t>
  </si>
  <si>
    <t>พบเส้นเทปติดจำนวน250ใบ**ขอผสม3/1**</t>
  </si>
  <si>
    <t>พบตัวหนังสือหายจำนวน 914 ใบ**คัดแยกส่งแต้ม**</t>
  </si>
  <si>
    <t>พบตัวหนังสือหายจำนวน 700 ใบ**ขอผสม25/75**</t>
  </si>
  <si>
    <t>พบสีเปื่อนจำนวน265ใบ**คัดแยกส่งลบ**</t>
  </si>
  <si>
    <t>พบสีหายจำนวน 200 ใบ**คัดแยกส่งแต้ม**</t>
  </si>
  <si>
    <t>พบสีหายหน้า-หลังจำนวน 700 ใบ**ขอผสม 25/75**</t>
  </si>
  <si>
    <t>พบสีลงไม่เต็มและเป็นรอยจำนวน174ใบ**ผสม3/1</t>
  </si>
  <si>
    <t>พบรอยเส้นเทปติดจำนวน1300ใบ**ผสม3/1</t>
  </si>
  <si>
    <t>พบตัวหนังสือหายจำนวน 2175  ใบ**ขอผสม25/75**</t>
  </si>
  <si>
    <t>พบสีหายจำนวน150ใบ**แต้มแล้วแซม</t>
  </si>
  <si>
    <t>พบสีชมพูหายด้านข้างจำนวน 400 ใบ**ขอผสม 3/1**</t>
  </si>
  <si>
    <t>พบพิมพ์เสียจำนวน220ใบ**คัดแยก**</t>
  </si>
  <si>
    <t>พบสีด้านข้างหายจำนวน425ใบ**ขอผสม3/1**</t>
  </si>
  <si>
    <t>พบตัวหนังสือหายจำนวน 400 ใบ**ขอผสม3/1**</t>
  </si>
  <si>
    <t>พบพิมพ์เสียจำนวน 135ใบ**คัดแยก**</t>
  </si>
  <si>
    <t>พบตัวหนังสือหายจำนวน 990 ใบ**คัดแยกส่งแต้ม**</t>
  </si>
  <si>
    <t>พบสีเปื่อนซัพหลังจำนวน 4000 ใบ**ปรึกษาฝ่ายขายให้ผสม50/50**</t>
  </si>
  <si>
    <t>พบสีเปื่อนจำนวน760ใบ**ขอผสม3/1**</t>
  </si>
  <si>
    <t>พบสีหายจำนวน200ใบ**ผสม3/1***</t>
  </si>
  <si>
    <t>พบผ้าพับด้านข้างจำนวน100ใบ ***แซมห่างๆ***</t>
  </si>
  <si>
    <t>พบสีหายจำนวน1100ใบ**ผสม3/1</t>
  </si>
  <si>
    <t>พบสีเปื่อนจำนวน724ใบ**คัดแยกส่งลบ***</t>
  </si>
  <si>
    <t>พบสีเปื่อนจำนวน1750ใบ**คัดแยกส่งลบ**</t>
  </si>
  <si>
    <t>พบสีเปื่อนจำนวน475ใบ**คัดแยกส่งลบ**</t>
  </si>
  <si>
    <t>พบสีเปื่อนจำนวน375ใบ**คัดแยกส่งลบ**</t>
  </si>
  <si>
    <t>พบสีเปื่อนจำนวน3260ใบ**คัดแยกส่งลบ**</t>
  </si>
  <si>
    <t>พบสีหายจำนวน 80 ใบ**คัดแยก**</t>
  </si>
  <si>
    <t>พบสีเปื่อนจำนวน 850 ใบ**คัดแยกส่งลบ**</t>
  </si>
  <si>
    <t>พบตัวหนังสือหายจำนวน 775 ใบ**คัดแยกส่งแต้ม**</t>
  </si>
  <si>
    <t>พบพิมพ์เสียจำนวน160ใบ**คัดแยก**</t>
  </si>
  <si>
    <t>พบสีเปื่อนจำนวน 500 ใบ**ผสม3/1**</t>
  </si>
  <si>
    <t>พบพิมพ์เสีย132ใบ**คัดแยก**</t>
  </si>
  <si>
    <t>พบพิมพ์เสีย137ใบ**คัดแยก**</t>
  </si>
  <si>
    <t>พบสีอ่อนจำนวน100ใบ**คัดแยก**</t>
  </si>
  <si>
    <t>พบตัวหนังสือหายจำนวน 120 ใบ**ปรึกษาฝ่ายขายให้แซมไป**</t>
  </si>
  <si>
    <t>พบสีอ่อนจำนวน175ใบ**ปรึกษาฝ่ายขายให้แยกไป**</t>
  </si>
  <si>
    <t>พบพิมพ์เสียจำนวน168ใบ**คัดแยก</t>
  </si>
  <si>
    <t>พบสีเปื่อนจำนวน  1525  ใบ**คัดแยกส่งลบ***</t>
  </si>
  <si>
    <t>พบสีลงไม่เต็มด้านหลังจำนวน175ใบ**ส่งแต้ม****</t>
  </si>
  <si>
    <t>พบสีตายจำนวน700ใบ**ปรึกษาตลาดเอาได้ค่ะ***</t>
  </si>
  <si>
    <t>พบรอยเส้นเทปติดจำนวน600ใบ***ขอผสม25/75***</t>
  </si>
  <si>
    <t>พบสีเปื่อนจำนวน265ใบ**คัดแยกส่งลบ***</t>
  </si>
  <si>
    <t>พบสีเปื่อนจำนวน1900ใบ**คัดแยกส่งลบ***</t>
  </si>
  <si>
    <t>พบพิมพ์เสีย193ใบ***คัดแยก***</t>
  </si>
  <si>
    <t>พบรอยเส้นเทปติดจำนวน400ใบ***ขอผสม25/75****</t>
  </si>
  <si>
    <t>พบเปื่อนจำนวน350ใบ***คัดแยกส่งลบ***</t>
  </si>
  <si>
    <t>พบผ้าพับจำนวน135ใบ***แซม***</t>
  </si>
  <si>
    <t>พบสีเปื่อนจำนวน375ใบ***คัดแคกส่งลบ****</t>
  </si>
  <si>
    <t>พบสีเปื่อนจำนวน3300ใบ ***คัดแยกส่งลบ***</t>
  </si>
  <si>
    <t>พบสีเปื่อนจำนวน1350ใบ***คัดแยกส่งลบ****</t>
  </si>
  <si>
    <t>พบสีเปื่อนจำนวน600ใบ**คัดแยกส่งลบ***</t>
  </si>
  <si>
    <t>พบสีหายจำนวน700ใบ***ปรึกษาฝ่ายขายผสมไป25/75****</t>
  </si>
  <si>
    <t>พบไม้โทหายจำนวน200ใบ***ผสมแปะละ5-6ใบ****</t>
  </si>
  <si>
    <t>พบสีเปื่อนจำนวน 125  ใบ**คัดแยกส่งลบ***</t>
  </si>
  <si>
    <t>พบรอยเส้นเทปติด 6092 จำนวนใบ***ปรึกษาฝ่ายขายส่งไป***</t>
  </si>
  <si>
    <t>พบสีหายด้านข้างจำนวน700ใบ***คัดแยกส่งแต้ม***</t>
  </si>
  <si>
    <t>พบสีแดงลอก2300ใบ***แยกเลทระบุปันหาส่งลูกค้า***</t>
  </si>
  <si>
    <t>พบตัวหนังสือหายด้านหลังจำนวน1300ใบ***ปรึกษาตลาดให้เอาไปได้****</t>
  </si>
  <si>
    <t>พบสีหายด้านหน้า-หลังจำนวน250ใบ**ส่งแต้ม****</t>
  </si>
  <si>
    <t>พบรอยเส้นเทปติดจำนวน700ใบ**ขอผสม3/1**</t>
  </si>
  <si>
    <t>พบสีเปื่อนจำนวน1225ใบ**คัดแยกส่งลบ***</t>
  </si>
  <si>
    <t>พบพิมพ์เสียจำนวน158ใบ**คัดแยกออก***</t>
  </si>
  <si>
    <t>พบเศษสัหลุดติดกระสอบจำนวน200ใบ***เอาเศษออกก่อนส่งลูกค้า****</t>
  </si>
  <si>
    <t>พบตัวMหายจำนวน700ใบ***ผสม25/75***</t>
  </si>
  <si>
    <t>พบสีหายด้ายข้างจำนวน125ใบ***ส่งแต้ม****</t>
  </si>
  <si>
    <t>พบสีเปื่อนจำนวน 975   ใบ***ส่งลบ****</t>
  </si>
  <si>
    <t>พบพิมพ์เสียจำนวน138ใบ***คัดแยก***</t>
  </si>
  <si>
    <t>พบตัวหนังสือหายจำนวน750ใบ***ส่งแต้ม****</t>
  </si>
  <si>
    <t>พบสีหายด้านล่างจำนวน200ใบ***ส่งแต้ม***</t>
  </si>
  <si>
    <t>พบบล็อคเคลื่อนจำนวน275ใบ***ผสม3/1***</t>
  </si>
  <si>
    <t>พบพิมพ์เสียจำนวน207ใบ***คัดแยก***</t>
  </si>
  <si>
    <t>พบสีหายตัวนกจำนวน950ใบ***ขอผสม50/50***</t>
  </si>
  <si>
    <t>พบลบสีจำนวน450ใบ***ส่งลบ***</t>
  </si>
  <si>
    <t>พบสีหายจำนวน300****ขอผสม3/1***</t>
  </si>
  <si>
    <t>พบใช้สีเขียวผิดจำนวน2500ใบ***คัดแยกส่งไป***</t>
  </si>
  <si>
    <t>พบสีหายจำนวน250ใบ***ฝ่ายขายให้ผสมไป****</t>
  </si>
  <si>
    <t>พบสีตายจำนวน160ใบ***ส่งแต้ม****</t>
  </si>
  <si>
    <t>พบสีตายและตัวหนังสือหายจำนวน150ใบ***ขอผสม3/1****</t>
  </si>
  <si>
    <t>พบสีเปื่อนจำนวน279ใบ**คัดแยกส่งลบ***</t>
  </si>
  <si>
    <t>พบตัวหนังสือหายจำนวน1161ใบ***ส่งแต้ม****</t>
  </si>
  <si>
    <t>พบลีเปื่อนจำนวน300ใบ***คัดแยกส่งลบ***</t>
  </si>
  <si>
    <t>พบรอยเส้นเทปติดจำนวน150ใบ***ผสม****</t>
  </si>
  <si>
    <t>พบสีเปื่อนจำนวน650ใบ***คัดแยกส่งลบ***</t>
  </si>
  <si>
    <t>พบสีเปื่อนจำนวน1881ใบ***คัดแยกส่งลบ***</t>
  </si>
  <si>
    <t>พบพิมพ์เสียจำนวน480ใบ***คัดแยก***</t>
  </si>
  <si>
    <t>พบสีเปื่อนจำนวน500ใบ***คัดแยกส่งลบ***</t>
  </si>
  <si>
    <t>พบสีเปื่อนจำนวน375ใบ***คัดแยกส่งลบ***</t>
  </si>
  <si>
    <t>พบผ้าพับจำนวน130ใบ***เล็กๆๆแซมห่างๆ***</t>
  </si>
  <si>
    <t>พบสีเปื่อนจำนวน300ใบ***คัดแยกส่งลบ***</t>
  </si>
  <si>
    <t>พบสีเปื่อนจำนวน200ใบ***คัดแยกส่งลบ***</t>
  </si>
  <si>
    <t>พบสีเปื่อนจำนวน675ใบ***คัดแยกส่งลบ***</t>
  </si>
  <si>
    <t>พบสีเปื่อนจำนวน2150ใบ ***คัดแยกส่งลบ***</t>
  </si>
  <si>
    <t>พบสีเปื่อนจำนวน200ใบ ***คัดแยกส่งลบ***</t>
  </si>
  <si>
    <t>พบผ้าผับจำนวน218ใน***คัดแยก***</t>
  </si>
  <si>
    <t>พบสีเปื่อนจำนวน375ใบ ***คัดแยกส่งลบ***</t>
  </si>
  <si>
    <t>พบสีเปื่อนจำนวน2425ใบ ***คัดแยกส่งลบ***</t>
  </si>
  <si>
    <t>พบฟิล์มพันลูกกลิ้งจำนวน116ใบ***ขอผสม3/1***</t>
  </si>
  <si>
    <t>พบบล็อกเคลื่อนจำนวน125ใบ***ผสม***</t>
  </si>
  <si>
    <t>พบสีน้ำเงินผิดจำนวน1580เมตร***ตัดแยกเบลส่ง****</t>
  </si>
  <si>
    <t>พบสีเปื่อนจำนวน525ใบ ***คัดแยกส่งลบ***</t>
  </si>
  <si>
    <t>พบพิมพ์เสีย111ใบ***คัดแยก***</t>
  </si>
  <si>
    <t>พบสีตายจำนวน350ใบ ***พิมพ์เสียจำนวน125ใบ***สีเปื่อนจำนวน225ใบ***คัดแยก/ส่งลบ</t>
  </si>
  <si>
    <t>พบเส้นเทปติดจำนวน300ใบ***ขอผสม***</t>
  </si>
  <si>
    <t>พบสีเปื่อนจำนวน180ใบ ***คัดแยกส่งลบ***</t>
  </si>
  <si>
    <t>พบตัวหนังสือด้านหลังซ้อนกันและปากสีลงไม่เต็มเป็นในใบเดียวกันจำนวน100ใบ***ผสม***</t>
  </si>
  <si>
    <t>พบสีเปื่อนจำนวน2600ใบ***ผสม***</t>
  </si>
  <si>
    <t>พบสีตายด้านข้างจำนวน300ใบ***ขอผสม25/75****</t>
  </si>
  <si>
    <t>พบสีเปื่อนด้านหลังตั้งแต่หัวม้วนจำนวน400ใบ***ส่งลบ***</t>
  </si>
  <si>
    <t>พบสีเปื่อนด้านหลังตั้งแต่หัวม้วนจำนวน300ใบ***ส่งลบ***</t>
  </si>
  <si>
    <t>พบสีเปื่อนจำนวน840ใบ***ส่งลบ***</t>
  </si>
  <si>
    <t>พบพิมพ์เสียจำนวน107ใบ  บล็อกเลื่อนจำนวน106ใบ***แซม***</t>
  </si>
  <si>
    <t>พบตังหนังสือหายจำนวน475ใบ**/ผสม3/1***</t>
  </si>
  <si>
    <t>พบสีเปื่อนเยอะทั้งหน้าและหลังจำนวน525ใบ***คัดแยกส่งลบ***</t>
  </si>
  <si>
    <t>พบสีเปื่อนจำนวน825ใบ***แจ้งพี่รุ่ง ขอผสม3/1***</t>
  </si>
  <si>
    <t>พบสีพิมพ์หายจำนวน275ใบ***ส่งแต้ม***</t>
  </si>
  <si>
    <t>พบพิมพ์เสียจำนวน272ใบ***คัดแยก***</t>
  </si>
  <si>
    <t>พบสีเปื่อนจำนวน450ใบ***คัดแยกส่งลบ***</t>
  </si>
  <si>
    <t>พบบล๊อคเลื่อนจำนวน143ใบ***คักแยก***</t>
  </si>
  <si>
    <t>พบตัวหนังสือหายจำนวน2000ใบ ***ผสม25/75***</t>
  </si>
  <si>
    <t>พบสีเปื้อนจำนวน 1025 ใบ***ปรึกษาตลาดไม่ต้องลบค่ะ***</t>
  </si>
  <si>
    <t>พบสีหน้าหลังไม่เหมือนกันจำนวน1500ใบ***ปรึกษาฝ่ายขายขอให้แยกเบลไป***</t>
  </si>
  <si>
    <t>พบเปื่อนรอยมาร์คจำนวน500ใบ***ขอผสม***</t>
  </si>
  <si>
    <t>พบสีหายจำนวน1600ใบ***ผสม50/50***</t>
  </si>
  <si>
    <t>พบพิมพ์เสีย187ใบ***คัดแยก***</t>
  </si>
  <si>
    <t>พบสีเปื่อนจำนวน600ใบ***ส่งลบ***</t>
  </si>
  <si>
    <t>พบสีด้านหน้าลงไม่สม่ำเสมอจำนวน   4000        ใบ***ปรึกษาMKส่งลูกค้า***</t>
  </si>
  <si>
    <t>พบสีหายด้านหน้าจำนวน132ใบ***ขอผสม***</t>
  </si>
  <si>
    <t>ป้ายชื่อแถว</t>
  </si>
  <si>
    <t>(ว่าง)</t>
  </si>
  <si>
    <t>ผลรวมทั้งหมด</t>
  </si>
  <si>
    <t>ป้ายชื่อคอลัมน์</t>
  </si>
  <si>
    <t xml:space="preserve">ผลรวม ของ จำนวน </t>
  </si>
  <si>
    <t>ประเภท</t>
  </si>
  <si>
    <t>พบตัวหนังสือหายจำนวน 9279 ใบ***ผสม3/1***</t>
  </si>
  <si>
    <t>พบตัวหนังสือหายจำนวน     ใบ***ขอผสม3/1***</t>
  </si>
  <si>
    <t>บริษัท น้ำตาลทิพย์สุโขทัย จำกัด</t>
  </si>
  <si>
    <t>เชษฐ์ษณุ</t>
  </si>
  <si>
    <t>บริษัท เบทาโกร จำกัด</t>
  </si>
  <si>
    <t>สีหาย</t>
  </si>
  <si>
    <t>พิมพ์เสีย</t>
  </si>
  <si>
    <t>เปื้อนสี</t>
  </si>
  <si>
    <t>FWBWT2036100PLM</t>
  </si>
  <si>
    <t>ชื่อสินค้า</t>
  </si>
  <si>
    <t>***ผสม25/75***</t>
  </si>
  <si>
    <t>***ผสม***</t>
  </si>
  <si>
    <t>***ลบสี***</t>
  </si>
  <si>
    <t>***แยกเลทส่งลูกค้า***</t>
  </si>
  <si>
    <t>แยกส่งลูกค้า</t>
  </si>
  <si>
    <t>**คัดแยกออก**</t>
  </si>
  <si>
    <t>**ผสม25/75**</t>
  </si>
  <si>
    <t>ผสม3/1</t>
  </si>
  <si>
    <t>เบทาโกร 104</t>
  </si>
  <si>
    <t>Green for White sugar(เขียว)</t>
  </si>
  <si>
    <t>บริษัท ไทยธรรมดี จำกัด</t>
  </si>
  <si>
    <t>พบตัวหนังสือหายด้านหลัง 4450 ใบ</t>
  </si>
  <si>
    <t>พบเปื้อนสี 4500 ใบ</t>
  </si>
  <si>
    <t>PD465051803</t>
  </si>
  <si>
    <t>PD465051802</t>
  </si>
  <si>
    <t>TTD 35</t>
  </si>
  <si>
    <t>พบสีซีด 2100 ใบ</t>
  </si>
  <si>
    <t>สีซีด</t>
  </si>
  <si>
    <t>PD465060206</t>
  </si>
  <si>
    <t>ผสม25/75</t>
  </si>
  <si>
    <t>คัดแยกออก</t>
  </si>
  <si>
    <t>**ผสม3/1**</t>
  </si>
  <si>
    <t>พบสีหาย 375 ใบ</t>
  </si>
  <si>
    <t>บริษัท เอ็กซ์เซลเล้นท์ ไพโอเนียร์ จำกัด</t>
  </si>
  <si>
    <t>PD465072101</t>
  </si>
  <si>
    <t>ชญาดา</t>
  </si>
  <si>
    <t>**ลดเกรด**</t>
  </si>
  <si>
    <t>ลดเกรด</t>
  </si>
  <si>
    <t>บริษัท เบทาโกร จำกัด (มหาชน)</t>
  </si>
  <si>
    <t>บริษัท เคอรี่ ฟลาวมิลล์ จำกัด</t>
  </si>
  <si>
    <t>**ส่งลบสี**</t>
  </si>
  <si>
    <t>ส่งลบสี</t>
  </si>
  <si>
    <t>FWBWT203797PLM</t>
  </si>
  <si>
    <t>ใส่วันที่ปัจจุบัน</t>
  </si>
  <si>
    <t>จำนวนวันที่เกิน</t>
  </si>
  <si>
    <t>**ปรึกษาฝ่ายขายให้ผสม**</t>
  </si>
  <si>
    <t>ปรึกษาฝ่ายขายให้ผสม</t>
  </si>
  <si>
    <t>ลำดับ</t>
  </si>
  <si>
    <t>หมายเหตุ</t>
  </si>
  <si>
    <t>กะ</t>
  </si>
  <si>
    <t>ชื่อผู้แจ้ง</t>
  </si>
  <si>
    <t>ฝ่ายผู้แจ้ง</t>
  </si>
  <si>
    <t>โลโก้</t>
  </si>
  <si>
    <t>ตัวอักษร</t>
  </si>
  <si>
    <t>ช่วงที่พบ</t>
  </si>
  <si>
    <t>ผลิตเจอก่อนพิมพ์</t>
  </si>
  <si>
    <t>ขณะพิมพ์</t>
  </si>
  <si>
    <t xml:space="preserve">ตรวจใบแรก </t>
  </si>
  <si>
    <t>บริเวณที่พบ</t>
  </si>
  <si>
    <t>สถานะตัวเปลี่ยน</t>
  </si>
  <si>
    <t>การแก้ไข</t>
  </si>
  <si>
    <t>ไม่เปลี่ยน ขยับตำแหน่ง</t>
  </si>
  <si>
    <t>เปลี่ยนลูกกลิ้งอะไหล่</t>
  </si>
  <si>
    <t>เปลี่ยนลูกกลิ้งจากเครื่องอื่น</t>
  </si>
  <si>
    <t>เช้า</t>
  </si>
  <si>
    <t>ดึก</t>
  </si>
  <si>
    <t>เวลา</t>
  </si>
  <si>
    <t>เปลี่ยนจากเครื่อง...</t>
  </si>
  <si>
    <t>ไม่มีลูกกลิ้งเปลี่ยน MK ยอมรับ</t>
  </si>
  <si>
    <t>เปลี่ยนจากอะไหล่</t>
  </si>
  <si>
    <t>ไม่มีลูกกลิ้งเปลี่ยน MK ไม่ยอมรับ</t>
  </si>
  <si>
    <t>มัตติกานต์</t>
  </si>
  <si>
    <t>คิวเอ</t>
  </si>
  <si>
    <t>แถบด้านข้าง</t>
  </si>
  <si>
    <t>ช่วงกลาง</t>
  </si>
  <si>
    <t>ด้าน</t>
  </si>
  <si>
    <t>หน้า</t>
  </si>
  <si>
    <t>หลัง</t>
  </si>
  <si>
    <t>สี</t>
  </si>
  <si>
    <t>เขียวเข้ม</t>
  </si>
  <si>
    <t>น้ำเงิน</t>
  </si>
  <si>
    <t>PT02</t>
  </si>
  <si>
    <t>พรทิวา</t>
  </si>
  <si>
    <t>นล</t>
  </si>
  <si>
    <t>FWBWT193063P</t>
  </si>
  <si>
    <t>PT03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</si>
  <si>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</si>
  <si>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</si>
  <si>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</si>
  <si>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</si>
  <si>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</si>
  <si>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</si>
  <si>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</si>
  <si>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</si>
  <si>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</si>
  <si>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</si>
  <si>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</si>
  <si>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Blue For Refine Sugar</t>
  </si>
  <si>
    <t>CCK18</t>
  </si>
  <si>
    <t>นีโอ พี2</t>
  </si>
  <si>
    <t>บริษัท เอพีเอ็ม อะโกร จำกัด</t>
  </si>
  <si>
    <t>พบเปื้อนสีด้านหน้าเป็นเส้นยาว จำนวน 700 ใบ</t>
  </si>
  <si>
    <t>พบมีรอยฟ้าผ่าเยอะ จำนวน 300 ใบ</t>
  </si>
  <si>
    <t>พบผ้าเป็นรอยสีลงไม่เต็มขาวเยอะเป็นจำนวนทั้งม้วน</t>
  </si>
  <si>
    <t>พบพิมพ์เสีย จำนวน 160 ใบ</t>
  </si>
  <si>
    <t xml:space="preserve">พบเปื้อนสีด้านหน้าและด้านหลังม้วนที่ 3/1=250ใบ พิมพ์เสีย 277ใบ 3/2=688ใบ พิมพ์เสีย 117ใบ </t>
  </si>
  <si>
    <t>**เปื้อนสีส่งลบสีพิมพ์เสียลดเกรด**</t>
  </si>
  <si>
    <t xml:space="preserve">เปื้อนสีด้านหน้าเป็นเส้นยาว </t>
  </si>
  <si>
    <t>รอยฟ้าผ่าเยอะ</t>
  </si>
  <si>
    <t>ผ้าเป็นรอยสีลงไม่เต็มขาวเยอะ</t>
  </si>
  <si>
    <t>เปื้อนสีด้านหน้าและด้านหลังและพิมพ์เสีย</t>
  </si>
  <si>
    <t>เปื้อนสีส่งลบสีพิมพ์เสียลดเกรด</t>
  </si>
  <si>
    <t>ทั้งม้วน</t>
  </si>
  <si>
    <t>เกลือตรามือ 10กก.</t>
  </si>
  <si>
    <t>เพอเฟคค์914</t>
  </si>
  <si>
    <t>สุบรรณ222</t>
  </si>
  <si>
    <t>ถุงทองแซนวิช</t>
  </si>
  <si>
    <t>ห้างหุ้นส่วนจำกัด ปึง เป้ง น้ำ</t>
  </si>
  <si>
    <t>บริษัท อินเทคค์ โกลบอล จำกัด</t>
  </si>
  <si>
    <t>FWBWT142242PL</t>
  </si>
  <si>
    <t>PD468010202</t>
  </si>
  <si>
    <t>PD468010210</t>
  </si>
  <si>
    <t>PD468010303</t>
  </si>
  <si>
    <t>PD468010304</t>
  </si>
  <si>
    <t>PD468010305</t>
  </si>
  <si>
    <t>PD468010401</t>
  </si>
  <si>
    <t>PD468010409</t>
  </si>
  <si>
    <t>พบมีสีลากเปื้อนทำให้ตัวหนังสือไม่คมชัด จำนวน 600 ใบ</t>
  </si>
  <si>
    <t>พบสีแดงอ่อน จำนวน 800 ใบ</t>
  </si>
  <si>
    <t>พบเปื้อนสีเข้มทั้งด้านหน้าและด้านหลัง จำนวน 400 ใบ</t>
  </si>
  <si>
    <t>พบพิมพ์เสีย 130 ใบ และมีรอยฟ้าผ่า 112 ใบ</t>
  </si>
  <si>
    <t>พบเปื้อนสี จำนวน 360 ใบ</t>
  </si>
  <si>
    <t>พบสีลงไม่เต็ม จำนวน 680 ใบ</t>
  </si>
  <si>
    <t>พบสี 2 ข้างไม่เหมือนกันอีกข้างเข้มอีกข้างอ่อนและสีน้ำเงินด้านหลังอ่อน ม้วนที่9/2=290ใบ 9/3=370ใบ</t>
  </si>
  <si>
    <t>พบมีรอยเส้นเทปทับเลข 3 จำนวน 1,500 ใบ</t>
  </si>
  <si>
    <t>**แยกเลทระบุปัญหาแจ้งขนส่ง**</t>
  </si>
  <si>
    <t>**ผสมแยกเลทระบุปัญหาแจ้งขนส่ง**</t>
  </si>
  <si>
    <t>**ไม่สามารถส่งได้**</t>
  </si>
  <si>
    <t>สีลากเปื้อนทำให้ตัวหนังสือไม่คมชัด</t>
  </si>
  <si>
    <t>สีแดงอ่อน</t>
  </si>
  <si>
    <t>เปื้อนสีเข้มทั้งด้านหน้าและด้านหลัง</t>
  </si>
  <si>
    <t>สี 2 ข้างไม่เหมือนกันอีกข้างเข้มอีกข้างอ่อนและสีน้ำเงินด้านหลังอ่อน</t>
  </si>
  <si>
    <t xml:space="preserve">รอยเส้นเทปทับเลข 3 </t>
  </si>
  <si>
    <t>แยกเลทระบุปัญหาแจ้งขนส่ง</t>
  </si>
  <si>
    <t>ผสมแยกเลทระบุปัญหาแจ้งขนส่ง</t>
  </si>
  <si>
    <t>ไม่สามารถส่งได้</t>
  </si>
  <si>
    <t>ฟีล กู๊ดพี3</t>
  </si>
  <si>
    <t>โมโม่4133</t>
  </si>
  <si>
    <t>WB ฟาร์ม F993 30KG.</t>
  </si>
  <si>
    <t>เฟิร์สช้อย915</t>
  </si>
  <si>
    <t>แดนโกรว10P-L</t>
  </si>
  <si>
    <t>เพอเฟคค์664HP</t>
  </si>
  <si>
    <t>บริษัท แอมโก้เวท จำกัด</t>
  </si>
  <si>
    <t xml:space="preserve">FWBWT2038100PL </t>
  </si>
  <si>
    <t>FWBWT2140108PL</t>
  </si>
  <si>
    <t>PD468010405</t>
  </si>
  <si>
    <t>PD468010606</t>
  </si>
  <si>
    <t>PD468010604</t>
  </si>
  <si>
    <t>PD468010605</t>
  </si>
  <si>
    <t>PD468010609</t>
  </si>
  <si>
    <t>PD468010610</t>
  </si>
  <si>
    <t>พบเปื้อนสีเป็นทางยาวและมีรอยพยาธิด้านข้าง 100 ใบ และเป็นรอยพยาธิด้านข้าง 450 ใบ</t>
  </si>
  <si>
    <t>พบสีหายด้านหลังแปะพบ 6-15 ใบ จำนวน 200 ใบ</t>
  </si>
  <si>
    <t>พบเปื้อนสีด้านหน้าและด้านหลัง จำนวน 675 ใบ</t>
  </si>
  <si>
    <t>พบพิมพ์เสีย จำนวน 169 ใบ</t>
  </si>
  <si>
    <t>พบมีรอยอัด จำนวน 125 ใบ</t>
  </si>
  <si>
    <t>พบตัวหนังสือหายด้านหลัง จำนวน 150 ใบ</t>
  </si>
  <si>
    <t>พบเปื้อนสีเข้มด้านหน้า จำนวน 590 ใบ</t>
  </si>
  <si>
    <t>พบพิมพ์เสียม้วนที่ 1/1=176ใบ 1/3=103ใบ</t>
  </si>
  <si>
    <t>**ปรึกษาฝ่ายขายให้ผสม50/50**</t>
  </si>
  <si>
    <t>**ขาวมากคัดแยกออก**</t>
  </si>
  <si>
    <t xml:space="preserve">เปื้อนสีเป็นทางยาวและมีรอยพยาธิด้านข้าง </t>
  </si>
  <si>
    <t>สีหายด้านหลัง</t>
  </si>
  <si>
    <t xml:space="preserve">เปื้อนสีด้านหน้าและด้านหลัง </t>
  </si>
  <si>
    <t>รอยอัด</t>
  </si>
  <si>
    <t>ตัวหนังสือหายด้านหลัง</t>
  </si>
  <si>
    <t xml:space="preserve">เปื้อนสีเข้มด้านหน้า </t>
  </si>
  <si>
    <t>ปรึกษาฝ่ายขายให้ผสม50/50</t>
  </si>
  <si>
    <t>ขาวมากคัดแยกออก</t>
  </si>
  <si>
    <t>พบมีรอยเส้นเทปติดด้านหลังและสีซึมเป็นทุกใบ+สีหายด้านหน้าแปะ 1 เป็น 6-8 ใบ จำนวน 720 ใบ</t>
  </si>
  <si>
    <t>มีรอยเส้นเทปติดด้านหน้า จำนวน 300 ใบ</t>
  </si>
  <si>
    <t>**ผสม3/1มัดแยกเลทติดป้ายระบุปัญหาแจ้งขนส่ง**</t>
  </si>
  <si>
    <t>มีรอยเส้นเทปติดด้านหลังและสีซึมเป็นทุกใบ+สีหายด้านหน้า</t>
  </si>
  <si>
    <t>รอยเส้นเทปติดด้านหน้า</t>
  </si>
  <si>
    <t>ผสม3/1มัดแยกเลทติดป้ายระบุปัญหาแจ้งขนส่ง</t>
  </si>
  <si>
    <t>เฉดสีน้ำเงินเพี้ยนไม่เหมือนตัวอย่าง จำนวน 250 ใบ</t>
  </si>
  <si>
    <t>**ปรึษาฝ่ายขายให้เสี่ยงส่งลูกค้า**</t>
  </si>
  <si>
    <t xml:space="preserve">เฉดสีน้ำเงินเพี้ยนไม่เหมือนตัวอย่าง </t>
  </si>
  <si>
    <t>ปรึษาฝ่ายขายให้เสี่ยงส่งลูกค้า</t>
  </si>
  <si>
    <t>จำนวนใบค้างตอบ</t>
  </si>
  <si>
    <t>WB เบทาโกร224F 30KG.</t>
  </si>
  <si>
    <t>อนนท์ 20กก.</t>
  </si>
  <si>
    <t>แดนโกรวบรีดเดอร์70</t>
  </si>
  <si>
    <t>หจก.อนนท์อุตสาหกรรม</t>
  </si>
  <si>
    <t>FWBWT203974P</t>
  </si>
  <si>
    <t>FWBWT182850P</t>
  </si>
  <si>
    <t>PD468010701</t>
  </si>
  <si>
    <t>PD468010708</t>
  </si>
  <si>
    <t>PT10</t>
  </si>
  <si>
    <t>พบสีหาย จำนวน 350 ใบ</t>
  </si>
  <si>
    <t>พบพิมพ์เสีย จำนวน 151 ใบ</t>
  </si>
  <si>
    <t>พบสีหายด้านข้าง จำนวน 100 ใบ</t>
  </si>
  <si>
    <t>**ปรึกษาฝ่ายขายให้ผสม25/75**</t>
  </si>
  <si>
    <t>สีหายด้านข้าง</t>
  </si>
  <si>
    <t>ปรึกษาฝ่ายขายให้ผสม25/75</t>
  </si>
  <si>
    <t xml:space="preserve">พิมพ์เสีย </t>
  </si>
  <si>
    <t>PD468010703</t>
  </si>
  <si>
    <t>ปลาโลมาเทา</t>
  </si>
  <si>
    <t>W30</t>
  </si>
  <si>
    <t>VIVO200</t>
  </si>
  <si>
    <t>โมโม่402</t>
  </si>
  <si>
    <t>ยูนิคอร์นฟิช101-102</t>
  </si>
  <si>
    <t>บริษัท ซีแมนอินดัสตรี้(ประเทศไทย)</t>
  </si>
  <si>
    <t>บริษัท หนองบัว ฟีด มิลล์ จำกัด</t>
  </si>
  <si>
    <t>FWBWT192856P</t>
  </si>
  <si>
    <t>FWBWT2138102PL</t>
  </si>
  <si>
    <t>PD468010805</t>
  </si>
  <si>
    <t>PD468010809</t>
  </si>
  <si>
    <t>PD468010810</t>
  </si>
  <si>
    <t>PD468010812</t>
  </si>
  <si>
    <t>PD468010808</t>
  </si>
  <si>
    <t>พบสีหาย จำนวน 300 ใบ</t>
  </si>
  <si>
    <t>พบม้วนนี้ครึ่งม้วนหลังสีลงไม่เต็มเป็นเกร็ดขาวและมีรอยอัด จำนวน 600 ใบ</t>
  </si>
  <si>
    <t>พบตัวหนังสือด้านหลังไม่คมชัด สีลงไม่เต็ม จำนวน 350 ใบ</t>
  </si>
  <si>
    <t>พบตัวหนังสือหายด้านหลัง จำนวน 400 ใบ</t>
  </si>
  <si>
    <t>พบตัวหนังสือหายด้านหลัง 700 ใบ และ ตัวหนังสือหายด้านหลัง+เปื้อนสีด้านหลัง 1,000 ใบ</t>
  </si>
  <si>
    <t>**ปรึกษาฝ่ายขายให้มัดเลย**</t>
  </si>
  <si>
    <t>พบสีหายตรงสระ "า" ตรงแถบข้างเป็นทุกม้วน</t>
  </si>
  <si>
    <t>สีหายตรงสระ "า" ตรงแถบข้าง</t>
  </si>
  <si>
    <t>ครึ่งม้วนหลังสีลงไม่เต็มเป็นเกร็ดขาวและมีรอยอัด</t>
  </si>
  <si>
    <t>ตัวหนังสือด้านหลังไม่คมชัด สีลงไม่เต็ม</t>
  </si>
  <si>
    <t>ตัวหนังสือหายด้านหลัง  และ ตัวหนังสือหายด้านหลัง+เปื้อนสีด้านหลัง</t>
  </si>
  <si>
    <t>ปรึกษาฝ่ายขายให้มัดเลย</t>
  </si>
  <si>
    <t>ทุกม้วน</t>
  </si>
  <si>
    <t>กัสโซ่ฟีด 202</t>
  </si>
  <si>
    <t>Lung Shin 12kg.</t>
  </si>
  <si>
    <t>บริษัท เอ็นบีดิสทริบิวชั่น จำกัด</t>
  </si>
  <si>
    <t xml:space="preserve">โรงสีข้าวธัญญาวัฒน์ </t>
  </si>
  <si>
    <t>FWBWT172648P</t>
  </si>
  <si>
    <t>PD468010904</t>
  </si>
  <si>
    <t>PD468010911</t>
  </si>
  <si>
    <t>พบสีหายด้านหน้าและด้านหลัง จำนวน 159 ใบ</t>
  </si>
  <si>
    <t>พบสีหาย จำนวน 1,800 ใบ</t>
  </si>
  <si>
    <t>**ส่งแต้มสี**</t>
  </si>
  <si>
    <t>**ผสม50/50**</t>
  </si>
  <si>
    <t>สีหายด้านหน้าและด้านหลัง</t>
  </si>
  <si>
    <t>ผสม50/50</t>
  </si>
  <si>
    <t>NB FISH 103L</t>
  </si>
  <si>
    <t>โบว์แดง</t>
  </si>
  <si>
    <t>NB FISH202</t>
  </si>
  <si>
    <t>PD468010905</t>
  </si>
  <si>
    <t>PD468011003</t>
  </si>
  <si>
    <t>PD468011008</t>
  </si>
  <si>
    <t>พบพิมพ์เสีย จำนวน 200 ใบ</t>
  </si>
  <si>
    <t>พบเปื้อนสีเข้มด้านหน้าและด้านหลัง จำนวน 200 ใบ</t>
  </si>
  <si>
    <t>พบเปื้อนสีเข้มด้านหน้าและด้านหลัง จำนวน 700 ใบ</t>
  </si>
  <si>
    <t>พบม้วนนี้มีพิมพ์เสีย จำนวน 211 ใบ</t>
  </si>
  <si>
    <t>เปื้อนสีเข้มด้านหน้าและด้านหลัง</t>
  </si>
  <si>
    <t>ใบเตย</t>
  </si>
  <si>
    <t>ดวงใจ(ชมพู-ม่วง)</t>
  </si>
  <si>
    <t>Zhejiang UN</t>
  </si>
  <si>
    <t>คุณวัลภา เผ่าเต็ม</t>
  </si>
  <si>
    <t>บริษัท ที.ซี.ยูเนียน อะโกรเทค จำกัด</t>
  </si>
  <si>
    <t>FWBWT233785P</t>
  </si>
  <si>
    <t>FWBWT2643150PL</t>
  </si>
  <si>
    <t>PD468011102</t>
  </si>
  <si>
    <t>PD468011101</t>
  </si>
  <si>
    <t>PD468011105</t>
  </si>
  <si>
    <t>พบพิมพ์เสีย จำนวน 175 ใบ</t>
  </si>
  <si>
    <t>พบม้วนนี้มีงานไม่กึ่งกลาง จำนวน 175 ใบ</t>
  </si>
  <si>
    <t>พบม้วนนี้มีรอยเส้นเทปติด จำนวน 1,200 ใบ</t>
  </si>
  <si>
    <t>พบตัว "d" หายทุกใบ+เป็นรอยขูดบางใบ จำนวน 112 ใบ</t>
  </si>
  <si>
    <t>พบเปื้อนสีด้านหน้าและด้านหลัง ม้วนที่ 3/4=225ใบ 3/5=150ใบ 3/6=59ใบ 3/7=50ใบ 3/12=80ใบ</t>
  </si>
  <si>
    <t>พบรอยฟ้าผ่า  107 ใบ และรอยขูดจากบิด 126 ใบ</t>
  </si>
  <si>
    <t>พบมีสีอ่อน+เป็นจุดๆด้านข้าง 128 ใบ และมีสีเขียวอ่อน จำนวน 1,900 ใบ</t>
  </si>
  <si>
    <t>พบสีหายทั้งด้านหน้าและด้านข้าง จำนวน 280 ใบ</t>
  </si>
  <si>
    <t>**ผสม50/50มัดแยกเลทติดป้ายระบุปัญหาแจ้งขนส่ง**</t>
  </si>
  <si>
    <t>**สีอ่อน+เป็นจุดด้านข้างไม่เอา สีเขียวอ่อนปรึกษาฝ่ายขายมัดแยกเลทติดป้ายระบุปํญหาแจ้งขนส่ง**</t>
  </si>
  <si>
    <t>งานไม่กึ่งกลาง</t>
  </si>
  <si>
    <t xml:space="preserve">รอยเส้นเทปติด </t>
  </si>
  <si>
    <t>ตัว "d" หายทุกใบ+เป็นรอยขูดบางใบ</t>
  </si>
  <si>
    <t>เปื้อนสีด้านหน้าและด้านหลัง</t>
  </si>
  <si>
    <t xml:space="preserve">รอยฟ้าผ่า และรอยขูดจากบิด </t>
  </si>
  <si>
    <t>สีอ่อน+เป็นจุดๆด้านข้างและมีสีเขียวอ่อน</t>
  </si>
  <si>
    <t xml:space="preserve">สีหายทั้งด้านหน้าและด้านข้าง </t>
  </si>
  <si>
    <t>ผสม50/50มัดแยกเลทติดป้ายระบุปัญหาแจ้งขนส่ง</t>
  </si>
  <si>
    <t>สีอ่อน+เป็นจุดด้านข้างไม่เอา สีเขียวอ่อนปรึกษาฝ่ายขายมัดแยกเลทติดป้ายระบุปํญหาแจ้งขนส่ง</t>
  </si>
  <si>
    <t>ซันฟีด935</t>
  </si>
  <si>
    <t>ซันฟีด935 แอล</t>
  </si>
  <si>
    <t>WB/OC แถบเขียว</t>
  </si>
  <si>
    <t>บริษัท ซันฟีด</t>
  </si>
  <si>
    <t>FWBWT203590PL</t>
  </si>
  <si>
    <t>PD468011301</t>
  </si>
  <si>
    <t>PD468011312</t>
  </si>
  <si>
    <t>PD468010908</t>
  </si>
  <si>
    <t>PD468011310</t>
  </si>
  <si>
    <t>พบม้วนนี้มีตัวหนังสือหายบางใบ+สีหายตรงตีนเป็ดเป็นทุกใบ จำนวน 1,300 ใบ และมีม้วนที่4 ม้วนที่5 เป็นจำนวนทั้งหมด 2,900 ใบ</t>
  </si>
  <si>
    <t>พบสีลงไม่เต็มด้านหน้า จำนวน 175 ใบ</t>
  </si>
  <si>
    <t>พบเปื้อนสีด้านหน้าและด้านหลัง จำนวน 134 ใบ</t>
  </si>
  <si>
    <t>พบผ้าเป็นรูโคโรน่า จำนวน 162 ใบ</t>
  </si>
  <si>
    <t>พบมีผ้าพับ จำนวน 134 ใบ</t>
  </si>
  <si>
    <t>พบมีรอยพยาธิเป็นทางยาว จำนวน 250 ใบ</t>
  </si>
  <si>
    <t>**ผสมแยกเลทระบุปัญหาแจ้งขนส่ง(ผสม25/75ถ้าไม่พอผสม50/50)**</t>
  </si>
  <si>
    <t>ตัวหนังสือหายบางใบ+สีหายตรงตีนเป็ดเป็นทุกใบ</t>
  </si>
  <si>
    <t xml:space="preserve">สีลงไม่เต็มด้านหน้า </t>
  </si>
  <si>
    <t xml:space="preserve">ผ้าเป็นรูโคโรน่า </t>
  </si>
  <si>
    <t xml:space="preserve">ผ้าพับ </t>
  </si>
  <si>
    <t xml:space="preserve">รอยพยาธิเป็นทางยาว </t>
  </si>
  <si>
    <t>ผสมแยกเลทระบุปัญหาแจ้งขนส่ง(ผสม25/75ถ้าไม่พอผสม50/50)</t>
  </si>
  <si>
    <t>FWBWT203678P</t>
  </si>
  <si>
    <t>PD468011305</t>
  </si>
  <si>
    <t>พบสีหายด้านหลังแปะพบ3-8ใบ จำนวน 1,800 ใบ</t>
  </si>
  <si>
    <t>TUNA MEAL MARIN TRUST</t>
  </si>
  <si>
    <t>นิค 103B</t>
  </si>
  <si>
    <t>ดอกไม้แดง</t>
  </si>
  <si>
    <t>บริษัท อนนท์อุตสาหกรรม</t>
  </si>
  <si>
    <t>PD468011405</t>
  </si>
  <si>
    <t>PD468011403</t>
  </si>
  <si>
    <t>บริษัท หนองบัว อโกร ฟอร์ ไลฟ์ จำกัด</t>
  </si>
  <si>
    <t>PD468011406</t>
  </si>
  <si>
    <t>FWBWT193267P</t>
  </si>
  <si>
    <t>PD468011401</t>
  </si>
  <si>
    <t>พบสีหายตรงตัว "R" แปะ 1 เป็นเกือบทุกใบ จำนวน 800 ใบ</t>
  </si>
  <si>
    <t>พบพิมพ์เสีย จำนวน 119 ใบ</t>
  </si>
  <si>
    <t>พบพิมพ์เสีย จำนวน 130 ใบ</t>
  </si>
  <si>
    <t>พบเป็นรอยเส้นเทปด้านหน้า 500 ใบ และพิมพ์เสีย 354 ใบ</t>
  </si>
  <si>
    <t>พบเปื้อนสีด้านหน้า จำนวน 400 ใบ</t>
  </si>
  <si>
    <t>พบเปื้อนสีด้านหน้าและด้านหลัง ม้วนที่ 3/2=75ใบ 3/3=275ใบ 3/17=100ใบ 3/18=25ใบ 3/26=50ใบ</t>
  </si>
  <si>
    <t>พบพิมพ์เสีย จำนวน 250 ใบ</t>
  </si>
  <si>
    <t>พบพิพม์เสีย จำนวน 130 ใบ</t>
  </si>
  <si>
    <t>พบมีสีหายตรงคำว่า "และ" ด้านหลัง(ใน1แปะไม่ได้เป็นทุกใบ) จำนวน 1,620 ใบ</t>
  </si>
  <si>
    <t xml:space="preserve">สีหายตรงตัว "R" แปะ 1 เป็นเกือบทุกใบ </t>
  </si>
  <si>
    <t>สีหายตรงคำว่า "และ" ด้านหลัง(ใน1แปะไม่ได้เป็นทุกใบ)</t>
  </si>
  <si>
    <t>เป็นรอยเส้นเทปด้านหน้า</t>
  </si>
  <si>
    <t>เปื้อนสีด้านหน้า</t>
  </si>
  <si>
    <t>หงษ์แดง</t>
  </si>
  <si>
    <t>ขุนศึกเบอร์1</t>
  </si>
  <si>
    <t>เบทาโกร124</t>
  </si>
  <si>
    <t>บริษัท ชนุตร์ แคลเซี่ยม888</t>
  </si>
  <si>
    <t>FWBWT193264P</t>
  </si>
  <si>
    <t>PD468011402</t>
  </si>
  <si>
    <t>PD468011408</t>
  </si>
  <si>
    <t>PD468011510</t>
  </si>
  <si>
    <t>PD468011503</t>
  </si>
  <si>
    <t>พบมีรอยเส้นเทปติดด้านหลัง จำนวน 560 ใบ</t>
  </si>
  <si>
    <t>พบสีลงไม่เต็ม งานตัดม้วนสุดท้าย จำนวน 1,200 ใบ</t>
  </si>
  <si>
    <t>พบพิพม์เสีย จำนวน 142 ใบ</t>
  </si>
  <si>
    <t xml:space="preserve">มีรอยเส้นเทปติดด้านหลัง </t>
  </si>
  <si>
    <t xml:space="preserve">สีลงไม่เต็ม </t>
  </si>
  <si>
    <t>ดอกไม้เขียว</t>
  </si>
  <si>
    <t>B922</t>
  </si>
  <si>
    <t>SW454</t>
  </si>
  <si>
    <t>บริษัท เอส พี เอ็ม อาหารสัตว์</t>
  </si>
  <si>
    <t>FWBWT2038100PL</t>
  </si>
  <si>
    <t>PD468011404</t>
  </si>
  <si>
    <t>PD468011507</t>
  </si>
  <si>
    <t>PD468011509</t>
  </si>
  <si>
    <t>พบสีลงไม่เต็มเป็นทั้งม้วนงานตัดม้วนสุดท้าย</t>
  </si>
  <si>
    <t>พบสีหาย+สีด่าง+สีไม่เสมอกัน+เป็นรอยตะขาบน้อย 1,675 ใบ และ พิมพ์เสีย 124 ใบ</t>
  </si>
  <si>
    <t>พบม้วนนี้เป็นรอยพยาธิด้านหน้า จำนวน 250 ใบ</t>
  </si>
  <si>
    <t>พบสีหาย จำนวน 250 ใบ</t>
  </si>
  <si>
    <t>**มัด**</t>
  </si>
  <si>
    <t>**ผสม50/50แยกเลทระบุปัญหาแจ้งขนส่ง**</t>
  </si>
  <si>
    <t>สีลงไม่เต็มเป็นทั้งม้วนงานตัดม้วนสุดท้าย</t>
  </si>
  <si>
    <t xml:space="preserve">สีหาย+สีด่าง+สีไม่เสมอกัน+เป็นรอยตะขาบน้อย  และ พิมพ์เสีย </t>
  </si>
  <si>
    <t>พบพิมพ์เสีย จำนวน 325 ใบ</t>
  </si>
  <si>
    <t>รอยพยาธิด้านหน้า</t>
  </si>
  <si>
    <t>มัด</t>
  </si>
  <si>
    <t>ผสม50/50แยกเลทระบุปัญหาแจ้งขนส่ง</t>
  </si>
  <si>
    <t>แถบเขียว</t>
  </si>
  <si>
    <t>FWBWT203882P</t>
  </si>
  <si>
    <t>PD468011608</t>
  </si>
  <si>
    <t>พบเปื้อนสีด้านหน้าและด้านหลังเป็นแถบยาว จำนวน 625 ใบ</t>
  </si>
  <si>
    <t xml:space="preserve">เพอเฟคค์664 </t>
  </si>
  <si>
    <t>เพอเฟคค์664</t>
  </si>
  <si>
    <t>โมโม่402โกล</t>
  </si>
  <si>
    <t>แถบส้ม</t>
  </si>
  <si>
    <t>PD468011611</t>
  </si>
  <si>
    <t>PD468011705</t>
  </si>
  <si>
    <t>PD468011610</t>
  </si>
  <si>
    <t>PD468011613</t>
  </si>
  <si>
    <t>พบพิมพ์เสีย จำนวน 231 ใบ</t>
  </si>
  <si>
    <t>พบแถบส้มด้านข้าง 2 ข้างไม่เท่ากัน ทำให้ปากกับตูดไม่ได้ตามระยะแถบส้มติดปากกระสอบ จำนวน 1,600 ใบ</t>
  </si>
  <si>
    <t>พบสีหายด้านหน้าแปะพบ 7-18 ใบ จำนวน 2,000 ใบ</t>
  </si>
  <si>
    <t>**ปรึกษาฝ่ายขายให้มัดแยกเลทติดป้ายระบุปัญหาแจ้งขนส่ง**</t>
  </si>
  <si>
    <t>**ปรึกษาฝ่ายขายให้มัดแยกเลทอัดเบลแจ้งขนส่ง**</t>
  </si>
  <si>
    <t>พบสีอ่อน จำนวน 896 ใบ</t>
  </si>
  <si>
    <t xml:space="preserve">สีอ่อน </t>
  </si>
  <si>
    <t xml:space="preserve">แถบส้มด้านข้าง 2 ข้างไม่เท่ากัน ทำให้ปากกับตูดไม่ได้ตามระยะแถบส้มติดปากกระสอบ </t>
  </si>
  <si>
    <t>สีหายด้านหน้า</t>
  </si>
  <si>
    <t>ปรึกษาฝ่ายขายให้มัดแยกเลทอัดเบลแจ้งขนส่ง</t>
  </si>
  <si>
    <t>บลูทีมแดง</t>
  </si>
  <si>
    <t>VC193</t>
  </si>
  <si>
    <t>ลุงนัย ฟาร์ม104</t>
  </si>
  <si>
    <t>เฮียใช้(ม่วง)</t>
  </si>
  <si>
    <t>เบทาโกร213</t>
  </si>
  <si>
    <t>บริษัท วี.ซี.เอฟ. กรุ๊ป</t>
  </si>
  <si>
    <t>คุณนพวินทร์ รัตนเศรษฐ์เมธา</t>
  </si>
  <si>
    <t>บริษัท นาเฮียใช้ จำกัด</t>
  </si>
  <si>
    <t>PD468011706</t>
  </si>
  <si>
    <t>PD468011708</t>
  </si>
  <si>
    <t>PD468011803</t>
  </si>
  <si>
    <t>PD468011808</t>
  </si>
  <si>
    <t>PD468011903</t>
  </si>
  <si>
    <t>พบสีหายแปะ1เป็น6-7 ใ จำนวน 500 ใบ</t>
  </si>
  <si>
    <t>พบพิมพ์เสีย จำนวน 300 ใบ</t>
  </si>
  <si>
    <t>พบบล็อคเลื่อนด้านข้าง จำนวน 100 ใบ</t>
  </si>
  <si>
    <t>พบเปื้อนสีด้านหน้าและด้านหลัง ม้วนที่ 1/2=375ใบ 1/4=25ใบ 1/6=50ใบ 1/7=50ใบ 1/8=325ใบ</t>
  </si>
  <si>
    <t>พบสีหายตรง "ท" ด้านหลังเป็นทั้งม้วน</t>
  </si>
  <si>
    <t>พบมีผ้าพับใหญ่ จำนวน 120 ใบ</t>
  </si>
  <si>
    <t>พบสีหายตรงโลโก้ด้านข้าง จำนวน 180 ใบ</t>
  </si>
  <si>
    <t>**ปรึกษาฝ่ายขายให้มัดได้เลย**</t>
  </si>
  <si>
    <t>**แซมห่างๆ**</t>
  </si>
  <si>
    <t xml:space="preserve">บล็อคเลื่อนด้านข้าง </t>
  </si>
  <si>
    <t>สีหายตรง "ท" ด้านหลัง</t>
  </si>
  <si>
    <t>มีผ้าพับใหญ่</t>
  </si>
  <si>
    <t>สีหายตรงโลโก้ด้านข้าง</t>
  </si>
  <si>
    <t>ปรึกษาฝ่ายขายให้มัดได้เลย</t>
  </si>
  <si>
    <t>แซมห่างๆ</t>
  </si>
  <si>
    <t>เป็นทั้งม้วน</t>
  </si>
  <si>
    <t>โนวา แอล16</t>
  </si>
  <si>
    <t>PD468011809</t>
  </si>
  <si>
    <t>PD468011906</t>
  </si>
  <si>
    <t>พบสีหายด้านข้างแปะ1ไม่ได้เป็นทุกใบ จำนวน 1,000 ใบ</t>
  </si>
  <si>
    <t>พบมีรอยพยาธิด้านข้าง จำนวน 200 ใบ</t>
  </si>
  <si>
    <t>พบเปื้อนสีด้านหลัง จำนวน 825 ใบ</t>
  </si>
  <si>
    <t>พบผ้าเป็นรูโคโรน่า จำนวน 199 ใบ</t>
  </si>
  <si>
    <t>สีหายด้านข้างแปะ1ไม่ได้เป็นทุกใบ</t>
  </si>
  <si>
    <t>รอยพยาธิด้านข้าง</t>
  </si>
  <si>
    <t xml:space="preserve">เปื้อนสีด้านหลัง </t>
  </si>
  <si>
    <t>โนวา เอ็น14</t>
  </si>
  <si>
    <t>ไก่เนื้อ เบอร์1</t>
  </si>
  <si>
    <t>PD468011907</t>
  </si>
  <si>
    <t>PD467011902</t>
  </si>
  <si>
    <t>PD468011902</t>
  </si>
  <si>
    <t>พบเส้นสีแดงด้านหลัง 150 ใบ และรอยฟ้าผ่าด้านข้าง 100 ใบ (งานตัดม้วนสุดท้าย)</t>
  </si>
  <si>
    <t>พบพิมพ์เสีย จำนวน 242 ใบ</t>
  </si>
  <si>
    <t>พบสีลงไม่เต็ม จำนวน 300 ใบ</t>
  </si>
  <si>
    <t xml:space="preserve">เส้นสีแดงด้านหลังและรอยฟ้าผ่าด้านข้าง </t>
  </si>
  <si>
    <t>พบตัวหนังสือด้านหลังไม่ชัด จำนวน 100 ใบ</t>
  </si>
  <si>
    <t>พบสีเข้ม จำนวน 1,400 ใบ</t>
  </si>
  <si>
    <t>**มัดแยกเลทติดป้ายระบุปัญหาแจ้งขนส่ง**</t>
  </si>
  <si>
    <t>ตัวหนังสือด้านหลังไม่ชัด</t>
  </si>
  <si>
    <t>สีเข้ม</t>
  </si>
  <si>
    <t>มัดแยกเลทติดป้ายระบุปัญหาแจ้งขนส่ง</t>
  </si>
  <si>
    <t>นาโน แอล04</t>
  </si>
  <si>
    <t>นิค103B</t>
  </si>
  <si>
    <t>ผึ้งเหลือง</t>
  </si>
  <si>
    <t>บริษัท เพรซิเดนท์ฟลาวมิลล์</t>
  </si>
  <si>
    <t>PD468011905</t>
  </si>
  <si>
    <t>PD468012011</t>
  </si>
  <si>
    <t>PD468011908</t>
  </si>
  <si>
    <t>PD468012007</t>
  </si>
  <si>
    <t>พบมีรอยเส้นเทป จำนวน 200 ใบ</t>
  </si>
  <si>
    <t>พบพิมพ์เสีย 240 ใบ และมีบล็อคเลื่อน 100 ใบ</t>
  </si>
  <si>
    <t>พบพิมพ์เสีย จำนวน 146 ใบ</t>
  </si>
  <si>
    <t>พบพิมพ์เสีย ม้วนที่ 8/17=175ใบ 8/19=200ใบ</t>
  </si>
  <si>
    <t>พบพิมพ์เย จำนวน 177 ใบ</t>
  </si>
  <si>
    <t>**พิมพ์เสียลดเกรด บล็อคเลื่อนผสม**</t>
  </si>
  <si>
    <t>รอยเส้นเทป</t>
  </si>
  <si>
    <t>พิมพ์เสียและมีบล็อคเลื่อน</t>
  </si>
  <si>
    <t>พิมพ์เสียลดเกรด บล็อคเลื่อนผสม</t>
  </si>
  <si>
    <t>บาลานส์953</t>
  </si>
  <si>
    <t>เฮียใช้(น้ำเงิน)</t>
  </si>
  <si>
    <t>PD468012111</t>
  </si>
  <si>
    <t>PD468012112</t>
  </si>
  <si>
    <t>PD468012116</t>
  </si>
  <si>
    <t>PD468012115</t>
  </si>
  <si>
    <t>PD468012114</t>
  </si>
  <si>
    <t>พบสีหายแปะพบ 3-15ใบ จำนวน 300 ใบ</t>
  </si>
  <si>
    <t>พบระยะช่องไฟ 2 ข้างไม่เท่ากัน จำนวน 200 ใบ</t>
  </si>
  <si>
    <t>พบม้วนนี้มีรอยฟ้าผ่า จำนวน 150 ใบ</t>
  </si>
  <si>
    <t>พบพิมพ์เสีย จำนวน 120 ใบ</t>
  </si>
  <si>
    <t>พบผ้าเป็นรอยตะขาบมาจากในม้วน จำนวน 2,000 ใบ</t>
  </si>
  <si>
    <t>พบพิมพ์เสีย จำนวน 289 ใบ</t>
  </si>
  <si>
    <t>พบพิมพ์เสีย จำนวน 174 ใบ</t>
  </si>
  <si>
    <t>**ผสม3/1แยกเลทระบุปัญหาแจ้งขนส่ง**</t>
  </si>
  <si>
    <t>ระยะช่องไฟ 2 ข้างไม่เท่ากัน</t>
  </si>
  <si>
    <t>รอยฟ้าผ่า</t>
  </si>
  <si>
    <t>พบสีหายด้านข้างทุกใบและสีหายด้านหลังแปะ1เป็น 7-9 ใบ จำนวน 600 ใบ</t>
  </si>
  <si>
    <t>สีหายด้านข้างทุกใบและสีหายด้านหลัง</t>
  </si>
  <si>
    <t>ผ้าเป็นรอยตะขาบ</t>
  </si>
  <si>
    <t>ผสม3/1แยกเลทระบุปัญหาแจ้งขนส่ง</t>
  </si>
  <si>
    <t>ปลาโลมาเเดง</t>
  </si>
  <si>
    <t>เฟิร์สช้อย912</t>
  </si>
  <si>
    <t>APM914</t>
  </si>
  <si>
    <t>PD468012204</t>
  </si>
  <si>
    <t>PD468012113</t>
  </si>
  <si>
    <t>PD468012207</t>
  </si>
  <si>
    <t>PD468012209</t>
  </si>
  <si>
    <t>พบมีรอยเส้นเทป จำนวน 350 ใบ</t>
  </si>
  <si>
    <t>พบมีรอยพยาธิฟ้าผ่านิดๆไม่ขาว จำนวน 120 ใบ</t>
  </si>
  <si>
    <t>พบเปื้อนสีแถบข้างทั้งด้านหน้าและด้านหลัง จำนวน 1,100 ใบ</t>
  </si>
  <si>
    <t>พบมีรอยเส้นเทป จำนวน 493 ใบ</t>
  </si>
  <si>
    <t>พบสีด้านหน้าอ่อน+สีแถบด้านข้างอ่อน1ข้าง 100 ใบ และ มีรอยพยาธิและผ้าพับ 150 ใบ</t>
  </si>
  <si>
    <t>พบพิมพ์เสีย จำนวน 139 ใบ</t>
  </si>
  <si>
    <t>**แซมแปะละ2ใบ**</t>
  </si>
  <si>
    <t>**ผสม**</t>
  </si>
  <si>
    <t>**สีด้านหน้าอ่อน+แถบด้านข้างอ่อนปรึกษาฝ่ายขายให้มัดตัวมันเองไป รอยพยาธิและผ้าพับผสม25/75**</t>
  </si>
  <si>
    <t>รอยพยาธิฟ้าผ่านิดๆไม่ขาว</t>
  </si>
  <si>
    <t>เปื้อนสีแถบข้างทั้งด้านหน้าและด้านหลัง</t>
  </si>
  <si>
    <t>สีด้านหน้าอ่อน+สีแถบด้านข้างอ่อน1ข้าง และ มีรอยพยาธิและผ้าพับ</t>
  </si>
  <si>
    <t>แซมแปะละ2ใบ</t>
  </si>
  <si>
    <t>สีด้านหน้าอ่อน+แถบด้านข้างอ่อนปรึกษาฝ่ายขายให้มัดตัวมันเองไป รอยพยาธิและผ้าพับผสม25/75</t>
  </si>
  <si>
    <t>ซันฟีด931</t>
  </si>
  <si>
    <t>วี-ฟีด วี14</t>
  </si>
  <si>
    <t>PD468012212</t>
  </si>
  <si>
    <t>PD468012208</t>
  </si>
  <si>
    <t>พบผ้าเป็นลักษณะดังภาพ จำนวน 1,600 ใบ</t>
  </si>
  <si>
    <t>**ตัดแล้วแยกออก**</t>
  </si>
  <si>
    <t>ผ้าเป็นลักษณะดังภาพ</t>
  </si>
  <si>
    <t>ตัดแล้วแยกออก</t>
  </si>
  <si>
    <t>ฟีล กู๊ดพี2</t>
  </si>
  <si>
    <t>ฟีล กู๊ดพี802</t>
  </si>
  <si>
    <t>VC181</t>
  </si>
  <si>
    <t>PD468012308</t>
  </si>
  <si>
    <t>PD468012315</t>
  </si>
  <si>
    <t>PD468012314</t>
  </si>
  <si>
    <t>พบมีรอยพยาธิด้านข้าง จำนวน 250 ใบ</t>
  </si>
  <si>
    <t>พบม้วนนี้มีผ้าหลุดเซ็นเซอร์ทำให้งานพิมพ์ขึ้นมาริมเคลือบ จำนวน 300 ใบ</t>
  </si>
  <si>
    <t>พบพิมพ์เสีย จำนวน 116 ใบ</t>
  </si>
  <si>
    <t>พบเปื้อนสี จำนวน 300 ใบ</t>
  </si>
  <si>
    <t>พบพิมพ์เสีย จำนวน 293 ใบ</t>
  </si>
  <si>
    <t>พบมีรอยพยาธิด้านข้าง จำนวน 500 ใบ</t>
  </si>
  <si>
    <t>พบมีรอยฟ้าผ่าใหญ่ จำนวน 200 ใบ</t>
  </si>
  <si>
    <t xml:space="preserve">ผ้าหลุดเซ็นเซอร์ทำให้งานพิมพ์ขึ้นมาริมเคลือบ </t>
  </si>
  <si>
    <t>รอยฟ้าผ่าใหญ่</t>
  </si>
  <si>
    <t>JET555</t>
  </si>
  <si>
    <t>ซันฟีดไก่ไข่(บ่อทอง)</t>
  </si>
  <si>
    <t>VC100</t>
  </si>
  <si>
    <t>PD468012411</t>
  </si>
  <si>
    <t>PD468012401</t>
  </si>
  <si>
    <t>PD468012413</t>
  </si>
  <si>
    <t xml:space="preserve">พบตัวเลขหาย จำนวน 500 ใบ </t>
  </si>
  <si>
    <t>พบสีตายด้านหน้า จำนวน 300 ใบ</t>
  </si>
  <si>
    <t>พบมีรอยพยาธิด้านข้าง จำนวน 600 ใบ</t>
  </si>
  <si>
    <t xml:space="preserve">ตัวเลขหาย </t>
  </si>
  <si>
    <t xml:space="preserve">สีตายด้านหน้า </t>
  </si>
  <si>
    <t>ไอฟีดไก่ไข่เบอร์5</t>
  </si>
  <si>
    <t>เบทาโกร 321B</t>
  </si>
  <si>
    <t>ซันฟีด932</t>
  </si>
  <si>
    <t>โพสพผลเจริญดี</t>
  </si>
  <si>
    <t>กุ้งแดง</t>
  </si>
  <si>
    <t>คุณวารินทร์ ศรีถัด</t>
  </si>
  <si>
    <t>PD468012513</t>
  </si>
  <si>
    <t>PD468012504</t>
  </si>
  <si>
    <t>PD468012602</t>
  </si>
  <si>
    <t>PD468012503</t>
  </si>
  <si>
    <t>PD468012604</t>
  </si>
  <si>
    <t>พบมีสีอ่อนและเป็นภาพซ้อน จำนวน 400 ใบ</t>
  </si>
  <si>
    <t>พบพิมพ์เสีย ม้วนที่ 3/1=236ใบ 3/3=128ใบ</t>
  </si>
  <si>
    <t>พบเปื้อนสีด้านหน้าและด้านหลังม้วนที่ 3/1=150ใบ 3/3=650ใบ</t>
  </si>
  <si>
    <t>พบมีรูโคโรน่าเยอะ จำนวน 150 ใบ</t>
  </si>
  <si>
    <t>พบพิมพ์เสีย จำนวน 145 ใบ</t>
  </si>
  <si>
    <t>พบสีหาย จำนวน 500 ใบ</t>
  </si>
  <si>
    <t>พบสีหายตรงพระอาทิตย์และตัวหนังสือด้านหน้า จำนวน 200 ใบ</t>
  </si>
  <si>
    <t>พบมีรอยเส้นเทปด้านหลัง จำนวน 200 ใบ</t>
  </si>
  <si>
    <t>**มัด100**</t>
  </si>
  <si>
    <t>**ผมส25/75แยกเลทระบุปัญหาแจ้งขนส่ง**</t>
  </si>
  <si>
    <t xml:space="preserve">สีอ่อนและเป็นภาพซ้อน </t>
  </si>
  <si>
    <t>รูโคโรน่าเยอะ</t>
  </si>
  <si>
    <t>สีหายตรงพระอาทิตย์และตัวหนังสือด้านหน้า</t>
  </si>
  <si>
    <t>มีรอยเส้นเทปด้านหลัง</t>
  </si>
  <si>
    <t>มัด100</t>
  </si>
  <si>
    <t>ผมส25/75แยกเลทระบุปัญหาแจ้งขนส่ง</t>
  </si>
  <si>
    <t>PD468012608</t>
  </si>
  <si>
    <t>พบมีรอยเส้นเทป จำนวน 2,000 ใบ</t>
  </si>
  <si>
    <t>พบมีรอยเส้นเทป จำนวน 300 ใบ</t>
  </si>
  <si>
    <t>WB บาลานส์952 30KG.NM</t>
  </si>
  <si>
    <t>ยู-ฟีด รวมหมู</t>
  </si>
  <si>
    <t>PD468013115</t>
  </si>
  <si>
    <t>PD468013109</t>
  </si>
  <si>
    <t>PD468013118</t>
  </si>
  <si>
    <t>พบพิมพ์เสีย จำนวน 204 ใบ</t>
  </si>
  <si>
    <t>พบสีหาย จำนวน 200 ใบ</t>
  </si>
  <si>
    <t>**ปรึกษาฝ่ายขายให้ทยอยแซม**</t>
  </si>
  <si>
    <t>**ผวม25/75**</t>
  </si>
  <si>
    <t>พบสีหายด้านหลังแปะพบ5-11ใบ จำนวน 800 ใบ</t>
  </si>
  <si>
    <t>ปรึกษาฝ่ายขายให้ทยอยแซม</t>
  </si>
  <si>
    <t>ฟีลกู๊ด 892</t>
  </si>
  <si>
    <t>เพอเฟคค์916</t>
  </si>
  <si>
    <t>ซันฟีด 918</t>
  </si>
  <si>
    <t>NOVA L18</t>
  </si>
  <si>
    <t>PD468020111</t>
  </si>
  <si>
    <t>PD468020101</t>
  </si>
  <si>
    <t>PD468013117</t>
  </si>
  <si>
    <t>PD468020108</t>
  </si>
  <si>
    <t>PD468020107</t>
  </si>
  <si>
    <t>พบพิมพ์เสีย จำนวน 144 ใบ</t>
  </si>
  <si>
    <t>พบม้วนนี้มีผ้าพับ+รอยฟ้าผ่า จำนวน 212 ใบ</t>
  </si>
  <si>
    <t>พบเปื้อนสีริมเคลือบ จำนวน 300 ใบ</t>
  </si>
  <si>
    <t>พบมีรอยฟ้าผ่า 150 ใบ และงานเป็นภาพซ้อน 1,500 ใบ</t>
  </si>
  <si>
    <t>ผ้าพับ+รอยฟ้าผ่า</t>
  </si>
  <si>
    <t>เปื้อนสีริมเคลือบ</t>
  </si>
  <si>
    <t>รอยฟ้าผ่า  และงานเป็นภาพซ้อน</t>
  </si>
  <si>
    <t>WB เบทาโกร124 30KG NM.</t>
  </si>
  <si>
    <t>Golden Granlated Sugar</t>
  </si>
  <si>
    <t>FWBWT2437130P</t>
  </si>
  <si>
    <t>PD468020307</t>
  </si>
  <si>
    <t>PD468020115</t>
  </si>
  <si>
    <t>PD468020304</t>
  </si>
  <si>
    <t>PD468020312</t>
  </si>
  <si>
    <t>พบเป็นรอยผ้าพับ+รอยฟ้าผ่า จำนวน 414 ใบ</t>
  </si>
  <si>
    <t>พบมีผ้าพับ+รอยฟ้าผ่า จำนวน 205 ใบ</t>
  </si>
  <si>
    <t>พบมีรอยเส้นเทปติดด้านหลังงานตัดม้วนสุดท้าย จำนวน 2,200 ใบ</t>
  </si>
  <si>
    <t>พบสีแดงเข้ม จำนวน 1,200 ใบ</t>
  </si>
  <si>
    <t>พบพิมพ์เสีย จำนวน 178 ใบ</t>
  </si>
  <si>
    <t>**ผสม3/1และแยกเลทระบุปัญหาแจ้งขนส่ง**</t>
  </si>
  <si>
    <t>รอยผ้าพับ+รอยฟ้าผ่า</t>
  </si>
  <si>
    <t>พบสีหายตรงเลข "4"และตัว"P"ด้านหลังใน 1 แปะพบ5-7ใบ จำนวน 360 ใบ</t>
  </si>
  <si>
    <t>สีหายตรงเลข "4"และตัว"P"</t>
  </si>
  <si>
    <t xml:space="preserve">ผ้าพับ+รอยฟ้าผ่า </t>
  </si>
  <si>
    <t>รอยเส้นเทปติดด้านหลัง</t>
  </si>
  <si>
    <t>สีแดงเข้ม</t>
  </si>
  <si>
    <t>ผสม3/1และแยกเลทระบุปัญหาแจ้งขนส่ง</t>
  </si>
  <si>
    <t>WB เบทาโกร 405 30KG NM.</t>
  </si>
  <si>
    <t>PD468020302</t>
  </si>
  <si>
    <t>พบพิมพ์เสีย จำนวน 168 ใบ</t>
  </si>
  <si>
    <t>พบสีหายตรงโลโก้ จำนวน 1,095ใบ</t>
  </si>
  <si>
    <t>**ผสมแยกเลทระบุปัญหาแงขนส่ง**</t>
  </si>
  <si>
    <t xml:space="preserve">สีหายตรงโลโก้ </t>
  </si>
  <si>
    <t>ผสมแยกเลทระบุปัญหาแงขนส่ง</t>
  </si>
  <si>
    <t>ไอฟีดสุกรเบอร์2</t>
  </si>
  <si>
    <t>เพอเฟคค์902</t>
  </si>
  <si>
    <t>ฟีลกู๊ด พี3</t>
  </si>
  <si>
    <t>NOVA D18</t>
  </si>
  <si>
    <t>PD468020412</t>
  </si>
  <si>
    <t>PD468020410</t>
  </si>
  <si>
    <t>PD468020404</t>
  </si>
  <si>
    <t>PD468020413</t>
  </si>
  <si>
    <t>PD468020405</t>
  </si>
  <si>
    <t>พบสีหายตรงเลข "3" ด้ายข้าง จำนวน 775 ใบ</t>
  </si>
  <si>
    <t>พบมีรอยเส้นเทป จำนวน 400 ใบ</t>
  </si>
  <si>
    <t>พบสีไม่เสมอ จำนวน 300 ใบ</t>
  </si>
  <si>
    <t>พบเปื้อนสีด้านหน้าม้วนที่ 3/1=925ใบ 3/2=625ใบ 3/3=1,700ใบ</t>
  </si>
  <si>
    <t>พบเปื้อนสีด้านหลังและข้างในจีบ จำนวน 280 ใบ</t>
  </si>
  <si>
    <t>พบพิมพ์เสีย จำนวน 154 ใบ</t>
  </si>
  <si>
    <t>**ผสม25/75มัดแยกเลทระบุปัญหาแจ้งขนส่ง**</t>
  </si>
  <si>
    <t>**ปรึกษาฝ่ายขายให้มัดแยกเลท**</t>
  </si>
  <si>
    <t xml:space="preserve">สีหายตรงเลข "3" ด้ายข้าง </t>
  </si>
  <si>
    <t xml:space="preserve">รอยเส้นเทป </t>
  </si>
  <si>
    <t>สีไม่เสมอ</t>
  </si>
  <si>
    <t>เปื้อนสีด้านหลังและข้างในจีบ</t>
  </si>
  <si>
    <t>ผสม25/75มัดแยกเลทระบุปัญหาแจ้งขนส่ง</t>
  </si>
  <si>
    <t>ปรึกษาฝ่ายขายให้มัดแยกเลท</t>
  </si>
  <si>
    <t>พบ2ม้วนนี้มีรอยฟ้าผ่าม้วนที่ 3/2=400ใบ 3/5=500ใบ (ผสมไปแล้ว700ใบเหลือผสมรอบหน้า200ใบ)</t>
  </si>
  <si>
    <t>1880 , 1410</t>
  </si>
  <si>
    <t>โอดิน101</t>
  </si>
  <si>
    <t>เพอเฟคค์917</t>
  </si>
  <si>
    <t>เฟิร์สคลาส911</t>
  </si>
  <si>
    <t>เฟิร์สคลาส912</t>
  </si>
  <si>
    <t>ซันฟีด966</t>
  </si>
  <si>
    <t>PD468020407</t>
  </si>
  <si>
    <t>PD468020414</t>
  </si>
  <si>
    <t>PD468020415</t>
  </si>
  <si>
    <t>PD468020509</t>
  </si>
  <si>
    <t>PD468020510</t>
  </si>
  <si>
    <t>PD468020511</t>
  </si>
  <si>
    <t>พบสีหายด้านข้างแปะ1เป็น 6-18 ใบ จำนวน 400 ใบ</t>
  </si>
  <si>
    <t>พบสีหายด้านหน้า จำนวน 120 ใบ</t>
  </si>
  <si>
    <t>พบพิมพ์เสีย ม้วนที่ 2/1=203ใบ 2/2=145ใบ</t>
  </si>
  <si>
    <t>พบพิมพ์เสียม้วนที่ 2/2=127ใบ 2/4=110ใบ</t>
  </si>
  <si>
    <t>พบพิมพ์เสียม้วนที่ 2/1=200ใบ 2/2=200ใบและผ้าพับ+รอยฟ้าผ่าม้วนที่ 2/1=95ใบ 2/2=243ใบ</t>
  </si>
  <si>
    <t>พบพิมพ์เสีย จำนวน 156 ใบ</t>
  </si>
  <si>
    <t>พบมีผ้าพับใหญ่ จำนวน 140 ใบ</t>
  </si>
  <si>
    <t>**พิมพ์เสียลดเกรด ผ้าพับ+รอยฟ้าผ่าคัดแยกออก**</t>
  </si>
  <si>
    <t>**แซมแปะละ1ใบ**</t>
  </si>
  <si>
    <t>พิมพ์เสียและผ้าพับ+รอยฟ้าผ่า</t>
  </si>
  <si>
    <t>ผ้าพับใหญ่</t>
  </si>
  <si>
    <t>พิมพ์เสียลดเกรด ผ้าพับ+รอยฟ้าผ่าคัดแยกออก</t>
  </si>
  <si>
    <t>แซมแปะละ1ใบ</t>
  </si>
  <si>
    <t>1,420  ,  1,950</t>
  </si>
  <si>
    <t>500  ,  2,075</t>
  </si>
  <si>
    <t>เฟิร์สคลาส903</t>
  </si>
  <si>
    <t>SILICA</t>
  </si>
  <si>
    <t>FELDSPAR K200BL</t>
  </si>
  <si>
    <t>EXCELBLEND S50</t>
  </si>
  <si>
    <t>บริษัท ซิเบลโก้ มิเนอร์รัลส์(ประเทศไทย)</t>
  </si>
  <si>
    <t>FWBWT203597PLM</t>
  </si>
  <si>
    <t>FWBWT2338100PL</t>
  </si>
  <si>
    <t>PD468020610</t>
  </si>
  <si>
    <t>PD468020512</t>
  </si>
  <si>
    <t>PD468020611</t>
  </si>
  <si>
    <t>PD468020604</t>
  </si>
  <si>
    <t>พบเปื้อนสีริมด้านข้าง จำนวน 840 ใบ</t>
  </si>
  <si>
    <t>พบสีหายแปะ1พบ 5-12 ใบ จำนวน 400 ใบ</t>
  </si>
  <si>
    <t>พบเปื้อนสีด้านหน้าและด้านหลัง จำนวน 400 ใบ</t>
  </si>
  <si>
    <t>พบเปื้อนสี จำนวน 200 ใบ</t>
  </si>
  <si>
    <t>พบผ้าพับด้านข้าง จำนวน 800 ใบ</t>
  </si>
  <si>
    <t>พบพิมพ์เสีย จำนวน 142 ใบ</t>
  </si>
  <si>
    <t>พบพิมพ์เสีย จำนวน 110 ใบ</t>
  </si>
  <si>
    <t>**ส่งลบสีแล้วผสม**</t>
  </si>
  <si>
    <t>เปื้อนสีริมด้านข้าง</t>
  </si>
  <si>
    <t xml:space="preserve">เปื้อนสี </t>
  </si>
  <si>
    <t>ผ้าพับด้านข้าง</t>
  </si>
  <si>
    <t>ส่งลบสีแล้วผสม</t>
  </si>
  <si>
    <t>OPAL CA3</t>
  </si>
  <si>
    <t>PORTARYTE</t>
  </si>
  <si>
    <t>FWBWT183074PL</t>
  </si>
  <si>
    <t>PD468020605</t>
  </si>
  <si>
    <t>PD468020705</t>
  </si>
  <si>
    <t>พบสีตายด้านหน้าและด้านหลัง จำนวน 1,925 ใบ</t>
  </si>
  <si>
    <t>พบพิมพ์เสีย จำนวน 150 ใบ</t>
  </si>
  <si>
    <t>พบมีรอยฟ้าผ่าด้านข้าง จำนวน 146 ใบ</t>
  </si>
  <si>
    <t>**ผสม25/75ถ้าผสมไม่พอผสม50/50**</t>
  </si>
  <si>
    <t>**ปรึกษาฝ่ายขายให้แซมรอบหน้าแปะละ1ใบ**</t>
  </si>
  <si>
    <t>สีตายด้านหน้าและด้านหลัง</t>
  </si>
  <si>
    <t xml:space="preserve">รอยฟ้าผ่าด้านข้าง </t>
  </si>
  <si>
    <t>ผสม25/75ถ้าผสมไม่พอผสม50/50</t>
  </si>
  <si>
    <t>ปรึกษาฝ่ายขายให้แซมรอบหน้าแปะละ1ใบ</t>
  </si>
  <si>
    <t>ฟีล กู๊ด พี1เอฟ</t>
  </si>
  <si>
    <t>SW441</t>
  </si>
  <si>
    <t>PD468020804</t>
  </si>
  <si>
    <t>PD468020808</t>
  </si>
  <si>
    <t>PD468020708</t>
  </si>
  <si>
    <t>พบเป็นรอยพยาธิด้านข้าง จำนวน 650 ใบ</t>
  </si>
  <si>
    <t>พบสีเขียวอ่อน จำนวน 800 ใบ</t>
  </si>
  <si>
    <t>พบสีหาย จำนวน 500 ใบ และสีไม่เสมอกันเป็นทั้งม้วน</t>
  </si>
  <si>
    <t>เป็นรอยพยาธิด้านข้าง</t>
  </si>
  <si>
    <t>สีเขียวอ่อน</t>
  </si>
  <si>
    <t>สีหาย และสีไม่เสมอกัน</t>
  </si>
  <si>
    <t>ซันฟีด เบอร์21</t>
  </si>
  <si>
    <t>SPM202</t>
  </si>
  <si>
    <t>PD468021001</t>
  </si>
  <si>
    <t>PD468020809</t>
  </si>
  <si>
    <t>PD468021008</t>
  </si>
  <si>
    <t>PD468021010</t>
  </si>
  <si>
    <t>พบสีซึม จำนวน 500 ใบ</t>
  </si>
  <si>
    <t>พบสีตาย จำนวน 600 ใบ</t>
  </si>
  <si>
    <t>พบตัวเลขหายด้านหน้า จำนวน 223 ใบ</t>
  </si>
  <si>
    <t>พบสีหาย จำนวน 150 ใบ</t>
  </si>
  <si>
    <t>พบสีหาย จำนวน 450 ใบแปะพบ 6-14ใบ และพิมพ์เสีย ม้วนที่3/1=349ใบ 3/2=201ใบ</t>
  </si>
  <si>
    <t>**ปรึกษาฝ่ายขายให้ส่งแต้มสี**</t>
  </si>
  <si>
    <t xml:space="preserve">สีซึม </t>
  </si>
  <si>
    <t>สีตาย</t>
  </si>
  <si>
    <t xml:space="preserve">ตัวเลขหายด้านหน้า </t>
  </si>
  <si>
    <t xml:space="preserve">สีหาย </t>
  </si>
  <si>
    <t>สีหายและพิมพ์เสีย</t>
  </si>
  <si>
    <t>ปรึกษาฝ่ายขายให้ส่งแต้มสี</t>
  </si>
  <si>
    <t>1,800   ,   1,940</t>
  </si>
  <si>
    <t>PT09</t>
  </si>
  <si>
    <t>เฟิร์สช้อย 915</t>
  </si>
  <si>
    <t>แดง</t>
  </si>
  <si>
    <t>ลูกกลิ้งยางแถบด้านข้าง</t>
  </si>
  <si>
    <t>เปลี่ยนลูกกลิ้งยาง</t>
  </si>
  <si>
    <t>WB ฟาร์ม F992</t>
  </si>
  <si>
    <t>ชวนชม(บานเย็น</t>
  </si>
  <si>
    <t>เหลือง</t>
  </si>
  <si>
    <t>บาลานส์957</t>
  </si>
  <si>
    <t>WB เบทาโกร323 30KG.NM</t>
  </si>
  <si>
    <t>ซันฟีด952</t>
  </si>
  <si>
    <t>PD468021015</t>
  </si>
  <si>
    <t>PD468021107</t>
  </si>
  <si>
    <t>PD468021103</t>
  </si>
  <si>
    <t>PD468021105</t>
  </si>
  <si>
    <t>พบสีหายแปะ1เป็น5-7ใบ จำนวน 700 ใบ</t>
  </si>
  <si>
    <t>พบมีผ้าพับเล็กๆดังภาพ จำนวน 700 ใบ</t>
  </si>
  <si>
    <t>พบสีหยดเปื้อนเป็นจุดๆ ม้วนที่ 4/1=300ใบ 4/5=500ใบ 4/19=300ใบ</t>
  </si>
  <si>
    <t>พบพิมพ์เสีย จำนวน 203 ใบ</t>
  </si>
  <si>
    <t>พบสีลงไม่เต็มและเปื้อนสีเป็นจุดๆ จำนวน 450 ใบ</t>
  </si>
  <si>
    <t>พบม้วนนี้มีผ้าพับใหญ่ จำนวน 125 ใบ</t>
  </si>
  <si>
    <t>พบพิมพ์เสียม้วนที่ 4/1=172ใบ 4/2=325ใบ</t>
  </si>
  <si>
    <t>ผ้าพับเล็กๆ</t>
  </si>
  <si>
    <t xml:space="preserve">สีหยดเปื้อนเป็นจุดๆ </t>
  </si>
  <si>
    <t xml:space="preserve">สีลงไม่เต็มและเปื้อนสีเป็นจุดๆ </t>
  </si>
  <si>
    <t xml:space="preserve">ผ้าพับใหญ่ </t>
  </si>
  <si>
    <t>2,430   ,  2,460</t>
  </si>
  <si>
    <t>เบทาโกร406</t>
  </si>
  <si>
    <t>ชวนชม(บานเย็น)</t>
  </si>
  <si>
    <t>WB ฟาร์ม F931L 30KG.</t>
  </si>
  <si>
    <t>935แอล</t>
  </si>
  <si>
    <t>บริษัท รุ่งเรืองค้าเจริญ</t>
  </si>
  <si>
    <t>FWBWT233580P</t>
  </si>
  <si>
    <t>PD468021109</t>
  </si>
  <si>
    <t>PD468021205</t>
  </si>
  <si>
    <t>PD468021207</t>
  </si>
  <si>
    <t>PD468021203</t>
  </si>
  <si>
    <t>PD468021212</t>
  </si>
  <si>
    <t xml:space="preserve">พบผ้าเป็นรูโคโรน่ารูเยอะและใหญ่ จำนวน 568 ใบ </t>
  </si>
  <si>
    <t>พบพิมพ์เสีย ม้วนที่ 4/1=200ใบ 4/3=130ใบ</t>
  </si>
  <si>
    <t>พบสีหายแปะพบ 10-17 ใบ จำนวน 4,100 ใบ</t>
  </si>
  <si>
    <t>**ปรึกษาฝ่ายขายถ้ารูไม่เยอะและไม่ใหญ่ให้ผสมถ้าเยอะและใหญ่ไม่เอา**</t>
  </si>
  <si>
    <t>**ผสม25/75 มัดแยกเลทติดป้ายระบุปัญหาแจ้งขนส่ง**</t>
  </si>
  <si>
    <t>**ปรึกษาฝ่ายขาย ให้มัดงานได้เลย**</t>
  </si>
  <si>
    <t xml:space="preserve">ผ้าเป็นรูโคโรน่ารูเยอะและใหญ่ </t>
  </si>
  <si>
    <t>พบพิมพ์เสีย 157 ใบ และผ้าเป็นรูโคโรน่าเยอะและใหญ่ 398 ใบ</t>
  </si>
  <si>
    <t xml:space="preserve">พิมพ์เสียและผ้าเป็นรูโคโรน่าเยอะและใหญ่ </t>
  </si>
  <si>
    <t>พบพิมพ์เสีย จำนวน 185 ใบ</t>
  </si>
  <si>
    <t>ปรึกษาฝ่ายขายถ้ารูไม่เยอะและไม่ใหญ่ให้ผสมถ้าเยอะและใหญ่ไม่เอา</t>
  </si>
  <si>
    <t>ผสม25/75 มัดแยกเลทติดป้ายระบุปัญหาแจ้งขนส่ง</t>
  </si>
  <si>
    <t>ปรึกษาฝ่ายขาย ให้มัดงานได้เลย</t>
  </si>
  <si>
    <t>365  ,  2,550  ,  2,485</t>
  </si>
  <si>
    <t>ฟีล กู๊ด 8033</t>
  </si>
  <si>
    <t>ฟีล กู๊ด 8132</t>
  </si>
  <si>
    <t>FWBWT2037130P</t>
  </si>
  <si>
    <t>PD468021201</t>
  </si>
  <si>
    <t>PD468021313</t>
  </si>
  <si>
    <t>PD468021317</t>
  </si>
  <si>
    <t>พบเปื้อนสีเข้ม จำนวน 275 ใบ</t>
  </si>
  <si>
    <t>พบสีหายด้านหน้า จำนวน 175 ใบ</t>
  </si>
  <si>
    <t>พบพิมพ์เสีย จำนวน 280 ใบ</t>
  </si>
  <si>
    <t>**ปรึกษาฝ่ายขายให้แซมแปะละ1ใบ**</t>
  </si>
  <si>
    <t xml:space="preserve">เปื้อนสีเข้ม </t>
  </si>
  <si>
    <t>ปรึกษาฝ่ายขายให้แซมแปะละ1ใบ</t>
  </si>
  <si>
    <t>ฟีล กู๊ด 8131</t>
  </si>
  <si>
    <t>JET888</t>
  </si>
  <si>
    <t>นีโอ ดี03</t>
  </si>
  <si>
    <t>โบว์น้ำเงิน</t>
  </si>
  <si>
    <t>PD468021410</t>
  </si>
  <si>
    <t>PD468021411</t>
  </si>
  <si>
    <t>PD468021409</t>
  </si>
  <si>
    <t>PD468021414</t>
  </si>
  <si>
    <t>PD468021408</t>
  </si>
  <si>
    <t>พบสีหายหลายจุด จำนวน 325 ใบ</t>
  </si>
  <si>
    <t>พบมีรอยพยาธิ จำนวน 500 ใบ</t>
  </si>
  <si>
    <t>พบสีลงไม่เต็มเป็นทั้งม้วนบางแปะพบสีหาย1-4ใบ</t>
  </si>
  <si>
    <t>**ไม่มีงานผสมมัดเลย**</t>
  </si>
  <si>
    <t xml:space="preserve">สีหายหลายจุด </t>
  </si>
  <si>
    <t xml:space="preserve">รอยพยาธิ </t>
  </si>
  <si>
    <t>พบสีหายด้านหลังในแปะพบ7-10ใบ จำนวน 125 ใบ</t>
  </si>
  <si>
    <t>สีลงไม่เต็มเป็นทั้งม้วนบางแปะพบสีหาย</t>
  </si>
  <si>
    <t>ไม่มีงานผสมมัดเลย</t>
  </si>
  <si>
    <t>PD468021502</t>
  </si>
  <si>
    <t>PD468021505</t>
  </si>
  <si>
    <t>พบพิมพ์เสีย จำนวน 149 ใบ</t>
  </si>
  <si>
    <t>พบผ้าเป็นรูโคโรน่าเยอะและรูใหญ่ จำนวน 117 ใบ</t>
  </si>
  <si>
    <t>พบเปื้อนสีด้านหน้าและด้านข้าง จำนวน 1,000 ใบ</t>
  </si>
  <si>
    <t>พบสีดำตายตรงตัวหมู จำนวน 500 ใบ</t>
  </si>
  <si>
    <t>ผ้าเป็นรูโคโรน่าเยอะและรูใหญ่</t>
  </si>
  <si>
    <t>เปื้อนสีด้านหน้าและด้านข้าง</t>
  </si>
  <si>
    <t xml:space="preserve">สีดำตายตรงตัวหมู </t>
  </si>
  <si>
    <t>ซันฟีด 915เอ็ม</t>
  </si>
  <si>
    <t>WB ฟาร์ม F993 30KG. LR</t>
  </si>
  <si>
    <t>WB ฟาร์ม F936 30KG.</t>
  </si>
  <si>
    <t>WB ฟาร์ม F916M 30KG.</t>
  </si>
  <si>
    <t>FWBWT203878P</t>
  </si>
  <si>
    <t>PD468021509</t>
  </si>
  <si>
    <t>PD468021510</t>
  </si>
  <si>
    <t>PD468021705</t>
  </si>
  <si>
    <t>PD468021706</t>
  </si>
  <si>
    <t>พบพิมพ์เสีย จำนวน 401 ใบ</t>
  </si>
  <si>
    <t>พบมีรอยเส้นเทป จำนวน 1,500 ใบ</t>
  </si>
  <si>
    <t>พบม้วนนี้เป็นรอยเส้นเทปด้านหน้า จำนวน 750 ใบ</t>
  </si>
  <si>
    <t>พบผ้าเป็นรูโคโรน่ารูใหญ่และเยอะ 100 ใบ และผ้าเป็นรูโคโรน่าเล็กๆไม่เยอะ 650 ใบ</t>
  </si>
  <si>
    <t>พบผ้าเป็นรูโคโรน่ารูใหญ่และเยอะ 162 ใบ และผ้าเป็นรูโคโรน่าเล็กๆไม่เยอะ 300 ใบ</t>
  </si>
  <si>
    <t>**ผสม50/50และแยกเลทงานเหลือม้วนเดียว**</t>
  </si>
  <si>
    <t>**รูใหญ่เยอะไม่เอา รูเล็กๆผสม25/75มัดแยกเลทติดป้ายแจ้งขนส่ง**</t>
  </si>
  <si>
    <t xml:space="preserve">รอยเส้นเทปด้านหน้า </t>
  </si>
  <si>
    <t>รูโคโรน่ารูใหญ่และเยอะและผ้าเป็นรูโคโรน่าเล็กๆไม่เยอะ</t>
  </si>
  <si>
    <t>ผสม50/50และแยกเลทงานเหลือม้วนเดียว</t>
  </si>
  <si>
    <t>รูใหญ่เยอะไม่เอา รูเล็กๆผสม25/75มัดแยกเลทติดป้ายแจ้งขนส่ง</t>
  </si>
  <si>
    <t>ซันฟีด959</t>
  </si>
  <si>
    <t>ปลาโลมาแดง</t>
  </si>
  <si>
    <t>SPM912</t>
  </si>
  <si>
    <t>ถังข้าวทอง(ฟ้า)</t>
  </si>
  <si>
    <t>ถังข้าวทอง(เขียวอ่อน)</t>
  </si>
  <si>
    <t>935เอ</t>
  </si>
  <si>
    <t>Green For White Sugar</t>
  </si>
  <si>
    <t>บริษัท บัวหลวงพันธุ์ข้าว</t>
  </si>
  <si>
    <t>FWBWT233570P</t>
  </si>
  <si>
    <t>PD468021801</t>
  </si>
  <si>
    <t>PD468021803</t>
  </si>
  <si>
    <t>PD468021808</t>
  </si>
  <si>
    <t>PD468021816</t>
  </si>
  <si>
    <t>PD468021814</t>
  </si>
  <si>
    <t>PD468021815</t>
  </si>
  <si>
    <t>PD468021817</t>
  </si>
  <si>
    <t>PD468021701</t>
  </si>
  <si>
    <t>พบสีด้านข้างสีไม่เหมือนกัน จำนวน 375 ใบ</t>
  </si>
  <si>
    <t>พบสีหายแปะพบ3-8ใบ จำนวน 350 ใบ</t>
  </si>
  <si>
    <t>พบพิมพ์เสีย ม้วนที่ 2/1=200ใบ 2/2=200ใบ</t>
  </si>
  <si>
    <t>พบพิมพ์เสีย ม้วนที่ 2/1=216ใบ 2/2=138ใบ</t>
  </si>
  <si>
    <t>พบพิมพ์เสีย จำนวน 225 ใบ</t>
  </si>
  <si>
    <t>พบผ้าเป็นรูโคโรน่ารูใหญ่และเยอะ จำนวน 258 ใบ</t>
  </si>
  <si>
    <t>พบผ้าเป็นรูโคโรน่ารูเล็กๆไม่เยอะ จำนวน 425 ใบ</t>
  </si>
  <si>
    <t>สีด้านข้างสีไม่เหมือนกัน</t>
  </si>
  <si>
    <t>ผ้าเป็นรูโคโรน่ารูใหญ่และเยอะ</t>
  </si>
  <si>
    <t>ผ้าเป็นรูโคโรน่ารูเล็กๆไม่เยอะ</t>
  </si>
  <si>
    <t>680   ,   1,020</t>
  </si>
  <si>
    <t>2530   ,   2,680</t>
  </si>
  <si>
    <t>Y30</t>
  </si>
  <si>
    <t>ชามแดง 25กก.</t>
  </si>
  <si>
    <t>FWBWT203272P</t>
  </si>
  <si>
    <t>PD468021818</t>
  </si>
  <si>
    <t>PD468021905</t>
  </si>
  <si>
    <t>ม้วนนี้มีผ้าพับและสีหาย จำนวน 200 ใบ</t>
  </si>
  <si>
    <t>ม้วนนี้มีเปื้อนสีด้านหน้าและด้านหลัง จำนวน 375 ใบ</t>
  </si>
  <si>
    <t>**ผ้าพับใหญ่คัดแยกออก**</t>
  </si>
  <si>
    <t>ผ้าพับและสีหาย</t>
  </si>
  <si>
    <t>ผ้าพับใหญ่คัดแยกออก</t>
  </si>
  <si>
    <t>TRJ</t>
  </si>
  <si>
    <t>ซันฟีด007</t>
  </si>
  <si>
    <t>นีโอ พี3เอส</t>
  </si>
  <si>
    <t>KPN 25KG.Taiwan</t>
  </si>
  <si>
    <t>แป้งหมักไก่แดง MTS</t>
  </si>
  <si>
    <t>บริษัท ไทยร่วมใจน้ำมันพืช จำกัด</t>
  </si>
  <si>
    <t>บริษัท เอ็ม.ที.เอส.เทรดดิ้ง</t>
  </si>
  <si>
    <t>บริษัท Lao-Thai German Starch Co.,Ltd</t>
  </si>
  <si>
    <t>FWBWT2841120P</t>
  </si>
  <si>
    <t>FWBWT203475P</t>
  </si>
  <si>
    <t>FWBWT203770P</t>
  </si>
  <si>
    <t>PD468022001</t>
  </si>
  <si>
    <t>PD468022003</t>
  </si>
  <si>
    <t>PD468022004</t>
  </si>
  <si>
    <t>PD468022009</t>
  </si>
  <si>
    <t>PD468022012</t>
  </si>
  <si>
    <t>PD468022011</t>
  </si>
  <si>
    <t>พบเปื้อนสีด้านข้าง จำนวน 675 ใบ</t>
  </si>
  <si>
    <t>พบสีหายเป็นทั้งหมดและตรงเลข"9"มีเส้นเทปติดเป็นทุกม้วน</t>
  </si>
  <si>
    <t>พบเปื้อนสี700ใบ รอยเส้นเทปและรอยฟ้าผ่า350ใบ</t>
  </si>
  <si>
    <t>พบตัวหนังสือหายด้านหลัง จำนวน 250 ใบ</t>
  </si>
  <si>
    <t>พบพิมพ์เสีย จำนวน 196 ใบ</t>
  </si>
  <si>
    <t>พบพิมพ์เสีย จำนวน 159 ใบ</t>
  </si>
  <si>
    <t>พบพิมพ์เสีย จำนวน 302 ใบ</t>
  </si>
  <si>
    <t>**ปรึกษาฝ่ายขายให้แซมแปะละ2ใบ**</t>
  </si>
  <si>
    <t>**มัดเลยไม่มีของผสม**</t>
  </si>
  <si>
    <t>**ส่งลบสี,ผสม25/75**</t>
  </si>
  <si>
    <t xml:space="preserve">เปื้อนสีด้านข้าง </t>
  </si>
  <si>
    <t>เปื้อนสีรอยเส้นเทปและรอยฟ้าผ่า</t>
  </si>
  <si>
    <t>สีหายและตรงเลข"9"มีเส้นเทปติด</t>
  </si>
  <si>
    <t>ปรึกษาฝ่ายขายให้แซมแปะละ2ใบ</t>
  </si>
  <si>
    <t>มัดเลยไม่มีของผสม</t>
  </si>
  <si>
    <t>ส่งลบสี,ผสม25/75</t>
  </si>
  <si>
    <t>เพื่อนเกษตร2001</t>
  </si>
  <si>
    <t>เฟิร์สคลาส913</t>
  </si>
  <si>
    <t>บริษัท ไทยไบโอเทค เฟอร์ติไลเซอร์ จำกัด</t>
  </si>
  <si>
    <t>FWBWT2337115PL</t>
  </si>
  <si>
    <t>PD468022107</t>
  </si>
  <si>
    <t>PD468022111</t>
  </si>
  <si>
    <t>พบพิมพ์เสีย จำนวน 132 ใบ</t>
  </si>
  <si>
    <t>พบสีหายแปะพบ5-11ใบ จำนวน 500 ใบ</t>
  </si>
  <si>
    <t>พบมีผ้าพับใหญ่ จำนวน 275 ใบ</t>
  </si>
  <si>
    <t>พบภาษาอังกฤษหายด้านหลัง ม้วนที่ 2/4=420ใบ 2/3=220ใบ และสีหายด้านหลัง50ใบ</t>
  </si>
  <si>
    <t>พบผ้าพับ 251ใบ และพิมพ์เสีย 100 ใบ</t>
  </si>
  <si>
    <t>พบพิมพ์เสีย 217 ใบ</t>
  </si>
  <si>
    <t>ภาษาอังกฤษหายด้านหลัง และสีหายด้านหลัง</t>
  </si>
  <si>
    <t>2,050   ,   1,360</t>
  </si>
  <si>
    <t>เบทาโกร403</t>
  </si>
  <si>
    <t>PD468022208</t>
  </si>
  <si>
    <t>PD468022209</t>
  </si>
  <si>
    <t>พบมีรอยเส้นเทป จำนวน 1,100 ใบ</t>
  </si>
  <si>
    <t>พบมีสีหายเยอะ 150 ใบ และสีหายน้อย 200 ใบ</t>
  </si>
  <si>
    <t>**สีหายเยอะแซมแปะละ2ใบ,สีหายน้อยผสม25/75**</t>
  </si>
  <si>
    <t xml:space="preserve">สีหายเยอะและสีหายน้อย </t>
  </si>
  <si>
    <t>สีหายเยอะแซมแปะละ2ใบ,สีหายน้อยผสม25/75</t>
  </si>
  <si>
    <t>แต้มแดง</t>
  </si>
  <si>
    <t>PD468022108</t>
  </si>
  <si>
    <t>PD468022405</t>
  </si>
  <si>
    <t>PD468022402</t>
  </si>
  <si>
    <t>พบเปื้อนสี จำนวน 820 ใบ</t>
  </si>
  <si>
    <t>พบเปื้อนสีแถบข้างด้านหลัง จำนวน 235 ใบ</t>
  </si>
  <si>
    <t>พบพิมพ์เสีย จำนวน 121 ใบ</t>
  </si>
  <si>
    <t>พบสีในจีบ2ข้างไม่เหมือนกัน จำนวน 460 ใบ</t>
  </si>
  <si>
    <t>พบพิมพ์เสีย จำนวน 205 ใบ</t>
  </si>
  <si>
    <t>พบสีตาย จำนวน 2,300 ใบ</t>
  </si>
  <si>
    <t xml:space="preserve">เปื้อนสีแถบข้างด้านหลัง </t>
  </si>
  <si>
    <t>สีในจีบ2ข้างไม่เหมือนกัน</t>
  </si>
  <si>
    <t>ซันฟีด 935แอล</t>
  </si>
  <si>
    <t>วายุภักษ์</t>
  </si>
  <si>
    <t>เฟิร์สคลาส902</t>
  </si>
  <si>
    <t>บริษัท ไบโอกรีนนิค</t>
  </si>
  <si>
    <t>FWBWT182869PL</t>
  </si>
  <si>
    <t>PD468022503</t>
  </si>
  <si>
    <t>PD468022414</t>
  </si>
  <si>
    <t>PD468022510</t>
  </si>
  <si>
    <t>PD468022506</t>
  </si>
  <si>
    <t>PD468022502</t>
  </si>
  <si>
    <t>พบผ้าเป็นรูโคโรน่า จำนวน 550 ใบ</t>
  </si>
  <si>
    <t>พบเปื้อนสี จำนวน 800 ใบ</t>
  </si>
  <si>
    <t>พบพิมพ์เสีย จำนวน 194 ใบ</t>
  </si>
  <si>
    <t>พบเปื้อนสีด้านหลังม้วนที่ 8/1=475ใบ 2/3=343ใบ</t>
  </si>
  <si>
    <t>พบเปื้อนสีด้านหน้า ม้วนที่ 2/2=900ใบ 2/3=1,900ใบ</t>
  </si>
  <si>
    <t>พบพิมพ์เสีย จำนวน 188 ใบ</t>
  </si>
  <si>
    <t>พบมีรอยเส้นเทป จำนวน 150 ใบ</t>
  </si>
  <si>
    <t>**ปรึกษาฝ่ายขายให้ผสม25/75มัดแยกเลทระบุปัญหาแจ้งขนส่ง**</t>
  </si>
  <si>
    <t>ผ้าเป็นรูโคโรน่า</t>
  </si>
  <si>
    <t>พบสีแดงลงไม่เต็ม จำนวน 260 ใบ</t>
  </si>
  <si>
    <t>เปื้อนสีด้านหลัง</t>
  </si>
  <si>
    <t>สีแดงลงไม่เต็ม</t>
  </si>
  <si>
    <t>ปรึกษาฝ่ายขายให้ผสม25/75มัดแยกเลทระบุปัญหาแจ้งขนส่ง</t>
  </si>
  <si>
    <t xml:space="preserve">เปื้อนสีด้านหน้า </t>
  </si>
  <si>
    <t>การ์เซียส์ฟิช 411M</t>
  </si>
  <si>
    <t>PD468022513</t>
  </si>
  <si>
    <t>PD468022514</t>
  </si>
  <si>
    <t>PD468022516</t>
  </si>
  <si>
    <t>PD468022515</t>
  </si>
  <si>
    <t>พบมีรอยเส้นเทป จำนวน 1,200 ใบ</t>
  </si>
  <si>
    <t>พบสีหายด้านหลัง จำนวน 300 ใบ</t>
  </si>
  <si>
    <t>พบเปื้อนสีจำนวน 1,500 ใบ และมีสีตาย จำนวน 300 ใบ</t>
  </si>
  <si>
    <t>พบสีหาย 880 ใบ และมีรอยเส้นเทป จำนวน 80 ใบ</t>
  </si>
  <si>
    <t>**เปื้อนสีส่งลบสี,สีตายผสม3/1**</t>
  </si>
  <si>
    <t>เปื้อนสี และมีสีตาย</t>
  </si>
  <si>
    <t xml:space="preserve">สีหาย และมีรอยเส้นเทป </t>
  </si>
  <si>
    <t>เปื้อนสีส่งลบสี,สีตายผสม3/1</t>
  </si>
  <si>
    <t>เบทาโกร405</t>
  </si>
  <si>
    <t>TRJ(อยุธยา)</t>
  </si>
  <si>
    <t>เบทาโกร402</t>
  </si>
  <si>
    <t>SW441 PLUS</t>
  </si>
  <si>
    <t>PD468022602</t>
  </si>
  <si>
    <t>PD468022508</t>
  </si>
  <si>
    <t>PD468022601</t>
  </si>
  <si>
    <t>PD468022603</t>
  </si>
  <si>
    <t>PD468022611</t>
  </si>
  <si>
    <t>PD468022609</t>
  </si>
  <si>
    <t>พบสีลงไม่เต็ม จำนวน 450 ใบ</t>
  </si>
  <si>
    <t>พบพิมพ์เสีย จำนวน 268 ใบ</t>
  </si>
  <si>
    <t>พบพิมพ์เสียม้วนที่ 4/4=105ใบ 4/8=133ใบ</t>
  </si>
  <si>
    <t>พบเปื้อนสีด้านข้าง จำนวน 200 ใบ</t>
  </si>
  <si>
    <t>พบพิมพ์เสีย จำนวน 105 ใบ</t>
  </si>
  <si>
    <t>พบม้วนนี้สีตัวหมูอ่อน จำนวน 900 ใบ</t>
  </si>
  <si>
    <t>พบมีรอยเส้นเทป จำนวน 1,300 ใบ</t>
  </si>
  <si>
    <t>พบพิมพ์เสีย 175 ใบ และเปื้อนสี 450 ใบ</t>
  </si>
  <si>
    <t>**ปรึกษาฝ่ายขายให้มัดแยกสีรวมเลท**</t>
  </si>
  <si>
    <t>**พิมพ์เสียลดเกรด,เปื้อนสีส่งลบสี**</t>
  </si>
  <si>
    <t>เปื้อนสีด้านข้าง</t>
  </si>
  <si>
    <t>สีตัวหมูอ่อน</t>
  </si>
  <si>
    <t>พิมพ์เสียและเปื้อนสี</t>
  </si>
  <si>
    <t>ปรึกษาฝ่ายขายให้มัดแยกสีรวมเลท</t>
  </si>
  <si>
    <t>พิมพ์เสียลดเกรด,เปื้อนสีส่งลบสี</t>
  </si>
  <si>
    <t xml:space="preserve">2,460   ,   2,483   </t>
  </si>
  <si>
    <t>SPM312</t>
  </si>
  <si>
    <t>PD468022608</t>
  </si>
  <si>
    <t>PD468022512</t>
  </si>
  <si>
    <t>PD468022613</t>
  </si>
  <si>
    <t>PD468022614</t>
  </si>
  <si>
    <t>พบตัวหนังสือหายด้านหลัง จำนวน 500 ใบ</t>
  </si>
  <si>
    <t>พบพิมพ์เสีย จำนวน 128 ใบ</t>
  </si>
  <si>
    <t>พบสีน้ำเงินลงไม่เต็ม 1,200 ใบ และ สีน้ำเงินลงไม่เต็ม+สีหายด้านหลัง 100 ใบ</t>
  </si>
  <si>
    <t>พบพิมพ์เสีย จำนวน 163 ใบ</t>
  </si>
  <si>
    <t>พบพิมพ์เสีย จำนวน 207 ใบ</t>
  </si>
  <si>
    <t>พบสีหาย 150 ใบ และ เปื้อนสี 150 ใบ</t>
  </si>
  <si>
    <t>**สีหายผสม25/75เปื้อนสีส่งลบสี**</t>
  </si>
  <si>
    <t>สีน้ำเงินลงไม่เต็มและสีหายด้านหลัง</t>
  </si>
  <si>
    <t>สีหาย และ เปื้อนสี</t>
  </si>
  <si>
    <t>สีหายผสม25/75เปื้อนสีส่งลบสี</t>
  </si>
  <si>
    <t>WB ฟาร์ม F992 30KG.LR</t>
  </si>
  <si>
    <t>เฟิร์สช้อย913</t>
  </si>
  <si>
    <t>สุบรรณ333</t>
  </si>
  <si>
    <t>PD468022706</t>
  </si>
  <si>
    <t>PD468022704</t>
  </si>
  <si>
    <t>PD468022712</t>
  </si>
  <si>
    <t>PD468022713</t>
  </si>
  <si>
    <t>พบตัวหนังสือไม่ชัด จำนวน 1,100 ใบ</t>
  </si>
  <si>
    <t>พบสีลงไม่เต็ม จำนวน 600 ใบ</t>
  </si>
  <si>
    <t>**สีหายน้อยผสม3/1แยกเลทแจ้งขนส่ง,สีหายเยอะแซมแปะละ1ใบ**</t>
  </si>
  <si>
    <t>พบสีหายน้อยแปะ1เป็น3-4ใบ 1,040 ใบ และ สีหายเยอะ 100 ใบ</t>
  </si>
  <si>
    <t>สีหายน้อย และ สีหายเยอะ</t>
  </si>
  <si>
    <t xml:space="preserve">ตัวหนังสือไม่ชัด </t>
  </si>
  <si>
    <t>สีหายน้อยผสม3/1แยกเลทแจ้งขนส่ง,สีหายเยอะแซมแปะละ1ใบ</t>
  </si>
  <si>
    <t>ไก่เนื้อ เบอร์2</t>
  </si>
  <si>
    <t>หีบเพลงฟ้า</t>
  </si>
  <si>
    <t>PD468022804</t>
  </si>
  <si>
    <t>PD468022802</t>
  </si>
  <si>
    <t>PD468022708</t>
  </si>
  <si>
    <t>PD468022813</t>
  </si>
  <si>
    <t>พบสีหายตรงคิวอาร์โค้ด จำนวน 600 ใบ</t>
  </si>
  <si>
    <t>พบเปื้อนสีเข้ม จำนวน 500 ใบ</t>
  </si>
  <si>
    <t>พบมีรอยเส้นเทปติดด้านหลัง จำนวน 400 ใบ</t>
  </si>
  <si>
    <t>พบ 2 ม้วนนี้เปื้อนสีด้านข้าง จำนวน 3,600 ใบ</t>
  </si>
  <si>
    <t>**ปรึกษาฝ่ายขายให้ผสม50/50ถ้าผสมไม่หมดมัดแยกเลท**</t>
  </si>
  <si>
    <t>สีหายตรงคิวอาร์โค้ด</t>
  </si>
  <si>
    <t xml:space="preserve">รอยเส้นเทปติดด้านหลัง </t>
  </si>
  <si>
    <t>ปรึกษาฝ่ายขายให้ผสม50/50ถ้าผสมไม่หมดมัดแยกเลท</t>
  </si>
  <si>
    <t>ไดแคลเซียม</t>
  </si>
  <si>
    <t>ซันฟีด 952A</t>
  </si>
  <si>
    <t>ซันฟีด 932</t>
  </si>
  <si>
    <t>บริษัท พี.เอส.อินเตอร์เวท จำกัด</t>
  </si>
  <si>
    <t>PD468030105</t>
  </si>
  <si>
    <t>PD468030111</t>
  </si>
  <si>
    <t>PD468030107</t>
  </si>
  <si>
    <t>พบเป็นรูโคโรน่าเป็นกระจายทั้งด้านหน้าและด้านหลังจำนวน 270ใบ</t>
  </si>
  <si>
    <t>พบเป็นรูโคโรน่า จำนวน 358 ใบ</t>
  </si>
  <si>
    <t>2ม้วนนี้พบสีหายด้านหน้า จำนวน 2,500 ใบ</t>
  </si>
  <si>
    <t>**ปรึกษาฝ่ายขายไม่เอา**</t>
  </si>
  <si>
    <t>**ปรึกษาฝ่ายขายให้ผสมถ้าผสมไม่พอให้มัด**</t>
  </si>
  <si>
    <t>รูโคโรน่าเป็นกระจายทั้งด้านหน้าและด้านหลัง</t>
  </si>
  <si>
    <t>*คัดแยกออก**</t>
  </si>
  <si>
    <t xml:space="preserve">รูโคโรน่า </t>
  </si>
  <si>
    <t>ปรึกษาฝ่ายขายไม่เอา</t>
  </si>
  <si>
    <t>ปรึกษาฝ่ายขายให้ผสมถ้าผสมไม่พอให้มัด</t>
  </si>
  <si>
    <t>1,380   ,   1,680</t>
  </si>
  <si>
    <t>FISH MEAL MARIN TRUST</t>
  </si>
  <si>
    <t>PD468030410</t>
  </si>
  <si>
    <t>PD4680030410</t>
  </si>
  <si>
    <t>PD468030404</t>
  </si>
  <si>
    <t>PD468030409</t>
  </si>
  <si>
    <t>พบพิมพ์เสียม้วนที่4/1=100ใบ 4/2=126ใบ</t>
  </si>
  <si>
    <t>พบผ้าพับใหญ่ จำนวน 162 ใบ</t>
  </si>
  <si>
    <t>พบพิมพ์เสียม้วนที่ 3/1=154ใบ 3/2=174ใบ</t>
  </si>
  <si>
    <t>พบเปื้อนสีด้านหน้าและด้านหลังม้วนที่ 2/1=1,375ใบ 2/4=1,200ใบ 2/6=650ใบ</t>
  </si>
  <si>
    <t>1,935   ,   1,900</t>
  </si>
  <si>
    <t>แต้มฟ้า</t>
  </si>
  <si>
    <t>SPEED PLUS333 ลาว</t>
  </si>
  <si>
    <t>ไอฟีดเป็ดเนื้อเบอร์2</t>
  </si>
  <si>
    <t>เฟิร์สช้อย911</t>
  </si>
  <si>
    <t>PD468030505</t>
  </si>
  <si>
    <t>PD468030411</t>
  </si>
  <si>
    <t>PD468030501</t>
  </si>
  <si>
    <t>PD468030405</t>
  </si>
  <si>
    <t>พบเปื้อนสี จำนวน 375 ใบ</t>
  </si>
  <si>
    <t>พบสีหาย เป็นรอยพยาธิ รอยฟ้าผ่า สี2ข้างเข้มอ่อนไม่เหมือนกัน จำนวน 700 ใบ</t>
  </si>
  <si>
    <t>พบสีหายตรงไม้โท 350 ใบ และเปื้อนสี 500 ใบ</t>
  </si>
  <si>
    <t>พบพิมพ์เสีย 187 ใบ และผ้าพับใหญ่ 61 ใบ</t>
  </si>
  <si>
    <t>พบเปื้อนสีด้านหน้า 160 ใบ และพิมพ์เสีย 200 ใบ</t>
  </si>
  <si>
    <t>พบสีน้ำเงินเข้มกว่าเฉด จำนวน 280 ใบ</t>
  </si>
  <si>
    <t>พบตัวหนังสือภาษาอังกฤษหายด้านหลัง จำนวน 600 ใบ</t>
  </si>
  <si>
    <t>**พิมพ์เสียลดเกรด ผ้าพับใหญ่คัดแยกออก**</t>
  </si>
  <si>
    <t>**พิมพ์เสียลดเกรด เปื้อนสีส่งลบสี**</t>
  </si>
  <si>
    <t>**ปรึกษาฝ่ายขายให้ลบสีแล้วมัดแยกเลทแจ้งขนส่ง(เสี่ยงส่ง)**</t>
  </si>
  <si>
    <t>สีหาย เป็นรอยพยาธิ รอยฟ้าผ่า สี2ข้างเข้มอ่อนไม่เหมือนกัน</t>
  </si>
  <si>
    <t xml:space="preserve">สีหายตรงไม้โท </t>
  </si>
  <si>
    <t>พิมพ์เสียและผ้าพับใหญ่</t>
  </si>
  <si>
    <t>เปื้อนสีด้านหน้าและพิมพ์เสีย</t>
  </si>
  <si>
    <t>ตัวหนังสือภาษาอังกฤษหายด้านหลัง</t>
  </si>
  <si>
    <t>สีน้ำเงินเข้มกว่าเฉด</t>
  </si>
  <si>
    <t>พิมพ์เสียลดเกรด ผ้าพับใหญ่คัดแยกออก</t>
  </si>
  <si>
    <t>พิมพ์เสียลดเกรด เปื้อนสีส่งลบสี</t>
  </si>
  <si>
    <t>ปรึกษาฝ่ายขายให้ลบสีแล้วมัดแยกเลทแจ้งขนส่ง(เสี่ยงส่ง)</t>
  </si>
  <si>
    <t>พบพิมพ์เสีย จำนวน 183 ใบ</t>
  </si>
  <si>
    <t>กองเมล็ดพันธุ์ข้าว</t>
  </si>
  <si>
    <t>ซันฟีด เป็ด</t>
  </si>
  <si>
    <t>กองเมล็ดพันธุ์ข้าว กรมการข้าว</t>
  </si>
  <si>
    <t>FWBWT2234115PL</t>
  </si>
  <si>
    <t>PD468030513</t>
  </si>
  <si>
    <t>PD468030502</t>
  </si>
  <si>
    <t>PD468030515</t>
  </si>
  <si>
    <t>ตัวอย่างม้วนที่1 พบสีหายตรงคิวอาร์โค้ด+สีหายตรงแถบสีส้มบางใบ 200 ใบ และสีหายตรงคิวอาร์โค้ด+ผ้าเป็นลายอัด 200 ใบ</t>
  </si>
  <si>
    <t>พบพิมพ์เสีย จำนวน 256 ใบ</t>
  </si>
  <si>
    <t>พบสีเข้ม จำนวน 300 ใบ</t>
  </si>
  <si>
    <t>ตัวอย่างม้วนที่2 พบผ้าเป็นลายอัด 125ใบ และสีหาย 25ใบ</t>
  </si>
  <si>
    <t>**ปรึกษาฝ่ายขายให้ผสม25/75กับม้วนอื่น**</t>
  </si>
  <si>
    <t>**ผสม3/1ติดป้ายแยกเลทแจ้งขนส่ง**</t>
  </si>
  <si>
    <t>**มัด100แยกไป**</t>
  </si>
  <si>
    <t>**ผสม25/75กับม้วนอื่น**</t>
  </si>
  <si>
    <t>สีหายตรงคิวอาร์โค้ด สีหายตรงแถบสีส้ม ผ้าเป็นลายอัด</t>
  </si>
  <si>
    <t>อยเส้นเทปติดด้านหลัง</t>
  </si>
  <si>
    <t xml:space="preserve">ผ้าเป็นลายอัด  และสีหาย </t>
  </si>
  <si>
    <t>ปรึกษาฝ่ายขายให้ผสม25/75กับม้วนอื่น</t>
  </si>
  <si>
    <t>ผสม25/75กับม้วนอื่น</t>
  </si>
  <si>
    <t>ผสม3/1ติดป้ายแยกเลทแจ้งขนส่ง</t>
  </si>
  <si>
    <t>มัด100แยกไป</t>
  </si>
  <si>
    <t>PD468030602</t>
  </si>
  <si>
    <t>PD468030607</t>
  </si>
  <si>
    <t>PD468030601</t>
  </si>
  <si>
    <t>พบสีหายด้านหน้า จำนวน 200 ใบ</t>
  </si>
  <si>
    <t>พบเปื้อนสี ม้วนที่ 8/3=117ใบ 8/4=225ใบ 8/5=126ใบ</t>
  </si>
  <si>
    <t>พบเปื้อนสีเข้มม้วนที่ 8/4=2,375ใบ 8/5=725ใบ</t>
  </si>
  <si>
    <t xml:space="preserve">สีหายด้านหน้า </t>
  </si>
  <si>
    <t>เปื้อนสีเข้ม</t>
  </si>
  <si>
    <t>3,080   ,   2,315</t>
  </si>
  <si>
    <t>JET 405 โปรตีน18%</t>
  </si>
  <si>
    <t>WB ฟาร์ม F914M 30KG.NM</t>
  </si>
  <si>
    <t>PD468030512</t>
  </si>
  <si>
    <t>PD468030701</t>
  </si>
  <si>
    <t>PD468030707</t>
  </si>
  <si>
    <t>พบสีหายแปะพบ7-15ใบ จำนวน 1,000 ใบ</t>
  </si>
  <si>
    <t>พบเปื้อนสีด้านหลังม้วนที่ 1/1=75ใบ 1/2=150 ใบ</t>
  </si>
  <si>
    <t>พบพิมพ์เสีย 194ใบ และ รูโคโรน่า 75ใบ</t>
  </si>
  <si>
    <t>พบพิมพ์เสีย จำนวน 155 ใบ</t>
  </si>
  <si>
    <t>พิมพ์เสีย และ รูโคโรน่า</t>
  </si>
  <si>
    <t>พบสีหายแปะพบ 7-15 ใบ จำนวน 1,000 ใบ</t>
  </si>
  <si>
    <t>พบเปื้อนสีด้านหลังม้วนที่ 1/1=75ใบ 1/2=150ใบ</t>
  </si>
  <si>
    <t>พบพิมพ์เสีย 194 ใบ และ รูโคโรน่า 75 ใบ</t>
  </si>
  <si>
    <t>พิมพ์เสีย  และ รูโคโรน่า</t>
  </si>
  <si>
    <t>ซันฟีด981</t>
  </si>
  <si>
    <t>ซันฟีด953</t>
  </si>
  <si>
    <t>เบส-มิน</t>
  </si>
  <si>
    <t>บริษัท เอ.เจ. ฟาร์ม่าแล็บ</t>
  </si>
  <si>
    <t>FWBWT203495PL</t>
  </si>
  <si>
    <t>PD468030805</t>
  </si>
  <si>
    <t>PD468030806</t>
  </si>
  <si>
    <t>PD468030811</t>
  </si>
  <si>
    <t>PD468030802</t>
  </si>
  <si>
    <t>พบรอยเส้นเทปด้านข้าง จำนวน 175 ใบ</t>
  </si>
  <si>
    <t>พบเปื้อนสีด้านหลังจางๆ 500 ใบ</t>
  </si>
  <si>
    <t>พบตัวหนังสือด้านหลังไม่ค่อยชัดลักษณะดังภาพแปะ 1 เป็น 4-5 ใบ จำนวน 700 ใบ</t>
  </si>
  <si>
    <t>พบผ้าเป็นลายอัดเยอะม้วนที่ 3/1=100ใบ 3/2=100ใบ</t>
  </si>
  <si>
    <t>พบเปื้อนสีด้านหน้าและด้านหลังม้วนที่ 2/1=600ใบ 2/3=150ใบ 2/4=350ใบ</t>
  </si>
  <si>
    <t>รอยเส้นเทปด้านข้าง</t>
  </si>
  <si>
    <t xml:space="preserve">เปื้อนสีด้านหลังจางๆ </t>
  </si>
  <si>
    <t>ตัวหนังสือด้านหลังไม่ค่อยชัด</t>
  </si>
  <si>
    <t>ผ้าเป็นลายอัดเยอะ</t>
  </si>
  <si>
    <t>ฟีล กู๊ด พี2</t>
  </si>
  <si>
    <t>วีโว่200</t>
  </si>
  <si>
    <t>บริษัท  แอมโก้เวท จำกัด</t>
  </si>
  <si>
    <t>PD468031014</t>
  </si>
  <si>
    <t>PD468030812</t>
  </si>
  <si>
    <t>PD468030808</t>
  </si>
  <si>
    <t>PD468031016</t>
  </si>
  <si>
    <t>พบรอยฟ้าผ่าด้านหน้าและด้านหลัง จำนวน 200 ใบ</t>
  </si>
  <si>
    <t>พบสีหายด้านข้าง จำนวน 400 ใบ</t>
  </si>
  <si>
    <t>พบเป็นรอยพยาธิด้านข้าง1แปะพบ 5-10 ใบ จำนวน 500 ใบ</t>
  </si>
  <si>
    <t>พบพิมพ์เสีย จำนวน 134 ใบ</t>
  </si>
  <si>
    <t>พบพิมพ์เสีย 137 ใบ และ เปื้อนสี 225 ใบ</t>
  </si>
  <si>
    <t>**ปรึกษาฝ่ายขายรับได้**</t>
  </si>
  <si>
    <t>**พิมพ์เสียลดเกรดเปื้อนสีส่งลบสี**</t>
  </si>
  <si>
    <t>รอยฟ้าผ่าด้านหน้าและด้านหลัง</t>
  </si>
  <si>
    <t>พิมพ์เสีย  และ เปื้อนสี</t>
  </si>
  <si>
    <t>ปรึกษาฝ่ายขายรับได้</t>
  </si>
  <si>
    <t>พิมพ์เสียลดเกรดเปื้อนสีส่งลบสี</t>
  </si>
  <si>
    <t>แดนโกรว20(เขียวเข้ม)</t>
  </si>
  <si>
    <t>แปดแต้มแดง</t>
  </si>
  <si>
    <t>PD468031018</t>
  </si>
  <si>
    <t>PD468031104</t>
  </si>
  <si>
    <t>PD468031111</t>
  </si>
  <si>
    <t>PD468031106</t>
  </si>
  <si>
    <t>พบตัวหนังสือหายด้านหลัง จำนวน 375 ใบ</t>
  </si>
  <si>
    <t>พบพิมพ์เสีย ม้วนที่ 4/1=425ใบ 4/2=187ใบ 4/4=100ใบ</t>
  </si>
  <si>
    <t>พบมีรอยตะขาบด้านหลัง จำนวน 1,850 ใบ</t>
  </si>
  <si>
    <t>พบเปื้อนสีจำนวน 500 ใบ</t>
  </si>
  <si>
    <t>**ผสม25/75แยกเลทติดป้ายระบุปัญหาแจ้งขนส่ง**</t>
  </si>
  <si>
    <t>รอยตะขาบด้านหลัง</t>
  </si>
  <si>
    <t>ผสม25/75แยกเลทติดป้ายระบุปัญหาแจ้งขนส่ง</t>
  </si>
  <si>
    <t>1,170   ,   2,460   ,   2,615</t>
  </si>
  <si>
    <t>A.C.C.ภาษาอังกฤษ 8-118</t>
  </si>
  <si>
    <t>ไอฟีดไก่ไข่เบอร์5เอ็ม</t>
  </si>
  <si>
    <t>แปดแต้มแดง25กก.</t>
  </si>
  <si>
    <t>บริษัท เอเชี่ยนเคมิคัล จำกัด</t>
  </si>
  <si>
    <t>FWBWT192670PLM</t>
  </si>
  <si>
    <t>PD468031110</t>
  </si>
  <si>
    <t>PD468031201</t>
  </si>
  <si>
    <t>PD468031212</t>
  </si>
  <si>
    <t>PD468031207</t>
  </si>
  <si>
    <t>PD468031208</t>
  </si>
  <si>
    <t>พบเปื้อนสีด้านหน้าและด้านหลัง 575 ใบ และมีเปื้อนสีงานตัดกลางคืน 800 ใบ</t>
  </si>
  <si>
    <t>พบผ้าพับลักษณะดังภาพแปะ1เป็น 10-15 ใบ จำนวน 1,200 ใบ</t>
  </si>
  <si>
    <t>พบพิมพ์เสีย จำนวน 125 ใบ</t>
  </si>
  <si>
    <t>พบม้วนที่ 4/6 พิมพ์เสีย 200 ใบ ม้วนที่ 4/8 ผ้าพับใหญ่โดนโลโก้ 124 ใบ</t>
  </si>
  <si>
    <t>พบเปื้อนสีดำ จำนวน 120 ใบ</t>
  </si>
  <si>
    <t>ผ้าพับใหญ่พับตัวหนังสือหาย จำนวน 300 ใบ</t>
  </si>
  <si>
    <t>พบสีหายแปะพบ 3-7 ใบ จำนวน 400 ใบ และมีรอยเส้นเทป 800 ใบ</t>
  </si>
  <si>
    <t>พบมีรอยเส้นเทปติด จำนวน 500 ใบ</t>
  </si>
  <si>
    <t>**ปรึกษาฝ่ายขายถ้าเปื้อนเข้มให้ส่งลบสี**</t>
  </si>
  <si>
    <t>**พิมพ์เสียลดเกรด ผ้าพับคัดออก**</t>
  </si>
  <si>
    <t>ผ้าพับ</t>
  </si>
  <si>
    <t xml:space="preserve">พิมพ์เสีย และ ผ้าพับใหญ่โดนโลโก้ </t>
  </si>
  <si>
    <t>เปื้อนสีดำ</t>
  </si>
  <si>
    <t>ผ้าพับใหญ่พับตัวหนังสือหาย</t>
  </si>
  <si>
    <t xml:space="preserve">สีหายและมีรอยเส้นเทป </t>
  </si>
  <si>
    <t>ปรึกษาฝ่ายขายถ้าเปื้อนเข้มให้ส่งลบสี</t>
  </si>
  <si>
    <t>พิมพ์เสียลดเกรด ผ้าพับคัดออก</t>
  </si>
  <si>
    <t>1,875   ,   2,442</t>
  </si>
  <si>
    <t>ขุนศึกเบอร์2</t>
  </si>
  <si>
    <t>ยู-ฟีด บี2</t>
  </si>
  <si>
    <t>หนุมาน PSCS</t>
  </si>
  <si>
    <t>วีฟีด วี18</t>
  </si>
  <si>
    <t>บริษัท พี.เอส.ซี.สตาร์ช โปรดักส์(มหาชน)</t>
  </si>
  <si>
    <t>FWBWT2640100P</t>
  </si>
  <si>
    <t>PD468031306</t>
  </si>
  <si>
    <t>PD468031307</t>
  </si>
  <si>
    <t>PD468031301</t>
  </si>
  <si>
    <t>PD468031308</t>
  </si>
  <si>
    <t>PD468031312</t>
  </si>
  <si>
    <t>พบเปื้อนสี จำนวน 425 ใบ</t>
  </si>
  <si>
    <t>พบเปื้อนสีด้านหน้าและด้านหลัง จำนวน 450 ใบ</t>
  </si>
  <si>
    <t>พบพิมพ์เสีย จำนวน 152 ใบ</t>
  </si>
  <si>
    <t>พบพิมพ์เสีย ม้วนที่ 3/1=254ใบ 3/2=125ใบ</t>
  </si>
  <si>
    <t>พบเปื้อนสีด้านหน้า ม้วนที่ 3/3=500ใบ 3/2=475ใบ(พิมพ์เสีย150ใบ) 3/1=พิมพ์เสีย100ใบ 3/4=300ใบ</t>
  </si>
  <si>
    <t>พบสีหายแปะพบ 8-15 ใบ จำนวน 300 ใบ</t>
  </si>
  <si>
    <t>พบพิมพ์เสีย จำนวน 203 ใบ และ เปื้อนสี 700 ใบ</t>
  </si>
  <si>
    <t>**ลบสี,ลดเกรด**</t>
  </si>
  <si>
    <t>พบเปื้อนสีด้านหน้าม้วนที่ 2/5=165ใบ 2/1=250ใบ(พิมพ์เสีย160ใบ)</t>
  </si>
  <si>
    <t xml:space="preserve">พิมพ์เสีย  และ เปื้อนสี </t>
  </si>
  <si>
    <t>ลบสี,ลดเกรด</t>
  </si>
  <si>
    <t>PD468031313</t>
  </si>
  <si>
    <t>บะหมี่เตี๊ยว</t>
  </si>
  <si>
    <t>PD468031304</t>
  </si>
  <si>
    <t>PD468031402</t>
  </si>
  <si>
    <t>PD468031405</t>
  </si>
  <si>
    <t>พบพิมพ์เสีย 129 ใบและรูโคโรน่าเยอะและใหญ่ 150 ใบ</t>
  </si>
  <si>
    <t>พบมีผ้าพับใหญ่ 260 ใบ และผ้าพับเล็กผสมกันมา</t>
  </si>
  <si>
    <t>พบพิมพ์เสีย จำนวน 360 ใบ</t>
  </si>
  <si>
    <t>พบสีหายแปะพบ 3-8 ใบ จำนวน 400 ใบ</t>
  </si>
  <si>
    <t>**รูโคโรน่าเยอะไม่เอาพิมพ์เสียลดเกรด**</t>
  </si>
  <si>
    <t>**ปรึกษาฝ่ายขายผ้าพับเล็กให้แซม พับใหญ่คัดแยกออก**</t>
  </si>
  <si>
    <t>พิมพ์เสีย และรูโคโรน่าเยอะและใหญ่</t>
  </si>
  <si>
    <t>ผ้าพับใหญ่  และผ้าพับเล็กผสมกันมา</t>
  </si>
  <si>
    <t>รูโคโรน่าเยอะไม่เอาพิมพ์เสียลดเกรด</t>
  </si>
  <si>
    <t>ปรึกษาฝ่ายขายผ้าพับเล็กให้แซม พับใหญ่คัดแยกออก</t>
  </si>
  <si>
    <t>วี-ฟีด วี02</t>
  </si>
  <si>
    <t>พร้อมชน25กก.(เขียว)</t>
  </si>
  <si>
    <t>แดนโกรว50(เหลือง)</t>
  </si>
  <si>
    <t>คุณปราสาท เจริญธรรมรักษา</t>
  </si>
  <si>
    <t>PD468031501</t>
  </si>
  <si>
    <t>PD468031505</t>
  </si>
  <si>
    <t>PD468031509</t>
  </si>
  <si>
    <t>PD468031709</t>
  </si>
  <si>
    <t>PD468031701</t>
  </si>
  <si>
    <t>พบพิมพ์เสีย 180 ใบ และ รูโคโรน่า 145 ใบ</t>
  </si>
  <si>
    <t>พบพิมพ์เสีย จำนวน 126 ใบ</t>
  </si>
  <si>
    <t>พบมีรอยเส้นเทป จำนวน 500 ใบ</t>
  </si>
  <si>
    <t>พบผ้าพับใหญ่ จำนวน 200 ใบ</t>
  </si>
  <si>
    <t>พบตัวหนังสือหายด้านหลัง จำนวน 1,000 ใบ</t>
  </si>
  <si>
    <t>พบพิมพ์เสีย 200 ใบ และ บล็อคเลื่อน 175 ใบ</t>
  </si>
  <si>
    <t>พบสีลงไม่เต็ม 980 ใบ</t>
  </si>
  <si>
    <t>พิมพ์เสีย และ บล็อคเลื่อน</t>
  </si>
  <si>
    <t>Master Chef</t>
  </si>
  <si>
    <t>ปลาวาฬยิ้ม</t>
  </si>
  <si>
    <t>บริษัท ทีพีเค แอ็บโซลูท สตาร์ช จำกัด</t>
  </si>
  <si>
    <t>คุณฐนวรรศณ์ ภัทรนนทสกุล</t>
  </si>
  <si>
    <t>FWBWT2643140PL</t>
  </si>
  <si>
    <t>FWBWT203080PL</t>
  </si>
  <si>
    <t>PD468031806</t>
  </si>
  <si>
    <t>PD468031503</t>
  </si>
  <si>
    <t>PD468031807</t>
  </si>
  <si>
    <t>PD468031812</t>
  </si>
  <si>
    <t>PD468031801</t>
  </si>
  <si>
    <t>พบสีตายตรงรูปเชฟด้านหน้า จำนวน 200 ใบ</t>
  </si>
  <si>
    <t>พบพิมพ์เสีย จำนวน 383 ใบ</t>
  </si>
  <si>
    <t>พบสีตายด้านหลัง จำนวน 450 ใบ</t>
  </si>
  <si>
    <t>พบมีรอยเส้นเทปติด จำนวน 400 ใบ</t>
  </si>
  <si>
    <t>พบผ้าพับใหญ่ จำนวน 150 ใบ</t>
  </si>
  <si>
    <t>พบเปื้อนสีด้านหน้าและด้านหลังและมีสีตายด้านหลัง จำนวน 1,275 ใบ</t>
  </si>
  <si>
    <t>**ปรีกษาฝ่ายขายให้ผสม25/75ถ้ารอบนี้ผสมไม่หมดให้ผสมรอบหน้าและมัดแยกเลทแจ้งขนส่ง**</t>
  </si>
  <si>
    <t>สีตายตรงรูปเชฟด้านหน้า</t>
  </si>
  <si>
    <t>สีตายด้านหลัง</t>
  </si>
  <si>
    <t>รอยเส้นเทปติด</t>
  </si>
  <si>
    <t>เปื้อนสีด้านหน้าและด้านหลังและมีสีตายด้านหลัง</t>
  </si>
  <si>
    <t>ปรีกษาฝ่ายขายให้ผสม25/75ถ้ารอบนี้ผสมไม่หมดให้ผสมรอบหน้าและมัดแยกเลทแจ้งขนส่ง</t>
  </si>
  <si>
    <t>SPEED PLUS222 ลาว</t>
  </si>
  <si>
    <t>SPEED PLUS888 ENG</t>
  </si>
  <si>
    <t>SPEED PLUS111 ลาว</t>
  </si>
  <si>
    <t>SPM914</t>
  </si>
  <si>
    <t>PD468031905</t>
  </si>
  <si>
    <t>PD468031913</t>
  </si>
  <si>
    <t>PD468031909</t>
  </si>
  <si>
    <t>PD468031904</t>
  </si>
  <si>
    <t>PD468031912</t>
  </si>
  <si>
    <t>พบสีตายตรงตัวหนังสือและโลโก้ด้านล่าง จำนวน 200 ใบ</t>
  </si>
  <si>
    <t>พบสีหายตรงแถบข้างด้านหลัง จำนวน 575 ใบ</t>
  </si>
  <si>
    <t>พบมีผ้าเป็นรอยฟ้าผ่า จำนวน 450 ใบ</t>
  </si>
  <si>
    <t>พบเปื้อนสีเข้มม้วนที่ 2/1=125ใบ 2/2=575ใบ 2/3=404ใบ 2/6=75ใบ</t>
  </si>
  <si>
    <t>พบพิมพ์เสียม้วนที่ 3/1=300ใบ 3/2=274ใบ</t>
  </si>
  <si>
    <t>พบสีด้านหน้า-หลังไม่เหมือนกันและมีสีลงไม่เต็มเป็นน้อย1,000ใบ สีลงไม่เต็มเป็นเยอะ200ใบ และสีหายตรงถ้วยรางวัล100ใบ</t>
  </si>
  <si>
    <t>**สีด้านหน้า-หลังไม่เหมือนกันและมีสีลงไม่เต็มเป็นน้อยมัด100 สีลงไม่เต็มเป็นเยอะผมส25/75 และสีหายตรงถ้วยรางวัลผสม25/75**</t>
  </si>
  <si>
    <t>สีตายตรงตัวหนังสือและโลโก้ด้านล่าง</t>
  </si>
  <si>
    <t>สีหายตรงแถบข้างด้านหลัง</t>
  </si>
  <si>
    <t xml:space="preserve">ผ้าเป็นรอยฟ้าผ่า </t>
  </si>
  <si>
    <t>สีด้านหน้า-หลังไม่เหมือนกันและมีสีลงไม่เต็มเป็นน้อย สีลงไม่เต็มเป็นเยอะ และสีหายตรงถ้วยรางวัล</t>
  </si>
  <si>
    <t>สีด้านหน้า-หลังไม่เหมือนกันและมีสีลงไม่เต็มเป็นน้อยมัด100 สีลงไม่เต็มเป็นเยอะผมส25/75 และสีหายตรงถ้วยรางวัลผสม25/75</t>
  </si>
  <si>
    <t>440   ,   1,915</t>
  </si>
  <si>
    <t>SPM212</t>
  </si>
  <si>
    <t>PD468031921</t>
  </si>
  <si>
    <t>PD468031903</t>
  </si>
  <si>
    <t>PD468032008</t>
  </si>
  <si>
    <t>PD468032003</t>
  </si>
  <si>
    <t>PD468032010</t>
  </si>
  <si>
    <t>พบมีรอยเส้นเทป จำนวน 1,700 ใบ</t>
  </si>
  <si>
    <t>พบพิมพ์เสีย จำนวน 348 ใบ</t>
  </si>
  <si>
    <t>พบสีลงไม่เต็ม สีเข้ม-อ่อนไม่เสมอกัน สีหายด้านหลัง จำนวน 550 ใบ</t>
  </si>
  <si>
    <t>พบพิมพ์เสีย จำนวน 340 ใบ</t>
  </si>
  <si>
    <t>พบพิมพ์เสีย275ใบ และสีลงไม่เต็มสีหายตรงหางไก่บางใบเปื้อนสีด้านหน้า250ใบ</t>
  </si>
  <si>
    <t>พบสีหายด้านหลังแปะ 1 เป็น5-7ใบ จำนวน 350 ใบ</t>
  </si>
  <si>
    <t>**พิมพ์เสียลดเกรด เปื้อนสีส่งลบสีแล้วมัด**</t>
  </si>
  <si>
    <t xml:space="preserve">สีลงไม่เต็ม สีเข้ม-อ่อนไม่เสมอกัน สีหายด้านหลัง </t>
  </si>
  <si>
    <t>พิมพ์เสีย และสีลงไม่เต็มสีหายตรงหางไก่บางใบเปื้อนสีด้านหน้า</t>
  </si>
  <si>
    <t>หายด้านหลัง</t>
  </si>
  <si>
    <t>พบเป็นรอยตะขาบด้านหลังเป็นมาจากในม้วน จำนวน 1,700 ใบ</t>
  </si>
  <si>
    <t>1,680   ,   1,920</t>
  </si>
  <si>
    <t>เพอเฟคค์000</t>
  </si>
  <si>
    <t>แป้งสาลีพรีเมียม</t>
  </si>
  <si>
    <t>เพอเฟคค์911</t>
  </si>
  <si>
    <t>บริษัท เอ็กซ์เซลเล้นท์ ไอโอเนียร์ จำกัด</t>
  </si>
  <si>
    <t>PD468032109</t>
  </si>
  <si>
    <t>PD468032106</t>
  </si>
  <si>
    <t>PD468032111</t>
  </si>
  <si>
    <t>PD468032107</t>
  </si>
  <si>
    <t>PD468032014</t>
  </si>
  <si>
    <t>พบพิมพ์เสีย จำนวน 122 ใบ</t>
  </si>
  <si>
    <t>พบเปื้อนสีน้อย 1,175 ใบ และ เปื้อนสีเข้ม 1,225 ใบ</t>
  </si>
  <si>
    <t>พบพิมพ์เสีย จำนวน 129 ใบ</t>
  </si>
  <si>
    <t>พบสีหายตรงเครื่องหมายฮาลาลมีทั้งเล็กและใหญ่แปะ 1 เป็นเกือบทุกใบ จำนวน 150 ใบ</t>
  </si>
  <si>
    <t>เปื้อนสีน้อย และ เปื้อนสีเข้ม</t>
  </si>
  <si>
    <t>สีหายตรงเครื่องหมายฮาลาลมีทั้งเล็กและใหญ่</t>
  </si>
  <si>
    <t>ราชาหมอนทอง</t>
  </si>
  <si>
    <t>บลูทีมเหลือง</t>
  </si>
  <si>
    <t>ร้าน สิริอำนวนการเกษตร</t>
  </si>
  <si>
    <t>FWBWT2334105PL</t>
  </si>
  <si>
    <t>PD468032211</t>
  </si>
  <si>
    <t>PD468032206</t>
  </si>
  <si>
    <t>PD468032208</t>
  </si>
  <si>
    <t>PD468032214</t>
  </si>
  <si>
    <t>พบเปื้อนสีด้านข้าง จำนวน 800 ใบ</t>
  </si>
  <si>
    <t>พบสีแดงด้านข้างอ่อน จำนวน 1,250 ใบ</t>
  </si>
  <si>
    <t xml:space="preserve">สีแดงด้านข้างอ่อน </t>
  </si>
  <si>
    <t>มังกรเหลืองMTS</t>
  </si>
  <si>
    <t>WB เบทาโกร106 30KG.LP</t>
  </si>
  <si>
    <t>PD468032406</t>
  </si>
  <si>
    <t>PD468032407</t>
  </si>
  <si>
    <t>พบสีหายตรงเครื่องหมายฮาลาลแปะ1เป็น4-6ใบ จำนวน 600 ใบ</t>
  </si>
  <si>
    <t>พบสีหายหยดเปื้อน+สีลงไม่เต็ม 100 ใบ และสีลงไม่เต็ม 200 ใบ</t>
  </si>
  <si>
    <t>พบสีหายด้านหลังแปะ1เป็น6-7ใบ จำนวน 350 ใบ</t>
  </si>
  <si>
    <t>พบรอยตะขาบด้านหลัง จำนวน 1,200 ใบ</t>
  </si>
  <si>
    <t>พบพิมพ์เสีย จำนวน 165 ใบ</t>
  </si>
  <si>
    <t>พบสีหายแปะ1เป็น4-6ใบ จำนวน 625 ใบ</t>
  </si>
  <si>
    <t>พบเปื้อนสีด้านหน้าและด้านหลัง จำนวน 201 ใบ</t>
  </si>
  <si>
    <t>พบพิมพ์เสีย จำนวน 310 ใบ</t>
  </si>
  <si>
    <t>**ปรึกษาฝ่ายขายให้ผสม3/1**</t>
  </si>
  <si>
    <t>**ปรึกษาฝ่ายขายให้แบ่งผสม2รอบ**</t>
  </si>
  <si>
    <t>สีหายตรงเครื่องหมายฮาลาล</t>
  </si>
  <si>
    <t>สีหายหยดเปื้อน+สีลงไม่เต็ม</t>
  </si>
  <si>
    <t>ปรึกษาฝ่ายขายให้ผสม3/1</t>
  </si>
  <si>
    <t>ปรึกษาฝ่ายขายให้แบ่งผสม2รอบ</t>
  </si>
  <si>
    <t>WB ฟาร์ม F993 30KG.LR</t>
  </si>
  <si>
    <t>PD468032401</t>
  </si>
  <si>
    <t>PD468032503</t>
  </si>
  <si>
    <t>PD468032505</t>
  </si>
  <si>
    <t>พบสีหายตรงเครื่องหมายฮาลาล จำนวน 300 ใบ</t>
  </si>
  <si>
    <t>พบเปื้อนสีด้านข้างและด้านหลัง จำนวน 125 ใบ</t>
  </si>
  <si>
    <t xml:space="preserve">สีหายตรงเครื่องหมายฮาลาล </t>
  </si>
  <si>
    <t>เปื้อนสีด้านข้างและด้านหลัง</t>
  </si>
  <si>
    <t>มาซูฟีดบี0434</t>
  </si>
  <si>
    <t>มาสเตอร์5524</t>
  </si>
  <si>
    <t>เพอเฟคค์913</t>
  </si>
  <si>
    <t>PD468032601</t>
  </si>
  <si>
    <t>PD468032507</t>
  </si>
  <si>
    <t>PD468032408</t>
  </si>
  <si>
    <t>PD468032501</t>
  </si>
  <si>
    <t>PD468032603</t>
  </si>
  <si>
    <t>PD468032609</t>
  </si>
  <si>
    <t>PD468032612</t>
  </si>
  <si>
    <t>พบเปื้อนสี จำนวน 400 ใบ</t>
  </si>
  <si>
    <t>พบเปื้อนสีเข้มตรงแถบข้างและด้านหลัง จำนวน 182 ใบ</t>
  </si>
  <si>
    <t>พบผ้าพับใหญ่ จำนวน 182 ใบ</t>
  </si>
  <si>
    <t>พบเปื้อนสี ม้วนที่ 3/5=150ใบ 3/6=650ใบ</t>
  </si>
  <si>
    <t>พบสีหายตรงโลโก้ด้านข้าง จำนวน 500 ใบ</t>
  </si>
  <si>
    <t>พบพิมพ์เสีย จำนวน 400 ใบ</t>
  </si>
  <si>
    <t>พบมีรอยเส้นเทป จำนวน 600 ใบ</t>
  </si>
  <si>
    <t>เปื้อนสีเข้มตรงแถบข้างและด้านหลัง</t>
  </si>
  <si>
    <t xml:space="preserve">สีหายตรงโลโก้ด้านข้าง </t>
  </si>
  <si>
    <t>วี-ฟีด วี03</t>
  </si>
  <si>
    <t>PD468032709</t>
  </si>
  <si>
    <t>PD468032704</t>
  </si>
  <si>
    <t>PD468032710</t>
  </si>
  <si>
    <t>พบเปื้อนสีด้านหน้า-หลังและในจีบ จำนวน 2,720ใบ</t>
  </si>
  <si>
    <t>พบผ้าพับม้วนที่ 3/5=176ใบ 3/13=126ใบ</t>
  </si>
  <si>
    <t>เพอเฟคค์913 มีผ้าพับและเป็นรอยพยาธิน้อย+สีน้ำเงินในจีบเข้มอ่อนไม่เหมือนกัน จำนวน 500 ใบ</t>
  </si>
  <si>
    <t>พบพิมพ์เสีย ม้วนที่ 3/1=117ใบ 3/6=109ใบ</t>
  </si>
  <si>
    <t>พบเปื้อนสีด้านหน้าและด้านหลัง จำนวน 375 ใบ</t>
  </si>
  <si>
    <t>พบพิมพ์เสีย จำนวน 292 ใบ</t>
  </si>
  <si>
    <t>พบเปื้อนสี จำนวน 850 ใบ</t>
  </si>
  <si>
    <t>**ปรึกษาฝ่ายขายให้แซมห่างๆแปะละ1ใบ แซมไม่หมดให้แซมรอบหน้า**</t>
  </si>
  <si>
    <t>เปื้อนสีด้านหน้า-หลังและในจีบ</t>
  </si>
  <si>
    <t>ผ้าพับและเป็นรอยพยาธิน้อย+สีน้ำเงินในจีบเข้มอ่อนไม่เหมือนกัน</t>
  </si>
  <si>
    <t>ปรึกษาฝ่ายขายให้แซมห่างๆแปะละ1ใบ แซมไม่หมดให้แซมรอบหน้า</t>
  </si>
  <si>
    <t>มาซูฟีดจี041</t>
  </si>
  <si>
    <t>สุบรรณ111</t>
  </si>
  <si>
    <t>PD468032711</t>
  </si>
  <si>
    <t>PD468032807</t>
  </si>
  <si>
    <t>PD468032804</t>
  </si>
  <si>
    <t>PD468032806</t>
  </si>
  <si>
    <t>PD468062908</t>
  </si>
  <si>
    <t>พบสีหาย จำนวน 1,000 ใบ</t>
  </si>
  <si>
    <t>พบเปื้อนสีด้านหน้า+เป็นรอยฟ้าผ่าในจีบ+สีลงไม่เต็ม จำนวน 980 ใบ</t>
  </si>
  <si>
    <t>พบเปื้อนสีด้านหน้าและด้านหลัง จำนวน 127 ใบ</t>
  </si>
  <si>
    <t>พบสีหายด้านหน้า จำนวน 280 ใบ</t>
  </si>
  <si>
    <t>พบสีหายตรงเลข "1" ด้านหน้า+สีตายด้านหลัง(ไม่ได้เป็นทุกใบ) จำนวน 300 ใบ</t>
  </si>
  <si>
    <t>พบสีหายตรวตัว "P" 200 ใบ และ รอยฟ้าผ่าด้านข้าง 150 ใบ</t>
  </si>
  <si>
    <t>**ส่งลบสีแล้วผสม3/1**</t>
  </si>
  <si>
    <t>**ปรึกษาฝ่ายขายให้ส่งลบสีแล้วมัดเลย**</t>
  </si>
  <si>
    <t>พบเปื้อนสีลักษณะดังภาพและสีลงไม่เต็ม จำนวน 580 ใบ</t>
  </si>
  <si>
    <t>เปื้อนสีลักษณะดังภาพและสีลงไม่เต็ม</t>
  </si>
  <si>
    <t>สีหายตรงเลข "1" ด้านหน้า+สีตายด้านหลัง(ไม่ได้เป็นทุกใบ)</t>
  </si>
  <si>
    <t xml:space="preserve">เปื้อนสีด้านหน้า+เป็นรอยฟ้าผ่าในจีบ+สีลงไม่เต็ม </t>
  </si>
  <si>
    <t>สีหายตรวตัว  และ รอยฟ้าผ่าด้านข้าง</t>
  </si>
  <si>
    <t>**ปรึกษาฝ่ายขายให้แต้มสี**</t>
  </si>
  <si>
    <t>ปรึกษาฝ่ายขายให้แต้มสี</t>
  </si>
  <si>
    <t>ส่งลบสีแล้วผสม3/1</t>
  </si>
  <si>
    <t>ปรึกษาฝ่ายขายให้ส่งลบสีแล้วมัดเลย</t>
  </si>
  <si>
    <t>PD468033105</t>
  </si>
  <si>
    <t>พบมีรอยเส้นเทปติดด้านข้าง จำนวน 2,300 ใบ (งานตัด2ม้วนสุดท้าย)</t>
  </si>
  <si>
    <t>**ผสม 3/1 ถ้าไม่พอผสม 2/2 มัดแยกเลทติดป้ายระบุปัญหาแจ้งขนส่ง**</t>
  </si>
  <si>
    <t>รอยเส้นเทปติดด้านข้าง (งานตัด2ม้วนสุดท้าย)</t>
  </si>
  <si>
    <t>ผสม 3/1 ถ้าไม่พอผสม 2/2 มัดแยกเลทติดป้ายระบุปัญหาแจ้งขนส่ง</t>
  </si>
  <si>
    <t>WB บาลานส์952 30KG.LP</t>
  </si>
  <si>
    <t>FWBWT236100PLM</t>
  </si>
  <si>
    <t>PD468040107</t>
  </si>
  <si>
    <t>PD468033102</t>
  </si>
  <si>
    <t>PD468040108</t>
  </si>
  <si>
    <t>พบพิมพ์เสีย จำนวน 264 ใบ</t>
  </si>
  <si>
    <t>พบเปื้อนสีด้านหน้า ด้านหลัง และในจีบ ม้วนที่ 3/1=260ใบ 3/2=275ใบ 3/4=380ใบ 3/5=1,025ใบ 3/6=930ใบ 3/7=675ใบ</t>
  </si>
  <si>
    <t>พบมีรอยพยาธิเยอะและลายอัดเยอะ จำนวน 175 ใบ</t>
  </si>
  <si>
    <t>พบมีผ้าพับ 150 ใบ และมีรอยพยาธิเยอะและชัด 195 ใบ</t>
  </si>
  <si>
    <t>เปื้อนสีด้านหน้า ด้านหลัง และในจีบ</t>
  </si>
  <si>
    <t>รอยพยาธิเยอะและลายอัดเยอะ</t>
  </si>
  <si>
    <t>ผ้าพับ  และมีรอยพยาธิเยอะและชัด</t>
  </si>
  <si>
    <t>วี-ฟีด วี01</t>
  </si>
  <si>
    <t>PD468040203</t>
  </si>
  <si>
    <t>PD468040204</t>
  </si>
  <si>
    <t>PD468040206</t>
  </si>
  <si>
    <t>PD468040201</t>
  </si>
  <si>
    <t>PD468040207</t>
  </si>
  <si>
    <t>พบผ้าเป็นเกล็ดขาว จำนวน 200 ใบ</t>
  </si>
  <si>
    <t>พบผ้าพับยาว แปะ1 เป็น 8-10 ใบ จำนวน 150 ใบ</t>
  </si>
  <si>
    <t>พบเปื้อนสีดังภาพ จำนวน 400 ใบ</t>
  </si>
  <si>
    <t>พบพิมพ์เสีย จำนวน 143 ใบ</t>
  </si>
  <si>
    <t>พบพิมพ์เสีย จำนวน 210 ใบ</t>
  </si>
  <si>
    <t>**ขาวเยอะไม่เอา ขาวน้อยผสม**</t>
  </si>
  <si>
    <t>ผ้าเป็นเกล็ดขาว</t>
  </si>
  <si>
    <t xml:space="preserve">ผ้าพับยาว </t>
  </si>
  <si>
    <t>เปื้อนสีดังภาพ</t>
  </si>
  <si>
    <t>ขาวเยอะไม่เอา ขาวน้อยผสม</t>
  </si>
  <si>
    <t>การ์เซียส์ฟิช 112</t>
  </si>
  <si>
    <t>เกษตรสุริยา(แดง)</t>
  </si>
  <si>
    <t>วี-ฟีด วี06</t>
  </si>
  <si>
    <t>มาซูฟีดซี042</t>
  </si>
  <si>
    <t>ร้าน เกษตรสุริยาพันธุ์ข้าว</t>
  </si>
  <si>
    <t>PD468040213</t>
  </si>
  <si>
    <t>PD468040301</t>
  </si>
  <si>
    <t>PD468040306</t>
  </si>
  <si>
    <t>PD468040307</t>
  </si>
  <si>
    <t>พบมีรอยเส้นด้านข้าง จำนวน 1,600 ใบ</t>
  </si>
  <si>
    <t>พบเปื้อนสีด้านหน้าและด้านหลัง 744 ใบ และมีสีลงไม่เต็มดังภาพเป็นจำนวนทั้งม้วน</t>
  </si>
  <si>
    <t>**แยกสวม**</t>
  </si>
  <si>
    <t xml:space="preserve">รอยเส้นด้านข้าง </t>
  </si>
  <si>
    <t>เปื้อนสีด้านหน้าและด้านหลังและมีสีลงไม่เต็ม</t>
  </si>
  <si>
    <t>แยกสวม</t>
  </si>
  <si>
    <t>1,060  ,  1,200</t>
  </si>
  <si>
    <t>PD468040402</t>
  </si>
  <si>
    <t>PD468040408</t>
  </si>
  <si>
    <t>PD468040406</t>
  </si>
  <si>
    <t>พบสีหายด้านหลัง จำนวน 150 ใบ</t>
  </si>
  <si>
    <t>พบพิมพ์เสีย จำนวน 299 ใบ</t>
  </si>
  <si>
    <t>พบเปื้อนสีแถบข้าง จำนวน 400 ใบ</t>
  </si>
  <si>
    <t>พบพิมพ์เสีย จำนวน 140 ใบ</t>
  </si>
  <si>
    <t>เปื้อนสีแถบข้าง</t>
  </si>
  <si>
    <t xml:space="preserve">สีหายด้านหลัง </t>
  </si>
  <si>
    <t>ยู-ฟีด ดี3</t>
  </si>
  <si>
    <t>ลุงนัยฟาร์ม 101</t>
  </si>
  <si>
    <t>ฟีลกู๊ด พี4</t>
  </si>
  <si>
    <t>FWBWT2137100PLM</t>
  </si>
  <si>
    <t>PD468040507</t>
  </si>
  <si>
    <t>PD468040505</t>
  </si>
  <si>
    <t>PD468040508</t>
  </si>
  <si>
    <t>PD468040512</t>
  </si>
  <si>
    <t>พบเปื้อนสีด้านหลัง จำนวน 200 ใบ</t>
  </si>
  <si>
    <t>พบสีหายแปะ 1 เป็น 10-15 ใบ จำนวน 400 ใบ</t>
  </si>
  <si>
    <t>พบพิมพ์เสีย จำนวน 416 ใบ</t>
  </si>
  <si>
    <t>พบเปื้อนสี ม้วนที่ 2/1=75ใบ 2/2=1,362ใบ</t>
  </si>
  <si>
    <t>พบเปื้อนสี จำนวน 475 ใบ</t>
  </si>
  <si>
    <t>A.C.C.ภาษาอังกฤษ</t>
  </si>
  <si>
    <t>วี-ฟีด วี07</t>
  </si>
  <si>
    <t>นาโน 01พลัส</t>
  </si>
  <si>
    <t>PD468040709</t>
  </si>
  <si>
    <t>PD468040707</t>
  </si>
  <si>
    <t>PD468040704</t>
  </si>
  <si>
    <t>PD468070715</t>
  </si>
  <si>
    <t>พบตัวหนังสือหายในแปะพบ 7-10 ใบ จำนวน 500 ใบ</t>
  </si>
  <si>
    <t>พบเปื้อนสีด้านหน้า ม้วนที่ 2/1=100ใบ 2/3=198ใบ</t>
  </si>
  <si>
    <t>พบม้วนนี้เปื้อนสีด้านหน้า จำนวน 600 ใบ</t>
  </si>
  <si>
    <t>พบพิมพ์เสีย จำนวน 283 ใบ</t>
  </si>
  <si>
    <t>พบเปื้อนสี จำนวน 1,225 ใบ</t>
  </si>
  <si>
    <t>ตัวหนังสือหาย</t>
  </si>
  <si>
    <t>SPEED PLUS 444ลาว</t>
  </si>
  <si>
    <t>WB เบทาโกร405 30KG.NM</t>
  </si>
  <si>
    <t>WB เบทาโกร326 30KG.NM</t>
  </si>
  <si>
    <t>WB เบทาโกร225 30KG.LP</t>
  </si>
  <si>
    <t>PD468040808</t>
  </si>
  <si>
    <t>PD468040714</t>
  </si>
  <si>
    <t>PD468040802</t>
  </si>
  <si>
    <t>PD468040805</t>
  </si>
  <si>
    <t>PD468040811</t>
  </si>
  <si>
    <t>พบตัวหนังสือหาย+สีหายด้านหน้าและด้านหลัง จำนวน 500 ใบ</t>
  </si>
  <si>
    <t>พบพิมพ์เสีย 302 ใบ และ เปื้อนสี 1,611 ใบ</t>
  </si>
  <si>
    <t>พบผ้าโย้+เปื้อนสีเป็นทางยาวด้านหลัง จำนวน 525 ใบ</t>
  </si>
  <si>
    <t>พบพิมพ์เสีย จำนวน 350 ใบ</t>
  </si>
  <si>
    <t>พบพิมพ์เสีย จำนวน 453 ใบ</t>
  </si>
  <si>
    <t>พบเปื้อนสีดำแถบข้าง จำนวน 400 ใบ</t>
  </si>
  <si>
    <t>พบพิมพ์เสีย จำนวน 370 ใบ</t>
  </si>
  <si>
    <t>**ปรึกษาฝ่ายขายให้มัดแยกเลทระบุปัญหาแจ้งขนส่ง**</t>
  </si>
  <si>
    <t>ตัวหนังสือหาย+สีหายด้านหน้าและด้านหลัง</t>
  </si>
  <si>
    <t xml:space="preserve">ผ้าโย้+เปื้อนสีเป็นทางยาวด้านหลัง </t>
  </si>
  <si>
    <t>เปื้อนสีดำแถบข้าง</t>
  </si>
  <si>
    <t>ปรึกษาฝ่ายขายให้มัดแยกเลทระบุปัญหาแจ้งขนส่ง</t>
  </si>
  <si>
    <t>1,365   ,   600</t>
  </si>
  <si>
    <t>คุณสุมาลี</t>
  </si>
  <si>
    <t>ข้าวเปลือกไก่ชน</t>
  </si>
  <si>
    <t>WB ฟาร์ม F992 30KG.LP</t>
  </si>
  <si>
    <t>โรงสีรุ่งเรืองไพศาล</t>
  </si>
  <si>
    <t xml:space="preserve"> PD468040812</t>
  </si>
  <si>
    <t>PD468040902</t>
  </si>
  <si>
    <t>PD468040908</t>
  </si>
  <si>
    <t>PD468040905</t>
  </si>
  <si>
    <t>PD468041002</t>
  </si>
  <si>
    <t>พบสีตายด้านหน้า จำนวน 525 ใบ</t>
  </si>
  <si>
    <t>พบสีลงไม่เต็ม จำนวน 400 ใบ</t>
  </si>
  <si>
    <t>พบสีหาย จำนวน 800 ใบ</t>
  </si>
  <si>
    <t>พบพิมพ์เสีย จำนวน 137 ใบ</t>
  </si>
  <si>
    <t>พบสีหายตรงตารางด้านหลัง จำนวน 1,200 ใบ</t>
  </si>
  <si>
    <t>พบสีตายตรงคิวอาร์โค้ด และมีสีตายจำนวน 400 ใบ</t>
  </si>
  <si>
    <t>พบสีหาย จำนวน 500 ใบและเปื้อนสีเข้มด้านหน้า 3,300 ใบ</t>
  </si>
  <si>
    <t>**สีหายผสม50/50 เปื้อนสีส่งลบสี**</t>
  </si>
  <si>
    <t>สีตายด้านหน้า</t>
  </si>
  <si>
    <t>สีหายและเปื้อนสีเข้มด้านหน้า</t>
  </si>
  <si>
    <t xml:space="preserve">สีหายตรงตารางด้านหลัง </t>
  </si>
  <si>
    <t>สีตายตรงคิวอาร์โค้ด และมีสีตาย</t>
  </si>
  <si>
    <t>สีหายผสม50/50 เปื้อนสีส่งลบสี</t>
  </si>
  <si>
    <t>PD468041113</t>
  </si>
  <si>
    <t>PD468041110</t>
  </si>
  <si>
    <t>PD468041206</t>
  </si>
  <si>
    <t>พบเปื้อนสีด้านหน้าและด้านหลัง จำนวน 200 ใบ</t>
  </si>
  <si>
    <t>พบเปื้อนสีเยอะ จำนวน 500 ใบ</t>
  </si>
  <si>
    <t xml:space="preserve">เปื้อนสีเยอะ </t>
  </si>
  <si>
    <t>ฟีลกู๊ด พี7</t>
  </si>
  <si>
    <t>JET153</t>
  </si>
  <si>
    <t>โมโม่4131</t>
  </si>
  <si>
    <t>เลิฟซอยล์</t>
  </si>
  <si>
    <t>บริษัท 2 เอ็ม อะโกร เท็ค จำกัด</t>
  </si>
  <si>
    <t>PD468041707</t>
  </si>
  <si>
    <t>PD468041203</t>
  </si>
  <si>
    <t>PD468041709</t>
  </si>
  <si>
    <t>PD468041701</t>
  </si>
  <si>
    <t>PD468041804</t>
  </si>
  <si>
    <t>PD468041803</t>
  </si>
  <si>
    <t>พบเปื้อนสี จำนวน 700 ใบ</t>
  </si>
  <si>
    <t>พบมีสีเข้ม จำนวน 300 ใบ</t>
  </si>
  <si>
    <t>พบเปื้อนสีด้านหลัง ม้วนที่ 2/1=25ใบ 2/2=94ใบ</t>
  </si>
  <si>
    <t>พบมีสีซึมทะลุเห็นทั้งด้านหน้าและด้านหลัง จำนวน 1,700 ใบ</t>
  </si>
  <si>
    <t>พบเปื้อนสี จำนวน 193 ใบ</t>
  </si>
  <si>
    <t>พบสีหายด้านข้างและ(ด้านหน้าบางใบ) จำนวน 400 ใบ</t>
  </si>
  <si>
    <t>พบเปื้อนสีเข้ม ม้วนที่ 8/2=125ใบ 8/3=175ใบ</t>
  </si>
  <si>
    <t>**ปรึกษาฝ่ายขายไม่สามารถส่งได้ให้คัดแยกออก**</t>
  </si>
  <si>
    <t>สีซึมทะลุเห็นทั้งด้านหน้าและด้านหลัง</t>
  </si>
  <si>
    <t xml:space="preserve">สีหายด้านข้างและ(ด้านหน้าบางใบ) </t>
  </si>
  <si>
    <t>ปรึกษาฝ่ายขายไม่สามารถส่งได้ให้คัดแยกออก</t>
  </si>
  <si>
    <t>SPEED PLUS 003เขมร</t>
  </si>
  <si>
    <t>PD468041812</t>
  </si>
  <si>
    <t>พบเปื้อนสีด้านข้างแปะ1เป็น 4-6 ใบ สีเหลืองตรงกลางเข้มกว่าด้านข้างเป็นทุกม้วน เปื้อนสีเป็นเส้นยาวแปะ1เป็น 4-5 ใบ จำนวน 700 ใบ</t>
  </si>
  <si>
    <t>เปื้อนสีด้านข้าง สีเหลืองตรงกลางเข้มกว่าด้านข้างเป็นทุกม้วน เปื้อนสีเป็นเส้นยาว</t>
  </si>
  <si>
    <t>ฟีล กู๊ด802</t>
  </si>
  <si>
    <t>WB ฟาร์ม F932 30KG.LP</t>
  </si>
  <si>
    <t>WB เบทาโกร 223 30KG.LP</t>
  </si>
  <si>
    <t>PD468041903</t>
  </si>
  <si>
    <t>PD468041902</t>
  </si>
  <si>
    <t>PD468041810</t>
  </si>
  <si>
    <t>PD468041906</t>
  </si>
  <si>
    <t>PD468041901</t>
  </si>
  <si>
    <t>PD468041912</t>
  </si>
  <si>
    <t>พบสีหายแปะพบ7-11 ใบ จำนวน 200 ใบ</t>
  </si>
  <si>
    <t>พบเปื้อนสีด้านข้างเป็นทั้งด้านหน้าและด้านหลัง จำนวน 500 ใบ</t>
  </si>
  <si>
    <t>พบเปื้อนสีด้านหน้าและด้านหลัง จำนวน 557 ใบ</t>
  </si>
  <si>
    <t>พบพิมพ์เสีย จำนวน 433 ใบ</t>
  </si>
  <si>
    <t>พบเปื้อนสี+ตัวหนังสือและตัวเลขไม่ชัด  จำนวน 500 ใบ</t>
  </si>
  <si>
    <t xml:space="preserve">เปื้อนสีด้านข้างเป็นทั้งด้านหน้าและด้านหลัง </t>
  </si>
  <si>
    <t xml:space="preserve">เปื้อนสี+ตัวหนังสือและตัวเลขไม่ชัด </t>
  </si>
  <si>
    <t>นีโอ 05</t>
  </si>
  <si>
    <t>PD468041905</t>
  </si>
  <si>
    <t>พบตัวหนังสือหายด้านหลัง จำนวน 200 ใบ</t>
  </si>
  <si>
    <t xml:space="preserve">ตัวหนังสือหายด้านหลัง </t>
  </si>
  <si>
    <t>WB/OCแถบเหลืองส้ม</t>
  </si>
  <si>
    <t>PD468042105</t>
  </si>
  <si>
    <t>PD468042108</t>
  </si>
  <si>
    <t>พบตัวหนังสือหาย จำนวน 1,900 ใบ</t>
  </si>
  <si>
    <t>พบเปื้อนสีด้านหน้าและด้านหลัง จำนวน 2,300 ใบ</t>
  </si>
  <si>
    <t>พบเปื้อนสี 475ใบ และพิมพ์เสีย 118ใบ</t>
  </si>
  <si>
    <t>**ปรึกษาฝ่ายขายให้สวม**</t>
  </si>
  <si>
    <t>**เปื้อนสีส่งลบสี,พิมพ์เสียลดเกรด**</t>
  </si>
  <si>
    <t>พบแถบด้านข้างเป็นรอยจุดๆ จำนวน 500 ใบ</t>
  </si>
  <si>
    <t>แถบด้านข้างเป็นรอยจุดๆ</t>
  </si>
  <si>
    <t>เปื้อนสีและพิมพ์เสีย</t>
  </si>
  <si>
    <t>ปรึกษาฝ่ายขายให้สวม</t>
  </si>
  <si>
    <t>เปื้อนสีส่งลบสี,พิมพ์เสียลดเกรด</t>
  </si>
  <si>
    <t>ผึ้งชมพู</t>
  </si>
  <si>
    <t>การ์เซียส์ฟิช113</t>
  </si>
  <si>
    <t>WB บาลานส์ 910 30KG.LP</t>
  </si>
  <si>
    <t>PD468042111</t>
  </si>
  <si>
    <t>PD468042208</t>
  </si>
  <si>
    <t>PD468042210</t>
  </si>
  <si>
    <t>PD468042212</t>
  </si>
  <si>
    <t>PD468042205</t>
  </si>
  <si>
    <t>WB/OCแถบฟ้า</t>
  </si>
  <si>
    <t>พบพิมพ์เสียม้วนที่ 3/2=102ใบ 3/3=100ใบ</t>
  </si>
  <si>
    <t>พบสีลงไม่เต็ม 300 ใบ และรอยพยาธิน้อย 420 ใบ</t>
  </si>
  <si>
    <t>พบเปื้อนสีด้านหน้าและด้านหลัง 300 ใบ และมีพิมพ์เสีย 213 ใบ</t>
  </si>
  <si>
    <t>พบเปื้อนสีด้านหน้าและด้านหลัง จำนวน 425 ใบ</t>
  </si>
  <si>
    <t>**เปื้อนสีส่งลบสี พิมพ์เสียลดเกรด**</t>
  </si>
  <si>
    <t>พบตัวหนังสือภาษาอังกฤษหายด้านหลัง จำนวน 500 ใบ</t>
  </si>
  <si>
    <t>พบสีหาย จำนวน 600 ใบ</t>
  </si>
  <si>
    <t>สีลงไม่เต็ม และรอยพยาธิน้อย</t>
  </si>
  <si>
    <t>เปื้อนสีด้านหน้าและด้านหลังและมีพิมพ์เสีย</t>
  </si>
  <si>
    <t>เปื้อนสีส่งลบสี พิมพ์เสียลดเกรด</t>
  </si>
  <si>
    <t>2,040   ,   640</t>
  </si>
  <si>
    <t>กินรี</t>
  </si>
  <si>
    <t>ร้านกัลยาพาณิชย์</t>
  </si>
  <si>
    <t>FWBWT213490PL</t>
  </si>
  <si>
    <t>PD468042209</t>
  </si>
  <si>
    <t>PD468042301</t>
  </si>
  <si>
    <t>PD468042214</t>
  </si>
  <si>
    <t>พบสีอ่อน จำนวน 800 ใบ</t>
  </si>
  <si>
    <t>พบผ้าพับและรอยฟ้าผ่าม้วนที่ 3/1=136ใบ 3/4=107ใบ</t>
  </si>
  <si>
    <t>พบตัวหนังสือหายและสีหาย จำนวน 350 ใบ</t>
  </si>
  <si>
    <t>สีอ่อน</t>
  </si>
  <si>
    <t>ผ้าพับและรอยฟ้าผ่า</t>
  </si>
  <si>
    <t>ตัวหนังสือหายและสีหาย</t>
  </si>
  <si>
    <t>525   ,   670</t>
  </si>
  <si>
    <t>พิมพ์น้ำเงิน</t>
  </si>
  <si>
    <t>PD468042505</t>
  </si>
  <si>
    <t>PD468042503</t>
  </si>
  <si>
    <t>PD468042309</t>
  </si>
  <si>
    <t>PD468042401</t>
  </si>
  <si>
    <t>PD468042508</t>
  </si>
  <si>
    <t>พบตัวหนังสือและตัวเลขด้านหลังหาย 150 ใบ และ พิมพ์เสีย 210 ใบ</t>
  </si>
  <si>
    <t>พบสีหายแปะพบ5-10ใบ จำนวน 300 ใบ</t>
  </si>
  <si>
    <t>พบเปื้อนสีด้านหน้าและด้านหลัง จำนวน 5,023 ใบ</t>
  </si>
  <si>
    <t>พบมีรอยพยาธิเยอะและชัด จำนวน 129 ใบ</t>
  </si>
  <si>
    <t>พบมีรูโคโรน่าจำนวน 1,025 ใบ</t>
  </si>
  <si>
    <t>พบเปื้อนสี จำนวน 600 ใบ</t>
  </si>
  <si>
    <t>**ผสม3/1เยอะและใหญ่คัดออก**</t>
  </si>
  <si>
    <t xml:space="preserve">ตัวหนังสือและตัวเลขด้านหลังหาย  และ พิมพ์เสีย </t>
  </si>
  <si>
    <t xml:space="preserve">ตัว(G)แถบข้างด้านหลังหาย+เปื้อนสีด้านหน้าและด้านหลัง  และ ตัว(G)แถบด้านหลังหาย </t>
  </si>
  <si>
    <t xml:space="preserve">พบตัว(G)แถบข้างด้านหลังหาย+เปื้อนสีด้านหน้าและด้านหลัง 300 ใบ และ ตัว(G)แถบด้านหลังหาย 500 ใบ </t>
  </si>
  <si>
    <t>รอยพยาธิเยอะและชัด</t>
  </si>
  <si>
    <t>รูโคโรน่า</t>
  </si>
  <si>
    <t>ผสม3/1เยอะและใหญ่คัดออก</t>
  </si>
  <si>
    <t>2,090   ,   530</t>
  </si>
  <si>
    <t>วีโว่400</t>
  </si>
  <si>
    <t>WB เบทาโกร 106 30KG.LP</t>
  </si>
  <si>
    <t>PD468042607</t>
  </si>
  <si>
    <t>PD468042606</t>
  </si>
  <si>
    <t>PD468042610</t>
  </si>
  <si>
    <t>PD468042601</t>
  </si>
  <si>
    <t>พบพิมพ์เสีย จำวน 207 ใบ</t>
  </si>
  <si>
    <t>พบพิมพ์เสีย จำวน 131 ใบ</t>
  </si>
  <si>
    <t>พบสีหาย จำนวน 200 ใบ 1 แปะเป็นเกือบทุกใบ</t>
  </si>
  <si>
    <t>พบพิมพ์เสีย จำนวน 275 ใบ</t>
  </si>
  <si>
    <t>พบผ้าเป็นรอยตะขาบแถบข้างด้านหลัง จำนวน 300 ใบ</t>
  </si>
  <si>
    <t>**ปรึกษาฝ่ายขายให้แซมห่างๆถ้าขาวเยอไม่เอา**</t>
  </si>
  <si>
    <t>สีหาย 1 แปะเป็นเกือบทุกใบ</t>
  </si>
  <si>
    <t>ผ้าเป็นรอยตะขาบแถบข้างด้านหลัง</t>
  </si>
  <si>
    <t>ปรึกษาฝ่ายขายให้แซมห่างๆถ้าขาวเยอไม่เอา</t>
  </si>
  <si>
    <t>แดนโกรว30(ส้ม)</t>
  </si>
  <si>
    <t>PD468042807</t>
  </si>
  <si>
    <t>PD468042804</t>
  </si>
  <si>
    <t>PD468042811</t>
  </si>
  <si>
    <t>พบสีหายด้านข้าง จำนวน 500 ใบ</t>
  </si>
  <si>
    <t>พบเปื้อนสีด้านหน้า+ด้านหลัง+ในจีบ จำนวน 340 ใบ</t>
  </si>
  <si>
    <t>พบพิมพ์เสีย จำนวน 177 ใบ</t>
  </si>
  <si>
    <t>พบพิมพ์เสีย 116 ใบ และรอยพยาธิชัด 150 ใบ</t>
  </si>
  <si>
    <t>พบสีลงไม่เต็ม ม้วนที่ 3/9=500ใบ 3/10=748ใบ</t>
  </si>
  <si>
    <t>พบรอยพยาธิ+เปื้อนสี 400 ใบ และเปื้อนสีด้านหลัง 420 ใบ</t>
  </si>
  <si>
    <t>**พิมพ์เสียลดเกรด,รอยพยาธิไม่เอา**</t>
  </si>
  <si>
    <t>**รอยพยาธิ+เปื้อนสีแยกไว้,เปื้อนสีส่งลบสี**</t>
  </si>
  <si>
    <t>เปื้อนสีด้านหน้า+ด้านหลัง+ในจีบ</t>
  </si>
  <si>
    <t>พิมพ์เสีย และรอยพยาธิชัด</t>
  </si>
  <si>
    <t xml:space="preserve">รอยพยาธิ+เปื้อนสี  และเปื้อนสีด้านหลัง </t>
  </si>
  <si>
    <t>พิมพ์เสียลดเกรด,รอยพยาธิไม่เอา</t>
  </si>
  <si>
    <t>รอยพยาธิ+เปื้อนสีแยกไว้,เปื้อนสีส่งลบสี</t>
  </si>
  <si>
    <t>PCS21%</t>
  </si>
  <si>
    <t>บริษัท แลบอินเตอร์ จำกัด</t>
  </si>
  <si>
    <t>FWBWT233688P</t>
  </si>
  <si>
    <t>PD468042910</t>
  </si>
  <si>
    <t>PD468042913</t>
  </si>
  <si>
    <t>PD468042806</t>
  </si>
  <si>
    <t>พบสีหายแปะพบ7-15ใบ จำนวน 600 ใบ</t>
  </si>
  <si>
    <t>พบสีหายด้านหน้าและสีตายด้านหลัง แปะพบ5-10ใบ จำนวน 300 ใบ</t>
  </si>
  <si>
    <t>พบพิมพ์เสีย 122 ใบ และ เปื้อนสี 180 ใบ</t>
  </si>
  <si>
    <t>พบพิมพ์เสีย จำนวน 235 ใบ</t>
  </si>
  <si>
    <t>พบพิมพ์เสีย ม้วนที่ 3/1=198ใบ 3/5=154ใบ</t>
  </si>
  <si>
    <t xml:space="preserve">สีหายด้านหน้าและสีตายด้านหลัง </t>
  </si>
  <si>
    <t>PD468043003</t>
  </si>
  <si>
    <t>PD468042904</t>
  </si>
  <si>
    <t>พบลายอัดชัดขาว จำนวน 130 ใบ</t>
  </si>
  <si>
    <t>พบผ้าพับ จำนวน 200 ใบ</t>
  </si>
  <si>
    <t>พบเลข 9 แถบข้างหาย จำนวน 1,175 ใบ</t>
  </si>
  <si>
    <t>พบสีลงไม่เต็มขาวเยอะ จำนวน 250 ใบ</t>
  </si>
  <si>
    <t>พบรอยพยาธิด้านในจีบ+สีลงไม่เต็ม จำนวน 500 ใบ</t>
  </si>
  <si>
    <t>พบพิมพ์เสีย ม้วนที่ 3/1=300ใบ 3/3=101ใบ 3/7=225ใบ</t>
  </si>
  <si>
    <t xml:space="preserve">ลายอัดชัดขาว </t>
  </si>
  <si>
    <t>เลข 9 แถบข้างหาย</t>
  </si>
  <si>
    <t xml:space="preserve">สีลงไม่เต็มขาวเยอะ </t>
  </si>
  <si>
    <t>รอยพยาธิด้านในจีบ+สีลงไม่เต็ม</t>
  </si>
  <si>
    <t>2,040   ,   815</t>
  </si>
  <si>
    <t>BALL CLAY PC</t>
  </si>
  <si>
    <t>PD468043009</t>
  </si>
  <si>
    <t>PD468050207</t>
  </si>
  <si>
    <t>PD468050208</t>
  </si>
  <si>
    <t>พบสีหายตรงรหัสไปรษณีย์ จำนวน 200 ใบ</t>
  </si>
  <si>
    <t>พบสีหายด้านหน้าและด้านหลัง 250 ใบ และเป็นรอยอัดด้านหน้า(ใน1แปะพบ5-10ใบ) จำนวน 300 ใบ</t>
  </si>
  <si>
    <t>สีหายตรงรหัสไปรษณีย์</t>
  </si>
  <si>
    <t>สีหายด้านหน้าและด้านหลัง และเป็นรอยอัดด้านหน้า(ใน1แปะพบ5-10ใบ)</t>
  </si>
  <si>
    <t>พบเปื้อนสีด้านหน้าและด้านหลัง จำนวน 100 ใบ</t>
  </si>
  <si>
    <t>FELDSPAR N325-GBL</t>
  </si>
  <si>
    <t>FELDSPAR N15</t>
  </si>
  <si>
    <t>PD468050308</t>
  </si>
  <si>
    <t>PD468050311</t>
  </si>
  <si>
    <t>PD468050306</t>
  </si>
  <si>
    <t>PD468050301</t>
  </si>
  <si>
    <t>PD468050312</t>
  </si>
  <si>
    <t>พบสีลงไม่เต็มมีลายอัดขาวเยอะ 200 ใบ และลายอัดขาวน้อย 500 ใบ</t>
  </si>
  <si>
    <t>พบเปื้อนสีด้านหลัง จำนวน 475 ใบ</t>
  </si>
  <si>
    <t>พบแถบตัวหนังสือด้านข้างโผล่นิดเดียว จำนวน 175 ใบ</t>
  </si>
  <si>
    <t>พบผ้าพับเล็กๆ จำนวน 300 ใบ</t>
  </si>
  <si>
    <t>พบพิมพ์เสีย 117 ใบ และ ตัวภาษาอังกฤษหายด้านหลัง 1 แปะเป็น 4-6 ใบ จำนวน  275 ใบ</t>
  </si>
  <si>
    <t>**ลายอัดขายเยอะไม่เอา ขาวน้อยผสม3/1**</t>
  </si>
  <si>
    <t>**ปรึกษาฝ่ายขายให้ส่งลบสี**</t>
  </si>
  <si>
    <t>**พิมพ์เสียลดเกรด,ตัวหนังสือหายผสม3/1**</t>
  </si>
  <si>
    <t>พบสีลงไม่เต็ม+รอยฟ้าผ่า+รอยพยาธิในจีบ จำนวน 620 ใบ</t>
  </si>
  <si>
    <t xml:space="preserve">สีลงไม่เต็มมีลายอัดขาวเยอะ และลายอัดขาวน้อย </t>
  </si>
  <si>
    <t>แถบตัวหนังสือด้านข้างโผล่นิดเดียว</t>
  </si>
  <si>
    <t xml:space="preserve">พิมพ์เสีย  และ ตัวภาษาอังกฤษหายด้านหลัง </t>
  </si>
  <si>
    <t>สีลงไม่เต็ม+รอยฟ้าผ่า+รอยพยาธิในจีบ</t>
  </si>
  <si>
    <t>ลายอัดขายเยอะไม่เอา ขาวน้อยผสม3/1</t>
  </si>
  <si>
    <t>ปรึกษาฝ่ายขายให้ส่งลบสี</t>
  </si>
  <si>
    <t>พิมพ์เสียลดเกรด,ตัวหนังสือหายผสม3/1</t>
  </si>
  <si>
    <t>2,040   ,  950</t>
  </si>
  <si>
    <t>โมโม่422</t>
  </si>
  <si>
    <t>PD468050503</t>
  </si>
  <si>
    <t>พบเป็นรอยพยาธิชัด จำนวน 634 ใบ</t>
  </si>
  <si>
    <t>พบพิมพ์เสีย 163 ใบ รอยพยาธิ+รอยพับในจีบเยอะ 200 ใบ และ ผ้าพับ 170 ใบ</t>
  </si>
  <si>
    <t>**ปรึกษาฝ่ายขายชัดมากไปไม่เอา**</t>
  </si>
  <si>
    <t>**พิมพ์เสียลดเกรด,รอยพยาธิ+รอยผ้าพับในจีบเยอะและผ้าพับคัดแยกออก**</t>
  </si>
  <si>
    <t>รอยพยาธิชัด</t>
  </si>
  <si>
    <t xml:space="preserve">พิมพ์เสีย รอยพยาธิ+รอยพับในจีบเยอะ และ ผ้าพับ </t>
  </si>
  <si>
    <t>ปรึกษาฝ่ายขายชัดมากไปไม่เอา</t>
  </si>
  <si>
    <t>พิมพ์เสียลดเกรด,รอยพยาธิ+รอยผ้าพับในจีบเยอะและผ้าพับคัดแยกออก</t>
  </si>
  <si>
    <t>แป้งมันหมัก(ม่วง)</t>
  </si>
  <si>
    <t>PD468050601</t>
  </si>
  <si>
    <t>PD4</t>
  </si>
  <si>
    <t>พบสีตายตรงแถบด้านข้าง จำนวน 475 ใบ</t>
  </si>
  <si>
    <t>พบ2ม้วนนี้พิมพ์เสีย จำนวน 363 ใบ</t>
  </si>
  <si>
    <t>สีตายตรงแถบด้านข้าง</t>
  </si>
  <si>
    <t>2,470   ,   2,449</t>
  </si>
  <si>
    <t>FW-Y</t>
  </si>
  <si>
    <t>ลุงนัยฟาร์ม 103พลัส</t>
  </si>
  <si>
    <t>WB บาลานส์ 953 30KG.LP</t>
  </si>
  <si>
    <t>PD468050703</t>
  </si>
  <si>
    <t>PD468050705</t>
  </si>
  <si>
    <t>PD468050706</t>
  </si>
  <si>
    <t>PD468050506</t>
  </si>
  <si>
    <t>พบเปื้อนรอยมาร์คด้านหน้าสีส้ม จำนวน 1,000 ใบ</t>
  </si>
  <si>
    <t>พบสีหายแปะ 1 เป็น 5-7 ใบ จำนวน 900 ใบ</t>
  </si>
  <si>
    <t>พบพิมพ์เสีย จำนวน 236 ใบ</t>
  </si>
  <si>
    <t>พบภาษาจีนหาย จำนวน 844 ใบ</t>
  </si>
  <si>
    <t>พบเปื้อนสีม้วนที่ 1/1=350ใบ 1/2=425ใบ 1/3=325ใบ</t>
  </si>
  <si>
    <t>พบเปื้อนสี ม้วนที่ 3/1=150ใบ 3/16=125ใบ 3/17=300ใบ 3/4=565ใบ 3/6=1,425ใบ 3/10=550ใบ</t>
  </si>
  <si>
    <t>**ปรึกษาฝ่ายขายถ้าเปื้อนสีชัดให้ส่งลบสี**</t>
  </si>
  <si>
    <t>**ผสม25/78**</t>
  </si>
  <si>
    <t>เปื้อนรอยมาร์คด้านหน้าสีส้ม</t>
  </si>
  <si>
    <t>ภาษาจีนหาย</t>
  </si>
  <si>
    <t>ปรึกษาฝ่ายขายถ้าเปื้อนสีชัดให้ส่งลบสี</t>
  </si>
  <si>
    <t>ผสม25/78</t>
  </si>
  <si>
    <t>PD468050711</t>
  </si>
  <si>
    <t>PD468050806</t>
  </si>
  <si>
    <t>พบพิมพ์เสีย จำนวน 186 ใบ</t>
  </si>
  <si>
    <t>พบผ้าเป็นลายอัดและสีลงไม่เต็ม จำนวน 250 ใบ</t>
  </si>
  <si>
    <t>ม้วนนี้พบตัวหนังสือหายตรงคำว่า "ไขมัน" ด้านหลัง จำนวน 350 ใบ</t>
  </si>
  <si>
    <t>พบม้วนนี้เปื้อนสีด้านหน้าและด้านหลัง ม้วนที่ 1/1=307ใบ 1/3=325ใบ</t>
  </si>
  <si>
    <t>พบสีหายด้านหน้า+ผ้าพับ+รอยพยาธิ (ไม่เป็นทุกใบ) จำนวน 300 ใบ</t>
  </si>
  <si>
    <t>พบเปื้อนสีด้านหลัง จำนวน 135 ใบ</t>
  </si>
  <si>
    <t>พบเปื้อนสี ม้วนที่ 3/1=325ใบ 3/4=200ใบ 3/5=100ใบ 3/18=250ใบ</t>
  </si>
  <si>
    <t>ผ้าเป็นลายอัดและสีลงไม่เต็ม</t>
  </si>
  <si>
    <t>ตัวหนังสือหายตรงคำว่า "ไขมัน" ด้านหลัง</t>
  </si>
  <si>
    <t xml:space="preserve">สีหายด้านหน้า+ผ้าพับ+รอยพยาธิ </t>
  </si>
  <si>
    <t>เคเอ็ม</t>
  </si>
  <si>
    <t>บาลานส์945</t>
  </si>
  <si>
    <t>WB ฟาร์ม F993 30KG.LP</t>
  </si>
  <si>
    <t>PD468051003</t>
  </si>
  <si>
    <t>PD468051007</t>
  </si>
  <si>
    <t>PD468051005</t>
  </si>
  <si>
    <t>PD468051004</t>
  </si>
  <si>
    <t>PD468051008</t>
  </si>
  <si>
    <t>พบผ้าพับ จำนวน 112 ใบ</t>
  </si>
  <si>
    <t>พบผ้าเป็นรูโคโรน่า รูเล็กๆ จำนวน 150 ใบ</t>
  </si>
  <si>
    <t>พบสีลงไม่เต็มด้านหน้าและด้านหลัง+ผ้าเป็นลายอัดบางใบ จำนวน 960 ใบ</t>
  </si>
  <si>
    <t>พบพิมพ์เสีย จำนวน 107 ใบ</t>
  </si>
  <si>
    <t>พบผ้าเป็นรอบตะขาบชัดหลายเส้น จำนวน 187 ใบ</t>
  </si>
  <si>
    <t>พบพิมพ์เสีย จำนวน 141 ใบ</t>
  </si>
  <si>
    <t>พบสีแดงด้านหน้าเข้ม จำนวน 800 ใบ</t>
  </si>
  <si>
    <t>พบสีหาย จำนวน 500 ใบแปะพบ 10-18 ใบ</t>
  </si>
  <si>
    <t>**ปรึกษาฝ่ายขายให้แซม**</t>
  </si>
  <si>
    <t>ผ้าเป็นรูโคโรน่า รูเล็กๆ</t>
  </si>
  <si>
    <t xml:space="preserve">สีลงไม่เต็มด้านหน้าและด้านหลัง+ผ้าเป็นลายอัดบางใบ </t>
  </si>
  <si>
    <t>ผ้าเป็นรอบตะขาบชัดหลายเส้น</t>
  </si>
  <si>
    <t xml:space="preserve">สีแดงด้านหน้าเข้ม </t>
  </si>
  <si>
    <t>ปรึกษาฝ่ายขายให้แซม</t>
  </si>
  <si>
    <t>ยูนิคอร์นฟิช103</t>
  </si>
  <si>
    <t>PD468051205</t>
  </si>
  <si>
    <t>PD468051210</t>
  </si>
  <si>
    <t>พบม้วนนี้เป็นรอยเส้นเทปด้านหน้าและด้านหลัง จำนวน 520 ใบ</t>
  </si>
  <si>
    <t>พบสีหายแปะพบ 3-9 ใบ จำนวน 500 ใบ</t>
  </si>
  <si>
    <t>รอยเส้นเทปด้านหน้าและด้านหลัง</t>
  </si>
  <si>
    <t>การ์เซียส์ฟิช111M</t>
  </si>
  <si>
    <t>NHR-1</t>
  </si>
  <si>
    <t>PD468051307</t>
  </si>
  <si>
    <t>PD468051211</t>
  </si>
  <si>
    <t>PD468051303</t>
  </si>
  <si>
    <t>PD468051301</t>
  </si>
  <si>
    <t>PD468051302</t>
  </si>
  <si>
    <t>พบเปื้อนสีด้านหน้าและด้านหลัง ม้วนที่ 3/3=275ใบ 3/5=650ใบ 3/1=675ใบ 3/2=225ใบ 3/17=475ใบ 3/19=600ใบ 3/9=575ใบ</t>
  </si>
  <si>
    <t>พบเปื้อนสีเข้ม จำนวน 1,475 ใบ</t>
  </si>
  <si>
    <t>พบพิมพ์เสีย จำนวน 109 ใบ</t>
  </si>
  <si>
    <t>พบพิมพ์เสีย ม้วนที่ 4/1=163ใบ 4/2=116ใบ</t>
  </si>
  <si>
    <t>FWBWT19320</t>
  </si>
  <si>
    <t>PD468051405</t>
  </si>
  <si>
    <t>PD468051413</t>
  </si>
  <si>
    <t>PD468051412</t>
  </si>
  <si>
    <t>PD468051408</t>
  </si>
  <si>
    <t>PD468051414</t>
  </si>
  <si>
    <t>พบเปื้อนสีด้านหน้าและด้านหลัง จำนวน 1,025 ใบ</t>
  </si>
  <si>
    <t>พบพิมพ์เสีย จำนวน 192 ใบ</t>
  </si>
  <si>
    <t>พบพิมพ์เสีย ม้วนที่ 1/1=200ใบ 1/2=150ใบ</t>
  </si>
  <si>
    <t>1,790   ,   560</t>
  </si>
  <si>
    <t>วีโว่300</t>
  </si>
  <si>
    <t>มาซู ฟีดบี0434</t>
  </si>
  <si>
    <t>PD468051504</t>
  </si>
  <si>
    <t>PD468051503</t>
  </si>
  <si>
    <t>PD468051508</t>
  </si>
  <si>
    <t>พบเปื้อนสี 2,200 ใบและมีบล๊อคเคลื่อนด้านข้าง</t>
  </si>
  <si>
    <t>พบเปื้อนสีด้านหน้าและด้านหลัง จำนวน 3,575 ใบ</t>
  </si>
  <si>
    <t>พบพิมพ์เสีย จำนวน 108 ใบ</t>
  </si>
  <si>
    <t>พบเปื้อนสีด้านหน้าและด้านหลังม้วนที่ 4/1=1,900ใบ 4/3=900ใบ 4/4=1,050ใบ 4/6=225ใบ</t>
  </si>
  <si>
    <t>พบเปื้อนสีด้านหน้าและด้านหลังม้วนที่ 3/1=50ใบ 3/2=100ใบ 3/3=475ใบ</t>
  </si>
  <si>
    <t>**ปรึกษาฝ่ายขายให้ลบสี**</t>
  </si>
  <si>
    <t>พบสีหายด้านข้างแปะพบ7-16ใบ จำนวน 600 ใบ</t>
  </si>
  <si>
    <t>เปื้อนสี และมีบล๊อคเคลื่อนด้านข้าง</t>
  </si>
  <si>
    <t>ปรึกษาฝ่ายขายให้ลบสี</t>
  </si>
  <si>
    <t>Rocky Quick Lime</t>
  </si>
  <si>
    <t>มาซู ฟีดบี041</t>
  </si>
  <si>
    <t>โมโม่401</t>
  </si>
  <si>
    <t>บริษัท มารีน ลีดเดอร์ จำกัด</t>
  </si>
  <si>
    <t>PD468051606</t>
  </si>
  <si>
    <t>PD468051604</t>
  </si>
  <si>
    <t>PD468051608</t>
  </si>
  <si>
    <t>พบสีตายด้านหน้า จำนวน 125 ใบ</t>
  </si>
  <si>
    <t>พบเปื้อนสีริมเคลือบ จำนวน 200 ใบ</t>
  </si>
  <si>
    <t>พบสีด้านหน้าอ่อนสีด้านหลังเข้ม จำนวน 600 ใบ</t>
  </si>
  <si>
    <t>พบเปื้อนสีเยอะ200ใบ และเปื้อนสีปกติ225ใบ</t>
  </si>
  <si>
    <t>**ยก100**</t>
  </si>
  <si>
    <t>**เปื้อนสีเยอะยังไม่ส่งลบรอพิจารณา เปื้อนสีปกติส่งลบสี**</t>
  </si>
  <si>
    <t>สีด้านหน้าอ่อนสีด้านหลังเข้ม</t>
  </si>
  <si>
    <t>เปื้อนสีเยอะ และเปื้อนสีปกติ</t>
  </si>
  <si>
    <t>ยก100</t>
  </si>
  <si>
    <t>เปื้อนสีเยอะยังไม่ส่งลบรอพิจารณา เปื้อนสีปกติส่งลบสี</t>
  </si>
  <si>
    <t>PD468051712</t>
  </si>
  <si>
    <t>PD468051607</t>
  </si>
  <si>
    <t>พบเปื้อนสี จำนวน 500 ใบ</t>
  </si>
  <si>
    <t>พบเปื้อนสีด้านหน้าและด้านหลังม้วนที่ 1/6=75ใบ 1/11=306ใบ</t>
  </si>
  <si>
    <t>นิค103A</t>
  </si>
  <si>
    <t>PD468051705</t>
  </si>
  <si>
    <t>PD468051901</t>
  </si>
  <si>
    <t>PD468051905</t>
  </si>
  <si>
    <t>PD468051902</t>
  </si>
  <si>
    <t>พบเปื้อนสีด้านหน้าและด้านหลัง จำนวน 133 ใบ</t>
  </si>
  <si>
    <t>พบสีหายด้านหลัง จำนวน 144 ใบ</t>
  </si>
  <si>
    <t>พบสีอ่อน จำนวน 500 ใบ</t>
  </si>
  <si>
    <t>พบผ้าเป็นรูโคโรน่าทั้งด้านหน้าและด้านหลัง จำนวน 675 ใบ</t>
  </si>
  <si>
    <t>พบพิมพ์เสีย จำนวน 241 ใบ</t>
  </si>
  <si>
    <t>พบเปื้อนสีดำในงานพิมพ์ จำนวน 175 ใบ</t>
  </si>
  <si>
    <t>**แยกเลทติดป้ายระบุปัญหาแจ้งขนส่ง**</t>
  </si>
  <si>
    <t>**ปรึกษาฝ่ายขายถ้ารูใหญ่ชัดเกินไม่เอา**</t>
  </si>
  <si>
    <t>ผ้าเป็นรูโคโรน่าทั้งด้านหน้าและด้านหลัง</t>
  </si>
  <si>
    <t xml:space="preserve">เปื้อนสีดำในงานพิมพ์ </t>
  </si>
  <si>
    <t>แยกเลทติดป้ายระบุปัญหาแจ้งขนส่ง</t>
  </si>
  <si>
    <t>ปรึกษาฝ่ายขายถ้ารูใหญ่ชัดเกินไม่เอา</t>
  </si>
  <si>
    <t>พบเปื้อนรอยมาร์คและรอยคิวอาร์โค้ดด้านหน้าม้วนที่ 2/6=25ใบ 2/12=550ใบ 2/13=450ใบ 2/14=50ใบ 2/15=225ใบ 2/9=100ใบ 2/11=50ใบ 2/16=250ใบ 2/17=800ใบ</t>
  </si>
  <si>
    <t>เปื้อนรอยมาร์คและรอยคิวอาร์โค้ดด้านหน้า</t>
  </si>
  <si>
    <t>PD468052006</t>
  </si>
  <si>
    <t>PD468051910</t>
  </si>
  <si>
    <t>PD468052101</t>
  </si>
  <si>
    <t>PD468052105</t>
  </si>
  <si>
    <t>PD468052103</t>
  </si>
  <si>
    <t>พบเปื้อนสีม้วนที่ 1/4=1,050ใบ 1/6=1,500ใบ</t>
  </si>
  <si>
    <t>พบเปื้อนสีม้วนที่ 1/4=50ใบ 1/5=25ใบ 1/15=50ใบ 1/18=150ใบ 1/21=50ใบ</t>
  </si>
  <si>
    <t>พบเปื้อนสีด้านหน้าและด้านหลังม้วนที่ 1/2=475ใบ 1/4=50ใบ 1/7=525ใบ</t>
  </si>
  <si>
    <t>การ์เซียส์ฟิช411M</t>
  </si>
  <si>
    <t>PD468052102</t>
  </si>
  <si>
    <t>PD468052203</t>
  </si>
  <si>
    <t>พบสีหายแปะพบ14-20ใบ จำนวน 1,800 ใบ</t>
  </si>
  <si>
    <t>พบสีหาย จำนวน 1,900 ใบ</t>
  </si>
  <si>
    <t>เฟิร์สช้อย902</t>
  </si>
  <si>
    <t>PD468052301</t>
  </si>
  <si>
    <t>PD468052204</t>
  </si>
  <si>
    <t>PD468052310</t>
  </si>
  <si>
    <t>PD468052311</t>
  </si>
  <si>
    <t>พบสีหายเป็นทุกใบ จำนวน 1,020 ใบ</t>
  </si>
  <si>
    <t>พบรอยพับ จำนวน 200 ใบ</t>
  </si>
  <si>
    <t>พบพิมพ์เสีย 421ใบ เปื้อนสีด้านหน้าด้านหลังและในจีบ 820ใบ</t>
  </si>
  <si>
    <t>พบผ้าพับ 302ใบ พิมพ์เสีย 104ใบ เปื้อนสีด้านหน้าและในจีบ 320ใบ</t>
  </si>
  <si>
    <t>พบเปื้อนสีด้านหน้าและในจีบ 1,220ใบ รอยอัดเยอะ 463ใบ</t>
  </si>
  <si>
    <t>พบตัวหนังสือหายด้านหลัง จำนวน 1,640 ใบ</t>
  </si>
  <si>
    <t>**ผ้าพับไม่เอา,พิมพ์เสียลดเกรด,เปื้อนสีส่งลบสี**</t>
  </si>
  <si>
    <t>**เปื้อนสีส่งลบสี,รอยอัดเยอะไม่เอา**</t>
  </si>
  <si>
    <t>**ผสม3/1แยกเลทระบุปัญหาแจ้งขนส่ง แบ่งผสมเป็น3รอบ รอบนี้ผสม500 รอบหน้า500 ที่เหลือผสมรอบสุดท้าย**</t>
  </si>
  <si>
    <t>รอยพับ</t>
  </si>
  <si>
    <t>ผ้าพับ  พิมพ์เสีย เปื้อนสีด้านหน้าและในจีบ</t>
  </si>
  <si>
    <t>พิมพ์เสีย  เปื้อนสีด้านหน้าด้านหลังและในจีบ</t>
  </si>
  <si>
    <t>เปื้อนสีด้านหน้าและในจีบ และ รอยอัดเยอะ</t>
  </si>
  <si>
    <t>ผ้าพับไม่เอา,พิมพ์เสียลดเกรด,เปื้อนสีส่งลบสี</t>
  </si>
  <si>
    <t>เปื้อนสีส่งลบสี,รอยอัดเยอะไม่เอา</t>
  </si>
  <si>
    <t>ผสม3/1แยกเลทระบุปัญหาแจ้งขนส่ง แบ่งผสมเป็น3รอบ รอบนี้ผสม500 รอบหน้า500 ที่เหลือผสมรอบสุดท้าย</t>
  </si>
  <si>
    <t>เพอเฟคค์664HP**</t>
  </si>
  <si>
    <t>PD468052306</t>
  </si>
  <si>
    <t>พบพิมพ์เสีย จำนวน 131 ใบ</t>
  </si>
  <si>
    <t>พบลายพยาธิและฟ้าผ่าเห็นชัด จำนวน 123 ใบ</t>
  </si>
  <si>
    <t>ลายพยาธิและฟ้าผ่าเห็นชัด</t>
  </si>
  <si>
    <t>เบทาโกร401</t>
  </si>
  <si>
    <t>PD468052313</t>
  </si>
  <si>
    <t>PD468052402</t>
  </si>
  <si>
    <t>PD468052410</t>
  </si>
  <si>
    <t>พบพิมพ์เสีย จำนวน 135 ใบ</t>
  </si>
  <si>
    <t>พบเปื้อนสีด้านข้าง จำนวน 500 ใบ</t>
  </si>
  <si>
    <t>พบเปื้อนสีด้านหน้าและด้านหลัง ม้วนที่ 1/2=1,100ใบ 1/3=25ใบ 1/6=1,050ใบ 1/7=100ใบ 1/8=75ใบ</t>
  </si>
  <si>
    <t>ทองทั้งทุ่ง</t>
  </si>
  <si>
    <t>ร้าน สมคิดพันธุ์ข้าว</t>
  </si>
  <si>
    <t>FWBWT213476P</t>
  </si>
  <si>
    <t>PD468052603</t>
  </si>
  <si>
    <t>PD468052606</t>
  </si>
  <si>
    <t>พบพิมพ์เสีย จำนวน 106 ใบ</t>
  </si>
  <si>
    <t>พบรอยเส้นเทปติดด้านหลัง 200 ใบ และผ้าเป็นลายอัดในจีบ 260 ใบ</t>
  </si>
  <si>
    <t>**ผสม3/1แยกเลทติดป้ายระบุปัญหาแจ้งขนส่ง**</t>
  </si>
  <si>
    <t>รอยเส้นเทปติดด้านหลัง  และผ้าเป็นลายอัดในจีบ</t>
  </si>
  <si>
    <t>ผสม3/1แยกเลทติดป้ายระบุปัญหาแจ้งขนส่ง</t>
  </si>
  <si>
    <t>เพอเฟคค์203P</t>
  </si>
  <si>
    <t>FWBWT1934100PLM</t>
  </si>
  <si>
    <t>PD468052706</t>
  </si>
  <si>
    <t>PD468052605</t>
  </si>
  <si>
    <t>พบมีรอยฟ้าผ่าในจีบสีลงไม่เต็ม+เปื้อนสี 270 ใบ และเปื้อนสีด้านหน้าและด้านหลัง 580 ใบ</t>
  </si>
  <si>
    <t>พบสีลงไม่เต็มขาวเยอะ 122 ใบ และผ้าเป็นลายอัดขาวเยอะ 94 ใบ</t>
  </si>
  <si>
    <t>พบเปื้อนสีด้านหน้าและด้านหลังม้วนที่ 2/1=200ใบ 2/2=1,325ใบ 2/3=500ใบ 2/4=1,675ใบ 2/5=600ใบ 2/6=1,500ใบ 2/7=600ใบ 2/8=1,325ใบ</t>
  </si>
  <si>
    <t>**รอยฟ้าผ่าในจีบสีลงไม่เต็ม(รอพิจารณา),เปื้อนสีส่งลบสี**</t>
  </si>
  <si>
    <t>รอยฟ้าผ่าในจีบสีลงไม่เต็ม+เปื้อนสี  และเปื้อนสีด้านหน้าและด้านหลัง</t>
  </si>
  <si>
    <t>สีลงไม่เต็มขาวเยอะ และผ้าเป็นลายอัดขาวเยอะ</t>
  </si>
  <si>
    <t>รอยฟ้าผ่าในจีบสีลงไม่เต็ม(รอพิจารณา),เปื้อนสีส่งลบสี</t>
  </si>
  <si>
    <t>เพอเฟคค์104Sโกลด์</t>
  </si>
  <si>
    <t>เพอเฟคค์103Pโกลด์</t>
  </si>
  <si>
    <t>ฟีลกู๊ด802</t>
  </si>
  <si>
    <t>เมล็ดพันธุ์ข้าว</t>
  </si>
  <si>
    <t>กรมการข้าว</t>
  </si>
  <si>
    <t>PD468052806</t>
  </si>
  <si>
    <t>PD468052801</t>
  </si>
  <si>
    <t>PD468052804</t>
  </si>
  <si>
    <t>PD468052808</t>
  </si>
  <si>
    <t>PD468052802</t>
  </si>
  <si>
    <t>พบเปื้อนสีด้านหน้า จำนวน 160 ใบ</t>
  </si>
  <si>
    <t>พบผ้าพับใหญ่ จำนวน 120 ใบ</t>
  </si>
  <si>
    <t>พบมีผ้ายับด้านข้างทำให้เป็นรอยฟ้าผ่าในจีบเยอะ 359 ใบ และ ผ้าพับยาว 166 ใบ</t>
  </si>
  <si>
    <t>พบพิมพ์เสีย จำนวน 273 ใบ</t>
  </si>
  <si>
    <t>พบเปื้อนสีด้านหน้า จำนวน 500 ใบ</t>
  </si>
  <si>
    <t xml:space="preserve">ผ้ายับด้านข้างทำให้เป็นรอยฟ้าผ่าในจีบเยอะ และ ผ้าพับยาว </t>
  </si>
  <si>
    <t>พบตัว "A" หายด้านหลัง จำนวน 160 ใบ</t>
  </si>
  <si>
    <t>ตัว "A" หายด้านหลัง</t>
  </si>
  <si>
    <t>โมโม่491</t>
  </si>
  <si>
    <t>PD468052902</t>
  </si>
  <si>
    <t>PD468052705</t>
  </si>
  <si>
    <t>พบเปื้อนสีเข้ม จำนวน 692 ใบ</t>
  </si>
  <si>
    <t>พบสีหายแปะ1เป็น7-10ใบ ม้วนที่ 8/2=1,200ใบ 8/6=1,000ใบ</t>
  </si>
  <si>
    <t>PD468053004</t>
  </si>
  <si>
    <t>PD468053006</t>
  </si>
  <si>
    <t>PD468053002</t>
  </si>
  <si>
    <t>พบเปื้อนสี 1,600 ใบ ลบสีเพิ่มม้วนที่3/1=1,320ใบ 3/2=1,125ใบ 3/3=1,750ใบ 3/4=120ใบ 3/5=1,560ใบ</t>
  </si>
  <si>
    <t>พบเปื้อนสีด้านหน้า 775 ใบ และพิมพ์เสีย 149 ใบ</t>
  </si>
  <si>
    <t>พบมีรอยพยาธิในจีบ จำนวน 440 ใบ</t>
  </si>
  <si>
    <t>พบมีรอยพยาธิเยอะชัด 137 ใบ และ พิมพ์เสีย 110 ใบ</t>
  </si>
  <si>
    <t>**ส่งลบสีและลดเกรด**</t>
  </si>
  <si>
    <t xml:space="preserve">พบเปื้อนสีด้านหน้าและด้านหลัง จำนวน 1,160 ใบ </t>
  </si>
  <si>
    <t>**รอยพยาธิเยอะชัดไม่เอา พิมพ์เสียลดเกรด**</t>
  </si>
  <si>
    <t xml:space="preserve">เปื้อนสีด้านหน้า และพิมพ์เสีย </t>
  </si>
  <si>
    <t>รอยพยาธิในจีบ</t>
  </si>
  <si>
    <t>รอยพยาธิเยอะชัด  และ พิมพ์เสีย</t>
  </si>
  <si>
    <t>ส่งลบสีและลดเกรด</t>
  </si>
  <si>
    <t>รอยพยาธิเยอะชัดไม่เอา พิมพ์เสียลดเกรด</t>
  </si>
  <si>
    <t>โอดิน202</t>
  </si>
  <si>
    <t>PD468053003</t>
  </si>
  <si>
    <t>PD468053008</t>
  </si>
  <si>
    <t>พบเปื้อนสี+รอยพยาธิในจีบ จำนวน 660 ใบ</t>
  </si>
  <si>
    <t>พบเปื้อนสีด้านหน้าและด้านหลังม้วนที่ 3/1=360ใบ 3/2=1,300ใบและมีสีในจีบ2ข้างไม่เหมือนกัน</t>
  </si>
  <si>
    <t>**ส่งลบสี,สี2ข้างไม่เหมือนกันให้เทียบเฉดลูกค้าถ้าอยู่ในเฉดลูกค้าให้มัดแยกเลทระบุปัญหาแจ้งขนส่ง**</t>
  </si>
  <si>
    <t>เปื้อนสี+รอยพยาธิในจีบ</t>
  </si>
  <si>
    <t>เปื้อนสีด้านหน้าและด้านหลังและมีสีในจีบ2ข้างไม่เหมือนกัน</t>
  </si>
  <si>
    <t>ส่งลบสี,สี2ข้างไม่เหมือนกันให้เทียบเฉดลูกค้าถ้าอยู่ในเฉดลูกค้าให้มัดแยกเลทระบุปัญหาแจ้งขนส่ง</t>
  </si>
  <si>
    <t>PD468053101</t>
  </si>
  <si>
    <t>พบสีไม่เสมอกันด้านหน้า จำนวน 400 ใบ</t>
  </si>
  <si>
    <t>พบสีตายด้านหน้า+สีด้านหลังหาย 993 ใบ และเปื้อนสีเข้ม 1,100 ใบ</t>
  </si>
  <si>
    <t>พบสีสองข้างไม่เหมือนกันสีเข้มกว่าเฉด+เปื้อนสี225ใบ สีสองข้างไม่เหมือนกันสีไม่เสมอกัน+เปื้อนสี325ใบ และสีสองข้างไม่เหมือนกันสีเข้มกว่าเฉด+สีหายด้านข้าง+เปื้อนสี125ใบ</t>
  </si>
  <si>
    <t>พบพิมพ์เสียม้วนที่2/1=284ใบ 2/4=133ใบ</t>
  </si>
  <si>
    <t>**สีเข้ม สีสองข้างไม่เหมือนกันปรึกษาฝ่ายขายให้มัดแยกไป สีหายด้านข้างปรึกษาฝ่ายขายไม่เอา**</t>
  </si>
  <si>
    <t>สีไม่เสมอกันด้านหน้า</t>
  </si>
  <si>
    <t xml:space="preserve">สีตายด้านหน้า+สีด้านหลังหาย  และเปื้อนสีเข้ม </t>
  </si>
  <si>
    <t>สีสองข้างไม่เหมือนกันสีเข้มกว่าเฉด+เปื้อนสี สีสองข้างไม่เหมือนกันสีไม่เสมอกัน+เปื้อนสีและสีสองข้างไม่เหมือนกันสีเข้มกว่าเฉด+สีหายด้านข้าง+เปื้อนสี</t>
  </si>
  <si>
    <t>สีเข้ม สีสองข้างไม่เหมือนกันปรึกษาฝ่ายขายให้มัดแยกไป สีหายด้านข้างปรึกษาฝ่ายขายไม่เอา</t>
  </si>
  <si>
    <t>**สีตายด้านหน้า+สีด้านหลังหายปรึกษาฝ่ายขายไม่เอา เปื้อนสีส่งลบสี**</t>
  </si>
  <si>
    <t>สีตายด้านหน้า+สีด้านหลังหายปรึกษาฝ่ายขายไม่เอา เปื้อนสีส่งลบสีส่งลบสี</t>
  </si>
  <si>
    <t>พบสีตายด้านหลัง จำนวน 500 ใบ</t>
  </si>
  <si>
    <t>พบเปื้อนสีม้วนที่1/15=100ใบ 1/17=1,525ใบ 1/20=1,025ใบ 1/16=525ใบ 1/18=750ใบ 1/19=375ใบ</t>
  </si>
  <si>
    <t>พบพิมพ์เสีย จำนวน 1,127 ใบ</t>
  </si>
  <si>
    <t>**ปรึกษาฝ่ายขายให้แยกไว้**</t>
  </si>
  <si>
    <t>**ส่งลบสี-**</t>
  </si>
  <si>
    <t>ปรึกษาฝ่ายขายให้แยกไว้</t>
  </si>
  <si>
    <t>PD468060301</t>
  </si>
  <si>
    <t>พบสีลงไม่เต็ม จำนวน 100 ใบ</t>
  </si>
  <si>
    <t>พบพิมพ์เสีย 109 ใบ และเปื้อนสีด้านหน้าและด้านหลัง 1,020 ใบ</t>
  </si>
  <si>
    <t>พบพิมพ์เสีย 100 ใบ และรอยพยาธิชัด 150 ใบ</t>
  </si>
  <si>
    <t>พบพิมพ์เสียม้วนที่ 3/5=122ใบ 3/6=100ใบ</t>
  </si>
  <si>
    <t>พบสีลงไม่เต็ม จำนวน 500 ใบ</t>
  </si>
  <si>
    <t>พบเป็นรอยพยาธิชัดและรอยอัดเยอะ จำนวน 200 ใบ</t>
  </si>
  <si>
    <t>**ปรึกษาฝ่ายขายให้ผสม3/1มัดแยกเลทติดป้ายระบุปัญหาแจ้งขนส่ง**</t>
  </si>
  <si>
    <t>พิมพ์เสียและเปื้อนสีด้านหน้าและด้านหลัง</t>
  </si>
  <si>
    <t>พิมพ์เสีย  และรอยพยาธิชัด</t>
  </si>
  <si>
    <t xml:space="preserve">รอยพยาธิชัดและรอยอัดเยอะ </t>
  </si>
  <si>
    <t>ปรึกษาฝ่ายขายให้ผสม3/1มัดแยกเลทติดป้ายระบุปัญหาแจ้งขนส่ง</t>
  </si>
  <si>
    <t>PD468060403</t>
  </si>
  <si>
    <t>PD468060404</t>
  </si>
  <si>
    <t>PD468060402</t>
  </si>
  <si>
    <t>พบสีหายด้านหน้าและตัวหนังสือไม่ชัดแปะ1เป็น6-7ใบ</t>
  </si>
  <si>
    <t>พบเปื้อนสีม้วนที่ 3/1=675ใบ 3/2=794ใบ 3/4=1,100ใบ</t>
  </si>
  <si>
    <t>พบสีหายตรง "ตากุ้ง" จำนวนทั้งหมด 4,043 ใบ</t>
  </si>
  <si>
    <t>พบพิมพ์เสีย จำนวน 112 ใบ</t>
  </si>
  <si>
    <t>พบเปื้อนสีม้วนที่ 1/8=2,300ใบ 1/9=200ใบ</t>
  </si>
  <si>
    <t>**ปรึกษาฝ่ายขายให้เเยกเลท ระบุปัญหาเเจ้งขนส่ง**</t>
  </si>
  <si>
    <t>สีหายด้านหน้าและตัวหนังสือไม่ชัด</t>
  </si>
  <si>
    <t xml:space="preserve">สีหายตรง "ตากุ้ง" </t>
  </si>
  <si>
    <t>ปรึกษาฝ่ายขายให้เเยกเลท ระบุปัญหาเเจ้งขนส่ง</t>
  </si>
  <si>
    <t>ฟีลกู๊ด พี5</t>
  </si>
  <si>
    <t>แดนโกร10P-L</t>
  </si>
  <si>
    <t>FWBWT2138100PL</t>
  </si>
  <si>
    <t>PD468060504</t>
  </si>
  <si>
    <t>PD468060503</t>
  </si>
  <si>
    <t>พบสีหายตรงหางปลาแปะ 1 เป็น 8-12 ใบ จำนวน 300 ใบ</t>
  </si>
  <si>
    <t>พบพิมพ์เสีย จำนวน 260 ใบ</t>
  </si>
  <si>
    <t>พบสีหายด้านข้าง แปะ 1 เป็น 7-10 ใบ จำนวน 350 ใบ</t>
  </si>
  <si>
    <t>พบสีหายด้านหน้าตรงตัว "N" ใน 1 แปะหาย5-7ใบ จำนวน 175 ใบ</t>
  </si>
  <si>
    <t>สีหายตรงหางปลา</t>
  </si>
  <si>
    <t>พบเปื้อนสีด้านหน้าและด้านหลัง 228 ใบ และ พิมพ์เสีย 104 ใบ</t>
  </si>
  <si>
    <t xml:space="preserve">เปื้อนสีด้านหน้าและด้านหลัง และ พิมพ์เสีย </t>
  </si>
  <si>
    <t xml:space="preserve">สีหายด้านหน้าตรงตัว "N" </t>
  </si>
  <si>
    <t>ไก่เหยียบศรแสงิริ</t>
  </si>
  <si>
    <t>ดวงใจ (ชมพู-ม่วง)</t>
  </si>
  <si>
    <t>บริษัท กบินทร์อินทรีย์</t>
  </si>
  <si>
    <t>FWBWT264197P</t>
  </si>
  <si>
    <t>PD468060606</t>
  </si>
  <si>
    <t>PD468060608</t>
  </si>
  <si>
    <t>PD468060602</t>
  </si>
  <si>
    <t>พบมีผ้าพับแปะ 1 เป็น 10-12 ใบ จำนวน 250 ใบ</t>
  </si>
  <si>
    <t>พบสีหายด้านหน้าและด้านหลังตัวหนังสือด้านหลังหาย(เป็นทุกใบ)ไม่มีของผสม จำนวน 1,625 ใบ</t>
  </si>
  <si>
    <t>พบผ้ามีรูโคโรน่าเยอะ จำนวน 100 ใบ</t>
  </si>
  <si>
    <t>พบเปื้อนสีเข้ม จำนวน 1,625 ใบ</t>
  </si>
  <si>
    <t>**ปรึกษาฝ่ายขายให้เอาไปได้เลย**</t>
  </si>
  <si>
    <t>สีหายด้านหน้าและด้านหลังตัวหนังสือหายด้านหลังเป็นทุกใบ</t>
  </si>
  <si>
    <t>ผ้ามีรูโรน่าเยอะ</t>
  </si>
  <si>
    <t>**ปรึกษาฝ่ายขายให้เอาไปได้เลย</t>
  </si>
  <si>
    <t>PD468060609</t>
  </si>
  <si>
    <t>PD468060702</t>
  </si>
  <si>
    <t>พบมีรอยเส้นเทปติด จำนวน 1,300 ใบ</t>
  </si>
  <si>
    <t>พบสีแดงอ่อนกว่าเฉด จำนวน 980 ใบ</t>
  </si>
  <si>
    <t>พบผ้าเป็นรอยพยาธิไม่ชัดมากลักษณะดังภาพ จำนวน 460 ใบ</t>
  </si>
  <si>
    <t>พบผ้าเป็นลายอัดเยอะ 345 ใบ และผ้าพับ+รอยพยาธิ 175 ใบ</t>
  </si>
  <si>
    <t>**ปรึกษาฝ่ายขายให้ผสม3/1แยกเลทติดป้ายระบุปัญาแจ้งขนส่ง**</t>
  </si>
  <si>
    <t>พบสีลงไม่เต็ม จำนวน 1,540 ใบ</t>
  </si>
  <si>
    <t>**ปรึกษฝ่ายขายไม่เอา**</t>
  </si>
  <si>
    <t>สีแดงอ่อนกว่าเฉด</t>
  </si>
  <si>
    <t>ผ้าเป็นรอยพยาธิไม่ชัดมาก</t>
  </si>
  <si>
    <t>ลายอัดเยอะ,ผ้าพับ+รอยพยาธิ</t>
  </si>
  <si>
    <t>มักชดแยกเลทติดป้ายระบุปัญหาแจ้งขนส่ง</t>
  </si>
  <si>
    <t>ปรึกษาฝ่ายขายให้ผสม3/1แยกเลทติดป้ายระบุปัญหาแจ้งขนส่ง**</t>
  </si>
  <si>
    <t xml:space="preserve">หนุมานเทอร์โบ </t>
  </si>
  <si>
    <t>บริษัทไบโอกรีนนิค</t>
  </si>
  <si>
    <t>PD468061006</t>
  </si>
  <si>
    <t>PD468061007</t>
  </si>
  <si>
    <t>พบเปื้อนสีด้านหน้าและด้านหลัง จำนวน 6,650 ใบ</t>
  </si>
  <si>
    <t>พบสีตายด้านหน้า+สีหาย จำนวน 300 ใบ</t>
  </si>
  <si>
    <t>**ปรึกษาฝ่ายขายไม่ลบ**</t>
  </si>
  <si>
    <t>สีตายด้านหน้าและสีหาย</t>
  </si>
  <si>
    <t>ปรึกษาฝ่ายขายไม่ลบ</t>
  </si>
  <si>
    <t>ฟีลกู๊ด 802</t>
  </si>
  <si>
    <t>PD468061104</t>
  </si>
  <si>
    <t>PD468061002</t>
  </si>
  <si>
    <t>PD468031102</t>
  </si>
  <si>
    <t>พบิมพ์เสีย จำนวน 685 ใบ</t>
  </si>
  <si>
    <t>พบบล็อคเคลื่อน จำนวน 300 ใบ</t>
  </si>
  <si>
    <t>พบตัวหนังสือไม่ชัดเจนหัวตัวอักษรไม่ครบ จำนวน 250 ใบ</t>
  </si>
  <si>
    <t>พบพิมพ์เสีย จำนวน 103 ใบ</t>
  </si>
  <si>
    <t xml:space="preserve">สีหายด้านหหลัง </t>
  </si>
  <si>
    <t>บล๊อคเคลื่อน</t>
  </si>
  <si>
    <t>ตัวหนังสือไม่ชัดหัวตัวอักษรไม่ครบ</t>
  </si>
  <si>
    <t>PD468061206</t>
  </si>
  <si>
    <t>PD468061212</t>
  </si>
  <si>
    <t>พบผ้าเป็นลายอัดและสีลงไม่เต็ม จำนวน 700 ใบ</t>
  </si>
  <si>
    <t>พบผ้าเป็นรอยพับด้านหน้าและด้านหลัง 300 ใบ และรอยฟ้าผ่าและรอยพยาธิด้านหลัง  400 ใบ</t>
  </si>
  <si>
    <t>พบผ้าเป็นลายอัด+สีลงไม่เต็ม+รอยพยาธิ จำนวน 1,700 ใบ</t>
  </si>
  <si>
    <t>พบพิมพ์เสีย จำนวน 111 ใบ และสีอ่อน 950 ใบ</t>
  </si>
  <si>
    <t>พบพิมพ์เสีย 127 ใบ และตัวหนังสือหายด้านหลัง+เปื้อนสี 200 ใบ</t>
  </si>
  <si>
    <t>**ไม่มีของดีผสมขอมัดแยดเลทติดป้ายระบุปัญหาแจ้งขนส่ง**</t>
  </si>
  <si>
    <t>**มัด100แยกเลทตืดป้ายแจ้งขนส่ง**</t>
  </si>
  <si>
    <t>**ส่ลบสี**</t>
  </si>
  <si>
    <t>ผ้าเป็นรอยพับด้านหน้าและด้านหลัง และรอยฟ้าผ่าและรอยพยาธิด้านหลัง</t>
  </si>
  <si>
    <t>ผ้าเป็นลายอัด+สีลงไม่เต็ม+รอยพยาธิ</t>
  </si>
  <si>
    <t>พบผ้าพับขาวใหญ่ จำนวน 200 ใบ</t>
  </si>
  <si>
    <t xml:space="preserve">ผ้าพับขาวใหญ่ </t>
  </si>
  <si>
    <t>พิมพ์เสีย และสีอ่อน</t>
  </si>
  <si>
    <t>พิมพ์เสีย และตัวหนังสือหายด้านหลัง+เปื้อนสี</t>
  </si>
  <si>
    <t>ไม่มีของดีผสมขอมัดแยดเลทติดป้ายระบุปัญหาแจ้งขนส่ง</t>
  </si>
  <si>
    <t>พิมพ์เสียและสีอ่อน</t>
  </si>
  <si>
    <t xml:space="preserve">พิมพ์เสียและตัวหนังสือหายด้านหลัง+เปื้อนสี </t>
  </si>
  <si>
    <t>KFM</t>
  </si>
  <si>
    <t>WB ฟาร์ม F912 30KG.LP</t>
  </si>
  <si>
    <t>PD468061304</t>
  </si>
  <si>
    <t>PD468061307</t>
  </si>
  <si>
    <t>PD468061309</t>
  </si>
  <si>
    <t>PD468061311</t>
  </si>
  <si>
    <t xml:space="preserve">พบผ้าพับใหญ่ จำนวน 150 ใบ </t>
  </si>
  <si>
    <t>พบสีตายด้านหน้าและด้านหลัง+สีเขียวอ่อน จำนวน 200 ใบ</t>
  </si>
  <si>
    <t>พบสีหายตรงคำว่า "วีโว่400" ด้านหลัง จำนวน 325 ใบ (ไม่เป็นทุกใบ)</t>
  </si>
  <si>
    <t>พบมีผ้าพับด้านหน้าและในจีบขาวใหญ่ จำนวน 288 ใบ</t>
  </si>
  <si>
    <t>พบพิมพ์เสีย จำนวน 251 ใบ</t>
  </si>
  <si>
    <t>พบสีหายด้านหน้าใน1แปะพบ 5-8 ใบ จำนวน 325 ใบ</t>
  </si>
  <si>
    <t>พบเปื้อนสีด้านหน้าและในจีบ จำนวน 220 ใบ</t>
  </si>
  <si>
    <t xml:space="preserve">สีตายด้านหน้าและด้านหลัง+สีเขียวอ่อน </t>
  </si>
  <si>
    <t>สีหายตรงคำว่า "วีโว่400" ด้านหลัง (ไม่เป็นทุกใบ)</t>
  </si>
  <si>
    <t xml:space="preserve">เปื้อนสีด้านหน้าและในจีบ </t>
  </si>
  <si>
    <t>ผ้าพับด้านหน้าและในจีบขาวใหญ่</t>
  </si>
  <si>
    <t>PD468061314</t>
  </si>
  <si>
    <t>พบพิมพ์เสีย 274 ใบ และรอยฟ้าผ่าเยอะ 85 ใบ</t>
  </si>
  <si>
    <t>**พิมพ์เสียลดเกรด,รอยฟ้าผ่าเยอะไม่เอา**</t>
  </si>
  <si>
    <t>พิมพ์เสีย และรอยฟ้าผ่าเยอะ</t>
  </si>
  <si>
    <t>พิมพ์เสียลดเกรด,รอยฟ้าผ่าเยอะไม่เอา</t>
  </si>
  <si>
    <t>Soybean Meal</t>
  </si>
  <si>
    <t>FWBWT2640108P</t>
  </si>
  <si>
    <t>FWBWT2140108PLM</t>
  </si>
  <si>
    <t>PD468061404</t>
  </si>
  <si>
    <t>PD468061409</t>
  </si>
  <si>
    <t>PD468061401</t>
  </si>
  <si>
    <t>PD468061411</t>
  </si>
  <si>
    <t>PD468061310</t>
  </si>
  <si>
    <t>พบสีหายด้านหน้าใน1แปะพบ 5-7 ใบ จำนวน 200 ใบ</t>
  </si>
  <si>
    <t>พบเปื้อนสีแถบข้าง จำนวน 2,950 ใบ</t>
  </si>
  <si>
    <t>พบมีรอยฟ้าผ่าด้านข้าง จำนวน 300 ใบ</t>
  </si>
  <si>
    <t>พบพิมพ์เสีย จำนวน 113 ใบ</t>
  </si>
  <si>
    <t>**ปรึกษาฝ่ายขายให้ผสม25/75มัดแยกเลทระบุปัญหาแจ้งขนส่ง(ถ้าผสมไม่หมดเก็บไว้ผสมรอบหน้า)**</t>
  </si>
  <si>
    <t>พบเปื้อนสีด้านหน้าและด้านหลัง จำนวน 340 ใบ</t>
  </si>
  <si>
    <t xml:space="preserve">เปื้อนสีแถบข้าง </t>
  </si>
  <si>
    <t>รอยฟ้าผ่าด้านข้าง</t>
  </si>
  <si>
    <t>ปรึกษาฝ่ายขายให้ผสม25/75มัดแยกเลทระบุปัญหาแจ้งขนส่ง(ถ้าผสมไม่หมดเก็บไว้ผสมรอบหน้า)</t>
  </si>
  <si>
    <t>หลอดไฟ50 กก.</t>
  </si>
  <si>
    <t>บะหมี่เตี๋ยว</t>
  </si>
  <si>
    <t>PD468061412</t>
  </si>
  <si>
    <t>PD468061410</t>
  </si>
  <si>
    <t>พบพิมพ์เสีย จำนวน 148 ใบ</t>
  </si>
  <si>
    <t>ไก่เหยียบศรกบินทร์</t>
  </si>
  <si>
    <t>กัสโซ่ฟีด101-102</t>
  </si>
  <si>
    <t>PD468061602</t>
  </si>
  <si>
    <t>PD468061408</t>
  </si>
  <si>
    <t>พบสีตายด้านหน้าและด้านหลัง จำนวน 1,050 ใบ</t>
  </si>
  <si>
    <t>พบพิมพ์เสีย จำนวน 221 ใบ</t>
  </si>
  <si>
    <t>พบสีหายด้านหน้าใน 1 แปะพบ 7-10 ใบ จำนวน 100 ใบ</t>
  </si>
  <si>
    <t>KPN 25KG.TAIWAN</t>
  </si>
  <si>
    <t>B-SOY DIGEST</t>
  </si>
  <si>
    <t xml:space="preserve">Lao-Thai German Starch Co.,Ltd </t>
  </si>
  <si>
    <t>บริษัท ไมโครอินโนเวต</t>
  </si>
  <si>
    <t>FWBWT193484PLM</t>
  </si>
  <si>
    <t>PD468061612</t>
  </si>
  <si>
    <t>PD468061603</t>
  </si>
  <si>
    <t>PD468061710</t>
  </si>
  <si>
    <t>PD468061707</t>
  </si>
  <si>
    <t>พบเปื้อนสีและตัวหนังสือไม่ชัด จำนวน 300 ใบ</t>
  </si>
  <si>
    <t>พบพิมพ์เสีย จำนวน 262 ใบ</t>
  </si>
  <si>
    <t>พบตัวภาษาอังกฤษหาย จำนวน 300 ใบ</t>
  </si>
  <si>
    <t>พบเปื้อนสีด้านหลัง ม้วนที่ 1/3=25ใบ 1/4=50ใบ 1/5=50ใบ</t>
  </si>
  <si>
    <t>**ปรึกษาฝ่ายขายให้ผสม3/1 ถ้าเปื้อนสีเยอะและเข้มกว่านี้ให้ส่งลบสี**</t>
  </si>
  <si>
    <t>เปื้อนสีและตัวหนังสือไม่ชัด</t>
  </si>
  <si>
    <t xml:space="preserve">ตัวภาษาอังกฤษหาย </t>
  </si>
  <si>
    <t>ปรึกษาฝ่ายขายให้ผสม3/1 ถ้าเปื้อนสีเยอะและเข้มกว่านี้ให้ส่งลบสี</t>
  </si>
  <si>
    <t>โมโม่4132</t>
  </si>
  <si>
    <t>PD468061806</t>
  </si>
  <si>
    <t>PD468061905</t>
  </si>
  <si>
    <t>PD468061903</t>
  </si>
  <si>
    <t>พบสีหายด้านหน้าตรง รวงข้าว แปะพบ 9-10 ใบ จำนวน 1,000 ใบ และสีหายตรงตัวหนังสือ 200 ใบ</t>
  </si>
  <si>
    <t>พบตัวหนังสือหายด้านหลัง จำนวน 950 ใบ</t>
  </si>
  <si>
    <t>พบสีอ่อน 600 ใบ และสีด้านหน้าและด้านหลังไม่เหมือนกัน 1,000 ใบ</t>
  </si>
  <si>
    <t>**สีหายตรงรวงข้าวผสม สีหายตรงตัวหนังสือหายเยอะไม่เอา**</t>
  </si>
  <si>
    <t>**ขอยก100**</t>
  </si>
  <si>
    <t>**ผสม25/75 มัดแยกเลทติดป้ายแจ้งขนส่ง**</t>
  </si>
  <si>
    <t>สีหายด้านหน้าตรง รวงข้าว  และสีหายตรงตัวหนังสือ</t>
  </si>
  <si>
    <t>สีอ่อน  และสีด้านหน้าและด้านหลังไม่เหมือนกัน</t>
  </si>
  <si>
    <t>สีหายตรงรวงข้าวผสม สีหายตรงตัวหนังสือหายเยอะไม่เอา</t>
  </si>
  <si>
    <t>ขอยก100</t>
  </si>
  <si>
    <t>ผสม25/75 มัดแยกเลทติดป้ายแจ้งขนส่ง</t>
  </si>
  <si>
    <t>PD468062002</t>
  </si>
  <si>
    <t>PD468062004</t>
  </si>
  <si>
    <t>พบเปื้อนสีเป็นเส้นยาว 1 แปะ เป็น 10-15 ใบ จำนวน 700 ใบ</t>
  </si>
  <si>
    <t>พบพิมพ์เสีย ม้วนที่ 3/34=107ใบ 3/36=125ใบ</t>
  </si>
  <si>
    <t>พบรูโคโรน่าเยอะและใหญ่ จำนวน 217 ใบ</t>
  </si>
  <si>
    <t>พบเปื้อนสีเข้ม จำนวน 1,925 ใบ</t>
  </si>
  <si>
    <t>พบสีหาย 1 แปะเป็นเกือบทุกใบมีทั้งหายเยอะและหายน้อยปนกันมา จำนวน 900 ใบ</t>
  </si>
  <si>
    <t>พบพิมพ์เสีย จำนวน 180 ใบ</t>
  </si>
  <si>
    <t xml:space="preserve">เปื้อนสีเป็นเส้นยาว </t>
  </si>
  <si>
    <t>รูโคโรน่าเยอะและใหญ่</t>
  </si>
  <si>
    <t>PD468062005</t>
  </si>
  <si>
    <t>PD468062104</t>
  </si>
  <si>
    <t>PD468062301</t>
  </si>
  <si>
    <t>PD468062304</t>
  </si>
  <si>
    <t>พบเปื้อนสีเข้มด้านหน้าและด้านหลัง จำนวน 35 0ใบ</t>
  </si>
  <si>
    <t>พบสีตายด้านหน้า จำนวน 350 ใบ</t>
  </si>
  <si>
    <t>พบเปื้อนสี จำนวน 2,820 ใบ</t>
  </si>
  <si>
    <t xml:space="preserve">พบเปื้อนสีตะเข็บด้านล่างเป็นทั้งม้วน </t>
  </si>
  <si>
    <t>พบสีตายด้านข้าง จำนวน 350 ใบ</t>
  </si>
  <si>
    <t>พบเปื้อนสี+สีตายด้านข้าง จำนวน 650 ใบ</t>
  </si>
  <si>
    <t>**ปรึกษาฝ่ายขายถ้าเปื้อนสีเยอะให้ส่งลบสี**</t>
  </si>
  <si>
    <t>**มัดเลย**</t>
  </si>
  <si>
    <t>**ส่งลบสีแล้วผสม25/75**</t>
  </si>
  <si>
    <t xml:space="preserve">เปื้อนสีเข้มด้านหน้าและด้านหลัง </t>
  </si>
  <si>
    <t xml:space="preserve">เปื้อนสีตะเข็บด้านล่างเป็นทั้งม้วน </t>
  </si>
  <si>
    <t>สีตายด้านข้าง</t>
  </si>
  <si>
    <t xml:space="preserve">เปื้อนสี+สีตายด้านข้าง </t>
  </si>
  <si>
    <t>ปรึกษาฝ่ายขายถ้าเปื้อนสีเยอะให้ส่งลบสี</t>
  </si>
  <si>
    <t>มัดเลย</t>
  </si>
  <si>
    <t>ส่งลบสีแล้วผสม25/75</t>
  </si>
  <si>
    <t>พบพิมพ์เสีย จำนวน 326 ใบ</t>
  </si>
  <si>
    <t>PD468062401</t>
  </si>
  <si>
    <t>พบ2 ม้วนนี้มีพิมพ์เสีย จำนวน 434 ใบ</t>
  </si>
  <si>
    <t>พบสีลงไม่เต็ม จำนวน 800 ใบ</t>
  </si>
  <si>
    <t>FELDSPAR SP SPAR A</t>
  </si>
  <si>
    <t>PD468062504</t>
  </si>
  <si>
    <t>PD468062505</t>
  </si>
  <si>
    <t>PD468062501</t>
  </si>
  <si>
    <t>พบสีตายด้านข้าง จำนวน 700 ใบ</t>
  </si>
  <si>
    <t>พบเปื้อนสีเข้ม จำนวน 425 ใบ</t>
  </si>
  <si>
    <t>PD468062601</t>
  </si>
  <si>
    <t>PD468062608</t>
  </si>
  <si>
    <t>พบรอยเส้นเทป จำนวน 400 ใบ</t>
  </si>
  <si>
    <t>พบตัวหนังสือด้านหลังมีรอยเส้นเทปติด จำนวน 550 ใบ</t>
  </si>
  <si>
    <t>พบพิมพ์เสีย จำนวน 190 ใบ</t>
  </si>
  <si>
    <t>พบสีลงไม่เต็ม จำนวน 280 ใบ</t>
  </si>
  <si>
    <t>พบบล็อคเลื่อนด้านหลัง จำนวน 180 ใบ</t>
  </si>
  <si>
    <t xml:space="preserve">ตัวหนังสือด้านหลังมีรอยเส้นเทปติด </t>
  </si>
  <si>
    <t>บล็อคเลื่อนด้านหลัง</t>
  </si>
  <si>
    <t>โบว์แดง 10กก.</t>
  </si>
  <si>
    <t>FWBWT162545P</t>
  </si>
  <si>
    <t>PD468062708</t>
  </si>
  <si>
    <t>PD468062703</t>
  </si>
  <si>
    <t>พบเปื้อนสี จำนวน 1,000 ใบ</t>
  </si>
  <si>
    <t>พบเปื้อนสีด้านหลัง จำนวน 700 ใบ</t>
  </si>
  <si>
    <t>พบเปื้อนสีตรงตะเข็บด้านหลัง จำนวน 700 ใบ</t>
  </si>
  <si>
    <t xml:space="preserve">W30 </t>
  </si>
  <si>
    <t>เคอรี่ 997</t>
  </si>
  <si>
    <t>PD468062704</t>
  </si>
  <si>
    <t>PD468062709</t>
  </si>
  <si>
    <t>PD468062710</t>
  </si>
  <si>
    <t>PD468062706</t>
  </si>
  <si>
    <t>พบผ้าเป็นลายอัด แปะ1 เป็น 8-12 ใบจำนวน 1,740 ใบ</t>
  </si>
  <si>
    <t>พบเปื้อนสีเข้ม จำนวน 600 ใบ</t>
  </si>
  <si>
    <t>พบเปื้อนรอยมาร์คด้านหน้าและเปื้อนสีด้านหลัง ม้วนที่ 8/1=375ใบ 8/4=1,200ใบ 8/5=800ใบ 8/6=100ใบ</t>
  </si>
  <si>
    <t>พบผ้าเป็นลายอัดชัดและเยอะ จำนวน 477 ใบ</t>
  </si>
  <si>
    <t>**แยกรอพิจารณา**</t>
  </si>
  <si>
    <t xml:space="preserve">เปื้อนสีตรงตะเข็บด้านหลัง </t>
  </si>
  <si>
    <t>ผ้าเป็นลายอัด</t>
  </si>
  <si>
    <t>เปื้อนรอยมาร์คด้านหน้าและเปื้อนสีด้านหลัง</t>
  </si>
  <si>
    <t>ผ้าเป็นลายอัดชัดและเยอะ</t>
  </si>
  <si>
    <t>แยกรอพิจารณา</t>
  </si>
  <si>
    <t>เพอเฟคค์ 103Sโกลด์</t>
  </si>
  <si>
    <t>FWBWT1935102PLM</t>
  </si>
  <si>
    <t>PD468062705</t>
  </si>
  <si>
    <t>PD468062804</t>
  </si>
  <si>
    <t>PD468062807</t>
  </si>
  <si>
    <t>PD468062803</t>
  </si>
  <si>
    <t>PD468062711</t>
  </si>
  <si>
    <t>PD468062808</t>
  </si>
  <si>
    <t>พบเปื้อนสีด้านหลัง จำนวน 675 ใบ</t>
  </si>
  <si>
    <t>พบพิมพ์เสีย จำนวน 335 ใบ</t>
  </si>
  <si>
    <t xml:space="preserve">สีลงเต็มสม่ำเสมอ งานพิมพ์ชัดเจน </t>
  </si>
  <si>
    <t>พบสีหายตรงตัว "ก"และตัว "g" แถบข้าง จำนวน 110 ใบ</t>
  </si>
  <si>
    <t>พบพิมพ์เสีย ม้วนที่ 2/1=141ใบ 2/2=160ใบ</t>
  </si>
  <si>
    <t>พบมีรอยเส้นเทปติดด้านหลัง จำนวน 1,000 ใบ</t>
  </si>
  <si>
    <t>พบผ้าพับใหญ่ จำนวน 113 ใบ</t>
  </si>
  <si>
    <t xml:space="preserve">สีหายตรงตัว "ก"และตัว "g" แถบข้าง </t>
  </si>
  <si>
    <t>พบเปื้อนสีม้วนที่ 2/3=600ใบ 2/4=900ใบ</t>
  </si>
  <si>
    <t>PD468063002</t>
  </si>
  <si>
    <t>PD468063004</t>
  </si>
  <si>
    <t>พบผ้าพับใหญ่ จำนวน 220 ใบ</t>
  </si>
  <si>
    <t>พบพิมพ์เสีย ม้วนที่ 2/1=183ใบ 2/3=327ใบ</t>
  </si>
  <si>
    <t>FWBWT0236100PLM</t>
  </si>
  <si>
    <t>PD468063003</t>
  </si>
  <si>
    <t>PD468062802</t>
  </si>
  <si>
    <t>PD468063005</t>
  </si>
  <si>
    <t>PD468070101</t>
  </si>
  <si>
    <t>PD468063006</t>
  </si>
  <si>
    <t>PD468070102</t>
  </si>
  <si>
    <t>พบสีตาย จำนวน 300 ใบ</t>
  </si>
  <si>
    <t>พบสีแดงอ่อน จำนวน 200 ใบ</t>
  </si>
  <si>
    <t>พบพิมพ์เสีย ม้วนที่ 3/2=100ใบ 3/5=100ใบ</t>
  </si>
  <si>
    <t>พบพิมพ์เสีย ม้วนที่ 8/1=110ใบ 8/11=119ใบ</t>
  </si>
  <si>
    <t>**ปรึกษาฝ่ายขายให้มัดแยกไป**</t>
  </si>
  <si>
    <t xml:space="preserve">สีแดงอ่อน </t>
  </si>
  <si>
    <t>ปรึกษาฝ่ายขายให้มัดแยกไป</t>
  </si>
  <si>
    <t>PD468070106</t>
  </si>
  <si>
    <t>พบสีน้ำเงินอ่อนกว่าเฉด 460 ใบ และ สีแดงเข้มสีน้ำเงินอ่อนกว่าเฉด 80 ใบ</t>
  </si>
  <si>
    <t>พบสีหายด้านหน้า จำนวน 150 ใบ</t>
  </si>
  <si>
    <t>**ปรึกษาฝ่ายขายให้เสี่ยงส่งมัดแยกไป**</t>
  </si>
  <si>
    <t>สีน้ำเงินอ่อนกว่าเฉด  และ สีแดงเข้ม</t>
  </si>
  <si>
    <t>ปรึกษาฝ่ายขายให้เสี่ยงส่งมัดแยกไป</t>
  </si>
  <si>
    <t>โมโม่492</t>
  </si>
  <si>
    <t>PD468070206</t>
  </si>
  <si>
    <t>PD468070207</t>
  </si>
  <si>
    <t>PD468070202</t>
  </si>
  <si>
    <t>PD468070208</t>
  </si>
  <si>
    <t>PD468070204</t>
  </si>
  <si>
    <t>พบเปื้อนสีม้วนที่ 2/1=250ใบ 2/2=400ใบ</t>
  </si>
  <si>
    <t>พบผ้าเป็นรอยตะขาบในจีบ จำนวน 500 ใบ</t>
  </si>
  <si>
    <t>พบบล็อคเคลื่อนด้านหลัง 211 ใบ และพิมพ์เสีย 229 ใบ</t>
  </si>
  <si>
    <t>พบพิมพ์เสีย จำนวน 625 ใบ</t>
  </si>
  <si>
    <t>ผ้าเป็นรอยตะขาบในจีบ</t>
  </si>
  <si>
    <t xml:space="preserve">บล็อคเคลื่อนด้านหลัง และพิมพ์เสีย </t>
  </si>
  <si>
    <t>PD468070210</t>
  </si>
  <si>
    <t>พบสีหายตรงตัว "H" กับเลข "24" แปะ1เป็น5-6ใบ จำนวน 700 ใบ และสีหายตรงตัวปลาด้านข้างแปะ 1 เป็น 3-5 ใบ จำนวน 250 ใบ</t>
  </si>
  <si>
    <t>พบสีตายด้านข้าง จำนวน 160 ใบ</t>
  </si>
  <si>
    <t>พบสีลงไม่เต็ม+เป็นเกร็ดขาวแถบข้าง จำนวน 900 ใบ</t>
  </si>
  <si>
    <t>พบสีแดง 2 ข้างไม่เหมือนกัน จำนวน 1,800 ใบ</t>
  </si>
  <si>
    <t>สีหายตรงตัว "H" กับเลข "24" แ และสีหายตรงตัวปลาด้านข้าง</t>
  </si>
  <si>
    <t xml:space="preserve">สีตายด้านข้าง </t>
  </si>
  <si>
    <t xml:space="preserve">สีลงไม่เต็ม+เป็นเกร็ดขาวแถบข้าง </t>
  </si>
  <si>
    <t>สีแดง 2 ข้างไม่เหมือนกัน</t>
  </si>
  <si>
    <t>BS</t>
  </si>
  <si>
    <t>PD468070304</t>
  </si>
  <si>
    <t>พบสีหายตรงโลโก้ จำนวน 220 ใบ</t>
  </si>
  <si>
    <t>พบรูโคโรน่ากระจายด้านหลัง จำนวน 189 ใบ</t>
  </si>
  <si>
    <t>**ปรึกษาฝ่ายขายถ้ารูน้อยไม่เยอะดังภาพเอาได้ ถ้ารูใหญ่และเยอะไม่เอา**</t>
  </si>
  <si>
    <t xml:space="preserve">สีตายด้านหลัง </t>
  </si>
  <si>
    <t xml:space="preserve">รูโคโรน่ากระจายด้านหลัง </t>
  </si>
  <si>
    <t>ปรึกษาฝ่ายขายถ้ารูน้อยไม่เยอะดังภาพเอาได้ ถ้ารูใหญ่และเยอะไม่เอา</t>
  </si>
  <si>
    <t>เลิฟซอยล์26-6-6</t>
  </si>
  <si>
    <t>ยูนิคอร์นฟิช202</t>
  </si>
  <si>
    <t>FWWBT2036100PLM</t>
  </si>
  <si>
    <t>PD468070405</t>
  </si>
  <si>
    <t>PD468070301</t>
  </si>
  <si>
    <t>PD468070305</t>
  </si>
  <si>
    <t>PD468070407</t>
  </si>
  <si>
    <t xml:space="preserve">พบเปื้อนสีด้านหน้าและด้านหลัง จำนวน 1,775 ใบ </t>
  </si>
  <si>
    <t>พบสีตายด้านหลัง จำนวน 950 ใบ</t>
  </si>
  <si>
    <t>พบสีหายตรงตัว "M" มีทั้งเล็กและใหญ่แปะ 1 เป็น 9-12 ใบ จำนวน 1,500 ใบ</t>
  </si>
  <si>
    <t>พบพิมพ์เสีย จำนวน 391 ใบ</t>
  </si>
  <si>
    <t>พบสีหายด้านหลังแปะพบ 5-10 ใบ จำนวน 320 ใบ</t>
  </si>
  <si>
    <t>**ปรึกษาฝ่ายขายให้ส่งลบสีแล้วผสม3/1**</t>
  </si>
  <si>
    <t>**ผสม2/2**</t>
  </si>
  <si>
    <t>พบสีหายตรงตัว M+เปื้อนสี จำนวน 400 ใบ</t>
  </si>
  <si>
    <t xml:space="preserve">สีหายตรงตัว M+เปื้อนสี </t>
  </si>
  <si>
    <t>สีหายตรงตัว "M" มีทั้งเล็กและใหญ่</t>
  </si>
  <si>
    <t>ปรึกษาฝ่ายขายให้ส่งลบสีแล้วผสม3/1</t>
  </si>
  <si>
    <t>ผสม2/2</t>
  </si>
  <si>
    <t>SPM915</t>
  </si>
  <si>
    <t>ฟีลกู๊ดพี6</t>
  </si>
  <si>
    <t>PD468070501</t>
  </si>
  <si>
    <t>PD468070406</t>
  </si>
  <si>
    <t>PD468070502</t>
  </si>
  <si>
    <t>PD468070503</t>
  </si>
  <si>
    <t>PD468070508</t>
  </si>
  <si>
    <t>พบเปื้อนสีเข้มด้านหน้าและด้านหลัง จำนวน 3,171 ใบ</t>
  </si>
  <si>
    <t>พบเศษฟิล์มติดบล็อคทำให้เป็นรอยลักษณะดังภาพ จำนวน 170 ใบ</t>
  </si>
  <si>
    <t>พบพิมพ์เสีย จำนวน 153 ใบ</t>
  </si>
  <si>
    <t>พบเปื้อนสี800ใบ สีลงไม่เต็ม200ใบ และสีหายด้านหลัง200ใบ</t>
  </si>
  <si>
    <t>**ส่งลบสี เปื้อนจางผสม**</t>
  </si>
  <si>
    <t>**ผมส25/75**</t>
  </si>
  <si>
    <t>เศษฟิล์มติดบล็อคทำให้เป็นรอยลักษณะดังภาพ</t>
  </si>
  <si>
    <t>เปื้อนสี สีลงไม่เต็ม และสีหายด้านหลัง</t>
  </si>
  <si>
    <t>ส่งลบสี เปื้อนจางผสม</t>
  </si>
  <si>
    <t>ผมส25/75</t>
  </si>
  <si>
    <t>เมอร์รี่882M</t>
  </si>
  <si>
    <t>บริษัท บลูฟาโล่ จำกัด</t>
  </si>
  <si>
    <t>PD468070506</t>
  </si>
  <si>
    <t>PD468070702</t>
  </si>
  <si>
    <t>พบสีตายตรงตัวหนังสือด้านหลัง จำนวน 550 ใบ</t>
  </si>
  <si>
    <t>พบพิมพ์เสีย จำนวน 197 ใบ</t>
  </si>
  <si>
    <t>พบสีหายตรงตัวเลข "4" ด้านหลัง จำนนวน 190 ใบ</t>
  </si>
  <si>
    <t>พบพิมพ์เสีย จำนวน 115 ใบ</t>
  </si>
  <si>
    <t>สีตายตรงตัวหนังสือด้านหลัง</t>
  </si>
  <si>
    <t xml:space="preserve">สีหายตรงตัวเลข "4" ด้านหลัง </t>
  </si>
  <si>
    <t>PD468070802</t>
  </si>
  <si>
    <t>PD468070801</t>
  </si>
  <si>
    <t>พบมีรอยตะขาบ จำนวน 300 ใบ</t>
  </si>
  <si>
    <t>พบสีตายด้านหน้า จำนวน 600 ใบ</t>
  </si>
  <si>
    <t>พบพิมพ์เสีย จำนวน 157 ใบ</t>
  </si>
  <si>
    <t>รอยตะขาบ</t>
  </si>
  <si>
    <t>SPEED PLUS 333เขมร</t>
  </si>
  <si>
    <t>PD468070902</t>
  </si>
  <si>
    <t>PD468070904</t>
  </si>
  <si>
    <t>พบสีหายด้านหน้า จำนวน 350 ใบ</t>
  </si>
  <si>
    <t>พบรอยเส้นเทปติดตรง "ส" ด้านหลัง จำนวน 1,060 ใบ</t>
  </si>
  <si>
    <t>**ปรึกษาฝ่ายขายให้ผสมแยกเลทระบุปัญหาแจ้งขนส่ง**</t>
  </si>
  <si>
    <t>รอยเส้นเทปติดตรง "ส" ด้านหลัง</t>
  </si>
  <si>
    <t>ปรึกษาฝ่ายขายให้ผสมแยกเลทระบุปัญหาแจ้งขนส่ง</t>
  </si>
  <si>
    <t>พี-มินเนอร์ นิวพลัส</t>
  </si>
  <si>
    <t>คุณฐนวรวรรศณ์ ภัทรนนท์สกุล</t>
  </si>
  <si>
    <t>FWBWT162856PL</t>
  </si>
  <si>
    <t>PD468071101</t>
  </si>
  <si>
    <t>พบเปื้อนสี จำนวน 1,300 ใบ</t>
  </si>
  <si>
    <t>พบพิมพ์เสีย จำนวน 136 ใบ</t>
  </si>
  <si>
    <t>PD468071103</t>
  </si>
  <si>
    <t>PD468071201</t>
  </si>
  <si>
    <t>PD468071102</t>
  </si>
  <si>
    <t>PD468071405</t>
  </si>
  <si>
    <t>พบผ้าเป็นรูโคโรน่าเยอะ จำนวน 160 ใบ</t>
  </si>
  <si>
    <t>พบสีหายตรงตัว "D" ด้านหลัง จำนวน 850 ใบ</t>
  </si>
  <si>
    <t>พบพิมพ์เสีย ม้วนที่ 3/9=146ใบ 3/16=146ใบ</t>
  </si>
  <si>
    <t>**ปรึกษาฝ่ายขายถ้าเปื้อนเข้มเยอะให้ลบสี ถ้าเปื้อนน้อยจางๆให้ผสม**</t>
  </si>
  <si>
    <t>ผ้าเป็นรูโคโรน่าเยอะ</t>
  </si>
  <si>
    <t>สีหายตรงตัว "D" ด้านหลัง</t>
  </si>
  <si>
    <t>ปรึกษาฝ่ายขายถ้าเปื้อนเข้มเยอะให้ลบสี ถ้าเปื้อนน้อยจางๆให้ผสม</t>
  </si>
  <si>
    <t>พบเปื้อนสีด้านหน้าและด้านหลัง ม้วนที่ 3/1=575ใบ 3/2=75ใบ 3/3=450ใบ 3/7=50ใบ 3/9=400ใบ 3/4=425ใบ 3/5=350ใบ 3/8=600ใบ 3/11=1350ใบ 3/16=400ใบ 3/23=525ใบ 3/15=125ใบ 3/14=300ใบ 3/17=1550ใบ 3/18=1000ใบ 3/19=375ใบ 3/20=864ใบ 3/21=850ใบ 3/22=75ใบ</t>
  </si>
  <si>
    <t>PD468071409</t>
  </si>
  <si>
    <t>PD468071504</t>
  </si>
  <si>
    <t>พบรูโคโรน่ารูใหญ่และเยอะ 375 ใบ และ พิมพ์เสีย 125 ใบ</t>
  </si>
  <si>
    <t>พบสีลงไม่เต็ม จำนวน 250 ใบ</t>
  </si>
  <si>
    <t>พบพิมพ์เสีย 175 ใบ และเปื้อนสีเข้ม 136 ใบ</t>
  </si>
  <si>
    <t>พบเปื้อนสีเข้มชัดด้านหน้าและด้านหลัง จำนวน 2,000 ใบ</t>
  </si>
  <si>
    <t xml:space="preserve">รูโคโรน่ารูใหญ่และเยอะ และ พิมพ์เสีย </t>
  </si>
  <si>
    <t>พิมพ์เสีย  และเปื้อนสีเข้ม</t>
  </si>
  <si>
    <t>เปื้อนสีเข้มชัดด้านหน้าและด้านหลัง</t>
  </si>
  <si>
    <t>PD468071505</t>
  </si>
  <si>
    <t>PD468071608</t>
  </si>
  <si>
    <t>PD468071503</t>
  </si>
  <si>
    <t>PD468071609</t>
  </si>
  <si>
    <t>พบสีหายด้านหลัง 700 ใบ และ สีหาย+สีตายด้านหลัง 250 ใบ</t>
  </si>
  <si>
    <t>พบพิมพ์เสีย จำนวน 328 ใบ</t>
  </si>
  <si>
    <t>พบเปื้อนสีม้วนที่ 3/3=275ใบ 3/7=250ใบ 3/8=150ใบ</t>
  </si>
  <si>
    <t>พบสีหาย จำนวน 400 ใบ</t>
  </si>
  <si>
    <t>พบเปื้อนสีม้วนที่ 2/1=50ใบ 2/2=225ใบ</t>
  </si>
  <si>
    <t>สีหายและสีตาย</t>
  </si>
  <si>
    <t>CHEMEMAN CAL 100 50KG.(ฟ้า)</t>
  </si>
  <si>
    <t>บมจ.เคมีแมน</t>
  </si>
  <si>
    <t>PD468071701</t>
  </si>
  <si>
    <t>PD468071602</t>
  </si>
  <si>
    <t>PD468071705</t>
  </si>
  <si>
    <t>พบพิมพ์เสีย จำนวน 500 ใบ</t>
  </si>
  <si>
    <t>พบเปื้อนสีเข้ม จำนวน 175 ใบ</t>
  </si>
  <si>
    <t>พบสีตายด้านหน้า จำนวน 700 ใบ</t>
  </si>
  <si>
    <t>พบพิมพ์เสีย จำนวน 215 ใบ</t>
  </si>
  <si>
    <t>พบสีหายแถบข้างและสีตายด้านหลัง จำนวน 175 ใบ</t>
  </si>
  <si>
    <t>สีหายแถบข้างและสีตายด้านหลัง</t>
  </si>
  <si>
    <t>พบม้วนนี้มีตัวหนังสือหายด้านหลังแปะ1เป็น 4-6 ใบ จำนวน 700 ใบ</t>
  </si>
  <si>
    <t>ม้วนนี้มีตัวหนังสือหายด้านหลัง</t>
  </si>
  <si>
    <t>PD468071803</t>
  </si>
  <si>
    <t>PD468071802</t>
  </si>
  <si>
    <t>พบสีหายแปะ1พบ 6-8 ใบ จำนวน 500 ใบ</t>
  </si>
  <si>
    <t>พบสีหายด้านหลัง จำนวน 875 ใบ</t>
  </si>
  <si>
    <t>พบสีหายตรงเครื่องหมายฮาลาล จำนวน 1,050 ใบ</t>
  </si>
  <si>
    <t>พบพิมพ์เสีย จำนวน 229 ใบ</t>
  </si>
  <si>
    <t>พบพิมพ์เสีย จำนวน 170 ใบ</t>
  </si>
  <si>
    <t>พบพิมพ์เสีย ม้วนที่ 8/3=146ใบ 8/4=103ใบ</t>
  </si>
  <si>
    <t>พบพิมพ์เสีย จำนวน 222 ใบ</t>
  </si>
  <si>
    <t>PD468071804</t>
  </si>
  <si>
    <t>พบสีหายแปะพบ7-15ใบ จำนวน 500 ใบ</t>
  </si>
  <si>
    <t>พบมีรอยตะขาบด้านข้าง จำนวน 900 ใบ</t>
  </si>
  <si>
    <t>รอยตะขาบด้านข้าง</t>
  </si>
  <si>
    <t>**ปรึกษาฝ่ายขายแล้วไม่เป็นทุกใบให้ผสมแล้วแยกเลทติดป้ายระบุปัญหาแจ้งขนส่ง**</t>
  </si>
  <si>
    <t>ปรึกษาฝ่ายขายแล้วไม่เป็นทุกใบให้ผสมแล้วแยกเลทติดป้ายระบุปัญหาแจ้งขนส่ง</t>
  </si>
  <si>
    <t>PD468071805</t>
  </si>
  <si>
    <t>พบสีหายแปะพบ 5-7 ใบ จำนวน 950 ใบ</t>
  </si>
  <si>
    <t>**ปรึกษาฝ่ายขายให้แต้มสี แล้วผสมถ้าผสมรอบนี้ไม่ทันให้ผสมรอบหน้า**</t>
  </si>
  <si>
    <t>ปรึกษาฝ่ายขายให้แต้มสี แล้วผสมถ้าผสมรอบนี้ไม่ทันให้ผสมรอบหน้า</t>
  </si>
  <si>
    <t>แปดแต้มแดง 25กก.</t>
  </si>
  <si>
    <t>WHOLE WHEAT</t>
  </si>
  <si>
    <t>PD468071909</t>
  </si>
  <si>
    <t>PD468072101</t>
  </si>
  <si>
    <t>PD468072108</t>
  </si>
  <si>
    <t>PD468072104</t>
  </si>
  <si>
    <t>พบเปื้อนสี จำนวน 1,875 ใบ</t>
  </si>
  <si>
    <t>พบเป็นรอยเส้นเทปด้านหลัง จำนวน 200 ใบ</t>
  </si>
  <si>
    <t>พบมีรอยเส้นเทปติดด้านหลังและตัวหนังสือไม่คมชัดเป็นแบบนี้ทั้งม้วน จำนวน 2,500 ใบ</t>
  </si>
  <si>
    <t>พบผ้าเป็นรอยตะขาบด้านหน้าและด้านหลัง 300 ใบ และสีหายด้านข้าง 150 ใบ</t>
  </si>
  <si>
    <t>พบเปื้อนสีลักษณะดังภาพ จำนวน 225 ใบ</t>
  </si>
  <si>
    <t>**อยู่ระหว่างปรึกษาให้ผสมหรือให้มัดงาน**</t>
  </si>
  <si>
    <t xml:space="preserve">รอยเส้นเทปด้านหลัง </t>
  </si>
  <si>
    <t>รอยเส้นเทปติดด้านหลังและตัวหนังสือไม่คมชัด</t>
  </si>
  <si>
    <t>ผ้าเป็นรอยตะขาบด้านหน้าและด้านหลัง</t>
  </si>
  <si>
    <t>เปื้อนสีลักษณะดังภาพ</t>
  </si>
  <si>
    <t>อยู่ระหว่างปรึกษาให้ผสมหรือให้มัดงาน</t>
  </si>
  <si>
    <t>พบบล็อกเลื่อนด้านข้าง จำนวน 400 ใบ</t>
  </si>
  <si>
    <t xml:space="preserve">บล็อกเลื่อนด้านข้าง </t>
  </si>
  <si>
    <t>รวงข้าวส้ม</t>
  </si>
  <si>
    <t>ธ.เมล็ดพันธุ์ข้าวชุมชน ต.หนองกะปุ</t>
  </si>
  <si>
    <t>ธนาคารเมล็ดพันธุ์ข้าวชุมชน ตำบลหนองกะปุ</t>
  </si>
  <si>
    <t>FWBWT213461P</t>
  </si>
  <si>
    <t>PD468072202</t>
  </si>
  <si>
    <t>PD468072201</t>
  </si>
  <si>
    <t>PD468072205</t>
  </si>
  <si>
    <t>PD468072207</t>
  </si>
  <si>
    <t>PD468072208</t>
  </si>
  <si>
    <t>พบพิมพ์เสียม้วนที่ 4/1=200ใบ 4/2=170ใบ</t>
  </si>
  <si>
    <t>พบพิมพ์เสีย จำนวน 240 ใบ</t>
  </si>
  <si>
    <t>พบสีหายด้านหลังแปะ 1 เป็น 4-6 ใบ จำนวน 600 ใบ</t>
  </si>
  <si>
    <t>พบผ้าเป็นรูโคโรน่า จำนวน 200 ใบ</t>
  </si>
  <si>
    <t>พบเปื้อนสีม้วนที่ 3/1=500ใบ 3/2=475ใบ 3/6=300ใบ 3/7=150ใบ</t>
  </si>
  <si>
    <t>บริษัท เอ็นบี ดิสทริบิวชั่น</t>
  </si>
  <si>
    <t>PD468072206</t>
  </si>
  <si>
    <t>PD468072304</t>
  </si>
  <si>
    <t>พบเป็นลายน้ำด้านหน้าและเปื้อนสีแถบข้าง จำนวน 100 ใบ</t>
  </si>
  <si>
    <t>พบสีตาย จำนวน 400 ใบ</t>
  </si>
  <si>
    <t>พบสีตายด้านข้าง จำนวน 300 ใบ</t>
  </si>
  <si>
    <t>พบมีรอยเส้นเทปติด+เปื้อนสี จำนวน 350 ใบ</t>
  </si>
  <si>
    <t>พบมีรอยเส้นเทปติดด้านหลังทั้งม้วน จำนวน 2,500 ใบ</t>
  </si>
  <si>
    <t>พบสีหายตรงหัวปลาด้านข้างสีลงไม่เต็มเปื้อนสีเป็นเส้นดำๆ จำนวน 700 ใบ</t>
  </si>
  <si>
    <t>พบเปื้อนสีม้วนที่ 3/5=600ใบ 3/8=1,650ใบ 3/10=1,100ใบ 3/11=50ใบ 3/13=28ใบ 3/16=975ใบ 3/17=1,600ใบ 3/29=1,050ใบ</t>
  </si>
  <si>
    <t>**ปรึกษาฝ่ายขายให้แซมแปะละ1ใบ ถ้าเป็นเยอะกว่านี้ไม่เอา**</t>
  </si>
  <si>
    <t>**รอพิจารณา**</t>
  </si>
  <si>
    <t xml:space="preserve">เป็นลายน้ำด้านหน้าและเปื้อนสีแถบข้าง </t>
  </si>
  <si>
    <t xml:space="preserve">รอยเส้นเทปติด+เปื้อนสี </t>
  </si>
  <si>
    <t xml:space="preserve">สีหายตรงหัวปลาด้านข้างสีลงไม่เต็มเปื้อนสีเป็นเส้นดำๆ </t>
  </si>
  <si>
    <t>ปรึกษาฝ่ายขายให้แซมแปะละ1ใบ ถ้าเป็นเยอะกว่านี้ไม่เอา</t>
  </si>
  <si>
    <t>รอพิจารณา</t>
  </si>
  <si>
    <t>พบมีรอยเส้นเทปติดและรอยผ้าพับ+เปื้อนสี จำนวน 150 ใบ</t>
  </si>
  <si>
    <t xml:space="preserve">รอยเส้นเทปติดและรอยผ้าพับ+เปื้อนสี </t>
  </si>
  <si>
    <t>PD468072404</t>
  </si>
  <si>
    <t>PD468072401</t>
  </si>
  <si>
    <t>PD468072406</t>
  </si>
  <si>
    <t>พบมีรอยอัดขาวเยอะและหลายเส้น จำนวน 150 ใบ</t>
  </si>
  <si>
    <t>พบสีหาย 1 แปะเป็น 7-8 ใบ จำนวน 480 ใบ</t>
  </si>
  <si>
    <t>พบสีอ่อน จำนวน 940 ใบ</t>
  </si>
  <si>
    <t>พบพิมพ์เสีย ม้วนที่ 2/1=385ใบ 2/5=117ใบ</t>
  </si>
  <si>
    <t>พบพิมพ์เสีย จำนวน 117 ใบ</t>
  </si>
  <si>
    <t>**ปรึกษาฝ่ายขายให้แบ่งผสม2รอบ(ไว้ผสมรอบหน้า300ใบ)**</t>
  </si>
  <si>
    <t>รอยอัดขาวเยอะและหลายเส้น</t>
  </si>
  <si>
    <t>ปรึกษาฝ่ายขายให้แบ่งผสม2รอบ(ไว้ผสมรอบหน้า300ใบ)</t>
  </si>
  <si>
    <t>PD468072405</t>
  </si>
  <si>
    <t>*ผสม3/1**</t>
  </si>
  <si>
    <t>พบมีรอยพยาธิและรอยฟ้าผ่า จำนวน 400 ใบ</t>
  </si>
  <si>
    <t xml:space="preserve">รอยพยาธิและรอยฟ้าผ่า </t>
  </si>
  <si>
    <t>8S</t>
  </si>
  <si>
    <t>PD468072501</t>
  </si>
  <si>
    <t>PD468072407</t>
  </si>
  <si>
    <t>PD468072503</t>
  </si>
  <si>
    <t>PD468072504</t>
  </si>
  <si>
    <t>พบเปื้อนสีด้านข้างเข้ม จำนวน 500 ใบ</t>
  </si>
  <si>
    <t>พบมีรอยอัดขาวเยอะ จำนวน 230 ใบ</t>
  </si>
  <si>
    <t>พบพิมพ์เสีย จำนวน 255 ใบ</t>
  </si>
  <si>
    <t>พบสีตายแถบข้าง จำนวน 150 ใบ</t>
  </si>
  <si>
    <t>พบพิมพ์เสีย ม้วนที่ 2/3=125ใบ 2/4=100ใบ 2/2=220ใบ 2/3=180ใบ 2/6=80ใบ</t>
  </si>
  <si>
    <t>เปื้อนสีด้านข้างเข้ม</t>
  </si>
  <si>
    <t>รอยอัดขาวเยอะ</t>
  </si>
  <si>
    <t xml:space="preserve">สีตายแถบข้าง </t>
  </si>
  <si>
    <t>**ผสม3/1(งานตัดม้วนสุดท้ายถ้าไม่มีงานผสมขอมัดแยกเลทติดป้ายระบุปัญหาแจ้งขนส่ง)**</t>
  </si>
  <si>
    <t>ผสม3/1(งานตัดม้วนสุดท้ายถ้าไม่มีงานผสมขอมัดแยกเลทติดป้ายระบุปัญหาแจ้งขนส่ง)</t>
  </si>
  <si>
    <t>FWBWT192670P</t>
  </si>
  <si>
    <t>PD468072603</t>
  </si>
  <si>
    <t>พบเปื้อนสี จำนวน 6,088 ใบ</t>
  </si>
  <si>
    <t>พบผ้าพับใหญ่ จำนวน 259 ใบ</t>
  </si>
  <si>
    <t>พบรอยเส้นเทป จำนวน 1,000 ใบ</t>
  </si>
  <si>
    <t>พบเปื้อนสีแถบข้างด้านหลัง จำนวน 1,225 ใบ</t>
  </si>
  <si>
    <t>พบสีหายตรงโลโก้ด้านหลัง แปะ1 เป็น 7-9 ใบ จำนวน 2,160 ใบ</t>
  </si>
  <si>
    <t>**ปรึกษาฝ่ายขายให้ผสม3/1 แยกเลทติดป้ายระบุปัญหาแจ้งขนส่ง**</t>
  </si>
  <si>
    <t>เปื้อนสีแถบข้างด้านหลัง</t>
  </si>
  <si>
    <t>สีหายตรงโลโก้ด้านหลัง</t>
  </si>
  <si>
    <t>ปรึกษาฝ่ายขายให้ผสม3/1 แยกเลทติดป้ายระบุปัญหาแจ้งขนส่ง</t>
  </si>
  <si>
    <t>LUNG SHIN 12KG.</t>
  </si>
  <si>
    <t>โรงสีข้าวธัญญาวัฒน์</t>
  </si>
  <si>
    <t>PD468072602</t>
  </si>
  <si>
    <t>PD468072601</t>
  </si>
  <si>
    <t>พบสีหายตรงโลโก้ด้านหลัง จำนวน 240 ใบ</t>
  </si>
  <si>
    <t>พบผ้าเป็นลายอัดเยอะ จำนวน 290 ใบ</t>
  </si>
  <si>
    <t>พบสีหาย 700 ใบ และสีหาย+บล็อกเลื่อน 300 ใบ</t>
  </si>
  <si>
    <t>สีหาย+บล็อกเลื่อน</t>
  </si>
  <si>
    <t>หีบเพลงแดง</t>
  </si>
  <si>
    <t>PD468072902</t>
  </si>
  <si>
    <t>พบสีลงไม่เต็มด้านหน้า จำนวน 100 ใบ</t>
  </si>
  <si>
    <t>พบสีหายด้านหลัง จำนวน 200 ใบ</t>
  </si>
  <si>
    <t>**ปรึกษาฝ่ายขายหายเยอะไม่เอาถ้าหายเล็กๆให้แซม**</t>
  </si>
  <si>
    <t>สีลงไม่เต็มด้านหน้า</t>
  </si>
  <si>
    <t>ปรึกษาฝ่ายขายหายเยอะไม่เอาถ้าหายเล็กๆให้แซม</t>
  </si>
  <si>
    <t>PD468073005</t>
  </si>
  <si>
    <t>PD468073001</t>
  </si>
  <si>
    <t>พบผ้าพับ จำนวน 110 ใบ</t>
  </si>
  <si>
    <t>พบสีตายด้านหน้า จำนวน 175 ใบ</t>
  </si>
  <si>
    <t>พบสีหายแปะ 1 เป็น 5-6 ใบ จำนวน 300 ใบ</t>
  </si>
  <si>
    <t>พบพิมพ์เสีย จำนวน 102 ใบ</t>
  </si>
  <si>
    <t>กัสโซ่ฟีด202</t>
  </si>
  <si>
    <t>ดอกไม้ม่วง</t>
  </si>
  <si>
    <t>บริษัท เอ็นบี ดิสทริบิวชั่น จำกัด</t>
  </si>
  <si>
    <t>PD468080205</t>
  </si>
  <si>
    <t>PD468080208</t>
  </si>
  <si>
    <t>PD468080203</t>
  </si>
  <si>
    <t>พบสีหายด้านหลัง จำนวน 500 ใบ</t>
  </si>
  <si>
    <t>พบเปื้อนสีดังภาพ จำนวน 1,200 ใบ</t>
  </si>
  <si>
    <t>พบเปื้อนสีม้วนที่ 3/4=500ใบ 3/5=200ใบ 3/7=500ใบ</t>
  </si>
  <si>
    <t>พบรอยเส้นเทป จำนวน 500 ใบ</t>
  </si>
  <si>
    <t>นีโอ05</t>
  </si>
  <si>
    <t>PD468080404</t>
  </si>
  <si>
    <t>PD468080406</t>
  </si>
  <si>
    <t>PD468080407</t>
  </si>
  <si>
    <t>PD468080409</t>
  </si>
  <si>
    <t>PD468080403</t>
  </si>
  <si>
    <t>พบสีหายแปะพบ 3-9 ใบ จำนวน 1,500 ใบ</t>
  </si>
  <si>
    <t>พบสีตายตรงโลโก้ด้านล่าง จำนวน 775 ใบ</t>
  </si>
  <si>
    <t>พบสีลงไม่เต็ม+ผ้าเป็นลายอัด จำนวน 600 ใบ</t>
  </si>
  <si>
    <t>พบสีตายด้านข้าง จำนวน 1,800 ใบ</t>
  </si>
  <si>
    <t>พบพิมพ์เสีย ม้วนที่ 2/2=238ใบ 2/3=186ใบ</t>
  </si>
  <si>
    <t>พบเปื้อนสี จำนวน 150 ใบ</t>
  </si>
  <si>
    <t>สีตายตรงโลโก้ด้านล่าง</t>
  </si>
  <si>
    <t>พบลายพยาธิ+เปื้อนสี จำนวน 200 ใบ</t>
  </si>
  <si>
    <t xml:space="preserve">ลายพยาธิ+เปื้อนสี </t>
  </si>
  <si>
    <t xml:space="preserve">สีลงไม่เต็ม+ผ้าเป็นลายอัด </t>
  </si>
  <si>
    <t>พบสีหายตรง "ว" หายน้อย แปะ 1 เป็น 5-7 ใบ จำนวน 600 ใบ</t>
  </si>
  <si>
    <t>**หายน้อยผสม25/75 หายเยอะๆขอส่งแต้มสี**</t>
  </si>
  <si>
    <t>**ผสม25/75และมัดแยกเลทแจ้งขนส่ง**</t>
  </si>
  <si>
    <t>สีหายตรง "ว" หายน้อย</t>
  </si>
  <si>
    <t>พบบล็อกเลื่อนด้านข้าง  1,000 ใบ และบล็อกเลื่อนด้านข้าง+สีตาย 150 ใบ</t>
  </si>
  <si>
    <t>บล็อกเลื่อนด้านข้าง+สีตาย</t>
  </si>
  <si>
    <t>หายน้อยผสม25/75 หายเยอะๆขอส่งแต้มสี</t>
  </si>
  <si>
    <t>ผสม25/75และมัดแยกเลทแจ้งขนส่ง</t>
  </si>
  <si>
    <t>PD468080412</t>
  </si>
  <si>
    <t>PD468080408</t>
  </si>
  <si>
    <t>PD468080508</t>
  </si>
  <si>
    <t>PD468080510</t>
  </si>
  <si>
    <t>พบบล็อกเคลื่อนน้อยและมีรอยอัด จำนวน 300 ใบ</t>
  </si>
  <si>
    <t>พบสีหาย จำนวน 100 ใบ</t>
  </si>
  <si>
    <t>พบสีหายตรง "☆" ด้านหน้า จำนวน 175 ใบ</t>
  </si>
  <si>
    <t>พบพิมพ์เสีย จำนวน 557 ใบ</t>
  </si>
  <si>
    <t>พบรอยฟ้าผ่าด้านหลัง  จำนวน 250 ใบ</t>
  </si>
  <si>
    <t>พบรอยเส้นเทปติดด้านหลังเป็นจำนวนทั้งม้วน</t>
  </si>
  <si>
    <t>พบสีหายแปะ 1 เป็น 7-8 ใบ จำนวน 800 ใบ</t>
  </si>
  <si>
    <t>**ขอมัดงานเลยเนื่องจากไม่มีงานผสม**</t>
  </si>
  <si>
    <t>บล็อกเคลื่อนน้อยและมีรอยอัด</t>
  </si>
  <si>
    <t xml:space="preserve">สีหายตรง "☆" ด้านหน้า </t>
  </si>
  <si>
    <t xml:space="preserve">รอยฟ้าผ่าด้านหลัง </t>
  </si>
  <si>
    <t>ขอมัดงานเลยเนื่องจากไม่มีงานผสม</t>
  </si>
  <si>
    <t>SPM195GOAL</t>
  </si>
  <si>
    <t>PD468080511</t>
  </si>
  <si>
    <t>JET180</t>
  </si>
  <si>
    <t>ฟีล กู๊ด892</t>
  </si>
  <si>
    <t>WB เบทาโกร 124 30KG.NM</t>
  </si>
  <si>
    <t>PD468080605</t>
  </si>
  <si>
    <t>PD468080603</t>
  </si>
  <si>
    <t>PD468080507</t>
  </si>
  <si>
    <t>PD468080607</t>
  </si>
  <si>
    <t>พบสีลงไม่เต็ม+ผ้าเป็นลายอัด จำนวน 550 ใบ</t>
  </si>
  <si>
    <t xml:space="preserve">พบสีด้านหน้าและด้านหลังไม่เหมือนกันเป็นทั้ง2ม้วน สีลงไม่เต็มดังภาพเป็นเกือบทั้งหมด เลข"5"ด้านหลังบางใบจะไม่ชัด และเปื้อนสีเป็นเส้นดำๆ 300 ใบ </t>
  </si>
  <si>
    <t>พบพิมพ์เสีย จำนวน 304 ใบ</t>
  </si>
  <si>
    <t>สีลงไม่เต็ม+ผ้าเป็นลายอัด</t>
  </si>
  <si>
    <t xml:space="preserve">สีด้านหน้าและด้านหลังไม่เหมือนกันเป็นทั้ง2ม้วน สีลงไม่เต็มดังภาพเป็นเกือบทั้งหมด เลข"5"ด้านหลังบางใบจะไม่ชัด และเปื้อนสีเป็นเส้นดำๆ </t>
  </si>
  <si>
    <t>PD4680705</t>
  </si>
  <si>
    <t>พบสีหายและเป็นรอยเส้นเทป จำนวน 100 ใบ</t>
  </si>
  <si>
    <t>**แซม**</t>
  </si>
  <si>
    <t xml:space="preserve">สีหายและเป็นรอยเส้นเทป </t>
  </si>
  <si>
    <t>แดนโกรวบรีดเดอร์80</t>
  </si>
  <si>
    <t>วีโว่100</t>
  </si>
  <si>
    <t>แดนโกรวบรีดเดอร์60</t>
  </si>
  <si>
    <t>FWVWT2137100PL</t>
  </si>
  <si>
    <t>PD468080804</t>
  </si>
  <si>
    <t>PD468080806</t>
  </si>
  <si>
    <t>PD468080803</t>
  </si>
  <si>
    <t>PD468080807</t>
  </si>
  <si>
    <t>พบพิมพ์เสีย จำนวน 378 ใบ</t>
  </si>
  <si>
    <t>พบสี 2 ข้างไม่เหมือนกัน จำนวน 575 ใบ</t>
  </si>
  <si>
    <t>พบพิมพ์เสีย ม้วนที่ 1/1=296ใบ 1/2=100ใบ</t>
  </si>
  <si>
    <t>พบเปื้อนสีน้อยๆ 400 ใบ และเปื้อนสีเข้ม 1,175 ใบ</t>
  </si>
  <si>
    <t>พบพิมพ์เสีย จำนวน 100 ใบ</t>
  </si>
  <si>
    <t>พบเปื้อนสีด้านหน้าและด้านหลัง ม้วนที่ 1/1=300ใบ 1/2=2,000ใบ 1/3=2,000ใบ 1/4=151ใบ</t>
  </si>
  <si>
    <t>พบสีด้านหน้าด้านหลังและในจีบไม่เหมือนกัน 700 ใบ และมีรอยผ้ายับด้านหลัง 300 ใบ</t>
  </si>
  <si>
    <t>**ส่งลบสีแล้วมัดแยกเลท**</t>
  </si>
  <si>
    <t>**เปื้อนสีน้อยผสม25/75 เปื้อนสีเข้มส่งลบสี**</t>
  </si>
  <si>
    <t xml:space="preserve">สี 2 ข้างไม่เหมือนกัน </t>
  </si>
  <si>
    <t>เปื้อนสีน้อยๆ  และเปื้อนสีเข้ม</t>
  </si>
  <si>
    <t xml:space="preserve">สีด้านหน้าด้านหลังและในจีบไม่เหมือนกัน และมีรอยผ้ายับด้านหลัง </t>
  </si>
  <si>
    <t>ส่งลบสีแล้วมัดแยกเลท</t>
  </si>
  <si>
    <t>เปื้อนสีน้อยผสม25/75 เปื้อนสีเข้มส่งลบสี</t>
  </si>
  <si>
    <t>พบพิมพ์เสีย ม้วนที่ 2/1=131ใบ 2/2=100ใบ</t>
  </si>
  <si>
    <t>PORTARYTE B15</t>
  </si>
  <si>
    <t>U-GOAT14</t>
  </si>
  <si>
    <t>PD468080903</t>
  </si>
  <si>
    <t>PD468080808</t>
  </si>
  <si>
    <t>PD468080906</t>
  </si>
  <si>
    <t>PD468080905</t>
  </si>
  <si>
    <t>PD468080910</t>
  </si>
  <si>
    <t>PD468080911</t>
  </si>
  <si>
    <t>พบเปื้อนสี จำนวน 5,550 ใบ</t>
  </si>
  <si>
    <t>พบสีหายแปะพบ 3-5 ใบ จำนวน 150 ใบ</t>
  </si>
  <si>
    <t>พบพิมพ์เสีย 206ใบ และ เปื้อนสี 300ใบ</t>
  </si>
  <si>
    <t>พบม้วนนี้ตัวหนังสือด้านหลังหาย จำนวน 750 ใบ (หายมากหายน้อยปนกันมาไม่เป็นทุกใบ)</t>
  </si>
  <si>
    <t>พบพิมพ์เสีย จำนวน 161 ใบ</t>
  </si>
  <si>
    <t>พบพิมพ์เสีย จำนวน 272 ใบ</t>
  </si>
  <si>
    <t>พบสีลงไม่เต็มด้านข้าง จำนวน 300 ใบ</t>
  </si>
  <si>
    <t>ตัวหนังสือด้านหลังหาย (หายมากหายน้อยปนกันมาไม่เป็นทุกใบ)</t>
  </si>
  <si>
    <t>สีลงไม่เต็มด้านข้าง</t>
  </si>
  <si>
    <t>SPM4132</t>
  </si>
  <si>
    <t>MASTER CHEF</t>
  </si>
  <si>
    <t>PD468080902</t>
  </si>
  <si>
    <t>PD468081103</t>
  </si>
  <si>
    <t>PD468081102</t>
  </si>
  <si>
    <t>พบสีหายแปะพบ 7-10 ใบ จำนวน 400 ใบ</t>
  </si>
  <si>
    <t>แป้งหมักไก่แดงMTS</t>
  </si>
  <si>
    <t>หจก.เอ็ม.ที.เอส. เทรดดิ้ง</t>
  </si>
  <si>
    <t>PD468081302</t>
  </si>
  <si>
    <t>PD468081307</t>
  </si>
  <si>
    <t>พบรอยเส้นเทปติดด้านหลัง จำนวน 320 ใบ</t>
  </si>
  <si>
    <t>พบสีหายตรงตัว "M" แปะ 1 เป็น 7-8 ใบ จำนวน 2,450 ใบ</t>
  </si>
  <si>
    <t>พบสีหายแปะพบ 8-15 ใบ จำนวน 500 ใบ</t>
  </si>
  <si>
    <t>**ปรึกษาฝ่ายขายให้ผสมแยกเลทระบุปัญหาแจ้งขนส่งและแบ่งส่ง2รอบ**</t>
  </si>
  <si>
    <t xml:space="preserve">สีหายตรงตัว "M" </t>
  </si>
  <si>
    <t>ปรึกษาฝ่ายขายให้ผสมแยกเลทระบุปัญหาแจ้งขนส่งและแบ่งส่ง2รอบ</t>
  </si>
  <si>
    <t>PD468081401</t>
  </si>
  <si>
    <t>PD468081306</t>
  </si>
  <si>
    <t>พบพิมพ์เสียม้วนที่ 4/18=112ใบ 4/28=339ใบ</t>
  </si>
  <si>
    <t>พบเปื้อนสีเป็นจุดเล็กๆตรงก้นกระสอบ จำนวน 400 ใบ</t>
  </si>
  <si>
    <t xml:space="preserve">เปื้อนสีเป็นจุดเล็กๆตรงก้นกระสอบ </t>
  </si>
  <si>
    <t>เพอเฟคค์912</t>
  </si>
  <si>
    <t>PD468081304</t>
  </si>
  <si>
    <t>PD468081502</t>
  </si>
  <si>
    <t>PD468081504</t>
  </si>
  <si>
    <t>PD468081507</t>
  </si>
  <si>
    <t>พบบล็อกเลื่อนด้านข้าง จำนวน 350 ใบ</t>
  </si>
  <si>
    <t>พบสีหาย จำนวน 525 ใบ</t>
  </si>
  <si>
    <t>พบพิมพ์เสีย จำนวน 217 ใบ</t>
  </si>
  <si>
    <t>พบเปื้อนสีด้านหน้าและด้านหลัง จำนวน 717 ใบ</t>
  </si>
  <si>
    <t>พบเป็นรอยพยาธิด้านหน้าและด้านหลัง จำนวน 600 ใบ</t>
  </si>
  <si>
    <t>พบเปื้อนสีด้านหลัง ม้วนที่ 8/2=550ใบ 8/4=1,550ใบ 8/5=2,375ใบ</t>
  </si>
  <si>
    <t>พบเปื้อนสี จำนวน 480 ใบ</t>
  </si>
  <si>
    <t>บล็อกเลื่อนด้านข้าง</t>
  </si>
  <si>
    <t xml:space="preserve">รอยพยาธิด้านหน้าและด้านหลัง </t>
  </si>
  <si>
    <t>กัสโซ่10-102</t>
  </si>
  <si>
    <t>ลุงนัยฟาร์ม102</t>
  </si>
  <si>
    <t>บริษัท เอ็นบี ดิสทรีบิวชั่น จำกัด</t>
  </si>
  <si>
    <t>PD468081604</t>
  </si>
  <si>
    <t>PD468081602</t>
  </si>
  <si>
    <t>PD468081609</t>
  </si>
  <si>
    <t>พบรอยพยาธิ จำนวน 600 ใบ</t>
  </si>
  <si>
    <t>พบเปื้อนสีด้านหน้า จำนวน 740 ใบ</t>
  </si>
  <si>
    <t>พบรอยพยาธิแปะพบ 12-18 ใบ จำนวน 280 ใบ</t>
  </si>
  <si>
    <t>**สวมแยกเลทติดป้ายระบุปัญหาแจ้งขนส่ง**</t>
  </si>
  <si>
    <t>พบรอยพยาธิ ผ้าเป็นลายอัดและสีหายด้านหน้าแปะ 1 เป็น 6-7 ใบ จำนวน 600 ใบ</t>
  </si>
  <si>
    <t>รอยพยาธิ ผ้าเป็นลายอัดและสีหายด้านหน้า</t>
  </si>
  <si>
    <t>รอยพยาธิ</t>
  </si>
  <si>
    <t>สวมแยกเลทติดป้ายระบุปัญหาแจ้งขนส่ง</t>
  </si>
  <si>
    <t>WB บาลานส์ 924 30KG.NM</t>
  </si>
  <si>
    <t>LMC 20KG.</t>
  </si>
  <si>
    <t>บจก.ไลน์มาสเตอร์</t>
  </si>
  <si>
    <t>FWBWT213460P</t>
  </si>
  <si>
    <t>PD468081606</t>
  </si>
  <si>
    <t>PD468081803</t>
  </si>
  <si>
    <t>PD468081807</t>
  </si>
  <si>
    <t>PD468081801</t>
  </si>
  <si>
    <t>PD468081809</t>
  </si>
  <si>
    <t>พบสีหายตรงตัว "บ" จำนวน 500 ใบ</t>
  </si>
  <si>
    <t>พบผ้าเป็นรอยตะขาบยาวชัด จำนวน 125 ใบ</t>
  </si>
  <si>
    <t>พบพิมพ์เสีย จำนวน 167 ใบ</t>
  </si>
  <si>
    <t>พบสีหายตรงตัว "O" 1 แปะ เป็น 5-7 ใบ จำนวน 750 ใบ</t>
  </si>
  <si>
    <t>พบผ้าเป็นรอยอัด จำนวน 229 ใบ</t>
  </si>
  <si>
    <t xml:space="preserve">ผ้าเป็นรอยอัด </t>
  </si>
  <si>
    <t xml:space="preserve">สีหายตรงตัว "บ" </t>
  </si>
  <si>
    <t>ผ้าเป็นรอยตะขาบยาวชัด</t>
  </si>
  <si>
    <t>สีหายตรงตัว "O"</t>
  </si>
  <si>
    <t>PD468081908</t>
  </si>
  <si>
    <t>PD468081910</t>
  </si>
  <si>
    <t>พบเปื้อนสีเข้มด้านหลัง จำนวน 100 ใบ</t>
  </si>
  <si>
    <t>พบเปื้อนสีด้านหน้า จำนวน 460 ใบ</t>
  </si>
  <si>
    <t>พบพิมพ์เสีย จำนวน 281 ใบ</t>
  </si>
  <si>
    <t>พบเปื้อนสีด้านหน้าและด้านหลัง จำนวน 1,580 ใบ</t>
  </si>
  <si>
    <t>พบเปื้อนสีเป็นจุดดำๆแปะ 1 เป็น 8-10 ใบ จำนวน 400 ใบ</t>
  </si>
  <si>
    <t xml:space="preserve">เปื้อนสีเข้มด้านหลัง </t>
  </si>
  <si>
    <t>เปื้อนสีเป็นจุดดำๆ</t>
  </si>
  <si>
    <t>ผสม25/7</t>
  </si>
  <si>
    <t>WB เบทาโกร 405 30KG.NM</t>
  </si>
  <si>
    <t>WB เบทาโกร 323 30KG.NM</t>
  </si>
  <si>
    <t>เบทาโกร 323</t>
  </si>
  <si>
    <t>PD468082003</t>
  </si>
  <si>
    <t>PD468082004</t>
  </si>
  <si>
    <t>PD468082007</t>
  </si>
  <si>
    <t>PD468082009</t>
  </si>
  <si>
    <t>PD468082011</t>
  </si>
  <si>
    <t>พบสีตายด้านหลัง จำนวน 400 ใบ</t>
  </si>
  <si>
    <t>พบเป็นจุดขาวๆลักษณะดังภาพ จำนวน 2,000 ใบ</t>
  </si>
  <si>
    <t>จุดขาวๆลักษณะดังภาพ</t>
  </si>
  <si>
    <t>SPM190GOAL</t>
  </si>
  <si>
    <t>แต้มเขียว</t>
  </si>
  <si>
    <t>PD468082107</t>
  </si>
  <si>
    <t>PD468082104</t>
  </si>
  <si>
    <t>PD468082102</t>
  </si>
  <si>
    <t>PD468082110</t>
  </si>
  <si>
    <t>PD468082112</t>
  </si>
  <si>
    <t>พบสีหายด้านหลัง จำนวน 100 ใบ</t>
  </si>
  <si>
    <t>พบสีหายด้านหน้าใน 1 แปะพบ 4-6 ใบ จำนวน 1,000 ใบ</t>
  </si>
  <si>
    <t>พบเส้นเทปติดตรงตัว "g" จำนวน 1,500 ใบ</t>
  </si>
  <si>
    <t>พบรอยเส้นเทปติดด้านหน้า 100 ใบ และรอยเส้นเทปติดด้านหลังเยอะ 140 ใบ</t>
  </si>
  <si>
    <t>พบรอยเส้นเทปติดด้านหลัง จำนวน 1,160 ใบ</t>
  </si>
  <si>
    <t>พบสีหายด้านหลัง จำนวน 600 ใบ</t>
  </si>
  <si>
    <t>**ผสม50/50แล้วแยกเลทระบุปัญหาแจ้งขนส่ง**</t>
  </si>
  <si>
    <t>**รอยเส้นเทปติดด้านหน้าแซมแปะละ1ใบ,รอยเส้นเทปติดด้านหลังเยอะลบเส้นที่ลบได้ออกแล้วผสม**</t>
  </si>
  <si>
    <t xml:space="preserve">เส้นเทปติดตรงตัว "g" </t>
  </si>
  <si>
    <t>รอยเส้นเทปติดด้านหน้าและรอยเส้นเทปติดด้านหลังเยอะ</t>
  </si>
  <si>
    <t>ผสม50/50แล้วแยกเลทระบุปัญหาแจ้งขนส่ง</t>
  </si>
  <si>
    <t>รอยเส้นเทปติดด้านหน้าแซมแปะละ1ใบ,รอยเส้นเทปติดด้านหลังเยอะลบเส้นที่ลบได้ออกแล้วผสม</t>
  </si>
  <si>
    <t>FWBWT02036100PLM</t>
  </si>
  <si>
    <t>PD468082208</t>
  </si>
  <si>
    <t>PD468082202</t>
  </si>
  <si>
    <t>PD468082214</t>
  </si>
  <si>
    <t>PD468082205</t>
  </si>
  <si>
    <t>PD468082309</t>
  </si>
  <si>
    <t>พบเปื้อนสีด้านหน้าและด้านหลัง จำนวน 696 ใบ</t>
  </si>
  <si>
    <t>พบเปื้อนสีด้านหน้า จำนวน 200 ใบ</t>
  </si>
  <si>
    <t>พบมีรอยฟ้าผ่าเยอะและชัด ม้วนที่ 3/4=115ใบ 3/5=170ใบ</t>
  </si>
  <si>
    <t>พบเปื้อนสีม้วนที่ 8/2=75ใบ 8/3=50ใบ 8/4=75ใบ 8/7=50ใบ</t>
  </si>
  <si>
    <t>พบพิมพ์เสีย จำนวน 258 ใบ</t>
  </si>
  <si>
    <t>พบพิมพ์เสีย จำนวน 220 ใบ</t>
  </si>
  <si>
    <t>รอยฟ้าผ่าเยอะและชัด</t>
  </si>
  <si>
    <t>หีบเพลงเหลือง</t>
  </si>
  <si>
    <t>PD468082310</t>
  </si>
  <si>
    <t>พบมีรอยพยาธิในจีบ+รอยฟ้าผ่าในจีบ จำนวน 500 ใบ</t>
  </si>
  <si>
    <t>พบเปื้อนสี จำนวน 944 ใบ</t>
  </si>
  <si>
    <t>**ปรึกษาฝ่ายขายผสม3/1แยกเลทระบุปัญหาแจ้งขนส่ง**</t>
  </si>
  <si>
    <t>รอยพยาธิในจีบ+รอยฟ้าผ่าในจีบ</t>
  </si>
  <si>
    <t>พบมีรอยเส้นเทปติดด้านหน้า จำนวน 1,440 ใบ</t>
  </si>
  <si>
    <t xml:space="preserve">รอยเส้นเทปติดด้านหน้า </t>
  </si>
  <si>
    <t>ปรึกษาฝ่ายขายผสม3/1แยกเลทระบุปัญหาแจ้งขนส่ง</t>
  </si>
  <si>
    <t>พบพิมพ์เสีย จำนวน 320 ใบ</t>
  </si>
  <si>
    <t>เฟิร์สข้อย913</t>
  </si>
  <si>
    <t>PD468082507</t>
  </si>
  <si>
    <t>PD468082503</t>
  </si>
  <si>
    <t>PD468082508</t>
  </si>
  <si>
    <t>PD468082303</t>
  </si>
  <si>
    <t>[D468082502</t>
  </si>
  <si>
    <t>พบสีหายตรงตัว "D" ด้านหลัง จำนวน 1,025 ใบ</t>
  </si>
  <si>
    <t>พบเปื้อนสีเข้มชัด จำนวน 2,100 ใบ</t>
  </si>
  <si>
    <t>พบพิมพ์เสีย จำนวน 164 ใบ</t>
  </si>
  <si>
    <t>พบผ้าเป็นลายอัดเยอะ จำนวน 183 ใบ</t>
  </si>
  <si>
    <t>พบเปื้อนสีเข้มด้านหลัง จำนวน 1,547 ใบ</t>
  </si>
  <si>
    <t>พบสีตาย จำนวน 250 ใบ</t>
  </si>
  <si>
    <t>**ผสม25/75มัดแยกเลทติดป้ายระบุปัญหาแจ้งขนส่ง**</t>
  </si>
  <si>
    <t>เปื้อนสีเข้มชัด</t>
  </si>
  <si>
    <t xml:space="preserve">ผ้าเป็นลายอัดเยอะ </t>
  </si>
  <si>
    <t>เปื้อนสีเข้มด้านหลัง</t>
  </si>
  <si>
    <t>ผสม25/75มัดแยกเลทติดป้ายระบุปัญหาแจ้งขนส่ง</t>
  </si>
  <si>
    <t>เพอเฟคค์104โกลด์</t>
  </si>
  <si>
    <t>ถุงม่วง(เกรดพรีเมี่ยม)</t>
  </si>
  <si>
    <t>FWBW1934100PLM</t>
  </si>
  <si>
    <t>PD468082511</t>
  </si>
  <si>
    <t>PD468082610</t>
  </si>
  <si>
    <t>PD468082601</t>
  </si>
  <si>
    <t>PD468082611</t>
  </si>
  <si>
    <t>PD468082606</t>
  </si>
  <si>
    <t>พบพิมพ์เสีย จำนวน 415 ใบ</t>
  </si>
  <si>
    <t>พบพิมพ์เสีย จำนวน 440 ใบ</t>
  </si>
  <si>
    <t>พบสีหายด้านหน้าและตัวหนังสือหายด้านหลัง จำนวน 400 ใบ</t>
  </si>
  <si>
    <t>พบผ้าพับใหญ่ม้วนที่ 4/2=100ใบ 4/3=110ใบ</t>
  </si>
  <si>
    <t>พบสีหายด้านหลัง จำนวน 160 ใบ</t>
  </si>
  <si>
    <t xml:space="preserve">พบเปื้อนสีด้านหน้า+ด้านหลัง+ในจีบ ม้วนที่ 2/1=743ใบ 2/3=240ใบและสี2ข้างไม่เหมือนกัน+เปื้อนสี 180 ใบ </t>
  </si>
  <si>
    <t>**ปรึกษาฝ่ายขายส่งลบสีแล้วมัดแยกไป**</t>
  </si>
  <si>
    <t>สีหายด้านหน้าและตัวหนังสือหายด้านหลัง</t>
  </si>
  <si>
    <t>เปื้อนสีด้านหน้า+ด้านหลัง+ในจีบและสี2ข้างไม่เหมือนกัน</t>
  </si>
  <si>
    <t>ปรึกษาฝ่ายขายส่งลบสีแล้วมัดแยกไป</t>
  </si>
  <si>
    <t>PD468082613</t>
  </si>
  <si>
    <t>พบด้านหน้าสีลงไม่เต็ม+เปื้อนสีด้านหน้าด้านหลัง จำนวน 740 ใบ</t>
  </si>
  <si>
    <t>พบพิมพ์เสีย จำนวน 295 ใบ</t>
  </si>
  <si>
    <t>พบเปื้อนสีเข้ม 200 ใบ และ เปื้อนสีจาง 400 ใบ</t>
  </si>
  <si>
    <t>**ปรึกษาฝ่ายขายส่งลบสีแล้วผสม3/1**</t>
  </si>
  <si>
    <t>ด้านหน้าสีลงไม่เต็ม+เปื้อนสีด้านหน้าด้านหลัง</t>
  </si>
  <si>
    <t>เปื้อนสีเข้ม  และ เปื้อนสีจาง</t>
  </si>
  <si>
    <t>ปรึกษาฝ่ายขายส่งลบสีแล้วผสม3/1</t>
  </si>
  <si>
    <t>ถุงน้ำตาล(คัดพิเศษ)</t>
  </si>
  <si>
    <t>PD468082701</t>
  </si>
  <si>
    <t>PD468082614</t>
  </si>
  <si>
    <t>PD468082705</t>
  </si>
  <si>
    <t>PD468082708</t>
  </si>
  <si>
    <t>พบสี 2 ข้างไม่เหมือนกันเป็นทั้งม้วนม้วนที่ 2-3 ก็เป็น</t>
  </si>
  <si>
    <t>พบผ้าเป็นลายอัด จำนวน 137 ใบ</t>
  </si>
  <si>
    <t>พบตัวหนังสือไม่ชัดและสีตาย จำนวน 1,050 ใบ</t>
  </si>
  <si>
    <t>พบสีในจีบไม่เหมือนกัน จำนวน 560 ใบ</t>
  </si>
  <si>
    <t>**ปรึกษาฝ่ายขายให้เสี่ยงส่ง**</t>
  </si>
  <si>
    <t>สี 2 ข้างไม่เหมือนกัน</t>
  </si>
  <si>
    <t>ตัวหนังสือไม่ชัดและสีตาย</t>
  </si>
  <si>
    <t>พบมีรอยอัดแปะพบ 7-15 ใบ จำนวน 800 ใบ</t>
  </si>
  <si>
    <t>สีในจีบไม่เหมือนกัน</t>
  </si>
  <si>
    <t>ปรึกษาฝ่ายขายให้เสี่ยงส่ง</t>
  </si>
  <si>
    <t>PD468082803</t>
  </si>
  <si>
    <t>พบสีอ่อนกว่าเฉดและมีสีที่ไม่สามารถส่งได้ จำนวน 460 ใบ</t>
  </si>
  <si>
    <t>สีอ่อนกว่าเฉดและมีสีที่ไม่สามารถส่งได้</t>
  </si>
  <si>
    <t>PD468082801</t>
  </si>
  <si>
    <t>PD468082108</t>
  </si>
  <si>
    <t>พบมีรอยฟ้าผ่าในจีบ จำนวน 170 ใบ</t>
  </si>
  <si>
    <t>พบผ้าเป็นลายอัดด้านหน้าเยอะ จำนวน 215 ใบ</t>
  </si>
  <si>
    <t>พบตัวหนังสือภาษาอังกฤษด้านข้างหายใน 1 แปะหาย 7-10 ใบ จำนวน 150 ใบ</t>
  </si>
  <si>
    <t>พบพิมพ์เสีย จำนวน 108 ใบ และ ผ้าพับใหญ่ จำนวน 335 ใบ</t>
  </si>
  <si>
    <t>พบเปื้อนสีด้านหลัง จำนวน 100 ใบ</t>
  </si>
  <si>
    <t>พบรอยขูดเป็นทางยาวด้านหน้า 440 ใบ+รอยเส้นเทปด้านหลัง 44 ใบ และ เปื้อนสีด้านหน้า+ด้านหลัง+ในจีบและเป็นรอยขูดทางยาวด้านหน้า 140 ใบ</t>
  </si>
  <si>
    <t>พบมีรอยฟ้าผ่าด้านหน้า 130 ใบ</t>
  </si>
  <si>
    <t>**ปรึกษาฝ่ายขายแซมแปะละ1ใบ**</t>
  </si>
  <si>
    <t>**พิมพ์เสียลดเกรด,ผ้าพับใหญ่คัดแยกออก**</t>
  </si>
  <si>
    <t>**ส่งลบสีผสม3/1แล้วมัดแยกเลทแจ้งขนส่ง**</t>
  </si>
  <si>
    <t>รอยฟ้าผ่าในจีบ</t>
  </si>
  <si>
    <t xml:space="preserve">ผ้าเป็นลายอัดด้านหน้าเยอะ </t>
  </si>
  <si>
    <t>ตัวหนังสือภาษาอังกฤษด้านข้างหาย</t>
  </si>
  <si>
    <t>พิมพ์เสีย  และ ผ้าพับใหญ่</t>
  </si>
  <si>
    <t xml:space="preserve">รอยขูดเป็นทางยาวด้านหน้า รอยเส้นเทปด้านหลัง  และ เปื้อนสีด้านหน้า+ด้านหลัง+ในจีบและเป็นรอยขูดทางยาวด้านหน้า </t>
  </si>
  <si>
    <t>มีรอยฟ้าผ่าด้านหน้า</t>
  </si>
  <si>
    <t>ปรึกษาฝ่ายขายแซมแปะละ1ใบ</t>
  </si>
  <si>
    <t>พิมพ์เสียลดเกรด,ผ้าพับใหญ่คัดแยกออก</t>
  </si>
  <si>
    <t>ส่งลบสีผสม3/1แล้วมัดแยกเลทแจ้งขนส่ง</t>
  </si>
  <si>
    <t>เพอเฟคค์102Sโกลด์</t>
  </si>
  <si>
    <t>PD468082704</t>
  </si>
  <si>
    <t>PD468082806</t>
  </si>
  <si>
    <t>PD468082809</t>
  </si>
  <si>
    <t>พบเปื้อนสีเยอะ จำนวน 1,000 ใบ</t>
  </si>
  <si>
    <t>พบเปื้อนสี จำนวน 5,780 ใบ</t>
  </si>
  <si>
    <t>พบพิมพ์เสีย จำนวน 590 ใบ</t>
  </si>
  <si>
    <t>พบพิมพ์เสีย 250 ใบ และ มีรอยฟ้าผ่าเยอะ 125 ใบ</t>
  </si>
  <si>
    <t>พบสีหายด้านหลัง 1,094 ใบ และ เปื้อนสี 900 ใบ</t>
  </si>
  <si>
    <t>พบสีในจีบไม่เหมือนกัน จำนวน 1,100 ใบ</t>
  </si>
  <si>
    <t>**ปรึกษาฝ่ายขายให้ลบสีแล้วผสม3/1และแยกเลทติดป้ายระบุปัญหาแจ้งขนส่ง**</t>
  </si>
  <si>
    <t>เปื้อนสีเยอะ</t>
  </si>
  <si>
    <t>พิมพ์เสียและ มีรอยฟ้าผ่าเยอะ</t>
  </si>
  <si>
    <t xml:space="preserve">สีในจีบไม่เหมือนกัน </t>
  </si>
  <si>
    <t>ปรึกษาฝ่ายขายให้ลบสีแล้วผสม3/1และแยกเลทติดป้ายระบุปัญหาแจ้งขนส่ง</t>
  </si>
  <si>
    <t>มาซู ฟีดซี0434</t>
  </si>
  <si>
    <t>PD468082807</t>
  </si>
  <si>
    <t>PD468082904</t>
  </si>
  <si>
    <t>PD468082805</t>
  </si>
  <si>
    <t>PD468082902</t>
  </si>
  <si>
    <t>พบมีรอยฟ้าผ่าด้านหน้า 380 ใบ</t>
  </si>
  <si>
    <t>พบเปื้อนสีด้านหน้า จำนวน 849 ใบ</t>
  </si>
  <si>
    <t>พบเปื้อนสี จำนวน 1,169 ใบ</t>
  </si>
  <si>
    <t>พบสีหายด้านข้าง จำนวน 900 ใบ</t>
  </si>
  <si>
    <t xml:space="preserve">รอยฟ้าผ่าด้านหน้า </t>
  </si>
  <si>
    <t xml:space="preserve">สีหายด้านข้าง </t>
  </si>
  <si>
    <t>FWBWT206100PLM</t>
  </si>
  <si>
    <t>PD468082905</t>
  </si>
  <si>
    <t>PD468090103</t>
  </si>
  <si>
    <t>PD468082908</t>
  </si>
  <si>
    <t>PD468082912</t>
  </si>
  <si>
    <t>PD468090102</t>
  </si>
  <si>
    <t>PD468090105</t>
  </si>
  <si>
    <t>พบสีลงไม่เต็มขาวเยอะ 200 ใบ และ ภาพซ้อน 100 ใบ</t>
  </si>
  <si>
    <t>พบตัวหนังสือภาษาอังกฤษด้านข้างหาย (kg) ใน 1 แปะหาย 12-16 ใบ จำนวน 575 ใบ</t>
  </si>
  <si>
    <t>พบสีหายแปะพบ 4-11 ใบ จำนวน 320 ใบ</t>
  </si>
  <si>
    <t>พบผ้าเป็นลายอัดเยอะ จำนวน 181 ใบ</t>
  </si>
  <si>
    <t>พบผ้าเป็นรอยอัดเยอะชัด จำนวน 121 ใบ</t>
  </si>
  <si>
    <t>สีลงไม่เต็มขาวเยอะและภาพซ้อน</t>
  </si>
  <si>
    <t>ตัวหนังสือภาษาอังกฤษด้านข้างหาย (kg)</t>
  </si>
  <si>
    <t xml:space="preserve">ผ้าเป็นรอยอัดเยอะชัด </t>
  </si>
  <si>
    <t>PD468082909</t>
  </si>
  <si>
    <t>PD468090106</t>
  </si>
  <si>
    <t>พบผ้าเป็นรูโคโรน่าเยอะและรูใหญ่ จำนวน 217 ใบ</t>
  </si>
  <si>
    <t xml:space="preserve">ผ้าเป็นรูโคโรน่าเยอะและรูใหญ่ </t>
  </si>
  <si>
    <t>PD468090201</t>
  </si>
  <si>
    <t>PD468090208</t>
  </si>
  <si>
    <t>PD468090206</t>
  </si>
  <si>
    <t>PD468090211</t>
  </si>
  <si>
    <t>PD468090202</t>
  </si>
  <si>
    <t>พบเปื้อนสีเข้มด้านหลัง จำนวน 925 ใบ</t>
  </si>
  <si>
    <t>พบมีรอยฟ้าผ่าในจีบ จำนวน 200 ใบ</t>
  </si>
  <si>
    <t>พบรูโคโรน่าเยอะ จำนวน 120 ใบ</t>
  </si>
  <si>
    <t>พบเปื้อนสีเข้ม จำนวน 675 ใบ</t>
  </si>
  <si>
    <t>พบเปื้อนสีด้านหลัง 200 ใบ และ สีหาย 300 ใบ</t>
  </si>
  <si>
    <t>พบรอยเส้นเทปติดด้านหลัง จำนวน 1,120 ใบ</t>
  </si>
  <si>
    <t>**ปรึกษาฝ่ายขายให้ผสมแยกเลท**</t>
  </si>
  <si>
    <t>เปื้อนสีด้านหลัง  และ สีหาย</t>
  </si>
  <si>
    <t>ปรึกษาฝ่ายขายให้ผสมแยกเลท</t>
  </si>
  <si>
    <t>PD468090304</t>
  </si>
  <si>
    <t>PD468090303</t>
  </si>
  <si>
    <t>พบผ้าเป็นรูโคโรน่า จำนวน 270 ใบ</t>
  </si>
  <si>
    <t>พบเปื้อนสีเข้มด้านหน้าและด้านข้าง จำนวน 175 ใบ</t>
  </si>
  <si>
    <t>พบเปื้อนสีด้านหน้าและด้านหลัง ม้วนที่ 8/1=1,225ใบ 8/2=1,900ใบ</t>
  </si>
  <si>
    <t>พบผ้าพับใหญ่ จำนวน 133 ใบ</t>
  </si>
  <si>
    <t>**ปรึกษาฝ่ายขายให้แซมห่างๆแปะละ1ใบ**</t>
  </si>
  <si>
    <t>**ปรึกษาฝ่ายขายรูใหญ่และเยอะไม่เอา**</t>
  </si>
  <si>
    <t>**พับใหญ่ไม่เอา พับเล็กๆขอแซม**</t>
  </si>
  <si>
    <t>สีหายด้านหลัง+แถบข้างหลายจุด</t>
  </si>
  <si>
    <t xml:space="preserve">เปื้อนสีเข้มด้านหน้าและด้านข้าง </t>
  </si>
  <si>
    <t>พบผ้าเป็นรูโคโรน่าเยอะ จำนวน 168 ใบ</t>
  </si>
  <si>
    <t>ปรึกษาฝ่ายขายให้แซมห่างๆแปะละ1ใบ</t>
  </si>
  <si>
    <t>ปรึกษาฝ่ายขายรูใหญ่และเยอะไม่เอา</t>
  </si>
  <si>
    <t>พับใหญ่ไม่เอา พับเล็กๆขอแซม</t>
  </si>
  <si>
    <t>พบสีหายด้านหลัง+แถบข้างหลายจุด  200 ใบ และพิมพ์เสีย 162 ใบ</t>
  </si>
  <si>
    <t>PD468090404</t>
  </si>
  <si>
    <t>PD468090410</t>
  </si>
  <si>
    <t>พบเปื้อนสีบางใบมีทั้งเปื้อนสีเข้มเปื้อนสีจางๆและไม่เปื้อนผสมกันมาในแปะ จำนวน 1,738 ใบ</t>
  </si>
  <si>
    <t>พบสีลงไม่เต็มด้านข้าง จำนวน 1,400 ใบ</t>
  </si>
  <si>
    <t>พบสีหายด้านข้างแปะ 1 เป็น 5-6 ใบ จำนวน 350 ใบ</t>
  </si>
  <si>
    <t>พบเปื้อนสีม้วนที่ 1/8=550ใบ 1/11=150ใบ 1/13=175ใบ 1/14=175ใบ 1/17=875ใบ 1/18=295ใบ</t>
  </si>
  <si>
    <t xml:space="preserve">เปื้อนสีบางใบมีทั้งเปื้อนสีเข้มเปื้อนสีจางๆและไม่เปื้อนผสมกันมาในแปะ </t>
  </si>
  <si>
    <t xml:space="preserve">สีลงไม่เต็มด้านข้าง </t>
  </si>
  <si>
    <t>พบสีหายแปะ 1 เป็น 5-8 ใบ จำนวน 350 ใบ</t>
  </si>
  <si>
    <t>พบสีหาย</t>
  </si>
  <si>
    <t>HARD FLOUR</t>
  </si>
  <si>
    <t>U-FEED U2(เอส)</t>
  </si>
  <si>
    <t>VC120</t>
  </si>
  <si>
    <t>พระอาทิตย์</t>
  </si>
  <si>
    <t>บจก.ซัน ซีเมนต์ โพรเซส</t>
  </si>
  <si>
    <t>FWBWT3037100PL</t>
  </si>
  <si>
    <t>FWBWT162550PL</t>
  </si>
  <si>
    <t>PD468090504</t>
  </si>
  <si>
    <t>PD468090509</t>
  </si>
  <si>
    <t>PD468090507</t>
  </si>
  <si>
    <t>PD468090511</t>
  </si>
  <si>
    <t>พบเปื้อนสีด้านหลัง จำนวน 250 ใบ</t>
  </si>
  <si>
    <t>พบเปื้อนสีด้านหน้าและด้านข้าง จำนวน 475 ใบ</t>
  </si>
  <si>
    <t>พบตัวหนังสือภาษาจีนด้านหน้าหายใน 1 แปะหาย 13-16 ใบ จำนวน 975 ใบ</t>
  </si>
  <si>
    <t>พบเปื้อนสีด้านหน้าและด้านหลัง จำนวน 850 ใบ</t>
  </si>
  <si>
    <t>พบผ้าเป็นลายอัด จำนวน 450 ใบ</t>
  </si>
  <si>
    <t>พบผ้าพับใหญ่ จำนวน 189 ใบ</t>
  </si>
  <si>
    <t>พบเปื้อนสีด้านหน้าและด้านหลัง ม้วนที่ 4/1=350ใบ 4/2=450ใบ</t>
  </si>
  <si>
    <t>ตัวหนังสือภาษาจีนด้านหน้าหาย</t>
  </si>
  <si>
    <t xml:space="preserve">ผ้าเป็นลายอัด </t>
  </si>
  <si>
    <t>เพอเฟคค์663</t>
  </si>
  <si>
    <t>PD468090510</t>
  </si>
  <si>
    <t>PD468090605</t>
  </si>
  <si>
    <t>PD468090604</t>
  </si>
  <si>
    <t>พบสีหายเยอะ จำนวน 150 ใบ</t>
  </si>
  <si>
    <t>พบตัวหนังสือไม่ชัด จำนวน 1,200 ใบ</t>
  </si>
  <si>
    <t>พบเปื้อนสีม้วนที่ 1/1=75ใบ 1/3=325ใบ 1/4=650ใบ 1/6=1,300ใบ 1/7=907ใบ</t>
  </si>
  <si>
    <t>พบรอยพยาธิด้านข้าง จำนวน 500 ใบ</t>
  </si>
  <si>
    <t>พบสีตาย จำนวน 150 ใบ</t>
  </si>
  <si>
    <t>พบสีหายแปะพบ 6-13 ใบ จำนวน 1,700 ใบ</t>
  </si>
  <si>
    <t>สีหายเยอะ</t>
  </si>
  <si>
    <t>ตัวหนังสือไม่ชัด</t>
  </si>
  <si>
    <t>เอ็มเค914</t>
  </si>
  <si>
    <t>PBKF2-01-03 (น้ำหนัก20กก.)</t>
  </si>
  <si>
    <t>นาโน01</t>
  </si>
  <si>
    <t>YUENYOUNG</t>
  </si>
  <si>
    <t>บริษัท ทีเจที เทรดเดอร์ จำกัด</t>
  </si>
  <si>
    <t>บจก.ยืนยงยิปซั่มปลาสเตอร์</t>
  </si>
  <si>
    <t xml:space="preserve">FWBWT2140108PL </t>
  </si>
  <si>
    <t>FWBWT182665PL</t>
  </si>
  <si>
    <t>PD468090905</t>
  </si>
  <si>
    <t>PD468090901</t>
  </si>
  <si>
    <t>PD468090904</t>
  </si>
  <si>
    <t>PD468090906</t>
  </si>
  <si>
    <t>PD468090911</t>
  </si>
  <si>
    <t>พบสีอ่อนไม่ได้ตามเฉด จำนวน 300 ใบ</t>
  </si>
  <si>
    <t>พบสีเหลืองตาย จำนวน 300 ใบ</t>
  </si>
  <si>
    <t>พบสีลงไม่เต็ม+เป็นเกร็ดขาวแถบข้างและมีรอยพยาธิบางใบ จำนวน 250 ใบ</t>
  </si>
  <si>
    <t>พบผ้าพับใหญ่ 280 ใบ และ เปื้อนสีเยอะ 2,300 ใบ</t>
  </si>
  <si>
    <t>**เปื้อนสีเยอะส่งลบสี**</t>
  </si>
  <si>
    <t>สีอ่อนไม่ได้ตามเฉด</t>
  </si>
  <si>
    <t>สีเหลืองตาย</t>
  </si>
  <si>
    <t>สีลงไม่เต็ม+เป็นเกร็ดขาวแถบข้างและมีรอยพยาธิบางใบ</t>
  </si>
  <si>
    <t>ผ้าพับใหญ่  และ เปื้อนสีเยอะ</t>
  </si>
  <si>
    <t>เปื้อนสีเยอะส่งลบสี</t>
  </si>
  <si>
    <t>นาโน02</t>
  </si>
  <si>
    <t>ถุงเงิน</t>
  </si>
  <si>
    <t>PD468091006</t>
  </si>
  <si>
    <t>PD468091004</t>
  </si>
  <si>
    <t>PD468091002</t>
  </si>
  <si>
    <t>พบผ้าเป็นลายอัดและสีลงไม่เต็ม จำนวน 450 ใบ</t>
  </si>
  <si>
    <t>พบผ้าเป็นลายอัดเยอะ จำนวน 100 ใบ</t>
  </si>
  <si>
    <t>พบบล็อคเลื่อนด้านข้างใน 1 แปะ พบ 7-10 ใบ จำนวน 1,550 ใบ</t>
  </si>
  <si>
    <t>พบสีหายด้านหลัง จำนวน 240 ใบ</t>
  </si>
  <si>
    <t>พบพิมพ์เสีย ม้วนที่ 4/1=300ใบ 4/2=143ใบ</t>
  </si>
  <si>
    <t>**ปรึกษาฝ่ายขายผสม3/1**</t>
  </si>
  <si>
    <t xml:space="preserve">ผ้าเป็นลายอัดและสีลงไม่เต็ม </t>
  </si>
  <si>
    <t>**ปรึกษาฝ่ายขายถ้าเยอะมากคัดแยกออก**</t>
  </si>
  <si>
    <t>ปรึกษาฝ่ายขายถ้าเยอะมากคัดแยกออก</t>
  </si>
  <si>
    <t>ปรึกษาฝ่ายขายผสม3/1</t>
  </si>
  <si>
    <t>PD468091010</t>
  </si>
  <si>
    <t>PD468091102</t>
  </si>
  <si>
    <t>PD468091104</t>
  </si>
  <si>
    <t>PD468091103</t>
  </si>
  <si>
    <t>พบมีรอยพยาธิด้านหลัง 1,900 ใบ</t>
  </si>
  <si>
    <t>พบเปื้อนสีลักษณะดังภาพแปะ 1 เป็น 4-6 ใบ ม้วนที่ 3-4 เป็นทั้งม้วน จำนวน 3,200 ใบ</t>
  </si>
  <si>
    <t>พบสีตายด้านหน้าและด้านข้าง จำนวน 225 ใบ</t>
  </si>
  <si>
    <t>พบสีหายแถบข้างด้านหลัง จำนวน 175 ใบ</t>
  </si>
  <si>
    <t>พบพิมพ์เสีย ม้วนที่ 4/3=200ใบ 4/4=136ใบ</t>
  </si>
  <si>
    <t>พบสีตาย จำนวน 350 ใบ</t>
  </si>
  <si>
    <t>พบสีตายด้านข้าง จำนวน 500 ใบ</t>
  </si>
  <si>
    <t>**ปรึกษาฝ่ายขายแซมแปะละ1ใบถ้าสีตายเยอะขาวกว่านี้ไม่เอา**</t>
  </si>
  <si>
    <t>รอยพยาธิด้านหลัง</t>
  </si>
  <si>
    <t>สีตายด้านหน้าและด้านข้าง</t>
  </si>
  <si>
    <t>สีหายแถบข้างด้านหลัง</t>
  </si>
  <si>
    <t xml:space="preserve">สีตาย </t>
  </si>
  <si>
    <t>ปรึกษาฝ่ายขายแซมแปะละ1ใบถ้าสีตายเยอะขาวกว่านี้ไม่เอา</t>
  </si>
  <si>
    <t>นิค102B</t>
  </si>
  <si>
    <t>PD468091108</t>
  </si>
  <si>
    <t>พบพิมพ์เสีย จำนวน 184 ใบ</t>
  </si>
  <si>
    <t>พบสีหายสีลงไม่เต็มแปะพบ 2-7 ใบ จำนวน 400 ใบ</t>
  </si>
  <si>
    <t>สีหายสีลงไม่เต็ม</t>
  </si>
  <si>
    <t>พบเปื้อนสีเข้มด้านหลัง จำนวน 1,400 ใบ</t>
  </si>
  <si>
    <t>นิค001</t>
  </si>
  <si>
    <t>PD468091109</t>
  </si>
  <si>
    <t>PD468091206</t>
  </si>
  <si>
    <t>PD468091203</t>
  </si>
  <si>
    <t>PD468091204</t>
  </si>
  <si>
    <t>พบมีรอยพยาธิ+รอยฟ้าผ่าด้านข้าง 500 ใบ และ มีรอยฟ้าผ่าด้านข้าง+สีตาย จำนวน 450 ใบ</t>
  </si>
  <si>
    <t>พบเปื้อนสีด้านหน้าและด้านหลัง ม้วนที่ 8/14=25 4/19=975 /812=1,275 ใบ</t>
  </si>
  <si>
    <t>พบเปื้อนสีด้านหน้าและด้านหลัง ม้วนที่ 8/1=150 8/2=1,064 ใบ</t>
  </si>
  <si>
    <t>พบเปื้อนสีด้านหน้าและด้านหลัง 125 ใบ และสีหายด้านหน้ามีรอยพยาธิบางใบ 275 ใบ</t>
  </si>
  <si>
    <t>พบมีรอยพยาธิด้านหน้า+สีลงไม่เต็มจำนวน 700 ใบ</t>
  </si>
  <si>
    <t>รอยพยาธิ+รอยฟ้าผ่าด้านข้าง และ มีรอยฟ้าผ่าด้านข้าง+สีตาย</t>
  </si>
  <si>
    <t>พบแถบในจีบออกมาดังภาพไม่สามารถบิดงานใหม่ได้ จำนวน 450 ใบ</t>
  </si>
  <si>
    <t xml:space="preserve">แถบในจีบออกมาดังภาพไม่สามารถบิดงานใหม่ได้ </t>
  </si>
  <si>
    <t xml:space="preserve">เปื้อนสีด้านหน้าและด้านหลังและสีหายด้านหน้ามีรอยพยาธิบางใบ </t>
  </si>
  <si>
    <t>รอยพยาธิด้านหน้า+สีลงไม่เต็มจำนวน</t>
  </si>
  <si>
    <t>น้องเอินโดนัท 10กก.</t>
  </si>
  <si>
    <t>PD468091201</t>
  </si>
  <si>
    <t>พบเปื้อนสีด้านหลัง จำนวน 389 ใบ</t>
  </si>
  <si>
    <t>พบเปื้อนสีเข้มด้านหน้าและด้านหลัง ม้วนที่ 8/5=1,425ใบ 8/10=1,450ใบ 8/18=550ใบ</t>
  </si>
  <si>
    <t>เฟิร์สช้อย914</t>
  </si>
  <si>
    <t>หลอดไฟ 50กก.</t>
  </si>
  <si>
    <t>PD468091305</t>
  </si>
  <si>
    <t>PD468091209</t>
  </si>
  <si>
    <t>PD468091307</t>
  </si>
  <si>
    <t>PD468091308</t>
  </si>
  <si>
    <t>PD468091205</t>
  </si>
  <si>
    <t>PD468091310</t>
  </si>
  <si>
    <t>พบสีหายด้านหน้าเป็นบางใบและสีหายตรงหางหมูด้านหลังเป็นทุกใบ จำนวน 960 ใบ</t>
  </si>
  <si>
    <t>พบเปื้อนสีด้านหน้าและด้านหลัง จำนวน 893 ใบ</t>
  </si>
  <si>
    <t>พบสีตายด้านหน้า จำนวน 500 ใบ</t>
  </si>
  <si>
    <t>พบผ้าเป็นลายอัดด้านหน้า จำนวน 700 ใบ</t>
  </si>
  <si>
    <t>พบสีหายแปะพบ 2-6 ใบ จำนวน 200 ใบ</t>
  </si>
  <si>
    <t>**ปรึกษาฝ่ายขายแยกเลทติดป้ายระบุปัญหาแจ้งขนส่ง**</t>
  </si>
  <si>
    <t>สีหายด้านหน้าเป็นบางใบและสีหายตรงหางหมูด้านหลัง</t>
  </si>
  <si>
    <t xml:space="preserve">ผ้าเป็นลายอัดด้านหน้า </t>
  </si>
  <si>
    <t>ปรึกษาฝ่ายขายแยกเลทติดป้ายระบุปัญหาแจ้งขนส่ง</t>
  </si>
  <si>
    <t xml:space="preserve">ชามแดง  </t>
  </si>
  <si>
    <t>ไก่เหยียบศรศรีวรรณ</t>
  </si>
  <si>
    <t>PD468091311</t>
  </si>
  <si>
    <t>PD468091507</t>
  </si>
  <si>
    <t>PD468091502</t>
  </si>
  <si>
    <t>PD468091506</t>
  </si>
  <si>
    <t>PD468091504</t>
  </si>
  <si>
    <t>PD468091501</t>
  </si>
  <si>
    <t>PD468091503</t>
  </si>
  <si>
    <t>พบเปื้อนสี จำนวน 900 ใบ</t>
  </si>
  <si>
    <t>พบเปื้อนสีเข้ม จำนวน 900 ใบ</t>
  </si>
  <si>
    <t>พบเปื้อนสีด้านหลัง ม้วนที่ 1/3=240ใบ 1/4=80ใบ</t>
  </si>
  <si>
    <t>พบสีอ่อนเข้มแปะเป็น 5-7 ใบ จำนวน 200 ใบ</t>
  </si>
  <si>
    <t>พบพิมพ์เสีย 167 ใบ และ ผ้าเปื้อนน้ำมัน 125 ใบ</t>
  </si>
  <si>
    <t>พบพิมพ์เสีย จำนวน 244 ใบ</t>
  </si>
  <si>
    <t>พบสีหยดเป็นจุดๆด้านหลัง จำนวน 100 ใบ</t>
  </si>
  <si>
    <t>**ขอแซมแปะละ2ใบ**</t>
  </si>
  <si>
    <t>พบรอยฟ้าผ่าในจีบ จำนวน 160 ใบ</t>
  </si>
  <si>
    <t>สีอ่อนเข้ม</t>
  </si>
  <si>
    <t>พิมพ์เสีย และ ผ้าเปื้อนน้ำมัน</t>
  </si>
  <si>
    <t>สีหยดเป็นจุดๆด้านหลัง</t>
  </si>
  <si>
    <t>ขอแซมแปะละ2ใบ</t>
  </si>
  <si>
    <t>PD468091508</t>
  </si>
  <si>
    <t>พบมีรอยพยาธิด้านข้างและด้านหน้า 400 ใบ+งานผสมของกะเช้า 500 ใบ งานที่รอผสมทั้งหมด 900 ใบ</t>
  </si>
  <si>
    <t>พบพิมพ์เสีย ม้วนที่ 3/2=200ใบ 3/3=128ใบ</t>
  </si>
  <si>
    <t>พบผ้าเป็นลายอัดเยอะและชัด จำนวน 129 ใบ</t>
  </si>
  <si>
    <t>พบเปื้อนสีเข้ม จำนวน 350 ใบ</t>
  </si>
  <si>
    <t>พบสีลงไม่เต็มขาวเยอะ จำนวน 341 ใบ</t>
  </si>
  <si>
    <t xml:space="preserve">รอยพยาธิด้านข้างและด้านหน้า+งานผสมของกะเช้า </t>
  </si>
  <si>
    <t>ผ้าเป็นลายอัดเยอะและชัด</t>
  </si>
  <si>
    <t>โอดิน103L</t>
  </si>
  <si>
    <t>PD468091603</t>
  </si>
  <si>
    <t>PD468091605</t>
  </si>
  <si>
    <t>PD468091601</t>
  </si>
  <si>
    <t>พบพิมพ์เสีย ม้วนที่ 3/1=200ใบ 3/2=400ใบ</t>
  </si>
  <si>
    <t>พบพิพม์เสีย จำนวน 300 ใบ</t>
  </si>
  <si>
    <t>PD468091704</t>
  </si>
  <si>
    <t>PD468091703</t>
  </si>
  <si>
    <t>พบสีตายด้านข้าง จำนวน 250 ใบ</t>
  </si>
  <si>
    <t>พบเปื้อนสีดำแปะพบ 8-20 ใบและสีลงไม่เต็ม จำนวน 600 ใบ</t>
  </si>
  <si>
    <t>พบผ้าพับใหญ่ จำนวน 251 ใบ</t>
  </si>
  <si>
    <t>พบเปื้อนสีเข้ม ม้วนที่ 4/3=250ใบ 4/5=225ใบ 4/7=375ใบ</t>
  </si>
  <si>
    <t xml:space="preserve">เปื้อนสีดำและสีลงไม่เต็ม </t>
  </si>
  <si>
    <t>พบสีลอกเยอะ 2,300 ใบ และสีลอกน้อย+ไม่ลอก 2,305 ใบ</t>
  </si>
  <si>
    <t>**ปรึกษาฝ่ายขายแยกส่งลูกค้า**</t>
  </si>
  <si>
    <t>สีลอกเยอะและสีลอกน้อย+ไม่ลอก</t>
  </si>
  <si>
    <t>ปรึกษาฝ่ายขายแยกส่งลูกค้า</t>
  </si>
  <si>
    <t>เอส-ฟาร์ม115</t>
  </si>
  <si>
    <t>เอส-ฟาร์ม105</t>
  </si>
  <si>
    <t>โกลด์ชิคเก้น994</t>
  </si>
  <si>
    <t>PD468091804</t>
  </si>
  <si>
    <t>PD468091803</t>
  </si>
  <si>
    <t>PD468091801</t>
  </si>
  <si>
    <t>PD468091904</t>
  </si>
  <si>
    <t>PD468091910</t>
  </si>
  <si>
    <t>พบพิพม์เสีย จำนวน 128 ใบ</t>
  </si>
  <si>
    <t>พบตัวหนังสือหายด้านข้าง จำนวน 275 ใบ</t>
  </si>
  <si>
    <t>พบตัวหนังสือหายด้านหลัง+สีด้านหน้าและด้านหลังไม่เหมือนกัน จำนวน 450 ใบ</t>
  </si>
  <si>
    <t>พบเปื้อนสี ม้วนที่ 4/4=350ใบ 4/5=125ใบ 4/6=75ใบ</t>
  </si>
  <si>
    <t>พบเปื้อนสีเข้ม 900 ใบ และ สีตาย 700 ใบ</t>
  </si>
  <si>
    <t>พบสีลงไม่เต็ม+รอยฟ้าผ่า 800 ใบ และ พิมพ์เสีย 200 ใบ</t>
  </si>
  <si>
    <t>**ส่งลบสีแล้มผสม25/75**</t>
  </si>
  <si>
    <t>**สวม**</t>
  </si>
  <si>
    <t>ตัวหนังสือหายด้านข้าง</t>
  </si>
  <si>
    <t xml:space="preserve">ตัวหนังสือหายด้านหลัง+สีด้านหน้าและด้านหลังไม่เหมือนกัน </t>
  </si>
  <si>
    <t>เปื้อนสีเข้ม  และ สีตาย</t>
  </si>
  <si>
    <t>สีลงไม่เต็ม+รอยฟ้าผ่า  และ พิมพ์เสีย</t>
  </si>
  <si>
    <t>ส่งลบสีแล้มผสม25/75</t>
  </si>
  <si>
    <t>สวม</t>
  </si>
  <si>
    <t>เอส-ฟาร์ม190</t>
  </si>
  <si>
    <t>ฟีลกู๊ด893</t>
  </si>
  <si>
    <t>PD468091903</t>
  </si>
  <si>
    <t>PD468091906</t>
  </si>
  <si>
    <t>PD468091912</t>
  </si>
  <si>
    <t>PD468091901</t>
  </si>
  <si>
    <t>พบเปื้อนสีด้านหน้าและด้านหลัง จำนวน 1,284 ใบ</t>
  </si>
  <si>
    <t>พบเปื้อนสีเข้มด้านหน้าและด้านหลัง จำนวน 1,100 ใบ</t>
  </si>
  <si>
    <t>พบสีตายด้านข้าง จำนวน 925 ใบ</t>
  </si>
  <si>
    <t>SW441PLUS</t>
  </si>
  <si>
    <t xml:space="preserve">SW441 </t>
  </si>
  <si>
    <t>มาซู ฟีดซี042</t>
  </si>
  <si>
    <t>PD468092004</t>
  </si>
  <si>
    <t>PD468092003</t>
  </si>
  <si>
    <t>PD468092006</t>
  </si>
  <si>
    <t>PD468092007</t>
  </si>
  <si>
    <t>PD468092008</t>
  </si>
  <si>
    <t>พบสีหายแปะพบ 3-14 ใบ หายเยอะหายน้อยในแปะ จำนวน 900 ใบ</t>
  </si>
  <si>
    <t>พบเปื้อนสีด้านหน้าและด้านหลัง ม้วนที่ 8/2=1,075ใบ 8/3=950ใบ</t>
  </si>
  <si>
    <t>พบเป็นรอยพยาธิด้านหน้า จำนวน 450 ใบ</t>
  </si>
  <si>
    <t>พบพิมพ์เสีย ม้วนที่ 9/1=150ใบ 9/3=126ใบ</t>
  </si>
  <si>
    <t>พบพิมพ์เสีย 155 ใบ และเปื้อนสีเข้ม 268 ใบ</t>
  </si>
  <si>
    <t>พบพิมพ์เสีย จำนวน 228 ใบ</t>
  </si>
  <si>
    <t>**ปรึกษาฝ่ายขายผสม25/75**</t>
  </si>
  <si>
    <t>สีหาย หายเยอะหายน้อยในแปะ</t>
  </si>
  <si>
    <t>เป็นรอยพยาธิด้านหน้า</t>
  </si>
  <si>
    <t>พิมพ์เสีย และเปื้อนสีเข้ม</t>
  </si>
  <si>
    <t>ปรึกษาฝ่ายขายผสม25/75</t>
  </si>
  <si>
    <t>บริษัท เอ็นบี ดิสทริชั่น</t>
  </si>
  <si>
    <t>บจก.ซันฟีด</t>
  </si>
  <si>
    <t>PD468092002</t>
  </si>
  <si>
    <t>PD468092208</t>
  </si>
  <si>
    <t>พบผ้าพับใหญ่ด้านหลัง จำนวน 450 ใบ</t>
  </si>
  <si>
    <t>พบเปื้อนสีเข้มด้านหน้าและด้านหลัง จำนวน 2,150 ใบ</t>
  </si>
  <si>
    <t>พบลายพยาธิและสีลงไม่เต็ม จำนวน 300 ใบ</t>
  </si>
  <si>
    <t>ผ้าพับใหญ่ด้านหลัง</t>
  </si>
  <si>
    <t xml:space="preserve">ลายพยาธิและสีลงไม่เต็ม </t>
  </si>
  <si>
    <t>PD468092204</t>
  </si>
  <si>
    <t>PD468092304</t>
  </si>
  <si>
    <t>พบสีตายด้านหน้าในแปะพบ 10-12 ใบ จำนวน 300 ใบ</t>
  </si>
  <si>
    <t>พบสีตายด้านข้าง จำนวน 400 ใบ</t>
  </si>
  <si>
    <t>พบผ้ามีลายอัดชัดและเยอะ 125 ใบ และ พิมพ์เสีย 248 ใบ</t>
  </si>
  <si>
    <t>**ผ้ามีลายอัดคัดออก,พิมพ์เสียลดเกรด**</t>
  </si>
  <si>
    <t xml:space="preserve">ผ้ามีลายอัดชัดและเยอะ  และ พิมพ์เสีย </t>
  </si>
  <si>
    <t>ผ้ามีลายอัดคัดออก,พิมพ์เสียลดเกรด</t>
  </si>
  <si>
    <t>PD468092403</t>
  </si>
  <si>
    <t>PD468092306</t>
  </si>
  <si>
    <t>PD468092307</t>
  </si>
  <si>
    <t>พบพิมพ์เสีย ม้วนที่ 3/2=150ใบ 3/3=243ใบ</t>
  </si>
  <si>
    <t>พบสีสองข้างในจีบไม่เหมือนกัน จำนวน 500 ใบ</t>
  </si>
  <si>
    <t>พบพิมพ์เสีย จำนวน 104 ใบ</t>
  </si>
  <si>
    <t>พบพิมพ์เสีย ม้วนที่ 1/4=126ใบ 1/8=150ใบ</t>
  </si>
  <si>
    <t>สีสองข้างในจีบไม่เหมือนกัน</t>
  </si>
  <si>
    <t>พบสีหายด้านหลัง จำนวน 150 ใบ และ พิมพ์เสีย 160 ใบ</t>
  </si>
  <si>
    <t>**ปรึกษาฝ่ายขายให้ผสม3/1,พิมพ์เสียลดเกรด**</t>
  </si>
  <si>
    <t>ปรึกษาฝ่ายขายให้ผสม3/1,พิมพ์เสียลดเกรด</t>
  </si>
  <si>
    <t>ซันฟีด 952</t>
  </si>
  <si>
    <t>เอ็มเค912W</t>
  </si>
  <si>
    <t>PD468092407</t>
  </si>
  <si>
    <t>PD468092503</t>
  </si>
  <si>
    <t>PD468092406</t>
  </si>
  <si>
    <t>PD468092502</t>
  </si>
  <si>
    <t>PD468092508</t>
  </si>
  <si>
    <t>พบสีหายตรงตัวปลาแปะ 1 เป็น 10-12 ใบ จำนวน 1,100 ใบ</t>
  </si>
  <si>
    <t>พบสีลงไม่เต็มด้านหลัง จำนวน 400 ใบ</t>
  </si>
  <si>
    <t>พบสีหายในจีบ จำนนวน 360 ใบ</t>
  </si>
  <si>
    <t>พบพิมพ์เสีย จำนวน 380 ใบ</t>
  </si>
  <si>
    <t>พบสีหายแปะพบ 5-10 ใบ จำนวน 500 ใบ</t>
  </si>
  <si>
    <t>พบสีหาย จำนวน 650 ใบ</t>
  </si>
  <si>
    <t>สีหายตรงตัวปลา</t>
  </si>
  <si>
    <t>สีลงไม่เต็มด้านหลัง</t>
  </si>
  <si>
    <t>สีหายในจีบ</t>
  </si>
  <si>
    <t>PD468092505</t>
  </si>
  <si>
    <t>ช้างจีนข้าวหอมชั้นดี(แดง)</t>
  </si>
  <si>
    <t>FWBWT203270P</t>
  </si>
  <si>
    <t>PD468092506</t>
  </si>
  <si>
    <t>PD468092604</t>
  </si>
  <si>
    <t>PD468092605</t>
  </si>
  <si>
    <t>PD468092603</t>
  </si>
  <si>
    <t>PD468092607</t>
  </si>
  <si>
    <t>PD468092601</t>
  </si>
  <si>
    <t>พบสีลงไม่เต็มเป็นเกร็ดขาว+มีรอยสีดำเป็นทางยาวด้านหน้า+สีไม่เสมอกันบางใบ จำนวน 960 ใบ</t>
  </si>
  <si>
    <t>พบพิมพ์เสีย ม้วนที่ 2/1=286ใบ 2/2=555ใบ 2/3=100ใบ</t>
  </si>
  <si>
    <t>พบผ้าโย้+ตัวหนังสือหายด้านหน้าในแปะพบ3-5 ใบ จำนวน 200 ใบ</t>
  </si>
  <si>
    <t>พบสีหายแปะพบ 5-9 ใบ จำนวน 1,400 ใบ</t>
  </si>
  <si>
    <t>พบรอยเส้นเทป จำนวน 380 ใบ</t>
  </si>
  <si>
    <t>สีลงไม่เต็มเป็นเกร็ดขาว+มีรอยสีดำเป็นทางยาวด้านหน้า+สีไม่เสมอกันบางใบ</t>
  </si>
  <si>
    <t>ผ้าโย้+ตัวหนังสือหายด้านหน้า</t>
  </si>
  <si>
    <t>ถุงม่วง</t>
  </si>
  <si>
    <t>การ์เซียส์ฟิช 111</t>
  </si>
  <si>
    <t>PD468092704</t>
  </si>
  <si>
    <t>PD468092608</t>
  </si>
  <si>
    <t>PD468092706</t>
  </si>
  <si>
    <t>พบสีหายแถบข้างด้านหลัง จำนวน 100 ใบ</t>
  </si>
  <si>
    <t>พบตัวหนังสือด้านข้างหายในแปะประมาณ 3-4 ใบ จำนวน 2,225 ใบ</t>
  </si>
  <si>
    <t>พบพิมพ์เสีย จำนวน 172 ใบ</t>
  </si>
  <si>
    <t>พบเปื้อนสีด้านหน้าและด้านหลัง ม้วนที่ 1/3=750ใบ 1/5=100ใบ 1/2=1,100ใบ 1/10=425ใบ 1/6=175ใบ</t>
  </si>
  <si>
    <t>**ปรึกษาฝ่ายขายมัดแยกเลทติดป้ายระบุปัญหาแจ้งขนส่ง**</t>
  </si>
  <si>
    <t>พบเป็นลายอัดเยอะ จำนวน 309 ใบ</t>
  </si>
  <si>
    <t xml:space="preserve">สีหายแถบข้างด้านหลัง </t>
  </si>
  <si>
    <t>เป็นลายอัดเยอะ</t>
  </si>
  <si>
    <t>ตัวหนังสือด้านข้างหาย</t>
  </si>
  <si>
    <t>ปรึกษาฝ่ายขายมัดแยกเลทติดป้ายระบุปัญหาแจ้งขนส่ง</t>
  </si>
  <si>
    <t>VC108</t>
  </si>
  <si>
    <t>ซันฟีด935แอล</t>
  </si>
  <si>
    <t>PD468092708</t>
  </si>
  <si>
    <t>PD468092902</t>
  </si>
  <si>
    <t>PD468092909</t>
  </si>
  <si>
    <t>พบสีหายทุกม้วนแต่ไม่ได้เป็นทุกใบ</t>
  </si>
  <si>
    <t>พบสีตายด้านหน้า จำนวน 1,900 ใบ</t>
  </si>
  <si>
    <t>สีหายทุกม้วนแต่ไม่ได้เป็นทุกใบ</t>
  </si>
  <si>
    <t>ถุงเขียว(มาร์วิน)</t>
  </si>
  <si>
    <t>BLANK FORM</t>
  </si>
  <si>
    <t>PD468092705</t>
  </si>
  <si>
    <t>PD468092911</t>
  </si>
  <si>
    <t>พบพิมพ์เสีย ม้วนที่ 4/1=134ใบ 4/2=150ใบ</t>
  </si>
  <si>
    <t>พบสีแดงตายด้านหน้าและด้านข้าง จำนวน 800 ใบ</t>
  </si>
  <si>
    <t>พบเปื้อนสีด้านหน้าและด้านหลังดังภาพ ม้วนที่ 4/3=1,000ใบ 4/4=1,100ใบ</t>
  </si>
  <si>
    <t>สีแดงตายด้านหน้าและด้านข้าง</t>
  </si>
  <si>
    <t>EXCELBLEND S200</t>
  </si>
  <si>
    <t>ไอฟีดป็ดไข่เบอร์5เอ</t>
  </si>
  <si>
    <t>FWBWT233492PL</t>
  </si>
  <si>
    <t>PD468092912</t>
  </si>
  <si>
    <t>PD468092904</t>
  </si>
  <si>
    <t>PD468093003</t>
  </si>
  <si>
    <t>PD468093001</t>
  </si>
  <si>
    <t>พบสีตายด้านข้าง จำนวน 450 ใบ</t>
  </si>
  <si>
    <t>พบเปื้อนสีเข้มด้านหน้าและด้านหลัง จำนวน 1,133 ใบ</t>
  </si>
  <si>
    <t>พบสีซีดด้านหลัง จำนวน 100 ใบ</t>
  </si>
  <si>
    <t>พบพิมพ์เสีย จำนวน 406 ใบ</t>
  </si>
  <si>
    <t>พบผ้าเป็นลายอัด จำนวน 650 ใบ</t>
  </si>
  <si>
    <t>สีซีดด้านหลัง</t>
  </si>
  <si>
    <t>พบมีรอยเส้นเทปติดด้านหน้าและด้านหลัง จำนวน 1,860 ใบ</t>
  </si>
  <si>
    <t>รอยเส้นเทปติดด้านหน้าและด้านหลัง</t>
  </si>
  <si>
    <t>พบพิมพ์เสียม้วนที่ 2/4=200ใบ 2/5=250ใบ</t>
  </si>
  <si>
    <t>พบพิมพ์เสีย จำนวน 166 ใบ</t>
  </si>
  <si>
    <t>ฟีลกู๊ด 8133</t>
  </si>
  <si>
    <t>PD468100104</t>
  </si>
  <si>
    <t>PD468100105</t>
  </si>
  <si>
    <t>PD468100102</t>
  </si>
  <si>
    <t>PD468100106</t>
  </si>
  <si>
    <t>พบสีหายแปะพบ 6-15 ใบ จำนวน 900 ใบ</t>
  </si>
  <si>
    <t>พบสีหาย+สีลงไม่เต็ม จำนวน 550 ใบ</t>
  </si>
  <si>
    <t>พบพิมพ์เสีย 128 ใบ และ รอยพยาธิเยอะ 104 ใบ</t>
  </si>
  <si>
    <t>พบสี 2 ข้าง ในจีบไม่เหมือนกันเป็นทั้งม้วนและมีสีเข้ม 322 ใบ</t>
  </si>
  <si>
    <t>**ขอมัดแยกเลท**</t>
  </si>
  <si>
    <t>สีหาย+สีลงไม่เต็ม</t>
  </si>
  <si>
    <t>พิมพ์เสีย และ รอยพยาธิเยอะ</t>
  </si>
  <si>
    <t xml:space="preserve">สี 2 ข้าง ในจีบไม่เหมือนกันเป็นทั้งม้วนและมีสีเข้ม </t>
  </si>
  <si>
    <t>ขอมัดแยกเลท</t>
  </si>
  <si>
    <t>ฟีลกู๊ด 8132</t>
  </si>
  <si>
    <t>PD468100107</t>
  </si>
  <si>
    <t>พบเปื้อนสีม้วนที่ 8/2=125ใบ 8/3=250ใบ 2/4=200ใบ</t>
  </si>
  <si>
    <t>พบมีรอยพยาธิ จำนวน 600 ใบ</t>
  </si>
  <si>
    <t>PD468100203</t>
  </si>
  <si>
    <t>PD468100205</t>
  </si>
  <si>
    <t>พบสีตายด้านข้าง จำนวน 225 ใบ</t>
  </si>
  <si>
    <t>พบรอยพยาธิ จำนวน 1,500 ใบ</t>
  </si>
  <si>
    <t>พบเปื้อนสีด้านหน้าและด้านหลัง ม้วนที่ 1/2=1,425ใบ 1/3=375ใบ 1/4=700ใบ</t>
  </si>
  <si>
    <t>พบพิมพ์เสีย ม้วนที่ 2/3=131ใบ 2/12=102ใบ</t>
  </si>
  <si>
    <t>พบสีตายตรงเลข2+เปื้อนสี จำนวน 225 ใบ</t>
  </si>
  <si>
    <t>**ขอผสม3/1และแยกเลทติดป้ายระบุปัญหาแจ้งขนส่ง**</t>
  </si>
  <si>
    <t>สีตายตรงเลข2+เปื้อนสี</t>
  </si>
  <si>
    <t>ขอผสม3/1และแยกเลทติดป้ายระบุปัญหาแจ้งขนส่ง</t>
  </si>
  <si>
    <t>แป้งมันไก่เหลืองMTS</t>
  </si>
  <si>
    <t>PD468100301</t>
  </si>
  <si>
    <t>PD468100307</t>
  </si>
  <si>
    <t>PD468100309</t>
  </si>
  <si>
    <t>PD468100310</t>
  </si>
  <si>
    <t>พบผ้าเป็นรูโคโรน่า จำนวน 121 ใบ</t>
  </si>
  <si>
    <t>พบเปื้อนสีม้วนที่ 8/2=50ใบ 8/3=250ใบ 8/4=75ใบ 8/5=100ใบ</t>
  </si>
  <si>
    <t>พบมีรอยเส้นเทปติดจำนวน 400 ใบ</t>
  </si>
  <si>
    <t>พบรอยพยาธิ จำนวน 300 ใบ</t>
  </si>
  <si>
    <t>พบเปื้อนสีแถบข้างและด้านหลัง ม้วนที่ 8/2=75ใบ 2/3=200ใบ</t>
  </si>
  <si>
    <t>เปื้อนสีแถบข้างและด้านหลัง</t>
  </si>
  <si>
    <t>**ปรึกษาฝ่ายขายถ้าหายประมาณนี้รับได้ ถ้าหายเยอะกว่านี้ไม่เอา**</t>
  </si>
  <si>
    <t>ปรึกษาฝ่ายขายถ้าหายประมาณนี้รับได้ ถ้าหายเยอะกว่านี้ไม่เอา</t>
  </si>
  <si>
    <t>ซันฟีด956</t>
  </si>
  <si>
    <t>PD468100401</t>
  </si>
  <si>
    <t>PD468100303</t>
  </si>
  <si>
    <t>PD468100406</t>
  </si>
  <si>
    <t>พบรอยพยาธิเยอะรอยฟ้าผ่าขาวผ้าพับใหญ่ 400 ใบ</t>
  </si>
  <si>
    <t>พบเปื้อนสีในจีบข้างเดียว จำนวน 200 ใบ</t>
  </si>
  <si>
    <t>พบสีลงไม่เต็ม รอยอัดขาวเยอะ จำนวน 190 ใบ</t>
  </si>
  <si>
    <t>พบสีหายตรงหางหมูด้านหลัง จำนวน 560 ใบ</t>
  </si>
  <si>
    <t>พบสีลงไม่เต็ม+รอยพยาธิและน้ำหนักสูง จำนวน 1,300 ใบ</t>
  </si>
  <si>
    <t>**ปรึกษาหัวหน้า QA.ให้ส่งลบสีแล้วผสม3/1มัดแยกเลทติดป้ายระบุปัญหาแจ้งขนส่ง**</t>
  </si>
  <si>
    <t>**ปรึกษาฝ่ายขายรอยใหญ่มากไม่เอา**</t>
  </si>
  <si>
    <t>**ปรึกษาฝ่ายขายเปื้อนสีเยอะส่งลบสี**</t>
  </si>
  <si>
    <t>**ปรึกษาฝ่ายขายไม่สามารถส่งได้**</t>
  </si>
  <si>
    <t>**ผสม25/75ถ้าไม่พอขอผสม50/50**</t>
  </si>
  <si>
    <t>พบเปื้อนสีด้านหน้าและด้านหลัง 1,800 ใบ และ เปื้อนสีหน้าหลัง+น้ำหนังสูง 950 ใบ</t>
  </si>
  <si>
    <t xml:space="preserve">เปื้อนสีด้านหน้าและด้านหลัง  และ เปื้อนสีหน้าหลัง+น้ำหนังสูง </t>
  </si>
  <si>
    <t xml:space="preserve">รอยพยาธิเยอะรอยฟ้าผ่าขาวผ้าพับใหญ่ </t>
  </si>
  <si>
    <t>เปื้อนสีในจีบข้างเดียว</t>
  </si>
  <si>
    <t xml:space="preserve">สีลงไม่เต็ม รอยอัดขาวเยอะ </t>
  </si>
  <si>
    <t>สีหายตรงหางหมูด้านหลัง</t>
  </si>
  <si>
    <t xml:space="preserve">สีลงไม่เต็ม+รอยพยาธิและน้ำหนักสูง </t>
  </si>
  <si>
    <t>ปรึกษาหัวหน้า QA.ให้ส่งลบสีแล้วผสม3/1มัดแยกเลทติดป้ายระบุปัญหาแจ้งขนส่ง</t>
  </si>
  <si>
    <t>สีลงไม่เต็ม รอยอัดขาวเยอะ</t>
  </si>
  <si>
    <t>PD468100408</t>
  </si>
  <si>
    <t>พบพิมพ์เสีย ม้วนที่ 1/1=400ใบ 1/2=195ใบ</t>
  </si>
  <si>
    <t>พบพิมพ์เสีย ม้วนที่ 8/9=100ใบ 8/11=175ใบ</t>
  </si>
  <si>
    <t>พบรอยพยาธิ+สีลงไม่เต็ม จำนวน 520 ใบ</t>
  </si>
  <si>
    <t>พบเปื้อนสีด้านหน้าและด้านหลัง ม้วนที่ 8/9=116ใบ 8/11=225ใบ 8/13=2,125ใบ 8/15=125ใบ</t>
  </si>
  <si>
    <t>รอยพยาธิ+สีลงไม่เต็ม</t>
  </si>
  <si>
    <t>ซันฟีด915เอ็ม</t>
  </si>
  <si>
    <t>PD468100407</t>
  </si>
  <si>
    <t>PD468100409</t>
  </si>
  <si>
    <t>PD468100601</t>
  </si>
  <si>
    <t>PD468100603</t>
  </si>
  <si>
    <t>พบพิมพ์เสีย จำนวน 277 ใบ</t>
  </si>
  <si>
    <t>พบสีเปื้อนแปะ 1 เป็น 5-6 ใบ จำนวน 1,740 ใบ</t>
  </si>
  <si>
    <t>พบสีลงไม่เต็ม+น้ำหนักสูง จำนวน 1,700 ใบ</t>
  </si>
  <si>
    <t>พบเปื้อนสี จำนวน 775 ใบ</t>
  </si>
  <si>
    <t>สีเปื้อน</t>
  </si>
  <si>
    <t>สีลงไม่เต็ม+น้ำหนักสูง</t>
  </si>
  <si>
    <t>PD468100701</t>
  </si>
  <si>
    <t>PD468100703</t>
  </si>
  <si>
    <t>PD468100604</t>
  </si>
  <si>
    <t>พบสีหายตรงคิวอาร์โค้ด จำนวน 250 ใบ</t>
  </si>
  <si>
    <t>พบพิมพ์เสีย 269 ใบ และ รอยฟ้าผ่า+รอยพยาธิ 183 ใบ</t>
  </si>
  <si>
    <t>พบผ้าเป็นรูโคโรน่าเยอะ จำนวน 148 ใบ</t>
  </si>
  <si>
    <t>พบเปื้อนสีม้วนที่ 8/3=239ใบ 8/4=100ใบ</t>
  </si>
  <si>
    <t xml:space="preserve">สีหายตรงคิวอาร์โค้ด </t>
  </si>
  <si>
    <t xml:space="preserve">พิมพ์เสีย  และ รอยฟ้าผ่า+รอยพยาธิ </t>
  </si>
  <si>
    <t>PD468100705</t>
  </si>
  <si>
    <t>PD468100804</t>
  </si>
  <si>
    <t>พบผ้าเป็นรูโคโรน่าหลายจุดด้านหลัง จำนวน 475 ใบ</t>
  </si>
  <si>
    <t>ผ้าเป็นรูโคโรน่าหลายจุดด้านหลัง</t>
  </si>
  <si>
    <t>NOVA S5</t>
  </si>
  <si>
    <t>High Rock</t>
  </si>
  <si>
    <t>915P</t>
  </si>
  <si>
    <t>PD468100909</t>
  </si>
  <si>
    <t>PD468100911</t>
  </si>
  <si>
    <t>PD468100905</t>
  </si>
  <si>
    <t>พบสีหายแปะ 1 เป็น 6-8 ใบ จำนวน 880 ใบ</t>
  </si>
  <si>
    <t>พบผ้าเป็นลายอัด จำนวน 200 ใบ</t>
  </si>
  <si>
    <t>พบสีหายแปะ 1 เป็น 8-10 ใบ จำนวน 400 ใบ</t>
  </si>
  <si>
    <t>พบมีรอยพยาธิแถบข้างด้านหลัง จำนวน 175 ใบ</t>
  </si>
  <si>
    <t>พบมีรอยพยาธิในจีบ จำนวน 150 ใบ</t>
  </si>
  <si>
    <t>**ปรึกษาฝ่ายขายให้ผสมถ้าเยอะไปไม่เอา**</t>
  </si>
  <si>
    <t>**ปรึกษาฝ่ายขายรับได้ให้ผสม25/75**</t>
  </si>
  <si>
    <t>รอยพยาธิแถบข้างด้านหลัง</t>
  </si>
  <si>
    <t xml:space="preserve">อยเส้นเทป </t>
  </si>
  <si>
    <t>ปรึกษาฝ่ายขายให้ผสมถ้าเยอะไปไม่เอา</t>
  </si>
  <si>
    <t>ปรึกษาฝ่ายขายรับได้ให้ผสม25/75</t>
  </si>
  <si>
    <t>APM915</t>
  </si>
  <si>
    <t>อนนท์ 50กก.0</t>
  </si>
  <si>
    <t>FWBWT2437120P</t>
  </si>
  <si>
    <t>PD468100914</t>
  </si>
  <si>
    <t>PD468101003</t>
  </si>
  <si>
    <t>PD468101006</t>
  </si>
  <si>
    <t>PD468101001</t>
  </si>
  <si>
    <t>พบเป็นรอยพยาธิด้านหน้า จำนวน 600 ใบ</t>
  </si>
  <si>
    <t>พบเปื้อนสีด้านหน้าและด้านหลัง ม้วนที่ 1/1=195ใบ 1/2=225ใบ 1/3=225ใบ</t>
  </si>
  <si>
    <t>พบสีหายด้านหลัง จำนวน 250 ใบ</t>
  </si>
  <si>
    <t>พบเปื้อนสีด้านหน้า ม้วนที่ 1/1=50ใบ 1/3=250ใบ</t>
  </si>
  <si>
    <t>พบสีหายแปะพบ 5-8 ใบ จำนวน 400 ใบ</t>
  </si>
  <si>
    <t>Bobbi Dog รส Lamb&amp;Rice</t>
  </si>
  <si>
    <t>FWBWT2338118PL</t>
  </si>
  <si>
    <t>PD468101108</t>
  </si>
  <si>
    <t>PD468101010</t>
  </si>
  <si>
    <t>PD468101109</t>
  </si>
  <si>
    <t>PD468101104</t>
  </si>
  <si>
    <t>พบเปื้อนสีด้านหน้า 900 ใบ และ รูปภาพด้านหลังไม่คมชัดเป็นทั้งหมด</t>
  </si>
  <si>
    <t>พบตัวหนังสือหายและตัวหนังสือไม่ชัดผสมกันไปมาในแปะ จำนวน 350 ใบ</t>
  </si>
  <si>
    <t>พบสีหายตรงตัว (g) ในแปะพบ5-10 ใบ จำนวน 500 ใบ</t>
  </si>
  <si>
    <t>พบพิมพ์เสีย ม้วนที่ 2/1=134ใบ 2/5=126ใบ</t>
  </si>
  <si>
    <t>พบเปื้อนสีด้านหน้าและด้านหลัง จำนวน 500 ใบ</t>
  </si>
  <si>
    <t>**เปื้อนสีส่งลบสี รูปภาพด้านหลังไม่ชัดปรึกษาฝ่ายขายให้เอาไปได้**</t>
  </si>
  <si>
    <t>**ปรึกษาฝ่ายขายมัดได้เลย**</t>
  </si>
  <si>
    <t>**ถ้าเปื้อนสีชัดส่งลบสี**</t>
  </si>
  <si>
    <t>เปื้อนสีด้านหน้า  และ รูปภาพด้านหลังไม่คมชัด</t>
  </si>
  <si>
    <t>ตัวหนังสือหายและตัวหนังสือไม่ชัด</t>
  </si>
  <si>
    <t xml:space="preserve">สีหายตรงตัว (g) </t>
  </si>
  <si>
    <t>เปื้อนสีส่งลบสี รูปภาพด้านหลังไม่ชัดปรึกษาฝ่ายขายให้เอาไปได้</t>
  </si>
  <si>
    <t>ปรึกษาฝ่ายขายมัดได้เลย</t>
  </si>
  <si>
    <t>ถ้าเปื้อนสีชัดส่งลบสี</t>
  </si>
  <si>
    <t>สุบรรณ666</t>
  </si>
  <si>
    <t>PD46/8101305</t>
  </si>
  <si>
    <t>PD468101101</t>
  </si>
  <si>
    <t>PD468101303</t>
  </si>
  <si>
    <t>PD468101011</t>
  </si>
  <si>
    <t>พบเปื้อนสีด้านหน้า จำนวน 1,140 ใบ</t>
  </si>
  <si>
    <t>พบผ้าพับใหญ่ จำนวน 104 ใบ</t>
  </si>
  <si>
    <t>พบพิมพ์เสีย จำนวน 484 ใบ</t>
  </si>
  <si>
    <t>พบสีตายด้านข้าง+บล็อคเลื่อนบางใบ จำนวน 500 ใบ</t>
  </si>
  <si>
    <t>พบพิมพ์เสีย ม้วนที่ 3/1=151ใบ 3/2=152ใบ</t>
  </si>
  <si>
    <t>**เปื้อนสีเยอะส่งลบสีเปื้อนจางๆไม่ลบ**</t>
  </si>
  <si>
    <t>สีตายด้านข้าง+บล็อคเลื่อนบางใบ</t>
  </si>
  <si>
    <t>เปื้อนสีเยอะส่งลบสีเปื้อนจางๆไม่ลบ</t>
  </si>
  <si>
    <t>PD468101304</t>
  </si>
  <si>
    <t>พบสีหายตรงด้านข้าง จำนวน 400 ใบ</t>
  </si>
  <si>
    <t>พบผ้าพับใหญ่ขาว จำนวน 125 ใบ</t>
  </si>
  <si>
    <t xml:space="preserve">สีหายตรงด้านข้าง </t>
  </si>
  <si>
    <t xml:space="preserve">ผ้าพับใหญ่ขาว </t>
  </si>
  <si>
    <t>Bobbi Cat รส Mellow</t>
  </si>
  <si>
    <t>ซันฟีด 953เอส</t>
  </si>
  <si>
    <t>HERO111</t>
  </si>
  <si>
    <t>ซันฟีด 935เอ</t>
  </si>
  <si>
    <t>PD468101401</t>
  </si>
  <si>
    <t>PD468101408</t>
  </si>
  <si>
    <t>PD468101411</t>
  </si>
  <si>
    <t>PD468101402</t>
  </si>
  <si>
    <t>PD468101409</t>
  </si>
  <si>
    <t>PD468101403</t>
  </si>
  <si>
    <t>พบสี 2 ข้างไม่เหมือนกัน จำนวน 300 ใบ</t>
  </si>
  <si>
    <t>พบพิมพ์เสีย จำนวน 158 ใบ</t>
  </si>
  <si>
    <t>พบพิมพ์เสีย 170 ใบ และ เปื้อนสี 100 ใบ</t>
  </si>
  <si>
    <t>พบสีลงไม่เต็ม+รอยพยาธิ 1,500 ใบ</t>
  </si>
  <si>
    <t>พบสีหายด้านหน้าตรงตัว "S"และ"D" 300 ใบ และสีหายด้านหลังตรงคำว่า "เอ" 1,000 ใบ</t>
  </si>
  <si>
    <t>**ผสม25/75งานที่ผสมไม่หมดขอมัดงานที่เหลือ**</t>
  </si>
  <si>
    <t>สีลงไม่เต็ม+รอยพยาธิ</t>
  </si>
  <si>
    <t>สีหายด้านหน้าตรงตัว "S"และ"D"  และสีหายด้านหลังตรงคำว่า "เอ"</t>
  </si>
  <si>
    <t>ผสม25/75งานที่ผสมไม่หมดขอมัดงานที่เหลือ</t>
  </si>
  <si>
    <t>PD468101410</t>
  </si>
  <si>
    <t>พบผ้าพับใหญ่ 125 ใบ และ ผ้าเป็นลายอัดเยอะ 250 ใบ</t>
  </si>
  <si>
    <t>พบเปื้อนสีม้วนที่ 8/6=450ใบ 4/7=225ใบ 8/8=200ใบ</t>
  </si>
  <si>
    <t xml:space="preserve">ผ้าพับใหญ่  และ ผ้าเป็นลายอัดเยอะ </t>
  </si>
  <si>
    <t xml:space="preserve">ซันฟีด 931 </t>
  </si>
  <si>
    <t>ซัรฟีด 935แอล</t>
  </si>
  <si>
    <t>PD468101504</t>
  </si>
  <si>
    <t>PD468101509</t>
  </si>
  <si>
    <t>พบพิมพ์เสีย จำนวน 249 ใบ</t>
  </si>
  <si>
    <t>พบสีตาย จำนวน 200 ใบ</t>
  </si>
  <si>
    <t>พบสีตายตรงหางเป็ด จำนวน 700 ใบ</t>
  </si>
  <si>
    <t>พบเปื้อนสีด้านหน้าและด้านหลังเข้ม จำนวน 400 ใบ</t>
  </si>
  <si>
    <t>พบเปื้อนสีม้วนที่ 8/3=1,100ใบ 8/11=1,275ใบ</t>
  </si>
  <si>
    <t>พบสีตายด้านหน้า จำนวน 450 ใบ</t>
  </si>
  <si>
    <t>สีตายตรงหางเป็ด</t>
  </si>
  <si>
    <t>บเปื้อนสีด้านหน้าและด้านหลังเข้ม</t>
  </si>
  <si>
    <t>ซันฟีด 935</t>
  </si>
  <si>
    <t>PD468101508</t>
  </si>
  <si>
    <t>PD468101605</t>
  </si>
  <si>
    <t>PD468101602</t>
  </si>
  <si>
    <t>PD468101503</t>
  </si>
  <si>
    <t>PD468101606</t>
  </si>
  <si>
    <t>PD468101607</t>
  </si>
  <si>
    <t>พบสีหายแปะพบ 3-7 ใบ จำนวน 200 ใบ</t>
  </si>
  <si>
    <t>พบสีหายตรงตัว S และ U แปะพบ 10-15 ใบ จำนวน 700 ใบ</t>
  </si>
  <si>
    <t>พบเปื้อนสีด้านหลัง จำนวน 1,000 ใบ</t>
  </si>
  <si>
    <t>พบเปื้อนสีเข้ม จำนวน 1,025 ใบ</t>
  </si>
  <si>
    <t>พบผ้าเป็นรูโคโรน่าใหญ่เยอะและเปื้อนสีด้านหลัง 969 ใบ</t>
  </si>
  <si>
    <t>**รูโคโรน่าคัดแยกออกเปื้อนสีส่งลบสี**</t>
  </si>
  <si>
    <t>สีหายตรงตัว S และ U</t>
  </si>
  <si>
    <t>ผ้าเป็นรูโคโรน่าใหญ่เยอะและเปื้อนสีด้านหลัง</t>
  </si>
  <si>
    <t>รูโคโรน่าคัดแยกออกเปื้อนสีส่งลบสี</t>
  </si>
  <si>
    <t>ซันฟีด 915P</t>
  </si>
  <si>
    <t>PD468101608</t>
  </si>
  <si>
    <t>PD468101609</t>
  </si>
  <si>
    <t>พบสีตายตรงตัวไก่ 1,900 ใบ และสีตายตรงตัวไก่+สีไข่เน่า 236 ใบ</t>
  </si>
  <si>
    <t>พบพิมพ์เสีย จำนวน 173 ใบ</t>
  </si>
  <si>
    <t>พบเปื้อนสีด้านหน้าและด้านหลัง ม้วนที่ 8/3=400ใบ 8/4=2350ใบ</t>
  </si>
  <si>
    <t>พบเปื้อนสีด้านหลัง ม้วนที่ 8/1=75ใบ 8/2=200ใบ 8/5=1,075ใบ</t>
  </si>
  <si>
    <t>พบเปื้อนสีด้านหลัง จำนวน 1,150 ใบ</t>
  </si>
  <si>
    <t>สีตายตรงตัวไก่  และสีไข่เน่า</t>
  </si>
  <si>
    <t>นาโน01 พลัส</t>
  </si>
  <si>
    <t>ซันฟีด 915M</t>
  </si>
  <si>
    <t>PD468101704</t>
  </si>
  <si>
    <t>PD468101610</t>
  </si>
  <si>
    <t>พบมีรูโคโรน่าใหญ่ จำนวน 170 ใบ</t>
  </si>
  <si>
    <t>พบเปื้อนสีด้านหลัง จำนวน 1,100 ใบ</t>
  </si>
  <si>
    <t>พบสีตายตรงโลโก้ด้านหน้า-ด้านหลังและหางไก่ ม้วนที่ 2/5=1,200ใบ 2/6=2,300ใบ</t>
  </si>
  <si>
    <t>พบผ้าเป็นลายอัด 500 ใบ และ สีหายตรงตัวหนังสือด้านหลังแปะ 1 เป็น 4-5 ใบ จำนวน 500 ใบ</t>
  </si>
  <si>
    <t>พบตัวหนังสือหายด้านหลัง จำนวน 450 ใบ</t>
  </si>
  <si>
    <t>รูโคโรน่าใหญ่</t>
  </si>
  <si>
    <t>สีตายตรงโลโก้ด้านหน้า-ด้านหลังและหางไก่</t>
  </si>
  <si>
    <t>ผ้าเป็นลายอัด 500 ใบ และ สีหายตรงตัวหนังสือด้านหลัง</t>
  </si>
  <si>
    <t>พบสีตายด้านข้าง จำนวน 600 ใบ</t>
  </si>
  <si>
    <t>ซันฟีด915พี</t>
  </si>
  <si>
    <t>ยู-ฟีด บี1</t>
  </si>
  <si>
    <t>FWBWT2040108PL</t>
  </si>
  <si>
    <t>PD468101708</t>
  </si>
  <si>
    <t>PD468101804</t>
  </si>
  <si>
    <t>PD468101807</t>
  </si>
  <si>
    <t>PD468101806</t>
  </si>
  <si>
    <t>PD468101810</t>
  </si>
  <si>
    <t>พบมีรอยฟ้าผ่าใหญ่ขาวเยอะ จำนวน 300 ใบ</t>
  </si>
  <si>
    <t>พบเปื้อนสีด้านหลัง จำนวน 1,500 ใบ</t>
  </si>
  <si>
    <t>พบผ้าเป็นรูโคโรน่าใหญ่และเยอะ จำนวน 182 ใบ</t>
  </si>
  <si>
    <t>พบตัวหนังสือด้านหลังคำว่า "แมลง" หาย 87 ใบ เปื้อนสีด้านหน้า-ด้านหลัง 118 ใบ และพิมพ์เสีย 100 ใบ</t>
  </si>
  <si>
    <t>พบสีหายตรงตัวภาษาอังกฤษด้านหน้า 450 ใบ รอยฟ้าผ่าด้านหน้า 500 ใบ และสีหายด้านหลัง+เปื้อนสีหยดบางใบ จำนวน 400 ใบ</t>
  </si>
  <si>
    <t>**ตัวหนังสือหายปรึกษาฝ่ายขายให้แซมรอบหน้าแปะละ2ใบ เปื้อนสีส่งลบสี พิมพ์เสียลดเกรด**</t>
  </si>
  <si>
    <t>รอยฟ้าผ่าใหญ่ขาวเยอะ</t>
  </si>
  <si>
    <t>ผ้าเป็นรูโคโรน่าใหญ่และเยอะ</t>
  </si>
  <si>
    <t>ตัวหนังสือด้านหลังคำว่า "แมลง" หาย เปื้อนสีด้านหน้า-ด้านหลัง และพิมพ์เสีย</t>
  </si>
  <si>
    <t xml:space="preserve">สีหายตรงตัวภาษาอังกฤษด้านหน้า  รอยฟ้าผ่าด้านหน้า และสีหายด้านหลัง+เปื้อนสีหยดบางใบ </t>
  </si>
  <si>
    <t>ตัวหนังสือหายปรึกษาฝ่ายขายให้แซมรอบหน้าแปะละ2ใบ เปื้อนสีส่งลบสี พิมพ์เสียลดเกรด</t>
  </si>
  <si>
    <t>ผสม25/75ถ้าไม่พอขอผสม50/50</t>
  </si>
  <si>
    <t>ชามแดง25กก.</t>
  </si>
  <si>
    <t>PD468101803</t>
  </si>
  <si>
    <t>PD468101801</t>
  </si>
  <si>
    <t>พบเปื้อนสีด้านหน้าและด้านหลังม้วนที่ 8/1=100ใบ 8/2=875ใบ</t>
  </si>
  <si>
    <t>พบเปื้อนสี 550 ใบ และ เปื้อนสี+ตัวหนังสือไม่ชัด 150 ใบ</t>
  </si>
  <si>
    <t xml:space="preserve"> เปื้อนสีและตัวหนังสือไม่ชัด</t>
  </si>
  <si>
    <t>PBKF2-01-03</t>
  </si>
  <si>
    <t>ไก่ไข่</t>
  </si>
  <si>
    <t>PD468102002</t>
  </si>
  <si>
    <t>PD468101811</t>
  </si>
  <si>
    <t>PD468102009</t>
  </si>
  <si>
    <t>PD468102008</t>
  </si>
  <si>
    <t>PD468102006</t>
  </si>
  <si>
    <t>PD468102001</t>
  </si>
  <si>
    <t>พบเปื้อนสีด้านหน้าและด้านหลัง ม้วนที่ 8/1=65ใบ 8/2=87ใบ 8/3=256ใบ</t>
  </si>
  <si>
    <t>พบเปื้อนสีด้านหลัง จำนวน 2,175 ใบ</t>
  </si>
  <si>
    <t>พบเปื้อนสีด้านหน้าและด้านหลัง ม้วนที่ 1/2=1,400 1/3=825 ม้วนที่ 1/1 พิมพ์เสีย 100 ใบ</t>
  </si>
  <si>
    <t>พบตัวหนังสือไม่ชัด จำนวน 300 ใบ</t>
  </si>
  <si>
    <t>พบสีลงไม่เต็มเป็นเกร็ดขาวด้านหน้า จำนวน 500 ใบ</t>
  </si>
  <si>
    <t>พบผ้าเป็นรูโคโรน่าเยอะ 145 ใบ และ ทอเสีย 166 ใบ</t>
  </si>
  <si>
    <t>พบเปื้อนสีเข้ม จำนวน 2,500 ใบ</t>
  </si>
  <si>
    <t xml:space="preserve">สีลงไม่เต็มเป็นเกร็ดขาวด้านหน้า </t>
  </si>
  <si>
    <t>ผ้าเป็นรูโคโรน่าเยอะ และ ทอเสีย</t>
  </si>
  <si>
    <t>PD468102101</t>
  </si>
  <si>
    <t>PD468102003</t>
  </si>
  <si>
    <t>PD468102103</t>
  </si>
  <si>
    <t>PD468102007</t>
  </si>
  <si>
    <t>PD468102107</t>
  </si>
  <si>
    <t>PD468102102</t>
  </si>
  <si>
    <t>พบสีหายตรงคิวอาร์โค้ดด้านหลัง จำนวน 600 ใบ</t>
  </si>
  <si>
    <t>พบผ้าเป็นรูโคโรน่าใหญ่และเยอะ 358 ใบ และ เปื้อนสีด้านหลัง 144 ใบ</t>
  </si>
  <si>
    <t>เปื้อนสีด้านหลัง จำนวน 2,331  ใบ</t>
  </si>
  <si>
    <t>พบสีอ่อน จำนวน 1,700 ใบ</t>
  </si>
  <si>
    <t>พบเปื้อนสีด้านหน้าและด้านหลัง ม้วนที่ 8/6=75ใบ 8/7=164ใบ 8/8=125ใบ</t>
  </si>
  <si>
    <t>พบสีด้านหน้าและด้านหลังไม่เหมือนกัน จำนวน 500 ใบ</t>
  </si>
  <si>
    <t>พบพิมพ์เสีย จำนวน 246 ใบ</t>
  </si>
  <si>
    <t>สีหายตรงคิวอาร์โค้ดด้านหลัง</t>
  </si>
  <si>
    <t xml:space="preserve">ผ้าเป็นรูโคโรน่าใหญ่และเยอะ และ เปื้อนสีด้านหลัง </t>
  </si>
  <si>
    <t>สีด้านหน้าและด้านหลังไม่เหมือนกัน</t>
  </si>
  <si>
    <t>ซันฟีด935เอ</t>
  </si>
  <si>
    <t>TRJ (อยุธยา)</t>
  </si>
  <si>
    <t>ซันฟีด915P</t>
  </si>
  <si>
    <t>PD468101814</t>
  </si>
  <si>
    <t>PD468102108</t>
  </si>
  <si>
    <t>พบเปื้อนสี จำนวน 450 ใบ</t>
  </si>
  <si>
    <t>พบพิมพ์เสีย จำนวน 114 ใบ</t>
  </si>
  <si>
    <t xml:space="preserve">พบผ้าเป็นรูโคโรน่าใหญ่และเยอะ 360 ใบและผ้าเป็นรูโคโรน่ารูเล็กๆ 1,150 ใบ </t>
  </si>
  <si>
    <t>พบเปื้อนสีด้านหน้าและด้านหลัง 388 ใบ</t>
  </si>
  <si>
    <t>มีรอยเส้นเทปติดด้านหลัง จำนวน 450 ใบ</t>
  </si>
  <si>
    <t>ผ้าเป็นรูโคโรน่าใหญ่และเยอะ และผ้าเป็นรูโคโรน่ารูเล็กๆ</t>
  </si>
  <si>
    <t>954แอล</t>
  </si>
  <si>
    <t>PD468102205</t>
  </si>
  <si>
    <t>PD468102306</t>
  </si>
  <si>
    <t>PD468102308</t>
  </si>
  <si>
    <t>PD468102310</t>
  </si>
  <si>
    <t>PD468102303</t>
  </si>
  <si>
    <t>พบสีหาย จำนวน 700 ใบ</t>
  </si>
  <si>
    <t>พบมีรอยเส้นเทปติด จำนวน 1,150 ใบ</t>
  </si>
  <si>
    <t>พบบล็อคเลื่อนสีลงไม่เต็ม จำนวน 800 ใบ</t>
  </si>
  <si>
    <t>พบสีหายด้านหลังแปะพบ 5-11 ใบ จำนวน 1,500 ใบ</t>
  </si>
  <si>
    <t>บล็อคเลื่อนสีลงไม่เต็ม</t>
  </si>
  <si>
    <t>PD468102402</t>
  </si>
  <si>
    <t>PD468102407</t>
  </si>
  <si>
    <t>พบสีหายตรงหางหมู สีหายตรงตัวหนังสือ จำนวน 1,400 ใบ</t>
  </si>
  <si>
    <t>พบสีลงไม่เต็มด้านหน้าและด้านหลังเป็นทั้งม้วนประมาณ 1,840 ใบ</t>
  </si>
  <si>
    <t>พบสีลงไม่เต็มเป็นเกร็ดขาวทั้งด้านหน้าและด้านหลัง จำนวน 780 ใบ</t>
  </si>
  <si>
    <t>พบพิมพ์เสีย จำนวน 182 ใบ</t>
  </si>
  <si>
    <t>พบมีรอยฟ้าผ่าด้านหน้าและในจีบใหญ่และเยอะ จำนวน 250 ใบ</t>
  </si>
  <si>
    <t>**ปรึกษาฝ่ายขายให้ผสม3/1ถ้าไม่พอให้ผสม2/2**</t>
  </si>
  <si>
    <t>สีหายตรงโลโก้ด้านหลั</t>
  </si>
  <si>
    <t>สีหายตรงหางหมู สีหายตรงตัวหนังสือ</t>
  </si>
  <si>
    <t xml:space="preserve">สีลงไม่เต็มเป็นเกร็ดขาวทั้งด้านหน้าและด้านหลัง </t>
  </si>
  <si>
    <t xml:space="preserve">สีลงไม่เต็มด้านหน้าและด้านหลังเป็นทั้งม้วนประมาณ </t>
  </si>
  <si>
    <t>รอยฟ้าผ่าด้านหน้าและในจีบใหญ่และเยอะ</t>
  </si>
  <si>
    <t>พบสีหายตรงโลโก้ด้านหลังจำนวน 150 ใบ</t>
  </si>
  <si>
    <t>ปรึกษาฝ่ายขายให้แซมแปะละ3ใบ</t>
  </si>
  <si>
    <t>**ปรึกษาฝ่ายขายให้แซมแปะละ3ใบ**</t>
  </si>
  <si>
    <t>ปรึกษาฝ่ายขายให้ผสม3/1ถ้าไม่พอให้ผสม2/2</t>
  </si>
  <si>
    <t>กัสโซ่ฟีด 101-102</t>
  </si>
  <si>
    <t>PD468102403</t>
  </si>
  <si>
    <t>PD468102408</t>
  </si>
  <si>
    <t>พบรอยฟ้าผ่าในจีบและรอยพยาธิด้านหน้าขาว จำนวน 220 ใบ</t>
  </si>
  <si>
    <t>พบม้วนที่ 1/2 สีลงไม่เต็ม+รอยฟ้าผ่าในจีบน้อย 600 ใบ ม้วนที่ 1/4 สีลงไม่เต็ม+รอยพยาธิด้านหน้า+รอยฟ้าผ่าในจีบน้อย 800 ใบ</t>
  </si>
  <si>
    <t>พบสีหายแปะพบ 7-15 ใบ จำนวน 1,400 ใบ</t>
  </si>
  <si>
    <t>**แจ้งฝ่ายขายให้หาตัวอย่างเสี่ยงส่งลูกค้า**</t>
  </si>
  <si>
    <t>พบรอยฟ้าผ่ารอยพยาธิในจีบน้อยๆ+เปื้อนสี  300 ใบ และเปื้อนสี 400 ใบ</t>
  </si>
  <si>
    <t xml:space="preserve">รอยฟ้าผ่ารอยพยาธิในจีบน้อยๆ และเปื้อนสี </t>
  </si>
  <si>
    <t>รอยฟ้าผ่าในจีบและรอยพยาธิด้านหน้าขาว</t>
  </si>
  <si>
    <t>สีลงไม่เต็ม+รอยฟ้าผ่าในจีบน้อย+รอยพยาธิด้านหน้า</t>
  </si>
  <si>
    <t>แจ้งฝ่ายขายให้หาตัวอย่างเสี่ยงส่งลูกค้า</t>
  </si>
  <si>
    <t>ฉัตรทอง(ฟ้า)</t>
  </si>
  <si>
    <t>รถไฟฟ้าปูนขาวเย็น</t>
  </si>
  <si>
    <t>ท่าข้าวมะลิพันธุ์ข้าว</t>
  </si>
  <si>
    <t>บจก.ฟาเธอส์ วิง ซันพลาย</t>
  </si>
  <si>
    <t>FWBWT183054P</t>
  </si>
  <si>
    <t>PD468102401</t>
  </si>
  <si>
    <t>PD468102506</t>
  </si>
  <si>
    <t>PD468102502</t>
  </si>
  <si>
    <t>PD468102505</t>
  </si>
  <si>
    <t>พบบล็อคเลื่อน จำนวน 200 ใบ</t>
  </si>
  <si>
    <t>พบเปื้อนสีด้านหลัง ม้วนที่ 2/10=75 ใบ2/13=1,125ใบ</t>
  </si>
  <si>
    <t>บล็อคเลื่อน</t>
  </si>
  <si>
    <t>พบสีหายแปะพบ3-7ใบ จำนวน 200 ใบ</t>
  </si>
  <si>
    <t>มาซู ฟีดบี042</t>
  </si>
  <si>
    <t>SOYBEEN MEAL</t>
  </si>
  <si>
    <t>PD468102702</t>
  </si>
  <si>
    <t>PD468102701</t>
  </si>
  <si>
    <t>PD468102707</t>
  </si>
  <si>
    <t>PD468102705</t>
  </si>
  <si>
    <t>พบพิมพ์เสีย จำนวน 266 ใบ</t>
  </si>
  <si>
    <t>พบรอยฟ้าผ่าด้านหน้า+รอยฟ้าผ่าในจีบบางใบ 620 ใบ และ พิมพ์เสีย 103 ใบ</t>
  </si>
  <si>
    <t>พบรอยพยาธิด้านหน้า+รอยฟ้าผ่าในจีบบางใบ จำนวน 1,000 ใบ</t>
  </si>
  <si>
    <t>พบสีหายด้านหน้าและด้านหลัง จำนวน 1,500 ใบ</t>
  </si>
  <si>
    <t xml:space="preserve">พบสีหายตรง (ช) ด้านหน้า(ไม่ได้เป็นทุกใบ) จำนวน 1,000 ใบ </t>
  </si>
  <si>
    <t>**ปรึกษาหัวหน้าQA.ให้แซมถ้าไม่พอผสมแยกเลทระบุปัญหาแจ้งขนส่ง**</t>
  </si>
  <si>
    <t>**ปรึกษาฝ่ายขายให้ผสมและหาตัวอย่าง**</t>
  </si>
  <si>
    <t>**รอยพยาธิเยอะคัดแยกออก รอยพยาธิน้อยผสม3/1**</t>
  </si>
  <si>
    <t>**ปรึกษาฝ่ายขายให้ผสม3/1ถ้าเป็นเยอะๆไม่เอา**</t>
  </si>
  <si>
    <t>พบม้วนนี้มีผ้าพับ 135 ใบ รอยพยาธิเยอะ 120 ใบ และรอยพยาธิน้อย 620 ใบ</t>
  </si>
  <si>
    <t xml:space="preserve">ผ้าพับ  รอยพยาธิเยอะ และรอยพยาธิน้อย </t>
  </si>
  <si>
    <t>รอยฟ้าผ่าด้านหน้า+รอยฟ้าผ่าในจีบบางใบ  และ พิมพ์เสีย</t>
  </si>
  <si>
    <t>รอยพยาธิด้านหน้า+รอยฟ้าผ่าในจีบบางใบ</t>
  </si>
  <si>
    <t xml:space="preserve">สีหายด้านหน้าและด้านหลัง </t>
  </si>
  <si>
    <t>สีหายตรง (ช) ด้านหน้า(ไม่ได้เป็นทุกใบ)</t>
  </si>
  <si>
    <t>ปรึกษาหัวหน้าQA.ให้แซมถ้าไม่พอผสมแยกเลทระบุปัญหาแจ้งขนส่ง</t>
  </si>
  <si>
    <t>ปรึกษาฝ่ายขายให้ผสมและหาตัวอย่าง</t>
  </si>
  <si>
    <t>รอยพยาธิเยอะคัดแยกออก รอยพยาธิน้อยผสม3/1</t>
  </si>
  <si>
    <t>ปรึกษาฝ่ายขายให้ผสม3/1ถ้าเป็นเยอะๆไม่เอา</t>
  </si>
  <si>
    <t>พบเปื้อนสีม้วนที่ 2/6=55ใบ 2/14=91ใบ 2/16=77ใบ 2/17=75ใบ 2/21=63ใบ</t>
  </si>
  <si>
    <t>พบผ้าเป็นลายอัด+เป็นรอยเส้นยาวบางใบและมีสีหายตรงเลข "30" ด้านหลัง จำนวน 920 ใบ</t>
  </si>
  <si>
    <t>ผ้าเป็นลายอัด+เป็นรอยเส้นยาวบางใบและมีสีหายตรงเลข "30" ด้านหลัง</t>
  </si>
  <si>
    <t>บริษท ซีแมนอินดัสตรี้ (ประเทศไทย)</t>
  </si>
  <si>
    <t>PD468102805</t>
  </si>
  <si>
    <t>PD468102810</t>
  </si>
  <si>
    <t>PD468102804</t>
  </si>
  <si>
    <t>พบมีรอยเส้นเทปติดด้านหลังและตัวหนังสือไม่ชัด จำนวน 2,460 ใบ</t>
  </si>
  <si>
    <t>พบเปื้อนสีตรงก้นกระสอบ จำนวน 3,300 ใบ</t>
  </si>
  <si>
    <t>พบมีรอยพยาธิด้านหน้าและสีลงไม่เต็ม จำนวน 420 ใบ</t>
  </si>
  <si>
    <t>พบมีรอยพยาธิรอยฟ้าผ่าในจีบ จำนวน 800 ใบ</t>
  </si>
  <si>
    <t>พบพิมพ์เสีย จำนวน 287 ใบ</t>
  </si>
  <si>
    <t>**ผสม3/1ถ้าไม่พอผสม2/2**</t>
  </si>
  <si>
    <t>รอยเส้นเทปติดด้านหลังและตัวหนังสือไม่ชัด</t>
  </si>
  <si>
    <t>เปื้อนสีตรงก้นกระสอบ</t>
  </si>
  <si>
    <t>รอยพยาธิด้านหน้าและสีลงไม่เต็ม</t>
  </si>
  <si>
    <t>รอยพยาธิรอยฟ้าผ่าในจีบ</t>
  </si>
  <si>
    <t>ผสม3/1ถ้าไม่พอผสม2/2</t>
  </si>
  <si>
    <t>PD468102901</t>
  </si>
  <si>
    <t>พบรอยฟ้าผ่าด้านหน้าน้อย 180 ใบ และ รอยฟ้าผ่าเยอะ 144 ใบ</t>
  </si>
  <si>
    <t>พบสีตายในจีบข้างเดียว 400 ใบ และ รอยฟ้าผ่าในจีบ 500 ใบ</t>
  </si>
  <si>
    <t>พบรอยเส้นเทป จำนวน 600 ใบ</t>
  </si>
  <si>
    <t>พบรอยเส้นเทปด้านหลัง จำนวน 1,300 ใบ</t>
  </si>
  <si>
    <t>พบพิมพ์เสีย 200 ใบ และ บล็อคเลื่อน 147 ใบ</t>
  </si>
  <si>
    <t>รอยฟ้าผ่าด้านหน้าน้อย และ รอยฟ้าผ่าเยอะ</t>
  </si>
  <si>
    <t>สีตายในจีบข้างเดียว  และ รอยฟ้าผ่าในจีบ</t>
  </si>
  <si>
    <t>พิมพ์เสีย  และ บล็อคเลื่อน</t>
  </si>
  <si>
    <t>พบพิมพ์เสีย จำนวน 720 ใบ</t>
  </si>
  <si>
    <t>พบรอยอัด+สีลงไม่เต็ม+สีหายในจีบ+มีรอยเส้นเทปติด จำนวน 1,200 ใบ</t>
  </si>
  <si>
    <t>รอยอัด+สีลงไม่เต็ม+สีหายในจีบ+มีรอยเส้นเทปติด</t>
  </si>
  <si>
    <t>พบพิมพ์เสีย 124 ใบ และ รอยพยาธิเยอะ+สีลงไม่เต็มขาวเยอะ 400 ใบ</t>
  </si>
  <si>
    <t>พบรอยเส้นเทปติด จำนวน 500 ใบ</t>
  </si>
  <si>
    <t>**พิมพ์เสียลดเกรดรอยพยาธิ+สีลงไม่เต็มขาวเยอะไม่เอา**</t>
  </si>
  <si>
    <t>พิมพ์เสีย  และ รอยพยาธิเยอะ+สีลงไม่เต็มขาวเยอะ</t>
  </si>
  <si>
    <t>พิมพ์เสียลดเกรดรอยพยาธิ+สีลงไม่เต็มขาวเยอะไม่เอา</t>
  </si>
  <si>
    <t>เพอเฟคค์ 103Pโกลด์</t>
  </si>
  <si>
    <t>JET444</t>
  </si>
  <si>
    <t>PD468103005</t>
  </si>
  <si>
    <t>PD468103003</t>
  </si>
  <si>
    <t>PD468103006</t>
  </si>
  <si>
    <t>PD468103007</t>
  </si>
  <si>
    <t>พบพิมพ์เสีย จำนวน 341 ใบ</t>
  </si>
  <si>
    <t>พบพิมพ์เสีย จำนวน 445 ใบ</t>
  </si>
  <si>
    <t>พบเปื้อนสีเข้ม จำนวน 106 ใบ</t>
  </si>
  <si>
    <t>พบสีหายตรงหางหมู 225 ใบ และรอยพยาธิ+ลายอัดสีลงไม่เต็ม 900 ใบ</t>
  </si>
  <si>
    <t>พบเปื้อนสี ม้วนที่ 2/4=75ใบ 2/6=125ใบ 2/10=116ใบ</t>
  </si>
  <si>
    <t>พบตัวหนังสือด้านหลังไม่ชัด จำนวน 500 ใบ</t>
  </si>
  <si>
    <t>สีหายตรงหางหมูและรอยพยาธิ+ลายอัดสีลงไม่เต็ม</t>
  </si>
  <si>
    <t xml:space="preserve">ตัวหนังสือด้านหลังไม่ชัด </t>
  </si>
  <si>
    <t>พบสีลงไม่เต็มเป็นเกร็ดขาวมาก+รอยฟ้าผ่าด้านหน้า จำนวน 200 ใบ</t>
  </si>
  <si>
    <t>พบมีรอยเส้นเทป จำนวน 920 ใบ</t>
  </si>
  <si>
    <t>พบสีหายแปะพบ 3-7 ใบ จำนวน 800 ใบ</t>
  </si>
  <si>
    <t>พบพิมพ์เสีย จำนวน 315 ใบ</t>
  </si>
  <si>
    <t xml:space="preserve">สีลงไม่เต็มเป็นเกร็ดขาวมาก+รอยฟ้าผ่าด้านหน้า </t>
  </si>
  <si>
    <t>PD468103101</t>
  </si>
  <si>
    <t>พบเปื้อนสีด้านหลัง จำนวน 350 ใบ</t>
  </si>
  <si>
    <t>พบเปื้อนสี รอยมาร์ค จำนวน 900 ใบ</t>
  </si>
  <si>
    <t>พบเปื้อนสีด้านหน้าม้วนที่ 2/1=390ใบ 2/3=850ใบ 2/8=250ใบ</t>
  </si>
  <si>
    <t>พบสีหายแปะ 1 เป็น 5-6 ใบ 200 ใบ และงานพิมพ์เป็นรอยเส้นๆด้านข้างดังภาพแปะ 1 เป็น 6-7 ใบ 450 ใบ</t>
  </si>
  <si>
    <t>เปื้อนสี รอยมาร์ค</t>
  </si>
  <si>
    <t>สีหาย และงานพิมพ์เป็นรอยเส้นๆด้านข้างดังภาพ</t>
  </si>
  <si>
    <t>รวงข้าวเหลือง</t>
  </si>
  <si>
    <t>PD468103106</t>
  </si>
  <si>
    <t>PD468103104</t>
  </si>
  <si>
    <t>PD468103105</t>
  </si>
  <si>
    <t>พบมีรอยพยาธิด้านหน้าและด้านข้าง+สีลงไม่เต็ม จำนวน 2,300 ใบ</t>
  </si>
  <si>
    <t>พบตัวภาษาอังกฤษไม่ชัด จำนวน 300 ใบ</t>
  </si>
  <si>
    <t>พบรูโคโรน่ารูเล็กๆแต่รูเยอะ 175 ใบ และรูโคโรน่ารูใหญ่และเยอะ 350 ใบ</t>
  </si>
  <si>
    <t>พบรอยเส้นเทปติด จำนวน 300 ใบ</t>
  </si>
  <si>
    <t>พบพิมพ์เสีย ม้วนที่ 2/1=120ใบ 2/3=125ใบ</t>
  </si>
  <si>
    <t>รอยพยาธิด้านหน้าและด้านข้าง+สีลงไม่เต็ม</t>
  </si>
  <si>
    <t>ตัวภาษาอังกฤษไม่ชัด</t>
  </si>
  <si>
    <t>รูโคโรน่ารูเล็กๆแต่รูเยอะ  และรูโคโรน่ารูใหญ่และเยอะ</t>
  </si>
  <si>
    <t>PD468103109</t>
  </si>
  <si>
    <t>ยก468103102</t>
  </si>
  <si>
    <t>ดอกไม้เหลือง</t>
  </si>
  <si>
    <t>ซันฟีด 952เอส</t>
  </si>
  <si>
    <t>บริษัท ซีแมนอินดัสตรี้ (ประเทศไทย)</t>
  </si>
  <si>
    <t>PD468110108</t>
  </si>
  <si>
    <t>PD468110107</t>
  </si>
  <si>
    <t>PD468110103</t>
  </si>
  <si>
    <t>PD468110102</t>
  </si>
  <si>
    <t>PD468110110</t>
  </si>
  <si>
    <t>PD468110104</t>
  </si>
  <si>
    <t>พบสีหายแปะพบ 6-11 ใบ จำนวน 800 ใบ</t>
  </si>
  <si>
    <t>พบสีหายเป็นทั้งม้วน จำนวน 3,000 ใบ</t>
  </si>
  <si>
    <t>พบพิมพ์เสีย จำนวน 623 ใบ</t>
  </si>
  <si>
    <t>พบเปื้อนสีเข้ม จำนวน 700 ใบ</t>
  </si>
  <si>
    <t>พบพิมพ์เสีย จำนวน 133 ใบ</t>
  </si>
  <si>
    <t>พบเปื้อนสีเข้มด้านหน้าและด้านหลัง จำนวน 1,000 ใบ</t>
  </si>
  <si>
    <t>พบเปื้อนรอยมาร์คเลื่อนขึ้นเลื่อนลง จำนวน 1,550 ใบ</t>
  </si>
  <si>
    <t>พบสีหายด้านข้างแปะ 1 เป็น 5-6 ใบ + เปื้อนสีน้อยๆด้านหลัง จำนวน 2,000 ใบ</t>
  </si>
  <si>
    <t>**ปรึกษาฝ่ายขายให้ส่งลบสีเนื่องจากมองในไลน์ผลิตเห็นชัด**</t>
  </si>
  <si>
    <t>เปื้อนรอยมาร์คเลื่อนขึ้นเลื่อนลง</t>
  </si>
  <si>
    <t xml:space="preserve">สีหายด้านข้าง + เปื้อนสีน้อยๆด้านหลัง </t>
  </si>
  <si>
    <t>ปรึกษาฝ่ายขายให้ส่งลบสีเนื่องจากมองในไลน์ผลิตเห็นชัด</t>
  </si>
  <si>
    <t>PD468110312</t>
  </si>
  <si>
    <t>PD468110301</t>
  </si>
  <si>
    <t>พบสีตายแถบข้าง จำนวน 3,000 ใบ</t>
  </si>
  <si>
    <t>**ปรึกษาฝ่ายขายให้มัดงานเลยเนื่องจากไม่มีงานผสม**</t>
  </si>
  <si>
    <t>สีตายแถบข้าง</t>
  </si>
  <si>
    <t>ปรึกษาฝ่ายขายให้มัดงานเลยเนื่องจากไม่มีงานผสม</t>
  </si>
  <si>
    <t>R FEED 405A</t>
  </si>
  <si>
    <t>เพอเฟคค์ 664HP</t>
  </si>
  <si>
    <t>ซันฟีด 959</t>
  </si>
  <si>
    <t>PD468110311</t>
  </si>
  <si>
    <t>PD468110307</t>
  </si>
  <si>
    <t>PD468110308</t>
  </si>
  <si>
    <t>PD468110405</t>
  </si>
  <si>
    <t>พบเปื้อนสีด้านหลัง ม้วนที่ 2/1=75ใบ 2/2=75ใบ</t>
  </si>
  <si>
    <t>พบมีรอยเส้นเทปติดด้านหลัง จำนวน 2,000 ใบ</t>
  </si>
  <si>
    <t>พบเปื้อนสีหยดด้านหน้าและด้านข้าง จำนวน 400 ใบ</t>
  </si>
  <si>
    <t>พบสีหายตรงหางหมู จำนวน 100 ใบ</t>
  </si>
  <si>
    <t>เปื้อนสีหยดด้านหน้าและด้านข้าง</t>
  </si>
  <si>
    <t>สีหายตรงหางหมู</t>
  </si>
  <si>
    <t>PD468110407</t>
  </si>
  <si>
    <t>พบเปื้อนสีด้านหน้า 115 ใบ และ พิมพ์เสีย 200 ใบ</t>
  </si>
  <si>
    <t>เปื้อนสีด้านหน้า  และ พิมพ์เสีย</t>
  </si>
  <si>
    <t>ฟีล กู๊ด8131</t>
  </si>
  <si>
    <t>ผึ้งเหลิอง</t>
  </si>
  <si>
    <t>PD468110505</t>
  </si>
  <si>
    <t>PD468110503</t>
  </si>
  <si>
    <t>PD468110507</t>
  </si>
  <si>
    <t>PD468110510</t>
  </si>
  <si>
    <t>PD468110601</t>
  </si>
  <si>
    <t>พบมีรอยผ้าพับด้านหลังไม่ได้เป็นทุกใบ จำนวน 475 ใบ</t>
  </si>
  <si>
    <t>พบผ้าเป็นรูโคโรน่าเยอะ จำนวน 174 ใบ</t>
  </si>
  <si>
    <t>พบสีหายตรงปีกไก่+เป็นลายอัดบางใบ จำนวน 183 ใบ</t>
  </si>
  <si>
    <t>พบสีลงไม่เต็ม+ผ้าป็นลายอัด จำนวน 500 ใบ</t>
  </si>
  <si>
    <t>พบสีลงไม่เต็มในจีบและด้านหลัง+รอยพยาธิ 500 ใบ และเปื้อนสี  150 ใบ</t>
  </si>
  <si>
    <t>พบพิมพ์เสีย จำนวน 198 ใบ</t>
  </si>
  <si>
    <t>รอยผ้าพับด้านหลังไม่ได้เป็นทุกใบ</t>
  </si>
  <si>
    <t>สีหายตรงปีกไก่+เป็นลายอัดบางใบ</t>
  </si>
  <si>
    <t xml:space="preserve">สีลงไม่เต็ม+ผ้าป็นลายอัด </t>
  </si>
  <si>
    <t xml:space="preserve">สีลงไม่เต็มในจีบและด้านหลัง+รอยพยาธิ และเปื้อนสี </t>
  </si>
  <si>
    <t>ราชสีห์ข้าวคัดพิเศษ</t>
  </si>
  <si>
    <t>แดนโกรว 50(เหลือง)</t>
  </si>
  <si>
    <t>โรงสีข้าวธัญญกิจ (ราชบุรี)</t>
  </si>
  <si>
    <t>FWBWT2337120P</t>
  </si>
  <si>
    <t>PD468110602</t>
  </si>
  <si>
    <t>PD468110605</t>
  </si>
  <si>
    <t>PD468110702</t>
  </si>
  <si>
    <t>PD468110607</t>
  </si>
  <si>
    <t>พบสีหายด้านหน้าหลายจุด จำนวน 175 ใบ</t>
  </si>
  <si>
    <t>พบสีลงไม่เต็มลายพยาธิขาว จำนวน 150 ใบ</t>
  </si>
  <si>
    <t>พบเปื้อนสีด้านหน้าและด้านหลัง ม้วนที่ 2/2=25ใบ 2/4=200ใบ 2/9=800ใบ 2/10=150ใบ 2/11=975ใบ</t>
  </si>
  <si>
    <t>พบสีลงไม่เต็ม+ผ้าเป็นลายอัด 1,500 ใบ และผ้าพับด้านหน้าและด้านหลัง 200 ใบ</t>
  </si>
  <si>
    <t>พบสีหายตรงคิวอาร์โค้ดด้านหลัง จำนวน 150 ใบ</t>
  </si>
  <si>
    <t>**ผสม3/11**</t>
  </si>
  <si>
    <t xml:space="preserve">สีหายด้านหน้าหลายจุด </t>
  </si>
  <si>
    <t xml:space="preserve">สีลงไม่เต็มลายพยาธิขาว </t>
  </si>
  <si>
    <t>สีลงไม่เต็ม+ผ้าเป็นลายอัด และผ้าพับด้านหน้าและด้านหลัง</t>
  </si>
  <si>
    <t>พบตรงเลข "6" หายในแปะประมาณ 5-8 ใบ จำนวน 1,600 ใบ</t>
  </si>
  <si>
    <t>**ปรึกษาฝ่ายขายให้ผสม3/1ผสมไม่หมดให้ผสมรอบหน้า**</t>
  </si>
  <si>
    <t>เลข "6" หาย</t>
  </si>
  <si>
    <t>ปรึกษาฝ่ายขายให้ผสม3/1ผสมไม่หมดให้ผสมรอบหน้า</t>
  </si>
  <si>
    <t>JET333</t>
  </si>
  <si>
    <t>PD468110803</t>
  </si>
  <si>
    <t>PD468110709</t>
  </si>
  <si>
    <t>PD468110809</t>
  </si>
  <si>
    <t>PD468110812</t>
  </si>
  <si>
    <t>PD468111010</t>
  </si>
  <si>
    <t>PD468111001</t>
  </si>
  <si>
    <t>พบลายอัดเยอะ จำนวน 311 ใบ</t>
  </si>
  <si>
    <t>พบบล็อคเลื่อนแถบข้างไม่เป็นทุกใบ จำนวน 1,275 ใบ</t>
  </si>
  <si>
    <t>พบพิมพ์เสีย ม้วนที่ 2/1=271ใบ 2/11=134ใบ</t>
  </si>
  <si>
    <t>พบสีตายตรงโลโก้ด้านหน้า จำนวน 250 ใบ</t>
  </si>
  <si>
    <t>พบสี2ข้างไม่เหมือนกัน(สีเข้มไม่อยู่ในเฉด) 300 ใบ และ สีตายด้านหลัง 1,600 ใบ</t>
  </si>
  <si>
    <t>พบสีตายและภาพซ้อน จำนวน 300 ใบ</t>
  </si>
  <si>
    <t>พบสีหายแปะพบ 11-19 ใบ จำนวน 1,200 ใบ</t>
  </si>
  <si>
    <t>**สีต่างมากคัดแยกออก**</t>
  </si>
  <si>
    <t>ลายอัดเยอะ</t>
  </si>
  <si>
    <t>บล็อคเลื่อนแถบข้างไม่เป็นทุกใบ</t>
  </si>
  <si>
    <t xml:space="preserve">สีตายตรงโลโก้ด้านหน้า </t>
  </si>
  <si>
    <t xml:space="preserve">สี2ข้างไม่เหมือนกัน(สีเข้มไม่อยู่ในเฉด)  และ สีตายด้านหลัง </t>
  </si>
  <si>
    <t>สีตายและภาพซ้อน</t>
  </si>
  <si>
    <t>สีต่างมากคัดแยกออก</t>
  </si>
  <si>
    <t>PD468111108</t>
  </si>
  <si>
    <t>พบพิมพ์เสีย ม้วนที่ 2/1=200ใบ 2/2=100ใบ</t>
  </si>
  <si>
    <t>พบสีลงไม่เต็ม 300 ใบ และ ผ้าพับ+รอยขูด+สีหาย+เปื้อนสี 200 ใบ</t>
  </si>
  <si>
    <t>สีลงไม่เต็ม และ ผ้าพับ+รอยขูด+สีหาย+เปื้อนสี</t>
  </si>
  <si>
    <t>953เอส</t>
  </si>
  <si>
    <t>VC105</t>
  </si>
  <si>
    <t>PD468111305</t>
  </si>
  <si>
    <t>PD468111111</t>
  </si>
  <si>
    <t>PD468111211</t>
  </si>
  <si>
    <t>พบสีหายตรงตัวหนังสือแปะ 1 เป็น 5-6 ใบ จำนวน 600 ใบ</t>
  </si>
  <si>
    <t>พบคิวอาร์โค้ดไม่ชัด จำนวน 300 ใบ</t>
  </si>
  <si>
    <t>พบเปื้อนสีด้านหน้าและด้านหลัง ม้วนที่ 2/1=42ใบ 2/4=475ใบ 2/5=475ใบ 2/6=45ใบ</t>
  </si>
  <si>
    <t>สีหายตรงตัวหนังสือ</t>
  </si>
  <si>
    <t>คิวอาร์โค้ดไม่ชัด</t>
  </si>
  <si>
    <t>915เอ็ม</t>
  </si>
  <si>
    <t>ยูนิคอร์นฟิช 202</t>
  </si>
  <si>
    <t>PD468111309</t>
  </si>
  <si>
    <t>PD468111301</t>
  </si>
  <si>
    <t>PD468111401</t>
  </si>
  <si>
    <t>PD468111307</t>
  </si>
  <si>
    <t>PD468111403</t>
  </si>
  <si>
    <t>พบสีหายตรง "ด" แปะ 1 เป็น 8-9 ใบ 500 ใบ และสีหายตรงโลโก้ 400 ใบ</t>
  </si>
  <si>
    <t>พบเปื้อนสีด้านหน้าและด้านหลัง ม้วนที่ 8/2=50ใบ 8/9=1,650ใบ</t>
  </si>
  <si>
    <t>พบเปื้อนสีด้านหน้าและด้านหลังม้วนที่ 1/2=100ใบ 1/3=50ใบ 2/4=25ใบ 2/6=25ใบ</t>
  </si>
  <si>
    <t>พบเปื้อนสีด้านหน้าและด้านหลังม้วนที่ 2/2=1,050ใบ 2/3=825ใบ 2/6=100ใบ</t>
  </si>
  <si>
    <t>สีหายตรง "ด" และสีหายตรงโลโก้</t>
  </si>
  <si>
    <t>พระเอกในดวงใจ 14-7-28</t>
  </si>
  <si>
    <t>บริษัท 2 เอ็ม อโกร เท็ค จำกัด</t>
  </si>
  <si>
    <t>PD468111407</t>
  </si>
  <si>
    <t>พบพิมพ์เสีย จำนวน 756 ใบ</t>
  </si>
  <si>
    <t>ซันฟีด 575</t>
  </si>
  <si>
    <t>พบตัวหนังสือหายเยอะหายน้อยผสมกันมา จำนวน 700 ใบ</t>
  </si>
  <si>
    <t>พบลายอัดขาวเยอะ จำนวน 120 ใบ</t>
  </si>
  <si>
    <t>พบสีแดงเข้ม จำนวน 120 ใบ</t>
  </si>
  <si>
    <t>พบพิมพ์เสีย 150 ใบ และรูโคโรน่าใหญ่และเยอะ 79 ใบ</t>
  </si>
  <si>
    <t>พบสีหายด้านข้างใน 1 แปะพบ 10-13 ใบ จำนวน 1,700 ใบ</t>
  </si>
  <si>
    <t>พบเป็นรอยเส้นเทปด้านหลัง+สีตายบางใบ จำนวน 700 ใบ</t>
  </si>
  <si>
    <t>**พิมพ์เสียลดเกรดรูโคโรน่าเยอะไม่เอา**</t>
  </si>
  <si>
    <t>**ปรึกษาฝ่ายขายให้คัดออก**</t>
  </si>
  <si>
    <t>ตัวหนังสือหายเยอะหายน้อยผสมกันมา</t>
  </si>
  <si>
    <t>พิมพ์เสีย และรูโคโรน่าเยอะ</t>
  </si>
  <si>
    <t>ลายอัดขาวเยอะ</t>
  </si>
  <si>
    <t>พิมพ์เสียและรูโคโรน่าใหญ่และเยอะ</t>
  </si>
  <si>
    <t xml:space="preserve">สีหายด้านข้างใน </t>
  </si>
  <si>
    <t>รอยเส้นเทปด้านหลัง+สีตายบางใบ</t>
  </si>
  <si>
    <t>พิมพ์เสียลดเกรดรูโคโรน่าเยอะไม่เอา</t>
  </si>
  <si>
    <t>ปรึกษาฝ่ายขายให้คัดออก</t>
  </si>
  <si>
    <t>พบเปื้อนสีด้านหน้าและด้านหลังม้วนที่ 8/10=850ใบ 8/11=625ใบ</t>
  </si>
  <si>
    <t>พบสีหายด้านหลังตรงเลข "5" และสีตายด้านหน้า 450 ใบ</t>
  </si>
  <si>
    <t>พบมีรอยเส้นเทปติดด้านหลัง จำนวน 425 ใบ</t>
  </si>
  <si>
    <t>สีหายด้านหลังตรงเลข "5" และสีตายด้านหน้า</t>
  </si>
  <si>
    <t>PD468111406</t>
  </si>
  <si>
    <t>PD468111501</t>
  </si>
  <si>
    <t>PD468111506</t>
  </si>
  <si>
    <t>PD468111502</t>
  </si>
  <si>
    <t>PD468111509</t>
  </si>
  <si>
    <t>นีโอ พี3</t>
  </si>
  <si>
    <t>PD468111510</t>
  </si>
  <si>
    <t>PD468111705</t>
  </si>
  <si>
    <t>PD468111216</t>
  </si>
  <si>
    <t>พบพิมพ์เสีย จำนวน 223 ใบ</t>
  </si>
  <si>
    <t>พบพิมพ์เสีย จำนวน 425 ใบ</t>
  </si>
  <si>
    <t>พบเปื้อนสีด้านหลัง จำนวน 316 ใบ</t>
  </si>
  <si>
    <t>พบเป็นรอยฟ้าผ่า 500 ใบ และเป็นรอยฟ้าผ่า+ตัวหนังสือหายด้านหลัง 100 ใบ</t>
  </si>
  <si>
    <t>รอยฟ้าผ่า+ตัวหนังสือหายด้านหลัง</t>
  </si>
  <si>
    <t>JET002</t>
  </si>
  <si>
    <t>PD468111803</t>
  </si>
  <si>
    <t>PD468111805</t>
  </si>
  <si>
    <t>PD46811708</t>
  </si>
  <si>
    <t>พบสีหายแปะพบ 2-7 ใบ จำนวน 500 ใบ</t>
  </si>
  <si>
    <t>พบสีหายแปะพบ 5-11 ใบ จำนวน 700 ใบ</t>
  </si>
  <si>
    <t>PD468111801</t>
  </si>
  <si>
    <t>PD468111901</t>
  </si>
  <si>
    <t>PD468111906</t>
  </si>
  <si>
    <t>PD468111902</t>
  </si>
  <si>
    <t>PD468111903</t>
  </si>
  <si>
    <t>PD468111909</t>
  </si>
  <si>
    <t>พบรูโคโรน่าเยอะ จำนวน 247 ใบ</t>
  </si>
  <si>
    <t>พบพิมพ์เสีย 171 ใบ บิดเสีย 86 ใบ และผ้าเป็นรอยพยาธิเยอะ 123 ใบ</t>
  </si>
  <si>
    <t>พบสีหายแปะ 1 เป็น 6-7 ใบ จำนวน 800 ใบ</t>
  </si>
  <si>
    <t>พบเปื้อนสีด้านหน้าและด้านหลัง จำนวน 725 ใบ</t>
  </si>
  <si>
    <t>พบพิมพ์เสีย 116 ใบ และ รูโคโรน่า 175 ใบ</t>
  </si>
  <si>
    <t>พบสีตายด้านข้าง จำนวน 1,300 ใบ</t>
  </si>
  <si>
    <t>พบรูโคโรน่าเล็กๆกระจายที่กระสอบ จำนวน 425 ใบ</t>
  </si>
  <si>
    <t>**พิมพ์เสียลดเกรด รอยพยาธิเยอะไม่เอา**</t>
  </si>
  <si>
    <t>**พิมพ์เสียลดเกรด รูโคโรน่าเยอะไม่เอา**</t>
  </si>
  <si>
    <t>พิมพ์เสีย  บิดเสีย  และผ้าเป็นรอยพยาธิเยอะ</t>
  </si>
  <si>
    <t xml:space="preserve">รูโคโรน่าเล็กๆกระจายที่กระสอบ </t>
  </si>
  <si>
    <t>พิมพ์เสียลดเกรด รอยพยาธิเยอะไม่เอา</t>
  </si>
  <si>
    <t>พิมพ์เสียลดเกรด รูโคโรน่าเยอะไม่เอา</t>
  </si>
  <si>
    <t>PD468112004</t>
  </si>
  <si>
    <t>PD468112006</t>
  </si>
  <si>
    <t>PD468112003</t>
  </si>
  <si>
    <t>พบสีลงไม่เต็มเป็นเกร็ดขาว+สีหาย(APM)ด้านหน้าใน 1 แปะพบ 7-10 ใบ จำนวน 200 ใบ สีหาย(APM)บางใบ+เปื้อนสีหน้าหลัง 125 ใบ และ พิมพ์เสีย 180 ใบ</t>
  </si>
  <si>
    <t>พบพิมพ์เสีย 123 ใบ</t>
  </si>
  <si>
    <t>**ส่งลบสี,ผสม3/1,ลดกเรด**</t>
  </si>
  <si>
    <t>**ผสม2/2,ลดเกรด**</t>
  </si>
  <si>
    <t xml:space="preserve">สีลงไม่เต็มเป็นเกร็ดขาว+สีหาย(APM)ด้านหน้าใน  สีหาย(APM)บางใบ+เปื้อนสีหน้าหลัง  และ พิมพ์เสีย </t>
  </si>
  <si>
    <t xml:space="preserve">เป็นรอยเส้นเทปด้านหลังและพิมพ์เสีย </t>
  </si>
  <si>
    <t>พบเป็นรอยเส้นเทปด้านหลัง 275 ใบและพิมพ์เสีย 139 ใบ</t>
  </si>
  <si>
    <t>ส่งลบสี,ผสม3/1,ลดกเรด</t>
  </si>
  <si>
    <t>ผสม2/2,ลดเกรด</t>
  </si>
  <si>
    <t>TBCC</t>
  </si>
  <si>
    <t>แถบฟ้าภาษาอังกฤษ S44</t>
  </si>
  <si>
    <t>บริษัท สหเรือง จำกัด</t>
  </si>
  <si>
    <t>FWBWT193075PLM</t>
  </si>
  <si>
    <t>PD468112009</t>
  </si>
  <si>
    <t>PD468112007</t>
  </si>
  <si>
    <t>PD468112014</t>
  </si>
  <si>
    <t>พบสีลงไม่เต็มป็นเกร็ดขาวด้านหน้า จำนวน 500 ใบ</t>
  </si>
  <si>
    <t>สีลงไม่เต็มป็นเกร็ดขาวด้านหน้า</t>
  </si>
  <si>
    <t>ลูกโลก AMPC</t>
  </si>
  <si>
    <t>เมอร์รี่ 882S</t>
  </si>
  <si>
    <t>ลุงนัย ฟาร์ม103</t>
  </si>
  <si>
    <t>บริษัท เอเซียเหมืองแร่อุตสาหกรรม</t>
  </si>
  <si>
    <t>FWBWT203260P</t>
  </si>
  <si>
    <t>PD468112104</t>
  </si>
  <si>
    <t>PD468112101</t>
  </si>
  <si>
    <t>PD468112105</t>
  </si>
  <si>
    <t>PD468112103</t>
  </si>
  <si>
    <t>PD468112106</t>
  </si>
  <si>
    <t>พบบล็อคเลื่อนทำให้แถบทั้ง 2 ข้างไม่อยู่กึ่งกลางไม่สามารถเลาะแล้วบิดใหม่ได้ จำนวน 519 ใบ</t>
  </si>
  <si>
    <t>พบสีหายตรงเส้นกรอบสี่เหลี่ยม จำนวน 740 ใบ</t>
  </si>
  <si>
    <t>พบผ้าพับมาจากในม้วน จำนวน 755 ใบ</t>
  </si>
  <si>
    <t>พบสีน้ำตาลอ่อนกว่าเฉด จำนวน 350 ใบ</t>
  </si>
  <si>
    <t>พบเปิ้อนสีด้านหน้าและด้านหลัง ม้วนที่ 2/1=125ใบ 2/2=50ใบ 2/3,2/4=200ใบ</t>
  </si>
  <si>
    <t>พบลายอัดเขาวและเยอะ จำนวน 210 ใบ</t>
  </si>
  <si>
    <t>พบสีลงไม่เต็มรอยฟ้าผ่า จำนวน 500 ใบ</t>
  </si>
  <si>
    <t>**ปรึกษาฝ่ายขายให้แซมแปะละ1ใบถ้าแซมไม่หมดเก็บไว้แซมรอบหน้า**</t>
  </si>
  <si>
    <t>**ตัดปล่อยแล้วเย็บใหม่**</t>
  </si>
  <si>
    <t>**ปรึกษาฝ่ายขายให้แยกเลทระบุปัญยหาแจ้งขนส่ง**</t>
  </si>
  <si>
    <t>บล็อคเลื่อนทำให้แถบทั้ง 2 ข้างไม่อยู่กึ่งกลางไม่สามารถเลาะแล้วบิดใหม่ได้</t>
  </si>
  <si>
    <t>สีหายตรงเส้นกรอบสี่เหลี่ยม</t>
  </si>
  <si>
    <t>ผ้าพับมาจากในม้วน</t>
  </si>
  <si>
    <t>สีน้ำตาลอ่อนกว่าเฉด</t>
  </si>
  <si>
    <t>เปิ้อนสีด้านหน้าและด้านหลัง</t>
  </si>
  <si>
    <t>ลายอัดเขาวและเยอะ</t>
  </si>
  <si>
    <t>สีลงไม่เต็มรอยฟ้าผ่า</t>
  </si>
  <si>
    <t>ปรึกษาฝ่ายขายให้แซมแปะละ1ใบถ้าแซมไม่หมดเก็บไว้แซมรอบหน้า</t>
  </si>
  <si>
    <t>ตัดปล่อยแล้วเย็บใหม่</t>
  </si>
  <si>
    <t>ปรึกษาฝ่ายขายให้แยกเลทระบุปัญยหาแจ้งขนส่ง</t>
  </si>
  <si>
    <t>พบพิมพ์เสียม้วนที่ 3/1=188ใบ 3/2=200ใบ และรูโคโรน่าเยอะม้วนที่ 3/1=113ใบ 3/2=120ใบ</t>
  </si>
  <si>
    <t>PD468112206</t>
  </si>
  <si>
    <t>PD468112209</t>
  </si>
  <si>
    <t>พบผ้าพับ จำนวน 170 ใบ</t>
  </si>
  <si>
    <t>พบสีหายในจีบ+สีหายด้านหลังบางใบ จำนวน 540 ใบ</t>
  </si>
  <si>
    <t>พบพิมพ์เสีย จำนวน 189 ใบ</t>
  </si>
  <si>
    <t>พบสีน้ำเงินในจีบ 2 ข้างไม่เหมือนกัน+สีลงไม่เต็ม จำนวน 260 ใบ</t>
  </si>
  <si>
    <t>พบผ้าเป็นลายอัดน้อย 200 ใบ และ ผ้าเป็นลายอัดเยอะ 131 ใบ</t>
  </si>
  <si>
    <t>พบผ้าเป็นลายอัดขาวเยอะ 137 ใบ และ รอยพยาธิเยอะ 210 ใบ</t>
  </si>
  <si>
    <t>**ลายอัดน้อยผสม3/1แยกเลทระบุปัญหาแจ้งขนส่ง ลายอัดเยอะคัดออก**</t>
  </si>
  <si>
    <t xml:space="preserve">สีหายในจีบ+สีหายด้านหลังบางใบ </t>
  </si>
  <si>
    <t xml:space="preserve">สีน้ำเงินในจีบ 2 ข้างไม่เหมือนกัน+สีลงไม่เต็ม </t>
  </si>
  <si>
    <t>ผ้าเป็นลายอัดน้อย  และ ผ้าเป็นลายอัดเยอะ</t>
  </si>
  <si>
    <t>ผ้าเป็นลายอัดขาวเยอะ และ รอยพยาธิเยอะ</t>
  </si>
  <si>
    <t>ลายอัดน้อยผสม3/1แยกเลทระบุปัญหาแจ้งขนส่ง ลายอัดเยอะคัดออก</t>
  </si>
  <si>
    <t>ไอฟีด เป็ดไข่เบอร์5</t>
  </si>
  <si>
    <t>PD468112205</t>
  </si>
  <si>
    <t>พบสีหายด้านหลังแปะพบ 5-11 ใบ จำนวน 1,700 ใบ</t>
  </si>
  <si>
    <t>เมอร์รี่ 9912M</t>
  </si>
  <si>
    <t>PD468112207</t>
  </si>
  <si>
    <t>PD468112204</t>
  </si>
  <si>
    <t>PD468112402</t>
  </si>
  <si>
    <t>PD468112306</t>
  </si>
  <si>
    <t>พบมีรอยอัดน้อยและสีลงไม่เต็มน้อย จำนวน 600 ใบ</t>
  </si>
  <si>
    <t>พบผ้าเป็นลายอัดในจีบเยอะชัด จำนวน 147 ใบ</t>
  </si>
  <si>
    <t>พบเปื้อนสีด้านหน้าและด้านหลังม้วนที่ 2/2=75ใบ 2/5=150ใบ</t>
  </si>
  <si>
    <t>พบมีรอยเส้นเทปติดด้านหลัง 1,600 ใบ และ สีหายด้านหลัง 800 ใบ</t>
  </si>
  <si>
    <t>พบสีหายด้านหน้า 200 ใบ และ สีลงไม่เต็มในจีบและด้านหลัง 460 ใบ</t>
  </si>
  <si>
    <t>รอยอัดน้อยและสีลงไม่เต็มน้อย</t>
  </si>
  <si>
    <t>ผ้าเป็นลายอัดในจีบเยอะชัด</t>
  </si>
  <si>
    <t xml:space="preserve">รอยเส้นเทปติดด้านหลัง  และ สีหายด้านหลัง </t>
  </si>
  <si>
    <t>สีหายด้านหน้า  และ สีลงไม่เต็มในจีบและด้านหลัง</t>
  </si>
  <si>
    <t>PD468112501</t>
  </si>
  <si>
    <t>พบเปื้อนสีด้านหน้า จำนวน 229 ใบ</t>
  </si>
  <si>
    <t>พบพิมพ์เสีย 139 ใบ และ เปื้อนสีด้านหน้า-หลังและในจีบ 240 ใบ</t>
  </si>
  <si>
    <t>พิมพ์เสีย และ เปื้อนสีด้านหน้า-หลังและในจีบ</t>
  </si>
  <si>
    <t>PD468112502</t>
  </si>
  <si>
    <t>PD468112509</t>
  </si>
  <si>
    <t>พบมีลายอัดขาวเยอะและสีลงไม่เต็มขาว จำนวน 600 ใบ</t>
  </si>
  <si>
    <t>พบพิมพ์เสีย จำนวน 334 ใบ</t>
  </si>
  <si>
    <t>พบพิมพ์เสีย จำนวน 123 ใบ</t>
  </si>
  <si>
    <t>พบเปื้อนสี จำนวน 520 ใบ</t>
  </si>
  <si>
    <t>พบรอยเส้นเทปติดด้านหลัง 1,200 ใบ และ สีหายด้านหลัง 240 ใบ</t>
  </si>
  <si>
    <t>พบสีลงไม่เต็ม+สีในจีบ2ข้างไม่เท่ากัน จำนวน 680 ใบ</t>
  </si>
  <si>
    <t>พบผ้าพับใหญ่ จำนวน 140 ใบ</t>
  </si>
  <si>
    <t>ลายอัดขาวเยอะและสีลงไม่เต็มขาว</t>
  </si>
  <si>
    <t xml:space="preserve">สีลงไม่เต็ม+สีในจีบ2ข้างไม่เท่ากัน </t>
  </si>
  <si>
    <t>พบเปื้อนสี ม้วนที่ 2/5=300ใบ 2/8=300ใบ</t>
  </si>
  <si>
    <t>PD468112811</t>
  </si>
  <si>
    <t>PD468112810</t>
  </si>
  <si>
    <t>พบเปื้อนสีด้านหน้าและด้านหลัง 75 ใบ สีเขียวด้านหน้าอ่อน+สีไม่เสมอกัน 155 ใบและรอยฟ้าผ่าด้านหน้าและในจีบ 75 ใบ</t>
  </si>
  <si>
    <t>พบพิมพ์เสีย จำนวน 276 ใบ</t>
  </si>
  <si>
    <t>พบมีรอยฟ้าผ่าในจีบ จำนวน 117 ใบ</t>
  </si>
  <si>
    <t>**เปื้อนสีส่งลบสี,สีเขียวด้านหน้าอ่อน+สีไม่เสมอกันปรึกษาฝ่ายขายให้แซมแปะละ2ใบ,รอยฟ้าผ่าด้านหน้าและในจีบไม่เอา**</t>
  </si>
  <si>
    <t>เปื้อนสีด้านหน้าและด้านหลัง สีเขียวด้านหน้าอ่อน+สีไม่เสมอกัน และรอยฟ้าผ่าด้านหน้าและในจีบ</t>
  </si>
  <si>
    <t>เปื้อนสีส่งลบสี,สีเขียวด้านหน้าอ่อน+สีไม่เสมอกันปรึกษาฝ่ายขายให้แซมแปะละ2ใบ,รอยฟ้าผ่าด้านหน้าและในจีบไม่เอา</t>
  </si>
  <si>
    <t>การ์เซียส์ฟิช111</t>
  </si>
  <si>
    <t>เมอร์รี่ 882L</t>
  </si>
  <si>
    <t>PD468112911</t>
  </si>
  <si>
    <t>PD468112912</t>
  </si>
  <si>
    <t>PD468113003</t>
  </si>
  <si>
    <t>PD468113009</t>
  </si>
  <si>
    <t>พบสีลงไม่เต็ม+ผ้าเป็นลายอัด ม้วนที่ 2/2=300ใบ 2/3=450ใบ</t>
  </si>
  <si>
    <t>พบเปื้อนสีด้านหน้าและด้านหลัง ม้วนที่ 2/3=300ใบ 2/4=350ใบ</t>
  </si>
  <si>
    <t>พบสีหายแปะพบ 10-19 ใบ จำนวน 200 ใบ</t>
  </si>
  <si>
    <t>พบเปื้อนสีด้านหลังเข้ม จำนวน 2,600 ใบ</t>
  </si>
  <si>
    <t>เปื้อนสีด้านหลังเข้ม</t>
  </si>
  <si>
    <t>PD468120104</t>
  </si>
  <si>
    <t>PD468113007</t>
  </si>
  <si>
    <t>PD468113010</t>
  </si>
  <si>
    <t>PD468120207</t>
  </si>
  <si>
    <t>พบเปื้อนสีเข้ม จำนวน 925 ใบ</t>
  </si>
  <si>
    <t>พบมีรอยฟ้าผ่ารอยผ้ายับ จำนวน 450 ใบ</t>
  </si>
  <si>
    <t>พบเปื้อนสีด้านหลัง ม้วนที่ 2/9=125ใบ 2/13=175ใบ 2/15=125ใบ</t>
  </si>
  <si>
    <t>พบรอยพยาธิด้านข้าง จำนวน 600 ใบ</t>
  </si>
  <si>
    <t>พบเปื้อนสีด้านหน้า 320 ใบ เลอะสี+เปื้อนรอยมาร์ค+สีเขียวหลุดเฉด(83ใบ) รวมทั้งหมด 514 ใบ และพิมพ์เสีย 200 ใบ</t>
  </si>
  <si>
    <t>**ส่งบสี**</t>
  </si>
  <si>
    <t>**เปื้อนสีด้านหน้าส่งลบสี,เลอะสี+เปื้อนรอยมาร์ค+สีเขียวหลุดเฉด ปรึกษาฝ่ายขายไม่เอา,พิมพ์เสียลดเกรด**</t>
  </si>
  <si>
    <t>รอยฟ้าผ่ารอยผ้ายับ</t>
  </si>
  <si>
    <t>เปื้อนสีด้านหน้า  เลอะสี+เปื้อนรอยมาร์ค+สีเขียวหลุดเฉดและพิมพ์เสีย</t>
  </si>
  <si>
    <t>เปื้อนสีด้านหน้าส่งลบสี,เลอะสี+เปื้อนรอยมาร์ค+สีเขียวหลุดเฉด ปรึกษาฝ่ายขายไม่เอา,พิมพ์เสียลดเกรด</t>
  </si>
  <si>
    <t>PD468120201</t>
  </si>
  <si>
    <t>PD468112909</t>
  </si>
  <si>
    <t>พบพิมพ์เสีย จำนวน 237 ใบ</t>
  </si>
  <si>
    <t>พบพิมพ์เสีย 494 ใบ และ เปื้อนสี 480 ใบ</t>
  </si>
  <si>
    <t>พบสีหายตรงตัว "D" ด้านหลังแปะ 1 เป็น 13-15 ใบ จำนวน 550 ใบ</t>
  </si>
  <si>
    <t>พิมพ์เสี และ เปื้อนสี</t>
  </si>
  <si>
    <t>BS(พิมพ์2หน้า)</t>
  </si>
  <si>
    <t>PD468120204</t>
  </si>
  <si>
    <t>PD468120212</t>
  </si>
  <si>
    <t>PD468120213</t>
  </si>
  <si>
    <t>PD468120308</t>
  </si>
  <si>
    <t>PD468120301</t>
  </si>
  <si>
    <t>PD468120302</t>
  </si>
  <si>
    <t>PD468120309</t>
  </si>
  <si>
    <t>PD468120303</t>
  </si>
  <si>
    <t>พบผ้าเป็นรูโคโรน่าใหญ่และเยอะ จำนวน 219 ใบ</t>
  </si>
  <si>
    <t>พบเปื้อนสีด้านหลัง ม้วนที่ 2/3=750ใบ 2/6=875ใบ</t>
  </si>
  <si>
    <t>พบสีหายตรงหางหมูในแปะพบ 5-8 ใบ จำนวน 1,125 ใบ</t>
  </si>
  <si>
    <t>พบผ้าเป็นรูโคโรน่าเยอะ จำนวน 204 ใบ</t>
  </si>
  <si>
    <t>พบเปื้อนสีด้านหลัง จำนวน 775 ใบ</t>
  </si>
  <si>
    <t>พบคำว่า "กิโลกรัม" หายใน 1 แปะ พบ 5-7 ใบ จำนวน 1,450 ใบ</t>
  </si>
  <si>
    <t>คำว่า "กิโลกรัม" หาย</t>
  </si>
  <si>
    <t>PD468120408</t>
  </si>
  <si>
    <t>PD3</t>
  </si>
  <si>
    <t>พบผ้าเป็นรูโคโรน่าเยอะและรูใหญ่ จำนวน 641 ใบ</t>
  </si>
  <si>
    <t>พบสีหายตรงคิวอาร์โค้ดหายเยอะหายน้อยปนกันมา จำนวน 900 ใบ</t>
  </si>
  <si>
    <t xml:space="preserve">สีหายตรงคิวอาร์โค้ดหายเยอะหายน้อยปนกันมา </t>
  </si>
  <si>
    <t>แดนโกรว บรีดเดอร์70</t>
  </si>
  <si>
    <t>PD468120415</t>
  </si>
  <si>
    <t>PD468120406</t>
  </si>
  <si>
    <t>PD468120411</t>
  </si>
  <si>
    <t>พบพิมพ์เสีย จำนวน 233 ใบ</t>
  </si>
  <si>
    <t>พบสีหายแปะพบ 7-12 ใบ จำนวน 300 ใบ</t>
  </si>
  <si>
    <t>พบพิมพ์เสีย จำนวน 331 ใบ</t>
  </si>
  <si>
    <t>บริษัท ที.ซี.ยูเนียน อโกรเทค จำกัด</t>
  </si>
  <si>
    <t>PD468120507</t>
  </si>
  <si>
    <t>PD468120414</t>
  </si>
  <si>
    <t>PD468120510</t>
  </si>
  <si>
    <t>PD468120515</t>
  </si>
  <si>
    <t>พบสีหายตรงโลโก้ แปะ 1 เป็น 3-4 ใบและ สีแดงหายด้านข้าง แปะ 1 เป็น 7-9 ใบ จำนวน 650 ใบ</t>
  </si>
  <si>
    <t>พบพิมพ์เสีย จำนวน 252 ใบ</t>
  </si>
  <si>
    <t>พบเปื้อนสี+เป็นเส้นสีดำตรงกลาง ม้วนที่ 1/2=100ใบ 1/5=400ใบ</t>
  </si>
  <si>
    <t>พบเปื้อนสีด้านหน้า ม้วนที่ 2/5=200ใบ 2/6=75ใบ และ ผ้าพับใหญ่ม้วนที่ 2/6=70ใบ 2/7=60ใบ</t>
  </si>
  <si>
    <t>พบผ้าพับใหญ่ จำนวน 374 ใบ</t>
  </si>
  <si>
    <t>พบสีตายด้านข้าง+เปื้อนสี จำนวน 186 ใบ</t>
  </si>
  <si>
    <t>**เปื้อนสีส่งลบสี,ผ้าพับใหญ่คัดแยกออก**</t>
  </si>
  <si>
    <t xml:space="preserve">สีหายตรงโลโก้ สีแดงหายด้านข้าง </t>
  </si>
  <si>
    <t>เปื้อนสี+เป็นเส้นสีดำตรงกลาง</t>
  </si>
  <si>
    <t>เปื้อนสีด้านหน้า  และ ผ้าพับใหญ่</t>
  </si>
  <si>
    <t>สีตายด้านข้าง+เปื้อนสี</t>
  </si>
  <si>
    <t>เปื้อนสีส่งลบสี,ผ้าพับใหญ่คัดแยกออก</t>
  </si>
  <si>
    <t>ซันฟีด331</t>
  </si>
  <si>
    <t>PD468120604</t>
  </si>
  <si>
    <t>PD468120601</t>
  </si>
  <si>
    <t>PD468120605</t>
  </si>
  <si>
    <t>PD468120701</t>
  </si>
  <si>
    <t>พบเปื้อนสีด้านหน้า จำนวน 275 ใบ</t>
  </si>
  <si>
    <t>พบเปื้อนสีด้านหน้าและด้านหลัง จำนวน 700 ใบ</t>
  </si>
  <si>
    <t>พบเปื้อนสีแถบข้าง จำนวน 1,725 ใบ</t>
  </si>
  <si>
    <t>พบสีหายตรงตัวเป็ดด้านหน้าและสีหายตรงตัวเป็ดด้านหลังในแปะพบ 6-9 ใบ จำนวน 2,300 ใบ</t>
  </si>
  <si>
    <t>สีหายตรงตัวเป็ดด้านหน้าและสีหายตรงตัวเป็ดด้านหลัง</t>
  </si>
  <si>
    <t>PD468120702</t>
  </si>
  <si>
    <t>PD468120606</t>
  </si>
  <si>
    <t>พบสีหายตรง "รังไข่" จำนวน 1,075 ใบ</t>
  </si>
  <si>
    <t>สีหายตรง "รังไข่"</t>
  </si>
  <si>
    <t>ซันฟีดไก่ไข่เบอร์5M</t>
  </si>
  <si>
    <t>Lung Shin 30KG.</t>
  </si>
  <si>
    <t>FWBWT213270P</t>
  </si>
  <si>
    <t>PD468120905</t>
  </si>
  <si>
    <t>PD468120901</t>
  </si>
  <si>
    <t>PD468120805</t>
  </si>
  <si>
    <t>PD468120913</t>
  </si>
  <si>
    <t>PD468120612</t>
  </si>
  <si>
    <t>PD468121014</t>
  </si>
  <si>
    <t>พบมีบล็อคเลื่อนทับเส้น จำนวน 275 ใบ</t>
  </si>
  <si>
    <t>พบคิวอาร์โค้ดหาย จำนวน 1,578 ใบ</t>
  </si>
  <si>
    <t>พบพิมพ์เสีย ม้วนที่ 8/1=100ใบ 8/2=175ใบ</t>
  </si>
  <si>
    <t>พบพิมพ์เสีย ม้วนที่ 1/1=150ใบ 1/2=132ใบ</t>
  </si>
  <si>
    <t>พบเปื้อนสีด้านหน้าและด้านหลัง จำนวน 125 ใบ</t>
  </si>
  <si>
    <t>**ตัดแยกเลท**</t>
  </si>
  <si>
    <t xml:space="preserve">บล็อคเลื่อนทับเส้น </t>
  </si>
  <si>
    <t>คิวอาร์โค้ดหาย</t>
  </si>
  <si>
    <t>ตัดแยกเลท</t>
  </si>
  <si>
    <t>ฟินโกลด์666</t>
  </si>
  <si>
    <t>ซันฟีด915M</t>
  </si>
  <si>
    <t>บริษัท สุปรียา อินเตอร์เทรด จำกัด</t>
  </si>
  <si>
    <t>PD468121008</t>
  </si>
  <si>
    <t>PD468121007</t>
  </si>
  <si>
    <t>PD468121101</t>
  </si>
  <si>
    <t>พบตัวหนังสือหายด้านหลัง จำนวน 1,350 ใบ</t>
  </si>
  <si>
    <t>พบมีรอยพยาธิแถบข้าง จำนวน 600 ใบ</t>
  </si>
  <si>
    <t>พบมีรอยเส้นเทปติดด้านหลัง จำนวน 2,500 ใบ</t>
  </si>
  <si>
    <t>รอยพยาธิแถบข้าง</t>
  </si>
  <si>
    <t>ดาว 20กก.</t>
  </si>
  <si>
    <t>PD468120914</t>
  </si>
  <si>
    <t>PD468121105</t>
  </si>
  <si>
    <t>PD468121207</t>
  </si>
  <si>
    <t>PD468121106</t>
  </si>
  <si>
    <t>PD468121201</t>
  </si>
  <si>
    <t>พบมีมาร์คเลื่อน จำนวน 312 ใบ</t>
  </si>
  <si>
    <t>พบผ้าพับใหญ่ จำนวน 126 ใบ</t>
  </si>
  <si>
    <t>พบรูโคโรน่าใหญ่ จำนวน 100 ใบ</t>
  </si>
  <si>
    <t>พบสีหายด้านหลังแปะ 1 เป็น 7-8 ใบ + ลายอัด จำนวน 1,000 ใบ</t>
  </si>
  <si>
    <t>พบสีหายด้านหน้าตรงปากเป็ด ม้วนที่ 9/38=1,100ใบ 9/39=800ใบ</t>
  </si>
  <si>
    <t>พบผ้าเป็นรูโคโรน่าใหญ่และเยอะ จำนวน 113 ใบ</t>
  </si>
  <si>
    <t>พบพิมพ์เสีย ม้วนที่ 3/3=104ใบ 3/27=144ใบ</t>
  </si>
  <si>
    <t>**ปรึกษาฝ่ายขายให้ตัดมาร์คโผล่และส่งลบสี**</t>
  </si>
  <si>
    <t>มาร์คเลื่อน</t>
  </si>
  <si>
    <t>สีหายด้านหลัง + ลายอัด</t>
  </si>
  <si>
    <t xml:space="preserve">สีหายด้านหน้าตรงปากเป็ด </t>
  </si>
  <si>
    <t>ปรึกษาฝ่ายขายให้ตัดมาร์คโผล่และส่งลบสี</t>
  </si>
  <si>
    <t>พบสีแดงหาย จำนวน 300 ใบ</t>
  </si>
  <si>
    <t>สีแดงหาย</t>
  </si>
  <si>
    <t>PD468121211</t>
  </si>
  <si>
    <t>PD468121312</t>
  </si>
  <si>
    <t>PD468121314</t>
  </si>
  <si>
    <t>PD468121301</t>
  </si>
  <si>
    <t>พบสีหายตรงโลโก้ด้านหลังแปะ 1 เป็น 5-6 ใบ จำนวน 1,000 ใบ</t>
  </si>
  <si>
    <t>พบเปื้อนสีเข้มม้วนที่ 3/2=625ใบ 3/3=375ใบ 3/4=1,050ใบ 3/6=1,125ใบ</t>
  </si>
  <si>
    <t>พบเปื้อนสี จำนวน 325 ใบ</t>
  </si>
  <si>
    <t>**ไม่มีงานผสมขอมัดแยกเลทติดป้ายระบุปัญหาแจ้งขนส่ง**</t>
  </si>
  <si>
    <t>พบม้วนที่ 4-5-6 ตัวหนังสือหายด้านหลัง 3 ม้วนทั้งหมด จำนวน 5,000 ใบ</t>
  </si>
  <si>
    <t>ไม่มีงานผสมขอมัดแยกเลทติดป้ายระบุปัญหาแจ้งขนส่ง</t>
  </si>
  <si>
    <t>PD468121512</t>
  </si>
  <si>
    <t>PD468121514</t>
  </si>
  <si>
    <t>PD468121509</t>
  </si>
  <si>
    <t>พบเป็นรอยตะขาบชัด จำนวน 160 ใบ</t>
  </si>
  <si>
    <t>พบสีหาย 450 ใบ และ ผ้าโย้ด้านหลัง 300 ใบ</t>
  </si>
  <si>
    <t>พบสีหายตรง คอหมู+ษ ด้านหน้า ใน 1 แปะพบ 5-7 ใบ จำนวน 600 ใบ</t>
  </si>
  <si>
    <t>พบสีหายด้านหลัง+ผ้าโย้ จำนวน 1,300 ใบ</t>
  </si>
  <si>
    <t>พบพิมพ์เสีย จำนวน 301 ใบ</t>
  </si>
  <si>
    <t>เป็นรอยตะขาบชัด</t>
  </si>
  <si>
    <t>สีหายและ ผ้าโย้ด้านหลัง</t>
  </si>
  <si>
    <t>สีหายตรง คอหมู+ษ</t>
  </si>
  <si>
    <t xml:space="preserve">สีหายด้านหลัง+ผ้าโย้ </t>
  </si>
  <si>
    <t>PD468121505</t>
  </si>
  <si>
    <t>พบเปื้อนสีด้านหน้าและด้านหลัง ม้วนที่ 3/1=825ใบ 3/3=675ใบ 3/5=575ใบ 3/7=425ใบ 3/8=775ใบ 3/9=550ใบ</t>
  </si>
  <si>
    <t>พบบล็อคเลื่อน จำนวน 300 ใบ</t>
  </si>
  <si>
    <t>พบรอยเส้นเทป จำนวน 2,400 ใบ</t>
  </si>
  <si>
    <t>พบรอยเส้นเทป จำนวน 900 ใบ</t>
  </si>
  <si>
    <t>ธนาคารเมล็ดพันธุ์ข้าวชุมชน</t>
  </si>
  <si>
    <t>PD468121609</t>
  </si>
  <si>
    <t>PD468121502</t>
  </si>
  <si>
    <t>PD468121612</t>
  </si>
  <si>
    <t>พบพิมพ์เสีย จำนว 200 ใบ</t>
  </si>
  <si>
    <t>เบอร์21</t>
  </si>
  <si>
    <t>PD468121615</t>
  </si>
  <si>
    <t>PD468121704</t>
  </si>
  <si>
    <t>PD468121614</t>
  </si>
  <si>
    <t>PD468121616</t>
  </si>
  <si>
    <t>PD468121707</t>
  </si>
  <si>
    <t>PD468121708</t>
  </si>
  <si>
    <t>พบสีหาย+สีลงไม่เต็ม จำนวน 1,000 ใบ</t>
  </si>
  <si>
    <t>พบสีลงไม่เต็มด้านหน้า+เป็นลายอัดบางใบ จำนวน 900 ใบ</t>
  </si>
  <si>
    <t>พบพิมพ์เสีย ม้วนที่ 9/1=123ใบ 9/12=177ใบ</t>
  </si>
  <si>
    <t>พบเปื้อนสีด้านหน้าและด้านหลัง ม้วนที่ 2/1=50ใบ 2/3=125ใบ 2/4=350ใบ 2/5=25ใบ 2/7=25ใบ 2/8=225ใบ 2/10=118ใบ</t>
  </si>
  <si>
    <t>พบเปื้อนสี จำนวน 560 ใบ</t>
  </si>
  <si>
    <t>พบสีหายเล็กและใหญ่แปะพบ 11-19 ใบ จำนวน 1,025 ใบ</t>
  </si>
  <si>
    <t xml:space="preserve">สีหาย+สีลงไม่เต็ม </t>
  </si>
  <si>
    <t>สีลงไม่เต็มด้านหน้า+เป็นลายอัดบางใบ</t>
  </si>
  <si>
    <t>สีหายเล็กและใหญ่</t>
  </si>
  <si>
    <t>FWBWT203468P</t>
  </si>
  <si>
    <t>PD468121710</t>
  </si>
  <si>
    <t>PD468121802</t>
  </si>
  <si>
    <t>PD468121807</t>
  </si>
  <si>
    <t>พบเปื้อนสีด้านหน้าและด้านหลัง ม้วนที่ 2/4=100ใบ 2/10=325ใบ 2/13=75ใบ 2/17=300ใบ</t>
  </si>
  <si>
    <t>พบผ้าพับใหญ่ จำนวน 100 ใบ</t>
  </si>
  <si>
    <t>พบสีตายแปะพบ 10-18 ใบ จำนวน 300 ใบ</t>
  </si>
  <si>
    <t>พบมีรอยตะขาบด้านหน้าแปะพบ 5-18 ใบ จำนวน 2,000 ใบ</t>
  </si>
  <si>
    <t>รอยตะขาบด้านหน้า</t>
  </si>
  <si>
    <t>ถุงเขียว(คัดพิเศษ)</t>
  </si>
  <si>
    <t>PD468121810</t>
  </si>
  <si>
    <t>PD468121804</t>
  </si>
  <si>
    <t>PD468121906</t>
  </si>
  <si>
    <t>PD468121908</t>
  </si>
  <si>
    <t>พบสีหายตรงเครื่องหมายฮาลาล จำนวน 335 ใบ</t>
  </si>
  <si>
    <t>พบสีหายตรงตัว "R" จำนวน 1,750 ใบ</t>
  </si>
  <si>
    <t>พบผ้าพับ จำนวน 800 ใบ</t>
  </si>
  <si>
    <t>พบมีรอยเส้นเทปติด+สีตาย จำนวน 2,200 ใบ</t>
  </si>
  <si>
    <t>สีหายตรงตัว "R"</t>
  </si>
  <si>
    <t>รอยเส้นเทปติด+สีตาย</t>
  </si>
  <si>
    <t>พบลายอัดเยอะและขาว จำนวน 200 ใบ</t>
  </si>
  <si>
    <t xml:space="preserve">ลายอัดเยอะและขาว </t>
  </si>
  <si>
    <t>พีพีเค</t>
  </si>
  <si>
    <t>บริษัท เพชรสว่างเกิด การโยธา</t>
  </si>
  <si>
    <t>PD468121909</t>
  </si>
  <si>
    <t>PD468122003</t>
  </si>
  <si>
    <t>พบสีหายด้านหลังแปะพบ 10-17 ใบ จำนวน 600 ใบ</t>
  </si>
  <si>
    <t>พบเป็นรอยขูดแถบข้าง+เปื้อนสีด้านหน้าและหลัง จำนวน 175 ใบ</t>
  </si>
  <si>
    <t>**ปรึกษาฝ่ายขายให้ส่งลบสีและผสม3/1**</t>
  </si>
  <si>
    <t xml:space="preserve">เป็นรอยขูดแถบข้าง+เปื้อนสีด้านหน้าและหลัง </t>
  </si>
  <si>
    <t>ปรึกษาฝ่ายขายให้ส่งลบสีและผสม3/1</t>
  </si>
  <si>
    <t>ถุงส้ม(คัดพิเศษ)</t>
  </si>
  <si>
    <t>PD468122201</t>
  </si>
  <si>
    <t>PD468122202</t>
  </si>
  <si>
    <t>พบสีหายตรงตัว "D" แปะ 1 เป็น 4-6 ใบ จำนวน 1,200 ใบ</t>
  </si>
  <si>
    <t xml:space="preserve">สีหายตรงตัว "D" </t>
  </si>
  <si>
    <t>PORTARYTE C15</t>
  </si>
  <si>
    <t>PD468122213</t>
  </si>
  <si>
    <t>PD468122305</t>
  </si>
  <si>
    <t>PD468122307</t>
  </si>
  <si>
    <t>พบเปื้อนสีด้านหลัง ม้วนที่ 2/4=116ใบ 2/6=33ใบ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</si>
</sst>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54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Angsana New"/>
      <family val="1"/>
    </font>
    <font>
      <sz val="12"/>
      <name val="Angsana New"/>
      <family val="1"/>
    </font>
    <font>
      <sz val="11"/>
      <name val="Angsana New"/>
      <family val="1"/>
    </font>
    <font>
      <sz val="10"/>
      <name val="Arial"/>
      <family val="2"/>
    </font>
    <font>
      <sz val="14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sz val="12"/>
      <color theme="1"/>
      <name val="Angsana New"/>
      <family val="1"/>
    </font>
    <font>
      <b/>
      <sz val="12"/>
      <name val="Angsana New"/>
      <family val="1"/>
    </font>
    <font>
      <b/>
      <sz val="14"/>
      <color theme="1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sz val="11"/>
      <color theme="1"/>
      <name val="Tahoma"/>
      <family val="2"/>
      <charset val="222"/>
      <scheme val="minor"/>
    </font>
    <font>
      <b/>
      <u/>
      <sz val="16"/>
      <color rgb="FFC00000"/>
      <name val="Angsana New"/>
      <family val="1"/>
    </font>
    <font>
      <u/>
      <sz val="11"/>
      <color theme="1"/>
      <name val="Tahoma"/>
      <family val="2"/>
      <charset val="222"/>
      <scheme val="minor"/>
    </font>
    <font>
      <u/>
      <sz val="14"/>
      <name val="Angsana New"/>
      <family val="1"/>
    </font>
    <font>
      <u/>
      <sz val="12"/>
      <name val="Angsana New"/>
      <family val="1"/>
    </font>
    <font>
      <u/>
      <sz val="12"/>
      <color rgb="FFC00000"/>
      <name val="Tahoma"/>
      <family val="2"/>
      <charset val="222"/>
      <scheme val="minor"/>
    </font>
    <font>
      <u/>
      <sz val="11"/>
      <color rgb="FFC00000"/>
      <name val="Tahoma"/>
      <family val="2"/>
      <charset val="222"/>
      <scheme val="minor"/>
    </font>
    <font>
      <b/>
      <i/>
      <u val="double"/>
      <sz val="16"/>
      <color rgb="FFC00000"/>
      <name val="Angsana New"/>
      <family val="1"/>
    </font>
    <font>
      <sz val="1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6"/>
      <color theme="0"/>
      <name val="Angsana New"/>
      <family val="1"/>
    </font>
    <font>
      <b/>
      <sz val="14"/>
      <color theme="0"/>
      <name val="Angsana New"/>
      <family val="1"/>
    </font>
    <font>
      <sz val="11"/>
      <color theme="0"/>
      <name val="Tahoma"/>
      <family val="2"/>
      <charset val="222"/>
      <scheme val="minor"/>
    </font>
    <font>
      <b/>
      <sz val="11"/>
      <name val="Angsana New"/>
      <family val="1"/>
    </font>
    <font>
      <sz val="10"/>
      <name val="Arial"/>
      <family val="2"/>
    </font>
    <font>
      <b/>
      <sz val="22"/>
      <name val="Angsana New"/>
      <family val="1"/>
    </font>
    <font>
      <b/>
      <u/>
      <sz val="16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sz val="22"/>
      <name val="Angsana New"/>
      <family val="1"/>
    </font>
    <font>
      <b/>
      <sz val="20"/>
      <name val="Angsana New"/>
      <family val="1"/>
    </font>
    <font>
      <sz val="12"/>
      <color rgb="FFE1093C"/>
      <name val="Angsana New"/>
      <family val="1"/>
    </font>
    <font>
      <b/>
      <sz val="24"/>
      <color theme="1"/>
      <name val="Angsana New"/>
      <family val="1"/>
      <charset val="222"/>
    </font>
    <font>
      <b/>
      <sz val="24"/>
      <name val="Angsana New"/>
      <family val="1"/>
      <charset val="222"/>
    </font>
    <font>
      <b/>
      <sz val="24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rgb="FFC00000"/>
      <name val="Tahoma"/>
      <family val="2"/>
      <charset val="222"/>
      <scheme val="minor"/>
    </font>
    <font>
      <sz val="14"/>
      <color theme="1"/>
      <name val="Angsana New"/>
      <family val="1"/>
    </font>
    <font>
      <sz val="13"/>
      <name val="Angsana New"/>
      <family val="1"/>
    </font>
    <font>
      <sz val="12"/>
      <color theme="1"/>
      <name val="Angsana New"/>
      <family val="1"/>
      <charset val="222"/>
    </font>
    <font>
      <sz val="12"/>
      <color theme="1"/>
      <name val="AngsanaUPC"/>
      <family val="1"/>
      <charset val="222"/>
    </font>
    <font>
      <b/>
      <sz val="22"/>
      <color rgb="FFE1093C"/>
      <name val="Angsana New"/>
      <family val="1"/>
    </font>
    <font>
      <b/>
      <sz val="36"/>
      <color rgb="FFE1093C"/>
      <name val="Angsana New"/>
      <family val="1"/>
    </font>
    <font>
      <b/>
      <sz val="26"/>
      <name val="Angsana New"/>
      <family val="1"/>
    </font>
    <font>
      <b/>
      <u/>
      <sz val="18"/>
      <name val="Angsana New"/>
      <family val="1"/>
    </font>
    <font>
      <sz val="11"/>
      <color theme="1"/>
      <name val="Angsana New"/>
      <family val="1"/>
    </font>
    <font>
      <sz val="12"/>
      <color rgb="FFC00000"/>
      <name val="Angsana New"/>
      <family val="1"/>
    </font>
    <font>
      <b/>
      <u/>
      <sz val="14"/>
      <name val="Angsana New"/>
      <family val="1"/>
    </font>
    <font>
      <sz val="12"/>
      <color theme="0"/>
      <name val="Angsana New"/>
      <family val="1"/>
    </font>
    <font>
      <sz val="11"/>
      <color theme="0"/>
      <name val="Angsana New"/>
      <family val="1"/>
    </font>
  </fonts>
  <fills count="2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">
    <xf numFmtId="0" fontId="0" fillId="0" borderId="0"/>
    <xf numFmtId="0" fontId="4" fillId="0" borderId="0"/>
    <xf numFmtId="43" fontId="13" fillId="0" borderId="0" applyFont="0" applyFill="0" applyBorder="0" applyAlignment="0" applyProtection="0"/>
    <xf numFmtId="0" fontId="27" fillId="0" borderId="0"/>
  </cellStyleXfs>
  <cellXfs count="321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14" fontId="8" fillId="3" borderId="2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0" borderId="0" xfId="1" applyFont="1" applyAlignment="1" applyProtection="1">
      <alignment horizontal="center" vertical="center"/>
      <protection locked="0"/>
    </xf>
    <xf numFmtId="2" fontId="8" fillId="3" borderId="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0" fillId="3" borderId="0" xfId="0" applyFill="1"/>
    <xf numFmtId="0" fontId="2" fillId="0" borderId="8" xfId="0" applyFont="1" applyBorder="1" applyAlignment="1">
      <alignment horizontal="center" vertical="center"/>
    </xf>
    <xf numFmtId="0" fontId="14" fillId="24" borderId="0" xfId="0" applyFont="1" applyFill="1" applyAlignment="1" applyProtection="1">
      <alignment horizontal="left" vertical="center"/>
      <protection locked="0"/>
    </xf>
    <xf numFmtId="0" fontId="15" fillId="24" borderId="0" xfId="0" applyFont="1" applyFill="1"/>
    <xf numFmtId="0" fontId="16" fillId="24" borderId="0" xfId="1" applyFont="1" applyFill="1" applyAlignment="1">
      <alignment vertical="center"/>
    </xf>
    <xf numFmtId="0" fontId="17" fillId="24" borderId="0" xfId="1" applyFont="1" applyFill="1" applyAlignment="1">
      <alignment horizontal="left"/>
    </xf>
    <xf numFmtId="0" fontId="18" fillId="24" borderId="0" xfId="0" applyFont="1" applyFill="1" applyAlignment="1">
      <alignment vertical="center"/>
    </xf>
    <xf numFmtId="0" fontId="17" fillId="24" borderId="0" xfId="1" applyFont="1" applyFill="1" applyAlignment="1">
      <alignment vertical="center"/>
    </xf>
    <xf numFmtId="0" fontId="19" fillId="24" borderId="0" xfId="0" applyFont="1" applyFill="1" applyAlignment="1">
      <alignment vertical="center"/>
    </xf>
    <xf numFmtId="0" fontId="17" fillId="24" borderId="0" xfId="1" applyFont="1" applyFill="1" applyAlignment="1">
      <alignment horizontal="left" vertical="center"/>
    </xf>
    <xf numFmtId="0" fontId="1" fillId="23" borderId="2" xfId="0" applyFont="1" applyFill="1" applyBorder="1" applyAlignment="1">
      <alignment horizontal="center" vertical="center" wrapText="1"/>
    </xf>
    <xf numFmtId="0" fontId="2" fillId="23" borderId="2" xfId="1" applyFont="1" applyFill="1" applyBorder="1" applyAlignment="1" applyProtection="1">
      <alignment horizontal="center" vertical="center"/>
      <protection locked="0"/>
    </xf>
    <xf numFmtId="0" fontId="6" fillId="23" borderId="0" xfId="0" applyFont="1" applyFill="1" applyAlignment="1" applyProtection="1">
      <alignment horizontal="left"/>
      <protection locked="0"/>
    </xf>
    <xf numFmtId="0" fontId="5" fillId="23" borderId="0" xfId="1" applyFont="1" applyFill="1" applyAlignment="1" applyProtection="1">
      <alignment horizontal="center" vertical="center"/>
      <protection locked="0"/>
    </xf>
    <xf numFmtId="0" fontId="9" fillId="23" borderId="4" xfId="0" applyFont="1" applyFill="1" applyBorder="1" applyAlignment="1" applyProtection="1">
      <alignment horizontal="center" wrapText="1"/>
      <protection locked="0"/>
    </xf>
    <xf numFmtId="0" fontId="6" fillId="23" borderId="0" xfId="1" applyFont="1" applyFill="1" applyAlignment="1" applyProtection="1">
      <alignment vertical="center"/>
      <protection locked="0"/>
    </xf>
    <xf numFmtId="14" fontId="7" fillId="23" borderId="4" xfId="1" applyNumberFormat="1" applyFont="1" applyFill="1" applyBorder="1" applyAlignment="1" applyProtection="1">
      <alignment horizontal="center" vertical="center"/>
      <protection locked="0"/>
    </xf>
    <xf numFmtId="14" fontId="6" fillId="23" borderId="4" xfId="1" applyNumberFormat="1" applyFont="1" applyFill="1" applyBorder="1" applyAlignment="1" applyProtection="1">
      <alignment horizontal="center" vertical="center"/>
      <protection locked="0"/>
    </xf>
    <xf numFmtId="0" fontId="6" fillId="23" borderId="0" xfId="1" applyFont="1" applyFill="1" applyAlignment="1" applyProtection="1">
      <alignment horizontal="left" vertical="center"/>
      <protection locked="0"/>
    </xf>
    <xf numFmtId="0" fontId="3" fillId="23" borderId="0" xfId="1" applyFont="1" applyFill="1" applyAlignment="1" applyProtection="1">
      <alignment horizontal="center" vertical="center"/>
      <protection locked="0"/>
    </xf>
    <xf numFmtId="0" fontId="3" fillId="23" borderId="0" xfId="1" applyFont="1" applyFill="1" applyAlignment="1" applyProtection="1">
      <alignment vertical="center"/>
      <protection locked="0"/>
    </xf>
    <xf numFmtId="0" fontId="7" fillId="23" borderId="0" xfId="1" applyFont="1" applyFill="1" applyAlignment="1" applyProtection="1">
      <alignment horizontal="center" vertical="center"/>
      <protection locked="0"/>
    </xf>
    <xf numFmtId="0" fontId="3" fillId="23" borderId="2" xfId="1" applyFont="1" applyFill="1" applyBorder="1" applyAlignment="1" applyProtection="1">
      <alignment horizontal="center" vertical="center"/>
      <protection locked="0"/>
    </xf>
    <xf numFmtId="0" fontId="8" fillId="3" borderId="2" xfId="0" quotePrefix="1" applyFont="1" applyFill="1" applyBorder="1" applyAlignment="1">
      <alignment horizontal="center" vertical="center" wrapText="1"/>
    </xf>
    <xf numFmtId="0" fontId="1" fillId="23" borderId="0" xfId="0" applyFont="1" applyFill="1" applyAlignment="1" applyProtection="1">
      <alignment horizontal="center" wrapText="1"/>
      <protection locked="0"/>
    </xf>
    <xf numFmtId="14" fontId="9" fillId="23" borderId="0" xfId="1" applyNumberFormat="1" applyFont="1" applyFill="1" applyAlignment="1" applyProtection="1">
      <alignment horizontal="center" vertical="center"/>
      <protection locked="0"/>
    </xf>
    <xf numFmtId="0" fontId="0" fillId="23" borderId="0" xfId="0" applyFill="1"/>
    <xf numFmtId="0" fontId="2" fillId="23" borderId="0" xfId="1" applyFont="1" applyFill="1" applyAlignment="1" applyProtection="1">
      <alignment horizontal="center" vertical="center"/>
      <protection locked="0"/>
    </xf>
    <xf numFmtId="0" fontId="2" fillId="23" borderId="0" xfId="1" applyFont="1" applyFill="1" applyAlignment="1">
      <alignment horizontal="center" vertical="center"/>
    </xf>
    <xf numFmtId="0" fontId="6" fillId="23" borderId="9" xfId="1" applyFont="1" applyFill="1" applyBorder="1" applyAlignment="1" applyProtection="1">
      <alignment vertical="center"/>
      <protection locked="0"/>
    </xf>
    <xf numFmtId="1" fontId="8" fillId="3" borderId="2" xfId="0" applyNumberFormat="1" applyFont="1" applyFill="1" applyBorder="1" applyAlignment="1">
      <alignment horizontal="center" vertical="center" wrapText="1"/>
    </xf>
    <xf numFmtId="0" fontId="3" fillId="23" borderId="0" xfId="1" applyFont="1" applyFill="1" applyAlignment="1" applyProtection="1">
      <alignment vertical="center" wrapText="1"/>
      <protection locked="0"/>
    </xf>
    <xf numFmtId="0" fontId="6" fillId="23" borderId="0" xfId="1" applyFont="1" applyFill="1" applyAlignment="1" applyProtection="1">
      <alignment horizontal="center" vertical="center"/>
      <protection locked="0"/>
    </xf>
    <xf numFmtId="0" fontId="23" fillId="23" borderId="0" xfId="1" applyFont="1" applyFill="1" applyAlignment="1" applyProtection="1">
      <alignment vertical="center"/>
      <protection locked="0"/>
    </xf>
    <xf numFmtId="0" fontId="23" fillId="23" borderId="0" xfId="1" applyFont="1" applyFill="1" applyAlignment="1" applyProtection="1">
      <alignment horizontal="center" vertical="center"/>
      <protection locked="0"/>
    </xf>
    <xf numFmtId="0" fontId="23" fillId="23" borderId="0" xfId="1" applyFont="1" applyFill="1" applyAlignment="1" applyProtection="1">
      <alignment horizontal="left" vertical="center"/>
      <protection locked="0"/>
    </xf>
    <xf numFmtId="0" fontId="24" fillId="23" borderId="0" xfId="1" applyFont="1" applyFill="1" applyAlignment="1" applyProtection="1">
      <alignment horizontal="center" vertical="center"/>
      <protection locked="0"/>
    </xf>
    <xf numFmtId="0" fontId="21" fillId="23" borderId="0" xfId="0" applyFont="1" applyFill="1"/>
    <xf numFmtId="0" fontId="25" fillId="23" borderId="0" xfId="0" applyFont="1" applyFill="1"/>
    <xf numFmtId="14" fontId="9" fillId="23" borderId="2" xfId="1" applyNumberFormat="1" applyFont="1" applyFill="1" applyBorder="1" applyAlignment="1" applyProtection="1">
      <alignment horizontal="center" vertical="center"/>
      <protection locked="0"/>
    </xf>
    <xf numFmtId="0" fontId="9" fillId="23" borderId="2" xfId="1" applyFont="1" applyFill="1" applyBorder="1" applyAlignment="1" applyProtection="1">
      <alignment horizontal="center" vertical="center"/>
      <protection locked="0"/>
    </xf>
    <xf numFmtId="0" fontId="26" fillId="23" borderId="2" xfId="1" applyFont="1" applyFill="1" applyBorder="1" applyAlignment="1" applyProtection="1">
      <alignment horizontal="center" vertical="center" wrapText="1"/>
      <protection locked="0"/>
    </xf>
    <xf numFmtId="14" fontId="9" fillId="4" borderId="2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4" fontId="9" fillId="23" borderId="2" xfId="1" applyNumberFormat="1" applyFont="1" applyFill="1" applyBorder="1" applyAlignment="1" applyProtection="1">
      <alignment horizontal="center" vertical="center" wrapText="1"/>
      <protection locked="0"/>
    </xf>
    <xf numFmtId="0" fontId="13" fillId="23" borderId="0" xfId="0" applyFont="1" applyFill="1"/>
    <xf numFmtId="0" fontId="11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2" fillId="0" borderId="2" xfId="1" applyNumberFormat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2" fontId="2" fillId="0" borderId="2" xfId="1" applyNumberFormat="1" applyFont="1" applyBorder="1" applyAlignment="1" applyProtection="1">
      <alignment horizontal="center" vertical="center" wrapText="1"/>
      <protection locked="0"/>
    </xf>
    <xf numFmtId="14" fontId="2" fillId="23" borderId="2" xfId="1" applyNumberFormat="1" applyFont="1" applyFill="1" applyBorder="1" applyAlignment="1" applyProtection="1">
      <alignment horizontal="center" vertical="center"/>
      <protection locked="0"/>
    </xf>
    <xf numFmtId="0" fontId="3" fillId="23" borderId="2" xfId="1" applyFont="1" applyFill="1" applyBorder="1" applyAlignment="1" applyProtection="1">
      <alignment horizontal="center" vertical="center" wrapText="1"/>
      <protection locked="0"/>
    </xf>
    <xf numFmtId="0" fontId="2" fillId="23" borderId="2" xfId="1" applyFont="1" applyFill="1" applyBorder="1" applyAlignment="1" applyProtection="1">
      <alignment horizontal="center" vertical="center" wrapText="1"/>
      <protection locked="0"/>
    </xf>
    <xf numFmtId="2" fontId="2" fillId="23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8" xfId="3" applyFont="1" applyBorder="1" applyAlignment="1">
      <alignment vertical="center"/>
    </xf>
    <xf numFmtId="0" fontId="5" fillId="0" borderId="14" xfId="3" applyFont="1" applyBorder="1" applyAlignment="1">
      <alignment vertical="center"/>
    </xf>
    <xf numFmtId="0" fontId="12" fillId="0" borderId="8" xfId="3" applyFont="1" applyBorder="1" applyAlignment="1">
      <alignment vertical="center"/>
    </xf>
    <xf numFmtId="0" fontId="12" fillId="0" borderId="14" xfId="3" applyFont="1" applyBorder="1" applyAlignment="1">
      <alignment vertical="center"/>
    </xf>
    <xf numFmtId="0" fontId="12" fillId="0" borderId="0" xfId="3" applyFont="1" applyAlignment="1">
      <alignment vertical="center"/>
    </xf>
    <xf numFmtId="0" fontId="12" fillId="0" borderId="7" xfId="3" applyFont="1" applyBorder="1" applyAlignment="1">
      <alignment horizontal="center" vertical="center"/>
    </xf>
    <xf numFmtId="14" fontId="7" fillId="23" borderId="0" xfId="1" applyNumberFormat="1" applyFont="1" applyFill="1" applyAlignment="1" applyProtection="1">
      <alignment horizontal="center" vertical="center"/>
      <protection locked="0"/>
    </xf>
    <xf numFmtId="14" fontId="6" fillId="23" borderId="0" xfId="1" applyNumberFormat="1" applyFont="1" applyFill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187" fontId="2" fillId="0" borderId="2" xfId="2" applyNumberFormat="1" applyFont="1" applyFill="1" applyBorder="1" applyAlignment="1" applyProtection="1">
      <alignment horizontal="center" vertical="center" wrapText="1"/>
      <protection locked="0"/>
    </xf>
    <xf numFmtId="187" fontId="2" fillId="23" borderId="2" xfId="2" applyNumberFormat="1" applyFont="1" applyFill="1" applyBorder="1" applyAlignment="1" applyProtection="1">
      <alignment vertical="center" wrapText="1"/>
      <protection locked="0"/>
    </xf>
    <xf numFmtId="187" fontId="2" fillId="0" borderId="2" xfId="2" applyNumberFormat="1" applyFont="1" applyBorder="1" applyAlignment="1" applyProtection="1">
      <alignment vertical="center"/>
      <protection locked="0"/>
    </xf>
    <xf numFmtId="0" fontId="2" fillId="23" borderId="1" xfId="1" applyFont="1" applyFill="1" applyBorder="1" applyAlignment="1" applyProtection="1">
      <alignment horizontal="center" vertical="center" wrapText="1"/>
      <protection locked="0"/>
    </xf>
    <xf numFmtId="0" fontId="6" fillId="0" borderId="13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6" xfId="3" applyFont="1" applyBorder="1" applyAlignment="1">
      <alignment vertical="center"/>
    </xf>
    <xf numFmtId="0" fontId="12" fillId="0" borderId="8" xfId="3" applyFont="1" applyBorder="1" applyAlignment="1">
      <alignment horizontal="left" vertical="top"/>
    </xf>
    <xf numFmtId="0" fontId="29" fillId="0" borderId="11" xfId="3" applyFont="1" applyBorder="1" applyAlignment="1">
      <alignment vertical="center"/>
    </xf>
    <xf numFmtId="0" fontId="29" fillId="0" borderId="12" xfId="3" applyFont="1" applyBorder="1" applyAlignment="1">
      <alignment vertical="center"/>
    </xf>
    <xf numFmtId="0" fontId="29" fillId="0" borderId="13" xfId="3" applyFont="1" applyBorder="1" applyAlignment="1">
      <alignment vertical="center"/>
    </xf>
    <xf numFmtId="0" fontId="12" fillId="0" borderId="11" xfId="3" applyFont="1" applyBorder="1" applyAlignment="1">
      <alignment vertical="center"/>
    </xf>
    <xf numFmtId="0" fontId="12" fillId="0" borderId="12" xfId="3" applyFont="1" applyBorder="1" applyAlignment="1">
      <alignment vertical="center"/>
    </xf>
    <xf numFmtId="0" fontId="12" fillId="0" borderId="12" xfId="3" applyFont="1" applyBorder="1" applyAlignment="1">
      <alignment horizontal="right" vertical="center"/>
    </xf>
    <xf numFmtId="0" fontId="12" fillId="0" borderId="8" xfId="3" applyFont="1" applyBorder="1" applyAlignment="1">
      <alignment horizontal="left" vertical="center"/>
    </xf>
    <xf numFmtId="0" fontId="12" fillId="0" borderId="17" xfId="3" applyFont="1" applyBorder="1" applyAlignment="1">
      <alignment vertical="center"/>
    </xf>
    <xf numFmtId="0" fontId="12" fillId="0" borderId="22" xfId="3" applyFont="1" applyBorder="1" applyAlignment="1">
      <alignment vertical="center"/>
    </xf>
    <xf numFmtId="0" fontId="12" fillId="0" borderId="22" xfId="3" applyFont="1" applyBorder="1" applyAlignment="1">
      <alignment horizontal="center" vertical="center"/>
    </xf>
    <xf numFmtId="0" fontId="12" fillId="0" borderId="26" xfId="3" applyFont="1" applyBorder="1" applyAlignment="1">
      <alignment vertical="center"/>
    </xf>
    <xf numFmtId="0" fontId="29" fillId="0" borderId="11" xfId="3" applyFont="1" applyBorder="1" applyAlignment="1">
      <alignment vertical="top"/>
    </xf>
    <xf numFmtId="0" fontId="12" fillId="0" borderId="11" xfId="3" applyFont="1" applyBorder="1" applyAlignment="1">
      <alignment horizontal="left" vertical="center"/>
    </xf>
    <xf numFmtId="0" fontId="6" fillId="0" borderId="10" xfId="3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top"/>
    </xf>
    <xf numFmtId="0" fontId="12" fillId="0" borderId="7" xfId="3" applyFont="1" applyBorder="1" applyAlignment="1">
      <alignment vertical="center"/>
    </xf>
    <xf numFmtId="0" fontId="12" fillId="0" borderId="6" xfId="3" applyFont="1" applyBorder="1" applyAlignment="1">
      <alignment horizontal="center" vertical="center"/>
    </xf>
    <xf numFmtId="0" fontId="12" fillId="0" borderId="6" xfId="3" applyFont="1" applyBorder="1" applyAlignment="1">
      <alignment vertical="center"/>
    </xf>
    <xf numFmtId="0" fontId="12" fillId="0" borderId="20" xfId="3" applyFont="1" applyBorder="1" applyAlignment="1">
      <alignment vertical="center"/>
    </xf>
    <xf numFmtId="0" fontId="30" fillId="0" borderId="0" xfId="3" applyFont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6" fillId="4" borderId="22" xfId="3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2" fontId="9" fillId="23" borderId="2" xfId="1" applyNumberFormat="1" applyFont="1" applyFill="1" applyBorder="1" applyAlignment="1" applyProtection="1">
      <alignment horizontal="center" vertical="center" wrapText="1"/>
      <protection locked="0"/>
    </xf>
    <xf numFmtId="0" fontId="2" fillId="4" borderId="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34" fillId="23" borderId="0" xfId="1" applyFont="1" applyFill="1" applyAlignment="1" applyProtection="1">
      <alignment horizontal="left" vertical="center"/>
      <protection locked="0"/>
    </xf>
    <xf numFmtId="0" fontId="28" fillId="26" borderId="0" xfId="1" applyFont="1" applyFill="1" applyAlignment="1" applyProtection="1">
      <alignment horizontal="center" vertical="center"/>
      <protection locked="0"/>
    </xf>
    <xf numFmtId="0" fontId="6" fillId="0" borderId="22" xfId="3" applyFont="1" applyBorder="1" applyAlignment="1">
      <alignment horizontal="center" vertical="center"/>
    </xf>
    <xf numFmtId="2" fontId="33" fillId="0" borderId="0" xfId="3" applyNumberFormat="1" applyFont="1" applyAlignment="1">
      <alignment vertical="top" wrapText="1"/>
    </xf>
    <xf numFmtId="2" fontId="33" fillId="0" borderId="14" xfId="3" applyNumberFormat="1" applyFont="1" applyBorder="1" applyAlignment="1">
      <alignment vertical="top" wrapText="1"/>
    </xf>
    <xf numFmtId="2" fontId="33" fillId="0" borderId="25" xfId="3" applyNumberFormat="1" applyFont="1" applyBorder="1" applyAlignment="1">
      <alignment vertical="top" wrapText="1"/>
    </xf>
    <xf numFmtId="2" fontId="33" fillId="0" borderId="20" xfId="3" applyNumberFormat="1" applyFont="1" applyBorder="1" applyAlignment="1">
      <alignment vertical="top" wrapText="1"/>
    </xf>
    <xf numFmtId="2" fontId="33" fillId="0" borderId="22" xfId="3" applyNumberFormat="1" applyFont="1" applyBorder="1" applyAlignment="1">
      <alignment vertical="top" wrapText="1"/>
    </xf>
    <xf numFmtId="2" fontId="33" fillId="0" borderId="24" xfId="3" applyNumberFormat="1" applyFont="1" applyBorder="1" applyAlignment="1">
      <alignment vertical="top" wrapText="1"/>
    </xf>
    <xf numFmtId="2" fontId="33" fillId="0" borderId="21" xfId="3" applyNumberFormat="1" applyFont="1" applyBorder="1" applyAlignment="1">
      <alignment vertical="top" wrapText="1"/>
    </xf>
    <xf numFmtId="2" fontId="33" fillId="0" borderId="19" xfId="3" applyNumberFormat="1" applyFont="1" applyBorder="1" applyAlignment="1">
      <alignment vertical="top" wrapText="1"/>
    </xf>
    <xf numFmtId="0" fontId="2" fillId="0" borderId="1" xfId="1" applyFont="1" applyBorder="1" applyAlignment="1" applyProtection="1">
      <alignment vertical="center"/>
      <protection locked="0"/>
    </xf>
    <xf numFmtId="0" fontId="2" fillId="0" borderId="3" xfId="1" applyFont="1" applyBorder="1" applyAlignment="1" applyProtection="1">
      <alignment vertical="center"/>
      <protection locked="0"/>
    </xf>
    <xf numFmtId="0" fontId="11" fillId="27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 applyProtection="1">
      <alignment horizontal="center" vertical="center"/>
      <protection locked="0"/>
    </xf>
    <xf numFmtId="2" fontId="2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31" fillId="0" borderId="0" xfId="0" applyFont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 wrapText="1"/>
    </xf>
    <xf numFmtId="0" fontId="36" fillId="27" borderId="2" xfId="0" applyFont="1" applyFill="1" applyBorder="1" applyAlignment="1">
      <alignment horizontal="center" vertical="center" wrapText="1"/>
    </xf>
    <xf numFmtId="0" fontId="37" fillId="27" borderId="2" xfId="1" applyFont="1" applyFill="1" applyBorder="1" applyAlignment="1" applyProtection="1">
      <alignment horizontal="center" vertical="center"/>
      <protection locked="0"/>
    </xf>
    <xf numFmtId="0" fontId="38" fillId="27" borderId="0" xfId="0" applyFont="1" applyFill="1"/>
    <xf numFmtId="0" fontId="2" fillId="2" borderId="2" xfId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0" fontId="2" fillId="3" borderId="2" xfId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4" borderId="2" xfId="0" applyFill="1" applyBorder="1"/>
    <xf numFmtId="0" fontId="0" fillId="26" borderId="2" xfId="0" applyFill="1" applyBorder="1"/>
    <xf numFmtId="0" fontId="40" fillId="0" borderId="2" xfId="0" applyFont="1" applyBorder="1"/>
    <xf numFmtId="0" fontId="0" fillId="0" borderId="0" xfId="0" pivotButton="1" applyAlignment="1">
      <alignment wrapText="1"/>
    </xf>
    <xf numFmtId="0" fontId="0" fillId="0" borderId="2" xfId="0" applyBorder="1" applyAlignment="1">
      <alignment horizontal="left" wrapText="1"/>
    </xf>
    <xf numFmtId="0" fontId="39" fillId="0" borderId="2" xfId="0" applyFont="1" applyBorder="1" applyAlignment="1">
      <alignment horizontal="left" wrapText="1"/>
    </xf>
    <xf numFmtId="0" fontId="40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37" fillId="0" borderId="0" xfId="1" applyFont="1" applyAlignment="1" applyProtection="1">
      <alignment horizontal="center" vertical="center"/>
      <protection locked="0"/>
    </xf>
    <xf numFmtId="3" fontId="8" fillId="0" borderId="0" xfId="0" applyNumberFormat="1" applyFont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3" fontId="2" fillId="3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0" xfId="3" applyFont="1" applyBorder="1" applyAlignment="1">
      <alignment horizontal="center" vertical="center"/>
    </xf>
    <xf numFmtId="0" fontId="2" fillId="0" borderId="20" xfId="3" applyFont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center" vertical="center" wrapText="1"/>
    </xf>
    <xf numFmtId="3" fontId="2" fillId="3" borderId="2" xfId="2" applyNumberFormat="1" applyFont="1" applyFill="1" applyBorder="1" applyAlignment="1" applyProtection="1">
      <alignment horizontal="center" vertical="center" wrapText="1"/>
      <protection locked="0"/>
    </xf>
    <xf numFmtId="0" fontId="43" fillId="3" borderId="2" xfId="0" applyFont="1" applyFill="1" applyBorder="1" applyAlignment="1">
      <alignment horizontal="center" vertical="center" wrapText="1"/>
    </xf>
    <xf numFmtId="0" fontId="43" fillId="3" borderId="0" xfId="0" applyFont="1" applyFill="1" applyAlignment="1">
      <alignment horizontal="center" vertical="center"/>
    </xf>
    <xf numFmtId="0" fontId="44" fillId="3" borderId="2" xfId="0" applyFont="1" applyFill="1" applyBorder="1" applyAlignment="1">
      <alignment horizontal="center" vertical="center"/>
    </xf>
    <xf numFmtId="14" fontId="0" fillId="20" borderId="0" xfId="0" applyNumberFormat="1" applyFill="1"/>
    <xf numFmtId="0" fontId="3" fillId="23" borderId="3" xfId="1" applyFont="1" applyFill="1" applyBorder="1" applyProtection="1">
      <protection locked="0"/>
    </xf>
    <xf numFmtId="0" fontId="45" fillId="26" borderId="2" xfId="1" applyFont="1" applyFill="1" applyBorder="1" applyAlignment="1" applyProtection="1">
      <alignment horizontal="center" vertical="center"/>
      <protection locked="0"/>
    </xf>
    <xf numFmtId="0" fontId="46" fillId="26" borderId="2" xfId="1" applyFont="1" applyFill="1" applyBorder="1" applyAlignment="1" applyProtection="1">
      <alignment horizontal="center" vertical="center"/>
      <protection locked="0"/>
    </xf>
    <xf numFmtId="0" fontId="48" fillId="23" borderId="2" xfId="1" applyFont="1" applyFill="1" applyBorder="1" applyAlignment="1" applyProtection="1">
      <alignment horizontal="center" vertical="center"/>
      <protection locked="0"/>
    </xf>
    <xf numFmtId="0" fontId="34" fillId="23" borderId="0" xfId="1" applyFont="1" applyFill="1" applyAlignment="1" applyProtection="1">
      <alignment horizontal="center" vertical="center"/>
      <protection locked="0"/>
    </xf>
    <xf numFmtId="0" fontId="34" fillId="23" borderId="12" xfId="1" applyFont="1" applyFill="1" applyBorder="1" applyProtection="1">
      <protection locked="0"/>
    </xf>
    <xf numFmtId="0" fontId="34" fillId="23" borderId="0" xfId="1" applyFont="1" applyFill="1" applyAlignment="1" applyProtection="1">
      <alignment vertical="center"/>
      <protection locked="0"/>
    </xf>
    <xf numFmtId="14" fontId="8" fillId="3" borderId="2" xfId="0" applyNumberFormat="1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49" fillId="0" borderId="2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2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14" fontId="49" fillId="0" borderId="2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1" fillId="23" borderId="0" xfId="1" applyFont="1" applyFill="1" applyAlignment="1" applyProtection="1">
      <alignment horizontal="left" vertical="center"/>
      <protection locked="0"/>
    </xf>
    <xf numFmtId="0" fontId="30" fillId="23" borderId="0" xfId="1" applyFont="1" applyFill="1" applyAlignment="1" applyProtection="1">
      <alignment horizontal="right" vertical="center"/>
      <protection locked="0"/>
    </xf>
    <xf numFmtId="0" fontId="9" fillId="20" borderId="2" xfId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14" fontId="8" fillId="0" borderId="2" xfId="1" applyNumberFormat="1" applyFont="1" applyBorder="1" applyAlignment="1" applyProtection="1">
      <alignment horizontal="center" vertical="center"/>
      <protection locked="0"/>
    </xf>
    <xf numFmtId="0" fontId="8" fillId="0" borderId="2" xfId="1" applyFont="1" applyBorder="1" applyAlignment="1" applyProtection="1">
      <alignment horizontal="center" vertical="center"/>
      <protection locked="0"/>
    </xf>
    <xf numFmtId="0" fontId="49" fillId="0" borderId="2" xfId="1" applyFont="1" applyBorder="1" applyAlignment="1" applyProtection="1">
      <alignment horizontal="center" vertical="center" wrapText="1"/>
      <protection locked="0"/>
    </xf>
    <xf numFmtId="0" fontId="8" fillId="0" borderId="2" xfId="1" applyFont="1" applyBorder="1" applyAlignment="1" applyProtection="1">
      <alignment horizontal="center" vertical="center" wrapText="1"/>
      <protection locked="0"/>
    </xf>
    <xf numFmtId="2" fontId="8" fillId="0" borderId="2" xfId="1" applyNumberFormat="1" applyFont="1" applyBorder="1" applyAlignment="1" applyProtection="1">
      <alignment horizontal="center" vertical="center" wrapText="1"/>
      <protection locked="0"/>
    </xf>
    <xf numFmtId="14" fontId="52" fillId="23" borderId="2" xfId="1" applyNumberFormat="1" applyFont="1" applyFill="1" applyBorder="1" applyAlignment="1" applyProtection="1">
      <alignment horizontal="center" vertical="center"/>
      <protection locked="0"/>
    </xf>
    <xf numFmtId="0" fontId="52" fillId="23" borderId="2" xfId="1" applyFont="1" applyFill="1" applyBorder="1" applyAlignment="1" applyProtection="1">
      <alignment horizontal="center" vertical="center"/>
      <protection locked="0"/>
    </xf>
    <xf numFmtId="0" fontId="53" fillId="23" borderId="2" xfId="1" applyFont="1" applyFill="1" applyBorder="1" applyAlignment="1" applyProtection="1">
      <alignment horizontal="center" vertical="center" wrapText="1"/>
      <protection locked="0"/>
    </xf>
    <xf numFmtId="0" fontId="52" fillId="23" borderId="2" xfId="1" applyFont="1" applyFill="1" applyBorder="1" applyAlignment="1" applyProtection="1">
      <alignment horizontal="center" vertical="center" wrapText="1"/>
      <protection locked="0"/>
    </xf>
    <xf numFmtId="2" fontId="52" fillId="23" borderId="2" xfId="1" applyNumberFormat="1" applyFont="1" applyFill="1" applyBorder="1" applyAlignment="1" applyProtection="1">
      <alignment horizontal="center" vertical="center" wrapText="1"/>
      <protection locked="0"/>
    </xf>
    <xf numFmtId="3" fontId="52" fillId="23" borderId="2" xfId="1" applyNumberFormat="1" applyFont="1" applyFill="1" applyBorder="1" applyAlignment="1" applyProtection="1">
      <alignment horizontal="center" vertical="center" wrapText="1"/>
      <protection locked="0"/>
    </xf>
    <xf numFmtId="14" fontId="8" fillId="23" borderId="2" xfId="1" applyNumberFormat="1" applyFont="1" applyFill="1" applyBorder="1" applyAlignment="1" applyProtection="1">
      <alignment horizontal="center" vertical="center"/>
      <protection locked="0"/>
    </xf>
    <xf numFmtId="0" fontId="8" fillId="23" borderId="2" xfId="1" applyFont="1" applyFill="1" applyBorder="1" applyAlignment="1" applyProtection="1">
      <alignment horizontal="center" vertical="center"/>
      <protection locked="0"/>
    </xf>
    <xf numFmtId="0" fontId="49" fillId="23" borderId="2" xfId="1" applyFont="1" applyFill="1" applyBorder="1" applyAlignment="1" applyProtection="1">
      <alignment horizontal="center" vertical="center" wrapText="1"/>
      <protection locked="0"/>
    </xf>
    <xf numFmtId="0" fontId="8" fillId="23" borderId="2" xfId="1" applyFont="1" applyFill="1" applyBorder="1" applyAlignment="1" applyProtection="1">
      <alignment horizontal="center" vertical="center" wrapText="1"/>
      <protection locked="0"/>
    </xf>
    <xf numFmtId="2" fontId="8" fillId="23" borderId="2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3" applyFont="1" applyAlignment="1">
      <alignment horizontal="right" vertical="center"/>
    </xf>
    <xf numFmtId="0" fontId="29" fillId="0" borderId="27" xfId="3" applyFont="1" applyBorder="1" applyAlignment="1">
      <alignment horizontal="center" vertical="center"/>
    </xf>
    <xf numFmtId="0" fontId="29" fillId="0" borderId="28" xfId="3" applyFont="1" applyBorder="1" applyAlignment="1">
      <alignment horizontal="center" vertical="center"/>
    </xf>
    <xf numFmtId="0" fontId="12" fillId="0" borderId="25" xfId="3" applyFont="1" applyBorder="1" applyAlignment="1">
      <alignment horizontal="left" vertical="center"/>
    </xf>
    <xf numFmtId="0" fontId="12" fillId="0" borderId="20" xfId="3" applyFont="1" applyBorder="1" applyAlignment="1">
      <alignment horizontal="left" vertical="center"/>
    </xf>
    <xf numFmtId="0" fontId="12" fillId="0" borderId="22" xfId="3" applyFont="1" applyBorder="1" applyAlignment="1">
      <alignment horizontal="left" vertical="center"/>
    </xf>
    <xf numFmtId="0" fontId="12" fillId="0" borderId="24" xfId="3" applyFont="1" applyBorder="1" applyAlignment="1">
      <alignment horizontal="left" vertical="center"/>
    </xf>
    <xf numFmtId="0" fontId="12" fillId="0" borderId="21" xfId="3" applyFont="1" applyBorder="1" applyAlignment="1">
      <alignment horizontal="left" vertical="center"/>
    </xf>
    <xf numFmtId="0" fontId="12" fillId="0" borderId="19" xfId="3" applyFont="1" applyBorder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12" fillId="0" borderId="10" xfId="3" applyFont="1" applyBorder="1" applyAlignment="1">
      <alignment horizontal="right" vertical="center"/>
    </xf>
    <xf numFmtId="0" fontId="12" fillId="0" borderId="26" xfId="3" applyFont="1" applyBorder="1" applyAlignment="1">
      <alignment horizontal="center" vertical="center"/>
    </xf>
    <xf numFmtId="0" fontId="5" fillId="0" borderId="8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14" xfId="3" applyFont="1" applyBorder="1" applyAlignment="1">
      <alignment horizontal="center"/>
    </xf>
    <xf numFmtId="0" fontId="5" fillId="0" borderId="8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12" fillId="0" borderId="23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0" borderId="25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12" fillId="0" borderId="20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2" fillId="0" borderId="27" xfId="3" applyFont="1" applyBorder="1" applyAlignment="1">
      <alignment horizontal="center" vertical="center"/>
    </xf>
    <xf numFmtId="2" fontId="32" fillId="0" borderId="27" xfId="3" applyNumberFormat="1" applyFont="1" applyBorder="1" applyAlignment="1">
      <alignment horizontal="left" vertical="center"/>
    </xf>
    <xf numFmtId="0" fontId="32" fillId="0" borderId="27" xfId="3" applyFont="1" applyBorder="1" applyAlignment="1">
      <alignment horizontal="left" vertical="center"/>
    </xf>
    <xf numFmtId="0" fontId="32" fillId="0" borderId="28" xfId="3" applyFont="1" applyBorder="1" applyAlignment="1">
      <alignment horizontal="left" vertical="center"/>
    </xf>
    <xf numFmtId="0" fontId="29" fillId="25" borderId="8" xfId="3" applyFont="1" applyFill="1" applyBorder="1" applyAlignment="1">
      <alignment horizontal="center" vertical="center"/>
    </xf>
    <xf numFmtId="0" fontId="29" fillId="25" borderId="0" xfId="3" applyFont="1" applyFill="1" applyAlignment="1">
      <alignment horizontal="center" vertical="center"/>
    </xf>
    <xf numFmtId="0" fontId="29" fillId="25" borderId="14" xfId="3" applyFont="1" applyFill="1" applyBorder="1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30" fillId="0" borderId="12" xfId="3" applyFont="1" applyBorder="1" applyAlignment="1">
      <alignment horizontal="center" vertical="center"/>
    </xf>
    <xf numFmtId="14" fontId="12" fillId="0" borderId="0" xfId="3" applyNumberFormat="1" applyFont="1" applyAlignment="1">
      <alignment horizontal="center" vertical="center"/>
    </xf>
    <xf numFmtId="14" fontId="12" fillId="0" borderId="17" xfId="3" applyNumberFormat="1" applyFont="1" applyBorder="1" applyAlignment="1">
      <alignment horizontal="center" vertical="center"/>
    </xf>
    <xf numFmtId="14" fontId="12" fillId="0" borderId="21" xfId="3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14" fontId="34" fillId="23" borderId="0" xfId="0" applyNumberFormat="1" applyFont="1" applyFill="1" applyAlignment="1" applyProtection="1">
      <alignment horizontal="center" vertical="center"/>
      <protection locked="0"/>
    </xf>
    <xf numFmtId="0" fontId="34" fillId="23" borderId="12" xfId="0" applyFont="1" applyFill="1" applyBorder="1" applyAlignment="1" applyProtection="1">
      <alignment horizontal="center"/>
      <protection locked="0"/>
    </xf>
    <xf numFmtId="0" fontId="34" fillId="23" borderId="0" xfId="0" applyFont="1" applyFill="1" applyAlignment="1" applyProtection="1">
      <alignment horizontal="center" vertical="center"/>
      <protection locked="0"/>
    </xf>
    <xf numFmtId="0" fontId="28" fillId="23" borderId="0" xfId="0" applyFont="1" applyFill="1" applyAlignment="1" applyProtection="1">
      <alignment horizontal="left"/>
      <protection locked="0"/>
    </xf>
    <xf numFmtId="0" fontId="47" fillId="23" borderId="0" xfId="1" applyFont="1" applyFill="1" applyAlignment="1" applyProtection="1">
      <alignment horizontal="center" vertical="center"/>
      <protection locked="0"/>
    </xf>
    <xf numFmtId="0" fontId="6" fillId="23" borderId="10" xfId="1" applyFont="1" applyFill="1" applyBorder="1" applyAlignment="1" applyProtection="1">
      <alignment horizontal="center" vertical="center"/>
      <protection locked="0"/>
    </xf>
    <xf numFmtId="0" fontId="6" fillId="23" borderId="0" xfId="0" applyFont="1" applyFill="1" applyAlignment="1" applyProtection="1">
      <alignment horizontal="left"/>
      <protection locked="0"/>
    </xf>
    <xf numFmtId="0" fontId="2" fillId="23" borderId="1" xfId="1" applyFont="1" applyFill="1" applyBorder="1" applyAlignment="1" applyProtection="1">
      <alignment horizontal="center" vertical="center"/>
      <protection locked="0"/>
    </xf>
    <xf numFmtId="0" fontId="2" fillId="23" borderId="3" xfId="1" applyFont="1" applyFill="1" applyBorder="1" applyAlignment="1" applyProtection="1">
      <alignment horizontal="center" vertical="center"/>
      <protection locked="0"/>
    </xf>
    <xf numFmtId="0" fontId="52" fillId="23" borderId="1" xfId="1" applyFont="1" applyFill="1" applyBorder="1" applyAlignment="1" applyProtection="1">
      <alignment horizontal="center" vertical="center" wrapText="1"/>
      <protection locked="0"/>
    </xf>
    <xf numFmtId="0" fontId="52" fillId="23" borderId="3" xfId="1" applyFont="1" applyFill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3" xfId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 applyProtection="1">
      <alignment horizontal="center" vertical="center" wrapText="1"/>
      <protection locked="0"/>
    </xf>
    <xf numFmtId="0" fontId="8" fillId="23" borderId="1" xfId="1" applyFont="1" applyFill="1" applyBorder="1" applyAlignment="1" applyProtection="1">
      <alignment horizontal="center" vertical="center" wrapText="1"/>
      <protection locked="0"/>
    </xf>
    <xf numFmtId="0" fontId="8" fillId="23" borderId="3" xfId="1" applyFont="1" applyFill="1" applyBorder="1" applyAlignment="1" applyProtection="1">
      <alignment horizontal="center" vertical="center" wrapText="1"/>
      <protection locked="0"/>
    </xf>
    <xf numFmtId="0" fontId="30" fillId="26" borderId="12" xfId="3" applyFont="1" applyFill="1" applyBorder="1" applyAlignment="1">
      <alignment horizontal="center" vertical="center"/>
    </xf>
    <xf numFmtId="0" fontId="5" fillId="4" borderId="20" xfId="3" applyFont="1" applyFill="1" applyBorder="1" applyAlignment="1">
      <alignment horizontal="center" vertical="top"/>
    </xf>
    <xf numFmtId="0" fontId="42" fillId="0" borderId="0" xfId="3" applyFont="1" applyAlignment="1">
      <alignment horizontal="center" vertical="center"/>
    </xf>
    <xf numFmtId="0" fontId="12" fillId="4" borderId="21" xfId="3" applyFont="1" applyFill="1" applyBorder="1" applyAlignment="1">
      <alignment horizontal="center" vertical="center"/>
    </xf>
    <xf numFmtId="2" fontId="32" fillId="0" borderId="12" xfId="3" applyNumberFormat="1" applyFont="1" applyBorder="1" applyAlignment="1">
      <alignment horizontal="left" vertical="center"/>
    </xf>
    <xf numFmtId="0" fontId="32" fillId="0" borderId="12" xfId="3" applyFont="1" applyBorder="1" applyAlignment="1">
      <alignment horizontal="left" vertical="center"/>
    </xf>
    <xf numFmtId="0" fontId="32" fillId="0" borderId="13" xfId="3" applyFont="1" applyBorder="1" applyAlignment="1">
      <alignment horizontal="left" vertical="center"/>
    </xf>
    <xf numFmtId="2" fontId="33" fillId="0" borderId="8" xfId="3" applyNumberFormat="1" applyFont="1" applyBorder="1" applyAlignment="1">
      <alignment horizontal="left" vertical="top" wrapText="1"/>
    </xf>
    <xf numFmtId="2" fontId="33" fillId="0" borderId="0" xfId="3" applyNumberFormat="1" applyFont="1" applyAlignment="1">
      <alignment horizontal="left" vertical="top" wrapText="1"/>
    </xf>
    <xf numFmtId="2" fontId="33" fillId="0" borderId="14" xfId="3" applyNumberFormat="1" applyFont="1" applyBorder="1" applyAlignment="1">
      <alignment horizontal="left" vertical="top" wrapText="1"/>
    </xf>
    <xf numFmtId="0" fontId="28" fillId="23" borderId="0" xfId="1" applyFont="1" applyFill="1" applyAlignment="1" applyProtection="1">
      <alignment horizontal="center" vertical="center"/>
      <protection locked="0"/>
    </xf>
  </cellXfs>
  <cellStyles count="4">
    <cellStyle name="Normal 2" xfId="1" xr:uid="{00000000-0005-0000-0000-000002000000}"/>
    <cellStyle name="จุลภาค" xfId="2" builtinId="3"/>
    <cellStyle name="ปกติ" xfId="0" builtinId="0"/>
    <cellStyle name="ปกติ 2" xfId="3" xr:uid="{00000000-0005-0000-0000-000003000000}"/>
  </cellStyles>
  <dxfs count="16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5F5F5F"/>
      <color rgb="FFFFFFFF"/>
      <color rgb="FFF8F8F8"/>
      <color rgb="FFE1093C"/>
      <color rgb="FFFFCCCC"/>
      <color rgb="FFE0D8C2"/>
      <color rgb="FFFFFFCC"/>
      <color rgb="FFDDDDDD"/>
      <color rgb="FFF4F3D8"/>
      <color rgb="FFFBF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-01" refreshedDate="44330.61142685185" createdVersion="7" refreshedVersion="7" minRefreshableVersion="3" recordCount="222" xr:uid="{00000000-000A-0000-FFFF-FFFF00000000}">
  <cacheSource type="worksheet">
    <worksheetSource ref="A1:AM5" sheet="NC รวม"/>
  </cacheSource>
  <cacheFields count="38">
    <cacheField name="เดือน" numFmtId="0">
      <sharedItems containsBlank="1" count="6">
        <s v="มกราคม"/>
        <s v="กุมภาพันธ์"/>
        <s v="มีนาคม"/>
        <s v="เมษายน"/>
        <s v="พฤษภาคม"/>
        <m/>
      </sharedItems>
    </cacheField>
    <cacheField name="D/M/Y" numFmtId="14">
      <sharedItems containsNonDate="0" containsDate="1" containsString="0" containsBlank="1" minDate="2564-01-07T00:00:00" maxDate="2564-05-15T00:00:00"/>
    </cacheField>
    <cacheField name="ผู้รายงาน" numFmtId="0">
      <sharedItems containsBlank="1"/>
    </cacheField>
    <cacheField name="แผนกที่พบ" numFmtId="0">
      <sharedItems containsBlank="1"/>
    </cacheField>
    <cacheField name="แผนก" numFmtId="0">
      <sharedItems containsBlank="1"/>
    </cacheField>
    <cacheField name="ผู้รับผิดชอบ" numFmtId="0">
      <sharedItems containsBlank="1"/>
    </cacheField>
    <cacheField name="เลขที่NC" numFmtId="0">
      <sharedItems containsString="0" containsBlank="1" containsNumber="1" containsInteger="1" minValue="640001" maxValue="640196"/>
    </cacheField>
    <cacheField name="ตรา" numFmtId="0">
      <sharedItems containsBlank="1" containsMixedTypes="1" containsNumber="1" containsInteger="1" minValue="932" maxValue="935"/>
    </cacheField>
    <cacheField name="ลูกค้า" numFmtId="0">
      <sharedItems containsBlank="1"/>
    </cacheField>
    <cacheField name="เลขที่ผลิตภัณฑ์" numFmtId="0">
      <sharedItems containsBlank="1"/>
    </cacheField>
    <cacheField name="Lot No." numFmtId="0">
      <sharedItems containsBlank="1"/>
    </cacheField>
    <cacheField name="เครื่อง" numFmtId="0">
      <sharedItems containsBlank="1" count="11">
        <s v="PT3"/>
        <s v="PT4"/>
        <s v="PT1"/>
        <s v="PT8"/>
        <s v="PT2"/>
        <s v="PT9"/>
        <s v="CS10"/>
        <s v="CL76"/>
        <s v="GL5"/>
        <s v="CL39"/>
        <m/>
      </sharedItems>
    </cacheField>
    <cacheField name="Spec" numFmtId="0">
      <sharedItems containsBlank="1"/>
    </cacheField>
    <cacheField name="ผลการตรวจสอบ1" numFmtId="0">
      <sharedItems containsBlank="1" count="186">
        <s v="พบรอยเปื้อนสีดำจำนวน 272 ใบ **คัดแยกไว้หน้างาน **"/>
        <s v="พบรอยเส้นเทปติด  1100 ใบ **ให้ผสม 3/1**"/>
        <s v="ตังหนังสือหาย200ใบ**ให้แต้ม**"/>
        <s v="พบรอยเส้นเทปติด   งานพิมพ์ไม่ชัดเจน900 ใบ **ให้ผสม 3/1**"/>
        <s v="พบรอยเปื้อนสีดำจำนวน 1200 ใบ **คัดแยกไว้ส่งลบสี **"/>
        <s v="พบรอยเปื่อนจำนวน200ใบ**คัดแยกไว้ส่งลบสี"/>
        <s v="พบสีตาย150ใบ**แซมแปะละ2ใบ"/>
        <s v="ตังหนังสือหาย525ใบ**ให้ผสม25/75**"/>
        <s v="พบรอยเปื้อนจำนวน244ใบ**คัดแยกไว้ส่งลบสี"/>
        <s v="พบรอยเปื้อนจำนวน400ใบ**คัดแยกไว้ส่งลบสี"/>
        <s v="พบรอยเปื้อนสีดำจำนวน 200 ใบ **คัดแยกไว้ส่งลบสี **"/>
        <s v="พบรอยเส้นเทปติด   งานพิมพ์ไม่ชัดเจน1200 ใบ **ให้ผสม 25/75**"/>
        <s v="ด้ายเย็บหลวมตรงหัวจำนวน300ใบ**ปรึกษาฝ่ายขายให้เย็บขึ้นมาอีก1เส้น โดยไม่ต้องเลาะ"/>
        <s v="พบรอยสีหายด้านหลัง 350ใบ**ขอผสม2/2**"/>
        <s v="พบรอยเส้นเทปติด ร  1700 ใบ **ขอผสม 50/50**"/>
        <s v="พบบล็อคเคลื่อน200ใบที่ผสมได้125ใบ75ใบคัดแยกไว้**"/>
        <s v="พบรอยเส้นเทปติด 420 ใบ **ขอผสม 3/1**"/>
        <s v="พบตัวหนังสือหาย200ใบ**ขอผสม3/1**"/>
        <s v="พบรอยเปื้อนจำนวน375ใบ**คัดแยกไว้ส่งลบสี"/>
        <s v="ตังหนังสือหาย200ใบ**ให้ผสม3/1**"/>
        <s v="พบรอยเส้นเทปติด 1600 ใบ **ขอผสม 3/1**"/>
        <s v="พบรอยเส้นเทปติด 700 ใบ **ขอผสม 25/75**"/>
        <s v="พบรอยเปื้อนจำนวน250ใบ**คัดแยกไว้ส่งลบสี"/>
        <s v="น้ำหนักสูง**ผสมส่งลูกค้า**"/>
        <s v="พบรอยเปื้อนจำนวน200ใบ**คัดแยกไว้ส่งลบสี"/>
        <s v="พบรอยหนังสือหาย350ใบ**ผสม25/75**พิมพ์เสีย162ใบ"/>
        <s v="พบรอยเส้นเทปติด 600 ใบ **ขอผสม 3/1**"/>
        <s v="พบสีหายด้านข้าง250ใบ**ขอผสม3/1**"/>
        <s v="พบรอยหนังสือหาย450ใบ**ผสม3/1**พบลบสี850ใบ**ส่งลบ**"/>
        <s v="พบสีหาย 325 ใบ **ผสมรอบหน้า**"/>
        <s v="พบสีหาย125ใบ**ขอผสม3/1**"/>
        <s v="พบสีหายด้านข้าง250ใบ**แต้ม**"/>
        <s v="พบสีหาย1450ใบ**ขอผสม**"/>
        <s v="พบสีไม้โทหาย1600ใบ**ขอผสม2/2**"/>
        <s v="พบสีหายตรงเลข5จำนวน500        **ขอผสม3/1"/>
        <s v="พบสีหายจำนวน184ใบ**ส่งแต้ม    พบรอยเปื่อนจำนวน1200ใบ**คัดแยกส่งลบสี"/>
        <s v="พบรอยฟันจักร์ขาดเป็นรูจำนวน165ใบ**แซมแปะละ 1 ใบ"/>
        <s v="พบสีหายจำนวน225.ใบ  **ขอผสม25/75**"/>
        <s v="พบตัวหนังสือสีหายจำนวน175ใบ**ขอผสม25/75**"/>
        <s v="ตรวจพบใช้ผ้าผิดจาก2025850(80+)เป็น2025800(76-78)รอนำไปตัดดูน้ำหนักใบ *****Spec20*37 80+"/>
        <s v="พบสีดำหายจำนวน500ใบ**ขอผสม3/1**"/>
        <s v="พบสีตรงตัวเลขหาย300ใบ**ขอผสม25/75**"/>
        <s v="พบตัวหนังสือหายด้านหลัง300ใบ**ขอผสม3/1**"/>
        <s v="พบลบสีจำนวน600ใบ**คัดแยกส่งลบสี"/>
        <s v="พบรอยดส้นเทปติดจำนวน1625ใบ**ขอส่งลบ25/75**"/>
        <s v="พบสีเปื่อนจำนวน600ใบ**คัดแยกส่งลบ**"/>
        <s v="พบสีเปื่อนจำนวน350ใบ**คัดแยกส่งลบ**"/>
        <s v="พบตัวหนังสือหาย1600ใบ**ขอผสม25/75**"/>
        <s v="พบสีเปื่อนจำนวน4875ใบ**คัดแยกส่งลบสี**"/>
        <s v="พบสีเปื่อนจำนวน1895ใบ**คัดแยกส่งลบสี**"/>
        <s v="พบพิมพ์เสียจำนวน166ใบ**คัดแยก**"/>
        <s v="พบสีเปื่อนจำนวน5525ใบ**คัดแยกส่งลบ**"/>
        <s v="พบเส้นเทปติดจำนวน250ใบ**ขอผสม3/1**"/>
        <s v="พบตัวหนังสือหายจำนวน 914 ใบ**คัดแยกส่งแต้ม**"/>
        <s v="พบตัวหนังสือหายจำนวน 700 ใบ**ขอผสม25/75**"/>
        <s v="พบสีเปื่อนจำนวน265ใบ**คัดแยกส่งลบ**"/>
        <s v="พบสีหายจำนวน 200 ใบ**คัดแยกส่งแต้ม**"/>
        <s v="พบเส้นเทปหลุดด้านใน 1 เส้นจำนวน 1000 ใบ**ดึงออก 400 ใบ เหลือ 600 ใบ ปรึกษาฝ่ายขายให้เอาไปสวมถุงไม่ต้องดึงออก**"/>
        <s v="พบสีหายหน้า-หลังจำนวน 700 ใบ**ขอผสม 25/75**"/>
        <s v="พบรอยเส้นเทปติดจำนวน1300ใบ**ผสม3/1"/>
        <s v="พบสีลงไม่เต็มและเป็นรอยจำนวน174ใบ**ผสม3/1"/>
        <s v="พบตัวหนังสือหายจำนวน 2175  ใบ**ขอผสม25/75**"/>
        <s v="พบผ้าโย้จำนวน350ใบ**ผสม3/1"/>
        <s v="พบสีหายจำนวน150ใบ**แต้มแล้วแซม"/>
        <s v="พบสีชมพูหายด้านข้างจำนวน 400 ใบ**ขอผสม 3/1**"/>
        <s v="พบพิมพ์เสียจำนวน220ใบ**คัดแยก**"/>
        <s v="พบสีด้านข้างหายจำนวน425ใบ**ขอผสม3/1**"/>
        <s v="พบตัวหนังสือหายจำนวน 400 ใบ**ขอผสม3/1**"/>
        <s v="พบพิมพ์เสียจำนวน 135ใบ**คัดแยก**"/>
        <s v="พบตัวหนังสือหายจำนวน 990 ใบ**คัดแยกส่งแต้ม**"/>
        <s v="พบสีเปื่อนซัพหลังจำนวน 4000 ใบ**ปรึกษาฝ่ายขายให้ผสม50/50**"/>
        <s v="พบสีเปื่อนจำนวน760ใบ**ขอผสม3/1**"/>
        <s v="พบสีหายจำนวน200ใบ**ผสม3/1***"/>
        <s v="พบผ้าพับด้านข้างจำนวน100ใบ ***แซมห่างๆ***"/>
        <s v="พบสีหายจำนวน1100ใบ**ผสม3/1"/>
        <s v="พบสีเปื่อนจำนวน724ใบ**คัดแยกส่งลบ***"/>
        <s v="พบสีเปื่อนจำนวน1750ใบ**คัดแยกส่งลบ**"/>
        <s v="พบสีเปื่อนจำนวน475ใบ**คัดแยกส่งลบ**"/>
        <s v="พบสีเปื่อนจำนวน3260ใบ**คัดแยกส่งลบ**"/>
        <s v="พบสีเปื่อนจำนวน375ใบ**คัดแยกส่งลบ**"/>
        <s v="พบสีหายจำนวน 80 ใบ**คัดแยก**"/>
        <s v="พบสีเปื่อนจำนวน 850 ใบ**คัดแยกส่งลบ**"/>
        <s v="พบตัวหนังสือหายจำนวน 775 ใบ**คัดแยกส่งแต้ม**"/>
        <s v="พบพิมพ์เสียจำนวน160ใบ**คัดแยก**"/>
        <s v="พบสีเปื่อนจำนวน 500 ใบ**ผสม3/1**"/>
        <s v="พบพิมพ์เสีย132ใบ**คัดแยก**"/>
        <s v="พบพิมพ์เสีย137ใบ**คัดแยก**"/>
        <s v="พบสีอ่อนจำนวน100ใบ**คัดแยก**"/>
        <s v="พบตัวหนังสือหายจำนวน 120 ใบ**ปรึกษาฝ่ายขายให้แซมไป**"/>
        <s v="พบสีอ่อนจำนวน175ใบ**ปรึกษาฝ่ายขายให้แยกไป**"/>
        <s v="พบสีเปื่อนจำนวน  1525  ใบ**คัดแยกส่งลบ***"/>
        <s v="พบพิมพ์เสียจำนวน168ใบ**คัดแยก"/>
        <s v="พบสีลงไม่เต็มด้านหลังจำนวน175ใบ**ส่งแต้ม****"/>
        <s v="พบสีตายจำนวน700ใบ**ปรึกษาตลาดเอาได้ค่ะ***"/>
        <s v="พบรอยเส้นเทปติดจำนวน600ใบ***ขอผสม25/75***"/>
        <s v="พบสีเปื่อนจำนวน265ใบ**คัดแยกส่งลบ***"/>
        <s v="พบสีเปื่อนจำนวน1900ใบ**คัดแยกส่งลบ***"/>
        <s v="พบพิมพ์เสีย193ใบ***คัดแยก***"/>
        <s v="พบรอยเส้นเทปติดจำนวน400ใบ***ขอผสม25/75****"/>
        <s v="พบเปื่อนจำนวน350ใบ***คัดแยกส่งลบ***"/>
        <s v="พบผ้าพับจำนวน135ใบ***แซม***"/>
        <s v="พบสีเปื่อนจำนวน375ใบ***คัดแคกส่งลบ****"/>
        <s v="พบสีเปื่อนจำนวน3300ใบ ***คัดแยกส่งลบ***"/>
        <s v="พบสีเปื่อนจำนวน1350ใบ***คัดแยกส่งลบ****"/>
        <s v="พบสีเปื่อนจำนวน600ใบ**คัดแยกส่งลบ***"/>
        <s v="พบสีหายจำนวน700ใบ***ปรึกษาฝ่ายขายผสมไป25/75****"/>
        <s v="พบไม้โทหายจำนวน200ใบ***ผสมแปะละ5-6ใบ****"/>
        <s v="พบสีเปื่อนจำนวน 125  ใบ**คัดแยกส่งลบ***"/>
        <s v="พบรอยเส้นเทปติด 6092 จำนวนใบ***ปรึกษาฝ่ายขายส่งไป***"/>
        <s v="พบสีหายด้านข้างจำนวน700ใบ***คัดแยกส่งแต้ม***"/>
        <s v="พบสีแดงลอก2300ใบ***แยกเลทระบุปันหาส่งลูกค้า***"/>
        <s v="พบตัวหนังสือหายด้านหลังจำนวน1300ใบ***ปรึกษาตลาดให้เอาไปได้****"/>
        <s v="พบสีหายด้านหน้า-หลังจำนวน250ใบ**ส่งแต้ม****"/>
        <s v="พบรอยเส้นเทปติดจำนวน700ใบ**ขอผสม3/1**"/>
        <s v="พบสีเปื่อนจำนวน1225ใบ**คัดแยกส่งลบ***"/>
        <s v="พบพิมพ์เสียจำนวน158ใบ**คัดแยกออก***"/>
        <s v="พบเศษสัหลุดติดกระสอบจำนวน200ใบ***เอาเศษออกก่อนส่งลูกค้า****"/>
        <s v="พบตัวMหายจำนวน700ใบ***ผสม25/75***"/>
        <s v="พบรอยเส้นเทปติดจำนวน150ใบ***ผสม****"/>
        <s v="พบสีเปื่อนจำนวน 975   ใบ***ส่งลบ****"/>
        <s v="พบสีหายด้ายข้างจำนวน125ใบ***ส่งแต้ม****"/>
        <s v="พบพิมพ์เสียจำนวน138ใบ***คัดแยก***"/>
        <s v="พบตัวหนังสือหายจำนวน750ใบ***ส่งแต้ม****"/>
        <s v="พบสีหายด้านล่างจำนวน200ใบ***ส่งแต้ม***"/>
        <s v="พบบล็อคเคลื่อนจำนวน275ใบ***ผสม3/1***"/>
        <s v="พบพิมพ์เสียจำนวน207ใบ***คัดแยก***"/>
        <s v="พบสีหายตัวนกจำนวน950ใบ***ขอผสม50/50***"/>
        <s v="พบลบสีจำนวน450ใบ***ส่งลบ***"/>
        <s v="พบสีหายจำนวน300****ขอผสม3/1***"/>
        <s v="พบใช้สีเขียวผิดจำนวน2500ใบ***คัดแยกส่งไป***"/>
        <s v="พบสีหายจำนวน250ใบ***ฝ่ายขายให้ผสมไป****"/>
        <s v="พบสีตายจำนวน160ใบ***ส่งแต้ม****"/>
        <s v="พบสีตายและตัวหนังสือหายจำนวน150ใบ***ขอผสม3/1****"/>
        <s v="พบสีเปื่อนจำนวน279ใบ**คัดแยกส่งลบ***"/>
        <s v="พบเส้นเทป1เส้นในกระสอบจำนวน600ใบ***ให้ดึงออก***"/>
        <s v="พบตัวหนังสือหายจำนวน1161ใบ***ส่งแต้ม****"/>
        <s v="พบลีเปื่อนจำนวน300ใบ***คัดแยกส่งลบ***"/>
        <s v="พบสีเปื่อนจำนวน650ใบ***คัดแยกส่งลบ***"/>
        <s v="พบพิมพ์เสียจำนวน480ใบ***คัดแยก***"/>
        <s v="พบสีเปื่อนจำนวน1881ใบ***คัดแยกส่งลบ***"/>
        <s v="พบสีเปื่อนจำนวน500ใบ***คัดแยกส่งลบ***"/>
        <s v="พบสีเปื่อนจำนวน375ใบ***คัดแยกส่งลบ***"/>
        <s v="พบผ้าพับจำนวน130ใบ***เล็กๆๆแซมห่างๆ***"/>
        <s v="พบสีเปื่อนจำนวน300ใบ***คัดแยกส่งลบ***"/>
        <s v="พบสีเปื่อนจำนวน200ใบ***คัดแยกส่งลบ***"/>
        <s v="พบสีเปื่อนจำนวน675ใบ***คัดแยกส่งลบ***"/>
        <s v="พบสีเปื่อนจำนวน2150ใบ ***คัดแยกส่งลบ***"/>
        <s v="พบสีเปื่อนจำนวน200ใบ ***คัดแยกส่งลบ***"/>
        <s v="พบผ้าผับจำนวน218ใน***คัดแยก***"/>
        <s v="พบสีเปื่อนจำนวน375ใบ ***คัดแยกส่งลบ***"/>
        <s v="พบสีเปื่อนจำนวน2425ใบ ***คัดแยกส่งลบ***"/>
        <s v="พบฟิล์มพันลูกกลิ้งจำนวน116ใบ***ขอผสม3/1***"/>
        <s v="พบบล็อกเคลื่อนจำนวน125ใบ***ผสม***"/>
        <s v="พบสีน้ำเงินผิดจำนวน1580เมตร***ตัดแยกเบลส่ง****"/>
        <s v="พบสีเปื่อนจำนวน525ใบ ***คัดแยกส่งลบ***"/>
        <s v="พบพิมพ์เสีย111ใบ***คัดแยก***"/>
        <s v="พบสีตายจำนวน350ใบ ***พิมพ์เสียจำนวน125ใบ***สีเปื่อนจำนวน225ใบ***คัดแยก/ส่งลบ"/>
        <s v="พบเส้นเทปติดจำนวน300ใบ***ขอผสม***"/>
        <s v="พบสีเปื่อนจำนวน180ใบ ***คัดแยกส่งลบ***"/>
        <s v="พบตัวหนังสือด้านหลังซ้อนกันและปากสีลงไม่เต็มเป็นในใบเดียวกันจำนวน100ใบ***ผสม***"/>
        <s v="พบสีเปื่อนจำนวน2600ใบ***ผสม***"/>
        <s v="พบสีตายด้านข้างจำนวน300ใบ***ขอผสม25/75****"/>
        <s v="พบสีเปื่อนด้านหลังตั้งแต่หัวม้วนจำนวน400ใบ***ส่งลบ***"/>
        <s v="พบสีเปื่อนด้านหลังตั้งแต่หัวม้วนจำนวน300ใบ***ส่งลบ***"/>
        <s v="พบสีเปื่อนจำนวน840ใบ***ส่งลบ***"/>
        <s v="พบพิมพ์เสียจำนวน107ใบ  บล็อกเลื่อนจำนวน106ใบ***แซม***"/>
        <s v="พบตังหนังสือหายจำนวน475ใบ**/ผสม3/1***"/>
        <s v="พบสีเปื่อนเยอะทั้งหน้าและหลังจำนวน525ใบ***คัดแยกส่งลบ***"/>
        <s v="พบสีเปื่อนจำนวน825ใบ***แจ้งพี่รุ่ง ขอผสม3/1***"/>
        <s v="พบสีพิมพ์หายจำนวน275ใบ***ส่งแต้ม***"/>
        <s v="พบพิมพ์เสียจำนวน272ใบ***คัดแยก***"/>
        <s v="พบสีเปื่อนจำนวน450ใบ***คัดแยกส่งลบ***"/>
        <s v="พบบล๊อคเลื่อนจำนวน143ใบ***คักแยก***"/>
        <s v="พบตัวหนังสือหายจำนวน2000ใบ ***ผสม25/75***"/>
        <s v="พบสีเปื้อนจำนวน 1025 ใบ***ปรึกษาตลาดไม่ต้องลบค่ะ***"/>
        <s v="พบสีหน้าหลังไม่เหมือนกันจำนวน1500ใบ***ปรึกษาฝ่ายขายขอให้แยกเบลไป***"/>
        <s v="พบเปื่อนรอยมาร์คจำนวน500ใบ***ขอผสม***"/>
        <s v="พบสีหายจำนวน1600ใบ***ผสม50/50***"/>
        <s v="พบตัวหนังสือหายจำนวน 9279 ใบ***ผสม3/1***"/>
        <s v="พบพิมพ์เสีย187ใบ***คัดแยก***"/>
        <s v="พบสีเปื่อนจำนวน600ใบ***ส่งลบ***"/>
        <s v="พบสีด้านหน้าลงไม่สม่ำเสมอจำนวน   4000        ใบ***ปรึกษาMKส่งลูกค้า***"/>
        <s v="พบสีหายด้านหน้าจำนวน132ใบ***ขอผสม***"/>
        <s v="พบตัวหนังสือหายจำนวน     ใบ***ขอผสม3/1***"/>
        <m/>
        <s v="พบตัวหนังสือหายจำนวน1300ใบ***ผสม3/1***" u="1"/>
      </sharedItems>
    </cacheField>
    <cacheField name="ผลการตัดสินใจ" numFmtId="0">
      <sharedItems containsBlank="1"/>
    </cacheField>
    <cacheField name="ผลต่าง" numFmtId="0">
      <sharedItems containsBlank="1"/>
    </cacheField>
    <cacheField name="จำนวน " numFmtId="0">
      <sharedItems containsBlank="1" containsMixedTypes="1" containsNumber="1" containsInteger="1" minValue="80" maxValue="9279"/>
    </cacheField>
    <cacheField name="หน่วย" numFmtId="0">
      <sharedItems containsBlank="1"/>
    </cacheField>
    <cacheField name="จำนวนทั้งหมด" numFmtId="0">
      <sharedItems containsString="0" containsBlank="1" containsNumber="1" containsInteger="1" minValue="470" maxValue="3118"/>
    </cacheField>
    <cacheField name="หน่วย2" numFmtId="0">
      <sharedItems containsBlank="1"/>
    </cacheField>
    <cacheField name="แจ้งNCR" numFmtId="14">
      <sharedItems containsNonDate="0" containsDate="1" containsString="0" containsBlank="1" minDate="2564-01-07T00:00:00" maxDate="2564-05-08T00:00:00"/>
    </cacheField>
    <cacheField name="กำหนดปิด" numFmtId="14">
      <sharedItems containsNonDate="0" containsDate="1" containsString="0" containsBlank="1" minDate="2564-01-14T00:00:00" maxDate="2564-05-15T00:00:00"/>
    </cacheField>
    <cacheField name="กำหนดตอบNCR" numFmtId="14">
      <sharedItems containsNonDate="0" containsDate="1" containsString="0" containsBlank="1" minDate="2564-01-09T00:00:00" maxDate="2564-05-10T00:00:00"/>
    </cacheField>
    <cacheField name="PDตอบNCR" numFmtId="0">
      <sharedItems containsBlank="1"/>
    </cacheField>
    <cacheField name="วันที่" numFmtId="14">
      <sharedItems containsNonDate="0" containsDate="1" containsString="0" containsBlank="1" minDate="2564-01-11T00:00:00" maxDate="2564-05-14T00:00:00"/>
    </cacheField>
    <cacheField name="อนุมัติออกNCR (คุณหน่อย)" numFmtId="0">
      <sharedItems containsNonDate="0" containsString="0" containsBlank="1"/>
    </cacheField>
    <cacheField name="วันที่2" numFmtId="0">
      <sharedItems containsNonDate="0" containsString="0" containsBlank="1"/>
    </cacheField>
    <cacheField name="ตรวจสอบ" numFmtId="0">
      <sharedItems containsNonDate="0" containsString="0" containsBlank="1"/>
    </cacheField>
    <cacheField name="วันที่3" numFmtId="0">
      <sharedItems containsNonDate="0" containsString="0" containsBlank="1"/>
    </cacheField>
    <cacheField name="         อนุมัติ          (คุณตาล)" numFmtId="0">
      <sharedItems containsBlank="1"/>
    </cacheField>
    <cacheField name="วันที่4" numFmtId="14">
      <sharedItems containsNonDate="0" containsDate="1" containsString="0" containsBlank="1" minDate="2564-01-13T00:00:00" maxDate="2564-05-13T00:00:00"/>
    </cacheField>
    <cacheField name="พาสงาน" numFmtId="0">
      <sharedItems containsBlank="1"/>
    </cacheField>
    <cacheField name="วันที่5" numFmtId="14">
      <sharedItems containsNonDate="0" containsDate="1" containsString="0" containsBlank="1" minDate="2564-01-13T00:00:00" maxDate="2564-05-13T00:00:00"/>
    </cacheField>
    <cacheField name="ปิด" numFmtId="0">
      <sharedItems containsNonDate="0" containsString="0" containsBlank="1"/>
    </cacheField>
    <cacheField name="วันที่6" numFmtId="0">
      <sharedItems containsNonDate="0" containsString="0" containsBlank="1"/>
    </cacheField>
    <cacheField name="หมายเหตุ" numFmtId="0">
      <sharedItems containsBlank="1"/>
    </cacheField>
    <cacheField name="ประเภท" numFmtId="0">
      <sharedItems containsString="0" containsBlank="1" containsNumber="1" containsInteger="1" minValue="1" maxValue="3" count="4">
        <n v="3"/>
        <n v="2"/>
        <n v="1"/>
        <m/>
      </sharedItems>
    </cacheField>
    <cacheField name="ผลการปิด" numFmtId="0">
      <sharedItems containsBlank="1" containsMixedTypes="1" containsNumber="1" containsInteger="1" minValue="-242654" maxValue="2426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d v="2564-01-07T00:00:00"/>
    <s v="อลิษา"/>
    <s v="ตัดเย็บ"/>
    <s v="PD3พิมพ์"/>
    <s v="คุณภานุมาส"/>
    <n v="640001"/>
    <s v="แถบแนวนอนสีส้ม"/>
    <s v="บริษัท ทีซียูเนี่ยนอโกรจำกัด"/>
    <s v="FWBWT2643150PL"/>
    <s v="PD464010721"/>
    <x v="0"/>
    <s v="สีลงเต็มสม่ำเสมอ ไม่มีรอยเปื้อน"/>
    <x v="0"/>
    <s v="รอยเปื้อนสีดำ"/>
    <s v="คัดแยก"/>
    <n v="272"/>
    <s v="ใบ"/>
    <m/>
    <m/>
    <d v="2564-01-07T00:00:00"/>
    <d v="2564-01-14T00:00:00"/>
    <d v="2564-01-09T00:00:00"/>
    <s v="PASS"/>
    <d v="2564-01-11T00:00:00"/>
    <m/>
    <m/>
    <m/>
    <m/>
    <s v="PASS"/>
    <d v="2564-01-13T00:00:00"/>
    <s v="PASS"/>
    <d v="2564-01-13T00:00:00"/>
    <m/>
    <m/>
    <s v="ปรึกษากับทางฝ่ายขายแจ้งให้ลูกค้ารับและขอส่งให้ดูก่อนว่ารับหรือไม่วันที่ 13/01/2564"/>
    <x v="0"/>
    <m/>
  </r>
  <r>
    <x v="0"/>
    <d v="2564-01-25T00:00:00"/>
    <s v="ชุติกาญจน์"/>
    <s v="ตัดเย็บ"/>
    <s v="PD3พิมพ์"/>
    <s v="คุณภานุมาส"/>
    <n v="640002"/>
    <s v="WB+PE บาลานส์909"/>
    <s v="บริษัท เบทาโกร จำกัด"/>
    <s v="FWBWT203780P"/>
    <s v="PD464012505"/>
    <x v="1"/>
    <s v="สีลงเต็มสม่ำเสมอ ไม่มีรอยเปื้อน"/>
    <x v="1"/>
    <s v="ให้ผสม 3/1"/>
    <s v="คัดแยก"/>
    <n v="1100"/>
    <s v="ใบ"/>
    <n v="2267"/>
    <s v="ใบ"/>
    <d v="2564-01-25T00:00:00"/>
    <d v="2564-02-01T00:00:00"/>
    <d v="2564-01-27T00:00:00"/>
    <s v="PASS"/>
    <d v="2564-01-25T00:00:00"/>
    <m/>
    <m/>
    <m/>
    <m/>
    <s v="PASS"/>
    <d v="2564-02-01T00:00:00"/>
    <s v="PASS"/>
    <d v="2564-02-01T00:00:00"/>
    <m/>
    <m/>
    <s v="ผสม"/>
    <x v="1"/>
    <m/>
  </r>
  <r>
    <x v="0"/>
    <d v="2564-01-26T00:00:00"/>
    <s v="ชุติกาญจน์"/>
    <s v="ตัดเย็บ"/>
    <s v="PD3พิมพ์"/>
    <s v="คุณภานุมาส"/>
    <n v="640003"/>
    <s v="ฟีนิกช์883"/>
    <s v="บริษัท เอ็นบี ดิสทรีบิวชั่น จำกัด"/>
    <s v="FWBWT2137100PL"/>
    <s v="PD464012615"/>
    <x v="2"/>
    <s v="สีลงเต็มสม่ำเสมอ "/>
    <x v="2"/>
    <s v="ให้แต้ม"/>
    <s v="คัดแยก"/>
    <n v="200"/>
    <s v="ใบ"/>
    <n v="520"/>
    <s v="ใบ"/>
    <d v="2564-01-26T00:00:00"/>
    <d v="2564-02-02T00:00:00"/>
    <d v="2564-01-28T00:00:00"/>
    <s v="PASS"/>
    <d v="2564-01-26T00:00:00"/>
    <m/>
    <m/>
    <m/>
    <m/>
    <s v="PASS"/>
    <d v="2564-02-01T00:00:00"/>
    <s v="PASS"/>
    <d v="2564-02-01T00:00:00"/>
    <m/>
    <m/>
    <s v="แซมส่งลูกค้า"/>
    <x v="1"/>
    <m/>
  </r>
  <r>
    <x v="0"/>
    <d v="2564-01-26T00:00:00"/>
    <s v="ชุติกาญจน์"/>
    <s v="ตัดเย็บ"/>
    <s v="PD3พิมพ์"/>
    <s v="คุณภานุมาส"/>
    <n v="640004"/>
    <s v="ดอกไม้แดง"/>
    <s v="บริษัทเคอรี่ฟลาวมิลล์จำกัด"/>
    <s v="FWBWT193060P"/>
    <s v="PD464012608"/>
    <x v="3"/>
    <s v="งานพิมพ์ชัดเจน"/>
    <x v="3"/>
    <s v="ให้ผสม 3/1"/>
    <s v="คัดแยก"/>
    <n v="900"/>
    <s v="ใบ"/>
    <n v="2259"/>
    <s v="ใบ"/>
    <d v="2564-01-26T00:00:00"/>
    <d v="2564-02-02T00:00:00"/>
    <d v="2564-01-28T00:00:00"/>
    <s v="PASS"/>
    <d v="2564-01-26T00:00:00"/>
    <m/>
    <m/>
    <m/>
    <m/>
    <s v="PASS"/>
    <d v="2564-02-01T00:00:00"/>
    <s v="PASS"/>
    <d v="2564-02-01T00:00:00"/>
    <m/>
    <m/>
    <s v="ผสม"/>
    <x v="1"/>
    <m/>
  </r>
  <r>
    <x v="0"/>
    <d v="2564-01-26T00:00:00"/>
    <s v="ชุติกาญจน์"/>
    <s v="ตัดเย็บ"/>
    <s v="PD3พิมพ์"/>
    <s v="คุณภานุมาส"/>
    <n v="640005"/>
    <s v="Zhejiang UN"/>
    <s v="บริษัททีซียูเนียนอโกรเทคจำกัด"/>
    <s v="FWBWT2643150PL"/>
    <s v="PD464012616"/>
    <x v="0"/>
    <s v="ไม่มีรอยเปื้อน"/>
    <x v="4"/>
    <s v="ลบรอยเปื้อน"/>
    <s v="คัดแยก"/>
    <n v="1200"/>
    <s v="ใบ"/>
    <m/>
    <m/>
    <d v="2564-01-26T00:00:00"/>
    <d v="2564-02-02T00:00:00"/>
    <d v="2564-01-28T00:00:00"/>
    <s v="PASS"/>
    <d v="2564-01-30T00:00:00"/>
    <m/>
    <m/>
    <m/>
    <m/>
    <s v="PASS"/>
    <d v="2564-02-01T00:00:00"/>
    <s v="PASS"/>
    <d v="2564-02-01T00:00:00"/>
    <m/>
    <m/>
    <s v="ลบสี"/>
    <x v="2"/>
    <m/>
  </r>
  <r>
    <x v="0"/>
    <d v="2564-01-26T00:00:00"/>
    <s v="ชุติกาญจน์"/>
    <s v="ตัดเย็บ"/>
    <s v="PD3พิมพ์"/>
    <s v="คุณภานุมาส"/>
    <n v="640006"/>
    <s v="THAI WHITE RICE 761/2020"/>
    <s v="บริษัทเอเชี่ยนเพนนินซูล่าคอเปอเรชั้นจำกัด"/>
    <s v="FWBWT2337140P"/>
    <s v="PD464012701"/>
    <x v="2"/>
    <s v="ไม่มีรอยเปื้อน"/>
    <x v="5"/>
    <s v="ลบรอยเปื้อน"/>
    <s v="คัดแยก"/>
    <n v="200"/>
    <s v="ใบ"/>
    <n v="1520"/>
    <s v="ใบ"/>
    <d v="2564-01-26T00:00:00"/>
    <d v="2564-02-02T00:00:00"/>
    <d v="2564-01-28T00:00:00"/>
    <s v="PASS"/>
    <d v="2564-01-27T00:00:00"/>
    <m/>
    <m/>
    <m/>
    <m/>
    <s v="PASS"/>
    <d v="2564-02-01T00:00:00"/>
    <s v="PASS"/>
    <d v="2564-02-01T00:00:00"/>
    <m/>
    <m/>
    <s v="ลบสี"/>
    <x v="2"/>
    <m/>
  </r>
  <r>
    <x v="0"/>
    <d v="2564-01-27T00:00:00"/>
    <s v="ชุติกาญจน์"/>
    <s v="ตัดเย็บ"/>
    <s v="PD3พิมพ์"/>
    <s v="คุณภานุมาส"/>
    <n v="640007"/>
    <s v="CERASIL325"/>
    <s v="บริษัทซิเบลโก้มิเนอร์รัลล์(ประเทศไทย)"/>
    <s v="FWBWT2338100PL"/>
    <s v="PD464012712"/>
    <x v="4"/>
    <s v="สีลงเต็มสม่ำเสมอ "/>
    <x v="6"/>
    <s v="แซมแปะละ2ใบ"/>
    <s v="แซม"/>
    <n v="150"/>
    <s v="ใบ"/>
    <n v="2485"/>
    <s v="ใบ"/>
    <d v="2564-01-27T00:00:00"/>
    <d v="2564-02-03T00:00:00"/>
    <d v="2564-01-29T00:00:00"/>
    <s v="PASS"/>
    <d v="2564-01-28T00:00:00"/>
    <m/>
    <m/>
    <m/>
    <m/>
    <s v="PASS"/>
    <d v="2564-02-01T00:00:00"/>
    <s v="PASS"/>
    <d v="2564-02-01T00:00:00"/>
    <m/>
    <m/>
    <s v="แซม"/>
    <x v="1"/>
    <m/>
  </r>
  <r>
    <x v="0"/>
    <d v="2564-01-28T00:00:00"/>
    <s v="ชุติกาญจน์"/>
    <s v="ตัดเย็บ"/>
    <s v="PD3พิมพ์"/>
    <s v="คุณภานุมาส"/>
    <n v="640008"/>
    <s v="ซันฟีด ไก่เนื้อ"/>
    <s v="บริษัทซันฟีดจำกัด"/>
    <s v="FWBWT203984P"/>
    <s v="PD464012803"/>
    <x v="0"/>
    <s v="สีลงเต็มสม่ำเสมอ"/>
    <x v="7"/>
    <s v="ให้ผสม25/75"/>
    <s v="ผสม"/>
    <n v="525"/>
    <s v="ใบ"/>
    <n v="2175"/>
    <s v="ใบ"/>
    <d v="2564-01-28T00:00:00"/>
    <d v="2564-02-04T00:00:00"/>
    <d v="2564-01-30T00:00:00"/>
    <s v="PASS"/>
    <d v="2564-01-29T00:00:00"/>
    <m/>
    <m/>
    <m/>
    <m/>
    <s v="PASS"/>
    <d v="2564-02-01T00:00:00"/>
    <s v="PASS"/>
    <d v="2564-02-01T00:00:00"/>
    <m/>
    <m/>
    <s v="ผสม"/>
    <x v="1"/>
    <m/>
  </r>
  <r>
    <x v="0"/>
    <d v="2564-01-28T00:00:00"/>
    <s v="ชุติกาญจน์"/>
    <s v="ตัดเย็บ"/>
    <s v="PD3พิมพ์"/>
    <s v="คุณภานุมาส"/>
    <n v="640009"/>
    <s v="ไทยลักซ์8990"/>
    <s v="บริษัทไทยลักซ์เอ็นเตอร์ไพรส์จำกัด"/>
    <s v="FWBWT213695PL"/>
    <s v="PD464012805"/>
    <x v="2"/>
    <s v="ไม่มีรอยเปื้อน"/>
    <x v="8"/>
    <s v="ลบรอยเปื้อน"/>
    <s v="คัดแยก"/>
    <n v="244"/>
    <s v="ใบ"/>
    <n v="1535"/>
    <s v="ใบ"/>
    <d v="2564-01-28T00:00:00"/>
    <d v="2564-02-04T00:00:00"/>
    <d v="2564-01-30T00:00:00"/>
    <s v="PASS"/>
    <d v="2564-01-28T00:00:00"/>
    <m/>
    <m/>
    <m/>
    <m/>
    <s v="PASS"/>
    <d v="2564-02-01T00:00:00"/>
    <s v="PASS"/>
    <d v="2564-02-01T00:00:00"/>
    <m/>
    <m/>
    <s v="ลบสี"/>
    <x v="2"/>
    <m/>
  </r>
  <r>
    <x v="0"/>
    <d v="2564-01-28T00:00:00"/>
    <s v="ชุติกาญจน์"/>
    <s v="ตัดเย็บ"/>
    <s v="PD3พิมพ์"/>
    <s v="คุณภานุมาส"/>
    <n v="640010"/>
    <s v="WB ฟาร์ม F932"/>
    <s v="บริษัทเบทาโกรจำกัดมหาชน"/>
    <s v="FWBWT203780P"/>
    <s v="PD464012823"/>
    <x v="1"/>
    <s v="ไม่มีรอยเปื้อน"/>
    <x v="9"/>
    <s v="ลบรอยเปื้อน"/>
    <s v="คัดแยก"/>
    <n v="400"/>
    <s v="ใบ"/>
    <n v="2424"/>
    <s v="ใบ"/>
    <d v="2564-01-28T00:00:00"/>
    <d v="2564-02-04T00:00:00"/>
    <d v="2564-01-30T00:00:00"/>
    <s v="PASS"/>
    <d v="2564-01-28T00:00:00"/>
    <m/>
    <m/>
    <m/>
    <m/>
    <s v="PASS"/>
    <d v="2564-02-01T00:00:00"/>
    <s v="PASS"/>
    <d v="2564-02-01T00:00:00"/>
    <m/>
    <m/>
    <s v="ผสม"/>
    <x v="1"/>
    <m/>
  </r>
  <r>
    <x v="0"/>
    <d v="2564-01-28T00:00:00"/>
    <s v="ชุติกาญจน์"/>
    <s v="ตัดเย็บ"/>
    <s v="PD3พิมพ์"/>
    <s v="คุณภานุมาส"/>
    <n v="640011"/>
    <s v="Zhejiang UN"/>
    <s v="บริษัททีซียูเนียนอโกรเทคจำกัด"/>
    <s v="FWBWT2643150PL"/>
    <s v="PD464012818"/>
    <x v="0"/>
    <s v="ไม่มีรอยเปื้อน"/>
    <x v="10"/>
    <s v="ลบรอยเปื้อน"/>
    <s v="คัดแยก"/>
    <n v="200"/>
    <s v="ใบ"/>
    <n v="920"/>
    <s v="ใบ"/>
    <d v="2564-01-28T00:00:00"/>
    <d v="2564-02-04T00:00:00"/>
    <d v="2564-01-30T00:00:00"/>
    <s v="PASS"/>
    <d v="2564-01-30T00:00:00"/>
    <m/>
    <m/>
    <m/>
    <m/>
    <s v="PASS"/>
    <d v="2564-02-02T00:00:00"/>
    <s v="PASS"/>
    <d v="2564-02-02T00:00:00"/>
    <m/>
    <m/>
    <s v="ลบสี"/>
    <x v="2"/>
    <m/>
  </r>
  <r>
    <x v="0"/>
    <d v="2564-01-29T00:00:00"/>
    <s v="ชุติกาญจน์"/>
    <s v="ตัดเย็บ"/>
    <s v="PD3พิมพ์"/>
    <s v="คุณภานุมาส"/>
    <n v="640012"/>
    <s v="ซันฟีด ไก่ไข่"/>
    <s v="บริษัทซันฟีดจำกัด"/>
    <s v="FWBWT202882P"/>
    <s v="PD464012907"/>
    <x v="5"/>
    <s v="งานพิมพ์ชัดเจน"/>
    <x v="11"/>
    <s v="ให้ผสม 25/75"/>
    <s v="ผสม"/>
    <n v="1200"/>
    <s v="ใบ"/>
    <m/>
    <m/>
    <d v="2564-01-29T00:00:00"/>
    <d v="2564-02-05T00:00:00"/>
    <d v="2564-01-31T00:00:00"/>
    <s v="PASS"/>
    <d v="2564-01-29T00:00:00"/>
    <m/>
    <m/>
    <m/>
    <m/>
    <s v="PASS"/>
    <d v="2564-02-01T00:00:00"/>
    <s v="PASS"/>
    <d v="2564-02-01T00:00:00"/>
    <m/>
    <m/>
    <s v="ผสม"/>
    <x v="1"/>
    <m/>
  </r>
  <r>
    <x v="0"/>
    <d v="2564-01-29T00:00:00"/>
    <s v="ชุติกาญจน์"/>
    <s v="ตัดเย็บ"/>
    <s v="PD4ตัดเย็บ"/>
    <s v="คุณอุมาภรณ์"/>
    <n v="640013"/>
    <s v="คริตรอล่า"/>
    <s v="บริษัทน้ำตาลทิพย์ สุโขทัย จำกัด"/>
    <s v="FWBWT2337130P"/>
    <s v="PD464012904"/>
    <x v="6"/>
    <s v="ด้ายเย็บไม่หลวม"/>
    <x v="12"/>
    <s v="เย็บเพิ่มขึ้นอีกเส้น"/>
    <s v="เย็บเพิ่ม1เส้น"/>
    <n v="300"/>
    <s v="ใบ"/>
    <n v="1547"/>
    <s v="ใบ"/>
    <d v="2564-01-29T00:00:00"/>
    <d v="2564-02-05T00:00:00"/>
    <d v="2564-01-31T00:00:00"/>
    <s v="PASS"/>
    <d v="2564-02-09T00:00:00"/>
    <m/>
    <m/>
    <m/>
    <m/>
    <s v="PASS"/>
    <d v="2564-02-10T00:00:00"/>
    <s v="PASS"/>
    <d v="2564-02-10T00:00:00"/>
    <m/>
    <m/>
    <s v="เย็บขึ้นมาอีก1เส้น โดยไม่ต้องเลาะ"/>
    <x v="2"/>
    <m/>
  </r>
  <r>
    <x v="0"/>
    <d v="2564-01-29T00:00:00"/>
    <s v="ชุติกาญจน์"/>
    <s v="ตัดเย็บ"/>
    <s v="PD3พิมพ์"/>
    <s v="คุณภานุมาส"/>
    <n v="640014"/>
    <s v="NB FISH401M"/>
    <s v="บริษัทหจกอะกริเทค ดีเวลลอปเม้นท์จำกัด"/>
    <s v="FWBWT2137100PL"/>
    <s v="PD464012923"/>
    <x v="2"/>
    <s v="สีลงเต็มสม่ำเสมอ"/>
    <x v="13"/>
    <s v="ขอผสม2/2"/>
    <s v="ผสม"/>
    <n v="350"/>
    <s v="ใบ"/>
    <n v="1500"/>
    <s v="ใบ"/>
    <d v="2564-01-29T00:00:00"/>
    <d v="2564-02-05T00:00:00"/>
    <d v="2564-01-31T00:00:00"/>
    <s v="PASS"/>
    <d v="2564-01-30T00:00:00"/>
    <m/>
    <m/>
    <m/>
    <m/>
    <s v="PASS"/>
    <d v="2564-02-01T00:00:00"/>
    <s v="PASS"/>
    <d v="2564-02-01T00:00:00"/>
    <m/>
    <m/>
    <s v="ผสม"/>
    <x v="1"/>
    <m/>
  </r>
  <r>
    <x v="0"/>
    <d v="2564-01-30T00:00:00"/>
    <s v="ชุติกาญจน์"/>
    <s v="ตัดเย็บ"/>
    <s v="PD3พิมพ์"/>
    <s v="คุณภานุมาส"/>
    <n v="640015"/>
    <s v="ซันฟีด956"/>
    <s v="บริษัทซันฟีดจำกัด"/>
    <s v="FWBWT2038100PLM"/>
    <s v="PD464013020"/>
    <x v="4"/>
    <s v="สีลงเต็มสม่ำเสมอ ไม่มีรอยเปื้อน"/>
    <x v="14"/>
    <s v="ขอผสม50/50"/>
    <s v="ผสม"/>
    <n v="1700"/>
    <s v="ใบ"/>
    <m/>
    <m/>
    <d v="2564-01-30T00:00:00"/>
    <d v="2564-02-06T00:00:00"/>
    <d v="2564-02-01T00:00:00"/>
    <s v="PASS"/>
    <d v="2564-02-09T00:00:00"/>
    <m/>
    <m/>
    <m/>
    <m/>
    <s v="PASS"/>
    <d v="2564-02-10T00:00:00"/>
    <s v="PASS"/>
    <d v="2564-02-10T00:00:00"/>
    <m/>
    <m/>
    <s v="ผสม"/>
    <x v="1"/>
    <m/>
  </r>
  <r>
    <x v="0"/>
    <d v="2564-01-30T00:00:00"/>
    <s v="ชุติกาญจน์"/>
    <s v="ตัดเย็บ"/>
    <s v="PD3พิมพ์"/>
    <s v="คุณภานุมาส"/>
    <n v="640016"/>
    <s v="WBฟาร์มF932"/>
    <s v="บริษัทเบทาโกรจำกัดมหาชน"/>
    <s v="FWBWT203780P"/>
    <s v="PD464013016"/>
    <x v="1"/>
    <s v=" งานพิมพ์ถูกต้องไม่เลื่อน"/>
    <x v="15"/>
    <s v="ผสม125ใบแยก75ใบ"/>
    <s v="ผสม,แยก"/>
    <n v="200"/>
    <s v="ใบ"/>
    <n v="2419"/>
    <s v="ใบ"/>
    <d v="2564-01-30T00:00:00"/>
    <d v="2564-02-06T00:00:00"/>
    <d v="2564-02-01T00:00:00"/>
    <s v="PASS"/>
    <d v="2564-01-30T00:00:00"/>
    <m/>
    <m/>
    <m/>
    <m/>
    <s v="PASS"/>
    <d v="2564-02-01T00:00:00"/>
    <s v="PASS"/>
    <d v="2564-02-01T00:00:00"/>
    <m/>
    <m/>
    <s v="ผสม แซม (น้อย) คัดออก (มาก)"/>
    <x v="1"/>
    <m/>
  </r>
  <r>
    <x v="0"/>
    <d v="2564-01-31T00:00:00"/>
    <s v="ชุติกาญจน์"/>
    <s v="ตัดเย็บ"/>
    <s v="PD3พิมพ์"/>
    <s v="คุณภานุมาส"/>
    <n v="640017"/>
    <s v="เพอเฟคค์914"/>
    <s v="บริษัทอินเทคค์ฟีดจำกัด"/>
    <s v="FWBWT2036100LM"/>
    <s v="PD464013018"/>
    <x v="5"/>
    <s v="สีลงเต็มสม่ำเสมอ งานพิมพ์ชัดเจน"/>
    <x v="16"/>
    <s v="ขอผสม3/1"/>
    <s v="ผสม"/>
    <n v="420"/>
    <s v="ใบ"/>
    <n v="1346"/>
    <s v="ใบ"/>
    <d v="2564-01-31T00:00:00"/>
    <d v="2564-02-07T00:00:00"/>
    <d v="2564-02-02T00:00:00"/>
    <s v="PASS"/>
    <d v="2564-02-09T00:00:00"/>
    <m/>
    <m/>
    <m/>
    <m/>
    <s v="PASS"/>
    <d v="2564-02-10T00:00:00"/>
    <s v="PASS"/>
    <d v="2564-02-10T00:00:00"/>
    <m/>
    <m/>
    <s v="ผสม"/>
    <x v="1"/>
    <m/>
  </r>
  <r>
    <x v="1"/>
    <d v="2564-02-01T00:00:00"/>
    <s v="ชุติกาญจน์"/>
    <s v="ตัดเย็บ"/>
    <s v="PD3พิมพ์"/>
    <s v="คุณภานุมาส"/>
    <n v="640018"/>
    <s v="โมโม่402โกล"/>
    <s v="บริษัทเอสพีเอ็มอาหารสัตร์จำกัด"/>
    <s v="FWBWT2138102PLM"/>
    <s v="PD464020120"/>
    <x v="4"/>
    <s v="สีลงเต็มสม่ำเสมอ งานพิมพ์ชัดเจน"/>
    <x v="17"/>
    <s v="ขอผสม3/1"/>
    <s v="ผสม"/>
    <n v="200"/>
    <s v="ใบ"/>
    <n v="1440"/>
    <s v="ใบ"/>
    <d v="2564-02-01T00:00:00"/>
    <d v="2564-02-08T00:00:00"/>
    <d v="2564-02-03T00:00:00"/>
    <s v="PASS"/>
    <d v="2564-02-09T00:00:00"/>
    <m/>
    <m/>
    <m/>
    <m/>
    <s v="PASS"/>
    <d v="2564-02-10T00:00:00"/>
    <s v="PASS"/>
    <d v="2564-02-10T00:00:00"/>
    <m/>
    <m/>
    <s v="ผสม"/>
    <x v="1"/>
    <m/>
  </r>
  <r>
    <x v="1"/>
    <d v="2564-02-01T00:00:00"/>
    <s v="ชุติกาญจน์"/>
    <s v="ตัดเย็บ"/>
    <s v="PD3พิมพ์"/>
    <s v="คุณภานุมาส"/>
    <n v="640019"/>
    <s v="TUNA FISH MEAL UN"/>
    <s v="บริษัททีซียูเนียนอโกรเทคจำกัด"/>
    <s v="FWBWT2137100PL"/>
    <s v="PD464020219"/>
    <x v="5"/>
    <s v="ไม่มีรอยเปื้อน"/>
    <x v="18"/>
    <s v="ลบรอยเปื้อน"/>
    <s v="คัดแยก"/>
    <n v="375"/>
    <s v="ใบ"/>
    <n v="1507"/>
    <s v="ใบ"/>
    <d v="2564-02-01T00:00:00"/>
    <d v="2564-02-08T00:00:00"/>
    <d v="2564-02-03T00:00:00"/>
    <s v="PASS"/>
    <d v="2564-02-09T00:00:00"/>
    <m/>
    <m/>
    <m/>
    <m/>
    <s v="PASS"/>
    <d v="2564-02-10T00:00:00"/>
    <s v="PASS"/>
    <d v="2564-02-10T00:00:00"/>
    <m/>
    <m/>
    <s v="ลบสี"/>
    <x v="2"/>
    <e v="#REF!"/>
  </r>
  <r>
    <x v="1"/>
    <d v="2564-02-01T00:00:00"/>
    <s v="ชุติกาญจน์"/>
    <s v="ตัดเย็บ"/>
    <s v="PD3พิมพ์"/>
    <s v="คุณภานุมาส"/>
    <n v="640020"/>
    <s v="CHEMEMAN CAL100"/>
    <s v="บริษัทเคมีแมนจำกัด"/>
    <s v="FWBWT213665P"/>
    <s v="PD464020117"/>
    <x v="2"/>
    <s v="สีลงเต็มสม่ำเสมอ"/>
    <x v="19"/>
    <s v="ให้ผสม25/75"/>
    <s v="ผสม"/>
    <n v="200"/>
    <s v="ใบ"/>
    <n v="2745"/>
    <s v="ใบ"/>
    <d v="2564-02-01T00:00:00"/>
    <d v="2564-02-08T00:00:00"/>
    <d v="2564-02-03T00:00:00"/>
    <s v="PASS"/>
    <d v="2564-02-09T00:00:00"/>
    <m/>
    <m/>
    <m/>
    <m/>
    <s v="PASS"/>
    <d v="2564-02-10T00:00:00"/>
    <s v="PASS"/>
    <d v="2564-02-10T00:00:00"/>
    <m/>
    <m/>
    <s v="ผสม"/>
    <x v="1"/>
    <n v="1"/>
  </r>
  <r>
    <x v="1"/>
    <d v="2564-02-02T00:00:00"/>
    <s v="ชุติกาญจน์"/>
    <s v="ตัดเย็บ"/>
    <s v="PD3พิมพ์"/>
    <s v="คุณภานุมาส"/>
    <n v="640021"/>
    <s v="Zhejiang UN"/>
    <s v="บริษัททีซียูเนียนอโกรเทคจำกัด"/>
    <s v="FWBWT2137100PL"/>
    <s v="PD464020218"/>
    <x v="5"/>
    <s v="สีลงเต็มสม่ำเสมอ งานพิมพ์ชัดเจน"/>
    <x v="20"/>
    <s v="ขอผสม3/1"/>
    <s v="ผสม"/>
    <n v="2790"/>
    <s v="ใบ"/>
    <m/>
    <m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ผสม"/>
    <x v="1"/>
    <n v="1"/>
  </r>
  <r>
    <x v="1"/>
    <d v="2564-02-02T00:00:00"/>
    <s v="ชุติกาญจน์"/>
    <s v="ตัดเย็บ"/>
    <s v="PD3พิมพ์"/>
    <s v="คุณภานุมาส"/>
    <n v="640022"/>
    <s v="ซันฟีด915"/>
    <s v="บริษัทซันฟีดจำกัด"/>
    <s v="FWBWT2038100PLM"/>
    <s v="PD464020216"/>
    <x v="4"/>
    <s v="สีลงเต็มสม่ำเสมอ งานพิมพ์ชัดเจน"/>
    <x v="21"/>
    <s v="ขอผสม25/75"/>
    <s v="ผสม"/>
    <n v="700"/>
    <s v="ใบ"/>
    <m/>
    <m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ผสม"/>
    <x v="1"/>
    <n v="1"/>
  </r>
  <r>
    <x v="1"/>
    <d v="2564-02-02T00:00:00"/>
    <s v="ชุติกาญจน์"/>
    <s v="ตัดเย็บ"/>
    <s v="PD3พิมพ์"/>
    <s v="คุณภานุมาส"/>
    <n v="640023"/>
    <s v="Biue for Refine Sugar"/>
    <s v="บริษัทน้ำตาลทิพย์ สุโขทัย จำกัด"/>
    <s v="FWBWT2337130P"/>
    <s v="PD464020201"/>
    <x v="5"/>
    <s v="ไม่มีรอยเปื้อน"/>
    <x v="22"/>
    <s v="ลบรอยเปื้อน"/>
    <s v="คัดแยก"/>
    <n v="250"/>
    <s v="ใบ"/>
    <n v="1547"/>
    <s v="ใบ"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ลบสี"/>
    <x v="2"/>
    <n v="1"/>
  </r>
  <r>
    <x v="1"/>
    <d v="2564-02-02T00:00:00"/>
    <s v="ชุติกาญจน์"/>
    <s v="QAPD3"/>
    <s v="PD3พิมพ์"/>
    <s v="คุณภานุมาส"/>
    <n v="640024"/>
    <s v="918พี"/>
    <s v="บริษัทซันฟีดจำกัด"/>
    <s v="FWBWT2039102PLM"/>
    <s v="PD6402010"/>
    <x v="0"/>
    <s v="102+/-"/>
    <x v="23"/>
    <s v="ผสมส่งลูกค้า"/>
    <s v="ผสม"/>
    <n v="1179"/>
    <s v="ใบ"/>
    <n v="1179"/>
    <s v="ใบ"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ผสม"/>
    <x v="1"/>
    <n v="1"/>
  </r>
  <r>
    <x v="1"/>
    <d v="2564-02-02T00:00:00"/>
    <s v="ชุติกาญจน์"/>
    <s v="ตัดเย็บ"/>
    <s v="PD3พิมพ์"/>
    <s v="คุณภานุมาส"/>
    <n v="640025"/>
    <s v="CHEMEMAN CAL100"/>
    <s v="บริษัทเคมีแมนจำกัด"/>
    <s v="FWBWT213665P"/>
    <s v="PD464020203"/>
    <x v="2"/>
    <s v="ไม่มีรอยเปื้อน"/>
    <x v="24"/>
    <s v="ลบรอยเปื้อน"/>
    <s v="คัดแยก"/>
    <n v="200"/>
    <s v="ใบ"/>
    <n v="2585"/>
    <s v="ใบ"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ลบสี"/>
    <x v="1"/>
    <n v="0"/>
  </r>
  <r>
    <x v="1"/>
    <d v="2564-02-02T00:00:00"/>
    <s v="ชุติกาญจน์"/>
    <s v="ตัดเย็บ"/>
    <s v="PD3พิมพ์"/>
    <s v="คุณภานุมาส"/>
    <n v="640026"/>
    <s v="ซํนฟีด935แอล"/>
    <s v="บริษัทซันฟีดจำกัด"/>
    <s v="FWBWT203780P"/>
    <s v="PD464020205"/>
    <x v="2"/>
    <s v="สีลงเต็มสม่ำเสมอ งานพิมพ์ชัดเจน"/>
    <x v="25"/>
    <s v="ให้ผสม25/75"/>
    <s v="ผสม"/>
    <s v="350/162"/>
    <s v="ใบ"/>
    <n v="2280"/>
    <s v="ใบ"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สีหาย ผสมพิมพ์เสียลดเกรด"/>
    <x v="1"/>
    <m/>
  </r>
  <r>
    <x v="1"/>
    <d v="2564-02-02T00:00:00"/>
    <s v="ชุติกาญจน์"/>
    <s v="ตัดเย็บ"/>
    <s v="PD3พิมพ์"/>
    <s v="คุณภานุมาส"/>
    <n v="640027"/>
    <s v="แม็กไดนามิก"/>
    <s v="บริษัทบี.พี.เค.ที.พัฒนาเกษตรภันฆ์ จำกัด"/>
    <s v="FWBWT162560PL"/>
    <s v="PD464020209"/>
    <x v="3"/>
    <s v="ไม่มีรอยเปื้อน"/>
    <x v="18"/>
    <s v="ลบรอยเปื้อน"/>
    <s v="คัดแยก"/>
    <n v="375"/>
    <s v="ใบ"/>
    <n v="1995"/>
    <s v="ใบ"/>
    <d v="2564-02-02T00:00:00"/>
    <d v="2564-02-09T00:00:00"/>
    <d v="2564-02-04T00:00:00"/>
    <s v="PASS"/>
    <d v="2564-02-09T00:00:00"/>
    <m/>
    <m/>
    <m/>
    <m/>
    <s v="PASS"/>
    <d v="2564-02-10T00:00:00"/>
    <s v="PASS"/>
    <d v="2564-02-10T00:00:00"/>
    <m/>
    <m/>
    <s v="ลบสี"/>
    <x v="2"/>
    <m/>
  </r>
  <r>
    <x v="1"/>
    <d v="2564-02-03T00:00:00"/>
    <s v="ชุติกาญจน์"/>
    <s v="ตัดเย็บ"/>
    <s v="PD3พิมพ์"/>
    <s v="คุณภานุมาส"/>
    <n v="640028"/>
    <s v="โบว์น้ำเงิน"/>
    <s v="บริษัทเคอรี่ฟลาวมิลล์จำกัด"/>
    <s v="FWBWT193060P"/>
    <s v="PD464020323"/>
    <x v="3"/>
    <s v="สีลงเต็มสม่ำเสมอ งานพิมพ์ชัดเจน"/>
    <x v="26"/>
    <s v="ขอผสม3/1"/>
    <s v="ผสม"/>
    <n v="600"/>
    <s v="ใบ"/>
    <n v="1902"/>
    <s v="ใบ"/>
    <d v="2564-02-03T00:00:00"/>
    <d v="2564-02-10T00:00:00"/>
    <d v="2564-02-05T00:00:00"/>
    <s v="PASS"/>
    <d v="2564-02-09T00:00:00"/>
    <m/>
    <m/>
    <m/>
    <m/>
    <s v="PASS"/>
    <d v="2564-02-10T00:00:00"/>
    <s v="PASS"/>
    <d v="2564-02-10T00:00:00"/>
    <m/>
    <m/>
    <s v="ผสม"/>
    <x v="1"/>
    <n v="-1"/>
  </r>
  <r>
    <x v="1"/>
    <d v="2564-02-03T00:00:00"/>
    <s v="ชุติกาญจน์"/>
    <s v="ตัดเย็บ"/>
    <s v="PD3พิมพ์"/>
    <s v="คุณภานุมาส"/>
    <n v="640029"/>
    <s v="สไมล์915เอส"/>
    <s v="บริษัทเอเชียอควาเซอร์วิสเซสจำกัด"/>
    <s v="FWBWT213797PL"/>
    <s v="PD464020421"/>
    <x v="5"/>
    <s v="สีลงเต็มสม่ำเสมอ"/>
    <x v="27"/>
    <s v="ขอผสม3/2"/>
    <s v="ผสม"/>
    <n v="250"/>
    <s v="ใบ"/>
    <n v="1535"/>
    <s v="ใบ"/>
    <d v="2564-02-03T00:00:00"/>
    <d v="2564-02-10T00:00:00"/>
    <d v="2564-02-05T00:00:00"/>
    <s v="PASS"/>
    <d v="2564-02-09T00:00:00"/>
    <m/>
    <m/>
    <m/>
    <m/>
    <s v="PASS"/>
    <d v="2564-02-10T00:00:00"/>
    <s v="PASS"/>
    <d v="2564-02-10T00:00:00"/>
    <m/>
    <m/>
    <s v="ผสม"/>
    <x v="1"/>
    <n v="-1"/>
  </r>
  <r>
    <x v="1"/>
    <d v="2564-02-04T00:00:00"/>
    <s v="ชุติกาญจน์"/>
    <s v="ตัดเย็บ"/>
    <s v="PD3พิมพ์"/>
    <s v="คุณภานุมาส"/>
    <n v="640030"/>
    <s v="SPM041อาร์"/>
    <s v="บริษัทเอสพีเอ็มอาหารสัตร์จำกัด"/>
    <s v="FWBWT2138102PLM"/>
    <s v="PD464020422"/>
    <x v="4"/>
    <s v="สีลงเต็มสม่ำเสมอ งานพิมพ์ชัดเจน"/>
    <x v="28"/>
    <s v="ผสม3/1  ส่งลบ"/>
    <s v="ผสม/คัดแยก"/>
    <s v="450/850"/>
    <s v="ใบ"/>
    <m/>
    <m/>
    <d v="2564-02-04T00:00:00"/>
    <d v="2564-02-11T00:00:00"/>
    <d v="2564-02-06T00:00:00"/>
    <s v="PASS"/>
    <d v="2564-02-09T00:00:00"/>
    <m/>
    <m/>
    <m/>
    <m/>
    <s v="PASS"/>
    <d v="2564-02-10T00:00:00"/>
    <s v="PASS"/>
    <d v="2564-02-10T00:00:00"/>
    <m/>
    <m/>
    <s v="สีหาย ผสมสีเปื้อนสีลบสี"/>
    <x v="1"/>
    <n v="-1"/>
  </r>
  <r>
    <x v="1"/>
    <d v="2564-02-04T00:00:00"/>
    <s v="ชุติกาญจน์"/>
    <s v="ตัดเย็บ"/>
    <s v="PD3พิมพ์"/>
    <s v="คุณภานุมาส"/>
    <n v="640031"/>
    <s v="ซันฟีด917"/>
    <s v="บริษัทซันฟีดจำกัด"/>
    <s v="FWBWT203798PLM"/>
    <s v="PD464020409"/>
    <x v="2"/>
    <s v="สีลงเต็มสม่ำเสมอ งานพิมพ์ชัดเจน"/>
    <x v="29"/>
    <s v="รอผสมรอบหน้า"/>
    <s v="ผสม"/>
    <n v="325"/>
    <s v="ใบ"/>
    <n v="1490"/>
    <s v="ใบ"/>
    <d v="2564-02-04T00:00:00"/>
    <d v="2564-02-11T00:00:00"/>
    <d v="2564-02-06T00:00:00"/>
    <s v="PASS"/>
    <d v="2564-02-09T00:00:00"/>
    <m/>
    <m/>
    <m/>
    <m/>
    <s v="PASS"/>
    <d v="2564-02-10T00:00:00"/>
    <s v="PASS"/>
    <d v="2564-02-10T00:00:00"/>
    <m/>
    <m/>
    <s v="ผสม"/>
    <x v="1"/>
    <n v="-6"/>
  </r>
  <r>
    <x v="1"/>
    <d v="2564-02-04T00:00:00"/>
    <s v="ชุติกาญจน์"/>
    <s v="ตัดเย็บ"/>
    <s v="PD3พิมพ์"/>
    <s v="คุณภานุมาส"/>
    <n v="640032"/>
    <s v="Zhejiang UN"/>
    <s v="บริษัททีซียูเนียนอโกรเทคจำกัด"/>
    <s v="FWBWT2643150PL"/>
    <s v="PD464020423"/>
    <x v="0"/>
    <s v="ไม่มีรอยเปื้อน"/>
    <x v="22"/>
    <s v="ลบรอยเปื้อน"/>
    <s v="คัดแยก"/>
    <n v="250"/>
    <s v="ใบ"/>
    <n v="1300"/>
    <s v="ใบ"/>
    <d v="2564-02-04T00:00:00"/>
    <d v="2564-02-11T00:00:00"/>
    <d v="2564-02-06T00:00:00"/>
    <s v="PASS"/>
    <d v="2564-02-09T00:00:00"/>
    <m/>
    <m/>
    <m/>
    <m/>
    <s v="PASS"/>
    <d v="2564-02-10T00:00:00"/>
    <s v="PASS"/>
    <d v="2564-02-10T00:00:00"/>
    <m/>
    <m/>
    <s v="ลบสี"/>
    <x v="2"/>
    <n v="-6"/>
  </r>
  <r>
    <x v="1"/>
    <d v="2564-02-04T00:00:00"/>
    <s v="ชุติกาญจน์"/>
    <s v="ตัดเย็บ"/>
    <s v="PD3พิมพ์"/>
    <s v="คุณภานุมาส"/>
    <n v="640033"/>
    <s v="นีโอ01"/>
    <s v="บริษัทเอสพีเอ็มอาหารสัตร์จำกัด"/>
    <s v="FWBWT2038100PLM"/>
    <s v="PD464020412"/>
    <x v="4"/>
    <s v="สีลงเต็มสม่ำเสมอ"/>
    <x v="30"/>
    <s v="ขอผสม3/1"/>
    <s v="ผสม"/>
    <n v="125"/>
    <s v="ใบ"/>
    <n v="1450"/>
    <s v="ใบ"/>
    <d v="2564-02-04T00:00:00"/>
    <d v="2564-02-11T00:00:00"/>
    <d v="2564-02-06T00:00:00"/>
    <s v="PASS"/>
    <d v="2564-02-09T00:00:00"/>
    <m/>
    <m/>
    <m/>
    <m/>
    <s v="PASS"/>
    <d v="2564-02-10T00:00:00"/>
    <s v="PASS"/>
    <d v="2564-02-10T00:00:00"/>
    <m/>
    <m/>
    <s v="ผสม"/>
    <x v="1"/>
    <n v="-7"/>
  </r>
  <r>
    <x v="1"/>
    <d v="2564-02-05T00:00:00"/>
    <s v="ชุติกาญจน์"/>
    <s v="ตัดเย็บ"/>
    <s v="PD3พิมพ์"/>
    <s v="คุณภานุมาส"/>
    <n v="640034"/>
    <s v="นีโอ02"/>
    <s v="บริษัทเอสพีเอ็มอาหารสัตร์จำกัด"/>
    <s v="FWBWT2038100PLM"/>
    <s v="PD464020508"/>
    <x v="4"/>
    <s v="สีลงเต็มสม่ำเสมอ"/>
    <x v="31"/>
    <s v="ส่งแต้ม"/>
    <s v="แต้ม"/>
    <n v="250"/>
    <s v="ใบ"/>
    <n v="470"/>
    <s v="ใบ"/>
    <d v="2564-02-05T00:00:00"/>
    <d v="2564-02-12T00:00:00"/>
    <d v="2564-02-07T00:00:00"/>
    <s v="PASS"/>
    <d v="2564-02-09T00:00:00"/>
    <m/>
    <m/>
    <m/>
    <m/>
    <s v="PASS"/>
    <d v="2564-02-10T00:00:00"/>
    <s v="PASS"/>
    <d v="2564-02-10T00:00:00"/>
    <m/>
    <m/>
    <s v="แต้ม"/>
    <x v="2"/>
    <n v="-7"/>
  </r>
  <r>
    <x v="1"/>
    <d v="2564-02-05T00:00:00"/>
    <s v="ชุติกาญจน์"/>
    <s v="ตัดเย็บ"/>
    <s v="PD3พิมพ์"/>
    <s v="คุณภานุมาส"/>
    <n v="640035"/>
    <s v="BLAMKFORM"/>
    <s v="บริษัทซิเบลโก้มิเนอร์รัลล์(ประเทศไทย)"/>
    <s v="FWBWT183074PL"/>
    <s v="PD464020520"/>
    <x v="1"/>
    <s v="สีลงเต็มสม่ำเสมอ"/>
    <x v="32"/>
    <s v="ขอผสม"/>
    <s v="ผสม"/>
    <n v="1450"/>
    <s v="ใบ"/>
    <n v="1848"/>
    <s v="ใบ"/>
    <d v="2564-02-05T00:00:00"/>
    <d v="2564-02-12T00:00:00"/>
    <d v="2564-02-07T00:00:00"/>
    <s v="PASS"/>
    <d v="2564-02-09T00:00:00"/>
    <m/>
    <m/>
    <m/>
    <m/>
    <s v="PASS"/>
    <d v="2564-02-10T00:00:00"/>
    <s v="PASS"/>
    <d v="2564-02-10T00:00:00"/>
    <m/>
    <m/>
    <s v="ผสม ปรึกษาฝ่ายขายแล้ว"/>
    <x v="1"/>
    <n v="-10"/>
  </r>
  <r>
    <x v="1"/>
    <d v="2564-02-08T00:00:00"/>
    <s v="ชุติกาญจน์"/>
    <s v="ตัดเย็บ"/>
    <s v="PD3พิมพ์"/>
    <s v="คุณภานุมาส"/>
    <n v="640036"/>
    <s v="SPM190"/>
    <s v="บริษัทเอสพีเอ็มอาหารสัตร์จำกัด"/>
    <s v="FWBWT203880P"/>
    <s v="PD464020804"/>
    <x v="4"/>
    <s v="สีลงเต็มสม่ำเสมอ"/>
    <x v="33"/>
    <s v="ขอผสม2/2"/>
    <s v="ผสม"/>
    <n v="1600"/>
    <s v="ใบ"/>
    <m/>
    <m/>
    <d v="2564-02-08T00:00:00"/>
    <d v="2564-02-15T00:00:00"/>
    <d v="2564-02-10T00:00:00"/>
    <s v="PASS"/>
    <d v="2564-02-09T00:00:00"/>
    <m/>
    <m/>
    <m/>
    <m/>
    <s v="PASS"/>
    <d v="2564-02-10T00:00:00"/>
    <s v="PASS"/>
    <d v="2564-02-10T00:00:00"/>
    <m/>
    <m/>
    <s v="ผสม ปรึกษาฝ่ายขายแล้ว"/>
    <x v="1"/>
    <n v="-12"/>
  </r>
  <r>
    <x v="1"/>
    <d v="2564-02-08T00:00:00"/>
    <s v="ชุติกาญจน์"/>
    <s v="ตัดเย็บ"/>
    <s v="PD3พิมพ์"/>
    <s v="คุณภานุมาส"/>
    <n v="640037"/>
    <s v="MAXUM N15"/>
    <s v="บริษัทซิเบลโก้มิเนอร์รัลล์(ประเทศไทย)"/>
    <s v="FWBWT2338100PL"/>
    <s v="PD464020813"/>
    <x v="4"/>
    <s v="สีลงเต็มสม่ำเสมอ"/>
    <x v="34"/>
    <s v="ขอผสม3/1"/>
    <s v="ผสม"/>
    <n v="500"/>
    <s v="ใบ"/>
    <n v="2405"/>
    <s v="ใบ"/>
    <d v="2564-02-08T00:00:00"/>
    <d v="2564-02-15T00:00:00"/>
    <d v="2564-02-10T00:00:00"/>
    <s v="PASS"/>
    <d v="2564-02-09T00:00:00"/>
    <m/>
    <m/>
    <m/>
    <m/>
    <s v="PASS"/>
    <d v="2564-02-10T00:00:00"/>
    <s v="PASS"/>
    <d v="2564-02-10T00:00:00"/>
    <m/>
    <m/>
    <s v="ผสม"/>
    <x v="1"/>
    <n v="-12"/>
  </r>
  <r>
    <x v="1"/>
    <d v="2564-02-09T00:00:00"/>
    <s v="ชุติกาญจน์"/>
    <s v="ตัดเย็บ"/>
    <s v="PD3พิมพ์"/>
    <s v="คุณภานุมาส"/>
    <n v="640038"/>
    <s v="ไบโอซอย"/>
    <s v="บริษัทซีซีโกลบอลเทรดจำกัด"/>
    <s v="FWBWT213490PL"/>
    <s v="PD464020911"/>
    <x v="0"/>
    <s v="สีลงเต็มสม่ำเสมอ ไม่มีรอยเปื้อน"/>
    <x v="35"/>
    <s v="ส่งแต้ม/ส่งลบสี"/>
    <s v="แต้ม/ลบสี"/>
    <s v="184/1200"/>
    <s v="ใบ"/>
    <m/>
    <m/>
    <d v="2564-02-09T00:00:00"/>
    <d v="2564-02-16T00:00:00"/>
    <d v="2564-02-11T00:00:00"/>
    <s v="PASS"/>
    <d v="2564-02-16T00:00:00"/>
    <m/>
    <m/>
    <m/>
    <m/>
    <s v="PASS"/>
    <d v="2564-02-17T00:00:00"/>
    <s v="PASS"/>
    <d v="2564-02-17T00:00:00"/>
    <m/>
    <m/>
    <s v="สีเข้มส่งลบ ปัญหาสีหาย ผสม"/>
    <x v="2"/>
    <n v="0"/>
  </r>
  <r>
    <x v="1"/>
    <d v="2564-02-09T00:00:00"/>
    <s v="ชุติกาญจน์"/>
    <s v="ตัดเย็บ"/>
    <s v="PD4สำเร็จรูป"/>
    <s v="คุณอุมาภรณ์"/>
    <n v="640039"/>
    <s v="เคอรี่ 997"/>
    <s v="บริษัทเคอรี่ฟลาวมิลล์จำกัด"/>
    <s v="FWBWT193060P"/>
    <s v="PD464020924"/>
    <x v="1"/>
    <s v="ฟันจักร์ไม่เป็นรู"/>
    <x v="36"/>
    <s v="แซมแปะละ1ใบ"/>
    <s v="แซม"/>
    <n v="165"/>
    <s v="ใบ"/>
    <n v="3118"/>
    <s v="ใบ"/>
    <d v="2564-02-09T00:00:00"/>
    <d v="2564-02-16T00:00:00"/>
    <d v="2564-02-11T00:00:00"/>
    <s v="PASS"/>
    <d v="2564-02-16T00:00:00"/>
    <m/>
    <m/>
    <m/>
    <m/>
    <s v="PASS"/>
    <d v="2564-02-17T00:00:00"/>
    <s v="PASS"/>
    <d v="2564-02-17T00:00:00"/>
    <m/>
    <m/>
    <s v="แซมแปะละ1 ใบ"/>
    <x v="1"/>
    <n v="0"/>
  </r>
  <r>
    <x v="1"/>
    <d v="2564-02-10T00:00:00"/>
    <s v="ชุติกาญจน์"/>
    <s v="ตัดเย็บ"/>
    <s v="PD3พิมพ์"/>
    <s v="คุณภานุมาส"/>
    <n v="640040"/>
    <s v="ไก่ไข่"/>
    <s v="บริษัทซันฟีดจำกัด"/>
    <s v="FWBWT2039102PLM"/>
    <s v="PD464021017"/>
    <x v="0"/>
    <s v="สีลงเต็มสม่ำเสมอ งานพิมพ์ชัดเจน"/>
    <x v="37"/>
    <s v="ขอผสม25/75"/>
    <s v="ผสม"/>
    <n v="225"/>
    <s v="ใบ"/>
    <n v="1406"/>
    <s v="ใบ"/>
    <d v="2564-02-10T00:00:00"/>
    <d v="2564-02-17T00:00:00"/>
    <d v="2564-02-12T00:00:00"/>
    <s v="PASS"/>
    <d v="2564-02-16T00:00:00"/>
    <m/>
    <m/>
    <m/>
    <m/>
    <s v="PASS"/>
    <d v="2564-02-17T00:00:00"/>
    <s v="PASS"/>
    <d v="2564-02-17T00:00:00"/>
    <m/>
    <m/>
    <s v="ผสม ปรึกษาฝ่ายขายแล้ว"/>
    <x v="1"/>
    <n v="0"/>
  </r>
  <r>
    <x v="1"/>
    <d v="2564-02-10T00:00:00"/>
    <s v="ชุติกาญจน์"/>
    <s v="ตัดเย็บ"/>
    <s v="PD3พิมพ์"/>
    <s v="คุณภานุมาส"/>
    <n v="640041"/>
    <s v="นีโอ03"/>
    <s v="บริษัทเอสพีเอ็มอาหารสัตร์จำกัด"/>
    <s v="FWBWT2038100PLM"/>
    <s v="PD464021014"/>
    <x v="4"/>
    <s v="สีลงเต็มสม่ำเสมอ งานพิมพ์ชัดเจน"/>
    <x v="38"/>
    <s v="ขอผสม25/75"/>
    <s v="ผสม"/>
    <n v="175"/>
    <s v="ใบ"/>
    <n v="1170"/>
    <s v="ใบ"/>
    <d v="2564-02-10T00:00:00"/>
    <d v="2564-02-17T00:00:00"/>
    <d v="2564-02-12T00:00:00"/>
    <s v="PASS"/>
    <d v="2564-02-16T00:00:00"/>
    <m/>
    <m/>
    <m/>
    <m/>
    <s v="PASS"/>
    <d v="2564-02-17T00:00:00"/>
    <s v="PASS"/>
    <d v="2564-02-17T00:00:00"/>
    <m/>
    <m/>
    <s v="ผสม ปรึกษาฝ่ายขายแล้ว"/>
    <x v="1"/>
    <n v="-3"/>
  </r>
  <r>
    <x v="1"/>
    <d v="2564-02-13T00:00:00"/>
    <s v="ชุติกาญจน์"/>
    <s v="ตัดเย็บ"/>
    <s v="PD3พิมพ์"/>
    <s v="คุณภานุมาส"/>
    <n v="640042"/>
    <n v="935"/>
    <s v="บริษัทซันฟีดจำกัด"/>
    <s v="FWBWT203780P"/>
    <s v="PD46402136"/>
    <x v="2"/>
    <s v="80+"/>
    <x v="39"/>
    <s v="รอดูน้ำหนักใบ"/>
    <s v="รอ"/>
    <n v="2495"/>
    <s v="ใบ"/>
    <n v="2495"/>
    <s v="ใบ"/>
    <d v="2564-02-13T00:00:00"/>
    <d v="2564-02-20T00:00:00"/>
    <d v="2564-02-15T00:00:00"/>
    <s v="PASS"/>
    <d v="2564-02-22T00:00:00"/>
    <m/>
    <m/>
    <m/>
    <m/>
    <s v="PASS"/>
    <d v="2564-02-23T00:00:00"/>
    <s v="PASS"/>
    <d v="2564-02-23T00:00:00"/>
    <m/>
    <m/>
    <s v="ให้ทยอยผสม"/>
    <x v="1"/>
    <n v="1"/>
  </r>
  <r>
    <x v="1"/>
    <d v="2564-02-15T00:00:00"/>
    <s v="ชุติกาญจน์"/>
    <s v="ตัดเย็บ"/>
    <s v="PD3พิมพ์"/>
    <s v="คุณภานุมาส"/>
    <n v="640043"/>
    <s v="915พี"/>
    <s v="บริษัทซันฟีดจำกัด"/>
    <s v="FWBWT2039102PLM"/>
    <s v="PD464021523"/>
    <x v="0"/>
    <s v="สีลงเต็มสม่ำเสมอ งานพิมพ์ชัดเจน"/>
    <x v="40"/>
    <s v="ขอผสม3/1"/>
    <s v="ผสม"/>
    <n v="500"/>
    <s v="ใบ"/>
    <n v="1412"/>
    <s v="ใบ"/>
    <d v="2564-02-15T00:00:00"/>
    <d v="2564-02-22T00:00:00"/>
    <d v="2564-02-17T00:00:00"/>
    <s v="PASS"/>
    <d v="2564-02-16T00:00:00"/>
    <m/>
    <m/>
    <m/>
    <m/>
    <s v="PASS"/>
    <d v="2564-02-17T00:00:00"/>
    <s v="PASS"/>
    <d v="2564-02-17T00:00:00"/>
    <m/>
    <m/>
    <s v="ผสม ปรึกษาฝ่ายขายแล้ว"/>
    <x v="1"/>
    <n v="-9"/>
  </r>
  <r>
    <x v="1"/>
    <d v="2564-02-15T00:00:00"/>
    <s v="ชุติกาญจน์"/>
    <s v="ตัดเย็บ"/>
    <s v="PD3พิมพ์"/>
    <s v="คุณภานุมาส"/>
    <n v="640044"/>
    <s v="ซันฟัด935"/>
    <s v="บริษัทซันฟีดจำกัด"/>
    <s v="FWBWT203780P"/>
    <s v="PD464021526"/>
    <x v="2"/>
    <s v="สีลงเต็มสม่ำเสมอ งานพิมพ์ชัดเจน"/>
    <x v="41"/>
    <s v="ขอผสม25/75"/>
    <s v="ผสม"/>
    <n v="300"/>
    <s v="ใบ"/>
    <n v="2516"/>
    <s v="ใบ"/>
    <d v="2564-02-15T00:00:00"/>
    <d v="2564-02-22T00:00:00"/>
    <d v="2564-02-17T00:00:00"/>
    <s v="PASS"/>
    <d v="2564-02-22T00:00:00"/>
    <m/>
    <m/>
    <m/>
    <m/>
    <s v="PASS"/>
    <d v="2564-02-23T00:00:00"/>
    <s v="PASS"/>
    <d v="2564-02-23T00:00:00"/>
    <m/>
    <m/>
    <s v="ผสม ปรึกษาฝ่ายขายแล้ว"/>
    <x v="1"/>
    <n v="-3"/>
  </r>
  <r>
    <x v="1"/>
    <d v="2564-02-15T00:00:00"/>
    <s v="ชุติกาญจน์"/>
    <s v="ตัดเย็บ"/>
    <s v="PD3พิมพ์"/>
    <s v="คุณภานุมาส"/>
    <n v="640045"/>
    <s v="Blue For Refine Sugar"/>
    <s v="บริษํทน้ำตาลสุโขทัยจำกัด"/>
    <s v="FWBWT2337130P"/>
    <s v="PD464021528"/>
    <x v="5"/>
    <s v="สีลงเต็มสม่ำเสมอ งานพิมพ์ชัดเจน"/>
    <x v="42"/>
    <s v="ขอผสม3/1"/>
    <s v="ผสม"/>
    <n v="300"/>
    <s v="ใบ"/>
    <n v="1498"/>
    <s v="ใบ"/>
    <d v="2564-02-15T00:00:00"/>
    <d v="2564-02-22T00:00:00"/>
    <d v="2564-02-17T00:00:00"/>
    <s v="PASS"/>
    <d v="2564-02-22T00:00:00"/>
    <m/>
    <m/>
    <m/>
    <m/>
    <s v="PASS"/>
    <d v="2564-02-23T00:00:00"/>
    <s v="PASS"/>
    <d v="2564-02-23T00:00:00"/>
    <m/>
    <m/>
    <s v="ผสม 3/1"/>
    <x v="1"/>
    <n v="-3"/>
  </r>
  <r>
    <x v="1"/>
    <d v="2564-02-17T00:00:00"/>
    <s v="ชุติกาญจน์"/>
    <s v="ตัดเย็บ"/>
    <s v="PD3พิมพ์"/>
    <s v="คุณภานุมาส"/>
    <n v="640046"/>
    <s v="WB/OC เบทาโกร203"/>
    <s v="บริษัทเบทาโกรจำกัดมหาชน"/>
    <s v="FWBWT2039102PLM"/>
    <s v="PD464021722"/>
    <x v="0"/>
    <s v="สีลงเต็มสม่ำเสมอ ไม่มีรอยเปื้อน"/>
    <x v="43"/>
    <s v="ส่งลบสี"/>
    <s v="ลบสี"/>
    <n v="600"/>
    <s v="ใบ"/>
    <n v="1416"/>
    <s v="ใบ"/>
    <d v="2564-02-17T00:00:00"/>
    <d v="2564-02-24T00:00:00"/>
    <d v="2564-02-19T00:00:00"/>
    <s v="PASS"/>
    <d v="2564-02-22T00:00:00"/>
    <m/>
    <m/>
    <m/>
    <m/>
    <s v="PASS"/>
    <d v="2564-02-23T00:00:00"/>
    <s v="PASS"/>
    <d v="2564-02-23T00:00:00"/>
    <m/>
    <m/>
    <s v="ลบสี"/>
    <x v="2"/>
    <n v="-3"/>
  </r>
  <r>
    <x v="1"/>
    <d v="2564-02-17T00:00:00"/>
    <s v="ชุติกาญจน์"/>
    <s v="ตัดเย็บ"/>
    <s v="PD3พิมพ์"/>
    <s v="คุณภานุมาส"/>
    <n v="640047"/>
    <s v="เบทาโกร211"/>
    <s v="บริษัทเบทาโกรจำกัดมหาชน"/>
    <s v="FWBWT203984P"/>
    <s v="PD464021713"/>
    <x v="0"/>
    <s v="สีลงเต็มสม่ำเสมอ งานพิมพ์ชัดเจน"/>
    <x v="44"/>
    <s v="ขอผสม"/>
    <s v="ผสม"/>
    <n v="1625"/>
    <s v="ใบ"/>
    <m/>
    <m/>
    <d v="2564-02-17T00:00:00"/>
    <d v="2564-02-24T00:00:00"/>
    <d v="2564-02-19T00:00:00"/>
    <s v="PASS"/>
    <d v="2564-02-22T00:00:00"/>
    <m/>
    <m/>
    <m/>
    <m/>
    <s v="PASS"/>
    <d v="2564-02-23T00:00:00"/>
    <s v="PASS"/>
    <d v="2564-02-23T00:00:00"/>
    <m/>
    <m/>
    <s v="ส่งให้ลูกค้าโดยไม่ลบ"/>
    <x v="1"/>
    <n v="-3"/>
  </r>
  <r>
    <x v="1"/>
    <d v="2564-02-18T00:00:00"/>
    <s v="ชุติกาญจน์"/>
    <s v="ตัดเย็บ"/>
    <s v="PD3พิมพ์"/>
    <s v="คุณภานุมาส"/>
    <n v="640048"/>
    <s v="WB/OC เบทาโกร203"/>
    <s v="บริษัทเบทาโกรจำกัดมหาชน"/>
    <s v="FWBWT2039102PL"/>
    <s v="PD464021825"/>
    <x v="0"/>
    <s v="สีลงเต็มสม่ำเสมอ ไม่มีรอยเปื้อน"/>
    <x v="45"/>
    <s v="ส่งลบสี"/>
    <s v="ลบสี"/>
    <n v="600"/>
    <s v="ใบ"/>
    <m/>
    <m/>
    <d v="2564-02-18T00:00:00"/>
    <d v="2564-02-25T00:00:00"/>
    <d v="2564-02-20T00:00:00"/>
    <s v="PASS"/>
    <d v="2564-02-22T00:00:00"/>
    <m/>
    <m/>
    <m/>
    <m/>
    <s v="PASS"/>
    <d v="2564-02-23T00:00:00"/>
    <s v="PASS"/>
    <d v="2564-02-23T00:00:00"/>
    <m/>
    <m/>
    <s v="คัดแยก ลบสี"/>
    <x v="2"/>
    <n v="-2"/>
  </r>
  <r>
    <x v="1"/>
    <d v="2564-02-18T00:00:00"/>
    <s v="ชุติกาญจน์"/>
    <s v="ตัดเย็บ"/>
    <s v="PD3พิมพ์"/>
    <s v="คุณภานุมาส"/>
    <n v="640049"/>
    <s v="WB/OC เบทาโกร307"/>
    <s v="บริษัทเบทาโกรจำกัดมหาชน"/>
    <s v="FWBWT203797PL"/>
    <s v="PD464021823"/>
    <x v="0"/>
    <s v="สีลงเต็มสม่ำเสมอ ไม่มีรอยเปื้อน"/>
    <x v="46"/>
    <s v="ส่งลบสี"/>
    <s v="ลบสี"/>
    <n v="350"/>
    <s v="ใบ"/>
    <m/>
    <m/>
    <d v="2564-02-18T00:00:00"/>
    <d v="2564-02-25T00:00:00"/>
    <d v="2564-02-20T00:00:00"/>
    <s v="PASS"/>
    <d v="2564-02-23T00:00:00"/>
    <m/>
    <m/>
    <m/>
    <m/>
    <s v="PASS"/>
    <d v="2564-02-23T00:00:00"/>
    <s v="PASS"/>
    <d v="2564-02-23T00:00:00"/>
    <m/>
    <m/>
    <s v="ลบสี"/>
    <x v="2"/>
    <n v="-3"/>
  </r>
  <r>
    <x v="1"/>
    <d v="2564-02-19T00:00:00"/>
    <s v="ชุติกาญจน์"/>
    <s v="ตัดเย็บ"/>
    <s v="PD3พิมพ์"/>
    <s v="คุณภานุมาส"/>
    <n v="640050"/>
    <s v="ผึ้งเหลือง"/>
    <s v="บริษัทเพรซิเดนท์ฟลาวมิลล์"/>
    <s v="FWBWT193060P"/>
    <s v="PD464021905"/>
    <x v="3"/>
    <s v="สีลงเต็มสม่ำเสมอ งานพิมพ์ชัดเจน"/>
    <x v="47"/>
    <s v="ขอผสม25/75"/>
    <s v="ผสม"/>
    <n v="1600"/>
    <s v="ใบ"/>
    <m/>
    <m/>
    <d v="2564-02-19T00:00:00"/>
    <d v="2564-02-26T00:00:00"/>
    <d v="2564-02-21T00:00:00"/>
    <s v="PASS"/>
    <d v="2564-02-22T00:00:00"/>
    <m/>
    <m/>
    <m/>
    <m/>
    <s v="PASS"/>
    <d v="2564-02-23T00:00:00"/>
    <s v="PASS"/>
    <d v="2564-02-23T00:00:00"/>
    <m/>
    <m/>
    <s v="ปรึกษาฝ่ายขาย ผสม 3/1"/>
    <x v="1"/>
    <n v="-3"/>
  </r>
  <r>
    <x v="1"/>
    <d v="2564-02-19T00:00:00"/>
    <s v="ชุติกาญจน์"/>
    <s v="ตัดเย็บ"/>
    <s v="PD3พิมพ์"/>
    <s v="คุณภานุมาส"/>
    <n v="640051"/>
    <s v="WB/OCเบทาโกร405 30kgSK"/>
    <s v="บริษัทเบทาโกรจำกัดมหาชน"/>
    <s v="FWBWT203780P"/>
    <s v="PD464021909"/>
    <x v="5"/>
    <s v="สีลงเต็มสม่ำเสมอ ไม่มีรอยเปื้อน"/>
    <x v="48"/>
    <s v="ส่งลบสี"/>
    <s v="ลบสี"/>
    <n v="4875"/>
    <s v="ใบ"/>
    <m/>
    <m/>
    <d v="2564-02-19T00:00:00"/>
    <d v="2564-02-26T00:00:00"/>
    <d v="2564-02-21T00:00:00"/>
    <s v="PASS"/>
    <d v="2564-02-23T00:00:00"/>
    <m/>
    <m/>
    <m/>
    <m/>
    <s v="PASS"/>
    <d v="2564-02-23T00:00:00"/>
    <s v="PASS"/>
    <d v="2564-02-23T00:00:00"/>
    <m/>
    <m/>
    <s v="ปรึกษา MK คัดแยกไรๆ เอาไปเข้มลบสี"/>
    <x v="2"/>
    <n v="-3"/>
  </r>
  <r>
    <x v="1"/>
    <d v="2564-02-19T00:00:00"/>
    <s v="ชุติกาญจน์"/>
    <s v="ตัดเย็บ"/>
    <s v="PD3พิมพ์"/>
    <s v="คุณภานุมาส"/>
    <n v="640052"/>
    <s v="VC100"/>
    <s v="บริษัทวีซีเอฟจำกัด"/>
    <s v="FWBWT2037100PL"/>
    <s v="PD464021918"/>
    <x v="4"/>
    <s v="สีลงเต็มสม่ำเสมอ ไม่มีรอยเปื้อน"/>
    <x v="49"/>
    <s v="ส่งลบสี"/>
    <s v="ลบสี"/>
    <n v="1895"/>
    <s v="ใบ"/>
    <m/>
    <m/>
    <d v="2564-02-19T00:00:00"/>
    <d v="2564-02-26T00:00:00"/>
    <d v="2564-02-21T00:00:00"/>
    <s v="PASS"/>
    <d v="2564-02-23T00:00:00"/>
    <m/>
    <m/>
    <m/>
    <m/>
    <s v="PASS"/>
    <d v="2564-02-23T00:00:00"/>
    <s v="PASS"/>
    <d v="2564-02-23T00:00:00"/>
    <m/>
    <m/>
    <s v="ลบสี"/>
    <x v="2"/>
    <n v="-4"/>
  </r>
  <r>
    <x v="1"/>
    <d v="2564-02-20T00:00:00"/>
    <s v="ชุติกาญจน์"/>
    <s v="ตัดเย็บ"/>
    <s v="PD3พิมพ์"/>
    <s v="คุณภานุมาส"/>
    <n v="640053"/>
    <s v="WB/OCบาลานล์945SK"/>
    <s v="บริษัทเบทาโกรจำกัดมหาชน"/>
    <s v="FWBWT203797PL"/>
    <s v="PD464022021"/>
    <x v="5"/>
    <s v="สีลงเต็มสม่ำเสมอ งานพิมพ์ชัดเจน"/>
    <x v="50"/>
    <s v="คัดแยก"/>
    <s v="คัดแยก"/>
    <n v="166"/>
    <s v="ใบ"/>
    <n v="1498"/>
    <s v="ใบ"/>
    <d v="2564-02-20T00:00:00"/>
    <d v="2564-02-27T00:00:00"/>
    <d v="2564-02-22T00:00:00"/>
    <s v="PASS"/>
    <d v="2564-02-23T00:00:00"/>
    <m/>
    <m/>
    <m/>
    <m/>
    <s v="PASS"/>
    <d v="2564-02-23T00:00:00"/>
    <s v="PASS"/>
    <d v="2564-02-23T00:00:00"/>
    <m/>
    <m/>
    <s v="ลดเกรด"/>
    <x v="0"/>
    <n v="-7"/>
  </r>
  <r>
    <x v="1"/>
    <d v="2564-02-20T00:00:00"/>
    <s v="ชุติกาญจน์"/>
    <s v="ตัดเย็บ"/>
    <s v="PD3พิมพ์"/>
    <s v="คุณภานุมาส"/>
    <n v="640054"/>
    <s v="WB/OCเบทาโกร204 SK"/>
    <s v="บริษัทเบทาโกรจำกัดมหาชน"/>
    <s v="FWBWT2038100PL"/>
    <s v="PD464022014"/>
    <x v="5"/>
    <s v="สีลงเต็มสม่ำเสมอ ไม่มีรอยเปื้อน"/>
    <x v="51"/>
    <s v="ส่งลบสี"/>
    <s v="ลบสี"/>
    <n v="5525"/>
    <s v="ใบ"/>
    <m/>
    <m/>
    <d v="2564-02-20T00:00:00"/>
    <d v="2564-02-27T00:00:00"/>
    <d v="2564-02-22T00:00:00"/>
    <s v="PASS"/>
    <d v="2564-02-23T00:00:00"/>
    <m/>
    <m/>
    <m/>
    <m/>
    <s v="PASS"/>
    <d v="2564-02-23T00:00:00"/>
    <s v="PASS"/>
    <d v="2564-02-23T00:00:00"/>
    <m/>
    <m/>
    <s v="ลบสี ปรึกษา MK คัดแยกไรๆ เอาไปเข้มลบสี"/>
    <x v="2"/>
    <n v="-8"/>
  </r>
  <r>
    <x v="1"/>
    <d v="2564-02-20T00:00:00"/>
    <s v="ชุติกาญจน์"/>
    <s v="ตัดเย็บ"/>
    <s v="PD3พิมพ์"/>
    <s v="คุณภานุมาส"/>
    <n v="640055"/>
    <s v="SPM190"/>
    <s v="บริษัทเอสพีเอ็มอาหารสัตร์จำกัด"/>
    <s v="FWBWT203880P"/>
    <s v="PD464022024"/>
    <x v="4"/>
    <s v="สีลงเต็มสม่ำเสมอ งานพิมพ์ชัดเจน"/>
    <x v="52"/>
    <s v="ขอผสม3/1"/>
    <s v="ผสม"/>
    <n v="250"/>
    <s v="ใบ"/>
    <n v="1465"/>
    <s v="ใบ"/>
    <d v="2564-02-20T00:00:00"/>
    <d v="2564-02-27T00:00:00"/>
    <d v="2564-02-22T00:00:00"/>
    <s v="PASS"/>
    <d v="2564-02-23T00:00:00"/>
    <m/>
    <m/>
    <m/>
    <m/>
    <s v="PASS"/>
    <d v="2564-02-23T00:00:00"/>
    <s v="PASS"/>
    <d v="2564-02-23T00:00:00"/>
    <m/>
    <m/>
    <s v="ผสม 3/1"/>
    <x v="1"/>
    <n v="-10"/>
  </r>
  <r>
    <x v="1"/>
    <d v="2564-02-22T00:00:00"/>
    <s v="อารีย์พร"/>
    <s v="ตัดเย็บ"/>
    <s v="PD3พิมพ์"/>
    <s v="คุณภานุมาส"/>
    <n v="640056"/>
    <s v="บาลานส์ 915"/>
    <s v="บริษัทเบทาโกรจำกัดมหาชน"/>
    <s v="FWBWT203984P"/>
    <s v="PD464020017"/>
    <x v="0"/>
    <s v="สีลงเต็มสม่ำเสมอ งานพิมพ์ชัดเจน"/>
    <x v="53"/>
    <s v="ส่งแต้ม"/>
    <s v="แต้ม"/>
    <n v="914"/>
    <s v="ใบ"/>
    <m/>
    <m/>
    <d v="2564-02-22T00:00:00"/>
    <d v="2564-02-29T00:00:00"/>
    <d v="2564-02-24T00:00:00"/>
    <s v="PASS"/>
    <d v="2564-02-26T00:00:00"/>
    <m/>
    <m/>
    <m/>
    <m/>
    <s v="PASS"/>
    <d v="2564-02-27T00:00:00"/>
    <s v="PASS"/>
    <d v="2564-02-27T00:00:00"/>
    <m/>
    <m/>
    <s v="ส่งแต้ม"/>
    <x v="2"/>
    <n v="-7"/>
  </r>
  <r>
    <x v="1"/>
    <d v="2564-02-22T00:00:00"/>
    <s v="อารีย์พร"/>
    <s v="ตัดเย็บ"/>
    <s v="PD3พิมพ์"/>
    <s v="คุณภานุมาส"/>
    <n v="640057"/>
    <s v="ซันฟีด 915พี"/>
    <s v="บริษัทซันฟีดจำกัด"/>
    <s v="FWBWT2039102PLM"/>
    <s v="PD464022223"/>
    <x v="0"/>
    <s v="สีลงเต็มสม่ำเสมอ งานพิมพ์ชัดเจน"/>
    <x v="54"/>
    <s v="ขอผสม25/75"/>
    <s v="ผสม"/>
    <n v="700"/>
    <s v="ใบ"/>
    <m/>
    <m/>
    <d v="2564-02-22T00:00:00"/>
    <d v="2564-02-29T00:00:00"/>
    <d v="2564-02-24T00:00:00"/>
    <s v="PASS"/>
    <d v="2564-02-26T00:00:00"/>
    <m/>
    <m/>
    <m/>
    <m/>
    <s v="PASS"/>
    <d v="2564-02-27T00:00:00"/>
    <s v="PASS"/>
    <d v="2564-02-27T00:00:00"/>
    <m/>
    <m/>
    <s v="ผสมส่งลูกค้า"/>
    <x v="1"/>
    <n v="-10"/>
  </r>
  <r>
    <x v="1"/>
    <d v="2564-02-23T00:00:00"/>
    <s v="อารีย์พร"/>
    <s v="ตัดเย็บ"/>
    <s v="PD3พิมพ์"/>
    <s v="คุณภานุมาส"/>
    <n v="640058"/>
    <s v="WB/OCบาลานล์945M30kg"/>
    <s v="บริษัทเบทาโกรจำกัดมหาชน"/>
    <s v="FWBWT2038100PL"/>
    <s v="PD464022328"/>
    <x v="5"/>
    <s v="สีลงเต็มสม่ำเสมอ ไม่มีรอยเปื้อน"/>
    <x v="55"/>
    <s v="ส่งลบสี"/>
    <s v="ลบสี"/>
    <n v="265"/>
    <s v="ใบ"/>
    <n v="1445"/>
    <s v="ใบ"/>
    <d v="2564-02-23T00:00:00"/>
    <d v="2564-03-01T00:00:00"/>
    <d v="2564-02-25T00:00:00"/>
    <s v="PASS"/>
    <d v="2564-02-26T00:00:00"/>
    <m/>
    <m/>
    <m/>
    <m/>
    <s v="PASS"/>
    <d v="2564-02-27T00:00:00"/>
    <s v="PASS"/>
    <d v="2564-02-27T00:00:00"/>
    <m/>
    <m/>
    <s v="ส่งลบ"/>
    <x v="2"/>
    <n v="-4"/>
  </r>
  <r>
    <x v="1"/>
    <d v="2564-02-24T00:00:00"/>
    <s v="อารีย์พร"/>
    <s v="ตัดเย็บ"/>
    <s v="PD3พิมพ์"/>
    <s v="คุณภานุมาส"/>
    <n v="640059"/>
    <s v="WB/OCบาลานล์945M30kg"/>
    <s v="บริษัทเบทาโกรจำกัดมหาชน"/>
    <s v="FWBWT2038100PL"/>
    <s v="PD464022328"/>
    <x v="5"/>
    <s v="สีลงเต็มสม่ำเสมอ งานพิมพ์ชัดเจน"/>
    <x v="56"/>
    <s v="ส่งแต้ม"/>
    <s v="แต้ม"/>
    <n v="200"/>
    <s v="ใบ"/>
    <m/>
    <m/>
    <d v="2564-02-24T00:00:00"/>
    <d v="2564-03-02T00:00:00"/>
    <d v="2564-02-26T00:00:00"/>
    <s v="PASS"/>
    <d v="2564-02-26T00:00:00"/>
    <m/>
    <m/>
    <m/>
    <m/>
    <s v="PASS"/>
    <d v="2564-02-27T00:00:00"/>
    <s v="PASS"/>
    <d v="2564-02-27T00:00:00"/>
    <m/>
    <m/>
    <s v="ส่งแต้ม"/>
    <x v="2"/>
    <n v="-6"/>
  </r>
  <r>
    <x v="1"/>
    <d v="2564-02-26T00:00:00"/>
    <s v="อารีย์พร"/>
    <s v="ตัดเย็บ"/>
    <s v="PD2ทอ"/>
    <s v="คุณภัสสภร"/>
    <n v="640060"/>
    <s v="ผ้าขาวหนองบัว"/>
    <s v="บริษัทหนองบัวฟีดมิลล์"/>
    <s v="FWBWT213869P"/>
    <s v="PD464022614"/>
    <x v="7"/>
    <s v="เป็นลายทอขัดสานเรียบสม่ำเสมอ"/>
    <x v="57"/>
    <s v="ดึงออก 400 ใบ เหลือ 600 ใบนำไปสวมถุง"/>
    <s v="นำไปสวมถุงใน"/>
    <n v="1000"/>
    <s v="ใบ"/>
    <m/>
    <m/>
    <d v="2564-02-26T00:00:00"/>
    <d v="2564-03-04T00:00:00"/>
    <d v="2564-02-28T00:00:00"/>
    <s v="PASS"/>
    <d v="2564-03-11T00:00:00"/>
    <m/>
    <m/>
    <m/>
    <m/>
    <s v="PASS"/>
    <d v="2564-03-12T00:00:00"/>
    <s v="PASS"/>
    <d v="2564-03-12T00:00:00"/>
    <m/>
    <m/>
    <s v="ดึงออก 400 ใบ อีก 600ใบ ปรึกษาฝ่ายขายให้เอาไปโดยไม่ต้องดึงออก"/>
    <x v="1"/>
    <n v="4"/>
  </r>
  <r>
    <x v="1"/>
    <d v="2564-02-27T00:00:00"/>
    <s v="อารีย์พร"/>
    <s v="ตัดเย็บ"/>
    <s v="PD3พิมพ์"/>
    <s v="คุณภานุมาส"/>
    <n v="640061"/>
    <s v="ซันฟีด 932"/>
    <s v="บริษัทซันฟีดจำกัด"/>
    <s v="FWBWT203882P"/>
    <s v="PD464022708"/>
    <x v="4"/>
    <s v="สีลงเต็มสม่ำเสมอ งานพิมพ์ชัดเจน"/>
    <x v="58"/>
    <s v="ขอผสม25/75"/>
    <s v="ผสม"/>
    <n v="700"/>
    <s v="ใบ"/>
    <m/>
    <m/>
    <d v="2564-02-27T00:00:00"/>
    <d v="2564-03-05T00:00:00"/>
    <d v="2564-02-29T00:00:00"/>
    <s v="PASS"/>
    <d v="2564-03-02T00:00:00"/>
    <m/>
    <m/>
    <m/>
    <m/>
    <s v="PASS"/>
    <d v="2564-03-02T00:00:00"/>
    <s v="PASS"/>
    <d v="2564-03-02T00:00:00"/>
    <m/>
    <m/>
    <s v="ผสม 25/75"/>
    <x v="1"/>
    <n v="-3"/>
  </r>
  <r>
    <x v="1"/>
    <d v="2564-02-27T00:00:00"/>
    <s v="ชุติกาญจน์"/>
    <s v="ตัดเย็บ"/>
    <s v="PD3พิมพ์"/>
    <s v="คุณภานุมาส"/>
    <n v="640062"/>
    <s v="ซันฟีด007"/>
    <s v="บริษัทซันฟีดจำกัด"/>
    <s v="FWBWT2038100PLM"/>
    <s v="PD464022717"/>
    <x v="4"/>
    <s v="สีลงเต็มสม่ำเสมอ งานพิมพ์ชัดเจน"/>
    <x v="59"/>
    <s v="ผสม3/1"/>
    <s v="ผสม"/>
    <n v="1300"/>
    <s v="ใบ"/>
    <m/>
    <m/>
    <d v="2564-02-27T00:00:00"/>
    <d v="2564-03-05T00:00:00"/>
    <d v="2564-02-29T00:00:00"/>
    <s v="PASS"/>
    <d v="2564-03-02T00:00:00"/>
    <m/>
    <m/>
    <m/>
    <m/>
    <s v="PASS"/>
    <d v="2564-03-02T00:00:00"/>
    <s v="PASS"/>
    <d v="2564-03-02T00:00:00"/>
    <m/>
    <m/>
    <s v="ผสม3/1"/>
    <x v="1"/>
    <n v="-3"/>
  </r>
  <r>
    <x v="1"/>
    <d v="2564-02-27T00:00:00"/>
    <s v="ชุติกาญจน์"/>
    <s v="ตัดเย็บ"/>
    <s v="PD3พิมพ์"/>
    <s v="คุณภานุมาส"/>
    <n v="640063"/>
    <s v="เพอเฟคค์913"/>
    <s v="บริษัทอินเทคค์ฟีดจำกัด"/>
    <s v="FWBWT2036100PLM"/>
    <s v="PD464022719"/>
    <x v="5"/>
    <s v="สีลงเต็มสม่ำเสมอ ไม่มีรอยเปื้อน"/>
    <x v="60"/>
    <s v="ผสม3/2"/>
    <s v="ผสม"/>
    <n v="174"/>
    <s v="ใบ"/>
    <m/>
    <m/>
    <d v="2564-02-27T00:00:00"/>
    <d v="2564-03-05T00:00:00"/>
    <d v="2564-02-29T00:00:00"/>
    <s v="PASS"/>
    <d v="2564-03-02T00:00:00"/>
    <m/>
    <m/>
    <m/>
    <m/>
    <s v="PASS"/>
    <d v="2564-03-02T00:00:00"/>
    <s v="PASS"/>
    <d v="2564-03-02T00:00:00"/>
    <m/>
    <m/>
    <s v="ผสม3/1"/>
    <x v="1"/>
    <n v="-6"/>
  </r>
  <r>
    <x v="2"/>
    <d v="2564-03-01T00:00:00"/>
    <s v="อารีย์พร"/>
    <s v="ตัดเย็บ"/>
    <s v="PD3พิมพ์"/>
    <s v="คุณภานุมาส"/>
    <n v="640064"/>
    <s v="ซันฟัด952เอ"/>
    <s v="บริษัทซันฟีดจำกัด"/>
    <s v="FWBWT2039102PLM"/>
    <s v="PD464030119"/>
    <x v="0"/>
    <s v="สีลงเต็มสม่ำเสมอ งานพิมพ์ชัดเจน"/>
    <x v="61"/>
    <s v="ขอผสม25/75"/>
    <s v="ผสม"/>
    <n v="2175"/>
    <s v="ใบ"/>
    <m/>
    <m/>
    <d v="2564-03-01T00:00:00"/>
    <d v="2564-03-08T00:00:00"/>
    <d v="2564-03-03T00:00:00"/>
    <s v="PASS"/>
    <d v="2564-03-02T00:00:00"/>
    <m/>
    <m/>
    <m/>
    <m/>
    <s v="PASS"/>
    <d v="2564-03-02T00:00:00"/>
    <s v="PASS"/>
    <d v="2564-03-02T00:00:00"/>
    <m/>
    <m/>
    <s v="ส่งแต้ม "/>
    <x v="2"/>
    <n v="-6"/>
  </r>
  <r>
    <x v="2"/>
    <d v="2564-03-01T00:00:00"/>
    <s v="ชุติกาญจน์"/>
    <s v="ตัดเย็บ"/>
    <s v="PD4ตัดเย็บ"/>
    <s v="คุณอุมาภรณ์"/>
    <n v="640065"/>
    <s v="บาลานส์ 911"/>
    <s v="บริษัทเบทาโกรจำกัดมหาชน"/>
    <s v="FWBWT203780P"/>
    <s v="PD464030115"/>
    <x v="8"/>
    <s v="ผ้าไม่โย้"/>
    <x v="62"/>
    <s v="ผสม3/1"/>
    <s v="ผสม"/>
    <n v="350"/>
    <s v="ใบ"/>
    <n v="2384"/>
    <s v="ใบ"/>
    <d v="2564-03-01T00:00:00"/>
    <d v="2564-03-08T00:00:00"/>
    <d v="2564-03-03T00:00:00"/>
    <s v="PASS"/>
    <d v="2564-03-11T00:00:00"/>
    <m/>
    <m/>
    <m/>
    <m/>
    <s v="PASS"/>
    <d v="2564-03-12T00:00:00"/>
    <s v="PASS"/>
    <d v="2564-03-12T00:00:00"/>
    <m/>
    <m/>
    <s v="ขอผสม 3/1"/>
    <x v="1"/>
    <n v="4"/>
  </r>
  <r>
    <x v="2"/>
    <d v="2564-03-01T00:00:00"/>
    <s v="ชุติกาญจน์"/>
    <s v="ตัดเย็บ"/>
    <s v="PD3พิมพ์"/>
    <s v="คุณภานุมาส"/>
    <n v="640066"/>
    <s v="ACCภาษาอังกฤษ-118"/>
    <s v="บริษัทเอเชี่ยนเคมิคัลจำกัด"/>
    <s v="FWBWT192670PLM"/>
    <s v="PD464030132"/>
    <x v="3"/>
    <s v="สีลงเต็มสม่ำเสมอ งานพิมพ์ชัดเจน"/>
    <x v="63"/>
    <s v="แต้มแล้วแซม"/>
    <s v="แต้มแล้วแซม"/>
    <n v="150"/>
    <s v="ใบ"/>
    <n v="2031"/>
    <s v="ใบ"/>
    <d v="2564-03-01T00:00:00"/>
    <d v="2564-03-08T00:00:00"/>
    <d v="2564-03-03T00:00:00"/>
    <s v="PASS"/>
    <d v="2564-03-03T00:00:00"/>
    <m/>
    <m/>
    <m/>
    <m/>
    <s v="PASS"/>
    <d v="2564-03-04T00:00:00"/>
    <s v="PASS"/>
    <d v="2564-03-04T00:00:00"/>
    <m/>
    <m/>
    <s v="แต้มสีส่ง"/>
    <x v="2"/>
    <n v="-5"/>
  </r>
  <r>
    <x v="2"/>
    <d v="2564-03-02T00:00:00"/>
    <s v="อารีย์พร"/>
    <s v="ตัดเย็บ"/>
    <s v="PD3พิมพ์"/>
    <s v="คุณภานุมาส"/>
    <n v="640067"/>
    <s v="เจ็ท 108"/>
    <s v="บริษัทวีซีเอฟจำกัด"/>
    <s v="FWBWT2037100PL"/>
    <s v="PD464020212"/>
    <x v="2"/>
    <s v="สีลงเต็มสม่ำเสมอ งานพิมพ์ชัดเจน"/>
    <x v="64"/>
    <s v="ผสม3/1"/>
    <s v="ผสม"/>
    <n v="400"/>
    <s v="ใบ"/>
    <n v="1505"/>
    <s v="ใบ"/>
    <d v="2564-03-02T00:00:00"/>
    <d v="2564-03-09T00:00:00"/>
    <d v="2564-03-04T00:00:00"/>
    <s v="PASS"/>
    <d v="2564-03-03T00:00:00"/>
    <m/>
    <m/>
    <m/>
    <m/>
    <s v="PASS"/>
    <d v="2564-03-04T00:00:00"/>
    <s v="PASS"/>
    <d v="2564-03-04T00:00:00"/>
    <m/>
    <m/>
    <s v="ผสมส่งลูกค้า"/>
    <x v="1"/>
    <n v="-6"/>
  </r>
  <r>
    <x v="2"/>
    <d v="2564-03-02T00:00:00"/>
    <s v="ชุติกาญจน์"/>
    <s v="ตัดเย็บ"/>
    <s v="PD3พิมพ์"/>
    <s v="คุณภานุมาส"/>
    <n v="640068"/>
    <s v="SPM170"/>
    <s v="บริษัทเอส พี เอ็ม อาหารสัตว์"/>
    <s v="FWBWT203880P"/>
    <s v="PD464030205"/>
    <x v="5"/>
    <s v="สีลงเต็มสม่ำเสมอ งานพิมพ์ชัดเจน"/>
    <x v="65"/>
    <s v="คัดแยก"/>
    <s v="คัดแยก"/>
    <n v="220"/>
    <s v="ใบ"/>
    <n v="1413"/>
    <s v="ใบ"/>
    <d v="2564-03-02T00:00:00"/>
    <d v="2564-03-09T00:00:00"/>
    <d v="2564-03-04T00:00:00"/>
    <s v="PASS"/>
    <d v="2564-03-04T00:00:00"/>
    <m/>
    <m/>
    <m/>
    <m/>
    <s v="PASS"/>
    <d v="2564-03-05T00:00:00"/>
    <s v="PASS"/>
    <d v="2564-03-05T00:00:00"/>
    <m/>
    <m/>
    <s v="ลดเกรด 220 ใบ"/>
    <x v="0"/>
    <n v="-5"/>
  </r>
  <r>
    <x v="2"/>
    <d v="2564-03-03T00:00:00"/>
    <s v="อารีย์พร"/>
    <s v="ตัดเย็บ"/>
    <s v="PD3พิมพ์"/>
    <s v="คุณภานุมาส"/>
    <n v="640069"/>
    <s v="ดอกไม้แดง"/>
    <s v="บริษัทเคอรี่ฟลาวมิลล์จำกัด"/>
    <s v="FWBWT193060P"/>
    <s v="PD464030315"/>
    <x v="3"/>
    <s v="สีลงเต็มสม่ำเสมอ งานพิมพ์ชัดเจน"/>
    <x v="66"/>
    <s v="ผสม3/1"/>
    <s v="ผสม"/>
    <n v="425"/>
    <s v="ใบ"/>
    <n v="2727"/>
    <s v="ใบ"/>
    <d v="2564-03-03T00:00:00"/>
    <d v="2564-03-10T00:00:00"/>
    <d v="2564-03-05T00:00:00"/>
    <s v="PASS"/>
    <d v="2564-03-11T00:00:00"/>
    <m/>
    <m/>
    <m/>
    <m/>
    <s v="PASS"/>
    <d v="2564-03-12T00:00:00"/>
    <s v="PASS"/>
    <d v="2564-03-12T00:00:00"/>
    <m/>
    <m/>
    <s v="ขอผสม 3/1"/>
    <x v="1"/>
    <n v="2"/>
  </r>
  <r>
    <x v="2"/>
    <d v="2564-03-03T00:00:00"/>
    <s v="อารีย์พร"/>
    <s v="ตัดเย็บ"/>
    <s v="PD3พิมพ์"/>
    <s v="คุณภานุมาส"/>
    <n v="640070"/>
    <s v="สไมล์991M"/>
    <s v="บริษัท เอเซีย อควาเซอร์วิสเซลจำกัด"/>
    <s v="FWBWT213797PL"/>
    <s v="PD464030416"/>
    <x v="2"/>
    <s v="สีลงเต็มสม่ำเสมอ งานพิมพ์ชัดเจน"/>
    <x v="67"/>
    <s v="ผสม3/1"/>
    <s v="ผสม"/>
    <n v="400"/>
    <s v="ใบ"/>
    <n v="1590"/>
    <s v="ใบ"/>
    <d v="2564-03-03T00:00:00"/>
    <d v="2564-03-10T00:00:00"/>
    <d v="2564-03-05T00:00:00"/>
    <s v="PASS"/>
    <d v="2564-03-11T00:00:00"/>
    <m/>
    <m/>
    <m/>
    <m/>
    <s v="PASS"/>
    <d v="2564-03-12T00:00:00"/>
    <s v="PASS"/>
    <d v="2564-03-12T00:00:00"/>
    <m/>
    <m/>
    <s v="ขอผสม 3/1"/>
    <x v="1"/>
    <n v="1"/>
  </r>
  <r>
    <x v="2"/>
    <d v="2564-03-03T00:00:00"/>
    <s v="อารีย์พร"/>
    <s v="ตัดเย็บ"/>
    <s v="PD3พิมพ์"/>
    <s v="คุณภานุมาส"/>
    <n v="640071"/>
    <s v="ซันฟีด 952 เอ"/>
    <s v="บริษัทซันฟีดจำกัด"/>
    <s v="FWBWT2039102PLM"/>
    <s v="PD464030317"/>
    <x v="0"/>
    <s v="สีลงเต็มสม่ำเสมอ งานพิมพ์ชัดเจน"/>
    <x v="68"/>
    <s v="คัดแยก"/>
    <s v="คัดแยก"/>
    <n v="135"/>
    <s v="ใบ"/>
    <n v="1400"/>
    <s v="ใบ"/>
    <d v="2564-03-03T00:00:00"/>
    <d v="2564-03-10T00:00:00"/>
    <d v="2564-03-05T00:00:00"/>
    <s v="PASS"/>
    <d v="2564-03-11T00:00:00"/>
    <m/>
    <m/>
    <m/>
    <m/>
    <s v="PASS"/>
    <d v="2564-03-12T00:00:00"/>
    <s v="PASS"/>
    <d v="2564-03-12T00:00:00"/>
    <m/>
    <m/>
    <s v="ลดเกรด 135 ใบ"/>
    <x v="0"/>
    <n v="0"/>
  </r>
  <r>
    <x v="2"/>
    <d v="2564-03-04T00:00:00"/>
    <s v="อารีย์พร"/>
    <s v="ตัดเย็บ"/>
    <s v="PD3พิมพ์"/>
    <s v="คุณภานุมาส"/>
    <n v="640072"/>
    <s v="ซันฟีดเบอร์ 21"/>
    <s v="บริษัทซันฟีดจำกัด"/>
    <s v="FWBWT203984P"/>
    <s v="PD464030518"/>
    <x v="0"/>
    <s v="สีลงเต็มสม่ำเสมอ งานพิมพ์ชัดเจน"/>
    <x v="69"/>
    <s v="ส่งแต้ม"/>
    <s v="แต้ม"/>
    <n v="990"/>
    <s v="ใบ"/>
    <m/>
    <m/>
    <d v="2564-03-04T00:00:00"/>
    <d v="2564-03-11T00:00:00"/>
    <d v="2564-03-06T00:00:00"/>
    <s v="PASS"/>
    <d v="2564-03-11T00:00:00"/>
    <m/>
    <m/>
    <m/>
    <m/>
    <s v="PASS"/>
    <d v="2564-03-12T00:00:00"/>
    <s v="PASS"/>
    <d v="2564-03-12T00:00:00"/>
    <m/>
    <m/>
    <s v="คัดแยก ส่งแต้ม"/>
    <x v="2"/>
    <n v="-1"/>
  </r>
  <r>
    <x v="2"/>
    <d v="2564-03-05T00:00:00"/>
    <s v="อารีย์พร"/>
    <s v="ตัดเย็บ"/>
    <s v="PD3พิมพ์"/>
    <s v="คุณภานุมาส"/>
    <n v="640073"/>
    <s v="น้ำตาลทรายขาวเกรด1"/>
    <s v="บริษัททิพย์สุโขทัยจำกัด"/>
    <s v="FWBWT2337130P"/>
    <s v="PD464030606"/>
    <x v="5"/>
    <s v="สีลงเต็มสม่ำเสมอ ไม่มีรอยเปื้อน"/>
    <x v="70"/>
    <s v="ผสม50/50"/>
    <s v="ผสม"/>
    <n v="4000"/>
    <s v="ใบ"/>
    <m/>
    <m/>
    <d v="2564-03-05T00:00:00"/>
    <d v="2564-03-12T00:00:00"/>
    <d v="2564-03-07T00:00:00"/>
    <s v="PASS"/>
    <d v="2564-03-11T00:00:00"/>
    <m/>
    <m/>
    <m/>
    <m/>
    <s v="PASS"/>
    <d v="2564-03-12T00:00:00"/>
    <s v="PASS"/>
    <d v="2564-03-12T00:00:00"/>
    <m/>
    <m/>
    <s v="ผสม 50/50"/>
    <x v="1"/>
    <n v="-1"/>
  </r>
  <r>
    <x v="2"/>
    <d v="2564-03-06T00:00:00"/>
    <s v="ชุติกาญจน์"/>
    <s v="ตัดเย็บ"/>
    <s v="PD3พิมพ์"/>
    <s v="คุณภานุมาส"/>
    <n v="640074"/>
    <s v="เพอเฟคค์ฟีด914"/>
    <s v="บริษัทอินเทคค์ฟีดจำกัด"/>
    <s v="FWBWT2036100PLM"/>
    <s v="PD464030609"/>
    <x v="5"/>
    <s v="สีลงเต็มสม่ำเสมอ ไม่มีรอยเปื้อน"/>
    <x v="71"/>
    <s v="ผสม3/1"/>
    <s v="ผสม"/>
    <n v="760"/>
    <s v="ใบ"/>
    <n v="1523"/>
    <s v="ใบ"/>
    <d v="2564-03-06T00:00:00"/>
    <d v="2564-03-13T00:00:00"/>
    <d v="2564-03-08T00:00:00"/>
    <s v="PASS"/>
    <d v="2564-03-11T00:00:00"/>
    <m/>
    <m/>
    <m/>
    <m/>
    <s v="PASS"/>
    <d v="2564-03-12T00:00:00"/>
    <s v="PASS"/>
    <d v="2564-03-12T00:00:00"/>
    <m/>
    <m/>
    <s v="ผสม 3/1"/>
    <x v="1"/>
    <n v="-4"/>
  </r>
  <r>
    <x v="2"/>
    <d v="2564-03-06T00:00:00"/>
    <s v="ชุติกาญจน์"/>
    <s v="ตัดเย็บ"/>
    <s v="PD3พิมพ์"/>
    <s v="คุณภานุมาส"/>
    <n v="640075"/>
    <s v="ซันฟีด932"/>
    <s v="บริษัทซันฟีดจำกัด"/>
    <s v="FWBWT203882P"/>
    <s v="PD464030619"/>
    <x v="4"/>
    <s v="สีลงเต็มสม่ำเสมอ งานพิมพ์ชัดเจน"/>
    <x v="72"/>
    <s v="ผสม3/1"/>
    <s v="ผสม"/>
    <n v="200"/>
    <s v="ใบ"/>
    <n v="2420"/>
    <s v="ใบ"/>
    <d v="2564-03-06T00:00:00"/>
    <d v="2564-03-13T00:00:00"/>
    <d v="2564-03-08T00:00:00"/>
    <s v="PASS"/>
    <d v="2564-03-11T00:00:00"/>
    <m/>
    <m/>
    <m/>
    <m/>
    <s v="PASS"/>
    <d v="2564-03-12T00:00:00"/>
    <s v="PASS"/>
    <d v="2564-03-12T00:00:00"/>
    <m/>
    <m/>
    <s v="ผสม 3/1"/>
    <x v="1"/>
    <n v="-4"/>
  </r>
  <r>
    <x v="2"/>
    <d v="2564-03-09T00:00:00"/>
    <s v="ชุติกาญจน์"/>
    <s v="ตัดเย็บ"/>
    <s v="PD3พิมพ์"/>
    <s v="คุณภานุมาส"/>
    <n v="640076"/>
    <s v="โมโม่4133"/>
    <s v="บริษัทเอสพีเอ็มอาหารสัตร์จำกัด"/>
    <s v="FWBWT2140108PLM"/>
    <s v="PD464030918"/>
    <x v="4"/>
    <s v="ผ้าเรียบด้านข้างไม่มีรอยพับ"/>
    <x v="73"/>
    <s v="แซม"/>
    <s v="แซม"/>
    <n v="100"/>
    <s v="ใบ"/>
    <n v="1355"/>
    <s v="ใบ"/>
    <d v="2564-03-09T00:00:00"/>
    <d v="2564-03-16T00:00:00"/>
    <d v="2564-03-11T00:00:00"/>
    <s v="PASS"/>
    <d v="2564-03-11T00:00:00"/>
    <m/>
    <m/>
    <m/>
    <m/>
    <s v="PASS"/>
    <d v="2564-03-12T00:00:00"/>
    <s v="PASS"/>
    <d v="2564-03-12T00:00:00"/>
    <m/>
    <m/>
    <s v="แซมห่างๆ"/>
    <x v="1"/>
    <n v="-8"/>
  </r>
  <r>
    <x v="2"/>
    <d v="2564-03-09T00:00:00"/>
    <s v="ชุติกาญจน์"/>
    <s v="ตัดเย็บ"/>
    <s v="PD3พิมพ์"/>
    <s v="คุณภานุมาส"/>
    <n v="640077"/>
    <s v="การ์เซียส์ฟิช411"/>
    <s v="บริษัทเอ็นบีดิสทรีบิวชั่นจำกัด"/>
    <s v="FWBWT2137100PL"/>
    <s v="PD464030923"/>
    <x v="2"/>
    <s v="สีลงเต็มสม่ำเสมอ งานพิมพ์ชัดเจน"/>
    <x v="74"/>
    <s v="ผสม3/1"/>
    <s v="ผสม"/>
    <n v="1100"/>
    <s v="ใบ"/>
    <m/>
    <m/>
    <d v="2564-03-09T00:00:00"/>
    <d v="2564-03-16T00:00:00"/>
    <d v="2564-03-11T00:00:00"/>
    <s v="PASS"/>
    <d v="2564-03-10T00:00:00"/>
    <m/>
    <m/>
    <m/>
    <m/>
    <s v="PASS"/>
    <d v="2564-03-12T00:00:00"/>
    <s v="PASS"/>
    <d v="2564-03-12T00:00:00"/>
    <m/>
    <m/>
    <s v="ผสม 3/1"/>
    <x v="1"/>
    <n v="-8"/>
  </r>
  <r>
    <x v="2"/>
    <d v="2564-03-09T00:00:00"/>
    <s v="ชุติกาญจน์"/>
    <s v="ตัดเย็บ"/>
    <s v="PD3พิมพ์"/>
    <s v="คุณภานุมาส"/>
    <n v="640078"/>
    <s v="Zhejiang UN"/>
    <s v="บริษัททีซียูเนียนอโกรเทคจำกัด"/>
    <s v="FWBWT2643150PL"/>
    <s v="PD464030927"/>
    <x v="0"/>
    <s v="สีลงเต็มสม่ำเสมอ ไม่มีรอยเปื้อน"/>
    <x v="75"/>
    <s v="คัดแยกส่งลบ"/>
    <s v="ลบสี"/>
    <n v="724"/>
    <s v="ใบ"/>
    <m/>
    <m/>
    <d v="2564-03-09T00:00:00"/>
    <d v="2564-03-16T00:00:00"/>
    <d v="2564-03-11T00:00:00"/>
    <s v="PASS"/>
    <d v="2564-03-10T00:00:00"/>
    <m/>
    <m/>
    <m/>
    <m/>
    <s v="PASS"/>
    <d v="2564-03-12T00:00:00"/>
    <s v="PASS"/>
    <d v="2564-03-12T00:00:00"/>
    <m/>
    <m/>
    <s v="คัดแยก ลบสี"/>
    <x v="1"/>
    <n v="-8"/>
  </r>
  <r>
    <x v="2"/>
    <d v="2564-03-12T00:00:00"/>
    <s v="อารีย์พร"/>
    <s v="ตัดเย็บ"/>
    <s v="PD3พิมพ์"/>
    <s v="คุณภานุมาส"/>
    <n v="640079"/>
    <s v="WB/OC บาลานล์ 955 SK"/>
    <s v="บริษัทเบทาโกรจำกัดมหาชน"/>
    <s v="FWBWT203797PL"/>
    <s v="PD464031224"/>
    <x v="5"/>
    <s v="สีลงเต็มสม่ำเสมอ ไม่มีรอยเปื้อน"/>
    <x v="76"/>
    <s v="คัดแยกส่งลบ"/>
    <s v="ลบสี"/>
    <n v="1750"/>
    <s v="ใบ"/>
    <m/>
    <m/>
    <d v="2564-03-12T00:00:00"/>
    <d v="2564-03-19T00:00:00"/>
    <d v="2564-03-14T00:00:00"/>
    <s v="PASS"/>
    <d v="2564-03-16T00:00:00"/>
    <m/>
    <m/>
    <m/>
    <m/>
    <s v="PASS"/>
    <d v="2564-03-16T00:00:00"/>
    <s v="PASS"/>
    <d v="2564-03-16T00:00:00"/>
    <m/>
    <m/>
    <s v="ส่งลบสี"/>
    <x v="2"/>
    <n v="-7"/>
  </r>
  <r>
    <x v="2"/>
    <d v="2564-03-12T00:00:00"/>
    <s v="อารีย์พร"/>
    <s v="ตัดเย็บ"/>
    <s v="PD3พิมพ์"/>
    <s v="คุณภานุมาส"/>
    <n v="640080"/>
    <s v="ซันฟีด 935"/>
    <s v="บริษัทซันฟีดจำกัด"/>
    <s v="FWBWT203780P"/>
    <s v="PD464031223"/>
    <x v="2"/>
    <s v="สีลงเต็มสม่ำเสมอ ไม่มีรอยเปื้อน"/>
    <x v="77"/>
    <s v="คัดแยกส่งลบ"/>
    <s v="ลบสี"/>
    <n v="475"/>
    <s v="ใบ"/>
    <m/>
    <m/>
    <d v="2564-03-12T00:00:00"/>
    <d v="2564-03-19T00:00:00"/>
    <d v="2564-03-14T00:00:00"/>
    <s v="PASS"/>
    <d v="2564-03-16T00:00:00"/>
    <m/>
    <m/>
    <m/>
    <m/>
    <s v="PASS"/>
    <d v="2564-03-16T00:00:00"/>
    <s v="PASS"/>
    <d v="2564-03-16T00:00:00"/>
    <m/>
    <m/>
    <s v="ส่งลบสี"/>
    <x v="2"/>
    <n v="-8"/>
  </r>
  <r>
    <x v="2"/>
    <d v="2564-03-13T00:00:00"/>
    <s v="ชุติกาญจน์"/>
    <s v="ตัดเย็บ"/>
    <s v="PD3พิมพ์"/>
    <s v="คุณภานุมาส"/>
    <n v="640081"/>
    <s v="WB/OC เบทาโกร302  30kg SK"/>
    <s v="บริษัทเบทาโกรจำกัดมหาชน"/>
    <s v="FWBWT203797PL"/>
    <s v="PD464031310"/>
    <x v="5"/>
    <s v="สีลงเต็มสม่ำเสมอ ไม่มีรอยเปื้อน"/>
    <x v="78"/>
    <s v="คัดแยกส่งลบ"/>
    <s v="ลบสี"/>
    <n v="3260"/>
    <s v="ใบ"/>
    <m/>
    <m/>
    <d v="2564-03-13T00:00:00"/>
    <d v="2564-03-20T00:00:00"/>
    <d v="2564-03-15T00:00:00"/>
    <s v="PASS"/>
    <d v="2564-03-19T00:00:00"/>
    <m/>
    <m/>
    <m/>
    <m/>
    <s v="PASS"/>
    <d v="2564-03-22T00:00:00"/>
    <s v="PASS"/>
    <d v="2564-03-22T00:00:00"/>
    <m/>
    <m/>
    <s v="ส่งลบสี"/>
    <x v="2"/>
    <n v="2"/>
  </r>
  <r>
    <x v="2"/>
    <d v="2564-03-13T00:00:00"/>
    <s v="ชุติกาญจน์"/>
    <s v="ตัดเย็บ"/>
    <s v="PD3พิมพ์"/>
    <s v="คุณภานุมาส"/>
    <n v="640082"/>
    <s v="WB/OC บาลานส์956 SK"/>
    <s v="บริษัทเบทาโกรจำกัดมหาชน"/>
    <s v="FWBWT203797PL"/>
    <s v="PD464031314"/>
    <x v="5"/>
    <s v="สีลงเต็มสม่ำเสมอ ไม่มีรอยเปื้อน"/>
    <x v="79"/>
    <s v="คัดแยกส่งลบ"/>
    <s v="ลบสี"/>
    <n v="375"/>
    <s v="ใบ"/>
    <m/>
    <m/>
    <d v="2564-03-13T00:00:00"/>
    <d v="2564-03-20T00:00:00"/>
    <d v="2564-03-15T00:00:00"/>
    <s v="PASS"/>
    <d v="2564-03-19T00:00:00"/>
    <m/>
    <m/>
    <m/>
    <m/>
    <s v="PASS"/>
    <d v="2564-03-22T00:00:00"/>
    <s v="PASS"/>
    <d v="2564-03-22T00:00:00"/>
    <m/>
    <m/>
    <s v="ส่งลบสี"/>
    <x v="2"/>
    <n v="-1"/>
  </r>
  <r>
    <x v="2"/>
    <d v="2564-03-16T00:00:00"/>
    <s v="อารีย์พร"/>
    <s v="ตัดเย็บ"/>
    <s v="PD3พิมพ์"/>
    <s v="คุณภานุมาส"/>
    <n v="640083"/>
    <s v=" บาลานส์ 951 B"/>
    <s v="บริษัทเบทาโกรจำกัดมหาชน"/>
    <s v="FWBWT203780P"/>
    <s v="PD464031607"/>
    <x v="1"/>
    <s v="สีลงเต็มสม่ำเสมอ งานพิมพ์ชัดเจน"/>
    <x v="80"/>
    <s v="คัดแยก"/>
    <s v="คัดแยก"/>
    <n v="80"/>
    <s v="ใบ"/>
    <m/>
    <m/>
    <d v="2564-03-16T00:00:00"/>
    <d v="2564-03-23T00:00:00"/>
    <d v="2564-03-18T00:00:00"/>
    <s v="PASS"/>
    <d v="2564-03-19T00:00:00"/>
    <m/>
    <m/>
    <m/>
    <m/>
    <s v="PASS"/>
    <d v="2564-03-22T00:00:00"/>
    <s v="PASS"/>
    <d v="2564-03-22T00:00:00"/>
    <m/>
    <m/>
    <s v="ลดเกรดB"/>
    <x v="0"/>
    <m/>
  </r>
  <r>
    <x v="2"/>
    <d v="2564-03-16T00:00:00"/>
    <s v="อารีย์พร"/>
    <s v="ตัดเย็บ"/>
    <s v="PD3พิมพ์"/>
    <s v="คุณภานุมาส"/>
    <n v="640084"/>
    <s v="SPM 190 GOAL"/>
    <s v="บริษัทเอพีเอ็ม อโกร จำกัด"/>
    <s v="FWBWT2038100PLM"/>
    <s v="PD464031618"/>
    <x v="4"/>
    <s v="สีลงเต็มสม่ำเสมอ ไม่มีรอยเปื้อน"/>
    <x v="81"/>
    <s v="ลบสี"/>
    <s v="ลบสี"/>
    <n v="850"/>
    <s v="ใบ"/>
    <m/>
    <m/>
    <d v="2564-03-16T00:00:00"/>
    <d v="2564-03-23T00:00:00"/>
    <d v="2564-03-18T00:00:00"/>
    <s v="PASS"/>
    <d v="2564-03-22T00:00:00"/>
    <m/>
    <m/>
    <m/>
    <m/>
    <s v="PASS"/>
    <d v="2564-03-24T00:00:00"/>
    <s v="PASS"/>
    <d v="2564-03-24T00:00:00"/>
    <m/>
    <m/>
    <s v="ลบสี"/>
    <x v="2"/>
    <n v="-1"/>
  </r>
  <r>
    <x v="2"/>
    <d v="2564-03-17T00:00:00"/>
    <s v="อารีย์พร"/>
    <s v="ตัดเย็บ"/>
    <s v="PD3พิมพ์"/>
    <s v="คุณภานุมาส"/>
    <n v="640085"/>
    <s v="TRJ"/>
    <s v="บริษัทไทยร่วมใจน้ำมันพืช จำกัด"/>
    <s v="FWBWT2841120P"/>
    <s v="PD464031711"/>
    <x v="2"/>
    <s v="สีลงเต็มสม่ำเสมอ งานพิมพ์ชัดเจน"/>
    <x v="82"/>
    <s v="ส่งแต้ม"/>
    <s v="แต้ม"/>
    <n v="775"/>
    <s v="ใบ"/>
    <m/>
    <m/>
    <d v="2564-03-17T00:00:00"/>
    <d v="2564-03-24T00:00:00"/>
    <d v="2564-03-19T00:00:00"/>
    <s v="PASS"/>
    <d v="2564-04-01T00:00:00"/>
    <m/>
    <m/>
    <m/>
    <m/>
    <s v="PASS"/>
    <d v="2564-04-01T00:00:00"/>
    <s v="PASS"/>
    <d v="2564-04-01T00:00:00"/>
    <m/>
    <m/>
    <s v="แต้ม"/>
    <x v="2"/>
    <n v="7"/>
  </r>
  <r>
    <x v="2"/>
    <d v="2564-03-18T00:00:00"/>
    <s v="ชุติกาญจน์"/>
    <s v="ตัดเย็บ"/>
    <s v="PD3พิมพ์"/>
    <s v="คุณภานุมาส"/>
    <n v="640086"/>
    <s v="WB/OC เบทาโกร203 30kg SK"/>
    <s v="บริษัทเบทาโกรจำกัดมหาชน"/>
    <s v="FWBWT2039102PL"/>
    <s v="PD464031805"/>
    <x v="0"/>
    <s v="สีลงเต็มสม่ำเสมอ งานพิมพ์ชัดเจน"/>
    <x v="83"/>
    <s v="คัดแยก"/>
    <s v="คัดแยก"/>
    <n v="160"/>
    <s v="ใบ"/>
    <n v="1400"/>
    <s v="ใบ"/>
    <d v="2564-03-18T00:00:00"/>
    <d v="2564-03-25T00:00:00"/>
    <d v="2564-03-20T00:00:00"/>
    <s v="PASS"/>
    <d v="2564-03-19T00:00:00"/>
    <m/>
    <m/>
    <m/>
    <m/>
    <s v="PASS"/>
    <d v="2564-03-22T00:00:00"/>
    <s v="PASS"/>
    <d v="2564-03-22T00:00:00"/>
    <m/>
    <m/>
    <s v="ลดเกรดB"/>
    <x v="0"/>
    <n v="-3"/>
  </r>
  <r>
    <x v="2"/>
    <d v="2564-03-18T00:00:00"/>
    <s v="อารีย์พร"/>
    <s v="ตัดเย็บ"/>
    <s v="PD3พิมพ์"/>
    <s v="คุณภานุมาส"/>
    <n v="640087"/>
    <s v="ช้างจีนข้าวหอมชั้นดี(น้ำเงิน)"/>
    <s v="บจก.โรงสีข้าวธัญญาวัฒน์"/>
    <s v="FWBWT203270P"/>
    <s v="PD464031803"/>
    <x v="1"/>
    <s v="สีลงเต็มสม่ำเสมอ ไม่มีรอยเปื้อน"/>
    <x v="84"/>
    <s v="ผสม3/1"/>
    <s v="ผสม"/>
    <n v="500"/>
    <s v="ใบ"/>
    <m/>
    <m/>
    <d v="2564-03-18T00:00:00"/>
    <d v="2564-03-25T00:00:00"/>
    <d v="2564-03-20T00:00:00"/>
    <s v="PASS"/>
    <d v="2564-03-19T00:00:00"/>
    <m/>
    <m/>
    <m/>
    <m/>
    <s v="PASS"/>
    <d v="2564-03-22T00:00:00"/>
    <s v="PASS"/>
    <d v="2564-03-22T00:00:00"/>
    <m/>
    <m/>
    <s v="ผสม 3/1"/>
    <x v="1"/>
    <n v="-4"/>
  </r>
  <r>
    <x v="2"/>
    <d v="2564-03-18T00:00:00"/>
    <s v="ชุติกาญจน์"/>
    <s v="ตัดเย็บ"/>
    <s v="PD3พิมพ์"/>
    <s v="คุณภานุมาส"/>
    <n v="640088"/>
    <s v="WB/OCบาลานส์924SK"/>
    <s v="บริษัทเบทาโกรจำกัดมหาชน"/>
    <s v="FWBWT203797PL"/>
    <s v="PD464031809"/>
    <x v="5"/>
    <s v="สีลงเต็มสม่ำเสมอ งานพิมพ์ชัดเจน"/>
    <x v="85"/>
    <s v="คัดแยก"/>
    <s v="คัดแยก"/>
    <n v="132"/>
    <s v="ใบ"/>
    <n v="1307"/>
    <s v="ใบ"/>
    <d v="2564-03-18T00:00:00"/>
    <d v="2564-03-25T00:00:00"/>
    <d v="2564-03-20T00:00:00"/>
    <s v="PASS"/>
    <d v="2564-03-19T00:00:00"/>
    <m/>
    <m/>
    <m/>
    <m/>
    <s v="PASS"/>
    <d v="2564-03-22T00:00:00"/>
    <s v="PASS"/>
    <d v="2564-03-22T00:00:00"/>
    <m/>
    <m/>
    <s v="ลดเกรดB"/>
    <x v="0"/>
    <n v="-5"/>
  </r>
  <r>
    <x v="2"/>
    <d v="2564-03-19T00:00:00"/>
    <s v="ชุติกาญจน์"/>
    <s v="ตัดเย็บ"/>
    <s v="PD3พิมพ์"/>
    <s v="คุณภานุมาส"/>
    <n v="640089"/>
    <s v="WB/OC เบทาโกร303 30kg SK"/>
    <s v="บริษัทเบทาโกรจำกัดมหาชน"/>
    <s v="FWBWT2038100PL"/>
    <s v="PD464031906"/>
    <x v="5"/>
    <s v="สีลงเต็มสม่ำเสมอ งานพิมพ์ชัดเจน"/>
    <x v="86"/>
    <s v="คัดแยก"/>
    <s v="คัดแยก"/>
    <n v="137"/>
    <s v="ใบ"/>
    <n v="1005"/>
    <s v="ใบ"/>
    <d v="2564-03-19T00:00:00"/>
    <d v="2564-03-26T00:00:00"/>
    <d v="2564-03-21T00:00:00"/>
    <s v="PASS"/>
    <d v="2564-03-19T00:00:00"/>
    <m/>
    <m/>
    <m/>
    <m/>
    <s v="PASS"/>
    <d v="2564-03-22T00:00:00"/>
    <s v="PASS"/>
    <d v="2564-03-22T00:00:00"/>
    <m/>
    <m/>
    <s v="ลดเกรดB"/>
    <x v="0"/>
    <n v="-5"/>
  </r>
  <r>
    <x v="2"/>
    <d v="2564-03-19T00:00:00"/>
    <s v="ชุติกาญจน์"/>
    <s v="ตัดเย็บ"/>
    <s v="PD3พิมพ์"/>
    <s v="คุณภานุมาส"/>
    <n v="640090"/>
    <s v="WB/OC เบทาโกร204 30kg SK"/>
    <s v="บริษัทเบทาโกรจำกัดมหาชน"/>
    <s v="FWBWT2038100PL"/>
    <s v="PD464031902"/>
    <x v="5"/>
    <s v="สีลงเต็มสม่ำเสมอ งานพิมพ์ชัดเจน"/>
    <x v="87"/>
    <s v="คัดแยก"/>
    <s v="คัดแยก"/>
    <n v="100"/>
    <s v="ใบ"/>
    <n v="1453"/>
    <s v="ใบ"/>
    <d v="2564-03-19T00:00:00"/>
    <d v="2564-03-26T00:00:00"/>
    <d v="2564-03-21T00:00:00"/>
    <s v="PASS"/>
    <d v="2564-03-19T00:00:00"/>
    <m/>
    <m/>
    <m/>
    <m/>
    <s v="PASS"/>
    <d v="2564-03-22T00:00:00"/>
    <s v="PASS"/>
    <d v="2564-03-22T00:00:00"/>
    <m/>
    <m/>
    <s v="เทียบสีไม่ผ่านปรึกษา MK แล้วไม่สามารถส่งได้ ลดเกรดB คะ"/>
    <x v="0"/>
    <n v="-5"/>
  </r>
  <r>
    <x v="2"/>
    <d v="2564-03-20T00:00:00"/>
    <s v="อารีย์พร"/>
    <s v="ตัดเย็บ"/>
    <s v="PD3พิมพ์"/>
    <s v="คุณภานุมาส"/>
    <n v="640091"/>
    <s v="เพอเฟคค์104Sโกลด์"/>
    <s v="บริษัทอินเทคค์ฟีดจำกัด"/>
    <s v="FWBWT1934100PLM"/>
    <s v="PD464031912"/>
    <x v="0"/>
    <s v="สีลงเต็มสม่ำเสมอ งานพิมพ์ชัดเจน"/>
    <x v="88"/>
    <s v="แซม"/>
    <s v="แซม"/>
    <n v="120"/>
    <s v="ใบ"/>
    <m/>
    <m/>
    <d v="2564-03-20T00:00:00"/>
    <d v="2564-03-27T00:00:00"/>
    <d v="2564-03-22T00:00:00"/>
    <s v="PASS"/>
    <d v="2564-03-22T00:00:00"/>
    <m/>
    <m/>
    <m/>
    <m/>
    <s v="PASS"/>
    <d v="2564-03-24T00:00:00"/>
    <s v="PASS"/>
    <d v="2564-03-24T00:00:00"/>
    <m/>
    <m/>
    <s v="แซม"/>
    <x v="1"/>
    <n v="-3"/>
  </r>
  <r>
    <x v="2"/>
    <d v="2564-03-20T00:00:00"/>
    <s v="อารีย์พร"/>
    <s v="ตัดเย็บ"/>
    <s v="PD3พิมพ์"/>
    <s v="คุณภานุมาส"/>
    <n v="640092"/>
    <s v="ผึ้งเหลือง"/>
    <s v="บริษัทเพรซิเดนท์ฟลาวมิลล์"/>
    <s v="FWBWT193060P"/>
    <s v="PD464032003"/>
    <x v="3"/>
    <s v="สีลงเต็มสม่ำเสมอ งานพิมพ์ชัดเจน"/>
    <x v="89"/>
    <s v="แยกไป"/>
    <s v="แยกไป"/>
    <n v="175"/>
    <s v="ใบ"/>
    <m/>
    <m/>
    <d v="2564-03-20T00:00:00"/>
    <d v="2564-03-27T00:00:00"/>
    <d v="2564-03-22T00:00:00"/>
    <s v="PASS"/>
    <d v="2564-03-24T00:00:00"/>
    <m/>
    <m/>
    <m/>
    <m/>
    <s v="PASS"/>
    <d v="2564-03-24T00:00:00"/>
    <s v="PASS"/>
    <d v="2564-03-24T00:00:00"/>
    <m/>
    <m/>
    <s v="แยกไป"/>
    <x v="1"/>
    <n v="-3"/>
  </r>
  <r>
    <x v="2"/>
    <d v="2564-03-20T00:00:00"/>
    <s v="ชุติกาญจน์"/>
    <s v="ตัดเย็บ"/>
    <s v="PD3พิมพ์"/>
    <s v="คุณภานุมาส"/>
    <n v="640093"/>
    <s v="Zhejiang UN"/>
    <s v="บริษัท ทีซียูเนี่ยนอโกรจำกัด"/>
    <s v="FWBWT2643150PL"/>
    <s v="PD464032006"/>
    <x v="0"/>
    <s v="สีลงเต็มสม่ำเสมอ ไม่มีรอยเปื้อน"/>
    <x v="90"/>
    <s v="คัดแยก"/>
    <s v="คัดแยก"/>
    <n v="1525"/>
    <s v="ใบ"/>
    <m/>
    <m/>
    <d v="2564-03-20T00:00:00"/>
    <d v="2564-03-27T00:00:00"/>
    <d v="2564-03-22T00:00:00"/>
    <s v="PASS"/>
    <d v="2564-03-30T00:00:00"/>
    <m/>
    <m/>
    <m/>
    <m/>
    <s v="PASS"/>
    <d v="2564-03-30T00:00:00"/>
    <s v="PASS"/>
    <d v="2564-03-30T00:00:00"/>
    <m/>
    <m/>
    <s v="คัดแยกส่งลบ"/>
    <x v="1"/>
    <n v="1"/>
  </r>
  <r>
    <x v="2"/>
    <d v="2564-03-22T00:00:00"/>
    <s v="ชุติกาญจน์"/>
    <s v="ตัดเย็บ"/>
    <s v="PD3พิมพ์"/>
    <s v="คุณภานุมาส"/>
    <n v="640094"/>
    <s v="WBฟาร์มF936 30kg"/>
    <s v="บริษัทเบทาโกรจำกัดมหาชน"/>
    <s v="FWBWT203780P"/>
    <s v="PD464032202"/>
    <x v="1"/>
    <s v="สีลงเต็มสม่ำเสมอ งานพิมพ์ชัดเจน"/>
    <x v="91"/>
    <s v="คัดแยก"/>
    <s v="คัดแยก"/>
    <n v="168"/>
    <s v="ใบ"/>
    <n v="2516"/>
    <s v="ใบ"/>
    <d v="2564-03-22T00:00:00"/>
    <d v="2564-03-29T00:00:00"/>
    <d v="2564-03-24T00:00:00"/>
    <s v="PASS"/>
    <d v="2564-03-23T00:00:00"/>
    <m/>
    <m/>
    <m/>
    <m/>
    <s v="PASS"/>
    <d v="2564-03-24T00:00:00"/>
    <s v="PASS"/>
    <d v="2564-03-24T00:00:00"/>
    <m/>
    <m/>
    <s v="ลดเกรด"/>
    <x v="0"/>
    <n v="-3"/>
  </r>
  <r>
    <x v="2"/>
    <d v="2564-03-20T00:00:00"/>
    <s v="ชุติกาญจน์"/>
    <s v="ตัดเย็บ"/>
    <s v="PD3พิมพ์"/>
    <s v="คุณภานุมาส"/>
    <n v="640095"/>
    <s v="Zhejiang UN"/>
    <s v="บริษัท ทีซียูเนี่ยนอโกรจำกัด"/>
    <s v="FWBWT2643150PL"/>
    <s v="PD464032006"/>
    <x v="0"/>
    <s v="สีลงเต็มสม่ำเสมอ งานพิมพ์ชัดเจน"/>
    <x v="92"/>
    <s v="ส่งแต้ม"/>
    <s v="ส่งแต้ม"/>
    <n v="175"/>
    <s v="ใบ"/>
    <m/>
    <m/>
    <d v="2564-03-20T00:00:00"/>
    <d v="2564-03-27T00:00:00"/>
    <d v="2564-03-22T00:00:00"/>
    <s v="PASS"/>
    <d v="2564-04-01T00:00:00"/>
    <m/>
    <m/>
    <m/>
    <m/>
    <s v="PASS"/>
    <d v="2564-04-01T00:00:00"/>
    <s v="PASS"/>
    <d v="2564-04-01T00:00:00"/>
    <m/>
    <m/>
    <s v="ส่งแต้ม "/>
    <x v="2"/>
    <n v="3"/>
  </r>
  <r>
    <x v="2"/>
    <d v="2564-03-22T00:00:00"/>
    <s v="ชุติกาญจน์"/>
    <s v="ตัดเย็บ"/>
    <s v="PD3พิมพ์"/>
    <s v="คุณภานุมาส"/>
    <n v="640096"/>
    <s v="แดนโกรวเจลาโต้(ฟ้า)"/>
    <s v="บริษัทแอมโก้เวท จำกัด"/>
    <s v="FWBWT2137100PL"/>
    <s v="PD464032217"/>
    <x v="2"/>
    <s v="สีลงเต็มสม่ำเสมอ งานพิมพ์ชัดเจน"/>
    <x v="93"/>
    <s v="ส่ง"/>
    <s v="ส่ง"/>
    <n v="700"/>
    <s v="ใบ"/>
    <n v="1510"/>
    <s v="ใบ"/>
    <d v="2564-03-22T00:00:00"/>
    <d v="2564-03-29T00:00:00"/>
    <d v="2564-03-24T00:00:00"/>
    <s v="PASS"/>
    <d v="2564-03-24T00:00:00"/>
    <m/>
    <m/>
    <m/>
    <m/>
    <s v="PASS"/>
    <d v="2564-03-24T00:00:00"/>
    <s v="PASS"/>
    <d v="2564-03-24T00:00:00"/>
    <m/>
    <m/>
    <s v="ปรึกษา MK เอาไป"/>
    <x v="1"/>
    <n v="-5"/>
  </r>
  <r>
    <x v="2"/>
    <d v="2564-03-22T00:00:00"/>
    <s v="ชุติกาญจน์"/>
    <s v="ตัดเย็บ"/>
    <s v="PD3พิมพ์"/>
    <s v="คุณภานุมาส"/>
    <n v="640097"/>
    <s v="ซันฟีด952แอล"/>
    <s v="บริษัทซันฟีดจำกัด"/>
    <s v="FWBWT2038100PLM"/>
    <s v="PD464032222"/>
    <x v="4"/>
    <s v="สีลงเต็มสม่ำเสมอ งานพิมพ์ชัดเจน"/>
    <x v="94"/>
    <s v="ขอผสม"/>
    <s v="ขอผสม"/>
    <n v="600"/>
    <s v="ใบ"/>
    <m/>
    <m/>
    <d v="2564-03-22T00:00:00"/>
    <d v="2564-03-29T00:00:00"/>
    <d v="2564-03-24T00:00:00"/>
    <s v="PASS"/>
    <d v="2564-03-26T00:00:00"/>
    <m/>
    <m/>
    <m/>
    <m/>
    <s v="PASS"/>
    <d v="2564-03-29T00:00:00"/>
    <s v="PASS"/>
    <d v="2564-03-29T00:00:00"/>
    <m/>
    <m/>
    <m/>
    <x v="1"/>
    <n v="0"/>
  </r>
  <r>
    <x v="2"/>
    <d v="2564-03-22T00:00:00"/>
    <s v="ชุติกาญจน์"/>
    <s v="ตัดเย็บ"/>
    <s v="PD3พิมพ์"/>
    <s v="คุณภานุมาส"/>
    <n v="640098"/>
    <s v="ซันฟีด952แอล"/>
    <s v="บริษัทซันฟีดจำกัด"/>
    <s v="FWBWT2038100PLM"/>
    <s v="PD464032222"/>
    <x v="4"/>
    <s v="สีลงเต็มสม่ำเสมอ ไม่มีรอยเปื้อน"/>
    <x v="95"/>
    <s v="ส่งลบ"/>
    <s v="ส่งบล"/>
    <n v="200"/>
    <s v="ใบ"/>
    <m/>
    <m/>
    <d v="2564-03-22T00:00:00"/>
    <d v="2564-03-29T00:00:00"/>
    <d v="2564-03-24T00:00:00"/>
    <s v="PASS"/>
    <d v="2564-03-26T00:00:00"/>
    <m/>
    <m/>
    <m/>
    <m/>
    <s v="PASS"/>
    <d v="2564-03-29T00:00:00"/>
    <s v="PASS"/>
    <d v="2564-03-29T00:00:00"/>
    <m/>
    <m/>
    <s v="ลบสี"/>
    <x v="2"/>
    <n v="-1"/>
  </r>
  <r>
    <x v="2"/>
    <d v="2564-03-23T00:00:00"/>
    <s v="ชุติกาญจน์"/>
    <s v="ตัดเย็บ"/>
    <s v="PD3พิมพ์"/>
    <s v="คุณภานุมาส"/>
    <n v="640099"/>
    <s v="ไอฟีดเป็ดไข่เบอร์5"/>
    <s v="บริษัทซันฟีดจำกัด"/>
    <s v="FWBWT203780P"/>
    <s v="PD464032304"/>
    <x v="2"/>
    <s v="สีลงเต็มสม่ำเสมอ ไม่มีรอยเปื้อน"/>
    <x v="96"/>
    <s v="คัดแยกส่งลบ"/>
    <s v="ส่งลบ"/>
    <n v="1900"/>
    <s v="ใบ"/>
    <m/>
    <m/>
    <d v="2564-03-23T00:00:00"/>
    <d v="2564-03-30T00:00:00"/>
    <d v="2564-03-25T00:00:00"/>
    <s v="PASS"/>
    <d v="2564-04-01T00:00:00"/>
    <m/>
    <m/>
    <m/>
    <m/>
    <s v="PASS"/>
    <d v="2564-04-01T00:00:00"/>
    <s v="PASS"/>
    <d v="2564-04-01T00:00:00"/>
    <m/>
    <m/>
    <s v="ลบสี"/>
    <x v="2"/>
    <m/>
  </r>
  <r>
    <x v="2"/>
    <d v="2564-03-23T00:00:00"/>
    <s v="ชุติกาญจน์"/>
    <s v="ตัดเย็บ"/>
    <s v="PD3พิมพ์"/>
    <s v="คุณภานุมาส"/>
    <n v="640100"/>
    <s v="ไอฟีดเป็ดไข่เบอร์5"/>
    <s v="บริษัทซันฟีดจำกัด"/>
    <s v="FWBWT203780P"/>
    <s v="PD464032304"/>
    <x v="2"/>
    <s v="สีลงเต็มสม่ำเสมอ งานพิมพ์ชัดเจน"/>
    <x v="97"/>
    <s v="คัดแยก"/>
    <s v="คัดแยก"/>
    <n v="193"/>
    <s v="ใบ"/>
    <n v="1980"/>
    <s v="ใบ"/>
    <d v="2564-03-23T00:00:00"/>
    <d v="2564-03-30T00:00:00"/>
    <d v="2564-03-25T00:00:00"/>
    <s v="PASS"/>
    <d v="2564-04-01T00:00:00"/>
    <m/>
    <m/>
    <m/>
    <m/>
    <s v="PASS"/>
    <d v="2564-04-01T00:00:00"/>
    <s v="PASS"/>
    <d v="2564-04-01T00:00:00"/>
    <m/>
    <m/>
    <s v="ลดเกรด"/>
    <x v="0"/>
    <n v="1"/>
  </r>
  <r>
    <x v="2"/>
    <d v="2564-03-23T00:00:00"/>
    <s v="ชุติกาญจน์"/>
    <s v="ตัดเย็บ"/>
    <s v="PD3พิมพ์"/>
    <s v="คุณภานุมาส"/>
    <n v="640101"/>
    <s v="ไก่ไข่"/>
    <s v="บริษัทซันฟีดจำกัด"/>
    <s v="FWBWT203882P"/>
    <s v="PD464032313"/>
    <x v="4"/>
    <s v="สีลงเต็มสม่ำเสมอ งานพิมพ์ชัดเจน"/>
    <x v="98"/>
    <s v="ขอผสม25/75"/>
    <s v="ผสม"/>
    <n v="400"/>
    <s v="ใบ"/>
    <m/>
    <m/>
    <d v="2564-03-23T00:00:00"/>
    <d v="2564-03-30T00:00:00"/>
    <d v="2564-03-25T00:00:00"/>
    <s v="PASS"/>
    <d v="2564-03-26T00:00:00"/>
    <m/>
    <m/>
    <m/>
    <m/>
    <s v="PASS"/>
    <d v="2564-03-29T00:00:00"/>
    <s v="PASS"/>
    <d v="2564-03-29T00:00:00"/>
    <m/>
    <m/>
    <m/>
    <x v="1"/>
    <m/>
  </r>
  <r>
    <x v="2"/>
    <d v="2564-03-23T00:00:00"/>
    <s v="ชุติกาญจน์"/>
    <s v="ตัดเย็บ"/>
    <s v="PD3พิมพ์"/>
    <s v="คุณภานุมาส"/>
    <n v="640102"/>
    <s v="มาสเตอร์5510"/>
    <s v="บริษัทเบทาโกรจำกัดมหาชน"/>
    <s v="FWBWT203780P"/>
    <s v="PD464032309"/>
    <x v="1"/>
    <s v="สีลงเต็มสม่ำเสมอ ไม่มีรอยเปื้อน"/>
    <x v="99"/>
    <s v="คัดแยกส่งลบ"/>
    <s v="ส่งลบ"/>
    <n v="350"/>
    <s v="ใบ"/>
    <n v="2476"/>
    <s v="ใบ"/>
    <d v="2564-03-23T00:00:00"/>
    <d v="2564-03-30T00:00:00"/>
    <d v="2564-03-25T00:00:00"/>
    <s v="PASS"/>
    <d v="2564-03-25T00:00:00"/>
    <m/>
    <m/>
    <m/>
    <m/>
    <s v="PASS"/>
    <d v="2564-03-25T00:00:00"/>
    <s v="PASS"/>
    <d v="2564-03-25T00:00:00"/>
    <m/>
    <m/>
    <s v="ส่งลบสี"/>
    <x v="2"/>
    <m/>
  </r>
  <r>
    <x v="2"/>
    <d v="2564-03-24T00:00:00"/>
    <s v="ชุติกาญจน์"/>
    <s v="ตัดเย็บ"/>
    <s v="PD3พิมพ์"/>
    <s v="คุณภานุมาส"/>
    <n v="640103"/>
    <s v="เพอเฟคค์912"/>
    <s v="บริษัทอินเทคค์ฟีดจำกัด"/>
    <s v="FWBWT2036100PLM"/>
    <s v="PD464032403"/>
    <x v="5"/>
    <s v="งานพิมพ์ชัดเจน"/>
    <x v="100"/>
    <s v="แซม"/>
    <s v="แซม"/>
    <n v="135"/>
    <s v="ใบ"/>
    <n v="1050"/>
    <s v="ใบ"/>
    <d v="2564-03-24T00:00:00"/>
    <d v="2564-03-31T00:00:00"/>
    <d v="2564-03-26T00:00:00"/>
    <s v="PASS"/>
    <d v="2564-03-29T00:00:00"/>
    <m/>
    <m/>
    <m/>
    <m/>
    <s v="PASS"/>
    <d v="2564-03-29T00:00:00"/>
    <s v="PASS"/>
    <d v="2564-03-29T00:00:00"/>
    <m/>
    <m/>
    <s v="ปรีกษาฝ่ายขายขอแซม"/>
    <x v="1"/>
    <n v="-8"/>
  </r>
  <r>
    <x v="2"/>
    <d v="2564-03-24T00:00:00"/>
    <s v="ชุติกาญจน์"/>
    <s v="ตัดเย็บ"/>
    <s v="PD3พิมพ์"/>
    <s v="คุณภานุมาส"/>
    <n v="640104"/>
    <s v="TTD36"/>
    <s v="บริษัท ไทยธรรมดี จำกัด"/>
    <s v="FWBWT203795P"/>
    <s v="PD464032406"/>
    <x v="2"/>
    <s v="สีลงเต็มสม่ำเสมอ ไม่มีรอยเปื้อน"/>
    <x v="101"/>
    <s v="คัดแยกส่งลบ"/>
    <s v="ส่งลบ"/>
    <n v="375"/>
    <s v="ใบ"/>
    <n v="1495"/>
    <s v="ใบ"/>
    <d v="2564-03-24T00:00:00"/>
    <d v="2564-03-31T00:00:00"/>
    <d v="2564-03-26T00:00:00"/>
    <s v="PASS"/>
    <d v="2564-03-29T00:00:00"/>
    <m/>
    <m/>
    <m/>
    <m/>
    <s v="PASS"/>
    <d v="2564-03-29T00:00:00"/>
    <s v="PASS"/>
    <d v="2564-03-29T00:00:00"/>
    <m/>
    <m/>
    <s v="ส่งลบสี"/>
    <x v="2"/>
    <n v="-8"/>
  </r>
  <r>
    <x v="2"/>
    <d v="2564-03-27T00:00:00"/>
    <s v="ชุติกาญจน์"/>
    <s v="ตัดเย็บ"/>
    <s v="PD3พิมพ์"/>
    <s v="คุณภานุมาส"/>
    <n v="640105"/>
    <s v="TUNA MEAL"/>
    <s v="บริษัทจะนะ อุตสาหกรรมประมงจำกัด"/>
    <s v="FWBWT2643116P"/>
    <s v="PD464032719"/>
    <x v="0"/>
    <s v="สีลงเต็มสม่ำเสมอ ไม่มีรอยเปื้อน"/>
    <x v="102"/>
    <s v="คัดแยกส่งลบ"/>
    <s v="ส่งลบ"/>
    <n v="3300"/>
    <s v="ใบ"/>
    <m/>
    <m/>
    <d v="2564-03-27T00:00:00"/>
    <d v="2564-04-03T00:00:00"/>
    <d v="2564-03-29T00:00:00"/>
    <s v="PASS"/>
    <d v="2564-04-01T00:00:00"/>
    <m/>
    <m/>
    <m/>
    <m/>
    <s v="PASS"/>
    <d v="2564-04-01T00:00:00"/>
    <s v="PASS"/>
    <d v="2564-04-01T00:00:00"/>
    <m/>
    <m/>
    <s v="ลบสี"/>
    <x v="2"/>
    <m/>
  </r>
  <r>
    <x v="2"/>
    <d v="2564-03-27T00:00:00"/>
    <s v="ชุติกาญจน์"/>
    <s v="ตัดเย็บ"/>
    <s v="PD3พิมพ์"/>
    <s v="คุณภานุมาส"/>
    <n v="640106"/>
    <s v="SPM195GOLD"/>
    <s v="บริษัทเอพีเอ็ม อโกร จำกัด"/>
    <s v="FWBWT2038100PLM"/>
    <s v="PD464032717"/>
    <x v="4"/>
    <s v="สีลงเต็มสม่ำเสมอ ไม่มีรอยเปื้อน"/>
    <x v="103"/>
    <s v="คัดแยกส่งลบ"/>
    <s v="ส่งลบ"/>
    <n v="1350"/>
    <s v="ใบ"/>
    <m/>
    <m/>
    <d v="2564-03-27T00:00:00"/>
    <d v="2564-04-03T00:00:00"/>
    <d v="2564-03-29T00:00:00"/>
    <s v="PASS"/>
    <d v="2564-03-30T00:00:00"/>
    <m/>
    <m/>
    <m/>
    <m/>
    <s v="PASS"/>
    <d v="2564-03-30T00:00:00"/>
    <s v="PASS"/>
    <d v="2564-03-30T00:00:00"/>
    <m/>
    <m/>
    <s v="ส่งลบสี"/>
    <x v="2"/>
    <m/>
  </r>
  <r>
    <x v="2"/>
    <d v="2564-03-29T00:00:00"/>
    <s v="ชุติกาญจน์"/>
    <s v="ตัดเย็บ"/>
    <s v="PD3พิมพ์"/>
    <s v="คุณภานุมาส"/>
    <n v="640107"/>
    <s v="OPAL CA3"/>
    <s v="บริษัทซิเบลโก้มิเนอร์รัลล์(ประเทศไทย)"/>
    <s v="FWBWT233468P"/>
    <s v="PD464032916"/>
    <x v="2"/>
    <s v="สีลงเต็มสม่ำเสมอ ไม่มีรอยเปื้อน"/>
    <x v="104"/>
    <s v="คัดแยกส่งลบ"/>
    <s v="ส่งลบ"/>
    <n v="600"/>
    <s v="ใบ"/>
    <m/>
    <m/>
    <d v="2564-03-29T00:00:00"/>
    <d v="2564-04-05T00:00:00"/>
    <d v="2564-03-31T00:00:00"/>
    <s v="PASS"/>
    <d v="2564-04-01T00:00:00"/>
    <m/>
    <m/>
    <m/>
    <m/>
    <s v="PASS"/>
    <d v="2564-04-01T00:00:00"/>
    <s v="PASS"/>
    <d v="2564-04-01T00:00:00"/>
    <m/>
    <m/>
    <s v="ลบสี"/>
    <x v="2"/>
    <m/>
  </r>
  <r>
    <x v="2"/>
    <d v="2564-03-30T00:00:00"/>
    <s v="ชุติกาญจน์"/>
    <s v="ตัดเย็บ"/>
    <s v="PD3พิมพ์"/>
    <s v="คุณภานุมาส"/>
    <n v="640108"/>
    <s v="WB/OC บาลานส์945SK"/>
    <s v="บริษัทเบทาโกรจำกัดมหาชน"/>
    <s v="FWBWT203797PL"/>
    <s v="PD464033011"/>
    <x v="5"/>
    <s v="สีลงเต็มสม่ำเสมอ งานพิมพ์ชัดเจน"/>
    <x v="105"/>
    <s v="ผสม25/75"/>
    <s v="ผสม"/>
    <n v="700"/>
    <s v="ใบ"/>
    <m/>
    <m/>
    <d v="2564-03-30T00:00:00"/>
    <d v="2564-04-06T00:00:00"/>
    <d v="2564-04-01T00:00:00"/>
    <s v="PASS"/>
    <d v="2564-04-01T00:00:00"/>
    <m/>
    <m/>
    <m/>
    <m/>
    <s v="PASS"/>
    <d v="2564-04-01T00:00:00"/>
    <s v="PASS"/>
    <d v="2564-04-01T00:00:00"/>
    <m/>
    <m/>
    <s v="ปรีกษาฝ่ายขายขอผสม"/>
    <x v="1"/>
    <m/>
  </r>
  <r>
    <x v="2"/>
    <d v="2564-03-30T00:00:00"/>
    <s v="ชุติกาญจน์"/>
    <s v="ตัดเย็บ"/>
    <s v="PD3พิมพ์"/>
    <s v="คุณภานุมาส"/>
    <n v="640109"/>
    <s v="ไอฟีดเป็ดเนื้อเบอร์2"/>
    <s v="บริษัทซันฟีดจำกัด"/>
    <s v="FWBWT203882P"/>
    <s v="PD464033006"/>
    <x v="4"/>
    <s v="สีลงเต็มสม่ำเสมอ งานพิมพ์ชัดเจน"/>
    <x v="106"/>
    <s v="ผสม5-6ในแปะ"/>
    <s v="ผสม"/>
    <n v="200"/>
    <s v="ใบ"/>
    <m/>
    <m/>
    <d v="2564-03-30T00:00:00"/>
    <d v="2564-04-06T00:00:00"/>
    <d v="2564-04-01T00:00:00"/>
    <s v="PASS"/>
    <d v="2564-04-01T00:00:00"/>
    <m/>
    <m/>
    <m/>
    <m/>
    <s v="PASS"/>
    <d v="2564-04-01T00:00:00"/>
    <s v="PASS"/>
    <d v="2564-04-01T00:00:00"/>
    <m/>
    <m/>
    <s v="ผสม "/>
    <x v="1"/>
    <n v="-5"/>
  </r>
  <r>
    <x v="2"/>
    <d v="2564-03-30T00:00:00"/>
    <s v="อารีย์พร"/>
    <s v="ตัดเย็บ"/>
    <s v="PD3พิมพ์"/>
    <s v="คุณภานุมาส"/>
    <n v="640110"/>
    <s v="ไอฟีดเป็ดเนื้อเบอร์2"/>
    <s v="บริษัทซันฟีดจำกัด"/>
    <s v="FWBWT203882P"/>
    <s v="PD464033006"/>
    <x v="4"/>
    <s v="สีลงเต็มสม่ำเสมอ ไม่มีรอยเปื้อน"/>
    <x v="107"/>
    <s v="คัดแยกส่งลบ"/>
    <s v="ส่งลบ"/>
    <n v="125"/>
    <s v="ใบ"/>
    <m/>
    <m/>
    <d v="2564-03-30T00:00:00"/>
    <d v="2564-04-06T00:00:00"/>
    <d v="2564-04-01T00:00:00"/>
    <s v="PASS"/>
    <d v="2564-04-03T00:00:00"/>
    <m/>
    <m/>
    <m/>
    <m/>
    <s v="PASS"/>
    <d v="2564-04-06T00:00:00"/>
    <s v="PASS"/>
    <d v="2564-04-06T00:00:00"/>
    <m/>
    <m/>
    <s v="ส่งลบสี"/>
    <x v="2"/>
    <n v="0"/>
  </r>
  <r>
    <x v="2"/>
    <d v="2564-03-30T00:00:00"/>
    <s v="อารีย์พร"/>
    <s v="ตัดเย็บ"/>
    <s v="PD3พิมพ์"/>
    <s v="คุณภานุมาส"/>
    <n v="640111"/>
    <s v="เพอเฟคค์915"/>
    <s v="บริษัทอินเทคค์ฟีดจำกัด"/>
    <s v="FWBWT2036100PLM"/>
    <s v="PD464033019"/>
    <x v="5"/>
    <s v="สีลงเต็มสม่ำเสมอ งานพิมพ์ชัดเจน"/>
    <x v="108"/>
    <s v="ส่ง"/>
    <s v="ส่ง"/>
    <n v="6092"/>
    <s v="ใบ"/>
    <m/>
    <m/>
    <d v="2564-03-30T00:00:00"/>
    <d v="2564-04-06T00:00:00"/>
    <d v="2564-04-01T00:00:00"/>
    <s v="PASS"/>
    <d v="2564-04-01T00:00:00"/>
    <m/>
    <m/>
    <m/>
    <m/>
    <s v="PASS"/>
    <d v="2564-04-01T00:00:00"/>
    <s v="PASS"/>
    <d v="2564-04-01T00:00:00"/>
    <m/>
    <m/>
    <s v="ปรีกษาฝ่ายขายขอส่งไป"/>
    <x v="1"/>
    <n v="-7"/>
  </r>
  <r>
    <x v="3"/>
    <d v="2564-04-01T00:00:00"/>
    <s v="อารีย์พร"/>
    <s v="ตัดเย็บ"/>
    <s v="PD3พิมพ์"/>
    <s v="คุณภานุมาส"/>
    <n v="640112"/>
    <s v="WB/OC เบทาโกร204 30kg SK"/>
    <s v="บริษัทเบทาโกรจำกัดมหาชน"/>
    <s v="FWBWT2038100PL"/>
    <s v="PD464030109"/>
    <x v="5"/>
    <s v="สีลงเต็มสม่ำเสมอ งานพิมพ์ชัดเจน"/>
    <x v="109"/>
    <s v="ส่งแต้ม"/>
    <s v="แต้ม"/>
    <n v="700"/>
    <s v="ใบ"/>
    <m/>
    <m/>
    <d v="2564-04-01T00:00:00"/>
    <d v="2564-04-08T00:00:00"/>
    <d v="2564-04-03T00:00:00"/>
    <s v="PASS"/>
    <d v="2564-04-02T00:00:00"/>
    <m/>
    <m/>
    <m/>
    <m/>
    <s v="PASS"/>
    <d v="2564-04-06T00:00:00"/>
    <s v="PASS"/>
    <d v="2564-04-06T00:00:00"/>
    <m/>
    <m/>
    <s v="ส่งแต้ม"/>
    <x v="2"/>
    <n v="-3"/>
  </r>
  <r>
    <x v="3"/>
    <d v="2564-04-02T00:00:00"/>
    <s v="อารีย์พร"/>
    <s v="ตัดเย็บ"/>
    <s v="PD3พิมพ์"/>
    <s v="คุณภานุมาส"/>
    <n v="640113"/>
    <s v="PBKF1-01-03"/>
    <s v="บริษัทเคอรี่ฟลาวมิลล์จำกัด"/>
    <s v="FWBWT193060P"/>
    <s v="PD464040213"/>
    <x v="3"/>
    <s v="สีลงเต็มสม่ำเสมอ งานพิมพ์ชัดเจน"/>
    <x v="110"/>
    <s v="แยกเลทระบุปันหาส่งลูกค้า"/>
    <s v="แยกเลท"/>
    <n v="2300"/>
    <s v="ใบ"/>
    <m/>
    <m/>
    <d v="2564-04-02T00:00:00"/>
    <d v="2564-04-09T00:00:00"/>
    <d v="2564-04-04T00:00:00"/>
    <s v="PASS"/>
    <d v="2564-04-03T00:00:00"/>
    <m/>
    <m/>
    <m/>
    <m/>
    <s v="PASS"/>
    <d v="2564-04-06T00:00:00"/>
    <s v="PASS"/>
    <d v="2564-04-06T00:00:00"/>
    <m/>
    <m/>
    <s v="แยกเลทส่งลูกค้า"/>
    <x v="1"/>
    <n v="-4"/>
  </r>
  <r>
    <x v="3"/>
    <d v="2564-04-02T00:00:00"/>
    <s v="อารีย์พร"/>
    <s v="ตัดเย็บ"/>
    <s v="PD3พิมพ์"/>
    <s v="คุณภานุมาส"/>
    <n v="640114"/>
    <s v="ACCภาษาอังกฤษ"/>
    <s v="บริษัทเอเชี่ยนเคมิคัลจำกัด"/>
    <s v="FWBWT192670PLM"/>
    <s v="PD464040220"/>
    <x v="1"/>
    <s v="สีลงเต็มสม่ำเสมอ งานพิมพ์ชัดเจน"/>
    <x v="111"/>
    <s v="ผสม50/50"/>
    <s v="ผสม"/>
    <n v="1300"/>
    <s v="ใบ"/>
    <m/>
    <m/>
    <d v="2564-04-02T00:00:00"/>
    <d v="2564-04-09T00:00:00"/>
    <d v="2564-04-04T00:00:00"/>
    <s v="PASS"/>
    <d v="2564-04-03T00:00:00"/>
    <m/>
    <m/>
    <m/>
    <m/>
    <s v="PASS"/>
    <d v="2564-04-06T00:00:00"/>
    <s v="PASS"/>
    <d v="2564-04-06T00:00:00"/>
    <m/>
    <m/>
    <s v="ปรีกษาฝ่ายขายให้เอาไป"/>
    <x v="1"/>
    <n v="-4"/>
  </r>
  <r>
    <x v="3"/>
    <d v="2564-04-02T00:00:00"/>
    <s v="อารีย์พร"/>
    <s v="ตัดเย็บ"/>
    <s v="PD3พิมพ์"/>
    <s v="คุณภานุมาส"/>
    <n v="640115"/>
    <s v="WB/OC บาลานส์952B 30kg SK"/>
    <s v="บริษัทเบทาโกรจำกัดมหาชน"/>
    <s v="FWBWT2038100PL"/>
    <s v="PD464040206"/>
    <x v="5"/>
    <s v="สีลงเต็มสม่ำเสมอ งานพิมพ์ชัดเจน"/>
    <x v="112"/>
    <s v="ส่งแต้ม"/>
    <s v="แต้ม"/>
    <n v="250"/>
    <s v="ใบ"/>
    <m/>
    <m/>
    <d v="2564-04-02T00:00:00"/>
    <d v="2564-04-09T00:00:00"/>
    <d v="2564-04-04T00:00:00"/>
    <s v="PASS"/>
    <d v="2564-04-05T00:00:00"/>
    <m/>
    <m/>
    <m/>
    <m/>
    <m/>
    <m/>
    <m/>
    <m/>
    <m/>
    <m/>
    <m/>
    <x v="2"/>
    <n v="-242623"/>
  </r>
  <r>
    <x v="3"/>
    <d v="2564-04-02T00:00:00"/>
    <s v="อารีย์พร"/>
    <s v="ตัดเย็บ"/>
    <s v="PD3พิมพ์"/>
    <s v="คุณภานุมาส"/>
    <n v="640116"/>
    <s v=" บาลานส์ 910"/>
    <s v="บริษัทเบทาโกรจำกัดมหาชน"/>
    <s v="FWBWT203984P"/>
    <s v="PD464040222"/>
    <x v="0"/>
    <s v="สีลงเต็มสม่ำเสมอ งานพิมพ์ชัดเจน"/>
    <x v="113"/>
    <s v="ผสม3/1"/>
    <s v="ผสม"/>
    <n v="700"/>
    <s v="ใบ"/>
    <m/>
    <m/>
    <d v="2564-04-02T00:00:00"/>
    <d v="2564-04-09T00:00:00"/>
    <d v="2564-04-04T00:00:00"/>
    <s v="PASS"/>
    <d v="2564-04-06T00:00:00"/>
    <m/>
    <m/>
    <m/>
    <m/>
    <s v="PASS"/>
    <d v="2564-04-06T00:00:00"/>
    <s v="PASS"/>
    <d v="2564-04-06T00:00:00"/>
    <m/>
    <m/>
    <s v="ขอผสม 3/1"/>
    <x v="1"/>
    <n v="-4"/>
  </r>
  <r>
    <x v="3"/>
    <d v="2564-04-02T00:00:00"/>
    <s v="อารีย์พร"/>
    <s v="ตัดเย็บ"/>
    <s v="PD3พิมพ์"/>
    <s v="คุณภานุมาส"/>
    <n v="640117"/>
    <s v=" บาลานส์ 910"/>
    <s v="บริษัทเบทาโกรจำกัดมหาชน"/>
    <s v="FWBWT203984P"/>
    <s v="PD464040222"/>
    <x v="0"/>
    <s v="สีลงเต็มสม่ำเสมอ ไม่มีรอยเปื้อน"/>
    <x v="114"/>
    <s v="คัดแยกส่งลบ"/>
    <s v="ส่งลบ"/>
    <n v="1225"/>
    <s v="ใบ"/>
    <m/>
    <m/>
    <d v="2564-04-02T00:00:00"/>
    <d v="2564-04-09T00:00:00"/>
    <d v="2564-04-04T00:00:00"/>
    <s v="PASS"/>
    <d v="2564-04-06T00:00:00"/>
    <m/>
    <m/>
    <m/>
    <m/>
    <s v="PASS"/>
    <d v="2564-04-06T00:00:00"/>
    <s v="PASS"/>
    <d v="2564-04-06T00:00:00"/>
    <m/>
    <m/>
    <s v="ส่งลบสี"/>
    <x v="2"/>
    <m/>
  </r>
  <r>
    <x v="3"/>
    <d v="2564-04-02T00:00:00"/>
    <s v="อารีย์พร"/>
    <s v="ตัดเย็บ"/>
    <s v="PD3พิมพ์"/>
    <s v="คุณภานุมาส"/>
    <n v="640118"/>
    <s v="เพอเฟคค์205"/>
    <s v="บริษัทอินเทคค์ฟีดจำกัด"/>
    <s v="FWBWT1934100PLM"/>
    <s v="PD464040218"/>
    <x v="0"/>
    <s v="งานพิมพ์ชัดเจน"/>
    <x v="115"/>
    <s v="คัดแยกออก"/>
    <s v="คัดออก"/>
    <n v="158"/>
    <s v="ใบ"/>
    <m/>
    <m/>
    <d v="2564-04-02T00:00:00"/>
    <d v="2564-04-09T00:00:00"/>
    <d v="2564-04-04T00:00:00"/>
    <s v="PASS"/>
    <d v="2564-04-06T00:00:00"/>
    <m/>
    <m/>
    <m/>
    <m/>
    <s v="PASS"/>
    <d v="2564-04-06T00:00:00"/>
    <s v="PASS"/>
    <d v="2564-04-06T00:00:00"/>
    <m/>
    <m/>
    <s v="ลดเกรด ไม่สามารถส่งได้"/>
    <x v="0"/>
    <m/>
  </r>
  <r>
    <x v="3"/>
    <d v="2564-04-03T00:00:00"/>
    <s v="ชุติกาญจน์"/>
    <s v="ตัดเย็บ"/>
    <s v="PD3พิมพ์"/>
    <s v="คุณภานุมาส"/>
    <n v="640119"/>
    <s v="WFLOWPO1"/>
    <s v="บริษัทเคอรี่ฟลาวมิลล์จำกัด"/>
    <s v="FWBWT193468P"/>
    <s v="PD464040305"/>
    <x v="0"/>
    <s v="ไม่มีรอยเปื้อน"/>
    <x v="116"/>
    <s v="เอาเศษออก"/>
    <s v="เอาเศษออก"/>
    <n v="200"/>
    <s v="ใบ"/>
    <m/>
    <m/>
    <d v="2564-04-03T00:00:00"/>
    <d v="2564-04-10T00:00:00"/>
    <d v="2564-04-05T00:00:00"/>
    <s v="PASS"/>
    <d v="2564-04-10T00:00:00"/>
    <m/>
    <m/>
    <m/>
    <m/>
    <s v="PASS"/>
    <d v="2564-04-16T00:00:00"/>
    <s v="PASS"/>
    <d v="2564-04-16T00:00:00"/>
    <m/>
    <m/>
    <s v="เอาเศษออกแล้วส่งลูกค้า"/>
    <x v="1"/>
    <n v="6"/>
  </r>
  <r>
    <x v="3"/>
    <d v="2564-04-03T00:00:00"/>
    <s v="ชุติกาญจน์"/>
    <s v="ตัดเย็บ"/>
    <s v="PD3พิมพ์"/>
    <s v="คุณภานุมาส"/>
    <n v="640120"/>
    <s v="WFLOWPO1"/>
    <s v="บริษัทเคอรี่ฟลาวมิลล์จำกัด"/>
    <s v="FWBWT193468P"/>
    <s v="PD464040305"/>
    <x v="0"/>
    <s v="สีลงเต็มสม่ำเสมอ งานพิมพ์ชัดเจน"/>
    <x v="117"/>
    <s v="ผสม25/75"/>
    <s v="ผสม"/>
    <n v="700"/>
    <s v="ใบ"/>
    <m/>
    <m/>
    <d v="2564-04-03T00:00:00"/>
    <d v="2564-04-10T00:00:00"/>
    <d v="2564-04-05T00:00:00"/>
    <s v="PASS"/>
    <d v="2564-04-10T00:00:00"/>
    <m/>
    <m/>
    <m/>
    <m/>
    <s v="PASS"/>
    <d v="2564-04-16T00:00:00"/>
    <s v="PASS"/>
    <d v="2564-04-16T00:00:00"/>
    <m/>
    <m/>
    <s v="ผสม "/>
    <x v="1"/>
    <n v="6"/>
  </r>
  <r>
    <x v="3"/>
    <d v="2564-04-03T00:00:00"/>
    <s v="ชุติกาญจน์"/>
    <s v="ตัดเย็บ"/>
    <s v="PD3พิมพ์"/>
    <s v="คุณภานุมาส"/>
    <n v="640121"/>
    <s v="SPM4032"/>
    <s v="บริษัทเอส พี เอ็ม อาหารสัตว์"/>
    <s v="FWBWT2140108PLM"/>
    <s v="PD464040324"/>
    <x v="0"/>
    <s v="สีลงเต็มสม่ำเสมอ งานพิมพ์ชัดเจน"/>
    <x v="118"/>
    <s v="ผสม"/>
    <s v="ผสม"/>
    <n v="150"/>
    <s v="ใบ"/>
    <m/>
    <m/>
    <d v="2564-04-03T00:00:00"/>
    <d v="2564-04-10T00:00:00"/>
    <d v="2564-04-05T00:00:00"/>
    <s v="PASS"/>
    <d v="2564-04-10T00:00:00"/>
    <m/>
    <m/>
    <m/>
    <m/>
    <s v="PASS"/>
    <d v="2564-04-16T00:00:00"/>
    <s v="PASS"/>
    <d v="2564-04-16T00:00:00"/>
    <m/>
    <m/>
    <s v="ผสม"/>
    <x v="1"/>
    <n v="4"/>
  </r>
  <r>
    <x v="3"/>
    <d v="2564-04-03T00:00:00"/>
    <s v="ชุติกาญจน์"/>
    <s v="ตัดเย็บ"/>
    <s v="PD3พิมพ์"/>
    <s v="คุณภานุมาส"/>
    <n v="640122"/>
    <s v="WO/OCเบทาโกร20430kgSK"/>
    <s v="บริษัทเบทาโกรจำกัดมหาชน"/>
    <s v="FWBWT2038100PL"/>
    <s v="PD464040328"/>
    <x v="5"/>
    <s v="สีลงเต็มสม่ำเสมอ ไม่มีรอยเปื้อน"/>
    <x v="119"/>
    <s v="ส่งลบ"/>
    <s v="ส่งลบ"/>
    <n v="975"/>
    <s v="ใบ"/>
    <m/>
    <m/>
    <d v="2564-04-03T00:00:00"/>
    <d v="2564-04-10T00:00:00"/>
    <d v="2564-04-05T00:00:00"/>
    <s v="PASS"/>
    <d v="2564-04-10T00:00:00"/>
    <m/>
    <m/>
    <m/>
    <m/>
    <s v="PASS"/>
    <d v="2564-04-16T00:00:00"/>
    <s v="PASS"/>
    <d v="2564-04-16T00:00:00"/>
    <m/>
    <m/>
    <s v="ลบสี"/>
    <x v="2"/>
    <n v="4"/>
  </r>
  <r>
    <x v="3"/>
    <d v="2564-04-03T00:00:00"/>
    <s v="ชุติกาญจน์"/>
    <s v="ตัดเย็บ"/>
    <s v="PD3พิมพ์"/>
    <s v="คุณภานุมาส"/>
    <n v="640123"/>
    <s v="WO/OCเบทาโกร10430kgSK"/>
    <s v="บริษัทเบทาโกรจำกัดมหาชน"/>
    <s v="FWBWT203797PL"/>
    <s v="PD464040327"/>
    <x v="1"/>
    <s v="สีลงเต็มสม่ำเสมอ งานพิมพ์ชัดเจน"/>
    <x v="94"/>
    <s v="ผสม3/1"/>
    <s v="ขอผสม3/1"/>
    <n v="600"/>
    <s v="ใบ"/>
    <m/>
    <m/>
    <d v="2564-04-03T00:00:00"/>
    <d v="2564-04-10T00:00:00"/>
    <d v="2564-04-05T00:00:00"/>
    <s v="PASS"/>
    <d v="2564-04-06T00:00:00"/>
    <m/>
    <m/>
    <m/>
    <m/>
    <s v="PASS"/>
    <d v="2564-04-06T00:00:00"/>
    <s v="PASS"/>
    <d v="2564-04-06T00:00:00"/>
    <m/>
    <m/>
    <s v="ขอผสม 3/1"/>
    <x v="1"/>
    <m/>
  </r>
  <r>
    <x v="3"/>
    <d v="2564-04-03T00:00:00"/>
    <s v="ชุติกาญจน์"/>
    <s v="ตัดเย็บ"/>
    <s v="PD3พิมพ์"/>
    <s v="คุณภานุมาส"/>
    <n v="640124"/>
    <s v="TTD36"/>
    <s v="บริษัทไทยธรรมดีจำกัด"/>
    <s v="FWBWT203795P"/>
    <s v="PD464040314"/>
    <x v="2"/>
    <s v="สีลงเต็มสม่ำเสมอ งานพิมพ์ชัดเจน"/>
    <x v="120"/>
    <s v="ส่งแต้ม"/>
    <s v="ส่งแต้ม"/>
    <n v="125"/>
    <s v="ใบ"/>
    <m/>
    <m/>
    <d v="2564-04-03T00:00:00"/>
    <d v="2564-04-10T00:00:00"/>
    <d v="2564-04-05T00:00:00"/>
    <s v="PASS"/>
    <d v="2564-04-06T00:00:00"/>
    <m/>
    <m/>
    <m/>
    <m/>
    <s v="PASS"/>
    <d v="2564-04-06T00:00:00"/>
    <s v="PASS"/>
    <d v="2564-04-06T00:00:00"/>
    <m/>
    <m/>
    <s v="ส่งแต้ม"/>
    <x v="2"/>
    <m/>
  </r>
  <r>
    <x v="3"/>
    <d v="2564-04-05T00:00:00"/>
    <s v="ชุติกาญจน์"/>
    <s v="ตัดเย็บ"/>
    <s v="PD3พิมพ์"/>
    <s v="คุณภานุมาส"/>
    <n v="640125"/>
    <s v="TTD37"/>
    <s v="บริษัทไทยธรรมดีจำกัด"/>
    <s v="FWBWT203795P"/>
    <s v="PD464040513"/>
    <x v="2"/>
    <s v="สีลงเต็มสม่ำเสมอ งานพิมพ์ชัดเจน"/>
    <x v="121"/>
    <s v="คัดแยก"/>
    <s v="คัดแยก"/>
    <n v="138"/>
    <s v="ใบ"/>
    <n v="1115"/>
    <s v="ใบ"/>
    <d v="2564-04-05T00:00:00"/>
    <d v="2564-04-12T00:00:00"/>
    <d v="2564-04-07T00:00:00"/>
    <s v="PASS"/>
    <d v="2564-04-06T00:00:00"/>
    <m/>
    <m/>
    <m/>
    <m/>
    <s v="PASS"/>
    <d v="2564-04-06T00:00:00"/>
    <s v="PASS"/>
    <d v="2564-04-06T00:00:00"/>
    <m/>
    <m/>
    <s v="ลดเกรด ไม่สามารถส่งได้"/>
    <x v="0"/>
    <m/>
  </r>
  <r>
    <x v="3"/>
    <d v="2564-04-05T00:00:00"/>
    <s v="ชุติกาญจน์"/>
    <s v="ตัดเย็บ"/>
    <s v="PD3พิมพ์"/>
    <s v="คุณภานุมาส"/>
    <n v="640126"/>
    <s v="WO/OCเบทาโกร20330kgSK"/>
    <s v="บริษัทเบทาโกรจำกัดมหาชน"/>
    <s v="FWBWT2039102PL"/>
    <s v="PD464040511"/>
    <x v="0"/>
    <s v="สีลงเต็มสม่ำเสมอ งานพิมพ์ชัดเจน"/>
    <x v="122"/>
    <s v="ส่งแต้ม"/>
    <s v="ส่งแต้ม"/>
    <n v="750"/>
    <s v="ใบ"/>
    <m/>
    <m/>
    <d v="2564-04-05T00:00:00"/>
    <d v="2564-04-12T00:00:00"/>
    <d v="2564-04-07T00:00:00"/>
    <s v="PASS"/>
    <d v="2564-04-10T00:00:00"/>
    <m/>
    <m/>
    <m/>
    <m/>
    <s v="PASS"/>
    <d v="2564-04-16T00:00:00"/>
    <s v="PASS"/>
    <d v="2564-04-16T00:00:00"/>
    <m/>
    <m/>
    <s v="แต้ม"/>
    <x v="2"/>
    <n v="4"/>
  </r>
  <r>
    <x v="3"/>
    <d v="2564-04-05T00:00:00"/>
    <s v="ชุติกาญจน์"/>
    <s v="ตัดเย็บ"/>
    <s v="PD3พิมพ์"/>
    <s v="คุณภานุมาส"/>
    <n v="640127"/>
    <s v="WO/OCเบทาโกร20330kgSK"/>
    <s v="บริษัทเบทาโกรจำกัดมหาชน"/>
    <s v="FWBWT2039102PL"/>
    <s v="PD464040511"/>
    <x v="0"/>
    <s v="สีลงเต็มสม่ำเสมอ งานพิมพ์ชัดเจน"/>
    <x v="123"/>
    <s v="ส่งแต้ม"/>
    <s v="ส่งแต้ม"/>
    <n v="200"/>
    <s v="ใบ"/>
    <m/>
    <m/>
    <d v="2564-04-05T00:00:00"/>
    <d v="2564-04-12T00:00:00"/>
    <d v="2564-04-07T00:00:00"/>
    <s v="PASS"/>
    <d v="2564-04-10T00:00:00"/>
    <m/>
    <m/>
    <m/>
    <m/>
    <s v="PASS"/>
    <d v="2564-04-16T00:00:00"/>
    <s v="PASS"/>
    <d v="2564-04-16T00:00:00"/>
    <m/>
    <m/>
    <s v="แต้ม"/>
    <x v="2"/>
    <m/>
  </r>
  <r>
    <x v="3"/>
    <d v="2564-04-05T00:00:00"/>
    <s v="ชุติกาญจน์"/>
    <s v="ตัดเย็บ"/>
    <s v="PD3พิมพ์"/>
    <s v="คุณภานุมาส"/>
    <n v="640128"/>
    <s v="TTD37"/>
    <s v="บริษัทไทยธรรมดีจำกัด"/>
    <s v="FWBWT203795P"/>
    <s v="PD464040513"/>
    <x v="2"/>
    <s v="สีลงเต็มสม่ำเสมอ งานพิมพ์ชัดเจน"/>
    <x v="124"/>
    <s v="ผสม3/1"/>
    <s v="ผสม"/>
    <n v="275"/>
    <s v="ใบ"/>
    <m/>
    <m/>
    <d v="2564-04-05T00:00:00"/>
    <d v="2564-04-12T00:00:00"/>
    <d v="2564-04-07T00:00:00"/>
    <s v="PASS"/>
    <d v="2564-04-10T00:00:00"/>
    <m/>
    <m/>
    <m/>
    <m/>
    <s v="PASS"/>
    <d v="2564-04-16T00:00:00"/>
    <s v="PASS"/>
    <d v="2564-04-16T00:00:00"/>
    <m/>
    <m/>
    <s v="ผสม "/>
    <x v="1"/>
    <m/>
  </r>
  <r>
    <x v="3"/>
    <d v="2564-04-05T00:00:00"/>
    <s v="ชุติกาญจน์"/>
    <s v="ตัดเย็บ"/>
    <s v="PD3พิมพ์"/>
    <s v="คุณภานุมาส"/>
    <n v="640129"/>
    <s v="WO/OCเบทาโกร20330kgSK"/>
    <s v="บริษัทเบทาโกรจำกัดมหาชน"/>
    <s v="FWBWT2039102PL"/>
    <s v="PD464040511"/>
    <x v="0"/>
    <s v="สีลงเต็มสม่ำเสมอ งานพิมพ์ชัดเจน"/>
    <x v="125"/>
    <s v="คัดแยก"/>
    <s v="คัดแยก"/>
    <n v="207"/>
    <s v="ใบ"/>
    <m/>
    <m/>
    <d v="2564-04-05T00:00:00"/>
    <d v="2564-04-12T00:00:00"/>
    <d v="2564-04-07T00:00:00"/>
    <s v="PASS"/>
    <d v="2564-04-10T00:00:00"/>
    <m/>
    <m/>
    <m/>
    <m/>
    <s v="PASS"/>
    <d v="2564-04-16T00:00:00"/>
    <s v="PASS"/>
    <d v="2564-04-16T00:00:00"/>
    <m/>
    <m/>
    <s v="ลดเกรด"/>
    <x v="0"/>
    <m/>
  </r>
  <r>
    <x v="3"/>
    <d v="2564-04-05T00:00:00"/>
    <s v="ชุติกาญจน์"/>
    <s v="ตัดเย็บ"/>
    <s v="PD3พิมพ์"/>
    <s v="คุณภานุมาส"/>
    <n v="640130"/>
    <s v="ซันฟัด007"/>
    <s v="บริษัทซันฟีดจำกัด"/>
    <s v="FWBWT2038100PLM"/>
    <s v="PD464040522"/>
    <x v="4"/>
    <s v="สีลงเต็มสม่ำเสมอ งานพิมพ์ชัดเจน"/>
    <x v="126"/>
    <s v="ผสม50/50"/>
    <s v="ผสม"/>
    <n v="950"/>
    <s v="ใบ"/>
    <m/>
    <m/>
    <d v="2564-04-05T00:00:00"/>
    <d v="2564-04-12T00:00:00"/>
    <d v="2564-04-07T00:00:00"/>
    <s v="PASS"/>
    <d v="2564-04-20T00:00:00"/>
    <m/>
    <m/>
    <m/>
    <m/>
    <s v="PASS"/>
    <d v="2564-04-22T00:00:00"/>
    <s v="PASS"/>
    <d v="2564-04-22T00:00:00"/>
    <m/>
    <m/>
    <s v="ผสม"/>
    <x v="1"/>
    <n v="10"/>
  </r>
  <r>
    <x v="3"/>
    <d v="2564-04-05T00:00:00"/>
    <s v="ชุติกาญจน์"/>
    <s v="ตัดเย็บ"/>
    <s v="PD3พิมพ์"/>
    <s v="คุณภานุมาส"/>
    <n v="640131"/>
    <s v="SPM401"/>
    <s v="บริษัทเอสพีเอ็มอาหารสัตร์จำกัด"/>
    <s v="FWBWT2138102PLM"/>
    <s v="PD464040523"/>
    <x v="4"/>
    <s v="สีลงเต็มสม่ำเสมอ ไม่มีรอยเปื้อน"/>
    <x v="127"/>
    <s v="ส่งลบ"/>
    <s v="ส่งลบ"/>
    <n v="450"/>
    <s v="ใบ"/>
    <m/>
    <m/>
    <d v="2564-04-05T00:00:00"/>
    <d v="2564-04-12T00:00:00"/>
    <d v="2564-04-07T00:00:00"/>
    <s v="PASS"/>
    <d v="2564-04-20T00:00:00"/>
    <m/>
    <m/>
    <m/>
    <m/>
    <s v="PASS"/>
    <d v="2564-04-22T00:00:00"/>
    <s v="PASS"/>
    <d v="2564-04-22T00:00:00"/>
    <m/>
    <m/>
    <s v="ลบสี"/>
    <x v="2"/>
    <n v="10"/>
  </r>
  <r>
    <x v="3"/>
    <d v="2564-04-05T00:00:00"/>
    <s v="ชุติกาญจน์"/>
    <s v="ตัดเย็บ"/>
    <s v="PD3พิมพ์"/>
    <s v="คุณภานุมาส"/>
    <n v="640132"/>
    <s v="SPM401"/>
    <s v="บริษัทเอสพีเอ็มอาหารสัตร์จำกัด"/>
    <s v="FWBWT2138102PLM"/>
    <s v="PD464040523"/>
    <x v="4"/>
    <s v="สีลงเต็มสม่ำเสมอ งานพิมพ์ชัดเจน"/>
    <x v="128"/>
    <s v="ผสม3/1"/>
    <s v="ผสม"/>
    <n v="300"/>
    <s v="ใบ"/>
    <m/>
    <m/>
    <d v="2564-04-05T00:00:00"/>
    <d v="2564-04-12T00:00:00"/>
    <d v="2564-04-07T00:00:00"/>
    <m/>
    <m/>
    <m/>
    <m/>
    <m/>
    <m/>
    <m/>
    <m/>
    <m/>
    <m/>
    <m/>
    <m/>
    <m/>
    <x v="1"/>
    <n v="-242626"/>
  </r>
  <r>
    <x v="3"/>
    <d v="2564-04-06T00:00:00"/>
    <s v="อารีย์พร"/>
    <s v="ตัดเย็บ"/>
    <s v="PD3พิมพ์"/>
    <s v="คุณภานุมาส"/>
    <n v="640133"/>
    <s v="SPM402"/>
    <s v="บริษัทเอสพีเอ็มอาหารสัตร์จำกัด"/>
    <s v="FWBWT2138102PLM"/>
    <s v="PD464040622"/>
    <x v="4"/>
    <s v="สีลงเต็มสม่ำเสมอ งานพิมพ์ชัดเจน"/>
    <x v="122"/>
    <s v="ส่งแต้ม"/>
    <s v="ส่งแต้ม"/>
    <n v="750"/>
    <s v="ใบ"/>
    <m/>
    <m/>
    <d v="2564-04-06T00:00:00"/>
    <d v="2564-04-13T00:00:00"/>
    <d v="2564-04-08T00:00:00"/>
    <m/>
    <m/>
    <m/>
    <m/>
    <m/>
    <m/>
    <m/>
    <m/>
    <m/>
    <m/>
    <m/>
    <m/>
    <m/>
    <x v="2"/>
    <m/>
  </r>
  <r>
    <x v="3"/>
    <d v="2564-04-06T00:00:00"/>
    <s v="อารีย์พร"/>
    <s v="ตัดเย็บ"/>
    <s v="PD3พิมพ์"/>
    <s v="คุณภานุมาส"/>
    <n v="640134"/>
    <s v="SPM402"/>
    <s v="บริษัทเอสพีเอ็มอาหารสัตร์จำกัด"/>
    <s v="FWBWT2138102PLM"/>
    <s v="PD464040622"/>
    <x v="4"/>
    <s v="ใช้สีเขียวผิด"/>
    <x v="129"/>
    <s v="คัดแยก"/>
    <s v="คัดแยก"/>
    <n v="2500"/>
    <s v="ใบ"/>
    <m/>
    <m/>
    <d v="2564-04-06T00:00:00"/>
    <d v="2564-04-13T00:00:00"/>
    <d v="2564-04-08T00:00:00"/>
    <m/>
    <m/>
    <m/>
    <m/>
    <m/>
    <m/>
    <m/>
    <m/>
    <m/>
    <m/>
    <m/>
    <m/>
    <m/>
    <x v="1"/>
    <m/>
  </r>
  <r>
    <x v="3"/>
    <d v="2564-04-06T00:00:00"/>
    <s v="อารีย์พร"/>
    <s v="ตัดเย็บ"/>
    <s v="PD3พิมพ์"/>
    <s v="คุณภานุมาส"/>
    <n v="640135"/>
    <s v="เบทาโกร215"/>
    <s v="บริษัทเบทาโกรจำกัดมหาชน"/>
    <s v="FWBWT203984P"/>
    <s v="PD464040616"/>
    <x v="0"/>
    <s v="สีลงเต็มสม่ำเสมอ งานพิมพ์ชัดเจน"/>
    <x v="130"/>
    <s v="ผสม"/>
    <s v="ผสม"/>
    <n v="250"/>
    <s v="ใบ"/>
    <m/>
    <m/>
    <d v="2564-04-06T00:00:00"/>
    <d v="2564-04-13T00:00:00"/>
    <d v="2564-04-08T00:00:00"/>
    <s v="PASS"/>
    <d v="2564-04-10T00:00:00"/>
    <m/>
    <m/>
    <m/>
    <m/>
    <s v="PASS"/>
    <d v="2564-04-16T00:00:00"/>
    <s v="PASS"/>
    <d v="2564-04-16T00:00:00"/>
    <m/>
    <m/>
    <s v="ผสม"/>
    <x v="1"/>
    <n v="2"/>
  </r>
  <r>
    <x v="3"/>
    <d v="2564-04-07T00:00:00"/>
    <s v="อารีย์พร"/>
    <s v="ตัดเย็บ"/>
    <s v="PD3พิมพ์"/>
    <s v="คุณภานุมาส"/>
    <n v="640136"/>
    <s v="SPM4133"/>
    <s v="บริษัทเอสพีเอ็มอาหารสัตร์จำกัด"/>
    <s v="FWBWT2140108PLM"/>
    <s v="PD464040711"/>
    <x v="0"/>
    <s v="สีลงเต็มสม่ำเสมอ งานพิมพ์ชัดเจน"/>
    <x v="131"/>
    <s v="ส่งแต้ม"/>
    <s v="ส่งแต้ม"/>
    <n v="160"/>
    <s v="ใบ"/>
    <m/>
    <m/>
    <d v="2564-04-07T00:00:00"/>
    <d v="2564-04-14T00:00:00"/>
    <d v="2564-04-09T00:00:00"/>
    <s v="PASS"/>
    <d v="2564-04-10T00:00:00"/>
    <m/>
    <m/>
    <m/>
    <m/>
    <s v="PASS"/>
    <d v="2564-04-16T00:00:00"/>
    <s v="PASS"/>
    <d v="2564-04-16T00:00:00"/>
    <m/>
    <m/>
    <s v="แต้ม SPM ผสมส่งลูกค้า"/>
    <x v="1"/>
    <m/>
  </r>
  <r>
    <x v="3"/>
    <d v="2564-04-07T00:00:00"/>
    <s v="อารีย์พร"/>
    <s v="ตัดเย็บ"/>
    <s v="PD3พิมพ์"/>
    <s v="คุณภานุมาส"/>
    <n v="640137"/>
    <s v="นิค101S"/>
    <s v="บริษัท เอ็นบี ดิสทรีบิวชั่น จำกัด"/>
    <s v="FWBWT2137100PL"/>
    <s v="PD464040715"/>
    <x v="2"/>
    <s v="สีลงเต็มสม่ำเสมอ งานพิมพ์ชัดเจน"/>
    <x v="132"/>
    <s v="ผสม3/1"/>
    <s v="ผสม"/>
    <n v="150"/>
    <s v="ใบ"/>
    <m/>
    <m/>
    <d v="2564-04-07T00:00:00"/>
    <d v="2564-04-14T00:00:00"/>
    <d v="2564-04-09T00:00:00"/>
    <s v="PASS"/>
    <d v="2564-04-10T00:00:00"/>
    <m/>
    <m/>
    <m/>
    <m/>
    <s v="PASS"/>
    <d v="2564-04-16T00:00:00"/>
    <s v="PASS"/>
    <d v="2564-04-16T00:00:00"/>
    <m/>
    <m/>
    <s v="ผสม"/>
    <x v="1"/>
    <m/>
  </r>
  <r>
    <x v="3"/>
    <d v="2564-04-08T00:00:00"/>
    <s v="อารีย์พร"/>
    <s v="ตัดเย็บ"/>
    <s v="PD3พิมพ์"/>
    <s v="คุณภานุมาส"/>
    <n v="640138"/>
    <s v="WB/OCบาลานส์953 SK"/>
    <s v="บริษัทเบทาโกรจำกัดมหาชน"/>
    <s v="FWBWT203797PL"/>
    <s v="PD464040820"/>
    <x v="2"/>
    <s v="สีลงเต็มสม่ำเสมอ ไม่มีรอยเปื้อน"/>
    <x v="133"/>
    <s v="ส่งลบ"/>
    <s v="ส่งลบ"/>
    <n v="279"/>
    <s v="ใบ"/>
    <m/>
    <m/>
    <d v="2564-04-08T00:00:00"/>
    <d v="2564-04-15T00:00:00"/>
    <d v="2564-04-10T00:00:00"/>
    <s v="PASS"/>
    <d v="2564-04-10T00:00:00"/>
    <m/>
    <m/>
    <m/>
    <m/>
    <s v="PASS"/>
    <d v="2564-04-16T00:00:00"/>
    <s v="PASS"/>
    <d v="2564-04-16T00:00:00"/>
    <m/>
    <m/>
    <s v="ลบสี"/>
    <x v="2"/>
    <m/>
  </r>
  <r>
    <x v="3"/>
    <d v="2564-04-08T00:00:00"/>
    <s v="อารีย์พร"/>
    <s v="ตัดเย็บ"/>
    <s v="PD2ทอ"/>
    <s v="คุณภานุมาส"/>
    <n v="640139"/>
    <s v="เบทาโกร 405"/>
    <s v="บริษัทเบทาโกรจำกัดมหาชน"/>
    <s v="FWBWT203780P"/>
    <s v="PD464040816"/>
    <x v="9"/>
    <s v="ทอ2/1 ไม่มีเส้นเทปหลุด"/>
    <x v="134"/>
    <s v="ให้ดึงออก"/>
    <s v="ดึงออก"/>
    <n v="600"/>
    <s v="ใบ"/>
    <m/>
    <m/>
    <d v="2564-04-08T00:00:00"/>
    <d v="2564-04-15T00:00:00"/>
    <d v="2564-04-10T00:00:00"/>
    <s v="PASS"/>
    <d v="2564-04-22T00:00:00"/>
    <m/>
    <m/>
    <m/>
    <m/>
    <s v="PASS"/>
    <d v="2564-04-24T00:00:00"/>
    <s v="PASS"/>
    <d v="2564-04-24T00:00:00"/>
    <m/>
    <m/>
    <s v="ตัดออก"/>
    <x v="2"/>
    <m/>
  </r>
  <r>
    <x v="3"/>
    <d v="2564-04-09T00:00:00"/>
    <s v="อารีย์พร"/>
    <s v="ตัดเย็บ"/>
    <s v="PD3พิมพ์"/>
    <s v="คุณภานุมาส"/>
    <n v="640140"/>
    <s v="WB/OCเบทาโกร 204 30kg SK"/>
    <s v="บริษัทเบทาโกรจำกัดมหาชน"/>
    <s v="FWBWT2038100PL"/>
    <s v="PD464040910"/>
    <x v="5"/>
    <s v="สีลงเต็มสม่ำเสมอ งานพิมพ์ชัดเจน"/>
    <x v="135"/>
    <s v="ส่งแต้ม"/>
    <s v="ส่งแต้ม"/>
    <n v="1161"/>
    <s v="ใบ"/>
    <m/>
    <m/>
    <d v="2564-04-09T00:00:00"/>
    <d v="2564-04-16T00:00:00"/>
    <d v="2564-04-11T00:00:00"/>
    <s v="PASS"/>
    <d v="2564-04-20T00:00:00"/>
    <m/>
    <m/>
    <m/>
    <m/>
    <s v="PASS"/>
    <d v="2564-04-21T00:00:00"/>
    <s v="PASS"/>
    <d v="2564-04-21T00:00:00"/>
    <m/>
    <m/>
    <s v="แต้ม"/>
    <x v="2"/>
    <m/>
  </r>
  <r>
    <x v="3"/>
    <d v="2564-04-09T00:00:00"/>
    <s v="ชุติกาญจน์"/>
    <s v="ตัดเย็บ"/>
    <s v="PD3พิมพ์"/>
    <s v="คุณภานุมาส"/>
    <n v="640141"/>
    <s v="โมโม่4133"/>
    <s v="บริษัทเอสพีเอ็มอาหารสัตร์จำกัด"/>
    <s v="FWBWT2140108PLM"/>
    <s v="PD464040919"/>
    <x v="0"/>
    <s v="สีลงเต็มสม่ำเสมอ ไม่มีรอยเปื้อน"/>
    <x v="136"/>
    <s v="ส่งลบ"/>
    <s v="ส่งลบ"/>
    <n v="300"/>
    <s v="ใบ"/>
    <m/>
    <m/>
    <d v="2564-04-09T00:00:00"/>
    <d v="2564-04-16T00:00:00"/>
    <d v="2564-04-11T00:00:00"/>
    <s v="PASS"/>
    <d v="2564-04-20T00:00:00"/>
    <m/>
    <m/>
    <m/>
    <m/>
    <s v="PASS"/>
    <d v="2564-04-21T00:00:00"/>
    <s v="PASS"/>
    <d v="2564-04-21T00:00:00"/>
    <m/>
    <m/>
    <s v="ส่งลบ"/>
    <x v="2"/>
    <m/>
  </r>
  <r>
    <x v="3"/>
    <d v="2564-04-10T00:00:00"/>
    <s v="ชุติกาญจน์"/>
    <s v="ตัดเย็บ"/>
    <s v="PD3พิมพ์"/>
    <s v="คุณภานุมาส"/>
    <n v="640142"/>
    <s v="ไก่ไข่"/>
    <s v="บริษัทซันฟีดจำกัด"/>
    <s v="FWBWT203882P"/>
    <s v="PD464041003"/>
    <x v="4"/>
    <s v="สีลงเต็มสม่ำเสมอ ไม่มีรอยเปื้อน"/>
    <x v="137"/>
    <s v="ส่งลบ"/>
    <s v="ส่งลบ"/>
    <n v="650"/>
    <s v="ใบ"/>
    <m/>
    <m/>
    <d v="2564-04-10T00:00:00"/>
    <d v="2564-04-17T00:00:00"/>
    <d v="2564-04-12T00:00:00"/>
    <s v="PASS"/>
    <d v="2564-04-20T00:00:00"/>
    <m/>
    <m/>
    <m/>
    <m/>
    <s v="PASS"/>
    <d v="2564-04-22T00:00:00"/>
    <s v="PASS"/>
    <d v="2564-04-22T00:00:00"/>
    <m/>
    <m/>
    <s v="ลบสี"/>
    <x v="2"/>
    <m/>
  </r>
  <r>
    <x v="3"/>
    <d v="2564-04-10T00:00:00"/>
    <s v="ชุติกาญจน์"/>
    <s v="ตัดเย็บ"/>
    <s v="PD3พิมพ์"/>
    <s v="คุณภานุมาส"/>
    <n v="640143"/>
    <s v="WB/OCเบทาโกร203 SK"/>
    <s v="บริษัทเบทาโกรจำกัดมหาชน"/>
    <s v="FWBWT2039102PL"/>
    <s v="PD464041015"/>
    <x v="0"/>
    <s v="สีลงเต็มสม่ำเสมอ งานพิมพ์ชัดเจน"/>
    <x v="138"/>
    <s v="คัดแยก"/>
    <s v="คัดแยก"/>
    <n v="480"/>
    <s v="ใบ"/>
    <m/>
    <m/>
    <d v="2564-04-10T00:00:00"/>
    <d v="2564-04-17T00:00:00"/>
    <d v="2564-04-12T00:00:00"/>
    <s v="PASS"/>
    <d v="2564-04-20T00:00:00"/>
    <m/>
    <m/>
    <m/>
    <m/>
    <s v="PASS"/>
    <d v="2564-04-21T00:00:00"/>
    <s v="PASS"/>
    <d v="2564-04-21T00:00:00"/>
    <m/>
    <m/>
    <s v="ลดเกรด"/>
    <x v="0"/>
    <m/>
  </r>
  <r>
    <x v="3"/>
    <d v="2564-04-16T00:00:00"/>
    <s v="ชุติกาญจน์"/>
    <s v="ตัดเย็บ"/>
    <s v="PD3พิมพ์"/>
    <s v="คุณภานุมาส"/>
    <n v="640144"/>
    <s v="WB/OCเบทาโกร203 SK"/>
    <s v="บริษัทเบทาโกรจำกัดมหาชน"/>
    <s v="FWBWT2039102PL"/>
    <s v="PD464041615"/>
    <x v="0"/>
    <s v="สีลงเต็มสม่ำเสมอ ไม่มีรอยเปื้อน"/>
    <x v="139"/>
    <s v="ส่งลบ"/>
    <s v="ส่งลบ"/>
    <n v="1881"/>
    <s v="ใบ"/>
    <m/>
    <m/>
    <d v="2564-04-16T00:00:00"/>
    <d v="2564-04-23T00:00:00"/>
    <d v="2564-04-18T00:00:00"/>
    <s v="PASS"/>
    <d v="2564-04-22T00:00:00"/>
    <m/>
    <m/>
    <m/>
    <m/>
    <s v="PASS"/>
    <d v="2564-04-22T00:00:00"/>
    <s v="PASS"/>
    <d v="2564-04-22T00:00:00"/>
    <m/>
    <m/>
    <s v="ลบสี"/>
    <x v="2"/>
    <m/>
  </r>
  <r>
    <x v="3"/>
    <d v="2564-04-17T00:00:00"/>
    <s v="ชุติกาญจน์"/>
    <s v="ตัดเย็บ"/>
    <s v="PD3พิมพ์"/>
    <s v="คุณภานุมาส"/>
    <n v="640145"/>
    <n v="932"/>
    <s v="บริษัทซันฟีดจำกัด"/>
    <s v="FWBWT203882P"/>
    <s v="PD464041716"/>
    <x v="4"/>
    <s v="สีลงเต็มสม่ำเสมอ ไม่มีรอยเปื้อน"/>
    <x v="140"/>
    <s v="ส่งลบ"/>
    <s v="ส่งลบ"/>
    <n v="500"/>
    <s v="ใบ"/>
    <m/>
    <m/>
    <d v="2564-04-17T00:00:00"/>
    <d v="2564-04-24T00:00:00"/>
    <d v="2564-04-19T00:00:00"/>
    <s v="PASS"/>
    <d v="2564-04-20T00:00:00"/>
    <m/>
    <m/>
    <m/>
    <m/>
    <s v="PASS"/>
    <d v="2564-04-22T00:00:00"/>
    <s v="PASS"/>
    <d v="2564-04-22T00:00:00"/>
    <m/>
    <m/>
    <s v="ลบสี"/>
    <x v="2"/>
    <m/>
  </r>
  <r>
    <x v="3"/>
    <d v="2564-04-17T00:00:00"/>
    <s v="ชุติกาญจน์"/>
    <s v="ตัดเย็บ"/>
    <s v="PD3พิมพ์"/>
    <s v="คุณภานุมาส"/>
    <n v="640146"/>
    <s v="WB/OCบาลานส์924M 30kgSK"/>
    <s v="บริษัทเบทาโกรจำกัดมหาชน"/>
    <s v="FWBWT2038100PL"/>
    <s v="PD464041711"/>
    <x v="5"/>
    <s v="สีลงเต็มสม่ำเสมอ ไม่มีรอยเปื้อน"/>
    <x v="141"/>
    <s v="ส่งลบ"/>
    <s v="ส่งลบ"/>
    <n v="375"/>
    <s v="ใบ"/>
    <m/>
    <m/>
    <d v="2564-04-17T00:00:00"/>
    <d v="2564-04-24T00:00:00"/>
    <d v="2564-04-19T00:00:00"/>
    <s v="PASS"/>
    <d v="2564-04-20T00:00:00"/>
    <m/>
    <m/>
    <m/>
    <m/>
    <s v="PASS"/>
    <d v="2564-04-22T00:00:00"/>
    <s v="PASS"/>
    <d v="2564-04-22T00:00:00"/>
    <m/>
    <m/>
    <s v="ลบสี"/>
    <x v="2"/>
    <m/>
  </r>
  <r>
    <x v="3"/>
    <d v="2564-04-17T00:00:00"/>
    <s v="ชุติกาญจน์"/>
    <s v="ตัดเย็บ"/>
    <s v="PD3พิมพ์"/>
    <s v="คุณภานุมาส"/>
    <n v="640147"/>
    <s v="WB/OCบาลานส์924M 30kgSK"/>
    <s v="บริษัทเบทาโกรจำกัดมหาชน"/>
    <s v="FWBWT2038100PL"/>
    <s v="PD464041711"/>
    <x v="5"/>
    <s v="สีลงเต็มสม่ำเสมอ งานพิมพ์ชัดเจน"/>
    <x v="142"/>
    <s v="แซม"/>
    <s v="แซม"/>
    <n v="130"/>
    <s v="ใบ"/>
    <m/>
    <m/>
    <d v="2564-04-17T00:00:00"/>
    <d v="2564-04-24T00:00:00"/>
    <d v="2564-04-19T00:00:00"/>
    <s v="PASS"/>
    <d v="2564-04-20T00:00:00"/>
    <m/>
    <m/>
    <m/>
    <m/>
    <s v="PASS"/>
    <d v="2564-04-22T00:00:00"/>
    <s v="PASS"/>
    <d v="2564-04-22T00:00:00"/>
    <m/>
    <m/>
    <s v="เล็กๆแซม"/>
    <x v="1"/>
    <m/>
  </r>
  <r>
    <x v="3"/>
    <d v="2564-04-17T00:00:00"/>
    <s v="ชุติกาญจน์"/>
    <s v="ตัดเย็บ"/>
    <s v="PD3พิมพ์"/>
    <s v="คุณภานุมาส"/>
    <n v="640148"/>
    <s v="ถุงเงิน"/>
    <s v="บริษัทเคอรี่ฟลาวมิลล์จำกัด"/>
    <s v="FWBWT193060P"/>
    <s v="PD464041725"/>
    <x v="3"/>
    <s v="สีลงเต็มสม่ำเสมอ ไม่มีรอยเปื้อน"/>
    <x v="143"/>
    <s v="ส่งลบ"/>
    <s v="ส่งลบ"/>
    <n v="300"/>
    <s v="ใบ"/>
    <m/>
    <m/>
    <d v="2564-04-17T00:00:00"/>
    <d v="2564-04-24T00:00:00"/>
    <d v="2564-04-19T00:00:00"/>
    <s v="PASS"/>
    <d v="2564-04-20T00:00:00"/>
    <m/>
    <m/>
    <m/>
    <m/>
    <s v="PASS"/>
    <d v="2564-04-22T00:00:00"/>
    <s v="PASS"/>
    <d v="2564-04-22T00:00:00"/>
    <m/>
    <m/>
    <s v="ลบสี"/>
    <x v="2"/>
    <m/>
  </r>
  <r>
    <x v="3"/>
    <d v="2564-04-20T00:00:00"/>
    <s v="ชุติกาญจน์"/>
    <s v="ตัดเย็บ"/>
    <s v="PD3พิมพ์"/>
    <s v="คุณภานุมาส"/>
    <n v="640149"/>
    <s v="เมล็ดข้าวทอง(ฟ้า)"/>
    <s v="บริษัทร้านวิชิตพันธ์ข้าว"/>
    <s v="FWBWT233468P"/>
    <s v="PD464042002"/>
    <x v="0"/>
    <s v="สีลงเต็มสม่ำเสมอ ไม่มีรอยเปื้อน"/>
    <x v="144"/>
    <s v="ส่งลบ"/>
    <s v="ส่งลบ"/>
    <n v="200"/>
    <s v="ใบ"/>
    <m/>
    <m/>
    <d v="2564-04-20T00:00:00"/>
    <d v="2564-04-27T00:00:00"/>
    <d v="2564-04-22T00:00:00"/>
    <s v="PASS"/>
    <d v="2564-05-06T00:00:00"/>
    <m/>
    <m/>
    <m/>
    <m/>
    <s v="PASS"/>
    <d v="2564-05-06T00:00:00"/>
    <m/>
    <d v="2564-05-06T00:00:00"/>
    <m/>
    <m/>
    <s v="ผสม"/>
    <x v="1"/>
    <m/>
  </r>
  <r>
    <x v="3"/>
    <d v="2564-04-20T00:00:00"/>
    <s v="ชุติกาญจน์"/>
    <s v="ตัดเย็บ"/>
    <s v="PD3พิมพ์"/>
    <s v="คุณภานุมาส"/>
    <n v="640150"/>
    <s v="โมโม่4132"/>
    <s v="บริษัท เอส พี เอ็ม อาหารสัตว์ จำกัด"/>
    <s v="FWBWT2140108PLM"/>
    <s v="PD464042027"/>
    <x v="4"/>
    <s v="สีลงเต็มสม่ำเสมอ ไม่มีรอยเปื้อน"/>
    <x v="145"/>
    <s v="ส่งลบ"/>
    <s v="ส่งลบ"/>
    <n v="675"/>
    <s v="ใบ"/>
    <m/>
    <m/>
    <d v="2564-04-20T00:00:00"/>
    <d v="2564-04-27T00:00:00"/>
    <d v="2564-04-22T00:00:00"/>
    <s v="PASS"/>
    <d v="2564-04-27T00:00:00"/>
    <m/>
    <m/>
    <m/>
    <m/>
    <s v="PASS"/>
    <d v="2564-04-29T00:00:00"/>
    <s v="PASS"/>
    <d v="2564-04-29T00:00:00"/>
    <m/>
    <m/>
    <s v="ลบสี"/>
    <x v="2"/>
    <n v="2"/>
  </r>
  <r>
    <x v="3"/>
    <d v="2564-04-20T00:00:00"/>
    <s v="อารีย์พร"/>
    <s v="ตัดเย็บ"/>
    <s v="PD3พิมพ์"/>
    <s v="คุณภานุมาส"/>
    <n v="640151"/>
    <s v="ผึ้งเหลือง"/>
    <s v="บริษัทเพรซิเดนท์ฟลาวมิลล์"/>
    <s v="FWBWT193060P"/>
    <s v="PD464042016"/>
    <x v="3"/>
    <s v="สีลงเต็มสม่ำเสมอ ไม่มีรอยเปื้อน"/>
    <x v="146"/>
    <s v="ส่งลบ"/>
    <s v="ส่งลบ"/>
    <n v="2150"/>
    <s v="ใบ"/>
    <m/>
    <m/>
    <d v="2564-04-20T00:00:00"/>
    <d v="2564-04-27T00:00:00"/>
    <d v="2564-04-22T00:00:00"/>
    <s v="PASS"/>
    <d v="2564-04-22T00:00:00"/>
    <m/>
    <m/>
    <m/>
    <m/>
    <s v="PASS"/>
    <d v="2564-04-22T00:00:00"/>
    <s v="PASS"/>
    <d v="2564-04-22T00:00:00"/>
    <m/>
    <m/>
    <s v="ลบสี"/>
    <x v="2"/>
    <n v="-6"/>
  </r>
  <r>
    <x v="3"/>
    <d v="2564-04-21T00:00:00"/>
    <s v="ชุติกาญจน์"/>
    <s v="ตัดเย็บ"/>
    <s v="PD3พิมพ์"/>
    <s v="คุณภานุมาส"/>
    <n v="640152"/>
    <s v="SPM170 "/>
    <s v="บริษัท เอส พี เอ็ม อาหารสัตว์ จำกัด"/>
    <s v="FWBWT203880P"/>
    <s v="PD464042112"/>
    <x v="4"/>
    <s v="สีลงเต็มสม่ำเสมอ ไม่มีรอยเปื้อน"/>
    <x v="147"/>
    <s v="ส่งลบ"/>
    <s v="ส่งลบ"/>
    <n v="200"/>
    <s v="ใบ"/>
    <m/>
    <m/>
    <d v="2564-04-21T00:00:00"/>
    <d v="2564-04-28T00:00:00"/>
    <d v="2564-04-23T00:00:00"/>
    <s v="PASS"/>
    <d v="2564-04-27T00:00:00"/>
    <m/>
    <m/>
    <m/>
    <m/>
    <s v="PASS"/>
    <d v="2564-04-29T00:00:00"/>
    <s v="PASS"/>
    <d v="2564-04-29T00:00:00"/>
    <m/>
    <m/>
    <s v="ลบสี"/>
    <x v="2"/>
    <n v="0"/>
  </r>
  <r>
    <x v="3"/>
    <d v="2564-04-22T00:00:00"/>
    <s v="ชุติกาญจน์"/>
    <s v="ตัดเย็บ"/>
    <s v="PD3พิมพ์"/>
    <s v="คุณภานุมาส"/>
    <n v="640153"/>
    <s v="ส.บุญรวมพันธุ์ข้าว (แดง)"/>
    <s v="บริษํทส.บุญรวมไรซ์ อินเตอร์เทรดจำกัด"/>
    <s v="FWBWT203468P"/>
    <s v="PD464042205"/>
    <x v="2"/>
    <s v="สีลงเต็มสม่ำเสมอ ผ้าเรียบ"/>
    <x v="148"/>
    <s v="คัดแยก"/>
    <s v="คัดแยก"/>
    <n v="218"/>
    <s v="ใบ"/>
    <m/>
    <m/>
    <d v="2564-04-22T00:00:00"/>
    <d v="2564-04-29T00:00:00"/>
    <d v="2564-04-24T00:00:00"/>
    <s v="PASS"/>
    <d v="2564-04-24T00:00:00"/>
    <m/>
    <m/>
    <m/>
    <m/>
    <s v="PASS"/>
    <d v="2564-04-27T00:00:00"/>
    <s v="PASS"/>
    <d v="2564-04-27T00:00:00"/>
    <m/>
    <m/>
    <s v="ผสมปรึกษา MK"/>
    <x v="1"/>
    <n v="-2"/>
  </r>
  <r>
    <x v="3"/>
    <d v="2564-04-22T00:00:00"/>
    <s v="ชุติกาญจน์"/>
    <s v="ตัดเย็บ"/>
    <s v="PD3พิมพ์"/>
    <s v="คุณภานุมาส"/>
    <n v="640154"/>
    <s v="WB/OC เบทาโกร306SK"/>
    <s v="บริษัทเบทาโกรจำกัดมหาชน"/>
    <s v="FWBWT203797PL"/>
    <s v="PD464042402"/>
    <x v="5"/>
    <s v="สีลงเต็มสม่ำเสมอ ไม่มีรอยเปื้อน"/>
    <x v="149"/>
    <s v="คัดแยก"/>
    <s v="คัดแยก"/>
    <n v="375"/>
    <s v="ใบ"/>
    <m/>
    <m/>
    <d v="2564-04-22T00:00:00"/>
    <d v="2564-04-29T00:00:00"/>
    <d v="2564-04-24T00:00:00"/>
    <s v="PASS"/>
    <d v="2564-04-27T00:00:00"/>
    <m/>
    <m/>
    <m/>
    <m/>
    <s v="PASS"/>
    <d v="2564-04-29T00:00:00"/>
    <s v="PASS"/>
    <d v="2564-04-29T00:00:00"/>
    <m/>
    <m/>
    <s v="ลบสี"/>
    <x v="2"/>
    <n v="-4"/>
  </r>
  <r>
    <x v="3"/>
    <d v="2564-04-24T00:00:00"/>
    <s v="ชุติกาญจน์"/>
    <s v="ตัดเย็บ"/>
    <s v="PD3พิมพ์"/>
    <s v="คุณภานุมาส"/>
    <n v="640155"/>
    <s v="ผึ้งเหลือง"/>
    <s v="บริษัท เพรซิเดนท์ฟลาวมิลล์จำกัด"/>
    <s v="FWBWT193060P"/>
    <s v="PD464042217"/>
    <x v="3"/>
    <s v="สีลงเต็มสม่ำเสมอ ไม่มีรอยเปื้อน"/>
    <x v="150"/>
    <s v="คัดแยก"/>
    <s v="คัดแยก"/>
    <n v="2425"/>
    <s v="ใบ"/>
    <m/>
    <m/>
    <d v="2564-04-24T00:00:00"/>
    <d v="2564-05-01T00:00:00"/>
    <d v="2564-04-26T00:00:00"/>
    <s v="PASS"/>
    <d v="2564-04-26T00:00:00"/>
    <m/>
    <m/>
    <m/>
    <m/>
    <s v="PASS"/>
    <d v="2564-04-27T00:00:00"/>
    <s v="PASS"/>
    <d v="2564-04-27T00:00:00"/>
    <m/>
    <m/>
    <s v="ลบสีที่ไรๆ ปรึกษา MK ขอไป"/>
    <x v="2"/>
    <m/>
  </r>
  <r>
    <x v="3"/>
    <d v="2564-04-26T00:00:00"/>
    <s v="ชุติกาญจน์"/>
    <s v="ตัดเย็บ"/>
    <s v="PD3พิมพ์"/>
    <s v="คุณภานุมาส"/>
    <n v="640156"/>
    <s v="JET 105"/>
    <s v="บริษัท วี ซี เอฟ จำกัด"/>
    <s v="FWBWT2037100PL"/>
    <s v="PD464042610"/>
    <x v="5"/>
    <s v="สีลงเต็มสม่ำเสมอ งานพิมพ์ชัดเจน"/>
    <x v="151"/>
    <s v="ผสม3/1"/>
    <s v="ผสม"/>
    <n v="116"/>
    <s v="ใบ"/>
    <m/>
    <m/>
    <d v="2564-04-26T00:00:00"/>
    <d v="2564-05-03T00:00:00"/>
    <d v="2564-04-28T00:00:00"/>
    <s v="PASS"/>
    <d v="2564-04-30T00:00:00"/>
    <m/>
    <m/>
    <m/>
    <m/>
    <s v="PASS"/>
    <d v="2564-04-30T00:00:00"/>
    <s v="PASS"/>
    <d v="2564-04-30T00:00:00"/>
    <m/>
    <m/>
    <s v="ผสม"/>
    <x v="1"/>
    <n v="-3"/>
  </r>
  <r>
    <x v="3"/>
    <d v="2564-04-26T00:00:00"/>
    <s v="ชุติกาญจน์"/>
    <s v="ตัดเย็บ"/>
    <s v="PD3พิมพ์"/>
    <s v="คุณภานุมาส"/>
    <n v="640157"/>
    <s v="ไก่เหยียบศรชวลิต"/>
    <s v="บริษัทกบินทร์อินทรีย์"/>
    <s v="FWBWT264197P"/>
    <s v="PD464042602"/>
    <x v="0"/>
    <s v="สีลงเต็มสม่ำเสมอ งานพิมพ์ชัดเจน"/>
    <x v="152"/>
    <s v="ผสม"/>
    <s v="ผสม"/>
    <n v="125"/>
    <s v="ใบ"/>
    <m/>
    <m/>
    <d v="2564-04-26T00:00:00"/>
    <d v="2564-05-03T00:00:00"/>
    <d v="2564-04-28T00:00:00"/>
    <s v="PASS"/>
    <d v="2564-05-06T00:00:00"/>
    <m/>
    <m/>
    <m/>
    <m/>
    <s v="PASS"/>
    <d v="2564-05-06T00:00:00"/>
    <s v="PASS"/>
    <d v="2564-05-06T00:00:00"/>
    <m/>
    <m/>
    <s v="ผสม"/>
    <x v="1"/>
    <n v="2"/>
  </r>
  <r>
    <x v="3"/>
    <d v="2564-04-26T00:00:00"/>
    <s v="ชุติกาญจน์"/>
    <s v="QAPD3"/>
    <s v="PD3พิมพ์"/>
    <s v="คุณภานุมาส"/>
    <n v="640158"/>
    <s v="เฮียใช้ (น้ำเงิน)"/>
    <s v="บริษัท นาเฮียใช้ จำกัด"/>
    <s v="FWBWT233468P"/>
    <s v="PD6404217"/>
    <x v="2"/>
    <s v="งานพิมพ์สีตามอาร์ต"/>
    <x v="153"/>
    <s v="แยกเบลส่ง"/>
    <s v="แยกเบล"/>
    <n v="1580"/>
    <s v="ใบ"/>
    <m/>
    <m/>
    <d v="2564-04-26T00:00:00"/>
    <d v="2564-05-03T00:00:00"/>
    <d v="2564-04-28T00:00:00"/>
    <s v="PASS"/>
    <d v="2564-05-10T00:00:00"/>
    <m/>
    <m/>
    <m/>
    <m/>
    <s v="PASS"/>
    <d v="2564-05-12T00:00:00"/>
    <s v="PASS"/>
    <d v="2564-05-12T00:00:00"/>
    <m/>
    <m/>
    <s v="ปรึกษา MK  แยกอัดเบลส่งลูกค้า"/>
    <x v="1"/>
    <n v="8"/>
  </r>
  <r>
    <x v="3"/>
    <d v="2564-04-27T00:00:00"/>
    <s v="ชุติกาญจน์"/>
    <s v="ตัดเย็บ"/>
    <s v="PD3พิมพ์"/>
    <s v="คุณภานุมาส"/>
    <n v="640159"/>
    <s v="WBใช้ในฟาร์ม303sk"/>
    <s v="บริษัทเบทาโกรจำกัดมหาชน"/>
    <s v="FWBWT203770P"/>
    <s v="PD464042701"/>
    <x v="4"/>
    <s v="สีลงเต็มสม่ำเสมอ ไม่มีรอยเปื้อน"/>
    <x v="154"/>
    <s v="คัดแยก"/>
    <s v="คัดแยก"/>
    <n v="525"/>
    <s v="ใบ"/>
    <m/>
    <m/>
    <d v="2564-04-27T00:00:00"/>
    <d v="2564-05-04T00:00:00"/>
    <d v="2564-04-29T00:00:00"/>
    <m/>
    <m/>
    <m/>
    <m/>
    <m/>
    <m/>
    <m/>
    <m/>
    <m/>
    <m/>
    <m/>
    <m/>
    <m/>
    <x v="2"/>
    <n v="-242647"/>
  </r>
  <r>
    <x v="3"/>
    <d v="2564-04-27T00:00:00"/>
    <s v="ชุติกาญจน์"/>
    <s v="ตัดเย็บ"/>
    <s v="PD3พิมพ์"/>
    <s v="คุณภานุมาส"/>
    <n v="640160"/>
    <s v="BABA RICE 50 kg"/>
    <s v="Mr.Mathias Orakaobi"/>
    <s v="FWBWT2337130P"/>
    <s v="PD464042708"/>
    <x v="5"/>
    <s v="สีลงเต็มสม่ำเสมอ งานพิมพ์ชัดเจน"/>
    <x v="155"/>
    <s v="คัดแยก"/>
    <s v="คัดแยก"/>
    <n v="111"/>
    <s v="ใบ"/>
    <m/>
    <m/>
    <d v="2564-04-27T00:00:00"/>
    <d v="2564-05-04T00:00:00"/>
    <d v="2564-04-29T00:00:00"/>
    <s v="PASS"/>
    <d v="2564-04-30T00:00:00"/>
    <m/>
    <m/>
    <m/>
    <m/>
    <s v="PASS"/>
    <d v="2564-04-30T00:00:00"/>
    <s v="PASS"/>
    <d v="2564-04-30T00:00:00"/>
    <m/>
    <m/>
    <s v="ลดเกรด"/>
    <x v="0"/>
    <n v="-5"/>
  </r>
  <r>
    <x v="3"/>
    <d v="2564-04-28T00:00:00"/>
    <s v="ชุติกาญจน์"/>
    <s v="ตัดเย็บ"/>
    <s v="PD3พิมพ์"/>
    <s v="คุณภานุมาส"/>
    <n v="640161"/>
    <s v="WBฟาร์มF932 30kg"/>
    <s v="บริษัทเบทาโกรจำกัดมหาชน"/>
    <s v="FWBWT203780P"/>
    <s v="PD464042813"/>
    <x v="4"/>
    <s v="งานพิมพ์ชัดเจน ไม่มีรอยเปื่อน"/>
    <x v="156"/>
    <s v="คัดแยก/ส่งลบ"/>
    <s v="คัดแยก"/>
    <n v="700"/>
    <s v="ใบ"/>
    <m/>
    <m/>
    <d v="2564-04-28T00:00:00"/>
    <d v="2564-05-05T00:00:00"/>
    <d v="2564-04-30T00:00:00"/>
    <s v="PASS"/>
    <d v="2564-05-07T00:00:00"/>
    <m/>
    <m/>
    <m/>
    <m/>
    <s v="PASS"/>
    <d v="2564-05-10T00:00:00"/>
    <s v="PASS"/>
    <d v="2564-05-10T00:00:00"/>
    <m/>
    <m/>
    <s v="พิมพ์เสียลดเกรดสีเปื่อนส่งลบ"/>
    <x v="0"/>
    <n v="3"/>
  </r>
  <r>
    <x v="3"/>
    <d v="2564-04-29T00:00:00"/>
    <s v="ชุติกาญจน์"/>
    <s v="ตัดเย็บ"/>
    <s v="PD3พิมพ์"/>
    <s v="คุณภานุมาส"/>
    <n v="640162"/>
    <s v="เบทาโกร301B"/>
    <s v="บริษัทเบทาโกรจำกัดมหาชน"/>
    <s v="FWBWT203780P"/>
    <s v="PD464042914"/>
    <x v="1"/>
    <s v="สีลงเต็มสม่ำเสมอ งานพิมพ์ชัดเจน"/>
    <x v="157"/>
    <s v="ผสม"/>
    <s v="ผสม"/>
    <n v="300"/>
    <s v="ใบ"/>
    <m/>
    <m/>
    <d v="2564-04-29T00:00:00"/>
    <d v="2564-05-06T00:00:00"/>
    <d v="2564-05-01T00:00:00"/>
    <s v="PASS"/>
    <d v="2564-05-06T00:00:00"/>
    <m/>
    <m/>
    <m/>
    <m/>
    <s v="PASS"/>
    <d v="2564-05-06T00:00:00"/>
    <s v="PASS"/>
    <d v="2564-05-06T00:00:00"/>
    <m/>
    <m/>
    <s v="ผสม"/>
    <x v="1"/>
    <m/>
  </r>
  <r>
    <x v="3"/>
    <d v="2564-04-30T00:00:00"/>
    <s v="ชุติกาญจน์"/>
    <s v="ตัดเย็บ"/>
    <s v="PD3พิมพ์"/>
    <s v="คุณภานุมาส"/>
    <n v="640163"/>
    <s v="Soybean Meal"/>
    <s v="บริษัทแลบอินเตอร์ จำกัด"/>
    <s v="FWBWT2640108P"/>
    <s v="PD464043011"/>
    <x v="4"/>
    <s v="สีลงเต็มสม่ำเสมอ ไม่มีรอยเปื้อน"/>
    <x v="158"/>
    <s v="คัดแยก"/>
    <s v="คัดแยก"/>
    <n v="180"/>
    <s v="ใบ"/>
    <m/>
    <m/>
    <d v="2564-04-30T00:00:00"/>
    <d v="2564-05-07T00:00:00"/>
    <d v="2564-05-02T00:00:00"/>
    <s v="PASS"/>
    <d v="2564-05-07T00:00:00"/>
    <m/>
    <m/>
    <m/>
    <m/>
    <s v="PASS"/>
    <d v="2564-05-10T00:00:00"/>
    <s v="PASS"/>
    <d v="2564-05-10T00:00:00"/>
    <m/>
    <m/>
    <s v="ผสม"/>
    <x v="1"/>
    <n v="0"/>
  </r>
  <r>
    <x v="4"/>
    <d v="2564-05-03T00:00:00"/>
    <s v="ชุติกาญจน์"/>
    <s v="ตัดเย็บ"/>
    <s v="PD3พิมพ์"/>
    <s v="คุณภานุมาส"/>
    <n v="640164"/>
    <s v="935เอ"/>
    <s v="บริษัทซันฟีดจำกัด"/>
    <s v="FWBWT203780P"/>
    <s v="PD464050305"/>
    <x v="2"/>
    <s v="งานพิมพ์ตามอาร์ต"/>
    <x v="159"/>
    <s v="ผสม"/>
    <s v="ผสม"/>
    <n v="100"/>
    <s v="ใบ"/>
    <m/>
    <m/>
    <d v="2564-05-03T00:00:00"/>
    <d v="2564-05-10T00:00:00"/>
    <d v="2564-05-05T00:00:00"/>
    <s v="PASS"/>
    <d v="2564-05-10T00:00:00"/>
    <m/>
    <m/>
    <m/>
    <m/>
    <s v="PASS"/>
    <d v="2564-05-12T00:00:00"/>
    <s v="PASS"/>
    <d v="2564-05-12T00:00:00"/>
    <m/>
    <m/>
    <s v="ปรึกษา MK ผสม"/>
    <x v="1"/>
    <n v="1"/>
  </r>
  <r>
    <x v="4"/>
    <d v="2564-05-03T00:00:00"/>
    <s v="ชุติกาญจน์"/>
    <s v="ตัดเย็บ"/>
    <s v="PD3พิมพ์"/>
    <s v="คุณภานุมาส"/>
    <n v="640165"/>
    <s v="เมอร์รี่881M"/>
    <s v="บริษัทเอเชียอควาเซอร์วิสเซสจำกัด"/>
    <s v="FWBWT213797PL"/>
    <s v="PD464050309"/>
    <x v="2"/>
    <s v="สีลงเต็มสม่ำเสมอ ไม่มีรอยเปื้อน"/>
    <x v="160"/>
    <s v="ผสม"/>
    <s v="ผสม"/>
    <n v="2600"/>
    <s v="ใบ"/>
    <m/>
    <m/>
    <d v="2564-05-03T00:00:00"/>
    <d v="2564-05-10T00:00:00"/>
    <d v="2564-05-05T00:00:00"/>
    <m/>
    <m/>
    <m/>
    <m/>
    <m/>
    <m/>
    <m/>
    <m/>
    <m/>
    <m/>
    <m/>
    <m/>
    <m/>
    <x v="1"/>
    <n v="-242654"/>
  </r>
  <r>
    <x v="4"/>
    <d v="2564-05-04T00:00:00"/>
    <s v="ชุติกาญจน์"/>
    <s v="ตัดเย็บ"/>
    <s v="PD3พิมพ์"/>
    <s v="คุณภานุมาส"/>
    <n v="640166"/>
    <s v="935แอล"/>
    <s v="บริษัทซันฟีดจำกัด"/>
    <s v="FWBWT203780P"/>
    <s v="PD464050406"/>
    <x v="4"/>
    <s v="สีลงเต็มสม่ำเสมอ ไม่มีรอยเปื้อน"/>
    <x v="161"/>
    <s v="ผสม"/>
    <s v="ผสม"/>
    <n v="300"/>
    <s v="ใบ"/>
    <m/>
    <m/>
    <d v="2564-05-04T00:00:00"/>
    <d v="2564-05-11T00:00:00"/>
    <d v="2564-05-06T00:00:00"/>
    <s v="PASS"/>
    <d v="2564-05-07T00:00:00"/>
    <m/>
    <m/>
    <m/>
    <m/>
    <s v="PASS"/>
    <d v="2564-05-10T00:00:00"/>
    <s v="PASS"/>
    <d v="2564-05-10T00:00:00"/>
    <m/>
    <m/>
    <s v="ผสม"/>
    <x v="1"/>
    <n v="-1"/>
  </r>
  <r>
    <x v="4"/>
    <d v="2564-05-04T00:00:00"/>
    <s v="ชุติกาญจน์"/>
    <s v="ตัดเย็บ"/>
    <s v="PD3พิมพ์"/>
    <s v="คุณภานุมาส"/>
    <n v="640167"/>
    <s v="ขุนศึกเบอร์1"/>
    <s v="บริษัทซันฟีดจำกัด"/>
    <s v="FWBWT2038100PLM"/>
    <s v="PD464050408"/>
    <x v="4"/>
    <s v="สีลงเต็มสม่ำเสมอ ไม่มีรอยเปื้อน"/>
    <x v="162"/>
    <s v="คัดแยก/ส่งลบ"/>
    <s v="คัดแยก"/>
    <n v="400"/>
    <s v="ใบ"/>
    <m/>
    <m/>
    <d v="2564-05-04T00:00:00"/>
    <d v="2564-05-11T00:00:00"/>
    <d v="2564-05-06T00:00:00"/>
    <s v="PASS"/>
    <d v="2564-05-07T00:00:00"/>
    <m/>
    <m/>
    <m/>
    <m/>
    <s v="PASS"/>
    <d v="2564-05-10T00:00:00"/>
    <s v="PASS"/>
    <d v="2564-05-10T00:00:00"/>
    <m/>
    <m/>
    <s v="ไรๆผสมเยอะส่งลบ"/>
    <x v="1"/>
    <n v="-3"/>
  </r>
  <r>
    <x v="4"/>
    <d v="2564-05-04T00:00:00"/>
    <s v="ชุติกาญจน์"/>
    <s v="ตัดเย็บ"/>
    <s v="PD3พิมพ์"/>
    <s v="คุณภานุมาส"/>
    <n v="640168"/>
    <s v="ขุนศึกเบอร์2"/>
    <s v="บริษัทซันฟีดจำกัด"/>
    <s v="FWBWT2038100PLM"/>
    <s v="PD464050419"/>
    <x v="4"/>
    <s v="สีลงเต็มสม่ำเสมอ ไม่มีรอยเปื้อน"/>
    <x v="163"/>
    <s v="คัดแยก/ส่งลบ"/>
    <s v="คัดแยก"/>
    <n v="300"/>
    <s v="ใบ"/>
    <m/>
    <m/>
    <d v="2564-05-04T00:00:00"/>
    <d v="2564-05-11T00:00:00"/>
    <d v="2564-05-06T00:00:00"/>
    <s v="PASS"/>
    <d v="2564-05-07T00:00:00"/>
    <m/>
    <m/>
    <m/>
    <m/>
    <s v="PASS"/>
    <d v="2564-05-10T00:00:00"/>
    <s v="PASS"/>
    <d v="2564-05-10T00:00:00"/>
    <m/>
    <m/>
    <s v="ไรๆผสมเยอะส่งลบ"/>
    <x v="1"/>
    <m/>
  </r>
  <r>
    <x v="4"/>
    <d v="2564-05-05T00:00:00"/>
    <s v="ชุติกาญจน์"/>
    <s v="ตัดเย็บ"/>
    <s v="PD3พิมพ์"/>
    <s v="คุณภานุมาส"/>
    <n v="640169"/>
    <s v="เพอเฟคค์915"/>
    <s v="บริษัทอินเทคค์ฟีดจำกัด"/>
    <s v="FWBWT2036100PLM"/>
    <s v="PD464050516"/>
    <x v="5"/>
    <s v="สีลงเต็มสม่ำเสมอ ไม่มีรอยเปื้อน"/>
    <x v="164"/>
    <s v="คัดแยก"/>
    <s v="คัดแยก"/>
    <n v="840"/>
    <s v="ใบ"/>
    <m/>
    <m/>
    <d v="2564-05-05T00:00:00"/>
    <d v="2564-05-12T00:00:00"/>
    <d v="2564-05-07T00:00:00"/>
    <s v="PASS"/>
    <d v="2564-05-07T00:00:00"/>
    <m/>
    <m/>
    <m/>
    <m/>
    <s v="PASS"/>
    <d v="2564-05-10T00:00:00"/>
    <s v="PASS"/>
    <d v="2564-05-10T00:00:00"/>
    <m/>
    <m/>
    <s v="ลบสี"/>
    <x v="2"/>
    <n v="242653"/>
  </r>
  <r>
    <x v="4"/>
    <d v="2564-05-06T00:00:00"/>
    <s v="ชุติกาญจน์"/>
    <s v="ตัดเย็บ"/>
    <s v="PD3พิมพ์"/>
    <s v="คุณภานุมาส"/>
    <n v="640170"/>
    <s v="แตงโม"/>
    <s v="บริษัทคุณสุรินท์ กิดสาย จำกัด"/>
    <s v="FWBWT233468P"/>
    <s v="PD464050520"/>
    <x v="0"/>
    <s v="สีลงเต็มสม่ำเสมอ งานพิมพ์ชัดเจน"/>
    <x v="165"/>
    <s v="แซม"/>
    <s v="แซม"/>
    <n v="213"/>
    <s v="ใบ"/>
    <m/>
    <m/>
    <d v="2564-05-06T00:00:00"/>
    <d v="2564-05-13T00:00:00"/>
    <d v="2564-05-08T00:00:00"/>
    <s v="PASS"/>
    <d v="2564-05-07T00:00:00"/>
    <m/>
    <m/>
    <m/>
    <m/>
    <s v="PASS"/>
    <d v="2564-05-10T00:00:00"/>
    <s v="PASS"/>
    <d v="2564-05-10T00:00:00"/>
    <m/>
    <m/>
    <s v="แซม"/>
    <x v="1"/>
    <n v="242653"/>
  </r>
  <r>
    <x v="4"/>
    <d v="2564-05-06T00:00:00"/>
    <s v="ชุติกาญจน์"/>
    <s v="ตัดเย็บ"/>
    <s v="PD3พิมพ์"/>
    <s v="คุณภานุมาส"/>
    <n v="640171"/>
    <s v="TTD 15"/>
    <s v="บริษัทไทยธรรมดีจำกัด"/>
    <s v="FWBWT203795P"/>
    <s v="PD464050607"/>
    <x v="2"/>
    <s v="สีลงเต็มสม่ำเสมอ งานพิมพ์ชัดเจน"/>
    <x v="83"/>
    <s v="คัดแยก"/>
    <s v="คัดแยก"/>
    <n v="160"/>
    <s v="ใบ"/>
    <m/>
    <m/>
    <d v="2564-05-06T00:00:00"/>
    <d v="2564-05-13T00:00:00"/>
    <d v="2564-05-08T00:00:00"/>
    <s v="PASS"/>
    <d v="2564-05-10T00:00:00"/>
    <m/>
    <m/>
    <m/>
    <m/>
    <s v="PASS"/>
    <d v="2564-05-12T00:00:00"/>
    <s v="PASS"/>
    <d v="2564-05-12T00:00:00"/>
    <m/>
    <m/>
    <s v="ลดเกรด"/>
    <x v="0"/>
    <n v="242655"/>
  </r>
  <r>
    <x v="4"/>
    <d v="2564-05-06T00:00:00"/>
    <s v="ชุติกาญจน์"/>
    <s v="ตัดเย็บ"/>
    <s v="PD3พิมพ์"/>
    <s v="คุณภานุมาส"/>
    <n v="640172"/>
    <s v="OPAL Q9"/>
    <s v="บริษัทซิเบลโก้มิเนอร์รัลล์(ประเทศไทย)"/>
    <s v="FWBWT233468P"/>
    <s v="PD464050621"/>
    <x v="0"/>
    <s v="สีลงเต็มสม่ำเสมอ งานพิมพ์ชัดเจน"/>
    <x v="166"/>
    <s v="ผสม3/1"/>
    <s v="ผสม"/>
    <n v="475"/>
    <s v="ใบ"/>
    <m/>
    <m/>
    <d v="2564-05-06T00:00:00"/>
    <d v="2564-05-13T00:00:00"/>
    <d v="2564-05-08T00:00:00"/>
    <s v="PASS"/>
    <d v="2564-05-10T00:00:00"/>
    <m/>
    <m/>
    <m/>
    <m/>
    <s v="PASS"/>
    <d v="2564-05-12T00:00:00"/>
    <s v="PASS"/>
    <d v="2564-05-12T00:00:00"/>
    <m/>
    <m/>
    <s v="ผสม"/>
    <x v="1"/>
    <m/>
  </r>
  <r>
    <x v="4"/>
    <d v="2564-05-07T00:00:00"/>
    <s v="ชุติกาญจน์"/>
    <s v="ตัดเย็บ"/>
    <s v="PD3พิมพ์"/>
    <s v="คุณภานุมาส"/>
    <n v="640173"/>
    <s v="Biue for Refine Sugar"/>
    <s v="บริษัทน้ำตาลทิพย์ สุโขทัย จำกัด"/>
    <s v="FWBWT2337130P"/>
    <s v="PD464050704"/>
    <x v="2"/>
    <s v="สีลงเต็มสม่ำเสมอ ไม่มีรอยเปื้อน"/>
    <x v="167"/>
    <s v="คัดแยก/ส่งลบ"/>
    <s v="ส่งลบ"/>
    <n v="525"/>
    <s v="ใบ"/>
    <n v="1510"/>
    <s v="ใบ"/>
    <d v="2564-05-07T00:00:00"/>
    <d v="2564-05-14T00:00:00"/>
    <d v="2564-05-09T00:00:00"/>
    <s v="PASS"/>
    <d v="2564-05-13T00:00:00"/>
    <m/>
    <m/>
    <m/>
    <m/>
    <m/>
    <m/>
    <m/>
    <m/>
    <m/>
    <m/>
    <s v="ส่งลบ ไรๆผสมไปปรึกษา MK"/>
    <x v="1"/>
    <n v="0"/>
  </r>
  <r>
    <x v="4"/>
    <d v="2564-05-07T00:00:00"/>
    <s v="ชุติกาญจน์"/>
    <s v="ตัดเย็บ"/>
    <s v="PD3พิมพ์"/>
    <s v="คุณภานุมาส"/>
    <n v="640174"/>
    <s v="โมโม่402โกล"/>
    <s v="บริษัท เอส พี เอ็ม อาหารสัตว์ จำกัด"/>
    <s v="FWBWT2138102PLM"/>
    <s v="PD464050718"/>
    <x v="4"/>
    <s v="สีลงเต็มสม่ำเสมอ ไม่มีรอยเปื้อน"/>
    <x v="168"/>
    <s v="ขอผสม3/1"/>
    <s v="ผสม"/>
    <n v="825"/>
    <s v="ใบ"/>
    <m/>
    <m/>
    <m/>
    <m/>
    <m/>
    <s v="PASS"/>
    <d v="2564-05-13T00:00:00"/>
    <m/>
    <m/>
    <m/>
    <m/>
    <m/>
    <m/>
    <m/>
    <m/>
    <m/>
    <m/>
    <s v="ผสม"/>
    <x v="1"/>
    <n v="0"/>
  </r>
  <r>
    <x v="4"/>
    <d v="2564-05-07T00:00:00"/>
    <s v="ชุติกาญจน์"/>
    <s v="ตัดเย็บ"/>
    <s v="PD3พิมพ์"/>
    <s v="คุณภานุมาส"/>
    <n v="640175"/>
    <s v="โมโม่402โกล"/>
    <s v="บริษัท เอส พี เอ็ม อาหารสัตว์ จำกัด"/>
    <s v="FWBWT2138102PLM"/>
    <s v="PD464050718"/>
    <x v="4"/>
    <s v="สีลงเต็มสม่ำเสมอ งานพิมพ์ชัดเจน"/>
    <x v="169"/>
    <s v="ส่งแต้ม"/>
    <s v="ส่งแต้ม"/>
    <n v="275"/>
    <s v="ใบ"/>
    <m/>
    <m/>
    <m/>
    <m/>
    <m/>
    <s v="PASS"/>
    <d v="2564-05-13T00:00:00"/>
    <m/>
    <m/>
    <m/>
    <m/>
    <m/>
    <m/>
    <m/>
    <m/>
    <m/>
    <m/>
    <s v="แต้มสี"/>
    <x v="2"/>
    <n v="0"/>
  </r>
  <r>
    <x v="4"/>
    <d v="2564-05-07T00:00:00"/>
    <s v="ชุติกาญจน์"/>
    <s v="ตัดเย็บ"/>
    <s v="PD3พิมพ์"/>
    <s v="คุณภานุมาส"/>
    <n v="640176"/>
    <s v="โมโม่402โกล"/>
    <s v="บริษัท เอส พี เอ็ม อาหารสัตว์ จำกัด"/>
    <s v="FWBWT2138102PLM"/>
    <s v="PD464050718"/>
    <x v="4"/>
    <s v="สีลงเต็มสม่ำเสมอ งานพิมพ์ชัดเจน"/>
    <x v="170"/>
    <s v="คัดแยก"/>
    <s v="คัดแยก"/>
    <n v="272"/>
    <s v="ใบ"/>
    <m/>
    <m/>
    <m/>
    <m/>
    <m/>
    <s v="PASS"/>
    <d v="2564-05-13T00:00:00"/>
    <m/>
    <m/>
    <m/>
    <m/>
    <m/>
    <m/>
    <m/>
    <m/>
    <m/>
    <m/>
    <s v="ลดเกรด"/>
    <x v="0"/>
    <n v="0"/>
  </r>
  <r>
    <x v="4"/>
    <d v="2564-05-08T00:00:00"/>
    <s v="ชุติกาญจน์"/>
    <s v="ตัดเย็บ"/>
    <s v="PD3พิมพ์"/>
    <s v="คุณภานุมาส"/>
    <n v="640177"/>
    <s v="WB/OCเบทาโกร204 30kg SK"/>
    <s v="บริษัทเบทาโกรจำกัดมหาชน"/>
    <s v="FWBWT2038100PL"/>
    <s v="PD464050812"/>
    <x v="5"/>
    <s v="สีลงเต็มสม่ำเสมอ ไม่มีรอยเปื้อน"/>
    <x v="171"/>
    <s v="คัดแยกส่งลบ"/>
    <s v="คัดแยก"/>
    <n v="540"/>
    <s v="ใบ"/>
    <m/>
    <m/>
    <m/>
    <m/>
    <m/>
    <s v="PASS"/>
    <d v="2564-05-13T00:00:00"/>
    <m/>
    <m/>
    <m/>
    <m/>
    <m/>
    <m/>
    <m/>
    <m/>
    <m/>
    <m/>
    <s v="ลบสี"/>
    <x v="2"/>
    <n v="0"/>
  </r>
  <r>
    <x v="4"/>
    <d v="2564-05-10T00:00:00"/>
    <s v="ชุติกาญจน์"/>
    <s v="ตัดเย็บ"/>
    <s v="PD3พิมพ์"/>
    <s v="คุณภานุมาส"/>
    <n v="640178"/>
    <s v="WB/OC บาลานส์945SK"/>
    <s v="บริษัทเบทาโกรจำกัดมหาชน"/>
    <s v="FWBWT203797PL"/>
    <s v="PD464051010"/>
    <x v="2"/>
    <s v="สีลงเต็มสม่ำเสมอ ไม่มีรอยเปื้อน"/>
    <x v="143"/>
    <s v="คัดแยกส่งลบ"/>
    <s v="คัดแยก"/>
    <n v="300"/>
    <s v="ใบ"/>
    <n v="1505"/>
    <s v="ใบ"/>
    <m/>
    <m/>
    <m/>
    <s v="PASS"/>
    <d v="2564-05-13T00:00:00"/>
    <m/>
    <m/>
    <m/>
    <m/>
    <m/>
    <m/>
    <m/>
    <m/>
    <m/>
    <m/>
    <s v="ลบสี"/>
    <x v="2"/>
    <n v="0"/>
  </r>
  <r>
    <x v="4"/>
    <d v="2564-05-10T00:00:00"/>
    <s v="ชุติกาญจน์"/>
    <s v="ตัดเย็บ"/>
    <s v="PD3พิมพ์"/>
    <s v="คุณภานุมาส"/>
    <n v="640179"/>
    <s v="ซันฟีด935แอล"/>
    <s v="บริษัทซันฟีดจำกัด"/>
    <s v="FWBWT203780P"/>
    <s v="PD464051007"/>
    <x v="0"/>
    <s v="สีลงเต็มสม่ำเสมอ งานพิมพ์ชัดเจน"/>
    <x v="172"/>
    <s v="คัดแยก"/>
    <s v="คัดแยก"/>
    <n v="143"/>
    <s v="ใบ"/>
    <n v="912"/>
    <s v="ใบ"/>
    <m/>
    <m/>
    <m/>
    <s v="PASS"/>
    <d v="2564-05-13T00:00:00"/>
    <m/>
    <m/>
    <m/>
    <m/>
    <m/>
    <m/>
    <m/>
    <m/>
    <m/>
    <m/>
    <s v="แซมไป"/>
    <x v="1"/>
    <n v="0"/>
  </r>
  <r>
    <x v="4"/>
    <d v="2564-05-10T00:00:00"/>
    <s v="ชุติกาญจน์"/>
    <s v="ตัดเย็บ"/>
    <s v="PD3พิมพ์"/>
    <s v="คุณภานุมาส"/>
    <n v="640180"/>
    <s v="WB/OC บาลานส์945SK"/>
    <s v="บริษัทเบทาโกรจำกัดมหาชน"/>
    <s v="FWBWT203797PL"/>
    <s v="PD464051010"/>
    <x v="2"/>
    <s v="สีลงเต็มสม่ำเสมอ งานพิมพ์ชัดเจน"/>
    <x v="173"/>
    <s v="ผสม25/75"/>
    <s v="ผสม"/>
    <n v="2000"/>
    <s v="ใบ"/>
    <m/>
    <s v="ใบ"/>
    <m/>
    <m/>
    <m/>
    <m/>
    <m/>
    <m/>
    <m/>
    <m/>
    <m/>
    <m/>
    <m/>
    <m/>
    <m/>
    <m/>
    <m/>
    <m/>
    <x v="1"/>
    <n v="0"/>
  </r>
  <r>
    <x v="4"/>
    <d v="2564-05-11T00:00:00"/>
    <s v="อารีย์พร"/>
    <s v="ตัดเย็บ"/>
    <s v="PD3พิมพ์"/>
    <s v="คุณภานุมาส"/>
    <n v="640181"/>
    <s v="อ.เกษตร"/>
    <s v="ร้าน ก.เกษตรพันธุ์ข้าว"/>
    <s v="FWBWT233468P"/>
    <s v="PD464051112"/>
    <x v="0"/>
    <s v="สีลงเต็มสม่ำเสมอ ไม่มีรอยเปื้อน"/>
    <x v="174"/>
    <s v="ไม่ต้องลบ"/>
    <s v="ไม่ลบ"/>
    <n v="1052"/>
    <s v="ใบ"/>
    <m/>
    <m/>
    <m/>
    <m/>
    <m/>
    <m/>
    <m/>
    <m/>
    <m/>
    <m/>
    <m/>
    <m/>
    <m/>
    <m/>
    <m/>
    <m/>
    <m/>
    <m/>
    <x v="1"/>
    <n v="0"/>
  </r>
  <r>
    <x v="4"/>
    <d v="2564-05-12T00:00:00"/>
    <s v="ชุติกาญจน์"/>
    <s v="ตัดเย็บ"/>
    <s v="PD3พิมพ์"/>
    <s v="คุณภานุมาส"/>
    <n v="640182"/>
    <s v="นีโอแอล 03"/>
    <s v="บริษัทเอสพีเอ็มอาหารสัตร์จำกัด"/>
    <s v="FWBWT2040108PLM"/>
    <s v="PD464051213"/>
    <x v="4"/>
    <s v="สีลงเต็มสม่ำเสมอ งานพิมพ์ชัดเจน"/>
    <x v="175"/>
    <s v="แยกเบลส่ง"/>
    <s v="แยก"/>
    <n v="1500"/>
    <s v="ใบ"/>
    <m/>
    <m/>
    <m/>
    <m/>
    <m/>
    <m/>
    <m/>
    <m/>
    <m/>
    <m/>
    <m/>
    <m/>
    <m/>
    <m/>
    <m/>
    <m/>
    <m/>
    <m/>
    <x v="1"/>
    <n v="0"/>
  </r>
  <r>
    <x v="4"/>
    <d v="2564-05-12T00:00:00"/>
    <s v="ชุติกาญจน์"/>
    <s v="ตัดเย็บ"/>
    <s v="PD3พิมพ์"/>
    <s v="คุณภานุมาส"/>
    <n v="640183"/>
    <s v="WFLOWPO1"/>
    <s v="บริษัทเคอรี่ฟลาวมิลล์จำกัด"/>
    <s v="FWBWT193468P"/>
    <s v="PD464051205"/>
    <x v="0"/>
    <s v="สีลงเต็มสม่ำเสมอ ไม่มีรอยเปื้อน"/>
    <x v="176"/>
    <s v="ผสม"/>
    <s v="ผสม"/>
    <n v="500"/>
    <s v="ใบ"/>
    <m/>
    <m/>
    <m/>
    <m/>
    <m/>
    <m/>
    <m/>
    <m/>
    <m/>
    <m/>
    <m/>
    <m/>
    <m/>
    <m/>
    <m/>
    <m/>
    <m/>
    <m/>
    <x v="1"/>
    <n v="0"/>
  </r>
  <r>
    <x v="4"/>
    <d v="2564-05-12T00:00:00"/>
    <s v="ชุติกาญจน์"/>
    <s v="ตัดเย็บ"/>
    <s v="PD3พิมพ์"/>
    <s v="คุณภานุมาส"/>
    <n v="640184"/>
    <s v="SPM170"/>
    <s v="บริษัทเอส พี เอ็ม อาหารสัตว์"/>
    <s v="FWBWT203880P"/>
    <s v="PD464051208"/>
    <x v="4"/>
    <s v="สีลงเต็มสม่ำเสมอ งานพิมพ์ชัดเจน"/>
    <x v="177"/>
    <s v="ผสม"/>
    <s v="ผสม"/>
    <n v="1600"/>
    <s v="ใบ"/>
    <m/>
    <m/>
    <m/>
    <m/>
    <m/>
    <m/>
    <m/>
    <m/>
    <m/>
    <m/>
    <m/>
    <m/>
    <m/>
    <m/>
    <m/>
    <m/>
    <m/>
    <m/>
    <x v="1"/>
    <n v="0"/>
  </r>
  <r>
    <x v="4"/>
    <d v="2564-05-12T00:00:00"/>
    <s v="ชุติกาญจน์"/>
    <s v="ตัดเย็บ"/>
    <s v="PD3พิมพ์"/>
    <s v="คุณภานุมาส"/>
    <n v="640185"/>
    <s v="SPM402"/>
    <s v="บริษัทเอส พี เอ็ม อาหารสัตว์"/>
    <s v="FWBWT2138102PLM"/>
    <s v="PD464051222"/>
    <x v="4"/>
    <s v="สีลงเต็มสม่ำเสมอ งานพิมพ์ชัดเจน"/>
    <x v="178"/>
    <s v="ผสม"/>
    <s v="ผสม"/>
    <n v="9279"/>
    <s v="ใบ"/>
    <m/>
    <m/>
    <m/>
    <m/>
    <m/>
    <m/>
    <m/>
    <m/>
    <m/>
    <m/>
    <m/>
    <m/>
    <m/>
    <m/>
    <m/>
    <m/>
    <m/>
    <m/>
    <x v="1"/>
    <n v="0"/>
  </r>
  <r>
    <x v="4"/>
    <d v="2564-05-13T00:00:00"/>
    <s v="ชุติกาญจน์"/>
    <s v="ตัดเย็บ"/>
    <s v="PD3พิมพ์"/>
    <s v="คุณภานุมาส"/>
    <n v="640186"/>
    <s v="โมโม่4032"/>
    <s v="บริษัทเอส พี เอ็ม อาหารสัตว์"/>
    <s v="FWBWT2140108PLM"/>
    <s v="PD464051315"/>
    <x v="0"/>
    <s v="สีลงเต็มสม่ำเสมอ งานพิมพ์ชัดเจน"/>
    <x v="179"/>
    <s v="คัดแยก"/>
    <s v="ตัดแยก"/>
    <n v="187"/>
    <s v="ใบ"/>
    <m/>
    <m/>
    <m/>
    <m/>
    <m/>
    <m/>
    <m/>
    <m/>
    <m/>
    <m/>
    <m/>
    <m/>
    <m/>
    <m/>
    <m/>
    <m/>
    <m/>
    <m/>
    <x v="1"/>
    <n v="0"/>
  </r>
  <r>
    <x v="4"/>
    <d v="2564-05-13T00:00:00"/>
    <s v="ชุติกาญจน์"/>
    <s v="ตัดเย็บ"/>
    <s v="PD3พิมพ์"/>
    <s v="คุณภานุมาส"/>
    <n v="640187"/>
    <s v="โมโม่4032"/>
    <s v="บริษัทเอส พี เอ็ม อาหารสัตว์"/>
    <s v="FWBWT2140108PLM"/>
    <s v="PD464051315"/>
    <x v="0"/>
    <s v="สีลงเต็มสม่ำเสมอ ไม่มีรอยเปื้อน"/>
    <x v="180"/>
    <s v="ส่งลบ"/>
    <s v="ส่งลบ"/>
    <n v="600"/>
    <s v="ใบ"/>
    <m/>
    <m/>
    <m/>
    <m/>
    <m/>
    <m/>
    <m/>
    <m/>
    <m/>
    <m/>
    <m/>
    <m/>
    <m/>
    <m/>
    <m/>
    <m/>
    <m/>
    <m/>
    <x v="1"/>
    <n v="0"/>
  </r>
  <r>
    <x v="4"/>
    <d v="2564-05-13T00:00:00"/>
    <s v="ชุติกาญจน์"/>
    <s v="ตัดเย็บ"/>
    <s v="PD3พิมพ์"/>
    <s v="คุณภานุมาส"/>
    <n v="640188"/>
    <s v="โมโม่4032"/>
    <s v="บริษัทเอส พี เอ็ม อาหารสัตว์"/>
    <s v="FWBWT2140108PLM"/>
    <s v="PD464051315"/>
    <x v="0"/>
    <s v="สีลงเต็มสม่ำเสมอ"/>
    <x v="181"/>
    <s v="ส่งลูกค้า"/>
    <s v="ส่ง"/>
    <n v="4000"/>
    <s v="ใบ"/>
    <m/>
    <m/>
    <m/>
    <m/>
    <m/>
    <m/>
    <m/>
    <m/>
    <m/>
    <m/>
    <m/>
    <m/>
    <m/>
    <m/>
    <m/>
    <m/>
    <m/>
    <m/>
    <x v="1"/>
    <n v="0"/>
  </r>
  <r>
    <x v="4"/>
    <d v="2564-05-13T00:00:00"/>
    <s v="ชุติกาญจน์"/>
    <s v="ตัดเย็บ"/>
    <s v="PD3พิมพ์"/>
    <s v="คุณภานุมาส"/>
    <n v="640189"/>
    <s v="WB/OCบาลานส์924M 30kgSK"/>
    <s v="บริษัทเบทาโกรจำกัดมหาชน"/>
    <s v="FWBWT2038100PLM"/>
    <s v="PD464051325"/>
    <x v="4"/>
    <s v="สีลงเต็มสม่ำเสมอ งานพิมพ์ชัดเจน"/>
    <x v="182"/>
    <s v="ผสม"/>
    <s v="ผสม"/>
    <n v="132"/>
    <s v="ใบ"/>
    <m/>
    <m/>
    <m/>
    <m/>
    <m/>
    <m/>
    <m/>
    <m/>
    <m/>
    <m/>
    <m/>
    <m/>
    <m/>
    <m/>
    <m/>
    <m/>
    <m/>
    <m/>
    <x v="1"/>
    <n v="0"/>
  </r>
  <r>
    <x v="4"/>
    <d v="2564-05-14T00:00:00"/>
    <s v="ชุติกาญจน์"/>
    <s v="ตัดเย็บ"/>
    <s v="PD3พิมพ์"/>
    <s v="คุณภานุมาส"/>
    <n v="640190"/>
    <s v="แปดแต้มแดง"/>
    <s v="บริษัทเคอรี่ฟลาวมิลล์จำกัด"/>
    <s v="FWBWT203272P"/>
    <s v="PD4"/>
    <x v="1"/>
    <s v="สีลงเต็มสม่ำเสมอ งานพิมพ์ชัดเจน"/>
    <x v="183"/>
    <s v="ผสม"/>
    <s v="ผสม"/>
    <m/>
    <s v="ใบ"/>
    <m/>
    <m/>
    <m/>
    <m/>
    <m/>
    <m/>
    <m/>
    <m/>
    <m/>
    <m/>
    <m/>
    <m/>
    <m/>
    <m/>
    <m/>
    <m/>
    <m/>
    <m/>
    <x v="3"/>
    <n v="0"/>
  </r>
  <r>
    <x v="5"/>
    <m/>
    <m/>
    <m/>
    <m/>
    <m/>
    <n v="640191"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n v="640192"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n v="640193"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m/>
  </r>
  <r>
    <x v="5"/>
    <m/>
    <m/>
    <m/>
    <m/>
    <m/>
    <n v="640194"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n v="640195"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n v="640196"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  <r>
    <x v="5"/>
    <m/>
    <m/>
    <m/>
    <m/>
    <m/>
    <m/>
    <m/>
    <m/>
    <m/>
    <m/>
    <x v="10"/>
    <m/>
    <x v="184"/>
    <m/>
    <m/>
    <m/>
    <m/>
    <m/>
    <m/>
    <m/>
    <m/>
    <m/>
    <m/>
    <m/>
    <m/>
    <m/>
    <m/>
    <m/>
    <m/>
    <m/>
    <m/>
    <m/>
    <m/>
    <m/>
    <m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ค่า" updatedVersion="7" minRefreshableVersion="3" useAutoFormatting="1" itemPrintTitles="1" createdVersion="7" indent="0" outline="1" outlineData="1" multipleFieldFilters="0">
  <location ref="A1:H216" firstHeaderRow="1" firstDataRow="2" firstDataCol="1"/>
  <pivotFields count="38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h="1" x="9"/>
        <item h="1" x="7"/>
        <item h="1" x="6"/>
        <item h="1" x="8"/>
        <item x="2"/>
        <item x="4"/>
        <item x="0"/>
        <item x="1"/>
        <item x="3"/>
        <item x="5"/>
        <item x="10"/>
        <item t="default"/>
      </items>
    </pivotField>
    <pivotField showAll="0"/>
    <pivotField axis="axisRow" showAll="0">
      <items count="187">
        <item x="12"/>
        <item x="39"/>
        <item x="2"/>
        <item x="19"/>
        <item x="7"/>
        <item x="23"/>
        <item x="129"/>
        <item x="166"/>
        <item x="117"/>
        <item x="159"/>
        <item x="38"/>
        <item x="47"/>
        <item x="17"/>
        <item x="88"/>
        <item x="61"/>
        <item x="67"/>
        <item x="54"/>
        <item x="82"/>
        <item x="53"/>
        <item x="69"/>
        <item x="135"/>
        <item m="1" x="185"/>
        <item x="173"/>
        <item x="122"/>
        <item x="42"/>
        <item x="111"/>
        <item x="152"/>
        <item x="15"/>
        <item x="124"/>
        <item x="172"/>
        <item x="99"/>
        <item x="176"/>
        <item x="148"/>
        <item x="142"/>
        <item x="100"/>
        <item x="73"/>
        <item x="62"/>
        <item x="155"/>
        <item x="85"/>
        <item x="86"/>
        <item x="179"/>
        <item x="97"/>
        <item x="68"/>
        <item x="165"/>
        <item x="121"/>
        <item x="115"/>
        <item x="83"/>
        <item x="50"/>
        <item x="91"/>
        <item x="125"/>
        <item x="65"/>
        <item x="170"/>
        <item x="138"/>
        <item x="151"/>
        <item x="106"/>
        <item x="44"/>
        <item x="5"/>
        <item x="24"/>
        <item x="8"/>
        <item x="22"/>
        <item x="18"/>
        <item x="9"/>
        <item x="4"/>
        <item x="10"/>
        <item x="0"/>
        <item x="36"/>
        <item x="13"/>
        <item x="11"/>
        <item x="3"/>
        <item x="1"/>
        <item x="20"/>
        <item x="16"/>
        <item x="26"/>
        <item x="108"/>
        <item x="21"/>
        <item x="14"/>
        <item x="59"/>
        <item x="118"/>
        <item x="98"/>
        <item x="94"/>
        <item x="113"/>
        <item x="25"/>
        <item x="28"/>
        <item x="127"/>
        <item x="43"/>
        <item x="136"/>
        <item x="116"/>
        <item x="64"/>
        <item x="66"/>
        <item x="181"/>
        <item x="40"/>
        <item x="110"/>
        <item x="41"/>
        <item x="6"/>
        <item x="131"/>
        <item x="156"/>
        <item x="93"/>
        <item x="161"/>
        <item x="132"/>
        <item x="153"/>
        <item x="90"/>
        <item x="174"/>
        <item x="107"/>
        <item x="84"/>
        <item x="81"/>
        <item x="119"/>
        <item x="114"/>
        <item x="103"/>
        <item x="76"/>
        <item x="158"/>
        <item x="139"/>
        <item x="49"/>
        <item x="96"/>
        <item x="147"/>
        <item x="144"/>
        <item x="146"/>
        <item x="150"/>
        <item x="160"/>
        <item x="55"/>
        <item x="95"/>
        <item x="133"/>
        <item x="143"/>
        <item x="78"/>
        <item x="102"/>
        <item x="46"/>
        <item x="149"/>
        <item x="101"/>
        <item x="141"/>
        <item x="79"/>
        <item x="171"/>
        <item x="77"/>
        <item x="48"/>
        <item x="140"/>
        <item x="154"/>
        <item x="51"/>
        <item x="180"/>
        <item x="45"/>
        <item x="104"/>
        <item x="137"/>
        <item x="145"/>
        <item x="75"/>
        <item x="71"/>
        <item x="168"/>
        <item x="164"/>
        <item x="70"/>
        <item x="163"/>
        <item x="162"/>
        <item x="167"/>
        <item x="169"/>
        <item x="33"/>
        <item x="92"/>
        <item x="60"/>
        <item x="175"/>
        <item x="29"/>
        <item x="30"/>
        <item x="32"/>
        <item x="56"/>
        <item x="80"/>
        <item x="74"/>
        <item x="63"/>
        <item x="177"/>
        <item x="35"/>
        <item x="72"/>
        <item x="37"/>
        <item x="130"/>
        <item x="128"/>
        <item x="105"/>
        <item x="27"/>
        <item x="31"/>
        <item x="109"/>
        <item x="123"/>
        <item x="182"/>
        <item x="112"/>
        <item x="120"/>
        <item x="34"/>
        <item x="126"/>
        <item x="58"/>
        <item x="87"/>
        <item x="89"/>
        <item x="134"/>
        <item x="52"/>
        <item x="157"/>
        <item x="57"/>
        <item x="184"/>
        <item x="178"/>
        <item x="18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3">
    <field x="11"/>
    <field x="36"/>
    <field x="13"/>
  </rowFields>
  <rowItems count="214">
    <i>
      <x v="4"/>
    </i>
    <i r="1">
      <x/>
    </i>
    <i r="2">
      <x v="17"/>
    </i>
    <i r="2">
      <x v="56"/>
    </i>
    <i r="2">
      <x v="58"/>
    </i>
    <i r="2">
      <x v="112"/>
    </i>
    <i r="2">
      <x v="120"/>
    </i>
    <i r="2">
      <x v="121"/>
    </i>
    <i r="2">
      <x v="126"/>
    </i>
    <i r="2">
      <x v="130"/>
    </i>
    <i r="2">
      <x v="137"/>
    </i>
    <i r="2">
      <x v="173"/>
    </i>
    <i r="1">
      <x v="1"/>
    </i>
    <i r="2">
      <x v="1"/>
    </i>
    <i r="2">
      <x v="2"/>
    </i>
    <i r="2">
      <x v="3"/>
    </i>
    <i r="2">
      <x v="9"/>
    </i>
    <i r="2">
      <x v="15"/>
    </i>
    <i r="2">
      <x v="22"/>
    </i>
    <i r="2">
      <x v="28"/>
    </i>
    <i r="2">
      <x v="32"/>
    </i>
    <i r="2">
      <x v="57"/>
    </i>
    <i r="2">
      <x v="66"/>
    </i>
    <i r="2">
      <x v="81"/>
    </i>
    <i r="2">
      <x v="87"/>
    </i>
    <i r="2">
      <x v="92"/>
    </i>
    <i r="2">
      <x v="96"/>
    </i>
    <i r="2">
      <x v="98"/>
    </i>
    <i r="2">
      <x v="99"/>
    </i>
    <i r="2">
      <x v="117"/>
    </i>
    <i r="2">
      <x v="147"/>
    </i>
    <i r="2">
      <x v="153"/>
    </i>
    <i r="2">
      <x v="158"/>
    </i>
    <i r="1">
      <x v="2"/>
    </i>
    <i r="2">
      <x v="41"/>
    </i>
    <i r="2">
      <x v="44"/>
    </i>
    <i r="2">
      <x v="46"/>
    </i>
    <i>
      <x v="5"/>
    </i>
    <i r="1">
      <x/>
    </i>
    <i r="2">
      <x v="23"/>
    </i>
    <i r="2">
      <x v="83"/>
    </i>
    <i r="2">
      <x v="102"/>
    </i>
    <i r="2">
      <x v="104"/>
    </i>
    <i r="2">
      <x v="107"/>
    </i>
    <i r="2">
      <x v="111"/>
    </i>
    <i r="2">
      <x v="113"/>
    </i>
    <i r="2">
      <x v="119"/>
    </i>
    <i r="2">
      <x v="132"/>
    </i>
    <i r="2">
      <x v="133"/>
    </i>
    <i r="2">
      <x v="138"/>
    </i>
    <i r="2">
      <x v="139"/>
    </i>
    <i r="2">
      <x v="148"/>
    </i>
    <i r="2">
      <x v="168"/>
    </i>
    <i r="1">
      <x v="1"/>
    </i>
    <i r="2">
      <x v="6"/>
    </i>
    <i r="2">
      <x v="10"/>
    </i>
    <i r="2">
      <x v="12"/>
    </i>
    <i r="2">
      <x v="35"/>
    </i>
    <i r="2">
      <x v="54"/>
    </i>
    <i r="2">
      <x v="74"/>
    </i>
    <i r="2">
      <x v="75"/>
    </i>
    <i r="2">
      <x v="76"/>
    </i>
    <i r="2">
      <x v="78"/>
    </i>
    <i r="2">
      <x v="79"/>
    </i>
    <i r="2">
      <x v="82"/>
    </i>
    <i r="2">
      <x v="93"/>
    </i>
    <i r="2">
      <x v="97"/>
    </i>
    <i r="2">
      <x v="109"/>
    </i>
    <i r="2">
      <x v="142"/>
    </i>
    <i r="2">
      <x v="145"/>
    </i>
    <i r="2">
      <x v="146"/>
    </i>
    <i r="2">
      <x v="149"/>
    </i>
    <i r="2">
      <x v="152"/>
    </i>
    <i r="2">
      <x v="154"/>
    </i>
    <i r="2">
      <x v="160"/>
    </i>
    <i r="2">
      <x v="162"/>
    </i>
    <i r="2">
      <x v="165"/>
    </i>
    <i r="2">
      <x v="171"/>
    </i>
    <i r="2">
      <x v="174"/>
    </i>
    <i r="2">
      <x v="175"/>
    </i>
    <i r="2">
      <x v="176"/>
    </i>
    <i r="2">
      <x v="180"/>
    </i>
    <i r="2">
      <x v="184"/>
    </i>
    <i r="1">
      <x v="2"/>
    </i>
    <i r="2">
      <x v="51"/>
    </i>
    <i r="2">
      <x v="95"/>
    </i>
    <i>
      <x v="6"/>
    </i>
    <i r="1">
      <x/>
    </i>
    <i r="2">
      <x v="14"/>
    </i>
    <i r="2">
      <x v="18"/>
    </i>
    <i r="2">
      <x v="19"/>
    </i>
    <i r="2">
      <x v="23"/>
    </i>
    <i r="2">
      <x v="59"/>
    </i>
    <i r="2">
      <x v="62"/>
    </i>
    <i r="2">
      <x v="63"/>
    </i>
    <i r="2">
      <x v="84"/>
    </i>
    <i r="2">
      <x v="85"/>
    </i>
    <i r="2">
      <x v="106"/>
    </i>
    <i r="2">
      <x v="110"/>
    </i>
    <i r="2">
      <x v="123"/>
    </i>
    <i r="2">
      <x v="124"/>
    </i>
    <i r="2">
      <x v="136"/>
    </i>
    <i r="2">
      <x v="150"/>
    </i>
    <i r="2">
      <x v="161"/>
    </i>
    <i r="2">
      <x v="170"/>
    </i>
    <i r="1">
      <x v="1"/>
    </i>
    <i r="2">
      <x v="4"/>
    </i>
    <i r="2">
      <x v="5"/>
    </i>
    <i r="2">
      <x v="7"/>
    </i>
    <i r="2">
      <x v="8"/>
    </i>
    <i r="2">
      <x v="13"/>
    </i>
    <i r="2">
      <x v="16"/>
    </i>
    <i r="2">
      <x v="26"/>
    </i>
    <i r="2">
      <x v="29"/>
    </i>
    <i r="2">
      <x v="31"/>
    </i>
    <i r="2">
      <x v="40"/>
    </i>
    <i r="2">
      <x v="43"/>
    </i>
    <i r="2">
      <x v="55"/>
    </i>
    <i r="2">
      <x v="77"/>
    </i>
    <i r="2">
      <x v="80"/>
    </i>
    <i r="2">
      <x v="86"/>
    </i>
    <i r="2">
      <x v="89"/>
    </i>
    <i r="2">
      <x v="90"/>
    </i>
    <i r="2">
      <x v="94"/>
    </i>
    <i r="2">
      <x v="100"/>
    </i>
    <i r="2">
      <x v="101"/>
    </i>
    <i r="2">
      <x v="114"/>
    </i>
    <i r="2">
      <x v="135"/>
    </i>
    <i r="2">
      <x v="140"/>
    </i>
    <i r="2">
      <x v="163"/>
    </i>
    <i r="2">
      <x v="164"/>
    </i>
    <i r="1">
      <x v="2"/>
    </i>
    <i r="2">
      <x v="42"/>
    </i>
    <i r="2">
      <x v="45"/>
    </i>
    <i r="2">
      <x v="46"/>
    </i>
    <i r="2">
      <x v="49"/>
    </i>
    <i r="2">
      <x v="52"/>
    </i>
    <i r="2">
      <x v="64"/>
    </i>
    <i>
      <x v="7"/>
    </i>
    <i r="1">
      <x/>
    </i>
    <i r="2">
      <x v="30"/>
    </i>
    <i r="1">
      <x v="1"/>
    </i>
    <i r="2">
      <x v="25"/>
    </i>
    <i r="2">
      <x v="27"/>
    </i>
    <i r="2">
      <x v="61"/>
    </i>
    <i r="2">
      <x v="65"/>
    </i>
    <i r="2">
      <x v="69"/>
    </i>
    <i r="2">
      <x v="79"/>
    </i>
    <i r="2">
      <x v="103"/>
    </i>
    <i r="2">
      <x v="155"/>
    </i>
    <i r="2">
      <x v="181"/>
    </i>
    <i r="1">
      <x v="2"/>
    </i>
    <i r="2">
      <x v="48"/>
    </i>
    <i r="2">
      <x v="157"/>
    </i>
    <i r="1">
      <x v="3"/>
    </i>
    <i r="2">
      <x v="185"/>
    </i>
    <i>
      <x v="8"/>
    </i>
    <i r="1">
      <x/>
    </i>
    <i r="2">
      <x v="60"/>
    </i>
    <i r="2">
      <x v="115"/>
    </i>
    <i r="2">
      <x v="116"/>
    </i>
    <i r="2">
      <x v="121"/>
    </i>
    <i r="2">
      <x v="159"/>
    </i>
    <i r="1">
      <x v="1"/>
    </i>
    <i r="2">
      <x v="11"/>
    </i>
    <i r="2">
      <x v="68"/>
    </i>
    <i r="2">
      <x v="72"/>
    </i>
    <i r="2">
      <x v="88"/>
    </i>
    <i r="2">
      <x v="91"/>
    </i>
    <i r="2">
      <x v="178"/>
    </i>
    <i>
      <x v="9"/>
    </i>
    <i r="1">
      <x/>
    </i>
    <i r="2">
      <x v="20"/>
    </i>
    <i r="2">
      <x v="59"/>
    </i>
    <i r="2">
      <x v="60"/>
    </i>
    <i r="2">
      <x v="105"/>
    </i>
    <i r="2">
      <x v="108"/>
    </i>
    <i r="2">
      <x v="118"/>
    </i>
    <i r="2">
      <x v="122"/>
    </i>
    <i r="2">
      <x v="125"/>
    </i>
    <i r="2">
      <x v="127"/>
    </i>
    <i r="2">
      <x v="128"/>
    </i>
    <i r="2">
      <x v="129"/>
    </i>
    <i r="2">
      <x v="131"/>
    </i>
    <i r="2">
      <x v="134"/>
    </i>
    <i r="2">
      <x v="143"/>
    </i>
    <i r="2">
      <x v="156"/>
    </i>
    <i r="2">
      <x v="169"/>
    </i>
    <i r="2">
      <x v="172"/>
    </i>
    <i r="1">
      <x v="1"/>
    </i>
    <i r="2">
      <x v="24"/>
    </i>
    <i r="2">
      <x v="33"/>
    </i>
    <i r="2">
      <x v="34"/>
    </i>
    <i r="2">
      <x v="53"/>
    </i>
    <i r="2">
      <x v="67"/>
    </i>
    <i r="2">
      <x v="70"/>
    </i>
    <i r="2">
      <x v="71"/>
    </i>
    <i r="2">
      <x v="73"/>
    </i>
    <i r="2">
      <x v="141"/>
    </i>
    <i r="2">
      <x v="144"/>
    </i>
    <i r="2">
      <x v="151"/>
    </i>
    <i r="2">
      <x v="166"/>
    </i>
    <i r="2">
      <x v="167"/>
    </i>
    <i r="1">
      <x v="2"/>
    </i>
    <i r="2">
      <x v="37"/>
    </i>
    <i r="2">
      <x v="38"/>
    </i>
    <i r="2">
      <x v="39"/>
    </i>
    <i r="2">
      <x v="47"/>
    </i>
    <i r="2">
      <x v="50"/>
    </i>
    <i r="2">
      <x v="177"/>
    </i>
    <i>
      <x v="10"/>
    </i>
    <i r="1">
      <x v="3"/>
    </i>
    <i r="2">
      <x v="18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ผลรวม ของ จำนวน " fld="16" baseField="11" baseItem="4"/>
  </dataFields>
  <formats count="141">
    <format dxfId="160">
      <pivotArea dataOnly="0" labelOnly="1" fieldPosition="0">
        <references count="3">
          <reference field="11" count="1" selected="0">
            <x v="4"/>
          </reference>
          <reference field="13" count="1">
            <x v="81"/>
          </reference>
          <reference field="36" count="1" selected="0">
            <x v="1"/>
          </reference>
        </references>
      </pivotArea>
    </format>
    <format dxfId="159">
      <pivotArea collapsedLevelsAreSubtotals="1" fieldPosition="0">
        <references count="2">
          <reference field="0" count="2" selected="0">
            <x v="3"/>
            <x v="4"/>
          </reference>
          <reference field="11" count="1">
            <x v="4"/>
          </reference>
        </references>
      </pivotArea>
    </format>
    <format dxfId="158">
      <pivotArea collapsedLevelsAreSubtotals="1" fieldPosition="0">
        <references count="2">
          <reference field="0" count="2" selected="0">
            <x v="3"/>
            <x v="4"/>
          </reference>
          <reference field="11" count="1">
            <x v="5"/>
          </reference>
        </references>
      </pivotArea>
    </format>
    <format dxfId="157">
      <pivotArea collapsedLevelsAreSubtotals="1" fieldPosition="0">
        <references count="2">
          <reference field="0" count="2" selected="0">
            <x v="3"/>
            <x v="4"/>
          </reference>
          <reference field="11" count="1">
            <x v="6"/>
          </reference>
        </references>
      </pivotArea>
    </format>
    <format dxfId="156">
      <pivotArea collapsedLevelsAreSubtotals="1" fieldPosition="0">
        <references count="2">
          <reference field="0" count="2" selected="0">
            <x v="3"/>
            <x v="4"/>
          </reference>
          <reference field="11" count="1">
            <x v="9"/>
          </reference>
        </references>
      </pivotArea>
    </format>
    <format dxfId="155">
      <pivotArea collapsedLevelsAreSubtotals="1" fieldPosition="0">
        <references count="2">
          <reference field="0" count="2" selected="0">
            <x v="3"/>
            <x v="4"/>
          </reference>
          <reference field="11" count="1">
            <x v="8"/>
          </reference>
        </references>
      </pivotArea>
    </format>
    <format dxfId="154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4"/>
          </reference>
          <reference field="36" count="1">
            <x v="0"/>
          </reference>
        </references>
      </pivotArea>
    </format>
    <format dxfId="153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4"/>
          </reference>
          <reference field="36" count="1">
            <x v="1"/>
          </reference>
        </references>
      </pivotArea>
    </format>
    <format dxfId="152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4"/>
          </reference>
          <reference field="36" count="1">
            <x v="2"/>
          </reference>
        </references>
      </pivotArea>
    </format>
    <format dxfId="151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5"/>
          </reference>
          <reference field="36" count="1">
            <x v="0"/>
          </reference>
        </references>
      </pivotArea>
    </format>
    <format dxfId="150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5"/>
          </reference>
          <reference field="36" count="1">
            <x v="1"/>
          </reference>
        </references>
      </pivotArea>
    </format>
    <format dxfId="149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5"/>
          </reference>
          <reference field="36" count="1">
            <x v="2"/>
          </reference>
        </references>
      </pivotArea>
    </format>
    <format dxfId="148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6"/>
          </reference>
          <reference field="36" count="1">
            <x v="0"/>
          </reference>
        </references>
      </pivotArea>
    </format>
    <format dxfId="147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6"/>
          </reference>
          <reference field="36" count="1">
            <x v="1"/>
          </reference>
        </references>
      </pivotArea>
    </format>
    <format dxfId="146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6"/>
          </reference>
          <reference field="36" count="1">
            <x v="2"/>
          </reference>
        </references>
      </pivotArea>
    </format>
    <format dxfId="145">
      <pivotArea collapsedLevelsAreSubtotals="1" fieldPosition="0">
        <references count="2">
          <reference field="0" count="2" selected="0">
            <x v="3"/>
            <x v="4"/>
          </reference>
          <reference field="11" count="1">
            <x v="7"/>
          </reference>
        </references>
      </pivotArea>
    </format>
    <format dxfId="144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7"/>
          </reference>
          <reference field="36" count="1">
            <x v="0"/>
          </reference>
        </references>
      </pivotArea>
    </format>
    <format dxfId="143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7"/>
          </reference>
          <reference field="36" count="1">
            <x v="1"/>
          </reference>
        </references>
      </pivotArea>
    </format>
    <format dxfId="142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7"/>
          </reference>
          <reference field="36" count="1">
            <x v="2"/>
          </reference>
        </references>
      </pivotArea>
    </format>
    <format dxfId="141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8"/>
          </reference>
          <reference field="36" count="1">
            <x v="0"/>
          </reference>
        </references>
      </pivotArea>
    </format>
    <format dxfId="140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8"/>
          </reference>
          <reference field="36" count="1">
            <x v="1"/>
          </reference>
        </references>
      </pivotArea>
    </format>
    <format dxfId="139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9"/>
          </reference>
          <reference field="36" count="1">
            <x v="0"/>
          </reference>
        </references>
      </pivotArea>
    </format>
    <format dxfId="138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9"/>
          </reference>
          <reference field="36" count="1">
            <x v="1"/>
          </reference>
        </references>
      </pivotArea>
    </format>
    <format dxfId="137">
      <pivotArea collapsedLevelsAreSubtotals="1" fieldPosition="0">
        <references count="3">
          <reference field="0" count="2" selected="0">
            <x v="3"/>
            <x v="4"/>
          </reference>
          <reference field="11" count="1" selected="0">
            <x v="9"/>
          </reference>
          <reference field="36" count="1">
            <x v="2"/>
          </reference>
        </references>
      </pivotArea>
    </format>
    <format dxfId="136">
      <pivotArea collapsedLevelsAreSubtotals="1" fieldPosition="0">
        <references count="4">
          <reference field="0" count="1" selected="0">
            <x v="3"/>
          </reference>
          <reference field="11" count="1" selected="0">
            <x v="4"/>
          </reference>
          <reference field="13" count="1">
            <x v="173"/>
          </reference>
          <reference field="36" count="1" selected="0">
            <x v="0"/>
          </reference>
        </references>
      </pivotArea>
    </format>
    <format dxfId="135">
      <pivotArea collapsedLevelsAreSubtotals="1" fieldPosition="0">
        <references count="4">
          <reference field="0" count="1" selected="0">
            <x v="2"/>
          </reference>
          <reference field="11" count="1" selected="0">
            <x v="4"/>
          </reference>
          <reference field="13" count="1">
            <x v="17"/>
          </reference>
          <reference field="36" count="1" selected="0">
            <x v="0"/>
          </reference>
        </references>
      </pivotArea>
    </format>
    <format dxfId="134">
      <pivotArea collapsedLevelsAreSubtotals="1" fieldPosition="0">
        <references count="4">
          <reference field="0" count="1" selected="0">
            <x v="0"/>
          </reference>
          <reference field="11" count="1" selected="0">
            <x v="4"/>
          </reference>
          <reference field="13" count="1">
            <x v="2"/>
          </reference>
          <reference field="36" count="1" selected="0">
            <x v="1"/>
          </reference>
        </references>
      </pivotArea>
    </format>
    <format dxfId="133">
      <pivotArea collapsedLevelsAreSubtotals="1" fieldPosition="0">
        <references count="4">
          <reference field="0" count="1" selected="0">
            <x v="4"/>
          </reference>
          <reference field="11" count="1" selected="0">
            <x v="4"/>
          </reference>
          <reference field="13" count="1">
            <x v="9"/>
          </reference>
          <reference field="36" count="1" selected="0">
            <x v="1"/>
          </reference>
        </references>
      </pivotArea>
    </format>
    <format dxfId="132">
      <pivotArea collapsedLevelsAreSubtotals="1" fieldPosition="0">
        <references count="4">
          <reference field="0" count="1" selected="0">
            <x v="2"/>
          </reference>
          <reference field="11" count="1" selected="0">
            <x v="4"/>
          </reference>
          <reference field="13" count="1">
            <x v="15"/>
          </reference>
          <reference field="36" count="1" selected="0">
            <x v="1"/>
          </reference>
        </references>
      </pivotArea>
    </format>
    <format dxfId="131">
      <pivotArea collapsedLevelsAreSubtotals="1" fieldPosition="0">
        <references count="4">
          <reference field="0" count="1" selected="0">
            <x v="4"/>
          </reference>
          <reference field="11" count="1" selected="0">
            <x v="4"/>
          </reference>
          <reference field="13" count="1">
            <x v="22"/>
          </reference>
          <reference field="36" count="1" selected="0">
            <x v="1"/>
          </reference>
        </references>
      </pivotArea>
    </format>
    <format dxfId="130">
      <pivotArea collapsedLevelsAreSubtotals="1" fieldPosition="0">
        <references count="4">
          <reference field="0" count="1" selected="0">
            <x v="0"/>
          </reference>
          <reference field="11" count="1" selected="0">
            <x v="4"/>
          </reference>
          <reference field="13" count="1">
            <x v="66"/>
          </reference>
          <reference field="36" count="1" selected="0">
            <x v="1"/>
          </reference>
        </references>
      </pivotArea>
    </format>
    <format dxfId="129">
      <pivotArea collapsedLevelsAreSubtotals="1" fieldPosition="0">
        <references count="4">
          <reference field="0" count="1" selected="0">
            <x v="1"/>
          </reference>
          <reference field="11" count="1" selected="0">
            <x v="4"/>
          </reference>
          <reference field="13" count="1">
            <x v="92"/>
          </reference>
          <reference field="36" count="1" selected="0">
            <x v="1"/>
          </reference>
        </references>
      </pivotArea>
    </format>
    <format dxfId="128">
      <pivotArea collapsedLevelsAreSubtotals="1" fieldPosition="0">
        <references count="4">
          <reference field="0" count="1" selected="0">
            <x v="3"/>
          </reference>
          <reference field="11" count="1" selected="0">
            <x v="4"/>
          </reference>
          <reference field="13" count="1">
            <x v="98"/>
          </reference>
          <reference field="36" count="1" selected="0">
            <x v="1"/>
          </reference>
        </references>
      </pivotArea>
    </format>
    <format dxfId="127">
      <pivotArea collapsedLevelsAreSubtotals="1" fieldPosition="0">
        <references count="4">
          <reference field="0" count="1" selected="0">
            <x v="1"/>
          </reference>
          <reference field="11" count="1" selected="0">
            <x v="4"/>
          </reference>
          <reference field="13" count="1">
            <x v="153"/>
          </reference>
          <reference field="36" count="1" selected="0">
            <x v="1"/>
          </reference>
        </references>
      </pivotArea>
    </format>
    <format dxfId="126">
      <pivotArea collapsedLevelsAreSubtotals="1" fieldPosition="0">
        <references count="4">
          <reference field="0" count="1" selected="0">
            <x v="2"/>
          </reference>
          <reference field="11" count="1" selected="0">
            <x v="4"/>
          </reference>
          <reference field="13" count="1">
            <x v="158"/>
          </reference>
          <reference field="36" count="1" selected="0">
            <x v="1"/>
          </reference>
        </references>
      </pivotArea>
    </format>
    <format dxfId="125">
      <pivotArea collapsedLevelsAreSubtotals="1" fieldPosition="0">
        <references count="4">
          <reference field="0" count="1" selected="0">
            <x v="3"/>
          </reference>
          <reference field="11" count="1" selected="0">
            <x v="5"/>
          </reference>
          <reference field="13" count="1">
            <x v="23"/>
          </reference>
          <reference field="36" count="1" selected="0">
            <x v="0"/>
          </reference>
        </references>
      </pivotArea>
    </format>
    <format dxfId="124">
      <pivotArea collapsedLevelsAreSubtotals="1" fieldPosition="0">
        <references count="4">
          <reference field="0" count="1" selected="0">
            <x v="4"/>
          </reference>
          <reference field="11" count="1" selected="0">
            <x v="5"/>
          </reference>
          <reference field="13" count="1">
            <x v="148"/>
          </reference>
          <reference field="36" count="1" selected="0">
            <x v="0"/>
          </reference>
        </references>
      </pivotArea>
    </format>
    <format dxfId="123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168"/>
          </reference>
          <reference field="36" count="1" selected="0">
            <x v="0"/>
          </reference>
        </references>
      </pivotArea>
    </format>
    <format dxfId="122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10"/>
          </reference>
          <reference field="36" count="1" selected="0">
            <x v="1"/>
          </reference>
        </references>
      </pivotArea>
    </format>
    <format dxfId="121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12"/>
          </reference>
          <reference field="36" count="1" selected="0">
            <x v="1"/>
          </reference>
        </references>
      </pivotArea>
    </format>
    <format dxfId="120">
      <pivotArea collapsedLevelsAreSubtotals="1" fieldPosition="0">
        <references count="4">
          <reference field="0" count="1" selected="0">
            <x v="2"/>
          </reference>
          <reference field="11" count="1" selected="0">
            <x v="5"/>
          </reference>
          <reference field="13" count="1">
            <x v="54"/>
          </reference>
          <reference field="36" count="1" selected="0">
            <x v="1"/>
          </reference>
        </references>
      </pivotArea>
    </format>
    <format dxfId="119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74"/>
          </reference>
          <reference field="36" count="1" selected="0">
            <x v="1"/>
          </reference>
        </references>
      </pivotArea>
    </format>
    <format dxfId="118">
      <pivotArea collapsedLevelsAreSubtotals="1" fieldPosition="0">
        <references count="4">
          <reference field="0" count="1" selected="0">
            <x v="0"/>
          </reference>
          <reference field="11" count="1" selected="0">
            <x v="5"/>
          </reference>
          <reference field="13" count="1">
            <x v="75"/>
          </reference>
          <reference field="36" count="1" selected="0">
            <x v="1"/>
          </reference>
        </references>
      </pivotArea>
    </format>
    <format dxfId="117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76"/>
          </reference>
          <reference field="36" count="1" selected="0">
            <x v="1"/>
          </reference>
        </references>
      </pivotArea>
    </format>
    <format dxfId="116">
      <pivotArea collapsedLevelsAreSubtotals="1" fieldPosition="0">
        <references count="4">
          <reference field="0" count="1" selected="0">
            <x v="2"/>
          </reference>
          <reference field="11" count="1" selected="0">
            <x v="5"/>
          </reference>
          <reference field="13" count="2">
            <x v="78"/>
            <x v="79"/>
          </reference>
          <reference field="36" count="1" selected="0">
            <x v="1"/>
          </reference>
        </references>
      </pivotArea>
    </format>
    <format dxfId="115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149"/>
          </reference>
          <reference field="36" count="1" selected="0">
            <x v="1"/>
          </reference>
        </references>
      </pivotArea>
    </format>
    <format dxfId="114">
      <pivotArea collapsedLevelsAreSubtotals="1" fieldPosition="0">
        <references count="4">
          <reference field="0" count="1" selected="0">
            <x v="4"/>
          </reference>
          <reference field="11" count="1" selected="0">
            <x v="5"/>
          </reference>
          <reference field="13" count="1">
            <x v="152"/>
          </reference>
          <reference field="36" count="1" selected="0">
            <x v="1"/>
          </reference>
        </references>
      </pivotArea>
    </format>
    <format dxfId="113">
      <pivotArea collapsedLevelsAreSubtotals="1" fieldPosition="0">
        <references count="4">
          <reference field="0" count="1" selected="0">
            <x v="1"/>
          </reference>
          <reference field="11" count="1" selected="0">
            <x v="5"/>
          </reference>
          <reference field="13" count="1">
            <x v="154"/>
          </reference>
          <reference field="36" count="1" selected="0">
            <x v="1"/>
          </reference>
        </references>
      </pivotArea>
    </format>
    <format dxfId="112">
      <pivotArea collapsedLevelsAreSubtotals="1" fieldPosition="0">
        <references count="4">
          <reference field="0" count="1" selected="0">
            <x v="4"/>
          </reference>
          <reference field="11" count="1" selected="0">
            <x v="5"/>
          </reference>
          <reference field="13" count="1">
            <x v="160"/>
          </reference>
          <reference field="36" count="1" selected="0">
            <x v="1"/>
          </reference>
        </references>
      </pivotArea>
    </format>
    <format dxfId="111">
      <pivotArea collapsedLevelsAreSubtotals="1" fieldPosition="0">
        <references count="4">
          <reference field="0" count="1" selected="0">
            <x v="2"/>
          </reference>
          <reference field="11" count="1" selected="0">
            <x v="5"/>
          </reference>
          <reference field="13" count="1">
            <x v="162"/>
          </reference>
          <reference field="36" count="1" selected="0">
            <x v="1"/>
          </reference>
        </references>
      </pivotArea>
    </format>
    <format dxfId="110">
      <pivotArea collapsedLevelsAreSubtotals="1" fieldPosition="0">
        <references count="4">
          <reference field="0" count="1" selected="0">
            <x v="3"/>
          </reference>
          <reference field="11" count="1" selected="0">
            <x v="5"/>
          </reference>
          <reference field="13" count="1">
            <x v="165"/>
          </reference>
          <reference field="36" count="1" selected="0">
            <x v="1"/>
          </reference>
        </references>
      </pivotArea>
    </format>
    <format dxfId="109">
      <pivotArea collapsedLevelsAreSubtotals="1" fieldPosition="0">
        <references count="4">
          <reference field="0" count="1" selected="0">
            <x v="4"/>
          </reference>
          <reference field="11" count="1" selected="0">
            <x v="5"/>
          </reference>
          <reference field="13" count="1">
            <x v="171"/>
          </reference>
          <reference field="36" count="1" selected="0">
            <x v="1"/>
          </reference>
        </references>
      </pivotArea>
    </format>
    <format dxfId="108">
      <pivotArea collapsedLevelsAreSubtotals="1" fieldPosition="0">
        <references count="4">
          <reference field="0" count="1" selected="0">
            <x v="3"/>
          </reference>
          <reference field="11" count="1" selected="0">
            <x v="5"/>
          </reference>
          <reference field="13" count="1">
            <x v="175"/>
          </reference>
          <reference field="36" count="1" selected="0">
            <x v="1"/>
          </reference>
        </references>
      </pivotArea>
    </format>
    <format dxfId="107">
      <pivotArea collapsedLevelsAreSubtotals="1" fieldPosition="0">
        <references count="4">
          <reference field="0" count="1" selected="0">
            <x v="4"/>
          </reference>
          <reference field="11" count="1" selected="0">
            <x v="5"/>
          </reference>
          <reference field="13" count="1">
            <x v="184"/>
          </reference>
          <reference field="36" count="1" selected="0">
            <x v="1"/>
          </reference>
        </references>
      </pivotArea>
    </format>
    <format dxfId="106">
      <pivotArea collapsedLevelsAreSubtotals="1" fieldPosition="0">
        <references count="4">
          <reference field="0" count="1" selected="0">
            <x v="1"/>
          </reference>
          <reference field="11" count="1" selected="0">
            <x v="6"/>
          </reference>
          <reference field="13" count="1">
            <x v="18"/>
          </reference>
          <reference field="36" count="1" selected="0">
            <x v="0"/>
          </reference>
        </references>
      </pivotArea>
    </format>
    <format dxfId="105">
      <pivotArea collapsedLevelsAreSubtotals="1" fieldPosition="0">
        <references count="4">
          <reference field="0" count="1" selected="0">
            <x v="2"/>
          </reference>
          <reference field="11" count="1" selected="0">
            <x v="6"/>
          </reference>
          <reference field="13" count="1">
            <x v="14"/>
          </reference>
          <reference field="36" count="1" selected="0">
            <x v="0"/>
          </reference>
        </references>
      </pivotArea>
    </format>
    <format dxfId="104">
      <pivotArea collapsedLevelsAreSubtotals="1" fieldPosition="0">
        <references count="4">
          <reference field="0" count="1" selected="0">
            <x v="2"/>
          </reference>
          <reference field="11" count="1" selected="0">
            <x v="6"/>
          </reference>
          <reference field="13" count="1">
            <x v="19"/>
          </reference>
          <reference field="36" count="1" selected="0">
            <x v="0"/>
          </reference>
        </references>
      </pivotArea>
    </format>
    <format dxfId="103">
      <pivotArea collapsedLevelsAreSubtotals="1" fieldPosition="0">
        <references count="4">
          <reference field="0" count="1" selected="0">
            <x v="3"/>
          </reference>
          <reference field="11" count="1" selected="0">
            <x v="6"/>
          </reference>
          <reference field="13" count="1">
            <x v="23"/>
          </reference>
          <reference field="36" count="1" selected="0">
            <x v="0"/>
          </reference>
        </references>
      </pivotArea>
    </format>
    <format dxfId="102">
      <pivotArea collapsedLevelsAreSubtotals="1" fieldPosition="0">
        <references count="4">
          <reference field="0" count="1" selected="0">
            <x v="2"/>
          </reference>
          <reference field="11" count="1" selected="0">
            <x v="6"/>
          </reference>
          <reference field="13" count="1">
            <x v="150"/>
          </reference>
          <reference field="36" count="1" selected="0">
            <x v="0"/>
          </reference>
        </references>
      </pivotArea>
    </format>
    <format dxfId="101">
      <pivotArea collapsedLevelsAreSubtotals="1" fieldPosition="0">
        <references count="4">
          <reference field="0" count="1" selected="0">
            <x v="3"/>
          </reference>
          <reference field="11" count="1" selected="0">
            <x v="6"/>
          </reference>
          <reference field="13" count="1">
            <x v="170"/>
          </reference>
          <reference field="36" count="1" selected="0">
            <x v="0"/>
          </reference>
        </references>
      </pivotArea>
    </format>
    <format dxfId="100">
      <pivotArea collapsedLevelsAreSubtotals="1" fieldPosition="0">
        <references count="4">
          <reference field="0" count="1" selected="0">
            <x v="0"/>
          </reference>
          <reference field="11" count="1" selected="0">
            <x v="6"/>
          </reference>
          <reference field="13" count="1">
            <x v="4"/>
          </reference>
          <reference field="36" count="1" selected="0">
            <x v="1"/>
          </reference>
        </references>
      </pivotArea>
    </format>
    <format dxfId="99">
      <pivotArea collapsedLevelsAreSubtotals="1" fieldPosition="0">
        <references count="4">
          <reference field="0" count="1" selected="0">
            <x v="4"/>
          </reference>
          <reference field="11" count="1" selected="0">
            <x v="6"/>
          </reference>
          <reference field="13" count="1">
            <x v="7"/>
          </reference>
          <reference field="36" count="1" selected="0">
            <x v="1"/>
          </reference>
        </references>
      </pivotArea>
    </format>
    <format dxfId="98">
      <pivotArea collapsedLevelsAreSubtotals="1" fieldPosition="0">
        <references count="4">
          <reference field="0" count="1" selected="0">
            <x v="3"/>
          </reference>
          <reference field="11" count="1" selected="0">
            <x v="6"/>
          </reference>
          <reference field="13" count="1">
            <x v="8"/>
          </reference>
          <reference field="36" count="1" selected="0">
            <x v="1"/>
          </reference>
        </references>
      </pivotArea>
    </format>
    <format dxfId="97">
      <pivotArea dataOnly="0" labelOnly="1" fieldPosition="0">
        <references count="3">
          <reference field="11" count="1" selected="0">
            <x v="6"/>
          </reference>
          <reference field="13" count="2">
            <x v="40"/>
            <x v="43"/>
          </reference>
          <reference field="36" count="1" selected="0">
            <x v="1"/>
          </reference>
        </references>
      </pivotArea>
    </format>
    <format dxfId="96">
      <pivotArea collapsedLevelsAreSubtotals="1" fieldPosition="0">
        <references count="4">
          <reference field="0" count="1" selected="0">
            <x v="1"/>
          </reference>
          <reference field="11" count="1" selected="0">
            <x v="6"/>
          </reference>
          <reference field="13" count="1">
            <x v="55"/>
          </reference>
          <reference field="36" count="1" selected="0">
            <x v="1"/>
          </reference>
        </references>
      </pivotArea>
    </format>
    <format dxfId="95">
      <pivotArea collapsedLevelsAreSubtotals="1" fieldPosition="0">
        <references count="4">
          <reference field="0" count="1" selected="0">
            <x v="3"/>
          </reference>
          <reference field="11" count="1" selected="0">
            <x v="6"/>
          </reference>
          <reference field="13" count="1">
            <x v="77"/>
          </reference>
          <reference field="36" count="1" selected="0">
            <x v="1"/>
          </reference>
        </references>
      </pivotArea>
    </format>
    <format dxfId="94">
      <pivotArea collapsedLevelsAreSubtotals="1" fieldPosition="0">
        <references count="4">
          <reference field="0" count="1" selected="0">
            <x v="3"/>
          </reference>
          <reference field="11" count="1" selected="0">
            <x v="6"/>
          </reference>
          <reference field="13" count="1">
            <x v="80"/>
          </reference>
          <reference field="36" count="1" selected="0">
            <x v="1"/>
          </reference>
        </references>
      </pivotArea>
    </format>
    <format dxfId="93">
      <pivotArea collapsedLevelsAreSubtotals="1" fieldPosition="0">
        <references count="4">
          <reference field="0" count="1" selected="0">
            <x v="3"/>
          </reference>
          <reference field="11" count="1" selected="0">
            <x v="6"/>
          </reference>
          <reference field="13" count="1">
            <x v="164"/>
          </reference>
          <reference field="36" count="1" selected="0">
            <x v="1"/>
          </reference>
        </references>
      </pivotArea>
    </format>
    <format dxfId="92">
      <pivotArea collapsedLevelsAreSubtotals="1" fieldPosition="0">
        <references count="4">
          <reference field="0" count="1" selected="0">
            <x v="1"/>
          </reference>
          <reference field="11" count="1" selected="0">
            <x v="6"/>
          </reference>
          <reference field="13" count="1">
            <x v="163"/>
          </reference>
          <reference field="36" count="1" selected="0">
            <x v="1"/>
          </reference>
        </references>
      </pivotArea>
    </format>
    <format dxfId="91">
      <pivotArea collapsedLevelsAreSubtotals="1" fieldPosition="0">
        <references count="4">
          <reference field="0" count="1" selected="0">
            <x v="3"/>
          </reference>
          <reference field="11" count="1" selected="0">
            <x v="7"/>
          </reference>
          <reference field="13" count="1">
            <x v="25"/>
          </reference>
          <reference field="36" count="1" selected="0">
            <x v="1"/>
          </reference>
        </references>
      </pivotArea>
    </format>
    <format dxfId="90">
      <pivotArea collapsedLevelsAreSubtotals="1" fieldPosition="0">
        <references count="4">
          <reference field="0" count="1" selected="0">
            <x v="3"/>
          </reference>
          <reference field="11" count="1" selected="0">
            <x v="7"/>
          </reference>
          <reference field="13" count="1">
            <x v="25"/>
          </reference>
          <reference field="36" count="1" selected="0">
            <x v="1"/>
          </reference>
        </references>
      </pivotArea>
    </format>
    <format dxfId="89">
      <pivotArea collapsedLevelsAreSubtotals="1" fieldPosition="0">
        <references count="4">
          <reference field="0" count="1" selected="0">
            <x v="1"/>
          </reference>
          <reference field="11" count="1" selected="0">
            <x v="7"/>
          </reference>
          <reference field="13" count="1">
            <x v="155"/>
          </reference>
          <reference field="36" count="1" selected="0">
            <x v="1"/>
          </reference>
        </references>
      </pivotArea>
    </format>
    <format dxfId="88">
      <pivotArea collapsedLevelsAreSubtotals="1" fieldPosition="0">
        <references count="4">
          <reference field="0" count="1" selected="0">
            <x v="3"/>
          </reference>
          <reference field="11" count="1" selected="0">
            <x v="7"/>
          </reference>
          <reference field="13" count="1">
            <x v="181"/>
          </reference>
          <reference field="36" count="1" selected="0">
            <x v="1"/>
          </reference>
        </references>
      </pivotArea>
    </format>
    <format dxfId="87">
      <pivotArea collapsedLevelsAreSubtotals="1" fieldPosition="0">
        <references count="4">
          <reference field="0" count="1" selected="0">
            <x v="2"/>
          </reference>
          <reference field="11" count="1" selected="0">
            <x v="8"/>
          </reference>
          <reference field="13" count="1">
            <x v="159"/>
          </reference>
          <reference field="36" count="1" selected="0">
            <x v="0"/>
          </reference>
        </references>
      </pivotArea>
    </format>
    <format dxfId="86">
      <pivotArea collapsedLevelsAreSubtotals="1" fieldPosition="0">
        <references count="4">
          <reference field="0" count="1" selected="0">
            <x v="1"/>
          </reference>
          <reference field="11" count="1" selected="0">
            <x v="8"/>
          </reference>
          <reference field="13" count="1">
            <x v="11"/>
          </reference>
          <reference field="36" count="1" selected="0">
            <x v="1"/>
          </reference>
        </references>
      </pivotArea>
    </format>
    <format dxfId="85">
      <pivotArea collapsedLevelsAreSubtotals="1" fieldPosition="0">
        <references count="4">
          <reference field="0" count="1" selected="0">
            <x v="2"/>
          </reference>
          <reference field="11" count="1" selected="0">
            <x v="8"/>
          </reference>
          <reference field="13" count="1">
            <x v="88"/>
          </reference>
          <reference field="36" count="1" selected="0">
            <x v="1"/>
          </reference>
        </references>
      </pivotArea>
    </format>
    <format dxfId="84">
      <pivotArea collapsedLevelsAreSubtotals="1" fieldPosition="0">
        <references count="4">
          <reference field="0" count="1" selected="0">
            <x v="3"/>
          </reference>
          <reference field="11" count="1" selected="0">
            <x v="9"/>
          </reference>
          <reference field="13" count="1">
            <x v="20"/>
          </reference>
          <reference field="36" count="1" selected="0">
            <x v="0"/>
          </reference>
        </references>
      </pivotArea>
    </format>
    <format dxfId="83">
      <pivotArea collapsedLevelsAreSubtotals="1" fieldPosition="0">
        <references count="4">
          <reference field="0" count="1" selected="0">
            <x v="1"/>
          </reference>
          <reference field="11" count="1" selected="0">
            <x v="9"/>
          </reference>
          <reference field="13" count="1">
            <x v="156"/>
          </reference>
          <reference field="36" count="1" selected="0">
            <x v="0"/>
          </reference>
        </references>
      </pivotArea>
    </format>
    <format dxfId="82">
      <pivotArea collapsedLevelsAreSubtotals="1" fieldPosition="0">
        <references count="4">
          <reference field="0" count="1" selected="0">
            <x v="3"/>
          </reference>
          <reference field="11" count="1" selected="0">
            <x v="9"/>
          </reference>
          <reference field="13" count="1">
            <x v="169"/>
          </reference>
          <reference field="36" count="1" selected="0">
            <x v="0"/>
          </reference>
        </references>
      </pivotArea>
    </format>
    <format dxfId="81">
      <pivotArea collapsedLevelsAreSubtotals="1" fieldPosition="0">
        <references count="4">
          <reference field="0" count="1" selected="0">
            <x v="3"/>
          </reference>
          <reference field="11" count="1" selected="0">
            <x v="9"/>
          </reference>
          <reference field="13" count="1">
            <x v="172"/>
          </reference>
          <reference field="36" count="1" selected="0">
            <x v="0"/>
          </reference>
        </references>
      </pivotArea>
    </format>
    <format dxfId="80">
      <pivotArea collapsedLevelsAreSubtotals="1" fieldPosition="0">
        <references count="4">
          <reference field="0" count="1" selected="0">
            <x v="1"/>
          </reference>
          <reference field="11" count="1" selected="0">
            <x v="9"/>
          </reference>
          <reference field="13" count="1">
            <x v="24"/>
          </reference>
          <reference field="36" count="1" selected="0">
            <x v="1"/>
          </reference>
        </references>
      </pivotArea>
    </format>
    <format dxfId="79">
      <pivotArea collapsedLevelsAreSubtotals="1" fieldPosition="0">
        <references count="4">
          <reference field="0" count="1" selected="0">
            <x v="0"/>
          </reference>
          <reference field="11" count="1" selected="0">
            <x v="9"/>
          </reference>
          <reference field="13" count="1">
            <x v="67"/>
          </reference>
          <reference field="36" count="1" selected="0">
            <x v="1"/>
          </reference>
        </references>
      </pivotArea>
    </format>
    <format dxfId="78">
      <pivotArea outline="0" collapsedLevelsAreSubtotals="1" fieldPosition="0"/>
    </format>
    <format dxfId="77">
      <pivotArea dataOnly="0" labelOnly="1" fieldPosition="0">
        <references count="1">
          <reference field="11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2">
          <reference field="11" count="1" selected="0">
            <x v="4"/>
          </reference>
          <reference field="36" count="3">
            <x v="0"/>
            <x v="1"/>
            <x v="2"/>
          </reference>
        </references>
      </pivotArea>
    </format>
    <format dxfId="74">
      <pivotArea dataOnly="0" labelOnly="1" fieldPosition="0">
        <references count="2">
          <reference field="11" count="1" selected="0">
            <x v="5"/>
          </reference>
          <reference field="36" count="3">
            <x v="0"/>
            <x v="1"/>
            <x v="2"/>
          </reference>
        </references>
      </pivotArea>
    </format>
    <format dxfId="73">
      <pivotArea dataOnly="0" labelOnly="1" fieldPosition="0">
        <references count="2">
          <reference field="11" count="1" selected="0">
            <x v="6"/>
          </reference>
          <reference field="36" count="3">
            <x v="0"/>
            <x v="1"/>
            <x v="2"/>
          </reference>
        </references>
      </pivotArea>
    </format>
    <format dxfId="72">
      <pivotArea dataOnly="0" labelOnly="1" fieldPosition="0">
        <references count="2">
          <reference field="11" count="1" selected="0">
            <x v="7"/>
          </reference>
          <reference field="36" count="0"/>
        </references>
      </pivotArea>
    </format>
    <format dxfId="71">
      <pivotArea dataOnly="0" labelOnly="1" fieldPosition="0">
        <references count="2">
          <reference field="11" count="1" selected="0">
            <x v="8"/>
          </reference>
          <reference field="36" count="2">
            <x v="0"/>
            <x v="1"/>
          </reference>
        </references>
      </pivotArea>
    </format>
    <format dxfId="70">
      <pivotArea dataOnly="0" labelOnly="1" fieldPosition="0">
        <references count="2">
          <reference field="11" count="1" selected="0">
            <x v="9"/>
          </reference>
          <reference field="36" count="3">
            <x v="0"/>
            <x v="1"/>
            <x v="2"/>
          </reference>
        </references>
      </pivotArea>
    </format>
    <format dxfId="69">
      <pivotArea dataOnly="0" labelOnly="1" fieldPosition="0">
        <references count="2">
          <reference field="11" count="1" selected="0">
            <x v="10"/>
          </reference>
          <reference field="36" count="1">
            <x v="3"/>
          </reference>
        </references>
      </pivotArea>
    </format>
    <format dxfId="68">
      <pivotArea dataOnly="0" labelOnly="1" fieldPosition="0">
        <references count="3">
          <reference field="11" count="1" selected="0">
            <x v="4"/>
          </reference>
          <reference field="13" count="10">
            <x v="17"/>
            <x v="56"/>
            <x v="58"/>
            <x v="112"/>
            <x v="120"/>
            <x v="121"/>
            <x v="126"/>
            <x v="130"/>
            <x v="137"/>
            <x v="173"/>
          </reference>
          <reference field="36" count="1" selected="0">
            <x v="0"/>
          </reference>
        </references>
      </pivotArea>
    </format>
    <format dxfId="67">
      <pivotArea dataOnly="0" labelOnly="1" fieldPosition="0">
        <references count="3">
          <reference field="11" count="1" selected="0">
            <x v="4"/>
          </reference>
          <reference field="13" count="20">
            <x v="1"/>
            <x v="2"/>
            <x v="3"/>
            <x v="9"/>
            <x v="15"/>
            <x v="22"/>
            <x v="28"/>
            <x v="32"/>
            <x v="57"/>
            <x v="66"/>
            <x v="81"/>
            <x v="87"/>
            <x v="92"/>
            <x v="96"/>
            <x v="98"/>
            <x v="99"/>
            <x v="117"/>
            <x v="147"/>
            <x v="153"/>
            <x v="158"/>
          </reference>
          <reference field="36" count="1" selected="0">
            <x v="1"/>
          </reference>
        </references>
      </pivotArea>
    </format>
    <format dxfId="66">
      <pivotArea dataOnly="0" labelOnly="1" fieldPosition="0">
        <references count="3">
          <reference field="11" count="1" selected="0">
            <x v="4"/>
          </reference>
          <reference field="13" count="3">
            <x v="41"/>
            <x v="44"/>
            <x v="46"/>
          </reference>
          <reference field="36" count="1" selected="0">
            <x v="2"/>
          </reference>
        </references>
      </pivotArea>
    </format>
    <format dxfId="65">
      <pivotArea dataOnly="0" labelOnly="1" fieldPosition="0">
        <references count="3">
          <reference field="11" count="1" selected="0">
            <x v="5"/>
          </reference>
          <reference field="13" count="14">
            <x v="23"/>
            <x v="83"/>
            <x v="102"/>
            <x v="104"/>
            <x v="107"/>
            <x v="111"/>
            <x v="113"/>
            <x v="119"/>
            <x v="132"/>
            <x v="133"/>
            <x v="138"/>
            <x v="139"/>
            <x v="148"/>
            <x v="168"/>
          </reference>
          <reference field="36" count="1" selected="0">
            <x v="0"/>
          </reference>
        </references>
      </pivotArea>
    </format>
    <format dxfId="64">
      <pivotArea dataOnly="0" labelOnly="1" fieldPosition="0">
        <references count="3">
          <reference field="11" count="1" selected="0">
            <x v="5"/>
          </reference>
          <reference field="13" count="29">
            <x v="6"/>
            <x v="10"/>
            <x v="12"/>
            <x v="35"/>
            <x v="54"/>
            <x v="74"/>
            <x v="75"/>
            <x v="76"/>
            <x v="78"/>
            <x v="79"/>
            <x v="82"/>
            <x v="93"/>
            <x v="97"/>
            <x v="109"/>
            <x v="142"/>
            <x v="145"/>
            <x v="146"/>
            <x v="149"/>
            <x v="152"/>
            <x v="154"/>
            <x v="160"/>
            <x v="162"/>
            <x v="165"/>
            <x v="171"/>
            <x v="174"/>
            <x v="175"/>
            <x v="176"/>
            <x v="180"/>
            <x v="184"/>
          </reference>
          <reference field="36" count="1" selected="0">
            <x v="1"/>
          </reference>
        </references>
      </pivotArea>
    </format>
    <format dxfId="63">
      <pivotArea dataOnly="0" labelOnly="1" fieldPosition="0">
        <references count="3">
          <reference field="11" count="1" selected="0">
            <x v="5"/>
          </reference>
          <reference field="13" count="2">
            <x v="51"/>
            <x v="95"/>
          </reference>
          <reference field="36" count="1" selected="0">
            <x v="2"/>
          </reference>
        </references>
      </pivotArea>
    </format>
    <format dxfId="62">
      <pivotArea dataOnly="0" labelOnly="1" fieldPosition="0">
        <references count="3">
          <reference field="11" count="1" selected="0">
            <x v="6"/>
          </reference>
          <reference field="13" count="17">
            <x v="14"/>
            <x v="18"/>
            <x v="19"/>
            <x v="23"/>
            <x v="59"/>
            <x v="62"/>
            <x v="63"/>
            <x v="84"/>
            <x v="85"/>
            <x v="106"/>
            <x v="110"/>
            <x v="123"/>
            <x v="124"/>
            <x v="136"/>
            <x v="150"/>
            <x v="161"/>
            <x v="170"/>
          </reference>
          <reference field="36" count="1" selected="0">
            <x v="0"/>
          </reference>
        </references>
      </pivotArea>
    </format>
    <format dxfId="61">
      <pivotArea dataOnly="0" labelOnly="1" fieldPosition="0">
        <references count="3">
          <reference field="11" count="1" selected="0">
            <x v="6"/>
          </reference>
          <reference field="13" count="25">
            <x v="4"/>
            <x v="5"/>
            <x v="7"/>
            <x v="8"/>
            <x v="13"/>
            <x v="16"/>
            <x v="26"/>
            <x v="29"/>
            <x v="31"/>
            <x v="40"/>
            <x v="43"/>
            <x v="55"/>
            <x v="77"/>
            <x v="80"/>
            <x v="86"/>
            <x v="89"/>
            <x v="90"/>
            <x v="94"/>
            <x v="100"/>
            <x v="101"/>
            <x v="114"/>
            <x v="135"/>
            <x v="140"/>
            <x v="163"/>
            <x v="164"/>
          </reference>
          <reference field="36" count="1" selected="0">
            <x v="1"/>
          </reference>
        </references>
      </pivotArea>
    </format>
    <format dxfId="60">
      <pivotArea dataOnly="0" labelOnly="1" fieldPosition="0">
        <references count="3">
          <reference field="11" count="1" selected="0">
            <x v="6"/>
          </reference>
          <reference field="13" count="6">
            <x v="42"/>
            <x v="45"/>
            <x v="46"/>
            <x v="49"/>
            <x v="52"/>
            <x v="64"/>
          </reference>
          <reference field="36" count="1" selected="0">
            <x v="2"/>
          </reference>
        </references>
      </pivotArea>
    </format>
    <format dxfId="59">
      <pivotArea dataOnly="0" labelOnly="1" fieldPosition="0">
        <references count="3">
          <reference field="11" count="1" selected="0">
            <x v="7"/>
          </reference>
          <reference field="13" count="1">
            <x v="30"/>
          </reference>
          <reference field="36" count="1" selected="0">
            <x v="0"/>
          </reference>
        </references>
      </pivotArea>
    </format>
    <format dxfId="58">
      <pivotArea dataOnly="0" labelOnly="1" fieldPosition="0">
        <references count="3">
          <reference field="11" count="1" selected="0">
            <x v="7"/>
          </reference>
          <reference field="13" count="9">
            <x v="25"/>
            <x v="27"/>
            <x v="61"/>
            <x v="65"/>
            <x v="69"/>
            <x v="79"/>
            <x v="103"/>
            <x v="155"/>
            <x v="181"/>
          </reference>
          <reference field="36" count="1" selected="0">
            <x v="1"/>
          </reference>
        </references>
      </pivotArea>
    </format>
    <format dxfId="57">
      <pivotArea dataOnly="0" labelOnly="1" fieldPosition="0">
        <references count="3">
          <reference field="11" count="1" selected="0">
            <x v="7"/>
          </reference>
          <reference field="13" count="2">
            <x v="48"/>
            <x v="157"/>
          </reference>
          <reference field="36" count="1" selected="0">
            <x v="2"/>
          </reference>
        </references>
      </pivotArea>
    </format>
    <format dxfId="56">
      <pivotArea dataOnly="0" labelOnly="1" fieldPosition="0">
        <references count="3">
          <reference field="11" count="1" selected="0">
            <x v="7"/>
          </reference>
          <reference field="13" count="1">
            <x v="185"/>
          </reference>
          <reference field="36" count="1" selected="0">
            <x v="3"/>
          </reference>
        </references>
      </pivotArea>
    </format>
    <format dxfId="55">
      <pivotArea dataOnly="0" labelOnly="1" fieldPosition="0">
        <references count="3">
          <reference field="11" count="1" selected="0">
            <x v="8"/>
          </reference>
          <reference field="13" count="5">
            <x v="60"/>
            <x v="115"/>
            <x v="116"/>
            <x v="121"/>
            <x v="159"/>
          </reference>
          <reference field="36" count="1" selected="0">
            <x v="0"/>
          </reference>
        </references>
      </pivotArea>
    </format>
    <format dxfId="54">
      <pivotArea dataOnly="0" labelOnly="1" fieldPosition="0">
        <references count="3">
          <reference field="11" count="1" selected="0">
            <x v="8"/>
          </reference>
          <reference field="13" count="6">
            <x v="11"/>
            <x v="68"/>
            <x v="72"/>
            <x v="88"/>
            <x v="91"/>
            <x v="178"/>
          </reference>
          <reference field="36" count="1" selected="0">
            <x v="1"/>
          </reference>
        </references>
      </pivotArea>
    </format>
    <format dxfId="53">
      <pivotArea dataOnly="0" labelOnly="1" fieldPosition="0">
        <references count="3">
          <reference field="11" count="1" selected="0">
            <x v="9"/>
          </reference>
          <reference field="13" count="17">
            <x v="20"/>
            <x v="59"/>
            <x v="60"/>
            <x v="105"/>
            <x v="108"/>
            <x v="118"/>
            <x v="122"/>
            <x v="125"/>
            <x v="127"/>
            <x v="128"/>
            <x v="129"/>
            <x v="131"/>
            <x v="134"/>
            <x v="143"/>
            <x v="156"/>
            <x v="169"/>
            <x v="172"/>
          </reference>
          <reference field="36" count="1" selected="0">
            <x v="0"/>
          </reference>
        </references>
      </pivotArea>
    </format>
    <format dxfId="52">
      <pivotArea dataOnly="0" labelOnly="1" fieldPosition="0">
        <references count="3">
          <reference field="11" count="1" selected="0">
            <x v="9"/>
          </reference>
          <reference field="13" count="13">
            <x v="24"/>
            <x v="33"/>
            <x v="34"/>
            <x v="53"/>
            <x v="67"/>
            <x v="70"/>
            <x v="71"/>
            <x v="73"/>
            <x v="141"/>
            <x v="144"/>
            <x v="151"/>
            <x v="166"/>
            <x v="167"/>
          </reference>
          <reference field="36" count="1" selected="0">
            <x v="1"/>
          </reference>
        </references>
      </pivotArea>
    </format>
    <format dxfId="51">
      <pivotArea dataOnly="0" labelOnly="1" fieldPosition="0">
        <references count="3">
          <reference field="11" count="1" selected="0">
            <x v="9"/>
          </reference>
          <reference field="13" count="6">
            <x v="37"/>
            <x v="38"/>
            <x v="39"/>
            <x v="47"/>
            <x v="50"/>
            <x v="177"/>
          </reference>
          <reference field="36" count="1" selected="0">
            <x v="2"/>
          </reference>
        </references>
      </pivotArea>
    </format>
    <format dxfId="50">
      <pivotArea dataOnly="0" labelOnly="1" fieldPosition="0">
        <references count="3">
          <reference field="11" count="1" selected="0">
            <x v="10"/>
          </reference>
          <reference field="13" count="1">
            <x v="183"/>
          </reference>
          <reference field="36" count="1" selected="0">
            <x v="3"/>
          </reference>
        </references>
      </pivotArea>
    </format>
    <format dxfId="49">
      <pivotArea type="origin" dataOnly="0" labelOnly="1" outline="0" fieldPosition="0"/>
    </format>
    <format dxfId="48">
      <pivotArea field="11" type="button" dataOnly="0" labelOnly="1" outline="0" axis="axisRow" fieldPosition="0"/>
    </format>
    <format dxfId="47">
      <pivotArea dataOnly="0" labelOnly="1" fieldPosition="0">
        <references count="1">
          <reference field="11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11" count="1" selected="0">
            <x v="4"/>
          </reference>
          <reference field="36" count="3">
            <x v="0"/>
            <x v="1"/>
            <x v="2"/>
          </reference>
        </references>
      </pivotArea>
    </format>
    <format dxfId="44">
      <pivotArea dataOnly="0" labelOnly="1" fieldPosition="0">
        <references count="2">
          <reference field="11" count="1" selected="0">
            <x v="5"/>
          </reference>
          <reference field="36" count="3">
            <x v="0"/>
            <x v="1"/>
            <x v="2"/>
          </reference>
        </references>
      </pivotArea>
    </format>
    <format dxfId="43">
      <pivotArea dataOnly="0" labelOnly="1" fieldPosition="0">
        <references count="2">
          <reference field="11" count="1" selected="0">
            <x v="6"/>
          </reference>
          <reference field="36" count="3">
            <x v="0"/>
            <x v="1"/>
            <x v="2"/>
          </reference>
        </references>
      </pivotArea>
    </format>
    <format dxfId="42">
      <pivotArea dataOnly="0" labelOnly="1" fieldPosition="0">
        <references count="2">
          <reference field="11" count="1" selected="0">
            <x v="7"/>
          </reference>
          <reference field="36" count="0"/>
        </references>
      </pivotArea>
    </format>
    <format dxfId="41">
      <pivotArea dataOnly="0" labelOnly="1" fieldPosition="0">
        <references count="2">
          <reference field="11" count="1" selected="0">
            <x v="8"/>
          </reference>
          <reference field="36" count="2">
            <x v="0"/>
            <x v="1"/>
          </reference>
        </references>
      </pivotArea>
    </format>
    <format dxfId="40">
      <pivotArea dataOnly="0" labelOnly="1" fieldPosition="0">
        <references count="2">
          <reference field="11" count="1" selected="0">
            <x v="9"/>
          </reference>
          <reference field="36" count="3">
            <x v="0"/>
            <x v="1"/>
            <x v="2"/>
          </reference>
        </references>
      </pivotArea>
    </format>
    <format dxfId="39">
      <pivotArea dataOnly="0" labelOnly="1" fieldPosition="0">
        <references count="2">
          <reference field="11" count="1" selected="0">
            <x v="10"/>
          </reference>
          <reference field="36" count="1">
            <x v="3"/>
          </reference>
        </references>
      </pivotArea>
    </format>
    <format dxfId="38">
      <pivotArea dataOnly="0" labelOnly="1" fieldPosition="0">
        <references count="3">
          <reference field="11" count="1" selected="0">
            <x v="4"/>
          </reference>
          <reference field="13" count="10">
            <x v="17"/>
            <x v="56"/>
            <x v="58"/>
            <x v="112"/>
            <x v="120"/>
            <x v="121"/>
            <x v="126"/>
            <x v="130"/>
            <x v="137"/>
            <x v="173"/>
          </reference>
          <reference field="36" count="1" selected="0">
            <x v="0"/>
          </reference>
        </references>
      </pivotArea>
    </format>
    <format dxfId="37">
      <pivotArea dataOnly="0" labelOnly="1" fieldPosition="0">
        <references count="3">
          <reference field="11" count="1" selected="0">
            <x v="4"/>
          </reference>
          <reference field="13" count="20">
            <x v="1"/>
            <x v="2"/>
            <x v="3"/>
            <x v="9"/>
            <x v="15"/>
            <x v="22"/>
            <x v="28"/>
            <x v="32"/>
            <x v="57"/>
            <x v="66"/>
            <x v="81"/>
            <x v="87"/>
            <x v="92"/>
            <x v="96"/>
            <x v="98"/>
            <x v="99"/>
            <x v="117"/>
            <x v="147"/>
            <x v="153"/>
            <x v="158"/>
          </reference>
          <reference field="36" count="1" selected="0">
            <x v="1"/>
          </reference>
        </references>
      </pivotArea>
    </format>
    <format dxfId="36">
      <pivotArea dataOnly="0" labelOnly="1" fieldPosition="0">
        <references count="3">
          <reference field="11" count="1" selected="0">
            <x v="4"/>
          </reference>
          <reference field="13" count="3">
            <x v="41"/>
            <x v="44"/>
            <x v="46"/>
          </reference>
          <reference field="36" count="1" selected="0">
            <x v="2"/>
          </reference>
        </references>
      </pivotArea>
    </format>
    <format dxfId="35">
      <pivotArea dataOnly="0" labelOnly="1" fieldPosition="0">
        <references count="3">
          <reference field="11" count="1" selected="0">
            <x v="5"/>
          </reference>
          <reference field="13" count="14">
            <x v="23"/>
            <x v="83"/>
            <x v="102"/>
            <x v="104"/>
            <x v="107"/>
            <x v="111"/>
            <x v="113"/>
            <x v="119"/>
            <x v="132"/>
            <x v="133"/>
            <x v="138"/>
            <x v="139"/>
            <x v="148"/>
            <x v="168"/>
          </reference>
          <reference field="36" count="1" selected="0">
            <x v="0"/>
          </reference>
        </references>
      </pivotArea>
    </format>
    <format dxfId="34">
      <pivotArea dataOnly="0" labelOnly="1" fieldPosition="0">
        <references count="3">
          <reference field="11" count="1" selected="0">
            <x v="5"/>
          </reference>
          <reference field="13" count="29">
            <x v="6"/>
            <x v="10"/>
            <x v="12"/>
            <x v="35"/>
            <x v="54"/>
            <x v="74"/>
            <x v="75"/>
            <x v="76"/>
            <x v="78"/>
            <x v="79"/>
            <x v="82"/>
            <x v="93"/>
            <x v="97"/>
            <x v="109"/>
            <x v="142"/>
            <x v="145"/>
            <x v="146"/>
            <x v="149"/>
            <x v="152"/>
            <x v="154"/>
            <x v="160"/>
            <x v="162"/>
            <x v="165"/>
            <x v="171"/>
            <x v="174"/>
            <x v="175"/>
            <x v="176"/>
            <x v="180"/>
            <x v="184"/>
          </reference>
          <reference field="36" count="1" selected="0">
            <x v="1"/>
          </reference>
        </references>
      </pivotArea>
    </format>
    <format dxfId="33">
      <pivotArea dataOnly="0" labelOnly="1" fieldPosition="0">
        <references count="3">
          <reference field="11" count="1" selected="0">
            <x v="5"/>
          </reference>
          <reference field="13" count="2">
            <x v="51"/>
            <x v="95"/>
          </reference>
          <reference field="36" count="1" selected="0">
            <x v="2"/>
          </reference>
        </references>
      </pivotArea>
    </format>
    <format dxfId="32">
      <pivotArea dataOnly="0" labelOnly="1" fieldPosition="0">
        <references count="3">
          <reference field="11" count="1" selected="0">
            <x v="6"/>
          </reference>
          <reference field="13" count="17">
            <x v="14"/>
            <x v="18"/>
            <x v="19"/>
            <x v="23"/>
            <x v="59"/>
            <x v="62"/>
            <x v="63"/>
            <x v="84"/>
            <x v="85"/>
            <x v="106"/>
            <x v="110"/>
            <x v="123"/>
            <x v="124"/>
            <x v="136"/>
            <x v="150"/>
            <x v="161"/>
            <x v="170"/>
          </reference>
          <reference field="36" count="1" selected="0">
            <x v="0"/>
          </reference>
        </references>
      </pivotArea>
    </format>
    <format dxfId="31">
      <pivotArea dataOnly="0" labelOnly="1" fieldPosition="0">
        <references count="3">
          <reference field="11" count="1" selected="0">
            <x v="6"/>
          </reference>
          <reference field="13" count="25">
            <x v="4"/>
            <x v="5"/>
            <x v="7"/>
            <x v="8"/>
            <x v="13"/>
            <x v="16"/>
            <x v="26"/>
            <x v="29"/>
            <x v="31"/>
            <x v="40"/>
            <x v="43"/>
            <x v="55"/>
            <x v="77"/>
            <x v="80"/>
            <x v="86"/>
            <x v="89"/>
            <x v="90"/>
            <x v="94"/>
            <x v="100"/>
            <x v="101"/>
            <x v="114"/>
            <x v="135"/>
            <x v="140"/>
            <x v="163"/>
            <x v="164"/>
          </reference>
          <reference field="36" count="1" selected="0">
            <x v="1"/>
          </reference>
        </references>
      </pivotArea>
    </format>
    <format dxfId="30">
      <pivotArea dataOnly="0" labelOnly="1" fieldPosition="0">
        <references count="3">
          <reference field="11" count="1" selected="0">
            <x v="6"/>
          </reference>
          <reference field="13" count="6">
            <x v="42"/>
            <x v="45"/>
            <x v="46"/>
            <x v="49"/>
            <x v="52"/>
            <x v="64"/>
          </reference>
          <reference field="36" count="1" selected="0">
            <x v="2"/>
          </reference>
        </references>
      </pivotArea>
    </format>
    <format dxfId="29">
      <pivotArea dataOnly="0" labelOnly="1" fieldPosition="0">
        <references count="3">
          <reference field="11" count="1" selected="0">
            <x v="7"/>
          </reference>
          <reference field="13" count="1">
            <x v="30"/>
          </reference>
          <reference field="36" count="1" selected="0">
            <x v="0"/>
          </reference>
        </references>
      </pivotArea>
    </format>
    <format dxfId="28">
      <pivotArea dataOnly="0" labelOnly="1" fieldPosition="0">
        <references count="3">
          <reference field="11" count="1" selected="0">
            <x v="7"/>
          </reference>
          <reference field="13" count="9">
            <x v="25"/>
            <x v="27"/>
            <x v="61"/>
            <x v="65"/>
            <x v="69"/>
            <x v="79"/>
            <x v="103"/>
            <x v="155"/>
            <x v="181"/>
          </reference>
          <reference field="36" count="1" selected="0">
            <x v="1"/>
          </reference>
        </references>
      </pivotArea>
    </format>
    <format dxfId="27">
      <pivotArea dataOnly="0" labelOnly="1" fieldPosition="0">
        <references count="3">
          <reference field="11" count="1" selected="0">
            <x v="7"/>
          </reference>
          <reference field="13" count="2">
            <x v="48"/>
            <x v="157"/>
          </reference>
          <reference field="36" count="1" selected="0">
            <x v="2"/>
          </reference>
        </references>
      </pivotArea>
    </format>
    <format dxfId="26">
      <pivotArea dataOnly="0" labelOnly="1" fieldPosition="0">
        <references count="3">
          <reference field="11" count="1" selected="0">
            <x v="7"/>
          </reference>
          <reference field="13" count="1">
            <x v="185"/>
          </reference>
          <reference field="36" count="1" selected="0">
            <x v="3"/>
          </reference>
        </references>
      </pivotArea>
    </format>
    <format dxfId="25">
      <pivotArea dataOnly="0" labelOnly="1" fieldPosition="0">
        <references count="3">
          <reference field="11" count="1" selected="0">
            <x v="8"/>
          </reference>
          <reference field="13" count="5">
            <x v="60"/>
            <x v="115"/>
            <x v="116"/>
            <x v="121"/>
            <x v="159"/>
          </reference>
          <reference field="36" count="1" selected="0">
            <x v="0"/>
          </reference>
        </references>
      </pivotArea>
    </format>
    <format dxfId="24">
      <pivotArea dataOnly="0" labelOnly="1" fieldPosition="0">
        <references count="3">
          <reference field="11" count="1" selected="0">
            <x v="8"/>
          </reference>
          <reference field="13" count="6">
            <x v="11"/>
            <x v="68"/>
            <x v="72"/>
            <x v="88"/>
            <x v="91"/>
            <x v="178"/>
          </reference>
          <reference field="36" count="1" selected="0">
            <x v="1"/>
          </reference>
        </references>
      </pivotArea>
    </format>
    <format dxfId="23">
      <pivotArea dataOnly="0" labelOnly="1" fieldPosition="0">
        <references count="3">
          <reference field="11" count="1" selected="0">
            <x v="9"/>
          </reference>
          <reference field="13" count="17">
            <x v="20"/>
            <x v="59"/>
            <x v="60"/>
            <x v="105"/>
            <x v="108"/>
            <x v="118"/>
            <x v="122"/>
            <x v="125"/>
            <x v="127"/>
            <x v="128"/>
            <x v="129"/>
            <x v="131"/>
            <x v="134"/>
            <x v="143"/>
            <x v="156"/>
            <x v="169"/>
            <x v="172"/>
          </reference>
          <reference field="36" count="1" selected="0">
            <x v="0"/>
          </reference>
        </references>
      </pivotArea>
    </format>
    <format dxfId="22">
      <pivotArea dataOnly="0" labelOnly="1" fieldPosition="0">
        <references count="3">
          <reference field="11" count="1" selected="0">
            <x v="9"/>
          </reference>
          <reference field="13" count="13">
            <x v="24"/>
            <x v="33"/>
            <x v="34"/>
            <x v="53"/>
            <x v="67"/>
            <x v="70"/>
            <x v="71"/>
            <x v="73"/>
            <x v="141"/>
            <x v="144"/>
            <x v="151"/>
            <x v="166"/>
            <x v="167"/>
          </reference>
          <reference field="36" count="1" selected="0">
            <x v="1"/>
          </reference>
        </references>
      </pivotArea>
    </format>
    <format dxfId="21">
      <pivotArea dataOnly="0" labelOnly="1" fieldPosition="0">
        <references count="3">
          <reference field="11" count="1" selected="0">
            <x v="9"/>
          </reference>
          <reference field="13" count="6">
            <x v="37"/>
            <x v="38"/>
            <x v="39"/>
            <x v="47"/>
            <x v="50"/>
            <x v="177"/>
          </reference>
          <reference field="36" count="1" selected="0">
            <x v="2"/>
          </reference>
        </references>
      </pivotArea>
    </format>
    <format dxfId="20">
      <pivotArea dataOnly="0" labelOnly="1" fieldPosition="0">
        <references count="3">
          <reference field="11" count="1" selected="0">
            <x v="10"/>
          </reference>
          <reference field="13" count="1">
            <x v="183"/>
          </reference>
          <reference field="3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J54"/>
  <sheetViews>
    <sheetView workbookViewId="0">
      <selection activeCell="G17" sqref="G17"/>
    </sheetView>
  </sheetViews>
  <sheetFormatPr defaultRowHeight="23.25" x14ac:dyDescent="0.2"/>
  <cols>
    <col min="1" max="1" width="18.125" style="105" customWidth="1"/>
    <col min="2" max="2" width="11.625" style="105" customWidth="1"/>
    <col min="3" max="3" width="7.75" style="105" customWidth="1"/>
    <col min="4" max="4" width="11.125" style="105" customWidth="1"/>
    <col min="5" max="5" width="1.25" style="105" customWidth="1"/>
    <col min="6" max="6" width="8.75" style="105" customWidth="1"/>
    <col min="7" max="7" width="11.625" style="105" customWidth="1"/>
    <col min="8" max="9" width="9.75" style="105" customWidth="1"/>
    <col min="10" max="10" width="21.125" style="105" customWidth="1"/>
    <col min="11" max="11" width="9.75" style="105" customWidth="1"/>
    <col min="12" max="195" width="9" style="105"/>
    <col min="196" max="196" width="13.625" style="105" customWidth="1"/>
    <col min="197" max="197" width="12.75" style="105" customWidth="1"/>
    <col min="198" max="198" width="8.125" style="105" customWidth="1"/>
    <col min="199" max="199" width="9.5" style="105" customWidth="1"/>
    <col min="200" max="200" width="1.25" style="105" customWidth="1"/>
    <col min="201" max="201" width="7.875" style="105" customWidth="1"/>
    <col min="202" max="204" width="9.75" style="105" customWidth="1"/>
    <col min="205" max="205" width="21.625" style="105" customWidth="1"/>
    <col min="206" max="206" width="9.75" style="105" customWidth="1"/>
    <col min="207" max="451" width="9" style="105"/>
    <col min="452" max="452" width="13.625" style="105" customWidth="1"/>
    <col min="453" max="453" width="12.75" style="105" customWidth="1"/>
    <col min="454" max="454" width="8.125" style="105" customWidth="1"/>
    <col min="455" max="455" width="9.5" style="105" customWidth="1"/>
    <col min="456" max="456" width="1.25" style="105" customWidth="1"/>
    <col min="457" max="457" width="7.875" style="105" customWidth="1"/>
    <col min="458" max="460" width="9.75" style="105" customWidth="1"/>
    <col min="461" max="461" width="21.625" style="105" customWidth="1"/>
    <col min="462" max="462" width="9.75" style="105" customWidth="1"/>
    <col min="463" max="707" width="9" style="105"/>
    <col min="708" max="708" width="13.625" style="105" customWidth="1"/>
    <col min="709" max="709" width="12.75" style="105" customWidth="1"/>
    <col min="710" max="710" width="8.125" style="105" customWidth="1"/>
    <col min="711" max="711" width="9.5" style="105" customWidth="1"/>
    <col min="712" max="712" width="1.25" style="105" customWidth="1"/>
    <col min="713" max="713" width="7.875" style="105" customWidth="1"/>
    <col min="714" max="716" width="9.75" style="105" customWidth="1"/>
    <col min="717" max="717" width="21.625" style="105" customWidth="1"/>
    <col min="718" max="718" width="9.75" style="105" customWidth="1"/>
    <col min="719" max="963" width="9" style="105"/>
    <col min="964" max="964" width="13.625" style="105" customWidth="1"/>
    <col min="965" max="965" width="12.75" style="105" customWidth="1"/>
    <col min="966" max="966" width="8.125" style="105" customWidth="1"/>
    <col min="967" max="967" width="9.5" style="105" customWidth="1"/>
    <col min="968" max="968" width="1.25" style="105" customWidth="1"/>
    <col min="969" max="969" width="7.875" style="105" customWidth="1"/>
    <col min="970" max="972" width="9.75" style="105" customWidth="1"/>
    <col min="973" max="973" width="21.625" style="105" customWidth="1"/>
    <col min="974" max="974" width="9.75" style="105" customWidth="1"/>
    <col min="975" max="1219" width="9" style="105"/>
    <col min="1220" max="1220" width="13.625" style="105" customWidth="1"/>
    <col min="1221" max="1221" width="12.75" style="105" customWidth="1"/>
    <col min="1222" max="1222" width="8.125" style="105" customWidth="1"/>
    <col min="1223" max="1223" width="9.5" style="105" customWidth="1"/>
    <col min="1224" max="1224" width="1.25" style="105" customWidth="1"/>
    <col min="1225" max="1225" width="7.875" style="105" customWidth="1"/>
    <col min="1226" max="1228" width="9.75" style="105" customWidth="1"/>
    <col min="1229" max="1229" width="21.625" style="105" customWidth="1"/>
    <col min="1230" max="1230" width="9.75" style="105" customWidth="1"/>
    <col min="1231" max="1475" width="9" style="105"/>
    <col min="1476" max="1476" width="13.625" style="105" customWidth="1"/>
    <col min="1477" max="1477" width="12.75" style="105" customWidth="1"/>
    <col min="1478" max="1478" width="8.125" style="105" customWidth="1"/>
    <col min="1479" max="1479" width="9.5" style="105" customWidth="1"/>
    <col min="1480" max="1480" width="1.25" style="105" customWidth="1"/>
    <col min="1481" max="1481" width="7.875" style="105" customWidth="1"/>
    <col min="1482" max="1484" width="9.75" style="105" customWidth="1"/>
    <col min="1485" max="1485" width="21.625" style="105" customWidth="1"/>
    <col min="1486" max="1486" width="9.75" style="105" customWidth="1"/>
    <col min="1487" max="1731" width="9" style="105"/>
    <col min="1732" max="1732" width="13.625" style="105" customWidth="1"/>
    <col min="1733" max="1733" width="12.75" style="105" customWidth="1"/>
    <col min="1734" max="1734" width="8.125" style="105" customWidth="1"/>
    <col min="1735" max="1735" width="9.5" style="105" customWidth="1"/>
    <col min="1736" max="1736" width="1.25" style="105" customWidth="1"/>
    <col min="1737" max="1737" width="7.875" style="105" customWidth="1"/>
    <col min="1738" max="1740" width="9.75" style="105" customWidth="1"/>
    <col min="1741" max="1741" width="21.625" style="105" customWidth="1"/>
    <col min="1742" max="1742" width="9.75" style="105" customWidth="1"/>
    <col min="1743" max="1987" width="9" style="105"/>
    <col min="1988" max="1988" width="13.625" style="105" customWidth="1"/>
    <col min="1989" max="1989" width="12.75" style="105" customWidth="1"/>
    <col min="1990" max="1990" width="8.125" style="105" customWidth="1"/>
    <col min="1991" max="1991" width="9.5" style="105" customWidth="1"/>
    <col min="1992" max="1992" width="1.25" style="105" customWidth="1"/>
    <col min="1993" max="1993" width="7.875" style="105" customWidth="1"/>
    <col min="1994" max="1996" width="9.75" style="105" customWidth="1"/>
    <col min="1997" max="1997" width="21.625" style="105" customWidth="1"/>
    <col min="1998" max="1998" width="9.75" style="105" customWidth="1"/>
    <col min="1999" max="2243" width="9" style="105"/>
    <col min="2244" max="2244" width="13.625" style="105" customWidth="1"/>
    <col min="2245" max="2245" width="12.75" style="105" customWidth="1"/>
    <col min="2246" max="2246" width="8.125" style="105" customWidth="1"/>
    <col min="2247" max="2247" width="9.5" style="105" customWidth="1"/>
    <col min="2248" max="2248" width="1.25" style="105" customWidth="1"/>
    <col min="2249" max="2249" width="7.875" style="105" customWidth="1"/>
    <col min="2250" max="2252" width="9.75" style="105" customWidth="1"/>
    <col min="2253" max="2253" width="21.625" style="105" customWidth="1"/>
    <col min="2254" max="2254" width="9.75" style="105" customWidth="1"/>
    <col min="2255" max="2499" width="9" style="105"/>
    <col min="2500" max="2500" width="13.625" style="105" customWidth="1"/>
    <col min="2501" max="2501" width="12.75" style="105" customWidth="1"/>
    <col min="2502" max="2502" width="8.125" style="105" customWidth="1"/>
    <col min="2503" max="2503" width="9.5" style="105" customWidth="1"/>
    <col min="2504" max="2504" width="1.25" style="105" customWidth="1"/>
    <col min="2505" max="2505" width="7.875" style="105" customWidth="1"/>
    <col min="2506" max="2508" width="9.75" style="105" customWidth="1"/>
    <col min="2509" max="2509" width="21.625" style="105" customWidth="1"/>
    <col min="2510" max="2510" width="9.75" style="105" customWidth="1"/>
    <col min="2511" max="2755" width="9" style="105"/>
    <col min="2756" max="2756" width="13.625" style="105" customWidth="1"/>
    <col min="2757" max="2757" width="12.75" style="105" customWidth="1"/>
    <col min="2758" max="2758" width="8.125" style="105" customWidth="1"/>
    <col min="2759" max="2759" width="9.5" style="105" customWidth="1"/>
    <col min="2760" max="2760" width="1.25" style="105" customWidth="1"/>
    <col min="2761" max="2761" width="7.875" style="105" customWidth="1"/>
    <col min="2762" max="2764" width="9.75" style="105" customWidth="1"/>
    <col min="2765" max="2765" width="21.625" style="105" customWidth="1"/>
    <col min="2766" max="2766" width="9.75" style="105" customWidth="1"/>
    <col min="2767" max="3011" width="9" style="105"/>
    <col min="3012" max="3012" width="13.625" style="105" customWidth="1"/>
    <col min="3013" max="3013" width="12.75" style="105" customWidth="1"/>
    <col min="3014" max="3014" width="8.125" style="105" customWidth="1"/>
    <col min="3015" max="3015" width="9.5" style="105" customWidth="1"/>
    <col min="3016" max="3016" width="1.25" style="105" customWidth="1"/>
    <col min="3017" max="3017" width="7.875" style="105" customWidth="1"/>
    <col min="3018" max="3020" width="9.75" style="105" customWidth="1"/>
    <col min="3021" max="3021" width="21.625" style="105" customWidth="1"/>
    <col min="3022" max="3022" width="9.75" style="105" customWidth="1"/>
    <col min="3023" max="3267" width="9" style="105"/>
    <col min="3268" max="3268" width="13.625" style="105" customWidth="1"/>
    <col min="3269" max="3269" width="12.75" style="105" customWidth="1"/>
    <col min="3270" max="3270" width="8.125" style="105" customWidth="1"/>
    <col min="3271" max="3271" width="9.5" style="105" customWidth="1"/>
    <col min="3272" max="3272" width="1.25" style="105" customWidth="1"/>
    <col min="3273" max="3273" width="7.875" style="105" customWidth="1"/>
    <col min="3274" max="3276" width="9.75" style="105" customWidth="1"/>
    <col min="3277" max="3277" width="21.625" style="105" customWidth="1"/>
    <col min="3278" max="3278" width="9.75" style="105" customWidth="1"/>
    <col min="3279" max="3523" width="9" style="105"/>
    <col min="3524" max="3524" width="13.625" style="105" customWidth="1"/>
    <col min="3525" max="3525" width="12.75" style="105" customWidth="1"/>
    <col min="3526" max="3526" width="8.125" style="105" customWidth="1"/>
    <col min="3527" max="3527" width="9.5" style="105" customWidth="1"/>
    <col min="3528" max="3528" width="1.25" style="105" customWidth="1"/>
    <col min="3529" max="3529" width="7.875" style="105" customWidth="1"/>
    <col min="3530" max="3532" width="9.75" style="105" customWidth="1"/>
    <col min="3533" max="3533" width="21.625" style="105" customWidth="1"/>
    <col min="3534" max="3534" width="9.75" style="105" customWidth="1"/>
    <col min="3535" max="3779" width="9" style="105"/>
    <col min="3780" max="3780" width="13.625" style="105" customWidth="1"/>
    <col min="3781" max="3781" width="12.75" style="105" customWidth="1"/>
    <col min="3782" max="3782" width="8.125" style="105" customWidth="1"/>
    <col min="3783" max="3783" width="9.5" style="105" customWidth="1"/>
    <col min="3784" max="3784" width="1.25" style="105" customWidth="1"/>
    <col min="3785" max="3785" width="7.875" style="105" customWidth="1"/>
    <col min="3786" max="3788" width="9.75" style="105" customWidth="1"/>
    <col min="3789" max="3789" width="21.625" style="105" customWidth="1"/>
    <col min="3790" max="3790" width="9.75" style="105" customWidth="1"/>
    <col min="3791" max="4035" width="9" style="105"/>
    <col min="4036" max="4036" width="13.625" style="105" customWidth="1"/>
    <col min="4037" max="4037" width="12.75" style="105" customWidth="1"/>
    <col min="4038" max="4038" width="8.125" style="105" customWidth="1"/>
    <col min="4039" max="4039" width="9.5" style="105" customWidth="1"/>
    <col min="4040" max="4040" width="1.25" style="105" customWidth="1"/>
    <col min="4041" max="4041" width="7.875" style="105" customWidth="1"/>
    <col min="4042" max="4044" width="9.75" style="105" customWidth="1"/>
    <col min="4045" max="4045" width="21.625" style="105" customWidth="1"/>
    <col min="4046" max="4046" width="9.75" style="105" customWidth="1"/>
    <col min="4047" max="4291" width="9" style="105"/>
    <col min="4292" max="4292" width="13.625" style="105" customWidth="1"/>
    <col min="4293" max="4293" width="12.75" style="105" customWidth="1"/>
    <col min="4294" max="4294" width="8.125" style="105" customWidth="1"/>
    <col min="4295" max="4295" width="9.5" style="105" customWidth="1"/>
    <col min="4296" max="4296" width="1.25" style="105" customWidth="1"/>
    <col min="4297" max="4297" width="7.875" style="105" customWidth="1"/>
    <col min="4298" max="4300" width="9.75" style="105" customWidth="1"/>
    <col min="4301" max="4301" width="21.625" style="105" customWidth="1"/>
    <col min="4302" max="4302" width="9.75" style="105" customWidth="1"/>
    <col min="4303" max="4547" width="9" style="105"/>
    <col min="4548" max="4548" width="13.625" style="105" customWidth="1"/>
    <col min="4549" max="4549" width="12.75" style="105" customWidth="1"/>
    <col min="4550" max="4550" width="8.125" style="105" customWidth="1"/>
    <col min="4551" max="4551" width="9.5" style="105" customWidth="1"/>
    <col min="4552" max="4552" width="1.25" style="105" customWidth="1"/>
    <col min="4553" max="4553" width="7.875" style="105" customWidth="1"/>
    <col min="4554" max="4556" width="9.75" style="105" customWidth="1"/>
    <col min="4557" max="4557" width="21.625" style="105" customWidth="1"/>
    <col min="4558" max="4558" width="9.75" style="105" customWidth="1"/>
    <col min="4559" max="4803" width="9" style="105"/>
    <col min="4804" max="4804" width="13.625" style="105" customWidth="1"/>
    <col min="4805" max="4805" width="12.75" style="105" customWidth="1"/>
    <col min="4806" max="4806" width="8.125" style="105" customWidth="1"/>
    <col min="4807" max="4807" width="9.5" style="105" customWidth="1"/>
    <col min="4808" max="4808" width="1.25" style="105" customWidth="1"/>
    <col min="4809" max="4809" width="7.875" style="105" customWidth="1"/>
    <col min="4810" max="4812" width="9.75" style="105" customWidth="1"/>
    <col min="4813" max="4813" width="21.625" style="105" customWidth="1"/>
    <col min="4814" max="4814" width="9.75" style="105" customWidth="1"/>
    <col min="4815" max="5059" width="9" style="105"/>
    <col min="5060" max="5060" width="13.625" style="105" customWidth="1"/>
    <col min="5061" max="5061" width="12.75" style="105" customWidth="1"/>
    <col min="5062" max="5062" width="8.125" style="105" customWidth="1"/>
    <col min="5063" max="5063" width="9.5" style="105" customWidth="1"/>
    <col min="5064" max="5064" width="1.25" style="105" customWidth="1"/>
    <col min="5065" max="5065" width="7.875" style="105" customWidth="1"/>
    <col min="5066" max="5068" width="9.75" style="105" customWidth="1"/>
    <col min="5069" max="5069" width="21.625" style="105" customWidth="1"/>
    <col min="5070" max="5070" width="9.75" style="105" customWidth="1"/>
    <col min="5071" max="5315" width="9" style="105"/>
    <col min="5316" max="5316" width="13.625" style="105" customWidth="1"/>
    <col min="5317" max="5317" width="12.75" style="105" customWidth="1"/>
    <col min="5318" max="5318" width="8.125" style="105" customWidth="1"/>
    <col min="5319" max="5319" width="9.5" style="105" customWidth="1"/>
    <col min="5320" max="5320" width="1.25" style="105" customWidth="1"/>
    <col min="5321" max="5321" width="7.875" style="105" customWidth="1"/>
    <col min="5322" max="5324" width="9.75" style="105" customWidth="1"/>
    <col min="5325" max="5325" width="21.625" style="105" customWidth="1"/>
    <col min="5326" max="5326" width="9.75" style="105" customWidth="1"/>
    <col min="5327" max="5571" width="9" style="105"/>
    <col min="5572" max="5572" width="13.625" style="105" customWidth="1"/>
    <col min="5573" max="5573" width="12.75" style="105" customWidth="1"/>
    <col min="5574" max="5574" width="8.125" style="105" customWidth="1"/>
    <col min="5575" max="5575" width="9.5" style="105" customWidth="1"/>
    <col min="5576" max="5576" width="1.25" style="105" customWidth="1"/>
    <col min="5577" max="5577" width="7.875" style="105" customWidth="1"/>
    <col min="5578" max="5580" width="9.75" style="105" customWidth="1"/>
    <col min="5581" max="5581" width="21.625" style="105" customWidth="1"/>
    <col min="5582" max="5582" width="9.75" style="105" customWidth="1"/>
    <col min="5583" max="5827" width="9" style="105"/>
    <col min="5828" max="5828" width="13.625" style="105" customWidth="1"/>
    <col min="5829" max="5829" width="12.75" style="105" customWidth="1"/>
    <col min="5830" max="5830" width="8.125" style="105" customWidth="1"/>
    <col min="5831" max="5831" width="9.5" style="105" customWidth="1"/>
    <col min="5832" max="5832" width="1.25" style="105" customWidth="1"/>
    <col min="5833" max="5833" width="7.875" style="105" customWidth="1"/>
    <col min="5834" max="5836" width="9.75" style="105" customWidth="1"/>
    <col min="5837" max="5837" width="21.625" style="105" customWidth="1"/>
    <col min="5838" max="5838" width="9.75" style="105" customWidth="1"/>
    <col min="5839" max="6083" width="9" style="105"/>
    <col min="6084" max="6084" width="13.625" style="105" customWidth="1"/>
    <col min="6085" max="6085" width="12.75" style="105" customWidth="1"/>
    <col min="6086" max="6086" width="8.125" style="105" customWidth="1"/>
    <col min="6087" max="6087" width="9.5" style="105" customWidth="1"/>
    <col min="6088" max="6088" width="1.25" style="105" customWidth="1"/>
    <col min="6089" max="6089" width="7.875" style="105" customWidth="1"/>
    <col min="6090" max="6092" width="9.75" style="105" customWidth="1"/>
    <col min="6093" max="6093" width="21.625" style="105" customWidth="1"/>
    <col min="6094" max="6094" width="9.75" style="105" customWidth="1"/>
    <col min="6095" max="6339" width="9" style="105"/>
    <col min="6340" max="6340" width="13.625" style="105" customWidth="1"/>
    <col min="6341" max="6341" width="12.75" style="105" customWidth="1"/>
    <col min="6342" max="6342" width="8.125" style="105" customWidth="1"/>
    <col min="6343" max="6343" width="9.5" style="105" customWidth="1"/>
    <col min="6344" max="6344" width="1.25" style="105" customWidth="1"/>
    <col min="6345" max="6345" width="7.875" style="105" customWidth="1"/>
    <col min="6346" max="6348" width="9.75" style="105" customWidth="1"/>
    <col min="6349" max="6349" width="21.625" style="105" customWidth="1"/>
    <col min="6350" max="6350" width="9.75" style="105" customWidth="1"/>
    <col min="6351" max="6595" width="9" style="105"/>
    <col min="6596" max="6596" width="13.625" style="105" customWidth="1"/>
    <col min="6597" max="6597" width="12.75" style="105" customWidth="1"/>
    <col min="6598" max="6598" width="8.125" style="105" customWidth="1"/>
    <col min="6599" max="6599" width="9.5" style="105" customWidth="1"/>
    <col min="6600" max="6600" width="1.25" style="105" customWidth="1"/>
    <col min="6601" max="6601" width="7.875" style="105" customWidth="1"/>
    <col min="6602" max="6604" width="9.75" style="105" customWidth="1"/>
    <col min="6605" max="6605" width="21.625" style="105" customWidth="1"/>
    <col min="6606" max="6606" width="9.75" style="105" customWidth="1"/>
    <col min="6607" max="6851" width="9" style="105"/>
    <col min="6852" max="6852" width="13.625" style="105" customWidth="1"/>
    <col min="6853" max="6853" width="12.75" style="105" customWidth="1"/>
    <col min="6854" max="6854" width="8.125" style="105" customWidth="1"/>
    <col min="6855" max="6855" width="9.5" style="105" customWidth="1"/>
    <col min="6856" max="6856" width="1.25" style="105" customWidth="1"/>
    <col min="6857" max="6857" width="7.875" style="105" customWidth="1"/>
    <col min="6858" max="6860" width="9.75" style="105" customWidth="1"/>
    <col min="6861" max="6861" width="21.625" style="105" customWidth="1"/>
    <col min="6862" max="6862" width="9.75" style="105" customWidth="1"/>
    <col min="6863" max="7107" width="9" style="105"/>
    <col min="7108" max="7108" width="13.625" style="105" customWidth="1"/>
    <col min="7109" max="7109" width="12.75" style="105" customWidth="1"/>
    <col min="7110" max="7110" width="8.125" style="105" customWidth="1"/>
    <col min="7111" max="7111" width="9.5" style="105" customWidth="1"/>
    <col min="7112" max="7112" width="1.25" style="105" customWidth="1"/>
    <col min="7113" max="7113" width="7.875" style="105" customWidth="1"/>
    <col min="7114" max="7116" width="9.75" style="105" customWidth="1"/>
    <col min="7117" max="7117" width="21.625" style="105" customWidth="1"/>
    <col min="7118" max="7118" width="9.75" style="105" customWidth="1"/>
    <col min="7119" max="7363" width="9" style="105"/>
    <col min="7364" max="7364" width="13.625" style="105" customWidth="1"/>
    <col min="7365" max="7365" width="12.75" style="105" customWidth="1"/>
    <col min="7366" max="7366" width="8.125" style="105" customWidth="1"/>
    <col min="7367" max="7367" width="9.5" style="105" customWidth="1"/>
    <col min="7368" max="7368" width="1.25" style="105" customWidth="1"/>
    <col min="7369" max="7369" width="7.875" style="105" customWidth="1"/>
    <col min="7370" max="7372" width="9.75" style="105" customWidth="1"/>
    <col min="7373" max="7373" width="21.625" style="105" customWidth="1"/>
    <col min="7374" max="7374" width="9.75" style="105" customWidth="1"/>
    <col min="7375" max="7619" width="9" style="105"/>
    <col min="7620" max="7620" width="13.625" style="105" customWidth="1"/>
    <col min="7621" max="7621" width="12.75" style="105" customWidth="1"/>
    <col min="7622" max="7622" width="8.125" style="105" customWidth="1"/>
    <col min="7623" max="7623" width="9.5" style="105" customWidth="1"/>
    <col min="7624" max="7624" width="1.25" style="105" customWidth="1"/>
    <col min="7625" max="7625" width="7.875" style="105" customWidth="1"/>
    <col min="7626" max="7628" width="9.75" style="105" customWidth="1"/>
    <col min="7629" max="7629" width="21.625" style="105" customWidth="1"/>
    <col min="7630" max="7630" width="9.75" style="105" customWidth="1"/>
    <col min="7631" max="7875" width="9" style="105"/>
    <col min="7876" max="7876" width="13.625" style="105" customWidth="1"/>
    <col min="7877" max="7877" width="12.75" style="105" customWidth="1"/>
    <col min="7878" max="7878" width="8.125" style="105" customWidth="1"/>
    <col min="7879" max="7879" width="9.5" style="105" customWidth="1"/>
    <col min="7880" max="7880" width="1.25" style="105" customWidth="1"/>
    <col min="7881" max="7881" width="7.875" style="105" customWidth="1"/>
    <col min="7882" max="7884" width="9.75" style="105" customWidth="1"/>
    <col min="7885" max="7885" width="21.625" style="105" customWidth="1"/>
    <col min="7886" max="7886" width="9.75" style="105" customWidth="1"/>
    <col min="7887" max="8131" width="9" style="105"/>
    <col min="8132" max="8132" width="13.625" style="105" customWidth="1"/>
    <col min="8133" max="8133" width="12.75" style="105" customWidth="1"/>
    <col min="8134" max="8134" width="8.125" style="105" customWidth="1"/>
    <col min="8135" max="8135" width="9.5" style="105" customWidth="1"/>
    <col min="8136" max="8136" width="1.25" style="105" customWidth="1"/>
    <col min="8137" max="8137" width="7.875" style="105" customWidth="1"/>
    <col min="8138" max="8140" width="9.75" style="105" customWidth="1"/>
    <col min="8141" max="8141" width="21.625" style="105" customWidth="1"/>
    <col min="8142" max="8142" width="9.75" style="105" customWidth="1"/>
    <col min="8143" max="8387" width="9" style="105"/>
    <col min="8388" max="8388" width="13.625" style="105" customWidth="1"/>
    <col min="8389" max="8389" width="12.75" style="105" customWidth="1"/>
    <col min="8390" max="8390" width="8.125" style="105" customWidth="1"/>
    <col min="8391" max="8391" width="9.5" style="105" customWidth="1"/>
    <col min="8392" max="8392" width="1.25" style="105" customWidth="1"/>
    <col min="8393" max="8393" width="7.875" style="105" customWidth="1"/>
    <col min="8394" max="8396" width="9.75" style="105" customWidth="1"/>
    <col min="8397" max="8397" width="21.625" style="105" customWidth="1"/>
    <col min="8398" max="8398" width="9.75" style="105" customWidth="1"/>
    <col min="8399" max="8643" width="9" style="105"/>
    <col min="8644" max="8644" width="13.625" style="105" customWidth="1"/>
    <col min="8645" max="8645" width="12.75" style="105" customWidth="1"/>
    <col min="8646" max="8646" width="8.125" style="105" customWidth="1"/>
    <col min="8647" max="8647" width="9.5" style="105" customWidth="1"/>
    <col min="8648" max="8648" width="1.25" style="105" customWidth="1"/>
    <col min="8649" max="8649" width="7.875" style="105" customWidth="1"/>
    <col min="8650" max="8652" width="9.75" style="105" customWidth="1"/>
    <col min="8653" max="8653" width="21.625" style="105" customWidth="1"/>
    <col min="8654" max="8654" width="9.75" style="105" customWidth="1"/>
    <col min="8655" max="8899" width="9" style="105"/>
    <col min="8900" max="8900" width="13.625" style="105" customWidth="1"/>
    <col min="8901" max="8901" width="12.75" style="105" customWidth="1"/>
    <col min="8902" max="8902" width="8.125" style="105" customWidth="1"/>
    <col min="8903" max="8903" width="9.5" style="105" customWidth="1"/>
    <col min="8904" max="8904" width="1.25" style="105" customWidth="1"/>
    <col min="8905" max="8905" width="7.875" style="105" customWidth="1"/>
    <col min="8906" max="8908" width="9.75" style="105" customWidth="1"/>
    <col min="8909" max="8909" width="21.625" style="105" customWidth="1"/>
    <col min="8910" max="8910" width="9.75" style="105" customWidth="1"/>
    <col min="8911" max="9155" width="9" style="105"/>
    <col min="9156" max="9156" width="13.625" style="105" customWidth="1"/>
    <col min="9157" max="9157" width="12.75" style="105" customWidth="1"/>
    <col min="9158" max="9158" width="8.125" style="105" customWidth="1"/>
    <col min="9159" max="9159" width="9.5" style="105" customWidth="1"/>
    <col min="9160" max="9160" width="1.25" style="105" customWidth="1"/>
    <col min="9161" max="9161" width="7.875" style="105" customWidth="1"/>
    <col min="9162" max="9164" width="9.75" style="105" customWidth="1"/>
    <col min="9165" max="9165" width="21.625" style="105" customWidth="1"/>
    <col min="9166" max="9166" width="9.75" style="105" customWidth="1"/>
    <col min="9167" max="9411" width="9" style="105"/>
    <col min="9412" max="9412" width="13.625" style="105" customWidth="1"/>
    <col min="9413" max="9413" width="12.75" style="105" customWidth="1"/>
    <col min="9414" max="9414" width="8.125" style="105" customWidth="1"/>
    <col min="9415" max="9415" width="9.5" style="105" customWidth="1"/>
    <col min="9416" max="9416" width="1.25" style="105" customWidth="1"/>
    <col min="9417" max="9417" width="7.875" style="105" customWidth="1"/>
    <col min="9418" max="9420" width="9.75" style="105" customWidth="1"/>
    <col min="9421" max="9421" width="21.625" style="105" customWidth="1"/>
    <col min="9422" max="9422" width="9.75" style="105" customWidth="1"/>
    <col min="9423" max="9667" width="9" style="105"/>
    <col min="9668" max="9668" width="13.625" style="105" customWidth="1"/>
    <col min="9669" max="9669" width="12.75" style="105" customWidth="1"/>
    <col min="9670" max="9670" width="8.125" style="105" customWidth="1"/>
    <col min="9671" max="9671" width="9.5" style="105" customWidth="1"/>
    <col min="9672" max="9672" width="1.25" style="105" customWidth="1"/>
    <col min="9673" max="9673" width="7.875" style="105" customWidth="1"/>
    <col min="9674" max="9676" width="9.75" style="105" customWidth="1"/>
    <col min="9677" max="9677" width="21.625" style="105" customWidth="1"/>
    <col min="9678" max="9678" width="9.75" style="105" customWidth="1"/>
    <col min="9679" max="9923" width="9" style="105"/>
    <col min="9924" max="9924" width="13.625" style="105" customWidth="1"/>
    <col min="9925" max="9925" width="12.75" style="105" customWidth="1"/>
    <col min="9926" max="9926" width="8.125" style="105" customWidth="1"/>
    <col min="9927" max="9927" width="9.5" style="105" customWidth="1"/>
    <col min="9928" max="9928" width="1.25" style="105" customWidth="1"/>
    <col min="9929" max="9929" width="7.875" style="105" customWidth="1"/>
    <col min="9930" max="9932" width="9.75" style="105" customWidth="1"/>
    <col min="9933" max="9933" width="21.625" style="105" customWidth="1"/>
    <col min="9934" max="9934" width="9.75" style="105" customWidth="1"/>
    <col min="9935" max="10179" width="9" style="105"/>
    <col min="10180" max="10180" width="13.625" style="105" customWidth="1"/>
    <col min="10181" max="10181" width="12.75" style="105" customWidth="1"/>
    <col min="10182" max="10182" width="8.125" style="105" customWidth="1"/>
    <col min="10183" max="10183" width="9.5" style="105" customWidth="1"/>
    <col min="10184" max="10184" width="1.25" style="105" customWidth="1"/>
    <col min="10185" max="10185" width="7.875" style="105" customWidth="1"/>
    <col min="10186" max="10188" width="9.75" style="105" customWidth="1"/>
    <col min="10189" max="10189" width="21.625" style="105" customWidth="1"/>
    <col min="10190" max="10190" width="9.75" style="105" customWidth="1"/>
    <col min="10191" max="10435" width="9" style="105"/>
    <col min="10436" max="10436" width="13.625" style="105" customWidth="1"/>
    <col min="10437" max="10437" width="12.75" style="105" customWidth="1"/>
    <col min="10438" max="10438" width="8.125" style="105" customWidth="1"/>
    <col min="10439" max="10439" width="9.5" style="105" customWidth="1"/>
    <col min="10440" max="10440" width="1.25" style="105" customWidth="1"/>
    <col min="10441" max="10441" width="7.875" style="105" customWidth="1"/>
    <col min="10442" max="10444" width="9.75" style="105" customWidth="1"/>
    <col min="10445" max="10445" width="21.625" style="105" customWidth="1"/>
    <col min="10446" max="10446" width="9.75" style="105" customWidth="1"/>
    <col min="10447" max="10691" width="9" style="105"/>
    <col min="10692" max="10692" width="13.625" style="105" customWidth="1"/>
    <col min="10693" max="10693" width="12.75" style="105" customWidth="1"/>
    <col min="10694" max="10694" width="8.125" style="105" customWidth="1"/>
    <col min="10695" max="10695" width="9.5" style="105" customWidth="1"/>
    <col min="10696" max="10696" width="1.25" style="105" customWidth="1"/>
    <col min="10697" max="10697" width="7.875" style="105" customWidth="1"/>
    <col min="10698" max="10700" width="9.75" style="105" customWidth="1"/>
    <col min="10701" max="10701" width="21.625" style="105" customWidth="1"/>
    <col min="10702" max="10702" width="9.75" style="105" customWidth="1"/>
    <col min="10703" max="10947" width="9" style="105"/>
    <col min="10948" max="10948" width="13.625" style="105" customWidth="1"/>
    <col min="10949" max="10949" width="12.75" style="105" customWidth="1"/>
    <col min="10950" max="10950" width="8.125" style="105" customWidth="1"/>
    <col min="10951" max="10951" width="9.5" style="105" customWidth="1"/>
    <col min="10952" max="10952" width="1.25" style="105" customWidth="1"/>
    <col min="10953" max="10953" width="7.875" style="105" customWidth="1"/>
    <col min="10954" max="10956" width="9.75" style="105" customWidth="1"/>
    <col min="10957" max="10957" width="21.625" style="105" customWidth="1"/>
    <col min="10958" max="10958" width="9.75" style="105" customWidth="1"/>
    <col min="10959" max="11203" width="9" style="105"/>
    <col min="11204" max="11204" width="13.625" style="105" customWidth="1"/>
    <col min="11205" max="11205" width="12.75" style="105" customWidth="1"/>
    <col min="11206" max="11206" width="8.125" style="105" customWidth="1"/>
    <col min="11207" max="11207" width="9.5" style="105" customWidth="1"/>
    <col min="11208" max="11208" width="1.25" style="105" customWidth="1"/>
    <col min="11209" max="11209" width="7.875" style="105" customWidth="1"/>
    <col min="11210" max="11212" width="9.75" style="105" customWidth="1"/>
    <col min="11213" max="11213" width="21.625" style="105" customWidth="1"/>
    <col min="11214" max="11214" width="9.75" style="105" customWidth="1"/>
    <col min="11215" max="11459" width="9" style="105"/>
    <col min="11460" max="11460" width="13.625" style="105" customWidth="1"/>
    <col min="11461" max="11461" width="12.75" style="105" customWidth="1"/>
    <col min="11462" max="11462" width="8.125" style="105" customWidth="1"/>
    <col min="11463" max="11463" width="9.5" style="105" customWidth="1"/>
    <col min="11464" max="11464" width="1.25" style="105" customWidth="1"/>
    <col min="11465" max="11465" width="7.875" style="105" customWidth="1"/>
    <col min="11466" max="11468" width="9.75" style="105" customWidth="1"/>
    <col min="11469" max="11469" width="21.625" style="105" customWidth="1"/>
    <col min="11470" max="11470" width="9.75" style="105" customWidth="1"/>
    <col min="11471" max="11715" width="9" style="105"/>
    <col min="11716" max="11716" width="13.625" style="105" customWidth="1"/>
    <col min="11717" max="11717" width="12.75" style="105" customWidth="1"/>
    <col min="11718" max="11718" width="8.125" style="105" customWidth="1"/>
    <col min="11719" max="11719" width="9.5" style="105" customWidth="1"/>
    <col min="11720" max="11720" width="1.25" style="105" customWidth="1"/>
    <col min="11721" max="11721" width="7.875" style="105" customWidth="1"/>
    <col min="11722" max="11724" width="9.75" style="105" customWidth="1"/>
    <col min="11725" max="11725" width="21.625" style="105" customWidth="1"/>
    <col min="11726" max="11726" width="9.75" style="105" customWidth="1"/>
    <col min="11727" max="11971" width="9" style="105"/>
    <col min="11972" max="11972" width="13.625" style="105" customWidth="1"/>
    <col min="11973" max="11973" width="12.75" style="105" customWidth="1"/>
    <col min="11974" max="11974" width="8.125" style="105" customWidth="1"/>
    <col min="11975" max="11975" width="9.5" style="105" customWidth="1"/>
    <col min="11976" max="11976" width="1.25" style="105" customWidth="1"/>
    <col min="11977" max="11977" width="7.875" style="105" customWidth="1"/>
    <col min="11978" max="11980" width="9.75" style="105" customWidth="1"/>
    <col min="11981" max="11981" width="21.625" style="105" customWidth="1"/>
    <col min="11982" max="11982" width="9.75" style="105" customWidth="1"/>
    <col min="11983" max="12227" width="9" style="105"/>
    <col min="12228" max="12228" width="13.625" style="105" customWidth="1"/>
    <col min="12229" max="12229" width="12.75" style="105" customWidth="1"/>
    <col min="12230" max="12230" width="8.125" style="105" customWidth="1"/>
    <col min="12231" max="12231" width="9.5" style="105" customWidth="1"/>
    <col min="12232" max="12232" width="1.25" style="105" customWidth="1"/>
    <col min="12233" max="12233" width="7.875" style="105" customWidth="1"/>
    <col min="12234" max="12236" width="9.75" style="105" customWidth="1"/>
    <col min="12237" max="12237" width="21.625" style="105" customWidth="1"/>
    <col min="12238" max="12238" width="9.75" style="105" customWidth="1"/>
    <col min="12239" max="12483" width="9" style="105"/>
    <col min="12484" max="12484" width="13.625" style="105" customWidth="1"/>
    <col min="12485" max="12485" width="12.75" style="105" customWidth="1"/>
    <col min="12486" max="12486" width="8.125" style="105" customWidth="1"/>
    <col min="12487" max="12487" width="9.5" style="105" customWidth="1"/>
    <col min="12488" max="12488" width="1.25" style="105" customWidth="1"/>
    <col min="12489" max="12489" width="7.875" style="105" customWidth="1"/>
    <col min="12490" max="12492" width="9.75" style="105" customWidth="1"/>
    <col min="12493" max="12493" width="21.625" style="105" customWidth="1"/>
    <col min="12494" max="12494" width="9.75" style="105" customWidth="1"/>
    <col min="12495" max="12739" width="9" style="105"/>
    <col min="12740" max="12740" width="13.625" style="105" customWidth="1"/>
    <col min="12741" max="12741" width="12.75" style="105" customWidth="1"/>
    <col min="12742" max="12742" width="8.125" style="105" customWidth="1"/>
    <col min="12743" max="12743" width="9.5" style="105" customWidth="1"/>
    <col min="12744" max="12744" width="1.25" style="105" customWidth="1"/>
    <col min="12745" max="12745" width="7.875" style="105" customWidth="1"/>
    <col min="12746" max="12748" width="9.75" style="105" customWidth="1"/>
    <col min="12749" max="12749" width="21.625" style="105" customWidth="1"/>
    <col min="12750" max="12750" width="9.75" style="105" customWidth="1"/>
    <col min="12751" max="12995" width="9" style="105"/>
    <col min="12996" max="12996" width="13.625" style="105" customWidth="1"/>
    <col min="12997" max="12997" width="12.75" style="105" customWidth="1"/>
    <col min="12998" max="12998" width="8.125" style="105" customWidth="1"/>
    <col min="12999" max="12999" width="9.5" style="105" customWidth="1"/>
    <col min="13000" max="13000" width="1.25" style="105" customWidth="1"/>
    <col min="13001" max="13001" width="7.875" style="105" customWidth="1"/>
    <col min="13002" max="13004" width="9.75" style="105" customWidth="1"/>
    <col min="13005" max="13005" width="21.625" style="105" customWidth="1"/>
    <col min="13006" max="13006" width="9.75" style="105" customWidth="1"/>
    <col min="13007" max="13251" width="9" style="105"/>
    <col min="13252" max="13252" width="13.625" style="105" customWidth="1"/>
    <col min="13253" max="13253" width="12.75" style="105" customWidth="1"/>
    <col min="13254" max="13254" width="8.125" style="105" customWidth="1"/>
    <col min="13255" max="13255" width="9.5" style="105" customWidth="1"/>
    <col min="13256" max="13256" width="1.25" style="105" customWidth="1"/>
    <col min="13257" max="13257" width="7.875" style="105" customWidth="1"/>
    <col min="13258" max="13260" width="9.75" style="105" customWidth="1"/>
    <col min="13261" max="13261" width="21.625" style="105" customWidth="1"/>
    <col min="13262" max="13262" width="9.75" style="105" customWidth="1"/>
    <col min="13263" max="13507" width="9" style="105"/>
    <col min="13508" max="13508" width="13.625" style="105" customWidth="1"/>
    <col min="13509" max="13509" width="12.75" style="105" customWidth="1"/>
    <col min="13510" max="13510" width="8.125" style="105" customWidth="1"/>
    <col min="13511" max="13511" width="9.5" style="105" customWidth="1"/>
    <col min="13512" max="13512" width="1.25" style="105" customWidth="1"/>
    <col min="13513" max="13513" width="7.875" style="105" customWidth="1"/>
    <col min="13514" max="13516" width="9.75" style="105" customWidth="1"/>
    <col min="13517" max="13517" width="21.625" style="105" customWidth="1"/>
    <col min="13518" max="13518" width="9.75" style="105" customWidth="1"/>
    <col min="13519" max="13763" width="9" style="105"/>
    <col min="13764" max="13764" width="13.625" style="105" customWidth="1"/>
    <col min="13765" max="13765" width="12.75" style="105" customWidth="1"/>
    <col min="13766" max="13766" width="8.125" style="105" customWidth="1"/>
    <col min="13767" max="13767" width="9.5" style="105" customWidth="1"/>
    <col min="13768" max="13768" width="1.25" style="105" customWidth="1"/>
    <col min="13769" max="13769" width="7.875" style="105" customWidth="1"/>
    <col min="13770" max="13772" width="9.75" style="105" customWidth="1"/>
    <col min="13773" max="13773" width="21.625" style="105" customWidth="1"/>
    <col min="13774" max="13774" width="9.75" style="105" customWidth="1"/>
    <col min="13775" max="14019" width="9" style="105"/>
    <col min="14020" max="14020" width="13.625" style="105" customWidth="1"/>
    <col min="14021" max="14021" width="12.75" style="105" customWidth="1"/>
    <col min="14022" max="14022" width="8.125" style="105" customWidth="1"/>
    <col min="14023" max="14023" width="9.5" style="105" customWidth="1"/>
    <col min="14024" max="14024" width="1.25" style="105" customWidth="1"/>
    <col min="14025" max="14025" width="7.875" style="105" customWidth="1"/>
    <col min="14026" max="14028" width="9.75" style="105" customWidth="1"/>
    <col min="14029" max="14029" width="21.625" style="105" customWidth="1"/>
    <col min="14030" max="14030" width="9.75" style="105" customWidth="1"/>
    <col min="14031" max="14275" width="9" style="105"/>
    <col min="14276" max="14276" width="13.625" style="105" customWidth="1"/>
    <col min="14277" max="14277" width="12.75" style="105" customWidth="1"/>
    <col min="14278" max="14278" width="8.125" style="105" customWidth="1"/>
    <col min="14279" max="14279" width="9.5" style="105" customWidth="1"/>
    <col min="14280" max="14280" width="1.25" style="105" customWidth="1"/>
    <col min="14281" max="14281" width="7.875" style="105" customWidth="1"/>
    <col min="14282" max="14284" width="9.75" style="105" customWidth="1"/>
    <col min="14285" max="14285" width="21.625" style="105" customWidth="1"/>
    <col min="14286" max="14286" width="9.75" style="105" customWidth="1"/>
    <col min="14287" max="14531" width="9" style="105"/>
    <col min="14532" max="14532" width="13.625" style="105" customWidth="1"/>
    <col min="14533" max="14533" width="12.75" style="105" customWidth="1"/>
    <col min="14534" max="14534" width="8.125" style="105" customWidth="1"/>
    <col min="14535" max="14535" width="9.5" style="105" customWidth="1"/>
    <col min="14536" max="14536" width="1.25" style="105" customWidth="1"/>
    <col min="14537" max="14537" width="7.875" style="105" customWidth="1"/>
    <col min="14538" max="14540" width="9.75" style="105" customWidth="1"/>
    <col min="14541" max="14541" width="21.625" style="105" customWidth="1"/>
    <col min="14542" max="14542" width="9.75" style="105" customWidth="1"/>
    <col min="14543" max="14787" width="9" style="105"/>
    <col min="14788" max="14788" width="13.625" style="105" customWidth="1"/>
    <col min="14789" max="14789" width="12.75" style="105" customWidth="1"/>
    <col min="14790" max="14790" width="8.125" style="105" customWidth="1"/>
    <col min="14791" max="14791" width="9.5" style="105" customWidth="1"/>
    <col min="14792" max="14792" width="1.25" style="105" customWidth="1"/>
    <col min="14793" max="14793" width="7.875" style="105" customWidth="1"/>
    <col min="14794" max="14796" width="9.75" style="105" customWidth="1"/>
    <col min="14797" max="14797" width="21.625" style="105" customWidth="1"/>
    <col min="14798" max="14798" width="9.75" style="105" customWidth="1"/>
    <col min="14799" max="15043" width="9" style="105"/>
    <col min="15044" max="15044" width="13.625" style="105" customWidth="1"/>
    <col min="15045" max="15045" width="12.75" style="105" customWidth="1"/>
    <col min="15046" max="15046" width="8.125" style="105" customWidth="1"/>
    <col min="15047" max="15047" width="9.5" style="105" customWidth="1"/>
    <col min="15048" max="15048" width="1.25" style="105" customWidth="1"/>
    <col min="15049" max="15049" width="7.875" style="105" customWidth="1"/>
    <col min="15050" max="15052" width="9.75" style="105" customWidth="1"/>
    <col min="15053" max="15053" width="21.625" style="105" customWidth="1"/>
    <col min="15054" max="15054" width="9.75" style="105" customWidth="1"/>
    <col min="15055" max="15299" width="9" style="105"/>
    <col min="15300" max="15300" width="13.625" style="105" customWidth="1"/>
    <col min="15301" max="15301" width="12.75" style="105" customWidth="1"/>
    <col min="15302" max="15302" width="8.125" style="105" customWidth="1"/>
    <col min="15303" max="15303" width="9.5" style="105" customWidth="1"/>
    <col min="15304" max="15304" width="1.25" style="105" customWidth="1"/>
    <col min="15305" max="15305" width="7.875" style="105" customWidth="1"/>
    <col min="15306" max="15308" width="9.75" style="105" customWidth="1"/>
    <col min="15309" max="15309" width="21.625" style="105" customWidth="1"/>
    <col min="15310" max="15310" width="9.75" style="105" customWidth="1"/>
    <col min="15311" max="15555" width="9" style="105"/>
    <col min="15556" max="15556" width="13.625" style="105" customWidth="1"/>
    <col min="15557" max="15557" width="12.75" style="105" customWidth="1"/>
    <col min="15558" max="15558" width="8.125" style="105" customWidth="1"/>
    <col min="15559" max="15559" width="9.5" style="105" customWidth="1"/>
    <col min="15560" max="15560" width="1.25" style="105" customWidth="1"/>
    <col min="15561" max="15561" width="7.875" style="105" customWidth="1"/>
    <col min="15562" max="15564" width="9.75" style="105" customWidth="1"/>
    <col min="15565" max="15565" width="21.625" style="105" customWidth="1"/>
    <col min="15566" max="15566" width="9.75" style="105" customWidth="1"/>
    <col min="15567" max="15811" width="9" style="105"/>
    <col min="15812" max="15812" width="13.625" style="105" customWidth="1"/>
    <col min="15813" max="15813" width="12.75" style="105" customWidth="1"/>
    <col min="15814" max="15814" width="8.125" style="105" customWidth="1"/>
    <col min="15815" max="15815" width="9.5" style="105" customWidth="1"/>
    <col min="15816" max="15816" width="1.25" style="105" customWidth="1"/>
    <col min="15817" max="15817" width="7.875" style="105" customWidth="1"/>
    <col min="15818" max="15820" width="9.75" style="105" customWidth="1"/>
    <col min="15821" max="15821" width="21.625" style="105" customWidth="1"/>
    <col min="15822" max="15822" width="9.75" style="105" customWidth="1"/>
    <col min="15823" max="16067" width="9" style="105"/>
    <col min="16068" max="16068" width="13.625" style="105" customWidth="1"/>
    <col min="16069" max="16069" width="12.75" style="105" customWidth="1"/>
    <col min="16070" max="16070" width="8.125" style="105" customWidth="1"/>
    <col min="16071" max="16071" width="9.5" style="105" customWidth="1"/>
    <col min="16072" max="16072" width="1.25" style="105" customWidth="1"/>
    <col min="16073" max="16073" width="7.875" style="105" customWidth="1"/>
    <col min="16074" max="16076" width="9.75" style="105" customWidth="1"/>
    <col min="16077" max="16077" width="21.625" style="105" customWidth="1"/>
    <col min="16078" max="16078" width="9.75" style="105" customWidth="1"/>
    <col min="16079" max="16384" width="9" style="105"/>
  </cols>
  <sheetData>
    <row r="1" spans="1:10" ht="23.25" customHeight="1" x14ac:dyDescent="0.2">
      <c r="A1" s="125"/>
      <c r="B1" s="126"/>
      <c r="C1" s="287" t="s">
        <v>259</v>
      </c>
      <c r="D1" s="287"/>
      <c r="E1" s="287"/>
      <c r="F1" s="287"/>
      <c r="G1" s="287"/>
      <c r="H1" s="287"/>
      <c r="I1" s="127"/>
      <c r="J1" s="115"/>
    </row>
    <row r="2" spans="1:10" ht="21.75" customHeight="1" x14ac:dyDescent="0.2">
      <c r="A2" s="103"/>
      <c r="C2" s="143"/>
      <c r="D2" s="143"/>
      <c r="E2" s="143"/>
      <c r="F2" s="143"/>
      <c r="G2" s="143"/>
      <c r="H2" s="143"/>
      <c r="I2" s="117" t="s">
        <v>241</v>
      </c>
      <c r="J2" s="158"/>
    </row>
    <row r="3" spans="1:10" ht="21.75" customHeight="1" x14ac:dyDescent="0.2">
      <c r="A3" s="103" t="s">
        <v>196</v>
      </c>
      <c r="B3" s="288"/>
      <c r="C3" s="252"/>
      <c r="D3" s="252" t="s">
        <v>242</v>
      </c>
      <c r="E3" s="252"/>
      <c r="F3" s="252"/>
      <c r="G3" s="145"/>
      <c r="H3" s="142"/>
      <c r="I3" s="117" t="s">
        <v>197</v>
      </c>
      <c r="J3" s="131"/>
    </row>
    <row r="4" spans="1:10" ht="21.75" customHeight="1" x14ac:dyDescent="0.2">
      <c r="A4" s="103" t="s">
        <v>252</v>
      </c>
      <c r="B4" s="289"/>
      <c r="C4" s="264"/>
      <c r="D4" s="252" t="s">
        <v>2</v>
      </c>
      <c r="E4" s="252"/>
      <c r="F4" s="252"/>
      <c r="G4" s="290"/>
      <c r="H4" s="273"/>
      <c r="J4" s="104"/>
    </row>
    <row r="5" spans="1:10" ht="6.75" customHeight="1" x14ac:dyDescent="0.2">
      <c r="A5" s="103"/>
      <c r="B5" s="129"/>
      <c r="C5" s="129"/>
      <c r="G5" s="116"/>
      <c r="H5" s="116"/>
      <c r="J5" s="104"/>
    </row>
    <row r="6" spans="1:10" ht="19.5" customHeight="1" x14ac:dyDescent="0.2">
      <c r="A6" s="122" t="s">
        <v>198</v>
      </c>
      <c r="B6" s="123"/>
      <c r="C6" s="123"/>
      <c r="D6" s="123"/>
      <c r="E6" s="123"/>
      <c r="F6" s="123"/>
      <c r="G6" s="123"/>
      <c r="H6" s="123"/>
      <c r="I6" s="123"/>
      <c r="J6" s="124"/>
    </row>
    <row r="7" spans="1:10" ht="19.5" customHeight="1" x14ac:dyDescent="0.2">
      <c r="A7" s="128" t="s">
        <v>243</v>
      </c>
      <c r="B7" s="252"/>
      <c r="C7" s="252"/>
      <c r="D7" s="243" t="s">
        <v>244</v>
      </c>
      <c r="E7" s="243"/>
      <c r="F7" s="252"/>
      <c r="G7" s="252"/>
      <c r="H7" s="243" t="s">
        <v>263</v>
      </c>
      <c r="I7" s="243"/>
      <c r="J7" s="131"/>
    </row>
    <row r="8" spans="1:10" ht="19.5" customHeight="1" x14ac:dyDescent="0.2">
      <c r="A8" s="128" t="s">
        <v>29</v>
      </c>
      <c r="B8" s="264"/>
      <c r="C8" s="264"/>
      <c r="D8" s="286" t="s">
        <v>240</v>
      </c>
      <c r="E8" s="286"/>
      <c r="F8" s="273"/>
      <c r="G8" s="273"/>
      <c r="H8" s="243" t="s">
        <v>245</v>
      </c>
      <c r="I8" s="243"/>
      <c r="J8" s="146"/>
    </row>
    <row r="9" spans="1:10" ht="6.75" customHeight="1" x14ac:dyDescent="0.2">
      <c r="A9" s="118"/>
      <c r="B9" s="132"/>
      <c r="C9" s="132"/>
      <c r="D9" s="119"/>
      <c r="E9" s="119"/>
      <c r="F9" s="119"/>
      <c r="G9" s="119"/>
      <c r="H9" s="119"/>
      <c r="I9" s="119"/>
      <c r="J9" s="120"/>
    </row>
    <row r="10" spans="1:10" ht="20.25" customHeight="1" x14ac:dyDescent="0.2">
      <c r="A10" s="133" t="s">
        <v>199</v>
      </c>
      <c r="B10" s="280"/>
      <c r="C10" s="281"/>
      <c r="D10" s="281"/>
      <c r="E10" s="281"/>
      <c r="F10" s="281"/>
      <c r="G10" s="281"/>
      <c r="H10" s="281"/>
      <c r="I10" s="281"/>
      <c r="J10" s="282"/>
    </row>
    <row r="11" spans="1:10" ht="19.5" customHeight="1" x14ac:dyDescent="0.2">
      <c r="A11" s="161"/>
      <c r="B11" s="162"/>
      <c r="C11" s="162"/>
      <c r="D11" s="162"/>
      <c r="E11" s="162"/>
      <c r="F11" s="162"/>
      <c r="G11" s="162"/>
      <c r="H11" s="162"/>
      <c r="I11" s="162"/>
      <c r="J11" s="163"/>
    </row>
    <row r="12" spans="1:10" ht="19.5" customHeight="1" x14ac:dyDescent="0.2">
      <c r="A12" s="164"/>
      <c r="B12" s="165"/>
      <c r="C12" s="165"/>
      <c r="D12" s="165"/>
      <c r="E12" s="165"/>
      <c r="F12" s="165"/>
      <c r="G12" s="165"/>
      <c r="H12" s="165"/>
      <c r="I12" s="165"/>
      <c r="J12" s="166"/>
    </row>
    <row r="13" spans="1:10" ht="19.5" customHeight="1" x14ac:dyDescent="0.2">
      <c r="A13" s="164"/>
      <c r="B13" s="165"/>
      <c r="C13" s="165"/>
      <c r="D13" s="165"/>
      <c r="E13" s="165"/>
      <c r="F13" s="165"/>
      <c r="G13" s="165"/>
      <c r="H13" s="165"/>
      <c r="I13" s="165"/>
      <c r="J13" s="166"/>
    </row>
    <row r="14" spans="1:10" ht="19.5" customHeight="1" x14ac:dyDescent="0.2">
      <c r="A14" s="164"/>
      <c r="B14" s="165"/>
      <c r="C14" s="165"/>
      <c r="D14" s="165"/>
      <c r="E14" s="165"/>
      <c r="F14" s="165"/>
      <c r="G14" s="165"/>
      <c r="H14" s="165"/>
      <c r="I14" s="165"/>
      <c r="J14" s="166"/>
    </row>
    <row r="15" spans="1:10" ht="19.5" customHeight="1" x14ac:dyDescent="0.2">
      <c r="A15" s="164"/>
      <c r="B15" s="165"/>
      <c r="C15" s="165"/>
      <c r="D15" s="165"/>
      <c r="E15" s="165"/>
      <c r="F15" s="165"/>
      <c r="G15" s="165"/>
      <c r="H15" s="159"/>
      <c r="I15" s="159"/>
      <c r="J15" s="160"/>
    </row>
    <row r="16" spans="1:10" ht="19.5" customHeight="1" x14ac:dyDescent="0.2">
      <c r="A16" s="266"/>
      <c r="B16" s="252"/>
      <c r="C16" s="252"/>
      <c r="D16" s="252"/>
      <c r="E16" s="252"/>
      <c r="F16" s="252"/>
      <c r="G16" s="252"/>
      <c r="H16" s="243" t="s">
        <v>251</v>
      </c>
      <c r="I16" s="243"/>
      <c r="J16" s="131"/>
    </row>
    <row r="17" spans="1:10" ht="7.5" customHeight="1" x14ac:dyDescent="0.2">
      <c r="A17" s="118"/>
      <c r="B17" s="119"/>
      <c r="C17" s="119"/>
      <c r="D17" s="119"/>
      <c r="E17" s="119"/>
      <c r="F17" s="119"/>
      <c r="G17" s="119"/>
      <c r="H17" s="119"/>
      <c r="I17" s="119"/>
      <c r="J17" s="120"/>
    </row>
    <row r="18" spans="1:10" ht="21" customHeight="1" x14ac:dyDescent="0.2">
      <c r="A18" s="283" t="s">
        <v>201</v>
      </c>
      <c r="B18" s="284"/>
      <c r="C18" s="284"/>
      <c r="D18" s="284"/>
      <c r="E18" s="284"/>
      <c r="F18" s="284"/>
      <c r="G18" s="284"/>
      <c r="H18" s="284"/>
      <c r="I18" s="284"/>
      <c r="J18" s="285"/>
    </row>
    <row r="19" spans="1:10" ht="19.5" customHeight="1" x14ac:dyDescent="0.2">
      <c r="A19" s="134" t="s">
        <v>202</v>
      </c>
      <c r="B19" s="279"/>
      <c r="C19" s="279"/>
      <c r="D19" s="279"/>
      <c r="E19" s="279"/>
      <c r="F19" s="279"/>
      <c r="G19" s="279"/>
      <c r="H19" s="279"/>
      <c r="I19" s="279"/>
      <c r="J19" s="137"/>
    </row>
    <row r="20" spans="1:10" ht="20.45" customHeight="1" x14ac:dyDescent="0.2">
      <c r="A20" s="268"/>
      <c r="B20" s="277"/>
      <c r="C20" s="277"/>
      <c r="D20" s="277"/>
      <c r="E20" s="277"/>
      <c r="F20" s="277"/>
      <c r="G20" s="277"/>
      <c r="H20" s="277"/>
      <c r="I20" s="277"/>
      <c r="J20" s="106"/>
    </row>
    <row r="21" spans="1:10" ht="20.45" customHeight="1" x14ac:dyDescent="0.2">
      <c r="A21" s="266"/>
      <c r="B21" s="252"/>
      <c r="C21" s="252"/>
      <c r="D21" s="252"/>
      <c r="E21" s="252"/>
      <c r="F21" s="252"/>
      <c r="G21" s="252"/>
      <c r="H21" s="252"/>
      <c r="I21" s="252"/>
      <c r="J21" s="106" t="s">
        <v>246</v>
      </c>
    </row>
    <row r="22" spans="1:10" ht="20.45" customHeight="1" x14ac:dyDescent="0.2">
      <c r="A22" s="272"/>
      <c r="B22" s="273"/>
      <c r="C22" s="273"/>
      <c r="D22" s="273"/>
      <c r="E22" s="273"/>
      <c r="F22" s="273"/>
      <c r="G22" s="273"/>
      <c r="H22" s="273"/>
      <c r="I22" s="273"/>
      <c r="J22" s="138"/>
    </row>
    <row r="23" spans="1:10" ht="20.45" customHeight="1" x14ac:dyDescent="0.2">
      <c r="A23" s="272"/>
      <c r="B23" s="273"/>
      <c r="C23" s="273"/>
      <c r="D23" s="273"/>
      <c r="E23" s="273"/>
      <c r="F23" s="273"/>
      <c r="G23" s="273"/>
      <c r="H23" s="273"/>
      <c r="I23" s="273"/>
      <c r="J23" s="138" t="s">
        <v>248</v>
      </c>
    </row>
    <row r="24" spans="1:10" ht="20.45" customHeight="1" x14ac:dyDescent="0.2">
      <c r="A24" s="266"/>
      <c r="B24" s="252"/>
      <c r="C24" s="252"/>
      <c r="D24" s="252"/>
      <c r="E24" s="252"/>
      <c r="F24" s="252"/>
      <c r="G24" s="252"/>
      <c r="H24" s="252"/>
      <c r="I24" s="252"/>
      <c r="J24" s="138" t="s">
        <v>247</v>
      </c>
    </row>
    <row r="25" spans="1:10" ht="20.45" customHeight="1" x14ac:dyDescent="0.2">
      <c r="A25" s="272"/>
      <c r="B25" s="273"/>
      <c r="C25" s="273"/>
      <c r="D25" s="273"/>
      <c r="E25" s="273"/>
      <c r="F25" s="273"/>
      <c r="G25" s="273"/>
      <c r="H25" s="273"/>
      <c r="I25" s="273"/>
      <c r="J25" s="139"/>
    </row>
    <row r="26" spans="1:10" ht="20.45" customHeight="1" x14ac:dyDescent="0.2">
      <c r="A26" s="272"/>
      <c r="B26" s="273"/>
      <c r="C26" s="273"/>
      <c r="D26" s="273"/>
      <c r="E26" s="273"/>
      <c r="F26" s="273"/>
      <c r="G26" s="273"/>
      <c r="H26" s="273"/>
      <c r="I26" s="273"/>
      <c r="J26" s="139"/>
    </row>
    <row r="27" spans="1:10" ht="6.75" customHeight="1" x14ac:dyDescent="0.2">
      <c r="A27" s="278"/>
      <c r="B27" s="275"/>
      <c r="C27" s="275"/>
      <c r="D27" s="275"/>
      <c r="E27" s="275"/>
      <c r="F27" s="275"/>
      <c r="G27" s="275"/>
      <c r="H27" s="275"/>
      <c r="I27" s="275"/>
      <c r="J27" s="140"/>
    </row>
    <row r="28" spans="1:10" ht="20.45" customHeight="1" x14ac:dyDescent="0.2">
      <c r="A28" s="125" t="s">
        <v>203</v>
      </c>
      <c r="B28" s="279"/>
      <c r="C28" s="279"/>
      <c r="D28" s="279"/>
      <c r="E28" s="279"/>
      <c r="F28" s="279"/>
      <c r="G28" s="279"/>
      <c r="H28" s="279"/>
      <c r="I28" s="279"/>
      <c r="J28" s="137" t="s">
        <v>204</v>
      </c>
    </row>
    <row r="29" spans="1:10" ht="20.45" customHeight="1" x14ac:dyDescent="0.2">
      <c r="A29" s="266"/>
      <c r="B29" s="252"/>
      <c r="C29" s="252"/>
      <c r="D29" s="252"/>
      <c r="E29" s="252"/>
      <c r="F29" s="252"/>
      <c r="G29" s="252"/>
      <c r="H29" s="252"/>
      <c r="I29" s="252"/>
      <c r="J29" s="138" t="s">
        <v>247</v>
      </c>
    </row>
    <row r="30" spans="1:10" ht="20.45" customHeight="1" x14ac:dyDescent="0.2">
      <c r="A30" s="263"/>
      <c r="B30" s="264"/>
      <c r="C30" s="264"/>
      <c r="D30" s="264"/>
      <c r="E30" s="264"/>
      <c r="F30" s="264"/>
      <c r="G30" s="264"/>
      <c r="H30" s="264"/>
      <c r="I30" s="264"/>
      <c r="J30" s="106" t="s">
        <v>197</v>
      </c>
    </row>
    <row r="31" spans="1:10" ht="20.45" customHeight="1" x14ac:dyDescent="0.2">
      <c r="A31" s="272"/>
      <c r="B31" s="273"/>
      <c r="C31" s="273"/>
      <c r="D31" s="273"/>
      <c r="E31" s="273"/>
      <c r="F31" s="273"/>
      <c r="G31" s="273"/>
      <c r="H31" s="273"/>
      <c r="I31" s="274"/>
      <c r="J31" s="106"/>
    </row>
    <row r="32" spans="1:10" ht="20.45" customHeight="1" x14ac:dyDescent="0.2">
      <c r="A32" s="263"/>
      <c r="B32" s="264"/>
      <c r="C32" s="264"/>
      <c r="D32" s="264"/>
      <c r="E32" s="264"/>
      <c r="F32" s="264"/>
      <c r="G32" s="264"/>
      <c r="H32" s="264"/>
      <c r="I32" s="264"/>
      <c r="J32" s="138" t="s">
        <v>248</v>
      </c>
    </row>
    <row r="33" spans="1:10" ht="20.45" customHeight="1" x14ac:dyDescent="0.2">
      <c r="A33" s="263"/>
      <c r="B33" s="264"/>
      <c r="C33" s="264"/>
      <c r="D33" s="264"/>
      <c r="E33" s="264"/>
      <c r="F33" s="264"/>
      <c r="G33" s="264"/>
      <c r="H33" s="264"/>
      <c r="I33" s="264"/>
      <c r="J33" s="106"/>
    </row>
    <row r="34" spans="1:10" ht="20.45" customHeight="1" x14ac:dyDescent="0.2">
      <c r="A34" s="272"/>
      <c r="B34" s="273"/>
      <c r="C34" s="273"/>
      <c r="D34" s="273"/>
      <c r="E34" s="273"/>
      <c r="F34" s="273"/>
      <c r="G34" s="273"/>
      <c r="H34" s="273"/>
      <c r="I34" s="273"/>
      <c r="J34" s="106" t="s">
        <v>249</v>
      </c>
    </row>
    <row r="35" spans="1:10" ht="20.45" customHeight="1" x14ac:dyDescent="0.2">
      <c r="A35" s="272"/>
      <c r="B35" s="273"/>
      <c r="C35" s="273"/>
      <c r="D35" s="273"/>
      <c r="E35" s="273"/>
      <c r="F35" s="273"/>
      <c r="G35" s="273"/>
      <c r="H35" s="273"/>
      <c r="I35" s="274"/>
      <c r="J35" s="106"/>
    </row>
    <row r="36" spans="1:10" ht="20.45" customHeight="1" x14ac:dyDescent="0.2">
      <c r="A36" s="272"/>
      <c r="B36" s="273"/>
      <c r="C36" s="273"/>
      <c r="D36" s="273"/>
      <c r="E36" s="273"/>
      <c r="F36" s="273"/>
      <c r="G36" s="273"/>
      <c r="H36" s="273"/>
      <c r="I36" s="273"/>
      <c r="J36" s="138" t="s">
        <v>248</v>
      </c>
    </row>
    <row r="37" spans="1:10" ht="20.45" customHeight="1" x14ac:dyDescent="0.2">
      <c r="A37" s="272"/>
      <c r="B37" s="273"/>
      <c r="C37" s="273"/>
      <c r="D37" s="273"/>
      <c r="E37" s="273"/>
      <c r="F37" s="273"/>
      <c r="G37" s="273"/>
      <c r="H37" s="273"/>
      <c r="I37" s="273"/>
      <c r="J37" s="138" t="s">
        <v>247</v>
      </c>
    </row>
    <row r="38" spans="1:10" ht="6" customHeight="1" x14ac:dyDescent="0.2">
      <c r="A38" s="118"/>
      <c r="B38" s="275"/>
      <c r="C38" s="275"/>
      <c r="D38" s="275"/>
      <c r="E38" s="275"/>
      <c r="F38" s="275"/>
      <c r="G38" s="275"/>
      <c r="H38" s="119"/>
      <c r="I38" s="119"/>
      <c r="J38" s="141"/>
    </row>
    <row r="39" spans="1:10" ht="19.5" customHeight="1" x14ac:dyDescent="0.2">
      <c r="A39" s="270" t="s">
        <v>205</v>
      </c>
      <c r="B39" s="271"/>
      <c r="C39" s="270" t="s">
        <v>206</v>
      </c>
      <c r="D39" s="276"/>
      <c r="E39" s="276"/>
      <c r="F39" s="271"/>
      <c r="G39" s="270" t="s">
        <v>207</v>
      </c>
      <c r="H39" s="271"/>
      <c r="I39" s="270" t="s">
        <v>208</v>
      </c>
      <c r="J39" s="271"/>
    </row>
    <row r="40" spans="1:10" ht="19.5" customHeight="1" x14ac:dyDescent="0.2">
      <c r="A40" s="260"/>
      <c r="B40" s="262"/>
      <c r="C40" s="266" t="s">
        <v>209</v>
      </c>
      <c r="D40" s="252"/>
      <c r="E40" s="252"/>
      <c r="F40" s="267"/>
      <c r="G40" s="266" t="s">
        <v>209</v>
      </c>
      <c r="H40" s="267"/>
      <c r="I40" s="266" t="s">
        <v>209</v>
      </c>
      <c r="J40" s="267"/>
    </row>
    <row r="41" spans="1:10" ht="19.5" customHeight="1" x14ac:dyDescent="0.2">
      <c r="A41" s="103" t="s">
        <v>253</v>
      </c>
      <c r="B41" s="104"/>
      <c r="C41" s="266"/>
      <c r="D41" s="252"/>
      <c r="E41" s="252"/>
      <c r="F41" s="267"/>
      <c r="G41" s="266"/>
      <c r="H41" s="267"/>
      <c r="I41" s="268"/>
      <c r="J41" s="269"/>
    </row>
    <row r="42" spans="1:10" ht="19.5" customHeight="1" x14ac:dyDescent="0.2">
      <c r="A42" s="103" t="s">
        <v>254</v>
      </c>
      <c r="B42" s="104"/>
      <c r="C42" s="263"/>
      <c r="D42" s="264"/>
      <c r="E42" s="264"/>
      <c r="F42" s="265"/>
      <c r="G42" s="263"/>
      <c r="H42" s="265"/>
      <c r="I42" s="266"/>
      <c r="J42" s="267"/>
    </row>
    <row r="43" spans="1:10" ht="19.5" customHeight="1" x14ac:dyDescent="0.2">
      <c r="A43" s="103" t="s">
        <v>255</v>
      </c>
      <c r="B43" s="104"/>
      <c r="C43" s="263"/>
      <c r="D43" s="264"/>
      <c r="E43" s="264"/>
      <c r="F43" s="265"/>
      <c r="G43" s="263"/>
      <c r="H43" s="265"/>
      <c r="I43" s="263" t="s">
        <v>256</v>
      </c>
      <c r="J43" s="265"/>
    </row>
    <row r="44" spans="1:10" ht="19.5" customHeight="1" x14ac:dyDescent="0.2">
      <c r="A44" s="103" t="s">
        <v>257</v>
      </c>
      <c r="B44" s="104"/>
      <c r="C44" s="263"/>
      <c r="D44" s="264"/>
      <c r="E44" s="264"/>
      <c r="F44" s="265"/>
      <c r="G44" s="263"/>
      <c r="H44" s="265"/>
      <c r="I44" s="266"/>
      <c r="J44" s="267"/>
    </row>
    <row r="45" spans="1:10" ht="19.5" customHeight="1" x14ac:dyDescent="0.45">
      <c r="A45" s="103" t="s">
        <v>260</v>
      </c>
      <c r="B45" s="104"/>
      <c r="C45" s="255" t="s">
        <v>261</v>
      </c>
      <c r="D45" s="256"/>
      <c r="E45" s="256"/>
      <c r="F45" s="257"/>
      <c r="G45" s="258" t="s">
        <v>262</v>
      </c>
      <c r="H45" s="259"/>
      <c r="I45" s="258" t="s">
        <v>261</v>
      </c>
      <c r="J45" s="259"/>
    </row>
    <row r="46" spans="1:10" ht="19.5" customHeight="1" x14ac:dyDescent="0.2">
      <c r="A46" s="101" t="s">
        <v>210</v>
      </c>
      <c r="B46" s="102"/>
      <c r="C46" s="260" t="s">
        <v>250</v>
      </c>
      <c r="D46" s="261"/>
      <c r="E46" s="261"/>
      <c r="F46" s="262"/>
      <c r="G46" s="260" t="s">
        <v>211</v>
      </c>
      <c r="H46" s="262"/>
      <c r="I46" s="260" t="s">
        <v>212</v>
      </c>
      <c r="J46" s="262"/>
    </row>
    <row r="47" spans="1:10" ht="9.75" customHeight="1" x14ac:dyDescent="0.2">
      <c r="A47" s="118"/>
      <c r="B47" s="120"/>
      <c r="C47" s="118"/>
      <c r="D47" s="135"/>
      <c r="E47" s="135"/>
      <c r="F47" s="136"/>
      <c r="G47" s="144"/>
      <c r="H47" s="136"/>
      <c r="I47" s="144"/>
      <c r="J47" s="136"/>
    </row>
    <row r="48" spans="1:10" ht="19.5" customHeight="1" x14ac:dyDescent="0.2">
      <c r="A48" s="121" t="s">
        <v>200</v>
      </c>
      <c r="B48" s="244"/>
      <c r="C48" s="244"/>
      <c r="D48" s="244"/>
      <c r="E48" s="244"/>
      <c r="F48" s="244"/>
      <c r="G48" s="244"/>
      <c r="H48" s="244"/>
      <c r="I48" s="244"/>
      <c r="J48" s="245"/>
    </row>
    <row r="49" spans="1:10" ht="19.5" customHeight="1" x14ac:dyDescent="0.2">
      <c r="A49" s="246"/>
      <c r="B49" s="247"/>
      <c r="C49" s="247"/>
      <c r="D49" s="247"/>
      <c r="E49" s="247"/>
      <c r="F49" s="247"/>
      <c r="G49" s="247"/>
      <c r="H49" s="247"/>
      <c r="I49" s="247"/>
      <c r="J49" s="248"/>
    </row>
    <row r="50" spans="1:10" ht="19.5" customHeight="1" x14ac:dyDescent="0.2">
      <c r="A50" s="249"/>
      <c r="B50" s="250"/>
      <c r="C50" s="250"/>
      <c r="D50" s="250"/>
      <c r="E50" s="250"/>
      <c r="F50" s="250"/>
      <c r="G50" s="250"/>
      <c r="H50" s="250"/>
      <c r="I50" s="250"/>
      <c r="J50" s="251"/>
    </row>
    <row r="51" spans="1:10" ht="30" customHeight="1" x14ac:dyDescent="0.2">
      <c r="A51" s="103"/>
      <c r="D51" s="243" t="s">
        <v>258</v>
      </c>
      <c r="E51" s="243"/>
      <c r="F51" s="252"/>
      <c r="G51" s="252"/>
      <c r="H51" s="105" t="s">
        <v>211</v>
      </c>
      <c r="I51" s="142"/>
      <c r="J51" s="130"/>
    </row>
    <row r="52" spans="1:10" ht="5.25" customHeight="1" x14ac:dyDescent="0.2">
      <c r="A52" s="118"/>
      <c r="B52" s="119"/>
      <c r="C52" s="119"/>
      <c r="D52" s="253"/>
      <c r="E52" s="253"/>
      <c r="F52" s="254"/>
      <c r="G52" s="254"/>
      <c r="H52" s="119"/>
      <c r="I52" s="119"/>
      <c r="J52" s="120"/>
    </row>
    <row r="53" spans="1:10" ht="19.5" customHeight="1" x14ac:dyDescent="0.2">
      <c r="I53" s="243"/>
      <c r="J53" s="243"/>
    </row>
    <row r="54" spans="1:10" ht="19.5" customHeight="1" x14ac:dyDescent="0.2"/>
  </sheetData>
  <mergeCells count="72">
    <mergeCell ref="C1:H1"/>
    <mergeCell ref="B3:C3"/>
    <mergeCell ref="D3:F3"/>
    <mergeCell ref="B4:C4"/>
    <mergeCell ref="D4:F4"/>
    <mergeCell ref="G4:H4"/>
    <mergeCell ref="B7:C7"/>
    <mergeCell ref="D7:E7"/>
    <mergeCell ref="F7:G7"/>
    <mergeCell ref="H7:I7"/>
    <mergeCell ref="B8:C8"/>
    <mergeCell ref="D8:E8"/>
    <mergeCell ref="F8:G8"/>
    <mergeCell ref="H8:I8"/>
    <mergeCell ref="B10:J10"/>
    <mergeCell ref="A16:G16"/>
    <mergeCell ref="H16:I16"/>
    <mergeCell ref="A18:J18"/>
    <mergeCell ref="B19:I19"/>
    <mergeCell ref="A31:I31"/>
    <mergeCell ref="A20:I20"/>
    <mergeCell ref="A21:I21"/>
    <mergeCell ref="A22:I22"/>
    <mergeCell ref="A23:I23"/>
    <mergeCell ref="A24:I24"/>
    <mergeCell ref="A25:I25"/>
    <mergeCell ref="A26:I26"/>
    <mergeCell ref="A27:I27"/>
    <mergeCell ref="B28:I28"/>
    <mergeCell ref="A29:I29"/>
    <mergeCell ref="A30:I30"/>
    <mergeCell ref="I39:J39"/>
    <mergeCell ref="C40:F40"/>
    <mergeCell ref="G40:H40"/>
    <mergeCell ref="I40:J40"/>
    <mergeCell ref="A32:I32"/>
    <mergeCell ref="A33:I33"/>
    <mergeCell ref="A34:I34"/>
    <mergeCell ref="A35:I35"/>
    <mergeCell ref="A36:I36"/>
    <mergeCell ref="A37:I37"/>
    <mergeCell ref="B38:C38"/>
    <mergeCell ref="D38:G38"/>
    <mergeCell ref="A39:B40"/>
    <mergeCell ref="C39:F39"/>
    <mergeCell ref="G39:H39"/>
    <mergeCell ref="C41:F41"/>
    <mergeCell ref="G41:H41"/>
    <mergeCell ref="I41:J41"/>
    <mergeCell ref="C42:F42"/>
    <mergeCell ref="G42:H42"/>
    <mergeCell ref="I42:J42"/>
    <mergeCell ref="C43:F43"/>
    <mergeCell ref="G43:H43"/>
    <mergeCell ref="I43:J43"/>
    <mergeCell ref="C44:F44"/>
    <mergeCell ref="G44:H44"/>
    <mergeCell ref="I44:J44"/>
    <mergeCell ref="C45:F45"/>
    <mergeCell ref="G45:H45"/>
    <mergeCell ref="I45:J45"/>
    <mergeCell ref="C46:F46"/>
    <mergeCell ref="G46:H46"/>
    <mergeCell ref="I46:J46"/>
    <mergeCell ref="I53:J53"/>
    <mergeCell ref="B48:J48"/>
    <mergeCell ref="A49:J49"/>
    <mergeCell ref="A50:J50"/>
    <mergeCell ref="D51:E51"/>
    <mergeCell ref="F51:G51"/>
    <mergeCell ref="D52:E52"/>
    <mergeCell ref="F52:G52"/>
  </mergeCells>
  <printOptions horizontalCentered="1" verticalCentered="1"/>
  <pageMargins left="0.19685039370078741" right="0.19685039370078741" top="0.19685039370078741" bottom="0.19685039370078741" header="0" footer="0"/>
  <pageSetup paperSize="9" scale="85" orientation="portrait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8"/>
  </sheetPr>
  <dimension ref="A1:H14"/>
  <sheetViews>
    <sheetView workbookViewId="0">
      <selection activeCell="A5" sqref="A5:D5"/>
    </sheetView>
  </sheetViews>
  <sheetFormatPr defaultColWidth="9" defaultRowHeight="96" customHeight="1" x14ac:dyDescent="0.2"/>
  <cols>
    <col min="1" max="9" width="9.875" style="175" customWidth="1"/>
    <col min="10" max="16384" width="9" style="175"/>
  </cols>
  <sheetData>
    <row r="1" spans="1:8" ht="26.25" x14ac:dyDescent="0.2">
      <c r="A1" s="291" t="s">
        <v>264</v>
      </c>
      <c r="B1" s="291"/>
      <c r="C1" s="291"/>
      <c r="D1" s="291"/>
      <c r="E1" s="291"/>
      <c r="F1" s="291"/>
      <c r="G1" s="291"/>
      <c r="H1" s="291"/>
    </row>
    <row r="2" spans="1:8" ht="26.25" x14ac:dyDescent="0.2">
      <c r="A2" s="291" t="s">
        <v>316</v>
      </c>
      <c r="B2" s="291"/>
      <c r="C2" s="291"/>
      <c r="D2" s="291"/>
      <c r="E2" s="291" t="s">
        <v>259</v>
      </c>
      <c r="F2" s="291"/>
      <c r="G2" s="291"/>
      <c r="H2" s="291"/>
    </row>
    <row r="3" spans="1:8" ht="96" customHeight="1" x14ac:dyDescent="0.2">
      <c r="A3" s="291" t="s">
        <v>317</v>
      </c>
      <c r="B3" s="291"/>
      <c r="C3" s="291"/>
      <c r="D3" s="291"/>
      <c r="E3" s="292" t="s">
        <v>322</v>
      </c>
      <c r="F3" s="292"/>
      <c r="G3" s="292"/>
      <c r="H3" s="292"/>
    </row>
    <row r="4" spans="1:8" ht="67.5" customHeight="1" x14ac:dyDescent="0.2">
      <c r="A4" s="291" t="s">
        <v>318</v>
      </c>
      <c r="B4" s="291"/>
      <c r="C4" s="291"/>
      <c r="D4" s="291"/>
      <c r="E4" s="291" t="s">
        <v>319</v>
      </c>
      <c r="F4" s="291"/>
      <c r="G4" s="291"/>
      <c r="H4" s="291"/>
    </row>
    <row r="5" spans="1:8" ht="104.25" customHeight="1" x14ac:dyDescent="0.2">
      <c r="A5" s="291" t="s">
        <v>320</v>
      </c>
      <c r="B5" s="291"/>
      <c r="C5" s="291"/>
      <c r="D5" s="291"/>
      <c r="E5" s="291"/>
      <c r="F5" s="291"/>
      <c r="G5" s="291"/>
      <c r="H5" s="291"/>
    </row>
    <row r="6" spans="1:8" ht="96" customHeight="1" x14ac:dyDescent="0.2">
      <c r="A6" s="291" t="s">
        <v>321</v>
      </c>
      <c r="B6" s="291"/>
      <c r="C6" s="291"/>
      <c r="D6" s="291"/>
      <c r="E6" s="291"/>
      <c r="F6" s="291"/>
      <c r="G6" s="291"/>
      <c r="H6" s="291"/>
    </row>
    <row r="7" spans="1:8" ht="96" customHeight="1" x14ac:dyDescent="0.2">
      <c r="A7" s="291"/>
      <c r="B7" s="291"/>
      <c r="C7" s="291"/>
      <c r="D7" s="291"/>
      <c r="E7" s="291"/>
      <c r="F7" s="291"/>
      <c r="G7" s="291"/>
      <c r="H7" s="291"/>
    </row>
    <row r="8" spans="1:8" ht="96" customHeight="1" x14ac:dyDescent="0.2">
      <c r="A8" s="291"/>
      <c r="B8" s="291"/>
      <c r="C8" s="291"/>
      <c r="D8" s="291"/>
      <c r="E8" s="291"/>
      <c r="F8" s="291"/>
      <c r="G8" s="291"/>
      <c r="H8" s="291"/>
    </row>
    <row r="9" spans="1:8" ht="96" customHeight="1" x14ac:dyDescent="0.2">
      <c r="A9" s="291"/>
      <c r="B9" s="291"/>
      <c r="C9" s="291"/>
      <c r="D9" s="291"/>
      <c r="E9" s="291"/>
      <c r="F9" s="291"/>
      <c r="G9" s="291"/>
      <c r="H9" s="291"/>
    </row>
    <row r="10" spans="1:8" ht="96" customHeight="1" x14ac:dyDescent="0.2">
      <c r="A10" s="291"/>
      <c r="B10" s="291"/>
      <c r="C10" s="291"/>
      <c r="D10" s="291"/>
      <c r="E10" s="291"/>
      <c r="F10" s="291"/>
      <c r="G10" s="291"/>
      <c r="H10" s="291"/>
    </row>
    <row r="11" spans="1:8" ht="96" customHeight="1" x14ac:dyDescent="0.2">
      <c r="A11" s="291"/>
      <c r="B11" s="291"/>
      <c r="C11" s="291"/>
      <c r="D11" s="291"/>
      <c r="E11" s="291"/>
      <c r="F11" s="291"/>
      <c r="G11" s="291"/>
      <c r="H11" s="291"/>
    </row>
    <row r="12" spans="1:8" ht="96" customHeight="1" x14ac:dyDescent="0.2">
      <c r="A12" s="291"/>
      <c r="B12" s="291"/>
      <c r="C12" s="291"/>
      <c r="D12" s="291"/>
      <c r="E12" s="291"/>
      <c r="F12" s="291"/>
      <c r="G12" s="291"/>
      <c r="H12" s="291"/>
    </row>
    <row r="13" spans="1:8" ht="96" customHeight="1" x14ac:dyDescent="0.2">
      <c r="A13" s="291"/>
      <c r="B13" s="291"/>
      <c r="C13" s="291"/>
      <c r="D13" s="291"/>
      <c r="E13" s="291"/>
      <c r="F13" s="291"/>
      <c r="G13" s="291"/>
      <c r="H13" s="291"/>
    </row>
    <row r="14" spans="1:8" ht="96" customHeight="1" x14ac:dyDescent="0.2">
      <c r="A14" s="291"/>
      <c r="B14" s="291"/>
      <c r="C14" s="291"/>
      <c r="D14" s="291"/>
      <c r="E14" s="291"/>
      <c r="F14" s="291"/>
      <c r="G14" s="291"/>
      <c r="H14" s="291"/>
    </row>
  </sheetData>
  <mergeCells count="27">
    <mergeCell ref="A9:D9"/>
    <mergeCell ref="A1:H1"/>
    <mergeCell ref="A2:D2"/>
    <mergeCell ref="E2:H2"/>
    <mergeCell ref="A3:D3"/>
    <mergeCell ref="E3:H3"/>
    <mergeCell ref="A4:D4"/>
    <mergeCell ref="A5:D5"/>
    <mergeCell ref="A6:D6"/>
    <mergeCell ref="A7:D7"/>
    <mergeCell ref="A8:D8"/>
    <mergeCell ref="E4:H4"/>
    <mergeCell ref="E5:H5"/>
    <mergeCell ref="E6:H6"/>
    <mergeCell ref="E7:H7"/>
    <mergeCell ref="E8:H8"/>
    <mergeCell ref="E14:H14"/>
    <mergeCell ref="A10:D10"/>
    <mergeCell ref="A11:D11"/>
    <mergeCell ref="A12:D12"/>
    <mergeCell ref="A13:D13"/>
    <mergeCell ref="A14:D14"/>
    <mergeCell ref="E9:H9"/>
    <mergeCell ref="E10:H10"/>
    <mergeCell ref="E11:H11"/>
    <mergeCell ref="E12:H12"/>
    <mergeCell ref="E13:H1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3895"/>
  <sheetViews>
    <sheetView workbookViewId="0">
      <selection activeCell="B365" sqref="B365:B3895"/>
    </sheetView>
  </sheetViews>
  <sheetFormatPr defaultRowHeight="14.25" x14ac:dyDescent="0.2"/>
  <cols>
    <col min="2" max="2" width="10.375" bestFit="1" customWidth="1"/>
    <col min="7" max="7" width="17.125" customWidth="1"/>
    <col min="8" max="8" width="19.25" customWidth="1"/>
  </cols>
  <sheetData>
    <row r="1" spans="1:11" ht="18" x14ac:dyDescent="0.4">
      <c r="A1" t="s">
        <v>10</v>
      </c>
      <c r="B1" s="1">
        <v>242158</v>
      </c>
      <c r="C1" t="s">
        <v>17</v>
      </c>
      <c r="D1" t="s">
        <v>37</v>
      </c>
      <c r="E1" t="s">
        <v>49</v>
      </c>
      <c r="F1" t="s">
        <v>54</v>
      </c>
      <c r="G1" s="2" t="s">
        <v>75</v>
      </c>
      <c r="H1" s="3" t="s">
        <v>58</v>
      </c>
      <c r="I1" s="4">
        <v>79</v>
      </c>
      <c r="J1" s="5" t="s">
        <v>59</v>
      </c>
      <c r="K1" t="s">
        <v>104</v>
      </c>
    </row>
    <row r="2" spans="1:11" ht="18" x14ac:dyDescent="0.4">
      <c r="A2" t="s">
        <v>11</v>
      </c>
      <c r="B2" s="1">
        <v>242159</v>
      </c>
      <c r="C2" t="s">
        <v>18</v>
      </c>
      <c r="D2" t="s">
        <v>38</v>
      </c>
      <c r="E2" t="s">
        <v>50</v>
      </c>
      <c r="F2" t="s">
        <v>55</v>
      </c>
      <c r="G2" s="2" t="s">
        <v>60</v>
      </c>
      <c r="H2" s="3" t="s">
        <v>61</v>
      </c>
      <c r="I2" s="4">
        <v>82.15</v>
      </c>
      <c r="J2" s="5" t="s">
        <v>59</v>
      </c>
      <c r="K2" t="s">
        <v>103</v>
      </c>
    </row>
    <row r="3" spans="1:11" ht="18" x14ac:dyDescent="0.4">
      <c r="A3" t="s">
        <v>12</v>
      </c>
      <c r="B3" s="1">
        <v>242160</v>
      </c>
      <c r="C3" t="s">
        <v>19</v>
      </c>
      <c r="D3" t="s">
        <v>121</v>
      </c>
      <c r="E3" t="s">
        <v>51</v>
      </c>
      <c r="F3" t="s">
        <v>56</v>
      </c>
      <c r="G3" s="2" t="s">
        <v>62</v>
      </c>
      <c r="H3" s="3" t="s">
        <v>63</v>
      </c>
      <c r="I3" s="6">
        <v>460</v>
      </c>
      <c r="J3" s="5" t="s">
        <v>59</v>
      </c>
      <c r="K3" t="s">
        <v>102</v>
      </c>
    </row>
    <row r="4" spans="1:11" ht="23.25" x14ac:dyDescent="0.4">
      <c r="A4" t="s">
        <v>13</v>
      </c>
      <c r="B4" s="1">
        <v>242161</v>
      </c>
      <c r="C4" t="s">
        <v>20</v>
      </c>
      <c r="D4" t="s">
        <v>39</v>
      </c>
      <c r="E4" t="s">
        <v>53</v>
      </c>
      <c r="G4" s="2" t="s">
        <v>64</v>
      </c>
      <c r="H4" s="7" t="s">
        <v>109</v>
      </c>
      <c r="I4" s="4" t="s">
        <v>65</v>
      </c>
      <c r="J4" s="5" t="s">
        <v>66</v>
      </c>
      <c r="K4" s="39" t="s">
        <v>56</v>
      </c>
    </row>
    <row r="5" spans="1:11" ht="18" x14ac:dyDescent="0.4">
      <c r="A5" t="s">
        <v>14</v>
      </c>
      <c r="B5" s="1">
        <v>242162</v>
      </c>
      <c r="C5" t="s">
        <v>21</v>
      </c>
      <c r="D5" t="s">
        <v>40</v>
      </c>
      <c r="E5" t="s">
        <v>52</v>
      </c>
      <c r="G5" s="2" t="s">
        <v>73</v>
      </c>
      <c r="H5" s="7" t="s">
        <v>99</v>
      </c>
      <c r="I5" s="4" t="s">
        <v>65</v>
      </c>
      <c r="J5" s="5" t="s">
        <v>67</v>
      </c>
    </row>
    <row r="6" spans="1:11" ht="18" x14ac:dyDescent="0.4">
      <c r="A6" t="s">
        <v>15</v>
      </c>
      <c r="B6" s="1">
        <v>242163</v>
      </c>
      <c r="C6" t="s">
        <v>22</v>
      </c>
      <c r="D6" t="s">
        <v>41</v>
      </c>
      <c r="E6" t="s">
        <v>81</v>
      </c>
      <c r="G6" s="2" t="s">
        <v>74</v>
      </c>
      <c r="H6" s="7" t="s">
        <v>112</v>
      </c>
      <c r="I6" s="4" t="s">
        <v>68</v>
      </c>
      <c r="J6" s="5" t="s">
        <v>69</v>
      </c>
    </row>
    <row r="7" spans="1:11" ht="18" x14ac:dyDescent="0.4">
      <c r="A7" t="s">
        <v>16</v>
      </c>
      <c r="B7" s="1">
        <v>242164</v>
      </c>
      <c r="C7" t="s">
        <v>23</v>
      </c>
      <c r="D7" t="s">
        <v>42</v>
      </c>
      <c r="E7" t="s">
        <v>90</v>
      </c>
      <c r="G7" s="2" t="s">
        <v>82</v>
      </c>
      <c r="H7" s="7" t="s">
        <v>113</v>
      </c>
      <c r="I7" s="4" t="s">
        <v>65</v>
      </c>
      <c r="J7" s="5" t="s">
        <v>71</v>
      </c>
    </row>
    <row r="8" spans="1:11" ht="18" x14ac:dyDescent="0.4">
      <c r="A8" t="s">
        <v>9</v>
      </c>
      <c r="B8" s="1">
        <v>242165</v>
      </c>
      <c r="C8" t="s">
        <v>24</v>
      </c>
      <c r="D8" t="s">
        <v>43</v>
      </c>
      <c r="E8" t="s">
        <v>91</v>
      </c>
      <c r="G8" s="2" t="s">
        <v>83</v>
      </c>
      <c r="H8" s="3" t="s">
        <v>114</v>
      </c>
      <c r="I8" s="4" t="s">
        <v>65</v>
      </c>
      <c r="J8" s="5"/>
    </row>
    <row r="9" spans="1:11" ht="18" x14ac:dyDescent="0.2">
      <c r="A9" t="s">
        <v>119</v>
      </c>
      <c r="B9" s="1">
        <v>242166</v>
      </c>
      <c r="C9" t="s">
        <v>25</v>
      </c>
      <c r="D9" t="s">
        <v>44</v>
      </c>
      <c r="E9" t="s">
        <v>92</v>
      </c>
      <c r="G9" s="2" t="s">
        <v>70</v>
      </c>
      <c r="H9" s="45" t="s">
        <v>110</v>
      </c>
    </row>
    <row r="10" spans="1:11" ht="18" x14ac:dyDescent="0.2">
      <c r="B10" s="1">
        <v>242167</v>
      </c>
      <c r="C10" t="s">
        <v>26</v>
      </c>
      <c r="D10" t="s">
        <v>45</v>
      </c>
      <c r="G10" s="2" t="s">
        <v>72</v>
      </c>
      <c r="H10" s="45" t="s">
        <v>111</v>
      </c>
    </row>
    <row r="11" spans="1:11" ht="18" x14ac:dyDescent="0.2">
      <c r="B11" s="1">
        <v>242168</v>
      </c>
      <c r="C11" t="s">
        <v>27</v>
      </c>
      <c r="D11" t="s">
        <v>46</v>
      </c>
      <c r="G11" s="2" t="s">
        <v>74</v>
      </c>
    </row>
    <row r="12" spans="1:11" x14ac:dyDescent="0.2">
      <c r="B12" s="1">
        <v>242169</v>
      </c>
      <c r="C12" t="s">
        <v>28</v>
      </c>
      <c r="D12" t="s">
        <v>105</v>
      </c>
    </row>
    <row r="13" spans="1:11" x14ac:dyDescent="0.2">
      <c r="B13" s="1">
        <v>242170</v>
      </c>
      <c r="D13" t="s">
        <v>106</v>
      </c>
    </row>
    <row r="14" spans="1:11" x14ac:dyDescent="0.2">
      <c r="B14" s="1">
        <v>242171</v>
      </c>
      <c r="D14" t="s">
        <v>107</v>
      </c>
    </row>
    <row r="15" spans="1:11" x14ac:dyDescent="0.2">
      <c r="B15" s="1">
        <v>242172</v>
      </c>
      <c r="D15" t="s">
        <v>108</v>
      </c>
    </row>
    <row r="16" spans="1:11" x14ac:dyDescent="0.2">
      <c r="B16" s="1">
        <v>242173</v>
      </c>
      <c r="D16" t="s">
        <v>47</v>
      </c>
    </row>
    <row r="17" spans="2:4" x14ac:dyDescent="0.2">
      <c r="B17" s="1">
        <v>242174</v>
      </c>
      <c r="D17" t="s">
        <v>48</v>
      </c>
    </row>
    <row r="18" spans="2:4" x14ac:dyDescent="0.2">
      <c r="B18" s="1">
        <v>242175</v>
      </c>
    </row>
    <row r="19" spans="2:4" x14ac:dyDescent="0.2">
      <c r="B19" s="1">
        <v>242176</v>
      </c>
    </row>
    <row r="20" spans="2:4" x14ac:dyDescent="0.2">
      <c r="B20" s="1">
        <v>242177</v>
      </c>
    </row>
    <row r="21" spans="2:4" x14ac:dyDescent="0.2">
      <c r="B21" s="1">
        <v>242178</v>
      </c>
    </row>
    <row r="22" spans="2:4" x14ac:dyDescent="0.2">
      <c r="B22" s="1">
        <v>242179</v>
      </c>
    </row>
    <row r="23" spans="2:4" x14ac:dyDescent="0.2">
      <c r="B23" s="1">
        <v>242180</v>
      </c>
    </row>
    <row r="24" spans="2:4" x14ac:dyDescent="0.2">
      <c r="B24" s="1">
        <v>242181</v>
      </c>
    </row>
    <row r="25" spans="2:4" x14ac:dyDescent="0.2">
      <c r="B25" s="1">
        <v>242182</v>
      </c>
    </row>
    <row r="26" spans="2:4" x14ac:dyDescent="0.2">
      <c r="B26" s="1">
        <v>242183</v>
      </c>
    </row>
    <row r="27" spans="2:4" x14ac:dyDescent="0.2">
      <c r="B27" s="1">
        <v>242184</v>
      </c>
    </row>
    <row r="28" spans="2:4" x14ac:dyDescent="0.2">
      <c r="B28" s="1">
        <v>242185</v>
      </c>
    </row>
    <row r="29" spans="2:4" x14ac:dyDescent="0.2">
      <c r="B29" s="1">
        <v>242186</v>
      </c>
    </row>
    <row r="30" spans="2:4" x14ac:dyDescent="0.2">
      <c r="B30" s="1">
        <v>242187</v>
      </c>
    </row>
    <row r="31" spans="2:4" x14ac:dyDescent="0.2">
      <c r="B31" s="1">
        <v>242188</v>
      </c>
    </row>
    <row r="32" spans="2:4" x14ac:dyDescent="0.2">
      <c r="B32" s="1">
        <v>242189</v>
      </c>
    </row>
    <row r="33" spans="2:2" x14ac:dyDescent="0.2">
      <c r="B33" s="1">
        <v>242190</v>
      </c>
    </row>
    <row r="34" spans="2:2" x14ac:dyDescent="0.2">
      <c r="B34" s="1">
        <v>242191</v>
      </c>
    </row>
    <row r="35" spans="2:2" x14ac:dyDescent="0.2">
      <c r="B35" s="1">
        <v>242192</v>
      </c>
    </row>
    <row r="36" spans="2:2" x14ac:dyDescent="0.2">
      <c r="B36" s="1">
        <v>242193</v>
      </c>
    </row>
    <row r="37" spans="2:2" x14ac:dyDescent="0.2">
      <c r="B37" s="1">
        <v>242194</v>
      </c>
    </row>
    <row r="38" spans="2:2" x14ac:dyDescent="0.2">
      <c r="B38" s="1">
        <v>242195</v>
      </c>
    </row>
    <row r="39" spans="2:2" x14ac:dyDescent="0.2">
      <c r="B39" s="1">
        <v>242196</v>
      </c>
    </row>
    <row r="40" spans="2:2" x14ac:dyDescent="0.2">
      <c r="B40" s="1">
        <v>242197</v>
      </c>
    </row>
    <row r="41" spans="2:2" x14ac:dyDescent="0.2">
      <c r="B41" s="1">
        <v>242198</v>
      </c>
    </row>
    <row r="42" spans="2:2" x14ac:dyDescent="0.2">
      <c r="B42" s="1">
        <v>242199</v>
      </c>
    </row>
    <row r="43" spans="2:2" x14ac:dyDescent="0.2">
      <c r="B43" s="1">
        <v>242200</v>
      </c>
    </row>
    <row r="44" spans="2:2" x14ac:dyDescent="0.2">
      <c r="B44" s="1">
        <v>242201</v>
      </c>
    </row>
    <row r="45" spans="2:2" x14ac:dyDescent="0.2">
      <c r="B45" s="1">
        <v>242202</v>
      </c>
    </row>
    <row r="46" spans="2:2" x14ac:dyDescent="0.2">
      <c r="B46" s="1">
        <v>242203</v>
      </c>
    </row>
    <row r="47" spans="2:2" x14ac:dyDescent="0.2">
      <c r="B47" s="1">
        <v>242204</v>
      </c>
    </row>
    <row r="48" spans="2:2" x14ac:dyDescent="0.2">
      <c r="B48" s="1">
        <v>242205</v>
      </c>
    </row>
    <row r="49" spans="2:2" x14ac:dyDescent="0.2">
      <c r="B49" s="1">
        <v>242206</v>
      </c>
    </row>
    <row r="50" spans="2:2" x14ac:dyDescent="0.2">
      <c r="B50" s="1">
        <v>242207</v>
      </c>
    </row>
    <row r="51" spans="2:2" x14ac:dyDescent="0.2">
      <c r="B51" s="1">
        <v>242208</v>
      </c>
    </row>
    <row r="52" spans="2:2" x14ac:dyDescent="0.2">
      <c r="B52" s="1">
        <v>242209</v>
      </c>
    </row>
    <row r="53" spans="2:2" x14ac:dyDescent="0.2">
      <c r="B53" s="1">
        <v>242210</v>
      </c>
    </row>
    <row r="54" spans="2:2" x14ac:dyDescent="0.2">
      <c r="B54" s="1">
        <v>242211</v>
      </c>
    </row>
    <row r="55" spans="2:2" x14ac:dyDescent="0.2">
      <c r="B55" s="1">
        <v>242212</v>
      </c>
    </row>
    <row r="56" spans="2:2" x14ac:dyDescent="0.2">
      <c r="B56" s="1">
        <v>242213</v>
      </c>
    </row>
    <row r="57" spans="2:2" x14ac:dyDescent="0.2">
      <c r="B57" s="1">
        <v>242214</v>
      </c>
    </row>
    <row r="58" spans="2:2" x14ac:dyDescent="0.2">
      <c r="B58" s="1">
        <v>242215</v>
      </c>
    </row>
    <row r="59" spans="2:2" x14ac:dyDescent="0.2">
      <c r="B59" s="1">
        <v>242216</v>
      </c>
    </row>
    <row r="60" spans="2:2" x14ac:dyDescent="0.2">
      <c r="B60" s="1">
        <v>242217</v>
      </c>
    </row>
    <row r="61" spans="2:2" x14ac:dyDescent="0.2">
      <c r="B61" s="1">
        <v>242218</v>
      </c>
    </row>
    <row r="62" spans="2:2" x14ac:dyDescent="0.2">
      <c r="B62" s="1">
        <v>242219</v>
      </c>
    </row>
    <row r="63" spans="2:2" x14ac:dyDescent="0.2">
      <c r="B63" s="1">
        <v>242220</v>
      </c>
    </row>
    <row r="64" spans="2:2" x14ac:dyDescent="0.2">
      <c r="B64" s="1">
        <v>242221</v>
      </c>
    </row>
    <row r="65" spans="2:2" x14ac:dyDescent="0.2">
      <c r="B65" s="1">
        <v>242222</v>
      </c>
    </row>
    <row r="66" spans="2:2" x14ac:dyDescent="0.2">
      <c r="B66" s="1">
        <v>242223</v>
      </c>
    </row>
    <row r="67" spans="2:2" x14ac:dyDescent="0.2">
      <c r="B67" s="1">
        <v>242224</v>
      </c>
    </row>
    <row r="68" spans="2:2" x14ac:dyDescent="0.2">
      <c r="B68" s="1">
        <v>242225</v>
      </c>
    </row>
    <row r="69" spans="2:2" x14ac:dyDescent="0.2">
      <c r="B69" s="1">
        <v>242226</v>
      </c>
    </row>
    <row r="70" spans="2:2" x14ac:dyDescent="0.2">
      <c r="B70" s="1">
        <v>242227</v>
      </c>
    </row>
    <row r="71" spans="2:2" x14ac:dyDescent="0.2">
      <c r="B71" s="1">
        <v>242228</v>
      </c>
    </row>
    <row r="72" spans="2:2" x14ac:dyDescent="0.2">
      <c r="B72" s="1">
        <v>242229</v>
      </c>
    </row>
    <row r="73" spans="2:2" x14ac:dyDescent="0.2">
      <c r="B73" s="1">
        <v>242230</v>
      </c>
    </row>
    <row r="74" spans="2:2" x14ac:dyDescent="0.2">
      <c r="B74" s="1">
        <v>242231</v>
      </c>
    </row>
    <row r="75" spans="2:2" x14ac:dyDescent="0.2">
      <c r="B75" s="1">
        <v>242232</v>
      </c>
    </row>
    <row r="76" spans="2:2" x14ac:dyDescent="0.2">
      <c r="B76" s="1">
        <v>242233</v>
      </c>
    </row>
    <row r="77" spans="2:2" x14ac:dyDescent="0.2">
      <c r="B77" s="1">
        <v>242234</v>
      </c>
    </row>
    <row r="78" spans="2:2" x14ac:dyDescent="0.2">
      <c r="B78" s="1">
        <v>242235</v>
      </c>
    </row>
    <row r="79" spans="2:2" x14ac:dyDescent="0.2">
      <c r="B79" s="1">
        <v>242236</v>
      </c>
    </row>
    <row r="80" spans="2:2" x14ac:dyDescent="0.2">
      <c r="B80" s="1">
        <v>242237</v>
      </c>
    </row>
    <row r="81" spans="2:2" x14ac:dyDescent="0.2">
      <c r="B81" s="1">
        <v>242238</v>
      </c>
    </row>
    <row r="82" spans="2:2" x14ac:dyDescent="0.2">
      <c r="B82" s="1">
        <v>242239</v>
      </c>
    </row>
    <row r="83" spans="2:2" x14ac:dyDescent="0.2">
      <c r="B83" s="1">
        <v>242240</v>
      </c>
    </row>
    <row r="84" spans="2:2" x14ac:dyDescent="0.2">
      <c r="B84" s="1">
        <v>242241</v>
      </c>
    </row>
    <row r="85" spans="2:2" x14ac:dyDescent="0.2">
      <c r="B85" s="1">
        <v>242242</v>
      </c>
    </row>
    <row r="86" spans="2:2" x14ac:dyDescent="0.2">
      <c r="B86" s="1">
        <v>242243</v>
      </c>
    </row>
    <row r="87" spans="2:2" x14ac:dyDescent="0.2">
      <c r="B87" s="1">
        <v>242244</v>
      </c>
    </row>
    <row r="88" spans="2:2" x14ac:dyDescent="0.2">
      <c r="B88" s="1">
        <v>242245</v>
      </c>
    </row>
    <row r="89" spans="2:2" x14ac:dyDescent="0.2">
      <c r="B89" s="1">
        <v>242246</v>
      </c>
    </row>
    <row r="90" spans="2:2" x14ac:dyDescent="0.2">
      <c r="B90" s="1">
        <v>242247</v>
      </c>
    </row>
    <row r="91" spans="2:2" x14ac:dyDescent="0.2">
      <c r="B91" s="1">
        <v>242248</v>
      </c>
    </row>
    <row r="92" spans="2:2" x14ac:dyDescent="0.2">
      <c r="B92" s="1">
        <v>242249</v>
      </c>
    </row>
    <row r="93" spans="2:2" x14ac:dyDescent="0.2">
      <c r="B93" s="1">
        <v>242250</v>
      </c>
    </row>
    <row r="94" spans="2:2" x14ac:dyDescent="0.2">
      <c r="B94" s="1">
        <v>242251</v>
      </c>
    </row>
    <row r="95" spans="2:2" x14ac:dyDescent="0.2">
      <c r="B95" s="1">
        <v>242252</v>
      </c>
    </row>
    <row r="96" spans="2:2" x14ac:dyDescent="0.2">
      <c r="B96" s="1">
        <v>242253</v>
      </c>
    </row>
    <row r="97" spans="2:2" x14ac:dyDescent="0.2">
      <c r="B97" s="1">
        <v>242254</v>
      </c>
    </row>
    <row r="98" spans="2:2" x14ac:dyDescent="0.2">
      <c r="B98" s="1">
        <v>242255</v>
      </c>
    </row>
    <row r="99" spans="2:2" x14ac:dyDescent="0.2">
      <c r="B99" s="1">
        <v>242256</v>
      </c>
    </row>
    <row r="100" spans="2:2" x14ac:dyDescent="0.2">
      <c r="B100" s="1">
        <v>242257</v>
      </c>
    </row>
    <row r="101" spans="2:2" x14ac:dyDescent="0.2">
      <c r="B101" s="1">
        <v>242258</v>
      </c>
    </row>
    <row r="102" spans="2:2" x14ac:dyDescent="0.2">
      <c r="B102" s="1">
        <v>242259</v>
      </c>
    </row>
    <row r="103" spans="2:2" x14ac:dyDescent="0.2">
      <c r="B103" s="1">
        <v>242260</v>
      </c>
    </row>
    <row r="104" spans="2:2" x14ac:dyDescent="0.2">
      <c r="B104" s="1">
        <v>242261</v>
      </c>
    </row>
    <row r="105" spans="2:2" x14ac:dyDescent="0.2">
      <c r="B105" s="1">
        <v>242262</v>
      </c>
    </row>
    <row r="106" spans="2:2" x14ac:dyDescent="0.2">
      <c r="B106" s="1">
        <v>242263</v>
      </c>
    </row>
    <row r="107" spans="2:2" x14ac:dyDescent="0.2">
      <c r="B107" s="1">
        <v>242264</v>
      </c>
    </row>
    <row r="108" spans="2:2" x14ac:dyDescent="0.2">
      <c r="B108" s="1">
        <v>242265</v>
      </c>
    </row>
    <row r="109" spans="2:2" x14ac:dyDescent="0.2">
      <c r="B109" s="1">
        <v>242266</v>
      </c>
    </row>
    <row r="110" spans="2:2" x14ac:dyDescent="0.2">
      <c r="B110" s="1">
        <v>242267</v>
      </c>
    </row>
    <row r="111" spans="2:2" x14ac:dyDescent="0.2">
      <c r="B111" s="1">
        <v>242268</v>
      </c>
    </row>
    <row r="112" spans="2:2" x14ac:dyDescent="0.2">
      <c r="B112" s="1">
        <v>242269</v>
      </c>
    </row>
    <row r="113" spans="2:2" x14ac:dyDescent="0.2">
      <c r="B113" s="1">
        <v>242270</v>
      </c>
    </row>
    <row r="114" spans="2:2" x14ac:dyDescent="0.2">
      <c r="B114" s="1">
        <v>242271</v>
      </c>
    </row>
    <row r="115" spans="2:2" x14ac:dyDescent="0.2">
      <c r="B115" s="1">
        <v>242272</v>
      </c>
    </row>
    <row r="116" spans="2:2" x14ac:dyDescent="0.2">
      <c r="B116" s="1">
        <v>242273</v>
      </c>
    </row>
    <row r="117" spans="2:2" x14ac:dyDescent="0.2">
      <c r="B117" s="1">
        <v>242274</v>
      </c>
    </row>
    <row r="118" spans="2:2" x14ac:dyDescent="0.2">
      <c r="B118" s="1">
        <v>242275</v>
      </c>
    </row>
    <row r="119" spans="2:2" x14ac:dyDescent="0.2">
      <c r="B119" s="1">
        <v>242276</v>
      </c>
    </row>
    <row r="120" spans="2:2" x14ac:dyDescent="0.2">
      <c r="B120" s="1">
        <v>242277</v>
      </c>
    </row>
    <row r="121" spans="2:2" x14ac:dyDescent="0.2">
      <c r="B121" s="1">
        <v>242278</v>
      </c>
    </row>
    <row r="122" spans="2:2" x14ac:dyDescent="0.2">
      <c r="B122" s="1">
        <v>242279</v>
      </c>
    </row>
    <row r="123" spans="2:2" x14ac:dyDescent="0.2">
      <c r="B123" s="1">
        <v>242280</v>
      </c>
    </row>
    <row r="124" spans="2:2" x14ac:dyDescent="0.2">
      <c r="B124" s="1">
        <v>242281</v>
      </c>
    </row>
    <row r="125" spans="2:2" x14ac:dyDescent="0.2">
      <c r="B125" s="1">
        <v>242282</v>
      </c>
    </row>
    <row r="126" spans="2:2" x14ac:dyDescent="0.2">
      <c r="B126" s="1">
        <v>242283</v>
      </c>
    </row>
    <row r="127" spans="2:2" x14ac:dyDescent="0.2">
      <c r="B127" s="1">
        <v>242284</v>
      </c>
    </row>
    <row r="128" spans="2:2" x14ac:dyDescent="0.2">
      <c r="B128" s="1">
        <v>242285</v>
      </c>
    </row>
    <row r="129" spans="2:2" x14ac:dyDescent="0.2">
      <c r="B129" s="1">
        <v>242286</v>
      </c>
    </row>
    <row r="130" spans="2:2" x14ac:dyDescent="0.2">
      <c r="B130" s="1">
        <v>242287</v>
      </c>
    </row>
    <row r="131" spans="2:2" x14ac:dyDescent="0.2">
      <c r="B131" s="1">
        <v>242288</v>
      </c>
    </row>
    <row r="132" spans="2:2" x14ac:dyDescent="0.2">
      <c r="B132" s="1">
        <v>242289</v>
      </c>
    </row>
    <row r="133" spans="2:2" x14ac:dyDescent="0.2">
      <c r="B133" s="1">
        <v>242290</v>
      </c>
    </row>
    <row r="134" spans="2:2" x14ac:dyDescent="0.2">
      <c r="B134" s="1">
        <v>242291</v>
      </c>
    </row>
    <row r="135" spans="2:2" x14ac:dyDescent="0.2">
      <c r="B135" s="1">
        <v>242292</v>
      </c>
    </row>
    <row r="136" spans="2:2" x14ac:dyDescent="0.2">
      <c r="B136" s="1">
        <v>242293</v>
      </c>
    </row>
    <row r="137" spans="2:2" x14ac:dyDescent="0.2">
      <c r="B137" s="1">
        <v>242294</v>
      </c>
    </row>
    <row r="138" spans="2:2" x14ac:dyDescent="0.2">
      <c r="B138" s="1">
        <v>242295</v>
      </c>
    </row>
    <row r="139" spans="2:2" x14ac:dyDescent="0.2">
      <c r="B139" s="1">
        <v>242296</v>
      </c>
    </row>
    <row r="140" spans="2:2" x14ac:dyDescent="0.2">
      <c r="B140" s="1">
        <v>242297</v>
      </c>
    </row>
    <row r="141" spans="2:2" x14ac:dyDescent="0.2">
      <c r="B141" s="1">
        <v>242298</v>
      </c>
    </row>
    <row r="142" spans="2:2" x14ac:dyDescent="0.2">
      <c r="B142" s="1">
        <v>242299</v>
      </c>
    </row>
    <row r="143" spans="2:2" x14ac:dyDescent="0.2">
      <c r="B143" s="1">
        <v>242300</v>
      </c>
    </row>
    <row r="144" spans="2:2" x14ac:dyDescent="0.2">
      <c r="B144" s="1">
        <v>242301</v>
      </c>
    </row>
    <row r="145" spans="2:2" x14ac:dyDescent="0.2">
      <c r="B145" s="1">
        <v>242302</v>
      </c>
    </row>
    <row r="146" spans="2:2" x14ac:dyDescent="0.2">
      <c r="B146" s="1">
        <v>242303</v>
      </c>
    </row>
    <row r="147" spans="2:2" x14ac:dyDescent="0.2">
      <c r="B147" s="1">
        <v>242304</v>
      </c>
    </row>
    <row r="148" spans="2:2" x14ac:dyDescent="0.2">
      <c r="B148" s="1">
        <v>242305</v>
      </c>
    </row>
    <row r="149" spans="2:2" x14ac:dyDescent="0.2">
      <c r="B149" s="1">
        <v>242306</v>
      </c>
    </row>
    <row r="150" spans="2:2" x14ac:dyDescent="0.2">
      <c r="B150" s="1">
        <v>242307</v>
      </c>
    </row>
    <row r="151" spans="2:2" x14ac:dyDescent="0.2">
      <c r="B151" s="1">
        <v>242308</v>
      </c>
    </row>
    <row r="152" spans="2:2" x14ac:dyDescent="0.2">
      <c r="B152" s="1">
        <v>242309</v>
      </c>
    </row>
    <row r="153" spans="2:2" x14ac:dyDescent="0.2">
      <c r="B153" s="1">
        <v>242310</v>
      </c>
    </row>
    <row r="154" spans="2:2" x14ac:dyDescent="0.2">
      <c r="B154" s="1">
        <v>242311</v>
      </c>
    </row>
    <row r="155" spans="2:2" x14ac:dyDescent="0.2">
      <c r="B155" s="1">
        <v>242312</v>
      </c>
    </row>
    <row r="156" spans="2:2" x14ac:dyDescent="0.2">
      <c r="B156" s="1">
        <v>242313</v>
      </c>
    </row>
    <row r="157" spans="2:2" x14ac:dyDescent="0.2">
      <c r="B157" s="1">
        <v>242314</v>
      </c>
    </row>
    <row r="158" spans="2:2" x14ac:dyDescent="0.2">
      <c r="B158" s="1">
        <v>242315</v>
      </c>
    </row>
    <row r="159" spans="2:2" x14ac:dyDescent="0.2">
      <c r="B159" s="1">
        <v>242316</v>
      </c>
    </row>
    <row r="160" spans="2:2" x14ac:dyDescent="0.2">
      <c r="B160" s="1">
        <v>242317</v>
      </c>
    </row>
    <row r="161" spans="2:2" x14ac:dyDescent="0.2">
      <c r="B161" s="1">
        <v>242318</v>
      </c>
    </row>
    <row r="162" spans="2:2" x14ac:dyDescent="0.2">
      <c r="B162" s="1">
        <v>242319</v>
      </c>
    </row>
    <row r="163" spans="2:2" x14ac:dyDescent="0.2">
      <c r="B163" s="1">
        <v>242320</v>
      </c>
    </row>
    <row r="164" spans="2:2" x14ac:dyDescent="0.2">
      <c r="B164" s="1">
        <v>242321</v>
      </c>
    </row>
    <row r="165" spans="2:2" x14ac:dyDescent="0.2">
      <c r="B165" s="1">
        <v>242322</v>
      </c>
    </row>
    <row r="166" spans="2:2" x14ac:dyDescent="0.2">
      <c r="B166" s="1">
        <v>242323</v>
      </c>
    </row>
    <row r="167" spans="2:2" x14ac:dyDescent="0.2">
      <c r="B167" s="1">
        <v>242324</v>
      </c>
    </row>
    <row r="168" spans="2:2" x14ac:dyDescent="0.2">
      <c r="B168" s="1">
        <v>242325</v>
      </c>
    </row>
    <row r="169" spans="2:2" x14ac:dyDescent="0.2">
      <c r="B169" s="1">
        <v>242326</v>
      </c>
    </row>
    <row r="170" spans="2:2" x14ac:dyDescent="0.2">
      <c r="B170" s="1">
        <v>242327</v>
      </c>
    </row>
    <row r="171" spans="2:2" x14ac:dyDescent="0.2">
      <c r="B171" s="1">
        <v>242328</v>
      </c>
    </row>
    <row r="172" spans="2:2" x14ac:dyDescent="0.2">
      <c r="B172" s="1">
        <v>242329</v>
      </c>
    </row>
    <row r="173" spans="2:2" x14ac:dyDescent="0.2">
      <c r="B173" s="1">
        <v>242330</v>
      </c>
    </row>
    <row r="174" spans="2:2" x14ac:dyDescent="0.2">
      <c r="B174" s="1">
        <v>242331</v>
      </c>
    </row>
    <row r="175" spans="2:2" x14ac:dyDescent="0.2">
      <c r="B175" s="1">
        <v>242332</v>
      </c>
    </row>
    <row r="176" spans="2:2" x14ac:dyDescent="0.2">
      <c r="B176" s="1">
        <v>242333</v>
      </c>
    </row>
    <row r="177" spans="2:2" x14ac:dyDescent="0.2">
      <c r="B177" s="1">
        <v>242334</v>
      </c>
    </row>
    <row r="178" spans="2:2" x14ac:dyDescent="0.2">
      <c r="B178" s="1">
        <v>242335</v>
      </c>
    </row>
    <row r="179" spans="2:2" x14ac:dyDescent="0.2">
      <c r="B179" s="1">
        <v>242336</v>
      </c>
    </row>
    <row r="180" spans="2:2" x14ac:dyDescent="0.2">
      <c r="B180" s="1">
        <v>242337</v>
      </c>
    </row>
    <row r="181" spans="2:2" x14ac:dyDescent="0.2">
      <c r="B181" s="1">
        <v>242338</v>
      </c>
    </row>
    <row r="182" spans="2:2" x14ac:dyDescent="0.2">
      <c r="B182" s="1">
        <v>242339</v>
      </c>
    </row>
    <row r="183" spans="2:2" x14ac:dyDescent="0.2">
      <c r="B183" s="1">
        <v>242340</v>
      </c>
    </row>
    <row r="184" spans="2:2" x14ac:dyDescent="0.2">
      <c r="B184" s="1">
        <v>242341</v>
      </c>
    </row>
    <row r="185" spans="2:2" x14ac:dyDescent="0.2">
      <c r="B185" s="1">
        <v>242342</v>
      </c>
    </row>
    <row r="186" spans="2:2" x14ac:dyDescent="0.2">
      <c r="B186" s="1">
        <v>242343</v>
      </c>
    </row>
    <row r="187" spans="2:2" x14ac:dyDescent="0.2">
      <c r="B187" s="1">
        <v>242344</v>
      </c>
    </row>
    <row r="188" spans="2:2" x14ac:dyDescent="0.2">
      <c r="B188" s="1">
        <v>242345</v>
      </c>
    </row>
    <row r="189" spans="2:2" x14ac:dyDescent="0.2">
      <c r="B189" s="1">
        <v>242346</v>
      </c>
    </row>
    <row r="190" spans="2:2" x14ac:dyDescent="0.2">
      <c r="B190" s="1">
        <v>242347</v>
      </c>
    </row>
    <row r="191" spans="2:2" x14ac:dyDescent="0.2">
      <c r="B191" s="1">
        <v>242348</v>
      </c>
    </row>
    <row r="192" spans="2:2" x14ac:dyDescent="0.2">
      <c r="B192" s="1">
        <v>242349</v>
      </c>
    </row>
    <row r="193" spans="2:2" x14ac:dyDescent="0.2">
      <c r="B193" s="1">
        <v>242350</v>
      </c>
    </row>
    <row r="194" spans="2:2" x14ac:dyDescent="0.2">
      <c r="B194" s="1">
        <v>242351</v>
      </c>
    </row>
    <row r="195" spans="2:2" x14ac:dyDescent="0.2">
      <c r="B195" s="1">
        <v>242352</v>
      </c>
    </row>
    <row r="196" spans="2:2" x14ac:dyDescent="0.2">
      <c r="B196" s="1">
        <v>242353</v>
      </c>
    </row>
    <row r="197" spans="2:2" x14ac:dyDescent="0.2">
      <c r="B197" s="1">
        <v>242354</v>
      </c>
    </row>
    <row r="198" spans="2:2" x14ac:dyDescent="0.2">
      <c r="B198" s="1">
        <v>242355</v>
      </c>
    </row>
    <row r="199" spans="2:2" x14ac:dyDescent="0.2">
      <c r="B199" s="1">
        <v>242356</v>
      </c>
    </row>
    <row r="200" spans="2:2" x14ac:dyDescent="0.2">
      <c r="B200" s="1">
        <v>242357</v>
      </c>
    </row>
    <row r="201" spans="2:2" x14ac:dyDescent="0.2">
      <c r="B201" s="1">
        <v>242358</v>
      </c>
    </row>
    <row r="202" spans="2:2" x14ac:dyDescent="0.2">
      <c r="B202" s="1">
        <v>242359</v>
      </c>
    </row>
    <row r="203" spans="2:2" x14ac:dyDescent="0.2">
      <c r="B203" s="1">
        <v>242360</v>
      </c>
    </row>
    <row r="204" spans="2:2" x14ac:dyDescent="0.2">
      <c r="B204" s="1">
        <v>242361</v>
      </c>
    </row>
    <row r="205" spans="2:2" x14ac:dyDescent="0.2">
      <c r="B205" s="1">
        <v>242362</v>
      </c>
    </row>
    <row r="206" spans="2:2" x14ac:dyDescent="0.2">
      <c r="B206" s="1">
        <v>242363</v>
      </c>
    </row>
    <row r="207" spans="2:2" x14ac:dyDescent="0.2">
      <c r="B207" s="1">
        <v>242364</v>
      </c>
    </row>
    <row r="208" spans="2:2" x14ac:dyDescent="0.2">
      <c r="B208" s="1">
        <v>242365</v>
      </c>
    </row>
    <row r="209" spans="2:2" x14ac:dyDescent="0.2">
      <c r="B209" s="1">
        <v>242366</v>
      </c>
    </row>
    <row r="210" spans="2:2" x14ac:dyDescent="0.2">
      <c r="B210" s="1">
        <v>242367</v>
      </c>
    </row>
    <row r="211" spans="2:2" x14ac:dyDescent="0.2">
      <c r="B211" s="1">
        <v>242368</v>
      </c>
    </row>
    <row r="212" spans="2:2" x14ac:dyDescent="0.2">
      <c r="B212" s="1">
        <v>242369</v>
      </c>
    </row>
    <row r="213" spans="2:2" x14ac:dyDescent="0.2">
      <c r="B213" s="1">
        <v>242370</v>
      </c>
    </row>
    <row r="214" spans="2:2" x14ac:dyDescent="0.2">
      <c r="B214" s="1">
        <v>242371</v>
      </c>
    </row>
    <row r="215" spans="2:2" x14ac:dyDescent="0.2">
      <c r="B215" s="1">
        <v>242372</v>
      </c>
    </row>
    <row r="216" spans="2:2" x14ac:dyDescent="0.2">
      <c r="B216" s="1">
        <v>242373</v>
      </c>
    </row>
    <row r="217" spans="2:2" x14ac:dyDescent="0.2">
      <c r="B217" s="1">
        <v>242374</v>
      </c>
    </row>
    <row r="218" spans="2:2" x14ac:dyDescent="0.2">
      <c r="B218" s="1">
        <v>242375</v>
      </c>
    </row>
    <row r="219" spans="2:2" x14ac:dyDescent="0.2">
      <c r="B219" s="1">
        <v>242376</v>
      </c>
    </row>
    <row r="220" spans="2:2" x14ac:dyDescent="0.2">
      <c r="B220" s="1">
        <v>242377</v>
      </c>
    </row>
    <row r="221" spans="2:2" x14ac:dyDescent="0.2">
      <c r="B221" s="1">
        <v>242378</v>
      </c>
    </row>
    <row r="222" spans="2:2" x14ac:dyDescent="0.2">
      <c r="B222" s="1">
        <v>242379</v>
      </c>
    </row>
    <row r="223" spans="2:2" x14ac:dyDescent="0.2">
      <c r="B223" s="1">
        <v>242380</v>
      </c>
    </row>
    <row r="224" spans="2:2" x14ac:dyDescent="0.2">
      <c r="B224" s="1">
        <v>242381</v>
      </c>
    </row>
    <row r="225" spans="2:2" x14ac:dyDescent="0.2">
      <c r="B225" s="1">
        <v>242382</v>
      </c>
    </row>
    <row r="226" spans="2:2" x14ac:dyDescent="0.2">
      <c r="B226" s="1">
        <v>242383</v>
      </c>
    </row>
    <row r="227" spans="2:2" x14ac:dyDescent="0.2">
      <c r="B227" s="1">
        <v>242384</v>
      </c>
    </row>
    <row r="228" spans="2:2" x14ac:dyDescent="0.2">
      <c r="B228" s="1">
        <v>242385</v>
      </c>
    </row>
    <row r="229" spans="2:2" x14ac:dyDescent="0.2">
      <c r="B229" s="1">
        <v>242386</v>
      </c>
    </row>
    <row r="230" spans="2:2" x14ac:dyDescent="0.2">
      <c r="B230" s="1">
        <v>242387</v>
      </c>
    </row>
    <row r="231" spans="2:2" x14ac:dyDescent="0.2">
      <c r="B231" s="1">
        <v>242388</v>
      </c>
    </row>
    <row r="232" spans="2:2" x14ac:dyDescent="0.2">
      <c r="B232" s="1">
        <v>242389</v>
      </c>
    </row>
    <row r="233" spans="2:2" x14ac:dyDescent="0.2">
      <c r="B233" s="1">
        <v>242390</v>
      </c>
    </row>
    <row r="234" spans="2:2" x14ac:dyDescent="0.2">
      <c r="B234" s="1">
        <v>242391</v>
      </c>
    </row>
    <row r="235" spans="2:2" x14ac:dyDescent="0.2">
      <c r="B235" s="1">
        <v>242392</v>
      </c>
    </row>
    <row r="236" spans="2:2" x14ac:dyDescent="0.2">
      <c r="B236" s="1">
        <v>242393</v>
      </c>
    </row>
    <row r="237" spans="2:2" x14ac:dyDescent="0.2">
      <c r="B237" s="1">
        <v>242394</v>
      </c>
    </row>
    <row r="238" spans="2:2" x14ac:dyDescent="0.2">
      <c r="B238" s="1">
        <v>242395</v>
      </c>
    </row>
    <row r="239" spans="2:2" x14ac:dyDescent="0.2">
      <c r="B239" s="1">
        <v>242396</v>
      </c>
    </row>
    <row r="240" spans="2:2" x14ac:dyDescent="0.2">
      <c r="B240" s="1">
        <v>242397</v>
      </c>
    </row>
    <row r="241" spans="2:2" x14ac:dyDescent="0.2">
      <c r="B241" s="1">
        <v>242398</v>
      </c>
    </row>
    <row r="242" spans="2:2" x14ac:dyDescent="0.2">
      <c r="B242" s="1">
        <v>242399</v>
      </c>
    </row>
    <row r="243" spans="2:2" x14ac:dyDescent="0.2">
      <c r="B243" s="1">
        <v>242400</v>
      </c>
    </row>
    <row r="244" spans="2:2" x14ac:dyDescent="0.2">
      <c r="B244" s="1">
        <v>242401</v>
      </c>
    </row>
    <row r="245" spans="2:2" x14ac:dyDescent="0.2">
      <c r="B245" s="1">
        <v>242402</v>
      </c>
    </row>
    <row r="246" spans="2:2" x14ac:dyDescent="0.2">
      <c r="B246" s="1">
        <v>242403</v>
      </c>
    </row>
    <row r="247" spans="2:2" x14ac:dyDescent="0.2">
      <c r="B247" s="1">
        <v>242404</v>
      </c>
    </row>
    <row r="248" spans="2:2" x14ac:dyDescent="0.2">
      <c r="B248" s="1">
        <v>242405</v>
      </c>
    </row>
    <row r="249" spans="2:2" x14ac:dyDescent="0.2">
      <c r="B249" s="1">
        <v>242406</v>
      </c>
    </row>
    <row r="250" spans="2:2" x14ac:dyDescent="0.2">
      <c r="B250" s="1">
        <v>242407</v>
      </c>
    </row>
    <row r="251" spans="2:2" x14ac:dyDescent="0.2">
      <c r="B251" s="1">
        <v>242408</v>
      </c>
    </row>
    <row r="252" spans="2:2" x14ac:dyDescent="0.2">
      <c r="B252" s="1">
        <v>242409</v>
      </c>
    </row>
    <row r="253" spans="2:2" x14ac:dyDescent="0.2">
      <c r="B253" s="1">
        <v>242410</v>
      </c>
    </row>
    <row r="254" spans="2:2" x14ac:dyDescent="0.2">
      <c r="B254" s="1">
        <v>242411</v>
      </c>
    </row>
    <row r="255" spans="2:2" x14ac:dyDescent="0.2">
      <c r="B255" s="1">
        <v>242412</v>
      </c>
    </row>
    <row r="256" spans="2:2" x14ac:dyDescent="0.2">
      <c r="B256" s="1">
        <v>242413</v>
      </c>
    </row>
    <row r="257" spans="2:2" x14ac:dyDescent="0.2">
      <c r="B257" s="1">
        <v>242414</v>
      </c>
    </row>
    <row r="258" spans="2:2" x14ac:dyDescent="0.2">
      <c r="B258" s="1">
        <v>242415</v>
      </c>
    </row>
    <row r="259" spans="2:2" x14ac:dyDescent="0.2">
      <c r="B259" s="1">
        <v>242416</v>
      </c>
    </row>
    <row r="260" spans="2:2" x14ac:dyDescent="0.2">
      <c r="B260" s="1">
        <v>242417</v>
      </c>
    </row>
    <row r="261" spans="2:2" x14ac:dyDescent="0.2">
      <c r="B261" s="1">
        <v>242418</v>
      </c>
    </row>
    <row r="262" spans="2:2" x14ac:dyDescent="0.2">
      <c r="B262" s="1">
        <v>242419</v>
      </c>
    </row>
    <row r="263" spans="2:2" x14ac:dyDescent="0.2">
      <c r="B263" s="1">
        <v>242420</v>
      </c>
    </row>
    <row r="264" spans="2:2" x14ac:dyDescent="0.2">
      <c r="B264" s="1">
        <v>242421</v>
      </c>
    </row>
    <row r="265" spans="2:2" x14ac:dyDescent="0.2">
      <c r="B265" s="1">
        <v>242422</v>
      </c>
    </row>
    <row r="266" spans="2:2" x14ac:dyDescent="0.2">
      <c r="B266" s="1">
        <v>242423</v>
      </c>
    </row>
    <row r="267" spans="2:2" x14ac:dyDescent="0.2">
      <c r="B267" s="1">
        <v>242424</v>
      </c>
    </row>
    <row r="268" spans="2:2" x14ac:dyDescent="0.2">
      <c r="B268" s="1">
        <v>242425</v>
      </c>
    </row>
    <row r="269" spans="2:2" x14ac:dyDescent="0.2">
      <c r="B269" s="1">
        <v>242426</v>
      </c>
    </row>
    <row r="270" spans="2:2" x14ac:dyDescent="0.2">
      <c r="B270" s="1">
        <v>242427</v>
      </c>
    </row>
    <row r="271" spans="2:2" x14ac:dyDescent="0.2">
      <c r="B271" s="1">
        <v>242428</v>
      </c>
    </row>
    <row r="272" spans="2:2" x14ac:dyDescent="0.2">
      <c r="B272" s="1">
        <v>242429</v>
      </c>
    </row>
    <row r="273" spans="2:2" x14ac:dyDescent="0.2">
      <c r="B273" s="1">
        <v>242430</v>
      </c>
    </row>
    <row r="274" spans="2:2" x14ac:dyDescent="0.2">
      <c r="B274" s="1">
        <v>242431</v>
      </c>
    </row>
    <row r="275" spans="2:2" x14ac:dyDescent="0.2">
      <c r="B275" s="1">
        <v>242432</v>
      </c>
    </row>
    <row r="276" spans="2:2" x14ac:dyDescent="0.2">
      <c r="B276" s="1">
        <v>242433</v>
      </c>
    </row>
    <row r="277" spans="2:2" x14ac:dyDescent="0.2">
      <c r="B277" s="1">
        <v>242434</v>
      </c>
    </row>
    <row r="278" spans="2:2" x14ac:dyDescent="0.2">
      <c r="B278" s="1">
        <v>242435</v>
      </c>
    </row>
    <row r="279" spans="2:2" x14ac:dyDescent="0.2">
      <c r="B279" s="1">
        <v>242436</v>
      </c>
    </row>
    <row r="280" spans="2:2" x14ac:dyDescent="0.2">
      <c r="B280" s="1">
        <v>242437</v>
      </c>
    </row>
    <row r="281" spans="2:2" x14ac:dyDescent="0.2">
      <c r="B281" s="1">
        <v>242438</v>
      </c>
    </row>
    <row r="282" spans="2:2" x14ac:dyDescent="0.2">
      <c r="B282" s="1">
        <v>242439</v>
      </c>
    </row>
    <row r="283" spans="2:2" x14ac:dyDescent="0.2">
      <c r="B283" s="1">
        <v>242440</v>
      </c>
    </row>
    <row r="284" spans="2:2" x14ac:dyDescent="0.2">
      <c r="B284" s="1">
        <v>242441</v>
      </c>
    </row>
    <row r="285" spans="2:2" x14ac:dyDescent="0.2">
      <c r="B285" s="1">
        <v>242442</v>
      </c>
    </row>
    <row r="286" spans="2:2" x14ac:dyDescent="0.2">
      <c r="B286" s="1">
        <v>242443</v>
      </c>
    </row>
    <row r="287" spans="2:2" x14ac:dyDescent="0.2">
      <c r="B287" s="1">
        <v>242444</v>
      </c>
    </row>
    <row r="288" spans="2:2" x14ac:dyDescent="0.2">
      <c r="B288" s="1">
        <v>242445</v>
      </c>
    </row>
    <row r="289" spans="2:2" x14ac:dyDescent="0.2">
      <c r="B289" s="1">
        <v>242446</v>
      </c>
    </row>
    <row r="290" spans="2:2" x14ac:dyDescent="0.2">
      <c r="B290" s="1">
        <v>242447</v>
      </c>
    </row>
    <row r="291" spans="2:2" x14ac:dyDescent="0.2">
      <c r="B291" s="1">
        <v>242448</v>
      </c>
    </row>
    <row r="292" spans="2:2" x14ac:dyDescent="0.2">
      <c r="B292" s="1">
        <v>242449</v>
      </c>
    </row>
    <row r="293" spans="2:2" x14ac:dyDescent="0.2">
      <c r="B293" s="1">
        <v>242450</v>
      </c>
    </row>
    <row r="294" spans="2:2" x14ac:dyDescent="0.2">
      <c r="B294" s="1">
        <v>242451</v>
      </c>
    </row>
    <row r="295" spans="2:2" x14ac:dyDescent="0.2">
      <c r="B295" s="1">
        <v>242452</v>
      </c>
    </row>
    <row r="296" spans="2:2" x14ac:dyDescent="0.2">
      <c r="B296" s="1">
        <v>242453</v>
      </c>
    </row>
    <row r="297" spans="2:2" x14ac:dyDescent="0.2">
      <c r="B297" s="1">
        <v>242454</v>
      </c>
    </row>
    <row r="298" spans="2:2" x14ac:dyDescent="0.2">
      <c r="B298" s="1">
        <v>242455</v>
      </c>
    </row>
    <row r="299" spans="2:2" x14ac:dyDescent="0.2">
      <c r="B299" s="1">
        <v>242456</v>
      </c>
    </row>
    <row r="300" spans="2:2" x14ac:dyDescent="0.2">
      <c r="B300" s="1">
        <v>242457</v>
      </c>
    </row>
    <row r="301" spans="2:2" x14ac:dyDescent="0.2">
      <c r="B301" s="1">
        <v>242458</v>
      </c>
    </row>
    <row r="302" spans="2:2" x14ac:dyDescent="0.2">
      <c r="B302" s="1">
        <v>242459</v>
      </c>
    </row>
    <row r="303" spans="2:2" x14ac:dyDescent="0.2">
      <c r="B303" s="1">
        <v>242460</v>
      </c>
    </row>
    <row r="304" spans="2:2" x14ac:dyDescent="0.2">
      <c r="B304" s="1">
        <v>242461</v>
      </c>
    </row>
    <row r="305" spans="2:2" x14ac:dyDescent="0.2">
      <c r="B305" s="1">
        <v>242462</v>
      </c>
    </row>
    <row r="306" spans="2:2" x14ac:dyDescent="0.2">
      <c r="B306" s="1">
        <v>242463</v>
      </c>
    </row>
    <row r="307" spans="2:2" x14ac:dyDescent="0.2">
      <c r="B307" s="1">
        <v>242464</v>
      </c>
    </row>
    <row r="308" spans="2:2" x14ac:dyDescent="0.2">
      <c r="B308" s="1">
        <v>242465</v>
      </c>
    </row>
    <row r="309" spans="2:2" x14ac:dyDescent="0.2">
      <c r="B309" s="1">
        <v>242466</v>
      </c>
    </row>
    <row r="310" spans="2:2" x14ac:dyDescent="0.2">
      <c r="B310" s="1">
        <v>242467</v>
      </c>
    </row>
    <row r="311" spans="2:2" x14ac:dyDescent="0.2">
      <c r="B311" s="1">
        <v>242468</v>
      </c>
    </row>
    <row r="312" spans="2:2" x14ac:dyDescent="0.2">
      <c r="B312" s="1">
        <v>242469</v>
      </c>
    </row>
    <row r="313" spans="2:2" x14ac:dyDescent="0.2">
      <c r="B313" s="1">
        <v>242470</v>
      </c>
    </row>
    <row r="314" spans="2:2" x14ac:dyDescent="0.2">
      <c r="B314" s="1">
        <v>242471</v>
      </c>
    </row>
    <row r="315" spans="2:2" x14ac:dyDescent="0.2">
      <c r="B315" s="1">
        <v>242472</v>
      </c>
    </row>
    <row r="316" spans="2:2" x14ac:dyDescent="0.2">
      <c r="B316" s="1">
        <v>242473</v>
      </c>
    </row>
    <row r="317" spans="2:2" x14ac:dyDescent="0.2">
      <c r="B317" s="1">
        <v>242474</v>
      </c>
    </row>
    <row r="318" spans="2:2" x14ac:dyDescent="0.2">
      <c r="B318" s="1">
        <v>242475</v>
      </c>
    </row>
    <row r="319" spans="2:2" x14ac:dyDescent="0.2">
      <c r="B319" s="1">
        <v>242476</v>
      </c>
    </row>
    <row r="320" spans="2:2" x14ac:dyDescent="0.2">
      <c r="B320" s="1">
        <v>242477</v>
      </c>
    </row>
    <row r="321" spans="2:2" x14ac:dyDescent="0.2">
      <c r="B321" s="1">
        <v>242478</v>
      </c>
    </row>
    <row r="322" spans="2:2" x14ac:dyDescent="0.2">
      <c r="B322" s="1">
        <v>242479</v>
      </c>
    </row>
    <row r="323" spans="2:2" x14ac:dyDescent="0.2">
      <c r="B323" s="1">
        <v>242480</v>
      </c>
    </row>
    <row r="324" spans="2:2" x14ac:dyDescent="0.2">
      <c r="B324" s="1">
        <v>242481</v>
      </c>
    </row>
    <row r="325" spans="2:2" x14ac:dyDescent="0.2">
      <c r="B325" s="1">
        <v>242482</v>
      </c>
    </row>
    <row r="326" spans="2:2" x14ac:dyDescent="0.2">
      <c r="B326" s="1">
        <v>242483</v>
      </c>
    </row>
    <row r="327" spans="2:2" x14ac:dyDescent="0.2">
      <c r="B327" s="1">
        <v>242484</v>
      </c>
    </row>
    <row r="328" spans="2:2" x14ac:dyDescent="0.2">
      <c r="B328" s="1">
        <v>242485</v>
      </c>
    </row>
    <row r="329" spans="2:2" x14ac:dyDescent="0.2">
      <c r="B329" s="1">
        <v>242486</v>
      </c>
    </row>
    <row r="330" spans="2:2" x14ac:dyDescent="0.2">
      <c r="B330" s="1">
        <v>242487</v>
      </c>
    </row>
    <row r="331" spans="2:2" x14ac:dyDescent="0.2">
      <c r="B331" s="1">
        <v>242488</v>
      </c>
    </row>
    <row r="332" spans="2:2" x14ac:dyDescent="0.2">
      <c r="B332" s="1">
        <v>242489</v>
      </c>
    </row>
    <row r="333" spans="2:2" x14ac:dyDescent="0.2">
      <c r="B333" s="1">
        <v>242490</v>
      </c>
    </row>
    <row r="334" spans="2:2" x14ac:dyDescent="0.2">
      <c r="B334" s="1">
        <v>242491</v>
      </c>
    </row>
    <row r="335" spans="2:2" x14ac:dyDescent="0.2">
      <c r="B335" s="1">
        <v>242492</v>
      </c>
    </row>
    <row r="336" spans="2:2" x14ac:dyDescent="0.2">
      <c r="B336" s="1">
        <v>242493</v>
      </c>
    </row>
    <row r="337" spans="2:2" x14ac:dyDescent="0.2">
      <c r="B337" s="1">
        <v>242494</v>
      </c>
    </row>
    <row r="338" spans="2:2" x14ac:dyDescent="0.2">
      <c r="B338" s="1">
        <v>242495</v>
      </c>
    </row>
    <row r="339" spans="2:2" x14ac:dyDescent="0.2">
      <c r="B339" s="1">
        <v>242496</v>
      </c>
    </row>
    <row r="340" spans="2:2" x14ac:dyDescent="0.2">
      <c r="B340" s="1">
        <v>242497</v>
      </c>
    </row>
    <row r="341" spans="2:2" x14ac:dyDescent="0.2">
      <c r="B341" s="1">
        <v>242498</v>
      </c>
    </row>
    <row r="342" spans="2:2" x14ac:dyDescent="0.2">
      <c r="B342" s="1">
        <v>242499</v>
      </c>
    </row>
    <row r="343" spans="2:2" x14ac:dyDescent="0.2">
      <c r="B343" s="1">
        <v>242500</v>
      </c>
    </row>
    <row r="344" spans="2:2" x14ac:dyDescent="0.2">
      <c r="B344" s="1">
        <v>242501</v>
      </c>
    </row>
    <row r="345" spans="2:2" x14ac:dyDescent="0.2">
      <c r="B345" s="1">
        <v>242502</v>
      </c>
    </row>
    <row r="346" spans="2:2" x14ac:dyDescent="0.2">
      <c r="B346" s="1">
        <v>242503</v>
      </c>
    </row>
    <row r="347" spans="2:2" x14ac:dyDescent="0.2">
      <c r="B347" s="1">
        <v>242504</v>
      </c>
    </row>
    <row r="348" spans="2:2" x14ac:dyDescent="0.2">
      <c r="B348" s="1">
        <v>242505</v>
      </c>
    </row>
    <row r="349" spans="2:2" x14ac:dyDescent="0.2">
      <c r="B349" s="1">
        <v>242506</v>
      </c>
    </row>
    <row r="350" spans="2:2" x14ac:dyDescent="0.2">
      <c r="B350" s="1">
        <v>242507</v>
      </c>
    </row>
    <row r="351" spans="2:2" x14ac:dyDescent="0.2">
      <c r="B351" s="1">
        <v>242508</v>
      </c>
    </row>
    <row r="352" spans="2:2" x14ac:dyDescent="0.2">
      <c r="B352" s="1">
        <v>242509</v>
      </c>
    </row>
    <row r="353" spans="2:2" x14ac:dyDescent="0.2">
      <c r="B353" s="1">
        <v>242510</v>
      </c>
    </row>
    <row r="354" spans="2:2" x14ac:dyDescent="0.2">
      <c r="B354" s="1">
        <v>242511</v>
      </c>
    </row>
    <row r="355" spans="2:2" x14ac:dyDescent="0.2">
      <c r="B355" s="1">
        <v>242512</v>
      </c>
    </row>
    <row r="356" spans="2:2" x14ac:dyDescent="0.2">
      <c r="B356" s="1">
        <v>242513</v>
      </c>
    </row>
    <row r="357" spans="2:2" x14ac:dyDescent="0.2">
      <c r="B357" s="1">
        <v>242514</v>
      </c>
    </row>
    <row r="358" spans="2:2" x14ac:dyDescent="0.2">
      <c r="B358" s="1">
        <v>242515</v>
      </c>
    </row>
    <row r="359" spans="2:2" x14ac:dyDescent="0.2">
      <c r="B359" s="1">
        <v>242516</v>
      </c>
    </row>
    <row r="360" spans="2:2" x14ac:dyDescent="0.2">
      <c r="B360" s="1">
        <v>242517</v>
      </c>
    </row>
    <row r="361" spans="2:2" x14ac:dyDescent="0.2">
      <c r="B361" s="1">
        <v>242518</v>
      </c>
    </row>
    <row r="362" spans="2:2" x14ac:dyDescent="0.2">
      <c r="B362" s="1">
        <v>242519</v>
      </c>
    </row>
    <row r="363" spans="2:2" x14ac:dyDescent="0.2">
      <c r="B363" s="1">
        <v>242520</v>
      </c>
    </row>
    <row r="364" spans="2:2" x14ac:dyDescent="0.2">
      <c r="B364" s="1">
        <v>242521</v>
      </c>
    </row>
    <row r="365" spans="2:2" x14ac:dyDescent="0.2">
      <c r="B365" s="1">
        <v>242522</v>
      </c>
    </row>
    <row r="366" spans="2:2" x14ac:dyDescent="0.2">
      <c r="B366" s="1">
        <v>242523</v>
      </c>
    </row>
    <row r="367" spans="2:2" x14ac:dyDescent="0.2">
      <c r="B367" s="1">
        <v>242524</v>
      </c>
    </row>
    <row r="368" spans="2:2" x14ac:dyDescent="0.2">
      <c r="B368" s="1">
        <v>242525</v>
      </c>
    </row>
    <row r="369" spans="2:2" x14ac:dyDescent="0.2">
      <c r="B369" s="1">
        <v>242526</v>
      </c>
    </row>
    <row r="370" spans="2:2" x14ac:dyDescent="0.2">
      <c r="B370" s="1">
        <v>242527</v>
      </c>
    </row>
    <row r="371" spans="2:2" x14ac:dyDescent="0.2">
      <c r="B371" s="1">
        <v>242528</v>
      </c>
    </row>
    <row r="372" spans="2:2" x14ac:dyDescent="0.2">
      <c r="B372" s="1">
        <v>242529</v>
      </c>
    </row>
    <row r="373" spans="2:2" x14ac:dyDescent="0.2">
      <c r="B373" s="1">
        <v>242530</v>
      </c>
    </row>
    <row r="374" spans="2:2" x14ac:dyDescent="0.2">
      <c r="B374" s="1">
        <v>242531</v>
      </c>
    </row>
    <row r="375" spans="2:2" x14ac:dyDescent="0.2">
      <c r="B375" s="1">
        <v>242532</v>
      </c>
    </row>
    <row r="376" spans="2:2" x14ac:dyDescent="0.2">
      <c r="B376" s="1">
        <v>242533</v>
      </c>
    </row>
    <row r="377" spans="2:2" x14ac:dyDescent="0.2">
      <c r="B377" s="1">
        <v>242534</v>
      </c>
    </row>
    <row r="378" spans="2:2" x14ac:dyDescent="0.2">
      <c r="B378" s="1">
        <v>242535</v>
      </c>
    </row>
    <row r="379" spans="2:2" x14ac:dyDescent="0.2">
      <c r="B379" s="1">
        <v>242536</v>
      </c>
    </row>
    <row r="380" spans="2:2" x14ac:dyDescent="0.2">
      <c r="B380" s="1">
        <v>242537</v>
      </c>
    </row>
    <row r="381" spans="2:2" x14ac:dyDescent="0.2">
      <c r="B381" s="1">
        <v>242538</v>
      </c>
    </row>
    <row r="382" spans="2:2" x14ac:dyDescent="0.2">
      <c r="B382" s="1">
        <v>242539</v>
      </c>
    </row>
    <row r="383" spans="2:2" x14ac:dyDescent="0.2">
      <c r="B383" s="1">
        <v>242540</v>
      </c>
    </row>
    <row r="384" spans="2:2" x14ac:dyDescent="0.2">
      <c r="B384" s="1">
        <v>242541</v>
      </c>
    </row>
    <row r="385" spans="2:2" x14ac:dyDescent="0.2">
      <c r="B385" s="1">
        <v>242542</v>
      </c>
    </row>
    <row r="386" spans="2:2" x14ac:dyDescent="0.2">
      <c r="B386" s="1">
        <v>242543</v>
      </c>
    </row>
    <row r="387" spans="2:2" x14ac:dyDescent="0.2">
      <c r="B387" s="1">
        <v>242544</v>
      </c>
    </row>
    <row r="388" spans="2:2" x14ac:dyDescent="0.2">
      <c r="B388" s="1">
        <v>242545</v>
      </c>
    </row>
    <row r="389" spans="2:2" x14ac:dyDescent="0.2">
      <c r="B389" s="1">
        <v>242546</v>
      </c>
    </row>
    <row r="390" spans="2:2" x14ac:dyDescent="0.2">
      <c r="B390" s="1">
        <v>242547</v>
      </c>
    </row>
    <row r="391" spans="2:2" x14ac:dyDescent="0.2">
      <c r="B391" s="1">
        <v>242548</v>
      </c>
    </row>
    <row r="392" spans="2:2" x14ac:dyDescent="0.2">
      <c r="B392" s="1">
        <v>242549</v>
      </c>
    </row>
    <row r="393" spans="2:2" x14ac:dyDescent="0.2">
      <c r="B393" s="1">
        <v>242550</v>
      </c>
    </row>
    <row r="394" spans="2:2" x14ac:dyDescent="0.2">
      <c r="B394" s="1">
        <v>242551</v>
      </c>
    </row>
    <row r="395" spans="2:2" x14ac:dyDescent="0.2">
      <c r="B395" s="1">
        <v>242552</v>
      </c>
    </row>
    <row r="396" spans="2:2" x14ac:dyDescent="0.2">
      <c r="B396" s="1">
        <v>242553</v>
      </c>
    </row>
    <row r="397" spans="2:2" x14ac:dyDescent="0.2">
      <c r="B397" s="1">
        <v>242554</v>
      </c>
    </row>
    <row r="398" spans="2:2" x14ac:dyDescent="0.2">
      <c r="B398" s="1">
        <v>242555</v>
      </c>
    </row>
    <row r="399" spans="2:2" x14ac:dyDescent="0.2">
      <c r="B399" s="1">
        <v>242556</v>
      </c>
    </row>
    <row r="400" spans="2:2" x14ac:dyDescent="0.2">
      <c r="B400" s="1">
        <v>242557</v>
      </c>
    </row>
    <row r="401" spans="2:2" x14ac:dyDescent="0.2">
      <c r="B401" s="1">
        <v>242558</v>
      </c>
    </row>
    <row r="402" spans="2:2" x14ac:dyDescent="0.2">
      <c r="B402" s="1">
        <v>242559</v>
      </c>
    </row>
    <row r="403" spans="2:2" x14ac:dyDescent="0.2">
      <c r="B403" s="1">
        <v>242560</v>
      </c>
    </row>
    <row r="404" spans="2:2" x14ac:dyDescent="0.2">
      <c r="B404" s="1">
        <v>242561</v>
      </c>
    </row>
    <row r="405" spans="2:2" x14ac:dyDescent="0.2">
      <c r="B405" s="1">
        <v>242562</v>
      </c>
    </row>
    <row r="406" spans="2:2" x14ac:dyDescent="0.2">
      <c r="B406" s="1">
        <v>242563</v>
      </c>
    </row>
    <row r="407" spans="2:2" x14ac:dyDescent="0.2">
      <c r="B407" s="1">
        <v>242564</v>
      </c>
    </row>
    <row r="408" spans="2:2" x14ac:dyDescent="0.2">
      <c r="B408" s="1">
        <v>242565</v>
      </c>
    </row>
    <row r="409" spans="2:2" x14ac:dyDescent="0.2">
      <c r="B409" s="1">
        <v>242566</v>
      </c>
    </row>
    <row r="410" spans="2:2" x14ac:dyDescent="0.2">
      <c r="B410" s="1">
        <v>242567</v>
      </c>
    </row>
    <row r="411" spans="2:2" x14ac:dyDescent="0.2">
      <c r="B411" s="1">
        <v>242568</v>
      </c>
    </row>
    <row r="412" spans="2:2" x14ac:dyDescent="0.2">
      <c r="B412" s="1">
        <v>242569</v>
      </c>
    </row>
    <row r="413" spans="2:2" x14ac:dyDescent="0.2">
      <c r="B413" s="1">
        <v>242570</v>
      </c>
    </row>
    <row r="414" spans="2:2" x14ac:dyDescent="0.2">
      <c r="B414" s="1">
        <v>242571</v>
      </c>
    </row>
    <row r="415" spans="2:2" x14ac:dyDescent="0.2">
      <c r="B415" s="1">
        <v>242572</v>
      </c>
    </row>
    <row r="416" spans="2:2" x14ac:dyDescent="0.2">
      <c r="B416" s="1">
        <v>242573</v>
      </c>
    </row>
    <row r="417" spans="2:2" x14ac:dyDescent="0.2">
      <c r="B417" s="1">
        <v>242574</v>
      </c>
    </row>
    <row r="418" spans="2:2" x14ac:dyDescent="0.2">
      <c r="B418" s="1">
        <v>242575</v>
      </c>
    </row>
    <row r="419" spans="2:2" x14ac:dyDescent="0.2">
      <c r="B419" s="1">
        <v>242576</v>
      </c>
    </row>
    <row r="420" spans="2:2" x14ac:dyDescent="0.2">
      <c r="B420" s="1">
        <v>242577</v>
      </c>
    </row>
    <row r="421" spans="2:2" x14ac:dyDescent="0.2">
      <c r="B421" s="1">
        <v>242578</v>
      </c>
    </row>
    <row r="422" spans="2:2" x14ac:dyDescent="0.2">
      <c r="B422" s="1">
        <v>242579</v>
      </c>
    </row>
    <row r="423" spans="2:2" x14ac:dyDescent="0.2">
      <c r="B423" s="1">
        <v>242580</v>
      </c>
    </row>
    <row r="424" spans="2:2" x14ac:dyDescent="0.2">
      <c r="B424" s="1">
        <v>242581</v>
      </c>
    </row>
    <row r="425" spans="2:2" x14ac:dyDescent="0.2">
      <c r="B425" s="1">
        <v>242582</v>
      </c>
    </row>
    <row r="426" spans="2:2" x14ac:dyDescent="0.2">
      <c r="B426" s="1">
        <v>242583</v>
      </c>
    </row>
    <row r="427" spans="2:2" x14ac:dyDescent="0.2">
      <c r="B427" s="1">
        <v>242584</v>
      </c>
    </row>
    <row r="428" spans="2:2" x14ac:dyDescent="0.2">
      <c r="B428" s="1">
        <v>242585</v>
      </c>
    </row>
    <row r="429" spans="2:2" x14ac:dyDescent="0.2">
      <c r="B429" s="1">
        <v>242586</v>
      </c>
    </row>
    <row r="430" spans="2:2" x14ac:dyDescent="0.2">
      <c r="B430" s="1">
        <v>242587</v>
      </c>
    </row>
    <row r="431" spans="2:2" x14ac:dyDescent="0.2">
      <c r="B431" s="1">
        <v>242588</v>
      </c>
    </row>
    <row r="432" spans="2:2" x14ac:dyDescent="0.2">
      <c r="B432" s="1">
        <v>242589</v>
      </c>
    </row>
    <row r="433" spans="2:2" x14ac:dyDescent="0.2">
      <c r="B433" s="1">
        <v>242590</v>
      </c>
    </row>
    <row r="434" spans="2:2" x14ac:dyDescent="0.2">
      <c r="B434" s="1">
        <v>242591</v>
      </c>
    </row>
    <row r="435" spans="2:2" x14ac:dyDescent="0.2">
      <c r="B435" s="1">
        <v>242592</v>
      </c>
    </row>
    <row r="436" spans="2:2" x14ac:dyDescent="0.2">
      <c r="B436" s="1">
        <v>242593</v>
      </c>
    </row>
    <row r="437" spans="2:2" x14ac:dyDescent="0.2">
      <c r="B437" s="1">
        <v>242594</v>
      </c>
    </row>
    <row r="438" spans="2:2" x14ac:dyDescent="0.2">
      <c r="B438" s="1">
        <v>242595</v>
      </c>
    </row>
    <row r="439" spans="2:2" x14ac:dyDescent="0.2">
      <c r="B439" s="1">
        <v>242596</v>
      </c>
    </row>
    <row r="440" spans="2:2" x14ac:dyDescent="0.2">
      <c r="B440" s="1">
        <v>242597</v>
      </c>
    </row>
    <row r="441" spans="2:2" x14ac:dyDescent="0.2">
      <c r="B441" s="1">
        <v>242598</v>
      </c>
    </row>
    <row r="442" spans="2:2" x14ac:dyDescent="0.2">
      <c r="B442" s="1">
        <v>242599</v>
      </c>
    </row>
    <row r="443" spans="2:2" x14ac:dyDescent="0.2">
      <c r="B443" s="1">
        <v>242600</v>
      </c>
    </row>
    <row r="444" spans="2:2" x14ac:dyDescent="0.2">
      <c r="B444" s="1">
        <v>242601</v>
      </c>
    </row>
    <row r="445" spans="2:2" x14ac:dyDescent="0.2">
      <c r="B445" s="1">
        <v>242602</v>
      </c>
    </row>
    <row r="446" spans="2:2" x14ac:dyDescent="0.2">
      <c r="B446" s="1">
        <v>242603</v>
      </c>
    </row>
    <row r="447" spans="2:2" x14ac:dyDescent="0.2">
      <c r="B447" s="1">
        <v>242604</v>
      </c>
    </row>
    <row r="448" spans="2:2" x14ac:dyDescent="0.2">
      <c r="B448" s="1">
        <v>242605</v>
      </c>
    </row>
    <row r="449" spans="2:2" x14ac:dyDescent="0.2">
      <c r="B449" s="1">
        <v>242606</v>
      </c>
    </row>
    <row r="450" spans="2:2" x14ac:dyDescent="0.2">
      <c r="B450" s="1">
        <v>242607</v>
      </c>
    </row>
    <row r="451" spans="2:2" x14ac:dyDescent="0.2">
      <c r="B451" s="1">
        <v>242608</v>
      </c>
    </row>
    <row r="452" spans="2:2" x14ac:dyDescent="0.2">
      <c r="B452" s="1">
        <v>242609</v>
      </c>
    </row>
    <row r="453" spans="2:2" x14ac:dyDescent="0.2">
      <c r="B453" s="1">
        <v>242610</v>
      </c>
    </row>
    <row r="454" spans="2:2" x14ac:dyDescent="0.2">
      <c r="B454" s="1">
        <v>242611</v>
      </c>
    </row>
    <row r="455" spans="2:2" x14ac:dyDescent="0.2">
      <c r="B455" s="1">
        <v>242612</v>
      </c>
    </row>
    <row r="456" spans="2:2" x14ac:dyDescent="0.2">
      <c r="B456" s="1">
        <v>242613</v>
      </c>
    </row>
    <row r="457" spans="2:2" x14ac:dyDescent="0.2">
      <c r="B457" s="1">
        <v>242614</v>
      </c>
    </row>
    <row r="458" spans="2:2" x14ac:dyDescent="0.2">
      <c r="B458" s="1">
        <v>242615</v>
      </c>
    </row>
    <row r="459" spans="2:2" x14ac:dyDescent="0.2">
      <c r="B459" s="1">
        <v>242616</v>
      </c>
    </row>
    <row r="460" spans="2:2" x14ac:dyDescent="0.2">
      <c r="B460" s="1">
        <v>242617</v>
      </c>
    </row>
    <row r="461" spans="2:2" x14ac:dyDescent="0.2">
      <c r="B461" s="1">
        <v>242618</v>
      </c>
    </row>
    <row r="462" spans="2:2" x14ac:dyDescent="0.2">
      <c r="B462" s="1">
        <v>242619</v>
      </c>
    </row>
    <row r="463" spans="2:2" x14ac:dyDescent="0.2">
      <c r="B463" s="1">
        <v>242620</v>
      </c>
    </row>
    <row r="464" spans="2:2" x14ac:dyDescent="0.2">
      <c r="B464" s="1">
        <v>242621</v>
      </c>
    </row>
    <row r="465" spans="2:2" x14ac:dyDescent="0.2">
      <c r="B465" s="1">
        <v>242622</v>
      </c>
    </row>
    <row r="466" spans="2:2" x14ac:dyDescent="0.2">
      <c r="B466" s="1">
        <v>242623</v>
      </c>
    </row>
    <row r="467" spans="2:2" x14ac:dyDescent="0.2">
      <c r="B467" s="1">
        <v>242624</v>
      </c>
    </row>
    <row r="468" spans="2:2" x14ac:dyDescent="0.2">
      <c r="B468" s="1">
        <v>242625</v>
      </c>
    </row>
    <row r="469" spans="2:2" x14ac:dyDescent="0.2">
      <c r="B469" s="1">
        <v>242626</v>
      </c>
    </row>
    <row r="470" spans="2:2" x14ac:dyDescent="0.2">
      <c r="B470" s="1">
        <v>242627</v>
      </c>
    </row>
    <row r="471" spans="2:2" x14ac:dyDescent="0.2">
      <c r="B471" s="1">
        <v>242628</v>
      </c>
    </row>
    <row r="472" spans="2:2" x14ac:dyDescent="0.2">
      <c r="B472" s="1">
        <v>242629</v>
      </c>
    </row>
    <row r="473" spans="2:2" x14ac:dyDescent="0.2">
      <c r="B473" s="1">
        <v>242630</v>
      </c>
    </row>
    <row r="474" spans="2:2" x14ac:dyDescent="0.2">
      <c r="B474" s="1">
        <v>242631</v>
      </c>
    </row>
    <row r="475" spans="2:2" x14ac:dyDescent="0.2">
      <c r="B475" s="1">
        <v>242632</v>
      </c>
    </row>
    <row r="476" spans="2:2" x14ac:dyDescent="0.2">
      <c r="B476" s="1">
        <v>242633</v>
      </c>
    </row>
    <row r="477" spans="2:2" x14ac:dyDescent="0.2">
      <c r="B477" s="1">
        <v>242634</v>
      </c>
    </row>
    <row r="478" spans="2:2" x14ac:dyDescent="0.2">
      <c r="B478" s="1">
        <v>242635</v>
      </c>
    </row>
    <row r="479" spans="2:2" x14ac:dyDescent="0.2">
      <c r="B479" s="1">
        <v>242636</v>
      </c>
    </row>
    <row r="480" spans="2:2" x14ac:dyDescent="0.2">
      <c r="B480" s="1">
        <v>242637</v>
      </c>
    </row>
    <row r="481" spans="2:2" x14ac:dyDescent="0.2">
      <c r="B481" s="1">
        <v>242638</v>
      </c>
    </row>
    <row r="482" spans="2:2" x14ac:dyDescent="0.2">
      <c r="B482" s="1">
        <v>242639</v>
      </c>
    </row>
    <row r="483" spans="2:2" x14ac:dyDescent="0.2">
      <c r="B483" s="1">
        <v>242640</v>
      </c>
    </row>
    <row r="484" spans="2:2" x14ac:dyDescent="0.2">
      <c r="B484" s="1">
        <v>242641</v>
      </c>
    </row>
    <row r="485" spans="2:2" x14ac:dyDescent="0.2">
      <c r="B485" s="1">
        <v>242642</v>
      </c>
    </row>
    <row r="486" spans="2:2" x14ac:dyDescent="0.2">
      <c r="B486" s="1">
        <v>242643</v>
      </c>
    </row>
    <row r="487" spans="2:2" x14ac:dyDescent="0.2">
      <c r="B487" s="1">
        <v>242644</v>
      </c>
    </row>
    <row r="488" spans="2:2" x14ac:dyDescent="0.2">
      <c r="B488" s="1">
        <v>242645</v>
      </c>
    </row>
    <row r="489" spans="2:2" x14ac:dyDescent="0.2">
      <c r="B489" s="1">
        <v>242646</v>
      </c>
    </row>
    <row r="490" spans="2:2" x14ac:dyDescent="0.2">
      <c r="B490" s="1">
        <v>242647</v>
      </c>
    </row>
    <row r="491" spans="2:2" x14ac:dyDescent="0.2">
      <c r="B491" s="1">
        <v>242648</v>
      </c>
    </row>
    <row r="492" spans="2:2" x14ac:dyDescent="0.2">
      <c r="B492" s="1">
        <v>242649</v>
      </c>
    </row>
    <row r="493" spans="2:2" x14ac:dyDescent="0.2">
      <c r="B493" s="1">
        <v>242650</v>
      </c>
    </row>
    <row r="494" spans="2:2" x14ac:dyDescent="0.2">
      <c r="B494" s="1">
        <v>242651</v>
      </c>
    </row>
    <row r="495" spans="2:2" x14ac:dyDescent="0.2">
      <c r="B495" s="1">
        <v>242652</v>
      </c>
    </row>
    <row r="496" spans="2:2" x14ac:dyDescent="0.2">
      <c r="B496" s="1">
        <v>242653</v>
      </c>
    </row>
    <row r="497" spans="2:2" x14ac:dyDescent="0.2">
      <c r="B497" s="1">
        <v>242654</v>
      </c>
    </row>
    <row r="498" spans="2:2" x14ac:dyDescent="0.2">
      <c r="B498" s="1">
        <v>242655</v>
      </c>
    </row>
    <row r="499" spans="2:2" x14ac:dyDescent="0.2">
      <c r="B499" s="1">
        <v>242656</v>
      </c>
    </row>
    <row r="500" spans="2:2" x14ac:dyDescent="0.2">
      <c r="B500" s="1">
        <v>242657</v>
      </c>
    </row>
    <row r="501" spans="2:2" x14ac:dyDescent="0.2">
      <c r="B501" s="1">
        <v>242658</v>
      </c>
    </row>
    <row r="502" spans="2:2" x14ac:dyDescent="0.2">
      <c r="B502" s="1">
        <v>242659</v>
      </c>
    </row>
    <row r="503" spans="2:2" x14ac:dyDescent="0.2">
      <c r="B503" s="1">
        <v>242660</v>
      </c>
    </row>
    <row r="504" spans="2:2" x14ac:dyDescent="0.2">
      <c r="B504" s="1">
        <v>242661</v>
      </c>
    </row>
    <row r="505" spans="2:2" x14ac:dyDescent="0.2">
      <c r="B505" s="1">
        <v>242662</v>
      </c>
    </row>
    <row r="506" spans="2:2" x14ac:dyDescent="0.2">
      <c r="B506" s="1">
        <v>242663</v>
      </c>
    </row>
    <row r="507" spans="2:2" x14ac:dyDescent="0.2">
      <c r="B507" s="1">
        <v>242664</v>
      </c>
    </row>
    <row r="508" spans="2:2" x14ac:dyDescent="0.2">
      <c r="B508" s="1">
        <v>242665</v>
      </c>
    </row>
    <row r="509" spans="2:2" x14ac:dyDescent="0.2">
      <c r="B509" s="1">
        <v>242666</v>
      </c>
    </row>
    <row r="510" spans="2:2" x14ac:dyDescent="0.2">
      <c r="B510" s="1">
        <v>242667</v>
      </c>
    </row>
    <row r="511" spans="2:2" x14ac:dyDescent="0.2">
      <c r="B511" s="1">
        <v>242668</v>
      </c>
    </row>
    <row r="512" spans="2:2" x14ac:dyDescent="0.2">
      <c r="B512" s="1">
        <v>242669</v>
      </c>
    </row>
    <row r="513" spans="2:2" x14ac:dyDescent="0.2">
      <c r="B513" s="1">
        <v>242670</v>
      </c>
    </row>
    <row r="514" spans="2:2" x14ac:dyDescent="0.2">
      <c r="B514" s="1">
        <v>242671</v>
      </c>
    </row>
    <row r="515" spans="2:2" x14ac:dyDescent="0.2">
      <c r="B515" s="1">
        <v>242672</v>
      </c>
    </row>
    <row r="516" spans="2:2" x14ac:dyDescent="0.2">
      <c r="B516" s="1">
        <v>242673</v>
      </c>
    </row>
    <row r="517" spans="2:2" x14ac:dyDescent="0.2">
      <c r="B517" s="1">
        <v>242674</v>
      </c>
    </row>
    <row r="518" spans="2:2" x14ac:dyDescent="0.2">
      <c r="B518" s="1">
        <v>242675</v>
      </c>
    </row>
    <row r="519" spans="2:2" x14ac:dyDescent="0.2">
      <c r="B519" s="1">
        <v>242676</v>
      </c>
    </row>
    <row r="520" spans="2:2" x14ac:dyDescent="0.2">
      <c r="B520" s="1">
        <v>242677</v>
      </c>
    </row>
    <row r="521" spans="2:2" x14ac:dyDescent="0.2">
      <c r="B521" s="1">
        <v>242678</v>
      </c>
    </row>
    <row r="522" spans="2:2" x14ac:dyDescent="0.2">
      <c r="B522" s="1">
        <v>242679</v>
      </c>
    </row>
    <row r="523" spans="2:2" x14ac:dyDescent="0.2">
      <c r="B523" s="1">
        <v>242680</v>
      </c>
    </row>
    <row r="524" spans="2:2" x14ac:dyDescent="0.2">
      <c r="B524" s="1">
        <v>242681</v>
      </c>
    </row>
    <row r="525" spans="2:2" x14ac:dyDescent="0.2">
      <c r="B525" s="1">
        <v>242682</v>
      </c>
    </row>
    <row r="526" spans="2:2" x14ac:dyDescent="0.2">
      <c r="B526" s="1">
        <v>242683</v>
      </c>
    </row>
    <row r="527" spans="2:2" x14ac:dyDescent="0.2">
      <c r="B527" s="1">
        <v>242684</v>
      </c>
    </row>
    <row r="528" spans="2:2" x14ac:dyDescent="0.2">
      <c r="B528" s="1">
        <v>242685</v>
      </c>
    </row>
    <row r="529" spans="2:2" x14ac:dyDescent="0.2">
      <c r="B529" s="1">
        <v>242686</v>
      </c>
    </row>
    <row r="530" spans="2:2" x14ac:dyDescent="0.2">
      <c r="B530" s="1">
        <v>242687</v>
      </c>
    </row>
    <row r="531" spans="2:2" x14ac:dyDescent="0.2">
      <c r="B531" s="1">
        <v>242688</v>
      </c>
    </row>
    <row r="532" spans="2:2" x14ac:dyDescent="0.2">
      <c r="B532" s="1">
        <v>242689</v>
      </c>
    </row>
    <row r="533" spans="2:2" x14ac:dyDescent="0.2">
      <c r="B533" s="1">
        <v>242690</v>
      </c>
    </row>
    <row r="534" spans="2:2" x14ac:dyDescent="0.2">
      <c r="B534" s="1">
        <v>242691</v>
      </c>
    </row>
    <row r="535" spans="2:2" x14ac:dyDescent="0.2">
      <c r="B535" s="1">
        <v>242692</v>
      </c>
    </row>
    <row r="536" spans="2:2" x14ac:dyDescent="0.2">
      <c r="B536" s="1">
        <v>242693</v>
      </c>
    </row>
    <row r="537" spans="2:2" x14ac:dyDescent="0.2">
      <c r="B537" s="1">
        <v>242694</v>
      </c>
    </row>
    <row r="538" spans="2:2" x14ac:dyDescent="0.2">
      <c r="B538" s="1">
        <v>242695</v>
      </c>
    </row>
    <row r="539" spans="2:2" x14ac:dyDescent="0.2">
      <c r="B539" s="1">
        <v>242696</v>
      </c>
    </row>
    <row r="540" spans="2:2" x14ac:dyDescent="0.2">
      <c r="B540" s="1">
        <v>242697</v>
      </c>
    </row>
    <row r="541" spans="2:2" x14ac:dyDescent="0.2">
      <c r="B541" s="1">
        <v>242698</v>
      </c>
    </row>
    <row r="542" spans="2:2" x14ac:dyDescent="0.2">
      <c r="B542" s="1">
        <v>242699</v>
      </c>
    </row>
    <row r="543" spans="2:2" x14ac:dyDescent="0.2">
      <c r="B543" s="1">
        <v>242700</v>
      </c>
    </row>
    <row r="544" spans="2:2" x14ac:dyDescent="0.2">
      <c r="B544" s="1">
        <v>242701</v>
      </c>
    </row>
    <row r="545" spans="2:2" x14ac:dyDescent="0.2">
      <c r="B545" s="1">
        <v>242702</v>
      </c>
    </row>
    <row r="546" spans="2:2" x14ac:dyDescent="0.2">
      <c r="B546" s="1">
        <v>242703</v>
      </c>
    </row>
    <row r="547" spans="2:2" x14ac:dyDescent="0.2">
      <c r="B547" s="1">
        <v>242704</v>
      </c>
    </row>
    <row r="548" spans="2:2" x14ac:dyDescent="0.2">
      <c r="B548" s="1">
        <v>242705</v>
      </c>
    </row>
    <row r="549" spans="2:2" x14ac:dyDescent="0.2">
      <c r="B549" s="1">
        <v>242706</v>
      </c>
    </row>
    <row r="550" spans="2:2" x14ac:dyDescent="0.2">
      <c r="B550" s="1">
        <v>242707</v>
      </c>
    </row>
    <row r="551" spans="2:2" x14ac:dyDescent="0.2">
      <c r="B551" s="1">
        <v>242708</v>
      </c>
    </row>
    <row r="552" spans="2:2" x14ac:dyDescent="0.2">
      <c r="B552" s="1">
        <v>242709</v>
      </c>
    </row>
    <row r="553" spans="2:2" x14ac:dyDescent="0.2">
      <c r="B553" s="1">
        <v>242710</v>
      </c>
    </row>
    <row r="554" spans="2:2" x14ac:dyDescent="0.2">
      <c r="B554" s="1">
        <v>242711</v>
      </c>
    </row>
    <row r="555" spans="2:2" x14ac:dyDescent="0.2">
      <c r="B555" s="1">
        <v>242712</v>
      </c>
    </row>
    <row r="556" spans="2:2" x14ac:dyDescent="0.2">
      <c r="B556" s="1">
        <v>242713</v>
      </c>
    </row>
    <row r="557" spans="2:2" x14ac:dyDescent="0.2">
      <c r="B557" s="1">
        <v>242714</v>
      </c>
    </row>
    <row r="558" spans="2:2" x14ac:dyDescent="0.2">
      <c r="B558" s="1">
        <v>242715</v>
      </c>
    </row>
    <row r="559" spans="2:2" x14ac:dyDescent="0.2">
      <c r="B559" s="1">
        <v>242716</v>
      </c>
    </row>
    <row r="560" spans="2:2" x14ac:dyDescent="0.2">
      <c r="B560" s="1">
        <v>242717</v>
      </c>
    </row>
    <row r="561" spans="2:2" x14ac:dyDescent="0.2">
      <c r="B561" s="1">
        <v>242718</v>
      </c>
    </row>
    <row r="562" spans="2:2" x14ac:dyDescent="0.2">
      <c r="B562" s="1">
        <v>242719</v>
      </c>
    </row>
    <row r="563" spans="2:2" x14ac:dyDescent="0.2">
      <c r="B563" s="1">
        <v>242720</v>
      </c>
    </row>
    <row r="564" spans="2:2" x14ac:dyDescent="0.2">
      <c r="B564" s="1">
        <v>242721</v>
      </c>
    </row>
    <row r="565" spans="2:2" x14ac:dyDescent="0.2">
      <c r="B565" s="1">
        <v>242722</v>
      </c>
    </row>
    <row r="566" spans="2:2" x14ac:dyDescent="0.2">
      <c r="B566" s="1">
        <v>242723</v>
      </c>
    </row>
    <row r="567" spans="2:2" x14ac:dyDescent="0.2">
      <c r="B567" s="1">
        <v>242724</v>
      </c>
    </row>
    <row r="568" spans="2:2" x14ac:dyDescent="0.2">
      <c r="B568" s="1">
        <v>242725</v>
      </c>
    </row>
    <row r="569" spans="2:2" x14ac:dyDescent="0.2">
      <c r="B569" s="1">
        <v>242726</v>
      </c>
    </row>
    <row r="570" spans="2:2" x14ac:dyDescent="0.2">
      <c r="B570" s="1">
        <v>242727</v>
      </c>
    </row>
    <row r="571" spans="2:2" x14ac:dyDescent="0.2">
      <c r="B571" s="1">
        <v>242728</v>
      </c>
    </row>
    <row r="572" spans="2:2" x14ac:dyDescent="0.2">
      <c r="B572" s="1">
        <v>242729</v>
      </c>
    </row>
    <row r="573" spans="2:2" x14ac:dyDescent="0.2">
      <c r="B573" s="1">
        <v>242730</v>
      </c>
    </row>
    <row r="574" spans="2:2" x14ac:dyDescent="0.2">
      <c r="B574" s="1">
        <v>242731</v>
      </c>
    </row>
    <row r="575" spans="2:2" x14ac:dyDescent="0.2">
      <c r="B575" s="1">
        <v>242732</v>
      </c>
    </row>
    <row r="576" spans="2:2" x14ac:dyDescent="0.2">
      <c r="B576" s="1">
        <v>242733</v>
      </c>
    </row>
    <row r="577" spans="2:2" x14ac:dyDescent="0.2">
      <c r="B577" s="1">
        <v>242734</v>
      </c>
    </row>
    <row r="578" spans="2:2" x14ac:dyDescent="0.2">
      <c r="B578" s="1">
        <v>242735</v>
      </c>
    </row>
    <row r="579" spans="2:2" x14ac:dyDescent="0.2">
      <c r="B579" s="1">
        <v>242736</v>
      </c>
    </row>
    <row r="580" spans="2:2" x14ac:dyDescent="0.2">
      <c r="B580" s="1">
        <v>242737</v>
      </c>
    </row>
    <row r="581" spans="2:2" x14ac:dyDescent="0.2">
      <c r="B581" s="1">
        <v>242738</v>
      </c>
    </row>
    <row r="582" spans="2:2" x14ac:dyDescent="0.2">
      <c r="B582" s="1">
        <v>242739</v>
      </c>
    </row>
    <row r="583" spans="2:2" x14ac:dyDescent="0.2">
      <c r="B583" s="1">
        <v>242740</v>
      </c>
    </row>
    <row r="584" spans="2:2" x14ac:dyDescent="0.2">
      <c r="B584" s="1">
        <v>242741</v>
      </c>
    </row>
    <row r="585" spans="2:2" x14ac:dyDescent="0.2">
      <c r="B585" s="1">
        <v>242742</v>
      </c>
    </row>
    <row r="586" spans="2:2" x14ac:dyDescent="0.2">
      <c r="B586" s="1">
        <v>242743</v>
      </c>
    </row>
    <row r="587" spans="2:2" x14ac:dyDescent="0.2">
      <c r="B587" s="1">
        <v>242744</v>
      </c>
    </row>
    <row r="588" spans="2:2" x14ac:dyDescent="0.2">
      <c r="B588" s="1">
        <v>242745</v>
      </c>
    </row>
    <row r="589" spans="2:2" x14ac:dyDescent="0.2">
      <c r="B589" s="1">
        <v>242746</v>
      </c>
    </row>
    <row r="590" spans="2:2" x14ac:dyDescent="0.2">
      <c r="B590" s="1">
        <v>242747</v>
      </c>
    </row>
    <row r="591" spans="2:2" x14ac:dyDescent="0.2">
      <c r="B591" s="1">
        <v>242748</v>
      </c>
    </row>
    <row r="592" spans="2:2" x14ac:dyDescent="0.2">
      <c r="B592" s="1">
        <v>242749</v>
      </c>
    </row>
    <row r="593" spans="2:2" x14ac:dyDescent="0.2">
      <c r="B593" s="1">
        <v>242750</v>
      </c>
    </row>
    <row r="594" spans="2:2" x14ac:dyDescent="0.2">
      <c r="B594" s="1">
        <v>242751</v>
      </c>
    </row>
    <row r="595" spans="2:2" x14ac:dyDescent="0.2">
      <c r="B595" s="1">
        <v>242752</v>
      </c>
    </row>
    <row r="596" spans="2:2" x14ac:dyDescent="0.2">
      <c r="B596" s="1">
        <v>242753</v>
      </c>
    </row>
    <row r="597" spans="2:2" x14ac:dyDescent="0.2">
      <c r="B597" s="1">
        <v>242754</v>
      </c>
    </row>
    <row r="598" spans="2:2" x14ac:dyDescent="0.2">
      <c r="B598" s="1">
        <v>242755</v>
      </c>
    </row>
    <row r="599" spans="2:2" x14ac:dyDescent="0.2">
      <c r="B599" s="1">
        <v>242756</v>
      </c>
    </row>
    <row r="600" spans="2:2" x14ac:dyDescent="0.2">
      <c r="B600" s="1">
        <v>242757</v>
      </c>
    </row>
    <row r="601" spans="2:2" x14ac:dyDescent="0.2">
      <c r="B601" s="1">
        <v>242758</v>
      </c>
    </row>
    <row r="602" spans="2:2" x14ac:dyDescent="0.2">
      <c r="B602" s="1">
        <v>242759</v>
      </c>
    </row>
    <row r="603" spans="2:2" x14ac:dyDescent="0.2">
      <c r="B603" s="1">
        <v>242760</v>
      </c>
    </row>
    <row r="604" spans="2:2" x14ac:dyDescent="0.2">
      <c r="B604" s="1">
        <v>242761</v>
      </c>
    </row>
    <row r="605" spans="2:2" x14ac:dyDescent="0.2">
      <c r="B605" s="1">
        <v>242762</v>
      </c>
    </row>
    <row r="606" spans="2:2" x14ac:dyDescent="0.2">
      <c r="B606" s="1">
        <v>242763</v>
      </c>
    </row>
    <row r="607" spans="2:2" x14ac:dyDescent="0.2">
      <c r="B607" s="1">
        <v>242764</v>
      </c>
    </row>
    <row r="608" spans="2:2" x14ac:dyDescent="0.2">
      <c r="B608" s="1">
        <v>242765</v>
      </c>
    </row>
    <row r="609" spans="2:2" x14ac:dyDescent="0.2">
      <c r="B609" s="1">
        <v>242766</v>
      </c>
    </row>
    <row r="610" spans="2:2" x14ac:dyDescent="0.2">
      <c r="B610" s="1">
        <v>242767</v>
      </c>
    </row>
    <row r="611" spans="2:2" x14ac:dyDescent="0.2">
      <c r="B611" s="1">
        <v>242768</v>
      </c>
    </row>
    <row r="612" spans="2:2" x14ac:dyDescent="0.2">
      <c r="B612" s="1">
        <v>242769</v>
      </c>
    </row>
    <row r="613" spans="2:2" x14ac:dyDescent="0.2">
      <c r="B613" s="1">
        <v>242770</v>
      </c>
    </row>
    <row r="614" spans="2:2" x14ac:dyDescent="0.2">
      <c r="B614" s="1">
        <v>242771</v>
      </c>
    </row>
    <row r="615" spans="2:2" x14ac:dyDescent="0.2">
      <c r="B615" s="1">
        <v>242772</v>
      </c>
    </row>
    <row r="616" spans="2:2" x14ac:dyDescent="0.2">
      <c r="B616" s="1">
        <v>242773</v>
      </c>
    </row>
    <row r="617" spans="2:2" x14ac:dyDescent="0.2">
      <c r="B617" s="1">
        <v>242774</v>
      </c>
    </row>
    <row r="618" spans="2:2" x14ac:dyDescent="0.2">
      <c r="B618" s="1">
        <v>242775</v>
      </c>
    </row>
    <row r="619" spans="2:2" x14ac:dyDescent="0.2">
      <c r="B619" s="1">
        <v>242776</v>
      </c>
    </row>
    <row r="620" spans="2:2" x14ac:dyDescent="0.2">
      <c r="B620" s="1">
        <v>242777</v>
      </c>
    </row>
    <row r="621" spans="2:2" x14ac:dyDescent="0.2">
      <c r="B621" s="1">
        <v>242778</v>
      </c>
    </row>
    <row r="622" spans="2:2" x14ac:dyDescent="0.2">
      <c r="B622" s="1">
        <v>242779</v>
      </c>
    </row>
    <row r="623" spans="2:2" x14ac:dyDescent="0.2">
      <c r="B623" s="1">
        <v>242780</v>
      </c>
    </row>
    <row r="624" spans="2:2" x14ac:dyDescent="0.2">
      <c r="B624" s="1">
        <v>242781</v>
      </c>
    </row>
    <row r="625" spans="2:2" x14ac:dyDescent="0.2">
      <c r="B625" s="1">
        <v>242782</v>
      </c>
    </row>
    <row r="626" spans="2:2" x14ac:dyDescent="0.2">
      <c r="B626" s="1">
        <v>242783</v>
      </c>
    </row>
    <row r="627" spans="2:2" x14ac:dyDescent="0.2">
      <c r="B627" s="1">
        <v>242784</v>
      </c>
    </row>
    <row r="628" spans="2:2" x14ac:dyDescent="0.2">
      <c r="B628" s="1">
        <v>242785</v>
      </c>
    </row>
    <row r="629" spans="2:2" x14ac:dyDescent="0.2">
      <c r="B629" s="1">
        <v>242786</v>
      </c>
    </row>
    <row r="630" spans="2:2" x14ac:dyDescent="0.2">
      <c r="B630" s="1">
        <v>242787</v>
      </c>
    </row>
    <row r="631" spans="2:2" x14ac:dyDescent="0.2">
      <c r="B631" s="1">
        <v>242788</v>
      </c>
    </row>
    <row r="632" spans="2:2" x14ac:dyDescent="0.2">
      <c r="B632" s="1">
        <v>242789</v>
      </c>
    </row>
    <row r="633" spans="2:2" x14ac:dyDescent="0.2">
      <c r="B633" s="1">
        <v>242790</v>
      </c>
    </row>
    <row r="634" spans="2:2" x14ac:dyDescent="0.2">
      <c r="B634" s="1">
        <v>242791</v>
      </c>
    </row>
    <row r="635" spans="2:2" x14ac:dyDescent="0.2">
      <c r="B635" s="1">
        <v>242792</v>
      </c>
    </row>
    <row r="636" spans="2:2" x14ac:dyDescent="0.2">
      <c r="B636" s="1">
        <v>242793</v>
      </c>
    </row>
    <row r="637" spans="2:2" x14ac:dyDescent="0.2">
      <c r="B637" s="1">
        <v>242794</v>
      </c>
    </row>
    <row r="638" spans="2:2" x14ac:dyDescent="0.2">
      <c r="B638" s="1">
        <v>242795</v>
      </c>
    </row>
    <row r="639" spans="2:2" x14ac:dyDescent="0.2">
      <c r="B639" s="1">
        <v>242796</v>
      </c>
    </row>
    <row r="640" spans="2:2" x14ac:dyDescent="0.2">
      <c r="B640" s="1">
        <v>242797</v>
      </c>
    </row>
    <row r="641" spans="2:2" x14ac:dyDescent="0.2">
      <c r="B641" s="1">
        <v>242798</v>
      </c>
    </row>
    <row r="642" spans="2:2" x14ac:dyDescent="0.2">
      <c r="B642" s="1">
        <v>242799</v>
      </c>
    </row>
    <row r="643" spans="2:2" x14ac:dyDescent="0.2">
      <c r="B643" s="1">
        <v>242800</v>
      </c>
    </row>
    <row r="644" spans="2:2" x14ac:dyDescent="0.2">
      <c r="B644" s="1">
        <v>242801</v>
      </c>
    </row>
    <row r="645" spans="2:2" x14ac:dyDescent="0.2">
      <c r="B645" s="1">
        <v>242802</v>
      </c>
    </row>
    <row r="646" spans="2:2" x14ac:dyDescent="0.2">
      <c r="B646" s="1">
        <v>242803</v>
      </c>
    </row>
    <row r="647" spans="2:2" x14ac:dyDescent="0.2">
      <c r="B647" s="1">
        <v>242804</v>
      </c>
    </row>
    <row r="648" spans="2:2" x14ac:dyDescent="0.2">
      <c r="B648" s="1">
        <v>242805</v>
      </c>
    </row>
    <row r="649" spans="2:2" x14ac:dyDescent="0.2">
      <c r="B649" s="1">
        <v>242806</v>
      </c>
    </row>
    <row r="650" spans="2:2" x14ac:dyDescent="0.2">
      <c r="B650" s="1">
        <v>242807</v>
      </c>
    </row>
    <row r="651" spans="2:2" x14ac:dyDescent="0.2">
      <c r="B651" s="1">
        <v>242808</v>
      </c>
    </row>
    <row r="652" spans="2:2" x14ac:dyDescent="0.2">
      <c r="B652" s="1">
        <v>242809</v>
      </c>
    </row>
    <row r="653" spans="2:2" x14ac:dyDescent="0.2">
      <c r="B653" s="1">
        <v>242810</v>
      </c>
    </row>
    <row r="654" spans="2:2" x14ac:dyDescent="0.2">
      <c r="B654" s="1">
        <v>242811</v>
      </c>
    </row>
    <row r="655" spans="2:2" x14ac:dyDescent="0.2">
      <c r="B655" s="1">
        <v>242812</v>
      </c>
    </row>
    <row r="656" spans="2:2" x14ac:dyDescent="0.2">
      <c r="B656" s="1">
        <v>242813</v>
      </c>
    </row>
    <row r="657" spans="2:2" x14ac:dyDescent="0.2">
      <c r="B657" s="1">
        <v>242814</v>
      </c>
    </row>
    <row r="658" spans="2:2" x14ac:dyDescent="0.2">
      <c r="B658" s="1">
        <v>242815</v>
      </c>
    </row>
    <row r="659" spans="2:2" x14ac:dyDescent="0.2">
      <c r="B659" s="1">
        <v>242816</v>
      </c>
    </row>
    <row r="660" spans="2:2" x14ac:dyDescent="0.2">
      <c r="B660" s="1">
        <v>242817</v>
      </c>
    </row>
    <row r="661" spans="2:2" x14ac:dyDescent="0.2">
      <c r="B661" s="1">
        <v>242818</v>
      </c>
    </row>
    <row r="662" spans="2:2" x14ac:dyDescent="0.2">
      <c r="B662" s="1">
        <v>242819</v>
      </c>
    </row>
    <row r="663" spans="2:2" x14ac:dyDescent="0.2">
      <c r="B663" s="1">
        <v>242820</v>
      </c>
    </row>
    <row r="664" spans="2:2" x14ac:dyDescent="0.2">
      <c r="B664" s="1">
        <v>242821</v>
      </c>
    </row>
    <row r="665" spans="2:2" x14ac:dyDescent="0.2">
      <c r="B665" s="1">
        <v>242822</v>
      </c>
    </row>
    <row r="666" spans="2:2" x14ac:dyDescent="0.2">
      <c r="B666" s="1">
        <v>242823</v>
      </c>
    </row>
    <row r="667" spans="2:2" x14ac:dyDescent="0.2">
      <c r="B667" s="1">
        <v>242824</v>
      </c>
    </row>
    <row r="668" spans="2:2" x14ac:dyDescent="0.2">
      <c r="B668" s="1">
        <v>242825</v>
      </c>
    </row>
    <row r="669" spans="2:2" x14ac:dyDescent="0.2">
      <c r="B669" s="1">
        <v>242826</v>
      </c>
    </row>
    <row r="670" spans="2:2" x14ac:dyDescent="0.2">
      <c r="B670" s="1">
        <v>242827</v>
      </c>
    </row>
    <row r="671" spans="2:2" x14ac:dyDescent="0.2">
      <c r="B671" s="1">
        <v>242828</v>
      </c>
    </row>
    <row r="672" spans="2:2" x14ac:dyDescent="0.2">
      <c r="B672" s="1">
        <v>242829</v>
      </c>
    </row>
    <row r="673" spans="2:2" x14ac:dyDescent="0.2">
      <c r="B673" s="1">
        <v>242830</v>
      </c>
    </row>
    <row r="674" spans="2:2" x14ac:dyDescent="0.2">
      <c r="B674" s="1">
        <v>242831</v>
      </c>
    </row>
    <row r="675" spans="2:2" x14ac:dyDescent="0.2">
      <c r="B675" s="1">
        <v>242832</v>
      </c>
    </row>
    <row r="676" spans="2:2" x14ac:dyDescent="0.2">
      <c r="B676" s="1">
        <v>242833</v>
      </c>
    </row>
    <row r="677" spans="2:2" x14ac:dyDescent="0.2">
      <c r="B677" s="1">
        <v>242834</v>
      </c>
    </row>
    <row r="678" spans="2:2" x14ac:dyDescent="0.2">
      <c r="B678" s="1">
        <v>242835</v>
      </c>
    </row>
    <row r="679" spans="2:2" x14ac:dyDescent="0.2">
      <c r="B679" s="1">
        <v>242836</v>
      </c>
    </row>
    <row r="680" spans="2:2" x14ac:dyDescent="0.2">
      <c r="B680" s="1">
        <v>242837</v>
      </c>
    </row>
    <row r="681" spans="2:2" x14ac:dyDescent="0.2">
      <c r="B681" s="1">
        <v>242838</v>
      </c>
    </row>
    <row r="682" spans="2:2" x14ac:dyDescent="0.2">
      <c r="B682" s="1">
        <v>242839</v>
      </c>
    </row>
    <row r="683" spans="2:2" x14ac:dyDescent="0.2">
      <c r="B683" s="1">
        <v>242840</v>
      </c>
    </row>
    <row r="684" spans="2:2" x14ac:dyDescent="0.2">
      <c r="B684" s="1">
        <v>242841</v>
      </c>
    </row>
    <row r="685" spans="2:2" x14ac:dyDescent="0.2">
      <c r="B685" s="1">
        <v>242842</v>
      </c>
    </row>
    <row r="686" spans="2:2" x14ac:dyDescent="0.2">
      <c r="B686" s="1">
        <v>242843</v>
      </c>
    </row>
    <row r="687" spans="2:2" x14ac:dyDescent="0.2">
      <c r="B687" s="1">
        <v>242844</v>
      </c>
    </row>
    <row r="688" spans="2:2" x14ac:dyDescent="0.2">
      <c r="B688" s="1">
        <v>242845</v>
      </c>
    </row>
    <row r="689" spans="2:2" x14ac:dyDescent="0.2">
      <c r="B689" s="1">
        <v>242846</v>
      </c>
    </row>
    <row r="690" spans="2:2" x14ac:dyDescent="0.2">
      <c r="B690" s="1">
        <v>242847</v>
      </c>
    </row>
    <row r="691" spans="2:2" x14ac:dyDescent="0.2">
      <c r="B691" s="1">
        <v>242848</v>
      </c>
    </row>
    <row r="692" spans="2:2" x14ac:dyDescent="0.2">
      <c r="B692" s="1">
        <v>242849</v>
      </c>
    </row>
    <row r="693" spans="2:2" x14ac:dyDescent="0.2">
      <c r="B693" s="1">
        <v>242850</v>
      </c>
    </row>
    <row r="694" spans="2:2" x14ac:dyDescent="0.2">
      <c r="B694" s="1">
        <v>242851</v>
      </c>
    </row>
    <row r="695" spans="2:2" x14ac:dyDescent="0.2">
      <c r="B695" s="1">
        <v>242852</v>
      </c>
    </row>
    <row r="696" spans="2:2" x14ac:dyDescent="0.2">
      <c r="B696" s="1">
        <v>242853</v>
      </c>
    </row>
    <row r="697" spans="2:2" x14ac:dyDescent="0.2">
      <c r="B697" s="1">
        <v>242854</v>
      </c>
    </row>
    <row r="698" spans="2:2" x14ac:dyDescent="0.2">
      <c r="B698" s="1">
        <v>242855</v>
      </c>
    </row>
    <row r="699" spans="2:2" x14ac:dyDescent="0.2">
      <c r="B699" s="1">
        <v>242856</v>
      </c>
    </row>
    <row r="700" spans="2:2" x14ac:dyDescent="0.2">
      <c r="B700" s="1">
        <v>242857</v>
      </c>
    </row>
    <row r="701" spans="2:2" x14ac:dyDescent="0.2">
      <c r="B701" s="1">
        <v>242858</v>
      </c>
    </row>
    <row r="702" spans="2:2" x14ac:dyDescent="0.2">
      <c r="B702" s="1">
        <v>242859</v>
      </c>
    </row>
    <row r="703" spans="2:2" x14ac:dyDescent="0.2">
      <c r="B703" s="1">
        <v>242860</v>
      </c>
    </row>
    <row r="704" spans="2:2" x14ac:dyDescent="0.2">
      <c r="B704" s="1">
        <v>242861</v>
      </c>
    </row>
    <row r="705" spans="2:2" x14ac:dyDescent="0.2">
      <c r="B705" s="1">
        <v>242862</v>
      </c>
    </row>
    <row r="706" spans="2:2" x14ac:dyDescent="0.2">
      <c r="B706" s="1">
        <v>242863</v>
      </c>
    </row>
    <row r="707" spans="2:2" x14ac:dyDescent="0.2">
      <c r="B707" s="1">
        <v>242864</v>
      </c>
    </row>
    <row r="708" spans="2:2" x14ac:dyDescent="0.2">
      <c r="B708" s="1">
        <v>242865</v>
      </c>
    </row>
    <row r="709" spans="2:2" x14ac:dyDescent="0.2">
      <c r="B709" s="1">
        <v>242866</v>
      </c>
    </row>
    <row r="710" spans="2:2" x14ac:dyDescent="0.2">
      <c r="B710" s="1">
        <v>242867</v>
      </c>
    </row>
    <row r="711" spans="2:2" x14ac:dyDescent="0.2">
      <c r="B711" s="1">
        <v>242868</v>
      </c>
    </row>
    <row r="712" spans="2:2" x14ac:dyDescent="0.2">
      <c r="B712" s="1">
        <v>242869</v>
      </c>
    </row>
    <row r="713" spans="2:2" x14ac:dyDescent="0.2">
      <c r="B713" s="1">
        <v>242870</v>
      </c>
    </row>
    <row r="714" spans="2:2" x14ac:dyDescent="0.2">
      <c r="B714" s="1">
        <v>242871</v>
      </c>
    </row>
    <row r="715" spans="2:2" x14ac:dyDescent="0.2">
      <c r="B715" s="1">
        <v>242872</v>
      </c>
    </row>
    <row r="716" spans="2:2" x14ac:dyDescent="0.2">
      <c r="B716" s="1">
        <v>242873</v>
      </c>
    </row>
    <row r="717" spans="2:2" x14ac:dyDescent="0.2">
      <c r="B717" s="1">
        <v>242874</v>
      </c>
    </row>
    <row r="718" spans="2:2" x14ac:dyDescent="0.2">
      <c r="B718" s="1">
        <v>242875</v>
      </c>
    </row>
    <row r="719" spans="2:2" x14ac:dyDescent="0.2">
      <c r="B719" s="1">
        <v>242876</v>
      </c>
    </row>
    <row r="720" spans="2:2" x14ac:dyDescent="0.2">
      <c r="B720" s="1">
        <v>242877</v>
      </c>
    </row>
    <row r="721" spans="2:2" x14ac:dyDescent="0.2">
      <c r="B721" s="1">
        <v>242878</v>
      </c>
    </row>
    <row r="722" spans="2:2" x14ac:dyDescent="0.2">
      <c r="B722" s="1">
        <v>242879</v>
      </c>
    </row>
    <row r="723" spans="2:2" x14ac:dyDescent="0.2">
      <c r="B723" s="1">
        <v>242880</v>
      </c>
    </row>
    <row r="724" spans="2:2" x14ac:dyDescent="0.2">
      <c r="B724" s="1">
        <v>242881</v>
      </c>
    </row>
    <row r="725" spans="2:2" x14ac:dyDescent="0.2">
      <c r="B725" s="1">
        <v>242882</v>
      </c>
    </row>
    <row r="726" spans="2:2" x14ac:dyDescent="0.2">
      <c r="B726" s="1">
        <v>242883</v>
      </c>
    </row>
    <row r="727" spans="2:2" x14ac:dyDescent="0.2">
      <c r="B727" s="1">
        <v>242884</v>
      </c>
    </row>
    <row r="728" spans="2:2" x14ac:dyDescent="0.2">
      <c r="B728" s="1">
        <v>242885</v>
      </c>
    </row>
    <row r="729" spans="2:2" x14ac:dyDescent="0.2">
      <c r="B729" s="1">
        <v>242886</v>
      </c>
    </row>
    <row r="730" spans="2:2" x14ac:dyDescent="0.2">
      <c r="B730" s="1">
        <v>242887</v>
      </c>
    </row>
    <row r="731" spans="2:2" x14ac:dyDescent="0.2">
      <c r="B731" s="1">
        <v>242888</v>
      </c>
    </row>
    <row r="732" spans="2:2" x14ac:dyDescent="0.2">
      <c r="B732" s="1">
        <v>242889</v>
      </c>
    </row>
    <row r="733" spans="2:2" x14ac:dyDescent="0.2">
      <c r="B733" s="1">
        <v>242890</v>
      </c>
    </row>
    <row r="734" spans="2:2" x14ac:dyDescent="0.2">
      <c r="B734" s="1">
        <v>242891</v>
      </c>
    </row>
    <row r="735" spans="2:2" x14ac:dyDescent="0.2">
      <c r="B735" s="1">
        <v>242892</v>
      </c>
    </row>
    <row r="736" spans="2:2" x14ac:dyDescent="0.2">
      <c r="B736" s="1">
        <v>242893</v>
      </c>
    </row>
    <row r="737" spans="2:2" x14ac:dyDescent="0.2">
      <c r="B737" s="1">
        <v>242894</v>
      </c>
    </row>
    <row r="738" spans="2:2" x14ac:dyDescent="0.2">
      <c r="B738" s="1">
        <v>242895</v>
      </c>
    </row>
    <row r="739" spans="2:2" x14ac:dyDescent="0.2">
      <c r="B739" s="1">
        <v>242896</v>
      </c>
    </row>
    <row r="740" spans="2:2" x14ac:dyDescent="0.2">
      <c r="B740" s="1">
        <v>242897</v>
      </c>
    </row>
    <row r="741" spans="2:2" x14ac:dyDescent="0.2">
      <c r="B741" s="1">
        <v>242898</v>
      </c>
    </row>
    <row r="742" spans="2:2" x14ac:dyDescent="0.2">
      <c r="B742" s="1">
        <v>242899</v>
      </c>
    </row>
    <row r="743" spans="2:2" x14ac:dyDescent="0.2">
      <c r="B743" s="1">
        <v>242900</v>
      </c>
    </row>
    <row r="744" spans="2:2" x14ac:dyDescent="0.2">
      <c r="B744" s="1">
        <v>242901</v>
      </c>
    </row>
    <row r="745" spans="2:2" x14ac:dyDescent="0.2">
      <c r="B745" s="1">
        <v>242902</v>
      </c>
    </row>
    <row r="746" spans="2:2" x14ac:dyDescent="0.2">
      <c r="B746" s="1">
        <v>242903</v>
      </c>
    </row>
    <row r="747" spans="2:2" x14ac:dyDescent="0.2">
      <c r="B747" s="1">
        <v>242904</v>
      </c>
    </row>
    <row r="748" spans="2:2" x14ac:dyDescent="0.2">
      <c r="B748" s="1">
        <v>242905</v>
      </c>
    </row>
    <row r="749" spans="2:2" x14ac:dyDescent="0.2">
      <c r="B749" s="1">
        <v>242906</v>
      </c>
    </row>
    <row r="750" spans="2:2" x14ac:dyDescent="0.2">
      <c r="B750" s="1">
        <v>242907</v>
      </c>
    </row>
    <row r="751" spans="2:2" x14ac:dyDescent="0.2">
      <c r="B751" s="1">
        <v>242908</v>
      </c>
    </row>
    <row r="752" spans="2:2" x14ac:dyDescent="0.2">
      <c r="B752" s="1">
        <v>242909</v>
      </c>
    </row>
    <row r="753" spans="2:2" x14ac:dyDescent="0.2">
      <c r="B753" s="1">
        <v>242910</v>
      </c>
    </row>
    <row r="754" spans="2:2" x14ac:dyDescent="0.2">
      <c r="B754" s="1">
        <v>242911</v>
      </c>
    </row>
    <row r="755" spans="2:2" x14ac:dyDescent="0.2">
      <c r="B755" s="1">
        <v>242912</v>
      </c>
    </row>
    <row r="756" spans="2:2" x14ac:dyDescent="0.2">
      <c r="B756" s="1">
        <v>242913</v>
      </c>
    </row>
    <row r="757" spans="2:2" x14ac:dyDescent="0.2">
      <c r="B757" s="1">
        <v>242914</v>
      </c>
    </row>
    <row r="758" spans="2:2" x14ac:dyDescent="0.2">
      <c r="B758" s="1">
        <v>242915</v>
      </c>
    </row>
    <row r="759" spans="2:2" x14ac:dyDescent="0.2">
      <c r="B759" s="1">
        <v>242916</v>
      </c>
    </row>
    <row r="760" spans="2:2" x14ac:dyDescent="0.2">
      <c r="B760" s="1">
        <v>242917</v>
      </c>
    </row>
    <row r="761" spans="2:2" x14ac:dyDescent="0.2">
      <c r="B761" s="1">
        <v>242918</v>
      </c>
    </row>
    <row r="762" spans="2:2" x14ac:dyDescent="0.2">
      <c r="B762" s="1">
        <v>242919</v>
      </c>
    </row>
    <row r="763" spans="2:2" x14ac:dyDescent="0.2">
      <c r="B763" s="1">
        <v>242920</v>
      </c>
    </row>
    <row r="764" spans="2:2" x14ac:dyDescent="0.2">
      <c r="B764" s="1">
        <v>242921</v>
      </c>
    </row>
    <row r="765" spans="2:2" x14ac:dyDescent="0.2">
      <c r="B765" s="1">
        <v>242922</v>
      </c>
    </row>
    <row r="766" spans="2:2" x14ac:dyDescent="0.2">
      <c r="B766" s="1">
        <v>242923</v>
      </c>
    </row>
    <row r="767" spans="2:2" x14ac:dyDescent="0.2">
      <c r="B767" s="1">
        <v>242924</v>
      </c>
    </row>
    <row r="768" spans="2:2" x14ac:dyDescent="0.2">
      <c r="B768" s="1">
        <v>242925</v>
      </c>
    </row>
    <row r="769" spans="2:2" x14ac:dyDescent="0.2">
      <c r="B769" s="1">
        <v>242926</v>
      </c>
    </row>
    <row r="770" spans="2:2" x14ac:dyDescent="0.2">
      <c r="B770" s="1">
        <v>242927</v>
      </c>
    </row>
    <row r="771" spans="2:2" x14ac:dyDescent="0.2">
      <c r="B771" s="1">
        <v>242928</v>
      </c>
    </row>
    <row r="772" spans="2:2" x14ac:dyDescent="0.2">
      <c r="B772" s="1">
        <v>242929</v>
      </c>
    </row>
    <row r="773" spans="2:2" x14ac:dyDescent="0.2">
      <c r="B773" s="1">
        <v>242930</v>
      </c>
    </row>
    <row r="774" spans="2:2" x14ac:dyDescent="0.2">
      <c r="B774" s="1">
        <v>242931</v>
      </c>
    </row>
    <row r="775" spans="2:2" x14ac:dyDescent="0.2">
      <c r="B775" s="1">
        <v>242932</v>
      </c>
    </row>
    <row r="776" spans="2:2" x14ac:dyDescent="0.2">
      <c r="B776" s="1">
        <v>242933</v>
      </c>
    </row>
    <row r="777" spans="2:2" x14ac:dyDescent="0.2">
      <c r="B777" s="1">
        <v>242934</v>
      </c>
    </row>
    <row r="778" spans="2:2" x14ac:dyDescent="0.2">
      <c r="B778" s="1">
        <v>242935</v>
      </c>
    </row>
    <row r="779" spans="2:2" x14ac:dyDescent="0.2">
      <c r="B779" s="1">
        <v>242936</v>
      </c>
    </row>
    <row r="780" spans="2:2" x14ac:dyDescent="0.2">
      <c r="B780" s="1">
        <v>242937</v>
      </c>
    </row>
    <row r="781" spans="2:2" x14ac:dyDescent="0.2">
      <c r="B781" s="1">
        <v>242938</v>
      </c>
    </row>
    <row r="782" spans="2:2" x14ac:dyDescent="0.2">
      <c r="B782" s="1">
        <v>242939</v>
      </c>
    </row>
    <row r="783" spans="2:2" x14ac:dyDescent="0.2">
      <c r="B783" s="1">
        <v>242940</v>
      </c>
    </row>
    <row r="784" spans="2:2" x14ac:dyDescent="0.2">
      <c r="B784" s="1">
        <v>242941</v>
      </c>
    </row>
    <row r="785" spans="2:2" x14ac:dyDescent="0.2">
      <c r="B785" s="1">
        <v>242942</v>
      </c>
    </row>
    <row r="786" spans="2:2" x14ac:dyDescent="0.2">
      <c r="B786" s="1">
        <v>242943</v>
      </c>
    </row>
    <row r="787" spans="2:2" x14ac:dyDescent="0.2">
      <c r="B787" s="1">
        <v>242944</v>
      </c>
    </row>
    <row r="788" spans="2:2" x14ac:dyDescent="0.2">
      <c r="B788" s="1">
        <v>242945</v>
      </c>
    </row>
    <row r="789" spans="2:2" x14ac:dyDescent="0.2">
      <c r="B789" s="1">
        <v>242946</v>
      </c>
    </row>
    <row r="790" spans="2:2" x14ac:dyDescent="0.2">
      <c r="B790" s="1">
        <v>242947</v>
      </c>
    </row>
    <row r="791" spans="2:2" x14ac:dyDescent="0.2">
      <c r="B791" s="1">
        <v>242948</v>
      </c>
    </row>
    <row r="792" spans="2:2" x14ac:dyDescent="0.2">
      <c r="B792" s="1">
        <v>242949</v>
      </c>
    </row>
    <row r="793" spans="2:2" x14ac:dyDescent="0.2">
      <c r="B793" s="1">
        <v>242950</v>
      </c>
    </row>
    <row r="794" spans="2:2" x14ac:dyDescent="0.2">
      <c r="B794" s="1">
        <v>242951</v>
      </c>
    </row>
    <row r="795" spans="2:2" x14ac:dyDescent="0.2">
      <c r="B795" s="1">
        <v>242952</v>
      </c>
    </row>
    <row r="796" spans="2:2" x14ac:dyDescent="0.2">
      <c r="B796" s="1">
        <v>242953</v>
      </c>
    </row>
    <row r="797" spans="2:2" x14ac:dyDescent="0.2">
      <c r="B797" s="1">
        <v>242954</v>
      </c>
    </row>
    <row r="798" spans="2:2" x14ac:dyDescent="0.2">
      <c r="B798" s="1">
        <v>242955</v>
      </c>
    </row>
    <row r="799" spans="2:2" x14ac:dyDescent="0.2">
      <c r="B799" s="1">
        <v>242956</v>
      </c>
    </row>
    <row r="800" spans="2:2" x14ac:dyDescent="0.2">
      <c r="B800" s="1">
        <v>242957</v>
      </c>
    </row>
    <row r="801" spans="2:2" x14ac:dyDescent="0.2">
      <c r="B801" s="1">
        <v>242958</v>
      </c>
    </row>
    <row r="802" spans="2:2" x14ac:dyDescent="0.2">
      <c r="B802" s="1">
        <v>242959</v>
      </c>
    </row>
    <row r="803" spans="2:2" x14ac:dyDescent="0.2">
      <c r="B803" s="1">
        <v>242960</v>
      </c>
    </row>
    <row r="804" spans="2:2" x14ac:dyDescent="0.2">
      <c r="B804" s="1">
        <v>242961</v>
      </c>
    </row>
    <row r="805" spans="2:2" x14ac:dyDescent="0.2">
      <c r="B805" s="1">
        <v>242962</v>
      </c>
    </row>
    <row r="806" spans="2:2" x14ac:dyDescent="0.2">
      <c r="B806" s="1">
        <v>242963</v>
      </c>
    </row>
    <row r="807" spans="2:2" x14ac:dyDescent="0.2">
      <c r="B807" s="1">
        <v>242964</v>
      </c>
    </row>
    <row r="808" spans="2:2" x14ac:dyDescent="0.2">
      <c r="B808" s="1">
        <v>242965</v>
      </c>
    </row>
    <row r="809" spans="2:2" x14ac:dyDescent="0.2">
      <c r="B809" s="1">
        <v>242966</v>
      </c>
    </row>
    <row r="810" spans="2:2" x14ac:dyDescent="0.2">
      <c r="B810" s="1">
        <v>242967</v>
      </c>
    </row>
    <row r="811" spans="2:2" x14ac:dyDescent="0.2">
      <c r="B811" s="1">
        <v>242968</v>
      </c>
    </row>
    <row r="812" spans="2:2" x14ac:dyDescent="0.2">
      <c r="B812" s="1">
        <v>242969</v>
      </c>
    </row>
    <row r="813" spans="2:2" x14ac:dyDescent="0.2">
      <c r="B813" s="1">
        <v>242970</v>
      </c>
    </row>
    <row r="814" spans="2:2" x14ac:dyDescent="0.2">
      <c r="B814" s="1">
        <v>242971</v>
      </c>
    </row>
    <row r="815" spans="2:2" x14ac:dyDescent="0.2">
      <c r="B815" s="1">
        <v>242972</v>
      </c>
    </row>
    <row r="816" spans="2:2" x14ac:dyDescent="0.2">
      <c r="B816" s="1">
        <v>242973</v>
      </c>
    </row>
    <row r="817" spans="2:2" x14ac:dyDescent="0.2">
      <c r="B817" s="1">
        <v>242974</v>
      </c>
    </row>
    <row r="818" spans="2:2" x14ac:dyDescent="0.2">
      <c r="B818" s="1">
        <v>242975</v>
      </c>
    </row>
    <row r="819" spans="2:2" x14ac:dyDescent="0.2">
      <c r="B819" s="1">
        <v>242976</v>
      </c>
    </row>
    <row r="820" spans="2:2" x14ac:dyDescent="0.2">
      <c r="B820" s="1">
        <v>242977</v>
      </c>
    </row>
    <row r="821" spans="2:2" x14ac:dyDescent="0.2">
      <c r="B821" s="1">
        <v>242978</v>
      </c>
    </row>
    <row r="822" spans="2:2" x14ac:dyDescent="0.2">
      <c r="B822" s="1">
        <v>242979</v>
      </c>
    </row>
    <row r="823" spans="2:2" x14ac:dyDescent="0.2">
      <c r="B823" s="1">
        <v>242980</v>
      </c>
    </row>
    <row r="824" spans="2:2" x14ac:dyDescent="0.2">
      <c r="B824" s="1">
        <v>242981</v>
      </c>
    </row>
    <row r="825" spans="2:2" x14ac:dyDescent="0.2">
      <c r="B825" s="1">
        <v>242982</v>
      </c>
    </row>
    <row r="826" spans="2:2" x14ac:dyDescent="0.2">
      <c r="B826" s="1">
        <v>242983</v>
      </c>
    </row>
    <row r="827" spans="2:2" x14ac:dyDescent="0.2">
      <c r="B827" s="1">
        <v>242984</v>
      </c>
    </row>
    <row r="828" spans="2:2" x14ac:dyDescent="0.2">
      <c r="B828" s="1">
        <v>242985</v>
      </c>
    </row>
    <row r="829" spans="2:2" x14ac:dyDescent="0.2">
      <c r="B829" s="1">
        <v>242986</v>
      </c>
    </row>
    <row r="830" spans="2:2" x14ac:dyDescent="0.2">
      <c r="B830" s="1">
        <v>242987</v>
      </c>
    </row>
    <row r="831" spans="2:2" x14ac:dyDescent="0.2">
      <c r="B831" s="1">
        <v>242988</v>
      </c>
    </row>
    <row r="832" spans="2:2" x14ac:dyDescent="0.2">
      <c r="B832" s="1">
        <v>242989</v>
      </c>
    </row>
    <row r="833" spans="2:2" x14ac:dyDescent="0.2">
      <c r="B833" s="1">
        <v>242990</v>
      </c>
    </row>
    <row r="834" spans="2:2" x14ac:dyDescent="0.2">
      <c r="B834" s="1">
        <v>242991</v>
      </c>
    </row>
    <row r="835" spans="2:2" x14ac:dyDescent="0.2">
      <c r="B835" s="1">
        <v>242992</v>
      </c>
    </row>
    <row r="836" spans="2:2" x14ac:dyDescent="0.2">
      <c r="B836" s="1">
        <v>242993</v>
      </c>
    </row>
    <row r="837" spans="2:2" x14ac:dyDescent="0.2">
      <c r="B837" s="1">
        <v>242994</v>
      </c>
    </row>
    <row r="838" spans="2:2" x14ac:dyDescent="0.2">
      <c r="B838" s="1">
        <v>242995</v>
      </c>
    </row>
    <row r="839" spans="2:2" x14ac:dyDescent="0.2">
      <c r="B839" s="1">
        <v>242996</v>
      </c>
    </row>
    <row r="840" spans="2:2" x14ac:dyDescent="0.2">
      <c r="B840" s="1">
        <v>242997</v>
      </c>
    </row>
    <row r="841" spans="2:2" x14ac:dyDescent="0.2">
      <c r="B841" s="1">
        <v>242998</v>
      </c>
    </row>
    <row r="842" spans="2:2" x14ac:dyDescent="0.2">
      <c r="B842" s="1">
        <v>242999</v>
      </c>
    </row>
    <row r="843" spans="2:2" x14ac:dyDescent="0.2">
      <c r="B843" s="1">
        <v>243000</v>
      </c>
    </row>
    <row r="844" spans="2:2" x14ac:dyDescent="0.2">
      <c r="B844" s="1">
        <v>243001</v>
      </c>
    </row>
    <row r="845" spans="2:2" x14ac:dyDescent="0.2">
      <c r="B845" s="1">
        <v>243002</v>
      </c>
    </row>
    <row r="846" spans="2:2" x14ac:dyDescent="0.2">
      <c r="B846" s="1">
        <v>243003</v>
      </c>
    </row>
    <row r="847" spans="2:2" x14ac:dyDescent="0.2">
      <c r="B847" s="1">
        <v>243004</v>
      </c>
    </row>
    <row r="848" spans="2:2" x14ac:dyDescent="0.2">
      <c r="B848" s="1">
        <v>243005</v>
      </c>
    </row>
    <row r="849" spans="2:2" x14ac:dyDescent="0.2">
      <c r="B849" s="1">
        <v>243006</v>
      </c>
    </row>
    <row r="850" spans="2:2" x14ac:dyDescent="0.2">
      <c r="B850" s="1">
        <v>243007</v>
      </c>
    </row>
    <row r="851" spans="2:2" x14ac:dyDescent="0.2">
      <c r="B851" s="1">
        <v>243008</v>
      </c>
    </row>
    <row r="852" spans="2:2" x14ac:dyDescent="0.2">
      <c r="B852" s="1">
        <v>243009</v>
      </c>
    </row>
    <row r="853" spans="2:2" x14ac:dyDescent="0.2">
      <c r="B853" s="1">
        <v>243010</v>
      </c>
    </row>
    <row r="854" spans="2:2" x14ac:dyDescent="0.2">
      <c r="B854" s="1">
        <v>243011</v>
      </c>
    </row>
    <row r="855" spans="2:2" x14ac:dyDescent="0.2">
      <c r="B855" s="1">
        <v>243012</v>
      </c>
    </row>
    <row r="856" spans="2:2" x14ac:dyDescent="0.2">
      <c r="B856" s="1">
        <v>243013</v>
      </c>
    </row>
    <row r="857" spans="2:2" x14ac:dyDescent="0.2">
      <c r="B857" s="1">
        <v>243014</v>
      </c>
    </row>
    <row r="858" spans="2:2" x14ac:dyDescent="0.2">
      <c r="B858" s="1">
        <v>243015</v>
      </c>
    </row>
    <row r="859" spans="2:2" x14ac:dyDescent="0.2">
      <c r="B859" s="1">
        <v>243016</v>
      </c>
    </row>
    <row r="860" spans="2:2" x14ac:dyDescent="0.2">
      <c r="B860" s="1">
        <v>243017</v>
      </c>
    </row>
    <row r="861" spans="2:2" x14ac:dyDescent="0.2">
      <c r="B861" s="1">
        <v>243018</v>
      </c>
    </row>
    <row r="862" spans="2:2" x14ac:dyDescent="0.2">
      <c r="B862" s="1">
        <v>243019</v>
      </c>
    </row>
    <row r="863" spans="2:2" x14ac:dyDescent="0.2">
      <c r="B863" s="1">
        <v>243020</v>
      </c>
    </row>
    <row r="864" spans="2:2" x14ac:dyDescent="0.2">
      <c r="B864" s="1">
        <v>243021</v>
      </c>
    </row>
    <row r="865" spans="2:2" x14ac:dyDescent="0.2">
      <c r="B865" s="1">
        <v>243022</v>
      </c>
    </row>
    <row r="866" spans="2:2" x14ac:dyDescent="0.2">
      <c r="B866" s="1">
        <v>243023</v>
      </c>
    </row>
    <row r="867" spans="2:2" x14ac:dyDescent="0.2">
      <c r="B867" s="1">
        <v>243024</v>
      </c>
    </row>
    <row r="868" spans="2:2" x14ac:dyDescent="0.2">
      <c r="B868" s="1">
        <v>243025</v>
      </c>
    </row>
    <row r="869" spans="2:2" x14ac:dyDescent="0.2">
      <c r="B869" s="1">
        <v>243026</v>
      </c>
    </row>
    <row r="870" spans="2:2" x14ac:dyDescent="0.2">
      <c r="B870" s="1">
        <v>243027</v>
      </c>
    </row>
    <row r="871" spans="2:2" x14ac:dyDescent="0.2">
      <c r="B871" s="1">
        <v>243028</v>
      </c>
    </row>
    <row r="872" spans="2:2" x14ac:dyDescent="0.2">
      <c r="B872" s="1">
        <v>243029</v>
      </c>
    </row>
    <row r="873" spans="2:2" x14ac:dyDescent="0.2">
      <c r="B873" s="1">
        <v>243030</v>
      </c>
    </row>
    <row r="874" spans="2:2" x14ac:dyDescent="0.2">
      <c r="B874" s="1">
        <v>243031</v>
      </c>
    </row>
    <row r="875" spans="2:2" x14ac:dyDescent="0.2">
      <c r="B875" s="1">
        <v>243032</v>
      </c>
    </row>
    <row r="876" spans="2:2" x14ac:dyDescent="0.2">
      <c r="B876" s="1">
        <v>243033</v>
      </c>
    </row>
    <row r="877" spans="2:2" x14ac:dyDescent="0.2">
      <c r="B877" s="1">
        <v>243034</v>
      </c>
    </row>
    <row r="878" spans="2:2" x14ac:dyDescent="0.2">
      <c r="B878" s="1">
        <v>243035</v>
      </c>
    </row>
    <row r="879" spans="2:2" x14ac:dyDescent="0.2">
      <c r="B879" s="1">
        <v>243036</v>
      </c>
    </row>
    <row r="880" spans="2:2" x14ac:dyDescent="0.2">
      <c r="B880" s="1">
        <v>243037</v>
      </c>
    </row>
    <row r="881" spans="2:2" x14ac:dyDescent="0.2">
      <c r="B881" s="1">
        <v>243038</v>
      </c>
    </row>
    <row r="882" spans="2:2" x14ac:dyDescent="0.2">
      <c r="B882" s="1">
        <v>243039</v>
      </c>
    </row>
    <row r="883" spans="2:2" x14ac:dyDescent="0.2">
      <c r="B883" s="1">
        <v>243040</v>
      </c>
    </row>
    <row r="884" spans="2:2" x14ac:dyDescent="0.2">
      <c r="B884" s="1">
        <v>243041</v>
      </c>
    </row>
    <row r="885" spans="2:2" x14ac:dyDescent="0.2">
      <c r="B885" s="1">
        <v>243042</v>
      </c>
    </row>
    <row r="886" spans="2:2" x14ac:dyDescent="0.2">
      <c r="B886" s="1">
        <v>243043</v>
      </c>
    </row>
    <row r="887" spans="2:2" x14ac:dyDescent="0.2">
      <c r="B887" s="1">
        <v>243044</v>
      </c>
    </row>
    <row r="888" spans="2:2" x14ac:dyDescent="0.2">
      <c r="B888" s="1">
        <v>243045</v>
      </c>
    </row>
    <row r="889" spans="2:2" x14ac:dyDescent="0.2">
      <c r="B889" s="1">
        <v>243046</v>
      </c>
    </row>
    <row r="890" spans="2:2" x14ac:dyDescent="0.2">
      <c r="B890" s="1">
        <v>243047</v>
      </c>
    </row>
    <row r="891" spans="2:2" x14ac:dyDescent="0.2">
      <c r="B891" s="1">
        <v>243048</v>
      </c>
    </row>
    <row r="892" spans="2:2" x14ac:dyDescent="0.2">
      <c r="B892" s="1">
        <v>243049</v>
      </c>
    </row>
    <row r="893" spans="2:2" x14ac:dyDescent="0.2">
      <c r="B893" s="1">
        <v>243050</v>
      </c>
    </row>
    <row r="894" spans="2:2" x14ac:dyDescent="0.2">
      <c r="B894" s="1">
        <v>243051</v>
      </c>
    </row>
    <row r="895" spans="2:2" x14ac:dyDescent="0.2">
      <c r="B895" s="1">
        <v>243052</v>
      </c>
    </row>
    <row r="896" spans="2:2" x14ac:dyDescent="0.2">
      <c r="B896" s="1">
        <v>243053</v>
      </c>
    </row>
    <row r="897" spans="2:2" x14ac:dyDescent="0.2">
      <c r="B897" s="1">
        <v>243054</v>
      </c>
    </row>
    <row r="898" spans="2:2" x14ac:dyDescent="0.2">
      <c r="B898" s="1">
        <v>243055</v>
      </c>
    </row>
    <row r="899" spans="2:2" x14ac:dyDescent="0.2">
      <c r="B899" s="1">
        <v>243056</v>
      </c>
    </row>
    <row r="900" spans="2:2" x14ac:dyDescent="0.2">
      <c r="B900" s="1">
        <v>243057</v>
      </c>
    </row>
    <row r="901" spans="2:2" x14ac:dyDescent="0.2">
      <c r="B901" s="1">
        <v>243058</v>
      </c>
    </row>
    <row r="902" spans="2:2" x14ac:dyDescent="0.2">
      <c r="B902" s="1">
        <v>243059</v>
      </c>
    </row>
    <row r="903" spans="2:2" x14ac:dyDescent="0.2">
      <c r="B903" s="1">
        <v>243060</v>
      </c>
    </row>
    <row r="904" spans="2:2" x14ac:dyDescent="0.2">
      <c r="B904" s="1">
        <v>243061</v>
      </c>
    </row>
    <row r="905" spans="2:2" x14ac:dyDescent="0.2">
      <c r="B905" s="1">
        <v>243062</v>
      </c>
    </row>
    <row r="906" spans="2:2" x14ac:dyDescent="0.2">
      <c r="B906" s="1">
        <v>243063</v>
      </c>
    </row>
    <row r="907" spans="2:2" x14ac:dyDescent="0.2">
      <c r="B907" s="1">
        <v>243064</v>
      </c>
    </row>
    <row r="908" spans="2:2" x14ac:dyDescent="0.2">
      <c r="B908" s="1">
        <v>243065</v>
      </c>
    </row>
    <row r="909" spans="2:2" x14ac:dyDescent="0.2">
      <c r="B909" s="1">
        <v>243066</v>
      </c>
    </row>
    <row r="910" spans="2:2" x14ac:dyDescent="0.2">
      <c r="B910" s="1">
        <v>243067</v>
      </c>
    </row>
    <row r="911" spans="2:2" x14ac:dyDescent="0.2">
      <c r="B911" s="1">
        <v>243068</v>
      </c>
    </row>
    <row r="912" spans="2:2" x14ac:dyDescent="0.2">
      <c r="B912" s="1">
        <v>243069</v>
      </c>
    </row>
    <row r="913" spans="2:2" x14ac:dyDescent="0.2">
      <c r="B913" s="1">
        <v>243070</v>
      </c>
    </row>
    <row r="914" spans="2:2" x14ac:dyDescent="0.2">
      <c r="B914" s="1">
        <v>243071</v>
      </c>
    </row>
    <row r="915" spans="2:2" x14ac:dyDescent="0.2">
      <c r="B915" s="1">
        <v>243072</v>
      </c>
    </row>
    <row r="916" spans="2:2" x14ac:dyDescent="0.2">
      <c r="B916" s="1">
        <v>243073</v>
      </c>
    </row>
    <row r="917" spans="2:2" x14ac:dyDescent="0.2">
      <c r="B917" s="1">
        <v>243074</v>
      </c>
    </row>
    <row r="918" spans="2:2" x14ac:dyDescent="0.2">
      <c r="B918" s="1">
        <v>243075</v>
      </c>
    </row>
    <row r="919" spans="2:2" x14ac:dyDescent="0.2">
      <c r="B919" s="1">
        <v>243076</v>
      </c>
    </row>
    <row r="920" spans="2:2" x14ac:dyDescent="0.2">
      <c r="B920" s="1">
        <v>243077</v>
      </c>
    </row>
    <row r="921" spans="2:2" x14ac:dyDescent="0.2">
      <c r="B921" s="1">
        <v>243078</v>
      </c>
    </row>
    <row r="922" spans="2:2" x14ac:dyDescent="0.2">
      <c r="B922" s="1">
        <v>243079</v>
      </c>
    </row>
    <row r="923" spans="2:2" x14ac:dyDescent="0.2">
      <c r="B923" s="1">
        <v>243080</v>
      </c>
    </row>
    <row r="924" spans="2:2" x14ac:dyDescent="0.2">
      <c r="B924" s="1">
        <v>243081</v>
      </c>
    </row>
    <row r="925" spans="2:2" x14ac:dyDescent="0.2">
      <c r="B925" s="1">
        <v>243082</v>
      </c>
    </row>
    <row r="926" spans="2:2" x14ac:dyDescent="0.2">
      <c r="B926" s="1">
        <v>243083</v>
      </c>
    </row>
    <row r="927" spans="2:2" x14ac:dyDescent="0.2">
      <c r="B927" s="1">
        <v>243084</v>
      </c>
    </row>
    <row r="928" spans="2:2" x14ac:dyDescent="0.2">
      <c r="B928" s="1">
        <v>243085</v>
      </c>
    </row>
    <row r="929" spans="2:2" x14ac:dyDescent="0.2">
      <c r="B929" s="1">
        <v>243086</v>
      </c>
    </row>
    <row r="930" spans="2:2" x14ac:dyDescent="0.2">
      <c r="B930" s="1">
        <v>243087</v>
      </c>
    </row>
    <row r="931" spans="2:2" x14ac:dyDescent="0.2">
      <c r="B931" s="1">
        <v>243088</v>
      </c>
    </row>
    <row r="932" spans="2:2" x14ac:dyDescent="0.2">
      <c r="B932" s="1">
        <v>243089</v>
      </c>
    </row>
    <row r="933" spans="2:2" x14ac:dyDescent="0.2">
      <c r="B933" s="1">
        <v>243090</v>
      </c>
    </row>
    <row r="934" spans="2:2" x14ac:dyDescent="0.2">
      <c r="B934" s="1">
        <v>243091</v>
      </c>
    </row>
    <row r="935" spans="2:2" x14ac:dyDescent="0.2">
      <c r="B935" s="1">
        <v>243092</v>
      </c>
    </row>
    <row r="936" spans="2:2" x14ac:dyDescent="0.2">
      <c r="B936" s="1">
        <v>243093</v>
      </c>
    </row>
    <row r="937" spans="2:2" x14ac:dyDescent="0.2">
      <c r="B937" s="1">
        <v>243094</v>
      </c>
    </row>
    <row r="938" spans="2:2" x14ac:dyDescent="0.2">
      <c r="B938" s="1">
        <v>243095</v>
      </c>
    </row>
    <row r="939" spans="2:2" x14ac:dyDescent="0.2">
      <c r="B939" s="1">
        <v>243096</v>
      </c>
    </row>
    <row r="940" spans="2:2" x14ac:dyDescent="0.2">
      <c r="B940" s="1">
        <v>243097</v>
      </c>
    </row>
    <row r="941" spans="2:2" x14ac:dyDescent="0.2">
      <c r="B941" s="1">
        <v>243098</v>
      </c>
    </row>
    <row r="942" spans="2:2" x14ac:dyDescent="0.2">
      <c r="B942" s="1">
        <v>243099</v>
      </c>
    </row>
    <row r="943" spans="2:2" x14ac:dyDescent="0.2">
      <c r="B943" s="1">
        <v>243100</v>
      </c>
    </row>
    <row r="944" spans="2:2" x14ac:dyDescent="0.2">
      <c r="B944" s="1">
        <v>243101</v>
      </c>
    </row>
    <row r="945" spans="2:2" x14ac:dyDescent="0.2">
      <c r="B945" s="1">
        <v>243102</v>
      </c>
    </row>
    <row r="946" spans="2:2" x14ac:dyDescent="0.2">
      <c r="B946" s="1">
        <v>243103</v>
      </c>
    </row>
    <row r="947" spans="2:2" x14ac:dyDescent="0.2">
      <c r="B947" s="1">
        <v>243104</v>
      </c>
    </row>
    <row r="948" spans="2:2" x14ac:dyDescent="0.2">
      <c r="B948" s="1">
        <v>243105</v>
      </c>
    </row>
    <row r="949" spans="2:2" x14ac:dyDescent="0.2">
      <c r="B949" s="1">
        <v>243106</v>
      </c>
    </row>
    <row r="950" spans="2:2" x14ac:dyDescent="0.2">
      <c r="B950" s="1">
        <v>243107</v>
      </c>
    </row>
    <row r="951" spans="2:2" x14ac:dyDescent="0.2">
      <c r="B951" s="1">
        <v>243108</v>
      </c>
    </row>
    <row r="952" spans="2:2" x14ac:dyDescent="0.2">
      <c r="B952" s="1">
        <v>243109</v>
      </c>
    </row>
    <row r="953" spans="2:2" x14ac:dyDescent="0.2">
      <c r="B953" s="1">
        <v>243110</v>
      </c>
    </row>
    <row r="954" spans="2:2" x14ac:dyDescent="0.2">
      <c r="B954" s="1">
        <v>243111</v>
      </c>
    </row>
    <row r="955" spans="2:2" x14ac:dyDescent="0.2">
      <c r="B955" s="1">
        <v>243112</v>
      </c>
    </row>
    <row r="956" spans="2:2" x14ac:dyDescent="0.2">
      <c r="B956" s="1">
        <v>243113</v>
      </c>
    </row>
    <row r="957" spans="2:2" x14ac:dyDescent="0.2">
      <c r="B957" s="1">
        <v>243114</v>
      </c>
    </row>
    <row r="958" spans="2:2" x14ac:dyDescent="0.2">
      <c r="B958" s="1">
        <v>243115</v>
      </c>
    </row>
    <row r="959" spans="2:2" x14ac:dyDescent="0.2">
      <c r="B959" s="1">
        <v>243116</v>
      </c>
    </row>
    <row r="960" spans="2:2" x14ac:dyDescent="0.2">
      <c r="B960" s="1">
        <v>243117</v>
      </c>
    </row>
    <row r="961" spans="2:2" x14ac:dyDescent="0.2">
      <c r="B961" s="1">
        <v>243118</v>
      </c>
    </row>
    <row r="962" spans="2:2" x14ac:dyDescent="0.2">
      <c r="B962" s="1">
        <v>243119</v>
      </c>
    </row>
    <row r="963" spans="2:2" x14ac:dyDescent="0.2">
      <c r="B963" s="1">
        <v>243120</v>
      </c>
    </row>
    <row r="964" spans="2:2" x14ac:dyDescent="0.2">
      <c r="B964" s="1">
        <v>243121</v>
      </c>
    </row>
    <row r="965" spans="2:2" x14ac:dyDescent="0.2">
      <c r="B965" s="1">
        <v>243122</v>
      </c>
    </row>
    <row r="966" spans="2:2" x14ac:dyDescent="0.2">
      <c r="B966" s="1">
        <v>243123</v>
      </c>
    </row>
    <row r="967" spans="2:2" x14ac:dyDescent="0.2">
      <c r="B967" s="1">
        <v>243124</v>
      </c>
    </row>
    <row r="968" spans="2:2" x14ac:dyDescent="0.2">
      <c r="B968" s="1">
        <v>243125</v>
      </c>
    </row>
    <row r="969" spans="2:2" x14ac:dyDescent="0.2">
      <c r="B969" s="1">
        <v>243126</v>
      </c>
    </row>
    <row r="970" spans="2:2" x14ac:dyDescent="0.2">
      <c r="B970" s="1">
        <v>243127</v>
      </c>
    </row>
    <row r="971" spans="2:2" x14ac:dyDescent="0.2">
      <c r="B971" s="1">
        <v>243128</v>
      </c>
    </row>
    <row r="972" spans="2:2" x14ac:dyDescent="0.2">
      <c r="B972" s="1">
        <v>243129</v>
      </c>
    </row>
    <row r="973" spans="2:2" x14ac:dyDescent="0.2">
      <c r="B973" s="1">
        <v>243130</v>
      </c>
    </row>
    <row r="974" spans="2:2" x14ac:dyDescent="0.2">
      <c r="B974" s="1">
        <v>243131</v>
      </c>
    </row>
    <row r="975" spans="2:2" x14ac:dyDescent="0.2">
      <c r="B975" s="1">
        <v>243132</v>
      </c>
    </row>
    <row r="976" spans="2:2" x14ac:dyDescent="0.2">
      <c r="B976" s="1">
        <v>243133</v>
      </c>
    </row>
    <row r="977" spans="2:2" x14ac:dyDescent="0.2">
      <c r="B977" s="1">
        <v>243134</v>
      </c>
    </row>
    <row r="978" spans="2:2" x14ac:dyDescent="0.2">
      <c r="B978" s="1">
        <v>243135</v>
      </c>
    </row>
    <row r="979" spans="2:2" x14ac:dyDescent="0.2">
      <c r="B979" s="1">
        <v>243136</v>
      </c>
    </row>
    <row r="980" spans="2:2" x14ac:dyDescent="0.2">
      <c r="B980" s="1">
        <v>243137</v>
      </c>
    </row>
    <row r="981" spans="2:2" x14ac:dyDescent="0.2">
      <c r="B981" s="1">
        <v>243138</v>
      </c>
    </row>
    <row r="982" spans="2:2" x14ac:dyDescent="0.2">
      <c r="B982" s="1">
        <v>243139</v>
      </c>
    </row>
    <row r="983" spans="2:2" x14ac:dyDescent="0.2">
      <c r="B983" s="1">
        <v>243140</v>
      </c>
    </row>
    <row r="984" spans="2:2" x14ac:dyDescent="0.2">
      <c r="B984" s="1">
        <v>243141</v>
      </c>
    </row>
    <row r="985" spans="2:2" x14ac:dyDescent="0.2">
      <c r="B985" s="1">
        <v>243142</v>
      </c>
    </row>
    <row r="986" spans="2:2" x14ac:dyDescent="0.2">
      <c r="B986" s="1">
        <v>243143</v>
      </c>
    </row>
    <row r="987" spans="2:2" x14ac:dyDescent="0.2">
      <c r="B987" s="1">
        <v>243144</v>
      </c>
    </row>
    <row r="988" spans="2:2" x14ac:dyDescent="0.2">
      <c r="B988" s="1">
        <v>243145</v>
      </c>
    </row>
    <row r="989" spans="2:2" x14ac:dyDescent="0.2">
      <c r="B989" s="1">
        <v>243146</v>
      </c>
    </row>
    <row r="990" spans="2:2" x14ac:dyDescent="0.2">
      <c r="B990" s="1">
        <v>243147</v>
      </c>
    </row>
    <row r="991" spans="2:2" x14ac:dyDescent="0.2">
      <c r="B991" s="1">
        <v>243148</v>
      </c>
    </row>
    <row r="992" spans="2:2" x14ac:dyDescent="0.2">
      <c r="B992" s="1">
        <v>243149</v>
      </c>
    </row>
    <row r="993" spans="2:2" x14ac:dyDescent="0.2">
      <c r="B993" s="1">
        <v>243150</v>
      </c>
    </row>
    <row r="994" spans="2:2" x14ac:dyDescent="0.2">
      <c r="B994" s="1">
        <v>243151</v>
      </c>
    </row>
    <row r="995" spans="2:2" x14ac:dyDescent="0.2">
      <c r="B995" s="1">
        <v>243152</v>
      </c>
    </row>
    <row r="996" spans="2:2" x14ac:dyDescent="0.2">
      <c r="B996" s="1">
        <v>243153</v>
      </c>
    </row>
    <row r="997" spans="2:2" x14ac:dyDescent="0.2">
      <c r="B997" s="1">
        <v>243154</v>
      </c>
    </row>
    <row r="998" spans="2:2" x14ac:dyDescent="0.2">
      <c r="B998" s="1">
        <v>243155</v>
      </c>
    </row>
    <row r="999" spans="2:2" x14ac:dyDescent="0.2">
      <c r="B999" s="1">
        <v>243156</v>
      </c>
    </row>
    <row r="1000" spans="2:2" x14ac:dyDescent="0.2">
      <c r="B1000" s="1">
        <v>243157</v>
      </c>
    </row>
    <row r="1001" spans="2:2" x14ac:dyDescent="0.2">
      <c r="B1001" s="1">
        <v>243158</v>
      </c>
    </row>
    <row r="1002" spans="2:2" x14ac:dyDescent="0.2">
      <c r="B1002" s="1">
        <v>243159</v>
      </c>
    </row>
    <row r="1003" spans="2:2" x14ac:dyDescent="0.2">
      <c r="B1003" s="1">
        <v>243160</v>
      </c>
    </row>
    <row r="1004" spans="2:2" x14ac:dyDescent="0.2">
      <c r="B1004" s="1">
        <v>243161</v>
      </c>
    </row>
    <row r="1005" spans="2:2" x14ac:dyDescent="0.2">
      <c r="B1005" s="1">
        <v>243162</v>
      </c>
    </row>
    <row r="1006" spans="2:2" x14ac:dyDescent="0.2">
      <c r="B1006" s="1">
        <v>243163</v>
      </c>
    </row>
    <row r="1007" spans="2:2" x14ac:dyDescent="0.2">
      <c r="B1007" s="1">
        <v>243164</v>
      </c>
    </row>
    <row r="1008" spans="2:2" x14ac:dyDescent="0.2">
      <c r="B1008" s="1">
        <v>243165</v>
      </c>
    </row>
    <row r="1009" spans="2:2" x14ac:dyDescent="0.2">
      <c r="B1009" s="1">
        <v>243166</v>
      </c>
    </row>
    <row r="1010" spans="2:2" x14ac:dyDescent="0.2">
      <c r="B1010" s="1">
        <v>243167</v>
      </c>
    </row>
    <row r="1011" spans="2:2" x14ac:dyDescent="0.2">
      <c r="B1011" s="1">
        <v>243168</v>
      </c>
    </row>
    <row r="1012" spans="2:2" x14ac:dyDescent="0.2">
      <c r="B1012" s="1">
        <v>243169</v>
      </c>
    </row>
    <row r="1013" spans="2:2" x14ac:dyDescent="0.2">
      <c r="B1013" s="1">
        <v>243170</v>
      </c>
    </row>
    <row r="1014" spans="2:2" x14ac:dyDescent="0.2">
      <c r="B1014" s="1">
        <v>243171</v>
      </c>
    </row>
    <row r="1015" spans="2:2" x14ac:dyDescent="0.2">
      <c r="B1015" s="1">
        <v>243172</v>
      </c>
    </row>
    <row r="1016" spans="2:2" x14ac:dyDescent="0.2">
      <c r="B1016" s="1">
        <v>243173</v>
      </c>
    </row>
    <row r="1017" spans="2:2" x14ac:dyDescent="0.2">
      <c r="B1017" s="1">
        <v>243174</v>
      </c>
    </row>
    <row r="1018" spans="2:2" x14ac:dyDescent="0.2">
      <c r="B1018" s="1">
        <v>243175</v>
      </c>
    </row>
    <row r="1019" spans="2:2" x14ac:dyDescent="0.2">
      <c r="B1019" s="1">
        <v>243176</v>
      </c>
    </row>
    <row r="1020" spans="2:2" x14ac:dyDescent="0.2">
      <c r="B1020" s="1">
        <v>243177</v>
      </c>
    </row>
    <row r="1021" spans="2:2" x14ac:dyDescent="0.2">
      <c r="B1021" s="1">
        <v>243178</v>
      </c>
    </row>
    <row r="1022" spans="2:2" x14ac:dyDescent="0.2">
      <c r="B1022" s="1">
        <v>243179</v>
      </c>
    </row>
    <row r="1023" spans="2:2" x14ac:dyDescent="0.2">
      <c r="B1023" s="1">
        <v>243180</v>
      </c>
    </row>
    <row r="1024" spans="2:2" x14ac:dyDescent="0.2">
      <c r="B1024" s="1">
        <v>243181</v>
      </c>
    </row>
    <row r="1025" spans="2:2" x14ac:dyDescent="0.2">
      <c r="B1025" s="1">
        <v>243182</v>
      </c>
    </row>
    <row r="1026" spans="2:2" x14ac:dyDescent="0.2">
      <c r="B1026" s="1">
        <v>243183</v>
      </c>
    </row>
    <row r="1027" spans="2:2" x14ac:dyDescent="0.2">
      <c r="B1027" s="1">
        <v>243184</v>
      </c>
    </row>
    <row r="1028" spans="2:2" x14ac:dyDescent="0.2">
      <c r="B1028" s="1">
        <v>243185</v>
      </c>
    </row>
    <row r="1029" spans="2:2" x14ac:dyDescent="0.2">
      <c r="B1029" s="1">
        <v>243186</v>
      </c>
    </row>
    <row r="1030" spans="2:2" x14ac:dyDescent="0.2">
      <c r="B1030" s="1">
        <v>243187</v>
      </c>
    </row>
    <row r="1031" spans="2:2" x14ac:dyDescent="0.2">
      <c r="B1031" s="1">
        <v>243188</v>
      </c>
    </row>
    <row r="1032" spans="2:2" x14ac:dyDescent="0.2">
      <c r="B1032" s="1">
        <v>243189</v>
      </c>
    </row>
    <row r="1033" spans="2:2" x14ac:dyDescent="0.2">
      <c r="B1033" s="1">
        <v>243190</v>
      </c>
    </row>
    <row r="1034" spans="2:2" x14ac:dyDescent="0.2">
      <c r="B1034" s="1">
        <v>243191</v>
      </c>
    </row>
    <row r="1035" spans="2:2" x14ac:dyDescent="0.2">
      <c r="B1035" s="1">
        <v>243192</v>
      </c>
    </row>
    <row r="1036" spans="2:2" x14ac:dyDescent="0.2">
      <c r="B1036" s="1">
        <v>243193</v>
      </c>
    </row>
    <row r="1037" spans="2:2" x14ac:dyDescent="0.2">
      <c r="B1037" s="1">
        <v>243194</v>
      </c>
    </row>
    <row r="1038" spans="2:2" x14ac:dyDescent="0.2">
      <c r="B1038" s="1">
        <v>243195</v>
      </c>
    </row>
    <row r="1039" spans="2:2" x14ac:dyDescent="0.2">
      <c r="B1039" s="1">
        <v>243196</v>
      </c>
    </row>
    <row r="1040" spans="2:2" x14ac:dyDescent="0.2">
      <c r="B1040" s="1">
        <v>243197</v>
      </c>
    </row>
    <row r="1041" spans="2:2" x14ac:dyDescent="0.2">
      <c r="B1041" s="1">
        <v>243198</v>
      </c>
    </row>
    <row r="1042" spans="2:2" x14ac:dyDescent="0.2">
      <c r="B1042" s="1">
        <v>243199</v>
      </c>
    </row>
    <row r="1043" spans="2:2" x14ac:dyDescent="0.2">
      <c r="B1043" s="1">
        <v>243200</v>
      </c>
    </row>
    <row r="1044" spans="2:2" x14ac:dyDescent="0.2">
      <c r="B1044" s="1">
        <v>243201</v>
      </c>
    </row>
    <row r="1045" spans="2:2" x14ac:dyDescent="0.2">
      <c r="B1045" s="1">
        <v>243202</v>
      </c>
    </row>
    <row r="1046" spans="2:2" x14ac:dyDescent="0.2">
      <c r="B1046" s="1">
        <v>243203</v>
      </c>
    </row>
    <row r="1047" spans="2:2" x14ac:dyDescent="0.2">
      <c r="B1047" s="1">
        <v>243204</v>
      </c>
    </row>
    <row r="1048" spans="2:2" x14ac:dyDescent="0.2">
      <c r="B1048" s="1">
        <v>243205</v>
      </c>
    </row>
    <row r="1049" spans="2:2" x14ac:dyDescent="0.2">
      <c r="B1049" s="1">
        <v>243206</v>
      </c>
    </row>
    <row r="1050" spans="2:2" x14ac:dyDescent="0.2">
      <c r="B1050" s="1">
        <v>243207</v>
      </c>
    </row>
    <row r="1051" spans="2:2" x14ac:dyDescent="0.2">
      <c r="B1051" s="1">
        <v>243208</v>
      </c>
    </row>
    <row r="1052" spans="2:2" x14ac:dyDescent="0.2">
      <c r="B1052" s="1">
        <v>243209</v>
      </c>
    </row>
    <row r="1053" spans="2:2" x14ac:dyDescent="0.2">
      <c r="B1053" s="1">
        <v>243210</v>
      </c>
    </row>
    <row r="1054" spans="2:2" x14ac:dyDescent="0.2">
      <c r="B1054" s="1">
        <v>243211</v>
      </c>
    </row>
    <row r="1055" spans="2:2" x14ac:dyDescent="0.2">
      <c r="B1055" s="1">
        <v>243212</v>
      </c>
    </row>
    <row r="1056" spans="2:2" x14ac:dyDescent="0.2">
      <c r="B1056" s="1">
        <v>243213</v>
      </c>
    </row>
    <row r="1057" spans="2:2" x14ac:dyDescent="0.2">
      <c r="B1057" s="1">
        <v>243214</v>
      </c>
    </row>
    <row r="1058" spans="2:2" x14ac:dyDescent="0.2">
      <c r="B1058" s="1">
        <v>243215</v>
      </c>
    </row>
    <row r="1059" spans="2:2" x14ac:dyDescent="0.2">
      <c r="B1059" s="1">
        <v>243216</v>
      </c>
    </row>
    <row r="1060" spans="2:2" x14ac:dyDescent="0.2">
      <c r="B1060" s="1">
        <v>243217</v>
      </c>
    </row>
    <row r="1061" spans="2:2" x14ac:dyDescent="0.2">
      <c r="B1061" s="1">
        <v>243218</v>
      </c>
    </row>
    <row r="1062" spans="2:2" x14ac:dyDescent="0.2">
      <c r="B1062" s="1">
        <v>243219</v>
      </c>
    </row>
    <row r="1063" spans="2:2" x14ac:dyDescent="0.2">
      <c r="B1063" s="1">
        <v>243220</v>
      </c>
    </row>
    <row r="1064" spans="2:2" x14ac:dyDescent="0.2">
      <c r="B1064" s="1">
        <v>243221</v>
      </c>
    </row>
    <row r="1065" spans="2:2" x14ac:dyDescent="0.2">
      <c r="B1065" s="1">
        <v>243222</v>
      </c>
    </row>
    <row r="1066" spans="2:2" x14ac:dyDescent="0.2">
      <c r="B1066" s="1">
        <v>243223</v>
      </c>
    </row>
    <row r="1067" spans="2:2" x14ac:dyDescent="0.2">
      <c r="B1067" s="1">
        <v>243224</v>
      </c>
    </row>
    <row r="1068" spans="2:2" x14ac:dyDescent="0.2">
      <c r="B1068" s="1">
        <v>243225</v>
      </c>
    </row>
    <row r="1069" spans="2:2" x14ac:dyDescent="0.2">
      <c r="B1069" s="1">
        <v>243226</v>
      </c>
    </row>
    <row r="1070" spans="2:2" x14ac:dyDescent="0.2">
      <c r="B1070" s="1">
        <v>243227</v>
      </c>
    </row>
    <row r="1071" spans="2:2" x14ac:dyDescent="0.2">
      <c r="B1071" s="1">
        <v>243228</v>
      </c>
    </row>
    <row r="1072" spans="2:2" x14ac:dyDescent="0.2">
      <c r="B1072" s="1">
        <v>243229</v>
      </c>
    </row>
    <row r="1073" spans="2:2" x14ac:dyDescent="0.2">
      <c r="B1073" s="1">
        <v>243230</v>
      </c>
    </row>
    <row r="1074" spans="2:2" x14ac:dyDescent="0.2">
      <c r="B1074" s="1">
        <v>243231</v>
      </c>
    </row>
    <row r="1075" spans="2:2" x14ac:dyDescent="0.2">
      <c r="B1075" s="1">
        <v>243232</v>
      </c>
    </row>
    <row r="1076" spans="2:2" x14ac:dyDescent="0.2">
      <c r="B1076" s="1">
        <v>243233</v>
      </c>
    </row>
    <row r="1077" spans="2:2" x14ac:dyDescent="0.2">
      <c r="B1077" s="1">
        <v>243234</v>
      </c>
    </row>
    <row r="1078" spans="2:2" x14ac:dyDescent="0.2">
      <c r="B1078" s="1">
        <v>243235</v>
      </c>
    </row>
    <row r="1079" spans="2:2" x14ac:dyDescent="0.2">
      <c r="B1079" s="1">
        <v>243236</v>
      </c>
    </row>
    <row r="1080" spans="2:2" x14ac:dyDescent="0.2">
      <c r="B1080" s="1">
        <v>243237</v>
      </c>
    </row>
    <row r="1081" spans="2:2" x14ac:dyDescent="0.2">
      <c r="B1081" s="1">
        <v>243238</v>
      </c>
    </row>
    <row r="1082" spans="2:2" x14ac:dyDescent="0.2">
      <c r="B1082" s="1">
        <v>243239</v>
      </c>
    </row>
    <row r="1083" spans="2:2" x14ac:dyDescent="0.2">
      <c r="B1083" s="1">
        <v>243240</v>
      </c>
    </row>
    <row r="1084" spans="2:2" x14ac:dyDescent="0.2">
      <c r="B1084" s="1">
        <v>243241</v>
      </c>
    </row>
    <row r="1085" spans="2:2" x14ac:dyDescent="0.2">
      <c r="B1085" s="1">
        <v>243242</v>
      </c>
    </row>
    <row r="1086" spans="2:2" x14ac:dyDescent="0.2">
      <c r="B1086" s="1">
        <v>243243</v>
      </c>
    </row>
    <row r="1087" spans="2:2" x14ac:dyDescent="0.2">
      <c r="B1087" s="1">
        <v>243244</v>
      </c>
    </row>
    <row r="1088" spans="2:2" x14ac:dyDescent="0.2">
      <c r="B1088" s="1">
        <v>243245</v>
      </c>
    </row>
    <row r="1089" spans="2:2" x14ac:dyDescent="0.2">
      <c r="B1089" s="1">
        <v>243246</v>
      </c>
    </row>
    <row r="1090" spans="2:2" x14ac:dyDescent="0.2">
      <c r="B1090" s="1">
        <v>243247</v>
      </c>
    </row>
    <row r="1091" spans="2:2" x14ac:dyDescent="0.2">
      <c r="B1091" s="1">
        <v>243248</v>
      </c>
    </row>
    <row r="1092" spans="2:2" x14ac:dyDescent="0.2">
      <c r="B1092" s="1">
        <v>243249</v>
      </c>
    </row>
    <row r="1093" spans="2:2" x14ac:dyDescent="0.2">
      <c r="B1093" s="1">
        <v>243250</v>
      </c>
    </row>
    <row r="1094" spans="2:2" x14ac:dyDescent="0.2">
      <c r="B1094" s="1">
        <v>243251</v>
      </c>
    </row>
    <row r="1095" spans="2:2" x14ac:dyDescent="0.2">
      <c r="B1095" s="1">
        <v>243252</v>
      </c>
    </row>
    <row r="1096" spans="2:2" x14ac:dyDescent="0.2">
      <c r="B1096" s="1">
        <v>243253</v>
      </c>
    </row>
    <row r="1097" spans="2:2" x14ac:dyDescent="0.2">
      <c r="B1097" s="1">
        <v>243254</v>
      </c>
    </row>
    <row r="1098" spans="2:2" x14ac:dyDescent="0.2">
      <c r="B1098" s="1">
        <v>243255</v>
      </c>
    </row>
    <row r="1099" spans="2:2" x14ac:dyDescent="0.2">
      <c r="B1099" s="1">
        <v>243256</v>
      </c>
    </row>
    <row r="1100" spans="2:2" x14ac:dyDescent="0.2">
      <c r="B1100" s="1">
        <v>243257</v>
      </c>
    </row>
    <row r="1101" spans="2:2" x14ac:dyDescent="0.2">
      <c r="B1101" s="1">
        <v>243258</v>
      </c>
    </row>
    <row r="1102" spans="2:2" x14ac:dyDescent="0.2">
      <c r="B1102" s="1">
        <v>243259</v>
      </c>
    </row>
    <row r="1103" spans="2:2" x14ac:dyDescent="0.2">
      <c r="B1103" s="1">
        <v>243260</v>
      </c>
    </row>
    <row r="1104" spans="2:2" x14ac:dyDescent="0.2">
      <c r="B1104" s="1">
        <v>243261</v>
      </c>
    </row>
    <row r="1105" spans="2:2" x14ac:dyDescent="0.2">
      <c r="B1105" s="1">
        <v>243262</v>
      </c>
    </row>
    <row r="1106" spans="2:2" x14ac:dyDescent="0.2">
      <c r="B1106" s="1">
        <v>243263</v>
      </c>
    </row>
    <row r="1107" spans="2:2" x14ac:dyDescent="0.2">
      <c r="B1107" s="1">
        <v>243264</v>
      </c>
    </row>
    <row r="1108" spans="2:2" x14ac:dyDescent="0.2">
      <c r="B1108" s="1">
        <v>243265</v>
      </c>
    </row>
    <row r="1109" spans="2:2" x14ac:dyDescent="0.2">
      <c r="B1109" s="1">
        <v>243266</v>
      </c>
    </row>
    <row r="1110" spans="2:2" x14ac:dyDescent="0.2">
      <c r="B1110" s="1">
        <v>243267</v>
      </c>
    </row>
    <row r="1111" spans="2:2" x14ac:dyDescent="0.2">
      <c r="B1111" s="1">
        <v>243268</v>
      </c>
    </row>
    <row r="1112" spans="2:2" x14ac:dyDescent="0.2">
      <c r="B1112" s="1">
        <v>243269</v>
      </c>
    </row>
    <row r="1113" spans="2:2" x14ac:dyDescent="0.2">
      <c r="B1113" s="1">
        <v>243270</v>
      </c>
    </row>
    <row r="1114" spans="2:2" x14ac:dyDescent="0.2">
      <c r="B1114" s="1">
        <v>243271</v>
      </c>
    </row>
    <row r="1115" spans="2:2" x14ac:dyDescent="0.2">
      <c r="B1115" s="1">
        <v>243272</v>
      </c>
    </row>
    <row r="1116" spans="2:2" x14ac:dyDescent="0.2">
      <c r="B1116" s="1">
        <v>243273</v>
      </c>
    </row>
    <row r="1117" spans="2:2" x14ac:dyDescent="0.2">
      <c r="B1117" s="1">
        <v>243274</v>
      </c>
    </row>
    <row r="1118" spans="2:2" x14ac:dyDescent="0.2">
      <c r="B1118" s="1">
        <v>243275</v>
      </c>
    </row>
    <row r="1119" spans="2:2" x14ac:dyDescent="0.2">
      <c r="B1119" s="1">
        <v>243276</v>
      </c>
    </row>
    <row r="1120" spans="2:2" x14ac:dyDescent="0.2">
      <c r="B1120" s="1">
        <v>243277</v>
      </c>
    </row>
    <row r="1121" spans="2:2" x14ac:dyDescent="0.2">
      <c r="B1121" s="1">
        <v>243278</v>
      </c>
    </row>
    <row r="1122" spans="2:2" x14ac:dyDescent="0.2">
      <c r="B1122" s="1">
        <v>243279</v>
      </c>
    </row>
    <row r="1123" spans="2:2" x14ac:dyDescent="0.2">
      <c r="B1123" s="1">
        <v>243280</v>
      </c>
    </row>
    <row r="1124" spans="2:2" x14ac:dyDescent="0.2">
      <c r="B1124" s="1">
        <v>243281</v>
      </c>
    </row>
    <row r="1125" spans="2:2" x14ac:dyDescent="0.2">
      <c r="B1125" s="1">
        <v>243282</v>
      </c>
    </row>
    <row r="1126" spans="2:2" x14ac:dyDescent="0.2">
      <c r="B1126" s="1">
        <v>243283</v>
      </c>
    </row>
    <row r="1127" spans="2:2" x14ac:dyDescent="0.2">
      <c r="B1127" s="1">
        <v>243284</v>
      </c>
    </row>
    <row r="1128" spans="2:2" x14ac:dyDescent="0.2">
      <c r="B1128" s="1">
        <v>243285</v>
      </c>
    </row>
    <row r="1129" spans="2:2" x14ac:dyDescent="0.2">
      <c r="B1129" s="1">
        <v>243286</v>
      </c>
    </row>
    <row r="1130" spans="2:2" x14ac:dyDescent="0.2">
      <c r="B1130" s="1">
        <v>243287</v>
      </c>
    </row>
    <row r="1131" spans="2:2" x14ac:dyDescent="0.2">
      <c r="B1131" s="1">
        <v>243288</v>
      </c>
    </row>
    <row r="1132" spans="2:2" x14ac:dyDescent="0.2">
      <c r="B1132" s="1">
        <v>243289</v>
      </c>
    </row>
    <row r="1133" spans="2:2" x14ac:dyDescent="0.2">
      <c r="B1133" s="1">
        <v>243290</v>
      </c>
    </row>
    <row r="1134" spans="2:2" x14ac:dyDescent="0.2">
      <c r="B1134" s="1">
        <v>243291</v>
      </c>
    </row>
    <row r="1135" spans="2:2" x14ac:dyDescent="0.2">
      <c r="B1135" s="1">
        <v>243292</v>
      </c>
    </row>
    <row r="1136" spans="2:2" x14ac:dyDescent="0.2">
      <c r="B1136" s="1">
        <v>243293</v>
      </c>
    </row>
    <row r="1137" spans="2:2" x14ac:dyDescent="0.2">
      <c r="B1137" s="1">
        <v>243294</v>
      </c>
    </row>
    <row r="1138" spans="2:2" x14ac:dyDescent="0.2">
      <c r="B1138" s="1">
        <v>243295</v>
      </c>
    </row>
    <row r="1139" spans="2:2" x14ac:dyDescent="0.2">
      <c r="B1139" s="1">
        <v>243296</v>
      </c>
    </row>
    <row r="1140" spans="2:2" x14ac:dyDescent="0.2">
      <c r="B1140" s="1">
        <v>243297</v>
      </c>
    </row>
    <row r="1141" spans="2:2" x14ac:dyDescent="0.2">
      <c r="B1141" s="1">
        <v>243298</v>
      </c>
    </row>
    <row r="1142" spans="2:2" x14ac:dyDescent="0.2">
      <c r="B1142" s="1">
        <v>243299</v>
      </c>
    </row>
    <row r="1143" spans="2:2" x14ac:dyDescent="0.2">
      <c r="B1143" s="1">
        <v>243300</v>
      </c>
    </row>
    <row r="1144" spans="2:2" x14ac:dyDescent="0.2">
      <c r="B1144" s="1">
        <v>243301</v>
      </c>
    </row>
    <row r="1145" spans="2:2" x14ac:dyDescent="0.2">
      <c r="B1145" s="1">
        <v>243302</v>
      </c>
    </row>
    <row r="1146" spans="2:2" x14ac:dyDescent="0.2">
      <c r="B1146" s="1">
        <v>243303</v>
      </c>
    </row>
    <row r="1147" spans="2:2" x14ac:dyDescent="0.2">
      <c r="B1147" s="1">
        <v>243304</v>
      </c>
    </row>
    <row r="1148" spans="2:2" x14ac:dyDescent="0.2">
      <c r="B1148" s="1">
        <v>243305</v>
      </c>
    </row>
    <row r="1149" spans="2:2" x14ac:dyDescent="0.2">
      <c r="B1149" s="1">
        <v>243306</v>
      </c>
    </row>
    <row r="1150" spans="2:2" x14ac:dyDescent="0.2">
      <c r="B1150" s="1">
        <v>243307</v>
      </c>
    </row>
    <row r="1151" spans="2:2" x14ac:dyDescent="0.2">
      <c r="B1151" s="1">
        <v>243308</v>
      </c>
    </row>
    <row r="1152" spans="2:2" x14ac:dyDescent="0.2">
      <c r="B1152" s="1">
        <v>243309</v>
      </c>
    </row>
    <row r="1153" spans="2:2" x14ac:dyDescent="0.2">
      <c r="B1153" s="1">
        <v>243310</v>
      </c>
    </row>
    <row r="1154" spans="2:2" x14ac:dyDescent="0.2">
      <c r="B1154" s="1">
        <v>243311</v>
      </c>
    </row>
    <row r="1155" spans="2:2" x14ac:dyDescent="0.2">
      <c r="B1155" s="1">
        <v>243312</v>
      </c>
    </row>
    <row r="1156" spans="2:2" x14ac:dyDescent="0.2">
      <c r="B1156" s="1">
        <v>243313</v>
      </c>
    </row>
    <row r="1157" spans="2:2" x14ac:dyDescent="0.2">
      <c r="B1157" s="1">
        <v>243314</v>
      </c>
    </row>
    <row r="1158" spans="2:2" x14ac:dyDescent="0.2">
      <c r="B1158" s="1">
        <v>243315</v>
      </c>
    </row>
    <row r="1159" spans="2:2" x14ac:dyDescent="0.2">
      <c r="B1159" s="1">
        <v>243316</v>
      </c>
    </row>
    <row r="1160" spans="2:2" x14ac:dyDescent="0.2">
      <c r="B1160" s="1">
        <v>243317</v>
      </c>
    </row>
    <row r="1161" spans="2:2" x14ac:dyDescent="0.2">
      <c r="B1161" s="1">
        <v>243318</v>
      </c>
    </row>
    <row r="1162" spans="2:2" x14ac:dyDescent="0.2">
      <c r="B1162" s="1">
        <v>243319</v>
      </c>
    </row>
    <row r="1163" spans="2:2" x14ac:dyDescent="0.2">
      <c r="B1163" s="1">
        <v>243320</v>
      </c>
    </row>
    <row r="1164" spans="2:2" x14ac:dyDescent="0.2">
      <c r="B1164" s="1">
        <v>243321</v>
      </c>
    </row>
    <row r="1165" spans="2:2" x14ac:dyDescent="0.2">
      <c r="B1165" s="1">
        <v>243322</v>
      </c>
    </row>
    <row r="1166" spans="2:2" x14ac:dyDescent="0.2">
      <c r="B1166" s="1">
        <v>243323</v>
      </c>
    </row>
    <row r="1167" spans="2:2" x14ac:dyDescent="0.2">
      <c r="B1167" s="1">
        <v>243324</v>
      </c>
    </row>
    <row r="1168" spans="2:2" x14ac:dyDescent="0.2">
      <c r="B1168" s="1">
        <v>243325</v>
      </c>
    </row>
    <row r="1169" spans="2:2" x14ac:dyDescent="0.2">
      <c r="B1169" s="1">
        <v>243326</v>
      </c>
    </row>
    <row r="1170" spans="2:2" x14ac:dyDescent="0.2">
      <c r="B1170" s="1">
        <v>243327</v>
      </c>
    </row>
    <row r="1171" spans="2:2" x14ac:dyDescent="0.2">
      <c r="B1171" s="1">
        <v>243328</v>
      </c>
    </row>
    <row r="1172" spans="2:2" x14ac:dyDescent="0.2">
      <c r="B1172" s="1">
        <v>243329</v>
      </c>
    </row>
    <row r="1173" spans="2:2" x14ac:dyDescent="0.2">
      <c r="B1173" s="1">
        <v>243330</v>
      </c>
    </row>
    <row r="1174" spans="2:2" x14ac:dyDescent="0.2">
      <c r="B1174" s="1">
        <v>243331</v>
      </c>
    </row>
    <row r="1175" spans="2:2" x14ac:dyDescent="0.2">
      <c r="B1175" s="1">
        <v>243332</v>
      </c>
    </row>
    <row r="1176" spans="2:2" x14ac:dyDescent="0.2">
      <c r="B1176" s="1">
        <v>243333</v>
      </c>
    </row>
    <row r="1177" spans="2:2" x14ac:dyDescent="0.2">
      <c r="B1177" s="1">
        <v>243334</v>
      </c>
    </row>
    <row r="1178" spans="2:2" x14ac:dyDescent="0.2">
      <c r="B1178" s="1">
        <v>243335</v>
      </c>
    </row>
    <row r="1179" spans="2:2" x14ac:dyDescent="0.2">
      <c r="B1179" s="1">
        <v>243336</v>
      </c>
    </row>
    <row r="1180" spans="2:2" x14ac:dyDescent="0.2">
      <c r="B1180" s="1">
        <v>243337</v>
      </c>
    </row>
    <row r="1181" spans="2:2" x14ac:dyDescent="0.2">
      <c r="B1181" s="1">
        <v>243338</v>
      </c>
    </row>
    <row r="1182" spans="2:2" x14ac:dyDescent="0.2">
      <c r="B1182" s="1">
        <v>243339</v>
      </c>
    </row>
    <row r="1183" spans="2:2" x14ac:dyDescent="0.2">
      <c r="B1183" s="1">
        <v>243340</v>
      </c>
    </row>
    <row r="1184" spans="2:2" x14ac:dyDescent="0.2">
      <c r="B1184" s="1">
        <v>243341</v>
      </c>
    </row>
    <row r="1185" spans="2:2" x14ac:dyDescent="0.2">
      <c r="B1185" s="1">
        <v>243342</v>
      </c>
    </row>
    <row r="1186" spans="2:2" x14ac:dyDescent="0.2">
      <c r="B1186" s="1">
        <v>243343</v>
      </c>
    </row>
    <row r="1187" spans="2:2" x14ac:dyDescent="0.2">
      <c r="B1187" s="1">
        <v>243344</v>
      </c>
    </row>
    <row r="1188" spans="2:2" x14ac:dyDescent="0.2">
      <c r="B1188" s="1">
        <v>243345</v>
      </c>
    </row>
    <row r="1189" spans="2:2" x14ac:dyDescent="0.2">
      <c r="B1189" s="1">
        <v>243346</v>
      </c>
    </row>
    <row r="1190" spans="2:2" x14ac:dyDescent="0.2">
      <c r="B1190" s="1">
        <v>243347</v>
      </c>
    </row>
    <row r="1191" spans="2:2" x14ac:dyDescent="0.2">
      <c r="B1191" s="1">
        <v>243348</v>
      </c>
    </row>
    <row r="1192" spans="2:2" x14ac:dyDescent="0.2">
      <c r="B1192" s="1">
        <v>243349</v>
      </c>
    </row>
    <row r="1193" spans="2:2" x14ac:dyDescent="0.2">
      <c r="B1193" s="1">
        <v>243350</v>
      </c>
    </row>
    <row r="1194" spans="2:2" x14ac:dyDescent="0.2">
      <c r="B1194" s="1">
        <v>243351</v>
      </c>
    </row>
    <row r="1195" spans="2:2" x14ac:dyDescent="0.2">
      <c r="B1195" s="1">
        <v>243352</v>
      </c>
    </row>
    <row r="1196" spans="2:2" x14ac:dyDescent="0.2">
      <c r="B1196" s="1">
        <v>243353</v>
      </c>
    </row>
    <row r="1197" spans="2:2" x14ac:dyDescent="0.2">
      <c r="B1197" s="1">
        <v>243354</v>
      </c>
    </row>
    <row r="1198" spans="2:2" x14ac:dyDescent="0.2">
      <c r="B1198" s="1">
        <v>243355</v>
      </c>
    </row>
    <row r="1199" spans="2:2" x14ac:dyDescent="0.2">
      <c r="B1199" s="1">
        <v>243356</v>
      </c>
    </row>
    <row r="1200" spans="2:2" x14ac:dyDescent="0.2">
      <c r="B1200" s="1">
        <v>243357</v>
      </c>
    </row>
    <row r="1201" spans="2:2" x14ac:dyDescent="0.2">
      <c r="B1201" s="1">
        <v>243358</v>
      </c>
    </row>
    <row r="1202" spans="2:2" x14ac:dyDescent="0.2">
      <c r="B1202" s="1">
        <v>243359</v>
      </c>
    </row>
    <row r="1203" spans="2:2" x14ac:dyDescent="0.2">
      <c r="B1203" s="1">
        <v>243360</v>
      </c>
    </row>
    <row r="1204" spans="2:2" x14ac:dyDescent="0.2">
      <c r="B1204" s="1">
        <v>243361</v>
      </c>
    </row>
    <row r="1205" spans="2:2" x14ac:dyDescent="0.2">
      <c r="B1205" s="1">
        <v>243362</v>
      </c>
    </row>
    <row r="1206" spans="2:2" x14ac:dyDescent="0.2">
      <c r="B1206" s="1">
        <v>243363</v>
      </c>
    </row>
    <row r="1207" spans="2:2" x14ac:dyDescent="0.2">
      <c r="B1207" s="1">
        <v>243364</v>
      </c>
    </row>
    <row r="1208" spans="2:2" x14ac:dyDescent="0.2">
      <c r="B1208" s="1">
        <v>243365</v>
      </c>
    </row>
    <row r="1209" spans="2:2" x14ac:dyDescent="0.2">
      <c r="B1209" s="1">
        <v>243366</v>
      </c>
    </row>
    <row r="1210" spans="2:2" x14ac:dyDescent="0.2">
      <c r="B1210" s="1">
        <v>243367</v>
      </c>
    </row>
    <row r="1211" spans="2:2" x14ac:dyDescent="0.2">
      <c r="B1211" s="1">
        <v>243368</v>
      </c>
    </row>
    <row r="1212" spans="2:2" x14ac:dyDescent="0.2">
      <c r="B1212" s="1">
        <v>243369</v>
      </c>
    </row>
    <row r="1213" spans="2:2" x14ac:dyDescent="0.2">
      <c r="B1213" s="1">
        <v>243370</v>
      </c>
    </row>
    <row r="1214" spans="2:2" x14ac:dyDescent="0.2">
      <c r="B1214" s="1">
        <v>243371</v>
      </c>
    </row>
    <row r="1215" spans="2:2" x14ac:dyDescent="0.2">
      <c r="B1215" s="1">
        <v>243372</v>
      </c>
    </row>
    <row r="1216" spans="2:2" x14ac:dyDescent="0.2">
      <c r="B1216" s="1">
        <v>243373</v>
      </c>
    </row>
    <row r="1217" spans="2:2" x14ac:dyDescent="0.2">
      <c r="B1217" s="1">
        <v>243374</v>
      </c>
    </row>
    <row r="1218" spans="2:2" x14ac:dyDescent="0.2">
      <c r="B1218" s="1">
        <v>243375</v>
      </c>
    </row>
    <row r="1219" spans="2:2" x14ac:dyDescent="0.2">
      <c r="B1219" s="1">
        <v>243376</v>
      </c>
    </row>
    <row r="1220" spans="2:2" x14ac:dyDescent="0.2">
      <c r="B1220" s="1">
        <v>243377</v>
      </c>
    </row>
    <row r="1221" spans="2:2" x14ac:dyDescent="0.2">
      <c r="B1221" s="1">
        <v>243378</v>
      </c>
    </row>
    <row r="1222" spans="2:2" x14ac:dyDescent="0.2">
      <c r="B1222" s="1">
        <v>243379</v>
      </c>
    </row>
    <row r="1223" spans="2:2" x14ac:dyDescent="0.2">
      <c r="B1223" s="1">
        <v>243380</v>
      </c>
    </row>
    <row r="1224" spans="2:2" x14ac:dyDescent="0.2">
      <c r="B1224" s="1">
        <v>243381</v>
      </c>
    </row>
    <row r="1225" spans="2:2" x14ac:dyDescent="0.2">
      <c r="B1225" s="1">
        <v>243382</v>
      </c>
    </row>
    <row r="1226" spans="2:2" x14ac:dyDescent="0.2">
      <c r="B1226" s="1">
        <v>243383</v>
      </c>
    </row>
    <row r="1227" spans="2:2" x14ac:dyDescent="0.2">
      <c r="B1227" s="1">
        <v>243384</v>
      </c>
    </row>
    <row r="1228" spans="2:2" x14ac:dyDescent="0.2">
      <c r="B1228" s="1">
        <v>243385</v>
      </c>
    </row>
    <row r="1229" spans="2:2" x14ac:dyDescent="0.2">
      <c r="B1229" s="1">
        <v>243386</v>
      </c>
    </row>
    <row r="1230" spans="2:2" x14ac:dyDescent="0.2">
      <c r="B1230" s="1">
        <v>243387</v>
      </c>
    </row>
    <row r="1231" spans="2:2" x14ac:dyDescent="0.2">
      <c r="B1231" s="1">
        <v>243388</v>
      </c>
    </row>
    <row r="1232" spans="2:2" x14ac:dyDescent="0.2">
      <c r="B1232" s="1">
        <v>243389</v>
      </c>
    </row>
    <row r="1233" spans="2:2" x14ac:dyDescent="0.2">
      <c r="B1233" s="1">
        <v>243390</v>
      </c>
    </row>
    <row r="1234" spans="2:2" x14ac:dyDescent="0.2">
      <c r="B1234" s="1">
        <v>243391</v>
      </c>
    </row>
    <row r="1235" spans="2:2" x14ac:dyDescent="0.2">
      <c r="B1235" s="1">
        <v>243392</v>
      </c>
    </row>
    <row r="1236" spans="2:2" x14ac:dyDescent="0.2">
      <c r="B1236" s="1">
        <v>243393</v>
      </c>
    </row>
    <row r="1237" spans="2:2" x14ac:dyDescent="0.2">
      <c r="B1237" s="1">
        <v>243394</v>
      </c>
    </row>
    <row r="1238" spans="2:2" x14ac:dyDescent="0.2">
      <c r="B1238" s="1">
        <v>243395</v>
      </c>
    </row>
    <row r="1239" spans="2:2" x14ac:dyDescent="0.2">
      <c r="B1239" s="1">
        <v>243396</v>
      </c>
    </row>
    <row r="1240" spans="2:2" x14ac:dyDescent="0.2">
      <c r="B1240" s="1">
        <v>243397</v>
      </c>
    </row>
    <row r="1241" spans="2:2" x14ac:dyDescent="0.2">
      <c r="B1241" s="1">
        <v>243398</v>
      </c>
    </row>
    <row r="1242" spans="2:2" x14ac:dyDescent="0.2">
      <c r="B1242" s="1">
        <v>243399</v>
      </c>
    </row>
    <row r="1243" spans="2:2" x14ac:dyDescent="0.2">
      <c r="B1243" s="1">
        <v>243400</v>
      </c>
    </row>
    <row r="1244" spans="2:2" x14ac:dyDescent="0.2">
      <c r="B1244" s="1">
        <v>243401</v>
      </c>
    </row>
    <row r="1245" spans="2:2" x14ac:dyDescent="0.2">
      <c r="B1245" s="1">
        <v>243402</v>
      </c>
    </row>
    <row r="1246" spans="2:2" x14ac:dyDescent="0.2">
      <c r="B1246" s="1">
        <v>243403</v>
      </c>
    </row>
    <row r="1247" spans="2:2" x14ac:dyDescent="0.2">
      <c r="B1247" s="1">
        <v>243404</v>
      </c>
    </row>
    <row r="1248" spans="2:2" x14ac:dyDescent="0.2">
      <c r="B1248" s="1">
        <v>243405</v>
      </c>
    </row>
    <row r="1249" spans="2:2" x14ac:dyDescent="0.2">
      <c r="B1249" s="1">
        <v>243406</v>
      </c>
    </row>
    <row r="1250" spans="2:2" x14ac:dyDescent="0.2">
      <c r="B1250" s="1">
        <v>243407</v>
      </c>
    </row>
    <row r="1251" spans="2:2" x14ac:dyDescent="0.2">
      <c r="B1251" s="1">
        <v>243408</v>
      </c>
    </row>
    <row r="1252" spans="2:2" x14ac:dyDescent="0.2">
      <c r="B1252" s="1">
        <v>243409</v>
      </c>
    </row>
    <row r="1253" spans="2:2" x14ac:dyDescent="0.2">
      <c r="B1253" s="1">
        <v>243410</v>
      </c>
    </row>
    <row r="1254" spans="2:2" x14ac:dyDescent="0.2">
      <c r="B1254" s="1">
        <v>243411</v>
      </c>
    </row>
    <row r="1255" spans="2:2" x14ac:dyDescent="0.2">
      <c r="B1255" s="1">
        <v>243412</v>
      </c>
    </row>
    <row r="1256" spans="2:2" x14ac:dyDescent="0.2">
      <c r="B1256" s="1">
        <v>243413</v>
      </c>
    </row>
    <row r="1257" spans="2:2" x14ac:dyDescent="0.2">
      <c r="B1257" s="1">
        <v>243414</v>
      </c>
    </row>
    <row r="1258" spans="2:2" x14ac:dyDescent="0.2">
      <c r="B1258" s="1">
        <v>243415</v>
      </c>
    </row>
    <row r="1259" spans="2:2" x14ac:dyDescent="0.2">
      <c r="B1259" s="1">
        <v>243416</v>
      </c>
    </row>
    <row r="1260" spans="2:2" x14ac:dyDescent="0.2">
      <c r="B1260" s="1">
        <v>243417</v>
      </c>
    </row>
    <row r="1261" spans="2:2" x14ac:dyDescent="0.2">
      <c r="B1261" s="1">
        <v>243418</v>
      </c>
    </row>
    <row r="1262" spans="2:2" x14ac:dyDescent="0.2">
      <c r="B1262" s="1">
        <v>243419</v>
      </c>
    </row>
    <row r="1263" spans="2:2" x14ac:dyDescent="0.2">
      <c r="B1263" s="1">
        <v>243420</v>
      </c>
    </row>
    <row r="1264" spans="2:2" x14ac:dyDescent="0.2">
      <c r="B1264" s="1">
        <v>243421</v>
      </c>
    </row>
    <row r="1265" spans="2:2" x14ac:dyDescent="0.2">
      <c r="B1265" s="1">
        <v>243422</v>
      </c>
    </row>
    <row r="1266" spans="2:2" x14ac:dyDescent="0.2">
      <c r="B1266" s="1">
        <v>243423</v>
      </c>
    </row>
    <row r="1267" spans="2:2" x14ac:dyDescent="0.2">
      <c r="B1267" s="1">
        <v>243424</v>
      </c>
    </row>
    <row r="1268" spans="2:2" x14ac:dyDescent="0.2">
      <c r="B1268" s="1">
        <v>243425</v>
      </c>
    </row>
    <row r="1269" spans="2:2" x14ac:dyDescent="0.2">
      <c r="B1269" s="1">
        <v>243426</v>
      </c>
    </row>
    <row r="1270" spans="2:2" x14ac:dyDescent="0.2">
      <c r="B1270" s="1">
        <v>243427</v>
      </c>
    </row>
    <row r="1271" spans="2:2" x14ac:dyDescent="0.2">
      <c r="B1271" s="1">
        <v>243428</v>
      </c>
    </row>
    <row r="1272" spans="2:2" x14ac:dyDescent="0.2">
      <c r="B1272" s="1">
        <v>243429</v>
      </c>
    </row>
    <row r="1273" spans="2:2" x14ac:dyDescent="0.2">
      <c r="B1273" s="1">
        <v>243430</v>
      </c>
    </row>
    <row r="1274" spans="2:2" x14ac:dyDescent="0.2">
      <c r="B1274" s="1">
        <v>243431</v>
      </c>
    </row>
    <row r="1275" spans="2:2" x14ac:dyDescent="0.2">
      <c r="B1275" s="1">
        <v>243432</v>
      </c>
    </row>
    <row r="1276" spans="2:2" x14ac:dyDescent="0.2">
      <c r="B1276" s="1">
        <v>243433</v>
      </c>
    </row>
    <row r="1277" spans="2:2" x14ac:dyDescent="0.2">
      <c r="B1277" s="1">
        <v>243434</v>
      </c>
    </row>
    <row r="1278" spans="2:2" x14ac:dyDescent="0.2">
      <c r="B1278" s="1">
        <v>243435</v>
      </c>
    </row>
    <row r="1279" spans="2:2" x14ac:dyDescent="0.2">
      <c r="B1279" s="1">
        <v>243436</v>
      </c>
    </row>
    <row r="1280" spans="2:2" x14ac:dyDescent="0.2">
      <c r="B1280" s="1">
        <v>243437</v>
      </c>
    </row>
    <row r="1281" spans="2:2" x14ac:dyDescent="0.2">
      <c r="B1281" s="1">
        <v>243438</v>
      </c>
    </row>
    <row r="1282" spans="2:2" x14ac:dyDescent="0.2">
      <c r="B1282" s="1">
        <v>243439</v>
      </c>
    </row>
    <row r="1283" spans="2:2" x14ac:dyDescent="0.2">
      <c r="B1283" s="1">
        <v>243440</v>
      </c>
    </row>
    <row r="1284" spans="2:2" x14ac:dyDescent="0.2">
      <c r="B1284" s="1">
        <v>243441</v>
      </c>
    </row>
    <row r="1285" spans="2:2" x14ac:dyDescent="0.2">
      <c r="B1285" s="1">
        <v>243442</v>
      </c>
    </row>
    <row r="1286" spans="2:2" x14ac:dyDescent="0.2">
      <c r="B1286" s="1">
        <v>243443</v>
      </c>
    </row>
    <row r="1287" spans="2:2" x14ac:dyDescent="0.2">
      <c r="B1287" s="1">
        <v>243444</v>
      </c>
    </row>
    <row r="1288" spans="2:2" x14ac:dyDescent="0.2">
      <c r="B1288" s="1">
        <v>243445</v>
      </c>
    </row>
    <row r="1289" spans="2:2" x14ac:dyDescent="0.2">
      <c r="B1289" s="1">
        <v>243446</v>
      </c>
    </row>
    <row r="1290" spans="2:2" x14ac:dyDescent="0.2">
      <c r="B1290" s="1">
        <v>243447</v>
      </c>
    </row>
    <row r="1291" spans="2:2" x14ac:dyDescent="0.2">
      <c r="B1291" s="1">
        <v>243448</v>
      </c>
    </row>
    <row r="1292" spans="2:2" x14ac:dyDescent="0.2">
      <c r="B1292" s="1">
        <v>243449</v>
      </c>
    </row>
    <row r="1293" spans="2:2" x14ac:dyDescent="0.2">
      <c r="B1293" s="1">
        <v>243450</v>
      </c>
    </row>
    <row r="1294" spans="2:2" x14ac:dyDescent="0.2">
      <c r="B1294" s="1">
        <v>243451</v>
      </c>
    </row>
    <row r="1295" spans="2:2" x14ac:dyDescent="0.2">
      <c r="B1295" s="1">
        <v>243452</v>
      </c>
    </row>
    <row r="1296" spans="2:2" x14ac:dyDescent="0.2">
      <c r="B1296" s="1">
        <v>243453</v>
      </c>
    </row>
    <row r="1297" spans="2:2" x14ac:dyDescent="0.2">
      <c r="B1297" s="1">
        <v>243454</v>
      </c>
    </row>
    <row r="1298" spans="2:2" x14ac:dyDescent="0.2">
      <c r="B1298" s="1">
        <v>243455</v>
      </c>
    </row>
    <row r="1299" spans="2:2" x14ac:dyDescent="0.2">
      <c r="B1299" s="1">
        <v>243456</v>
      </c>
    </row>
    <row r="1300" spans="2:2" x14ac:dyDescent="0.2">
      <c r="B1300" s="1">
        <v>243457</v>
      </c>
    </row>
    <row r="1301" spans="2:2" x14ac:dyDescent="0.2">
      <c r="B1301" s="1">
        <v>243458</v>
      </c>
    </row>
    <row r="1302" spans="2:2" x14ac:dyDescent="0.2">
      <c r="B1302" s="1">
        <v>243459</v>
      </c>
    </row>
    <row r="1303" spans="2:2" x14ac:dyDescent="0.2">
      <c r="B1303" s="1">
        <v>243460</v>
      </c>
    </row>
    <row r="1304" spans="2:2" x14ac:dyDescent="0.2">
      <c r="B1304" s="1">
        <v>243461</v>
      </c>
    </row>
    <row r="1305" spans="2:2" x14ac:dyDescent="0.2">
      <c r="B1305" s="1">
        <v>243462</v>
      </c>
    </row>
    <row r="1306" spans="2:2" x14ac:dyDescent="0.2">
      <c r="B1306" s="1">
        <v>243463</v>
      </c>
    </row>
    <row r="1307" spans="2:2" x14ac:dyDescent="0.2">
      <c r="B1307" s="1">
        <v>243464</v>
      </c>
    </row>
    <row r="1308" spans="2:2" x14ac:dyDescent="0.2">
      <c r="B1308" s="1">
        <v>243465</v>
      </c>
    </row>
    <row r="1309" spans="2:2" x14ac:dyDescent="0.2">
      <c r="B1309" s="1">
        <v>243466</v>
      </c>
    </row>
    <row r="1310" spans="2:2" x14ac:dyDescent="0.2">
      <c r="B1310" s="1">
        <v>243467</v>
      </c>
    </row>
    <row r="1311" spans="2:2" x14ac:dyDescent="0.2">
      <c r="B1311" s="1">
        <v>243468</v>
      </c>
    </row>
    <row r="1312" spans="2:2" x14ac:dyDescent="0.2">
      <c r="B1312" s="1">
        <v>243469</v>
      </c>
    </row>
    <row r="1313" spans="2:2" x14ac:dyDescent="0.2">
      <c r="B1313" s="1">
        <v>243470</v>
      </c>
    </row>
    <row r="1314" spans="2:2" x14ac:dyDescent="0.2">
      <c r="B1314" s="1">
        <v>243471</v>
      </c>
    </row>
    <row r="1315" spans="2:2" x14ac:dyDescent="0.2">
      <c r="B1315" s="1">
        <v>243472</v>
      </c>
    </row>
    <row r="1316" spans="2:2" x14ac:dyDescent="0.2">
      <c r="B1316" s="1">
        <v>243473</v>
      </c>
    </row>
    <row r="1317" spans="2:2" x14ac:dyDescent="0.2">
      <c r="B1317" s="1">
        <v>243474</v>
      </c>
    </row>
    <row r="1318" spans="2:2" x14ac:dyDescent="0.2">
      <c r="B1318" s="1">
        <v>243475</v>
      </c>
    </row>
    <row r="1319" spans="2:2" x14ac:dyDescent="0.2">
      <c r="B1319" s="1">
        <v>243476</v>
      </c>
    </row>
    <row r="1320" spans="2:2" x14ac:dyDescent="0.2">
      <c r="B1320" s="1">
        <v>243477</v>
      </c>
    </row>
    <row r="1321" spans="2:2" x14ac:dyDescent="0.2">
      <c r="B1321" s="1">
        <v>243478</v>
      </c>
    </row>
    <row r="1322" spans="2:2" x14ac:dyDescent="0.2">
      <c r="B1322" s="1">
        <v>243479</v>
      </c>
    </row>
    <row r="1323" spans="2:2" x14ac:dyDescent="0.2">
      <c r="B1323" s="1">
        <v>243480</v>
      </c>
    </row>
    <row r="1324" spans="2:2" x14ac:dyDescent="0.2">
      <c r="B1324" s="1">
        <v>243481</v>
      </c>
    </row>
    <row r="1325" spans="2:2" x14ac:dyDescent="0.2">
      <c r="B1325" s="1">
        <v>243482</v>
      </c>
    </row>
    <row r="1326" spans="2:2" x14ac:dyDescent="0.2">
      <c r="B1326" s="1">
        <v>243483</v>
      </c>
    </row>
    <row r="1327" spans="2:2" x14ac:dyDescent="0.2">
      <c r="B1327" s="1">
        <v>243484</v>
      </c>
    </row>
    <row r="1328" spans="2:2" x14ac:dyDescent="0.2">
      <c r="B1328" s="1">
        <v>243485</v>
      </c>
    </row>
    <row r="1329" spans="2:2" x14ac:dyDescent="0.2">
      <c r="B1329" s="1">
        <v>243486</v>
      </c>
    </row>
    <row r="1330" spans="2:2" x14ac:dyDescent="0.2">
      <c r="B1330" s="1">
        <v>243487</v>
      </c>
    </row>
    <row r="1331" spans="2:2" x14ac:dyDescent="0.2">
      <c r="B1331" s="1">
        <v>243488</v>
      </c>
    </row>
    <row r="1332" spans="2:2" x14ac:dyDescent="0.2">
      <c r="B1332" s="1">
        <v>243489</v>
      </c>
    </row>
    <row r="1333" spans="2:2" x14ac:dyDescent="0.2">
      <c r="B1333" s="1">
        <v>243490</v>
      </c>
    </row>
    <row r="1334" spans="2:2" x14ac:dyDescent="0.2">
      <c r="B1334" s="1">
        <v>243491</v>
      </c>
    </row>
    <row r="1335" spans="2:2" x14ac:dyDescent="0.2">
      <c r="B1335" s="1">
        <v>243492</v>
      </c>
    </row>
    <row r="1336" spans="2:2" x14ac:dyDescent="0.2">
      <c r="B1336" s="1">
        <v>243493</v>
      </c>
    </row>
    <row r="1337" spans="2:2" x14ac:dyDescent="0.2">
      <c r="B1337" s="1">
        <v>243494</v>
      </c>
    </row>
    <row r="1338" spans="2:2" x14ac:dyDescent="0.2">
      <c r="B1338" s="1">
        <v>243495</v>
      </c>
    </row>
    <row r="1339" spans="2:2" x14ac:dyDescent="0.2">
      <c r="B1339" s="1">
        <v>243496</v>
      </c>
    </row>
    <row r="1340" spans="2:2" x14ac:dyDescent="0.2">
      <c r="B1340" s="1">
        <v>243497</v>
      </c>
    </row>
    <row r="1341" spans="2:2" x14ac:dyDescent="0.2">
      <c r="B1341" s="1">
        <v>243498</v>
      </c>
    </row>
    <row r="1342" spans="2:2" x14ac:dyDescent="0.2">
      <c r="B1342" s="1">
        <v>243499</v>
      </c>
    </row>
    <row r="1343" spans="2:2" x14ac:dyDescent="0.2">
      <c r="B1343" s="1">
        <v>243500</v>
      </c>
    </row>
    <row r="1344" spans="2:2" x14ac:dyDescent="0.2">
      <c r="B1344" s="1">
        <v>243501</v>
      </c>
    </row>
    <row r="1345" spans="2:2" x14ac:dyDescent="0.2">
      <c r="B1345" s="1">
        <v>243502</v>
      </c>
    </row>
    <row r="1346" spans="2:2" x14ac:dyDescent="0.2">
      <c r="B1346" s="1">
        <v>243503</v>
      </c>
    </row>
    <row r="1347" spans="2:2" x14ac:dyDescent="0.2">
      <c r="B1347" s="1">
        <v>243504</v>
      </c>
    </row>
    <row r="1348" spans="2:2" x14ac:dyDescent="0.2">
      <c r="B1348" s="1">
        <v>243505</v>
      </c>
    </row>
    <row r="1349" spans="2:2" x14ac:dyDescent="0.2">
      <c r="B1349" s="1">
        <v>243506</v>
      </c>
    </row>
    <row r="1350" spans="2:2" x14ac:dyDescent="0.2">
      <c r="B1350" s="1">
        <v>243507</v>
      </c>
    </row>
    <row r="1351" spans="2:2" x14ac:dyDescent="0.2">
      <c r="B1351" s="1">
        <v>243508</v>
      </c>
    </row>
    <row r="1352" spans="2:2" x14ac:dyDescent="0.2">
      <c r="B1352" s="1">
        <v>243509</v>
      </c>
    </row>
    <row r="1353" spans="2:2" x14ac:dyDescent="0.2">
      <c r="B1353" s="1">
        <v>243510</v>
      </c>
    </row>
    <row r="1354" spans="2:2" x14ac:dyDescent="0.2">
      <c r="B1354" s="1">
        <v>243511</v>
      </c>
    </row>
    <row r="1355" spans="2:2" x14ac:dyDescent="0.2">
      <c r="B1355" s="1">
        <v>243512</v>
      </c>
    </row>
    <row r="1356" spans="2:2" x14ac:dyDescent="0.2">
      <c r="B1356" s="1">
        <v>243513</v>
      </c>
    </row>
    <row r="1357" spans="2:2" x14ac:dyDescent="0.2">
      <c r="B1357" s="1">
        <v>243514</v>
      </c>
    </row>
    <row r="1358" spans="2:2" x14ac:dyDescent="0.2">
      <c r="B1358" s="1">
        <v>243515</v>
      </c>
    </row>
    <row r="1359" spans="2:2" x14ac:dyDescent="0.2">
      <c r="B1359" s="1">
        <v>243516</v>
      </c>
    </row>
    <row r="1360" spans="2:2" x14ac:dyDescent="0.2">
      <c r="B1360" s="1">
        <v>243517</v>
      </c>
    </row>
    <row r="1361" spans="2:2" x14ac:dyDescent="0.2">
      <c r="B1361" s="1">
        <v>243518</v>
      </c>
    </row>
    <row r="1362" spans="2:2" x14ac:dyDescent="0.2">
      <c r="B1362" s="1">
        <v>243519</v>
      </c>
    </row>
    <row r="1363" spans="2:2" x14ac:dyDescent="0.2">
      <c r="B1363" s="1">
        <v>243520</v>
      </c>
    </row>
    <row r="1364" spans="2:2" x14ac:dyDescent="0.2">
      <c r="B1364" s="1">
        <v>243521</v>
      </c>
    </row>
    <row r="1365" spans="2:2" x14ac:dyDescent="0.2">
      <c r="B1365" s="1">
        <v>243522</v>
      </c>
    </row>
    <row r="1366" spans="2:2" x14ac:dyDescent="0.2">
      <c r="B1366" s="1">
        <v>243523</v>
      </c>
    </row>
    <row r="1367" spans="2:2" x14ac:dyDescent="0.2">
      <c r="B1367" s="1">
        <v>243524</v>
      </c>
    </row>
    <row r="1368" spans="2:2" x14ac:dyDescent="0.2">
      <c r="B1368" s="1">
        <v>243525</v>
      </c>
    </row>
    <row r="1369" spans="2:2" x14ac:dyDescent="0.2">
      <c r="B1369" s="1">
        <v>243526</v>
      </c>
    </row>
    <row r="1370" spans="2:2" x14ac:dyDescent="0.2">
      <c r="B1370" s="1">
        <v>243527</v>
      </c>
    </row>
    <row r="1371" spans="2:2" x14ac:dyDescent="0.2">
      <c r="B1371" s="1">
        <v>243528</v>
      </c>
    </row>
    <row r="1372" spans="2:2" x14ac:dyDescent="0.2">
      <c r="B1372" s="1">
        <v>243529</v>
      </c>
    </row>
    <row r="1373" spans="2:2" x14ac:dyDescent="0.2">
      <c r="B1373" s="1">
        <v>243530</v>
      </c>
    </row>
    <row r="1374" spans="2:2" x14ac:dyDescent="0.2">
      <c r="B1374" s="1">
        <v>243531</v>
      </c>
    </row>
    <row r="1375" spans="2:2" x14ac:dyDescent="0.2">
      <c r="B1375" s="1">
        <v>243532</v>
      </c>
    </row>
    <row r="1376" spans="2:2" x14ac:dyDescent="0.2">
      <c r="B1376" s="1">
        <v>243533</v>
      </c>
    </row>
    <row r="1377" spans="2:2" x14ac:dyDescent="0.2">
      <c r="B1377" s="1">
        <v>243534</v>
      </c>
    </row>
    <row r="1378" spans="2:2" x14ac:dyDescent="0.2">
      <c r="B1378" s="1">
        <v>243535</v>
      </c>
    </row>
    <row r="1379" spans="2:2" x14ac:dyDescent="0.2">
      <c r="B1379" s="1">
        <v>243536</v>
      </c>
    </row>
    <row r="1380" spans="2:2" x14ac:dyDescent="0.2">
      <c r="B1380" s="1">
        <v>243537</v>
      </c>
    </row>
    <row r="1381" spans="2:2" x14ac:dyDescent="0.2">
      <c r="B1381" s="1">
        <v>243538</v>
      </c>
    </row>
    <row r="1382" spans="2:2" x14ac:dyDescent="0.2">
      <c r="B1382" s="1">
        <v>243539</v>
      </c>
    </row>
    <row r="1383" spans="2:2" x14ac:dyDescent="0.2">
      <c r="B1383" s="1">
        <v>243540</v>
      </c>
    </row>
    <row r="1384" spans="2:2" x14ac:dyDescent="0.2">
      <c r="B1384" s="1">
        <v>243541</v>
      </c>
    </row>
    <row r="1385" spans="2:2" x14ac:dyDescent="0.2">
      <c r="B1385" s="1">
        <v>243542</v>
      </c>
    </row>
    <row r="1386" spans="2:2" x14ac:dyDescent="0.2">
      <c r="B1386" s="1">
        <v>243543</v>
      </c>
    </row>
    <row r="1387" spans="2:2" x14ac:dyDescent="0.2">
      <c r="B1387" s="1">
        <v>243544</v>
      </c>
    </row>
    <row r="1388" spans="2:2" x14ac:dyDescent="0.2">
      <c r="B1388" s="1">
        <v>243545</v>
      </c>
    </row>
    <row r="1389" spans="2:2" x14ac:dyDescent="0.2">
      <c r="B1389" s="1">
        <v>243546</v>
      </c>
    </row>
    <row r="1390" spans="2:2" x14ac:dyDescent="0.2">
      <c r="B1390" s="1">
        <v>243547</v>
      </c>
    </row>
    <row r="1391" spans="2:2" x14ac:dyDescent="0.2">
      <c r="B1391" s="1">
        <v>243548</v>
      </c>
    </row>
    <row r="1392" spans="2:2" x14ac:dyDescent="0.2">
      <c r="B1392" s="1">
        <v>243549</v>
      </c>
    </row>
    <row r="1393" spans="2:2" x14ac:dyDescent="0.2">
      <c r="B1393" s="1">
        <v>243550</v>
      </c>
    </row>
    <row r="1394" spans="2:2" x14ac:dyDescent="0.2">
      <c r="B1394" s="1">
        <v>243551</v>
      </c>
    </row>
    <row r="1395" spans="2:2" x14ac:dyDescent="0.2">
      <c r="B1395" s="1">
        <v>243552</v>
      </c>
    </row>
    <row r="1396" spans="2:2" x14ac:dyDescent="0.2">
      <c r="B1396" s="1">
        <v>243553</v>
      </c>
    </row>
    <row r="1397" spans="2:2" x14ac:dyDescent="0.2">
      <c r="B1397" s="1">
        <v>243554</v>
      </c>
    </row>
    <row r="1398" spans="2:2" x14ac:dyDescent="0.2">
      <c r="B1398" s="1">
        <v>243555</v>
      </c>
    </row>
    <row r="1399" spans="2:2" x14ac:dyDescent="0.2">
      <c r="B1399" s="1">
        <v>243556</v>
      </c>
    </row>
    <row r="1400" spans="2:2" x14ac:dyDescent="0.2">
      <c r="B1400" s="1">
        <v>243557</v>
      </c>
    </row>
    <row r="1401" spans="2:2" x14ac:dyDescent="0.2">
      <c r="B1401" s="1">
        <v>243558</v>
      </c>
    </row>
    <row r="1402" spans="2:2" x14ac:dyDescent="0.2">
      <c r="B1402" s="1">
        <v>243559</v>
      </c>
    </row>
    <row r="1403" spans="2:2" x14ac:dyDescent="0.2">
      <c r="B1403" s="1">
        <v>243560</v>
      </c>
    </row>
    <row r="1404" spans="2:2" x14ac:dyDescent="0.2">
      <c r="B1404" s="1">
        <v>243561</v>
      </c>
    </row>
    <row r="1405" spans="2:2" x14ac:dyDescent="0.2">
      <c r="B1405" s="1">
        <v>243562</v>
      </c>
    </row>
    <row r="1406" spans="2:2" x14ac:dyDescent="0.2">
      <c r="B1406" s="1">
        <v>243563</v>
      </c>
    </row>
    <row r="1407" spans="2:2" x14ac:dyDescent="0.2">
      <c r="B1407" s="1">
        <v>243564</v>
      </c>
    </row>
    <row r="1408" spans="2:2" x14ac:dyDescent="0.2">
      <c r="B1408" s="1">
        <v>243565</v>
      </c>
    </row>
    <row r="1409" spans="2:2" x14ac:dyDescent="0.2">
      <c r="B1409" s="1">
        <v>243566</v>
      </c>
    </row>
    <row r="1410" spans="2:2" x14ac:dyDescent="0.2">
      <c r="B1410" s="1">
        <v>243567</v>
      </c>
    </row>
    <row r="1411" spans="2:2" x14ac:dyDescent="0.2">
      <c r="B1411" s="1">
        <v>243568</v>
      </c>
    </row>
    <row r="1412" spans="2:2" x14ac:dyDescent="0.2">
      <c r="B1412" s="1">
        <v>243569</v>
      </c>
    </row>
    <row r="1413" spans="2:2" x14ac:dyDescent="0.2">
      <c r="B1413" s="1">
        <v>243570</v>
      </c>
    </row>
    <row r="1414" spans="2:2" x14ac:dyDescent="0.2">
      <c r="B1414" s="1">
        <v>243571</v>
      </c>
    </row>
    <row r="1415" spans="2:2" x14ac:dyDescent="0.2">
      <c r="B1415" s="1">
        <v>243572</v>
      </c>
    </row>
    <row r="1416" spans="2:2" x14ac:dyDescent="0.2">
      <c r="B1416" s="1">
        <v>243573</v>
      </c>
    </row>
    <row r="1417" spans="2:2" x14ac:dyDescent="0.2">
      <c r="B1417" s="1">
        <v>243574</v>
      </c>
    </row>
    <row r="1418" spans="2:2" x14ac:dyDescent="0.2">
      <c r="B1418" s="1">
        <v>243575</v>
      </c>
    </row>
    <row r="1419" spans="2:2" x14ac:dyDescent="0.2">
      <c r="B1419" s="1">
        <v>243576</v>
      </c>
    </row>
    <row r="1420" spans="2:2" x14ac:dyDescent="0.2">
      <c r="B1420" s="1">
        <v>243577</v>
      </c>
    </row>
    <row r="1421" spans="2:2" x14ac:dyDescent="0.2">
      <c r="B1421" s="1">
        <v>243578</v>
      </c>
    </row>
    <row r="1422" spans="2:2" x14ac:dyDescent="0.2">
      <c r="B1422" s="1">
        <v>243579</v>
      </c>
    </row>
    <row r="1423" spans="2:2" x14ac:dyDescent="0.2">
      <c r="B1423" s="1">
        <v>243580</v>
      </c>
    </row>
    <row r="1424" spans="2:2" x14ac:dyDescent="0.2">
      <c r="B1424" s="1">
        <v>243581</v>
      </c>
    </row>
    <row r="1425" spans="2:2" x14ac:dyDescent="0.2">
      <c r="B1425" s="1">
        <v>243582</v>
      </c>
    </row>
    <row r="1426" spans="2:2" x14ac:dyDescent="0.2">
      <c r="B1426" s="1">
        <v>243583</v>
      </c>
    </row>
    <row r="1427" spans="2:2" x14ac:dyDescent="0.2">
      <c r="B1427" s="1">
        <v>243584</v>
      </c>
    </row>
    <row r="1428" spans="2:2" x14ac:dyDescent="0.2">
      <c r="B1428" s="1">
        <v>243585</v>
      </c>
    </row>
    <row r="1429" spans="2:2" x14ac:dyDescent="0.2">
      <c r="B1429" s="1">
        <v>243586</v>
      </c>
    </row>
    <row r="1430" spans="2:2" x14ac:dyDescent="0.2">
      <c r="B1430" s="1">
        <v>243587</v>
      </c>
    </row>
    <row r="1431" spans="2:2" x14ac:dyDescent="0.2">
      <c r="B1431" s="1">
        <v>243588</v>
      </c>
    </row>
    <row r="1432" spans="2:2" x14ac:dyDescent="0.2">
      <c r="B1432" s="1">
        <v>243589</v>
      </c>
    </row>
    <row r="1433" spans="2:2" x14ac:dyDescent="0.2">
      <c r="B1433" s="1">
        <v>243590</v>
      </c>
    </row>
    <row r="1434" spans="2:2" x14ac:dyDescent="0.2">
      <c r="B1434" s="1">
        <v>243591</v>
      </c>
    </row>
    <row r="1435" spans="2:2" x14ac:dyDescent="0.2">
      <c r="B1435" s="1">
        <v>243592</v>
      </c>
    </row>
    <row r="1436" spans="2:2" x14ac:dyDescent="0.2">
      <c r="B1436" s="1">
        <v>243593</v>
      </c>
    </row>
    <row r="1437" spans="2:2" x14ac:dyDescent="0.2">
      <c r="B1437" s="1">
        <v>243594</v>
      </c>
    </row>
    <row r="1438" spans="2:2" x14ac:dyDescent="0.2">
      <c r="B1438" s="1">
        <v>243595</v>
      </c>
    </row>
    <row r="1439" spans="2:2" x14ac:dyDescent="0.2">
      <c r="B1439" s="1">
        <v>243596</v>
      </c>
    </row>
    <row r="1440" spans="2:2" x14ac:dyDescent="0.2">
      <c r="B1440" s="1">
        <v>243597</v>
      </c>
    </row>
    <row r="1441" spans="2:2" x14ac:dyDescent="0.2">
      <c r="B1441" s="1">
        <v>243598</v>
      </c>
    </row>
    <row r="1442" spans="2:2" x14ac:dyDescent="0.2">
      <c r="B1442" s="1">
        <v>243599</v>
      </c>
    </row>
    <row r="1443" spans="2:2" x14ac:dyDescent="0.2">
      <c r="B1443" s="1">
        <v>243600</v>
      </c>
    </row>
    <row r="1444" spans="2:2" x14ac:dyDescent="0.2">
      <c r="B1444" s="1">
        <v>243601</v>
      </c>
    </row>
    <row r="1445" spans="2:2" x14ac:dyDescent="0.2">
      <c r="B1445" s="1">
        <v>243602</v>
      </c>
    </row>
    <row r="1446" spans="2:2" x14ac:dyDescent="0.2">
      <c r="B1446" s="1">
        <v>243603</v>
      </c>
    </row>
    <row r="1447" spans="2:2" x14ac:dyDescent="0.2">
      <c r="B1447" s="1">
        <v>243604</v>
      </c>
    </row>
    <row r="1448" spans="2:2" x14ac:dyDescent="0.2">
      <c r="B1448" s="1">
        <v>243605</v>
      </c>
    </row>
    <row r="1449" spans="2:2" x14ac:dyDescent="0.2">
      <c r="B1449" s="1">
        <v>243606</v>
      </c>
    </row>
    <row r="1450" spans="2:2" x14ac:dyDescent="0.2">
      <c r="B1450" s="1">
        <v>243607</v>
      </c>
    </row>
    <row r="1451" spans="2:2" x14ac:dyDescent="0.2">
      <c r="B1451" s="1">
        <v>243608</v>
      </c>
    </row>
    <row r="1452" spans="2:2" x14ac:dyDescent="0.2">
      <c r="B1452" s="1">
        <v>243609</v>
      </c>
    </row>
    <row r="1453" spans="2:2" x14ac:dyDescent="0.2">
      <c r="B1453" s="1">
        <v>243610</v>
      </c>
    </row>
    <row r="1454" spans="2:2" x14ac:dyDescent="0.2">
      <c r="B1454" s="1">
        <v>243611</v>
      </c>
    </row>
    <row r="1455" spans="2:2" x14ac:dyDescent="0.2">
      <c r="B1455" s="1">
        <v>243612</v>
      </c>
    </row>
    <row r="1456" spans="2:2" x14ac:dyDescent="0.2">
      <c r="B1456" s="1">
        <v>243613</v>
      </c>
    </row>
    <row r="1457" spans="2:2" x14ac:dyDescent="0.2">
      <c r="B1457" s="1">
        <v>243614</v>
      </c>
    </row>
    <row r="1458" spans="2:2" x14ac:dyDescent="0.2">
      <c r="B1458" s="1">
        <v>243615</v>
      </c>
    </row>
    <row r="1459" spans="2:2" x14ac:dyDescent="0.2">
      <c r="B1459" s="1">
        <v>243616</v>
      </c>
    </row>
    <row r="1460" spans="2:2" x14ac:dyDescent="0.2">
      <c r="B1460" s="1">
        <v>243617</v>
      </c>
    </row>
    <row r="1461" spans="2:2" x14ac:dyDescent="0.2">
      <c r="B1461" s="1">
        <v>243618</v>
      </c>
    </row>
    <row r="1462" spans="2:2" x14ac:dyDescent="0.2">
      <c r="B1462" s="1">
        <v>243619</v>
      </c>
    </row>
    <row r="1463" spans="2:2" x14ac:dyDescent="0.2">
      <c r="B1463" s="1">
        <v>243620</v>
      </c>
    </row>
    <row r="1464" spans="2:2" x14ac:dyDescent="0.2">
      <c r="B1464" s="1">
        <v>243621</v>
      </c>
    </row>
    <row r="1465" spans="2:2" x14ac:dyDescent="0.2">
      <c r="B1465" s="1">
        <v>243622</v>
      </c>
    </row>
    <row r="1466" spans="2:2" x14ac:dyDescent="0.2">
      <c r="B1466" s="1">
        <v>243623</v>
      </c>
    </row>
    <row r="1467" spans="2:2" x14ac:dyDescent="0.2">
      <c r="B1467" s="1">
        <v>243624</v>
      </c>
    </row>
    <row r="1468" spans="2:2" x14ac:dyDescent="0.2">
      <c r="B1468" s="1">
        <v>243625</v>
      </c>
    </row>
    <row r="1469" spans="2:2" x14ac:dyDescent="0.2">
      <c r="B1469" s="1">
        <v>243626</v>
      </c>
    </row>
    <row r="1470" spans="2:2" x14ac:dyDescent="0.2">
      <c r="B1470" s="1">
        <v>243627</v>
      </c>
    </row>
    <row r="1471" spans="2:2" x14ac:dyDescent="0.2">
      <c r="B1471" s="1">
        <v>243628</v>
      </c>
    </row>
    <row r="1472" spans="2:2" x14ac:dyDescent="0.2">
      <c r="B1472" s="1">
        <v>243629</v>
      </c>
    </row>
    <row r="1473" spans="2:2" x14ac:dyDescent="0.2">
      <c r="B1473" s="1">
        <v>243630</v>
      </c>
    </row>
    <row r="1474" spans="2:2" x14ac:dyDescent="0.2">
      <c r="B1474" s="1">
        <v>243631</v>
      </c>
    </row>
    <row r="1475" spans="2:2" x14ac:dyDescent="0.2">
      <c r="B1475" s="1">
        <v>243632</v>
      </c>
    </row>
    <row r="1476" spans="2:2" x14ac:dyDescent="0.2">
      <c r="B1476" s="1">
        <v>243633</v>
      </c>
    </row>
    <row r="1477" spans="2:2" x14ac:dyDescent="0.2">
      <c r="B1477" s="1">
        <v>243634</v>
      </c>
    </row>
    <row r="1478" spans="2:2" x14ac:dyDescent="0.2">
      <c r="B1478" s="1">
        <v>243635</v>
      </c>
    </row>
    <row r="1479" spans="2:2" x14ac:dyDescent="0.2">
      <c r="B1479" s="1">
        <v>243636</v>
      </c>
    </row>
    <row r="1480" spans="2:2" x14ac:dyDescent="0.2">
      <c r="B1480" s="1">
        <v>243637</v>
      </c>
    </row>
    <row r="1481" spans="2:2" x14ac:dyDescent="0.2">
      <c r="B1481" s="1">
        <v>243638</v>
      </c>
    </row>
    <row r="1482" spans="2:2" x14ac:dyDescent="0.2">
      <c r="B1482" s="1">
        <v>243639</v>
      </c>
    </row>
    <row r="1483" spans="2:2" x14ac:dyDescent="0.2">
      <c r="B1483" s="1">
        <v>243640</v>
      </c>
    </row>
    <row r="1484" spans="2:2" x14ac:dyDescent="0.2">
      <c r="B1484" s="1">
        <v>243641</v>
      </c>
    </row>
    <row r="1485" spans="2:2" x14ac:dyDescent="0.2">
      <c r="B1485" s="1">
        <v>243642</v>
      </c>
    </row>
    <row r="1486" spans="2:2" x14ac:dyDescent="0.2">
      <c r="B1486" s="1">
        <v>243643</v>
      </c>
    </row>
    <row r="1487" spans="2:2" x14ac:dyDescent="0.2">
      <c r="B1487" s="1">
        <v>243644</v>
      </c>
    </row>
    <row r="1488" spans="2:2" x14ac:dyDescent="0.2">
      <c r="B1488" s="1">
        <v>243645</v>
      </c>
    </row>
    <row r="1489" spans="2:2" x14ac:dyDescent="0.2">
      <c r="B1489" s="1">
        <v>243646</v>
      </c>
    </row>
    <row r="1490" spans="2:2" x14ac:dyDescent="0.2">
      <c r="B1490" s="1">
        <v>243647</v>
      </c>
    </row>
    <row r="1491" spans="2:2" x14ac:dyDescent="0.2">
      <c r="B1491" s="1">
        <v>243648</v>
      </c>
    </row>
    <row r="1492" spans="2:2" x14ac:dyDescent="0.2">
      <c r="B1492" s="1">
        <v>243649</v>
      </c>
    </row>
    <row r="1493" spans="2:2" x14ac:dyDescent="0.2">
      <c r="B1493" s="1">
        <v>243650</v>
      </c>
    </row>
    <row r="1494" spans="2:2" x14ac:dyDescent="0.2">
      <c r="B1494" s="1">
        <v>243651</v>
      </c>
    </row>
    <row r="1495" spans="2:2" x14ac:dyDescent="0.2">
      <c r="B1495" s="1">
        <v>243652</v>
      </c>
    </row>
    <row r="1496" spans="2:2" x14ac:dyDescent="0.2">
      <c r="B1496" s="1">
        <v>243653</v>
      </c>
    </row>
    <row r="1497" spans="2:2" x14ac:dyDescent="0.2">
      <c r="B1497" s="1">
        <v>243654</v>
      </c>
    </row>
    <row r="1498" spans="2:2" x14ac:dyDescent="0.2">
      <c r="B1498" s="1">
        <v>243655</v>
      </c>
    </row>
    <row r="1499" spans="2:2" x14ac:dyDescent="0.2">
      <c r="B1499" s="1">
        <v>243656</v>
      </c>
    </row>
    <row r="1500" spans="2:2" x14ac:dyDescent="0.2">
      <c r="B1500" s="1">
        <v>243657</v>
      </c>
    </row>
    <row r="1501" spans="2:2" x14ac:dyDescent="0.2">
      <c r="B1501" s="1">
        <v>243658</v>
      </c>
    </row>
    <row r="1502" spans="2:2" x14ac:dyDescent="0.2">
      <c r="B1502" s="1">
        <v>243659</v>
      </c>
    </row>
    <row r="1503" spans="2:2" x14ac:dyDescent="0.2">
      <c r="B1503" s="1">
        <v>243660</v>
      </c>
    </row>
    <row r="1504" spans="2:2" x14ac:dyDescent="0.2">
      <c r="B1504" s="1">
        <v>243661</v>
      </c>
    </row>
    <row r="1505" spans="2:2" x14ac:dyDescent="0.2">
      <c r="B1505" s="1">
        <v>243662</v>
      </c>
    </row>
    <row r="1506" spans="2:2" x14ac:dyDescent="0.2">
      <c r="B1506" s="1">
        <v>243663</v>
      </c>
    </row>
    <row r="1507" spans="2:2" x14ac:dyDescent="0.2">
      <c r="B1507" s="1">
        <v>243664</v>
      </c>
    </row>
    <row r="1508" spans="2:2" x14ac:dyDescent="0.2">
      <c r="B1508" s="1">
        <v>243665</v>
      </c>
    </row>
    <row r="1509" spans="2:2" x14ac:dyDescent="0.2">
      <c r="B1509" s="1">
        <v>243666</v>
      </c>
    </row>
    <row r="1510" spans="2:2" x14ac:dyDescent="0.2">
      <c r="B1510" s="1">
        <v>243667</v>
      </c>
    </row>
    <row r="1511" spans="2:2" x14ac:dyDescent="0.2">
      <c r="B1511" s="1">
        <v>243668</v>
      </c>
    </row>
    <row r="1512" spans="2:2" x14ac:dyDescent="0.2">
      <c r="B1512" s="1">
        <v>243669</v>
      </c>
    </row>
    <row r="1513" spans="2:2" x14ac:dyDescent="0.2">
      <c r="B1513" s="1">
        <v>243670</v>
      </c>
    </row>
    <row r="1514" spans="2:2" x14ac:dyDescent="0.2">
      <c r="B1514" s="1">
        <v>243671</v>
      </c>
    </row>
    <row r="1515" spans="2:2" x14ac:dyDescent="0.2">
      <c r="B1515" s="1">
        <v>243672</v>
      </c>
    </row>
    <row r="1516" spans="2:2" x14ac:dyDescent="0.2">
      <c r="B1516" s="1">
        <v>243673</v>
      </c>
    </row>
    <row r="1517" spans="2:2" x14ac:dyDescent="0.2">
      <c r="B1517" s="1">
        <v>243674</v>
      </c>
    </row>
    <row r="1518" spans="2:2" x14ac:dyDescent="0.2">
      <c r="B1518" s="1">
        <v>243675</v>
      </c>
    </row>
    <row r="1519" spans="2:2" x14ac:dyDescent="0.2">
      <c r="B1519" s="1">
        <v>243676</v>
      </c>
    </row>
    <row r="1520" spans="2:2" x14ac:dyDescent="0.2">
      <c r="B1520" s="1">
        <v>243677</v>
      </c>
    </row>
    <row r="1521" spans="2:2" x14ac:dyDescent="0.2">
      <c r="B1521" s="1">
        <v>243678</v>
      </c>
    </row>
    <row r="1522" spans="2:2" x14ac:dyDescent="0.2">
      <c r="B1522" s="1">
        <v>243679</v>
      </c>
    </row>
    <row r="1523" spans="2:2" x14ac:dyDescent="0.2">
      <c r="B1523" s="1">
        <v>243680</v>
      </c>
    </row>
    <row r="1524" spans="2:2" x14ac:dyDescent="0.2">
      <c r="B1524" s="1">
        <v>243681</v>
      </c>
    </row>
    <row r="1525" spans="2:2" x14ac:dyDescent="0.2">
      <c r="B1525" s="1">
        <v>243682</v>
      </c>
    </row>
    <row r="1526" spans="2:2" x14ac:dyDescent="0.2">
      <c r="B1526" s="1">
        <v>243683</v>
      </c>
    </row>
    <row r="1527" spans="2:2" x14ac:dyDescent="0.2">
      <c r="B1527" s="1">
        <v>243684</v>
      </c>
    </row>
    <row r="1528" spans="2:2" x14ac:dyDescent="0.2">
      <c r="B1528" s="1">
        <v>243685</v>
      </c>
    </row>
    <row r="1529" spans="2:2" x14ac:dyDescent="0.2">
      <c r="B1529" s="1">
        <v>243686</v>
      </c>
    </row>
    <row r="1530" spans="2:2" x14ac:dyDescent="0.2">
      <c r="B1530" s="1">
        <v>243687</v>
      </c>
    </row>
    <row r="1531" spans="2:2" x14ac:dyDescent="0.2">
      <c r="B1531" s="1">
        <v>243688</v>
      </c>
    </row>
    <row r="1532" spans="2:2" x14ac:dyDescent="0.2">
      <c r="B1532" s="1">
        <v>243689</v>
      </c>
    </row>
    <row r="1533" spans="2:2" x14ac:dyDescent="0.2">
      <c r="B1533" s="1">
        <v>243690</v>
      </c>
    </row>
    <row r="1534" spans="2:2" x14ac:dyDescent="0.2">
      <c r="B1534" s="1">
        <v>243691</v>
      </c>
    </row>
    <row r="1535" spans="2:2" x14ac:dyDescent="0.2">
      <c r="B1535" s="1">
        <v>243692</v>
      </c>
    </row>
    <row r="1536" spans="2:2" x14ac:dyDescent="0.2">
      <c r="B1536" s="1">
        <v>243693</v>
      </c>
    </row>
    <row r="1537" spans="2:2" x14ac:dyDescent="0.2">
      <c r="B1537" s="1">
        <v>243694</v>
      </c>
    </row>
    <row r="1538" spans="2:2" x14ac:dyDescent="0.2">
      <c r="B1538" s="1">
        <v>243695</v>
      </c>
    </row>
    <row r="1539" spans="2:2" x14ac:dyDescent="0.2">
      <c r="B1539" s="1">
        <v>243696</v>
      </c>
    </row>
    <row r="1540" spans="2:2" x14ac:dyDescent="0.2">
      <c r="B1540" s="1">
        <v>243697</v>
      </c>
    </row>
    <row r="1541" spans="2:2" x14ac:dyDescent="0.2">
      <c r="B1541" s="1">
        <v>243698</v>
      </c>
    </row>
    <row r="1542" spans="2:2" x14ac:dyDescent="0.2">
      <c r="B1542" s="1">
        <v>243699</v>
      </c>
    </row>
    <row r="1543" spans="2:2" x14ac:dyDescent="0.2">
      <c r="B1543" s="1">
        <v>243700</v>
      </c>
    </row>
    <row r="1544" spans="2:2" x14ac:dyDescent="0.2">
      <c r="B1544" s="1">
        <v>243701</v>
      </c>
    </row>
    <row r="1545" spans="2:2" x14ac:dyDescent="0.2">
      <c r="B1545" s="1">
        <v>243702</v>
      </c>
    </row>
    <row r="1546" spans="2:2" x14ac:dyDescent="0.2">
      <c r="B1546" s="1">
        <v>243703</v>
      </c>
    </row>
    <row r="1547" spans="2:2" x14ac:dyDescent="0.2">
      <c r="B1547" s="1">
        <v>243704</v>
      </c>
    </row>
    <row r="1548" spans="2:2" x14ac:dyDescent="0.2">
      <c r="B1548" s="1">
        <v>243705</v>
      </c>
    </row>
    <row r="1549" spans="2:2" x14ac:dyDescent="0.2">
      <c r="B1549" s="1">
        <v>243706</v>
      </c>
    </row>
    <row r="1550" spans="2:2" x14ac:dyDescent="0.2">
      <c r="B1550" s="1">
        <v>243707</v>
      </c>
    </row>
    <row r="1551" spans="2:2" x14ac:dyDescent="0.2">
      <c r="B1551" s="1">
        <v>243708</v>
      </c>
    </row>
    <row r="1552" spans="2:2" x14ac:dyDescent="0.2">
      <c r="B1552" s="1">
        <v>243709</v>
      </c>
    </row>
    <row r="1553" spans="2:2" x14ac:dyDescent="0.2">
      <c r="B1553" s="1">
        <v>243710</v>
      </c>
    </row>
    <row r="1554" spans="2:2" x14ac:dyDescent="0.2">
      <c r="B1554" s="1">
        <v>243711</v>
      </c>
    </row>
    <row r="1555" spans="2:2" x14ac:dyDescent="0.2">
      <c r="B1555" s="1">
        <v>243712</v>
      </c>
    </row>
    <row r="1556" spans="2:2" x14ac:dyDescent="0.2">
      <c r="B1556" s="1">
        <v>243713</v>
      </c>
    </row>
    <row r="1557" spans="2:2" x14ac:dyDescent="0.2">
      <c r="B1557" s="1">
        <v>243714</v>
      </c>
    </row>
    <row r="1558" spans="2:2" x14ac:dyDescent="0.2">
      <c r="B1558" s="1">
        <v>243715</v>
      </c>
    </row>
    <row r="1559" spans="2:2" x14ac:dyDescent="0.2">
      <c r="B1559" s="1">
        <v>243716</v>
      </c>
    </row>
    <row r="1560" spans="2:2" x14ac:dyDescent="0.2">
      <c r="B1560" s="1">
        <v>243717</v>
      </c>
    </row>
    <row r="1561" spans="2:2" x14ac:dyDescent="0.2">
      <c r="B1561" s="1">
        <v>243718</v>
      </c>
    </row>
    <row r="1562" spans="2:2" x14ac:dyDescent="0.2">
      <c r="B1562" s="1">
        <v>243719</v>
      </c>
    </row>
    <row r="1563" spans="2:2" x14ac:dyDescent="0.2">
      <c r="B1563" s="1">
        <v>243720</v>
      </c>
    </row>
    <row r="1564" spans="2:2" x14ac:dyDescent="0.2">
      <c r="B1564" s="1">
        <v>243721</v>
      </c>
    </row>
    <row r="1565" spans="2:2" x14ac:dyDescent="0.2">
      <c r="B1565" s="1">
        <v>243722</v>
      </c>
    </row>
    <row r="1566" spans="2:2" x14ac:dyDescent="0.2">
      <c r="B1566" s="1">
        <v>243723</v>
      </c>
    </row>
    <row r="1567" spans="2:2" x14ac:dyDescent="0.2">
      <c r="B1567" s="1">
        <v>243724</v>
      </c>
    </row>
    <row r="1568" spans="2:2" x14ac:dyDescent="0.2">
      <c r="B1568" s="1">
        <v>243725</v>
      </c>
    </row>
    <row r="1569" spans="2:2" x14ac:dyDescent="0.2">
      <c r="B1569" s="1">
        <v>243726</v>
      </c>
    </row>
    <row r="1570" spans="2:2" x14ac:dyDescent="0.2">
      <c r="B1570" s="1">
        <v>243727</v>
      </c>
    </row>
    <row r="1571" spans="2:2" x14ac:dyDescent="0.2">
      <c r="B1571" s="1">
        <v>243728</v>
      </c>
    </row>
    <row r="1572" spans="2:2" x14ac:dyDescent="0.2">
      <c r="B1572" s="1">
        <v>243729</v>
      </c>
    </row>
    <row r="1573" spans="2:2" x14ac:dyDescent="0.2">
      <c r="B1573" s="1">
        <v>243730</v>
      </c>
    </row>
    <row r="1574" spans="2:2" x14ac:dyDescent="0.2">
      <c r="B1574" s="1">
        <v>243731</v>
      </c>
    </row>
    <row r="1575" spans="2:2" x14ac:dyDescent="0.2">
      <c r="B1575" s="1">
        <v>243732</v>
      </c>
    </row>
    <row r="1576" spans="2:2" x14ac:dyDescent="0.2">
      <c r="B1576" s="1">
        <v>243733</v>
      </c>
    </row>
    <row r="1577" spans="2:2" x14ac:dyDescent="0.2">
      <c r="B1577" s="1">
        <v>243734</v>
      </c>
    </row>
    <row r="1578" spans="2:2" x14ac:dyDescent="0.2">
      <c r="B1578" s="1">
        <v>243735</v>
      </c>
    </row>
    <row r="1579" spans="2:2" x14ac:dyDescent="0.2">
      <c r="B1579" s="1">
        <v>243736</v>
      </c>
    </row>
    <row r="1580" spans="2:2" x14ac:dyDescent="0.2">
      <c r="B1580" s="1">
        <v>243737</v>
      </c>
    </row>
    <row r="1581" spans="2:2" x14ac:dyDescent="0.2">
      <c r="B1581" s="1">
        <v>243738</v>
      </c>
    </row>
    <row r="1582" spans="2:2" x14ac:dyDescent="0.2">
      <c r="B1582" s="1">
        <v>243739</v>
      </c>
    </row>
    <row r="1583" spans="2:2" x14ac:dyDescent="0.2">
      <c r="B1583" s="1">
        <v>243740</v>
      </c>
    </row>
    <row r="1584" spans="2:2" x14ac:dyDescent="0.2">
      <c r="B1584" s="1">
        <v>243741</v>
      </c>
    </row>
    <row r="1585" spans="2:2" x14ac:dyDescent="0.2">
      <c r="B1585" s="1">
        <v>243742</v>
      </c>
    </row>
    <row r="1586" spans="2:2" x14ac:dyDescent="0.2">
      <c r="B1586" s="1">
        <v>243743</v>
      </c>
    </row>
    <row r="1587" spans="2:2" x14ac:dyDescent="0.2">
      <c r="B1587" s="1">
        <v>243744</v>
      </c>
    </row>
    <row r="1588" spans="2:2" x14ac:dyDescent="0.2">
      <c r="B1588" s="1">
        <v>243745</v>
      </c>
    </row>
    <row r="1589" spans="2:2" x14ac:dyDescent="0.2">
      <c r="B1589" s="1">
        <v>243746</v>
      </c>
    </row>
    <row r="1590" spans="2:2" x14ac:dyDescent="0.2">
      <c r="B1590" s="1">
        <v>243747</v>
      </c>
    </row>
    <row r="1591" spans="2:2" x14ac:dyDescent="0.2">
      <c r="B1591" s="1">
        <v>243748</v>
      </c>
    </row>
    <row r="1592" spans="2:2" x14ac:dyDescent="0.2">
      <c r="B1592" s="1">
        <v>243749</v>
      </c>
    </row>
    <row r="1593" spans="2:2" x14ac:dyDescent="0.2">
      <c r="B1593" s="1">
        <v>243750</v>
      </c>
    </row>
    <row r="1594" spans="2:2" x14ac:dyDescent="0.2">
      <c r="B1594" s="1">
        <v>243751</v>
      </c>
    </row>
    <row r="1595" spans="2:2" x14ac:dyDescent="0.2">
      <c r="B1595" s="1">
        <v>243752</v>
      </c>
    </row>
    <row r="1596" spans="2:2" x14ac:dyDescent="0.2">
      <c r="B1596" s="1">
        <v>243753</v>
      </c>
    </row>
    <row r="1597" spans="2:2" x14ac:dyDescent="0.2">
      <c r="B1597" s="1">
        <v>243754</v>
      </c>
    </row>
    <row r="1598" spans="2:2" x14ac:dyDescent="0.2">
      <c r="B1598" s="1">
        <v>243755</v>
      </c>
    </row>
    <row r="1599" spans="2:2" x14ac:dyDescent="0.2">
      <c r="B1599" s="1">
        <v>243756</v>
      </c>
    </row>
    <row r="1600" spans="2:2" x14ac:dyDescent="0.2">
      <c r="B1600" s="1">
        <v>243757</v>
      </c>
    </row>
    <row r="1601" spans="2:2" x14ac:dyDescent="0.2">
      <c r="B1601" s="1">
        <v>243758</v>
      </c>
    </row>
    <row r="1602" spans="2:2" x14ac:dyDescent="0.2">
      <c r="B1602" s="1">
        <v>243759</v>
      </c>
    </row>
    <row r="1603" spans="2:2" x14ac:dyDescent="0.2">
      <c r="B1603" s="1">
        <v>243760</v>
      </c>
    </row>
    <row r="1604" spans="2:2" x14ac:dyDescent="0.2">
      <c r="B1604" s="1">
        <v>243761</v>
      </c>
    </row>
    <row r="1605" spans="2:2" x14ac:dyDescent="0.2">
      <c r="B1605" s="1">
        <v>243762</v>
      </c>
    </row>
    <row r="1606" spans="2:2" x14ac:dyDescent="0.2">
      <c r="B1606" s="1">
        <v>243763</v>
      </c>
    </row>
    <row r="1607" spans="2:2" x14ac:dyDescent="0.2">
      <c r="B1607" s="1">
        <v>243764</v>
      </c>
    </row>
    <row r="1608" spans="2:2" x14ac:dyDescent="0.2">
      <c r="B1608" s="1">
        <v>243765</v>
      </c>
    </row>
    <row r="1609" spans="2:2" x14ac:dyDescent="0.2">
      <c r="B1609" s="1">
        <v>243766</v>
      </c>
    </row>
    <row r="1610" spans="2:2" x14ac:dyDescent="0.2">
      <c r="B1610" s="1">
        <v>243767</v>
      </c>
    </row>
    <row r="1611" spans="2:2" x14ac:dyDescent="0.2">
      <c r="B1611" s="1">
        <v>243768</v>
      </c>
    </row>
    <row r="1612" spans="2:2" x14ac:dyDescent="0.2">
      <c r="B1612" s="1">
        <v>243769</v>
      </c>
    </row>
    <row r="1613" spans="2:2" x14ac:dyDescent="0.2">
      <c r="B1613" s="1">
        <v>243770</v>
      </c>
    </row>
    <row r="1614" spans="2:2" x14ac:dyDescent="0.2">
      <c r="B1614" s="1">
        <v>243771</v>
      </c>
    </row>
    <row r="1615" spans="2:2" x14ac:dyDescent="0.2">
      <c r="B1615" s="1">
        <v>243772</v>
      </c>
    </row>
    <row r="1616" spans="2:2" x14ac:dyDescent="0.2">
      <c r="B1616" s="1">
        <v>243773</v>
      </c>
    </row>
    <row r="1617" spans="2:2" x14ac:dyDescent="0.2">
      <c r="B1617" s="1">
        <v>243774</v>
      </c>
    </row>
    <row r="1618" spans="2:2" x14ac:dyDescent="0.2">
      <c r="B1618" s="1">
        <v>243775</v>
      </c>
    </row>
    <row r="1619" spans="2:2" x14ac:dyDescent="0.2">
      <c r="B1619" s="1">
        <v>243776</v>
      </c>
    </row>
    <row r="1620" spans="2:2" x14ac:dyDescent="0.2">
      <c r="B1620" s="1">
        <v>243777</v>
      </c>
    </row>
    <row r="1621" spans="2:2" x14ac:dyDescent="0.2">
      <c r="B1621" s="1">
        <v>243778</v>
      </c>
    </row>
    <row r="1622" spans="2:2" x14ac:dyDescent="0.2">
      <c r="B1622" s="1">
        <v>243779</v>
      </c>
    </row>
    <row r="1623" spans="2:2" x14ac:dyDescent="0.2">
      <c r="B1623" s="1">
        <v>243780</v>
      </c>
    </row>
    <row r="1624" spans="2:2" x14ac:dyDescent="0.2">
      <c r="B1624" s="1">
        <v>243781</v>
      </c>
    </row>
    <row r="1625" spans="2:2" x14ac:dyDescent="0.2">
      <c r="B1625" s="1">
        <v>243782</v>
      </c>
    </row>
    <row r="1626" spans="2:2" x14ac:dyDescent="0.2">
      <c r="B1626" s="1">
        <v>243783</v>
      </c>
    </row>
    <row r="1627" spans="2:2" x14ac:dyDescent="0.2">
      <c r="B1627" s="1">
        <v>243784</v>
      </c>
    </row>
    <row r="1628" spans="2:2" x14ac:dyDescent="0.2">
      <c r="B1628" s="1">
        <v>243785</v>
      </c>
    </row>
    <row r="1629" spans="2:2" x14ac:dyDescent="0.2">
      <c r="B1629" s="1">
        <v>243786</v>
      </c>
    </row>
    <row r="1630" spans="2:2" x14ac:dyDescent="0.2">
      <c r="B1630" s="1">
        <v>243787</v>
      </c>
    </row>
    <row r="1631" spans="2:2" x14ac:dyDescent="0.2">
      <c r="B1631" s="1">
        <v>243788</v>
      </c>
    </row>
    <row r="1632" spans="2:2" x14ac:dyDescent="0.2">
      <c r="B1632" s="1">
        <v>243789</v>
      </c>
    </row>
    <row r="1633" spans="2:2" x14ac:dyDescent="0.2">
      <c r="B1633" s="1">
        <v>243790</v>
      </c>
    </row>
    <row r="1634" spans="2:2" x14ac:dyDescent="0.2">
      <c r="B1634" s="1">
        <v>243791</v>
      </c>
    </row>
    <row r="1635" spans="2:2" x14ac:dyDescent="0.2">
      <c r="B1635" s="1">
        <v>243792</v>
      </c>
    </row>
    <row r="1636" spans="2:2" x14ac:dyDescent="0.2">
      <c r="B1636" s="1">
        <v>243793</v>
      </c>
    </row>
    <row r="1637" spans="2:2" x14ac:dyDescent="0.2">
      <c r="B1637" s="1">
        <v>243794</v>
      </c>
    </row>
    <row r="1638" spans="2:2" x14ac:dyDescent="0.2">
      <c r="B1638" s="1">
        <v>243795</v>
      </c>
    </row>
    <row r="1639" spans="2:2" x14ac:dyDescent="0.2">
      <c r="B1639" s="1">
        <v>243796</v>
      </c>
    </row>
    <row r="1640" spans="2:2" x14ac:dyDescent="0.2">
      <c r="B1640" s="1">
        <v>243797</v>
      </c>
    </row>
    <row r="1641" spans="2:2" x14ac:dyDescent="0.2">
      <c r="B1641" s="1">
        <v>243798</v>
      </c>
    </row>
    <row r="1642" spans="2:2" x14ac:dyDescent="0.2">
      <c r="B1642" s="1">
        <v>243799</v>
      </c>
    </row>
    <row r="1643" spans="2:2" x14ac:dyDescent="0.2">
      <c r="B1643" s="1">
        <v>243800</v>
      </c>
    </row>
    <row r="1644" spans="2:2" x14ac:dyDescent="0.2">
      <c r="B1644" s="1">
        <v>243801</v>
      </c>
    </row>
    <row r="1645" spans="2:2" x14ac:dyDescent="0.2">
      <c r="B1645" s="1">
        <v>243802</v>
      </c>
    </row>
    <row r="1646" spans="2:2" x14ac:dyDescent="0.2">
      <c r="B1646" s="1">
        <v>243803</v>
      </c>
    </row>
    <row r="1647" spans="2:2" x14ac:dyDescent="0.2">
      <c r="B1647" s="1">
        <v>243804</v>
      </c>
    </row>
    <row r="1648" spans="2:2" x14ac:dyDescent="0.2">
      <c r="B1648" s="1">
        <v>243805</v>
      </c>
    </row>
    <row r="1649" spans="2:2" x14ac:dyDescent="0.2">
      <c r="B1649" s="1">
        <v>243806</v>
      </c>
    </row>
    <row r="1650" spans="2:2" x14ac:dyDescent="0.2">
      <c r="B1650" s="1">
        <v>243807</v>
      </c>
    </row>
    <row r="1651" spans="2:2" x14ac:dyDescent="0.2">
      <c r="B1651" s="1">
        <v>243808</v>
      </c>
    </row>
    <row r="1652" spans="2:2" x14ac:dyDescent="0.2">
      <c r="B1652" s="1">
        <v>243809</v>
      </c>
    </row>
    <row r="1653" spans="2:2" x14ac:dyDescent="0.2">
      <c r="B1653" s="1">
        <v>243810</v>
      </c>
    </row>
    <row r="1654" spans="2:2" x14ac:dyDescent="0.2">
      <c r="B1654" s="1">
        <v>243811</v>
      </c>
    </row>
    <row r="1655" spans="2:2" x14ac:dyDescent="0.2">
      <c r="B1655" s="1">
        <v>243812</v>
      </c>
    </row>
    <row r="1656" spans="2:2" x14ac:dyDescent="0.2">
      <c r="B1656" s="1">
        <v>243813</v>
      </c>
    </row>
    <row r="1657" spans="2:2" x14ac:dyDescent="0.2">
      <c r="B1657" s="1">
        <v>243814</v>
      </c>
    </row>
    <row r="1658" spans="2:2" x14ac:dyDescent="0.2">
      <c r="B1658" s="1">
        <v>243815</v>
      </c>
    </row>
    <row r="1659" spans="2:2" x14ac:dyDescent="0.2">
      <c r="B1659" s="1">
        <v>243816</v>
      </c>
    </row>
    <row r="1660" spans="2:2" x14ac:dyDescent="0.2">
      <c r="B1660" s="1">
        <v>243817</v>
      </c>
    </row>
    <row r="1661" spans="2:2" x14ac:dyDescent="0.2">
      <c r="B1661" s="1">
        <v>243818</v>
      </c>
    </row>
    <row r="1662" spans="2:2" x14ac:dyDescent="0.2">
      <c r="B1662" s="1">
        <v>243819</v>
      </c>
    </row>
    <row r="1663" spans="2:2" x14ac:dyDescent="0.2">
      <c r="B1663" s="1">
        <v>243820</v>
      </c>
    </row>
    <row r="1664" spans="2:2" x14ac:dyDescent="0.2">
      <c r="B1664" s="1">
        <v>243821</v>
      </c>
    </row>
    <row r="1665" spans="2:2" x14ac:dyDescent="0.2">
      <c r="B1665" s="1">
        <v>243822</v>
      </c>
    </row>
    <row r="1666" spans="2:2" x14ac:dyDescent="0.2">
      <c r="B1666" s="1">
        <v>243823</v>
      </c>
    </row>
    <row r="1667" spans="2:2" x14ac:dyDescent="0.2">
      <c r="B1667" s="1">
        <v>243824</v>
      </c>
    </row>
    <row r="1668" spans="2:2" x14ac:dyDescent="0.2">
      <c r="B1668" s="1">
        <v>243825</v>
      </c>
    </row>
    <row r="1669" spans="2:2" x14ac:dyDescent="0.2">
      <c r="B1669" s="1">
        <v>243826</v>
      </c>
    </row>
    <row r="1670" spans="2:2" x14ac:dyDescent="0.2">
      <c r="B1670" s="1">
        <v>243827</v>
      </c>
    </row>
    <row r="1671" spans="2:2" x14ac:dyDescent="0.2">
      <c r="B1671" s="1">
        <v>243828</v>
      </c>
    </row>
    <row r="1672" spans="2:2" x14ac:dyDescent="0.2">
      <c r="B1672" s="1">
        <v>243829</v>
      </c>
    </row>
    <row r="1673" spans="2:2" x14ac:dyDescent="0.2">
      <c r="B1673" s="1">
        <v>243830</v>
      </c>
    </row>
    <row r="1674" spans="2:2" x14ac:dyDescent="0.2">
      <c r="B1674" s="1">
        <v>243831</v>
      </c>
    </row>
    <row r="1675" spans="2:2" x14ac:dyDescent="0.2">
      <c r="B1675" s="1">
        <v>243832</v>
      </c>
    </row>
    <row r="1676" spans="2:2" x14ac:dyDescent="0.2">
      <c r="B1676" s="1">
        <v>243833</v>
      </c>
    </row>
    <row r="1677" spans="2:2" x14ac:dyDescent="0.2">
      <c r="B1677" s="1">
        <v>243834</v>
      </c>
    </row>
    <row r="1678" spans="2:2" x14ac:dyDescent="0.2">
      <c r="B1678" s="1">
        <v>243835</v>
      </c>
    </row>
    <row r="1679" spans="2:2" x14ac:dyDescent="0.2">
      <c r="B1679" s="1">
        <v>243836</v>
      </c>
    </row>
    <row r="1680" spans="2:2" x14ac:dyDescent="0.2">
      <c r="B1680" s="1">
        <v>243837</v>
      </c>
    </row>
    <row r="1681" spans="2:2" x14ac:dyDescent="0.2">
      <c r="B1681" s="1">
        <v>243838</v>
      </c>
    </row>
    <row r="1682" spans="2:2" x14ac:dyDescent="0.2">
      <c r="B1682" s="1">
        <v>243839</v>
      </c>
    </row>
    <row r="1683" spans="2:2" x14ac:dyDescent="0.2">
      <c r="B1683" s="1">
        <v>243840</v>
      </c>
    </row>
    <row r="1684" spans="2:2" x14ac:dyDescent="0.2">
      <c r="B1684" s="1">
        <v>243841</v>
      </c>
    </row>
    <row r="1685" spans="2:2" x14ac:dyDescent="0.2">
      <c r="B1685" s="1">
        <v>243842</v>
      </c>
    </row>
    <row r="1686" spans="2:2" x14ac:dyDescent="0.2">
      <c r="B1686" s="1">
        <v>243843</v>
      </c>
    </row>
    <row r="1687" spans="2:2" x14ac:dyDescent="0.2">
      <c r="B1687" s="1">
        <v>243844</v>
      </c>
    </row>
    <row r="1688" spans="2:2" x14ac:dyDescent="0.2">
      <c r="B1688" s="1">
        <v>243845</v>
      </c>
    </row>
    <row r="1689" spans="2:2" x14ac:dyDescent="0.2">
      <c r="B1689" s="1">
        <v>243846</v>
      </c>
    </row>
    <row r="1690" spans="2:2" x14ac:dyDescent="0.2">
      <c r="B1690" s="1">
        <v>243847</v>
      </c>
    </row>
    <row r="1691" spans="2:2" x14ac:dyDescent="0.2">
      <c r="B1691" s="1">
        <v>243848</v>
      </c>
    </row>
    <row r="1692" spans="2:2" x14ac:dyDescent="0.2">
      <c r="B1692" s="1">
        <v>243849</v>
      </c>
    </row>
    <row r="1693" spans="2:2" x14ac:dyDescent="0.2">
      <c r="B1693" s="1">
        <v>243850</v>
      </c>
    </row>
    <row r="1694" spans="2:2" x14ac:dyDescent="0.2">
      <c r="B1694" s="1">
        <v>243851</v>
      </c>
    </row>
    <row r="1695" spans="2:2" x14ac:dyDescent="0.2">
      <c r="B1695" s="1">
        <v>243852</v>
      </c>
    </row>
    <row r="1696" spans="2:2" x14ac:dyDescent="0.2">
      <c r="B1696" s="1">
        <v>243853</v>
      </c>
    </row>
    <row r="1697" spans="2:2" x14ac:dyDescent="0.2">
      <c r="B1697" s="1">
        <v>243854</v>
      </c>
    </row>
    <row r="1698" spans="2:2" x14ac:dyDescent="0.2">
      <c r="B1698" s="1">
        <v>243855</v>
      </c>
    </row>
    <row r="1699" spans="2:2" x14ac:dyDescent="0.2">
      <c r="B1699" s="1">
        <v>243856</v>
      </c>
    </row>
    <row r="1700" spans="2:2" x14ac:dyDescent="0.2">
      <c r="B1700" s="1">
        <v>243857</v>
      </c>
    </row>
    <row r="1701" spans="2:2" x14ac:dyDescent="0.2">
      <c r="B1701" s="1">
        <v>243858</v>
      </c>
    </row>
    <row r="1702" spans="2:2" x14ac:dyDescent="0.2">
      <c r="B1702" s="1">
        <v>243859</v>
      </c>
    </row>
    <row r="1703" spans="2:2" x14ac:dyDescent="0.2">
      <c r="B1703" s="1">
        <v>243860</v>
      </c>
    </row>
    <row r="1704" spans="2:2" x14ac:dyDescent="0.2">
      <c r="B1704" s="1">
        <v>243861</v>
      </c>
    </row>
    <row r="1705" spans="2:2" x14ac:dyDescent="0.2">
      <c r="B1705" s="1">
        <v>243862</v>
      </c>
    </row>
    <row r="1706" spans="2:2" x14ac:dyDescent="0.2">
      <c r="B1706" s="1">
        <v>243863</v>
      </c>
    </row>
    <row r="1707" spans="2:2" x14ac:dyDescent="0.2">
      <c r="B1707" s="1">
        <v>243864</v>
      </c>
    </row>
    <row r="1708" spans="2:2" x14ac:dyDescent="0.2">
      <c r="B1708" s="1">
        <v>243865</v>
      </c>
    </row>
    <row r="1709" spans="2:2" x14ac:dyDescent="0.2">
      <c r="B1709" s="1">
        <v>243866</v>
      </c>
    </row>
    <row r="1710" spans="2:2" x14ac:dyDescent="0.2">
      <c r="B1710" s="1">
        <v>243867</v>
      </c>
    </row>
    <row r="1711" spans="2:2" x14ac:dyDescent="0.2">
      <c r="B1711" s="1">
        <v>243868</v>
      </c>
    </row>
    <row r="1712" spans="2:2" x14ac:dyDescent="0.2">
      <c r="B1712" s="1">
        <v>243869</v>
      </c>
    </row>
    <row r="1713" spans="2:2" x14ac:dyDescent="0.2">
      <c r="B1713" s="1">
        <v>243870</v>
      </c>
    </row>
    <row r="1714" spans="2:2" x14ac:dyDescent="0.2">
      <c r="B1714" s="1">
        <v>243871</v>
      </c>
    </row>
    <row r="1715" spans="2:2" x14ac:dyDescent="0.2">
      <c r="B1715" s="1">
        <v>243872</v>
      </c>
    </row>
    <row r="1716" spans="2:2" x14ac:dyDescent="0.2">
      <c r="B1716" s="1">
        <v>243873</v>
      </c>
    </row>
    <row r="1717" spans="2:2" x14ac:dyDescent="0.2">
      <c r="B1717" s="1">
        <v>243874</v>
      </c>
    </row>
    <row r="1718" spans="2:2" x14ac:dyDescent="0.2">
      <c r="B1718" s="1">
        <v>243875</v>
      </c>
    </row>
    <row r="1719" spans="2:2" x14ac:dyDescent="0.2">
      <c r="B1719" s="1">
        <v>243876</v>
      </c>
    </row>
    <row r="1720" spans="2:2" x14ac:dyDescent="0.2">
      <c r="B1720" s="1">
        <v>243877</v>
      </c>
    </row>
    <row r="1721" spans="2:2" x14ac:dyDescent="0.2">
      <c r="B1721" s="1">
        <v>243878</v>
      </c>
    </row>
    <row r="1722" spans="2:2" x14ac:dyDescent="0.2">
      <c r="B1722" s="1">
        <v>243879</v>
      </c>
    </row>
    <row r="1723" spans="2:2" x14ac:dyDescent="0.2">
      <c r="B1723" s="1">
        <v>243880</v>
      </c>
    </row>
    <row r="1724" spans="2:2" x14ac:dyDescent="0.2">
      <c r="B1724" s="1">
        <v>243881</v>
      </c>
    </row>
    <row r="1725" spans="2:2" x14ac:dyDescent="0.2">
      <c r="B1725" s="1">
        <v>243882</v>
      </c>
    </row>
    <row r="1726" spans="2:2" x14ac:dyDescent="0.2">
      <c r="B1726" s="1">
        <v>243883</v>
      </c>
    </row>
    <row r="1727" spans="2:2" x14ac:dyDescent="0.2">
      <c r="B1727" s="1">
        <v>243884</v>
      </c>
    </row>
    <row r="1728" spans="2:2" x14ac:dyDescent="0.2">
      <c r="B1728" s="1">
        <v>243885</v>
      </c>
    </row>
    <row r="1729" spans="2:2" x14ac:dyDescent="0.2">
      <c r="B1729" s="1">
        <v>243886</v>
      </c>
    </row>
    <row r="1730" spans="2:2" x14ac:dyDescent="0.2">
      <c r="B1730" s="1">
        <v>243887</v>
      </c>
    </row>
    <row r="1731" spans="2:2" x14ac:dyDescent="0.2">
      <c r="B1731" s="1">
        <v>243888</v>
      </c>
    </row>
    <row r="1732" spans="2:2" x14ac:dyDescent="0.2">
      <c r="B1732" s="1">
        <v>243889</v>
      </c>
    </row>
    <row r="1733" spans="2:2" x14ac:dyDescent="0.2">
      <c r="B1733" s="1">
        <v>243890</v>
      </c>
    </row>
    <row r="1734" spans="2:2" x14ac:dyDescent="0.2">
      <c r="B1734" s="1">
        <v>243891</v>
      </c>
    </row>
    <row r="1735" spans="2:2" x14ac:dyDescent="0.2">
      <c r="B1735" s="1">
        <v>243892</v>
      </c>
    </row>
    <row r="1736" spans="2:2" x14ac:dyDescent="0.2">
      <c r="B1736" s="1">
        <v>243893</v>
      </c>
    </row>
    <row r="1737" spans="2:2" x14ac:dyDescent="0.2">
      <c r="B1737" s="1">
        <v>243894</v>
      </c>
    </row>
    <row r="1738" spans="2:2" x14ac:dyDescent="0.2">
      <c r="B1738" s="1">
        <v>243895</v>
      </c>
    </row>
    <row r="1739" spans="2:2" x14ac:dyDescent="0.2">
      <c r="B1739" s="1">
        <v>243896</v>
      </c>
    </row>
    <row r="1740" spans="2:2" x14ac:dyDescent="0.2">
      <c r="B1740" s="1">
        <v>243897</v>
      </c>
    </row>
    <row r="1741" spans="2:2" x14ac:dyDescent="0.2">
      <c r="B1741" s="1">
        <v>243898</v>
      </c>
    </row>
    <row r="1742" spans="2:2" x14ac:dyDescent="0.2">
      <c r="B1742" s="1">
        <v>243899</v>
      </c>
    </row>
    <row r="1743" spans="2:2" x14ac:dyDescent="0.2">
      <c r="B1743" s="1">
        <v>243900</v>
      </c>
    </row>
    <row r="1744" spans="2:2" x14ac:dyDescent="0.2">
      <c r="B1744" s="1">
        <v>243901</v>
      </c>
    </row>
    <row r="1745" spans="2:2" x14ac:dyDescent="0.2">
      <c r="B1745" s="1">
        <v>243902</v>
      </c>
    </row>
    <row r="1746" spans="2:2" x14ac:dyDescent="0.2">
      <c r="B1746" s="1">
        <v>243903</v>
      </c>
    </row>
    <row r="1747" spans="2:2" x14ac:dyDescent="0.2">
      <c r="B1747" s="1">
        <v>243904</v>
      </c>
    </row>
    <row r="1748" spans="2:2" x14ac:dyDescent="0.2">
      <c r="B1748" s="1">
        <v>243905</v>
      </c>
    </row>
    <row r="1749" spans="2:2" x14ac:dyDescent="0.2">
      <c r="B1749" s="1">
        <v>243906</v>
      </c>
    </row>
    <row r="1750" spans="2:2" x14ac:dyDescent="0.2">
      <c r="B1750" s="1">
        <v>243907</v>
      </c>
    </row>
    <row r="1751" spans="2:2" x14ac:dyDescent="0.2">
      <c r="B1751" s="1">
        <v>243908</v>
      </c>
    </row>
    <row r="1752" spans="2:2" x14ac:dyDescent="0.2">
      <c r="B1752" s="1">
        <v>243909</v>
      </c>
    </row>
    <row r="1753" spans="2:2" x14ac:dyDescent="0.2">
      <c r="B1753" s="1">
        <v>243910</v>
      </c>
    </row>
    <row r="1754" spans="2:2" x14ac:dyDescent="0.2">
      <c r="B1754" s="1">
        <v>243911</v>
      </c>
    </row>
    <row r="1755" spans="2:2" x14ac:dyDescent="0.2">
      <c r="B1755" s="1">
        <v>243912</v>
      </c>
    </row>
    <row r="1756" spans="2:2" x14ac:dyDescent="0.2">
      <c r="B1756" s="1">
        <v>243913</v>
      </c>
    </row>
    <row r="1757" spans="2:2" x14ac:dyDescent="0.2">
      <c r="B1757" s="1">
        <v>243914</v>
      </c>
    </row>
    <row r="1758" spans="2:2" x14ac:dyDescent="0.2">
      <c r="B1758" s="1">
        <v>243915</v>
      </c>
    </row>
    <row r="1759" spans="2:2" x14ac:dyDescent="0.2">
      <c r="B1759" s="1">
        <v>243916</v>
      </c>
    </row>
    <row r="1760" spans="2:2" x14ac:dyDescent="0.2">
      <c r="B1760" s="1">
        <v>243917</v>
      </c>
    </row>
    <row r="1761" spans="2:2" x14ac:dyDescent="0.2">
      <c r="B1761" s="1">
        <v>243918</v>
      </c>
    </row>
    <row r="1762" spans="2:2" x14ac:dyDescent="0.2">
      <c r="B1762" s="1">
        <v>243919</v>
      </c>
    </row>
    <row r="1763" spans="2:2" x14ac:dyDescent="0.2">
      <c r="B1763" s="1">
        <v>243920</v>
      </c>
    </row>
    <row r="1764" spans="2:2" x14ac:dyDescent="0.2">
      <c r="B1764" s="1">
        <v>243921</v>
      </c>
    </row>
    <row r="1765" spans="2:2" x14ac:dyDescent="0.2">
      <c r="B1765" s="1">
        <v>243922</v>
      </c>
    </row>
    <row r="1766" spans="2:2" x14ac:dyDescent="0.2">
      <c r="B1766" s="1">
        <v>243923</v>
      </c>
    </row>
    <row r="1767" spans="2:2" x14ac:dyDescent="0.2">
      <c r="B1767" s="1">
        <v>243924</v>
      </c>
    </row>
    <row r="1768" spans="2:2" x14ac:dyDescent="0.2">
      <c r="B1768" s="1">
        <v>243925</v>
      </c>
    </row>
    <row r="1769" spans="2:2" x14ac:dyDescent="0.2">
      <c r="B1769" s="1">
        <v>243926</v>
      </c>
    </row>
    <row r="1770" spans="2:2" x14ac:dyDescent="0.2">
      <c r="B1770" s="1">
        <v>243927</v>
      </c>
    </row>
    <row r="1771" spans="2:2" x14ac:dyDescent="0.2">
      <c r="B1771" s="1">
        <v>243928</v>
      </c>
    </row>
    <row r="1772" spans="2:2" x14ac:dyDescent="0.2">
      <c r="B1772" s="1">
        <v>243929</v>
      </c>
    </row>
    <row r="1773" spans="2:2" x14ac:dyDescent="0.2">
      <c r="B1773" s="1">
        <v>243930</v>
      </c>
    </row>
    <row r="1774" spans="2:2" x14ac:dyDescent="0.2">
      <c r="B1774" s="1">
        <v>243931</v>
      </c>
    </row>
    <row r="1775" spans="2:2" x14ac:dyDescent="0.2">
      <c r="B1775" s="1">
        <v>243932</v>
      </c>
    </row>
    <row r="1776" spans="2:2" x14ac:dyDescent="0.2">
      <c r="B1776" s="1">
        <v>243933</v>
      </c>
    </row>
    <row r="1777" spans="2:2" x14ac:dyDescent="0.2">
      <c r="B1777" s="1">
        <v>243934</v>
      </c>
    </row>
    <row r="1778" spans="2:2" x14ac:dyDescent="0.2">
      <c r="B1778" s="1">
        <v>243935</v>
      </c>
    </row>
    <row r="1779" spans="2:2" x14ac:dyDescent="0.2">
      <c r="B1779" s="1">
        <v>243936</v>
      </c>
    </row>
    <row r="1780" spans="2:2" x14ac:dyDescent="0.2">
      <c r="B1780" s="1">
        <v>243937</v>
      </c>
    </row>
    <row r="1781" spans="2:2" x14ac:dyDescent="0.2">
      <c r="B1781" s="1">
        <v>243938</v>
      </c>
    </row>
    <row r="1782" spans="2:2" x14ac:dyDescent="0.2">
      <c r="B1782" s="1">
        <v>243939</v>
      </c>
    </row>
    <row r="1783" spans="2:2" x14ac:dyDescent="0.2">
      <c r="B1783" s="1">
        <v>243940</v>
      </c>
    </row>
    <row r="1784" spans="2:2" x14ac:dyDescent="0.2">
      <c r="B1784" s="1">
        <v>243941</v>
      </c>
    </row>
    <row r="1785" spans="2:2" x14ac:dyDescent="0.2">
      <c r="B1785" s="1">
        <v>243942</v>
      </c>
    </row>
    <row r="1786" spans="2:2" x14ac:dyDescent="0.2">
      <c r="B1786" s="1">
        <v>243943</v>
      </c>
    </row>
    <row r="1787" spans="2:2" x14ac:dyDescent="0.2">
      <c r="B1787" s="1">
        <v>243944</v>
      </c>
    </row>
    <row r="1788" spans="2:2" x14ac:dyDescent="0.2">
      <c r="B1788" s="1">
        <v>243945</v>
      </c>
    </row>
    <row r="1789" spans="2:2" x14ac:dyDescent="0.2">
      <c r="B1789" s="1">
        <v>243946</v>
      </c>
    </row>
    <row r="1790" spans="2:2" x14ac:dyDescent="0.2">
      <c r="B1790" s="1">
        <v>243947</v>
      </c>
    </row>
    <row r="1791" spans="2:2" x14ac:dyDescent="0.2">
      <c r="B1791" s="1">
        <v>243948</v>
      </c>
    </row>
    <row r="1792" spans="2:2" x14ac:dyDescent="0.2">
      <c r="B1792" s="1">
        <v>243949</v>
      </c>
    </row>
    <row r="1793" spans="2:2" x14ac:dyDescent="0.2">
      <c r="B1793" s="1">
        <v>243950</v>
      </c>
    </row>
    <row r="1794" spans="2:2" x14ac:dyDescent="0.2">
      <c r="B1794" s="1">
        <v>243951</v>
      </c>
    </row>
    <row r="1795" spans="2:2" x14ac:dyDescent="0.2">
      <c r="B1795" s="1">
        <v>243952</v>
      </c>
    </row>
    <row r="1796" spans="2:2" x14ac:dyDescent="0.2">
      <c r="B1796" s="1">
        <v>243953</v>
      </c>
    </row>
    <row r="1797" spans="2:2" x14ac:dyDescent="0.2">
      <c r="B1797" s="1">
        <v>243954</v>
      </c>
    </row>
    <row r="1798" spans="2:2" x14ac:dyDescent="0.2">
      <c r="B1798" s="1">
        <v>243955</v>
      </c>
    </row>
    <row r="1799" spans="2:2" x14ac:dyDescent="0.2">
      <c r="B1799" s="1">
        <v>243956</v>
      </c>
    </row>
    <row r="1800" spans="2:2" x14ac:dyDescent="0.2">
      <c r="B1800" s="1">
        <v>243957</v>
      </c>
    </row>
    <row r="1801" spans="2:2" x14ac:dyDescent="0.2">
      <c r="B1801" s="1">
        <v>243958</v>
      </c>
    </row>
    <row r="1802" spans="2:2" x14ac:dyDescent="0.2">
      <c r="B1802" s="1">
        <v>243959</v>
      </c>
    </row>
    <row r="1803" spans="2:2" x14ac:dyDescent="0.2">
      <c r="B1803" s="1">
        <v>243960</v>
      </c>
    </row>
    <row r="1804" spans="2:2" x14ac:dyDescent="0.2">
      <c r="B1804" s="1">
        <v>243961</v>
      </c>
    </row>
    <row r="1805" spans="2:2" x14ac:dyDescent="0.2">
      <c r="B1805" s="1">
        <v>243962</v>
      </c>
    </row>
    <row r="1806" spans="2:2" x14ac:dyDescent="0.2">
      <c r="B1806" s="1">
        <v>243963</v>
      </c>
    </row>
    <row r="1807" spans="2:2" x14ac:dyDescent="0.2">
      <c r="B1807" s="1">
        <v>243964</v>
      </c>
    </row>
    <row r="1808" spans="2:2" x14ac:dyDescent="0.2">
      <c r="B1808" s="1">
        <v>243965</v>
      </c>
    </row>
    <row r="1809" spans="2:2" x14ac:dyDescent="0.2">
      <c r="B1809" s="1">
        <v>243966</v>
      </c>
    </row>
    <row r="1810" spans="2:2" x14ac:dyDescent="0.2">
      <c r="B1810" s="1">
        <v>243967</v>
      </c>
    </row>
    <row r="1811" spans="2:2" x14ac:dyDescent="0.2">
      <c r="B1811" s="1">
        <v>243968</v>
      </c>
    </row>
    <row r="1812" spans="2:2" x14ac:dyDescent="0.2">
      <c r="B1812" s="1">
        <v>243969</v>
      </c>
    </row>
    <row r="1813" spans="2:2" x14ac:dyDescent="0.2">
      <c r="B1813" s="1">
        <v>243970</v>
      </c>
    </row>
    <row r="1814" spans="2:2" x14ac:dyDescent="0.2">
      <c r="B1814" s="1">
        <v>243971</v>
      </c>
    </row>
    <row r="1815" spans="2:2" x14ac:dyDescent="0.2">
      <c r="B1815" s="1">
        <v>243972</v>
      </c>
    </row>
    <row r="1816" spans="2:2" x14ac:dyDescent="0.2">
      <c r="B1816" s="1">
        <v>243973</v>
      </c>
    </row>
    <row r="1817" spans="2:2" x14ac:dyDescent="0.2">
      <c r="B1817" s="1">
        <v>243974</v>
      </c>
    </row>
    <row r="1818" spans="2:2" x14ac:dyDescent="0.2">
      <c r="B1818" s="1">
        <v>243975</v>
      </c>
    </row>
    <row r="1819" spans="2:2" x14ac:dyDescent="0.2">
      <c r="B1819" s="1">
        <v>243976</v>
      </c>
    </row>
    <row r="1820" spans="2:2" x14ac:dyDescent="0.2">
      <c r="B1820" s="1">
        <v>243977</v>
      </c>
    </row>
    <row r="1821" spans="2:2" x14ac:dyDescent="0.2">
      <c r="B1821" s="1">
        <v>243978</v>
      </c>
    </row>
    <row r="1822" spans="2:2" x14ac:dyDescent="0.2">
      <c r="B1822" s="1">
        <v>243979</v>
      </c>
    </row>
    <row r="1823" spans="2:2" x14ac:dyDescent="0.2">
      <c r="B1823" s="1">
        <v>243980</v>
      </c>
    </row>
    <row r="1824" spans="2:2" x14ac:dyDescent="0.2">
      <c r="B1824" s="1">
        <v>243981</v>
      </c>
    </row>
    <row r="1825" spans="2:2" x14ac:dyDescent="0.2">
      <c r="B1825" s="1">
        <v>243982</v>
      </c>
    </row>
    <row r="1826" spans="2:2" x14ac:dyDescent="0.2">
      <c r="B1826" s="1">
        <v>243983</v>
      </c>
    </row>
    <row r="1827" spans="2:2" x14ac:dyDescent="0.2">
      <c r="B1827" s="1">
        <v>243984</v>
      </c>
    </row>
    <row r="1828" spans="2:2" x14ac:dyDescent="0.2">
      <c r="B1828" s="1">
        <v>243985</v>
      </c>
    </row>
    <row r="1829" spans="2:2" x14ac:dyDescent="0.2">
      <c r="B1829" s="1">
        <v>243986</v>
      </c>
    </row>
    <row r="1830" spans="2:2" x14ac:dyDescent="0.2">
      <c r="B1830" s="1">
        <v>243987</v>
      </c>
    </row>
    <row r="1831" spans="2:2" x14ac:dyDescent="0.2">
      <c r="B1831" s="1">
        <v>243988</v>
      </c>
    </row>
    <row r="1832" spans="2:2" x14ac:dyDescent="0.2">
      <c r="B1832" s="1">
        <v>243989</v>
      </c>
    </row>
    <row r="1833" spans="2:2" x14ac:dyDescent="0.2">
      <c r="B1833" s="1">
        <v>243990</v>
      </c>
    </row>
    <row r="1834" spans="2:2" x14ac:dyDescent="0.2">
      <c r="B1834" s="1">
        <v>243991</v>
      </c>
    </row>
    <row r="1835" spans="2:2" x14ac:dyDescent="0.2">
      <c r="B1835" s="1">
        <v>243992</v>
      </c>
    </row>
    <row r="1836" spans="2:2" x14ac:dyDescent="0.2">
      <c r="B1836" s="1">
        <v>243993</v>
      </c>
    </row>
    <row r="1837" spans="2:2" x14ac:dyDescent="0.2">
      <c r="B1837" s="1">
        <v>243994</v>
      </c>
    </row>
    <row r="1838" spans="2:2" x14ac:dyDescent="0.2">
      <c r="B1838" s="1">
        <v>243995</v>
      </c>
    </row>
    <row r="1839" spans="2:2" x14ac:dyDescent="0.2">
      <c r="B1839" s="1">
        <v>243996</v>
      </c>
    </row>
    <row r="1840" spans="2:2" x14ac:dyDescent="0.2">
      <c r="B1840" s="1">
        <v>243997</v>
      </c>
    </row>
    <row r="1841" spans="2:2" x14ac:dyDescent="0.2">
      <c r="B1841" s="1">
        <v>243998</v>
      </c>
    </row>
    <row r="1842" spans="2:2" x14ac:dyDescent="0.2">
      <c r="B1842" s="1">
        <v>243999</v>
      </c>
    </row>
    <row r="1843" spans="2:2" x14ac:dyDescent="0.2">
      <c r="B1843" s="1">
        <v>244000</v>
      </c>
    </row>
    <row r="1844" spans="2:2" x14ac:dyDescent="0.2">
      <c r="B1844" s="1">
        <v>244001</v>
      </c>
    </row>
    <row r="1845" spans="2:2" x14ac:dyDescent="0.2">
      <c r="B1845" s="1">
        <v>244002</v>
      </c>
    </row>
    <row r="1846" spans="2:2" x14ac:dyDescent="0.2">
      <c r="B1846" s="1">
        <v>244003</v>
      </c>
    </row>
    <row r="1847" spans="2:2" x14ac:dyDescent="0.2">
      <c r="B1847" s="1">
        <v>244004</v>
      </c>
    </row>
    <row r="1848" spans="2:2" x14ac:dyDescent="0.2">
      <c r="B1848" s="1">
        <v>244005</v>
      </c>
    </row>
    <row r="1849" spans="2:2" x14ac:dyDescent="0.2">
      <c r="B1849" s="1">
        <v>244006</v>
      </c>
    </row>
    <row r="1850" spans="2:2" x14ac:dyDescent="0.2">
      <c r="B1850" s="1">
        <v>244007</v>
      </c>
    </row>
    <row r="1851" spans="2:2" x14ac:dyDescent="0.2">
      <c r="B1851" s="1">
        <v>244008</v>
      </c>
    </row>
    <row r="1852" spans="2:2" x14ac:dyDescent="0.2">
      <c r="B1852" s="1">
        <v>244009</v>
      </c>
    </row>
    <row r="1853" spans="2:2" x14ac:dyDescent="0.2">
      <c r="B1853" s="1">
        <v>244010</v>
      </c>
    </row>
    <row r="1854" spans="2:2" x14ac:dyDescent="0.2">
      <c r="B1854" s="1">
        <v>244011</v>
      </c>
    </row>
    <row r="1855" spans="2:2" x14ac:dyDescent="0.2">
      <c r="B1855" s="1">
        <v>244012</v>
      </c>
    </row>
    <row r="1856" spans="2:2" x14ac:dyDescent="0.2">
      <c r="B1856" s="1">
        <v>244013</v>
      </c>
    </row>
    <row r="1857" spans="2:2" x14ac:dyDescent="0.2">
      <c r="B1857" s="1">
        <v>244014</v>
      </c>
    </row>
    <row r="1858" spans="2:2" x14ac:dyDescent="0.2">
      <c r="B1858" s="1">
        <v>244015</v>
      </c>
    </row>
    <row r="1859" spans="2:2" x14ac:dyDescent="0.2">
      <c r="B1859" s="1">
        <v>244016</v>
      </c>
    </row>
    <row r="1860" spans="2:2" x14ac:dyDescent="0.2">
      <c r="B1860" s="1">
        <v>244017</v>
      </c>
    </row>
    <row r="1861" spans="2:2" x14ac:dyDescent="0.2">
      <c r="B1861" s="1">
        <v>244018</v>
      </c>
    </row>
    <row r="1862" spans="2:2" x14ac:dyDescent="0.2">
      <c r="B1862" s="1">
        <v>244019</v>
      </c>
    </row>
    <row r="1863" spans="2:2" x14ac:dyDescent="0.2">
      <c r="B1863" s="1">
        <v>244020</v>
      </c>
    </row>
    <row r="1864" spans="2:2" x14ac:dyDescent="0.2">
      <c r="B1864" s="1">
        <v>244021</v>
      </c>
    </row>
    <row r="1865" spans="2:2" x14ac:dyDescent="0.2">
      <c r="B1865" s="1">
        <v>244022</v>
      </c>
    </row>
    <row r="1866" spans="2:2" x14ac:dyDescent="0.2">
      <c r="B1866" s="1">
        <v>244023</v>
      </c>
    </row>
    <row r="1867" spans="2:2" x14ac:dyDescent="0.2">
      <c r="B1867" s="1">
        <v>244024</v>
      </c>
    </row>
    <row r="1868" spans="2:2" x14ac:dyDescent="0.2">
      <c r="B1868" s="1">
        <v>244025</v>
      </c>
    </row>
    <row r="1869" spans="2:2" x14ac:dyDescent="0.2">
      <c r="B1869" s="1">
        <v>244026</v>
      </c>
    </row>
    <row r="1870" spans="2:2" x14ac:dyDescent="0.2">
      <c r="B1870" s="1">
        <v>244027</v>
      </c>
    </row>
    <row r="1871" spans="2:2" x14ac:dyDescent="0.2">
      <c r="B1871" s="1">
        <v>244028</v>
      </c>
    </row>
    <row r="1872" spans="2:2" x14ac:dyDescent="0.2">
      <c r="B1872" s="1">
        <v>244029</v>
      </c>
    </row>
    <row r="1873" spans="2:2" x14ac:dyDescent="0.2">
      <c r="B1873" s="1">
        <v>244030</v>
      </c>
    </row>
    <row r="1874" spans="2:2" x14ac:dyDescent="0.2">
      <c r="B1874" s="1">
        <v>244031</v>
      </c>
    </row>
    <row r="1875" spans="2:2" x14ac:dyDescent="0.2">
      <c r="B1875" s="1">
        <v>244032</v>
      </c>
    </row>
    <row r="1876" spans="2:2" x14ac:dyDescent="0.2">
      <c r="B1876" s="1">
        <v>244033</v>
      </c>
    </row>
    <row r="1877" spans="2:2" x14ac:dyDescent="0.2">
      <c r="B1877" s="1">
        <v>244034</v>
      </c>
    </row>
    <row r="1878" spans="2:2" x14ac:dyDescent="0.2">
      <c r="B1878" s="1">
        <v>244035</v>
      </c>
    </row>
    <row r="1879" spans="2:2" x14ac:dyDescent="0.2">
      <c r="B1879" s="1">
        <v>244036</v>
      </c>
    </row>
    <row r="1880" spans="2:2" x14ac:dyDescent="0.2">
      <c r="B1880" s="1">
        <v>244037</v>
      </c>
    </row>
    <row r="1881" spans="2:2" x14ac:dyDescent="0.2">
      <c r="B1881" s="1">
        <v>244038</v>
      </c>
    </row>
    <row r="1882" spans="2:2" x14ac:dyDescent="0.2">
      <c r="B1882" s="1">
        <v>244039</v>
      </c>
    </row>
    <row r="1883" spans="2:2" x14ac:dyDescent="0.2">
      <c r="B1883" s="1">
        <v>244040</v>
      </c>
    </row>
    <row r="1884" spans="2:2" x14ac:dyDescent="0.2">
      <c r="B1884" s="1">
        <v>244041</v>
      </c>
    </row>
    <row r="1885" spans="2:2" x14ac:dyDescent="0.2">
      <c r="B1885" s="1">
        <v>244042</v>
      </c>
    </row>
    <row r="1886" spans="2:2" x14ac:dyDescent="0.2">
      <c r="B1886" s="1">
        <v>244043</v>
      </c>
    </row>
    <row r="1887" spans="2:2" x14ac:dyDescent="0.2">
      <c r="B1887" s="1">
        <v>244044</v>
      </c>
    </row>
    <row r="1888" spans="2:2" x14ac:dyDescent="0.2">
      <c r="B1888" s="1">
        <v>244045</v>
      </c>
    </row>
    <row r="1889" spans="2:2" x14ac:dyDescent="0.2">
      <c r="B1889" s="1">
        <v>244046</v>
      </c>
    </row>
    <row r="1890" spans="2:2" x14ac:dyDescent="0.2">
      <c r="B1890" s="1">
        <v>244047</v>
      </c>
    </row>
    <row r="1891" spans="2:2" x14ac:dyDescent="0.2">
      <c r="B1891" s="1">
        <v>244048</v>
      </c>
    </row>
    <row r="1892" spans="2:2" x14ac:dyDescent="0.2">
      <c r="B1892" s="1">
        <v>244049</v>
      </c>
    </row>
    <row r="1893" spans="2:2" x14ac:dyDescent="0.2">
      <c r="B1893" s="1">
        <v>244050</v>
      </c>
    </row>
    <row r="1894" spans="2:2" x14ac:dyDescent="0.2">
      <c r="B1894" s="1">
        <v>244051</v>
      </c>
    </row>
    <row r="1895" spans="2:2" x14ac:dyDescent="0.2">
      <c r="B1895" s="1">
        <v>244052</v>
      </c>
    </row>
    <row r="1896" spans="2:2" x14ac:dyDescent="0.2">
      <c r="B1896" s="1">
        <v>244053</v>
      </c>
    </row>
    <row r="1897" spans="2:2" x14ac:dyDescent="0.2">
      <c r="B1897" s="1">
        <v>244054</v>
      </c>
    </row>
    <row r="1898" spans="2:2" x14ac:dyDescent="0.2">
      <c r="B1898" s="1">
        <v>244055</v>
      </c>
    </row>
    <row r="1899" spans="2:2" x14ac:dyDescent="0.2">
      <c r="B1899" s="1">
        <v>244056</v>
      </c>
    </row>
    <row r="1900" spans="2:2" x14ac:dyDescent="0.2">
      <c r="B1900" s="1">
        <v>244057</v>
      </c>
    </row>
    <row r="1901" spans="2:2" x14ac:dyDescent="0.2">
      <c r="B1901" s="1">
        <v>244058</v>
      </c>
    </row>
    <row r="1902" spans="2:2" x14ac:dyDescent="0.2">
      <c r="B1902" s="1">
        <v>244059</v>
      </c>
    </row>
    <row r="1903" spans="2:2" x14ac:dyDescent="0.2">
      <c r="B1903" s="1">
        <v>244060</v>
      </c>
    </row>
    <row r="1904" spans="2:2" x14ac:dyDescent="0.2">
      <c r="B1904" s="1">
        <v>244061</v>
      </c>
    </row>
    <row r="1905" spans="2:2" x14ac:dyDescent="0.2">
      <c r="B1905" s="1">
        <v>244062</v>
      </c>
    </row>
    <row r="1906" spans="2:2" x14ac:dyDescent="0.2">
      <c r="B1906" s="1">
        <v>244063</v>
      </c>
    </row>
    <row r="1907" spans="2:2" x14ac:dyDescent="0.2">
      <c r="B1907" s="1">
        <v>244064</v>
      </c>
    </row>
    <row r="1908" spans="2:2" x14ac:dyDescent="0.2">
      <c r="B1908" s="1">
        <v>244065</v>
      </c>
    </row>
    <row r="1909" spans="2:2" x14ac:dyDescent="0.2">
      <c r="B1909" s="1">
        <v>244066</v>
      </c>
    </row>
    <row r="1910" spans="2:2" x14ac:dyDescent="0.2">
      <c r="B1910" s="1">
        <v>244067</v>
      </c>
    </row>
    <row r="1911" spans="2:2" x14ac:dyDescent="0.2">
      <c r="B1911" s="1">
        <v>244068</v>
      </c>
    </row>
    <row r="1912" spans="2:2" x14ac:dyDescent="0.2">
      <c r="B1912" s="1">
        <v>244069</v>
      </c>
    </row>
    <row r="1913" spans="2:2" x14ac:dyDescent="0.2">
      <c r="B1913" s="1">
        <v>244070</v>
      </c>
    </row>
    <row r="1914" spans="2:2" x14ac:dyDescent="0.2">
      <c r="B1914" s="1">
        <v>244071</v>
      </c>
    </row>
    <row r="1915" spans="2:2" x14ac:dyDescent="0.2">
      <c r="B1915" s="1">
        <v>244072</v>
      </c>
    </row>
    <row r="1916" spans="2:2" x14ac:dyDescent="0.2">
      <c r="B1916" s="1">
        <v>244073</v>
      </c>
    </row>
    <row r="1917" spans="2:2" x14ac:dyDescent="0.2">
      <c r="B1917" s="1">
        <v>244074</v>
      </c>
    </row>
    <row r="1918" spans="2:2" x14ac:dyDescent="0.2">
      <c r="B1918" s="1">
        <v>244075</v>
      </c>
    </row>
    <row r="1919" spans="2:2" x14ac:dyDescent="0.2">
      <c r="B1919" s="1">
        <v>244076</v>
      </c>
    </row>
    <row r="1920" spans="2:2" x14ac:dyDescent="0.2">
      <c r="B1920" s="1">
        <v>244077</v>
      </c>
    </row>
    <row r="1921" spans="2:2" x14ac:dyDescent="0.2">
      <c r="B1921" s="1">
        <v>244078</v>
      </c>
    </row>
    <row r="1922" spans="2:2" x14ac:dyDescent="0.2">
      <c r="B1922" s="1">
        <v>244079</v>
      </c>
    </row>
    <row r="1923" spans="2:2" x14ac:dyDescent="0.2">
      <c r="B1923" s="1">
        <v>244080</v>
      </c>
    </row>
    <row r="1924" spans="2:2" x14ac:dyDescent="0.2">
      <c r="B1924" s="1">
        <v>244081</v>
      </c>
    </row>
    <row r="1925" spans="2:2" x14ac:dyDescent="0.2">
      <c r="B1925" s="1">
        <v>244082</v>
      </c>
    </row>
    <row r="1926" spans="2:2" x14ac:dyDescent="0.2">
      <c r="B1926" s="1">
        <v>244083</v>
      </c>
    </row>
    <row r="1927" spans="2:2" x14ac:dyDescent="0.2">
      <c r="B1927" s="1">
        <v>244084</v>
      </c>
    </row>
    <row r="1928" spans="2:2" x14ac:dyDescent="0.2">
      <c r="B1928" s="1">
        <v>244085</v>
      </c>
    </row>
    <row r="1929" spans="2:2" x14ac:dyDescent="0.2">
      <c r="B1929" s="1">
        <v>244086</v>
      </c>
    </row>
    <row r="1930" spans="2:2" x14ac:dyDescent="0.2">
      <c r="B1930" s="1">
        <v>244087</v>
      </c>
    </row>
    <row r="1931" spans="2:2" x14ac:dyDescent="0.2">
      <c r="B1931" s="1">
        <v>244088</v>
      </c>
    </row>
    <row r="1932" spans="2:2" x14ac:dyDescent="0.2">
      <c r="B1932" s="1">
        <v>244089</v>
      </c>
    </row>
    <row r="1933" spans="2:2" x14ac:dyDescent="0.2">
      <c r="B1933" s="1">
        <v>244090</v>
      </c>
    </row>
    <row r="1934" spans="2:2" x14ac:dyDescent="0.2">
      <c r="B1934" s="1">
        <v>244091</v>
      </c>
    </row>
    <row r="1935" spans="2:2" x14ac:dyDescent="0.2">
      <c r="B1935" s="1">
        <v>244092</v>
      </c>
    </row>
    <row r="1936" spans="2:2" x14ac:dyDescent="0.2">
      <c r="B1936" s="1">
        <v>244093</v>
      </c>
    </row>
    <row r="1937" spans="2:2" x14ac:dyDescent="0.2">
      <c r="B1937" s="1">
        <v>244094</v>
      </c>
    </row>
    <row r="1938" spans="2:2" x14ac:dyDescent="0.2">
      <c r="B1938" s="1">
        <v>244095</v>
      </c>
    </row>
    <row r="1939" spans="2:2" x14ac:dyDescent="0.2">
      <c r="B1939" s="1">
        <v>244096</v>
      </c>
    </row>
    <row r="1940" spans="2:2" x14ac:dyDescent="0.2">
      <c r="B1940" s="1">
        <v>244097</v>
      </c>
    </row>
    <row r="1941" spans="2:2" x14ac:dyDescent="0.2">
      <c r="B1941" s="1">
        <v>244098</v>
      </c>
    </row>
    <row r="1942" spans="2:2" x14ac:dyDescent="0.2">
      <c r="B1942" s="1">
        <v>244099</v>
      </c>
    </row>
    <row r="1943" spans="2:2" x14ac:dyDescent="0.2">
      <c r="B1943" s="1">
        <v>244100</v>
      </c>
    </row>
    <row r="1944" spans="2:2" x14ac:dyDescent="0.2">
      <c r="B1944" s="1">
        <v>244101</v>
      </c>
    </row>
    <row r="1945" spans="2:2" x14ac:dyDescent="0.2">
      <c r="B1945" s="1">
        <v>244102</v>
      </c>
    </row>
    <row r="1946" spans="2:2" x14ac:dyDescent="0.2">
      <c r="B1946" s="1">
        <v>244103</v>
      </c>
    </row>
    <row r="1947" spans="2:2" x14ac:dyDescent="0.2">
      <c r="B1947" s="1">
        <v>244104</v>
      </c>
    </row>
    <row r="1948" spans="2:2" x14ac:dyDescent="0.2">
      <c r="B1948" s="1">
        <v>244105</v>
      </c>
    </row>
    <row r="1949" spans="2:2" x14ac:dyDescent="0.2">
      <c r="B1949" s="1">
        <v>244106</v>
      </c>
    </row>
    <row r="1950" spans="2:2" x14ac:dyDescent="0.2">
      <c r="B1950" s="1">
        <v>244107</v>
      </c>
    </row>
    <row r="1951" spans="2:2" x14ac:dyDescent="0.2">
      <c r="B1951" s="1">
        <v>244108</v>
      </c>
    </row>
    <row r="1952" spans="2:2" x14ac:dyDescent="0.2">
      <c r="B1952" s="1">
        <v>244109</v>
      </c>
    </row>
    <row r="1953" spans="2:2" x14ac:dyDescent="0.2">
      <c r="B1953" s="1">
        <v>244110</v>
      </c>
    </row>
    <row r="1954" spans="2:2" x14ac:dyDescent="0.2">
      <c r="B1954" s="1">
        <v>244111</v>
      </c>
    </row>
    <row r="1955" spans="2:2" x14ac:dyDescent="0.2">
      <c r="B1955" s="1">
        <v>244112</v>
      </c>
    </row>
    <row r="1956" spans="2:2" x14ac:dyDescent="0.2">
      <c r="B1956" s="1">
        <v>244113</v>
      </c>
    </row>
    <row r="1957" spans="2:2" x14ac:dyDescent="0.2">
      <c r="B1957" s="1">
        <v>244114</v>
      </c>
    </row>
    <row r="1958" spans="2:2" x14ac:dyDescent="0.2">
      <c r="B1958" s="1">
        <v>244115</v>
      </c>
    </row>
    <row r="1959" spans="2:2" x14ac:dyDescent="0.2">
      <c r="B1959" s="1">
        <v>244116</v>
      </c>
    </row>
    <row r="1960" spans="2:2" x14ac:dyDescent="0.2">
      <c r="B1960" s="1">
        <v>244117</v>
      </c>
    </row>
    <row r="1961" spans="2:2" x14ac:dyDescent="0.2">
      <c r="B1961" s="1">
        <v>244118</v>
      </c>
    </row>
    <row r="1962" spans="2:2" x14ac:dyDescent="0.2">
      <c r="B1962" s="1">
        <v>244119</v>
      </c>
    </row>
    <row r="1963" spans="2:2" x14ac:dyDescent="0.2">
      <c r="B1963" s="1">
        <v>244120</v>
      </c>
    </row>
    <row r="1964" spans="2:2" x14ac:dyDescent="0.2">
      <c r="B1964" s="1">
        <v>244121</v>
      </c>
    </row>
    <row r="1965" spans="2:2" x14ac:dyDescent="0.2">
      <c r="B1965" s="1">
        <v>244122</v>
      </c>
    </row>
    <row r="1966" spans="2:2" x14ac:dyDescent="0.2">
      <c r="B1966" s="1">
        <v>244123</v>
      </c>
    </row>
    <row r="1967" spans="2:2" x14ac:dyDescent="0.2">
      <c r="B1967" s="1">
        <v>244124</v>
      </c>
    </row>
    <row r="1968" spans="2:2" x14ac:dyDescent="0.2">
      <c r="B1968" s="1">
        <v>244125</v>
      </c>
    </row>
    <row r="1969" spans="2:2" x14ac:dyDescent="0.2">
      <c r="B1969" s="1">
        <v>244126</v>
      </c>
    </row>
    <row r="1970" spans="2:2" x14ac:dyDescent="0.2">
      <c r="B1970" s="1">
        <v>244127</v>
      </c>
    </row>
    <row r="1971" spans="2:2" x14ac:dyDescent="0.2">
      <c r="B1971" s="1">
        <v>244128</v>
      </c>
    </row>
    <row r="1972" spans="2:2" x14ac:dyDescent="0.2">
      <c r="B1972" s="1">
        <v>244129</v>
      </c>
    </row>
    <row r="1973" spans="2:2" x14ac:dyDescent="0.2">
      <c r="B1973" s="1">
        <v>244130</v>
      </c>
    </row>
    <row r="1974" spans="2:2" x14ac:dyDescent="0.2">
      <c r="B1974" s="1">
        <v>244131</v>
      </c>
    </row>
    <row r="1975" spans="2:2" x14ac:dyDescent="0.2">
      <c r="B1975" s="1">
        <v>244132</v>
      </c>
    </row>
    <row r="1976" spans="2:2" x14ac:dyDescent="0.2">
      <c r="B1976" s="1">
        <v>244133</v>
      </c>
    </row>
    <row r="1977" spans="2:2" x14ac:dyDescent="0.2">
      <c r="B1977" s="1">
        <v>244134</v>
      </c>
    </row>
    <row r="1978" spans="2:2" x14ac:dyDescent="0.2">
      <c r="B1978" s="1">
        <v>244135</v>
      </c>
    </row>
    <row r="1979" spans="2:2" x14ac:dyDescent="0.2">
      <c r="B1979" s="1">
        <v>244136</v>
      </c>
    </row>
    <row r="1980" spans="2:2" x14ac:dyDescent="0.2">
      <c r="B1980" s="1">
        <v>244137</v>
      </c>
    </row>
    <row r="1981" spans="2:2" x14ac:dyDescent="0.2">
      <c r="B1981" s="1">
        <v>244138</v>
      </c>
    </row>
    <row r="1982" spans="2:2" x14ac:dyDescent="0.2">
      <c r="B1982" s="1">
        <v>244139</v>
      </c>
    </row>
    <row r="1983" spans="2:2" x14ac:dyDescent="0.2">
      <c r="B1983" s="1">
        <v>244140</v>
      </c>
    </row>
    <row r="1984" spans="2:2" x14ac:dyDescent="0.2">
      <c r="B1984" s="1">
        <v>244141</v>
      </c>
    </row>
    <row r="1985" spans="2:2" x14ac:dyDescent="0.2">
      <c r="B1985" s="1">
        <v>244142</v>
      </c>
    </row>
    <row r="1986" spans="2:2" x14ac:dyDescent="0.2">
      <c r="B1986" s="1">
        <v>244143</v>
      </c>
    </row>
    <row r="1987" spans="2:2" x14ac:dyDescent="0.2">
      <c r="B1987" s="1">
        <v>244144</v>
      </c>
    </row>
    <row r="1988" spans="2:2" x14ac:dyDescent="0.2">
      <c r="B1988" s="1">
        <v>244145</v>
      </c>
    </row>
    <row r="1989" spans="2:2" x14ac:dyDescent="0.2">
      <c r="B1989" s="1">
        <v>244146</v>
      </c>
    </row>
    <row r="1990" spans="2:2" x14ac:dyDescent="0.2">
      <c r="B1990" s="1">
        <v>244147</v>
      </c>
    </row>
    <row r="1991" spans="2:2" x14ac:dyDescent="0.2">
      <c r="B1991" s="1">
        <v>244148</v>
      </c>
    </row>
    <row r="1992" spans="2:2" x14ac:dyDescent="0.2">
      <c r="B1992" s="1">
        <v>244149</v>
      </c>
    </row>
    <row r="1993" spans="2:2" x14ac:dyDescent="0.2">
      <c r="B1993" s="1">
        <v>244150</v>
      </c>
    </row>
    <row r="1994" spans="2:2" x14ac:dyDescent="0.2">
      <c r="B1994" s="1">
        <v>244151</v>
      </c>
    </row>
    <row r="1995" spans="2:2" x14ac:dyDescent="0.2">
      <c r="B1995" s="1">
        <v>244152</v>
      </c>
    </row>
    <row r="1996" spans="2:2" x14ac:dyDescent="0.2">
      <c r="B1996" s="1">
        <v>244153</v>
      </c>
    </row>
    <row r="1997" spans="2:2" x14ac:dyDescent="0.2">
      <c r="B1997" s="1">
        <v>244154</v>
      </c>
    </row>
    <row r="1998" spans="2:2" x14ac:dyDescent="0.2">
      <c r="B1998" s="1">
        <v>244155</v>
      </c>
    </row>
    <row r="1999" spans="2:2" x14ac:dyDescent="0.2">
      <c r="B1999" s="1">
        <v>244156</v>
      </c>
    </row>
    <row r="2000" spans="2:2" x14ac:dyDescent="0.2">
      <c r="B2000" s="1">
        <v>244157</v>
      </c>
    </row>
    <row r="2001" spans="2:2" x14ac:dyDescent="0.2">
      <c r="B2001" s="1">
        <v>244158</v>
      </c>
    </row>
    <row r="2002" spans="2:2" x14ac:dyDescent="0.2">
      <c r="B2002" s="1">
        <v>244159</v>
      </c>
    </row>
    <row r="2003" spans="2:2" x14ac:dyDescent="0.2">
      <c r="B2003" s="1">
        <v>244160</v>
      </c>
    </row>
    <row r="2004" spans="2:2" x14ac:dyDescent="0.2">
      <c r="B2004" s="1">
        <v>244161</v>
      </c>
    </row>
    <row r="2005" spans="2:2" x14ac:dyDescent="0.2">
      <c r="B2005" s="1">
        <v>244162</v>
      </c>
    </row>
    <row r="2006" spans="2:2" x14ac:dyDescent="0.2">
      <c r="B2006" s="1">
        <v>244163</v>
      </c>
    </row>
    <row r="2007" spans="2:2" x14ac:dyDescent="0.2">
      <c r="B2007" s="1">
        <v>244164</v>
      </c>
    </row>
    <row r="2008" spans="2:2" x14ac:dyDescent="0.2">
      <c r="B2008" s="1">
        <v>244165</v>
      </c>
    </row>
    <row r="2009" spans="2:2" x14ac:dyDescent="0.2">
      <c r="B2009" s="1">
        <v>244166</v>
      </c>
    </row>
    <row r="2010" spans="2:2" x14ac:dyDescent="0.2">
      <c r="B2010" s="1">
        <v>244167</v>
      </c>
    </row>
    <row r="2011" spans="2:2" x14ac:dyDescent="0.2">
      <c r="B2011" s="1">
        <v>244168</v>
      </c>
    </row>
    <row r="2012" spans="2:2" x14ac:dyDescent="0.2">
      <c r="B2012" s="1">
        <v>244169</v>
      </c>
    </row>
    <row r="2013" spans="2:2" x14ac:dyDescent="0.2">
      <c r="B2013" s="1">
        <v>244170</v>
      </c>
    </row>
    <row r="2014" spans="2:2" x14ac:dyDescent="0.2">
      <c r="B2014" s="1">
        <v>244171</v>
      </c>
    </row>
    <row r="2015" spans="2:2" x14ac:dyDescent="0.2">
      <c r="B2015" s="1">
        <v>244172</v>
      </c>
    </row>
    <row r="2016" spans="2:2" x14ac:dyDescent="0.2">
      <c r="B2016" s="1">
        <v>244173</v>
      </c>
    </row>
    <row r="2017" spans="2:2" x14ac:dyDescent="0.2">
      <c r="B2017" s="1">
        <v>244174</v>
      </c>
    </row>
    <row r="2018" spans="2:2" x14ac:dyDescent="0.2">
      <c r="B2018" s="1">
        <v>244175</v>
      </c>
    </row>
    <row r="2019" spans="2:2" x14ac:dyDescent="0.2">
      <c r="B2019" s="1">
        <v>244176</v>
      </c>
    </row>
    <row r="2020" spans="2:2" x14ac:dyDescent="0.2">
      <c r="B2020" s="1">
        <v>244177</v>
      </c>
    </row>
    <row r="2021" spans="2:2" x14ac:dyDescent="0.2">
      <c r="B2021" s="1">
        <v>244178</v>
      </c>
    </row>
    <row r="2022" spans="2:2" x14ac:dyDescent="0.2">
      <c r="B2022" s="1">
        <v>244179</v>
      </c>
    </row>
    <row r="2023" spans="2:2" x14ac:dyDescent="0.2">
      <c r="B2023" s="1">
        <v>244180</v>
      </c>
    </row>
    <row r="2024" spans="2:2" x14ac:dyDescent="0.2">
      <c r="B2024" s="1">
        <v>244181</v>
      </c>
    </row>
    <row r="2025" spans="2:2" x14ac:dyDescent="0.2">
      <c r="B2025" s="1">
        <v>244182</v>
      </c>
    </row>
    <row r="2026" spans="2:2" x14ac:dyDescent="0.2">
      <c r="B2026" s="1">
        <v>244183</v>
      </c>
    </row>
    <row r="2027" spans="2:2" x14ac:dyDescent="0.2">
      <c r="B2027" s="1">
        <v>244184</v>
      </c>
    </row>
    <row r="2028" spans="2:2" x14ac:dyDescent="0.2">
      <c r="B2028" s="1">
        <v>244185</v>
      </c>
    </row>
    <row r="2029" spans="2:2" x14ac:dyDescent="0.2">
      <c r="B2029" s="1">
        <v>244186</v>
      </c>
    </row>
    <row r="2030" spans="2:2" x14ac:dyDescent="0.2">
      <c r="B2030" s="1">
        <v>244187</v>
      </c>
    </row>
    <row r="2031" spans="2:2" x14ac:dyDescent="0.2">
      <c r="B2031" s="1">
        <v>244188</v>
      </c>
    </row>
    <row r="2032" spans="2:2" x14ac:dyDescent="0.2">
      <c r="B2032" s="1">
        <v>244189</v>
      </c>
    </row>
    <row r="2033" spans="2:2" x14ac:dyDescent="0.2">
      <c r="B2033" s="1">
        <v>244190</v>
      </c>
    </row>
    <row r="2034" spans="2:2" x14ac:dyDescent="0.2">
      <c r="B2034" s="1">
        <v>244191</v>
      </c>
    </row>
    <row r="2035" spans="2:2" x14ac:dyDescent="0.2">
      <c r="B2035" s="1">
        <v>244192</v>
      </c>
    </row>
    <row r="2036" spans="2:2" x14ac:dyDescent="0.2">
      <c r="B2036" s="1">
        <v>244193</v>
      </c>
    </row>
    <row r="2037" spans="2:2" x14ac:dyDescent="0.2">
      <c r="B2037" s="1">
        <v>244194</v>
      </c>
    </row>
    <row r="2038" spans="2:2" x14ac:dyDescent="0.2">
      <c r="B2038" s="1">
        <v>244195</v>
      </c>
    </row>
    <row r="2039" spans="2:2" x14ac:dyDescent="0.2">
      <c r="B2039" s="1">
        <v>244196</v>
      </c>
    </row>
    <row r="2040" spans="2:2" x14ac:dyDescent="0.2">
      <c r="B2040" s="1">
        <v>244197</v>
      </c>
    </row>
    <row r="2041" spans="2:2" x14ac:dyDescent="0.2">
      <c r="B2041" s="1">
        <v>244198</v>
      </c>
    </row>
    <row r="2042" spans="2:2" x14ac:dyDescent="0.2">
      <c r="B2042" s="1">
        <v>244199</v>
      </c>
    </row>
    <row r="2043" spans="2:2" x14ac:dyDescent="0.2">
      <c r="B2043" s="1">
        <v>244200</v>
      </c>
    </row>
    <row r="2044" spans="2:2" x14ac:dyDescent="0.2">
      <c r="B2044" s="1">
        <v>244201</v>
      </c>
    </row>
    <row r="2045" spans="2:2" x14ac:dyDescent="0.2">
      <c r="B2045" s="1">
        <v>244202</v>
      </c>
    </row>
    <row r="2046" spans="2:2" x14ac:dyDescent="0.2">
      <c r="B2046" s="1">
        <v>244203</v>
      </c>
    </row>
    <row r="2047" spans="2:2" x14ac:dyDescent="0.2">
      <c r="B2047" s="1">
        <v>244204</v>
      </c>
    </row>
    <row r="2048" spans="2:2" x14ac:dyDescent="0.2">
      <c r="B2048" s="1">
        <v>244205</v>
      </c>
    </row>
    <row r="2049" spans="2:2" x14ac:dyDescent="0.2">
      <c r="B2049" s="1">
        <v>244206</v>
      </c>
    </row>
    <row r="2050" spans="2:2" x14ac:dyDescent="0.2">
      <c r="B2050" s="1">
        <v>244207</v>
      </c>
    </row>
    <row r="2051" spans="2:2" x14ac:dyDescent="0.2">
      <c r="B2051" s="1">
        <v>244208</v>
      </c>
    </row>
    <row r="2052" spans="2:2" x14ac:dyDescent="0.2">
      <c r="B2052" s="1">
        <v>244209</v>
      </c>
    </row>
    <row r="2053" spans="2:2" x14ac:dyDescent="0.2">
      <c r="B2053" s="1">
        <v>244210</v>
      </c>
    </row>
    <row r="2054" spans="2:2" x14ac:dyDescent="0.2">
      <c r="B2054" s="1">
        <v>244211</v>
      </c>
    </row>
    <row r="2055" spans="2:2" x14ac:dyDescent="0.2">
      <c r="B2055" s="1">
        <v>244212</v>
      </c>
    </row>
    <row r="2056" spans="2:2" x14ac:dyDescent="0.2">
      <c r="B2056" s="1">
        <v>244213</v>
      </c>
    </row>
    <row r="2057" spans="2:2" x14ac:dyDescent="0.2">
      <c r="B2057" s="1">
        <v>244214</v>
      </c>
    </row>
    <row r="2058" spans="2:2" x14ac:dyDescent="0.2">
      <c r="B2058" s="1">
        <v>244215</v>
      </c>
    </row>
    <row r="2059" spans="2:2" x14ac:dyDescent="0.2">
      <c r="B2059" s="1">
        <v>244216</v>
      </c>
    </row>
    <row r="2060" spans="2:2" x14ac:dyDescent="0.2">
      <c r="B2060" s="1">
        <v>244217</v>
      </c>
    </row>
    <row r="2061" spans="2:2" x14ac:dyDescent="0.2">
      <c r="B2061" s="1">
        <v>244218</v>
      </c>
    </row>
    <row r="2062" spans="2:2" x14ac:dyDescent="0.2">
      <c r="B2062" s="1">
        <v>244219</v>
      </c>
    </row>
    <row r="2063" spans="2:2" x14ac:dyDescent="0.2">
      <c r="B2063" s="1">
        <v>244220</v>
      </c>
    </row>
    <row r="2064" spans="2:2" x14ac:dyDescent="0.2">
      <c r="B2064" s="1">
        <v>244221</v>
      </c>
    </row>
    <row r="2065" spans="2:2" x14ac:dyDescent="0.2">
      <c r="B2065" s="1">
        <v>244222</v>
      </c>
    </row>
    <row r="2066" spans="2:2" x14ac:dyDescent="0.2">
      <c r="B2066" s="1">
        <v>244223</v>
      </c>
    </row>
    <row r="2067" spans="2:2" x14ac:dyDescent="0.2">
      <c r="B2067" s="1">
        <v>244224</v>
      </c>
    </row>
    <row r="2068" spans="2:2" x14ac:dyDescent="0.2">
      <c r="B2068" s="1">
        <v>244225</v>
      </c>
    </row>
    <row r="2069" spans="2:2" x14ac:dyDescent="0.2">
      <c r="B2069" s="1">
        <v>244226</v>
      </c>
    </row>
    <row r="2070" spans="2:2" x14ac:dyDescent="0.2">
      <c r="B2070" s="1">
        <v>244227</v>
      </c>
    </row>
    <row r="2071" spans="2:2" x14ac:dyDescent="0.2">
      <c r="B2071" s="1">
        <v>244228</v>
      </c>
    </row>
    <row r="2072" spans="2:2" x14ac:dyDescent="0.2">
      <c r="B2072" s="1">
        <v>244229</v>
      </c>
    </row>
    <row r="2073" spans="2:2" x14ac:dyDescent="0.2">
      <c r="B2073" s="1">
        <v>244230</v>
      </c>
    </row>
    <row r="2074" spans="2:2" x14ac:dyDescent="0.2">
      <c r="B2074" s="1">
        <v>244231</v>
      </c>
    </row>
    <row r="2075" spans="2:2" x14ac:dyDescent="0.2">
      <c r="B2075" s="1">
        <v>244232</v>
      </c>
    </row>
    <row r="2076" spans="2:2" x14ac:dyDescent="0.2">
      <c r="B2076" s="1">
        <v>244233</v>
      </c>
    </row>
    <row r="2077" spans="2:2" x14ac:dyDescent="0.2">
      <c r="B2077" s="1">
        <v>244234</v>
      </c>
    </row>
    <row r="2078" spans="2:2" x14ac:dyDescent="0.2">
      <c r="B2078" s="1">
        <v>244235</v>
      </c>
    </row>
    <row r="2079" spans="2:2" x14ac:dyDescent="0.2">
      <c r="B2079" s="1">
        <v>244236</v>
      </c>
    </row>
    <row r="2080" spans="2:2" x14ac:dyDescent="0.2">
      <c r="B2080" s="1">
        <v>244237</v>
      </c>
    </row>
    <row r="2081" spans="2:2" x14ac:dyDescent="0.2">
      <c r="B2081" s="1">
        <v>244238</v>
      </c>
    </row>
    <row r="2082" spans="2:2" x14ac:dyDescent="0.2">
      <c r="B2082" s="1">
        <v>244239</v>
      </c>
    </row>
    <row r="2083" spans="2:2" x14ac:dyDescent="0.2">
      <c r="B2083" s="1">
        <v>244240</v>
      </c>
    </row>
    <row r="2084" spans="2:2" x14ac:dyDescent="0.2">
      <c r="B2084" s="1">
        <v>244241</v>
      </c>
    </row>
    <row r="2085" spans="2:2" x14ac:dyDescent="0.2">
      <c r="B2085" s="1">
        <v>244242</v>
      </c>
    </row>
    <row r="2086" spans="2:2" x14ac:dyDescent="0.2">
      <c r="B2086" s="1">
        <v>244243</v>
      </c>
    </row>
    <row r="2087" spans="2:2" x14ac:dyDescent="0.2">
      <c r="B2087" s="1">
        <v>244244</v>
      </c>
    </row>
    <row r="2088" spans="2:2" x14ac:dyDescent="0.2">
      <c r="B2088" s="1">
        <v>244245</v>
      </c>
    </row>
    <row r="2089" spans="2:2" x14ac:dyDescent="0.2">
      <c r="B2089" s="1">
        <v>244246</v>
      </c>
    </row>
    <row r="2090" spans="2:2" x14ac:dyDescent="0.2">
      <c r="B2090" s="1">
        <v>244247</v>
      </c>
    </row>
    <row r="2091" spans="2:2" x14ac:dyDescent="0.2">
      <c r="B2091" s="1">
        <v>244248</v>
      </c>
    </row>
    <row r="2092" spans="2:2" x14ac:dyDescent="0.2">
      <c r="B2092" s="1">
        <v>244249</v>
      </c>
    </row>
    <row r="2093" spans="2:2" x14ac:dyDescent="0.2">
      <c r="B2093" s="1">
        <v>244250</v>
      </c>
    </row>
    <row r="2094" spans="2:2" x14ac:dyDescent="0.2">
      <c r="B2094" s="1">
        <v>244251</v>
      </c>
    </row>
    <row r="2095" spans="2:2" x14ac:dyDescent="0.2">
      <c r="B2095" s="1">
        <v>244252</v>
      </c>
    </row>
    <row r="2096" spans="2:2" x14ac:dyDescent="0.2">
      <c r="B2096" s="1">
        <v>244253</v>
      </c>
    </row>
    <row r="2097" spans="2:2" x14ac:dyDescent="0.2">
      <c r="B2097" s="1">
        <v>244254</v>
      </c>
    </row>
    <row r="2098" spans="2:2" x14ac:dyDescent="0.2">
      <c r="B2098" s="1">
        <v>244255</v>
      </c>
    </row>
    <row r="2099" spans="2:2" x14ac:dyDescent="0.2">
      <c r="B2099" s="1">
        <v>244256</v>
      </c>
    </row>
    <row r="2100" spans="2:2" x14ac:dyDescent="0.2">
      <c r="B2100" s="1">
        <v>244257</v>
      </c>
    </row>
    <row r="2101" spans="2:2" x14ac:dyDescent="0.2">
      <c r="B2101" s="1">
        <v>244258</v>
      </c>
    </row>
    <row r="2102" spans="2:2" x14ac:dyDescent="0.2">
      <c r="B2102" s="1">
        <v>244259</v>
      </c>
    </row>
    <row r="2103" spans="2:2" x14ac:dyDescent="0.2">
      <c r="B2103" s="1">
        <v>244260</v>
      </c>
    </row>
    <row r="2104" spans="2:2" x14ac:dyDescent="0.2">
      <c r="B2104" s="1">
        <v>244261</v>
      </c>
    </row>
    <row r="2105" spans="2:2" x14ac:dyDescent="0.2">
      <c r="B2105" s="1">
        <v>244262</v>
      </c>
    </row>
    <row r="2106" spans="2:2" x14ac:dyDescent="0.2">
      <c r="B2106" s="1">
        <v>244263</v>
      </c>
    </row>
    <row r="2107" spans="2:2" x14ac:dyDescent="0.2">
      <c r="B2107" s="1">
        <v>244264</v>
      </c>
    </row>
    <row r="2108" spans="2:2" x14ac:dyDescent="0.2">
      <c r="B2108" s="1">
        <v>244265</v>
      </c>
    </row>
    <row r="2109" spans="2:2" x14ac:dyDescent="0.2">
      <c r="B2109" s="1">
        <v>244266</v>
      </c>
    </row>
    <row r="2110" spans="2:2" x14ac:dyDescent="0.2">
      <c r="B2110" s="1">
        <v>244267</v>
      </c>
    </row>
    <row r="2111" spans="2:2" x14ac:dyDescent="0.2">
      <c r="B2111" s="1">
        <v>244268</v>
      </c>
    </row>
    <row r="2112" spans="2:2" x14ac:dyDescent="0.2">
      <c r="B2112" s="1">
        <v>244269</v>
      </c>
    </row>
    <row r="2113" spans="2:2" x14ac:dyDescent="0.2">
      <c r="B2113" s="1">
        <v>244270</v>
      </c>
    </row>
    <row r="2114" spans="2:2" x14ac:dyDescent="0.2">
      <c r="B2114" s="1">
        <v>244271</v>
      </c>
    </row>
    <row r="2115" spans="2:2" x14ac:dyDescent="0.2">
      <c r="B2115" s="1">
        <v>244272</v>
      </c>
    </row>
    <row r="2116" spans="2:2" x14ac:dyDescent="0.2">
      <c r="B2116" s="1">
        <v>244273</v>
      </c>
    </row>
    <row r="2117" spans="2:2" x14ac:dyDescent="0.2">
      <c r="B2117" s="1">
        <v>244274</v>
      </c>
    </row>
    <row r="2118" spans="2:2" x14ac:dyDescent="0.2">
      <c r="B2118" s="1">
        <v>244275</v>
      </c>
    </row>
    <row r="2119" spans="2:2" x14ac:dyDescent="0.2">
      <c r="B2119" s="1">
        <v>244276</v>
      </c>
    </row>
    <row r="2120" spans="2:2" x14ac:dyDescent="0.2">
      <c r="B2120" s="1">
        <v>244277</v>
      </c>
    </row>
    <row r="2121" spans="2:2" x14ac:dyDescent="0.2">
      <c r="B2121" s="1">
        <v>244278</v>
      </c>
    </row>
    <row r="2122" spans="2:2" x14ac:dyDescent="0.2">
      <c r="B2122" s="1">
        <v>244279</v>
      </c>
    </row>
    <row r="2123" spans="2:2" x14ac:dyDescent="0.2">
      <c r="B2123" s="1">
        <v>244280</v>
      </c>
    </row>
    <row r="2124" spans="2:2" x14ac:dyDescent="0.2">
      <c r="B2124" s="1">
        <v>244281</v>
      </c>
    </row>
    <row r="2125" spans="2:2" x14ac:dyDescent="0.2">
      <c r="B2125" s="1">
        <v>244282</v>
      </c>
    </row>
    <row r="2126" spans="2:2" x14ac:dyDescent="0.2">
      <c r="B2126" s="1">
        <v>244283</v>
      </c>
    </row>
    <row r="2127" spans="2:2" x14ac:dyDescent="0.2">
      <c r="B2127" s="1">
        <v>244284</v>
      </c>
    </row>
    <row r="2128" spans="2:2" x14ac:dyDescent="0.2">
      <c r="B2128" s="1">
        <v>244285</v>
      </c>
    </row>
    <row r="2129" spans="2:2" x14ac:dyDescent="0.2">
      <c r="B2129" s="1">
        <v>244286</v>
      </c>
    </row>
    <row r="2130" spans="2:2" x14ac:dyDescent="0.2">
      <c r="B2130" s="1">
        <v>244287</v>
      </c>
    </row>
    <row r="2131" spans="2:2" x14ac:dyDescent="0.2">
      <c r="B2131" s="1">
        <v>244288</v>
      </c>
    </row>
    <row r="2132" spans="2:2" x14ac:dyDescent="0.2">
      <c r="B2132" s="1">
        <v>244289</v>
      </c>
    </row>
    <row r="2133" spans="2:2" x14ac:dyDescent="0.2">
      <c r="B2133" s="1">
        <v>244290</v>
      </c>
    </row>
    <row r="2134" spans="2:2" x14ac:dyDescent="0.2">
      <c r="B2134" s="1">
        <v>244291</v>
      </c>
    </row>
    <row r="2135" spans="2:2" x14ac:dyDescent="0.2">
      <c r="B2135" s="1">
        <v>244292</v>
      </c>
    </row>
    <row r="2136" spans="2:2" x14ac:dyDescent="0.2">
      <c r="B2136" s="1">
        <v>244293</v>
      </c>
    </row>
    <row r="2137" spans="2:2" x14ac:dyDescent="0.2">
      <c r="B2137" s="1">
        <v>244294</v>
      </c>
    </row>
    <row r="2138" spans="2:2" x14ac:dyDescent="0.2">
      <c r="B2138" s="1">
        <v>244295</v>
      </c>
    </row>
    <row r="2139" spans="2:2" x14ac:dyDescent="0.2">
      <c r="B2139" s="1">
        <v>244296</v>
      </c>
    </row>
    <row r="2140" spans="2:2" x14ac:dyDescent="0.2">
      <c r="B2140" s="1">
        <v>244297</v>
      </c>
    </row>
    <row r="2141" spans="2:2" x14ac:dyDescent="0.2">
      <c r="B2141" s="1">
        <v>244298</v>
      </c>
    </row>
    <row r="2142" spans="2:2" x14ac:dyDescent="0.2">
      <c r="B2142" s="1">
        <v>244299</v>
      </c>
    </row>
    <row r="2143" spans="2:2" x14ac:dyDescent="0.2">
      <c r="B2143" s="1">
        <v>244300</v>
      </c>
    </row>
    <row r="2144" spans="2:2" x14ac:dyDescent="0.2">
      <c r="B2144" s="1">
        <v>244301</v>
      </c>
    </row>
    <row r="2145" spans="2:2" x14ac:dyDescent="0.2">
      <c r="B2145" s="1">
        <v>244302</v>
      </c>
    </row>
    <row r="2146" spans="2:2" x14ac:dyDescent="0.2">
      <c r="B2146" s="1">
        <v>244303</v>
      </c>
    </row>
    <row r="2147" spans="2:2" x14ac:dyDescent="0.2">
      <c r="B2147" s="1">
        <v>244304</v>
      </c>
    </row>
    <row r="2148" spans="2:2" x14ac:dyDescent="0.2">
      <c r="B2148" s="1">
        <v>244305</v>
      </c>
    </row>
    <row r="2149" spans="2:2" x14ac:dyDescent="0.2">
      <c r="B2149" s="1">
        <v>244306</v>
      </c>
    </row>
    <row r="2150" spans="2:2" x14ac:dyDescent="0.2">
      <c r="B2150" s="1">
        <v>244307</v>
      </c>
    </row>
    <row r="2151" spans="2:2" x14ac:dyDescent="0.2">
      <c r="B2151" s="1">
        <v>244308</v>
      </c>
    </row>
    <row r="2152" spans="2:2" x14ac:dyDescent="0.2">
      <c r="B2152" s="1">
        <v>244309</v>
      </c>
    </row>
    <row r="2153" spans="2:2" x14ac:dyDescent="0.2">
      <c r="B2153" s="1">
        <v>244310</v>
      </c>
    </row>
    <row r="2154" spans="2:2" x14ac:dyDescent="0.2">
      <c r="B2154" s="1">
        <v>244311</v>
      </c>
    </row>
    <row r="2155" spans="2:2" x14ac:dyDescent="0.2">
      <c r="B2155" s="1">
        <v>244312</v>
      </c>
    </row>
    <row r="2156" spans="2:2" x14ac:dyDescent="0.2">
      <c r="B2156" s="1">
        <v>244313</v>
      </c>
    </row>
    <row r="2157" spans="2:2" x14ac:dyDescent="0.2">
      <c r="B2157" s="1">
        <v>244314</v>
      </c>
    </row>
    <row r="2158" spans="2:2" x14ac:dyDescent="0.2">
      <c r="B2158" s="1">
        <v>244315</v>
      </c>
    </row>
    <row r="2159" spans="2:2" x14ac:dyDescent="0.2">
      <c r="B2159" s="1">
        <v>244316</v>
      </c>
    </row>
    <row r="2160" spans="2:2" x14ac:dyDescent="0.2">
      <c r="B2160" s="1">
        <v>244317</v>
      </c>
    </row>
    <row r="2161" spans="2:2" x14ac:dyDescent="0.2">
      <c r="B2161" s="1">
        <v>244318</v>
      </c>
    </row>
    <row r="2162" spans="2:2" x14ac:dyDescent="0.2">
      <c r="B2162" s="1">
        <v>244319</v>
      </c>
    </row>
    <row r="2163" spans="2:2" x14ac:dyDescent="0.2">
      <c r="B2163" s="1">
        <v>244320</v>
      </c>
    </row>
    <row r="2164" spans="2:2" x14ac:dyDescent="0.2">
      <c r="B2164" s="1">
        <v>244321</v>
      </c>
    </row>
    <row r="2165" spans="2:2" x14ac:dyDescent="0.2">
      <c r="B2165" s="1">
        <v>244322</v>
      </c>
    </row>
    <row r="2166" spans="2:2" x14ac:dyDescent="0.2">
      <c r="B2166" s="1">
        <v>244323</v>
      </c>
    </row>
    <row r="2167" spans="2:2" x14ac:dyDescent="0.2">
      <c r="B2167" s="1">
        <v>244324</v>
      </c>
    </row>
    <row r="2168" spans="2:2" x14ac:dyDescent="0.2">
      <c r="B2168" s="1">
        <v>244325</v>
      </c>
    </row>
    <row r="2169" spans="2:2" x14ac:dyDescent="0.2">
      <c r="B2169" s="1">
        <v>244326</v>
      </c>
    </row>
    <row r="2170" spans="2:2" x14ac:dyDescent="0.2">
      <c r="B2170" s="1">
        <v>244327</v>
      </c>
    </row>
    <row r="2171" spans="2:2" x14ac:dyDescent="0.2">
      <c r="B2171" s="1">
        <v>244328</v>
      </c>
    </row>
    <row r="2172" spans="2:2" x14ac:dyDescent="0.2">
      <c r="B2172" s="1">
        <v>244329</v>
      </c>
    </row>
    <row r="2173" spans="2:2" x14ac:dyDescent="0.2">
      <c r="B2173" s="1">
        <v>244330</v>
      </c>
    </row>
    <row r="2174" spans="2:2" x14ac:dyDescent="0.2">
      <c r="B2174" s="1">
        <v>244331</v>
      </c>
    </row>
    <row r="2175" spans="2:2" x14ac:dyDescent="0.2">
      <c r="B2175" s="1">
        <v>244332</v>
      </c>
    </row>
    <row r="2176" spans="2:2" x14ac:dyDescent="0.2">
      <c r="B2176" s="1">
        <v>244333</v>
      </c>
    </row>
    <row r="2177" spans="2:2" x14ac:dyDescent="0.2">
      <c r="B2177" s="1">
        <v>244334</v>
      </c>
    </row>
    <row r="2178" spans="2:2" x14ac:dyDescent="0.2">
      <c r="B2178" s="1">
        <v>244335</v>
      </c>
    </row>
    <row r="2179" spans="2:2" x14ac:dyDescent="0.2">
      <c r="B2179" s="1">
        <v>244336</v>
      </c>
    </row>
    <row r="2180" spans="2:2" x14ac:dyDescent="0.2">
      <c r="B2180" s="1">
        <v>244337</v>
      </c>
    </row>
    <row r="2181" spans="2:2" x14ac:dyDescent="0.2">
      <c r="B2181" s="1">
        <v>244338</v>
      </c>
    </row>
    <row r="2182" spans="2:2" x14ac:dyDescent="0.2">
      <c r="B2182" s="1">
        <v>244339</v>
      </c>
    </row>
    <row r="2183" spans="2:2" x14ac:dyDescent="0.2">
      <c r="B2183" s="1">
        <v>244340</v>
      </c>
    </row>
    <row r="2184" spans="2:2" x14ac:dyDescent="0.2">
      <c r="B2184" s="1">
        <v>244341</v>
      </c>
    </row>
    <row r="2185" spans="2:2" x14ac:dyDescent="0.2">
      <c r="B2185" s="1">
        <v>244342</v>
      </c>
    </row>
    <row r="2186" spans="2:2" x14ac:dyDescent="0.2">
      <c r="B2186" s="1">
        <v>244343</v>
      </c>
    </row>
    <row r="2187" spans="2:2" x14ac:dyDescent="0.2">
      <c r="B2187" s="1">
        <v>244344</v>
      </c>
    </row>
    <row r="2188" spans="2:2" x14ac:dyDescent="0.2">
      <c r="B2188" s="1">
        <v>244345</v>
      </c>
    </row>
    <row r="2189" spans="2:2" x14ac:dyDescent="0.2">
      <c r="B2189" s="1">
        <v>244346</v>
      </c>
    </row>
    <row r="2190" spans="2:2" x14ac:dyDescent="0.2">
      <c r="B2190" s="1">
        <v>244347</v>
      </c>
    </row>
    <row r="2191" spans="2:2" x14ac:dyDescent="0.2">
      <c r="B2191" s="1">
        <v>244348</v>
      </c>
    </row>
    <row r="2192" spans="2:2" x14ac:dyDescent="0.2">
      <c r="B2192" s="1">
        <v>244349</v>
      </c>
    </row>
    <row r="2193" spans="2:2" x14ac:dyDescent="0.2">
      <c r="B2193" s="1">
        <v>244350</v>
      </c>
    </row>
    <row r="2194" spans="2:2" x14ac:dyDescent="0.2">
      <c r="B2194" s="1">
        <v>244351</v>
      </c>
    </row>
    <row r="2195" spans="2:2" x14ac:dyDescent="0.2">
      <c r="B2195" s="1">
        <v>244352</v>
      </c>
    </row>
    <row r="2196" spans="2:2" x14ac:dyDescent="0.2">
      <c r="B2196" s="1">
        <v>244353</v>
      </c>
    </row>
    <row r="2197" spans="2:2" x14ac:dyDescent="0.2">
      <c r="B2197" s="1">
        <v>244354</v>
      </c>
    </row>
    <row r="2198" spans="2:2" x14ac:dyDescent="0.2">
      <c r="B2198" s="1">
        <v>244355</v>
      </c>
    </row>
    <row r="2199" spans="2:2" x14ac:dyDescent="0.2">
      <c r="B2199" s="1">
        <v>244356</v>
      </c>
    </row>
    <row r="2200" spans="2:2" x14ac:dyDescent="0.2">
      <c r="B2200" s="1">
        <v>244357</v>
      </c>
    </row>
    <row r="2201" spans="2:2" x14ac:dyDescent="0.2">
      <c r="B2201" s="1">
        <v>244358</v>
      </c>
    </row>
    <row r="2202" spans="2:2" x14ac:dyDescent="0.2">
      <c r="B2202" s="1">
        <v>244359</v>
      </c>
    </row>
    <row r="2203" spans="2:2" x14ac:dyDescent="0.2">
      <c r="B2203" s="1">
        <v>244360</v>
      </c>
    </row>
    <row r="2204" spans="2:2" x14ac:dyDescent="0.2">
      <c r="B2204" s="1">
        <v>244361</v>
      </c>
    </row>
    <row r="2205" spans="2:2" x14ac:dyDescent="0.2">
      <c r="B2205" s="1">
        <v>244362</v>
      </c>
    </row>
    <row r="2206" spans="2:2" x14ac:dyDescent="0.2">
      <c r="B2206" s="1">
        <v>244363</v>
      </c>
    </row>
    <row r="2207" spans="2:2" x14ac:dyDescent="0.2">
      <c r="B2207" s="1">
        <v>244364</v>
      </c>
    </row>
    <row r="2208" spans="2:2" x14ac:dyDescent="0.2">
      <c r="B2208" s="1">
        <v>244365</v>
      </c>
    </row>
    <row r="2209" spans="2:2" x14ac:dyDescent="0.2">
      <c r="B2209" s="1">
        <v>244366</v>
      </c>
    </row>
    <row r="2210" spans="2:2" x14ac:dyDescent="0.2">
      <c r="B2210" s="1">
        <v>244367</v>
      </c>
    </row>
    <row r="2211" spans="2:2" x14ac:dyDescent="0.2">
      <c r="B2211" s="1">
        <v>244368</v>
      </c>
    </row>
    <row r="2212" spans="2:2" x14ac:dyDescent="0.2">
      <c r="B2212" s="1">
        <v>244369</v>
      </c>
    </row>
    <row r="2213" spans="2:2" x14ac:dyDescent="0.2">
      <c r="B2213" s="1">
        <v>244370</v>
      </c>
    </row>
    <row r="2214" spans="2:2" x14ac:dyDescent="0.2">
      <c r="B2214" s="1">
        <v>244371</v>
      </c>
    </row>
    <row r="2215" spans="2:2" x14ac:dyDescent="0.2">
      <c r="B2215" s="1">
        <v>244372</v>
      </c>
    </row>
    <row r="2216" spans="2:2" x14ac:dyDescent="0.2">
      <c r="B2216" s="1">
        <v>244373</v>
      </c>
    </row>
    <row r="2217" spans="2:2" x14ac:dyDescent="0.2">
      <c r="B2217" s="1">
        <v>244374</v>
      </c>
    </row>
    <row r="2218" spans="2:2" x14ac:dyDescent="0.2">
      <c r="B2218" s="1">
        <v>244375</v>
      </c>
    </row>
    <row r="2219" spans="2:2" x14ac:dyDescent="0.2">
      <c r="B2219" s="1">
        <v>244376</v>
      </c>
    </row>
    <row r="2220" spans="2:2" x14ac:dyDescent="0.2">
      <c r="B2220" s="1">
        <v>244377</v>
      </c>
    </row>
    <row r="2221" spans="2:2" x14ac:dyDescent="0.2">
      <c r="B2221" s="1">
        <v>244378</v>
      </c>
    </row>
    <row r="2222" spans="2:2" x14ac:dyDescent="0.2">
      <c r="B2222" s="1">
        <v>244379</v>
      </c>
    </row>
    <row r="2223" spans="2:2" x14ac:dyDescent="0.2">
      <c r="B2223" s="1">
        <v>244380</v>
      </c>
    </row>
    <row r="2224" spans="2:2" x14ac:dyDescent="0.2">
      <c r="B2224" s="1">
        <v>244381</v>
      </c>
    </row>
    <row r="2225" spans="2:2" x14ac:dyDescent="0.2">
      <c r="B2225" s="1">
        <v>244382</v>
      </c>
    </row>
    <row r="2226" spans="2:2" x14ac:dyDescent="0.2">
      <c r="B2226" s="1">
        <v>244383</v>
      </c>
    </row>
    <row r="2227" spans="2:2" x14ac:dyDescent="0.2">
      <c r="B2227" s="1">
        <v>244384</v>
      </c>
    </row>
    <row r="2228" spans="2:2" x14ac:dyDescent="0.2">
      <c r="B2228" s="1">
        <v>244385</v>
      </c>
    </row>
    <row r="2229" spans="2:2" x14ac:dyDescent="0.2">
      <c r="B2229" s="1">
        <v>244386</v>
      </c>
    </row>
    <row r="2230" spans="2:2" x14ac:dyDescent="0.2">
      <c r="B2230" s="1">
        <v>244387</v>
      </c>
    </row>
    <row r="2231" spans="2:2" x14ac:dyDescent="0.2">
      <c r="B2231" s="1">
        <v>244388</v>
      </c>
    </row>
    <row r="2232" spans="2:2" x14ac:dyDescent="0.2">
      <c r="B2232" s="1">
        <v>244389</v>
      </c>
    </row>
    <row r="2233" spans="2:2" x14ac:dyDescent="0.2">
      <c r="B2233" s="1">
        <v>244390</v>
      </c>
    </row>
    <row r="2234" spans="2:2" x14ac:dyDescent="0.2">
      <c r="B2234" s="1">
        <v>244391</v>
      </c>
    </row>
    <row r="2235" spans="2:2" x14ac:dyDescent="0.2">
      <c r="B2235" s="1">
        <v>244392</v>
      </c>
    </row>
    <row r="2236" spans="2:2" x14ac:dyDescent="0.2">
      <c r="B2236" s="1">
        <v>244393</v>
      </c>
    </row>
    <row r="2237" spans="2:2" x14ac:dyDescent="0.2">
      <c r="B2237" s="1">
        <v>244394</v>
      </c>
    </row>
    <row r="2238" spans="2:2" x14ac:dyDescent="0.2">
      <c r="B2238" s="1">
        <v>244395</v>
      </c>
    </row>
    <row r="2239" spans="2:2" x14ac:dyDescent="0.2">
      <c r="B2239" s="1">
        <v>244396</v>
      </c>
    </row>
    <row r="2240" spans="2:2" x14ac:dyDescent="0.2">
      <c r="B2240" s="1">
        <v>244397</v>
      </c>
    </row>
    <row r="2241" spans="2:2" x14ac:dyDescent="0.2">
      <c r="B2241" s="1">
        <v>244398</v>
      </c>
    </row>
    <row r="2242" spans="2:2" x14ac:dyDescent="0.2">
      <c r="B2242" s="1">
        <v>244399</v>
      </c>
    </row>
    <row r="2243" spans="2:2" x14ac:dyDescent="0.2">
      <c r="B2243" s="1">
        <v>244400</v>
      </c>
    </row>
    <row r="2244" spans="2:2" x14ac:dyDescent="0.2">
      <c r="B2244" s="1">
        <v>244401</v>
      </c>
    </row>
    <row r="2245" spans="2:2" x14ac:dyDescent="0.2">
      <c r="B2245" s="1">
        <v>244402</v>
      </c>
    </row>
    <row r="2246" spans="2:2" x14ac:dyDescent="0.2">
      <c r="B2246" s="1">
        <v>244403</v>
      </c>
    </row>
    <row r="2247" spans="2:2" x14ac:dyDescent="0.2">
      <c r="B2247" s="1">
        <v>244404</v>
      </c>
    </row>
    <row r="2248" spans="2:2" x14ac:dyDescent="0.2">
      <c r="B2248" s="1">
        <v>244405</v>
      </c>
    </row>
    <row r="2249" spans="2:2" x14ac:dyDescent="0.2">
      <c r="B2249" s="1">
        <v>244406</v>
      </c>
    </row>
    <row r="2250" spans="2:2" x14ac:dyDescent="0.2">
      <c r="B2250" s="1">
        <v>244407</v>
      </c>
    </row>
    <row r="2251" spans="2:2" x14ac:dyDescent="0.2">
      <c r="B2251" s="1">
        <v>244408</v>
      </c>
    </row>
    <row r="2252" spans="2:2" x14ac:dyDescent="0.2">
      <c r="B2252" s="1">
        <v>244409</v>
      </c>
    </row>
    <row r="2253" spans="2:2" x14ac:dyDescent="0.2">
      <c r="B2253" s="1">
        <v>244410</v>
      </c>
    </row>
    <row r="2254" spans="2:2" x14ac:dyDescent="0.2">
      <c r="B2254" s="1">
        <v>244411</v>
      </c>
    </row>
    <row r="2255" spans="2:2" x14ac:dyDescent="0.2">
      <c r="B2255" s="1">
        <v>244412</v>
      </c>
    </row>
    <row r="2256" spans="2:2" x14ac:dyDescent="0.2">
      <c r="B2256" s="1">
        <v>244413</v>
      </c>
    </row>
    <row r="2257" spans="2:2" x14ac:dyDescent="0.2">
      <c r="B2257" s="1">
        <v>244414</v>
      </c>
    </row>
    <row r="2258" spans="2:2" x14ac:dyDescent="0.2">
      <c r="B2258" s="1">
        <v>244415</v>
      </c>
    </row>
    <row r="2259" spans="2:2" x14ac:dyDescent="0.2">
      <c r="B2259" s="1">
        <v>244416</v>
      </c>
    </row>
    <row r="2260" spans="2:2" x14ac:dyDescent="0.2">
      <c r="B2260" s="1">
        <v>244417</v>
      </c>
    </row>
    <row r="2261" spans="2:2" x14ac:dyDescent="0.2">
      <c r="B2261" s="1">
        <v>244418</v>
      </c>
    </row>
    <row r="2262" spans="2:2" x14ac:dyDescent="0.2">
      <c r="B2262" s="1">
        <v>244419</v>
      </c>
    </row>
    <row r="2263" spans="2:2" x14ac:dyDescent="0.2">
      <c r="B2263" s="1">
        <v>244420</v>
      </c>
    </row>
    <row r="2264" spans="2:2" x14ac:dyDescent="0.2">
      <c r="B2264" s="1">
        <v>244421</v>
      </c>
    </row>
    <row r="2265" spans="2:2" x14ac:dyDescent="0.2">
      <c r="B2265" s="1">
        <v>244422</v>
      </c>
    </row>
    <row r="2266" spans="2:2" x14ac:dyDescent="0.2">
      <c r="B2266" s="1">
        <v>244423</v>
      </c>
    </row>
    <row r="2267" spans="2:2" x14ac:dyDescent="0.2">
      <c r="B2267" s="1">
        <v>244424</v>
      </c>
    </row>
    <row r="2268" spans="2:2" x14ac:dyDescent="0.2">
      <c r="B2268" s="1">
        <v>244425</v>
      </c>
    </row>
    <row r="2269" spans="2:2" x14ac:dyDescent="0.2">
      <c r="B2269" s="1">
        <v>244426</v>
      </c>
    </row>
    <row r="2270" spans="2:2" x14ac:dyDescent="0.2">
      <c r="B2270" s="1">
        <v>244427</v>
      </c>
    </row>
    <row r="2271" spans="2:2" x14ac:dyDescent="0.2">
      <c r="B2271" s="1">
        <v>244428</v>
      </c>
    </row>
    <row r="2272" spans="2:2" x14ac:dyDescent="0.2">
      <c r="B2272" s="1">
        <v>244429</v>
      </c>
    </row>
    <row r="2273" spans="2:2" x14ac:dyDescent="0.2">
      <c r="B2273" s="1">
        <v>244430</v>
      </c>
    </row>
    <row r="2274" spans="2:2" x14ac:dyDescent="0.2">
      <c r="B2274" s="1">
        <v>244431</v>
      </c>
    </row>
    <row r="2275" spans="2:2" x14ac:dyDescent="0.2">
      <c r="B2275" s="1">
        <v>244432</v>
      </c>
    </row>
    <row r="2276" spans="2:2" x14ac:dyDescent="0.2">
      <c r="B2276" s="1">
        <v>244433</v>
      </c>
    </row>
    <row r="2277" spans="2:2" x14ac:dyDescent="0.2">
      <c r="B2277" s="1">
        <v>244434</v>
      </c>
    </row>
    <row r="2278" spans="2:2" x14ac:dyDescent="0.2">
      <c r="B2278" s="1">
        <v>244435</v>
      </c>
    </row>
    <row r="2279" spans="2:2" x14ac:dyDescent="0.2">
      <c r="B2279" s="1">
        <v>244436</v>
      </c>
    </row>
    <row r="2280" spans="2:2" x14ac:dyDescent="0.2">
      <c r="B2280" s="1">
        <v>244437</v>
      </c>
    </row>
    <row r="2281" spans="2:2" x14ac:dyDescent="0.2">
      <c r="B2281" s="1">
        <v>244438</v>
      </c>
    </row>
    <row r="2282" spans="2:2" x14ac:dyDescent="0.2">
      <c r="B2282" s="1">
        <v>244439</v>
      </c>
    </row>
    <row r="2283" spans="2:2" x14ac:dyDescent="0.2">
      <c r="B2283" s="1">
        <v>244440</v>
      </c>
    </row>
    <row r="2284" spans="2:2" x14ac:dyDescent="0.2">
      <c r="B2284" s="1">
        <v>244441</v>
      </c>
    </row>
    <row r="2285" spans="2:2" x14ac:dyDescent="0.2">
      <c r="B2285" s="1">
        <v>244442</v>
      </c>
    </row>
    <row r="2286" spans="2:2" x14ac:dyDescent="0.2">
      <c r="B2286" s="1">
        <v>244443</v>
      </c>
    </row>
    <row r="2287" spans="2:2" x14ac:dyDescent="0.2">
      <c r="B2287" s="1">
        <v>244444</v>
      </c>
    </row>
    <row r="2288" spans="2:2" x14ac:dyDescent="0.2">
      <c r="B2288" s="1">
        <v>244445</v>
      </c>
    </row>
    <row r="2289" spans="2:2" x14ac:dyDescent="0.2">
      <c r="B2289" s="1">
        <v>244446</v>
      </c>
    </row>
    <row r="2290" spans="2:2" x14ac:dyDescent="0.2">
      <c r="B2290" s="1">
        <v>244447</v>
      </c>
    </row>
    <row r="2291" spans="2:2" x14ac:dyDescent="0.2">
      <c r="B2291" s="1">
        <v>244448</v>
      </c>
    </row>
    <row r="2292" spans="2:2" x14ac:dyDescent="0.2">
      <c r="B2292" s="1">
        <v>244449</v>
      </c>
    </row>
    <row r="2293" spans="2:2" x14ac:dyDescent="0.2">
      <c r="B2293" s="1">
        <v>244450</v>
      </c>
    </row>
    <row r="2294" spans="2:2" x14ac:dyDescent="0.2">
      <c r="B2294" s="1">
        <v>244451</v>
      </c>
    </row>
    <row r="2295" spans="2:2" x14ac:dyDescent="0.2">
      <c r="B2295" s="1">
        <v>244452</v>
      </c>
    </row>
    <row r="2296" spans="2:2" x14ac:dyDescent="0.2">
      <c r="B2296" s="1">
        <v>244453</v>
      </c>
    </row>
    <row r="2297" spans="2:2" x14ac:dyDescent="0.2">
      <c r="B2297" s="1">
        <v>244454</v>
      </c>
    </row>
    <row r="2298" spans="2:2" x14ac:dyDescent="0.2">
      <c r="B2298" s="1">
        <v>244455</v>
      </c>
    </row>
    <row r="2299" spans="2:2" x14ac:dyDescent="0.2">
      <c r="B2299" s="1">
        <v>244456</v>
      </c>
    </row>
    <row r="2300" spans="2:2" x14ac:dyDescent="0.2">
      <c r="B2300" s="1">
        <v>244457</v>
      </c>
    </row>
    <row r="2301" spans="2:2" x14ac:dyDescent="0.2">
      <c r="B2301" s="1">
        <v>244458</v>
      </c>
    </row>
    <row r="2302" spans="2:2" x14ac:dyDescent="0.2">
      <c r="B2302" s="1">
        <v>244459</v>
      </c>
    </row>
    <row r="2303" spans="2:2" x14ac:dyDescent="0.2">
      <c r="B2303" s="1">
        <v>244460</v>
      </c>
    </row>
    <row r="2304" spans="2:2" x14ac:dyDescent="0.2">
      <c r="B2304" s="1">
        <v>244461</v>
      </c>
    </row>
    <row r="2305" spans="2:2" x14ac:dyDescent="0.2">
      <c r="B2305" s="1">
        <v>244462</v>
      </c>
    </row>
    <row r="2306" spans="2:2" x14ac:dyDescent="0.2">
      <c r="B2306" s="1">
        <v>244463</v>
      </c>
    </row>
    <row r="2307" spans="2:2" x14ac:dyDescent="0.2">
      <c r="B2307" s="1">
        <v>244464</v>
      </c>
    </row>
    <row r="2308" spans="2:2" x14ac:dyDescent="0.2">
      <c r="B2308" s="1">
        <v>244465</v>
      </c>
    </row>
    <row r="2309" spans="2:2" x14ac:dyDescent="0.2">
      <c r="B2309" s="1">
        <v>244466</v>
      </c>
    </row>
    <row r="2310" spans="2:2" x14ac:dyDescent="0.2">
      <c r="B2310" s="1">
        <v>244467</v>
      </c>
    </row>
    <row r="2311" spans="2:2" x14ac:dyDescent="0.2">
      <c r="B2311" s="1">
        <v>244468</v>
      </c>
    </row>
    <row r="2312" spans="2:2" x14ac:dyDescent="0.2">
      <c r="B2312" s="1">
        <v>244469</v>
      </c>
    </row>
    <row r="2313" spans="2:2" x14ac:dyDescent="0.2">
      <c r="B2313" s="1">
        <v>244470</v>
      </c>
    </row>
    <row r="2314" spans="2:2" x14ac:dyDescent="0.2">
      <c r="B2314" s="1">
        <v>244471</v>
      </c>
    </row>
    <row r="2315" spans="2:2" x14ac:dyDescent="0.2">
      <c r="B2315" s="1">
        <v>244472</v>
      </c>
    </row>
    <row r="2316" spans="2:2" x14ac:dyDescent="0.2">
      <c r="B2316" s="1">
        <v>244473</v>
      </c>
    </row>
    <row r="2317" spans="2:2" x14ac:dyDescent="0.2">
      <c r="B2317" s="1">
        <v>244474</v>
      </c>
    </row>
    <row r="2318" spans="2:2" x14ac:dyDescent="0.2">
      <c r="B2318" s="1">
        <v>244475</v>
      </c>
    </row>
    <row r="2319" spans="2:2" x14ac:dyDescent="0.2">
      <c r="B2319" s="1">
        <v>244476</v>
      </c>
    </row>
    <row r="2320" spans="2:2" x14ac:dyDescent="0.2">
      <c r="B2320" s="1">
        <v>244477</v>
      </c>
    </row>
    <row r="2321" spans="2:2" x14ac:dyDescent="0.2">
      <c r="B2321" s="1">
        <v>244478</v>
      </c>
    </row>
    <row r="2322" spans="2:2" x14ac:dyDescent="0.2">
      <c r="B2322" s="1">
        <v>244479</v>
      </c>
    </row>
    <row r="2323" spans="2:2" x14ac:dyDescent="0.2">
      <c r="B2323" s="1">
        <v>244480</v>
      </c>
    </row>
    <row r="2324" spans="2:2" x14ac:dyDescent="0.2">
      <c r="B2324" s="1">
        <v>244481</v>
      </c>
    </row>
    <row r="2325" spans="2:2" x14ac:dyDescent="0.2">
      <c r="B2325" s="1">
        <v>244482</v>
      </c>
    </row>
    <row r="2326" spans="2:2" x14ac:dyDescent="0.2">
      <c r="B2326" s="1">
        <v>244483</v>
      </c>
    </row>
    <row r="2327" spans="2:2" x14ac:dyDescent="0.2">
      <c r="B2327" s="1">
        <v>244484</v>
      </c>
    </row>
    <row r="2328" spans="2:2" x14ac:dyDescent="0.2">
      <c r="B2328" s="1">
        <v>244485</v>
      </c>
    </row>
    <row r="2329" spans="2:2" x14ac:dyDescent="0.2">
      <c r="B2329" s="1">
        <v>244486</v>
      </c>
    </row>
    <row r="2330" spans="2:2" x14ac:dyDescent="0.2">
      <c r="B2330" s="1">
        <v>244487</v>
      </c>
    </row>
    <row r="2331" spans="2:2" x14ac:dyDescent="0.2">
      <c r="B2331" s="1">
        <v>244488</v>
      </c>
    </row>
    <row r="2332" spans="2:2" x14ac:dyDescent="0.2">
      <c r="B2332" s="1">
        <v>244489</v>
      </c>
    </row>
    <row r="2333" spans="2:2" x14ac:dyDescent="0.2">
      <c r="B2333" s="1">
        <v>244490</v>
      </c>
    </row>
    <row r="2334" spans="2:2" x14ac:dyDescent="0.2">
      <c r="B2334" s="1">
        <v>244491</v>
      </c>
    </row>
    <row r="2335" spans="2:2" x14ac:dyDescent="0.2">
      <c r="B2335" s="1">
        <v>244492</v>
      </c>
    </row>
    <row r="2336" spans="2:2" x14ac:dyDescent="0.2">
      <c r="B2336" s="1">
        <v>244493</v>
      </c>
    </row>
    <row r="2337" spans="2:2" x14ac:dyDescent="0.2">
      <c r="B2337" s="1">
        <v>244494</v>
      </c>
    </row>
    <row r="2338" spans="2:2" x14ac:dyDescent="0.2">
      <c r="B2338" s="1">
        <v>244495</v>
      </c>
    </row>
    <row r="2339" spans="2:2" x14ac:dyDescent="0.2">
      <c r="B2339" s="1">
        <v>244496</v>
      </c>
    </row>
    <row r="2340" spans="2:2" x14ac:dyDescent="0.2">
      <c r="B2340" s="1">
        <v>244497</v>
      </c>
    </row>
    <row r="2341" spans="2:2" x14ac:dyDescent="0.2">
      <c r="B2341" s="1">
        <v>244498</v>
      </c>
    </row>
    <row r="2342" spans="2:2" x14ac:dyDescent="0.2">
      <c r="B2342" s="1">
        <v>244499</v>
      </c>
    </row>
    <row r="2343" spans="2:2" x14ac:dyDescent="0.2">
      <c r="B2343" s="1">
        <v>244500</v>
      </c>
    </row>
    <row r="2344" spans="2:2" x14ac:dyDescent="0.2">
      <c r="B2344" s="1">
        <v>244501</v>
      </c>
    </row>
    <row r="2345" spans="2:2" x14ac:dyDescent="0.2">
      <c r="B2345" s="1">
        <v>244502</v>
      </c>
    </row>
    <row r="2346" spans="2:2" x14ac:dyDescent="0.2">
      <c r="B2346" s="1">
        <v>244503</v>
      </c>
    </row>
    <row r="2347" spans="2:2" x14ac:dyDescent="0.2">
      <c r="B2347" s="1">
        <v>244504</v>
      </c>
    </row>
    <row r="2348" spans="2:2" x14ac:dyDescent="0.2">
      <c r="B2348" s="1">
        <v>244505</v>
      </c>
    </row>
    <row r="2349" spans="2:2" x14ac:dyDescent="0.2">
      <c r="B2349" s="1">
        <v>244506</v>
      </c>
    </row>
    <row r="2350" spans="2:2" x14ac:dyDescent="0.2">
      <c r="B2350" s="1">
        <v>244507</v>
      </c>
    </row>
    <row r="2351" spans="2:2" x14ac:dyDescent="0.2">
      <c r="B2351" s="1">
        <v>244508</v>
      </c>
    </row>
    <row r="2352" spans="2:2" x14ac:dyDescent="0.2">
      <c r="B2352" s="1">
        <v>244509</v>
      </c>
    </row>
    <row r="2353" spans="2:2" x14ac:dyDescent="0.2">
      <c r="B2353" s="1">
        <v>244510</v>
      </c>
    </row>
    <row r="2354" spans="2:2" x14ac:dyDescent="0.2">
      <c r="B2354" s="1">
        <v>244511</v>
      </c>
    </row>
    <row r="2355" spans="2:2" x14ac:dyDescent="0.2">
      <c r="B2355" s="1">
        <v>244512</v>
      </c>
    </row>
    <row r="2356" spans="2:2" x14ac:dyDescent="0.2">
      <c r="B2356" s="1">
        <v>244513</v>
      </c>
    </row>
    <row r="2357" spans="2:2" x14ac:dyDescent="0.2">
      <c r="B2357" s="1">
        <v>244514</v>
      </c>
    </row>
    <row r="2358" spans="2:2" x14ac:dyDescent="0.2">
      <c r="B2358" s="1">
        <v>244515</v>
      </c>
    </row>
    <row r="2359" spans="2:2" x14ac:dyDescent="0.2">
      <c r="B2359" s="1">
        <v>244516</v>
      </c>
    </row>
    <row r="2360" spans="2:2" x14ac:dyDescent="0.2">
      <c r="B2360" s="1">
        <v>244517</v>
      </c>
    </row>
    <row r="2361" spans="2:2" x14ac:dyDescent="0.2">
      <c r="B2361" s="1">
        <v>244518</v>
      </c>
    </row>
    <row r="2362" spans="2:2" x14ac:dyDescent="0.2">
      <c r="B2362" s="1">
        <v>244519</v>
      </c>
    </row>
    <row r="2363" spans="2:2" x14ac:dyDescent="0.2">
      <c r="B2363" s="1">
        <v>244520</v>
      </c>
    </row>
    <row r="2364" spans="2:2" x14ac:dyDescent="0.2">
      <c r="B2364" s="1">
        <v>244521</v>
      </c>
    </row>
    <row r="2365" spans="2:2" x14ac:dyDescent="0.2">
      <c r="B2365" s="1">
        <v>244522</v>
      </c>
    </row>
    <row r="2366" spans="2:2" x14ac:dyDescent="0.2">
      <c r="B2366" s="1">
        <v>244523</v>
      </c>
    </row>
    <row r="2367" spans="2:2" x14ac:dyDescent="0.2">
      <c r="B2367" s="1">
        <v>244524</v>
      </c>
    </row>
    <row r="2368" spans="2:2" x14ac:dyDescent="0.2">
      <c r="B2368" s="1">
        <v>244525</v>
      </c>
    </row>
    <row r="2369" spans="2:2" x14ac:dyDescent="0.2">
      <c r="B2369" s="1">
        <v>244526</v>
      </c>
    </row>
    <row r="2370" spans="2:2" x14ac:dyDescent="0.2">
      <c r="B2370" s="1">
        <v>244527</v>
      </c>
    </row>
    <row r="2371" spans="2:2" x14ac:dyDescent="0.2">
      <c r="B2371" s="1">
        <v>244528</v>
      </c>
    </row>
    <row r="2372" spans="2:2" x14ac:dyDescent="0.2">
      <c r="B2372" s="1">
        <v>244529</v>
      </c>
    </row>
    <row r="2373" spans="2:2" x14ac:dyDescent="0.2">
      <c r="B2373" s="1">
        <v>244530</v>
      </c>
    </row>
    <row r="2374" spans="2:2" x14ac:dyDescent="0.2">
      <c r="B2374" s="1">
        <v>244531</v>
      </c>
    </row>
    <row r="2375" spans="2:2" x14ac:dyDescent="0.2">
      <c r="B2375" s="1">
        <v>244532</v>
      </c>
    </row>
    <row r="2376" spans="2:2" x14ac:dyDescent="0.2">
      <c r="B2376" s="1">
        <v>244533</v>
      </c>
    </row>
    <row r="2377" spans="2:2" x14ac:dyDescent="0.2">
      <c r="B2377" s="1">
        <v>244534</v>
      </c>
    </row>
    <row r="2378" spans="2:2" x14ac:dyDescent="0.2">
      <c r="B2378" s="1">
        <v>244535</v>
      </c>
    </row>
    <row r="2379" spans="2:2" x14ac:dyDescent="0.2">
      <c r="B2379" s="1">
        <v>244536</v>
      </c>
    </row>
    <row r="2380" spans="2:2" x14ac:dyDescent="0.2">
      <c r="B2380" s="1">
        <v>244537</v>
      </c>
    </row>
    <row r="2381" spans="2:2" x14ac:dyDescent="0.2">
      <c r="B2381" s="1">
        <v>244538</v>
      </c>
    </row>
    <row r="2382" spans="2:2" x14ac:dyDescent="0.2">
      <c r="B2382" s="1">
        <v>244539</v>
      </c>
    </row>
    <row r="2383" spans="2:2" x14ac:dyDescent="0.2">
      <c r="B2383" s="1">
        <v>244540</v>
      </c>
    </row>
    <row r="2384" spans="2:2" x14ac:dyDescent="0.2">
      <c r="B2384" s="1">
        <v>244541</v>
      </c>
    </row>
    <row r="2385" spans="2:2" x14ac:dyDescent="0.2">
      <c r="B2385" s="1">
        <v>244542</v>
      </c>
    </row>
    <row r="2386" spans="2:2" x14ac:dyDescent="0.2">
      <c r="B2386" s="1">
        <v>244543</v>
      </c>
    </row>
    <row r="2387" spans="2:2" x14ac:dyDescent="0.2">
      <c r="B2387" s="1">
        <v>244544</v>
      </c>
    </row>
    <row r="2388" spans="2:2" x14ac:dyDescent="0.2">
      <c r="B2388" s="1">
        <v>244545</v>
      </c>
    </row>
    <row r="2389" spans="2:2" x14ac:dyDescent="0.2">
      <c r="B2389" s="1">
        <v>244546</v>
      </c>
    </row>
    <row r="2390" spans="2:2" x14ac:dyDescent="0.2">
      <c r="B2390" s="1">
        <v>244547</v>
      </c>
    </row>
    <row r="2391" spans="2:2" x14ac:dyDescent="0.2">
      <c r="B2391" s="1">
        <v>244548</v>
      </c>
    </row>
    <row r="2392" spans="2:2" x14ac:dyDescent="0.2">
      <c r="B2392" s="1">
        <v>244549</v>
      </c>
    </row>
    <row r="2393" spans="2:2" x14ac:dyDescent="0.2">
      <c r="B2393" s="1">
        <v>244550</v>
      </c>
    </row>
    <row r="2394" spans="2:2" x14ac:dyDescent="0.2">
      <c r="B2394" s="1">
        <v>244551</v>
      </c>
    </row>
    <row r="2395" spans="2:2" x14ac:dyDescent="0.2">
      <c r="B2395" s="1">
        <v>244552</v>
      </c>
    </row>
    <row r="2396" spans="2:2" x14ac:dyDescent="0.2">
      <c r="B2396" s="1">
        <v>244553</v>
      </c>
    </row>
    <row r="2397" spans="2:2" x14ac:dyDescent="0.2">
      <c r="B2397" s="1">
        <v>244554</v>
      </c>
    </row>
    <row r="2398" spans="2:2" x14ac:dyDescent="0.2">
      <c r="B2398" s="1">
        <v>244555</v>
      </c>
    </row>
    <row r="2399" spans="2:2" x14ac:dyDescent="0.2">
      <c r="B2399" s="1">
        <v>244556</v>
      </c>
    </row>
    <row r="2400" spans="2:2" x14ac:dyDescent="0.2">
      <c r="B2400" s="1">
        <v>244557</v>
      </c>
    </row>
    <row r="2401" spans="2:2" x14ac:dyDescent="0.2">
      <c r="B2401" s="1">
        <v>244558</v>
      </c>
    </row>
    <row r="2402" spans="2:2" x14ac:dyDescent="0.2">
      <c r="B2402" s="1">
        <v>244559</v>
      </c>
    </row>
    <row r="2403" spans="2:2" x14ac:dyDescent="0.2">
      <c r="B2403" s="1">
        <v>244560</v>
      </c>
    </row>
    <row r="2404" spans="2:2" x14ac:dyDescent="0.2">
      <c r="B2404" s="1">
        <v>244561</v>
      </c>
    </row>
    <row r="2405" spans="2:2" x14ac:dyDescent="0.2">
      <c r="B2405" s="1">
        <v>244562</v>
      </c>
    </row>
    <row r="2406" spans="2:2" x14ac:dyDescent="0.2">
      <c r="B2406" s="1">
        <v>244563</v>
      </c>
    </row>
    <row r="2407" spans="2:2" x14ac:dyDescent="0.2">
      <c r="B2407" s="1">
        <v>244564</v>
      </c>
    </row>
    <row r="2408" spans="2:2" x14ac:dyDescent="0.2">
      <c r="B2408" s="1">
        <v>244565</v>
      </c>
    </row>
    <row r="2409" spans="2:2" x14ac:dyDescent="0.2">
      <c r="B2409" s="1">
        <v>244566</v>
      </c>
    </row>
    <row r="2410" spans="2:2" x14ac:dyDescent="0.2">
      <c r="B2410" s="1">
        <v>244567</v>
      </c>
    </row>
    <row r="2411" spans="2:2" x14ac:dyDescent="0.2">
      <c r="B2411" s="1">
        <v>244568</v>
      </c>
    </row>
    <row r="2412" spans="2:2" x14ac:dyDescent="0.2">
      <c r="B2412" s="1">
        <v>244569</v>
      </c>
    </row>
    <row r="2413" spans="2:2" x14ac:dyDescent="0.2">
      <c r="B2413" s="1">
        <v>244570</v>
      </c>
    </row>
    <row r="2414" spans="2:2" x14ac:dyDescent="0.2">
      <c r="B2414" s="1">
        <v>244571</v>
      </c>
    </row>
    <row r="2415" spans="2:2" x14ac:dyDescent="0.2">
      <c r="B2415" s="1">
        <v>244572</v>
      </c>
    </row>
    <row r="2416" spans="2:2" x14ac:dyDescent="0.2">
      <c r="B2416" s="1">
        <v>244573</v>
      </c>
    </row>
    <row r="2417" spans="2:2" x14ac:dyDescent="0.2">
      <c r="B2417" s="1">
        <v>244574</v>
      </c>
    </row>
    <row r="2418" spans="2:2" x14ac:dyDescent="0.2">
      <c r="B2418" s="1">
        <v>244575</v>
      </c>
    </row>
    <row r="2419" spans="2:2" x14ac:dyDescent="0.2">
      <c r="B2419" s="1">
        <v>244576</v>
      </c>
    </row>
    <row r="2420" spans="2:2" x14ac:dyDescent="0.2">
      <c r="B2420" s="1">
        <v>244577</v>
      </c>
    </row>
    <row r="2421" spans="2:2" x14ac:dyDescent="0.2">
      <c r="B2421" s="1">
        <v>244578</v>
      </c>
    </row>
    <row r="2422" spans="2:2" x14ac:dyDescent="0.2">
      <c r="B2422" s="1">
        <v>244579</v>
      </c>
    </row>
    <row r="2423" spans="2:2" x14ac:dyDescent="0.2">
      <c r="B2423" s="1">
        <v>244580</v>
      </c>
    </row>
    <row r="2424" spans="2:2" x14ac:dyDescent="0.2">
      <c r="B2424" s="1">
        <v>244581</v>
      </c>
    </row>
    <row r="2425" spans="2:2" x14ac:dyDescent="0.2">
      <c r="B2425" s="1">
        <v>244582</v>
      </c>
    </row>
    <row r="2426" spans="2:2" x14ac:dyDescent="0.2">
      <c r="B2426" s="1">
        <v>244583</v>
      </c>
    </row>
    <row r="2427" spans="2:2" x14ac:dyDescent="0.2">
      <c r="B2427" s="1">
        <v>244584</v>
      </c>
    </row>
    <row r="2428" spans="2:2" x14ac:dyDescent="0.2">
      <c r="B2428" s="1">
        <v>244585</v>
      </c>
    </row>
    <row r="2429" spans="2:2" x14ac:dyDescent="0.2">
      <c r="B2429" s="1">
        <v>244586</v>
      </c>
    </row>
    <row r="2430" spans="2:2" x14ac:dyDescent="0.2">
      <c r="B2430" s="1">
        <v>244587</v>
      </c>
    </row>
    <row r="2431" spans="2:2" x14ac:dyDescent="0.2">
      <c r="B2431" s="1">
        <v>244588</v>
      </c>
    </row>
    <row r="2432" spans="2:2" x14ac:dyDescent="0.2">
      <c r="B2432" s="1">
        <v>244589</v>
      </c>
    </row>
    <row r="2433" spans="2:2" x14ac:dyDescent="0.2">
      <c r="B2433" s="1">
        <v>244590</v>
      </c>
    </row>
    <row r="2434" spans="2:2" x14ac:dyDescent="0.2">
      <c r="B2434" s="1">
        <v>244591</v>
      </c>
    </row>
    <row r="2435" spans="2:2" x14ac:dyDescent="0.2">
      <c r="B2435" s="1">
        <v>244592</v>
      </c>
    </row>
    <row r="2436" spans="2:2" x14ac:dyDescent="0.2">
      <c r="B2436" s="1">
        <v>244593</v>
      </c>
    </row>
    <row r="2437" spans="2:2" x14ac:dyDescent="0.2">
      <c r="B2437" s="1">
        <v>244594</v>
      </c>
    </row>
    <row r="2438" spans="2:2" x14ac:dyDescent="0.2">
      <c r="B2438" s="1">
        <v>244595</v>
      </c>
    </row>
    <row r="2439" spans="2:2" x14ac:dyDescent="0.2">
      <c r="B2439" s="1">
        <v>244596</v>
      </c>
    </row>
    <row r="2440" spans="2:2" x14ac:dyDescent="0.2">
      <c r="B2440" s="1">
        <v>244597</v>
      </c>
    </row>
    <row r="2441" spans="2:2" x14ac:dyDescent="0.2">
      <c r="B2441" s="1">
        <v>244598</v>
      </c>
    </row>
    <row r="2442" spans="2:2" x14ac:dyDescent="0.2">
      <c r="B2442" s="1">
        <v>244599</v>
      </c>
    </row>
    <row r="2443" spans="2:2" x14ac:dyDescent="0.2">
      <c r="B2443" s="1">
        <v>244600</v>
      </c>
    </row>
    <row r="2444" spans="2:2" x14ac:dyDescent="0.2">
      <c r="B2444" s="1">
        <v>244601</v>
      </c>
    </row>
    <row r="2445" spans="2:2" x14ac:dyDescent="0.2">
      <c r="B2445" s="1">
        <v>244602</v>
      </c>
    </row>
    <row r="2446" spans="2:2" x14ac:dyDescent="0.2">
      <c r="B2446" s="1">
        <v>244603</v>
      </c>
    </row>
    <row r="2447" spans="2:2" x14ac:dyDescent="0.2">
      <c r="B2447" s="1">
        <v>244604</v>
      </c>
    </row>
    <row r="2448" spans="2:2" x14ac:dyDescent="0.2">
      <c r="B2448" s="1">
        <v>244605</v>
      </c>
    </row>
    <row r="2449" spans="2:2" x14ac:dyDescent="0.2">
      <c r="B2449" s="1">
        <v>244606</v>
      </c>
    </row>
    <row r="2450" spans="2:2" x14ac:dyDescent="0.2">
      <c r="B2450" s="1">
        <v>244607</v>
      </c>
    </row>
    <row r="2451" spans="2:2" x14ac:dyDescent="0.2">
      <c r="B2451" s="1">
        <v>244608</v>
      </c>
    </row>
    <row r="2452" spans="2:2" x14ac:dyDescent="0.2">
      <c r="B2452" s="1">
        <v>244609</v>
      </c>
    </row>
    <row r="2453" spans="2:2" x14ac:dyDescent="0.2">
      <c r="B2453" s="1">
        <v>244610</v>
      </c>
    </row>
    <row r="2454" spans="2:2" x14ac:dyDescent="0.2">
      <c r="B2454" s="1">
        <v>244611</v>
      </c>
    </row>
    <row r="2455" spans="2:2" x14ac:dyDescent="0.2">
      <c r="B2455" s="1">
        <v>244612</v>
      </c>
    </row>
    <row r="2456" spans="2:2" x14ac:dyDescent="0.2">
      <c r="B2456" s="1">
        <v>244613</v>
      </c>
    </row>
    <row r="2457" spans="2:2" x14ac:dyDescent="0.2">
      <c r="B2457" s="1">
        <v>244614</v>
      </c>
    </row>
    <row r="2458" spans="2:2" x14ac:dyDescent="0.2">
      <c r="B2458" s="1">
        <v>244615</v>
      </c>
    </row>
    <row r="2459" spans="2:2" x14ac:dyDescent="0.2">
      <c r="B2459" s="1">
        <v>244616</v>
      </c>
    </row>
    <row r="2460" spans="2:2" x14ac:dyDescent="0.2">
      <c r="B2460" s="1">
        <v>244617</v>
      </c>
    </row>
    <row r="2461" spans="2:2" x14ac:dyDescent="0.2">
      <c r="B2461" s="1">
        <v>244618</v>
      </c>
    </row>
    <row r="2462" spans="2:2" x14ac:dyDescent="0.2">
      <c r="B2462" s="1">
        <v>244619</v>
      </c>
    </row>
    <row r="2463" spans="2:2" x14ac:dyDescent="0.2">
      <c r="B2463" s="1">
        <v>244620</v>
      </c>
    </row>
    <row r="2464" spans="2:2" x14ac:dyDescent="0.2">
      <c r="B2464" s="1">
        <v>244621</v>
      </c>
    </row>
    <row r="2465" spans="2:2" x14ac:dyDescent="0.2">
      <c r="B2465" s="1">
        <v>244622</v>
      </c>
    </row>
    <row r="2466" spans="2:2" x14ac:dyDescent="0.2">
      <c r="B2466" s="1">
        <v>244623</v>
      </c>
    </row>
    <row r="2467" spans="2:2" x14ac:dyDescent="0.2">
      <c r="B2467" s="1">
        <v>244624</v>
      </c>
    </row>
    <row r="2468" spans="2:2" x14ac:dyDescent="0.2">
      <c r="B2468" s="1">
        <v>244625</v>
      </c>
    </row>
    <row r="2469" spans="2:2" x14ac:dyDescent="0.2">
      <c r="B2469" s="1">
        <v>244626</v>
      </c>
    </row>
    <row r="2470" spans="2:2" x14ac:dyDescent="0.2">
      <c r="B2470" s="1">
        <v>244627</v>
      </c>
    </row>
    <row r="2471" spans="2:2" x14ac:dyDescent="0.2">
      <c r="B2471" s="1">
        <v>244628</v>
      </c>
    </row>
    <row r="2472" spans="2:2" x14ac:dyDescent="0.2">
      <c r="B2472" s="1">
        <v>244629</v>
      </c>
    </row>
    <row r="2473" spans="2:2" x14ac:dyDescent="0.2">
      <c r="B2473" s="1">
        <v>244630</v>
      </c>
    </row>
    <row r="2474" spans="2:2" x14ac:dyDescent="0.2">
      <c r="B2474" s="1">
        <v>244631</v>
      </c>
    </row>
    <row r="2475" spans="2:2" x14ac:dyDescent="0.2">
      <c r="B2475" s="1">
        <v>244632</v>
      </c>
    </row>
    <row r="2476" spans="2:2" x14ac:dyDescent="0.2">
      <c r="B2476" s="1">
        <v>244633</v>
      </c>
    </row>
    <row r="2477" spans="2:2" x14ac:dyDescent="0.2">
      <c r="B2477" s="1">
        <v>244634</v>
      </c>
    </row>
    <row r="2478" spans="2:2" x14ac:dyDescent="0.2">
      <c r="B2478" s="1">
        <v>244635</v>
      </c>
    </row>
    <row r="2479" spans="2:2" x14ac:dyDescent="0.2">
      <c r="B2479" s="1">
        <v>244636</v>
      </c>
    </row>
    <row r="2480" spans="2:2" x14ac:dyDescent="0.2">
      <c r="B2480" s="1">
        <v>244637</v>
      </c>
    </row>
    <row r="2481" spans="2:2" x14ac:dyDescent="0.2">
      <c r="B2481" s="1">
        <v>244638</v>
      </c>
    </row>
    <row r="2482" spans="2:2" x14ac:dyDescent="0.2">
      <c r="B2482" s="1">
        <v>244639</v>
      </c>
    </row>
    <row r="2483" spans="2:2" x14ac:dyDescent="0.2">
      <c r="B2483" s="1">
        <v>244640</v>
      </c>
    </row>
    <row r="2484" spans="2:2" x14ac:dyDescent="0.2">
      <c r="B2484" s="1">
        <v>244641</v>
      </c>
    </row>
    <row r="2485" spans="2:2" x14ac:dyDescent="0.2">
      <c r="B2485" s="1">
        <v>244642</v>
      </c>
    </row>
    <row r="2486" spans="2:2" x14ac:dyDescent="0.2">
      <c r="B2486" s="1">
        <v>244643</v>
      </c>
    </row>
    <row r="2487" spans="2:2" x14ac:dyDescent="0.2">
      <c r="B2487" s="1">
        <v>244644</v>
      </c>
    </row>
    <row r="2488" spans="2:2" x14ac:dyDescent="0.2">
      <c r="B2488" s="1">
        <v>244645</v>
      </c>
    </row>
    <row r="2489" spans="2:2" x14ac:dyDescent="0.2">
      <c r="B2489" s="1">
        <v>244646</v>
      </c>
    </row>
    <row r="2490" spans="2:2" x14ac:dyDescent="0.2">
      <c r="B2490" s="1">
        <v>244647</v>
      </c>
    </row>
    <row r="2491" spans="2:2" x14ac:dyDescent="0.2">
      <c r="B2491" s="1">
        <v>244648</v>
      </c>
    </row>
    <row r="2492" spans="2:2" x14ac:dyDescent="0.2">
      <c r="B2492" s="1">
        <v>244649</v>
      </c>
    </row>
    <row r="2493" spans="2:2" x14ac:dyDescent="0.2">
      <c r="B2493" s="1">
        <v>244650</v>
      </c>
    </row>
    <row r="2494" spans="2:2" x14ac:dyDescent="0.2">
      <c r="B2494" s="1">
        <v>244651</v>
      </c>
    </row>
    <row r="2495" spans="2:2" x14ac:dyDescent="0.2">
      <c r="B2495" s="1">
        <v>244652</v>
      </c>
    </row>
    <row r="2496" spans="2:2" x14ac:dyDescent="0.2">
      <c r="B2496" s="1">
        <v>244653</v>
      </c>
    </row>
    <row r="2497" spans="2:2" x14ac:dyDescent="0.2">
      <c r="B2497" s="1">
        <v>244654</v>
      </c>
    </row>
    <row r="2498" spans="2:2" x14ac:dyDescent="0.2">
      <c r="B2498" s="1">
        <v>244655</v>
      </c>
    </row>
    <row r="2499" spans="2:2" x14ac:dyDescent="0.2">
      <c r="B2499" s="1">
        <v>244656</v>
      </c>
    </row>
    <row r="2500" spans="2:2" x14ac:dyDescent="0.2">
      <c r="B2500" s="1">
        <v>244657</v>
      </c>
    </row>
    <row r="2501" spans="2:2" x14ac:dyDescent="0.2">
      <c r="B2501" s="1">
        <v>244658</v>
      </c>
    </row>
    <row r="2502" spans="2:2" x14ac:dyDescent="0.2">
      <c r="B2502" s="1">
        <v>244659</v>
      </c>
    </row>
    <row r="2503" spans="2:2" x14ac:dyDescent="0.2">
      <c r="B2503" s="1">
        <v>244660</v>
      </c>
    </row>
    <row r="2504" spans="2:2" x14ac:dyDescent="0.2">
      <c r="B2504" s="1">
        <v>244661</v>
      </c>
    </row>
    <row r="2505" spans="2:2" x14ac:dyDescent="0.2">
      <c r="B2505" s="1">
        <v>244662</v>
      </c>
    </row>
    <row r="2506" spans="2:2" x14ac:dyDescent="0.2">
      <c r="B2506" s="1">
        <v>244663</v>
      </c>
    </row>
    <row r="2507" spans="2:2" x14ac:dyDescent="0.2">
      <c r="B2507" s="1">
        <v>244664</v>
      </c>
    </row>
    <row r="2508" spans="2:2" x14ac:dyDescent="0.2">
      <c r="B2508" s="1">
        <v>244665</v>
      </c>
    </row>
    <row r="2509" spans="2:2" x14ac:dyDescent="0.2">
      <c r="B2509" s="1">
        <v>244666</v>
      </c>
    </row>
    <row r="2510" spans="2:2" x14ac:dyDescent="0.2">
      <c r="B2510" s="1">
        <v>244667</v>
      </c>
    </row>
    <row r="2511" spans="2:2" x14ac:dyDescent="0.2">
      <c r="B2511" s="1">
        <v>244668</v>
      </c>
    </row>
    <row r="2512" spans="2:2" x14ac:dyDescent="0.2">
      <c r="B2512" s="1">
        <v>244669</v>
      </c>
    </row>
    <row r="2513" spans="2:2" x14ac:dyDescent="0.2">
      <c r="B2513" s="1">
        <v>244670</v>
      </c>
    </row>
    <row r="2514" spans="2:2" x14ac:dyDescent="0.2">
      <c r="B2514" s="1">
        <v>244671</v>
      </c>
    </row>
    <row r="2515" spans="2:2" x14ac:dyDescent="0.2">
      <c r="B2515" s="1">
        <v>244672</v>
      </c>
    </row>
    <row r="2516" spans="2:2" x14ac:dyDescent="0.2">
      <c r="B2516" s="1">
        <v>244673</v>
      </c>
    </row>
    <row r="2517" spans="2:2" x14ac:dyDescent="0.2">
      <c r="B2517" s="1">
        <v>244674</v>
      </c>
    </row>
    <row r="2518" spans="2:2" x14ac:dyDescent="0.2">
      <c r="B2518" s="1">
        <v>244675</v>
      </c>
    </row>
    <row r="2519" spans="2:2" x14ac:dyDescent="0.2">
      <c r="B2519" s="1">
        <v>244676</v>
      </c>
    </row>
    <row r="2520" spans="2:2" x14ac:dyDescent="0.2">
      <c r="B2520" s="1">
        <v>244677</v>
      </c>
    </row>
    <row r="2521" spans="2:2" x14ac:dyDescent="0.2">
      <c r="B2521" s="1">
        <v>244678</v>
      </c>
    </row>
    <row r="2522" spans="2:2" x14ac:dyDescent="0.2">
      <c r="B2522" s="1">
        <v>244679</v>
      </c>
    </row>
    <row r="2523" spans="2:2" x14ac:dyDescent="0.2">
      <c r="B2523" s="1">
        <v>244680</v>
      </c>
    </row>
    <row r="2524" spans="2:2" x14ac:dyDescent="0.2">
      <c r="B2524" s="1">
        <v>244681</v>
      </c>
    </row>
    <row r="2525" spans="2:2" x14ac:dyDescent="0.2">
      <c r="B2525" s="1">
        <v>244682</v>
      </c>
    </row>
    <row r="2526" spans="2:2" x14ac:dyDescent="0.2">
      <c r="B2526" s="1">
        <v>244683</v>
      </c>
    </row>
    <row r="2527" spans="2:2" x14ac:dyDescent="0.2">
      <c r="B2527" s="1">
        <v>244684</v>
      </c>
    </row>
    <row r="2528" spans="2:2" x14ac:dyDescent="0.2">
      <c r="B2528" s="1">
        <v>244685</v>
      </c>
    </row>
    <row r="2529" spans="2:2" x14ac:dyDescent="0.2">
      <c r="B2529" s="1">
        <v>244686</v>
      </c>
    </row>
    <row r="2530" spans="2:2" x14ac:dyDescent="0.2">
      <c r="B2530" s="1">
        <v>244687</v>
      </c>
    </row>
    <row r="2531" spans="2:2" x14ac:dyDescent="0.2">
      <c r="B2531" s="1">
        <v>244688</v>
      </c>
    </row>
    <row r="2532" spans="2:2" x14ac:dyDescent="0.2">
      <c r="B2532" s="1">
        <v>244689</v>
      </c>
    </row>
    <row r="2533" spans="2:2" x14ac:dyDescent="0.2">
      <c r="B2533" s="1">
        <v>244690</v>
      </c>
    </row>
    <row r="2534" spans="2:2" x14ac:dyDescent="0.2">
      <c r="B2534" s="1">
        <v>244691</v>
      </c>
    </row>
    <row r="2535" spans="2:2" x14ac:dyDescent="0.2">
      <c r="B2535" s="1">
        <v>244692</v>
      </c>
    </row>
    <row r="2536" spans="2:2" x14ac:dyDescent="0.2">
      <c r="B2536" s="1">
        <v>244693</v>
      </c>
    </row>
    <row r="2537" spans="2:2" x14ac:dyDescent="0.2">
      <c r="B2537" s="1">
        <v>244694</v>
      </c>
    </row>
    <row r="2538" spans="2:2" x14ac:dyDescent="0.2">
      <c r="B2538" s="1">
        <v>244695</v>
      </c>
    </row>
    <row r="2539" spans="2:2" x14ac:dyDescent="0.2">
      <c r="B2539" s="1">
        <v>244696</v>
      </c>
    </row>
    <row r="2540" spans="2:2" x14ac:dyDescent="0.2">
      <c r="B2540" s="1">
        <v>244697</v>
      </c>
    </row>
    <row r="2541" spans="2:2" x14ac:dyDescent="0.2">
      <c r="B2541" s="1">
        <v>244698</v>
      </c>
    </row>
    <row r="2542" spans="2:2" x14ac:dyDescent="0.2">
      <c r="B2542" s="1">
        <v>244699</v>
      </c>
    </row>
    <row r="2543" spans="2:2" x14ac:dyDescent="0.2">
      <c r="B2543" s="1">
        <v>244700</v>
      </c>
    </row>
    <row r="2544" spans="2:2" x14ac:dyDescent="0.2">
      <c r="B2544" s="1">
        <v>244701</v>
      </c>
    </row>
    <row r="2545" spans="2:2" x14ac:dyDescent="0.2">
      <c r="B2545" s="1">
        <v>244702</v>
      </c>
    </row>
    <row r="2546" spans="2:2" x14ac:dyDescent="0.2">
      <c r="B2546" s="1">
        <v>244703</v>
      </c>
    </row>
    <row r="2547" spans="2:2" x14ac:dyDescent="0.2">
      <c r="B2547" s="1">
        <v>244704</v>
      </c>
    </row>
    <row r="2548" spans="2:2" x14ac:dyDescent="0.2">
      <c r="B2548" s="1">
        <v>244705</v>
      </c>
    </row>
    <row r="2549" spans="2:2" x14ac:dyDescent="0.2">
      <c r="B2549" s="1">
        <v>244706</v>
      </c>
    </row>
    <row r="2550" spans="2:2" x14ac:dyDescent="0.2">
      <c r="B2550" s="1">
        <v>244707</v>
      </c>
    </row>
    <row r="2551" spans="2:2" x14ac:dyDescent="0.2">
      <c r="B2551" s="1">
        <v>244708</v>
      </c>
    </row>
    <row r="2552" spans="2:2" x14ac:dyDescent="0.2">
      <c r="B2552" s="1">
        <v>244709</v>
      </c>
    </row>
    <row r="2553" spans="2:2" x14ac:dyDescent="0.2">
      <c r="B2553" s="1">
        <v>244710</v>
      </c>
    </row>
    <row r="2554" spans="2:2" x14ac:dyDescent="0.2">
      <c r="B2554" s="1">
        <v>244711</v>
      </c>
    </row>
    <row r="2555" spans="2:2" x14ac:dyDescent="0.2">
      <c r="B2555" s="1">
        <v>244712</v>
      </c>
    </row>
    <row r="2556" spans="2:2" x14ac:dyDescent="0.2">
      <c r="B2556" s="1">
        <v>244713</v>
      </c>
    </row>
    <row r="2557" spans="2:2" x14ac:dyDescent="0.2">
      <c r="B2557" s="1">
        <v>244714</v>
      </c>
    </row>
    <row r="2558" spans="2:2" x14ac:dyDescent="0.2">
      <c r="B2558" s="1">
        <v>244715</v>
      </c>
    </row>
    <row r="2559" spans="2:2" x14ac:dyDescent="0.2">
      <c r="B2559" s="1">
        <v>244716</v>
      </c>
    </row>
    <row r="2560" spans="2:2" x14ac:dyDescent="0.2">
      <c r="B2560" s="1">
        <v>244717</v>
      </c>
    </row>
    <row r="2561" spans="2:2" x14ac:dyDescent="0.2">
      <c r="B2561" s="1">
        <v>244718</v>
      </c>
    </row>
    <row r="2562" spans="2:2" x14ac:dyDescent="0.2">
      <c r="B2562" s="1">
        <v>244719</v>
      </c>
    </row>
    <row r="2563" spans="2:2" x14ac:dyDescent="0.2">
      <c r="B2563" s="1">
        <v>244720</v>
      </c>
    </row>
    <row r="2564" spans="2:2" x14ac:dyDescent="0.2">
      <c r="B2564" s="1">
        <v>244721</v>
      </c>
    </row>
    <row r="2565" spans="2:2" x14ac:dyDescent="0.2">
      <c r="B2565" s="1">
        <v>244722</v>
      </c>
    </row>
    <row r="2566" spans="2:2" x14ac:dyDescent="0.2">
      <c r="B2566" s="1">
        <v>244723</v>
      </c>
    </row>
    <row r="2567" spans="2:2" x14ac:dyDescent="0.2">
      <c r="B2567" s="1">
        <v>244724</v>
      </c>
    </row>
    <row r="2568" spans="2:2" x14ac:dyDescent="0.2">
      <c r="B2568" s="1">
        <v>244725</v>
      </c>
    </row>
    <row r="2569" spans="2:2" x14ac:dyDescent="0.2">
      <c r="B2569" s="1">
        <v>244726</v>
      </c>
    </row>
    <row r="2570" spans="2:2" x14ac:dyDescent="0.2">
      <c r="B2570" s="1">
        <v>244727</v>
      </c>
    </row>
    <row r="2571" spans="2:2" x14ac:dyDescent="0.2">
      <c r="B2571" s="1">
        <v>244728</v>
      </c>
    </row>
    <row r="2572" spans="2:2" x14ac:dyDescent="0.2">
      <c r="B2572" s="1">
        <v>244729</v>
      </c>
    </row>
    <row r="2573" spans="2:2" x14ac:dyDescent="0.2">
      <c r="B2573" s="1">
        <v>244730</v>
      </c>
    </row>
    <row r="2574" spans="2:2" x14ac:dyDescent="0.2">
      <c r="B2574" s="1">
        <v>244731</v>
      </c>
    </row>
    <row r="2575" spans="2:2" x14ac:dyDescent="0.2">
      <c r="B2575" s="1">
        <v>244732</v>
      </c>
    </row>
    <row r="2576" spans="2:2" x14ac:dyDescent="0.2">
      <c r="B2576" s="1">
        <v>244733</v>
      </c>
    </row>
    <row r="2577" spans="2:2" x14ac:dyDescent="0.2">
      <c r="B2577" s="1">
        <v>244734</v>
      </c>
    </row>
    <row r="2578" spans="2:2" x14ac:dyDescent="0.2">
      <c r="B2578" s="1">
        <v>244735</v>
      </c>
    </row>
    <row r="2579" spans="2:2" x14ac:dyDescent="0.2">
      <c r="B2579" s="1">
        <v>244736</v>
      </c>
    </row>
    <row r="2580" spans="2:2" x14ac:dyDescent="0.2">
      <c r="B2580" s="1">
        <v>244737</v>
      </c>
    </row>
    <row r="2581" spans="2:2" x14ac:dyDescent="0.2">
      <c r="B2581" s="1">
        <v>244738</v>
      </c>
    </row>
    <row r="2582" spans="2:2" x14ac:dyDescent="0.2">
      <c r="B2582" s="1">
        <v>244739</v>
      </c>
    </row>
    <row r="2583" spans="2:2" x14ac:dyDescent="0.2">
      <c r="B2583" s="1">
        <v>244740</v>
      </c>
    </row>
    <row r="2584" spans="2:2" x14ac:dyDescent="0.2">
      <c r="B2584" s="1">
        <v>244741</v>
      </c>
    </row>
    <row r="2585" spans="2:2" x14ac:dyDescent="0.2">
      <c r="B2585" s="1">
        <v>244742</v>
      </c>
    </row>
    <row r="2586" spans="2:2" x14ac:dyDescent="0.2">
      <c r="B2586" s="1">
        <v>244743</v>
      </c>
    </row>
    <row r="2587" spans="2:2" x14ac:dyDescent="0.2">
      <c r="B2587" s="1">
        <v>244744</v>
      </c>
    </row>
    <row r="2588" spans="2:2" x14ac:dyDescent="0.2">
      <c r="B2588" s="1">
        <v>244745</v>
      </c>
    </row>
    <row r="2589" spans="2:2" x14ac:dyDescent="0.2">
      <c r="B2589" s="1">
        <v>244746</v>
      </c>
    </row>
    <row r="2590" spans="2:2" x14ac:dyDescent="0.2">
      <c r="B2590" s="1">
        <v>244747</v>
      </c>
    </row>
    <row r="2591" spans="2:2" x14ac:dyDescent="0.2">
      <c r="B2591" s="1">
        <v>244748</v>
      </c>
    </row>
    <row r="2592" spans="2:2" x14ac:dyDescent="0.2">
      <c r="B2592" s="1">
        <v>244749</v>
      </c>
    </row>
    <row r="2593" spans="2:2" x14ac:dyDescent="0.2">
      <c r="B2593" s="1">
        <v>244750</v>
      </c>
    </row>
    <row r="2594" spans="2:2" x14ac:dyDescent="0.2">
      <c r="B2594" s="1">
        <v>244751</v>
      </c>
    </row>
    <row r="2595" spans="2:2" x14ac:dyDescent="0.2">
      <c r="B2595" s="1">
        <v>244752</v>
      </c>
    </row>
    <row r="2596" spans="2:2" x14ac:dyDescent="0.2">
      <c r="B2596" s="1">
        <v>244753</v>
      </c>
    </row>
    <row r="2597" spans="2:2" x14ac:dyDescent="0.2">
      <c r="B2597" s="1">
        <v>244754</v>
      </c>
    </row>
    <row r="2598" spans="2:2" x14ac:dyDescent="0.2">
      <c r="B2598" s="1">
        <v>244755</v>
      </c>
    </row>
    <row r="2599" spans="2:2" x14ac:dyDescent="0.2">
      <c r="B2599" s="1">
        <v>244756</v>
      </c>
    </row>
    <row r="2600" spans="2:2" x14ac:dyDescent="0.2">
      <c r="B2600" s="1">
        <v>244757</v>
      </c>
    </row>
    <row r="2601" spans="2:2" x14ac:dyDescent="0.2">
      <c r="B2601" s="1">
        <v>244758</v>
      </c>
    </row>
    <row r="2602" spans="2:2" x14ac:dyDescent="0.2">
      <c r="B2602" s="1">
        <v>244759</v>
      </c>
    </row>
    <row r="2603" spans="2:2" x14ac:dyDescent="0.2">
      <c r="B2603" s="1">
        <v>244760</v>
      </c>
    </row>
    <row r="2604" spans="2:2" x14ac:dyDescent="0.2">
      <c r="B2604" s="1">
        <v>244761</v>
      </c>
    </row>
    <row r="2605" spans="2:2" x14ac:dyDescent="0.2">
      <c r="B2605" s="1">
        <v>244762</v>
      </c>
    </row>
    <row r="2606" spans="2:2" x14ac:dyDescent="0.2">
      <c r="B2606" s="1">
        <v>244763</v>
      </c>
    </row>
    <row r="2607" spans="2:2" x14ac:dyDescent="0.2">
      <c r="B2607" s="1">
        <v>244764</v>
      </c>
    </row>
    <row r="2608" spans="2:2" x14ac:dyDescent="0.2">
      <c r="B2608" s="1">
        <v>244765</v>
      </c>
    </row>
    <row r="2609" spans="2:2" x14ac:dyDescent="0.2">
      <c r="B2609" s="1">
        <v>244766</v>
      </c>
    </row>
    <row r="2610" spans="2:2" x14ac:dyDescent="0.2">
      <c r="B2610" s="1">
        <v>244767</v>
      </c>
    </row>
    <row r="2611" spans="2:2" x14ac:dyDescent="0.2">
      <c r="B2611" s="1">
        <v>244768</v>
      </c>
    </row>
    <row r="2612" spans="2:2" x14ac:dyDescent="0.2">
      <c r="B2612" s="1">
        <v>244769</v>
      </c>
    </row>
    <row r="2613" spans="2:2" x14ac:dyDescent="0.2">
      <c r="B2613" s="1">
        <v>244770</v>
      </c>
    </row>
    <row r="2614" spans="2:2" x14ac:dyDescent="0.2">
      <c r="B2614" s="1">
        <v>244771</v>
      </c>
    </row>
    <row r="2615" spans="2:2" x14ac:dyDescent="0.2">
      <c r="B2615" s="1">
        <v>244772</v>
      </c>
    </row>
    <row r="2616" spans="2:2" x14ac:dyDescent="0.2">
      <c r="B2616" s="1">
        <v>244773</v>
      </c>
    </row>
    <row r="2617" spans="2:2" x14ac:dyDescent="0.2">
      <c r="B2617" s="1">
        <v>244774</v>
      </c>
    </row>
    <row r="2618" spans="2:2" x14ac:dyDescent="0.2">
      <c r="B2618" s="1">
        <v>244775</v>
      </c>
    </row>
    <row r="2619" spans="2:2" x14ac:dyDescent="0.2">
      <c r="B2619" s="1">
        <v>244776</v>
      </c>
    </row>
    <row r="2620" spans="2:2" x14ac:dyDescent="0.2">
      <c r="B2620" s="1">
        <v>244777</v>
      </c>
    </row>
    <row r="2621" spans="2:2" x14ac:dyDescent="0.2">
      <c r="B2621" s="1">
        <v>244778</v>
      </c>
    </row>
    <row r="2622" spans="2:2" x14ac:dyDescent="0.2">
      <c r="B2622" s="1">
        <v>244779</v>
      </c>
    </row>
    <row r="2623" spans="2:2" x14ac:dyDescent="0.2">
      <c r="B2623" s="1">
        <v>244780</v>
      </c>
    </row>
    <row r="2624" spans="2:2" x14ac:dyDescent="0.2">
      <c r="B2624" s="1">
        <v>244781</v>
      </c>
    </row>
    <row r="2625" spans="2:2" x14ac:dyDescent="0.2">
      <c r="B2625" s="1">
        <v>244782</v>
      </c>
    </row>
    <row r="2626" spans="2:2" x14ac:dyDescent="0.2">
      <c r="B2626" s="1">
        <v>244783</v>
      </c>
    </row>
    <row r="2627" spans="2:2" x14ac:dyDescent="0.2">
      <c r="B2627" s="1">
        <v>244784</v>
      </c>
    </row>
    <row r="2628" spans="2:2" x14ac:dyDescent="0.2">
      <c r="B2628" s="1">
        <v>244785</v>
      </c>
    </row>
    <row r="2629" spans="2:2" x14ac:dyDescent="0.2">
      <c r="B2629" s="1">
        <v>244786</v>
      </c>
    </row>
    <row r="2630" spans="2:2" x14ac:dyDescent="0.2">
      <c r="B2630" s="1">
        <v>244787</v>
      </c>
    </row>
    <row r="2631" spans="2:2" x14ac:dyDescent="0.2">
      <c r="B2631" s="1">
        <v>244788</v>
      </c>
    </row>
    <row r="2632" spans="2:2" x14ac:dyDescent="0.2">
      <c r="B2632" s="1">
        <v>244789</v>
      </c>
    </row>
    <row r="2633" spans="2:2" x14ac:dyDescent="0.2">
      <c r="B2633" s="1">
        <v>244790</v>
      </c>
    </row>
    <row r="2634" spans="2:2" x14ac:dyDescent="0.2">
      <c r="B2634" s="1">
        <v>244791</v>
      </c>
    </row>
    <row r="2635" spans="2:2" x14ac:dyDescent="0.2">
      <c r="B2635" s="1">
        <v>244792</v>
      </c>
    </row>
    <row r="2636" spans="2:2" x14ac:dyDescent="0.2">
      <c r="B2636" s="1">
        <v>244793</v>
      </c>
    </row>
    <row r="2637" spans="2:2" x14ac:dyDescent="0.2">
      <c r="B2637" s="1">
        <v>244794</v>
      </c>
    </row>
    <row r="2638" spans="2:2" x14ac:dyDescent="0.2">
      <c r="B2638" s="1">
        <v>244795</v>
      </c>
    </row>
    <row r="2639" spans="2:2" x14ac:dyDescent="0.2">
      <c r="B2639" s="1">
        <v>244796</v>
      </c>
    </row>
    <row r="2640" spans="2:2" x14ac:dyDescent="0.2">
      <c r="B2640" s="1">
        <v>244797</v>
      </c>
    </row>
    <row r="2641" spans="2:2" x14ac:dyDescent="0.2">
      <c r="B2641" s="1">
        <v>244798</v>
      </c>
    </row>
    <row r="2642" spans="2:2" x14ac:dyDescent="0.2">
      <c r="B2642" s="1">
        <v>244799</v>
      </c>
    </row>
    <row r="2643" spans="2:2" x14ac:dyDescent="0.2">
      <c r="B2643" s="1">
        <v>244800</v>
      </c>
    </row>
    <row r="2644" spans="2:2" x14ac:dyDescent="0.2">
      <c r="B2644" s="1">
        <v>244801</v>
      </c>
    </row>
    <row r="2645" spans="2:2" x14ac:dyDescent="0.2">
      <c r="B2645" s="1">
        <v>244802</v>
      </c>
    </row>
    <row r="2646" spans="2:2" x14ac:dyDescent="0.2">
      <c r="B2646" s="1">
        <v>244803</v>
      </c>
    </row>
    <row r="2647" spans="2:2" x14ac:dyDescent="0.2">
      <c r="B2647" s="1">
        <v>244804</v>
      </c>
    </row>
    <row r="2648" spans="2:2" x14ac:dyDescent="0.2">
      <c r="B2648" s="1">
        <v>244805</v>
      </c>
    </row>
    <row r="2649" spans="2:2" x14ac:dyDescent="0.2">
      <c r="B2649" s="1">
        <v>244806</v>
      </c>
    </row>
    <row r="2650" spans="2:2" x14ac:dyDescent="0.2">
      <c r="B2650" s="1">
        <v>244807</v>
      </c>
    </row>
    <row r="2651" spans="2:2" x14ac:dyDescent="0.2">
      <c r="B2651" s="1">
        <v>244808</v>
      </c>
    </row>
    <row r="2652" spans="2:2" x14ac:dyDescent="0.2">
      <c r="B2652" s="1">
        <v>244809</v>
      </c>
    </row>
    <row r="2653" spans="2:2" x14ac:dyDescent="0.2">
      <c r="B2653" s="1">
        <v>244810</v>
      </c>
    </row>
    <row r="2654" spans="2:2" x14ac:dyDescent="0.2">
      <c r="B2654" s="1">
        <v>244811</v>
      </c>
    </row>
    <row r="2655" spans="2:2" x14ac:dyDescent="0.2">
      <c r="B2655" s="1">
        <v>244812</v>
      </c>
    </row>
    <row r="2656" spans="2:2" x14ac:dyDescent="0.2">
      <c r="B2656" s="1">
        <v>244813</v>
      </c>
    </row>
    <row r="2657" spans="2:2" x14ac:dyDescent="0.2">
      <c r="B2657" s="1">
        <v>244814</v>
      </c>
    </row>
    <row r="2658" spans="2:2" x14ac:dyDescent="0.2">
      <c r="B2658" s="1">
        <v>244815</v>
      </c>
    </row>
    <row r="2659" spans="2:2" x14ac:dyDescent="0.2">
      <c r="B2659" s="1">
        <v>244816</v>
      </c>
    </row>
    <row r="2660" spans="2:2" x14ac:dyDescent="0.2">
      <c r="B2660" s="1">
        <v>244817</v>
      </c>
    </row>
    <row r="2661" spans="2:2" x14ac:dyDescent="0.2">
      <c r="B2661" s="1">
        <v>244818</v>
      </c>
    </row>
    <row r="2662" spans="2:2" x14ac:dyDescent="0.2">
      <c r="B2662" s="1">
        <v>244819</v>
      </c>
    </row>
    <row r="2663" spans="2:2" x14ac:dyDescent="0.2">
      <c r="B2663" s="1">
        <v>244820</v>
      </c>
    </row>
    <row r="2664" spans="2:2" x14ac:dyDescent="0.2">
      <c r="B2664" s="1">
        <v>244821</v>
      </c>
    </row>
    <row r="2665" spans="2:2" x14ac:dyDescent="0.2">
      <c r="B2665" s="1">
        <v>244822</v>
      </c>
    </row>
    <row r="2666" spans="2:2" x14ac:dyDescent="0.2">
      <c r="B2666" s="1">
        <v>244823</v>
      </c>
    </row>
    <row r="2667" spans="2:2" x14ac:dyDescent="0.2">
      <c r="B2667" s="1">
        <v>244824</v>
      </c>
    </row>
    <row r="2668" spans="2:2" x14ac:dyDescent="0.2">
      <c r="B2668" s="1">
        <v>244825</v>
      </c>
    </row>
    <row r="2669" spans="2:2" x14ac:dyDescent="0.2">
      <c r="B2669" s="1">
        <v>244826</v>
      </c>
    </row>
    <row r="2670" spans="2:2" x14ac:dyDescent="0.2">
      <c r="B2670" s="1">
        <v>244827</v>
      </c>
    </row>
    <row r="2671" spans="2:2" x14ac:dyDescent="0.2">
      <c r="B2671" s="1">
        <v>244828</v>
      </c>
    </row>
    <row r="2672" spans="2:2" x14ac:dyDescent="0.2">
      <c r="B2672" s="1">
        <v>244829</v>
      </c>
    </row>
    <row r="2673" spans="2:2" x14ac:dyDescent="0.2">
      <c r="B2673" s="1">
        <v>244830</v>
      </c>
    </row>
    <row r="2674" spans="2:2" x14ac:dyDescent="0.2">
      <c r="B2674" s="1">
        <v>244831</v>
      </c>
    </row>
    <row r="2675" spans="2:2" x14ac:dyDescent="0.2">
      <c r="B2675" s="1">
        <v>244832</v>
      </c>
    </row>
    <row r="2676" spans="2:2" x14ac:dyDescent="0.2">
      <c r="B2676" s="1">
        <v>244833</v>
      </c>
    </row>
    <row r="2677" spans="2:2" x14ac:dyDescent="0.2">
      <c r="B2677" s="1">
        <v>244834</v>
      </c>
    </row>
    <row r="2678" spans="2:2" x14ac:dyDescent="0.2">
      <c r="B2678" s="1">
        <v>244835</v>
      </c>
    </row>
    <row r="2679" spans="2:2" x14ac:dyDescent="0.2">
      <c r="B2679" s="1">
        <v>244836</v>
      </c>
    </row>
    <row r="2680" spans="2:2" x14ac:dyDescent="0.2">
      <c r="B2680" s="1">
        <v>244837</v>
      </c>
    </row>
    <row r="2681" spans="2:2" x14ac:dyDescent="0.2">
      <c r="B2681" s="1">
        <v>244838</v>
      </c>
    </row>
    <row r="2682" spans="2:2" x14ac:dyDescent="0.2">
      <c r="B2682" s="1">
        <v>244839</v>
      </c>
    </row>
    <row r="2683" spans="2:2" x14ac:dyDescent="0.2">
      <c r="B2683" s="1">
        <v>244840</v>
      </c>
    </row>
    <row r="2684" spans="2:2" x14ac:dyDescent="0.2">
      <c r="B2684" s="1">
        <v>244841</v>
      </c>
    </row>
    <row r="2685" spans="2:2" x14ac:dyDescent="0.2">
      <c r="B2685" s="1">
        <v>244842</v>
      </c>
    </row>
    <row r="2686" spans="2:2" x14ac:dyDescent="0.2">
      <c r="B2686" s="1">
        <v>244843</v>
      </c>
    </row>
    <row r="2687" spans="2:2" x14ac:dyDescent="0.2">
      <c r="B2687" s="1">
        <v>244844</v>
      </c>
    </row>
    <row r="2688" spans="2:2" x14ac:dyDescent="0.2">
      <c r="B2688" s="1">
        <v>244845</v>
      </c>
    </row>
    <row r="2689" spans="2:2" x14ac:dyDescent="0.2">
      <c r="B2689" s="1">
        <v>244846</v>
      </c>
    </row>
    <row r="2690" spans="2:2" x14ac:dyDescent="0.2">
      <c r="B2690" s="1">
        <v>244847</v>
      </c>
    </row>
    <row r="2691" spans="2:2" x14ac:dyDescent="0.2">
      <c r="B2691" s="1">
        <v>244848</v>
      </c>
    </row>
    <row r="2692" spans="2:2" x14ac:dyDescent="0.2">
      <c r="B2692" s="1">
        <v>244849</v>
      </c>
    </row>
    <row r="2693" spans="2:2" x14ac:dyDescent="0.2">
      <c r="B2693" s="1">
        <v>244850</v>
      </c>
    </row>
    <row r="2694" spans="2:2" x14ac:dyDescent="0.2">
      <c r="B2694" s="1">
        <v>244851</v>
      </c>
    </row>
    <row r="2695" spans="2:2" x14ac:dyDescent="0.2">
      <c r="B2695" s="1">
        <v>244852</v>
      </c>
    </row>
    <row r="2696" spans="2:2" x14ac:dyDescent="0.2">
      <c r="B2696" s="1">
        <v>244853</v>
      </c>
    </row>
    <row r="2697" spans="2:2" x14ac:dyDescent="0.2">
      <c r="B2697" s="1">
        <v>244854</v>
      </c>
    </row>
    <row r="2698" spans="2:2" x14ac:dyDescent="0.2">
      <c r="B2698" s="1">
        <v>244855</v>
      </c>
    </row>
    <row r="2699" spans="2:2" x14ac:dyDescent="0.2">
      <c r="B2699" s="1">
        <v>244856</v>
      </c>
    </row>
    <row r="2700" spans="2:2" x14ac:dyDescent="0.2">
      <c r="B2700" s="1">
        <v>244857</v>
      </c>
    </row>
    <row r="2701" spans="2:2" x14ac:dyDescent="0.2">
      <c r="B2701" s="1">
        <v>244858</v>
      </c>
    </row>
    <row r="2702" spans="2:2" x14ac:dyDescent="0.2">
      <c r="B2702" s="1">
        <v>244859</v>
      </c>
    </row>
    <row r="2703" spans="2:2" x14ac:dyDescent="0.2">
      <c r="B2703" s="1">
        <v>244860</v>
      </c>
    </row>
    <row r="2704" spans="2:2" x14ac:dyDescent="0.2">
      <c r="B2704" s="1">
        <v>244861</v>
      </c>
    </row>
    <row r="2705" spans="2:2" x14ac:dyDescent="0.2">
      <c r="B2705" s="1">
        <v>244862</v>
      </c>
    </row>
    <row r="2706" spans="2:2" x14ac:dyDescent="0.2">
      <c r="B2706" s="1">
        <v>244863</v>
      </c>
    </row>
    <row r="2707" spans="2:2" x14ac:dyDescent="0.2">
      <c r="B2707" s="1">
        <v>244864</v>
      </c>
    </row>
    <row r="2708" spans="2:2" x14ac:dyDescent="0.2">
      <c r="B2708" s="1">
        <v>244865</v>
      </c>
    </row>
    <row r="2709" spans="2:2" x14ac:dyDescent="0.2">
      <c r="B2709" s="1">
        <v>244866</v>
      </c>
    </row>
    <row r="2710" spans="2:2" x14ac:dyDescent="0.2">
      <c r="B2710" s="1">
        <v>244867</v>
      </c>
    </row>
    <row r="2711" spans="2:2" x14ac:dyDescent="0.2">
      <c r="B2711" s="1">
        <v>244868</v>
      </c>
    </row>
    <row r="2712" spans="2:2" x14ac:dyDescent="0.2">
      <c r="B2712" s="1">
        <v>244869</v>
      </c>
    </row>
    <row r="2713" spans="2:2" x14ac:dyDescent="0.2">
      <c r="B2713" s="1">
        <v>244870</v>
      </c>
    </row>
    <row r="2714" spans="2:2" x14ac:dyDescent="0.2">
      <c r="B2714" s="1">
        <v>244871</v>
      </c>
    </row>
    <row r="2715" spans="2:2" x14ac:dyDescent="0.2">
      <c r="B2715" s="1">
        <v>244872</v>
      </c>
    </row>
    <row r="2716" spans="2:2" x14ac:dyDescent="0.2">
      <c r="B2716" s="1">
        <v>244873</v>
      </c>
    </row>
    <row r="2717" spans="2:2" x14ac:dyDescent="0.2">
      <c r="B2717" s="1">
        <v>244874</v>
      </c>
    </row>
    <row r="2718" spans="2:2" x14ac:dyDescent="0.2">
      <c r="B2718" s="1">
        <v>244875</v>
      </c>
    </row>
    <row r="2719" spans="2:2" x14ac:dyDescent="0.2">
      <c r="B2719" s="1">
        <v>244876</v>
      </c>
    </row>
    <row r="2720" spans="2:2" x14ac:dyDescent="0.2">
      <c r="B2720" s="1">
        <v>244877</v>
      </c>
    </row>
    <row r="2721" spans="2:2" x14ac:dyDescent="0.2">
      <c r="B2721" s="1">
        <v>244878</v>
      </c>
    </row>
    <row r="2722" spans="2:2" x14ac:dyDescent="0.2">
      <c r="B2722" s="1">
        <v>244879</v>
      </c>
    </row>
    <row r="2723" spans="2:2" x14ac:dyDescent="0.2">
      <c r="B2723" s="1">
        <v>244880</v>
      </c>
    </row>
    <row r="2724" spans="2:2" x14ac:dyDescent="0.2">
      <c r="B2724" s="1">
        <v>244881</v>
      </c>
    </row>
    <row r="2725" spans="2:2" x14ac:dyDescent="0.2">
      <c r="B2725" s="1">
        <v>244882</v>
      </c>
    </row>
    <row r="2726" spans="2:2" x14ac:dyDescent="0.2">
      <c r="B2726" s="1">
        <v>244883</v>
      </c>
    </row>
    <row r="2727" spans="2:2" x14ac:dyDescent="0.2">
      <c r="B2727" s="1">
        <v>244884</v>
      </c>
    </row>
    <row r="2728" spans="2:2" x14ac:dyDescent="0.2">
      <c r="B2728" s="1">
        <v>244885</v>
      </c>
    </row>
    <row r="2729" spans="2:2" x14ac:dyDescent="0.2">
      <c r="B2729" s="1">
        <v>244886</v>
      </c>
    </row>
    <row r="2730" spans="2:2" x14ac:dyDescent="0.2">
      <c r="B2730" s="1">
        <v>244887</v>
      </c>
    </row>
    <row r="2731" spans="2:2" x14ac:dyDescent="0.2">
      <c r="B2731" s="1">
        <v>244888</v>
      </c>
    </row>
    <row r="2732" spans="2:2" x14ac:dyDescent="0.2">
      <c r="B2732" s="1">
        <v>244889</v>
      </c>
    </row>
    <row r="2733" spans="2:2" x14ac:dyDescent="0.2">
      <c r="B2733" s="1">
        <v>244890</v>
      </c>
    </row>
    <row r="2734" spans="2:2" x14ac:dyDescent="0.2">
      <c r="B2734" s="1">
        <v>244891</v>
      </c>
    </row>
    <row r="2735" spans="2:2" x14ac:dyDescent="0.2">
      <c r="B2735" s="1">
        <v>244892</v>
      </c>
    </row>
    <row r="2736" spans="2:2" x14ac:dyDescent="0.2">
      <c r="B2736" s="1">
        <v>244893</v>
      </c>
    </row>
    <row r="2737" spans="2:2" x14ac:dyDescent="0.2">
      <c r="B2737" s="1">
        <v>244894</v>
      </c>
    </row>
    <row r="2738" spans="2:2" x14ac:dyDescent="0.2">
      <c r="B2738" s="1">
        <v>244895</v>
      </c>
    </row>
    <row r="2739" spans="2:2" x14ac:dyDescent="0.2">
      <c r="B2739" s="1">
        <v>244896</v>
      </c>
    </row>
    <row r="2740" spans="2:2" x14ac:dyDescent="0.2">
      <c r="B2740" s="1">
        <v>244897</v>
      </c>
    </row>
    <row r="2741" spans="2:2" x14ac:dyDescent="0.2">
      <c r="B2741" s="1">
        <v>244898</v>
      </c>
    </row>
    <row r="2742" spans="2:2" x14ac:dyDescent="0.2">
      <c r="B2742" s="1">
        <v>244899</v>
      </c>
    </row>
    <row r="2743" spans="2:2" x14ac:dyDescent="0.2">
      <c r="B2743" s="1">
        <v>244900</v>
      </c>
    </row>
    <row r="2744" spans="2:2" x14ac:dyDescent="0.2">
      <c r="B2744" s="1">
        <v>244901</v>
      </c>
    </row>
    <row r="2745" spans="2:2" x14ac:dyDescent="0.2">
      <c r="B2745" s="1">
        <v>244902</v>
      </c>
    </row>
    <row r="2746" spans="2:2" x14ac:dyDescent="0.2">
      <c r="B2746" s="1">
        <v>244903</v>
      </c>
    </row>
    <row r="2747" spans="2:2" x14ac:dyDescent="0.2">
      <c r="B2747" s="1">
        <v>244904</v>
      </c>
    </row>
    <row r="2748" spans="2:2" x14ac:dyDescent="0.2">
      <c r="B2748" s="1">
        <v>244905</v>
      </c>
    </row>
    <row r="2749" spans="2:2" x14ac:dyDescent="0.2">
      <c r="B2749" s="1">
        <v>244906</v>
      </c>
    </row>
    <row r="2750" spans="2:2" x14ac:dyDescent="0.2">
      <c r="B2750" s="1">
        <v>244907</v>
      </c>
    </row>
    <row r="2751" spans="2:2" x14ac:dyDescent="0.2">
      <c r="B2751" s="1">
        <v>244908</v>
      </c>
    </row>
    <row r="2752" spans="2:2" x14ac:dyDescent="0.2">
      <c r="B2752" s="1">
        <v>244909</v>
      </c>
    </row>
    <row r="2753" spans="2:2" x14ac:dyDescent="0.2">
      <c r="B2753" s="1">
        <v>244910</v>
      </c>
    </row>
    <row r="2754" spans="2:2" x14ac:dyDescent="0.2">
      <c r="B2754" s="1">
        <v>244911</v>
      </c>
    </row>
    <row r="2755" spans="2:2" x14ac:dyDescent="0.2">
      <c r="B2755" s="1">
        <v>244912</v>
      </c>
    </row>
    <row r="2756" spans="2:2" x14ac:dyDescent="0.2">
      <c r="B2756" s="1">
        <v>244913</v>
      </c>
    </row>
    <row r="2757" spans="2:2" x14ac:dyDescent="0.2">
      <c r="B2757" s="1">
        <v>244914</v>
      </c>
    </row>
    <row r="2758" spans="2:2" x14ac:dyDescent="0.2">
      <c r="B2758" s="1">
        <v>244915</v>
      </c>
    </row>
    <row r="2759" spans="2:2" x14ac:dyDescent="0.2">
      <c r="B2759" s="1">
        <v>244916</v>
      </c>
    </row>
    <row r="2760" spans="2:2" x14ac:dyDescent="0.2">
      <c r="B2760" s="1">
        <v>244917</v>
      </c>
    </row>
    <row r="2761" spans="2:2" x14ac:dyDescent="0.2">
      <c r="B2761" s="1">
        <v>244918</v>
      </c>
    </row>
    <row r="2762" spans="2:2" x14ac:dyDescent="0.2">
      <c r="B2762" s="1">
        <v>244919</v>
      </c>
    </row>
    <row r="2763" spans="2:2" x14ac:dyDescent="0.2">
      <c r="B2763" s="1">
        <v>244920</v>
      </c>
    </row>
    <row r="2764" spans="2:2" x14ac:dyDescent="0.2">
      <c r="B2764" s="1">
        <v>244921</v>
      </c>
    </row>
    <row r="2765" spans="2:2" x14ac:dyDescent="0.2">
      <c r="B2765" s="1">
        <v>244922</v>
      </c>
    </row>
    <row r="2766" spans="2:2" x14ac:dyDescent="0.2">
      <c r="B2766" s="1">
        <v>244923</v>
      </c>
    </row>
    <row r="2767" spans="2:2" x14ac:dyDescent="0.2">
      <c r="B2767" s="1">
        <v>244924</v>
      </c>
    </row>
    <row r="2768" spans="2:2" x14ac:dyDescent="0.2">
      <c r="B2768" s="1">
        <v>244925</v>
      </c>
    </row>
    <row r="2769" spans="2:2" x14ac:dyDescent="0.2">
      <c r="B2769" s="1">
        <v>244926</v>
      </c>
    </row>
    <row r="2770" spans="2:2" x14ac:dyDescent="0.2">
      <c r="B2770" s="1">
        <v>244927</v>
      </c>
    </row>
    <row r="2771" spans="2:2" x14ac:dyDescent="0.2">
      <c r="B2771" s="1">
        <v>244928</v>
      </c>
    </row>
    <row r="2772" spans="2:2" x14ac:dyDescent="0.2">
      <c r="B2772" s="1">
        <v>244929</v>
      </c>
    </row>
    <row r="2773" spans="2:2" x14ac:dyDescent="0.2">
      <c r="B2773" s="1">
        <v>244930</v>
      </c>
    </row>
    <row r="2774" spans="2:2" x14ac:dyDescent="0.2">
      <c r="B2774" s="1">
        <v>244931</v>
      </c>
    </row>
    <row r="2775" spans="2:2" x14ac:dyDescent="0.2">
      <c r="B2775" s="1">
        <v>244932</v>
      </c>
    </row>
    <row r="2776" spans="2:2" x14ac:dyDescent="0.2">
      <c r="B2776" s="1">
        <v>244933</v>
      </c>
    </row>
    <row r="2777" spans="2:2" x14ac:dyDescent="0.2">
      <c r="B2777" s="1">
        <v>244934</v>
      </c>
    </row>
    <row r="2778" spans="2:2" x14ac:dyDescent="0.2">
      <c r="B2778" s="1">
        <v>244935</v>
      </c>
    </row>
    <row r="2779" spans="2:2" x14ac:dyDescent="0.2">
      <c r="B2779" s="1">
        <v>244936</v>
      </c>
    </row>
    <row r="2780" spans="2:2" x14ac:dyDescent="0.2">
      <c r="B2780" s="1">
        <v>244937</v>
      </c>
    </row>
    <row r="2781" spans="2:2" x14ac:dyDescent="0.2">
      <c r="B2781" s="1">
        <v>244938</v>
      </c>
    </row>
    <row r="2782" spans="2:2" x14ac:dyDescent="0.2">
      <c r="B2782" s="1">
        <v>244939</v>
      </c>
    </row>
    <row r="2783" spans="2:2" x14ac:dyDescent="0.2">
      <c r="B2783" s="1">
        <v>244940</v>
      </c>
    </row>
    <row r="2784" spans="2:2" x14ac:dyDescent="0.2">
      <c r="B2784" s="1">
        <v>244941</v>
      </c>
    </row>
    <row r="2785" spans="2:2" x14ac:dyDescent="0.2">
      <c r="B2785" s="1">
        <v>244942</v>
      </c>
    </row>
    <row r="2786" spans="2:2" x14ac:dyDescent="0.2">
      <c r="B2786" s="1">
        <v>244943</v>
      </c>
    </row>
    <row r="2787" spans="2:2" x14ac:dyDescent="0.2">
      <c r="B2787" s="1">
        <v>244944</v>
      </c>
    </row>
    <row r="2788" spans="2:2" x14ac:dyDescent="0.2">
      <c r="B2788" s="1">
        <v>244945</v>
      </c>
    </row>
    <row r="2789" spans="2:2" x14ac:dyDescent="0.2">
      <c r="B2789" s="1">
        <v>244946</v>
      </c>
    </row>
    <row r="2790" spans="2:2" x14ac:dyDescent="0.2">
      <c r="B2790" s="1">
        <v>244947</v>
      </c>
    </row>
    <row r="2791" spans="2:2" x14ac:dyDescent="0.2">
      <c r="B2791" s="1">
        <v>244948</v>
      </c>
    </row>
    <row r="2792" spans="2:2" x14ac:dyDescent="0.2">
      <c r="B2792" s="1">
        <v>244949</v>
      </c>
    </row>
    <row r="2793" spans="2:2" x14ac:dyDescent="0.2">
      <c r="B2793" s="1">
        <v>244950</v>
      </c>
    </row>
    <row r="2794" spans="2:2" x14ac:dyDescent="0.2">
      <c r="B2794" s="1">
        <v>244951</v>
      </c>
    </row>
    <row r="2795" spans="2:2" x14ac:dyDescent="0.2">
      <c r="B2795" s="1">
        <v>244952</v>
      </c>
    </row>
    <row r="2796" spans="2:2" x14ac:dyDescent="0.2">
      <c r="B2796" s="1">
        <v>244953</v>
      </c>
    </row>
    <row r="2797" spans="2:2" x14ac:dyDescent="0.2">
      <c r="B2797" s="1">
        <v>244954</v>
      </c>
    </row>
    <row r="2798" spans="2:2" x14ac:dyDescent="0.2">
      <c r="B2798" s="1">
        <v>244955</v>
      </c>
    </row>
    <row r="2799" spans="2:2" x14ac:dyDescent="0.2">
      <c r="B2799" s="1">
        <v>244956</v>
      </c>
    </row>
    <row r="2800" spans="2:2" x14ac:dyDescent="0.2">
      <c r="B2800" s="1">
        <v>244957</v>
      </c>
    </row>
    <row r="2801" spans="2:2" x14ac:dyDescent="0.2">
      <c r="B2801" s="1">
        <v>244958</v>
      </c>
    </row>
    <row r="2802" spans="2:2" x14ac:dyDescent="0.2">
      <c r="B2802" s="1">
        <v>244959</v>
      </c>
    </row>
    <row r="2803" spans="2:2" x14ac:dyDescent="0.2">
      <c r="B2803" s="1">
        <v>244960</v>
      </c>
    </row>
    <row r="2804" spans="2:2" x14ac:dyDescent="0.2">
      <c r="B2804" s="1">
        <v>244961</v>
      </c>
    </row>
    <row r="2805" spans="2:2" x14ac:dyDescent="0.2">
      <c r="B2805" s="1">
        <v>244962</v>
      </c>
    </row>
    <row r="2806" spans="2:2" x14ac:dyDescent="0.2">
      <c r="B2806" s="1">
        <v>244963</v>
      </c>
    </row>
    <row r="2807" spans="2:2" x14ac:dyDescent="0.2">
      <c r="B2807" s="1">
        <v>244964</v>
      </c>
    </row>
    <row r="2808" spans="2:2" x14ac:dyDescent="0.2">
      <c r="B2808" s="1">
        <v>244965</v>
      </c>
    </row>
    <row r="2809" spans="2:2" x14ac:dyDescent="0.2">
      <c r="B2809" s="1">
        <v>244966</v>
      </c>
    </row>
    <row r="2810" spans="2:2" x14ac:dyDescent="0.2">
      <c r="B2810" s="1">
        <v>244967</v>
      </c>
    </row>
    <row r="2811" spans="2:2" x14ac:dyDescent="0.2">
      <c r="B2811" s="1">
        <v>244968</v>
      </c>
    </row>
    <row r="2812" spans="2:2" x14ac:dyDescent="0.2">
      <c r="B2812" s="1">
        <v>244969</v>
      </c>
    </row>
    <row r="2813" spans="2:2" x14ac:dyDescent="0.2">
      <c r="B2813" s="1">
        <v>244970</v>
      </c>
    </row>
    <row r="2814" spans="2:2" x14ac:dyDescent="0.2">
      <c r="B2814" s="1">
        <v>244971</v>
      </c>
    </row>
    <row r="2815" spans="2:2" x14ac:dyDescent="0.2">
      <c r="B2815" s="1">
        <v>244972</v>
      </c>
    </row>
    <row r="2816" spans="2:2" x14ac:dyDescent="0.2">
      <c r="B2816" s="1">
        <v>244973</v>
      </c>
    </row>
    <row r="2817" spans="2:2" x14ac:dyDescent="0.2">
      <c r="B2817" s="1">
        <v>244974</v>
      </c>
    </row>
    <row r="2818" spans="2:2" x14ac:dyDescent="0.2">
      <c r="B2818" s="1">
        <v>244975</v>
      </c>
    </row>
    <row r="2819" spans="2:2" x14ac:dyDescent="0.2">
      <c r="B2819" s="1">
        <v>244976</v>
      </c>
    </row>
    <row r="2820" spans="2:2" x14ac:dyDescent="0.2">
      <c r="B2820" s="1">
        <v>244977</v>
      </c>
    </row>
    <row r="2821" spans="2:2" x14ac:dyDescent="0.2">
      <c r="B2821" s="1">
        <v>244978</v>
      </c>
    </row>
    <row r="2822" spans="2:2" x14ac:dyDescent="0.2">
      <c r="B2822" s="1">
        <v>244979</v>
      </c>
    </row>
    <row r="2823" spans="2:2" x14ac:dyDescent="0.2">
      <c r="B2823" s="1">
        <v>244980</v>
      </c>
    </row>
    <row r="2824" spans="2:2" x14ac:dyDescent="0.2">
      <c r="B2824" s="1">
        <v>244981</v>
      </c>
    </row>
    <row r="2825" spans="2:2" x14ac:dyDescent="0.2">
      <c r="B2825" s="1">
        <v>244982</v>
      </c>
    </row>
    <row r="2826" spans="2:2" x14ac:dyDescent="0.2">
      <c r="B2826" s="1">
        <v>244983</v>
      </c>
    </row>
    <row r="2827" spans="2:2" x14ac:dyDescent="0.2">
      <c r="B2827" s="1">
        <v>244984</v>
      </c>
    </row>
    <row r="2828" spans="2:2" x14ac:dyDescent="0.2">
      <c r="B2828" s="1">
        <v>244985</v>
      </c>
    </row>
    <row r="2829" spans="2:2" x14ac:dyDescent="0.2">
      <c r="B2829" s="1">
        <v>244986</v>
      </c>
    </row>
    <row r="2830" spans="2:2" x14ac:dyDescent="0.2">
      <c r="B2830" s="1">
        <v>244987</v>
      </c>
    </row>
    <row r="2831" spans="2:2" x14ac:dyDescent="0.2">
      <c r="B2831" s="1">
        <v>244988</v>
      </c>
    </row>
    <row r="2832" spans="2:2" x14ac:dyDescent="0.2">
      <c r="B2832" s="1">
        <v>244989</v>
      </c>
    </row>
    <row r="2833" spans="2:2" x14ac:dyDescent="0.2">
      <c r="B2833" s="1">
        <v>244990</v>
      </c>
    </row>
    <row r="2834" spans="2:2" x14ac:dyDescent="0.2">
      <c r="B2834" s="1">
        <v>244991</v>
      </c>
    </row>
    <row r="2835" spans="2:2" x14ac:dyDescent="0.2">
      <c r="B2835" s="1">
        <v>244992</v>
      </c>
    </row>
    <row r="2836" spans="2:2" x14ac:dyDescent="0.2">
      <c r="B2836" s="1">
        <v>244993</v>
      </c>
    </row>
    <row r="2837" spans="2:2" x14ac:dyDescent="0.2">
      <c r="B2837" s="1">
        <v>244994</v>
      </c>
    </row>
    <row r="2838" spans="2:2" x14ac:dyDescent="0.2">
      <c r="B2838" s="1">
        <v>244995</v>
      </c>
    </row>
    <row r="2839" spans="2:2" x14ac:dyDescent="0.2">
      <c r="B2839" s="1">
        <v>244996</v>
      </c>
    </row>
    <row r="2840" spans="2:2" x14ac:dyDescent="0.2">
      <c r="B2840" s="1">
        <v>244997</v>
      </c>
    </row>
    <row r="2841" spans="2:2" x14ac:dyDescent="0.2">
      <c r="B2841" s="1">
        <v>244998</v>
      </c>
    </row>
    <row r="2842" spans="2:2" x14ac:dyDescent="0.2">
      <c r="B2842" s="1">
        <v>244999</v>
      </c>
    </row>
    <row r="2843" spans="2:2" x14ac:dyDescent="0.2">
      <c r="B2843" s="1">
        <v>245000</v>
      </c>
    </row>
    <row r="2844" spans="2:2" x14ac:dyDescent="0.2">
      <c r="B2844" s="1">
        <v>245001</v>
      </c>
    </row>
    <row r="2845" spans="2:2" x14ac:dyDescent="0.2">
      <c r="B2845" s="1">
        <v>245002</v>
      </c>
    </row>
    <row r="2846" spans="2:2" x14ac:dyDescent="0.2">
      <c r="B2846" s="1">
        <v>245003</v>
      </c>
    </row>
    <row r="2847" spans="2:2" x14ac:dyDescent="0.2">
      <c r="B2847" s="1">
        <v>245004</v>
      </c>
    </row>
    <row r="2848" spans="2:2" x14ac:dyDescent="0.2">
      <c r="B2848" s="1">
        <v>245005</v>
      </c>
    </row>
    <row r="2849" spans="2:2" x14ac:dyDescent="0.2">
      <c r="B2849" s="1">
        <v>245006</v>
      </c>
    </row>
    <row r="2850" spans="2:2" x14ac:dyDescent="0.2">
      <c r="B2850" s="1">
        <v>245007</v>
      </c>
    </row>
    <row r="2851" spans="2:2" x14ac:dyDescent="0.2">
      <c r="B2851" s="1">
        <v>245008</v>
      </c>
    </row>
    <row r="2852" spans="2:2" x14ac:dyDescent="0.2">
      <c r="B2852" s="1">
        <v>245009</v>
      </c>
    </row>
    <row r="2853" spans="2:2" x14ac:dyDescent="0.2">
      <c r="B2853" s="1">
        <v>245010</v>
      </c>
    </row>
    <row r="2854" spans="2:2" x14ac:dyDescent="0.2">
      <c r="B2854" s="1">
        <v>245011</v>
      </c>
    </row>
    <row r="2855" spans="2:2" x14ac:dyDescent="0.2">
      <c r="B2855" s="1">
        <v>245012</v>
      </c>
    </row>
    <row r="2856" spans="2:2" x14ac:dyDescent="0.2">
      <c r="B2856" s="1">
        <v>245013</v>
      </c>
    </row>
    <row r="2857" spans="2:2" x14ac:dyDescent="0.2">
      <c r="B2857" s="1">
        <v>245014</v>
      </c>
    </row>
    <row r="2858" spans="2:2" x14ac:dyDescent="0.2">
      <c r="B2858" s="1">
        <v>245015</v>
      </c>
    </row>
    <row r="2859" spans="2:2" x14ac:dyDescent="0.2">
      <c r="B2859" s="1">
        <v>245016</v>
      </c>
    </row>
    <row r="2860" spans="2:2" x14ac:dyDescent="0.2">
      <c r="B2860" s="1">
        <v>245017</v>
      </c>
    </row>
    <row r="2861" spans="2:2" x14ac:dyDescent="0.2">
      <c r="B2861" s="1">
        <v>245018</v>
      </c>
    </row>
    <row r="2862" spans="2:2" x14ac:dyDescent="0.2">
      <c r="B2862" s="1">
        <v>245019</v>
      </c>
    </row>
    <row r="2863" spans="2:2" x14ac:dyDescent="0.2">
      <c r="B2863" s="1">
        <v>245020</v>
      </c>
    </row>
    <row r="2864" spans="2:2" x14ac:dyDescent="0.2">
      <c r="B2864" s="1">
        <v>245021</v>
      </c>
    </row>
    <row r="2865" spans="2:2" x14ac:dyDescent="0.2">
      <c r="B2865" s="1">
        <v>245022</v>
      </c>
    </row>
    <row r="2866" spans="2:2" x14ac:dyDescent="0.2">
      <c r="B2866" s="1">
        <v>245023</v>
      </c>
    </row>
    <row r="2867" spans="2:2" x14ac:dyDescent="0.2">
      <c r="B2867" s="1">
        <v>245024</v>
      </c>
    </row>
    <row r="2868" spans="2:2" x14ac:dyDescent="0.2">
      <c r="B2868" s="1">
        <v>245025</v>
      </c>
    </row>
    <row r="2869" spans="2:2" x14ac:dyDescent="0.2">
      <c r="B2869" s="1">
        <v>245026</v>
      </c>
    </row>
    <row r="2870" spans="2:2" x14ac:dyDescent="0.2">
      <c r="B2870" s="1">
        <v>245027</v>
      </c>
    </row>
    <row r="2871" spans="2:2" x14ac:dyDescent="0.2">
      <c r="B2871" s="1">
        <v>245028</v>
      </c>
    </row>
    <row r="2872" spans="2:2" x14ac:dyDescent="0.2">
      <c r="B2872" s="1">
        <v>245029</v>
      </c>
    </row>
    <row r="2873" spans="2:2" x14ac:dyDescent="0.2">
      <c r="B2873" s="1">
        <v>245030</v>
      </c>
    </row>
    <row r="2874" spans="2:2" x14ac:dyDescent="0.2">
      <c r="B2874" s="1">
        <v>245031</v>
      </c>
    </row>
    <row r="2875" spans="2:2" x14ac:dyDescent="0.2">
      <c r="B2875" s="1">
        <v>245032</v>
      </c>
    </row>
    <row r="2876" spans="2:2" x14ac:dyDescent="0.2">
      <c r="B2876" s="1">
        <v>245033</v>
      </c>
    </row>
    <row r="2877" spans="2:2" x14ac:dyDescent="0.2">
      <c r="B2877" s="1">
        <v>245034</v>
      </c>
    </row>
    <row r="2878" spans="2:2" x14ac:dyDescent="0.2">
      <c r="B2878" s="1">
        <v>245035</v>
      </c>
    </row>
    <row r="2879" spans="2:2" x14ac:dyDescent="0.2">
      <c r="B2879" s="1">
        <v>245036</v>
      </c>
    </row>
    <row r="2880" spans="2:2" x14ac:dyDescent="0.2">
      <c r="B2880" s="1">
        <v>245037</v>
      </c>
    </row>
    <row r="2881" spans="2:2" x14ac:dyDescent="0.2">
      <c r="B2881" s="1">
        <v>245038</v>
      </c>
    </row>
    <row r="2882" spans="2:2" x14ac:dyDescent="0.2">
      <c r="B2882" s="1">
        <v>245039</v>
      </c>
    </row>
    <row r="2883" spans="2:2" x14ac:dyDescent="0.2">
      <c r="B2883" s="1">
        <v>245040</v>
      </c>
    </row>
    <row r="2884" spans="2:2" x14ac:dyDescent="0.2">
      <c r="B2884" s="1">
        <v>245041</v>
      </c>
    </row>
    <row r="2885" spans="2:2" x14ac:dyDescent="0.2">
      <c r="B2885" s="1">
        <v>245042</v>
      </c>
    </row>
    <row r="2886" spans="2:2" x14ac:dyDescent="0.2">
      <c r="B2886" s="1">
        <v>245043</v>
      </c>
    </row>
    <row r="2887" spans="2:2" x14ac:dyDescent="0.2">
      <c r="B2887" s="1">
        <v>245044</v>
      </c>
    </row>
    <row r="2888" spans="2:2" x14ac:dyDescent="0.2">
      <c r="B2888" s="1">
        <v>245045</v>
      </c>
    </row>
    <row r="2889" spans="2:2" x14ac:dyDescent="0.2">
      <c r="B2889" s="1">
        <v>245046</v>
      </c>
    </row>
    <row r="2890" spans="2:2" x14ac:dyDescent="0.2">
      <c r="B2890" s="1">
        <v>245047</v>
      </c>
    </row>
    <row r="2891" spans="2:2" x14ac:dyDescent="0.2">
      <c r="B2891" s="1">
        <v>245048</v>
      </c>
    </row>
    <row r="2892" spans="2:2" x14ac:dyDescent="0.2">
      <c r="B2892" s="1">
        <v>245049</v>
      </c>
    </row>
    <row r="2893" spans="2:2" x14ac:dyDescent="0.2">
      <c r="B2893" s="1">
        <v>245050</v>
      </c>
    </row>
    <row r="2894" spans="2:2" x14ac:dyDescent="0.2">
      <c r="B2894" s="1">
        <v>245051</v>
      </c>
    </row>
    <row r="2895" spans="2:2" x14ac:dyDescent="0.2">
      <c r="B2895" s="1">
        <v>245052</v>
      </c>
    </row>
    <row r="2896" spans="2:2" x14ac:dyDescent="0.2">
      <c r="B2896" s="1">
        <v>245053</v>
      </c>
    </row>
    <row r="2897" spans="2:2" x14ac:dyDescent="0.2">
      <c r="B2897" s="1">
        <v>245054</v>
      </c>
    </row>
    <row r="2898" spans="2:2" x14ac:dyDescent="0.2">
      <c r="B2898" s="1">
        <v>245055</v>
      </c>
    </row>
    <row r="2899" spans="2:2" x14ac:dyDescent="0.2">
      <c r="B2899" s="1">
        <v>245056</v>
      </c>
    </row>
    <row r="2900" spans="2:2" x14ac:dyDescent="0.2">
      <c r="B2900" s="1">
        <v>245057</v>
      </c>
    </row>
    <row r="2901" spans="2:2" x14ac:dyDescent="0.2">
      <c r="B2901" s="1">
        <v>245058</v>
      </c>
    </row>
    <row r="2902" spans="2:2" x14ac:dyDescent="0.2">
      <c r="B2902" s="1">
        <v>245059</v>
      </c>
    </row>
    <row r="2903" spans="2:2" x14ac:dyDescent="0.2">
      <c r="B2903" s="1">
        <v>245060</v>
      </c>
    </row>
    <row r="2904" spans="2:2" x14ac:dyDescent="0.2">
      <c r="B2904" s="1">
        <v>245061</v>
      </c>
    </row>
    <row r="2905" spans="2:2" x14ac:dyDescent="0.2">
      <c r="B2905" s="1">
        <v>245062</v>
      </c>
    </row>
    <row r="2906" spans="2:2" x14ac:dyDescent="0.2">
      <c r="B2906" s="1">
        <v>245063</v>
      </c>
    </row>
    <row r="2907" spans="2:2" x14ac:dyDescent="0.2">
      <c r="B2907" s="1">
        <v>245064</v>
      </c>
    </row>
    <row r="2908" spans="2:2" x14ac:dyDescent="0.2">
      <c r="B2908" s="1">
        <v>245065</v>
      </c>
    </row>
    <row r="2909" spans="2:2" x14ac:dyDescent="0.2">
      <c r="B2909" s="1">
        <v>245066</v>
      </c>
    </row>
    <row r="2910" spans="2:2" x14ac:dyDescent="0.2">
      <c r="B2910" s="1">
        <v>245067</v>
      </c>
    </row>
    <row r="2911" spans="2:2" x14ac:dyDescent="0.2">
      <c r="B2911" s="1">
        <v>245068</v>
      </c>
    </row>
    <row r="2912" spans="2:2" x14ac:dyDescent="0.2">
      <c r="B2912" s="1">
        <v>245069</v>
      </c>
    </row>
    <row r="2913" spans="2:2" x14ac:dyDescent="0.2">
      <c r="B2913" s="1">
        <v>245070</v>
      </c>
    </row>
    <row r="2914" spans="2:2" x14ac:dyDescent="0.2">
      <c r="B2914" s="1">
        <v>245071</v>
      </c>
    </row>
    <row r="2915" spans="2:2" x14ac:dyDescent="0.2">
      <c r="B2915" s="1">
        <v>245072</v>
      </c>
    </row>
    <row r="2916" spans="2:2" x14ac:dyDescent="0.2">
      <c r="B2916" s="1">
        <v>245073</v>
      </c>
    </row>
    <row r="2917" spans="2:2" x14ac:dyDescent="0.2">
      <c r="B2917" s="1">
        <v>245074</v>
      </c>
    </row>
    <row r="2918" spans="2:2" x14ac:dyDescent="0.2">
      <c r="B2918" s="1">
        <v>245075</v>
      </c>
    </row>
    <row r="2919" spans="2:2" x14ac:dyDescent="0.2">
      <c r="B2919" s="1">
        <v>245076</v>
      </c>
    </row>
    <row r="2920" spans="2:2" x14ac:dyDescent="0.2">
      <c r="B2920" s="1">
        <v>245077</v>
      </c>
    </row>
    <row r="2921" spans="2:2" x14ac:dyDescent="0.2">
      <c r="B2921" s="1">
        <v>245078</v>
      </c>
    </row>
    <row r="2922" spans="2:2" x14ac:dyDescent="0.2">
      <c r="B2922" s="1">
        <v>245079</v>
      </c>
    </row>
    <row r="2923" spans="2:2" x14ac:dyDescent="0.2">
      <c r="B2923" s="1">
        <v>245080</v>
      </c>
    </row>
    <row r="2924" spans="2:2" x14ac:dyDescent="0.2">
      <c r="B2924" s="1">
        <v>245081</v>
      </c>
    </row>
    <row r="2925" spans="2:2" x14ac:dyDescent="0.2">
      <c r="B2925" s="1">
        <v>245082</v>
      </c>
    </row>
    <row r="2926" spans="2:2" x14ac:dyDescent="0.2">
      <c r="B2926" s="1">
        <v>245083</v>
      </c>
    </row>
    <row r="2927" spans="2:2" x14ac:dyDescent="0.2">
      <c r="B2927" s="1">
        <v>245084</v>
      </c>
    </row>
    <row r="2928" spans="2:2" x14ac:dyDescent="0.2">
      <c r="B2928" s="1">
        <v>245085</v>
      </c>
    </row>
    <row r="2929" spans="2:2" x14ac:dyDescent="0.2">
      <c r="B2929" s="1">
        <v>245086</v>
      </c>
    </row>
    <row r="2930" spans="2:2" x14ac:dyDescent="0.2">
      <c r="B2930" s="1">
        <v>245087</v>
      </c>
    </row>
    <row r="2931" spans="2:2" x14ac:dyDescent="0.2">
      <c r="B2931" s="1">
        <v>245088</v>
      </c>
    </row>
    <row r="2932" spans="2:2" x14ac:dyDescent="0.2">
      <c r="B2932" s="1">
        <v>245089</v>
      </c>
    </row>
    <row r="2933" spans="2:2" x14ac:dyDescent="0.2">
      <c r="B2933" s="1">
        <v>245090</v>
      </c>
    </row>
    <row r="2934" spans="2:2" x14ac:dyDescent="0.2">
      <c r="B2934" s="1">
        <v>245091</v>
      </c>
    </row>
    <row r="2935" spans="2:2" x14ac:dyDescent="0.2">
      <c r="B2935" s="1">
        <v>245092</v>
      </c>
    </row>
    <row r="2936" spans="2:2" x14ac:dyDescent="0.2">
      <c r="B2936" s="1">
        <v>245093</v>
      </c>
    </row>
    <row r="2937" spans="2:2" x14ac:dyDescent="0.2">
      <c r="B2937" s="1">
        <v>245094</v>
      </c>
    </row>
    <row r="2938" spans="2:2" x14ac:dyDescent="0.2">
      <c r="B2938" s="1">
        <v>245095</v>
      </c>
    </row>
    <row r="2939" spans="2:2" x14ac:dyDescent="0.2">
      <c r="B2939" s="1">
        <v>245096</v>
      </c>
    </row>
    <row r="2940" spans="2:2" x14ac:dyDescent="0.2">
      <c r="B2940" s="1">
        <v>245097</v>
      </c>
    </row>
    <row r="2941" spans="2:2" x14ac:dyDescent="0.2">
      <c r="B2941" s="1">
        <v>245098</v>
      </c>
    </row>
    <row r="2942" spans="2:2" x14ac:dyDescent="0.2">
      <c r="B2942" s="1">
        <v>245099</v>
      </c>
    </row>
    <row r="2943" spans="2:2" x14ac:dyDescent="0.2">
      <c r="B2943" s="1">
        <v>245100</v>
      </c>
    </row>
    <row r="2944" spans="2:2" x14ac:dyDescent="0.2">
      <c r="B2944" s="1">
        <v>245101</v>
      </c>
    </row>
    <row r="2945" spans="2:2" x14ac:dyDescent="0.2">
      <c r="B2945" s="1">
        <v>245102</v>
      </c>
    </row>
    <row r="2946" spans="2:2" x14ac:dyDescent="0.2">
      <c r="B2946" s="1">
        <v>245103</v>
      </c>
    </row>
    <row r="2947" spans="2:2" x14ac:dyDescent="0.2">
      <c r="B2947" s="1">
        <v>245104</v>
      </c>
    </row>
    <row r="2948" spans="2:2" x14ac:dyDescent="0.2">
      <c r="B2948" s="1">
        <v>245105</v>
      </c>
    </row>
    <row r="2949" spans="2:2" x14ac:dyDescent="0.2">
      <c r="B2949" s="1">
        <v>245106</v>
      </c>
    </row>
    <row r="2950" spans="2:2" x14ac:dyDescent="0.2">
      <c r="B2950" s="1">
        <v>245107</v>
      </c>
    </row>
    <row r="2951" spans="2:2" x14ac:dyDescent="0.2">
      <c r="B2951" s="1">
        <v>245108</v>
      </c>
    </row>
    <row r="2952" spans="2:2" x14ac:dyDescent="0.2">
      <c r="B2952" s="1">
        <v>245109</v>
      </c>
    </row>
    <row r="2953" spans="2:2" x14ac:dyDescent="0.2">
      <c r="B2953" s="1">
        <v>245110</v>
      </c>
    </row>
    <row r="2954" spans="2:2" x14ac:dyDescent="0.2">
      <c r="B2954" s="1">
        <v>245111</v>
      </c>
    </row>
    <row r="2955" spans="2:2" x14ac:dyDescent="0.2">
      <c r="B2955" s="1">
        <v>245112</v>
      </c>
    </row>
    <row r="2956" spans="2:2" x14ac:dyDescent="0.2">
      <c r="B2956" s="1">
        <v>245113</v>
      </c>
    </row>
    <row r="2957" spans="2:2" x14ac:dyDescent="0.2">
      <c r="B2957" s="1">
        <v>245114</v>
      </c>
    </row>
    <row r="2958" spans="2:2" x14ac:dyDescent="0.2">
      <c r="B2958" s="1">
        <v>245115</v>
      </c>
    </row>
    <row r="2959" spans="2:2" x14ac:dyDescent="0.2">
      <c r="B2959" s="1">
        <v>245116</v>
      </c>
    </row>
    <row r="2960" spans="2:2" x14ac:dyDescent="0.2">
      <c r="B2960" s="1">
        <v>245117</v>
      </c>
    </row>
    <row r="2961" spans="2:2" x14ac:dyDescent="0.2">
      <c r="B2961" s="1">
        <v>245118</v>
      </c>
    </row>
    <row r="2962" spans="2:2" x14ac:dyDescent="0.2">
      <c r="B2962" s="1">
        <v>245119</v>
      </c>
    </row>
    <row r="2963" spans="2:2" x14ac:dyDescent="0.2">
      <c r="B2963" s="1">
        <v>245120</v>
      </c>
    </row>
    <row r="2964" spans="2:2" x14ac:dyDescent="0.2">
      <c r="B2964" s="1">
        <v>245121</v>
      </c>
    </row>
    <row r="2965" spans="2:2" x14ac:dyDescent="0.2">
      <c r="B2965" s="1">
        <v>245122</v>
      </c>
    </row>
    <row r="2966" spans="2:2" x14ac:dyDescent="0.2">
      <c r="B2966" s="1">
        <v>245123</v>
      </c>
    </row>
    <row r="2967" spans="2:2" x14ac:dyDescent="0.2">
      <c r="B2967" s="1">
        <v>245124</v>
      </c>
    </row>
    <row r="2968" spans="2:2" x14ac:dyDescent="0.2">
      <c r="B2968" s="1">
        <v>245125</v>
      </c>
    </row>
    <row r="2969" spans="2:2" x14ac:dyDescent="0.2">
      <c r="B2969" s="1">
        <v>245126</v>
      </c>
    </row>
    <row r="2970" spans="2:2" x14ac:dyDescent="0.2">
      <c r="B2970" s="1">
        <v>245127</v>
      </c>
    </row>
    <row r="2971" spans="2:2" x14ac:dyDescent="0.2">
      <c r="B2971" s="1">
        <v>245128</v>
      </c>
    </row>
    <row r="2972" spans="2:2" x14ac:dyDescent="0.2">
      <c r="B2972" s="1">
        <v>245129</v>
      </c>
    </row>
    <row r="2973" spans="2:2" x14ac:dyDescent="0.2">
      <c r="B2973" s="1">
        <v>245130</v>
      </c>
    </row>
    <row r="2974" spans="2:2" x14ac:dyDescent="0.2">
      <c r="B2974" s="1">
        <v>245131</v>
      </c>
    </row>
    <row r="2975" spans="2:2" x14ac:dyDescent="0.2">
      <c r="B2975" s="1">
        <v>245132</v>
      </c>
    </row>
    <row r="2976" spans="2:2" x14ac:dyDescent="0.2">
      <c r="B2976" s="1">
        <v>245133</v>
      </c>
    </row>
    <row r="2977" spans="2:2" x14ac:dyDescent="0.2">
      <c r="B2977" s="1">
        <v>245134</v>
      </c>
    </row>
    <row r="2978" spans="2:2" x14ac:dyDescent="0.2">
      <c r="B2978" s="1">
        <v>245135</v>
      </c>
    </row>
    <row r="2979" spans="2:2" x14ac:dyDescent="0.2">
      <c r="B2979" s="1">
        <v>245136</v>
      </c>
    </row>
    <row r="2980" spans="2:2" x14ac:dyDescent="0.2">
      <c r="B2980" s="1">
        <v>245137</v>
      </c>
    </row>
    <row r="2981" spans="2:2" x14ac:dyDescent="0.2">
      <c r="B2981" s="1">
        <v>245138</v>
      </c>
    </row>
    <row r="2982" spans="2:2" x14ac:dyDescent="0.2">
      <c r="B2982" s="1">
        <v>245139</v>
      </c>
    </row>
    <row r="2983" spans="2:2" x14ac:dyDescent="0.2">
      <c r="B2983" s="1">
        <v>245140</v>
      </c>
    </row>
    <row r="2984" spans="2:2" x14ac:dyDescent="0.2">
      <c r="B2984" s="1">
        <v>245141</v>
      </c>
    </row>
    <row r="2985" spans="2:2" x14ac:dyDescent="0.2">
      <c r="B2985" s="1">
        <v>245142</v>
      </c>
    </row>
    <row r="2986" spans="2:2" x14ac:dyDescent="0.2">
      <c r="B2986" s="1">
        <v>245143</v>
      </c>
    </row>
    <row r="2987" spans="2:2" x14ac:dyDescent="0.2">
      <c r="B2987" s="1">
        <v>245144</v>
      </c>
    </row>
    <row r="2988" spans="2:2" x14ac:dyDescent="0.2">
      <c r="B2988" s="1">
        <v>245145</v>
      </c>
    </row>
    <row r="2989" spans="2:2" x14ac:dyDescent="0.2">
      <c r="B2989" s="1">
        <v>245146</v>
      </c>
    </row>
    <row r="2990" spans="2:2" x14ac:dyDescent="0.2">
      <c r="B2990" s="1">
        <v>245147</v>
      </c>
    </row>
    <row r="2991" spans="2:2" x14ac:dyDescent="0.2">
      <c r="B2991" s="1">
        <v>245148</v>
      </c>
    </row>
    <row r="2992" spans="2:2" x14ac:dyDescent="0.2">
      <c r="B2992" s="1">
        <v>245149</v>
      </c>
    </row>
    <row r="2993" spans="2:2" x14ac:dyDescent="0.2">
      <c r="B2993" s="1">
        <v>245150</v>
      </c>
    </row>
    <row r="2994" spans="2:2" x14ac:dyDescent="0.2">
      <c r="B2994" s="1">
        <v>245151</v>
      </c>
    </row>
    <row r="2995" spans="2:2" x14ac:dyDescent="0.2">
      <c r="B2995" s="1">
        <v>245152</v>
      </c>
    </row>
    <row r="2996" spans="2:2" x14ac:dyDescent="0.2">
      <c r="B2996" s="1">
        <v>245153</v>
      </c>
    </row>
    <row r="2997" spans="2:2" x14ac:dyDescent="0.2">
      <c r="B2997" s="1">
        <v>245154</v>
      </c>
    </row>
    <row r="2998" spans="2:2" x14ac:dyDescent="0.2">
      <c r="B2998" s="1">
        <v>245155</v>
      </c>
    </row>
    <row r="2999" spans="2:2" x14ac:dyDescent="0.2">
      <c r="B2999" s="1">
        <v>245156</v>
      </c>
    </row>
    <row r="3000" spans="2:2" x14ac:dyDescent="0.2">
      <c r="B3000" s="1">
        <v>245157</v>
      </c>
    </row>
    <row r="3001" spans="2:2" x14ac:dyDescent="0.2">
      <c r="B3001" s="1">
        <v>245158</v>
      </c>
    </row>
    <row r="3002" spans="2:2" x14ac:dyDescent="0.2">
      <c r="B3002" s="1">
        <v>245159</v>
      </c>
    </row>
    <row r="3003" spans="2:2" x14ac:dyDescent="0.2">
      <c r="B3003" s="1">
        <v>245160</v>
      </c>
    </row>
    <row r="3004" spans="2:2" x14ac:dyDescent="0.2">
      <c r="B3004" s="1">
        <v>245161</v>
      </c>
    </row>
    <row r="3005" spans="2:2" x14ac:dyDescent="0.2">
      <c r="B3005" s="1">
        <v>245162</v>
      </c>
    </row>
    <row r="3006" spans="2:2" x14ac:dyDescent="0.2">
      <c r="B3006" s="1">
        <v>245163</v>
      </c>
    </row>
    <row r="3007" spans="2:2" x14ac:dyDescent="0.2">
      <c r="B3007" s="1">
        <v>245164</v>
      </c>
    </row>
    <row r="3008" spans="2:2" x14ac:dyDescent="0.2">
      <c r="B3008" s="1">
        <v>245165</v>
      </c>
    </row>
    <row r="3009" spans="2:2" x14ac:dyDescent="0.2">
      <c r="B3009" s="1">
        <v>245166</v>
      </c>
    </row>
    <row r="3010" spans="2:2" x14ac:dyDescent="0.2">
      <c r="B3010" s="1">
        <v>245167</v>
      </c>
    </row>
    <row r="3011" spans="2:2" x14ac:dyDescent="0.2">
      <c r="B3011" s="1">
        <v>245168</v>
      </c>
    </row>
    <row r="3012" spans="2:2" x14ac:dyDescent="0.2">
      <c r="B3012" s="1">
        <v>245169</v>
      </c>
    </row>
    <row r="3013" spans="2:2" x14ac:dyDescent="0.2">
      <c r="B3013" s="1">
        <v>245170</v>
      </c>
    </row>
    <row r="3014" spans="2:2" x14ac:dyDescent="0.2">
      <c r="B3014" s="1">
        <v>245171</v>
      </c>
    </row>
    <row r="3015" spans="2:2" x14ac:dyDescent="0.2">
      <c r="B3015" s="1">
        <v>245172</v>
      </c>
    </row>
    <row r="3016" spans="2:2" x14ac:dyDescent="0.2">
      <c r="B3016" s="1">
        <v>245173</v>
      </c>
    </row>
    <row r="3017" spans="2:2" x14ac:dyDescent="0.2">
      <c r="B3017" s="1">
        <v>245174</v>
      </c>
    </row>
    <row r="3018" spans="2:2" x14ac:dyDescent="0.2">
      <c r="B3018" s="1">
        <v>245175</v>
      </c>
    </row>
    <row r="3019" spans="2:2" x14ac:dyDescent="0.2">
      <c r="B3019" s="1">
        <v>245176</v>
      </c>
    </row>
    <row r="3020" spans="2:2" x14ac:dyDescent="0.2">
      <c r="B3020" s="1">
        <v>245177</v>
      </c>
    </row>
    <row r="3021" spans="2:2" x14ac:dyDescent="0.2">
      <c r="B3021" s="1">
        <v>245178</v>
      </c>
    </row>
    <row r="3022" spans="2:2" x14ac:dyDescent="0.2">
      <c r="B3022" s="1">
        <v>245179</v>
      </c>
    </row>
    <row r="3023" spans="2:2" x14ac:dyDescent="0.2">
      <c r="B3023" s="1">
        <v>245180</v>
      </c>
    </row>
    <row r="3024" spans="2:2" x14ac:dyDescent="0.2">
      <c r="B3024" s="1">
        <v>245181</v>
      </c>
    </row>
    <row r="3025" spans="2:2" x14ac:dyDescent="0.2">
      <c r="B3025" s="1">
        <v>245182</v>
      </c>
    </row>
    <row r="3026" spans="2:2" x14ac:dyDescent="0.2">
      <c r="B3026" s="1">
        <v>245183</v>
      </c>
    </row>
    <row r="3027" spans="2:2" x14ac:dyDescent="0.2">
      <c r="B3027" s="1">
        <v>245184</v>
      </c>
    </row>
    <row r="3028" spans="2:2" x14ac:dyDescent="0.2">
      <c r="B3028" s="1">
        <v>245185</v>
      </c>
    </row>
    <row r="3029" spans="2:2" x14ac:dyDescent="0.2">
      <c r="B3029" s="1">
        <v>245186</v>
      </c>
    </row>
    <row r="3030" spans="2:2" x14ac:dyDescent="0.2">
      <c r="B3030" s="1">
        <v>245187</v>
      </c>
    </row>
    <row r="3031" spans="2:2" x14ac:dyDescent="0.2">
      <c r="B3031" s="1">
        <v>245188</v>
      </c>
    </row>
    <row r="3032" spans="2:2" x14ac:dyDescent="0.2">
      <c r="B3032" s="1">
        <v>245189</v>
      </c>
    </row>
    <row r="3033" spans="2:2" x14ac:dyDescent="0.2">
      <c r="B3033" s="1">
        <v>245190</v>
      </c>
    </row>
    <row r="3034" spans="2:2" x14ac:dyDescent="0.2">
      <c r="B3034" s="1">
        <v>245191</v>
      </c>
    </row>
    <row r="3035" spans="2:2" x14ac:dyDescent="0.2">
      <c r="B3035" s="1">
        <v>245192</v>
      </c>
    </row>
    <row r="3036" spans="2:2" x14ac:dyDescent="0.2">
      <c r="B3036" s="1">
        <v>245193</v>
      </c>
    </row>
    <row r="3037" spans="2:2" x14ac:dyDescent="0.2">
      <c r="B3037" s="1">
        <v>245194</v>
      </c>
    </row>
    <row r="3038" spans="2:2" x14ac:dyDescent="0.2">
      <c r="B3038" s="1">
        <v>245195</v>
      </c>
    </row>
    <row r="3039" spans="2:2" x14ac:dyDescent="0.2">
      <c r="B3039" s="1">
        <v>245196</v>
      </c>
    </row>
    <row r="3040" spans="2:2" x14ac:dyDescent="0.2">
      <c r="B3040" s="1">
        <v>245197</v>
      </c>
    </row>
    <row r="3041" spans="2:2" x14ac:dyDescent="0.2">
      <c r="B3041" s="1">
        <v>245198</v>
      </c>
    </row>
    <row r="3042" spans="2:2" x14ac:dyDescent="0.2">
      <c r="B3042" s="1">
        <v>245199</v>
      </c>
    </row>
    <row r="3043" spans="2:2" x14ac:dyDescent="0.2">
      <c r="B3043" s="1">
        <v>245200</v>
      </c>
    </row>
    <row r="3044" spans="2:2" x14ac:dyDescent="0.2">
      <c r="B3044" s="1">
        <v>245201</v>
      </c>
    </row>
    <row r="3045" spans="2:2" x14ac:dyDescent="0.2">
      <c r="B3045" s="1">
        <v>245202</v>
      </c>
    </row>
    <row r="3046" spans="2:2" x14ac:dyDescent="0.2">
      <c r="B3046" s="1">
        <v>245203</v>
      </c>
    </row>
    <row r="3047" spans="2:2" x14ac:dyDescent="0.2">
      <c r="B3047" s="1">
        <v>245204</v>
      </c>
    </row>
    <row r="3048" spans="2:2" x14ac:dyDescent="0.2">
      <c r="B3048" s="1">
        <v>245205</v>
      </c>
    </row>
    <row r="3049" spans="2:2" x14ac:dyDescent="0.2">
      <c r="B3049" s="1">
        <v>245206</v>
      </c>
    </row>
    <row r="3050" spans="2:2" x14ac:dyDescent="0.2">
      <c r="B3050" s="1">
        <v>245207</v>
      </c>
    </row>
    <row r="3051" spans="2:2" x14ac:dyDescent="0.2">
      <c r="B3051" s="1">
        <v>245208</v>
      </c>
    </row>
    <row r="3052" spans="2:2" x14ac:dyDescent="0.2">
      <c r="B3052" s="1">
        <v>245209</v>
      </c>
    </row>
    <row r="3053" spans="2:2" x14ac:dyDescent="0.2">
      <c r="B3053" s="1">
        <v>245210</v>
      </c>
    </row>
    <row r="3054" spans="2:2" x14ac:dyDescent="0.2">
      <c r="B3054" s="1">
        <v>245211</v>
      </c>
    </row>
    <row r="3055" spans="2:2" x14ac:dyDescent="0.2">
      <c r="B3055" s="1">
        <v>245212</v>
      </c>
    </row>
    <row r="3056" spans="2:2" x14ac:dyDescent="0.2">
      <c r="B3056" s="1">
        <v>245213</v>
      </c>
    </row>
    <row r="3057" spans="2:2" x14ac:dyDescent="0.2">
      <c r="B3057" s="1">
        <v>245214</v>
      </c>
    </row>
    <row r="3058" spans="2:2" x14ac:dyDescent="0.2">
      <c r="B3058" s="1">
        <v>245215</v>
      </c>
    </row>
    <row r="3059" spans="2:2" x14ac:dyDescent="0.2">
      <c r="B3059" s="1">
        <v>245216</v>
      </c>
    </row>
    <row r="3060" spans="2:2" x14ac:dyDescent="0.2">
      <c r="B3060" s="1">
        <v>245217</v>
      </c>
    </row>
    <row r="3061" spans="2:2" x14ac:dyDescent="0.2">
      <c r="B3061" s="1">
        <v>245218</v>
      </c>
    </row>
    <row r="3062" spans="2:2" x14ac:dyDescent="0.2">
      <c r="B3062" s="1">
        <v>245219</v>
      </c>
    </row>
    <row r="3063" spans="2:2" x14ac:dyDescent="0.2">
      <c r="B3063" s="1">
        <v>245220</v>
      </c>
    </row>
    <row r="3064" spans="2:2" x14ac:dyDescent="0.2">
      <c r="B3064" s="1">
        <v>245221</v>
      </c>
    </row>
    <row r="3065" spans="2:2" x14ac:dyDescent="0.2">
      <c r="B3065" s="1">
        <v>245222</v>
      </c>
    </row>
    <row r="3066" spans="2:2" x14ac:dyDescent="0.2">
      <c r="B3066" s="1">
        <v>245223</v>
      </c>
    </row>
    <row r="3067" spans="2:2" x14ac:dyDescent="0.2">
      <c r="B3067" s="1">
        <v>245224</v>
      </c>
    </row>
    <row r="3068" spans="2:2" x14ac:dyDescent="0.2">
      <c r="B3068" s="1">
        <v>245225</v>
      </c>
    </row>
    <row r="3069" spans="2:2" x14ac:dyDescent="0.2">
      <c r="B3069" s="1">
        <v>245226</v>
      </c>
    </row>
    <row r="3070" spans="2:2" x14ac:dyDescent="0.2">
      <c r="B3070" s="1">
        <v>245227</v>
      </c>
    </row>
    <row r="3071" spans="2:2" x14ac:dyDescent="0.2">
      <c r="B3071" s="1">
        <v>245228</v>
      </c>
    </row>
    <row r="3072" spans="2:2" x14ac:dyDescent="0.2">
      <c r="B3072" s="1">
        <v>245229</v>
      </c>
    </row>
    <row r="3073" spans="2:2" x14ac:dyDescent="0.2">
      <c r="B3073" s="1">
        <v>245230</v>
      </c>
    </row>
    <row r="3074" spans="2:2" x14ac:dyDescent="0.2">
      <c r="B3074" s="1">
        <v>245231</v>
      </c>
    </row>
    <row r="3075" spans="2:2" x14ac:dyDescent="0.2">
      <c r="B3075" s="1">
        <v>245232</v>
      </c>
    </row>
    <row r="3076" spans="2:2" x14ac:dyDescent="0.2">
      <c r="B3076" s="1">
        <v>245233</v>
      </c>
    </row>
    <row r="3077" spans="2:2" x14ac:dyDescent="0.2">
      <c r="B3077" s="1">
        <v>245234</v>
      </c>
    </row>
    <row r="3078" spans="2:2" x14ac:dyDescent="0.2">
      <c r="B3078" s="1">
        <v>245235</v>
      </c>
    </row>
    <row r="3079" spans="2:2" x14ac:dyDescent="0.2">
      <c r="B3079" s="1">
        <v>245236</v>
      </c>
    </row>
    <row r="3080" spans="2:2" x14ac:dyDescent="0.2">
      <c r="B3080" s="1">
        <v>245237</v>
      </c>
    </row>
    <row r="3081" spans="2:2" x14ac:dyDescent="0.2">
      <c r="B3081" s="1">
        <v>245238</v>
      </c>
    </row>
    <row r="3082" spans="2:2" x14ac:dyDescent="0.2">
      <c r="B3082" s="1">
        <v>245239</v>
      </c>
    </row>
    <row r="3083" spans="2:2" x14ac:dyDescent="0.2">
      <c r="B3083" s="1">
        <v>245240</v>
      </c>
    </row>
    <row r="3084" spans="2:2" x14ac:dyDescent="0.2">
      <c r="B3084" s="1">
        <v>245241</v>
      </c>
    </row>
    <row r="3085" spans="2:2" x14ac:dyDescent="0.2">
      <c r="B3085" s="1">
        <v>245242</v>
      </c>
    </row>
    <row r="3086" spans="2:2" x14ac:dyDescent="0.2">
      <c r="B3086" s="1">
        <v>245243</v>
      </c>
    </row>
    <row r="3087" spans="2:2" x14ac:dyDescent="0.2">
      <c r="B3087" s="1">
        <v>245244</v>
      </c>
    </row>
    <row r="3088" spans="2:2" x14ac:dyDescent="0.2">
      <c r="B3088" s="1">
        <v>245245</v>
      </c>
    </row>
    <row r="3089" spans="2:2" x14ac:dyDescent="0.2">
      <c r="B3089" s="1">
        <v>245246</v>
      </c>
    </row>
    <row r="3090" spans="2:2" x14ac:dyDescent="0.2">
      <c r="B3090" s="1">
        <v>245247</v>
      </c>
    </row>
    <row r="3091" spans="2:2" x14ac:dyDescent="0.2">
      <c r="B3091" s="1">
        <v>245248</v>
      </c>
    </row>
    <row r="3092" spans="2:2" x14ac:dyDescent="0.2">
      <c r="B3092" s="1">
        <v>245249</v>
      </c>
    </row>
    <row r="3093" spans="2:2" x14ac:dyDescent="0.2">
      <c r="B3093" s="1">
        <v>245250</v>
      </c>
    </row>
    <row r="3094" spans="2:2" x14ac:dyDescent="0.2">
      <c r="B3094" s="1">
        <v>245251</v>
      </c>
    </row>
    <row r="3095" spans="2:2" x14ac:dyDescent="0.2">
      <c r="B3095" s="1">
        <v>245252</v>
      </c>
    </row>
    <row r="3096" spans="2:2" x14ac:dyDescent="0.2">
      <c r="B3096" s="1">
        <v>245253</v>
      </c>
    </row>
    <row r="3097" spans="2:2" x14ac:dyDescent="0.2">
      <c r="B3097" s="1">
        <v>245254</v>
      </c>
    </row>
    <row r="3098" spans="2:2" x14ac:dyDescent="0.2">
      <c r="B3098" s="1">
        <v>245255</v>
      </c>
    </row>
    <row r="3099" spans="2:2" x14ac:dyDescent="0.2">
      <c r="B3099" s="1">
        <v>245256</v>
      </c>
    </row>
    <row r="3100" spans="2:2" x14ac:dyDescent="0.2">
      <c r="B3100" s="1">
        <v>245257</v>
      </c>
    </row>
    <row r="3101" spans="2:2" x14ac:dyDescent="0.2">
      <c r="B3101" s="1">
        <v>245258</v>
      </c>
    </row>
    <row r="3102" spans="2:2" x14ac:dyDescent="0.2">
      <c r="B3102" s="1">
        <v>245259</v>
      </c>
    </row>
    <row r="3103" spans="2:2" x14ac:dyDescent="0.2">
      <c r="B3103" s="1">
        <v>245260</v>
      </c>
    </row>
    <row r="3104" spans="2:2" x14ac:dyDescent="0.2">
      <c r="B3104" s="1">
        <v>245261</v>
      </c>
    </row>
    <row r="3105" spans="2:2" x14ac:dyDescent="0.2">
      <c r="B3105" s="1">
        <v>245262</v>
      </c>
    </row>
    <row r="3106" spans="2:2" x14ac:dyDescent="0.2">
      <c r="B3106" s="1">
        <v>245263</v>
      </c>
    </row>
    <row r="3107" spans="2:2" x14ac:dyDescent="0.2">
      <c r="B3107" s="1">
        <v>245264</v>
      </c>
    </row>
    <row r="3108" spans="2:2" x14ac:dyDescent="0.2">
      <c r="B3108" s="1">
        <v>245265</v>
      </c>
    </row>
    <row r="3109" spans="2:2" x14ac:dyDescent="0.2">
      <c r="B3109" s="1">
        <v>245266</v>
      </c>
    </row>
    <row r="3110" spans="2:2" x14ac:dyDescent="0.2">
      <c r="B3110" s="1">
        <v>245267</v>
      </c>
    </row>
    <row r="3111" spans="2:2" x14ac:dyDescent="0.2">
      <c r="B3111" s="1">
        <v>245268</v>
      </c>
    </row>
    <row r="3112" spans="2:2" x14ac:dyDescent="0.2">
      <c r="B3112" s="1">
        <v>245269</v>
      </c>
    </row>
    <row r="3113" spans="2:2" x14ac:dyDescent="0.2">
      <c r="B3113" s="1">
        <v>245270</v>
      </c>
    </row>
    <row r="3114" spans="2:2" x14ac:dyDescent="0.2">
      <c r="B3114" s="1">
        <v>245271</v>
      </c>
    </row>
    <row r="3115" spans="2:2" x14ac:dyDescent="0.2">
      <c r="B3115" s="1">
        <v>245272</v>
      </c>
    </row>
    <row r="3116" spans="2:2" x14ac:dyDescent="0.2">
      <c r="B3116" s="1">
        <v>245273</v>
      </c>
    </row>
    <row r="3117" spans="2:2" x14ac:dyDescent="0.2">
      <c r="B3117" s="1">
        <v>245274</v>
      </c>
    </row>
    <row r="3118" spans="2:2" x14ac:dyDescent="0.2">
      <c r="B3118" s="1">
        <v>245275</v>
      </c>
    </row>
    <row r="3119" spans="2:2" x14ac:dyDescent="0.2">
      <c r="B3119" s="1">
        <v>245276</v>
      </c>
    </row>
    <row r="3120" spans="2:2" x14ac:dyDescent="0.2">
      <c r="B3120" s="1">
        <v>245277</v>
      </c>
    </row>
    <row r="3121" spans="2:2" x14ac:dyDescent="0.2">
      <c r="B3121" s="1">
        <v>245278</v>
      </c>
    </row>
    <row r="3122" spans="2:2" x14ac:dyDescent="0.2">
      <c r="B3122" s="1">
        <v>245279</v>
      </c>
    </row>
    <row r="3123" spans="2:2" x14ac:dyDescent="0.2">
      <c r="B3123" s="1">
        <v>245280</v>
      </c>
    </row>
    <row r="3124" spans="2:2" x14ac:dyDescent="0.2">
      <c r="B3124" s="1">
        <v>245281</v>
      </c>
    </row>
    <row r="3125" spans="2:2" x14ac:dyDescent="0.2">
      <c r="B3125" s="1">
        <v>245282</v>
      </c>
    </row>
    <row r="3126" spans="2:2" x14ac:dyDescent="0.2">
      <c r="B3126" s="1">
        <v>245283</v>
      </c>
    </row>
    <row r="3127" spans="2:2" x14ac:dyDescent="0.2">
      <c r="B3127" s="1">
        <v>245284</v>
      </c>
    </row>
    <row r="3128" spans="2:2" x14ac:dyDescent="0.2">
      <c r="B3128" s="1">
        <v>245285</v>
      </c>
    </row>
    <row r="3129" spans="2:2" x14ac:dyDescent="0.2">
      <c r="B3129" s="1">
        <v>245286</v>
      </c>
    </row>
    <row r="3130" spans="2:2" x14ac:dyDescent="0.2">
      <c r="B3130" s="1">
        <v>245287</v>
      </c>
    </row>
    <row r="3131" spans="2:2" x14ac:dyDescent="0.2">
      <c r="B3131" s="1">
        <v>245288</v>
      </c>
    </row>
    <row r="3132" spans="2:2" x14ac:dyDescent="0.2">
      <c r="B3132" s="1">
        <v>245289</v>
      </c>
    </row>
    <row r="3133" spans="2:2" x14ac:dyDescent="0.2">
      <c r="B3133" s="1">
        <v>245290</v>
      </c>
    </row>
    <row r="3134" spans="2:2" x14ac:dyDescent="0.2">
      <c r="B3134" s="1">
        <v>245291</v>
      </c>
    </row>
    <row r="3135" spans="2:2" x14ac:dyDescent="0.2">
      <c r="B3135" s="1">
        <v>245292</v>
      </c>
    </row>
    <row r="3136" spans="2:2" x14ac:dyDescent="0.2">
      <c r="B3136" s="1">
        <v>245293</v>
      </c>
    </row>
    <row r="3137" spans="2:2" x14ac:dyDescent="0.2">
      <c r="B3137" s="1">
        <v>245294</v>
      </c>
    </row>
    <row r="3138" spans="2:2" x14ac:dyDescent="0.2">
      <c r="B3138" s="1">
        <v>245295</v>
      </c>
    </row>
    <row r="3139" spans="2:2" x14ac:dyDescent="0.2">
      <c r="B3139" s="1">
        <v>245296</v>
      </c>
    </row>
    <row r="3140" spans="2:2" x14ac:dyDescent="0.2">
      <c r="B3140" s="1">
        <v>245297</v>
      </c>
    </row>
    <row r="3141" spans="2:2" x14ac:dyDescent="0.2">
      <c r="B3141" s="1">
        <v>245298</v>
      </c>
    </row>
    <row r="3142" spans="2:2" x14ac:dyDescent="0.2">
      <c r="B3142" s="1">
        <v>245299</v>
      </c>
    </row>
    <row r="3143" spans="2:2" x14ac:dyDescent="0.2">
      <c r="B3143" s="1">
        <v>245300</v>
      </c>
    </row>
    <row r="3144" spans="2:2" x14ac:dyDescent="0.2">
      <c r="B3144" s="1">
        <v>245301</v>
      </c>
    </row>
    <row r="3145" spans="2:2" x14ac:dyDescent="0.2">
      <c r="B3145" s="1">
        <v>245302</v>
      </c>
    </row>
    <row r="3146" spans="2:2" x14ac:dyDescent="0.2">
      <c r="B3146" s="1">
        <v>245303</v>
      </c>
    </row>
    <row r="3147" spans="2:2" x14ac:dyDescent="0.2">
      <c r="B3147" s="1">
        <v>245304</v>
      </c>
    </row>
    <row r="3148" spans="2:2" x14ac:dyDescent="0.2">
      <c r="B3148" s="1">
        <v>245305</v>
      </c>
    </row>
    <row r="3149" spans="2:2" x14ac:dyDescent="0.2">
      <c r="B3149" s="1">
        <v>245306</v>
      </c>
    </row>
    <row r="3150" spans="2:2" x14ac:dyDescent="0.2">
      <c r="B3150" s="1">
        <v>245307</v>
      </c>
    </row>
    <row r="3151" spans="2:2" x14ac:dyDescent="0.2">
      <c r="B3151" s="1">
        <v>245308</v>
      </c>
    </row>
    <row r="3152" spans="2:2" x14ac:dyDescent="0.2">
      <c r="B3152" s="1">
        <v>245309</v>
      </c>
    </row>
    <row r="3153" spans="2:2" x14ac:dyDescent="0.2">
      <c r="B3153" s="1">
        <v>245310</v>
      </c>
    </row>
    <row r="3154" spans="2:2" x14ac:dyDescent="0.2">
      <c r="B3154" s="1">
        <v>245311</v>
      </c>
    </row>
    <row r="3155" spans="2:2" x14ac:dyDescent="0.2">
      <c r="B3155" s="1">
        <v>245312</v>
      </c>
    </row>
    <row r="3156" spans="2:2" x14ac:dyDescent="0.2">
      <c r="B3156" s="1">
        <v>245313</v>
      </c>
    </row>
    <row r="3157" spans="2:2" x14ac:dyDescent="0.2">
      <c r="B3157" s="1">
        <v>245314</v>
      </c>
    </row>
    <row r="3158" spans="2:2" x14ac:dyDescent="0.2">
      <c r="B3158" s="1">
        <v>245315</v>
      </c>
    </row>
    <row r="3159" spans="2:2" x14ac:dyDescent="0.2">
      <c r="B3159" s="1">
        <v>245316</v>
      </c>
    </row>
    <row r="3160" spans="2:2" x14ac:dyDescent="0.2">
      <c r="B3160" s="1">
        <v>245317</v>
      </c>
    </row>
    <row r="3161" spans="2:2" x14ac:dyDescent="0.2">
      <c r="B3161" s="1">
        <v>245318</v>
      </c>
    </row>
    <row r="3162" spans="2:2" x14ac:dyDescent="0.2">
      <c r="B3162" s="1">
        <v>245319</v>
      </c>
    </row>
    <row r="3163" spans="2:2" x14ac:dyDescent="0.2">
      <c r="B3163" s="1">
        <v>245320</v>
      </c>
    </row>
    <row r="3164" spans="2:2" x14ac:dyDescent="0.2">
      <c r="B3164" s="1">
        <v>245321</v>
      </c>
    </row>
    <row r="3165" spans="2:2" x14ac:dyDescent="0.2">
      <c r="B3165" s="1">
        <v>245322</v>
      </c>
    </row>
    <row r="3166" spans="2:2" x14ac:dyDescent="0.2">
      <c r="B3166" s="1">
        <v>245323</v>
      </c>
    </row>
    <row r="3167" spans="2:2" x14ac:dyDescent="0.2">
      <c r="B3167" s="1">
        <v>245324</v>
      </c>
    </row>
    <row r="3168" spans="2:2" x14ac:dyDescent="0.2">
      <c r="B3168" s="1">
        <v>245325</v>
      </c>
    </row>
    <row r="3169" spans="2:2" x14ac:dyDescent="0.2">
      <c r="B3169" s="1">
        <v>245326</v>
      </c>
    </row>
    <row r="3170" spans="2:2" x14ac:dyDescent="0.2">
      <c r="B3170" s="1">
        <v>245327</v>
      </c>
    </row>
    <row r="3171" spans="2:2" x14ac:dyDescent="0.2">
      <c r="B3171" s="1">
        <v>245328</v>
      </c>
    </row>
    <row r="3172" spans="2:2" x14ac:dyDescent="0.2">
      <c r="B3172" s="1">
        <v>245329</v>
      </c>
    </row>
    <row r="3173" spans="2:2" x14ac:dyDescent="0.2">
      <c r="B3173" s="1">
        <v>245330</v>
      </c>
    </row>
    <row r="3174" spans="2:2" x14ac:dyDescent="0.2">
      <c r="B3174" s="1">
        <v>245331</v>
      </c>
    </row>
    <row r="3175" spans="2:2" x14ac:dyDescent="0.2">
      <c r="B3175" s="1">
        <v>245332</v>
      </c>
    </row>
    <row r="3176" spans="2:2" x14ac:dyDescent="0.2">
      <c r="B3176" s="1">
        <v>245333</v>
      </c>
    </row>
    <row r="3177" spans="2:2" x14ac:dyDescent="0.2">
      <c r="B3177" s="1">
        <v>245334</v>
      </c>
    </row>
    <row r="3178" spans="2:2" x14ac:dyDescent="0.2">
      <c r="B3178" s="1">
        <v>245335</v>
      </c>
    </row>
    <row r="3179" spans="2:2" x14ac:dyDescent="0.2">
      <c r="B3179" s="1">
        <v>245336</v>
      </c>
    </row>
    <row r="3180" spans="2:2" x14ac:dyDescent="0.2">
      <c r="B3180" s="1">
        <v>245337</v>
      </c>
    </row>
    <row r="3181" spans="2:2" x14ac:dyDescent="0.2">
      <c r="B3181" s="1">
        <v>245338</v>
      </c>
    </row>
    <row r="3182" spans="2:2" x14ac:dyDescent="0.2">
      <c r="B3182" s="1">
        <v>245339</v>
      </c>
    </row>
    <row r="3183" spans="2:2" x14ac:dyDescent="0.2">
      <c r="B3183" s="1">
        <v>245340</v>
      </c>
    </row>
    <row r="3184" spans="2:2" x14ac:dyDescent="0.2">
      <c r="B3184" s="1">
        <v>245341</v>
      </c>
    </row>
    <row r="3185" spans="2:2" x14ac:dyDescent="0.2">
      <c r="B3185" s="1">
        <v>245342</v>
      </c>
    </row>
    <row r="3186" spans="2:2" x14ac:dyDescent="0.2">
      <c r="B3186" s="1">
        <v>245343</v>
      </c>
    </row>
    <row r="3187" spans="2:2" x14ac:dyDescent="0.2">
      <c r="B3187" s="1">
        <v>245344</v>
      </c>
    </row>
    <row r="3188" spans="2:2" x14ac:dyDescent="0.2">
      <c r="B3188" s="1">
        <v>245345</v>
      </c>
    </row>
    <row r="3189" spans="2:2" x14ac:dyDescent="0.2">
      <c r="B3189" s="1">
        <v>245346</v>
      </c>
    </row>
    <row r="3190" spans="2:2" x14ac:dyDescent="0.2">
      <c r="B3190" s="1">
        <v>245347</v>
      </c>
    </row>
    <row r="3191" spans="2:2" x14ac:dyDescent="0.2">
      <c r="B3191" s="1">
        <v>245348</v>
      </c>
    </row>
    <row r="3192" spans="2:2" x14ac:dyDescent="0.2">
      <c r="B3192" s="1">
        <v>245349</v>
      </c>
    </row>
    <row r="3193" spans="2:2" x14ac:dyDescent="0.2">
      <c r="B3193" s="1">
        <v>245350</v>
      </c>
    </row>
    <row r="3194" spans="2:2" x14ac:dyDescent="0.2">
      <c r="B3194" s="1">
        <v>245351</v>
      </c>
    </row>
    <row r="3195" spans="2:2" x14ac:dyDescent="0.2">
      <c r="B3195" s="1">
        <v>245352</v>
      </c>
    </row>
    <row r="3196" spans="2:2" x14ac:dyDescent="0.2">
      <c r="B3196" s="1">
        <v>245353</v>
      </c>
    </row>
    <row r="3197" spans="2:2" x14ac:dyDescent="0.2">
      <c r="B3197" s="1">
        <v>245354</v>
      </c>
    </row>
    <row r="3198" spans="2:2" x14ac:dyDescent="0.2">
      <c r="B3198" s="1">
        <v>245355</v>
      </c>
    </row>
    <row r="3199" spans="2:2" x14ac:dyDescent="0.2">
      <c r="B3199" s="1">
        <v>245356</v>
      </c>
    </row>
    <row r="3200" spans="2:2" x14ac:dyDescent="0.2">
      <c r="B3200" s="1">
        <v>245357</v>
      </c>
    </row>
    <row r="3201" spans="2:2" x14ac:dyDescent="0.2">
      <c r="B3201" s="1">
        <v>245358</v>
      </c>
    </row>
    <row r="3202" spans="2:2" x14ac:dyDescent="0.2">
      <c r="B3202" s="1">
        <v>245359</v>
      </c>
    </row>
    <row r="3203" spans="2:2" x14ac:dyDescent="0.2">
      <c r="B3203" s="1">
        <v>245360</v>
      </c>
    </row>
    <row r="3204" spans="2:2" x14ac:dyDescent="0.2">
      <c r="B3204" s="1">
        <v>245361</v>
      </c>
    </row>
    <row r="3205" spans="2:2" x14ac:dyDescent="0.2">
      <c r="B3205" s="1">
        <v>245362</v>
      </c>
    </row>
    <row r="3206" spans="2:2" x14ac:dyDescent="0.2">
      <c r="B3206" s="1">
        <v>245363</v>
      </c>
    </row>
    <row r="3207" spans="2:2" x14ac:dyDescent="0.2">
      <c r="B3207" s="1">
        <v>245364</v>
      </c>
    </row>
    <row r="3208" spans="2:2" x14ac:dyDescent="0.2">
      <c r="B3208" s="1">
        <v>245365</v>
      </c>
    </row>
    <row r="3209" spans="2:2" x14ac:dyDescent="0.2">
      <c r="B3209" s="1">
        <v>245366</v>
      </c>
    </row>
    <row r="3210" spans="2:2" x14ac:dyDescent="0.2">
      <c r="B3210" s="1">
        <v>245367</v>
      </c>
    </row>
    <row r="3211" spans="2:2" x14ac:dyDescent="0.2">
      <c r="B3211" s="1">
        <v>245368</v>
      </c>
    </row>
    <row r="3212" spans="2:2" x14ac:dyDescent="0.2">
      <c r="B3212" s="1">
        <v>245369</v>
      </c>
    </row>
    <row r="3213" spans="2:2" x14ac:dyDescent="0.2">
      <c r="B3213" s="1">
        <v>245370</v>
      </c>
    </row>
    <row r="3214" spans="2:2" x14ac:dyDescent="0.2">
      <c r="B3214" s="1">
        <v>245371</v>
      </c>
    </row>
    <row r="3215" spans="2:2" x14ac:dyDescent="0.2">
      <c r="B3215" s="1">
        <v>245372</v>
      </c>
    </row>
    <row r="3216" spans="2:2" x14ac:dyDescent="0.2">
      <c r="B3216" s="1">
        <v>245373</v>
      </c>
    </row>
    <row r="3217" spans="2:2" x14ac:dyDescent="0.2">
      <c r="B3217" s="1">
        <v>245374</v>
      </c>
    </row>
    <row r="3218" spans="2:2" x14ac:dyDescent="0.2">
      <c r="B3218" s="1">
        <v>245375</v>
      </c>
    </row>
    <row r="3219" spans="2:2" x14ac:dyDescent="0.2">
      <c r="B3219" s="1">
        <v>245376</v>
      </c>
    </row>
    <row r="3220" spans="2:2" x14ac:dyDescent="0.2">
      <c r="B3220" s="1">
        <v>245377</v>
      </c>
    </row>
    <row r="3221" spans="2:2" x14ac:dyDescent="0.2">
      <c r="B3221" s="1">
        <v>245378</v>
      </c>
    </row>
    <row r="3222" spans="2:2" x14ac:dyDescent="0.2">
      <c r="B3222" s="1">
        <v>245379</v>
      </c>
    </row>
    <row r="3223" spans="2:2" x14ac:dyDescent="0.2">
      <c r="B3223" s="1">
        <v>245380</v>
      </c>
    </row>
    <row r="3224" spans="2:2" x14ac:dyDescent="0.2">
      <c r="B3224" s="1">
        <v>245381</v>
      </c>
    </row>
    <row r="3225" spans="2:2" x14ac:dyDescent="0.2">
      <c r="B3225" s="1">
        <v>245382</v>
      </c>
    </row>
    <row r="3226" spans="2:2" x14ac:dyDescent="0.2">
      <c r="B3226" s="1">
        <v>245383</v>
      </c>
    </row>
    <row r="3227" spans="2:2" x14ac:dyDescent="0.2">
      <c r="B3227" s="1">
        <v>245384</v>
      </c>
    </row>
    <row r="3228" spans="2:2" x14ac:dyDescent="0.2">
      <c r="B3228" s="1">
        <v>245385</v>
      </c>
    </row>
    <row r="3229" spans="2:2" x14ac:dyDescent="0.2">
      <c r="B3229" s="1">
        <v>245386</v>
      </c>
    </row>
    <row r="3230" spans="2:2" x14ac:dyDescent="0.2">
      <c r="B3230" s="1">
        <v>245387</v>
      </c>
    </row>
    <row r="3231" spans="2:2" x14ac:dyDescent="0.2">
      <c r="B3231" s="1">
        <v>245388</v>
      </c>
    </row>
    <row r="3232" spans="2:2" x14ac:dyDescent="0.2">
      <c r="B3232" s="1">
        <v>245389</v>
      </c>
    </row>
    <row r="3233" spans="2:2" x14ac:dyDescent="0.2">
      <c r="B3233" s="1">
        <v>245390</v>
      </c>
    </row>
    <row r="3234" spans="2:2" x14ac:dyDescent="0.2">
      <c r="B3234" s="1">
        <v>245391</v>
      </c>
    </row>
    <row r="3235" spans="2:2" x14ac:dyDescent="0.2">
      <c r="B3235" s="1">
        <v>245392</v>
      </c>
    </row>
    <row r="3236" spans="2:2" x14ac:dyDescent="0.2">
      <c r="B3236" s="1">
        <v>245393</v>
      </c>
    </row>
    <row r="3237" spans="2:2" x14ac:dyDescent="0.2">
      <c r="B3237" s="1">
        <v>245394</v>
      </c>
    </row>
    <row r="3238" spans="2:2" x14ac:dyDescent="0.2">
      <c r="B3238" s="1">
        <v>245395</v>
      </c>
    </row>
    <row r="3239" spans="2:2" x14ac:dyDescent="0.2">
      <c r="B3239" s="1">
        <v>245396</v>
      </c>
    </row>
    <row r="3240" spans="2:2" x14ac:dyDescent="0.2">
      <c r="B3240" s="1">
        <v>245397</v>
      </c>
    </row>
    <row r="3241" spans="2:2" x14ac:dyDescent="0.2">
      <c r="B3241" s="1">
        <v>245398</v>
      </c>
    </row>
    <row r="3242" spans="2:2" x14ac:dyDescent="0.2">
      <c r="B3242" s="1">
        <v>245399</v>
      </c>
    </row>
    <row r="3243" spans="2:2" x14ac:dyDescent="0.2">
      <c r="B3243" s="1">
        <v>245400</v>
      </c>
    </row>
    <row r="3244" spans="2:2" x14ac:dyDescent="0.2">
      <c r="B3244" s="1">
        <v>245401</v>
      </c>
    </row>
    <row r="3245" spans="2:2" x14ac:dyDescent="0.2">
      <c r="B3245" s="1">
        <v>245402</v>
      </c>
    </row>
    <row r="3246" spans="2:2" x14ac:dyDescent="0.2">
      <c r="B3246" s="1">
        <v>245403</v>
      </c>
    </row>
    <row r="3247" spans="2:2" x14ac:dyDescent="0.2">
      <c r="B3247" s="1">
        <v>245404</v>
      </c>
    </row>
    <row r="3248" spans="2:2" x14ac:dyDescent="0.2">
      <c r="B3248" s="1">
        <v>245405</v>
      </c>
    </row>
    <row r="3249" spans="2:2" x14ac:dyDescent="0.2">
      <c r="B3249" s="1">
        <v>245406</v>
      </c>
    </row>
    <row r="3250" spans="2:2" x14ac:dyDescent="0.2">
      <c r="B3250" s="1">
        <v>245407</v>
      </c>
    </row>
    <row r="3251" spans="2:2" x14ac:dyDescent="0.2">
      <c r="B3251" s="1">
        <v>245408</v>
      </c>
    </row>
    <row r="3252" spans="2:2" x14ac:dyDescent="0.2">
      <c r="B3252" s="1">
        <v>245409</v>
      </c>
    </row>
    <row r="3253" spans="2:2" x14ac:dyDescent="0.2">
      <c r="B3253" s="1">
        <v>245410</v>
      </c>
    </row>
    <row r="3254" spans="2:2" x14ac:dyDescent="0.2">
      <c r="B3254" s="1">
        <v>245411</v>
      </c>
    </row>
    <row r="3255" spans="2:2" x14ac:dyDescent="0.2">
      <c r="B3255" s="1">
        <v>245412</v>
      </c>
    </row>
    <row r="3256" spans="2:2" x14ac:dyDescent="0.2">
      <c r="B3256" s="1">
        <v>245413</v>
      </c>
    </row>
    <row r="3257" spans="2:2" x14ac:dyDescent="0.2">
      <c r="B3257" s="1">
        <v>245414</v>
      </c>
    </row>
    <row r="3258" spans="2:2" x14ac:dyDescent="0.2">
      <c r="B3258" s="1">
        <v>245415</v>
      </c>
    </row>
    <row r="3259" spans="2:2" x14ac:dyDescent="0.2">
      <c r="B3259" s="1">
        <v>245416</v>
      </c>
    </row>
    <row r="3260" spans="2:2" x14ac:dyDescent="0.2">
      <c r="B3260" s="1">
        <v>245417</v>
      </c>
    </row>
    <row r="3261" spans="2:2" x14ac:dyDescent="0.2">
      <c r="B3261" s="1">
        <v>245418</v>
      </c>
    </row>
    <row r="3262" spans="2:2" x14ac:dyDescent="0.2">
      <c r="B3262" s="1">
        <v>245419</v>
      </c>
    </row>
    <row r="3263" spans="2:2" x14ac:dyDescent="0.2">
      <c r="B3263" s="1">
        <v>245420</v>
      </c>
    </row>
    <row r="3264" spans="2:2" x14ac:dyDescent="0.2">
      <c r="B3264" s="1">
        <v>245421</v>
      </c>
    </row>
    <row r="3265" spans="2:2" x14ac:dyDescent="0.2">
      <c r="B3265" s="1">
        <v>245422</v>
      </c>
    </row>
    <row r="3266" spans="2:2" x14ac:dyDescent="0.2">
      <c r="B3266" s="1">
        <v>245423</v>
      </c>
    </row>
    <row r="3267" spans="2:2" x14ac:dyDescent="0.2">
      <c r="B3267" s="1">
        <v>245424</v>
      </c>
    </row>
    <row r="3268" spans="2:2" x14ac:dyDescent="0.2">
      <c r="B3268" s="1">
        <v>245425</v>
      </c>
    </row>
    <row r="3269" spans="2:2" x14ac:dyDescent="0.2">
      <c r="B3269" s="1">
        <v>245426</v>
      </c>
    </row>
    <row r="3270" spans="2:2" x14ac:dyDescent="0.2">
      <c r="B3270" s="1">
        <v>245427</v>
      </c>
    </row>
    <row r="3271" spans="2:2" x14ac:dyDescent="0.2">
      <c r="B3271" s="1">
        <v>245428</v>
      </c>
    </row>
    <row r="3272" spans="2:2" x14ac:dyDescent="0.2">
      <c r="B3272" s="1">
        <v>245429</v>
      </c>
    </row>
    <row r="3273" spans="2:2" x14ac:dyDescent="0.2">
      <c r="B3273" s="1">
        <v>245430</v>
      </c>
    </row>
    <row r="3274" spans="2:2" x14ac:dyDescent="0.2">
      <c r="B3274" s="1">
        <v>245431</v>
      </c>
    </row>
    <row r="3275" spans="2:2" x14ac:dyDescent="0.2">
      <c r="B3275" s="1">
        <v>245432</v>
      </c>
    </row>
    <row r="3276" spans="2:2" x14ac:dyDescent="0.2">
      <c r="B3276" s="1">
        <v>245433</v>
      </c>
    </row>
    <row r="3277" spans="2:2" x14ac:dyDescent="0.2">
      <c r="B3277" s="1">
        <v>245434</v>
      </c>
    </row>
    <row r="3278" spans="2:2" x14ac:dyDescent="0.2">
      <c r="B3278" s="1">
        <v>245435</v>
      </c>
    </row>
    <row r="3279" spans="2:2" x14ac:dyDescent="0.2">
      <c r="B3279" s="1">
        <v>245436</v>
      </c>
    </row>
    <row r="3280" spans="2:2" x14ac:dyDescent="0.2">
      <c r="B3280" s="1">
        <v>245437</v>
      </c>
    </row>
    <row r="3281" spans="2:2" x14ac:dyDescent="0.2">
      <c r="B3281" s="1">
        <v>245438</v>
      </c>
    </row>
    <row r="3282" spans="2:2" x14ac:dyDescent="0.2">
      <c r="B3282" s="1">
        <v>245439</v>
      </c>
    </row>
    <row r="3283" spans="2:2" x14ac:dyDescent="0.2">
      <c r="B3283" s="1">
        <v>245440</v>
      </c>
    </row>
    <row r="3284" spans="2:2" x14ac:dyDescent="0.2">
      <c r="B3284" s="1">
        <v>245441</v>
      </c>
    </row>
    <row r="3285" spans="2:2" x14ac:dyDescent="0.2">
      <c r="B3285" s="1">
        <v>245442</v>
      </c>
    </row>
    <row r="3286" spans="2:2" x14ac:dyDescent="0.2">
      <c r="B3286" s="1">
        <v>245443</v>
      </c>
    </row>
    <row r="3287" spans="2:2" x14ac:dyDescent="0.2">
      <c r="B3287" s="1">
        <v>245444</v>
      </c>
    </row>
    <row r="3288" spans="2:2" x14ac:dyDescent="0.2">
      <c r="B3288" s="1">
        <v>245445</v>
      </c>
    </row>
    <row r="3289" spans="2:2" x14ac:dyDescent="0.2">
      <c r="B3289" s="1">
        <v>245446</v>
      </c>
    </row>
    <row r="3290" spans="2:2" x14ac:dyDescent="0.2">
      <c r="B3290" s="1">
        <v>245447</v>
      </c>
    </row>
    <row r="3291" spans="2:2" x14ac:dyDescent="0.2">
      <c r="B3291" s="1">
        <v>245448</v>
      </c>
    </row>
    <row r="3292" spans="2:2" x14ac:dyDescent="0.2">
      <c r="B3292" s="1">
        <v>245449</v>
      </c>
    </row>
    <row r="3293" spans="2:2" x14ac:dyDescent="0.2">
      <c r="B3293" s="1">
        <v>245450</v>
      </c>
    </row>
    <row r="3294" spans="2:2" x14ac:dyDescent="0.2">
      <c r="B3294" s="1">
        <v>245451</v>
      </c>
    </row>
    <row r="3295" spans="2:2" x14ac:dyDescent="0.2">
      <c r="B3295" s="1">
        <v>245452</v>
      </c>
    </row>
    <row r="3296" spans="2:2" x14ac:dyDescent="0.2">
      <c r="B3296" s="1">
        <v>245453</v>
      </c>
    </row>
    <row r="3297" spans="2:2" x14ac:dyDescent="0.2">
      <c r="B3297" s="1">
        <v>245454</v>
      </c>
    </row>
    <row r="3298" spans="2:2" x14ac:dyDescent="0.2">
      <c r="B3298" s="1">
        <v>245455</v>
      </c>
    </row>
    <row r="3299" spans="2:2" x14ac:dyDescent="0.2">
      <c r="B3299" s="1">
        <v>245456</v>
      </c>
    </row>
    <row r="3300" spans="2:2" x14ac:dyDescent="0.2">
      <c r="B3300" s="1">
        <v>245457</v>
      </c>
    </row>
    <row r="3301" spans="2:2" x14ac:dyDescent="0.2">
      <c r="B3301" s="1">
        <v>245458</v>
      </c>
    </row>
    <row r="3302" spans="2:2" x14ac:dyDescent="0.2">
      <c r="B3302" s="1">
        <v>245459</v>
      </c>
    </row>
    <row r="3303" spans="2:2" x14ac:dyDescent="0.2">
      <c r="B3303" s="1">
        <v>245460</v>
      </c>
    </row>
    <row r="3304" spans="2:2" x14ac:dyDescent="0.2">
      <c r="B3304" s="1">
        <v>245461</v>
      </c>
    </row>
    <row r="3305" spans="2:2" x14ac:dyDescent="0.2">
      <c r="B3305" s="1">
        <v>245462</v>
      </c>
    </row>
    <row r="3306" spans="2:2" x14ac:dyDescent="0.2">
      <c r="B3306" s="1">
        <v>245463</v>
      </c>
    </row>
    <row r="3307" spans="2:2" x14ac:dyDescent="0.2">
      <c r="B3307" s="1">
        <v>245464</v>
      </c>
    </row>
    <row r="3308" spans="2:2" x14ac:dyDescent="0.2">
      <c r="B3308" s="1">
        <v>245465</v>
      </c>
    </row>
    <row r="3309" spans="2:2" x14ac:dyDescent="0.2">
      <c r="B3309" s="1">
        <v>245466</v>
      </c>
    </row>
    <row r="3310" spans="2:2" x14ac:dyDescent="0.2">
      <c r="B3310" s="1">
        <v>245467</v>
      </c>
    </row>
    <row r="3311" spans="2:2" x14ac:dyDescent="0.2">
      <c r="B3311" s="1">
        <v>245468</v>
      </c>
    </row>
    <row r="3312" spans="2:2" x14ac:dyDescent="0.2">
      <c r="B3312" s="1">
        <v>245469</v>
      </c>
    </row>
    <row r="3313" spans="2:2" x14ac:dyDescent="0.2">
      <c r="B3313" s="1">
        <v>245470</v>
      </c>
    </row>
    <row r="3314" spans="2:2" x14ac:dyDescent="0.2">
      <c r="B3314" s="1">
        <v>245471</v>
      </c>
    </row>
    <row r="3315" spans="2:2" x14ac:dyDescent="0.2">
      <c r="B3315" s="1">
        <v>245472</v>
      </c>
    </row>
    <row r="3316" spans="2:2" x14ac:dyDescent="0.2">
      <c r="B3316" s="1">
        <v>245473</v>
      </c>
    </row>
    <row r="3317" spans="2:2" x14ac:dyDescent="0.2">
      <c r="B3317" s="1">
        <v>245474</v>
      </c>
    </row>
    <row r="3318" spans="2:2" x14ac:dyDescent="0.2">
      <c r="B3318" s="1">
        <v>245475</v>
      </c>
    </row>
    <row r="3319" spans="2:2" x14ac:dyDescent="0.2">
      <c r="B3319" s="1">
        <v>245476</v>
      </c>
    </row>
    <row r="3320" spans="2:2" x14ac:dyDescent="0.2">
      <c r="B3320" s="1">
        <v>245477</v>
      </c>
    </row>
    <row r="3321" spans="2:2" x14ac:dyDescent="0.2">
      <c r="B3321" s="1">
        <v>245478</v>
      </c>
    </row>
    <row r="3322" spans="2:2" x14ac:dyDescent="0.2">
      <c r="B3322" s="1">
        <v>245479</v>
      </c>
    </row>
    <row r="3323" spans="2:2" x14ac:dyDescent="0.2">
      <c r="B3323" s="1">
        <v>245480</v>
      </c>
    </row>
    <row r="3324" spans="2:2" x14ac:dyDescent="0.2">
      <c r="B3324" s="1">
        <v>245481</v>
      </c>
    </row>
    <row r="3325" spans="2:2" x14ac:dyDescent="0.2">
      <c r="B3325" s="1">
        <v>245482</v>
      </c>
    </row>
    <row r="3326" spans="2:2" x14ac:dyDescent="0.2">
      <c r="B3326" s="1">
        <v>245483</v>
      </c>
    </row>
    <row r="3327" spans="2:2" x14ac:dyDescent="0.2">
      <c r="B3327" s="1">
        <v>245484</v>
      </c>
    </row>
    <row r="3328" spans="2:2" x14ac:dyDescent="0.2">
      <c r="B3328" s="1">
        <v>245485</v>
      </c>
    </row>
    <row r="3329" spans="2:2" x14ac:dyDescent="0.2">
      <c r="B3329" s="1">
        <v>245486</v>
      </c>
    </row>
    <row r="3330" spans="2:2" x14ac:dyDescent="0.2">
      <c r="B3330" s="1">
        <v>245487</v>
      </c>
    </row>
    <row r="3331" spans="2:2" x14ac:dyDescent="0.2">
      <c r="B3331" s="1">
        <v>245488</v>
      </c>
    </row>
    <row r="3332" spans="2:2" x14ac:dyDescent="0.2">
      <c r="B3332" s="1">
        <v>245489</v>
      </c>
    </row>
    <row r="3333" spans="2:2" x14ac:dyDescent="0.2">
      <c r="B3333" s="1">
        <v>245490</v>
      </c>
    </row>
    <row r="3334" spans="2:2" x14ac:dyDescent="0.2">
      <c r="B3334" s="1">
        <v>245491</v>
      </c>
    </row>
    <row r="3335" spans="2:2" x14ac:dyDescent="0.2">
      <c r="B3335" s="1">
        <v>245492</v>
      </c>
    </row>
    <row r="3336" spans="2:2" x14ac:dyDescent="0.2">
      <c r="B3336" s="1">
        <v>245493</v>
      </c>
    </row>
    <row r="3337" spans="2:2" x14ac:dyDescent="0.2">
      <c r="B3337" s="1">
        <v>245494</v>
      </c>
    </row>
    <row r="3338" spans="2:2" x14ac:dyDescent="0.2">
      <c r="B3338" s="1">
        <v>245495</v>
      </c>
    </row>
    <row r="3339" spans="2:2" x14ac:dyDescent="0.2">
      <c r="B3339" s="1">
        <v>245496</v>
      </c>
    </row>
    <row r="3340" spans="2:2" x14ac:dyDescent="0.2">
      <c r="B3340" s="1">
        <v>245497</v>
      </c>
    </row>
    <row r="3341" spans="2:2" x14ac:dyDescent="0.2">
      <c r="B3341" s="1">
        <v>245498</v>
      </c>
    </row>
    <row r="3342" spans="2:2" x14ac:dyDescent="0.2">
      <c r="B3342" s="1">
        <v>245499</v>
      </c>
    </row>
    <row r="3343" spans="2:2" x14ac:dyDescent="0.2">
      <c r="B3343" s="1">
        <v>245500</v>
      </c>
    </row>
    <row r="3344" spans="2:2" x14ac:dyDescent="0.2">
      <c r="B3344" s="1">
        <v>245501</v>
      </c>
    </row>
    <row r="3345" spans="2:2" x14ac:dyDescent="0.2">
      <c r="B3345" s="1">
        <v>245502</v>
      </c>
    </row>
    <row r="3346" spans="2:2" x14ac:dyDescent="0.2">
      <c r="B3346" s="1">
        <v>245503</v>
      </c>
    </row>
    <row r="3347" spans="2:2" x14ac:dyDescent="0.2">
      <c r="B3347" s="1">
        <v>245504</v>
      </c>
    </row>
    <row r="3348" spans="2:2" x14ac:dyDescent="0.2">
      <c r="B3348" s="1">
        <v>245505</v>
      </c>
    </row>
    <row r="3349" spans="2:2" x14ac:dyDescent="0.2">
      <c r="B3349" s="1">
        <v>245506</v>
      </c>
    </row>
    <row r="3350" spans="2:2" x14ac:dyDescent="0.2">
      <c r="B3350" s="1">
        <v>245507</v>
      </c>
    </row>
    <row r="3351" spans="2:2" x14ac:dyDescent="0.2">
      <c r="B3351" s="1">
        <v>245508</v>
      </c>
    </row>
    <row r="3352" spans="2:2" x14ac:dyDescent="0.2">
      <c r="B3352" s="1">
        <v>245509</v>
      </c>
    </row>
    <row r="3353" spans="2:2" x14ac:dyDescent="0.2">
      <c r="B3353" s="1">
        <v>245510</v>
      </c>
    </row>
    <row r="3354" spans="2:2" x14ac:dyDescent="0.2">
      <c r="B3354" s="1">
        <v>245511</v>
      </c>
    </row>
    <row r="3355" spans="2:2" x14ac:dyDescent="0.2">
      <c r="B3355" s="1">
        <v>245512</v>
      </c>
    </row>
    <row r="3356" spans="2:2" x14ac:dyDescent="0.2">
      <c r="B3356" s="1">
        <v>245513</v>
      </c>
    </row>
    <row r="3357" spans="2:2" x14ac:dyDescent="0.2">
      <c r="B3357" s="1">
        <v>245514</v>
      </c>
    </row>
    <row r="3358" spans="2:2" x14ac:dyDescent="0.2">
      <c r="B3358" s="1">
        <v>245515</v>
      </c>
    </row>
    <row r="3359" spans="2:2" x14ac:dyDescent="0.2">
      <c r="B3359" s="1">
        <v>245516</v>
      </c>
    </row>
    <row r="3360" spans="2:2" x14ac:dyDescent="0.2">
      <c r="B3360" s="1">
        <v>245517</v>
      </c>
    </row>
    <row r="3361" spans="2:2" x14ac:dyDescent="0.2">
      <c r="B3361" s="1">
        <v>245518</v>
      </c>
    </row>
    <row r="3362" spans="2:2" x14ac:dyDescent="0.2">
      <c r="B3362" s="1">
        <v>245519</v>
      </c>
    </row>
    <row r="3363" spans="2:2" x14ac:dyDescent="0.2">
      <c r="B3363" s="1">
        <v>245520</v>
      </c>
    </row>
    <row r="3364" spans="2:2" x14ac:dyDescent="0.2">
      <c r="B3364" s="1">
        <v>245521</v>
      </c>
    </row>
    <row r="3365" spans="2:2" x14ac:dyDescent="0.2">
      <c r="B3365" s="1">
        <v>245522</v>
      </c>
    </row>
    <row r="3366" spans="2:2" x14ac:dyDescent="0.2">
      <c r="B3366" s="1">
        <v>245523</v>
      </c>
    </row>
    <row r="3367" spans="2:2" x14ac:dyDescent="0.2">
      <c r="B3367" s="1">
        <v>245524</v>
      </c>
    </row>
    <row r="3368" spans="2:2" x14ac:dyDescent="0.2">
      <c r="B3368" s="1">
        <v>245525</v>
      </c>
    </row>
    <row r="3369" spans="2:2" x14ac:dyDescent="0.2">
      <c r="B3369" s="1">
        <v>245526</v>
      </c>
    </row>
    <row r="3370" spans="2:2" x14ac:dyDescent="0.2">
      <c r="B3370" s="1">
        <v>245527</v>
      </c>
    </row>
    <row r="3371" spans="2:2" x14ac:dyDescent="0.2">
      <c r="B3371" s="1">
        <v>245528</v>
      </c>
    </row>
    <row r="3372" spans="2:2" x14ac:dyDescent="0.2">
      <c r="B3372" s="1">
        <v>245529</v>
      </c>
    </row>
    <row r="3373" spans="2:2" x14ac:dyDescent="0.2">
      <c r="B3373" s="1">
        <v>245530</v>
      </c>
    </row>
    <row r="3374" spans="2:2" x14ac:dyDescent="0.2">
      <c r="B3374" s="1">
        <v>245531</v>
      </c>
    </row>
    <row r="3375" spans="2:2" x14ac:dyDescent="0.2">
      <c r="B3375" s="1">
        <v>245532</v>
      </c>
    </row>
    <row r="3376" spans="2:2" x14ac:dyDescent="0.2">
      <c r="B3376" s="1">
        <v>245533</v>
      </c>
    </row>
    <row r="3377" spans="2:2" x14ac:dyDescent="0.2">
      <c r="B3377" s="1">
        <v>245534</v>
      </c>
    </row>
    <row r="3378" spans="2:2" x14ac:dyDescent="0.2">
      <c r="B3378" s="1">
        <v>245535</v>
      </c>
    </row>
    <row r="3379" spans="2:2" x14ac:dyDescent="0.2">
      <c r="B3379" s="1">
        <v>245536</v>
      </c>
    </row>
    <row r="3380" spans="2:2" x14ac:dyDescent="0.2">
      <c r="B3380" s="1">
        <v>245537</v>
      </c>
    </row>
    <row r="3381" spans="2:2" x14ac:dyDescent="0.2">
      <c r="B3381" s="1">
        <v>245538</v>
      </c>
    </row>
    <row r="3382" spans="2:2" x14ac:dyDescent="0.2">
      <c r="B3382" s="1">
        <v>245539</v>
      </c>
    </row>
    <row r="3383" spans="2:2" x14ac:dyDescent="0.2">
      <c r="B3383" s="1">
        <v>245540</v>
      </c>
    </row>
    <row r="3384" spans="2:2" x14ac:dyDescent="0.2">
      <c r="B3384" s="1">
        <v>245541</v>
      </c>
    </row>
    <row r="3385" spans="2:2" x14ac:dyDescent="0.2">
      <c r="B3385" s="1">
        <v>245542</v>
      </c>
    </row>
    <row r="3386" spans="2:2" x14ac:dyDescent="0.2">
      <c r="B3386" s="1">
        <v>245543</v>
      </c>
    </row>
    <row r="3387" spans="2:2" x14ac:dyDescent="0.2">
      <c r="B3387" s="1">
        <v>245544</v>
      </c>
    </row>
    <row r="3388" spans="2:2" x14ac:dyDescent="0.2">
      <c r="B3388" s="1">
        <v>245545</v>
      </c>
    </row>
    <row r="3389" spans="2:2" x14ac:dyDescent="0.2">
      <c r="B3389" s="1">
        <v>245546</v>
      </c>
    </row>
    <row r="3390" spans="2:2" x14ac:dyDescent="0.2">
      <c r="B3390" s="1">
        <v>245547</v>
      </c>
    </row>
    <row r="3391" spans="2:2" x14ac:dyDescent="0.2">
      <c r="B3391" s="1">
        <v>245548</v>
      </c>
    </row>
    <row r="3392" spans="2:2" x14ac:dyDescent="0.2">
      <c r="B3392" s="1">
        <v>245549</v>
      </c>
    </row>
    <row r="3393" spans="2:2" x14ac:dyDescent="0.2">
      <c r="B3393" s="1">
        <v>245550</v>
      </c>
    </row>
    <row r="3394" spans="2:2" x14ac:dyDescent="0.2">
      <c r="B3394" s="1">
        <v>245551</v>
      </c>
    </row>
    <row r="3395" spans="2:2" x14ac:dyDescent="0.2">
      <c r="B3395" s="1">
        <v>245552</v>
      </c>
    </row>
    <row r="3396" spans="2:2" x14ac:dyDescent="0.2">
      <c r="B3396" s="1">
        <v>245553</v>
      </c>
    </row>
    <row r="3397" spans="2:2" x14ac:dyDescent="0.2">
      <c r="B3397" s="1">
        <v>245554</v>
      </c>
    </row>
    <row r="3398" spans="2:2" x14ac:dyDescent="0.2">
      <c r="B3398" s="1">
        <v>245555</v>
      </c>
    </row>
    <row r="3399" spans="2:2" x14ac:dyDescent="0.2">
      <c r="B3399" s="1">
        <v>245556</v>
      </c>
    </row>
    <row r="3400" spans="2:2" x14ac:dyDescent="0.2">
      <c r="B3400" s="1">
        <v>245557</v>
      </c>
    </row>
    <row r="3401" spans="2:2" x14ac:dyDescent="0.2">
      <c r="B3401" s="1">
        <v>245558</v>
      </c>
    </row>
    <row r="3402" spans="2:2" x14ac:dyDescent="0.2">
      <c r="B3402" s="1">
        <v>245559</v>
      </c>
    </row>
    <row r="3403" spans="2:2" x14ac:dyDescent="0.2">
      <c r="B3403" s="1">
        <v>245560</v>
      </c>
    </row>
    <row r="3404" spans="2:2" x14ac:dyDescent="0.2">
      <c r="B3404" s="1">
        <v>245561</v>
      </c>
    </row>
    <row r="3405" spans="2:2" x14ac:dyDescent="0.2">
      <c r="B3405" s="1">
        <v>245562</v>
      </c>
    </row>
    <row r="3406" spans="2:2" x14ac:dyDescent="0.2">
      <c r="B3406" s="1">
        <v>245563</v>
      </c>
    </row>
    <row r="3407" spans="2:2" x14ac:dyDescent="0.2">
      <c r="B3407" s="1">
        <v>245564</v>
      </c>
    </row>
    <row r="3408" spans="2:2" x14ac:dyDescent="0.2">
      <c r="B3408" s="1">
        <v>245565</v>
      </c>
    </row>
    <row r="3409" spans="2:2" x14ac:dyDescent="0.2">
      <c r="B3409" s="1">
        <v>245566</v>
      </c>
    </row>
    <row r="3410" spans="2:2" x14ac:dyDescent="0.2">
      <c r="B3410" s="1">
        <v>245567</v>
      </c>
    </row>
    <row r="3411" spans="2:2" x14ac:dyDescent="0.2">
      <c r="B3411" s="1">
        <v>245568</v>
      </c>
    </row>
    <row r="3412" spans="2:2" x14ac:dyDescent="0.2">
      <c r="B3412" s="1">
        <v>245569</v>
      </c>
    </row>
    <row r="3413" spans="2:2" x14ac:dyDescent="0.2">
      <c r="B3413" s="1">
        <v>245570</v>
      </c>
    </row>
    <row r="3414" spans="2:2" x14ac:dyDescent="0.2">
      <c r="B3414" s="1">
        <v>245571</v>
      </c>
    </row>
    <row r="3415" spans="2:2" x14ac:dyDescent="0.2">
      <c r="B3415" s="1">
        <v>245572</v>
      </c>
    </row>
    <row r="3416" spans="2:2" x14ac:dyDescent="0.2">
      <c r="B3416" s="1">
        <v>245573</v>
      </c>
    </row>
    <row r="3417" spans="2:2" x14ac:dyDescent="0.2">
      <c r="B3417" s="1">
        <v>245574</v>
      </c>
    </row>
    <row r="3418" spans="2:2" x14ac:dyDescent="0.2">
      <c r="B3418" s="1">
        <v>245575</v>
      </c>
    </row>
    <row r="3419" spans="2:2" x14ac:dyDescent="0.2">
      <c r="B3419" s="1">
        <v>245576</v>
      </c>
    </row>
    <row r="3420" spans="2:2" x14ac:dyDescent="0.2">
      <c r="B3420" s="1">
        <v>245577</v>
      </c>
    </row>
    <row r="3421" spans="2:2" x14ac:dyDescent="0.2">
      <c r="B3421" s="1">
        <v>245578</v>
      </c>
    </row>
    <row r="3422" spans="2:2" x14ac:dyDescent="0.2">
      <c r="B3422" s="1">
        <v>245579</v>
      </c>
    </row>
    <row r="3423" spans="2:2" x14ac:dyDescent="0.2">
      <c r="B3423" s="1">
        <v>245580</v>
      </c>
    </row>
    <row r="3424" spans="2:2" x14ac:dyDescent="0.2">
      <c r="B3424" s="1">
        <v>245581</v>
      </c>
    </row>
    <row r="3425" spans="2:2" x14ac:dyDescent="0.2">
      <c r="B3425" s="1">
        <v>245582</v>
      </c>
    </row>
    <row r="3426" spans="2:2" x14ac:dyDescent="0.2">
      <c r="B3426" s="1">
        <v>245583</v>
      </c>
    </row>
    <row r="3427" spans="2:2" x14ac:dyDescent="0.2">
      <c r="B3427" s="1">
        <v>245584</v>
      </c>
    </row>
    <row r="3428" spans="2:2" x14ac:dyDescent="0.2">
      <c r="B3428" s="1">
        <v>245585</v>
      </c>
    </row>
    <row r="3429" spans="2:2" x14ac:dyDescent="0.2">
      <c r="B3429" s="1">
        <v>245586</v>
      </c>
    </row>
    <row r="3430" spans="2:2" x14ac:dyDescent="0.2">
      <c r="B3430" s="1">
        <v>245587</v>
      </c>
    </row>
    <row r="3431" spans="2:2" x14ac:dyDescent="0.2">
      <c r="B3431" s="1">
        <v>245588</v>
      </c>
    </row>
    <row r="3432" spans="2:2" x14ac:dyDescent="0.2">
      <c r="B3432" s="1">
        <v>245589</v>
      </c>
    </row>
    <row r="3433" spans="2:2" x14ac:dyDescent="0.2">
      <c r="B3433" s="1">
        <v>245590</v>
      </c>
    </row>
    <row r="3434" spans="2:2" x14ac:dyDescent="0.2">
      <c r="B3434" s="1">
        <v>245591</v>
      </c>
    </row>
    <row r="3435" spans="2:2" x14ac:dyDescent="0.2">
      <c r="B3435" s="1">
        <v>245592</v>
      </c>
    </row>
    <row r="3436" spans="2:2" x14ac:dyDescent="0.2">
      <c r="B3436" s="1">
        <v>245593</v>
      </c>
    </row>
    <row r="3437" spans="2:2" x14ac:dyDescent="0.2">
      <c r="B3437" s="1">
        <v>245594</v>
      </c>
    </row>
    <row r="3438" spans="2:2" x14ac:dyDescent="0.2">
      <c r="B3438" s="1">
        <v>245595</v>
      </c>
    </row>
    <row r="3439" spans="2:2" x14ac:dyDescent="0.2">
      <c r="B3439" s="1">
        <v>245596</v>
      </c>
    </row>
    <row r="3440" spans="2:2" x14ac:dyDescent="0.2">
      <c r="B3440" s="1">
        <v>245597</v>
      </c>
    </row>
    <row r="3441" spans="2:2" x14ac:dyDescent="0.2">
      <c r="B3441" s="1">
        <v>245598</v>
      </c>
    </row>
    <row r="3442" spans="2:2" x14ac:dyDescent="0.2">
      <c r="B3442" s="1">
        <v>245599</v>
      </c>
    </row>
    <row r="3443" spans="2:2" x14ac:dyDescent="0.2">
      <c r="B3443" s="1">
        <v>245600</v>
      </c>
    </row>
    <row r="3444" spans="2:2" x14ac:dyDescent="0.2">
      <c r="B3444" s="1">
        <v>245601</v>
      </c>
    </row>
    <row r="3445" spans="2:2" x14ac:dyDescent="0.2">
      <c r="B3445" s="1">
        <v>245602</v>
      </c>
    </row>
    <row r="3446" spans="2:2" x14ac:dyDescent="0.2">
      <c r="B3446" s="1">
        <v>245603</v>
      </c>
    </row>
    <row r="3447" spans="2:2" x14ac:dyDescent="0.2">
      <c r="B3447" s="1">
        <v>245604</v>
      </c>
    </row>
    <row r="3448" spans="2:2" x14ac:dyDescent="0.2">
      <c r="B3448" s="1">
        <v>245605</v>
      </c>
    </row>
    <row r="3449" spans="2:2" x14ac:dyDescent="0.2">
      <c r="B3449" s="1">
        <v>245606</v>
      </c>
    </row>
    <row r="3450" spans="2:2" x14ac:dyDescent="0.2">
      <c r="B3450" s="1">
        <v>245607</v>
      </c>
    </row>
    <row r="3451" spans="2:2" x14ac:dyDescent="0.2">
      <c r="B3451" s="1">
        <v>245608</v>
      </c>
    </row>
    <row r="3452" spans="2:2" x14ac:dyDescent="0.2">
      <c r="B3452" s="1">
        <v>245609</v>
      </c>
    </row>
    <row r="3453" spans="2:2" x14ac:dyDescent="0.2">
      <c r="B3453" s="1">
        <v>245610</v>
      </c>
    </row>
    <row r="3454" spans="2:2" x14ac:dyDescent="0.2">
      <c r="B3454" s="1">
        <v>245611</v>
      </c>
    </row>
    <row r="3455" spans="2:2" x14ac:dyDescent="0.2">
      <c r="B3455" s="1">
        <v>245612</v>
      </c>
    </row>
    <row r="3456" spans="2:2" x14ac:dyDescent="0.2">
      <c r="B3456" s="1">
        <v>245613</v>
      </c>
    </row>
    <row r="3457" spans="2:2" x14ac:dyDescent="0.2">
      <c r="B3457" s="1">
        <v>245614</v>
      </c>
    </row>
    <row r="3458" spans="2:2" x14ac:dyDescent="0.2">
      <c r="B3458" s="1">
        <v>245615</v>
      </c>
    </row>
    <row r="3459" spans="2:2" x14ac:dyDescent="0.2">
      <c r="B3459" s="1">
        <v>245616</v>
      </c>
    </row>
    <row r="3460" spans="2:2" x14ac:dyDescent="0.2">
      <c r="B3460" s="1">
        <v>245617</v>
      </c>
    </row>
    <row r="3461" spans="2:2" x14ac:dyDescent="0.2">
      <c r="B3461" s="1">
        <v>245618</v>
      </c>
    </row>
    <row r="3462" spans="2:2" x14ac:dyDescent="0.2">
      <c r="B3462" s="1">
        <v>245619</v>
      </c>
    </row>
    <row r="3463" spans="2:2" x14ac:dyDescent="0.2">
      <c r="B3463" s="1">
        <v>245620</v>
      </c>
    </row>
    <row r="3464" spans="2:2" x14ac:dyDescent="0.2">
      <c r="B3464" s="1">
        <v>245621</v>
      </c>
    </row>
    <row r="3465" spans="2:2" x14ac:dyDescent="0.2">
      <c r="B3465" s="1">
        <v>245622</v>
      </c>
    </row>
    <row r="3466" spans="2:2" x14ac:dyDescent="0.2">
      <c r="B3466" s="1">
        <v>245623</v>
      </c>
    </row>
    <row r="3467" spans="2:2" x14ac:dyDescent="0.2">
      <c r="B3467" s="1">
        <v>245624</v>
      </c>
    </row>
    <row r="3468" spans="2:2" x14ac:dyDescent="0.2">
      <c r="B3468" s="1">
        <v>245625</v>
      </c>
    </row>
    <row r="3469" spans="2:2" x14ac:dyDescent="0.2">
      <c r="B3469" s="1">
        <v>245626</v>
      </c>
    </row>
    <row r="3470" spans="2:2" x14ac:dyDescent="0.2">
      <c r="B3470" s="1">
        <v>245627</v>
      </c>
    </row>
    <row r="3471" spans="2:2" x14ac:dyDescent="0.2">
      <c r="B3471" s="1">
        <v>245628</v>
      </c>
    </row>
    <row r="3472" spans="2:2" x14ac:dyDescent="0.2">
      <c r="B3472" s="1">
        <v>245629</v>
      </c>
    </row>
    <row r="3473" spans="2:2" x14ac:dyDescent="0.2">
      <c r="B3473" s="1">
        <v>245630</v>
      </c>
    </row>
    <row r="3474" spans="2:2" x14ac:dyDescent="0.2">
      <c r="B3474" s="1">
        <v>245631</v>
      </c>
    </row>
    <row r="3475" spans="2:2" x14ac:dyDescent="0.2">
      <c r="B3475" s="1">
        <v>245632</v>
      </c>
    </row>
    <row r="3476" spans="2:2" x14ac:dyDescent="0.2">
      <c r="B3476" s="1">
        <v>245633</v>
      </c>
    </row>
    <row r="3477" spans="2:2" x14ac:dyDescent="0.2">
      <c r="B3477" s="1">
        <v>245634</v>
      </c>
    </row>
    <row r="3478" spans="2:2" x14ac:dyDescent="0.2">
      <c r="B3478" s="1">
        <v>245635</v>
      </c>
    </row>
    <row r="3479" spans="2:2" x14ac:dyDescent="0.2">
      <c r="B3479" s="1">
        <v>245636</v>
      </c>
    </row>
    <row r="3480" spans="2:2" x14ac:dyDescent="0.2">
      <c r="B3480" s="1">
        <v>245637</v>
      </c>
    </row>
    <row r="3481" spans="2:2" x14ac:dyDescent="0.2">
      <c r="B3481" s="1">
        <v>245638</v>
      </c>
    </row>
    <row r="3482" spans="2:2" x14ac:dyDescent="0.2">
      <c r="B3482" s="1">
        <v>245639</v>
      </c>
    </row>
    <row r="3483" spans="2:2" x14ac:dyDescent="0.2">
      <c r="B3483" s="1">
        <v>245640</v>
      </c>
    </row>
    <row r="3484" spans="2:2" x14ac:dyDescent="0.2">
      <c r="B3484" s="1">
        <v>245641</v>
      </c>
    </row>
    <row r="3485" spans="2:2" x14ac:dyDescent="0.2">
      <c r="B3485" s="1">
        <v>245642</v>
      </c>
    </row>
    <row r="3486" spans="2:2" x14ac:dyDescent="0.2">
      <c r="B3486" s="1">
        <v>245643</v>
      </c>
    </row>
    <row r="3487" spans="2:2" x14ac:dyDescent="0.2">
      <c r="B3487" s="1">
        <v>245644</v>
      </c>
    </row>
    <row r="3488" spans="2:2" x14ac:dyDescent="0.2">
      <c r="B3488" s="1">
        <v>245645</v>
      </c>
    </row>
    <row r="3489" spans="2:2" x14ac:dyDescent="0.2">
      <c r="B3489" s="1">
        <v>245646</v>
      </c>
    </row>
    <row r="3490" spans="2:2" x14ac:dyDescent="0.2">
      <c r="B3490" s="1">
        <v>245647</v>
      </c>
    </row>
    <row r="3491" spans="2:2" x14ac:dyDescent="0.2">
      <c r="B3491" s="1">
        <v>245648</v>
      </c>
    </row>
    <row r="3492" spans="2:2" x14ac:dyDescent="0.2">
      <c r="B3492" s="1">
        <v>245649</v>
      </c>
    </row>
    <row r="3493" spans="2:2" x14ac:dyDescent="0.2">
      <c r="B3493" s="1">
        <v>245650</v>
      </c>
    </row>
    <row r="3494" spans="2:2" x14ac:dyDescent="0.2">
      <c r="B3494" s="1">
        <v>245651</v>
      </c>
    </row>
    <row r="3495" spans="2:2" x14ac:dyDescent="0.2">
      <c r="B3495" s="1">
        <v>245652</v>
      </c>
    </row>
    <row r="3496" spans="2:2" x14ac:dyDescent="0.2">
      <c r="B3496" s="1">
        <v>245653</v>
      </c>
    </row>
    <row r="3497" spans="2:2" x14ac:dyDescent="0.2">
      <c r="B3497" s="1">
        <v>245654</v>
      </c>
    </row>
    <row r="3498" spans="2:2" x14ac:dyDescent="0.2">
      <c r="B3498" s="1">
        <v>245655</v>
      </c>
    </row>
    <row r="3499" spans="2:2" x14ac:dyDescent="0.2">
      <c r="B3499" s="1">
        <v>245656</v>
      </c>
    </row>
    <row r="3500" spans="2:2" x14ac:dyDescent="0.2">
      <c r="B3500" s="1">
        <v>245657</v>
      </c>
    </row>
    <row r="3501" spans="2:2" x14ac:dyDescent="0.2">
      <c r="B3501" s="1">
        <v>245658</v>
      </c>
    </row>
    <row r="3502" spans="2:2" x14ac:dyDescent="0.2">
      <c r="B3502" s="1">
        <v>245659</v>
      </c>
    </row>
    <row r="3503" spans="2:2" x14ac:dyDescent="0.2">
      <c r="B3503" s="1">
        <v>245660</v>
      </c>
    </row>
    <row r="3504" spans="2:2" x14ac:dyDescent="0.2">
      <c r="B3504" s="1">
        <v>245661</v>
      </c>
    </row>
    <row r="3505" spans="2:2" x14ac:dyDescent="0.2">
      <c r="B3505" s="1">
        <v>245662</v>
      </c>
    </row>
    <row r="3506" spans="2:2" x14ac:dyDescent="0.2">
      <c r="B3506" s="1">
        <v>245663</v>
      </c>
    </row>
    <row r="3507" spans="2:2" x14ac:dyDescent="0.2">
      <c r="B3507" s="1">
        <v>245664</v>
      </c>
    </row>
    <row r="3508" spans="2:2" x14ac:dyDescent="0.2">
      <c r="B3508" s="1">
        <v>245665</v>
      </c>
    </row>
    <row r="3509" spans="2:2" x14ac:dyDescent="0.2">
      <c r="B3509" s="1">
        <v>245666</v>
      </c>
    </row>
    <row r="3510" spans="2:2" x14ac:dyDescent="0.2">
      <c r="B3510" s="1">
        <v>245667</v>
      </c>
    </row>
    <row r="3511" spans="2:2" x14ac:dyDescent="0.2">
      <c r="B3511" s="1">
        <v>245668</v>
      </c>
    </row>
    <row r="3512" spans="2:2" x14ac:dyDescent="0.2">
      <c r="B3512" s="1">
        <v>245669</v>
      </c>
    </row>
    <row r="3513" spans="2:2" x14ac:dyDescent="0.2">
      <c r="B3513" s="1">
        <v>245670</v>
      </c>
    </row>
    <row r="3514" spans="2:2" x14ac:dyDescent="0.2">
      <c r="B3514" s="1">
        <v>245671</v>
      </c>
    </row>
    <row r="3515" spans="2:2" x14ac:dyDescent="0.2">
      <c r="B3515" s="1">
        <v>245672</v>
      </c>
    </row>
    <row r="3516" spans="2:2" x14ac:dyDescent="0.2">
      <c r="B3516" s="1">
        <v>245673</v>
      </c>
    </row>
    <row r="3517" spans="2:2" x14ac:dyDescent="0.2">
      <c r="B3517" s="1">
        <v>245674</v>
      </c>
    </row>
    <row r="3518" spans="2:2" x14ac:dyDescent="0.2">
      <c r="B3518" s="1">
        <v>245675</v>
      </c>
    </row>
    <row r="3519" spans="2:2" x14ac:dyDescent="0.2">
      <c r="B3519" s="1">
        <v>245676</v>
      </c>
    </row>
    <row r="3520" spans="2:2" x14ac:dyDescent="0.2">
      <c r="B3520" s="1">
        <v>245677</v>
      </c>
    </row>
    <row r="3521" spans="2:2" x14ac:dyDescent="0.2">
      <c r="B3521" s="1">
        <v>245678</v>
      </c>
    </row>
    <row r="3522" spans="2:2" x14ac:dyDescent="0.2">
      <c r="B3522" s="1">
        <v>245679</v>
      </c>
    </row>
    <row r="3523" spans="2:2" x14ac:dyDescent="0.2">
      <c r="B3523" s="1">
        <v>245680</v>
      </c>
    </row>
    <row r="3524" spans="2:2" x14ac:dyDescent="0.2">
      <c r="B3524" s="1">
        <v>245681</v>
      </c>
    </row>
    <row r="3525" spans="2:2" x14ac:dyDescent="0.2">
      <c r="B3525" s="1">
        <v>245682</v>
      </c>
    </row>
    <row r="3526" spans="2:2" x14ac:dyDescent="0.2">
      <c r="B3526" s="1">
        <v>245683</v>
      </c>
    </row>
    <row r="3527" spans="2:2" x14ac:dyDescent="0.2">
      <c r="B3527" s="1">
        <v>245684</v>
      </c>
    </row>
    <row r="3528" spans="2:2" x14ac:dyDescent="0.2">
      <c r="B3528" s="1">
        <v>245685</v>
      </c>
    </row>
    <row r="3529" spans="2:2" x14ac:dyDescent="0.2">
      <c r="B3529" s="1">
        <v>245686</v>
      </c>
    </row>
    <row r="3530" spans="2:2" x14ac:dyDescent="0.2">
      <c r="B3530" s="1">
        <v>245687</v>
      </c>
    </row>
    <row r="3531" spans="2:2" x14ac:dyDescent="0.2">
      <c r="B3531" s="1">
        <v>245688</v>
      </c>
    </row>
    <row r="3532" spans="2:2" x14ac:dyDescent="0.2">
      <c r="B3532" s="1">
        <v>245689</v>
      </c>
    </row>
    <row r="3533" spans="2:2" x14ac:dyDescent="0.2">
      <c r="B3533" s="1">
        <v>245690</v>
      </c>
    </row>
    <row r="3534" spans="2:2" x14ac:dyDescent="0.2">
      <c r="B3534" s="1">
        <v>245691</v>
      </c>
    </row>
    <row r="3535" spans="2:2" x14ac:dyDescent="0.2">
      <c r="B3535" s="1">
        <v>245692</v>
      </c>
    </row>
    <row r="3536" spans="2:2" x14ac:dyDescent="0.2">
      <c r="B3536" s="1">
        <v>245693</v>
      </c>
    </row>
    <row r="3537" spans="2:2" x14ac:dyDescent="0.2">
      <c r="B3537" s="1">
        <v>245694</v>
      </c>
    </row>
    <row r="3538" spans="2:2" x14ac:dyDescent="0.2">
      <c r="B3538" s="1">
        <v>245695</v>
      </c>
    </row>
    <row r="3539" spans="2:2" x14ac:dyDescent="0.2">
      <c r="B3539" s="1">
        <v>245696</v>
      </c>
    </row>
    <row r="3540" spans="2:2" x14ac:dyDescent="0.2">
      <c r="B3540" s="1">
        <v>245697</v>
      </c>
    </row>
    <row r="3541" spans="2:2" x14ac:dyDescent="0.2">
      <c r="B3541" s="1">
        <v>245698</v>
      </c>
    </row>
    <row r="3542" spans="2:2" x14ac:dyDescent="0.2">
      <c r="B3542" s="1">
        <v>245699</v>
      </c>
    </row>
    <row r="3543" spans="2:2" x14ac:dyDescent="0.2">
      <c r="B3543" s="1">
        <v>245700</v>
      </c>
    </row>
    <row r="3544" spans="2:2" x14ac:dyDescent="0.2">
      <c r="B3544" s="1">
        <v>245701</v>
      </c>
    </row>
    <row r="3545" spans="2:2" x14ac:dyDescent="0.2">
      <c r="B3545" s="1">
        <v>245702</v>
      </c>
    </row>
    <row r="3546" spans="2:2" x14ac:dyDescent="0.2">
      <c r="B3546" s="1">
        <v>245703</v>
      </c>
    </row>
    <row r="3547" spans="2:2" x14ac:dyDescent="0.2">
      <c r="B3547" s="1">
        <v>245704</v>
      </c>
    </row>
    <row r="3548" spans="2:2" x14ac:dyDescent="0.2">
      <c r="B3548" s="1">
        <v>245705</v>
      </c>
    </row>
    <row r="3549" spans="2:2" x14ac:dyDescent="0.2">
      <c r="B3549" s="1">
        <v>245706</v>
      </c>
    </row>
    <row r="3550" spans="2:2" x14ac:dyDescent="0.2">
      <c r="B3550" s="1">
        <v>245707</v>
      </c>
    </row>
    <row r="3551" spans="2:2" x14ac:dyDescent="0.2">
      <c r="B3551" s="1">
        <v>245708</v>
      </c>
    </row>
    <row r="3552" spans="2:2" x14ac:dyDescent="0.2">
      <c r="B3552" s="1">
        <v>245709</v>
      </c>
    </row>
    <row r="3553" spans="2:2" x14ac:dyDescent="0.2">
      <c r="B3553" s="1">
        <v>245710</v>
      </c>
    </row>
    <row r="3554" spans="2:2" x14ac:dyDescent="0.2">
      <c r="B3554" s="1">
        <v>245711</v>
      </c>
    </row>
    <row r="3555" spans="2:2" x14ac:dyDescent="0.2">
      <c r="B3555" s="1">
        <v>245712</v>
      </c>
    </row>
    <row r="3556" spans="2:2" x14ac:dyDescent="0.2">
      <c r="B3556" s="1">
        <v>245713</v>
      </c>
    </row>
    <row r="3557" spans="2:2" x14ac:dyDescent="0.2">
      <c r="B3557" s="1">
        <v>245714</v>
      </c>
    </row>
    <row r="3558" spans="2:2" x14ac:dyDescent="0.2">
      <c r="B3558" s="1">
        <v>245715</v>
      </c>
    </row>
    <row r="3559" spans="2:2" x14ac:dyDescent="0.2">
      <c r="B3559" s="1">
        <v>245716</v>
      </c>
    </row>
    <row r="3560" spans="2:2" x14ac:dyDescent="0.2">
      <c r="B3560" s="1">
        <v>245717</v>
      </c>
    </row>
    <row r="3561" spans="2:2" x14ac:dyDescent="0.2">
      <c r="B3561" s="1">
        <v>245718</v>
      </c>
    </row>
    <row r="3562" spans="2:2" x14ac:dyDescent="0.2">
      <c r="B3562" s="1">
        <v>245719</v>
      </c>
    </row>
    <row r="3563" spans="2:2" x14ac:dyDescent="0.2">
      <c r="B3563" s="1">
        <v>245720</v>
      </c>
    </row>
    <row r="3564" spans="2:2" x14ac:dyDescent="0.2">
      <c r="B3564" s="1">
        <v>245721</v>
      </c>
    </row>
    <row r="3565" spans="2:2" x14ac:dyDescent="0.2">
      <c r="B3565" s="1">
        <v>245722</v>
      </c>
    </row>
    <row r="3566" spans="2:2" x14ac:dyDescent="0.2">
      <c r="B3566" s="1">
        <v>245723</v>
      </c>
    </row>
    <row r="3567" spans="2:2" x14ac:dyDescent="0.2">
      <c r="B3567" s="1">
        <v>245724</v>
      </c>
    </row>
    <row r="3568" spans="2:2" x14ac:dyDescent="0.2">
      <c r="B3568" s="1">
        <v>245725</v>
      </c>
    </row>
    <row r="3569" spans="2:2" x14ac:dyDescent="0.2">
      <c r="B3569" s="1">
        <v>245726</v>
      </c>
    </row>
    <row r="3570" spans="2:2" x14ac:dyDescent="0.2">
      <c r="B3570" s="1">
        <v>245727</v>
      </c>
    </row>
    <row r="3571" spans="2:2" x14ac:dyDescent="0.2">
      <c r="B3571" s="1">
        <v>245728</v>
      </c>
    </row>
    <row r="3572" spans="2:2" x14ac:dyDescent="0.2">
      <c r="B3572" s="1">
        <v>245729</v>
      </c>
    </row>
    <row r="3573" spans="2:2" x14ac:dyDescent="0.2">
      <c r="B3573" s="1">
        <v>245730</v>
      </c>
    </row>
    <row r="3574" spans="2:2" x14ac:dyDescent="0.2">
      <c r="B3574" s="1">
        <v>245731</v>
      </c>
    </row>
    <row r="3575" spans="2:2" x14ac:dyDescent="0.2">
      <c r="B3575" s="1">
        <v>245732</v>
      </c>
    </row>
    <row r="3576" spans="2:2" x14ac:dyDescent="0.2">
      <c r="B3576" s="1">
        <v>245733</v>
      </c>
    </row>
    <row r="3577" spans="2:2" x14ac:dyDescent="0.2">
      <c r="B3577" s="1">
        <v>245734</v>
      </c>
    </row>
    <row r="3578" spans="2:2" x14ac:dyDescent="0.2">
      <c r="B3578" s="1">
        <v>245735</v>
      </c>
    </row>
    <row r="3579" spans="2:2" x14ac:dyDescent="0.2">
      <c r="B3579" s="1">
        <v>245736</v>
      </c>
    </row>
    <row r="3580" spans="2:2" x14ac:dyDescent="0.2">
      <c r="B3580" s="1">
        <v>245737</v>
      </c>
    </row>
    <row r="3581" spans="2:2" x14ac:dyDescent="0.2">
      <c r="B3581" s="1">
        <v>245738</v>
      </c>
    </row>
    <row r="3582" spans="2:2" x14ac:dyDescent="0.2">
      <c r="B3582" s="1">
        <v>245739</v>
      </c>
    </row>
    <row r="3583" spans="2:2" x14ac:dyDescent="0.2">
      <c r="B3583" s="1">
        <v>245740</v>
      </c>
    </row>
    <row r="3584" spans="2:2" x14ac:dyDescent="0.2">
      <c r="B3584" s="1">
        <v>245741</v>
      </c>
    </row>
    <row r="3585" spans="2:2" x14ac:dyDescent="0.2">
      <c r="B3585" s="1">
        <v>245742</v>
      </c>
    </row>
    <row r="3586" spans="2:2" x14ac:dyDescent="0.2">
      <c r="B3586" s="1">
        <v>245743</v>
      </c>
    </row>
    <row r="3587" spans="2:2" x14ac:dyDescent="0.2">
      <c r="B3587" s="1">
        <v>245744</v>
      </c>
    </row>
    <row r="3588" spans="2:2" x14ac:dyDescent="0.2">
      <c r="B3588" s="1">
        <v>245745</v>
      </c>
    </row>
    <row r="3589" spans="2:2" x14ac:dyDescent="0.2">
      <c r="B3589" s="1">
        <v>245746</v>
      </c>
    </row>
    <row r="3590" spans="2:2" x14ac:dyDescent="0.2">
      <c r="B3590" s="1">
        <v>245747</v>
      </c>
    </row>
    <row r="3591" spans="2:2" x14ac:dyDescent="0.2">
      <c r="B3591" s="1">
        <v>245748</v>
      </c>
    </row>
    <row r="3592" spans="2:2" x14ac:dyDescent="0.2">
      <c r="B3592" s="1">
        <v>245749</v>
      </c>
    </row>
    <row r="3593" spans="2:2" x14ac:dyDescent="0.2">
      <c r="B3593" s="1">
        <v>245750</v>
      </c>
    </row>
    <row r="3594" spans="2:2" x14ac:dyDescent="0.2">
      <c r="B3594" s="1">
        <v>245751</v>
      </c>
    </row>
    <row r="3595" spans="2:2" x14ac:dyDescent="0.2">
      <c r="B3595" s="1">
        <v>245752</v>
      </c>
    </row>
    <row r="3596" spans="2:2" x14ac:dyDescent="0.2">
      <c r="B3596" s="1">
        <v>245753</v>
      </c>
    </row>
    <row r="3597" spans="2:2" x14ac:dyDescent="0.2">
      <c r="B3597" s="1">
        <v>245754</v>
      </c>
    </row>
    <row r="3598" spans="2:2" x14ac:dyDescent="0.2">
      <c r="B3598" s="1">
        <v>245755</v>
      </c>
    </row>
    <row r="3599" spans="2:2" x14ac:dyDescent="0.2">
      <c r="B3599" s="1">
        <v>245756</v>
      </c>
    </row>
    <row r="3600" spans="2:2" x14ac:dyDescent="0.2">
      <c r="B3600" s="1">
        <v>245757</v>
      </c>
    </row>
    <row r="3601" spans="2:2" x14ac:dyDescent="0.2">
      <c r="B3601" s="1">
        <v>245758</v>
      </c>
    </row>
    <row r="3602" spans="2:2" x14ac:dyDescent="0.2">
      <c r="B3602" s="1">
        <v>245759</v>
      </c>
    </row>
    <row r="3603" spans="2:2" x14ac:dyDescent="0.2">
      <c r="B3603" s="1">
        <v>245760</v>
      </c>
    </row>
    <row r="3604" spans="2:2" x14ac:dyDescent="0.2">
      <c r="B3604" s="1">
        <v>245761</v>
      </c>
    </row>
    <row r="3605" spans="2:2" x14ac:dyDescent="0.2">
      <c r="B3605" s="1">
        <v>245762</v>
      </c>
    </row>
    <row r="3606" spans="2:2" x14ac:dyDescent="0.2">
      <c r="B3606" s="1">
        <v>245763</v>
      </c>
    </row>
    <row r="3607" spans="2:2" x14ac:dyDescent="0.2">
      <c r="B3607" s="1">
        <v>245764</v>
      </c>
    </row>
    <row r="3608" spans="2:2" x14ac:dyDescent="0.2">
      <c r="B3608" s="1">
        <v>245765</v>
      </c>
    </row>
    <row r="3609" spans="2:2" x14ac:dyDescent="0.2">
      <c r="B3609" s="1">
        <v>245766</v>
      </c>
    </row>
    <row r="3610" spans="2:2" x14ac:dyDescent="0.2">
      <c r="B3610" s="1">
        <v>245767</v>
      </c>
    </row>
    <row r="3611" spans="2:2" x14ac:dyDescent="0.2">
      <c r="B3611" s="1">
        <v>245768</v>
      </c>
    </row>
    <row r="3612" spans="2:2" x14ac:dyDescent="0.2">
      <c r="B3612" s="1">
        <v>245769</v>
      </c>
    </row>
    <row r="3613" spans="2:2" x14ac:dyDescent="0.2">
      <c r="B3613" s="1">
        <v>245770</v>
      </c>
    </row>
    <row r="3614" spans="2:2" x14ac:dyDescent="0.2">
      <c r="B3614" s="1">
        <v>245771</v>
      </c>
    </row>
    <row r="3615" spans="2:2" x14ac:dyDescent="0.2">
      <c r="B3615" s="1">
        <v>245772</v>
      </c>
    </row>
    <row r="3616" spans="2:2" x14ac:dyDescent="0.2">
      <c r="B3616" s="1">
        <v>245773</v>
      </c>
    </row>
    <row r="3617" spans="2:2" x14ac:dyDescent="0.2">
      <c r="B3617" s="1">
        <v>245774</v>
      </c>
    </row>
    <row r="3618" spans="2:2" x14ac:dyDescent="0.2">
      <c r="B3618" s="1">
        <v>245775</v>
      </c>
    </row>
    <row r="3619" spans="2:2" x14ac:dyDescent="0.2">
      <c r="B3619" s="1">
        <v>245776</v>
      </c>
    </row>
    <row r="3620" spans="2:2" x14ac:dyDescent="0.2">
      <c r="B3620" s="1">
        <v>245777</v>
      </c>
    </row>
    <row r="3621" spans="2:2" x14ac:dyDescent="0.2">
      <c r="B3621" s="1">
        <v>245778</v>
      </c>
    </row>
    <row r="3622" spans="2:2" x14ac:dyDescent="0.2">
      <c r="B3622" s="1">
        <v>245779</v>
      </c>
    </row>
    <row r="3623" spans="2:2" x14ac:dyDescent="0.2">
      <c r="B3623" s="1">
        <v>245780</v>
      </c>
    </row>
    <row r="3624" spans="2:2" x14ac:dyDescent="0.2">
      <c r="B3624" s="1">
        <v>245781</v>
      </c>
    </row>
    <row r="3625" spans="2:2" x14ac:dyDescent="0.2">
      <c r="B3625" s="1">
        <v>245782</v>
      </c>
    </row>
    <row r="3626" spans="2:2" x14ac:dyDescent="0.2">
      <c r="B3626" s="1">
        <v>245783</v>
      </c>
    </row>
    <row r="3627" spans="2:2" x14ac:dyDescent="0.2">
      <c r="B3627" s="1">
        <v>245784</v>
      </c>
    </row>
    <row r="3628" spans="2:2" x14ac:dyDescent="0.2">
      <c r="B3628" s="1">
        <v>245785</v>
      </c>
    </row>
    <row r="3629" spans="2:2" x14ac:dyDescent="0.2">
      <c r="B3629" s="1">
        <v>245786</v>
      </c>
    </row>
    <row r="3630" spans="2:2" x14ac:dyDescent="0.2">
      <c r="B3630" s="1">
        <v>245787</v>
      </c>
    </row>
    <row r="3631" spans="2:2" x14ac:dyDescent="0.2">
      <c r="B3631" s="1">
        <v>245788</v>
      </c>
    </row>
    <row r="3632" spans="2:2" x14ac:dyDescent="0.2">
      <c r="B3632" s="1">
        <v>245789</v>
      </c>
    </row>
    <row r="3633" spans="2:2" x14ac:dyDescent="0.2">
      <c r="B3633" s="1">
        <v>245790</v>
      </c>
    </row>
    <row r="3634" spans="2:2" x14ac:dyDescent="0.2">
      <c r="B3634" s="1">
        <v>245791</v>
      </c>
    </row>
    <row r="3635" spans="2:2" x14ac:dyDescent="0.2">
      <c r="B3635" s="1">
        <v>245792</v>
      </c>
    </row>
    <row r="3636" spans="2:2" x14ac:dyDescent="0.2">
      <c r="B3636" s="1">
        <v>245793</v>
      </c>
    </row>
    <row r="3637" spans="2:2" x14ac:dyDescent="0.2">
      <c r="B3637" s="1">
        <v>245794</v>
      </c>
    </row>
    <row r="3638" spans="2:2" x14ac:dyDescent="0.2">
      <c r="B3638" s="1">
        <v>245795</v>
      </c>
    </row>
    <row r="3639" spans="2:2" x14ac:dyDescent="0.2">
      <c r="B3639" s="1">
        <v>245796</v>
      </c>
    </row>
    <row r="3640" spans="2:2" x14ac:dyDescent="0.2">
      <c r="B3640" s="1">
        <v>245797</v>
      </c>
    </row>
    <row r="3641" spans="2:2" x14ac:dyDescent="0.2">
      <c r="B3641" s="1">
        <v>245798</v>
      </c>
    </row>
    <row r="3642" spans="2:2" x14ac:dyDescent="0.2">
      <c r="B3642" s="1">
        <v>245799</v>
      </c>
    </row>
    <row r="3643" spans="2:2" x14ac:dyDescent="0.2">
      <c r="B3643" s="1">
        <v>245800</v>
      </c>
    </row>
    <row r="3644" spans="2:2" x14ac:dyDescent="0.2">
      <c r="B3644" s="1">
        <v>245801</v>
      </c>
    </row>
    <row r="3645" spans="2:2" x14ac:dyDescent="0.2">
      <c r="B3645" s="1">
        <v>245802</v>
      </c>
    </row>
    <row r="3646" spans="2:2" x14ac:dyDescent="0.2">
      <c r="B3646" s="1">
        <v>245803</v>
      </c>
    </row>
    <row r="3647" spans="2:2" x14ac:dyDescent="0.2">
      <c r="B3647" s="1">
        <v>245804</v>
      </c>
    </row>
    <row r="3648" spans="2:2" x14ac:dyDescent="0.2">
      <c r="B3648" s="1">
        <v>245805</v>
      </c>
    </row>
    <row r="3649" spans="2:2" x14ac:dyDescent="0.2">
      <c r="B3649" s="1">
        <v>245806</v>
      </c>
    </row>
    <row r="3650" spans="2:2" x14ac:dyDescent="0.2">
      <c r="B3650" s="1">
        <v>245807</v>
      </c>
    </row>
    <row r="3651" spans="2:2" x14ac:dyDescent="0.2">
      <c r="B3651" s="1">
        <v>245808</v>
      </c>
    </row>
    <row r="3652" spans="2:2" x14ac:dyDescent="0.2">
      <c r="B3652" s="1">
        <v>245809</v>
      </c>
    </row>
    <row r="3653" spans="2:2" x14ac:dyDescent="0.2">
      <c r="B3653" s="1">
        <v>245810</v>
      </c>
    </row>
    <row r="3654" spans="2:2" x14ac:dyDescent="0.2">
      <c r="B3654" s="1">
        <v>245811</v>
      </c>
    </row>
    <row r="3655" spans="2:2" x14ac:dyDescent="0.2">
      <c r="B3655" s="1">
        <v>245812</v>
      </c>
    </row>
    <row r="3656" spans="2:2" x14ac:dyDescent="0.2">
      <c r="B3656" s="1">
        <v>245813</v>
      </c>
    </row>
    <row r="3657" spans="2:2" x14ac:dyDescent="0.2">
      <c r="B3657" s="1">
        <v>245814</v>
      </c>
    </row>
    <row r="3658" spans="2:2" x14ac:dyDescent="0.2">
      <c r="B3658" s="1">
        <v>245815</v>
      </c>
    </row>
    <row r="3659" spans="2:2" x14ac:dyDescent="0.2">
      <c r="B3659" s="1">
        <v>245816</v>
      </c>
    </row>
    <row r="3660" spans="2:2" x14ac:dyDescent="0.2">
      <c r="B3660" s="1">
        <v>245817</v>
      </c>
    </row>
    <row r="3661" spans="2:2" x14ac:dyDescent="0.2">
      <c r="B3661" s="1">
        <v>245818</v>
      </c>
    </row>
    <row r="3662" spans="2:2" x14ac:dyDescent="0.2">
      <c r="B3662" s="1">
        <v>245819</v>
      </c>
    </row>
    <row r="3663" spans="2:2" x14ac:dyDescent="0.2">
      <c r="B3663" s="1">
        <v>245820</v>
      </c>
    </row>
    <row r="3664" spans="2:2" x14ac:dyDescent="0.2">
      <c r="B3664" s="1">
        <v>245821</v>
      </c>
    </row>
    <row r="3665" spans="2:2" x14ac:dyDescent="0.2">
      <c r="B3665" s="1">
        <v>245822</v>
      </c>
    </row>
    <row r="3666" spans="2:2" x14ac:dyDescent="0.2">
      <c r="B3666" s="1">
        <v>245823</v>
      </c>
    </row>
    <row r="3667" spans="2:2" x14ac:dyDescent="0.2">
      <c r="B3667" s="1">
        <v>245824</v>
      </c>
    </row>
    <row r="3668" spans="2:2" x14ac:dyDescent="0.2">
      <c r="B3668" s="1">
        <v>245825</v>
      </c>
    </row>
    <row r="3669" spans="2:2" x14ac:dyDescent="0.2">
      <c r="B3669" s="1">
        <v>245826</v>
      </c>
    </row>
    <row r="3670" spans="2:2" x14ac:dyDescent="0.2">
      <c r="B3670" s="1">
        <v>245827</v>
      </c>
    </row>
    <row r="3671" spans="2:2" x14ac:dyDescent="0.2">
      <c r="B3671" s="1">
        <v>245828</v>
      </c>
    </row>
    <row r="3672" spans="2:2" x14ac:dyDescent="0.2">
      <c r="B3672" s="1">
        <v>245829</v>
      </c>
    </row>
    <row r="3673" spans="2:2" x14ac:dyDescent="0.2">
      <c r="B3673" s="1">
        <v>245830</v>
      </c>
    </row>
    <row r="3674" spans="2:2" x14ac:dyDescent="0.2">
      <c r="B3674" s="1">
        <v>245831</v>
      </c>
    </row>
    <row r="3675" spans="2:2" x14ac:dyDescent="0.2">
      <c r="B3675" s="1">
        <v>245832</v>
      </c>
    </row>
    <row r="3676" spans="2:2" x14ac:dyDescent="0.2">
      <c r="B3676" s="1">
        <v>245833</v>
      </c>
    </row>
    <row r="3677" spans="2:2" x14ac:dyDescent="0.2">
      <c r="B3677" s="1">
        <v>245834</v>
      </c>
    </row>
    <row r="3678" spans="2:2" x14ac:dyDescent="0.2">
      <c r="B3678" s="1">
        <v>245835</v>
      </c>
    </row>
    <row r="3679" spans="2:2" x14ac:dyDescent="0.2">
      <c r="B3679" s="1">
        <v>245836</v>
      </c>
    </row>
    <row r="3680" spans="2:2" x14ac:dyDescent="0.2">
      <c r="B3680" s="1">
        <v>245837</v>
      </c>
    </row>
    <row r="3681" spans="2:2" x14ac:dyDescent="0.2">
      <c r="B3681" s="1">
        <v>245838</v>
      </c>
    </row>
    <row r="3682" spans="2:2" x14ac:dyDescent="0.2">
      <c r="B3682" s="1">
        <v>245839</v>
      </c>
    </row>
    <row r="3683" spans="2:2" x14ac:dyDescent="0.2">
      <c r="B3683" s="1">
        <v>245840</v>
      </c>
    </row>
    <row r="3684" spans="2:2" x14ac:dyDescent="0.2">
      <c r="B3684" s="1">
        <v>245841</v>
      </c>
    </row>
    <row r="3685" spans="2:2" x14ac:dyDescent="0.2">
      <c r="B3685" s="1">
        <v>245842</v>
      </c>
    </row>
    <row r="3686" spans="2:2" x14ac:dyDescent="0.2">
      <c r="B3686" s="1">
        <v>245843</v>
      </c>
    </row>
    <row r="3687" spans="2:2" x14ac:dyDescent="0.2">
      <c r="B3687" s="1">
        <v>245844</v>
      </c>
    </row>
    <row r="3688" spans="2:2" x14ac:dyDescent="0.2">
      <c r="B3688" s="1">
        <v>245845</v>
      </c>
    </row>
    <row r="3689" spans="2:2" x14ac:dyDescent="0.2">
      <c r="B3689" s="1">
        <v>245846</v>
      </c>
    </row>
    <row r="3690" spans="2:2" x14ac:dyDescent="0.2">
      <c r="B3690" s="1">
        <v>245847</v>
      </c>
    </row>
    <row r="3691" spans="2:2" x14ac:dyDescent="0.2">
      <c r="B3691" s="1">
        <v>245848</v>
      </c>
    </row>
    <row r="3692" spans="2:2" x14ac:dyDescent="0.2">
      <c r="B3692" s="1">
        <v>245849</v>
      </c>
    </row>
    <row r="3693" spans="2:2" x14ac:dyDescent="0.2">
      <c r="B3693" s="1">
        <v>245850</v>
      </c>
    </row>
    <row r="3694" spans="2:2" x14ac:dyDescent="0.2">
      <c r="B3694" s="1">
        <v>245851</v>
      </c>
    </row>
    <row r="3695" spans="2:2" x14ac:dyDescent="0.2">
      <c r="B3695" s="1">
        <v>245852</v>
      </c>
    </row>
    <row r="3696" spans="2:2" x14ac:dyDescent="0.2">
      <c r="B3696" s="1">
        <v>245853</v>
      </c>
    </row>
    <row r="3697" spans="2:2" x14ac:dyDescent="0.2">
      <c r="B3697" s="1">
        <v>245854</v>
      </c>
    </row>
    <row r="3698" spans="2:2" x14ac:dyDescent="0.2">
      <c r="B3698" s="1">
        <v>245855</v>
      </c>
    </row>
    <row r="3699" spans="2:2" x14ac:dyDescent="0.2">
      <c r="B3699" s="1">
        <v>245856</v>
      </c>
    </row>
    <row r="3700" spans="2:2" x14ac:dyDescent="0.2">
      <c r="B3700" s="1">
        <v>245857</v>
      </c>
    </row>
    <row r="3701" spans="2:2" x14ac:dyDescent="0.2">
      <c r="B3701" s="1">
        <v>245858</v>
      </c>
    </row>
    <row r="3702" spans="2:2" x14ac:dyDescent="0.2">
      <c r="B3702" s="1">
        <v>245859</v>
      </c>
    </row>
    <row r="3703" spans="2:2" x14ac:dyDescent="0.2">
      <c r="B3703" s="1">
        <v>245860</v>
      </c>
    </row>
    <row r="3704" spans="2:2" x14ac:dyDescent="0.2">
      <c r="B3704" s="1">
        <v>245861</v>
      </c>
    </row>
    <row r="3705" spans="2:2" x14ac:dyDescent="0.2">
      <c r="B3705" s="1">
        <v>245862</v>
      </c>
    </row>
    <row r="3706" spans="2:2" x14ac:dyDescent="0.2">
      <c r="B3706" s="1">
        <v>245863</v>
      </c>
    </row>
    <row r="3707" spans="2:2" x14ac:dyDescent="0.2">
      <c r="B3707" s="1">
        <v>245864</v>
      </c>
    </row>
    <row r="3708" spans="2:2" x14ac:dyDescent="0.2">
      <c r="B3708" s="1">
        <v>245865</v>
      </c>
    </row>
    <row r="3709" spans="2:2" x14ac:dyDescent="0.2">
      <c r="B3709" s="1">
        <v>245866</v>
      </c>
    </row>
    <row r="3710" spans="2:2" x14ac:dyDescent="0.2">
      <c r="B3710" s="1">
        <v>245867</v>
      </c>
    </row>
    <row r="3711" spans="2:2" x14ac:dyDescent="0.2">
      <c r="B3711" s="1">
        <v>245868</v>
      </c>
    </row>
    <row r="3712" spans="2:2" x14ac:dyDescent="0.2">
      <c r="B3712" s="1">
        <v>245869</v>
      </c>
    </row>
    <row r="3713" spans="2:2" x14ac:dyDescent="0.2">
      <c r="B3713" s="1">
        <v>245870</v>
      </c>
    </row>
    <row r="3714" spans="2:2" x14ac:dyDescent="0.2">
      <c r="B3714" s="1">
        <v>245871</v>
      </c>
    </row>
    <row r="3715" spans="2:2" x14ac:dyDescent="0.2">
      <c r="B3715" s="1">
        <v>245872</v>
      </c>
    </row>
    <row r="3716" spans="2:2" x14ac:dyDescent="0.2">
      <c r="B3716" s="1">
        <v>245873</v>
      </c>
    </row>
    <row r="3717" spans="2:2" x14ac:dyDescent="0.2">
      <c r="B3717" s="1">
        <v>245874</v>
      </c>
    </row>
    <row r="3718" spans="2:2" x14ac:dyDescent="0.2">
      <c r="B3718" s="1">
        <v>245875</v>
      </c>
    </row>
    <row r="3719" spans="2:2" x14ac:dyDescent="0.2">
      <c r="B3719" s="1">
        <v>245876</v>
      </c>
    </row>
    <row r="3720" spans="2:2" x14ac:dyDescent="0.2">
      <c r="B3720" s="1">
        <v>245877</v>
      </c>
    </row>
    <row r="3721" spans="2:2" x14ac:dyDescent="0.2">
      <c r="B3721" s="1">
        <v>245878</v>
      </c>
    </row>
    <row r="3722" spans="2:2" x14ac:dyDescent="0.2">
      <c r="B3722" s="1">
        <v>245879</v>
      </c>
    </row>
    <row r="3723" spans="2:2" x14ac:dyDescent="0.2">
      <c r="B3723" s="1">
        <v>245880</v>
      </c>
    </row>
    <row r="3724" spans="2:2" x14ac:dyDescent="0.2">
      <c r="B3724" s="1">
        <v>245881</v>
      </c>
    </row>
    <row r="3725" spans="2:2" x14ac:dyDescent="0.2">
      <c r="B3725" s="1">
        <v>245882</v>
      </c>
    </row>
    <row r="3726" spans="2:2" x14ac:dyDescent="0.2">
      <c r="B3726" s="1">
        <v>245883</v>
      </c>
    </row>
    <row r="3727" spans="2:2" x14ac:dyDescent="0.2">
      <c r="B3727" s="1">
        <v>245884</v>
      </c>
    </row>
    <row r="3728" spans="2:2" x14ac:dyDescent="0.2">
      <c r="B3728" s="1">
        <v>245885</v>
      </c>
    </row>
    <row r="3729" spans="2:2" x14ac:dyDescent="0.2">
      <c r="B3729" s="1">
        <v>245886</v>
      </c>
    </row>
    <row r="3730" spans="2:2" x14ac:dyDescent="0.2">
      <c r="B3730" s="1">
        <v>245887</v>
      </c>
    </row>
    <row r="3731" spans="2:2" x14ac:dyDescent="0.2">
      <c r="B3731" s="1">
        <v>245888</v>
      </c>
    </row>
    <row r="3732" spans="2:2" x14ac:dyDescent="0.2">
      <c r="B3732" s="1">
        <v>245889</v>
      </c>
    </row>
    <row r="3733" spans="2:2" x14ac:dyDescent="0.2">
      <c r="B3733" s="1">
        <v>245890</v>
      </c>
    </row>
    <row r="3734" spans="2:2" x14ac:dyDescent="0.2">
      <c r="B3734" s="1">
        <v>245891</v>
      </c>
    </row>
    <row r="3735" spans="2:2" x14ac:dyDescent="0.2">
      <c r="B3735" s="1">
        <v>245892</v>
      </c>
    </row>
    <row r="3736" spans="2:2" x14ac:dyDescent="0.2">
      <c r="B3736" s="1">
        <v>245893</v>
      </c>
    </row>
    <row r="3737" spans="2:2" x14ac:dyDescent="0.2">
      <c r="B3737" s="1">
        <v>245894</v>
      </c>
    </row>
    <row r="3738" spans="2:2" x14ac:dyDescent="0.2">
      <c r="B3738" s="1">
        <v>245895</v>
      </c>
    </row>
    <row r="3739" spans="2:2" x14ac:dyDescent="0.2">
      <c r="B3739" s="1">
        <v>245896</v>
      </c>
    </row>
    <row r="3740" spans="2:2" x14ac:dyDescent="0.2">
      <c r="B3740" s="1">
        <v>245897</v>
      </c>
    </row>
    <row r="3741" spans="2:2" x14ac:dyDescent="0.2">
      <c r="B3741" s="1">
        <v>245898</v>
      </c>
    </row>
    <row r="3742" spans="2:2" x14ac:dyDescent="0.2">
      <c r="B3742" s="1">
        <v>245899</v>
      </c>
    </row>
    <row r="3743" spans="2:2" x14ac:dyDescent="0.2">
      <c r="B3743" s="1">
        <v>245900</v>
      </c>
    </row>
    <row r="3744" spans="2:2" x14ac:dyDescent="0.2">
      <c r="B3744" s="1">
        <v>245901</v>
      </c>
    </row>
    <row r="3745" spans="2:2" x14ac:dyDescent="0.2">
      <c r="B3745" s="1">
        <v>245902</v>
      </c>
    </row>
    <row r="3746" spans="2:2" x14ac:dyDescent="0.2">
      <c r="B3746" s="1">
        <v>245903</v>
      </c>
    </row>
    <row r="3747" spans="2:2" x14ac:dyDescent="0.2">
      <c r="B3747" s="1">
        <v>245904</v>
      </c>
    </row>
    <row r="3748" spans="2:2" x14ac:dyDescent="0.2">
      <c r="B3748" s="1">
        <v>245905</v>
      </c>
    </row>
    <row r="3749" spans="2:2" x14ac:dyDescent="0.2">
      <c r="B3749" s="1">
        <v>245906</v>
      </c>
    </row>
    <row r="3750" spans="2:2" x14ac:dyDescent="0.2">
      <c r="B3750" s="1">
        <v>245907</v>
      </c>
    </row>
    <row r="3751" spans="2:2" x14ac:dyDescent="0.2">
      <c r="B3751" s="1">
        <v>245908</v>
      </c>
    </row>
    <row r="3752" spans="2:2" x14ac:dyDescent="0.2">
      <c r="B3752" s="1">
        <v>245909</v>
      </c>
    </row>
    <row r="3753" spans="2:2" x14ac:dyDescent="0.2">
      <c r="B3753" s="1">
        <v>245910</v>
      </c>
    </row>
    <row r="3754" spans="2:2" x14ac:dyDescent="0.2">
      <c r="B3754" s="1">
        <v>245911</v>
      </c>
    </row>
    <row r="3755" spans="2:2" x14ac:dyDescent="0.2">
      <c r="B3755" s="1">
        <v>245912</v>
      </c>
    </row>
    <row r="3756" spans="2:2" x14ac:dyDescent="0.2">
      <c r="B3756" s="1">
        <v>245913</v>
      </c>
    </row>
    <row r="3757" spans="2:2" x14ac:dyDescent="0.2">
      <c r="B3757" s="1">
        <v>245914</v>
      </c>
    </row>
    <row r="3758" spans="2:2" x14ac:dyDescent="0.2">
      <c r="B3758" s="1">
        <v>245915</v>
      </c>
    </row>
    <row r="3759" spans="2:2" x14ac:dyDescent="0.2">
      <c r="B3759" s="1">
        <v>245916</v>
      </c>
    </row>
    <row r="3760" spans="2:2" x14ac:dyDescent="0.2">
      <c r="B3760" s="1">
        <v>245917</v>
      </c>
    </row>
    <row r="3761" spans="2:2" x14ac:dyDescent="0.2">
      <c r="B3761" s="1">
        <v>245918</v>
      </c>
    </row>
    <row r="3762" spans="2:2" x14ac:dyDescent="0.2">
      <c r="B3762" s="1">
        <v>245919</v>
      </c>
    </row>
    <row r="3763" spans="2:2" x14ac:dyDescent="0.2">
      <c r="B3763" s="1">
        <v>245920</v>
      </c>
    </row>
    <row r="3764" spans="2:2" x14ac:dyDescent="0.2">
      <c r="B3764" s="1">
        <v>245921</v>
      </c>
    </row>
    <row r="3765" spans="2:2" x14ac:dyDescent="0.2">
      <c r="B3765" s="1">
        <v>245922</v>
      </c>
    </row>
    <row r="3766" spans="2:2" x14ac:dyDescent="0.2">
      <c r="B3766" s="1">
        <v>245923</v>
      </c>
    </row>
    <row r="3767" spans="2:2" x14ac:dyDescent="0.2">
      <c r="B3767" s="1">
        <v>245924</v>
      </c>
    </row>
    <row r="3768" spans="2:2" x14ac:dyDescent="0.2">
      <c r="B3768" s="1">
        <v>245925</v>
      </c>
    </row>
    <row r="3769" spans="2:2" x14ac:dyDescent="0.2">
      <c r="B3769" s="1">
        <v>245926</v>
      </c>
    </row>
    <row r="3770" spans="2:2" x14ac:dyDescent="0.2">
      <c r="B3770" s="1">
        <v>245927</v>
      </c>
    </row>
    <row r="3771" spans="2:2" x14ac:dyDescent="0.2">
      <c r="B3771" s="1">
        <v>245928</v>
      </c>
    </row>
    <row r="3772" spans="2:2" x14ac:dyDescent="0.2">
      <c r="B3772" s="1">
        <v>245929</v>
      </c>
    </row>
    <row r="3773" spans="2:2" x14ac:dyDescent="0.2">
      <c r="B3773" s="1">
        <v>245930</v>
      </c>
    </row>
    <row r="3774" spans="2:2" x14ac:dyDescent="0.2">
      <c r="B3774" s="1">
        <v>245931</v>
      </c>
    </row>
    <row r="3775" spans="2:2" x14ac:dyDescent="0.2">
      <c r="B3775" s="1">
        <v>245932</v>
      </c>
    </row>
    <row r="3776" spans="2:2" x14ac:dyDescent="0.2">
      <c r="B3776" s="1">
        <v>245933</v>
      </c>
    </row>
    <row r="3777" spans="2:2" x14ac:dyDescent="0.2">
      <c r="B3777" s="1">
        <v>245934</v>
      </c>
    </row>
    <row r="3778" spans="2:2" x14ac:dyDescent="0.2">
      <c r="B3778" s="1">
        <v>245935</v>
      </c>
    </row>
    <row r="3779" spans="2:2" x14ac:dyDescent="0.2">
      <c r="B3779" s="1">
        <v>245936</v>
      </c>
    </row>
    <row r="3780" spans="2:2" x14ac:dyDescent="0.2">
      <c r="B3780" s="1">
        <v>245937</v>
      </c>
    </row>
    <row r="3781" spans="2:2" x14ac:dyDescent="0.2">
      <c r="B3781" s="1">
        <v>245938</v>
      </c>
    </row>
    <row r="3782" spans="2:2" x14ac:dyDescent="0.2">
      <c r="B3782" s="1">
        <v>245939</v>
      </c>
    </row>
    <row r="3783" spans="2:2" x14ac:dyDescent="0.2">
      <c r="B3783" s="1">
        <v>245940</v>
      </c>
    </row>
    <row r="3784" spans="2:2" x14ac:dyDescent="0.2">
      <c r="B3784" s="1">
        <v>245941</v>
      </c>
    </row>
    <row r="3785" spans="2:2" x14ac:dyDescent="0.2">
      <c r="B3785" s="1">
        <v>245942</v>
      </c>
    </row>
    <row r="3786" spans="2:2" x14ac:dyDescent="0.2">
      <c r="B3786" s="1">
        <v>245943</v>
      </c>
    </row>
    <row r="3787" spans="2:2" x14ac:dyDescent="0.2">
      <c r="B3787" s="1">
        <v>245944</v>
      </c>
    </row>
    <row r="3788" spans="2:2" x14ac:dyDescent="0.2">
      <c r="B3788" s="1">
        <v>245945</v>
      </c>
    </row>
    <row r="3789" spans="2:2" x14ac:dyDescent="0.2">
      <c r="B3789" s="1">
        <v>245946</v>
      </c>
    </row>
    <row r="3790" spans="2:2" x14ac:dyDescent="0.2">
      <c r="B3790" s="1">
        <v>245947</v>
      </c>
    </row>
    <row r="3791" spans="2:2" x14ac:dyDescent="0.2">
      <c r="B3791" s="1">
        <v>245948</v>
      </c>
    </row>
    <row r="3792" spans="2:2" x14ac:dyDescent="0.2">
      <c r="B3792" s="1">
        <v>245949</v>
      </c>
    </row>
    <row r="3793" spans="2:2" x14ac:dyDescent="0.2">
      <c r="B3793" s="1">
        <v>245950</v>
      </c>
    </row>
    <row r="3794" spans="2:2" x14ac:dyDescent="0.2">
      <c r="B3794" s="1">
        <v>245951</v>
      </c>
    </row>
    <row r="3795" spans="2:2" x14ac:dyDescent="0.2">
      <c r="B3795" s="1">
        <v>245952</v>
      </c>
    </row>
    <row r="3796" spans="2:2" x14ac:dyDescent="0.2">
      <c r="B3796" s="1">
        <v>245953</v>
      </c>
    </row>
    <row r="3797" spans="2:2" x14ac:dyDescent="0.2">
      <c r="B3797" s="1">
        <v>245954</v>
      </c>
    </row>
    <row r="3798" spans="2:2" x14ac:dyDescent="0.2">
      <c r="B3798" s="1">
        <v>245955</v>
      </c>
    </row>
    <row r="3799" spans="2:2" x14ac:dyDescent="0.2">
      <c r="B3799" s="1">
        <v>245956</v>
      </c>
    </row>
    <row r="3800" spans="2:2" x14ac:dyDescent="0.2">
      <c r="B3800" s="1">
        <v>245957</v>
      </c>
    </row>
    <row r="3801" spans="2:2" x14ac:dyDescent="0.2">
      <c r="B3801" s="1">
        <v>245958</v>
      </c>
    </row>
    <row r="3802" spans="2:2" x14ac:dyDescent="0.2">
      <c r="B3802" s="1">
        <v>245959</v>
      </c>
    </row>
    <row r="3803" spans="2:2" x14ac:dyDescent="0.2">
      <c r="B3803" s="1">
        <v>245960</v>
      </c>
    </row>
    <row r="3804" spans="2:2" x14ac:dyDescent="0.2">
      <c r="B3804" s="1">
        <v>245961</v>
      </c>
    </row>
    <row r="3805" spans="2:2" x14ac:dyDescent="0.2">
      <c r="B3805" s="1">
        <v>245962</v>
      </c>
    </row>
    <row r="3806" spans="2:2" x14ac:dyDescent="0.2">
      <c r="B3806" s="1">
        <v>245963</v>
      </c>
    </row>
    <row r="3807" spans="2:2" x14ac:dyDescent="0.2">
      <c r="B3807" s="1">
        <v>245964</v>
      </c>
    </row>
    <row r="3808" spans="2:2" x14ac:dyDescent="0.2">
      <c r="B3808" s="1">
        <v>245965</v>
      </c>
    </row>
    <row r="3809" spans="2:2" x14ac:dyDescent="0.2">
      <c r="B3809" s="1">
        <v>245966</v>
      </c>
    </row>
    <row r="3810" spans="2:2" x14ac:dyDescent="0.2">
      <c r="B3810" s="1">
        <v>245967</v>
      </c>
    </row>
    <row r="3811" spans="2:2" x14ac:dyDescent="0.2">
      <c r="B3811" s="1">
        <v>245968</v>
      </c>
    </row>
    <row r="3812" spans="2:2" x14ac:dyDescent="0.2">
      <c r="B3812" s="1">
        <v>245969</v>
      </c>
    </row>
    <row r="3813" spans="2:2" x14ac:dyDescent="0.2">
      <c r="B3813" s="1">
        <v>245970</v>
      </c>
    </row>
    <row r="3814" spans="2:2" x14ac:dyDescent="0.2">
      <c r="B3814" s="1">
        <v>245971</v>
      </c>
    </row>
    <row r="3815" spans="2:2" x14ac:dyDescent="0.2">
      <c r="B3815" s="1">
        <v>245972</v>
      </c>
    </row>
    <row r="3816" spans="2:2" x14ac:dyDescent="0.2">
      <c r="B3816" s="1">
        <v>245973</v>
      </c>
    </row>
    <row r="3817" spans="2:2" x14ac:dyDescent="0.2">
      <c r="B3817" s="1">
        <v>245974</v>
      </c>
    </row>
    <row r="3818" spans="2:2" x14ac:dyDescent="0.2">
      <c r="B3818" s="1">
        <v>245975</v>
      </c>
    </row>
    <row r="3819" spans="2:2" x14ac:dyDescent="0.2">
      <c r="B3819" s="1">
        <v>245976</v>
      </c>
    </row>
    <row r="3820" spans="2:2" x14ac:dyDescent="0.2">
      <c r="B3820" s="1">
        <v>245977</v>
      </c>
    </row>
    <row r="3821" spans="2:2" x14ac:dyDescent="0.2">
      <c r="B3821" s="1">
        <v>245978</v>
      </c>
    </row>
    <row r="3822" spans="2:2" x14ac:dyDescent="0.2">
      <c r="B3822" s="1">
        <v>245979</v>
      </c>
    </row>
    <row r="3823" spans="2:2" x14ac:dyDescent="0.2">
      <c r="B3823" s="1">
        <v>245980</v>
      </c>
    </row>
    <row r="3824" spans="2:2" x14ac:dyDescent="0.2">
      <c r="B3824" s="1">
        <v>245981</v>
      </c>
    </row>
    <row r="3825" spans="2:2" x14ac:dyDescent="0.2">
      <c r="B3825" s="1">
        <v>245982</v>
      </c>
    </row>
    <row r="3826" spans="2:2" x14ac:dyDescent="0.2">
      <c r="B3826" s="1">
        <v>245983</v>
      </c>
    </row>
    <row r="3827" spans="2:2" x14ac:dyDescent="0.2">
      <c r="B3827" s="1">
        <v>245984</v>
      </c>
    </row>
    <row r="3828" spans="2:2" x14ac:dyDescent="0.2">
      <c r="B3828" s="1">
        <v>245985</v>
      </c>
    </row>
    <row r="3829" spans="2:2" x14ac:dyDescent="0.2">
      <c r="B3829" s="1">
        <v>245986</v>
      </c>
    </row>
    <row r="3830" spans="2:2" x14ac:dyDescent="0.2">
      <c r="B3830" s="1">
        <v>245987</v>
      </c>
    </row>
    <row r="3831" spans="2:2" x14ac:dyDescent="0.2">
      <c r="B3831" s="1">
        <v>245988</v>
      </c>
    </row>
    <row r="3832" spans="2:2" x14ac:dyDescent="0.2">
      <c r="B3832" s="1">
        <v>245989</v>
      </c>
    </row>
    <row r="3833" spans="2:2" x14ac:dyDescent="0.2">
      <c r="B3833" s="1">
        <v>245990</v>
      </c>
    </row>
    <row r="3834" spans="2:2" x14ac:dyDescent="0.2">
      <c r="B3834" s="1">
        <v>245991</v>
      </c>
    </row>
    <row r="3835" spans="2:2" x14ac:dyDescent="0.2">
      <c r="B3835" s="1">
        <v>245992</v>
      </c>
    </row>
    <row r="3836" spans="2:2" x14ac:dyDescent="0.2">
      <c r="B3836" s="1">
        <v>245993</v>
      </c>
    </row>
    <row r="3837" spans="2:2" x14ac:dyDescent="0.2">
      <c r="B3837" s="1">
        <v>245994</v>
      </c>
    </row>
    <row r="3838" spans="2:2" x14ac:dyDescent="0.2">
      <c r="B3838" s="1">
        <v>245995</v>
      </c>
    </row>
    <row r="3839" spans="2:2" x14ac:dyDescent="0.2">
      <c r="B3839" s="1">
        <v>245996</v>
      </c>
    </row>
    <row r="3840" spans="2:2" x14ac:dyDescent="0.2">
      <c r="B3840" s="1">
        <v>245997</v>
      </c>
    </row>
    <row r="3841" spans="2:2" x14ac:dyDescent="0.2">
      <c r="B3841" s="1">
        <v>245998</v>
      </c>
    </row>
    <row r="3842" spans="2:2" x14ac:dyDescent="0.2">
      <c r="B3842" s="1">
        <v>245999</v>
      </c>
    </row>
    <row r="3843" spans="2:2" x14ac:dyDescent="0.2">
      <c r="B3843" s="1">
        <v>246000</v>
      </c>
    </row>
    <row r="3844" spans="2:2" x14ac:dyDescent="0.2">
      <c r="B3844" s="1">
        <v>246001</v>
      </c>
    </row>
    <row r="3845" spans="2:2" x14ac:dyDescent="0.2">
      <c r="B3845" s="1">
        <v>246002</v>
      </c>
    </row>
    <row r="3846" spans="2:2" x14ac:dyDescent="0.2">
      <c r="B3846" s="1">
        <v>246003</v>
      </c>
    </row>
    <row r="3847" spans="2:2" x14ac:dyDescent="0.2">
      <c r="B3847" s="1">
        <v>246004</v>
      </c>
    </row>
    <row r="3848" spans="2:2" x14ac:dyDescent="0.2">
      <c r="B3848" s="1">
        <v>246005</v>
      </c>
    </row>
    <row r="3849" spans="2:2" x14ac:dyDescent="0.2">
      <c r="B3849" s="1">
        <v>246006</v>
      </c>
    </row>
    <row r="3850" spans="2:2" x14ac:dyDescent="0.2">
      <c r="B3850" s="1">
        <v>246007</v>
      </c>
    </row>
    <row r="3851" spans="2:2" x14ac:dyDescent="0.2">
      <c r="B3851" s="1">
        <v>246008</v>
      </c>
    </row>
    <row r="3852" spans="2:2" x14ac:dyDescent="0.2">
      <c r="B3852" s="1">
        <v>246009</v>
      </c>
    </row>
    <row r="3853" spans="2:2" x14ac:dyDescent="0.2">
      <c r="B3853" s="1">
        <v>246010</v>
      </c>
    </row>
    <row r="3854" spans="2:2" x14ac:dyDescent="0.2">
      <c r="B3854" s="1">
        <v>246011</v>
      </c>
    </row>
    <row r="3855" spans="2:2" x14ac:dyDescent="0.2">
      <c r="B3855" s="1">
        <v>246012</v>
      </c>
    </row>
    <row r="3856" spans="2:2" x14ac:dyDescent="0.2">
      <c r="B3856" s="1">
        <v>246013</v>
      </c>
    </row>
    <row r="3857" spans="2:2" x14ac:dyDescent="0.2">
      <c r="B3857" s="1">
        <v>246014</v>
      </c>
    </row>
    <row r="3858" spans="2:2" x14ac:dyDescent="0.2">
      <c r="B3858" s="1">
        <v>246015</v>
      </c>
    </row>
    <row r="3859" spans="2:2" x14ac:dyDescent="0.2">
      <c r="B3859" s="1">
        <v>246016</v>
      </c>
    </row>
    <row r="3860" spans="2:2" x14ac:dyDescent="0.2">
      <c r="B3860" s="1">
        <v>246017</v>
      </c>
    </row>
    <row r="3861" spans="2:2" x14ac:dyDescent="0.2">
      <c r="B3861" s="1">
        <v>246018</v>
      </c>
    </row>
    <row r="3862" spans="2:2" x14ac:dyDescent="0.2">
      <c r="B3862" s="1">
        <v>246019</v>
      </c>
    </row>
    <row r="3863" spans="2:2" x14ac:dyDescent="0.2">
      <c r="B3863" s="1">
        <v>246020</v>
      </c>
    </row>
    <row r="3864" spans="2:2" x14ac:dyDescent="0.2">
      <c r="B3864" s="1">
        <v>246021</v>
      </c>
    </row>
    <row r="3865" spans="2:2" x14ac:dyDescent="0.2">
      <c r="B3865" s="1">
        <v>246022</v>
      </c>
    </row>
    <row r="3866" spans="2:2" x14ac:dyDescent="0.2">
      <c r="B3866" s="1">
        <v>246023</v>
      </c>
    </row>
    <row r="3867" spans="2:2" x14ac:dyDescent="0.2">
      <c r="B3867" s="1">
        <v>246024</v>
      </c>
    </row>
    <row r="3868" spans="2:2" x14ac:dyDescent="0.2">
      <c r="B3868" s="1">
        <v>246025</v>
      </c>
    </row>
    <row r="3869" spans="2:2" x14ac:dyDescent="0.2">
      <c r="B3869" s="1">
        <v>246026</v>
      </c>
    </row>
    <row r="3870" spans="2:2" x14ac:dyDescent="0.2">
      <c r="B3870" s="1">
        <v>246027</v>
      </c>
    </row>
    <row r="3871" spans="2:2" x14ac:dyDescent="0.2">
      <c r="B3871" s="1">
        <v>246028</v>
      </c>
    </row>
    <row r="3872" spans="2:2" x14ac:dyDescent="0.2">
      <c r="B3872" s="1">
        <v>246029</v>
      </c>
    </row>
    <row r="3873" spans="2:2" x14ac:dyDescent="0.2">
      <c r="B3873" s="1">
        <v>246030</v>
      </c>
    </row>
    <row r="3874" spans="2:2" x14ac:dyDescent="0.2">
      <c r="B3874" s="1">
        <v>246031</v>
      </c>
    </row>
    <row r="3875" spans="2:2" x14ac:dyDescent="0.2">
      <c r="B3875" s="1">
        <v>246032</v>
      </c>
    </row>
    <row r="3876" spans="2:2" x14ac:dyDescent="0.2">
      <c r="B3876" s="1">
        <v>246033</v>
      </c>
    </row>
    <row r="3877" spans="2:2" x14ac:dyDescent="0.2">
      <c r="B3877" s="1">
        <v>246034</v>
      </c>
    </row>
    <row r="3878" spans="2:2" x14ac:dyDescent="0.2">
      <c r="B3878" s="1">
        <v>246035</v>
      </c>
    </row>
    <row r="3879" spans="2:2" x14ac:dyDescent="0.2">
      <c r="B3879" s="1">
        <v>246036</v>
      </c>
    </row>
    <row r="3880" spans="2:2" x14ac:dyDescent="0.2">
      <c r="B3880" s="1">
        <v>246037</v>
      </c>
    </row>
    <row r="3881" spans="2:2" x14ac:dyDescent="0.2">
      <c r="B3881" s="1">
        <v>246038</v>
      </c>
    </row>
    <row r="3882" spans="2:2" x14ac:dyDescent="0.2">
      <c r="B3882" s="1">
        <v>246039</v>
      </c>
    </row>
    <row r="3883" spans="2:2" x14ac:dyDescent="0.2">
      <c r="B3883" s="1">
        <v>246040</v>
      </c>
    </row>
    <row r="3884" spans="2:2" x14ac:dyDescent="0.2">
      <c r="B3884" s="1">
        <v>246041</v>
      </c>
    </row>
    <row r="3885" spans="2:2" x14ac:dyDescent="0.2">
      <c r="B3885" s="1">
        <v>246042</v>
      </c>
    </row>
    <row r="3886" spans="2:2" x14ac:dyDescent="0.2">
      <c r="B3886" s="1">
        <v>246043</v>
      </c>
    </row>
    <row r="3887" spans="2:2" x14ac:dyDescent="0.2">
      <c r="B3887" s="1">
        <v>246044</v>
      </c>
    </row>
    <row r="3888" spans="2:2" x14ac:dyDescent="0.2">
      <c r="B3888" s="1">
        <v>246045</v>
      </c>
    </row>
    <row r="3889" spans="2:2" x14ac:dyDescent="0.2">
      <c r="B3889" s="1">
        <v>246046</v>
      </c>
    </row>
    <row r="3890" spans="2:2" x14ac:dyDescent="0.2">
      <c r="B3890" s="1">
        <v>246047</v>
      </c>
    </row>
    <row r="3891" spans="2:2" x14ac:dyDescent="0.2">
      <c r="B3891" s="1">
        <v>246048</v>
      </c>
    </row>
    <row r="3892" spans="2:2" x14ac:dyDescent="0.2">
      <c r="B3892" s="1">
        <v>246049</v>
      </c>
    </row>
    <row r="3893" spans="2:2" x14ac:dyDescent="0.2">
      <c r="B3893" s="1">
        <v>246050</v>
      </c>
    </row>
    <row r="3894" spans="2:2" x14ac:dyDescent="0.2">
      <c r="B3894" s="1">
        <v>246051</v>
      </c>
    </row>
    <row r="3895" spans="2:2" x14ac:dyDescent="0.2">
      <c r="B3895" s="1">
        <v>246052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E1093C"/>
  </sheetPr>
  <dimension ref="A1:AN2001"/>
  <sheetViews>
    <sheetView tabSelected="1" view="pageBreakPreview" topLeftCell="A1718" zoomScaleNormal="90" zoomScaleSheetLayoutView="100" workbookViewId="0">
      <pane xSplit="7" topLeftCell="T1" activePane="topRight" state="frozen"/>
      <selection activeCell="A846" sqref="A846"/>
      <selection pane="topRight" activeCell="Z1725" sqref="Z1725"/>
    </sheetView>
  </sheetViews>
  <sheetFormatPr defaultRowHeight="36" customHeight="1" x14ac:dyDescent="0.4"/>
  <cols>
    <col min="1" max="1" width="9.25" bestFit="1" customWidth="1"/>
    <col min="6" max="6" width="13.25" bestFit="1" customWidth="1"/>
    <col min="7" max="7" width="13.75" style="180" customWidth="1"/>
    <col min="8" max="8" width="17.875" customWidth="1"/>
    <col min="9" max="9" width="32.5" bestFit="1" customWidth="1"/>
    <col min="10" max="10" width="15.5" customWidth="1"/>
    <col min="11" max="11" width="10.375" customWidth="1"/>
    <col min="12" max="12" width="11.125" style="91" customWidth="1"/>
    <col min="13" max="13" width="19.375" style="91" customWidth="1"/>
    <col min="14" max="14" width="56.75" customWidth="1"/>
    <col min="15" max="15" width="23.5" customWidth="1"/>
    <col min="16" max="16" width="23.625" customWidth="1"/>
    <col min="17" max="17" width="11.875" customWidth="1"/>
    <col min="18" max="18" width="7.25" style="87" customWidth="1"/>
    <col min="19" max="21" width="8" customWidth="1"/>
    <col min="22" max="22" width="9.25" customWidth="1"/>
    <col min="23" max="25" width="9" customWidth="1"/>
    <col min="26" max="26" width="9" style="91" customWidth="1"/>
    <col min="27" max="30" width="9" hidden="1" customWidth="1"/>
    <col min="31" max="31" width="6.25" customWidth="1"/>
    <col min="32" max="32" width="9" style="91" bestFit="1" customWidth="1"/>
    <col min="33" max="33" width="6" customWidth="1"/>
    <col min="34" max="34" width="9" style="91" bestFit="1" customWidth="1"/>
    <col min="35" max="36" width="9" hidden="1" customWidth="1"/>
    <col min="37" max="37" width="29.125" bestFit="1" customWidth="1"/>
    <col min="38" max="38" width="29.125" customWidth="1"/>
  </cols>
  <sheetData>
    <row r="1" spans="1:40" ht="60" customHeight="1" x14ac:dyDescent="0.2">
      <c r="A1" s="18" t="s">
        <v>8</v>
      </c>
      <c r="B1" s="19" t="s">
        <v>7</v>
      </c>
      <c r="C1" s="19" t="s">
        <v>246</v>
      </c>
      <c r="D1" s="19" t="s">
        <v>267</v>
      </c>
      <c r="E1" s="20" t="s">
        <v>1</v>
      </c>
      <c r="F1" s="20" t="s">
        <v>197</v>
      </c>
      <c r="G1" s="178" t="s">
        <v>559</v>
      </c>
      <c r="H1" s="22" t="s">
        <v>275</v>
      </c>
      <c r="I1" s="22" t="s">
        <v>266</v>
      </c>
      <c r="J1" s="23" t="s">
        <v>31</v>
      </c>
      <c r="K1" s="24" t="s">
        <v>30</v>
      </c>
      <c r="L1" s="90" t="s">
        <v>32</v>
      </c>
      <c r="M1" s="90" t="s">
        <v>33</v>
      </c>
      <c r="N1" s="26" t="s">
        <v>269</v>
      </c>
      <c r="O1" s="27" t="s">
        <v>76</v>
      </c>
      <c r="P1" s="27" t="s">
        <v>511</v>
      </c>
      <c r="Q1" s="28" t="s">
        <v>85</v>
      </c>
      <c r="R1" s="29" t="s">
        <v>35</v>
      </c>
      <c r="S1" s="29" t="s">
        <v>36</v>
      </c>
      <c r="T1" s="169" t="s">
        <v>245</v>
      </c>
      <c r="U1" s="169" t="s">
        <v>36</v>
      </c>
      <c r="V1" s="30" t="s">
        <v>3</v>
      </c>
      <c r="W1" s="31" t="s">
        <v>2</v>
      </c>
      <c r="X1" s="25" t="s">
        <v>6</v>
      </c>
      <c r="Y1" s="21" t="s">
        <v>57</v>
      </c>
      <c r="Z1" s="90" t="s">
        <v>0</v>
      </c>
      <c r="AA1" s="32" t="s">
        <v>97</v>
      </c>
      <c r="AB1" s="32" t="s">
        <v>0</v>
      </c>
      <c r="AC1" s="27" t="s">
        <v>4</v>
      </c>
      <c r="AD1" s="27" t="s">
        <v>0</v>
      </c>
      <c r="AE1" s="33" t="s">
        <v>98</v>
      </c>
      <c r="AF1" s="90" t="s">
        <v>0</v>
      </c>
      <c r="AG1" s="26" t="s">
        <v>94</v>
      </c>
      <c r="AH1" s="90" t="s">
        <v>0</v>
      </c>
      <c r="AI1" s="34" t="s">
        <v>5</v>
      </c>
      <c r="AJ1" s="34" t="s">
        <v>0</v>
      </c>
      <c r="AK1" s="176" t="str">
        <f>Q1</f>
        <v>ผลต่าง</v>
      </c>
      <c r="AL1" s="35" t="s">
        <v>511</v>
      </c>
      <c r="AM1" s="18" t="s">
        <v>93</v>
      </c>
    </row>
    <row r="2" spans="1:40" s="44" customFormat="1" ht="34.5" x14ac:dyDescent="0.2">
      <c r="A2" s="14" t="s">
        <v>17</v>
      </c>
      <c r="B2" s="171">
        <v>243987</v>
      </c>
      <c r="C2" s="14" t="s">
        <v>547</v>
      </c>
      <c r="D2" s="14" t="s">
        <v>268</v>
      </c>
      <c r="E2" s="14" t="s">
        <v>14</v>
      </c>
      <c r="F2" s="14" t="s">
        <v>324</v>
      </c>
      <c r="G2" s="179">
        <v>680001</v>
      </c>
      <c r="H2" s="172" t="s">
        <v>609</v>
      </c>
      <c r="I2" s="14" t="s">
        <v>514</v>
      </c>
      <c r="J2" s="172" t="s">
        <v>337</v>
      </c>
      <c r="K2" s="172" t="s">
        <v>632</v>
      </c>
      <c r="L2" s="181" t="s">
        <v>106</v>
      </c>
      <c r="M2" s="40" t="s">
        <v>341</v>
      </c>
      <c r="N2" s="173" t="s">
        <v>613</v>
      </c>
      <c r="O2" s="173" t="s">
        <v>552</v>
      </c>
      <c r="P2" s="173" t="s">
        <v>619</v>
      </c>
      <c r="Q2" s="38" t="s">
        <v>553</v>
      </c>
      <c r="R2" s="172">
        <v>700</v>
      </c>
      <c r="S2" s="183" t="s">
        <v>51</v>
      </c>
      <c r="T2" s="200">
        <v>1500</v>
      </c>
      <c r="U2" s="14" t="s">
        <v>51</v>
      </c>
      <c r="V2" s="16">
        <f t="shared" ref="V2:V43" si="0">B2</f>
        <v>243987</v>
      </c>
      <c r="W2" s="16">
        <f>B2+7</f>
        <v>243994</v>
      </c>
      <c r="X2" s="16">
        <f t="shared" ref="X2:X43" si="1">V2+2</f>
        <v>243989</v>
      </c>
      <c r="Y2" s="15" t="s">
        <v>54</v>
      </c>
      <c r="Z2" s="177">
        <v>243991</v>
      </c>
      <c r="AA2" s="170"/>
      <c r="AB2" s="170"/>
      <c r="AC2" s="170"/>
      <c r="AD2" s="170"/>
      <c r="AE2" s="15" t="s">
        <v>54</v>
      </c>
      <c r="AF2" s="177">
        <v>243992</v>
      </c>
      <c r="AG2" s="177" t="str">
        <f t="shared" ref="AG2:AG33" si="2">AE2</f>
        <v>Pass</v>
      </c>
      <c r="AH2" s="177">
        <f t="shared" ref="AH2:AH33" si="3">AF2</f>
        <v>243992</v>
      </c>
      <c r="AI2" s="170"/>
      <c r="AJ2" s="170"/>
      <c r="AK2" s="176"/>
      <c r="AL2" s="183"/>
      <c r="AM2" s="170"/>
    </row>
    <row r="3" spans="1:40" s="44" customFormat="1" ht="30.75" customHeight="1" x14ac:dyDescent="0.2">
      <c r="A3" s="14" t="s">
        <v>17</v>
      </c>
      <c r="B3" s="171">
        <v>243987</v>
      </c>
      <c r="C3" s="14" t="s">
        <v>547</v>
      </c>
      <c r="D3" s="14" t="s">
        <v>268</v>
      </c>
      <c r="E3" s="14" t="s">
        <v>14</v>
      </c>
      <c r="F3" s="14" t="s">
        <v>324</v>
      </c>
      <c r="G3" s="179">
        <v>680002</v>
      </c>
      <c r="H3" s="172" t="s">
        <v>610</v>
      </c>
      <c r="I3" s="14" t="s">
        <v>532</v>
      </c>
      <c r="J3" s="172" t="s">
        <v>554</v>
      </c>
      <c r="K3" s="172" t="s">
        <v>633</v>
      </c>
      <c r="L3" s="181" t="s">
        <v>45</v>
      </c>
      <c r="M3" s="40" t="s">
        <v>341</v>
      </c>
      <c r="N3" s="14" t="s">
        <v>614</v>
      </c>
      <c r="O3" s="38" t="s">
        <v>557</v>
      </c>
      <c r="P3" s="38" t="s">
        <v>620</v>
      </c>
      <c r="Q3" s="38" t="s">
        <v>558</v>
      </c>
      <c r="R3" s="14">
        <v>300</v>
      </c>
      <c r="S3" s="172" t="s">
        <v>51</v>
      </c>
      <c r="T3" s="17">
        <v>1985</v>
      </c>
      <c r="U3" s="14" t="s">
        <v>51</v>
      </c>
      <c r="V3" s="16">
        <f t="shared" si="0"/>
        <v>243987</v>
      </c>
      <c r="W3" s="16">
        <f>B3+7</f>
        <v>243994</v>
      </c>
      <c r="X3" s="16">
        <f t="shared" si="1"/>
        <v>243989</v>
      </c>
      <c r="Y3" s="15" t="s">
        <v>54</v>
      </c>
      <c r="Z3" s="177">
        <v>243990</v>
      </c>
      <c r="AA3" s="170"/>
      <c r="AB3" s="170"/>
      <c r="AC3" s="170"/>
      <c r="AD3" s="170"/>
      <c r="AE3" s="15" t="s">
        <v>54</v>
      </c>
      <c r="AF3" s="177">
        <v>243991</v>
      </c>
      <c r="AG3" s="177" t="str">
        <f t="shared" si="2"/>
        <v>Pass</v>
      </c>
      <c r="AH3" s="177">
        <f t="shared" si="3"/>
        <v>243991</v>
      </c>
      <c r="AI3" s="170"/>
      <c r="AJ3" s="170"/>
      <c r="AK3" s="176"/>
      <c r="AL3" s="183"/>
      <c r="AM3" s="170"/>
    </row>
    <row r="4" spans="1:40" s="44" customFormat="1" ht="30.75" customHeight="1" x14ac:dyDescent="0.2">
      <c r="A4" s="14" t="s">
        <v>17</v>
      </c>
      <c r="B4" s="171">
        <v>243987</v>
      </c>
      <c r="C4" s="14" t="s">
        <v>547</v>
      </c>
      <c r="D4" s="14" t="s">
        <v>268</v>
      </c>
      <c r="E4" s="14" t="s">
        <v>14</v>
      </c>
      <c r="F4" s="14" t="s">
        <v>324</v>
      </c>
      <c r="G4" s="179">
        <v>680003</v>
      </c>
      <c r="H4" s="172" t="s">
        <v>609</v>
      </c>
      <c r="I4" s="14" t="s">
        <v>514</v>
      </c>
      <c r="J4" s="172" t="s">
        <v>337</v>
      </c>
      <c r="K4" s="172" t="s">
        <v>632</v>
      </c>
      <c r="L4" s="181" t="s">
        <v>106</v>
      </c>
      <c r="M4" s="40" t="s">
        <v>341</v>
      </c>
      <c r="N4" s="172" t="s">
        <v>615</v>
      </c>
      <c r="O4" s="183" t="s">
        <v>543</v>
      </c>
      <c r="P4" s="183" t="s">
        <v>621</v>
      </c>
      <c r="Q4" s="38" t="s">
        <v>529</v>
      </c>
      <c r="R4" s="172" t="s">
        <v>624</v>
      </c>
      <c r="S4" s="172" t="s">
        <v>51</v>
      </c>
      <c r="T4" s="17">
        <v>1500</v>
      </c>
      <c r="U4" s="14" t="s">
        <v>51</v>
      </c>
      <c r="V4" s="16">
        <f t="shared" si="0"/>
        <v>243987</v>
      </c>
      <c r="W4" s="16">
        <f>B4+7</f>
        <v>243994</v>
      </c>
      <c r="X4" s="16">
        <f t="shared" si="1"/>
        <v>243989</v>
      </c>
      <c r="Y4" s="15" t="s">
        <v>54</v>
      </c>
      <c r="Z4" s="177">
        <v>243991</v>
      </c>
      <c r="AA4" s="170"/>
      <c r="AB4" s="170"/>
      <c r="AC4" s="170"/>
      <c r="AD4" s="170"/>
      <c r="AE4" s="15" t="s">
        <v>54</v>
      </c>
      <c r="AF4" s="177">
        <v>243992</v>
      </c>
      <c r="AG4" s="177" t="str">
        <f t="shared" si="2"/>
        <v>Pass</v>
      </c>
      <c r="AH4" s="177">
        <f t="shared" si="3"/>
        <v>243992</v>
      </c>
      <c r="AI4" s="170"/>
      <c r="AJ4" s="170"/>
      <c r="AK4" s="176"/>
      <c r="AL4" s="183"/>
      <c r="AM4" s="170"/>
    </row>
    <row r="5" spans="1:40" s="44" customFormat="1" ht="30.75" customHeight="1" x14ac:dyDescent="0.2">
      <c r="A5" s="14" t="s">
        <v>17</v>
      </c>
      <c r="B5" s="171">
        <v>243987</v>
      </c>
      <c r="C5" s="14" t="s">
        <v>547</v>
      </c>
      <c r="D5" s="14" t="s">
        <v>268</v>
      </c>
      <c r="E5" s="14" t="s">
        <v>14</v>
      </c>
      <c r="F5" s="14" t="s">
        <v>324</v>
      </c>
      <c r="G5" s="179">
        <v>680004</v>
      </c>
      <c r="H5" s="172" t="s">
        <v>610</v>
      </c>
      <c r="I5" s="14" t="s">
        <v>532</v>
      </c>
      <c r="J5" s="172" t="s">
        <v>554</v>
      </c>
      <c r="K5" s="172" t="s">
        <v>633</v>
      </c>
      <c r="L5" s="181" t="s">
        <v>45</v>
      </c>
      <c r="M5" s="40" t="s">
        <v>341</v>
      </c>
      <c r="N5" s="172" t="s">
        <v>616</v>
      </c>
      <c r="O5" s="172" t="s">
        <v>548</v>
      </c>
      <c r="P5" s="183" t="s">
        <v>518</v>
      </c>
      <c r="Q5" s="38" t="s">
        <v>549</v>
      </c>
      <c r="R5" s="196">
        <v>160</v>
      </c>
      <c r="S5" s="172" t="s">
        <v>51</v>
      </c>
      <c r="T5" s="17">
        <v>1651</v>
      </c>
      <c r="U5" s="14" t="s">
        <v>51</v>
      </c>
      <c r="V5" s="16">
        <f t="shared" si="0"/>
        <v>243987</v>
      </c>
      <c r="W5" s="16">
        <f>V5+7</f>
        <v>243994</v>
      </c>
      <c r="X5" s="16">
        <f t="shared" si="1"/>
        <v>243989</v>
      </c>
      <c r="Y5" s="15" t="s">
        <v>54</v>
      </c>
      <c r="Z5" s="177">
        <v>243990</v>
      </c>
      <c r="AA5" s="170"/>
      <c r="AB5" s="170"/>
      <c r="AC5" s="170"/>
      <c r="AD5" s="170"/>
      <c r="AE5" s="15" t="s">
        <v>54</v>
      </c>
      <c r="AF5" s="177">
        <v>243991</v>
      </c>
      <c r="AG5" s="177" t="str">
        <f t="shared" si="2"/>
        <v>Pass</v>
      </c>
      <c r="AH5" s="177">
        <f t="shared" si="3"/>
        <v>243991</v>
      </c>
      <c r="AI5" s="170"/>
      <c r="AJ5" s="170"/>
      <c r="AK5" s="176"/>
      <c r="AL5" s="183"/>
      <c r="AM5" s="170"/>
    </row>
    <row r="6" spans="1:40" ht="36" customHeight="1" x14ac:dyDescent="0.2">
      <c r="A6" s="14" t="s">
        <v>17</v>
      </c>
      <c r="B6" s="171">
        <v>243987</v>
      </c>
      <c r="C6" s="14" t="s">
        <v>547</v>
      </c>
      <c r="D6" s="14" t="s">
        <v>268</v>
      </c>
      <c r="E6" s="14" t="s">
        <v>14</v>
      </c>
      <c r="F6" s="14" t="s">
        <v>324</v>
      </c>
      <c r="G6" s="179">
        <v>680005</v>
      </c>
      <c r="H6" s="176" t="s">
        <v>611</v>
      </c>
      <c r="I6" s="176" t="s">
        <v>612</v>
      </c>
      <c r="J6" s="176" t="s">
        <v>131</v>
      </c>
      <c r="K6" s="176" t="s">
        <v>634</v>
      </c>
      <c r="L6" s="40" t="s">
        <v>105</v>
      </c>
      <c r="M6" s="40" t="s">
        <v>341</v>
      </c>
      <c r="N6" s="14" t="s">
        <v>617</v>
      </c>
      <c r="O6" s="14" t="s">
        <v>618</v>
      </c>
      <c r="P6" s="14" t="s">
        <v>622</v>
      </c>
      <c r="Q6" s="14" t="s">
        <v>623</v>
      </c>
      <c r="R6" s="17">
        <v>938</v>
      </c>
      <c r="S6" s="172" t="s">
        <v>51</v>
      </c>
      <c r="T6" s="17"/>
      <c r="U6" s="14"/>
      <c r="V6" s="16">
        <f t="shared" si="0"/>
        <v>243987</v>
      </c>
      <c r="W6" s="16">
        <f t="shared" ref="W6:W43" si="4">B6+7</f>
        <v>243994</v>
      </c>
      <c r="X6" s="16">
        <f t="shared" si="1"/>
        <v>243989</v>
      </c>
      <c r="Y6" s="15" t="s">
        <v>54</v>
      </c>
      <c r="Z6" s="177">
        <v>243994</v>
      </c>
      <c r="AA6" s="170"/>
      <c r="AB6" s="170"/>
      <c r="AC6" s="170"/>
      <c r="AD6" s="170"/>
      <c r="AE6" s="15" t="s">
        <v>54</v>
      </c>
      <c r="AF6" s="177">
        <v>243996</v>
      </c>
      <c r="AG6" s="177" t="str">
        <f t="shared" si="2"/>
        <v>Pass</v>
      </c>
      <c r="AH6" s="177">
        <f t="shared" si="3"/>
        <v>243996</v>
      </c>
      <c r="AK6" s="176"/>
      <c r="AL6" s="176"/>
      <c r="AN6" s="44"/>
    </row>
    <row r="7" spans="1:40" ht="36" customHeight="1" x14ac:dyDescent="0.2">
      <c r="A7" s="14" t="s">
        <v>17</v>
      </c>
      <c r="B7" s="212">
        <v>243989</v>
      </c>
      <c r="C7" s="14" t="s">
        <v>547</v>
      </c>
      <c r="D7" s="14" t="s">
        <v>268</v>
      </c>
      <c r="E7" s="14" t="s">
        <v>14</v>
      </c>
      <c r="F7" s="14" t="s">
        <v>324</v>
      </c>
      <c r="G7" s="179">
        <v>680006</v>
      </c>
      <c r="H7" s="176" t="s">
        <v>625</v>
      </c>
      <c r="I7" s="176" t="s">
        <v>629</v>
      </c>
      <c r="J7" s="176" t="s">
        <v>631</v>
      </c>
      <c r="K7" s="176" t="s">
        <v>635</v>
      </c>
      <c r="L7" s="40" t="s">
        <v>108</v>
      </c>
      <c r="M7" s="40" t="s">
        <v>341</v>
      </c>
      <c r="N7" s="14" t="s">
        <v>639</v>
      </c>
      <c r="O7" s="14" t="s">
        <v>557</v>
      </c>
      <c r="P7" s="14" t="s">
        <v>650</v>
      </c>
      <c r="Q7" s="14" t="s">
        <v>558</v>
      </c>
      <c r="R7" s="17">
        <v>600</v>
      </c>
      <c r="S7" s="172" t="s">
        <v>51</v>
      </c>
      <c r="T7" s="17">
        <v>3940</v>
      </c>
      <c r="U7" s="14" t="s">
        <v>51</v>
      </c>
      <c r="V7" s="16">
        <f t="shared" si="0"/>
        <v>243989</v>
      </c>
      <c r="W7" s="16">
        <f t="shared" si="4"/>
        <v>243996</v>
      </c>
      <c r="X7" s="16">
        <f t="shared" si="1"/>
        <v>243991</v>
      </c>
      <c r="Y7" s="15" t="s">
        <v>54</v>
      </c>
      <c r="Z7" s="177">
        <v>243991</v>
      </c>
      <c r="AA7" s="170"/>
      <c r="AB7" s="170"/>
      <c r="AC7" s="170"/>
      <c r="AD7" s="170"/>
      <c r="AE7" s="15" t="s">
        <v>54</v>
      </c>
      <c r="AF7" s="177">
        <v>243992</v>
      </c>
      <c r="AG7" s="177" t="str">
        <f t="shared" si="2"/>
        <v>Pass</v>
      </c>
      <c r="AH7" s="177">
        <f t="shared" si="3"/>
        <v>243992</v>
      </c>
      <c r="AK7" s="176"/>
      <c r="AL7" s="176"/>
      <c r="AN7" s="44"/>
    </row>
    <row r="8" spans="1:40" ht="36" customHeight="1" x14ac:dyDescent="0.2">
      <c r="A8" s="14" t="s">
        <v>17</v>
      </c>
      <c r="B8" s="212">
        <v>243989</v>
      </c>
      <c r="C8" s="14" t="s">
        <v>547</v>
      </c>
      <c r="D8" s="14" t="s">
        <v>268</v>
      </c>
      <c r="E8" s="14" t="s">
        <v>14</v>
      </c>
      <c r="F8" s="14" t="s">
        <v>324</v>
      </c>
      <c r="G8" s="179">
        <v>680007</v>
      </c>
      <c r="H8" s="176" t="s">
        <v>626</v>
      </c>
      <c r="I8" s="176" t="s">
        <v>630</v>
      </c>
      <c r="J8" s="176" t="s">
        <v>520</v>
      </c>
      <c r="K8" s="176" t="s">
        <v>636</v>
      </c>
      <c r="L8" s="40" t="s">
        <v>124</v>
      </c>
      <c r="M8" s="40" t="s">
        <v>341</v>
      </c>
      <c r="N8" s="14" t="s">
        <v>640</v>
      </c>
      <c r="O8" s="14" t="s">
        <v>647</v>
      </c>
      <c r="P8" s="14" t="s">
        <v>651</v>
      </c>
      <c r="Q8" s="14" t="s">
        <v>655</v>
      </c>
      <c r="R8" s="17">
        <v>800</v>
      </c>
      <c r="S8" s="172" t="s">
        <v>51</v>
      </c>
      <c r="T8" s="17">
        <v>1883</v>
      </c>
      <c r="U8" s="14" t="s">
        <v>51</v>
      </c>
      <c r="V8" s="16">
        <f t="shared" si="0"/>
        <v>243989</v>
      </c>
      <c r="W8" s="16">
        <f t="shared" si="4"/>
        <v>243996</v>
      </c>
      <c r="X8" s="16">
        <f t="shared" si="1"/>
        <v>243991</v>
      </c>
      <c r="Y8" s="15"/>
      <c r="Z8" s="177"/>
      <c r="AA8" s="170"/>
      <c r="AB8" s="170"/>
      <c r="AC8" s="170"/>
      <c r="AD8" s="170"/>
      <c r="AE8" s="15"/>
      <c r="AF8" s="177"/>
      <c r="AG8" s="177">
        <f t="shared" si="2"/>
        <v>0</v>
      </c>
      <c r="AH8" s="177">
        <f t="shared" si="3"/>
        <v>0</v>
      </c>
      <c r="AK8" s="176"/>
      <c r="AL8" s="176"/>
      <c r="AN8" s="44"/>
    </row>
    <row r="9" spans="1:40" ht="36" customHeight="1" x14ac:dyDescent="0.2">
      <c r="A9" s="14" t="s">
        <v>17</v>
      </c>
      <c r="B9" s="212">
        <v>243989</v>
      </c>
      <c r="C9" s="14" t="s">
        <v>547</v>
      </c>
      <c r="D9" s="14" t="s">
        <v>268</v>
      </c>
      <c r="E9" s="14" t="s">
        <v>14</v>
      </c>
      <c r="F9" s="14" t="s">
        <v>324</v>
      </c>
      <c r="G9" s="179">
        <v>680008</v>
      </c>
      <c r="H9" s="176" t="s">
        <v>609</v>
      </c>
      <c r="I9" s="176" t="s">
        <v>514</v>
      </c>
      <c r="J9" s="176" t="s">
        <v>337</v>
      </c>
      <c r="K9" s="176" t="s">
        <v>632</v>
      </c>
      <c r="L9" s="40" t="s">
        <v>106</v>
      </c>
      <c r="M9" s="40" t="s">
        <v>341</v>
      </c>
      <c r="N9" s="14" t="s">
        <v>641</v>
      </c>
      <c r="O9" s="14" t="s">
        <v>552</v>
      </c>
      <c r="P9" s="14" t="s">
        <v>652</v>
      </c>
      <c r="Q9" s="14" t="s">
        <v>553</v>
      </c>
      <c r="R9" s="17">
        <v>400</v>
      </c>
      <c r="S9" s="172" t="s">
        <v>51</v>
      </c>
      <c r="T9" s="17">
        <v>500</v>
      </c>
      <c r="U9" s="14" t="s">
        <v>51</v>
      </c>
      <c r="V9" s="16">
        <f t="shared" si="0"/>
        <v>243989</v>
      </c>
      <c r="W9" s="16">
        <f t="shared" si="4"/>
        <v>243996</v>
      </c>
      <c r="X9" s="16">
        <f t="shared" si="1"/>
        <v>243991</v>
      </c>
      <c r="Y9" s="15" t="s">
        <v>54</v>
      </c>
      <c r="Z9" s="177">
        <v>243993</v>
      </c>
      <c r="AA9" s="170"/>
      <c r="AB9" s="170"/>
      <c r="AC9" s="170"/>
      <c r="AD9" s="170"/>
      <c r="AE9" s="15" t="s">
        <v>54</v>
      </c>
      <c r="AF9" s="177">
        <v>243993</v>
      </c>
      <c r="AG9" s="177" t="str">
        <f t="shared" si="2"/>
        <v>Pass</v>
      </c>
      <c r="AH9" s="177">
        <f t="shared" si="3"/>
        <v>243993</v>
      </c>
      <c r="AK9" s="176"/>
      <c r="AL9" s="176"/>
      <c r="AN9" s="44"/>
    </row>
    <row r="10" spans="1:40" ht="36" customHeight="1" x14ac:dyDescent="0.2">
      <c r="A10" s="14" t="s">
        <v>17</v>
      </c>
      <c r="B10" s="212">
        <v>243989</v>
      </c>
      <c r="C10" s="14" t="s">
        <v>547</v>
      </c>
      <c r="D10" s="14" t="s">
        <v>268</v>
      </c>
      <c r="E10" s="14" t="s">
        <v>14</v>
      </c>
      <c r="F10" s="14" t="s">
        <v>324</v>
      </c>
      <c r="G10" s="179">
        <v>680009</v>
      </c>
      <c r="H10" s="176" t="s">
        <v>627</v>
      </c>
      <c r="I10" s="176" t="s">
        <v>630</v>
      </c>
      <c r="J10" s="176" t="s">
        <v>520</v>
      </c>
      <c r="K10" s="176" t="s">
        <v>637</v>
      </c>
      <c r="L10" s="40" t="s">
        <v>105</v>
      </c>
      <c r="M10" s="40" t="s">
        <v>341</v>
      </c>
      <c r="N10" s="14" t="s">
        <v>642</v>
      </c>
      <c r="O10" s="14" t="s">
        <v>527</v>
      </c>
      <c r="P10" s="14" t="s">
        <v>518</v>
      </c>
      <c r="Q10" s="14" t="s">
        <v>542</v>
      </c>
      <c r="R10" s="17">
        <v>112</v>
      </c>
      <c r="S10" s="172" t="s">
        <v>51</v>
      </c>
      <c r="T10" s="17">
        <v>2120</v>
      </c>
      <c r="U10" s="14" t="s">
        <v>51</v>
      </c>
      <c r="V10" s="16">
        <f t="shared" si="0"/>
        <v>243989</v>
      </c>
      <c r="W10" s="16">
        <f t="shared" si="4"/>
        <v>243996</v>
      </c>
      <c r="X10" s="16">
        <f t="shared" si="1"/>
        <v>243991</v>
      </c>
      <c r="Y10" s="15"/>
      <c r="Z10" s="177"/>
      <c r="AA10" s="170"/>
      <c r="AB10" s="170"/>
      <c r="AC10" s="170"/>
      <c r="AD10" s="170"/>
      <c r="AE10" s="15"/>
      <c r="AF10" s="177"/>
      <c r="AG10" s="177">
        <f t="shared" si="2"/>
        <v>0</v>
      </c>
      <c r="AH10" s="177">
        <f t="shared" si="3"/>
        <v>0</v>
      </c>
      <c r="AK10" s="176"/>
      <c r="AL10" s="176"/>
      <c r="AN10" s="44"/>
    </row>
    <row r="11" spans="1:40" ht="36" customHeight="1" x14ac:dyDescent="0.2">
      <c r="A11" s="14" t="s">
        <v>17</v>
      </c>
      <c r="B11" s="212">
        <v>243989</v>
      </c>
      <c r="C11" s="14" t="s">
        <v>547</v>
      </c>
      <c r="D11" s="14" t="s">
        <v>268</v>
      </c>
      <c r="E11" s="14" t="s">
        <v>14</v>
      </c>
      <c r="F11" s="14" t="s">
        <v>324</v>
      </c>
      <c r="G11" s="179">
        <v>680010</v>
      </c>
      <c r="H11" s="176" t="s">
        <v>627</v>
      </c>
      <c r="I11" s="176" t="s">
        <v>630</v>
      </c>
      <c r="J11" s="176" t="s">
        <v>520</v>
      </c>
      <c r="K11" s="176" t="s">
        <v>637</v>
      </c>
      <c r="L11" s="40" t="s">
        <v>105</v>
      </c>
      <c r="M11" s="40" t="s">
        <v>341</v>
      </c>
      <c r="N11" s="14" t="s">
        <v>643</v>
      </c>
      <c r="O11" s="14" t="s">
        <v>552</v>
      </c>
      <c r="P11" s="14" t="s">
        <v>519</v>
      </c>
      <c r="Q11" s="14" t="s">
        <v>553</v>
      </c>
      <c r="R11" s="17">
        <v>360</v>
      </c>
      <c r="S11" s="172" t="s">
        <v>51</v>
      </c>
      <c r="T11" s="17">
        <v>2030</v>
      </c>
      <c r="U11" s="14" t="s">
        <v>51</v>
      </c>
      <c r="V11" s="16">
        <f t="shared" si="0"/>
        <v>243989</v>
      </c>
      <c r="W11" s="16">
        <f t="shared" si="4"/>
        <v>243996</v>
      </c>
      <c r="X11" s="16">
        <f t="shared" si="1"/>
        <v>243991</v>
      </c>
      <c r="Y11" s="15"/>
      <c r="Z11" s="177"/>
      <c r="AA11" s="170"/>
      <c r="AB11" s="170"/>
      <c r="AC11" s="170"/>
      <c r="AD11" s="170"/>
      <c r="AE11" s="15"/>
      <c r="AF11" s="177"/>
      <c r="AG11" s="177">
        <f t="shared" si="2"/>
        <v>0</v>
      </c>
      <c r="AH11" s="177">
        <f t="shared" si="3"/>
        <v>0</v>
      </c>
      <c r="AK11" s="176"/>
      <c r="AL11" s="176"/>
      <c r="AN11" s="44"/>
    </row>
    <row r="12" spans="1:40" ht="36" customHeight="1" x14ac:dyDescent="0.2">
      <c r="A12" s="14" t="s">
        <v>17</v>
      </c>
      <c r="B12" s="212">
        <v>243989</v>
      </c>
      <c r="C12" s="14" t="s">
        <v>547</v>
      </c>
      <c r="D12" s="14" t="s">
        <v>268</v>
      </c>
      <c r="E12" s="14" t="s">
        <v>14</v>
      </c>
      <c r="F12" s="14" t="s">
        <v>324</v>
      </c>
      <c r="G12" s="179">
        <v>680011</v>
      </c>
      <c r="H12" s="176" t="s">
        <v>626</v>
      </c>
      <c r="I12" s="176" t="s">
        <v>630</v>
      </c>
      <c r="J12" s="176" t="s">
        <v>520</v>
      </c>
      <c r="K12" s="176" t="s">
        <v>636</v>
      </c>
      <c r="L12" s="40" t="s">
        <v>124</v>
      </c>
      <c r="M12" s="40" t="s">
        <v>341</v>
      </c>
      <c r="N12" s="14" t="s">
        <v>644</v>
      </c>
      <c r="O12" s="14" t="s">
        <v>648</v>
      </c>
      <c r="P12" s="14" t="s">
        <v>313</v>
      </c>
      <c r="Q12" s="14" t="s">
        <v>656</v>
      </c>
      <c r="R12" s="17">
        <v>680</v>
      </c>
      <c r="S12" s="172" t="s">
        <v>51</v>
      </c>
      <c r="T12" s="17">
        <v>1961</v>
      </c>
      <c r="U12" s="14" t="s">
        <v>51</v>
      </c>
      <c r="V12" s="16">
        <f t="shared" si="0"/>
        <v>243989</v>
      </c>
      <c r="W12" s="16">
        <f t="shared" si="4"/>
        <v>243996</v>
      </c>
      <c r="X12" s="16">
        <f t="shared" si="1"/>
        <v>243991</v>
      </c>
      <c r="Y12" s="15"/>
      <c r="Z12" s="177"/>
      <c r="AA12" s="170"/>
      <c r="AB12" s="170"/>
      <c r="AC12" s="170"/>
      <c r="AD12" s="170"/>
      <c r="AE12" s="15"/>
      <c r="AF12" s="177"/>
      <c r="AG12" s="177">
        <f t="shared" si="2"/>
        <v>0</v>
      </c>
      <c r="AH12" s="177">
        <f t="shared" si="3"/>
        <v>0</v>
      </c>
      <c r="AK12" s="176"/>
      <c r="AL12" s="176"/>
      <c r="AN12" s="44"/>
    </row>
    <row r="13" spans="1:40" ht="36" customHeight="1" x14ac:dyDescent="0.2">
      <c r="A13" s="14" t="s">
        <v>17</v>
      </c>
      <c r="B13" s="212">
        <v>243989</v>
      </c>
      <c r="C13" s="14" t="s">
        <v>547</v>
      </c>
      <c r="D13" s="14" t="s">
        <v>268</v>
      </c>
      <c r="E13" s="14" t="s">
        <v>14</v>
      </c>
      <c r="F13" s="14" t="s">
        <v>324</v>
      </c>
      <c r="G13" s="179">
        <v>680012</v>
      </c>
      <c r="H13" s="176" t="s">
        <v>626</v>
      </c>
      <c r="I13" s="176" t="s">
        <v>630</v>
      </c>
      <c r="J13" s="176" t="s">
        <v>520</v>
      </c>
      <c r="K13" s="176" t="s">
        <v>636</v>
      </c>
      <c r="L13" s="40" t="s">
        <v>124</v>
      </c>
      <c r="M13" s="40" t="s">
        <v>341</v>
      </c>
      <c r="N13" s="14" t="s">
        <v>645</v>
      </c>
      <c r="O13" s="14" t="s">
        <v>649</v>
      </c>
      <c r="P13" s="14" t="s">
        <v>653</v>
      </c>
      <c r="Q13" s="14" t="s">
        <v>657</v>
      </c>
      <c r="R13" s="17">
        <v>660</v>
      </c>
      <c r="S13" s="172" t="s">
        <v>51</v>
      </c>
      <c r="T13" s="17">
        <v>1961</v>
      </c>
      <c r="U13" s="14" t="s">
        <v>51</v>
      </c>
      <c r="V13" s="16">
        <f t="shared" si="0"/>
        <v>243989</v>
      </c>
      <c r="W13" s="16">
        <f t="shared" si="4"/>
        <v>243996</v>
      </c>
      <c r="X13" s="16">
        <f t="shared" si="1"/>
        <v>243991</v>
      </c>
      <c r="Y13" s="15"/>
      <c r="Z13" s="177"/>
      <c r="AA13" s="170"/>
      <c r="AB13" s="170"/>
      <c r="AC13" s="170"/>
      <c r="AD13" s="170"/>
      <c r="AE13" s="15"/>
      <c r="AF13" s="177"/>
      <c r="AG13" s="177">
        <f t="shared" si="2"/>
        <v>0</v>
      </c>
      <c r="AH13" s="177">
        <f t="shared" si="3"/>
        <v>0</v>
      </c>
      <c r="AK13" s="176"/>
      <c r="AL13" s="176"/>
      <c r="AN13" s="44"/>
    </row>
    <row r="14" spans="1:40" ht="36" customHeight="1" x14ac:dyDescent="0.2">
      <c r="A14" s="14" t="s">
        <v>17</v>
      </c>
      <c r="B14" s="212">
        <v>243989</v>
      </c>
      <c r="C14" s="14" t="s">
        <v>547</v>
      </c>
      <c r="D14" s="14" t="s">
        <v>268</v>
      </c>
      <c r="E14" s="14" t="s">
        <v>14</v>
      </c>
      <c r="F14" s="14" t="s">
        <v>324</v>
      </c>
      <c r="G14" s="179">
        <v>680013</v>
      </c>
      <c r="H14" s="176" t="s">
        <v>628</v>
      </c>
      <c r="I14" s="176" t="s">
        <v>551</v>
      </c>
      <c r="J14" s="176" t="s">
        <v>596</v>
      </c>
      <c r="K14" s="176" t="s">
        <v>638</v>
      </c>
      <c r="L14" s="40" t="s">
        <v>108</v>
      </c>
      <c r="M14" s="40" t="s">
        <v>341</v>
      </c>
      <c r="N14" s="14" t="s">
        <v>646</v>
      </c>
      <c r="O14" s="14" t="s">
        <v>528</v>
      </c>
      <c r="P14" s="14" t="s">
        <v>654</v>
      </c>
      <c r="Q14" s="14" t="s">
        <v>541</v>
      </c>
      <c r="R14" s="17">
        <v>1500</v>
      </c>
      <c r="S14" s="172" t="s">
        <v>51</v>
      </c>
      <c r="T14" s="17">
        <v>3090</v>
      </c>
      <c r="U14" s="14" t="s">
        <v>51</v>
      </c>
      <c r="V14" s="16">
        <f t="shared" si="0"/>
        <v>243989</v>
      </c>
      <c r="W14" s="16">
        <f t="shared" si="4"/>
        <v>243996</v>
      </c>
      <c r="X14" s="16">
        <f t="shared" si="1"/>
        <v>243991</v>
      </c>
      <c r="Y14" s="15" t="s">
        <v>54</v>
      </c>
      <c r="Z14" s="177">
        <v>243991</v>
      </c>
      <c r="AA14" s="170"/>
      <c r="AB14" s="170"/>
      <c r="AC14" s="170"/>
      <c r="AD14" s="170"/>
      <c r="AE14" s="15" t="s">
        <v>54</v>
      </c>
      <c r="AF14" s="177">
        <v>243992</v>
      </c>
      <c r="AG14" s="177" t="str">
        <f t="shared" si="2"/>
        <v>Pass</v>
      </c>
      <c r="AH14" s="177">
        <f t="shared" si="3"/>
        <v>243992</v>
      </c>
      <c r="AK14" s="176"/>
      <c r="AL14" s="176"/>
      <c r="AN14" s="44"/>
    </row>
    <row r="15" spans="1:40" ht="36" customHeight="1" x14ac:dyDescent="0.2">
      <c r="A15" s="14" t="s">
        <v>17</v>
      </c>
      <c r="B15" s="212">
        <v>243990</v>
      </c>
      <c r="C15" s="14" t="s">
        <v>547</v>
      </c>
      <c r="D15" s="14" t="s">
        <v>268</v>
      </c>
      <c r="E15" s="14" t="s">
        <v>14</v>
      </c>
      <c r="F15" s="14" t="s">
        <v>324</v>
      </c>
      <c r="G15" s="179">
        <v>680014</v>
      </c>
      <c r="H15" s="176" t="s">
        <v>658</v>
      </c>
      <c r="I15" s="176" t="s">
        <v>612</v>
      </c>
      <c r="J15" s="176" t="s">
        <v>665</v>
      </c>
      <c r="K15" s="176" t="s">
        <v>667</v>
      </c>
      <c r="L15" s="40" t="s">
        <v>105</v>
      </c>
      <c r="M15" s="40" t="s">
        <v>341</v>
      </c>
      <c r="N15" s="14" t="s">
        <v>673</v>
      </c>
      <c r="O15" s="14" t="s">
        <v>681</v>
      </c>
      <c r="P15" s="14" t="s">
        <v>683</v>
      </c>
      <c r="Q15" s="14" t="s">
        <v>689</v>
      </c>
      <c r="R15" s="17">
        <v>550</v>
      </c>
      <c r="S15" s="172" t="s">
        <v>51</v>
      </c>
      <c r="T15" s="17">
        <v>1925</v>
      </c>
      <c r="U15" s="14" t="s">
        <v>51</v>
      </c>
      <c r="V15" s="16">
        <f t="shared" si="0"/>
        <v>243990</v>
      </c>
      <c r="W15" s="16">
        <f t="shared" si="4"/>
        <v>243997</v>
      </c>
      <c r="X15" s="16">
        <f t="shared" si="1"/>
        <v>243992</v>
      </c>
      <c r="Y15" s="15"/>
      <c r="Z15" s="177"/>
      <c r="AA15" s="170"/>
      <c r="AB15" s="170"/>
      <c r="AC15" s="170"/>
      <c r="AD15" s="170"/>
      <c r="AE15" s="15"/>
      <c r="AF15" s="177"/>
      <c r="AG15" s="177">
        <f t="shared" si="2"/>
        <v>0</v>
      </c>
      <c r="AH15" s="177">
        <f t="shared" si="3"/>
        <v>0</v>
      </c>
      <c r="AK15" s="176"/>
      <c r="AL15" s="176"/>
      <c r="AN15" s="44"/>
    </row>
    <row r="16" spans="1:40" ht="36" customHeight="1" x14ac:dyDescent="0.2">
      <c r="A16" s="14" t="s">
        <v>17</v>
      </c>
      <c r="B16" s="212">
        <v>243990</v>
      </c>
      <c r="C16" s="14" t="s">
        <v>547</v>
      </c>
      <c r="D16" s="14" t="s">
        <v>268</v>
      </c>
      <c r="E16" s="14" t="s">
        <v>14</v>
      </c>
      <c r="F16" s="14" t="s">
        <v>324</v>
      </c>
      <c r="G16" s="179">
        <v>680015</v>
      </c>
      <c r="H16" s="176" t="s">
        <v>659</v>
      </c>
      <c r="I16" s="176" t="s">
        <v>612</v>
      </c>
      <c r="J16" s="176" t="s">
        <v>666</v>
      </c>
      <c r="K16" s="176" t="s">
        <v>668</v>
      </c>
      <c r="L16" s="40" t="s">
        <v>45</v>
      </c>
      <c r="M16" s="40" t="s">
        <v>341</v>
      </c>
      <c r="N16" s="14" t="s">
        <v>674</v>
      </c>
      <c r="O16" s="14" t="s">
        <v>528</v>
      </c>
      <c r="P16" s="14" t="s">
        <v>684</v>
      </c>
      <c r="Q16" s="14" t="s">
        <v>541</v>
      </c>
      <c r="R16" s="17">
        <v>200</v>
      </c>
      <c r="S16" s="172" t="s">
        <v>51</v>
      </c>
      <c r="T16" s="17">
        <v>968</v>
      </c>
      <c r="U16" s="14" t="s">
        <v>51</v>
      </c>
      <c r="V16" s="16">
        <f t="shared" si="0"/>
        <v>243990</v>
      </c>
      <c r="W16" s="16">
        <f t="shared" si="4"/>
        <v>243997</v>
      </c>
      <c r="X16" s="16">
        <f t="shared" si="1"/>
        <v>243992</v>
      </c>
      <c r="Y16" s="15" t="s">
        <v>54</v>
      </c>
      <c r="Z16" s="177">
        <v>243991</v>
      </c>
      <c r="AA16" s="170"/>
      <c r="AB16" s="170"/>
      <c r="AC16" s="170"/>
      <c r="AD16" s="170"/>
      <c r="AE16" s="15" t="s">
        <v>54</v>
      </c>
      <c r="AF16" s="177">
        <v>243992</v>
      </c>
      <c r="AG16" s="177" t="str">
        <f t="shared" si="2"/>
        <v>Pass</v>
      </c>
      <c r="AH16" s="177">
        <f t="shared" si="3"/>
        <v>243992</v>
      </c>
      <c r="AK16" s="176"/>
      <c r="AL16" s="176"/>
      <c r="AN16" s="44"/>
    </row>
    <row r="17" spans="1:40" ht="36" customHeight="1" x14ac:dyDescent="0.2">
      <c r="A17" s="14" t="s">
        <v>17</v>
      </c>
      <c r="B17" s="212">
        <v>243990</v>
      </c>
      <c r="C17" s="14" t="s">
        <v>547</v>
      </c>
      <c r="D17" s="14" t="s">
        <v>268</v>
      </c>
      <c r="E17" s="14" t="s">
        <v>14</v>
      </c>
      <c r="F17" s="14" t="s">
        <v>324</v>
      </c>
      <c r="G17" s="179">
        <v>680016</v>
      </c>
      <c r="H17" s="176" t="s">
        <v>659</v>
      </c>
      <c r="I17" s="176" t="s">
        <v>612</v>
      </c>
      <c r="J17" s="176" t="s">
        <v>666</v>
      </c>
      <c r="K17" s="176" t="s">
        <v>668</v>
      </c>
      <c r="L17" s="40" t="s">
        <v>45</v>
      </c>
      <c r="M17" s="40" t="s">
        <v>341</v>
      </c>
      <c r="N17" s="14" t="s">
        <v>675</v>
      </c>
      <c r="O17" s="14" t="s">
        <v>552</v>
      </c>
      <c r="P17" s="14" t="s">
        <v>685</v>
      </c>
      <c r="Q17" s="14" t="s">
        <v>553</v>
      </c>
      <c r="R17" s="17">
        <v>675</v>
      </c>
      <c r="S17" s="172" t="s">
        <v>51</v>
      </c>
      <c r="T17" s="17">
        <v>910</v>
      </c>
      <c r="U17" s="14" t="s">
        <v>51</v>
      </c>
      <c r="V17" s="16">
        <f t="shared" si="0"/>
        <v>243990</v>
      </c>
      <c r="W17" s="16">
        <f t="shared" si="4"/>
        <v>243997</v>
      </c>
      <c r="X17" s="16">
        <f t="shared" si="1"/>
        <v>243992</v>
      </c>
      <c r="Y17" s="15" t="s">
        <v>54</v>
      </c>
      <c r="Z17" s="177">
        <v>243991</v>
      </c>
      <c r="AA17" s="170"/>
      <c r="AB17" s="170"/>
      <c r="AC17" s="170"/>
      <c r="AD17" s="170"/>
      <c r="AE17" s="15" t="s">
        <v>54</v>
      </c>
      <c r="AF17" s="177">
        <v>243992</v>
      </c>
      <c r="AG17" s="177" t="str">
        <f t="shared" si="2"/>
        <v>Pass</v>
      </c>
      <c r="AH17" s="177">
        <f t="shared" si="3"/>
        <v>243992</v>
      </c>
      <c r="AK17" s="176"/>
      <c r="AL17" s="176"/>
      <c r="AN17" s="44"/>
    </row>
    <row r="18" spans="1:40" ht="36" customHeight="1" x14ac:dyDescent="0.2">
      <c r="A18" s="14" t="s">
        <v>17</v>
      </c>
      <c r="B18" s="212">
        <v>243990</v>
      </c>
      <c r="C18" s="14" t="s">
        <v>547</v>
      </c>
      <c r="D18" s="14" t="s">
        <v>268</v>
      </c>
      <c r="E18" s="14" t="s">
        <v>14</v>
      </c>
      <c r="F18" s="14" t="s">
        <v>324</v>
      </c>
      <c r="G18" s="179">
        <v>680017</v>
      </c>
      <c r="H18" s="176" t="s">
        <v>660</v>
      </c>
      <c r="I18" s="176" t="s">
        <v>550</v>
      </c>
      <c r="J18" s="176" t="s">
        <v>128</v>
      </c>
      <c r="K18" s="176" t="s">
        <v>669</v>
      </c>
      <c r="L18" s="40" t="s">
        <v>106</v>
      </c>
      <c r="M18" s="40" t="s">
        <v>341</v>
      </c>
      <c r="N18" s="14" t="s">
        <v>676</v>
      </c>
      <c r="O18" s="14" t="s">
        <v>548</v>
      </c>
      <c r="P18" s="14" t="s">
        <v>518</v>
      </c>
      <c r="Q18" s="14" t="s">
        <v>549</v>
      </c>
      <c r="R18" s="17">
        <v>169</v>
      </c>
      <c r="S18" s="172" t="s">
        <v>51</v>
      </c>
      <c r="T18" s="17">
        <v>2440</v>
      </c>
      <c r="U18" s="14" t="s">
        <v>51</v>
      </c>
      <c r="V18" s="16">
        <f t="shared" si="0"/>
        <v>243990</v>
      </c>
      <c r="W18" s="16">
        <f t="shared" si="4"/>
        <v>243997</v>
      </c>
      <c r="X18" s="16">
        <f t="shared" si="1"/>
        <v>243992</v>
      </c>
      <c r="Y18" s="15" t="s">
        <v>54</v>
      </c>
      <c r="Z18" s="177">
        <v>243993</v>
      </c>
      <c r="AA18" s="170"/>
      <c r="AB18" s="170"/>
      <c r="AC18" s="170"/>
      <c r="AD18" s="170"/>
      <c r="AE18" s="15" t="s">
        <v>54</v>
      </c>
      <c r="AF18" s="177">
        <v>243993</v>
      </c>
      <c r="AG18" s="177" t="str">
        <f t="shared" si="2"/>
        <v>Pass</v>
      </c>
      <c r="AH18" s="177">
        <f t="shared" si="3"/>
        <v>243993</v>
      </c>
      <c r="AK18" s="176"/>
      <c r="AL18" s="176"/>
      <c r="AN18" s="44"/>
    </row>
    <row r="19" spans="1:40" ht="36" customHeight="1" x14ac:dyDescent="0.2">
      <c r="A19" s="14" t="s">
        <v>17</v>
      </c>
      <c r="B19" s="212">
        <v>243990</v>
      </c>
      <c r="C19" s="14" t="s">
        <v>547</v>
      </c>
      <c r="D19" s="14" t="s">
        <v>268</v>
      </c>
      <c r="E19" s="14" t="s">
        <v>14</v>
      </c>
      <c r="F19" s="14" t="s">
        <v>324</v>
      </c>
      <c r="G19" s="179">
        <v>680018</v>
      </c>
      <c r="H19" s="176" t="s">
        <v>661</v>
      </c>
      <c r="I19" s="176" t="s">
        <v>630</v>
      </c>
      <c r="J19" s="176" t="s">
        <v>520</v>
      </c>
      <c r="K19" s="176" t="s">
        <v>670</v>
      </c>
      <c r="L19" s="40" t="s">
        <v>124</v>
      </c>
      <c r="M19" s="40" t="s">
        <v>341</v>
      </c>
      <c r="N19" s="14" t="s">
        <v>677</v>
      </c>
      <c r="O19" s="14" t="s">
        <v>682</v>
      </c>
      <c r="P19" s="14" t="s">
        <v>686</v>
      </c>
      <c r="Q19" s="14" t="s">
        <v>690</v>
      </c>
      <c r="R19" s="17">
        <v>125</v>
      </c>
      <c r="S19" s="172" t="s">
        <v>51</v>
      </c>
      <c r="T19" s="17">
        <v>1260</v>
      </c>
      <c r="U19" s="14" t="s">
        <v>51</v>
      </c>
      <c r="V19" s="16">
        <f t="shared" si="0"/>
        <v>243990</v>
      </c>
      <c r="W19" s="16">
        <f t="shared" si="4"/>
        <v>243997</v>
      </c>
      <c r="X19" s="16">
        <f t="shared" si="1"/>
        <v>243992</v>
      </c>
      <c r="Y19" s="15"/>
      <c r="Z19" s="177"/>
      <c r="AA19" s="170"/>
      <c r="AB19" s="170"/>
      <c r="AC19" s="170"/>
      <c r="AD19" s="170"/>
      <c r="AE19" s="15"/>
      <c r="AF19" s="177"/>
      <c r="AG19" s="177">
        <f t="shared" si="2"/>
        <v>0</v>
      </c>
      <c r="AH19" s="177">
        <f t="shared" si="3"/>
        <v>0</v>
      </c>
      <c r="AK19" s="176"/>
      <c r="AL19" s="176"/>
      <c r="AN19" s="44"/>
    </row>
    <row r="20" spans="1:40" ht="36" customHeight="1" x14ac:dyDescent="0.2">
      <c r="A20" s="14" t="s">
        <v>17</v>
      </c>
      <c r="B20" s="212">
        <v>243990</v>
      </c>
      <c r="C20" s="14" t="s">
        <v>547</v>
      </c>
      <c r="D20" s="14" t="s">
        <v>268</v>
      </c>
      <c r="E20" s="14" t="s">
        <v>14</v>
      </c>
      <c r="F20" s="14" t="s">
        <v>324</v>
      </c>
      <c r="G20" s="179">
        <v>680019</v>
      </c>
      <c r="H20" s="176" t="s">
        <v>662</v>
      </c>
      <c r="I20" s="176" t="s">
        <v>664</v>
      </c>
      <c r="J20" s="176" t="s">
        <v>123</v>
      </c>
      <c r="K20" s="176" t="s">
        <v>671</v>
      </c>
      <c r="L20" s="40" t="s">
        <v>45</v>
      </c>
      <c r="M20" s="40" t="s">
        <v>341</v>
      </c>
      <c r="N20" s="14" t="s">
        <v>678</v>
      </c>
      <c r="O20" s="14" t="s">
        <v>528</v>
      </c>
      <c r="P20" s="14" t="s">
        <v>687</v>
      </c>
      <c r="Q20" s="14" t="s">
        <v>541</v>
      </c>
      <c r="R20" s="17">
        <v>150</v>
      </c>
      <c r="S20" s="172" t="s">
        <v>51</v>
      </c>
      <c r="T20" s="17">
        <v>1890</v>
      </c>
      <c r="U20" s="14" t="s">
        <v>51</v>
      </c>
      <c r="V20" s="16">
        <f t="shared" si="0"/>
        <v>243990</v>
      </c>
      <c r="W20" s="16">
        <f t="shared" si="4"/>
        <v>243997</v>
      </c>
      <c r="X20" s="16">
        <f t="shared" si="1"/>
        <v>243992</v>
      </c>
      <c r="Y20" s="15" t="s">
        <v>54</v>
      </c>
      <c r="Z20" s="177">
        <v>243991</v>
      </c>
      <c r="AA20" s="170"/>
      <c r="AB20" s="170"/>
      <c r="AC20" s="170"/>
      <c r="AD20" s="170"/>
      <c r="AE20" s="15" t="s">
        <v>54</v>
      </c>
      <c r="AF20" s="177">
        <v>243992</v>
      </c>
      <c r="AG20" s="177" t="str">
        <f t="shared" si="2"/>
        <v>Pass</v>
      </c>
      <c r="AH20" s="177">
        <f t="shared" si="3"/>
        <v>243992</v>
      </c>
      <c r="AK20" s="176"/>
      <c r="AL20" s="176"/>
      <c r="AN20" s="44"/>
    </row>
    <row r="21" spans="1:40" ht="36" customHeight="1" x14ac:dyDescent="0.2">
      <c r="A21" s="14" t="s">
        <v>17</v>
      </c>
      <c r="B21" s="212">
        <v>243990</v>
      </c>
      <c r="C21" s="14" t="s">
        <v>547</v>
      </c>
      <c r="D21" s="14" t="s">
        <v>268</v>
      </c>
      <c r="E21" s="14" t="s">
        <v>14</v>
      </c>
      <c r="F21" s="14" t="s">
        <v>324</v>
      </c>
      <c r="G21" s="179">
        <v>680020</v>
      </c>
      <c r="H21" s="176" t="s">
        <v>662</v>
      </c>
      <c r="I21" s="176" t="s">
        <v>664</v>
      </c>
      <c r="J21" s="176" t="s">
        <v>123</v>
      </c>
      <c r="K21" s="176" t="s">
        <v>671</v>
      </c>
      <c r="L21" s="40" t="s">
        <v>45</v>
      </c>
      <c r="M21" s="40" t="s">
        <v>341</v>
      </c>
      <c r="N21" s="14" t="s">
        <v>679</v>
      </c>
      <c r="O21" s="14" t="s">
        <v>552</v>
      </c>
      <c r="P21" s="14" t="s">
        <v>688</v>
      </c>
      <c r="Q21" s="14" t="s">
        <v>553</v>
      </c>
      <c r="R21" s="17">
        <v>590</v>
      </c>
      <c r="S21" s="172" t="s">
        <v>51</v>
      </c>
      <c r="T21" s="17">
        <v>1890</v>
      </c>
      <c r="U21" s="14" t="s">
        <v>51</v>
      </c>
      <c r="V21" s="16">
        <f t="shared" si="0"/>
        <v>243990</v>
      </c>
      <c r="W21" s="16">
        <f t="shared" si="4"/>
        <v>243997</v>
      </c>
      <c r="X21" s="16">
        <f t="shared" si="1"/>
        <v>243992</v>
      </c>
      <c r="Y21" s="15" t="s">
        <v>54</v>
      </c>
      <c r="Z21" s="177">
        <v>243991</v>
      </c>
      <c r="AA21" s="170"/>
      <c r="AB21" s="170"/>
      <c r="AC21" s="170"/>
      <c r="AD21" s="170"/>
      <c r="AE21" s="15" t="s">
        <v>54</v>
      </c>
      <c r="AF21" s="177">
        <v>243992</v>
      </c>
      <c r="AG21" s="177" t="str">
        <f t="shared" si="2"/>
        <v>Pass</v>
      </c>
      <c r="AH21" s="177">
        <f t="shared" si="3"/>
        <v>243992</v>
      </c>
      <c r="AK21" s="176"/>
      <c r="AL21" s="176"/>
      <c r="AN21" s="44"/>
    </row>
    <row r="22" spans="1:40" ht="36" customHeight="1" x14ac:dyDescent="0.2">
      <c r="A22" s="14" t="s">
        <v>17</v>
      </c>
      <c r="B22" s="212">
        <v>243990</v>
      </c>
      <c r="C22" s="14" t="s">
        <v>547</v>
      </c>
      <c r="D22" s="14" t="s">
        <v>268</v>
      </c>
      <c r="E22" s="14" t="s">
        <v>14</v>
      </c>
      <c r="F22" s="14" t="s">
        <v>324</v>
      </c>
      <c r="G22" s="179">
        <v>680021</v>
      </c>
      <c r="H22" s="176" t="s">
        <v>662</v>
      </c>
      <c r="I22" s="176" t="s">
        <v>664</v>
      </c>
      <c r="J22" s="176" t="s">
        <v>123</v>
      </c>
      <c r="K22" s="176" t="s">
        <v>671</v>
      </c>
      <c r="L22" s="40" t="s">
        <v>45</v>
      </c>
      <c r="M22" s="40" t="s">
        <v>341</v>
      </c>
      <c r="N22" s="14" t="s">
        <v>680</v>
      </c>
      <c r="O22" s="14" t="s">
        <v>548</v>
      </c>
      <c r="P22" s="14" t="s">
        <v>518</v>
      </c>
      <c r="Q22" s="14" t="s">
        <v>549</v>
      </c>
      <c r="R22" s="17"/>
      <c r="S22" s="172" t="s">
        <v>51</v>
      </c>
      <c r="T22" s="17"/>
      <c r="U22" s="14"/>
      <c r="V22" s="16">
        <f t="shared" si="0"/>
        <v>243990</v>
      </c>
      <c r="W22" s="16">
        <f t="shared" si="4"/>
        <v>243997</v>
      </c>
      <c r="X22" s="16">
        <f t="shared" si="1"/>
        <v>243992</v>
      </c>
      <c r="Y22" s="15" t="s">
        <v>54</v>
      </c>
      <c r="Z22" s="177">
        <v>243991</v>
      </c>
      <c r="AA22" s="170"/>
      <c r="AB22" s="170"/>
      <c r="AC22" s="170"/>
      <c r="AD22" s="170"/>
      <c r="AE22" s="15" t="s">
        <v>54</v>
      </c>
      <c r="AF22" s="177">
        <v>243992</v>
      </c>
      <c r="AG22" s="177" t="str">
        <f t="shared" si="2"/>
        <v>Pass</v>
      </c>
      <c r="AH22" s="177">
        <f t="shared" si="3"/>
        <v>243992</v>
      </c>
      <c r="AK22" s="176"/>
      <c r="AL22" s="176"/>
      <c r="AN22" s="44"/>
    </row>
    <row r="23" spans="1:40" ht="36" customHeight="1" x14ac:dyDescent="0.2">
      <c r="A23" s="14" t="s">
        <v>17</v>
      </c>
      <c r="B23" s="212">
        <v>243990</v>
      </c>
      <c r="C23" s="14" t="s">
        <v>547</v>
      </c>
      <c r="D23" s="14" t="s">
        <v>268</v>
      </c>
      <c r="E23" s="14" t="s">
        <v>14</v>
      </c>
      <c r="F23" s="14" t="s">
        <v>324</v>
      </c>
      <c r="G23" s="179">
        <v>680022</v>
      </c>
      <c r="H23" s="176" t="s">
        <v>663</v>
      </c>
      <c r="I23" s="176" t="s">
        <v>630</v>
      </c>
      <c r="J23" s="176" t="s">
        <v>123</v>
      </c>
      <c r="K23" s="176" t="s">
        <v>672</v>
      </c>
      <c r="L23" s="40" t="s">
        <v>124</v>
      </c>
      <c r="M23" s="40" t="s">
        <v>341</v>
      </c>
      <c r="N23" s="14" t="s">
        <v>691</v>
      </c>
      <c r="O23" s="14" t="s">
        <v>693</v>
      </c>
      <c r="P23" s="14" t="s">
        <v>694</v>
      </c>
      <c r="Q23" s="14" t="s">
        <v>696</v>
      </c>
      <c r="R23" s="17">
        <v>720</v>
      </c>
      <c r="S23" s="172" t="s">
        <v>51</v>
      </c>
      <c r="T23" s="17">
        <v>1383</v>
      </c>
      <c r="U23" s="14" t="s">
        <v>51</v>
      </c>
      <c r="V23" s="16">
        <f t="shared" si="0"/>
        <v>243990</v>
      </c>
      <c r="W23" s="16">
        <f t="shared" si="4"/>
        <v>243997</v>
      </c>
      <c r="X23" s="16">
        <f t="shared" si="1"/>
        <v>243992</v>
      </c>
      <c r="Y23" s="15" t="s">
        <v>54</v>
      </c>
      <c r="Z23" s="177">
        <v>244005</v>
      </c>
      <c r="AA23" s="170"/>
      <c r="AB23" s="170"/>
      <c r="AC23" s="170"/>
      <c r="AD23" s="170"/>
      <c r="AE23" s="15" t="s">
        <v>54</v>
      </c>
      <c r="AF23" s="177">
        <v>244006</v>
      </c>
      <c r="AG23" s="177" t="str">
        <f t="shared" si="2"/>
        <v>Pass</v>
      </c>
      <c r="AH23" s="177">
        <f t="shared" si="3"/>
        <v>244006</v>
      </c>
      <c r="AK23" s="176"/>
      <c r="AL23" s="176"/>
      <c r="AN23" s="44"/>
    </row>
    <row r="24" spans="1:40" ht="36" customHeight="1" x14ac:dyDescent="0.2">
      <c r="A24" s="14" t="s">
        <v>17</v>
      </c>
      <c r="B24" s="212">
        <v>243990</v>
      </c>
      <c r="C24" s="14" t="s">
        <v>547</v>
      </c>
      <c r="D24" s="14" t="s">
        <v>268</v>
      </c>
      <c r="E24" s="14" t="s">
        <v>14</v>
      </c>
      <c r="F24" s="14" t="s">
        <v>324</v>
      </c>
      <c r="G24" s="179">
        <v>680023</v>
      </c>
      <c r="H24" s="176" t="s">
        <v>663</v>
      </c>
      <c r="I24" s="176" t="s">
        <v>630</v>
      </c>
      <c r="J24" s="176" t="s">
        <v>123</v>
      </c>
      <c r="K24" s="176" t="s">
        <v>672</v>
      </c>
      <c r="L24" s="40" t="s">
        <v>124</v>
      </c>
      <c r="M24" s="40" t="s">
        <v>341</v>
      </c>
      <c r="N24" s="14" t="s">
        <v>692</v>
      </c>
      <c r="O24" s="14" t="s">
        <v>543</v>
      </c>
      <c r="P24" s="14" t="s">
        <v>695</v>
      </c>
      <c r="Q24" s="14" t="s">
        <v>529</v>
      </c>
      <c r="R24" s="17">
        <v>300</v>
      </c>
      <c r="S24" s="172" t="s">
        <v>51</v>
      </c>
      <c r="T24" s="17">
        <v>1020</v>
      </c>
      <c r="U24" s="14" t="s">
        <v>51</v>
      </c>
      <c r="V24" s="16">
        <f t="shared" si="0"/>
        <v>243990</v>
      </c>
      <c r="W24" s="16">
        <f t="shared" si="4"/>
        <v>243997</v>
      </c>
      <c r="X24" s="16">
        <f t="shared" si="1"/>
        <v>243992</v>
      </c>
      <c r="Y24" s="15" t="s">
        <v>54</v>
      </c>
      <c r="Z24" s="177">
        <v>244005</v>
      </c>
      <c r="AA24" s="170"/>
      <c r="AB24" s="170"/>
      <c r="AC24" s="170"/>
      <c r="AD24" s="170"/>
      <c r="AE24" s="15" t="s">
        <v>54</v>
      </c>
      <c r="AF24" s="177">
        <v>244006</v>
      </c>
      <c r="AG24" s="177" t="str">
        <f t="shared" si="2"/>
        <v>Pass</v>
      </c>
      <c r="AH24" s="177">
        <f t="shared" si="3"/>
        <v>244006</v>
      </c>
      <c r="AK24" s="176"/>
      <c r="AL24" s="176"/>
      <c r="AN24" s="44"/>
    </row>
    <row r="25" spans="1:40" ht="36" customHeight="1" x14ac:dyDescent="0.2">
      <c r="A25" s="14" t="s">
        <v>17</v>
      </c>
      <c r="B25" s="212">
        <v>243990</v>
      </c>
      <c r="C25" s="14" t="s">
        <v>547</v>
      </c>
      <c r="D25" s="14" t="s">
        <v>268</v>
      </c>
      <c r="E25" s="14" t="s">
        <v>14</v>
      </c>
      <c r="F25" s="14" t="s">
        <v>324</v>
      </c>
      <c r="G25" s="179">
        <v>680024</v>
      </c>
      <c r="H25" s="176" t="s">
        <v>659</v>
      </c>
      <c r="I25" s="176" t="s">
        <v>612</v>
      </c>
      <c r="J25" s="176" t="s">
        <v>666</v>
      </c>
      <c r="K25" s="176" t="s">
        <v>668</v>
      </c>
      <c r="L25" s="40" t="s">
        <v>45</v>
      </c>
      <c r="M25" s="40" t="s">
        <v>341</v>
      </c>
      <c r="N25" s="14" t="s">
        <v>697</v>
      </c>
      <c r="O25" s="14" t="s">
        <v>698</v>
      </c>
      <c r="P25" s="14" t="s">
        <v>699</v>
      </c>
      <c r="Q25" s="14" t="s">
        <v>700</v>
      </c>
      <c r="R25" s="17">
        <v>250</v>
      </c>
      <c r="S25" s="172" t="s">
        <v>51</v>
      </c>
      <c r="T25" s="17"/>
      <c r="U25" s="14"/>
      <c r="V25" s="16">
        <f t="shared" si="0"/>
        <v>243990</v>
      </c>
      <c r="W25" s="16">
        <f t="shared" si="4"/>
        <v>243997</v>
      </c>
      <c r="X25" s="16">
        <f t="shared" si="1"/>
        <v>243992</v>
      </c>
      <c r="Y25" s="15" t="s">
        <v>54</v>
      </c>
      <c r="Z25" s="177">
        <v>243991</v>
      </c>
      <c r="AA25" s="170"/>
      <c r="AB25" s="170"/>
      <c r="AC25" s="170"/>
      <c r="AD25" s="170"/>
      <c r="AE25" s="15" t="s">
        <v>54</v>
      </c>
      <c r="AF25" s="177">
        <v>243992</v>
      </c>
      <c r="AG25" s="177" t="str">
        <f t="shared" si="2"/>
        <v>Pass</v>
      </c>
      <c r="AH25" s="177">
        <f t="shared" si="3"/>
        <v>243992</v>
      </c>
      <c r="AK25" s="176"/>
      <c r="AL25" s="176"/>
      <c r="AN25" s="44"/>
    </row>
    <row r="26" spans="1:40" ht="36" customHeight="1" x14ac:dyDescent="0.2">
      <c r="A26" s="14" t="s">
        <v>17</v>
      </c>
      <c r="B26" s="212">
        <v>243991</v>
      </c>
      <c r="C26" s="14" t="s">
        <v>547</v>
      </c>
      <c r="D26" s="14" t="s">
        <v>268</v>
      </c>
      <c r="E26" s="14" t="s">
        <v>14</v>
      </c>
      <c r="F26" s="14" t="s">
        <v>324</v>
      </c>
      <c r="G26" s="179">
        <v>680025</v>
      </c>
      <c r="H26" s="176" t="s">
        <v>702</v>
      </c>
      <c r="I26" s="176" t="s">
        <v>550</v>
      </c>
      <c r="J26" s="176" t="s">
        <v>706</v>
      </c>
      <c r="K26" s="176" t="s">
        <v>708</v>
      </c>
      <c r="L26" s="40" t="s">
        <v>710</v>
      </c>
      <c r="M26" s="40" t="s">
        <v>341</v>
      </c>
      <c r="N26" s="14" t="s">
        <v>711</v>
      </c>
      <c r="O26" s="14" t="s">
        <v>714</v>
      </c>
      <c r="P26" s="14" t="s">
        <v>517</v>
      </c>
      <c r="Q26" s="14" t="s">
        <v>716</v>
      </c>
      <c r="R26" s="17">
        <v>350</v>
      </c>
      <c r="S26" s="172" t="s">
        <v>51</v>
      </c>
      <c r="T26" s="17">
        <v>2378</v>
      </c>
      <c r="U26" s="14" t="s">
        <v>51</v>
      </c>
      <c r="V26" s="16">
        <f t="shared" si="0"/>
        <v>243991</v>
      </c>
      <c r="W26" s="16">
        <f t="shared" si="4"/>
        <v>243998</v>
      </c>
      <c r="X26" s="16">
        <f t="shared" si="1"/>
        <v>243993</v>
      </c>
      <c r="Y26" s="15" t="s">
        <v>54</v>
      </c>
      <c r="Z26" s="177">
        <v>243993</v>
      </c>
      <c r="AA26" s="170"/>
      <c r="AB26" s="170"/>
      <c r="AC26" s="170"/>
      <c r="AD26" s="170"/>
      <c r="AE26" s="15" t="s">
        <v>54</v>
      </c>
      <c r="AF26" s="177">
        <v>243993</v>
      </c>
      <c r="AG26" s="177" t="str">
        <f t="shared" si="2"/>
        <v>Pass</v>
      </c>
      <c r="AH26" s="177">
        <f t="shared" si="3"/>
        <v>243993</v>
      </c>
      <c r="AK26" s="176"/>
      <c r="AL26" s="176"/>
      <c r="AN26" s="44"/>
    </row>
    <row r="27" spans="1:40" ht="36" customHeight="1" x14ac:dyDescent="0.2">
      <c r="A27" s="14" t="s">
        <v>17</v>
      </c>
      <c r="B27" s="212">
        <v>243991</v>
      </c>
      <c r="C27" s="14" t="s">
        <v>547</v>
      </c>
      <c r="D27" s="14" t="s">
        <v>268</v>
      </c>
      <c r="E27" s="14" t="s">
        <v>14</v>
      </c>
      <c r="F27" s="14" t="s">
        <v>324</v>
      </c>
      <c r="G27" s="179">
        <v>680026</v>
      </c>
      <c r="H27" s="176" t="s">
        <v>703</v>
      </c>
      <c r="I27" s="176" t="s">
        <v>705</v>
      </c>
      <c r="J27" s="176" t="s">
        <v>707</v>
      </c>
      <c r="K27" s="176" t="s">
        <v>709</v>
      </c>
      <c r="L27" s="40" t="s">
        <v>106</v>
      </c>
      <c r="M27" s="40" t="s">
        <v>341</v>
      </c>
      <c r="N27" s="14" t="s">
        <v>712</v>
      </c>
      <c r="O27" s="14" t="s">
        <v>548</v>
      </c>
      <c r="P27" s="14" t="s">
        <v>518</v>
      </c>
      <c r="Q27" s="14" t="s">
        <v>717</v>
      </c>
      <c r="R27" s="17">
        <v>151</v>
      </c>
      <c r="S27" s="172" t="s">
        <v>51</v>
      </c>
      <c r="T27" s="17">
        <v>3150</v>
      </c>
      <c r="U27" s="14" t="s">
        <v>51</v>
      </c>
      <c r="V27" s="16">
        <f t="shared" si="0"/>
        <v>243991</v>
      </c>
      <c r="W27" s="16">
        <f t="shared" si="4"/>
        <v>243998</v>
      </c>
      <c r="X27" s="16">
        <f t="shared" si="1"/>
        <v>243993</v>
      </c>
      <c r="Y27" s="15" t="s">
        <v>54</v>
      </c>
      <c r="Z27" s="177">
        <v>243993</v>
      </c>
      <c r="AA27" s="170"/>
      <c r="AB27" s="170"/>
      <c r="AC27" s="170"/>
      <c r="AD27" s="170"/>
      <c r="AE27" s="15" t="s">
        <v>54</v>
      </c>
      <c r="AF27" s="177">
        <v>243993</v>
      </c>
      <c r="AG27" s="177" t="str">
        <f t="shared" si="2"/>
        <v>Pass</v>
      </c>
      <c r="AH27" s="177">
        <f t="shared" si="3"/>
        <v>243993</v>
      </c>
      <c r="AK27" s="176"/>
      <c r="AL27" s="176"/>
      <c r="AN27" s="44"/>
    </row>
    <row r="28" spans="1:40" ht="36" customHeight="1" x14ac:dyDescent="0.2">
      <c r="A28" s="14" t="s">
        <v>17</v>
      </c>
      <c r="B28" s="212">
        <v>243991</v>
      </c>
      <c r="C28" s="14" t="s">
        <v>547</v>
      </c>
      <c r="D28" s="14" t="s">
        <v>268</v>
      </c>
      <c r="E28" s="14" t="s">
        <v>14</v>
      </c>
      <c r="F28" s="14" t="s">
        <v>324</v>
      </c>
      <c r="G28" s="179">
        <v>680027</v>
      </c>
      <c r="H28" s="176" t="s">
        <v>704</v>
      </c>
      <c r="I28" s="176" t="s">
        <v>664</v>
      </c>
      <c r="J28" s="176" t="s">
        <v>123</v>
      </c>
      <c r="K28" s="176" t="s">
        <v>718</v>
      </c>
      <c r="L28" s="40" t="s">
        <v>45</v>
      </c>
      <c r="M28" s="40" t="s">
        <v>341</v>
      </c>
      <c r="N28" s="14" t="s">
        <v>713</v>
      </c>
      <c r="O28" s="14" t="s">
        <v>543</v>
      </c>
      <c r="P28" s="14" t="s">
        <v>715</v>
      </c>
      <c r="Q28" s="14" t="s">
        <v>715</v>
      </c>
      <c r="R28" s="17">
        <v>100</v>
      </c>
      <c r="S28" s="172" t="s">
        <v>51</v>
      </c>
      <c r="T28" s="17">
        <v>1098</v>
      </c>
      <c r="U28" s="14" t="s">
        <v>51</v>
      </c>
      <c r="V28" s="16">
        <f t="shared" si="0"/>
        <v>243991</v>
      </c>
      <c r="W28" s="16">
        <f t="shared" si="4"/>
        <v>243998</v>
      </c>
      <c r="X28" s="16">
        <f t="shared" si="1"/>
        <v>243993</v>
      </c>
      <c r="Y28" s="15" t="s">
        <v>54</v>
      </c>
      <c r="Z28" s="177">
        <v>243994</v>
      </c>
      <c r="AA28" s="170"/>
      <c r="AB28" s="170"/>
      <c r="AC28" s="170"/>
      <c r="AD28" s="170"/>
      <c r="AE28" s="15" t="s">
        <v>54</v>
      </c>
      <c r="AF28" s="177">
        <v>243996</v>
      </c>
      <c r="AG28" s="177" t="str">
        <f t="shared" si="2"/>
        <v>Pass</v>
      </c>
      <c r="AH28" s="177">
        <f t="shared" si="3"/>
        <v>243996</v>
      </c>
      <c r="AK28" s="176"/>
      <c r="AL28" s="176"/>
      <c r="AN28" s="44"/>
    </row>
    <row r="29" spans="1:40" ht="36" customHeight="1" x14ac:dyDescent="0.2">
      <c r="A29" s="14" t="s">
        <v>17</v>
      </c>
      <c r="B29" s="212">
        <v>243992</v>
      </c>
      <c r="C29" s="14" t="s">
        <v>547</v>
      </c>
      <c r="D29" s="14" t="s">
        <v>268</v>
      </c>
      <c r="E29" s="14" t="s">
        <v>14</v>
      </c>
      <c r="F29" s="14" t="s">
        <v>324</v>
      </c>
      <c r="G29" s="179">
        <v>680028</v>
      </c>
      <c r="H29" s="176" t="s">
        <v>719</v>
      </c>
      <c r="I29" s="176" t="s">
        <v>551</v>
      </c>
      <c r="J29" s="176" t="s">
        <v>596</v>
      </c>
      <c r="K29" s="176" t="s">
        <v>728</v>
      </c>
      <c r="L29" s="40" t="s">
        <v>108</v>
      </c>
      <c r="M29" s="40" t="s">
        <v>341</v>
      </c>
      <c r="N29" s="14" t="s">
        <v>739</v>
      </c>
      <c r="O29" s="14" t="s">
        <v>738</v>
      </c>
      <c r="P29" s="14" t="s">
        <v>740</v>
      </c>
      <c r="Q29" s="14" t="s">
        <v>744</v>
      </c>
      <c r="R29" s="17" t="s">
        <v>745</v>
      </c>
      <c r="S29" s="172" t="s">
        <v>51</v>
      </c>
      <c r="T29" s="17"/>
      <c r="U29" s="14"/>
      <c r="V29" s="16">
        <f t="shared" si="0"/>
        <v>243992</v>
      </c>
      <c r="W29" s="16">
        <f t="shared" si="4"/>
        <v>243999</v>
      </c>
      <c r="X29" s="16">
        <f t="shared" si="1"/>
        <v>243994</v>
      </c>
      <c r="Y29" s="15" t="s">
        <v>54</v>
      </c>
      <c r="Z29" s="177">
        <v>243994</v>
      </c>
      <c r="AA29" s="170"/>
      <c r="AB29" s="170"/>
      <c r="AC29" s="170"/>
      <c r="AD29" s="170"/>
      <c r="AE29" s="15" t="s">
        <v>54</v>
      </c>
      <c r="AF29" s="177">
        <v>243996</v>
      </c>
      <c r="AG29" s="177" t="str">
        <f t="shared" si="2"/>
        <v>Pass</v>
      </c>
      <c r="AH29" s="177">
        <f t="shared" si="3"/>
        <v>243996</v>
      </c>
      <c r="AK29" s="176"/>
      <c r="AL29" s="176"/>
      <c r="AN29" s="44"/>
    </row>
    <row r="30" spans="1:40" ht="36" customHeight="1" x14ac:dyDescent="0.2">
      <c r="A30" s="14" t="s">
        <v>17</v>
      </c>
      <c r="B30" s="212">
        <v>243992</v>
      </c>
      <c r="C30" s="14" t="s">
        <v>547</v>
      </c>
      <c r="D30" s="14" t="s">
        <v>268</v>
      </c>
      <c r="E30" s="14" t="s">
        <v>14</v>
      </c>
      <c r="F30" s="14" t="s">
        <v>324</v>
      </c>
      <c r="G30" s="179">
        <v>680029</v>
      </c>
      <c r="H30" s="176" t="s">
        <v>720</v>
      </c>
      <c r="I30" s="176" t="s">
        <v>724</v>
      </c>
      <c r="J30" s="176" t="s">
        <v>726</v>
      </c>
      <c r="K30" s="176" t="s">
        <v>729</v>
      </c>
      <c r="L30" s="40" t="s">
        <v>106</v>
      </c>
      <c r="M30" s="40" t="s">
        <v>341</v>
      </c>
      <c r="N30" s="14" t="s">
        <v>733</v>
      </c>
      <c r="O30" s="14" t="s">
        <v>543</v>
      </c>
      <c r="P30" s="14" t="s">
        <v>517</v>
      </c>
      <c r="Q30" s="14" t="s">
        <v>529</v>
      </c>
      <c r="R30" s="17">
        <v>300</v>
      </c>
      <c r="S30" s="172" t="s">
        <v>51</v>
      </c>
      <c r="T30" s="17">
        <v>3216</v>
      </c>
      <c r="U30" s="14" t="s">
        <v>51</v>
      </c>
      <c r="V30" s="16">
        <f t="shared" si="0"/>
        <v>243992</v>
      </c>
      <c r="W30" s="16">
        <f t="shared" si="4"/>
        <v>243999</v>
      </c>
      <c r="X30" s="16">
        <f t="shared" si="1"/>
        <v>243994</v>
      </c>
      <c r="Y30" s="15" t="s">
        <v>54</v>
      </c>
      <c r="Z30" s="177">
        <v>243993</v>
      </c>
      <c r="AA30" s="170"/>
      <c r="AB30" s="170"/>
      <c r="AC30" s="170"/>
      <c r="AD30" s="170"/>
      <c r="AE30" s="15" t="s">
        <v>54</v>
      </c>
      <c r="AF30" s="177">
        <v>243993</v>
      </c>
      <c r="AG30" s="177" t="str">
        <f t="shared" si="2"/>
        <v>Pass</v>
      </c>
      <c r="AH30" s="177">
        <f t="shared" si="3"/>
        <v>243993</v>
      </c>
      <c r="AK30" s="176"/>
      <c r="AL30" s="176"/>
      <c r="AN30" s="44"/>
    </row>
    <row r="31" spans="1:40" ht="36" customHeight="1" x14ac:dyDescent="0.2">
      <c r="A31" s="14" t="s">
        <v>17</v>
      </c>
      <c r="B31" s="212">
        <v>243992</v>
      </c>
      <c r="C31" s="14" t="s">
        <v>547</v>
      </c>
      <c r="D31" s="14" t="s">
        <v>268</v>
      </c>
      <c r="E31" s="14" t="s">
        <v>14</v>
      </c>
      <c r="F31" s="14" t="s">
        <v>324</v>
      </c>
      <c r="G31" s="179">
        <v>680030</v>
      </c>
      <c r="H31" s="176" t="s">
        <v>721</v>
      </c>
      <c r="I31" s="176" t="s">
        <v>664</v>
      </c>
      <c r="J31" s="176" t="s">
        <v>123</v>
      </c>
      <c r="K31" s="176" t="s">
        <v>730</v>
      </c>
      <c r="L31" s="40" t="s">
        <v>45</v>
      </c>
      <c r="M31" s="40" t="s">
        <v>341</v>
      </c>
      <c r="N31" s="14" t="s">
        <v>734</v>
      </c>
      <c r="O31" s="14" t="s">
        <v>528</v>
      </c>
      <c r="P31" s="14" t="s">
        <v>741</v>
      </c>
      <c r="Q31" s="14" t="s">
        <v>541</v>
      </c>
      <c r="R31" s="17">
        <v>600</v>
      </c>
      <c r="S31" s="172" t="s">
        <v>51</v>
      </c>
      <c r="T31" s="17">
        <v>1328</v>
      </c>
      <c r="U31" s="14" t="s">
        <v>51</v>
      </c>
      <c r="V31" s="16">
        <f t="shared" si="0"/>
        <v>243992</v>
      </c>
      <c r="W31" s="16">
        <f t="shared" si="4"/>
        <v>243999</v>
      </c>
      <c r="X31" s="16">
        <f t="shared" si="1"/>
        <v>243994</v>
      </c>
      <c r="Y31" s="15" t="s">
        <v>54</v>
      </c>
      <c r="Z31" s="177">
        <v>243996</v>
      </c>
      <c r="AA31" s="170"/>
      <c r="AB31" s="170"/>
      <c r="AC31" s="170"/>
      <c r="AD31" s="170"/>
      <c r="AE31" s="15" t="s">
        <v>54</v>
      </c>
      <c r="AF31" s="177">
        <v>243996</v>
      </c>
      <c r="AG31" s="177" t="str">
        <f t="shared" si="2"/>
        <v>Pass</v>
      </c>
      <c r="AH31" s="177">
        <f t="shared" si="3"/>
        <v>243996</v>
      </c>
      <c r="AK31" s="176"/>
      <c r="AL31" s="176"/>
      <c r="AN31" s="44"/>
    </row>
    <row r="32" spans="1:40" ht="36" customHeight="1" x14ac:dyDescent="0.2">
      <c r="A32" s="14" t="s">
        <v>17</v>
      </c>
      <c r="B32" s="212">
        <v>243992</v>
      </c>
      <c r="C32" s="14" t="s">
        <v>547</v>
      </c>
      <c r="D32" s="14" t="s">
        <v>268</v>
      </c>
      <c r="E32" s="14" t="s">
        <v>14</v>
      </c>
      <c r="F32" s="14" t="s">
        <v>324</v>
      </c>
      <c r="G32" s="179">
        <v>680031</v>
      </c>
      <c r="H32" s="176" t="s">
        <v>722</v>
      </c>
      <c r="I32" s="176" t="s">
        <v>612</v>
      </c>
      <c r="J32" s="176" t="s">
        <v>727</v>
      </c>
      <c r="K32" s="176" t="s">
        <v>731</v>
      </c>
      <c r="L32" s="40" t="s">
        <v>105</v>
      </c>
      <c r="M32" s="40" t="s">
        <v>341</v>
      </c>
      <c r="N32" s="14" t="s">
        <v>735</v>
      </c>
      <c r="O32" s="14" t="s">
        <v>543</v>
      </c>
      <c r="P32" s="14" t="s">
        <v>742</v>
      </c>
      <c r="Q32" s="14" t="s">
        <v>529</v>
      </c>
      <c r="R32" s="17">
        <v>350</v>
      </c>
      <c r="S32" s="172" t="s">
        <v>51</v>
      </c>
      <c r="T32" s="17">
        <v>1360</v>
      </c>
      <c r="U32" s="14" t="s">
        <v>51</v>
      </c>
      <c r="V32" s="16">
        <f t="shared" si="0"/>
        <v>243992</v>
      </c>
      <c r="W32" s="16">
        <f t="shared" si="4"/>
        <v>243999</v>
      </c>
      <c r="X32" s="16">
        <f t="shared" si="1"/>
        <v>243994</v>
      </c>
      <c r="Y32" s="15" t="s">
        <v>54</v>
      </c>
      <c r="Z32" s="177">
        <v>243994</v>
      </c>
      <c r="AA32" s="170"/>
      <c r="AB32" s="170"/>
      <c r="AC32" s="170"/>
      <c r="AD32" s="170"/>
      <c r="AE32" s="15" t="s">
        <v>54</v>
      </c>
      <c r="AF32" s="177">
        <v>243996</v>
      </c>
      <c r="AG32" s="177" t="str">
        <f t="shared" si="2"/>
        <v>Pass</v>
      </c>
      <c r="AH32" s="177">
        <f t="shared" si="3"/>
        <v>243996</v>
      </c>
      <c r="AK32" s="176"/>
      <c r="AL32" s="176"/>
      <c r="AN32" s="44"/>
    </row>
    <row r="33" spans="1:40" ht="36" customHeight="1" x14ac:dyDescent="0.2">
      <c r="A33" s="14" t="s">
        <v>17</v>
      </c>
      <c r="B33" s="212">
        <v>243992</v>
      </c>
      <c r="C33" s="14" t="s">
        <v>547</v>
      </c>
      <c r="D33" s="14" t="s">
        <v>268</v>
      </c>
      <c r="E33" s="14" t="s">
        <v>14</v>
      </c>
      <c r="F33" s="14" t="s">
        <v>324</v>
      </c>
      <c r="G33" s="179">
        <v>680032</v>
      </c>
      <c r="H33" s="176" t="s">
        <v>723</v>
      </c>
      <c r="I33" s="176" t="s">
        <v>725</v>
      </c>
      <c r="J33" s="176" t="s">
        <v>123</v>
      </c>
      <c r="K33" s="176" t="s">
        <v>732</v>
      </c>
      <c r="L33" s="40" t="s">
        <v>45</v>
      </c>
      <c r="M33" s="40" t="s">
        <v>341</v>
      </c>
      <c r="N33" s="14" t="s">
        <v>736</v>
      </c>
      <c r="O33" s="14" t="s">
        <v>543</v>
      </c>
      <c r="P33" s="14" t="s">
        <v>687</v>
      </c>
      <c r="Q33" s="14" t="s">
        <v>529</v>
      </c>
      <c r="R33" s="17">
        <v>400</v>
      </c>
      <c r="S33" s="172" t="s">
        <v>51</v>
      </c>
      <c r="T33" s="17">
        <v>1310</v>
      </c>
      <c r="U33" s="14" t="s">
        <v>51</v>
      </c>
      <c r="V33" s="16">
        <f t="shared" si="0"/>
        <v>243992</v>
      </c>
      <c r="W33" s="16">
        <f t="shared" si="4"/>
        <v>243999</v>
      </c>
      <c r="X33" s="16">
        <f t="shared" si="1"/>
        <v>243994</v>
      </c>
      <c r="Y33" s="15" t="s">
        <v>54</v>
      </c>
      <c r="Z33" s="177">
        <v>243994</v>
      </c>
      <c r="AA33" s="170"/>
      <c r="AB33" s="170"/>
      <c r="AC33" s="170"/>
      <c r="AD33" s="170"/>
      <c r="AE33" s="15" t="s">
        <v>54</v>
      </c>
      <c r="AF33" s="177">
        <v>243996</v>
      </c>
      <c r="AG33" s="177" t="str">
        <f t="shared" si="2"/>
        <v>Pass</v>
      </c>
      <c r="AH33" s="177">
        <f t="shared" si="3"/>
        <v>243996</v>
      </c>
      <c r="AK33" s="176"/>
      <c r="AL33" s="176"/>
      <c r="AN33" s="44"/>
    </row>
    <row r="34" spans="1:40" ht="36" customHeight="1" x14ac:dyDescent="0.2">
      <c r="A34" s="14" t="s">
        <v>17</v>
      </c>
      <c r="B34" s="212">
        <v>243992</v>
      </c>
      <c r="C34" s="14" t="s">
        <v>547</v>
      </c>
      <c r="D34" s="14" t="s">
        <v>268</v>
      </c>
      <c r="E34" s="14" t="s">
        <v>14</v>
      </c>
      <c r="F34" s="14" t="s">
        <v>324</v>
      </c>
      <c r="G34" s="179">
        <v>680033</v>
      </c>
      <c r="H34" s="176" t="s">
        <v>723</v>
      </c>
      <c r="I34" s="176" t="s">
        <v>725</v>
      </c>
      <c r="J34" s="176" t="s">
        <v>123</v>
      </c>
      <c r="K34" s="176" t="s">
        <v>732</v>
      </c>
      <c r="L34" s="40" t="s">
        <v>45</v>
      </c>
      <c r="M34" s="40" t="s">
        <v>341</v>
      </c>
      <c r="N34" s="14" t="s">
        <v>737</v>
      </c>
      <c r="O34" s="14" t="s">
        <v>543</v>
      </c>
      <c r="P34" s="14" t="s">
        <v>743</v>
      </c>
      <c r="Q34" s="14" t="s">
        <v>529</v>
      </c>
      <c r="R34" s="17">
        <v>1700</v>
      </c>
      <c r="S34" s="172" t="s">
        <v>51</v>
      </c>
      <c r="T34" s="17">
        <v>1990</v>
      </c>
      <c r="U34" s="14" t="s">
        <v>51</v>
      </c>
      <c r="V34" s="16">
        <f t="shared" si="0"/>
        <v>243992</v>
      </c>
      <c r="W34" s="16">
        <f t="shared" si="4"/>
        <v>243999</v>
      </c>
      <c r="X34" s="16">
        <f t="shared" si="1"/>
        <v>243994</v>
      </c>
      <c r="Y34" s="15" t="s">
        <v>54</v>
      </c>
      <c r="Z34" s="177">
        <v>243994</v>
      </c>
      <c r="AA34" s="170"/>
      <c r="AB34" s="170"/>
      <c r="AC34" s="170"/>
      <c r="AD34" s="170"/>
      <c r="AE34" s="15" t="s">
        <v>54</v>
      </c>
      <c r="AF34" s="177">
        <v>243996</v>
      </c>
      <c r="AG34" s="177" t="str">
        <f t="shared" ref="AG34:AG65" si="5">AE34</f>
        <v>Pass</v>
      </c>
      <c r="AH34" s="177">
        <f t="shared" ref="AH34:AH65" si="6">AF34</f>
        <v>243996</v>
      </c>
      <c r="AK34" s="176"/>
      <c r="AL34" s="176"/>
      <c r="AN34" s="44"/>
    </row>
    <row r="35" spans="1:40" ht="36" customHeight="1" x14ac:dyDescent="0.2">
      <c r="A35" s="14" t="s">
        <v>17</v>
      </c>
      <c r="B35" s="212">
        <v>243993</v>
      </c>
      <c r="C35" s="14" t="s">
        <v>547</v>
      </c>
      <c r="D35" s="14" t="s">
        <v>268</v>
      </c>
      <c r="E35" s="14" t="s">
        <v>14</v>
      </c>
      <c r="F35" s="14" t="s">
        <v>324</v>
      </c>
      <c r="G35" s="179">
        <v>680034</v>
      </c>
      <c r="H35" s="176" t="s">
        <v>746</v>
      </c>
      <c r="I35" s="176" t="s">
        <v>748</v>
      </c>
      <c r="J35" s="176" t="s">
        <v>123</v>
      </c>
      <c r="K35" s="176" t="s">
        <v>751</v>
      </c>
      <c r="L35" s="40" t="s">
        <v>45</v>
      </c>
      <c r="M35" s="40" t="s">
        <v>341</v>
      </c>
      <c r="N35" s="14" t="s">
        <v>753</v>
      </c>
      <c r="O35" s="14" t="s">
        <v>755</v>
      </c>
      <c r="P35" s="14" t="s">
        <v>757</v>
      </c>
      <c r="Q35" s="14" t="s">
        <v>136</v>
      </c>
      <c r="R35" s="17">
        <v>159</v>
      </c>
      <c r="S35" s="172" t="s">
        <v>51</v>
      </c>
      <c r="T35" s="17">
        <v>1178</v>
      </c>
      <c r="U35" s="14" t="s">
        <v>51</v>
      </c>
      <c r="V35" s="16">
        <f t="shared" si="0"/>
        <v>243993</v>
      </c>
      <c r="W35" s="16">
        <f t="shared" si="4"/>
        <v>244000</v>
      </c>
      <c r="X35" s="16">
        <f t="shared" si="1"/>
        <v>243995</v>
      </c>
      <c r="Y35" s="15" t="s">
        <v>54</v>
      </c>
      <c r="Z35" s="177">
        <v>243994</v>
      </c>
      <c r="AA35" s="170"/>
      <c r="AB35" s="170"/>
      <c r="AC35" s="170"/>
      <c r="AD35" s="170"/>
      <c r="AE35" s="15" t="s">
        <v>54</v>
      </c>
      <c r="AF35" s="177">
        <v>243996</v>
      </c>
      <c r="AG35" s="177" t="str">
        <f t="shared" si="5"/>
        <v>Pass</v>
      </c>
      <c r="AH35" s="177">
        <f t="shared" si="6"/>
        <v>243996</v>
      </c>
      <c r="AK35" s="176"/>
      <c r="AL35" s="176"/>
      <c r="AN35" s="44"/>
    </row>
    <row r="36" spans="1:40" ht="36" customHeight="1" x14ac:dyDescent="0.2">
      <c r="A36" s="14" t="s">
        <v>17</v>
      </c>
      <c r="B36" s="212">
        <v>243993</v>
      </c>
      <c r="C36" s="14" t="s">
        <v>547</v>
      </c>
      <c r="D36" s="14" t="s">
        <v>268</v>
      </c>
      <c r="E36" s="14" t="s">
        <v>14</v>
      </c>
      <c r="F36" s="14" t="s">
        <v>324</v>
      </c>
      <c r="G36" s="179">
        <v>680035</v>
      </c>
      <c r="H36" s="176" t="s">
        <v>747</v>
      </c>
      <c r="I36" s="176" t="s">
        <v>749</v>
      </c>
      <c r="J36" s="176" t="s">
        <v>750</v>
      </c>
      <c r="K36" s="176" t="s">
        <v>752</v>
      </c>
      <c r="L36" s="40" t="s">
        <v>108</v>
      </c>
      <c r="M36" s="40" t="s">
        <v>341</v>
      </c>
      <c r="N36" s="14" t="s">
        <v>754</v>
      </c>
      <c r="O36" s="14" t="s">
        <v>756</v>
      </c>
      <c r="P36" s="14" t="s">
        <v>517</v>
      </c>
      <c r="Q36" s="14" t="s">
        <v>758</v>
      </c>
      <c r="R36" s="17">
        <v>1800</v>
      </c>
      <c r="S36" s="172" t="s">
        <v>51</v>
      </c>
      <c r="T36" s="17">
        <v>1870</v>
      </c>
      <c r="U36" s="14" t="s">
        <v>51</v>
      </c>
      <c r="V36" s="16">
        <f t="shared" si="0"/>
        <v>243993</v>
      </c>
      <c r="W36" s="16">
        <f t="shared" si="4"/>
        <v>244000</v>
      </c>
      <c r="X36" s="16">
        <f t="shared" si="1"/>
        <v>243995</v>
      </c>
      <c r="Y36" s="15" t="s">
        <v>54</v>
      </c>
      <c r="Z36" s="177">
        <v>243994</v>
      </c>
      <c r="AA36" s="170"/>
      <c r="AB36" s="170"/>
      <c r="AC36" s="170"/>
      <c r="AD36" s="170"/>
      <c r="AE36" s="15" t="s">
        <v>54</v>
      </c>
      <c r="AF36" s="177">
        <v>243996</v>
      </c>
      <c r="AG36" s="177" t="str">
        <f t="shared" si="5"/>
        <v>Pass</v>
      </c>
      <c r="AH36" s="177">
        <f t="shared" si="6"/>
        <v>243996</v>
      </c>
      <c r="AK36" s="176"/>
      <c r="AL36" s="176"/>
      <c r="AN36" s="44"/>
    </row>
    <row r="37" spans="1:40" ht="36" customHeight="1" x14ac:dyDescent="0.2">
      <c r="A37" s="14" t="s">
        <v>17</v>
      </c>
      <c r="B37" s="212">
        <v>243994</v>
      </c>
      <c r="C37" s="14" t="s">
        <v>547</v>
      </c>
      <c r="D37" s="14" t="s">
        <v>268</v>
      </c>
      <c r="E37" s="14" t="s">
        <v>14</v>
      </c>
      <c r="F37" s="14" t="s">
        <v>324</v>
      </c>
      <c r="G37" s="179">
        <v>680036</v>
      </c>
      <c r="H37" s="176" t="s">
        <v>759</v>
      </c>
      <c r="I37" s="176" t="s">
        <v>748</v>
      </c>
      <c r="J37" s="176" t="s">
        <v>123</v>
      </c>
      <c r="K37" s="176" t="s">
        <v>762</v>
      </c>
      <c r="L37" s="40" t="s">
        <v>45</v>
      </c>
      <c r="M37" s="40" t="s">
        <v>341</v>
      </c>
      <c r="N37" s="14" t="s">
        <v>765</v>
      </c>
      <c r="O37" s="14" t="s">
        <v>548</v>
      </c>
      <c r="P37" s="14" t="s">
        <v>518</v>
      </c>
      <c r="Q37" s="14" t="s">
        <v>549</v>
      </c>
      <c r="R37" s="17">
        <v>200</v>
      </c>
      <c r="S37" s="172" t="s">
        <v>51</v>
      </c>
      <c r="T37" s="17">
        <v>1400</v>
      </c>
      <c r="U37" s="14" t="s">
        <v>51</v>
      </c>
      <c r="V37" s="16">
        <f t="shared" si="0"/>
        <v>243994</v>
      </c>
      <c r="W37" s="16">
        <f t="shared" si="4"/>
        <v>244001</v>
      </c>
      <c r="X37" s="16">
        <f t="shared" si="1"/>
        <v>243996</v>
      </c>
      <c r="Y37" s="15"/>
      <c r="Z37" s="177"/>
      <c r="AA37" s="170"/>
      <c r="AB37" s="170"/>
      <c r="AC37" s="170"/>
      <c r="AD37" s="170"/>
      <c r="AE37" s="15"/>
      <c r="AF37" s="177"/>
      <c r="AG37" s="177">
        <f t="shared" si="5"/>
        <v>0</v>
      </c>
      <c r="AH37" s="177">
        <f t="shared" si="6"/>
        <v>0</v>
      </c>
      <c r="AK37" s="176"/>
      <c r="AL37" s="176"/>
      <c r="AN37" s="44"/>
    </row>
    <row r="38" spans="1:40" ht="36" customHeight="1" x14ac:dyDescent="0.2">
      <c r="A38" s="14" t="s">
        <v>17</v>
      </c>
      <c r="B38" s="212">
        <v>243994</v>
      </c>
      <c r="C38" s="14" t="s">
        <v>547</v>
      </c>
      <c r="D38" s="14" t="s">
        <v>268</v>
      </c>
      <c r="E38" s="14" t="s">
        <v>14</v>
      </c>
      <c r="F38" s="14" t="s">
        <v>324</v>
      </c>
      <c r="G38" s="179">
        <v>680037</v>
      </c>
      <c r="H38" s="176" t="s">
        <v>760</v>
      </c>
      <c r="I38" s="176" t="s">
        <v>551</v>
      </c>
      <c r="J38" s="176" t="s">
        <v>596</v>
      </c>
      <c r="K38" s="176" t="s">
        <v>763</v>
      </c>
      <c r="L38" s="40" t="s">
        <v>108</v>
      </c>
      <c r="M38" s="40" t="s">
        <v>341</v>
      </c>
      <c r="N38" s="14" t="s">
        <v>766</v>
      </c>
      <c r="O38" s="14" t="s">
        <v>552</v>
      </c>
      <c r="P38" s="14" t="s">
        <v>769</v>
      </c>
      <c r="Q38" s="14" t="s">
        <v>553</v>
      </c>
      <c r="R38" s="17">
        <v>200</v>
      </c>
      <c r="S38" s="172" t="s">
        <v>51</v>
      </c>
      <c r="T38" s="17">
        <v>3080</v>
      </c>
      <c r="U38" s="14" t="s">
        <v>51</v>
      </c>
      <c r="V38" s="16">
        <f t="shared" si="0"/>
        <v>243994</v>
      </c>
      <c r="W38" s="16">
        <f t="shared" si="4"/>
        <v>244001</v>
      </c>
      <c r="X38" s="16">
        <f t="shared" si="1"/>
        <v>243996</v>
      </c>
      <c r="Y38" s="15" t="s">
        <v>54</v>
      </c>
      <c r="Z38" s="177">
        <v>243996</v>
      </c>
      <c r="AA38" s="170"/>
      <c r="AB38" s="170"/>
      <c r="AC38" s="170"/>
      <c r="AD38" s="170"/>
      <c r="AE38" s="15" t="s">
        <v>54</v>
      </c>
      <c r="AF38" s="177">
        <v>243996</v>
      </c>
      <c r="AG38" s="177" t="str">
        <f t="shared" si="5"/>
        <v>Pass</v>
      </c>
      <c r="AH38" s="177">
        <f t="shared" si="6"/>
        <v>243996</v>
      </c>
      <c r="AK38" s="176"/>
      <c r="AL38" s="176"/>
      <c r="AN38" s="44"/>
    </row>
    <row r="39" spans="1:40" ht="36" customHeight="1" x14ac:dyDescent="0.2">
      <c r="A39" s="14" t="s">
        <v>17</v>
      </c>
      <c r="B39" s="212">
        <v>243994</v>
      </c>
      <c r="C39" s="14" t="s">
        <v>547</v>
      </c>
      <c r="D39" s="14" t="s">
        <v>268</v>
      </c>
      <c r="E39" s="14" t="s">
        <v>14</v>
      </c>
      <c r="F39" s="14" t="s">
        <v>324</v>
      </c>
      <c r="G39" s="179">
        <v>680038</v>
      </c>
      <c r="H39" s="176" t="s">
        <v>761</v>
      </c>
      <c r="I39" s="176" t="s">
        <v>748</v>
      </c>
      <c r="J39" s="176" t="s">
        <v>123</v>
      </c>
      <c r="K39" s="176" t="s">
        <v>764</v>
      </c>
      <c r="L39" s="40" t="s">
        <v>45</v>
      </c>
      <c r="M39" s="40" t="s">
        <v>341</v>
      </c>
      <c r="N39" s="14" t="s">
        <v>767</v>
      </c>
      <c r="O39" s="14" t="s">
        <v>552</v>
      </c>
      <c r="P39" s="14" t="s">
        <v>769</v>
      </c>
      <c r="Q39" s="14" t="s">
        <v>553</v>
      </c>
      <c r="R39" s="17">
        <v>700</v>
      </c>
      <c r="S39" s="172" t="s">
        <v>51</v>
      </c>
      <c r="T39" s="17">
        <v>1428</v>
      </c>
      <c r="U39" s="14" t="s">
        <v>51</v>
      </c>
      <c r="V39" s="16">
        <f t="shared" si="0"/>
        <v>243994</v>
      </c>
      <c r="W39" s="16">
        <f t="shared" si="4"/>
        <v>244001</v>
      </c>
      <c r="X39" s="16">
        <f t="shared" si="1"/>
        <v>243996</v>
      </c>
      <c r="Y39" s="15"/>
      <c r="Z39" s="177"/>
      <c r="AA39" s="170"/>
      <c r="AB39" s="170"/>
      <c r="AC39" s="170"/>
      <c r="AD39" s="170"/>
      <c r="AE39" s="15"/>
      <c r="AF39" s="177"/>
      <c r="AG39" s="177">
        <f t="shared" si="5"/>
        <v>0</v>
      </c>
      <c r="AH39" s="177">
        <f t="shared" si="6"/>
        <v>0</v>
      </c>
      <c r="AK39" s="176"/>
      <c r="AL39" s="176"/>
      <c r="AN39" s="44"/>
    </row>
    <row r="40" spans="1:40" ht="36" customHeight="1" x14ac:dyDescent="0.2">
      <c r="A40" s="14" t="s">
        <v>17</v>
      </c>
      <c r="B40" s="212">
        <v>243994</v>
      </c>
      <c r="C40" s="14" t="s">
        <v>547</v>
      </c>
      <c r="D40" s="14" t="s">
        <v>268</v>
      </c>
      <c r="E40" s="14" t="s">
        <v>14</v>
      </c>
      <c r="F40" s="14" t="s">
        <v>324</v>
      </c>
      <c r="G40" s="179">
        <v>680039</v>
      </c>
      <c r="H40" s="176" t="s">
        <v>761</v>
      </c>
      <c r="I40" s="176" t="s">
        <v>748</v>
      </c>
      <c r="J40" s="176" t="s">
        <v>123</v>
      </c>
      <c r="K40" s="176" t="s">
        <v>764</v>
      </c>
      <c r="L40" s="40" t="s">
        <v>45</v>
      </c>
      <c r="M40" s="40" t="s">
        <v>341</v>
      </c>
      <c r="N40" s="14" t="s">
        <v>768</v>
      </c>
      <c r="O40" s="14" t="s">
        <v>548</v>
      </c>
      <c r="P40" s="14" t="s">
        <v>518</v>
      </c>
      <c r="Q40" s="14" t="s">
        <v>549</v>
      </c>
      <c r="R40" s="17">
        <v>211</v>
      </c>
      <c r="S40" s="172" t="s">
        <v>51</v>
      </c>
      <c r="T40" s="17">
        <v>1689</v>
      </c>
      <c r="U40" s="14" t="s">
        <v>51</v>
      </c>
      <c r="V40" s="16">
        <f t="shared" si="0"/>
        <v>243994</v>
      </c>
      <c r="W40" s="16">
        <f t="shared" si="4"/>
        <v>244001</v>
      </c>
      <c r="X40" s="16">
        <f t="shared" si="1"/>
        <v>243996</v>
      </c>
      <c r="Y40" s="15"/>
      <c r="Z40" s="177"/>
      <c r="AA40" s="170"/>
      <c r="AB40" s="170"/>
      <c r="AC40" s="170"/>
      <c r="AD40" s="170"/>
      <c r="AE40" s="15"/>
      <c r="AF40" s="177"/>
      <c r="AG40" s="177">
        <f t="shared" si="5"/>
        <v>0</v>
      </c>
      <c r="AH40" s="177">
        <f t="shared" si="6"/>
        <v>0</v>
      </c>
      <c r="AK40" s="176"/>
      <c r="AL40" s="176"/>
      <c r="AN40" s="44"/>
    </row>
    <row r="41" spans="1:40" ht="36" customHeight="1" x14ac:dyDescent="0.2">
      <c r="A41" s="14" t="s">
        <v>17</v>
      </c>
      <c r="B41" s="212">
        <v>243996</v>
      </c>
      <c r="C41" s="14" t="s">
        <v>547</v>
      </c>
      <c r="D41" s="14" t="s">
        <v>268</v>
      </c>
      <c r="E41" s="14" t="s">
        <v>14</v>
      </c>
      <c r="F41" s="14" t="s">
        <v>324</v>
      </c>
      <c r="G41" s="179">
        <v>680040</v>
      </c>
      <c r="H41" s="14" t="s">
        <v>770</v>
      </c>
      <c r="I41" s="176" t="s">
        <v>773</v>
      </c>
      <c r="J41" s="176" t="s">
        <v>775</v>
      </c>
      <c r="K41" s="176" t="s">
        <v>777</v>
      </c>
      <c r="L41" s="40" t="s">
        <v>45</v>
      </c>
      <c r="M41" s="40" t="s">
        <v>341</v>
      </c>
      <c r="N41" s="14" t="s">
        <v>780</v>
      </c>
      <c r="O41" s="14" t="s">
        <v>548</v>
      </c>
      <c r="P41" s="14" t="s">
        <v>518</v>
      </c>
      <c r="Q41" s="14" t="s">
        <v>549</v>
      </c>
      <c r="R41" s="17">
        <v>175</v>
      </c>
      <c r="S41" s="172" t="s">
        <v>51</v>
      </c>
      <c r="T41" s="17">
        <v>1854</v>
      </c>
      <c r="U41" s="14" t="s">
        <v>51</v>
      </c>
      <c r="V41" s="16">
        <f t="shared" si="0"/>
        <v>243996</v>
      </c>
      <c r="W41" s="16">
        <f t="shared" si="4"/>
        <v>244003</v>
      </c>
      <c r="X41" s="16">
        <f t="shared" si="1"/>
        <v>243998</v>
      </c>
      <c r="Y41" s="15" t="s">
        <v>54</v>
      </c>
      <c r="Z41" s="177">
        <v>243999</v>
      </c>
      <c r="AA41" s="170"/>
      <c r="AB41" s="170"/>
      <c r="AC41" s="170"/>
      <c r="AD41" s="170"/>
      <c r="AE41" s="15" t="s">
        <v>54</v>
      </c>
      <c r="AF41" s="177">
        <v>244003</v>
      </c>
      <c r="AG41" s="177" t="str">
        <f t="shared" si="5"/>
        <v>Pass</v>
      </c>
      <c r="AH41" s="177">
        <f t="shared" si="6"/>
        <v>244003</v>
      </c>
      <c r="AK41" s="176"/>
      <c r="AL41" s="176"/>
      <c r="AN41" s="44"/>
    </row>
    <row r="42" spans="1:40" ht="36" customHeight="1" x14ac:dyDescent="0.2">
      <c r="A42" s="14" t="s">
        <v>17</v>
      </c>
      <c r="B42" s="212">
        <v>243996</v>
      </c>
      <c r="C42" s="14" t="s">
        <v>547</v>
      </c>
      <c r="D42" s="14" t="s">
        <v>268</v>
      </c>
      <c r="E42" s="14" t="s">
        <v>14</v>
      </c>
      <c r="F42" s="14" t="s">
        <v>324</v>
      </c>
      <c r="G42" s="179">
        <v>680041</v>
      </c>
      <c r="H42" s="14" t="s">
        <v>771</v>
      </c>
      <c r="I42" s="176" t="s">
        <v>773</v>
      </c>
      <c r="J42" s="176" t="s">
        <v>775</v>
      </c>
      <c r="K42" s="176" t="s">
        <v>778</v>
      </c>
      <c r="L42" s="40" t="s">
        <v>45</v>
      </c>
      <c r="M42" s="40" t="s">
        <v>341</v>
      </c>
      <c r="N42" s="14" t="s">
        <v>781</v>
      </c>
      <c r="O42" s="14" t="s">
        <v>528</v>
      </c>
      <c r="P42" s="14" t="s">
        <v>790</v>
      </c>
      <c r="Q42" s="14" t="s">
        <v>541</v>
      </c>
      <c r="R42" s="17">
        <v>175</v>
      </c>
      <c r="S42" s="172" t="s">
        <v>51</v>
      </c>
      <c r="T42" s="17">
        <v>1051</v>
      </c>
      <c r="U42" s="14" t="s">
        <v>51</v>
      </c>
      <c r="V42" s="16">
        <f t="shared" si="0"/>
        <v>243996</v>
      </c>
      <c r="W42" s="16">
        <f t="shared" si="4"/>
        <v>244003</v>
      </c>
      <c r="X42" s="16">
        <f t="shared" si="1"/>
        <v>243998</v>
      </c>
      <c r="Y42" s="15" t="s">
        <v>54</v>
      </c>
      <c r="Z42" s="177">
        <v>243998</v>
      </c>
      <c r="AA42" s="170"/>
      <c r="AB42" s="170"/>
      <c r="AC42" s="170"/>
      <c r="AD42" s="170"/>
      <c r="AE42" s="15" t="s">
        <v>54</v>
      </c>
      <c r="AF42" s="177">
        <v>243998</v>
      </c>
      <c r="AG42" s="177" t="str">
        <f t="shared" si="5"/>
        <v>Pass</v>
      </c>
      <c r="AH42" s="177">
        <f t="shared" si="6"/>
        <v>243998</v>
      </c>
      <c r="AK42" s="176"/>
      <c r="AL42" s="176"/>
      <c r="AN42" s="44"/>
    </row>
    <row r="43" spans="1:40" ht="36" customHeight="1" x14ac:dyDescent="0.2">
      <c r="A43" s="14" t="s">
        <v>17</v>
      </c>
      <c r="B43" s="212">
        <v>243996</v>
      </c>
      <c r="C43" s="14" t="s">
        <v>547</v>
      </c>
      <c r="D43" s="14" t="s">
        <v>268</v>
      </c>
      <c r="E43" s="14" t="s">
        <v>14</v>
      </c>
      <c r="F43" s="14" t="s">
        <v>324</v>
      </c>
      <c r="G43" s="179">
        <v>680042</v>
      </c>
      <c r="H43" s="14" t="s">
        <v>772</v>
      </c>
      <c r="I43" s="176" t="s">
        <v>774</v>
      </c>
      <c r="J43" s="176" t="s">
        <v>776</v>
      </c>
      <c r="K43" s="176" t="s">
        <v>779</v>
      </c>
      <c r="L43" s="40" t="s">
        <v>105</v>
      </c>
      <c r="M43" s="40" t="s">
        <v>341</v>
      </c>
      <c r="N43" s="14" t="s">
        <v>782</v>
      </c>
      <c r="O43" s="14" t="s">
        <v>788</v>
      </c>
      <c r="P43" s="14" t="s">
        <v>791</v>
      </c>
      <c r="Q43" s="14" t="s">
        <v>797</v>
      </c>
      <c r="R43" s="17">
        <v>1200</v>
      </c>
      <c r="S43" s="172" t="s">
        <v>51</v>
      </c>
      <c r="T43" s="17">
        <v>1525</v>
      </c>
      <c r="U43" s="14" t="s">
        <v>51</v>
      </c>
      <c r="V43" s="16">
        <f t="shared" si="0"/>
        <v>243996</v>
      </c>
      <c r="W43" s="16">
        <f t="shared" si="4"/>
        <v>244003</v>
      </c>
      <c r="X43" s="16">
        <f t="shared" si="1"/>
        <v>243998</v>
      </c>
      <c r="Y43" s="15"/>
      <c r="Z43" s="177"/>
      <c r="AA43" s="170"/>
      <c r="AB43" s="170"/>
      <c r="AC43" s="170"/>
      <c r="AD43" s="170"/>
      <c r="AE43" s="15"/>
      <c r="AF43" s="177"/>
      <c r="AG43" s="177">
        <f t="shared" si="5"/>
        <v>0</v>
      </c>
      <c r="AH43" s="177">
        <f t="shared" si="6"/>
        <v>0</v>
      </c>
      <c r="AK43" s="176"/>
      <c r="AL43" s="176"/>
      <c r="AN43" s="44"/>
    </row>
    <row r="44" spans="1:40" ht="36" customHeight="1" x14ac:dyDescent="0.2">
      <c r="A44" s="14" t="s">
        <v>17</v>
      </c>
      <c r="B44" s="212">
        <v>243996</v>
      </c>
      <c r="C44" s="14" t="s">
        <v>547</v>
      </c>
      <c r="D44" s="14" t="s">
        <v>268</v>
      </c>
      <c r="E44" s="14" t="s">
        <v>14</v>
      </c>
      <c r="F44" s="14" t="s">
        <v>324</v>
      </c>
      <c r="G44" s="179">
        <v>680043</v>
      </c>
      <c r="H44" s="14" t="s">
        <v>772</v>
      </c>
      <c r="I44" s="176" t="s">
        <v>774</v>
      </c>
      <c r="J44" s="176" t="s">
        <v>776</v>
      </c>
      <c r="K44" s="176" t="s">
        <v>779</v>
      </c>
      <c r="L44" s="40" t="s">
        <v>105</v>
      </c>
      <c r="M44" s="40" t="s">
        <v>341</v>
      </c>
      <c r="N44" s="14" t="s">
        <v>783</v>
      </c>
      <c r="O44" s="14" t="s">
        <v>527</v>
      </c>
      <c r="P44" s="14" t="s">
        <v>792</v>
      </c>
      <c r="Q44" s="14" t="s">
        <v>542</v>
      </c>
      <c r="R44" s="17">
        <v>112</v>
      </c>
      <c r="S44" s="172" t="s">
        <v>51</v>
      </c>
      <c r="T44" s="17">
        <v>1335</v>
      </c>
      <c r="U44" s="14" t="s">
        <v>51</v>
      </c>
      <c r="V44" s="16">
        <f t="shared" ref="V44:V48" si="7">B44</f>
        <v>243996</v>
      </c>
      <c r="W44" s="16">
        <f t="shared" ref="W44:W48" si="8">B44+7</f>
        <v>244003</v>
      </c>
      <c r="X44" s="16">
        <f t="shared" ref="X44:X48" si="9">V44+2</f>
        <v>243998</v>
      </c>
      <c r="Y44" s="15"/>
      <c r="Z44" s="177"/>
      <c r="AA44" s="170"/>
      <c r="AB44" s="170"/>
      <c r="AC44" s="170"/>
      <c r="AD44" s="170"/>
      <c r="AE44" s="15"/>
      <c r="AF44" s="177"/>
      <c r="AG44" s="177">
        <f t="shared" si="5"/>
        <v>0</v>
      </c>
      <c r="AH44" s="177">
        <f t="shared" si="6"/>
        <v>0</v>
      </c>
      <c r="AK44" s="176"/>
      <c r="AL44" s="176"/>
    </row>
    <row r="45" spans="1:40" ht="36" customHeight="1" x14ac:dyDescent="0.2">
      <c r="A45" s="14" t="s">
        <v>17</v>
      </c>
      <c r="B45" s="212">
        <v>243996</v>
      </c>
      <c r="C45" s="14" t="s">
        <v>547</v>
      </c>
      <c r="D45" s="14" t="s">
        <v>268</v>
      </c>
      <c r="E45" s="14" t="s">
        <v>14</v>
      </c>
      <c r="F45" s="14" t="s">
        <v>324</v>
      </c>
      <c r="G45" s="179">
        <v>680044</v>
      </c>
      <c r="H45" s="14" t="s">
        <v>772</v>
      </c>
      <c r="I45" s="176" t="s">
        <v>774</v>
      </c>
      <c r="J45" s="176" t="s">
        <v>776</v>
      </c>
      <c r="K45" s="176" t="s">
        <v>779</v>
      </c>
      <c r="L45" s="40" t="s">
        <v>105</v>
      </c>
      <c r="M45" s="40" t="s">
        <v>341</v>
      </c>
      <c r="N45" s="14" t="s">
        <v>784</v>
      </c>
      <c r="O45" s="14" t="s">
        <v>552</v>
      </c>
      <c r="P45" s="14" t="s">
        <v>793</v>
      </c>
      <c r="Q45" s="14" t="s">
        <v>553</v>
      </c>
      <c r="R45" s="17">
        <v>564</v>
      </c>
      <c r="S45" s="172" t="s">
        <v>51</v>
      </c>
      <c r="T45" s="17"/>
      <c r="U45" s="14"/>
      <c r="V45" s="16">
        <f t="shared" si="7"/>
        <v>243996</v>
      </c>
      <c r="W45" s="16">
        <f t="shared" si="8"/>
        <v>244003</v>
      </c>
      <c r="X45" s="16">
        <f t="shared" si="9"/>
        <v>243998</v>
      </c>
      <c r="Y45" s="15" t="s">
        <v>54</v>
      </c>
      <c r="Z45" s="177">
        <v>243999</v>
      </c>
      <c r="AA45" s="170"/>
      <c r="AB45" s="170"/>
      <c r="AC45" s="170"/>
      <c r="AD45" s="170"/>
      <c r="AE45" s="15" t="s">
        <v>54</v>
      </c>
      <c r="AF45" s="177">
        <v>244003</v>
      </c>
      <c r="AG45" s="177" t="str">
        <f t="shared" si="5"/>
        <v>Pass</v>
      </c>
      <c r="AH45" s="177">
        <f t="shared" si="6"/>
        <v>244003</v>
      </c>
      <c r="AK45" s="176"/>
      <c r="AL45" s="176"/>
    </row>
    <row r="46" spans="1:40" ht="36" customHeight="1" x14ac:dyDescent="0.2">
      <c r="A46" s="14" t="s">
        <v>17</v>
      </c>
      <c r="B46" s="212">
        <v>243996</v>
      </c>
      <c r="C46" s="14" t="s">
        <v>547</v>
      </c>
      <c r="D46" s="14" t="s">
        <v>268</v>
      </c>
      <c r="E46" s="14" t="s">
        <v>14</v>
      </c>
      <c r="F46" s="14" t="s">
        <v>324</v>
      </c>
      <c r="G46" s="179">
        <v>680045</v>
      </c>
      <c r="H46" s="14" t="s">
        <v>772</v>
      </c>
      <c r="I46" s="176" t="s">
        <v>774</v>
      </c>
      <c r="J46" s="176" t="s">
        <v>776</v>
      </c>
      <c r="K46" s="176" t="s">
        <v>779</v>
      </c>
      <c r="L46" s="40" t="s">
        <v>105</v>
      </c>
      <c r="M46" s="40" t="s">
        <v>341</v>
      </c>
      <c r="N46" s="14" t="s">
        <v>785</v>
      </c>
      <c r="O46" s="14" t="s">
        <v>527</v>
      </c>
      <c r="P46" s="14" t="s">
        <v>794</v>
      </c>
      <c r="Q46" s="14" t="s">
        <v>542</v>
      </c>
      <c r="R46" s="17">
        <v>233</v>
      </c>
      <c r="S46" s="172" t="s">
        <v>51</v>
      </c>
      <c r="T46" s="17">
        <v>1300</v>
      </c>
      <c r="U46" s="14" t="s">
        <v>51</v>
      </c>
      <c r="V46" s="16">
        <f t="shared" si="7"/>
        <v>243996</v>
      </c>
      <c r="W46" s="16">
        <f t="shared" si="8"/>
        <v>244003</v>
      </c>
      <c r="X46" s="16">
        <f t="shared" si="9"/>
        <v>243998</v>
      </c>
      <c r="Y46" s="15"/>
      <c r="Z46" s="177"/>
      <c r="AA46" s="170"/>
      <c r="AB46" s="170"/>
      <c r="AC46" s="170"/>
      <c r="AD46" s="170"/>
      <c r="AE46" s="15"/>
      <c r="AF46" s="177"/>
      <c r="AG46" s="177">
        <f t="shared" si="5"/>
        <v>0</v>
      </c>
      <c r="AH46" s="177">
        <f t="shared" si="6"/>
        <v>0</v>
      </c>
      <c r="AK46" s="176"/>
      <c r="AL46" s="176"/>
    </row>
    <row r="47" spans="1:40" ht="36" customHeight="1" x14ac:dyDescent="0.2">
      <c r="A47" s="14" t="s">
        <v>17</v>
      </c>
      <c r="B47" s="212">
        <v>243996</v>
      </c>
      <c r="C47" s="14" t="s">
        <v>547</v>
      </c>
      <c r="D47" s="14" t="s">
        <v>268</v>
      </c>
      <c r="E47" s="14" t="s">
        <v>14</v>
      </c>
      <c r="F47" s="14" t="s">
        <v>324</v>
      </c>
      <c r="G47" s="179">
        <v>680046</v>
      </c>
      <c r="H47" s="14" t="s">
        <v>772</v>
      </c>
      <c r="I47" s="176" t="s">
        <v>774</v>
      </c>
      <c r="J47" s="176" t="s">
        <v>776</v>
      </c>
      <c r="K47" s="176" t="s">
        <v>779</v>
      </c>
      <c r="L47" s="40" t="s">
        <v>105</v>
      </c>
      <c r="M47" s="40" t="s">
        <v>341</v>
      </c>
      <c r="N47" s="14" t="s">
        <v>786</v>
      </c>
      <c r="O47" s="14" t="s">
        <v>789</v>
      </c>
      <c r="P47" s="14" t="s">
        <v>795</v>
      </c>
      <c r="Q47" s="14" t="s">
        <v>798</v>
      </c>
      <c r="R47" s="17">
        <v>128</v>
      </c>
      <c r="S47" s="172" t="s">
        <v>51</v>
      </c>
      <c r="T47" s="17">
        <v>1250</v>
      </c>
      <c r="U47" s="14" t="s">
        <v>51</v>
      </c>
      <c r="V47" s="16">
        <f t="shared" si="7"/>
        <v>243996</v>
      </c>
      <c r="W47" s="16">
        <f t="shared" si="8"/>
        <v>244003</v>
      </c>
      <c r="X47" s="16">
        <f t="shared" si="9"/>
        <v>243998</v>
      </c>
      <c r="Y47" s="15"/>
      <c r="Z47" s="177"/>
      <c r="AA47" s="170"/>
      <c r="AB47" s="170"/>
      <c r="AC47" s="170"/>
      <c r="AD47" s="170"/>
      <c r="AE47" s="15"/>
      <c r="AF47" s="177"/>
      <c r="AG47" s="177">
        <f t="shared" si="5"/>
        <v>0</v>
      </c>
      <c r="AH47" s="177">
        <f t="shared" si="6"/>
        <v>0</v>
      </c>
      <c r="AK47" s="176"/>
      <c r="AL47" s="176"/>
    </row>
    <row r="48" spans="1:40" ht="36" customHeight="1" x14ac:dyDescent="0.2">
      <c r="A48" s="14" t="s">
        <v>17</v>
      </c>
      <c r="B48" s="212">
        <v>243996</v>
      </c>
      <c r="C48" s="14" t="s">
        <v>547</v>
      </c>
      <c r="D48" s="14" t="s">
        <v>268</v>
      </c>
      <c r="E48" s="14" t="s">
        <v>14</v>
      </c>
      <c r="F48" s="14" t="s">
        <v>324</v>
      </c>
      <c r="G48" s="179">
        <v>680047</v>
      </c>
      <c r="H48" s="14" t="s">
        <v>772</v>
      </c>
      <c r="I48" s="176" t="s">
        <v>774</v>
      </c>
      <c r="J48" s="176" t="s">
        <v>776</v>
      </c>
      <c r="K48" s="176" t="s">
        <v>779</v>
      </c>
      <c r="L48" s="40" t="s">
        <v>105</v>
      </c>
      <c r="M48" s="40" t="s">
        <v>341</v>
      </c>
      <c r="N48" s="14" t="s">
        <v>787</v>
      </c>
      <c r="O48" s="14" t="s">
        <v>527</v>
      </c>
      <c r="P48" s="14" t="s">
        <v>796</v>
      </c>
      <c r="Q48" s="14" t="s">
        <v>542</v>
      </c>
      <c r="R48" s="17">
        <v>280</v>
      </c>
      <c r="S48" s="172" t="s">
        <v>51</v>
      </c>
      <c r="T48" s="17">
        <v>1300</v>
      </c>
      <c r="U48" s="14" t="s">
        <v>51</v>
      </c>
      <c r="V48" s="16">
        <f t="shared" si="7"/>
        <v>243996</v>
      </c>
      <c r="W48" s="16">
        <f t="shared" si="8"/>
        <v>244003</v>
      </c>
      <c r="X48" s="16">
        <f t="shared" si="9"/>
        <v>243998</v>
      </c>
      <c r="Y48" s="15"/>
      <c r="Z48" s="177"/>
      <c r="AA48" s="170"/>
      <c r="AB48" s="170"/>
      <c r="AC48" s="170"/>
      <c r="AD48" s="170"/>
      <c r="AE48" s="15"/>
      <c r="AF48" s="177"/>
      <c r="AG48" s="177">
        <f t="shared" si="5"/>
        <v>0</v>
      </c>
      <c r="AH48" s="177">
        <f t="shared" si="6"/>
        <v>0</v>
      </c>
      <c r="AK48" s="176"/>
      <c r="AL48" s="176"/>
    </row>
    <row r="49" spans="1:38" ht="36" customHeight="1" x14ac:dyDescent="0.2">
      <c r="A49" s="14" t="s">
        <v>17</v>
      </c>
      <c r="B49" s="212">
        <v>243997</v>
      </c>
      <c r="C49" s="14" t="s">
        <v>547</v>
      </c>
      <c r="D49" s="14" t="s">
        <v>268</v>
      </c>
      <c r="E49" s="14" t="s">
        <v>14</v>
      </c>
      <c r="F49" s="14" t="s">
        <v>324</v>
      </c>
      <c r="G49" s="179">
        <v>680048</v>
      </c>
      <c r="H49" s="176" t="s">
        <v>799</v>
      </c>
      <c r="I49" s="176" t="s">
        <v>802</v>
      </c>
      <c r="J49" s="176" t="s">
        <v>128</v>
      </c>
      <c r="K49" s="176" t="s">
        <v>804</v>
      </c>
      <c r="L49" s="40" t="s">
        <v>45</v>
      </c>
      <c r="M49" s="40" t="s">
        <v>341</v>
      </c>
      <c r="N49" s="14" t="s">
        <v>808</v>
      </c>
      <c r="O49" s="14" t="s">
        <v>814</v>
      </c>
      <c r="P49" s="14" t="s">
        <v>815</v>
      </c>
      <c r="Q49" s="14" t="s">
        <v>820</v>
      </c>
      <c r="R49" s="17">
        <v>4200</v>
      </c>
      <c r="S49" s="172" t="s">
        <v>51</v>
      </c>
      <c r="T49" s="17"/>
      <c r="U49" s="14"/>
      <c r="V49" s="16">
        <f t="shared" ref="V49" si="10">B49</f>
        <v>243997</v>
      </c>
      <c r="W49" s="16">
        <f t="shared" ref="W49:W50" si="11">B49+7</f>
        <v>244004</v>
      </c>
      <c r="X49" s="16">
        <f t="shared" ref="X49:X50" si="12">V49+2</f>
        <v>243999</v>
      </c>
      <c r="Y49" s="15" t="s">
        <v>54</v>
      </c>
      <c r="Z49" s="177">
        <v>243998</v>
      </c>
      <c r="AA49" s="170"/>
      <c r="AB49" s="170"/>
      <c r="AC49" s="170"/>
      <c r="AD49" s="170"/>
      <c r="AE49" s="15" t="s">
        <v>54</v>
      </c>
      <c r="AF49" s="177">
        <v>243998</v>
      </c>
      <c r="AG49" s="177" t="str">
        <f t="shared" si="5"/>
        <v>Pass</v>
      </c>
      <c r="AH49" s="177">
        <f t="shared" si="6"/>
        <v>243998</v>
      </c>
      <c r="AK49" s="176"/>
      <c r="AL49" s="176"/>
    </row>
    <row r="50" spans="1:38" ht="36" customHeight="1" x14ac:dyDescent="0.2">
      <c r="A50" s="14" t="s">
        <v>17</v>
      </c>
      <c r="B50" s="212">
        <v>243997</v>
      </c>
      <c r="C50" s="14" t="s">
        <v>547</v>
      </c>
      <c r="D50" s="14" t="s">
        <v>268</v>
      </c>
      <c r="E50" s="14" t="s">
        <v>14</v>
      </c>
      <c r="F50" s="14" t="s">
        <v>324</v>
      </c>
      <c r="G50" s="179">
        <v>680049</v>
      </c>
      <c r="H50" s="176" t="s">
        <v>800</v>
      </c>
      <c r="I50" s="176" t="s">
        <v>802</v>
      </c>
      <c r="J50" s="176" t="s">
        <v>128</v>
      </c>
      <c r="K50" s="176" t="s">
        <v>805</v>
      </c>
      <c r="L50" s="40" t="s">
        <v>45</v>
      </c>
      <c r="M50" s="40" t="s">
        <v>341</v>
      </c>
      <c r="N50" s="14" t="s">
        <v>809</v>
      </c>
      <c r="O50" s="14" t="s">
        <v>528</v>
      </c>
      <c r="P50" s="14" t="s">
        <v>816</v>
      </c>
      <c r="Q50" s="14" t="s">
        <v>541</v>
      </c>
      <c r="R50" s="17">
        <v>175</v>
      </c>
      <c r="S50" s="172" t="s">
        <v>51</v>
      </c>
      <c r="T50" s="17">
        <v>1324</v>
      </c>
      <c r="U50" s="14" t="s">
        <v>51</v>
      </c>
      <c r="V50" s="16">
        <f>B50</f>
        <v>243997</v>
      </c>
      <c r="W50" s="16">
        <f t="shared" si="11"/>
        <v>244004</v>
      </c>
      <c r="X50" s="16">
        <f t="shared" si="12"/>
        <v>243999</v>
      </c>
      <c r="Y50" s="15" t="s">
        <v>54</v>
      </c>
      <c r="Z50" s="177">
        <v>243998</v>
      </c>
      <c r="AA50" s="170"/>
      <c r="AB50" s="170"/>
      <c r="AC50" s="170"/>
      <c r="AD50" s="170"/>
      <c r="AE50" s="15" t="s">
        <v>54</v>
      </c>
      <c r="AF50" s="177">
        <v>243998</v>
      </c>
      <c r="AG50" s="177" t="str">
        <f t="shared" si="5"/>
        <v>Pass</v>
      </c>
      <c r="AH50" s="177">
        <f t="shared" si="6"/>
        <v>243998</v>
      </c>
      <c r="AK50" s="176"/>
      <c r="AL50" s="176"/>
    </row>
    <row r="51" spans="1:38" ht="36" customHeight="1" x14ac:dyDescent="0.2">
      <c r="A51" s="14" t="s">
        <v>17</v>
      </c>
      <c r="B51" s="212">
        <v>243997</v>
      </c>
      <c r="C51" s="14" t="s">
        <v>547</v>
      </c>
      <c r="D51" s="14" t="s">
        <v>268</v>
      </c>
      <c r="E51" s="14" t="s">
        <v>14</v>
      </c>
      <c r="F51" s="14" t="s">
        <v>324</v>
      </c>
      <c r="G51" s="179">
        <v>680050</v>
      </c>
      <c r="H51" s="176" t="s">
        <v>800</v>
      </c>
      <c r="I51" s="176" t="s">
        <v>802</v>
      </c>
      <c r="J51" s="176" t="s">
        <v>128</v>
      </c>
      <c r="K51" s="176" t="s">
        <v>805</v>
      </c>
      <c r="L51" s="40" t="s">
        <v>45</v>
      </c>
      <c r="M51" s="40" t="s">
        <v>341</v>
      </c>
      <c r="N51" s="14" t="s">
        <v>810</v>
      </c>
      <c r="O51" s="14" t="s">
        <v>552</v>
      </c>
      <c r="P51" s="14" t="s">
        <v>793</v>
      </c>
      <c r="Q51" s="14" t="s">
        <v>553</v>
      </c>
      <c r="R51" s="17">
        <v>134</v>
      </c>
      <c r="S51" s="172" t="s">
        <v>51</v>
      </c>
      <c r="T51" s="17">
        <v>2008</v>
      </c>
      <c r="U51" s="14" t="s">
        <v>51</v>
      </c>
      <c r="V51" s="16">
        <f t="shared" ref="V51:V101" si="13">B51</f>
        <v>243997</v>
      </c>
      <c r="W51" s="16">
        <f t="shared" ref="W51:W101" si="14">B51+7</f>
        <v>244004</v>
      </c>
      <c r="X51" s="16">
        <f t="shared" ref="X51:X101" si="15">V51+2</f>
        <v>243999</v>
      </c>
      <c r="Y51" s="15" t="s">
        <v>54</v>
      </c>
      <c r="Z51" s="177">
        <v>243998</v>
      </c>
      <c r="AA51" s="170"/>
      <c r="AB51" s="170"/>
      <c r="AC51" s="170"/>
      <c r="AD51" s="170"/>
      <c r="AE51" s="15" t="s">
        <v>54</v>
      </c>
      <c r="AF51" s="177">
        <v>243998</v>
      </c>
      <c r="AG51" s="177" t="str">
        <f t="shared" si="5"/>
        <v>Pass</v>
      </c>
      <c r="AH51" s="177">
        <f t="shared" si="6"/>
        <v>243998</v>
      </c>
      <c r="AK51" s="176"/>
      <c r="AL51" s="176"/>
    </row>
    <row r="52" spans="1:38" ht="36" customHeight="1" x14ac:dyDescent="0.2">
      <c r="A52" s="14" t="s">
        <v>17</v>
      </c>
      <c r="B52" s="212">
        <v>243997</v>
      </c>
      <c r="C52" s="14" t="s">
        <v>547</v>
      </c>
      <c r="D52" s="14" t="s">
        <v>268</v>
      </c>
      <c r="E52" s="14" t="s">
        <v>14</v>
      </c>
      <c r="F52" s="14" t="s">
        <v>324</v>
      </c>
      <c r="G52" s="179">
        <v>680051</v>
      </c>
      <c r="H52" s="176" t="s">
        <v>800</v>
      </c>
      <c r="I52" s="176" t="s">
        <v>802</v>
      </c>
      <c r="J52" s="176" t="s">
        <v>128</v>
      </c>
      <c r="K52" s="176" t="s">
        <v>805</v>
      </c>
      <c r="L52" s="40" t="s">
        <v>45</v>
      </c>
      <c r="M52" s="40" t="s">
        <v>341</v>
      </c>
      <c r="N52" s="14" t="s">
        <v>811</v>
      </c>
      <c r="O52" s="14" t="s">
        <v>527</v>
      </c>
      <c r="P52" s="14" t="s">
        <v>817</v>
      </c>
      <c r="Q52" s="14" t="s">
        <v>542</v>
      </c>
      <c r="R52" s="17">
        <v>162</v>
      </c>
      <c r="S52" s="172" t="s">
        <v>51</v>
      </c>
      <c r="T52" s="17">
        <v>2498</v>
      </c>
      <c r="U52" s="14" t="s">
        <v>51</v>
      </c>
      <c r="V52" s="16">
        <f t="shared" si="13"/>
        <v>243997</v>
      </c>
      <c r="W52" s="16">
        <f t="shared" si="14"/>
        <v>244004</v>
      </c>
      <c r="X52" s="16">
        <f t="shared" si="15"/>
        <v>243999</v>
      </c>
      <c r="Y52" s="15" t="s">
        <v>54</v>
      </c>
      <c r="Z52" s="177">
        <v>243999</v>
      </c>
      <c r="AA52" s="170"/>
      <c r="AB52" s="170"/>
      <c r="AC52" s="170"/>
      <c r="AD52" s="170"/>
      <c r="AE52" s="15" t="s">
        <v>54</v>
      </c>
      <c r="AF52" s="177">
        <v>244003</v>
      </c>
      <c r="AG52" s="177" t="str">
        <f t="shared" si="5"/>
        <v>Pass</v>
      </c>
      <c r="AH52" s="177">
        <f t="shared" si="6"/>
        <v>244003</v>
      </c>
      <c r="AK52" s="176"/>
      <c r="AL52" s="176"/>
    </row>
    <row r="53" spans="1:38" ht="36" customHeight="1" x14ac:dyDescent="0.2">
      <c r="A53" s="14" t="s">
        <v>17</v>
      </c>
      <c r="B53" s="212">
        <v>243997</v>
      </c>
      <c r="C53" s="14" t="s">
        <v>547</v>
      </c>
      <c r="D53" s="14" t="s">
        <v>268</v>
      </c>
      <c r="E53" s="14" t="s">
        <v>14</v>
      </c>
      <c r="F53" s="14" t="s">
        <v>324</v>
      </c>
      <c r="G53" s="179">
        <v>680052</v>
      </c>
      <c r="H53" s="176" t="s">
        <v>609</v>
      </c>
      <c r="I53" s="176" t="s">
        <v>514</v>
      </c>
      <c r="J53" s="176" t="s">
        <v>337</v>
      </c>
      <c r="K53" s="176" t="s">
        <v>806</v>
      </c>
      <c r="L53" s="40" t="s">
        <v>106</v>
      </c>
      <c r="M53" s="40" t="s">
        <v>341</v>
      </c>
      <c r="N53" s="14" t="s">
        <v>812</v>
      </c>
      <c r="O53" s="14" t="s">
        <v>527</v>
      </c>
      <c r="P53" s="14" t="s">
        <v>818</v>
      </c>
      <c r="Q53" s="14" t="s">
        <v>542</v>
      </c>
      <c r="R53" s="17">
        <v>134</v>
      </c>
      <c r="S53" s="172" t="s">
        <v>51</v>
      </c>
      <c r="T53" s="17">
        <v>840</v>
      </c>
      <c r="U53" s="14" t="s">
        <v>51</v>
      </c>
      <c r="V53" s="16">
        <f t="shared" si="13"/>
        <v>243997</v>
      </c>
      <c r="W53" s="16">
        <f t="shared" si="14"/>
        <v>244004</v>
      </c>
      <c r="X53" s="16">
        <f t="shared" si="15"/>
        <v>243999</v>
      </c>
      <c r="Y53" s="15" t="s">
        <v>54</v>
      </c>
      <c r="Z53" s="177">
        <v>243998</v>
      </c>
      <c r="AA53" s="170"/>
      <c r="AB53" s="170"/>
      <c r="AC53" s="170"/>
      <c r="AD53" s="170"/>
      <c r="AE53" s="15" t="s">
        <v>54</v>
      </c>
      <c r="AF53" s="177">
        <v>243998</v>
      </c>
      <c r="AG53" s="177" t="str">
        <f t="shared" si="5"/>
        <v>Pass</v>
      </c>
      <c r="AH53" s="177">
        <f t="shared" si="6"/>
        <v>243998</v>
      </c>
      <c r="AK53" s="176"/>
      <c r="AL53" s="176"/>
    </row>
    <row r="54" spans="1:38" ht="36" customHeight="1" x14ac:dyDescent="0.2">
      <c r="A54" s="14" t="s">
        <v>17</v>
      </c>
      <c r="B54" s="212">
        <v>243997</v>
      </c>
      <c r="C54" s="14" t="s">
        <v>547</v>
      </c>
      <c r="D54" s="14" t="s">
        <v>268</v>
      </c>
      <c r="E54" s="14" t="s">
        <v>14</v>
      </c>
      <c r="F54" s="14" t="s">
        <v>324</v>
      </c>
      <c r="G54" s="179">
        <v>680053</v>
      </c>
      <c r="H54" s="176" t="s">
        <v>801</v>
      </c>
      <c r="I54" s="176" t="s">
        <v>550</v>
      </c>
      <c r="J54" s="176" t="s">
        <v>803</v>
      </c>
      <c r="K54" s="176" t="s">
        <v>807</v>
      </c>
      <c r="L54" s="40" t="s">
        <v>105</v>
      </c>
      <c r="M54" s="40" t="s">
        <v>341</v>
      </c>
      <c r="N54" s="14" t="s">
        <v>813</v>
      </c>
      <c r="O54" s="14" t="s">
        <v>543</v>
      </c>
      <c r="P54" s="14" t="s">
        <v>819</v>
      </c>
      <c r="Q54" s="14" t="s">
        <v>529</v>
      </c>
      <c r="R54" s="17">
        <v>250</v>
      </c>
      <c r="S54" s="172" t="s">
        <v>51</v>
      </c>
      <c r="T54" s="17">
        <v>1265</v>
      </c>
      <c r="U54" s="14" t="s">
        <v>51</v>
      </c>
      <c r="V54" s="16">
        <f t="shared" si="13"/>
        <v>243997</v>
      </c>
      <c r="W54" s="16">
        <f t="shared" si="14"/>
        <v>244004</v>
      </c>
      <c r="X54" s="16">
        <f t="shared" si="15"/>
        <v>243999</v>
      </c>
      <c r="Y54" s="15" t="s">
        <v>54</v>
      </c>
      <c r="Z54" s="177">
        <v>243999</v>
      </c>
      <c r="AA54" s="170"/>
      <c r="AB54" s="170"/>
      <c r="AC54" s="170"/>
      <c r="AD54" s="170"/>
      <c r="AE54" s="15" t="s">
        <v>54</v>
      </c>
      <c r="AF54" s="177">
        <v>244003</v>
      </c>
      <c r="AG54" s="177" t="str">
        <f t="shared" si="5"/>
        <v>Pass</v>
      </c>
      <c r="AH54" s="177">
        <f t="shared" si="6"/>
        <v>244003</v>
      </c>
      <c r="AK54" s="176"/>
      <c r="AL54" s="176"/>
    </row>
    <row r="55" spans="1:38" ht="36" customHeight="1" x14ac:dyDescent="0.2">
      <c r="A55" s="14" t="s">
        <v>17</v>
      </c>
      <c r="B55" s="212">
        <v>243997</v>
      </c>
      <c r="C55" s="14" t="s">
        <v>547</v>
      </c>
      <c r="D55" s="14" t="s">
        <v>268</v>
      </c>
      <c r="E55" s="14" t="s">
        <v>14</v>
      </c>
      <c r="F55" s="14" t="s">
        <v>324</v>
      </c>
      <c r="G55" s="179">
        <v>680054</v>
      </c>
      <c r="H55" s="176" t="s">
        <v>663</v>
      </c>
      <c r="I55" s="176" t="s">
        <v>630</v>
      </c>
      <c r="J55" s="176" t="s">
        <v>821</v>
      </c>
      <c r="K55" s="176" t="s">
        <v>822</v>
      </c>
      <c r="L55" s="40" t="s">
        <v>124</v>
      </c>
      <c r="M55" s="40" t="s">
        <v>341</v>
      </c>
      <c r="N55" s="14" t="s">
        <v>823</v>
      </c>
      <c r="O55" s="14" t="s">
        <v>543</v>
      </c>
      <c r="P55" s="14" t="s">
        <v>684</v>
      </c>
      <c r="Q55" s="14" t="s">
        <v>529</v>
      </c>
      <c r="R55" s="17">
        <v>1800</v>
      </c>
      <c r="S55" s="172" t="s">
        <v>51</v>
      </c>
      <c r="T55" s="17">
        <v>2566</v>
      </c>
      <c r="U55" s="14" t="s">
        <v>51</v>
      </c>
      <c r="V55" s="16">
        <f t="shared" si="13"/>
        <v>243997</v>
      </c>
      <c r="W55" s="16">
        <f t="shared" si="14"/>
        <v>244004</v>
      </c>
      <c r="X55" s="16">
        <f t="shared" si="15"/>
        <v>243999</v>
      </c>
      <c r="Y55" s="15" t="s">
        <v>54</v>
      </c>
      <c r="Z55" s="177">
        <v>243998</v>
      </c>
      <c r="AA55" s="170"/>
      <c r="AB55" s="170"/>
      <c r="AC55" s="170"/>
      <c r="AD55" s="170"/>
      <c r="AE55" s="15" t="s">
        <v>54</v>
      </c>
      <c r="AF55" s="177">
        <v>243998</v>
      </c>
      <c r="AG55" s="177" t="str">
        <f t="shared" si="5"/>
        <v>Pass</v>
      </c>
      <c r="AH55" s="177">
        <f t="shared" si="6"/>
        <v>243998</v>
      </c>
      <c r="AK55" s="176"/>
      <c r="AL55" s="176"/>
    </row>
    <row r="56" spans="1:38" ht="36" customHeight="1" x14ac:dyDescent="0.2">
      <c r="A56" s="14" t="s">
        <v>17</v>
      </c>
      <c r="B56" s="212">
        <v>243998</v>
      </c>
      <c r="C56" s="14" t="s">
        <v>547</v>
      </c>
      <c r="D56" s="14" t="s">
        <v>268</v>
      </c>
      <c r="E56" s="14" t="s">
        <v>14</v>
      </c>
      <c r="F56" s="14" t="s">
        <v>324</v>
      </c>
      <c r="G56" s="179">
        <v>680055</v>
      </c>
      <c r="H56" s="176" t="s">
        <v>663</v>
      </c>
      <c r="I56" s="176" t="s">
        <v>630</v>
      </c>
      <c r="J56" s="176" t="s">
        <v>821</v>
      </c>
      <c r="K56" s="176" t="s">
        <v>822</v>
      </c>
      <c r="L56" s="40" t="s">
        <v>124</v>
      </c>
      <c r="M56" s="40" t="s">
        <v>341</v>
      </c>
      <c r="N56" s="14" t="s">
        <v>834</v>
      </c>
      <c r="O56" s="14" t="s">
        <v>543</v>
      </c>
      <c r="P56" s="14" t="s">
        <v>843</v>
      </c>
      <c r="Q56" s="14" t="s">
        <v>529</v>
      </c>
      <c r="R56" s="17">
        <v>800</v>
      </c>
      <c r="S56" s="172" t="s">
        <v>51</v>
      </c>
      <c r="T56" s="17">
        <v>2581</v>
      </c>
      <c r="U56" s="14" t="s">
        <v>51</v>
      </c>
      <c r="V56" s="16">
        <f t="shared" si="13"/>
        <v>243998</v>
      </c>
      <c r="W56" s="16">
        <f t="shared" si="14"/>
        <v>244005</v>
      </c>
      <c r="X56" s="16">
        <f t="shared" si="15"/>
        <v>244000</v>
      </c>
      <c r="Y56" s="15" t="s">
        <v>54</v>
      </c>
      <c r="Z56" s="177">
        <v>244001</v>
      </c>
      <c r="AA56" s="170"/>
      <c r="AB56" s="170"/>
      <c r="AC56" s="170"/>
      <c r="AD56" s="170"/>
      <c r="AE56" s="15" t="s">
        <v>54</v>
      </c>
      <c r="AF56" s="177">
        <v>244003</v>
      </c>
      <c r="AG56" s="177" t="str">
        <f t="shared" si="5"/>
        <v>Pass</v>
      </c>
      <c r="AH56" s="177">
        <f t="shared" si="6"/>
        <v>244003</v>
      </c>
      <c r="AK56" s="176"/>
      <c r="AL56" s="176"/>
    </row>
    <row r="57" spans="1:38" ht="36" customHeight="1" x14ac:dyDescent="0.2">
      <c r="A57" s="14" t="s">
        <v>17</v>
      </c>
      <c r="B57" s="212">
        <v>243998</v>
      </c>
      <c r="C57" s="14" t="s">
        <v>547</v>
      </c>
      <c r="D57" s="14" t="s">
        <v>268</v>
      </c>
      <c r="E57" s="14" t="s">
        <v>14</v>
      </c>
      <c r="F57" s="14" t="s">
        <v>324</v>
      </c>
      <c r="G57" s="179">
        <v>680056</v>
      </c>
      <c r="H57" s="176" t="s">
        <v>663</v>
      </c>
      <c r="I57" s="176" t="s">
        <v>630</v>
      </c>
      <c r="J57" s="176" t="s">
        <v>821</v>
      </c>
      <c r="K57" s="176" t="s">
        <v>822</v>
      </c>
      <c r="L57" s="40" t="s">
        <v>124</v>
      </c>
      <c r="M57" s="40" t="s">
        <v>341</v>
      </c>
      <c r="N57" s="14" t="s">
        <v>835</v>
      </c>
      <c r="O57" s="14" t="s">
        <v>548</v>
      </c>
      <c r="P57" s="14" t="s">
        <v>518</v>
      </c>
      <c r="Q57" s="14" t="s">
        <v>549</v>
      </c>
      <c r="R57" s="17">
        <v>119</v>
      </c>
      <c r="S57" s="172" t="s">
        <v>51</v>
      </c>
      <c r="T57" s="17">
        <v>2581</v>
      </c>
      <c r="U57" s="14" t="s">
        <v>51</v>
      </c>
      <c r="V57" s="16">
        <f t="shared" si="13"/>
        <v>243998</v>
      </c>
      <c r="W57" s="16">
        <f t="shared" si="14"/>
        <v>244005</v>
      </c>
      <c r="X57" s="16">
        <f t="shared" si="15"/>
        <v>244000</v>
      </c>
      <c r="Y57" s="15" t="s">
        <v>54</v>
      </c>
      <c r="Z57" s="177">
        <v>244001</v>
      </c>
      <c r="AA57" s="170"/>
      <c r="AB57" s="170"/>
      <c r="AC57" s="170"/>
      <c r="AD57" s="170"/>
      <c r="AE57" s="15" t="s">
        <v>54</v>
      </c>
      <c r="AF57" s="177">
        <v>244003</v>
      </c>
      <c r="AG57" s="177" t="str">
        <f t="shared" si="5"/>
        <v>Pass</v>
      </c>
      <c r="AH57" s="177">
        <f t="shared" si="6"/>
        <v>244003</v>
      </c>
      <c r="AK57" s="176"/>
      <c r="AL57" s="176"/>
    </row>
    <row r="58" spans="1:38" ht="36" customHeight="1" x14ac:dyDescent="0.2">
      <c r="A58" s="14" t="s">
        <v>17</v>
      </c>
      <c r="B58" s="212">
        <v>243998</v>
      </c>
      <c r="C58" s="14" t="s">
        <v>547</v>
      </c>
      <c r="D58" s="14" t="s">
        <v>268</v>
      </c>
      <c r="E58" s="14" t="s">
        <v>14</v>
      </c>
      <c r="F58" s="14" t="s">
        <v>324</v>
      </c>
      <c r="G58" s="179">
        <v>680057</v>
      </c>
      <c r="H58" s="176" t="s">
        <v>663</v>
      </c>
      <c r="I58" s="176" t="s">
        <v>630</v>
      </c>
      <c r="J58" s="176" t="s">
        <v>821</v>
      </c>
      <c r="K58" s="176" t="s">
        <v>822</v>
      </c>
      <c r="L58" s="40" t="s">
        <v>124</v>
      </c>
      <c r="M58" s="40" t="s">
        <v>341</v>
      </c>
      <c r="N58" s="14" t="s">
        <v>842</v>
      </c>
      <c r="O58" s="14" t="s">
        <v>543</v>
      </c>
      <c r="P58" s="14" t="s">
        <v>844</v>
      </c>
      <c r="Q58" s="14" t="s">
        <v>529</v>
      </c>
      <c r="R58" s="17">
        <v>1620</v>
      </c>
      <c r="S58" s="172" t="s">
        <v>51</v>
      </c>
      <c r="T58" s="17">
        <v>2567</v>
      </c>
      <c r="U58" s="14" t="s">
        <v>51</v>
      </c>
      <c r="V58" s="16">
        <f t="shared" si="13"/>
        <v>243998</v>
      </c>
      <c r="W58" s="16">
        <f t="shared" si="14"/>
        <v>244005</v>
      </c>
      <c r="X58" s="16">
        <f t="shared" si="15"/>
        <v>244000</v>
      </c>
      <c r="Y58" s="15" t="s">
        <v>54</v>
      </c>
      <c r="Z58" s="177">
        <v>244001</v>
      </c>
      <c r="AA58" s="170"/>
      <c r="AB58" s="170"/>
      <c r="AC58" s="170"/>
      <c r="AD58" s="170"/>
      <c r="AE58" s="15" t="s">
        <v>54</v>
      </c>
      <c r="AF58" s="177">
        <v>244003</v>
      </c>
      <c r="AG58" s="177" t="str">
        <f t="shared" si="5"/>
        <v>Pass</v>
      </c>
      <c r="AH58" s="177">
        <f t="shared" si="6"/>
        <v>244003</v>
      </c>
      <c r="AK58" s="176"/>
      <c r="AL58" s="176"/>
    </row>
    <row r="59" spans="1:38" ht="36" customHeight="1" x14ac:dyDescent="0.2">
      <c r="A59" s="14" t="s">
        <v>17</v>
      </c>
      <c r="B59" s="212">
        <v>243998</v>
      </c>
      <c r="C59" s="14" t="s">
        <v>547</v>
      </c>
      <c r="D59" s="14" t="s">
        <v>268</v>
      </c>
      <c r="E59" s="14" t="s">
        <v>14</v>
      </c>
      <c r="F59" s="14" t="s">
        <v>324</v>
      </c>
      <c r="G59" s="179">
        <v>680058</v>
      </c>
      <c r="H59" s="176" t="s">
        <v>703</v>
      </c>
      <c r="I59" s="176" t="s">
        <v>827</v>
      </c>
      <c r="J59" s="176" t="s">
        <v>707</v>
      </c>
      <c r="K59" s="176" t="s">
        <v>828</v>
      </c>
      <c r="L59" s="40" t="s">
        <v>106</v>
      </c>
      <c r="M59" s="40" t="s">
        <v>341</v>
      </c>
      <c r="N59" s="14" t="s">
        <v>836</v>
      </c>
      <c r="O59" s="14" t="s">
        <v>548</v>
      </c>
      <c r="P59" s="14" t="s">
        <v>518</v>
      </c>
      <c r="Q59" s="14" t="s">
        <v>549</v>
      </c>
      <c r="R59" s="17">
        <v>130</v>
      </c>
      <c r="S59" s="172" t="s">
        <v>51</v>
      </c>
      <c r="T59" s="17">
        <v>3200</v>
      </c>
      <c r="U59" s="14" t="s">
        <v>51</v>
      </c>
      <c r="V59" s="16">
        <f t="shared" si="13"/>
        <v>243998</v>
      </c>
      <c r="W59" s="16">
        <f t="shared" si="14"/>
        <v>244005</v>
      </c>
      <c r="X59" s="16">
        <f t="shared" si="15"/>
        <v>244000</v>
      </c>
      <c r="Y59" s="15"/>
      <c r="Z59" s="177"/>
      <c r="AA59" s="170"/>
      <c r="AB59" s="170"/>
      <c r="AC59" s="170"/>
      <c r="AD59" s="170"/>
      <c r="AE59" s="15"/>
      <c r="AF59" s="177"/>
      <c r="AG59" s="177">
        <f t="shared" si="5"/>
        <v>0</v>
      </c>
      <c r="AH59" s="177">
        <f t="shared" si="6"/>
        <v>0</v>
      </c>
      <c r="AK59" s="176"/>
      <c r="AL59" s="176"/>
    </row>
    <row r="60" spans="1:38" ht="36" customHeight="1" x14ac:dyDescent="0.2">
      <c r="A60" s="14" t="s">
        <v>17</v>
      </c>
      <c r="B60" s="212">
        <v>243998</v>
      </c>
      <c r="C60" s="14" t="s">
        <v>547</v>
      </c>
      <c r="D60" s="14" t="s">
        <v>268</v>
      </c>
      <c r="E60" s="14" t="s">
        <v>14</v>
      </c>
      <c r="F60" s="14" t="s">
        <v>324</v>
      </c>
      <c r="G60" s="179">
        <v>680059</v>
      </c>
      <c r="H60" s="176" t="s">
        <v>663</v>
      </c>
      <c r="I60" s="176" t="s">
        <v>630</v>
      </c>
      <c r="J60" s="176" t="s">
        <v>821</v>
      </c>
      <c r="K60" s="176" t="s">
        <v>822</v>
      </c>
      <c r="L60" s="40" t="s">
        <v>124</v>
      </c>
      <c r="M60" s="40" t="s">
        <v>341</v>
      </c>
      <c r="N60" s="14" t="s">
        <v>837</v>
      </c>
      <c r="O60" s="14" t="s">
        <v>543</v>
      </c>
      <c r="P60" s="14" t="s">
        <v>845</v>
      </c>
      <c r="Q60" s="14" t="s">
        <v>529</v>
      </c>
      <c r="R60" s="17">
        <v>854</v>
      </c>
      <c r="S60" s="172" t="s">
        <v>51</v>
      </c>
      <c r="T60" s="17">
        <v>2544</v>
      </c>
      <c r="U60" s="14" t="s">
        <v>51</v>
      </c>
      <c r="V60" s="16">
        <f t="shared" si="13"/>
        <v>243998</v>
      </c>
      <c r="W60" s="16">
        <f t="shared" si="14"/>
        <v>244005</v>
      </c>
      <c r="X60" s="16">
        <f t="shared" si="15"/>
        <v>244000</v>
      </c>
      <c r="Y60" s="15" t="s">
        <v>54</v>
      </c>
      <c r="Z60" s="177">
        <v>244001</v>
      </c>
      <c r="AA60" s="170"/>
      <c r="AB60" s="170"/>
      <c r="AC60" s="170"/>
      <c r="AD60" s="170"/>
      <c r="AE60" s="15" t="s">
        <v>54</v>
      </c>
      <c r="AF60" s="177">
        <v>244003</v>
      </c>
      <c r="AG60" s="177" t="str">
        <f t="shared" si="5"/>
        <v>Pass</v>
      </c>
      <c r="AH60" s="177">
        <f t="shared" si="6"/>
        <v>244003</v>
      </c>
      <c r="AK60" s="176"/>
      <c r="AL60" s="176"/>
    </row>
    <row r="61" spans="1:38" ht="36" customHeight="1" x14ac:dyDescent="0.2">
      <c r="A61" s="14" t="s">
        <v>17</v>
      </c>
      <c r="B61" s="212">
        <v>243998</v>
      </c>
      <c r="C61" s="14" t="s">
        <v>547</v>
      </c>
      <c r="D61" s="14" t="s">
        <v>268</v>
      </c>
      <c r="E61" s="14" t="s">
        <v>14</v>
      </c>
      <c r="F61" s="14" t="s">
        <v>324</v>
      </c>
      <c r="G61" s="179">
        <v>680060</v>
      </c>
      <c r="H61" s="176" t="s">
        <v>824</v>
      </c>
      <c r="I61" s="176" t="s">
        <v>774</v>
      </c>
      <c r="J61" s="176" t="s">
        <v>776</v>
      </c>
      <c r="K61" s="176" t="s">
        <v>829</v>
      </c>
      <c r="L61" s="40" t="s">
        <v>105</v>
      </c>
      <c r="M61" s="40" t="s">
        <v>341</v>
      </c>
      <c r="N61" s="14" t="s">
        <v>838</v>
      </c>
      <c r="O61" s="14" t="s">
        <v>552</v>
      </c>
      <c r="P61" s="14" t="s">
        <v>846</v>
      </c>
      <c r="Q61" s="14" t="s">
        <v>553</v>
      </c>
      <c r="R61" s="17">
        <v>400</v>
      </c>
      <c r="S61" s="172" t="s">
        <v>51</v>
      </c>
      <c r="T61" s="17"/>
      <c r="U61" s="14"/>
      <c r="V61" s="16">
        <f t="shared" si="13"/>
        <v>243998</v>
      </c>
      <c r="W61" s="16">
        <f t="shared" si="14"/>
        <v>244005</v>
      </c>
      <c r="X61" s="16">
        <f t="shared" si="15"/>
        <v>244000</v>
      </c>
      <c r="Y61" s="15" t="s">
        <v>54</v>
      </c>
      <c r="Z61" s="177">
        <v>243999</v>
      </c>
      <c r="AA61" s="170"/>
      <c r="AB61" s="170"/>
      <c r="AC61" s="170"/>
      <c r="AD61" s="170"/>
      <c r="AE61" s="15" t="s">
        <v>54</v>
      </c>
      <c r="AF61" s="177">
        <v>244003</v>
      </c>
      <c r="AG61" s="177" t="str">
        <f t="shared" si="5"/>
        <v>Pass</v>
      </c>
      <c r="AH61" s="177">
        <f t="shared" si="6"/>
        <v>244003</v>
      </c>
      <c r="AK61" s="176"/>
      <c r="AL61" s="176"/>
    </row>
    <row r="62" spans="1:38" ht="36" customHeight="1" x14ac:dyDescent="0.2">
      <c r="A62" s="14" t="s">
        <v>17</v>
      </c>
      <c r="B62" s="212">
        <v>243998</v>
      </c>
      <c r="C62" s="14" t="s">
        <v>547</v>
      </c>
      <c r="D62" s="14" t="s">
        <v>268</v>
      </c>
      <c r="E62" s="14" t="s">
        <v>14</v>
      </c>
      <c r="F62" s="14" t="s">
        <v>324</v>
      </c>
      <c r="G62" s="179">
        <v>680061</v>
      </c>
      <c r="H62" s="176" t="s">
        <v>772</v>
      </c>
      <c r="I62" s="176" t="s">
        <v>774</v>
      </c>
      <c r="J62" s="176" t="s">
        <v>776</v>
      </c>
      <c r="K62" s="176" t="s">
        <v>779</v>
      </c>
      <c r="L62" s="40" t="s">
        <v>105</v>
      </c>
      <c r="M62" s="40" t="s">
        <v>341</v>
      </c>
      <c r="N62" s="14" t="s">
        <v>839</v>
      </c>
      <c r="O62" s="14" t="s">
        <v>552</v>
      </c>
      <c r="P62" s="14" t="s">
        <v>685</v>
      </c>
      <c r="Q62" s="14" t="s">
        <v>553</v>
      </c>
      <c r="R62" s="17">
        <v>525</v>
      </c>
      <c r="S62" s="172" t="s">
        <v>51</v>
      </c>
      <c r="T62" s="17"/>
      <c r="U62" s="14"/>
      <c r="V62" s="16">
        <f t="shared" si="13"/>
        <v>243998</v>
      </c>
      <c r="W62" s="16">
        <f t="shared" si="14"/>
        <v>244005</v>
      </c>
      <c r="X62" s="16">
        <f t="shared" si="15"/>
        <v>244000</v>
      </c>
      <c r="Y62" s="15" t="s">
        <v>54</v>
      </c>
      <c r="Z62" s="177">
        <v>243999</v>
      </c>
      <c r="AA62" s="170"/>
      <c r="AB62" s="170"/>
      <c r="AC62" s="170"/>
      <c r="AD62" s="170"/>
      <c r="AE62" s="15" t="s">
        <v>54</v>
      </c>
      <c r="AF62" s="177">
        <v>244003</v>
      </c>
      <c r="AG62" s="177" t="str">
        <f t="shared" si="5"/>
        <v>Pass</v>
      </c>
      <c r="AH62" s="177">
        <f t="shared" si="6"/>
        <v>244003</v>
      </c>
      <c r="AK62" s="176"/>
      <c r="AL62" s="176"/>
    </row>
    <row r="63" spans="1:38" ht="36" customHeight="1" x14ac:dyDescent="0.2">
      <c r="A63" s="14" t="s">
        <v>17</v>
      </c>
      <c r="B63" s="212">
        <v>243998</v>
      </c>
      <c r="C63" s="14" t="s">
        <v>547</v>
      </c>
      <c r="D63" s="14" t="s">
        <v>268</v>
      </c>
      <c r="E63" s="14" t="s">
        <v>14</v>
      </c>
      <c r="F63" s="14" t="s">
        <v>324</v>
      </c>
      <c r="G63" s="179">
        <v>680062</v>
      </c>
      <c r="H63" s="176" t="s">
        <v>825</v>
      </c>
      <c r="I63" s="176" t="s">
        <v>830</v>
      </c>
      <c r="J63" s="176" t="s">
        <v>123</v>
      </c>
      <c r="K63" s="176" t="s">
        <v>831</v>
      </c>
      <c r="L63" s="40" t="s">
        <v>45</v>
      </c>
      <c r="M63" s="40" t="s">
        <v>341</v>
      </c>
      <c r="N63" s="14" t="s">
        <v>840</v>
      </c>
      <c r="O63" s="14" t="s">
        <v>548</v>
      </c>
      <c r="P63" s="14" t="s">
        <v>518</v>
      </c>
      <c r="Q63" s="14" t="s">
        <v>549</v>
      </c>
      <c r="R63" s="17">
        <v>250</v>
      </c>
      <c r="S63" s="172" t="s">
        <v>51</v>
      </c>
      <c r="T63" s="17">
        <v>1570</v>
      </c>
      <c r="U63" s="14" t="s">
        <v>51</v>
      </c>
      <c r="V63" s="16">
        <f t="shared" si="13"/>
        <v>243998</v>
      </c>
      <c r="W63" s="16">
        <f t="shared" si="14"/>
        <v>244005</v>
      </c>
      <c r="X63" s="16">
        <f t="shared" si="15"/>
        <v>244000</v>
      </c>
      <c r="Y63" s="15" t="s">
        <v>54</v>
      </c>
      <c r="Z63" s="177">
        <v>243999</v>
      </c>
      <c r="AA63" s="170"/>
      <c r="AB63" s="170"/>
      <c r="AC63" s="170"/>
      <c r="AD63" s="170"/>
      <c r="AE63" s="15" t="s">
        <v>54</v>
      </c>
      <c r="AF63" s="177">
        <v>244003</v>
      </c>
      <c r="AG63" s="177" t="str">
        <f t="shared" si="5"/>
        <v>Pass</v>
      </c>
      <c r="AH63" s="177">
        <f t="shared" si="6"/>
        <v>244003</v>
      </c>
      <c r="AK63" s="176"/>
      <c r="AL63" s="176"/>
    </row>
    <row r="64" spans="1:38" ht="36" customHeight="1" x14ac:dyDescent="0.2">
      <c r="A64" s="14" t="s">
        <v>17</v>
      </c>
      <c r="B64" s="212">
        <v>243998</v>
      </c>
      <c r="C64" s="14" t="s">
        <v>547</v>
      </c>
      <c r="D64" s="14" t="s">
        <v>268</v>
      </c>
      <c r="E64" s="14" t="s">
        <v>14</v>
      </c>
      <c r="F64" s="14" t="s">
        <v>324</v>
      </c>
      <c r="G64" s="179">
        <v>680063</v>
      </c>
      <c r="H64" s="176" t="s">
        <v>826</v>
      </c>
      <c r="I64" s="176" t="s">
        <v>551</v>
      </c>
      <c r="J64" s="176" t="s">
        <v>832</v>
      </c>
      <c r="K64" s="176" t="s">
        <v>833</v>
      </c>
      <c r="L64" s="40" t="s">
        <v>108</v>
      </c>
      <c r="M64" s="40" t="s">
        <v>341</v>
      </c>
      <c r="N64" s="14" t="s">
        <v>841</v>
      </c>
      <c r="O64" s="14" t="s">
        <v>548</v>
      </c>
      <c r="P64" s="14" t="s">
        <v>518</v>
      </c>
      <c r="Q64" s="14" t="s">
        <v>549</v>
      </c>
      <c r="R64" s="17">
        <v>130</v>
      </c>
      <c r="S64" s="172" t="s">
        <v>51</v>
      </c>
      <c r="T64" s="17">
        <v>315</v>
      </c>
      <c r="U64" s="14" t="s">
        <v>51</v>
      </c>
      <c r="V64" s="16">
        <f t="shared" si="13"/>
        <v>243998</v>
      </c>
      <c r="W64" s="16">
        <f t="shared" si="14"/>
        <v>244005</v>
      </c>
      <c r="X64" s="16">
        <f t="shared" si="15"/>
        <v>244000</v>
      </c>
      <c r="Y64" s="15" t="s">
        <v>54</v>
      </c>
      <c r="Z64" s="177">
        <v>243999</v>
      </c>
      <c r="AA64" s="170"/>
      <c r="AB64" s="170"/>
      <c r="AC64" s="170"/>
      <c r="AD64" s="170"/>
      <c r="AE64" s="15" t="s">
        <v>54</v>
      </c>
      <c r="AF64" s="177">
        <v>244003</v>
      </c>
      <c r="AG64" s="177" t="str">
        <f t="shared" si="5"/>
        <v>Pass</v>
      </c>
      <c r="AH64" s="177">
        <f t="shared" si="6"/>
        <v>244003</v>
      </c>
      <c r="AK64" s="176"/>
      <c r="AL64" s="176"/>
    </row>
    <row r="65" spans="1:38" ht="36" customHeight="1" x14ac:dyDescent="0.2">
      <c r="A65" s="14" t="s">
        <v>17</v>
      </c>
      <c r="B65" s="212">
        <v>243999</v>
      </c>
      <c r="C65" s="14" t="s">
        <v>547</v>
      </c>
      <c r="D65" s="14" t="s">
        <v>268</v>
      </c>
      <c r="E65" s="14" t="s">
        <v>14</v>
      </c>
      <c r="F65" s="14" t="s">
        <v>324</v>
      </c>
      <c r="G65" s="179">
        <v>680064</v>
      </c>
      <c r="H65" s="176" t="s">
        <v>663</v>
      </c>
      <c r="I65" s="176" t="s">
        <v>630</v>
      </c>
      <c r="J65" s="176" t="s">
        <v>821</v>
      </c>
      <c r="K65" s="176" t="s">
        <v>852</v>
      </c>
      <c r="L65" s="40" t="s">
        <v>124</v>
      </c>
      <c r="M65" s="40" t="s">
        <v>341</v>
      </c>
      <c r="N65" s="14" t="s">
        <v>856</v>
      </c>
      <c r="O65" s="14" t="s">
        <v>543</v>
      </c>
      <c r="P65" s="14" t="s">
        <v>859</v>
      </c>
      <c r="Q65" s="14" t="s">
        <v>529</v>
      </c>
      <c r="R65" s="17">
        <v>560</v>
      </c>
      <c r="S65" s="172" t="s">
        <v>51</v>
      </c>
      <c r="T65" s="17">
        <v>2600</v>
      </c>
      <c r="U65" s="14" t="s">
        <v>51</v>
      </c>
      <c r="V65" s="16">
        <f t="shared" si="13"/>
        <v>243999</v>
      </c>
      <c r="W65" s="16">
        <f t="shared" si="14"/>
        <v>244006</v>
      </c>
      <c r="X65" s="16">
        <f t="shared" si="15"/>
        <v>244001</v>
      </c>
      <c r="Y65" s="15" t="s">
        <v>54</v>
      </c>
      <c r="Z65" s="177">
        <v>244001</v>
      </c>
      <c r="AA65" s="170"/>
      <c r="AB65" s="170"/>
      <c r="AC65" s="170"/>
      <c r="AD65" s="170"/>
      <c r="AE65" s="15" t="s">
        <v>54</v>
      </c>
      <c r="AF65" s="177">
        <v>244003</v>
      </c>
      <c r="AG65" s="177" t="str">
        <f t="shared" si="5"/>
        <v>Pass</v>
      </c>
      <c r="AH65" s="177">
        <f t="shared" si="6"/>
        <v>244003</v>
      </c>
      <c r="AK65" s="176"/>
      <c r="AL65" s="176"/>
    </row>
    <row r="66" spans="1:38" ht="36" customHeight="1" x14ac:dyDescent="0.2">
      <c r="A66" s="14" t="s">
        <v>17</v>
      </c>
      <c r="B66" s="212">
        <v>243999</v>
      </c>
      <c r="C66" s="14" t="s">
        <v>547</v>
      </c>
      <c r="D66" s="14" t="s">
        <v>268</v>
      </c>
      <c r="E66" s="14" t="s">
        <v>14</v>
      </c>
      <c r="F66" s="14" t="s">
        <v>324</v>
      </c>
      <c r="G66" s="179">
        <v>680065</v>
      </c>
      <c r="H66" s="176" t="s">
        <v>847</v>
      </c>
      <c r="I66" s="176" t="s">
        <v>850</v>
      </c>
      <c r="J66" s="176" t="s">
        <v>851</v>
      </c>
      <c r="K66" s="176" t="s">
        <v>853</v>
      </c>
      <c r="L66" s="40" t="s">
        <v>108</v>
      </c>
      <c r="M66" s="40" t="s">
        <v>341</v>
      </c>
      <c r="N66" s="14" t="s">
        <v>857</v>
      </c>
      <c r="O66" s="14" t="s">
        <v>756</v>
      </c>
      <c r="P66" s="14" t="s">
        <v>860</v>
      </c>
      <c r="Q66" s="14" t="s">
        <v>758</v>
      </c>
      <c r="R66" s="17">
        <v>1200</v>
      </c>
      <c r="S66" s="172" t="s">
        <v>51</v>
      </c>
      <c r="T66" s="17">
        <v>1950</v>
      </c>
      <c r="U66" s="14" t="s">
        <v>51</v>
      </c>
      <c r="V66" s="16">
        <f t="shared" si="13"/>
        <v>243999</v>
      </c>
      <c r="W66" s="16">
        <f t="shared" si="14"/>
        <v>244006</v>
      </c>
      <c r="X66" s="16">
        <f t="shared" si="15"/>
        <v>244001</v>
      </c>
      <c r="Y66" s="15" t="s">
        <v>54</v>
      </c>
      <c r="Z66" s="177">
        <v>244001</v>
      </c>
      <c r="AA66" s="170"/>
      <c r="AB66" s="170"/>
      <c r="AC66" s="170"/>
      <c r="AD66" s="170"/>
      <c r="AE66" s="15" t="s">
        <v>54</v>
      </c>
      <c r="AF66" s="177">
        <v>244003</v>
      </c>
      <c r="AG66" s="177" t="str">
        <f t="shared" ref="AG66:AG76" si="16">AE66</f>
        <v>Pass</v>
      </c>
      <c r="AH66" s="177">
        <f t="shared" ref="AH66:AH76" si="17">AF66</f>
        <v>244003</v>
      </c>
      <c r="AK66" s="176"/>
      <c r="AL66" s="176"/>
    </row>
    <row r="67" spans="1:38" ht="36" customHeight="1" x14ac:dyDescent="0.2">
      <c r="A67" s="14" t="s">
        <v>17</v>
      </c>
      <c r="B67" s="212">
        <v>243999</v>
      </c>
      <c r="C67" s="14" t="s">
        <v>547</v>
      </c>
      <c r="D67" s="14" t="s">
        <v>268</v>
      </c>
      <c r="E67" s="14" t="s">
        <v>14</v>
      </c>
      <c r="F67" s="14" t="s">
        <v>324</v>
      </c>
      <c r="G67" s="179">
        <v>680066</v>
      </c>
      <c r="H67" s="176" t="s">
        <v>848</v>
      </c>
      <c r="I67" s="176" t="s">
        <v>802</v>
      </c>
      <c r="J67" s="176" t="s">
        <v>131</v>
      </c>
      <c r="K67" s="176" t="s">
        <v>854</v>
      </c>
      <c r="L67" s="40" t="s">
        <v>105</v>
      </c>
      <c r="M67" s="40" t="s">
        <v>341</v>
      </c>
      <c r="N67" s="14" t="s">
        <v>780</v>
      </c>
      <c r="O67" s="14" t="s">
        <v>548</v>
      </c>
      <c r="P67" s="14" t="s">
        <v>518</v>
      </c>
      <c r="Q67" s="14" t="s">
        <v>549</v>
      </c>
      <c r="R67" s="17">
        <v>175</v>
      </c>
      <c r="S67" s="172" t="s">
        <v>51</v>
      </c>
      <c r="T67" s="17">
        <v>1350</v>
      </c>
      <c r="U67" s="14" t="s">
        <v>51</v>
      </c>
      <c r="V67" s="16">
        <f t="shared" si="13"/>
        <v>243999</v>
      </c>
      <c r="W67" s="16">
        <f t="shared" si="14"/>
        <v>244006</v>
      </c>
      <c r="X67" s="16">
        <f t="shared" si="15"/>
        <v>244001</v>
      </c>
      <c r="Y67" s="15" t="s">
        <v>54</v>
      </c>
      <c r="Z67" s="177">
        <v>244001</v>
      </c>
      <c r="AA67" s="170"/>
      <c r="AB67" s="170"/>
      <c r="AC67" s="170"/>
      <c r="AD67" s="170"/>
      <c r="AE67" s="15" t="s">
        <v>54</v>
      </c>
      <c r="AF67" s="177">
        <v>244003</v>
      </c>
      <c r="AG67" s="177" t="str">
        <f t="shared" si="16"/>
        <v>Pass</v>
      </c>
      <c r="AH67" s="177">
        <f t="shared" si="17"/>
        <v>244003</v>
      </c>
      <c r="AK67" s="176"/>
      <c r="AL67" s="176"/>
    </row>
    <row r="68" spans="1:38" ht="36" customHeight="1" x14ac:dyDescent="0.2">
      <c r="A68" s="14" t="s">
        <v>17</v>
      </c>
      <c r="B68" s="212">
        <v>243999</v>
      </c>
      <c r="C68" s="14" t="s">
        <v>547</v>
      </c>
      <c r="D68" s="14" t="s">
        <v>268</v>
      </c>
      <c r="E68" s="14" t="s">
        <v>14</v>
      </c>
      <c r="F68" s="14" t="s">
        <v>324</v>
      </c>
      <c r="G68" s="179">
        <v>680067</v>
      </c>
      <c r="H68" s="176" t="s">
        <v>849</v>
      </c>
      <c r="I68" s="176" t="s">
        <v>550</v>
      </c>
      <c r="J68" s="176" t="s">
        <v>128</v>
      </c>
      <c r="K68" s="176" t="s">
        <v>855</v>
      </c>
      <c r="L68" s="40" t="s">
        <v>45</v>
      </c>
      <c r="M68" s="40" t="s">
        <v>341</v>
      </c>
      <c r="N68" s="14" t="s">
        <v>858</v>
      </c>
      <c r="O68" s="14" t="s">
        <v>548</v>
      </c>
      <c r="P68" s="14" t="s">
        <v>518</v>
      </c>
      <c r="Q68" s="14" t="s">
        <v>549</v>
      </c>
      <c r="R68" s="17">
        <v>142</v>
      </c>
      <c r="S68" s="172" t="s">
        <v>51</v>
      </c>
      <c r="T68" s="17">
        <v>2454</v>
      </c>
      <c r="U68" s="14" t="s">
        <v>51</v>
      </c>
      <c r="V68" s="16">
        <f t="shared" si="13"/>
        <v>243999</v>
      </c>
      <c r="W68" s="16">
        <f t="shared" si="14"/>
        <v>244006</v>
      </c>
      <c r="X68" s="16">
        <f t="shared" si="15"/>
        <v>244001</v>
      </c>
      <c r="Y68" s="15" t="s">
        <v>54</v>
      </c>
      <c r="Z68" s="177">
        <v>244003</v>
      </c>
      <c r="AA68" s="170"/>
      <c r="AB68" s="170"/>
      <c r="AC68" s="170"/>
      <c r="AD68" s="170"/>
      <c r="AE68" s="15" t="s">
        <v>54</v>
      </c>
      <c r="AF68" s="177">
        <v>244004</v>
      </c>
      <c r="AG68" s="177" t="str">
        <f t="shared" si="16"/>
        <v>Pass</v>
      </c>
      <c r="AH68" s="177">
        <f t="shared" si="17"/>
        <v>244004</v>
      </c>
      <c r="AK68" s="176"/>
      <c r="AL68" s="176"/>
    </row>
    <row r="69" spans="1:38" ht="36" customHeight="1" x14ac:dyDescent="0.2">
      <c r="A69" s="14" t="s">
        <v>17</v>
      </c>
      <c r="B69" s="212">
        <v>243999</v>
      </c>
      <c r="C69" s="14" t="s">
        <v>547</v>
      </c>
      <c r="D69" s="14" t="s">
        <v>268</v>
      </c>
      <c r="E69" s="14" t="s">
        <v>14</v>
      </c>
      <c r="F69" s="14" t="s">
        <v>324</v>
      </c>
      <c r="G69" s="179">
        <v>680068</v>
      </c>
      <c r="H69" s="176" t="s">
        <v>861</v>
      </c>
      <c r="I69" s="176" t="s">
        <v>551</v>
      </c>
      <c r="J69" s="176" t="s">
        <v>596</v>
      </c>
      <c r="K69" s="176" t="s">
        <v>866</v>
      </c>
      <c r="L69" s="40" t="s">
        <v>108</v>
      </c>
      <c r="M69" s="40" t="s">
        <v>341</v>
      </c>
      <c r="N69" s="14" t="s">
        <v>869</v>
      </c>
      <c r="O69" s="14" t="s">
        <v>873</v>
      </c>
      <c r="P69" s="14" t="s">
        <v>875</v>
      </c>
      <c r="Q69" s="14" t="s">
        <v>879</v>
      </c>
      <c r="R69" s="17" t="s">
        <v>624</v>
      </c>
      <c r="S69" s="172" t="s">
        <v>51</v>
      </c>
      <c r="T69" s="17">
        <v>2465</v>
      </c>
      <c r="U69" s="14" t="s">
        <v>51</v>
      </c>
      <c r="V69" s="16">
        <f t="shared" si="13"/>
        <v>243999</v>
      </c>
      <c r="W69" s="16">
        <f t="shared" si="14"/>
        <v>244006</v>
      </c>
      <c r="X69" s="16">
        <f t="shared" si="15"/>
        <v>244001</v>
      </c>
      <c r="Y69" s="15" t="s">
        <v>54</v>
      </c>
      <c r="Z69" s="177">
        <v>244001</v>
      </c>
      <c r="AA69" s="170"/>
      <c r="AB69" s="170"/>
      <c r="AC69" s="170"/>
      <c r="AD69" s="170"/>
      <c r="AE69" s="15" t="s">
        <v>54</v>
      </c>
      <c r="AF69" s="177">
        <v>244003</v>
      </c>
      <c r="AG69" s="177" t="str">
        <f t="shared" si="16"/>
        <v>Pass</v>
      </c>
      <c r="AH69" s="177">
        <f t="shared" si="17"/>
        <v>244003</v>
      </c>
      <c r="AK69" s="176"/>
      <c r="AL69" s="176"/>
    </row>
    <row r="70" spans="1:38" ht="36" customHeight="1" x14ac:dyDescent="0.2">
      <c r="A70" s="14" t="s">
        <v>17</v>
      </c>
      <c r="B70" s="212">
        <v>243999</v>
      </c>
      <c r="C70" s="14" t="s">
        <v>547</v>
      </c>
      <c r="D70" s="14" t="s">
        <v>268</v>
      </c>
      <c r="E70" s="14" t="s">
        <v>14</v>
      </c>
      <c r="F70" s="14" t="s">
        <v>324</v>
      </c>
      <c r="G70" s="179">
        <v>680069</v>
      </c>
      <c r="H70" s="176" t="s">
        <v>849</v>
      </c>
      <c r="I70" s="176" t="s">
        <v>550</v>
      </c>
      <c r="J70" s="176" t="s">
        <v>128</v>
      </c>
      <c r="K70" s="176" t="s">
        <v>855</v>
      </c>
      <c r="L70" s="40" t="s">
        <v>45</v>
      </c>
      <c r="M70" s="40" t="s">
        <v>341</v>
      </c>
      <c r="N70" s="14" t="s">
        <v>870</v>
      </c>
      <c r="O70" s="14" t="s">
        <v>714</v>
      </c>
      <c r="P70" s="14" t="s">
        <v>876</v>
      </c>
      <c r="Q70" s="14" t="s">
        <v>716</v>
      </c>
      <c r="R70" s="17">
        <v>1799</v>
      </c>
      <c r="S70" s="172" t="s">
        <v>51</v>
      </c>
      <c r="T70" s="17">
        <v>2505</v>
      </c>
      <c r="U70" s="14" t="s">
        <v>51</v>
      </c>
      <c r="V70" s="16">
        <f t="shared" si="13"/>
        <v>243999</v>
      </c>
      <c r="W70" s="16">
        <f t="shared" si="14"/>
        <v>244006</v>
      </c>
      <c r="X70" s="16">
        <f t="shared" si="15"/>
        <v>244001</v>
      </c>
      <c r="Y70" s="15" t="s">
        <v>54</v>
      </c>
      <c r="Z70" s="177">
        <v>244003</v>
      </c>
      <c r="AA70" s="170"/>
      <c r="AB70" s="170"/>
      <c r="AC70" s="170"/>
      <c r="AD70" s="170"/>
      <c r="AE70" s="15" t="s">
        <v>54</v>
      </c>
      <c r="AF70" s="177">
        <v>244004</v>
      </c>
      <c r="AG70" s="177" t="str">
        <f t="shared" si="16"/>
        <v>Pass</v>
      </c>
      <c r="AH70" s="177">
        <f t="shared" si="17"/>
        <v>244004</v>
      </c>
      <c r="AK70" s="176"/>
      <c r="AL70" s="176"/>
    </row>
    <row r="71" spans="1:38" ht="36" customHeight="1" x14ac:dyDescent="0.2">
      <c r="A71" s="14" t="s">
        <v>17</v>
      </c>
      <c r="B71" s="212">
        <v>243999</v>
      </c>
      <c r="C71" s="14" t="s">
        <v>547</v>
      </c>
      <c r="D71" s="14" t="s">
        <v>268</v>
      </c>
      <c r="E71" s="14" t="s">
        <v>14</v>
      </c>
      <c r="F71" s="14" t="s">
        <v>324</v>
      </c>
      <c r="G71" s="179">
        <v>680070</v>
      </c>
      <c r="H71" s="176" t="s">
        <v>862</v>
      </c>
      <c r="I71" s="176" t="s">
        <v>864</v>
      </c>
      <c r="J71" s="176" t="s">
        <v>865</v>
      </c>
      <c r="K71" s="176" t="s">
        <v>867</v>
      </c>
      <c r="L71" s="40" t="s">
        <v>105</v>
      </c>
      <c r="M71" s="40" t="s">
        <v>341</v>
      </c>
      <c r="N71" s="14" t="s">
        <v>877</v>
      </c>
      <c r="O71" s="14" t="s">
        <v>548</v>
      </c>
      <c r="P71" s="14" t="s">
        <v>518</v>
      </c>
      <c r="Q71" s="14" t="s">
        <v>549</v>
      </c>
      <c r="R71" s="17">
        <v>325</v>
      </c>
      <c r="S71" s="172" t="s">
        <v>51</v>
      </c>
      <c r="T71" s="17">
        <v>1850</v>
      </c>
      <c r="U71" s="14" t="s">
        <v>51</v>
      </c>
      <c r="V71" s="16">
        <f t="shared" si="13"/>
        <v>243999</v>
      </c>
      <c r="W71" s="16">
        <f t="shared" si="14"/>
        <v>244006</v>
      </c>
      <c r="X71" s="16">
        <f t="shared" si="15"/>
        <v>244001</v>
      </c>
      <c r="Y71" s="15"/>
      <c r="Z71" s="177"/>
      <c r="AA71" s="170"/>
      <c r="AB71" s="170"/>
      <c r="AC71" s="170"/>
      <c r="AD71" s="170"/>
      <c r="AE71" s="15"/>
      <c r="AF71" s="177"/>
      <c r="AG71" s="177">
        <f t="shared" si="16"/>
        <v>0</v>
      </c>
      <c r="AH71" s="177">
        <f t="shared" si="17"/>
        <v>0</v>
      </c>
      <c r="AK71" s="176"/>
      <c r="AL71" s="176"/>
    </row>
    <row r="72" spans="1:38" ht="36" customHeight="1" x14ac:dyDescent="0.2">
      <c r="A72" s="14" t="s">
        <v>17</v>
      </c>
      <c r="B72" s="212">
        <v>243999</v>
      </c>
      <c r="C72" s="14" t="s">
        <v>547</v>
      </c>
      <c r="D72" s="14" t="s">
        <v>268</v>
      </c>
      <c r="E72" s="14" t="s">
        <v>14</v>
      </c>
      <c r="F72" s="14" t="s">
        <v>324</v>
      </c>
      <c r="G72" s="179">
        <v>680071</v>
      </c>
      <c r="H72" s="176" t="s">
        <v>848</v>
      </c>
      <c r="I72" s="176" t="s">
        <v>802</v>
      </c>
      <c r="J72" s="176" t="s">
        <v>131</v>
      </c>
      <c r="K72" s="176" t="s">
        <v>854</v>
      </c>
      <c r="L72" s="40" t="s">
        <v>105</v>
      </c>
      <c r="M72" s="40" t="s">
        <v>341</v>
      </c>
      <c r="N72" s="14" t="s">
        <v>871</v>
      </c>
      <c r="O72" s="14" t="s">
        <v>874</v>
      </c>
      <c r="P72" s="14" t="s">
        <v>878</v>
      </c>
      <c r="Q72" s="14" t="s">
        <v>880</v>
      </c>
      <c r="R72" s="17">
        <v>250</v>
      </c>
      <c r="S72" s="172" t="s">
        <v>51</v>
      </c>
      <c r="T72" s="17">
        <v>1300</v>
      </c>
      <c r="U72" s="14" t="s">
        <v>51</v>
      </c>
      <c r="V72" s="16">
        <f t="shared" si="13"/>
        <v>243999</v>
      </c>
      <c r="W72" s="16">
        <f t="shared" si="14"/>
        <v>244006</v>
      </c>
      <c r="X72" s="16">
        <f t="shared" si="15"/>
        <v>244001</v>
      </c>
      <c r="Y72" s="15" t="s">
        <v>54</v>
      </c>
      <c r="Z72" s="177">
        <v>244001</v>
      </c>
      <c r="AA72" s="170"/>
      <c r="AB72" s="170"/>
      <c r="AC72" s="170"/>
      <c r="AD72" s="170"/>
      <c r="AE72" s="15" t="s">
        <v>54</v>
      </c>
      <c r="AF72" s="177">
        <v>244003</v>
      </c>
      <c r="AG72" s="177" t="str">
        <f t="shared" si="16"/>
        <v>Pass</v>
      </c>
      <c r="AH72" s="177">
        <f t="shared" si="17"/>
        <v>244003</v>
      </c>
      <c r="AK72" s="176"/>
      <c r="AL72" s="176"/>
    </row>
    <row r="73" spans="1:38" ht="36" customHeight="1" x14ac:dyDescent="0.2">
      <c r="A73" s="14" t="s">
        <v>17</v>
      </c>
      <c r="B73" s="212">
        <v>243999</v>
      </c>
      <c r="C73" s="14" t="s">
        <v>547</v>
      </c>
      <c r="D73" s="14" t="s">
        <v>268</v>
      </c>
      <c r="E73" s="14" t="s">
        <v>14</v>
      </c>
      <c r="F73" s="14" t="s">
        <v>324</v>
      </c>
      <c r="G73" s="179">
        <v>680072</v>
      </c>
      <c r="H73" s="176" t="s">
        <v>863</v>
      </c>
      <c r="I73" s="176" t="s">
        <v>864</v>
      </c>
      <c r="J73" s="176" t="s">
        <v>131</v>
      </c>
      <c r="K73" s="176" t="s">
        <v>868</v>
      </c>
      <c r="L73" s="40" t="s">
        <v>105</v>
      </c>
      <c r="M73" s="40" t="s">
        <v>341</v>
      </c>
      <c r="N73" s="14" t="s">
        <v>872</v>
      </c>
      <c r="O73" s="14" t="s">
        <v>528</v>
      </c>
      <c r="P73" s="14" t="s">
        <v>517</v>
      </c>
      <c r="Q73" s="14" t="s">
        <v>541</v>
      </c>
      <c r="R73" s="17">
        <v>250</v>
      </c>
      <c r="S73" s="172" t="s">
        <v>51</v>
      </c>
      <c r="T73" s="17">
        <v>1305</v>
      </c>
      <c r="U73" s="14" t="s">
        <v>51</v>
      </c>
      <c r="V73" s="16">
        <f t="shared" si="13"/>
        <v>243999</v>
      </c>
      <c r="W73" s="16">
        <f t="shared" si="14"/>
        <v>244006</v>
      </c>
      <c r="X73" s="16">
        <f>V73+2</f>
        <v>244001</v>
      </c>
      <c r="Y73" s="15"/>
      <c r="Z73" s="177"/>
      <c r="AA73" s="170"/>
      <c r="AB73" s="170"/>
      <c r="AC73" s="170"/>
      <c r="AD73" s="170"/>
      <c r="AE73" s="15"/>
      <c r="AF73" s="177"/>
      <c r="AG73" s="177">
        <f t="shared" si="16"/>
        <v>0</v>
      </c>
      <c r="AH73" s="177">
        <f t="shared" si="17"/>
        <v>0</v>
      </c>
      <c r="AK73" s="176"/>
      <c r="AL73" s="176"/>
    </row>
    <row r="74" spans="1:38" ht="36" customHeight="1" x14ac:dyDescent="0.2">
      <c r="A74" s="14" t="s">
        <v>17</v>
      </c>
      <c r="B74" s="212">
        <v>244001</v>
      </c>
      <c r="C74" s="14" t="s">
        <v>547</v>
      </c>
      <c r="D74" s="14" t="s">
        <v>268</v>
      </c>
      <c r="E74" s="14" t="s">
        <v>14</v>
      </c>
      <c r="F74" s="14" t="s">
        <v>324</v>
      </c>
      <c r="G74" s="179">
        <v>680073</v>
      </c>
      <c r="H74" s="176" t="s">
        <v>881</v>
      </c>
      <c r="I74" s="176" t="s">
        <v>802</v>
      </c>
      <c r="J74" s="176" t="s">
        <v>882</v>
      </c>
      <c r="K74" s="176" t="s">
        <v>883</v>
      </c>
      <c r="L74" s="40" t="s">
        <v>105</v>
      </c>
      <c r="M74" s="40" t="s">
        <v>341</v>
      </c>
      <c r="N74" s="14" t="s">
        <v>884</v>
      </c>
      <c r="O74" s="14" t="s">
        <v>552</v>
      </c>
      <c r="P74" s="14" t="s">
        <v>519</v>
      </c>
      <c r="Q74" s="14" t="s">
        <v>553</v>
      </c>
      <c r="R74" s="17">
        <v>625</v>
      </c>
      <c r="S74" s="172" t="s">
        <v>51</v>
      </c>
      <c r="T74" s="17">
        <v>1380</v>
      </c>
      <c r="U74" s="14" t="s">
        <v>51</v>
      </c>
      <c r="V74" s="16">
        <f t="shared" si="13"/>
        <v>244001</v>
      </c>
      <c r="W74" s="16">
        <f t="shared" si="14"/>
        <v>244008</v>
      </c>
      <c r="X74" s="16">
        <f t="shared" si="15"/>
        <v>244003</v>
      </c>
      <c r="Y74" s="15"/>
      <c r="Z74" s="177"/>
      <c r="AA74" s="170"/>
      <c r="AB74" s="170"/>
      <c r="AC74" s="170"/>
      <c r="AD74" s="170"/>
      <c r="AE74" s="15"/>
      <c r="AF74" s="177"/>
      <c r="AG74" s="177">
        <f t="shared" si="16"/>
        <v>0</v>
      </c>
      <c r="AH74" s="177">
        <f t="shared" si="17"/>
        <v>0</v>
      </c>
      <c r="AK74" s="176"/>
      <c r="AL74" s="176"/>
    </row>
    <row r="75" spans="1:38" ht="36" customHeight="1" x14ac:dyDescent="0.2">
      <c r="A75" s="14" t="s">
        <v>17</v>
      </c>
      <c r="B75" s="212">
        <v>244001</v>
      </c>
      <c r="C75" s="14" t="s">
        <v>547</v>
      </c>
      <c r="D75" s="14" t="s">
        <v>268</v>
      </c>
      <c r="E75" s="14" t="s">
        <v>14</v>
      </c>
      <c r="F75" s="14" t="s">
        <v>324</v>
      </c>
      <c r="G75" s="179">
        <v>680074</v>
      </c>
      <c r="H75" s="176" t="s">
        <v>885</v>
      </c>
      <c r="I75" s="176" t="s">
        <v>630</v>
      </c>
      <c r="J75" s="176" t="s">
        <v>882</v>
      </c>
      <c r="K75" s="176" t="s">
        <v>889</v>
      </c>
      <c r="L75" s="40" t="s">
        <v>124</v>
      </c>
      <c r="M75" s="40" t="s">
        <v>341</v>
      </c>
      <c r="N75" s="14" t="s">
        <v>893</v>
      </c>
      <c r="O75" s="14" t="s">
        <v>548</v>
      </c>
      <c r="P75" s="14" t="s">
        <v>518</v>
      </c>
      <c r="Q75" s="14" t="s">
        <v>549</v>
      </c>
      <c r="R75" s="17">
        <v>231</v>
      </c>
      <c r="S75" s="172" t="s">
        <v>51</v>
      </c>
      <c r="T75" s="17">
        <v>2187</v>
      </c>
      <c r="U75" s="14" t="s">
        <v>51</v>
      </c>
      <c r="V75" s="16">
        <f t="shared" si="13"/>
        <v>244001</v>
      </c>
      <c r="W75" s="16">
        <f t="shared" si="14"/>
        <v>244008</v>
      </c>
      <c r="X75" s="16">
        <f t="shared" si="15"/>
        <v>244003</v>
      </c>
      <c r="Y75" s="15" t="s">
        <v>54</v>
      </c>
      <c r="Z75" s="177">
        <v>244003</v>
      </c>
      <c r="AA75" s="170"/>
      <c r="AB75" s="170"/>
      <c r="AC75" s="170"/>
      <c r="AD75" s="170"/>
      <c r="AE75" s="15" t="s">
        <v>54</v>
      </c>
      <c r="AF75" s="177">
        <v>244004</v>
      </c>
      <c r="AG75" s="177" t="str">
        <f t="shared" si="16"/>
        <v>Pass</v>
      </c>
      <c r="AH75" s="177">
        <f t="shared" si="17"/>
        <v>244004</v>
      </c>
      <c r="AK75" s="176"/>
      <c r="AL75" s="176"/>
    </row>
    <row r="76" spans="1:38" ht="36" customHeight="1" x14ac:dyDescent="0.2">
      <c r="A76" s="14" t="s">
        <v>17</v>
      </c>
      <c r="B76" s="212">
        <v>244001</v>
      </c>
      <c r="C76" s="14" t="s">
        <v>547</v>
      </c>
      <c r="D76" s="14" t="s">
        <v>268</v>
      </c>
      <c r="E76" s="14" t="s">
        <v>14</v>
      </c>
      <c r="F76" s="14" t="s">
        <v>324</v>
      </c>
      <c r="G76" s="179">
        <v>680075</v>
      </c>
      <c r="H76" s="176" t="s">
        <v>886</v>
      </c>
      <c r="I76" s="176" t="s">
        <v>630</v>
      </c>
      <c r="J76" s="176" t="s">
        <v>821</v>
      </c>
      <c r="K76" s="176" t="s">
        <v>889</v>
      </c>
      <c r="L76" s="40" t="s">
        <v>124</v>
      </c>
      <c r="M76" s="40" t="s">
        <v>341</v>
      </c>
      <c r="N76" s="14" t="s">
        <v>898</v>
      </c>
      <c r="O76" s="14" t="s">
        <v>896</v>
      </c>
      <c r="P76" s="14" t="s">
        <v>899</v>
      </c>
      <c r="Q76" s="14" t="s">
        <v>899</v>
      </c>
      <c r="R76" s="17">
        <v>896</v>
      </c>
      <c r="S76" s="172" t="s">
        <v>51</v>
      </c>
      <c r="T76" s="17">
        <v>2187</v>
      </c>
      <c r="U76" s="14" t="s">
        <v>51</v>
      </c>
      <c r="V76" s="16">
        <f t="shared" si="13"/>
        <v>244001</v>
      </c>
      <c r="W76" s="16">
        <f t="shared" si="14"/>
        <v>244008</v>
      </c>
      <c r="X76" s="16">
        <f t="shared" si="15"/>
        <v>244003</v>
      </c>
      <c r="Y76" s="15" t="s">
        <v>54</v>
      </c>
      <c r="Z76" s="177">
        <v>244003</v>
      </c>
      <c r="AA76" s="170"/>
      <c r="AB76" s="170"/>
      <c r="AC76" s="170"/>
      <c r="AD76" s="170"/>
      <c r="AE76" s="15" t="s">
        <v>54</v>
      </c>
      <c r="AF76" s="177">
        <v>244004</v>
      </c>
      <c r="AG76" s="177" t="str">
        <f t="shared" si="16"/>
        <v>Pass</v>
      </c>
      <c r="AH76" s="177">
        <f t="shared" si="17"/>
        <v>244004</v>
      </c>
      <c r="AK76" s="176"/>
      <c r="AL76" s="176"/>
    </row>
    <row r="77" spans="1:38" ht="36" customHeight="1" x14ac:dyDescent="0.2">
      <c r="A77" s="14" t="s">
        <v>17</v>
      </c>
      <c r="B77" s="212">
        <v>244001</v>
      </c>
      <c r="C77" s="14" t="s">
        <v>547</v>
      </c>
      <c r="D77" s="14" t="s">
        <v>268</v>
      </c>
      <c r="E77" s="14" t="s">
        <v>14</v>
      </c>
      <c r="F77" s="14" t="s">
        <v>324</v>
      </c>
      <c r="G77" s="179">
        <v>680076</v>
      </c>
      <c r="H77" s="176" t="s">
        <v>887</v>
      </c>
      <c r="I77" s="176" t="s">
        <v>612</v>
      </c>
      <c r="J77" s="176" t="s">
        <v>821</v>
      </c>
      <c r="K77" s="176" t="s">
        <v>890</v>
      </c>
      <c r="L77" s="40" t="s">
        <v>105</v>
      </c>
      <c r="M77" s="40" t="s">
        <v>341</v>
      </c>
      <c r="N77" s="14" t="s">
        <v>736</v>
      </c>
      <c r="O77" s="14" t="s">
        <v>528</v>
      </c>
      <c r="P77" s="14" t="s">
        <v>687</v>
      </c>
      <c r="Q77" s="14" t="s">
        <v>541</v>
      </c>
      <c r="R77" s="17">
        <v>400</v>
      </c>
      <c r="S77" s="172" t="s">
        <v>51</v>
      </c>
      <c r="T77" s="17">
        <v>1910</v>
      </c>
      <c r="U77" s="14" t="s">
        <v>51</v>
      </c>
      <c r="V77" s="16">
        <f t="shared" si="13"/>
        <v>244001</v>
      </c>
      <c r="W77" s="16">
        <f t="shared" si="14"/>
        <v>244008</v>
      </c>
      <c r="X77" s="16">
        <f t="shared" si="15"/>
        <v>244003</v>
      </c>
      <c r="Y77" s="15"/>
      <c r="Z77" s="177"/>
      <c r="AA77" s="170"/>
      <c r="AB77" s="170"/>
      <c r="AC77" s="170"/>
      <c r="AD77" s="170"/>
      <c r="AE77" s="15"/>
      <c r="AF77" s="177"/>
      <c r="AG77" s="177">
        <f t="shared" ref="AG77:AG140" si="18">AE77</f>
        <v>0</v>
      </c>
      <c r="AH77" s="177">
        <f t="shared" ref="AH77:AH140" si="19">AF77</f>
        <v>0</v>
      </c>
      <c r="AK77" s="176"/>
      <c r="AL77" s="176"/>
    </row>
    <row r="78" spans="1:38" ht="36" customHeight="1" x14ac:dyDescent="0.2">
      <c r="A78" s="14" t="s">
        <v>17</v>
      </c>
      <c r="B78" s="212">
        <v>244001</v>
      </c>
      <c r="C78" s="14" t="s">
        <v>547</v>
      </c>
      <c r="D78" s="14" t="s">
        <v>268</v>
      </c>
      <c r="E78" s="14" t="s">
        <v>14</v>
      </c>
      <c r="F78" s="14" t="s">
        <v>324</v>
      </c>
      <c r="G78" s="179">
        <v>680077</v>
      </c>
      <c r="H78" s="176" t="s">
        <v>888</v>
      </c>
      <c r="I78" s="176" t="s">
        <v>802</v>
      </c>
      <c r="J78" s="176" t="s">
        <v>882</v>
      </c>
      <c r="K78" s="176" t="s">
        <v>891</v>
      </c>
      <c r="L78" s="40" t="s">
        <v>105</v>
      </c>
      <c r="M78" s="40" t="s">
        <v>341</v>
      </c>
      <c r="N78" s="14" t="s">
        <v>894</v>
      </c>
      <c r="O78" s="14" t="s">
        <v>897</v>
      </c>
      <c r="P78" s="14" t="s">
        <v>900</v>
      </c>
      <c r="Q78" s="14" t="s">
        <v>902</v>
      </c>
      <c r="R78" s="17">
        <v>1600</v>
      </c>
      <c r="S78" s="172" t="s">
        <v>51</v>
      </c>
      <c r="T78" s="17">
        <v>1400</v>
      </c>
      <c r="U78" s="14" t="s">
        <v>51</v>
      </c>
      <c r="V78" s="16">
        <f t="shared" si="13"/>
        <v>244001</v>
      </c>
      <c r="W78" s="16">
        <f t="shared" si="14"/>
        <v>244008</v>
      </c>
      <c r="X78" s="16">
        <f t="shared" si="15"/>
        <v>244003</v>
      </c>
      <c r="Y78" s="15"/>
      <c r="Z78" s="177"/>
      <c r="AA78" s="170"/>
      <c r="AB78" s="170"/>
      <c r="AC78" s="170"/>
      <c r="AD78" s="170"/>
      <c r="AE78" s="15"/>
      <c r="AF78" s="177"/>
      <c r="AG78" s="177">
        <f t="shared" si="18"/>
        <v>0</v>
      </c>
      <c r="AH78" s="177">
        <f t="shared" si="19"/>
        <v>0</v>
      </c>
      <c r="AK78" s="176"/>
      <c r="AL78" s="176"/>
    </row>
    <row r="79" spans="1:38" ht="36" customHeight="1" x14ac:dyDescent="0.2">
      <c r="A79" s="14" t="s">
        <v>17</v>
      </c>
      <c r="B79" s="212">
        <v>244001</v>
      </c>
      <c r="C79" s="14" t="s">
        <v>547</v>
      </c>
      <c r="D79" s="14" t="s">
        <v>268</v>
      </c>
      <c r="E79" s="14" t="s">
        <v>14</v>
      </c>
      <c r="F79" s="14" t="s">
        <v>324</v>
      </c>
      <c r="G79" s="179">
        <v>680078</v>
      </c>
      <c r="H79" s="176" t="s">
        <v>142</v>
      </c>
      <c r="I79" s="176" t="s">
        <v>551</v>
      </c>
      <c r="J79" s="176" t="s">
        <v>596</v>
      </c>
      <c r="K79" s="176" t="s">
        <v>892</v>
      </c>
      <c r="L79" s="40" t="s">
        <v>108</v>
      </c>
      <c r="M79" s="40" t="s">
        <v>341</v>
      </c>
      <c r="N79" s="14" t="s">
        <v>895</v>
      </c>
      <c r="O79" s="14" t="s">
        <v>528</v>
      </c>
      <c r="P79" s="14" t="s">
        <v>901</v>
      </c>
      <c r="Q79" s="14" t="s">
        <v>541</v>
      </c>
      <c r="R79" s="17">
        <v>2000</v>
      </c>
      <c r="S79" s="172" t="s">
        <v>51</v>
      </c>
      <c r="T79" s="17">
        <v>2720</v>
      </c>
      <c r="U79" s="14" t="s">
        <v>51</v>
      </c>
      <c r="V79" s="16">
        <f t="shared" si="13"/>
        <v>244001</v>
      </c>
      <c r="W79" s="16">
        <f t="shared" si="14"/>
        <v>244008</v>
      </c>
      <c r="X79" s="16">
        <f t="shared" si="15"/>
        <v>244003</v>
      </c>
      <c r="Y79" s="15"/>
      <c r="Z79" s="177"/>
      <c r="AA79" s="170"/>
      <c r="AB79" s="170"/>
      <c r="AC79" s="170"/>
      <c r="AD79" s="170"/>
      <c r="AE79" s="15"/>
      <c r="AF79" s="177"/>
      <c r="AG79" s="177">
        <f t="shared" si="18"/>
        <v>0</v>
      </c>
      <c r="AH79" s="177">
        <f t="shared" si="19"/>
        <v>0</v>
      </c>
      <c r="AK79" s="176"/>
      <c r="AL79" s="176"/>
    </row>
    <row r="80" spans="1:38" ht="36" customHeight="1" x14ac:dyDescent="0.2">
      <c r="A80" s="14" t="s">
        <v>17</v>
      </c>
      <c r="B80" s="212">
        <v>244003</v>
      </c>
      <c r="C80" s="14" t="s">
        <v>547</v>
      </c>
      <c r="D80" s="14" t="s">
        <v>268</v>
      </c>
      <c r="E80" s="14" t="s">
        <v>14</v>
      </c>
      <c r="F80" s="14" t="s">
        <v>324</v>
      </c>
      <c r="G80" s="179">
        <v>680079</v>
      </c>
      <c r="H80" s="176" t="s">
        <v>903</v>
      </c>
      <c r="I80" s="176" t="s">
        <v>551</v>
      </c>
      <c r="J80" s="176" t="s">
        <v>596</v>
      </c>
      <c r="K80" s="176" t="s">
        <v>911</v>
      </c>
      <c r="L80" s="40" t="s">
        <v>108</v>
      </c>
      <c r="M80" s="40" t="s">
        <v>341</v>
      </c>
      <c r="N80" s="14" t="s">
        <v>916</v>
      </c>
      <c r="O80" s="14" t="s">
        <v>528</v>
      </c>
      <c r="P80" s="14" t="s">
        <v>517</v>
      </c>
      <c r="Q80" s="14" t="s">
        <v>541</v>
      </c>
      <c r="R80" s="17">
        <v>500</v>
      </c>
      <c r="S80" s="172" t="s">
        <v>51</v>
      </c>
      <c r="T80" s="17">
        <v>1580</v>
      </c>
      <c r="U80" s="14" t="s">
        <v>51</v>
      </c>
      <c r="V80" s="16">
        <f t="shared" si="13"/>
        <v>244003</v>
      </c>
      <c r="W80" s="16">
        <f t="shared" si="14"/>
        <v>244010</v>
      </c>
      <c r="X80" s="16">
        <f t="shared" si="15"/>
        <v>244005</v>
      </c>
      <c r="Y80" s="15"/>
      <c r="Z80" s="177"/>
      <c r="AA80" s="170"/>
      <c r="AB80" s="170"/>
      <c r="AC80" s="170"/>
      <c r="AD80" s="170"/>
      <c r="AE80" s="15"/>
      <c r="AF80" s="177"/>
      <c r="AG80" s="177">
        <f t="shared" si="18"/>
        <v>0</v>
      </c>
      <c r="AH80" s="177">
        <f t="shared" si="19"/>
        <v>0</v>
      </c>
      <c r="AK80" s="176"/>
      <c r="AL80" s="176"/>
    </row>
    <row r="81" spans="1:38" ht="36" customHeight="1" x14ac:dyDescent="0.2">
      <c r="A81" s="14" t="s">
        <v>17</v>
      </c>
      <c r="B81" s="212">
        <v>244003</v>
      </c>
      <c r="C81" s="14" t="s">
        <v>547</v>
      </c>
      <c r="D81" s="14" t="s">
        <v>268</v>
      </c>
      <c r="E81" s="14" t="s">
        <v>14</v>
      </c>
      <c r="F81" s="14" t="s">
        <v>324</v>
      </c>
      <c r="G81" s="179">
        <v>680080</v>
      </c>
      <c r="H81" s="176" t="s">
        <v>886</v>
      </c>
      <c r="I81" s="176" t="s">
        <v>630</v>
      </c>
      <c r="J81" s="176" t="s">
        <v>821</v>
      </c>
      <c r="K81" s="176" t="s">
        <v>889</v>
      </c>
      <c r="L81" s="40" t="s">
        <v>124</v>
      </c>
      <c r="M81" s="40" t="s">
        <v>341</v>
      </c>
      <c r="N81" s="14" t="s">
        <v>917</v>
      </c>
      <c r="O81" s="14" t="s">
        <v>548</v>
      </c>
      <c r="P81" s="14" t="s">
        <v>717</v>
      </c>
      <c r="Q81" s="14" t="s">
        <v>549</v>
      </c>
      <c r="R81" s="17">
        <v>300</v>
      </c>
      <c r="S81" s="172" t="s">
        <v>51</v>
      </c>
      <c r="T81" s="17">
        <v>2552</v>
      </c>
      <c r="U81" s="14" t="s">
        <v>51</v>
      </c>
      <c r="V81" s="16">
        <f t="shared" si="13"/>
        <v>244003</v>
      </c>
      <c r="W81" s="16">
        <f t="shared" si="14"/>
        <v>244010</v>
      </c>
      <c r="X81" s="16">
        <f t="shared" si="15"/>
        <v>244005</v>
      </c>
      <c r="Y81" s="15" t="s">
        <v>54</v>
      </c>
      <c r="Z81" s="177">
        <v>244005</v>
      </c>
      <c r="AA81" s="170"/>
      <c r="AB81" s="170"/>
      <c r="AC81" s="170"/>
      <c r="AD81" s="170"/>
      <c r="AE81" s="15" t="s">
        <v>54</v>
      </c>
      <c r="AF81" s="177">
        <v>244006</v>
      </c>
      <c r="AG81" s="177" t="str">
        <f t="shared" si="18"/>
        <v>Pass</v>
      </c>
      <c r="AH81" s="177">
        <f t="shared" si="19"/>
        <v>244006</v>
      </c>
      <c r="AK81" s="176"/>
      <c r="AL81" s="176"/>
    </row>
    <row r="82" spans="1:38" ht="36" customHeight="1" x14ac:dyDescent="0.2">
      <c r="A82" s="14" t="s">
        <v>17</v>
      </c>
      <c r="B82" s="212">
        <v>244003</v>
      </c>
      <c r="C82" s="14" t="s">
        <v>547</v>
      </c>
      <c r="D82" s="14" t="s">
        <v>268</v>
      </c>
      <c r="E82" s="14" t="s">
        <v>14</v>
      </c>
      <c r="F82" s="14" t="s">
        <v>324</v>
      </c>
      <c r="G82" s="179">
        <v>680081</v>
      </c>
      <c r="H82" s="176" t="s">
        <v>904</v>
      </c>
      <c r="I82" s="176" t="s">
        <v>908</v>
      </c>
      <c r="J82" s="176" t="s">
        <v>133</v>
      </c>
      <c r="K82" s="176" t="s">
        <v>912</v>
      </c>
      <c r="L82" s="40" t="s">
        <v>45</v>
      </c>
      <c r="M82" s="40" t="s">
        <v>341</v>
      </c>
      <c r="N82" s="14" t="s">
        <v>918</v>
      </c>
      <c r="O82" s="14" t="s">
        <v>543</v>
      </c>
      <c r="P82" s="14" t="s">
        <v>925</v>
      </c>
      <c r="Q82" s="14" t="s">
        <v>529</v>
      </c>
      <c r="R82" s="17">
        <v>100</v>
      </c>
      <c r="S82" s="172" t="s">
        <v>51</v>
      </c>
      <c r="T82" s="17">
        <v>1970</v>
      </c>
      <c r="U82" s="14" t="s">
        <v>51</v>
      </c>
      <c r="V82" s="16">
        <f t="shared" si="13"/>
        <v>244003</v>
      </c>
      <c r="W82" s="16">
        <f t="shared" si="14"/>
        <v>244010</v>
      </c>
      <c r="X82" s="16">
        <f t="shared" si="15"/>
        <v>244005</v>
      </c>
      <c r="Y82" s="15"/>
      <c r="Z82" s="177"/>
      <c r="AA82" s="170"/>
      <c r="AB82" s="170"/>
      <c r="AC82" s="170"/>
      <c r="AD82" s="170"/>
      <c r="AE82" s="15"/>
      <c r="AF82" s="177"/>
      <c r="AG82" s="177">
        <f t="shared" si="18"/>
        <v>0</v>
      </c>
      <c r="AH82" s="177">
        <f t="shared" si="19"/>
        <v>0</v>
      </c>
      <c r="AK82" s="176"/>
      <c r="AL82" s="176"/>
    </row>
    <row r="83" spans="1:38" ht="36" customHeight="1" x14ac:dyDescent="0.2">
      <c r="A83" s="14" t="s">
        <v>17</v>
      </c>
      <c r="B83" s="212">
        <v>244003</v>
      </c>
      <c r="C83" s="14" t="s">
        <v>547</v>
      </c>
      <c r="D83" s="14" t="s">
        <v>268</v>
      </c>
      <c r="E83" s="14" t="s">
        <v>14</v>
      </c>
      <c r="F83" s="14" t="s">
        <v>324</v>
      </c>
      <c r="G83" s="179">
        <v>680082</v>
      </c>
      <c r="H83" s="176" t="s">
        <v>904</v>
      </c>
      <c r="I83" s="176" t="s">
        <v>908</v>
      </c>
      <c r="J83" s="176" t="s">
        <v>133</v>
      </c>
      <c r="K83" s="176" t="s">
        <v>912</v>
      </c>
      <c r="L83" s="40" t="s">
        <v>45</v>
      </c>
      <c r="M83" s="40" t="s">
        <v>341</v>
      </c>
      <c r="N83" s="14" t="s">
        <v>919</v>
      </c>
      <c r="O83" s="14" t="s">
        <v>552</v>
      </c>
      <c r="P83" s="14" t="s">
        <v>685</v>
      </c>
      <c r="Q83" s="14" t="s">
        <v>553</v>
      </c>
      <c r="R83" s="17">
        <v>823</v>
      </c>
      <c r="S83" s="172" t="s">
        <v>51</v>
      </c>
      <c r="T83" s="17">
        <v>1970</v>
      </c>
      <c r="U83" s="14" t="s">
        <v>51</v>
      </c>
      <c r="V83" s="16">
        <f t="shared" si="13"/>
        <v>244003</v>
      </c>
      <c r="W83" s="16">
        <f t="shared" si="14"/>
        <v>244010</v>
      </c>
      <c r="X83" s="16">
        <f t="shared" si="15"/>
        <v>244005</v>
      </c>
      <c r="Y83" s="15"/>
      <c r="Z83" s="177"/>
      <c r="AA83" s="170"/>
      <c r="AB83" s="170"/>
      <c r="AC83" s="170"/>
      <c r="AD83" s="170"/>
      <c r="AE83" s="15"/>
      <c r="AF83" s="177"/>
      <c r="AG83" s="177">
        <f t="shared" si="18"/>
        <v>0</v>
      </c>
      <c r="AH83" s="177">
        <f t="shared" si="19"/>
        <v>0</v>
      </c>
      <c r="AK83" s="176"/>
      <c r="AL83" s="176"/>
    </row>
    <row r="84" spans="1:38" ht="36" customHeight="1" x14ac:dyDescent="0.2">
      <c r="A84" s="14" t="s">
        <v>17</v>
      </c>
      <c r="B84" s="212">
        <v>244003</v>
      </c>
      <c r="C84" s="14" t="s">
        <v>547</v>
      </c>
      <c r="D84" s="14" t="s">
        <v>268</v>
      </c>
      <c r="E84" s="14" t="s">
        <v>14</v>
      </c>
      <c r="F84" s="14" t="s">
        <v>324</v>
      </c>
      <c r="G84" s="179">
        <v>680083</v>
      </c>
      <c r="H84" s="176" t="s">
        <v>905</v>
      </c>
      <c r="I84" s="176" t="s">
        <v>909</v>
      </c>
      <c r="J84" s="176" t="s">
        <v>123</v>
      </c>
      <c r="K84" s="176" t="s">
        <v>913</v>
      </c>
      <c r="L84" s="40" t="s">
        <v>45</v>
      </c>
      <c r="M84" s="40" t="s">
        <v>341</v>
      </c>
      <c r="N84" s="14" t="s">
        <v>920</v>
      </c>
      <c r="O84" s="14" t="s">
        <v>923</v>
      </c>
      <c r="P84" s="14" t="s">
        <v>926</v>
      </c>
      <c r="Q84" s="14" t="s">
        <v>929</v>
      </c>
      <c r="R84" s="17" t="s">
        <v>931</v>
      </c>
      <c r="S84" s="172" t="s">
        <v>51</v>
      </c>
      <c r="T84" s="17"/>
      <c r="U84" s="14"/>
      <c r="V84" s="16">
        <f t="shared" si="13"/>
        <v>244003</v>
      </c>
      <c r="W84" s="16">
        <f t="shared" si="14"/>
        <v>244010</v>
      </c>
      <c r="X84" s="16">
        <f t="shared" si="15"/>
        <v>244005</v>
      </c>
      <c r="Y84" s="15"/>
      <c r="Z84" s="177"/>
      <c r="AA84" s="170"/>
      <c r="AB84" s="170"/>
      <c r="AC84" s="170"/>
      <c r="AD84" s="170"/>
      <c r="AE84" s="15"/>
      <c r="AF84" s="177"/>
      <c r="AG84" s="177">
        <f t="shared" si="18"/>
        <v>0</v>
      </c>
      <c r="AH84" s="177">
        <f t="shared" si="19"/>
        <v>0</v>
      </c>
      <c r="AK84" s="176"/>
      <c r="AL84" s="176"/>
    </row>
    <row r="85" spans="1:38" ht="36" customHeight="1" x14ac:dyDescent="0.2">
      <c r="A85" s="14" t="s">
        <v>17</v>
      </c>
      <c r="B85" s="212">
        <v>244003</v>
      </c>
      <c r="C85" s="14" t="s">
        <v>547</v>
      </c>
      <c r="D85" s="14" t="s">
        <v>268</v>
      </c>
      <c r="E85" s="14" t="s">
        <v>14</v>
      </c>
      <c r="F85" s="14" t="s">
        <v>324</v>
      </c>
      <c r="G85" s="179">
        <v>680084</v>
      </c>
      <c r="H85" s="176" t="s">
        <v>906</v>
      </c>
      <c r="I85" s="176" t="s">
        <v>910</v>
      </c>
      <c r="J85" s="176" t="s">
        <v>130</v>
      </c>
      <c r="K85" s="176" t="s">
        <v>914</v>
      </c>
      <c r="L85" s="40" t="s">
        <v>105</v>
      </c>
      <c r="M85" s="40" t="s">
        <v>341</v>
      </c>
      <c r="N85" s="14" t="s">
        <v>921</v>
      </c>
      <c r="O85" s="14" t="s">
        <v>527</v>
      </c>
      <c r="P85" s="14" t="s">
        <v>927</v>
      </c>
      <c r="Q85" s="14" t="s">
        <v>542</v>
      </c>
      <c r="R85" s="17">
        <v>120</v>
      </c>
      <c r="S85" s="172" t="s">
        <v>51</v>
      </c>
      <c r="T85" s="17">
        <v>1310</v>
      </c>
      <c r="U85" s="14" t="s">
        <v>51</v>
      </c>
      <c r="V85" s="16">
        <f t="shared" si="13"/>
        <v>244003</v>
      </c>
      <c r="W85" s="16">
        <f t="shared" si="14"/>
        <v>244010</v>
      </c>
      <c r="X85" s="16">
        <f t="shared" si="15"/>
        <v>244005</v>
      </c>
      <c r="Y85" s="15" t="s">
        <v>54</v>
      </c>
      <c r="Z85" s="177">
        <v>244005</v>
      </c>
      <c r="AA85" s="170"/>
      <c r="AB85" s="170"/>
      <c r="AC85" s="170"/>
      <c r="AD85" s="170"/>
      <c r="AE85" s="15" t="s">
        <v>54</v>
      </c>
      <c r="AF85" s="177">
        <v>244006</v>
      </c>
      <c r="AG85" s="177" t="str">
        <f t="shared" si="18"/>
        <v>Pass</v>
      </c>
      <c r="AH85" s="177">
        <f t="shared" si="19"/>
        <v>244006</v>
      </c>
      <c r="AK85" s="176"/>
      <c r="AL85" s="176"/>
    </row>
    <row r="86" spans="1:38" ht="36" customHeight="1" x14ac:dyDescent="0.2">
      <c r="A86" s="14" t="s">
        <v>17</v>
      </c>
      <c r="B86" s="212">
        <v>244003</v>
      </c>
      <c r="C86" s="14" t="s">
        <v>547</v>
      </c>
      <c r="D86" s="14" t="s">
        <v>268</v>
      </c>
      <c r="E86" s="14" t="s">
        <v>14</v>
      </c>
      <c r="F86" s="14" t="s">
        <v>324</v>
      </c>
      <c r="G86" s="179">
        <v>680085</v>
      </c>
      <c r="H86" s="176" t="s">
        <v>907</v>
      </c>
      <c r="I86" s="176" t="s">
        <v>550</v>
      </c>
      <c r="J86" s="176" t="s">
        <v>128</v>
      </c>
      <c r="K86" s="176" t="s">
        <v>915</v>
      </c>
      <c r="L86" s="40" t="s">
        <v>45</v>
      </c>
      <c r="M86" s="40" t="s">
        <v>341</v>
      </c>
      <c r="N86" s="14" t="s">
        <v>922</v>
      </c>
      <c r="O86" s="14" t="s">
        <v>924</v>
      </c>
      <c r="P86" s="14" t="s">
        <v>928</v>
      </c>
      <c r="Q86" s="14" t="s">
        <v>930</v>
      </c>
      <c r="R86" s="17">
        <v>180</v>
      </c>
      <c r="S86" s="172" t="s">
        <v>51</v>
      </c>
      <c r="T86" s="17">
        <v>2410</v>
      </c>
      <c r="U86" s="14" t="s">
        <v>51</v>
      </c>
      <c r="V86" s="16">
        <f t="shared" si="13"/>
        <v>244003</v>
      </c>
      <c r="W86" s="16">
        <f t="shared" si="14"/>
        <v>244010</v>
      </c>
      <c r="X86" s="16">
        <f t="shared" si="15"/>
        <v>244005</v>
      </c>
      <c r="Y86" s="15"/>
      <c r="Z86" s="177"/>
      <c r="AA86" s="170"/>
      <c r="AB86" s="170"/>
      <c r="AC86" s="170"/>
      <c r="AD86" s="170"/>
      <c r="AE86" s="15"/>
      <c r="AF86" s="177"/>
      <c r="AG86" s="177">
        <f t="shared" si="18"/>
        <v>0</v>
      </c>
      <c r="AH86" s="177">
        <f t="shared" si="19"/>
        <v>0</v>
      </c>
      <c r="AK86" s="176"/>
      <c r="AL86" s="176"/>
    </row>
    <row r="87" spans="1:38" ht="36" customHeight="1" x14ac:dyDescent="0.2">
      <c r="A87" s="14" t="s">
        <v>17</v>
      </c>
      <c r="B87" s="212">
        <v>244003</v>
      </c>
      <c r="C87" s="14" t="s">
        <v>547</v>
      </c>
      <c r="D87" s="14" t="s">
        <v>268</v>
      </c>
      <c r="E87" s="14" t="s">
        <v>14</v>
      </c>
      <c r="F87" s="14" t="s">
        <v>324</v>
      </c>
      <c r="G87" s="179">
        <v>680086</v>
      </c>
      <c r="H87" s="176" t="s">
        <v>609</v>
      </c>
      <c r="I87" s="176" t="s">
        <v>514</v>
      </c>
      <c r="J87" s="176" t="s">
        <v>337</v>
      </c>
      <c r="K87" s="176" t="s">
        <v>933</v>
      </c>
      <c r="L87" s="40" t="s">
        <v>106</v>
      </c>
      <c r="M87" s="40" t="s">
        <v>341</v>
      </c>
      <c r="N87" s="14" t="s">
        <v>935</v>
      </c>
      <c r="O87" s="14" t="s">
        <v>543</v>
      </c>
      <c r="P87" s="14" t="s">
        <v>939</v>
      </c>
      <c r="Q87" s="14" t="s">
        <v>529</v>
      </c>
      <c r="R87" s="17">
        <v>1000</v>
      </c>
      <c r="S87" s="172" t="s">
        <v>51</v>
      </c>
      <c r="T87" s="17">
        <v>1500</v>
      </c>
      <c r="U87" s="14" t="s">
        <v>51</v>
      </c>
      <c r="V87" s="16">
        <f t="shared" si="13"/>
        <v>244003</v>
      </c>
      <c r="W87" s="16">
        <f t="shared" si="14"/>
        <v>244010</v>
      </c>
      <c r="X87" s="16">
        <f t="shared" si="15"/>
        <v>244005</v>
      </c>
      <c r="Y87" s="15"/>
      <c r="Z87" s="177"/>
      <c r="AA87" s="170"/>
      <c r="AB87" s="170"/>
      <c r="AC87" s="170"/>
      <c r="AD87" s="170"/>
      <c r="AE87" s="15"/>
      <c r="AF87" s="177"/>
      <c r="AG87" s="177">
        <f t="shared" si="18"/>
        <v>0</v>
      </c>
      <c r="AH87" s="177">
        <f t="shared" si="19"/>
        <v>0</v>
      </c>
      <c r="AK87" s="176"/>
      <c r="AL87" s="176"/>
    </row>
    <row r="88" spans="1:38" ht="36" customHeight="1" x14ac:dyDescent="0.2">
      <c r="A88" s="14" t="s">
        <v>17</v>
      </c>
      <c r="B88" s="212">
        <v>244003</v>
      </c>
      <c r="C88" s="14" t="s">
        <v>547</v>
      </c>
      <c r="D88" s="14" t="s">
        <v>268</v>
      </c>
      <c r="E88" s="14" t="s">
        <v>14</v>
      </c>
      <c r="F88" s="14" t="s">
        <v>324</v>
      </c>
      <c r="G88" s="179">
        <v>680087</v>
      </c>
      <c r="H88" s="176" t="s">
        <v>932</v>
      </c>
      <c r="I88" s="176" t="s">
        <v>864</v>
      </c>
      <c r="J88" s="176" t="s">
        <v>289</v>
      </c>
      <c r="K88" s="176" t="s">
        <v>934</v>
      </c>
      <c r="L88" s="40" t="s">
        <v>45</v>
      </c>
      <c r="M88" s="40" t="s">
        <v>341</v>
      </c>
      <c r="N88" s="14" t="s">
        <v>936</v>
      </c>
      <c r="O88" s="14" t="s">
        <v>528</v>
      </c>
      <c r="P88" s="14" t="s">
        <v>940</v>
      </c>
      <c r="Q88" s="14" t="s">
        <v>541</v>
      </c>
      <c r="R88" s="17">
        <v>200</v>
      </c>
      <c r="S88" s="172" t="s">
        <v>51</v>
      </c>
      <c r="T88" s="17">
        <v>1800</v>
      </c>
      <c r="U88" s="14" t="s">
        <v>51</v>
      </c>
      <c r="V88" s="16">
        <f t="shared" si="13"/>
        <v>244003</v>
      </c>
      <c r="W88" s="16">
        <f t="shared" si="14"/>
        <v>244010</v>
      </c>
      <c r="X88" s="16">
        <f t="shared" si="15"/>
        <v>244005</v>
      </c>
      <c r="Y88" s="15"/>
      <c r="Z88" s="177"/>
      <c r="AA88" s="170"/>
      <c r="AB88" s="170"/>
      <c r="AC88" s="170"/>
      <c r="AD88" s="170"/>
      <c r="AE88" s="15"/>
      <c r="AF88" s="177"/>
      <c r="AG88" s="177">
        <f t="shared" si="18"/>
        <v>0</v>
      </c>
      <c r="AH88" s="177">
        <f t="shared" si="19"/>
        <v>0</v>
      </c>
      <c r="AK88" s="176"/>
      <c r="AL88" s="176"/>
    </row>
    <row r="89" spans="1:38" ht="36" customHeight="1" x14ac:dyDescent="0.2">
      <c r="A89" s="14" t="s">
        <v>17</v>
      </c>
      <c r="B89" s="212">
        <v>244003</v>
      </c>
      <c r="C89" s="14" t="s">
        <v>547</v>
      </c>
      <c r="D89" s="14" t="s">
        <v>268</v>
      </c>
      <c r="E89" s="14" t="s">
        <v>14</v>
      </c>
      <c r="F89" s="14" t="s">
        <v>324</v>
      </c>
      <c r="G89" s="179">
        <v>680088</v>
      </c>
      <c r="H89" s="176" t="s">
        <v>609</v>
      </c>
      <c r="I89" s="176" t="s">
        <v>514</v>
      </c>
      <c r="J89" s="176" t="s">
        <v>337</v>
      </c>
      <c r="K89" s="176" t="s">
        <v>933</v>
      </c>
      <c r="L89" s="40" t="s">
        <v>106</v>
      </c>
      <c r="M89" s="40" t="s">
        <v>341</v>
      </c>
      <c r="N89" s="14" t="s">
        <v>937</v>
      </c>
      <c r="O89" s="14" t="s">
        <v>552</v>
      </c>
      <c r="P89" s="14" t="s">
        <v>941</v>
      </c>
      <c r="Q89" s="14" t="s">
        <v>553</v>
      </c>
      <c r="R89" s="17">
        <v>825</v>
      </c>
      <c r="S89" s="172" t="s">
        <v>51</v>
      </c>
      <c r="T89" s="17">
        <v>1480</v>
      </c>
      <c r="U89" s="14" t="s">
        <v>51</v>
      </c>
      <c r="V89" s="16">
        <f t="shared" si="13"/>
        <v>244003</v>
      </c>
      <c r="W89" s="16">
        <f t="shared" si="14"/>
        <v>244010</v>
      </c>
      <c r="X89" s="16">
        <f t="shared" si="15"/>
        <v>244005</v>
      </c>
      <c r="Y89" s="15"/>
      <c r="Z89" s="177"/>
      <c r="AA89" s="170"/>
      <c r="AB89" s="170"/>
      <c r="AC89" s="170"/>
      <c r="AD89" s="170"/>
      <c r="AE89" s="15"/>
      <c r="AF89" s="177"/>
      <c r="AG89" s="177">
        <f t="shared" si="18"/>
        <v>0</v>
      </c>
      <c r="AH89" s="177">
        <f t="shared" si="19"/>
        <v>0</v>
      </c>
      <c r="AK89" s="176"/>
      <c r="AL89" s="176"/>
    </row>
    <row r="90" spans="1:38" ht="36" customHeight="1" x14ac:dyDescent="0.2">
      <c r="A90" s="14" t="s">
        <v>17</v>
      </c>
      <c r="B90" s="212">
        <v>244003</v>
      </c>
      <c r="C90" s="14" t="s">
        <v>547</v>
      </c>
      <c r="D90" s="14" t="s">
        <v>268</v>
      </c>
      <c r="E90" s="14" t="s">
        <v>14</v>
      </c>
      <c r="F90" s="14" t="s">
        <v>324</v>
      </c>
      <c r="G90" s="179">
        <v>680089</v>
      </c>
      <c r="H90" s="176" t="s">
        <v>932</v>
      </c>
      <c r="I90" s="176" t="s">
        <v>864</v>
      </c>
      <c r="J90" s="176" t="s">
        <v>289</v>
      </c>
      <c r="K90" s="176" t="s">
        <v>934</v>
      </c>
      <c r="L90" s="40" t="s">
        <v>45</v>
      </c>
      <c r="M90" s="40" t="s">
        <v>341</v>
      </c>
      <c r="N90" s="14" t="s">
        <v>938</v>
      </c>
      <c r="O90" s="14" t="s">
        <v>527</v>
      </c>
      <c r="P90" s="14" t="s">
        <v>817</v>
      </c>
      <c r="Q90" s="14" t="s">
        <v>542</v>
      </c>
      <c r="R90" s="17">
        <v>199</v>
      </c>
      <c r="S90" s="172" t="s">
        <v>51</v>
      </c>
      <c r="T90" s="17">
        <v>1710</v>
      </c>
      <c r="U90" s="14" t="s">
        <v>51</v>
      </c>
      <c r="V90" s="16">
        <f t="shared" si="13"/>
        <v>244003</v>
      </c>
      <c r="W90" s="16">
        <f t="shared" si="14"/>
        <v>244010</v>
      </c>
      <c r="X90" s="16">
        <f t="shared" si="15"/>
        <v>244005</v>
      </c>
      <c r="Y90" s="15"/>
      <c r="Z90" s="177"/>
      <c r="AA90" s="170"/>
      <c r="AB90" s="170"/>
      <c r="AC90" s="170"/>
      <c r="AD90" s="170"/>
      <c r="AE90" s="15"/>
      <c r="AF90" s="177"/>
      <c r="AG90" s="177">
        <f t="shared" si="18"/>
        <v>0</v>
      </c>
      <c r="AH90" s="177">
        <f t="shared" si="19"/>
        <v>0</v>
      </c>
      <c r="AK90" s="176"/>
      <c r="AL90" s="176"/>
    </row>
    <row r="91" spans="1:38" ht="36" customHeight="1" x14ac:dyDescent="0.2">
      <c r="A91" s="14" t="s">
        <v>17</v>
      </c>
      <c r="B91" s="212">
        <v>244003</v>
      </c>
      <c r="C91" s="14" t="s">
        <v>547</v>
      </c>
      <c r="D91" s="14" t="s">
        <v>268</v>
      </c>
      <c r="E91" s="14" t="s">
        <v>14</v>
      </c>
      <c r="F91" s="14" t="s">
        <v>324</v>
      </c>
      <c r="G91" s="179">
        <v>680090</v>
      </c>
      <c r="H91" s="176" t="s">
        <v>942</v>
      </c>
      <c r="I91" s="176" t="s">
        <v>864</v>
      </c>
      <c r="J91" s="176" t="s">
        <v>289</v>
      </c>
      <c r="K91" s="176" t="s">
        <v>944</v>
      </c>
      <c r="L91" s="40" t="s">
        <v>45</v>
      </c>
      <c r="M91" s="40" t="s">
        <v>341</v>
      </c>
      <c r="N91" s="14" t="s">
        <v>947</v>
      </c>
      <c r="O91" s="14" t="s">
        <v>756</v>
      </c>
      <c r="P91" s="14" t="s">
        <v>950</v>
      </c>
      <c r="Q91" s="14" t="s">
        <v>758</v>
      </c>
      <c r="R91" s="17">
        <v>250</v>
      </c>
      <c r="S91" s="172" t="s">
        <v>51</v>
      </c>
      <c r="T91" s="17">
        <v>1805</v>
      </c>
      <c r="U91" s="14" t="s">
        <v>51</v>
      </c>
      <c r="V91" s="16">
        <f t="shared" si="13"/>
        <v>244003</v>
      </c>
      <c r="W91" s="16">
        <f t="shared" si="14"/>
        <v>244010</v>
      </c>
      <c r="X91" s="16">
        <f t="shared" si="15"/>
        <v>244005</v>
      </c>
      <c r="Y91" s="15"/>
      <c r="Z91" s="177"/>
      <c r="AA91" s="170"/>
      <c r="AB91" s="170"/>
      <c r="AC91" s="170"/>
      <c r="AD91" s="170"/>
      <c r="AE91" s="15"/>
      <c r="AF91" s="177"/>
      <c r="AG91" s="177">
        <f t="shared" si="18"/>
        <v>0</v>
      </c>
      <c r="AH91" s="177">
        <f t="shared" si="19"/>
        <v>0</v>
      </c>
      <c r="AK91" s="176"/>
      <c r="AL91" s="176"/>
    </row>
    <row r="92" spans="1:38" ht="36" customHeight="1" x14ac:dyDescent="0.2">
      <c r="A92" s="14" t="s">
        <v>17</v>
      </c>
      <c r="B92" s="212">
        <v>244003</v>
      </c>
      <c r="C92" s="14" t="s">
        <v>547</v>
      </c>
      <c r="D92" s="14" t="s">
        <v>268</v>
      </c>
      <c r="E92" s="14" t="s">
        <v>14</v>
      </c>
      <c r="F92" s="14" t="s">
        <v>324</v>
      </c>
      <c r="G92" s="179">
        <v>680091</v>
      </c>
      <c r="H92" s="176" t="s">
        <v>907</v>
      </c>
      <c r="I92" s="176" t="s">
        <v>550</v>
      </c>
      <c r="J92" s="176" t="s">
        <v>128</v>
      </c>
      <c r="K92" s="176" t="s">
        <v>915</v>
      </c>
      <c r="L92" s="40" t="s">
        <v>45</v>
      </c>
      <c r="M92" s="40" t="s">
        <v>341</v>
      </c>
      <c r="N92" s="14" t="s">
        <v>948</v>
      </c>
      <c r="O92" s="14" t="s">
        <v>548</v>
      </c>
      <c r="P92" s="14" t="s">
        <v>518</v>
      </c>
      <c r="Q92" s="14" t="s">
        <v>549</v>
      </c>
      <c r="R92" s="17">
        <v>242</v>
      </c>
      <c r="S92" s="172" t="s">
        <v>51</v>
      </c>
      <c r="T92" s="17">
        <v>2350</v>
      </c>
      <c r="U92" s="14" t="s">
        <v>51</v>
      </c>
      <c r="V92" s="16">
        <f t="shared" si="13"/>
        <v>244003</v>
      </c>
      <c r="W92" s="16">
        <f t="shared" si="14"/>
        <v>244010</v>
      </c>
      <c r="X92" s="16">
        <f t="shared" si="15"/>
        <v>244005</v>
      </c>
      <c r="Y92" s="15"/>
      <c r="Z92" s="177"/>
      <c r="AA92" s="170"/>
      <c r="AB92" s="170"/>
      <c r="AC92" s="170"/>
      <c r="AD92" s="170"/>
      <c r="AE92" s="15"/>
      <c r="AF92" s="177"/>
      <c r="AG92" s="177">
        <f t="shared" si="18"/>
        <v>0</v>
      </c>
      <c r="AH92" s="177">
        <f t="shared" si="19"/>
        <v>0</v>
      </c>
      <c r="AK92" s="176"/>
      <c r="AL92" s="176"/>
    </row>
    <row r="93" spans="1:38" ht="36" customHeight="1" x14ac:dyDescent="0.2">
      <c r="A93" s="14" t="s">
        <v>17</v>
      </c>
      <c r="B93" s="212">
        <v>244003</v>
      </c>
      <c r="C93" s="14" t="s">
        <v>547</v>
      </c>
      <c r="D93" s="14" t="s">
        <v>268</v>
      </c>
      <c r="E93" s="14" t="s">
        <v>14</v>
      </c>
      <c r="F93" s="14" t="s">
        <v>324</v>
      </c>
      <c r="G93" s="179">
        <v>680092</v>
      </c>
      <c r="H93" s="176" t="s">
        <v>943</v>
      </c>
      <c r="I93" s="176" t="s">
        <v>802</v>
      </c>
      <c r="J93" s="176" t="s">
        <v>143</v>
      </c>
      <c r="K93" s="176" t="s">
        <v>945</v>
      </c>
      <c r="L93" s="40" t="s">
        <v>710</v>
      </c>
      <c r="M93" s="40" t="s">
        <v>341</v>
      </c>
      <c r="N93" s="14" t="s">
        <v>949</v>
      </c>
      <c r="O93" s="14" t="s">
        <v>528</v>
      </c>
      <c r="P93" s="14" t="s">
        <v>313</v>
      </c>
      <c r="Q93" s="14" t="s">
        <v>541</v>
      </c>
      <c r="R93" s="17">
        <v>300</v>
      </c>
      <c r="S93" s="172" t="s">
        <v>51</v>
      </c>
      <c r="T93" s="17">
        <v>1420</v>
      </c>
      <c r="U93" s="14" t="s">
        <v>51</v>
      </c>
      <c r="V93" s="16">
        <f t="shared" si="13"/>
        <v>244003</v>
      </c>
      <c r="W93" s="16">
        <f t="shared" si="14"/>
        <v>244010</v>
      </c>
      <c r="X93" s="16">
        <f t="shared" si="15"/>
        <v>244005</v>
      </c>
      <c r="Y93" s="15" t="s">
        <v>54</v>
      </c>
      <c r="Z93" s="177">
        <v>244005</v>
      </c>
      <c r="AA93" s="170"/>
      <c r="AB93" s="170"/>
      <c r="AC93" s="170"/>
      <c r="AD93" s="170"/>
      <c r="AE93" s="15" t="s">
        <v>54</v>
      </c>
      <c r="AF93" s="177">
        <v>244006</v>
      </c>
      <c r="AG93" s="177" t="str">
        <f t="shared" si="18"/>
        <v>Pass</v>
      </c>
      <c r="AH93" s="177">
        <f t="shared" si="19"/>
        <v>244006</v>
      </c>
      <c r="AK93" s="176"/>
      <c r="AL93" s="176"/>
    </row>
    <row r="94" spans="1:38" ht="36" customHeight="1" x14ac:dyDescent="0.2">
      <c r="A94" s="14" t="s">
        <v>17</v>
      </c>
      <c r="B94" s="212">
        <v>244003</v>
      </c>
      <c r="C94" s="14" t="s">
        <v>547</v>
      </c>
      <c r="D94" s="14" t="s">
        <v>268</v>
      </c>
      <c r="E94" s="14" t="s">
        <v>14</v>
      </c>
      <c r="F94" s="14" t="s">
        <v>324</v>
      </c>
      <c r="G94" s="179">
        <v>680093</v>
      </c>
      <c r="H94" s="176" t="s">
        <v>886</v>
      </c>
      <c r="I94" s="176" t="s">
        <v>630</v>
      </c>
      <c r="J94" s="176" t="s">
        <v>821</v>
      </c>
      <c r="K94" s="176" t="s">
        <v>889</v>
      </c>
      <c r="L94" s="40" t="s">
        <v>124</v>
      </c>
      <c r="M94" s="40" t="s">
        <v>341</v>
      </c>
      <c r="N94" s="14" t="s">
        <v>951</v>
      </c>
      <c r="O94" s="14" t="s">
        <v>648</v>
      </c>
      <c r="P94" s="14" t="s">
        <v>954</v>
      </c>
      <c r="Q94" s="14" t="s">
        <v>656</v>
      </c>
      <c r="R94" s="17">
        <v>100</v>
      </c>
      <c r="S94" s="172" t="s">
        <v>51</v>
      </c>
      <c r="T94" s="17">
        <v>2563</v>
      </c>
      <c r="U94" s="14" t="s">
        <v>51</v>
      </c>
      <c r="V94" s="16">
        <f t="shared" si="13"/>
        <v>244003</v>
      </c>
      <c r="W94" s="16">
        <f t="shared" si="14"/>
        <v>244010</v>
      </c>
      <c r="X94" s="16">
        <f t="shared" si="15"/>
        <v>244005</v>
      </c>
      <c r="Y94" s="15" t="s">
        <v>54</v>
      </c>
      <c r="Z94" s="177">
        <v>244005</v>
      </c>
      <c r="AA94" s="170"/>
      <c r="AB94" s="170"/>
      <c r="AC94" s="170"/>
      <c r="AD94" s="170"/>
      <c r="AE94" s="15" t="s">
        <v>54</v>
      </c>
      <c r="AF94" s="177">
        <v>244006</v>
      </c>
      <c r="AG94" s="177" t="str">
        <f t="shared" si="18"/>
        <v>Pass</v>
      </c>
      <c r="AH94" s="177">
        <f t="shared" si="19"/>
        <v>244006</v>
      </c>
      <c r="AK94" s="176"/>
      <c r="AL94" s="176"/>
    </row>
    <row r="95" spans="1:38" ht="36" customHeight="1" x14ac:dyDescent="0.2">
      <c r="A95" s="14" t="s">
        <v>17</v>
      </c>
      <c r="B95" s="212">
        <v>244003</v>
      </c>
      <c r="C95" s="14" t="s">
        <v>547</v>
      </c>
      <c r="D95" s="14" t="s">
        <v>268</v>
      </c>
      <c r="E95" s="14" t="s">
        <v>14</v>
      </c>
      <c r="F95" s="14" t="s">
        <v>324</v>
      </c>
      <c r="G95" s="179">
        <v>680094</v>
      </c>
      <c r="H95" s="176" t="s">
        <v>943</v>
      </c>
      <c r="I95" s="176" t="s">
        <v>802</v>
      </c>
      <c r="J95" s="176" t="s">
        <v>143</v>
      </c>
      <c r="K95" s="176" t="s">
        <v>946</v>
      </c>
      <c r="L95" s="40" t="s">
        <v>710</v>
      </c>
      <c r="M95" s="40" t="s">
        <v>341</v>
      </c>
      <c r="N95" s="14" t="s">
        <v>952</v>
      </c>
      <c r="O95" s="14" t="s">
        <v>953</v>
      </c>
      <c r="P95" s="14" t="s">
        <v>955</v>
      </c>
      <c r="Q95" s="14" t="s">
        <v>956</v>
      </c>
      <c r="R95" s="17">
        <v>1400</v>
      </c>
      <c r="S95" s="172" t="s">
        <v>51</v>
      </c>
      <c r="T95" s="17">
        <v>1420</v>
      </c>
      <c r="U95" s="14" t="s">
        <v>51</v>
      </c>
      <c r="V95" s="16">
        <f t="shared" si="13"/>
        <v>244003</v>
      </c>
      <c r="W95" s="16">
        <f t="shared" si="14"/>
        <v>244010</v>
      </c>
      <c r="X95" s="16">
        <f t="shared" si="15"/>
        <v>244005</v>
      </c>
      <c r="Y95" s="15" t="s">
        <v>54</v>
      </c>
      <c r="Z95" s="177">
        <v>244005</v>
      </c>
      <c r="AA95" s="170"/>
      <c r="AB95" s="170"/>
      <c r="AC95" s="170"/>
      <c r="AD95" s="170"/>
      <c r="AE95" s="15" t="s">
        <v>54</v>
      </c>
      <c r="AF95" s="177">
        <v>244006</v>
      </c>
      <c r="AG95" s="177" t="str">
        <f t="shared" si="18"/>
        <v>Pass</v>
      </c>
      <c r="AH95" s="177">
        <f t="shared" si="19"/>
        <v>244006</v>
      </c>
      <c r="AK95" s="176"/>
      <c r="AL95" s="176"/>
    </row>
    <row r="96" spans="1:38" ht="36" customHeight="1" x14ac:dyDescent="0.2">
      <c r="A96" s="14" t="s">
        <v>17</v>
      </c>
      <c r="B96" s="212">
        <v>244004</v>
      </c>
      <c r="C96" s="14" t="s">
        <v>547</v>
      </c>
      <c r="D96" s="14" t="s">
        <v>268</v>
      </c>
      <c r="E96" s="14" t="s">
        <v>14</v>
      </c>
      <c r="F96" s="14" t="s">
        <v>324</v>
      </c>
      <c r="G96" s="179">
        <v>680095</v>
      </c>
      <c r="H96" s="176" t="s">
        <v>943</v>
      </c>
      <c r="I96" s="176" t="s">
        <v>802</v>
      </c>
      <c r="J96" s="176" t="s">
        <v>143</v>
      </c>
      <c r="K96" s="176" t="s">
        <v>946</v>
      </c>
      <c r="L96" s="40" t="s">
        <v>710</v>
      </c>
      <c r="M96" s="40" t="s">
        <v>341</v>
      </c>
      <c r="N96" s="14" t="s">
        <v>965</v>
      </c>
      <c r="O96" s="14" t="s">
        <v>528</v>
      </c>
      <c r="P96" s="14" t="s">
        <v>971</v>
      </c>
      <c r="Q96" s="14" t="s">
        <v>541</v>
      </c>
      <c r="R96" s="17">
        <v>200</v>
      </c>
      <c r="S96" s="172" t="s">
        <v>51</v>
      </c>
      <c r="T96" s="17">
        <v>2099</v>
      </c>
      <c r="U96" s="14" t="s">
        <v>51</v>
      </c>
      <c r="V96" s="16">
        <f t="shared" si="13"/>
        <v>244004</v>
      </c>
      <c r="W96" s="16">
        <f t="shared" si="14"/>
        <v>244011</v>
      </c>
      <c r="X96" s="16">
        <f t="shared" si="15"/>
        <v>244006</v>
      </c>
      <c r="Y96" s="15" t="s">
        <v>54</v>
      </c>
      <c r="Z96" s="177">
        <v>244005</v>
      </c>
      <c r="AA96" s="170"/>
      <c r="AB96" s="170"/>
      <c r="AC96" s="170"/>
      <c r="AD96" s="170"/>
      <c r="AE96" s="15" t="s">
        <v>54</v>
      </c>
      <c r="AF96" s="177">
        <v>244006</v>
      </c>
      <c r="AG96" s="177" t="str">
        <f t="shared" si="18"/>
        <v>Pass</v>
      </c>
      <c r="AH96" s="177">
        <f t="shared" si="19"/>
        <v>244006</v>
      </c>
      <c r="AK96" s="176"/>
      <c r="AL96" s="176"/>
    </row>
    <row r="97" spans="1:38" ht="36" customHeight="1" x14ac:dyDescent="0.2">
      <c r="A97" s="14" t="s">
        <v>17</v>
      </c>
      <c r="B97" s="212">
        <v>244004</v>
      </c>
      <c r="C97" s="14" t="s">
        <v>547</v>
      </c>
      <c r="D97" s="14" t="s">
        <v>268</v>
      </c>
      <c r="E97" s="14" t="s">
        <v>14</v>
      </c>
      <c r="F97" s="14" t="s">
        <v>324</v>
      </c>
      <c r="G97" s="179">
        <v>680096</v>
      </c>
      <c r="H97" s="176" t="s">
        <v>957</v>
      </c>
      <c r="I97" s="176" t="s">
        <v>864</v>
      </c>
      <c r="J97" s="176" t="s">
        <v>143</v>
      </c>
      <c r="K97" s="176" t="s">
        <v>961</v>
      </c>
      <c r="L97" s="40" t="s">
        <v>45</v>
      </c>
      <c r="M97" s="40" t="s">
        <v>341</v>
      </c>
      <c r="N97" s="14" t="s">
        <v>966</v>
      </c>
      <c r="O97" s="14" t="s">
        <v>970</v>
      </c>
      <c r="P97" s="14" t="s">
        <v>972</v>
      </c>
      <c r="Q97" s="14" t="s">
        <v>973</v>
      </c>
      <c r="R97" s="17">
        <v>340</v>
      </c>
      <c r="S97" s="172" t="s">
        <v>51</v>
      </c>
      <c r="T97" s="17">
        <v>1814</v>
      </c>
      <c r="U97" s="14" t="s">
        <v>51</v>
      </c>
      <c r="V97" s="16">
        <f t="shared" si="13"/>
        <v>244004</v>
      </c>
      <c r="W97" s="16">
        <f t="shared" si="14"/>
        <v>244011</v>
      </c>
      <c r="X97" s="16">
        <f t="shared" si="15"/>
        <v>244006</v>
      </c>
      <c r="Y97" s="15"/>
      <c r="Z97" s="177"/>
      <c r="AA97" s="170"/>
      <c r="AB97" s="170"/>
      <c r="AC97" s="170"/>
      <c r="AD97" s="170"/>
      <c r="AE97" s="15"/>
      <c r="AF97" s="177"/>
      <c r="AG97" s="177">
        <f t="shared" si="18"/>
        <v>0</v>
      </c>
      <c r="AH97" s="177">
        <f t="shared" si="19"/>
        <v>0</v>
      </c>
      <c r="AK97" s="176"/>
      <c r="AL97" s="176"/>
    </row>
    <row r="98" spans="1:38" ht="36" customHeight="1" x14ac:dyDescent="0.2">
      <c r="A98" s="14" t="s">
        <v>17</v>
      </c>
      <c r="B98" s="212">
        <v>244004</v>
      </c>
      <c r="C98" s="14" t="s">
        <v>547</v>
      </c>
      <c r="D98" s="14" t="s">
        <v>268</v>
      </c>
      <c r="E98" s="14" t="s">
        <v>14</v>
      </c>
      <c r="F98" s="14" t="s">
        <v>324</v>
      </c>
      <c r="G98" s="179">
        <v>680097</v>
      </c>
      <c r="H98" s="176" t="s">
        <v>958</v>
      </c>
      <c r="I98" s="176" t="s">
        <v>748</v>
      </c>
      <c r="J98" s="176" t="s">
        <v>289</v>
      </c>
      <c r="K98" s="176" t="s">
        <v>962</v>
      </c>
      <c r="L98" s="40" t="s">
        <v>45</v>
      </c>
      <c r="M98" s="40" t="s">
        <v>341</v>
      </c>
      <c r="N98" s="14" t="s">
        <v>967</v>
      </c>
      <c r="O98" s="14" t="s">
        <v>548</v>
      </c>
      <c r="P98" s="14" t="s">
        <v>717</v>
      </c>
      <c r="Q98" s="14" t="s">
        <v>549</v>
      </c>
      <c r="R98" s="17">
        <v>146</v>
      </c>
      <c r="S98" s="172" t="s">
        <v>51</v>
      </c>
      <c r="T98" s="17">
        <v>1990</v>
      </c>
      <c r="U98" s="14" t="s">
        <v>51</v>
      </c>
      <c r="V98" s="16">
        <f t="shared" si="13"/>
        <v>244004</v>
      </c>
      <c r="W98" s="16">
        <f t="shared" si="14"/>
        <v>244011</v>
      </c>
      <c r="X98" s="16">
        <f t="shared" si="15"/>
        <v>244006</v>
      </c>
      <c r="Y98" s="15"/>
      <c r="Z98" s="177"/>
      <c r="AA98" s="170"/>
      <c r="AB98" s="170"/>
      <c r="AC98" s="170"/>
      <c r="AD98" s="170"/>
      <c r="AE98" s="15"/>
      <c r="AF98" s="177"/>
      <c r="AG98" s="177">
        <f t="shared" si="18"/>
        <v>0</v>
      </c>
      <c r="AH98" s="177">
        <f t="shared" si="19"/>
        <v>0</v>
      </c>
      <c r="AK98" s="176"/>
      <c r="AL98" s="176"/>
    </row>
    <row r="99" spans="1:38" ht="36" customHeight="1" x14ac:dyDescent="0.2">
      <c r="A99" s="14" t="s">
        <v>17</v>
      </c>
      <c r="B99" s="212">
        <v>244004</v>
      </c>
      <c r="C99" s="14" t="s">
        <v>547</v>
      </c>
      <c r="D99" s="14" t="s">
        <v>268</v>
      </c>
      <c r="E99" s="14" t="s">
        <v>14</v>
      </c>
      <c r="F99" s="14" t="s">
        <v>324</v>
      </c>
      <c r="G99" s="179">
        <v>680098</v>
      </c>
      <c r="H99" s="176" t="s">
        <v>959</v>
      </c>
      <c r="I99" s="176" t="s">
        <v>960</v>
      </c>
      <c r="J99" s="176" t="s">
        <v>127</v>
      </c>
      <c r="K99" s="176" t="s">
        <v>963</v>
      </c>
      <c r="L99" s="40" t="s">
        <v>108</v>
      </c>
      <c r="M99" s="40" t="s">
        <v>341</v>
      </c>
      <c r="N99" s="14" t="s">
        <v>968</v>
      </c>
      <c r="O99" s="14" t="s">
        <v>548</v>
      </c>
      <c r="P99" s="14" t="s">
        <v>717</v>
      </c>
      <c r="Q99" s="14" t="s">
        <v>549</v>
      </c>
      <c r="R99" s="17">
        <v>375</v>
      </c>
      <c r="S99" s="172" t="s">
        <v>51</v>
      </c>
      <c r="T99" s="17"/>
      <c r="U99" s="14"/>
      <c r="V99" s="16">
        <f t="shared" si="13"/>
        <v>244004</v>
      </c>
      <c r="W99" s="16">
        <f t="shared" si="14"/>
        <v>244011</v>
      </c>
      <c r="X99" s="16">
        <f t="shared" si="15"/>
        <v>244006</v>
      </c>
      <c r="Y99" s="15"/>
      <c r="Z99" s="177"/>
      <c r="AA99" s="170"/>
      <c r="AB99" s="170"/>
      <c r="AC99" s="170"/>
      <c r="AD99" s="170"/>
      <c r="AE99" s="15"/>
      <c r="AF99" s="177"/>
      <c r="AG99" s="177">
        <f t="shared" si="18"/>
        <v>0</v>
      </c>
      <c r="AH99" s="177">
        <f t="shared" si="19"/>
        <v>0</v>
      </c>
      <c r="AK99" s="176"/>
      <c r="AL99" s="176"/>
    </row>
    <row r="100" spans="1:38" ht="36" customHeight="1" x14ac:dyDescent="0.2">
      <c r="A100" s="14" t="s">
        <v>17</v>
      </c>
      <c r="B100" s="212">
        <v>244004</v>
      </c>
      <c r="C100" s="14" t="s">
        <v>547</v>
      </c>
      <c r="D100" s="14" t="s">
        <v>268</v>
      </c>
      <c r="E100" s="14" t="s">
        <v>14</v>
      </c>
      <c r="F100" s="14" t="s">
        <v>324</v>
      </c>
      <c r="G100" s="179">
        <v>680099</v>
      </c>
      <c r="H100" s="176" t="s">
        <v>719</v>
      </c>
      <c r="I100" s="176" t="s">
        <v>551</v>
      </c>
      <c r="J100" s="176" t="s">
        <v>596</v>
      </c>
      <c r="K100" s="176" t="s">
        <v>964</v>
      </c>
      <c r="L100" s="40" t="s">
        <v>108</v>
      </c>
      <c r="M100" s="40" t="s">
        <v>341</v>
      </c>
      <c r="N100" s="14" t="s">
        <v>969</v>
      </c>
      <c r="O100" s="14" t="s">
        <v>548</v>
      </c>
      <c r="P100" s="14" t="s">
        <v>717</v>
      </c>
      <c r="Q100" s="14" t="s">
        <v>549</v>
      </c>
      <c r="R100" s="17">
        <v>177</v>
      </c>
      <c r="S100" s="172" t="s">
        <v>51</v>
      </c>
      <c r="T100" s="17">
        <v>1300</v>
      </c>
      <c r="U100" s="14" t="s">
        <v>51</v>
      </c>
      <c r="V100" s="16">
        <f t="shared" si="13"/>
        <v>244004</v>
      </c>
      <c r="W100" s="16">
        <f t="shared" si="14"/>
        <v>244011</v>
      </c>
      <c r="X100" s="16">
        <f t="shared" si="15"/>
        <v>244006</v>
      </c>
      <c r="Y100" s="15" t="s">
        <v>54</v>
      </c>
      <c r="Z100" s="177">
        <v>244005</v>
      </c>
      <c r="AA100" s="170"/>
      <c r="AB100" s="170"/>
      <c r="AC100" s="170"/>
      <c r="AD100" s="170"/>
      <c r="AE100" s="15" t="s">
        <v>54</v>
      </c>
      <c r="AF100" s="177">
        <v>244006</v>
      </c>
      <c r="AG100" s="177" t="str">
        <f t="shared" si="18"/>
        <v>Pass</v>
      </c>
      <c r="AH100" s="177">
        <f t="shared" si="19"/>
        <v>244006</v>
      </c>
      <c r="AK100" s="176"/>
      <c r="AL100" s="176"/>
    </row>
    <row r="101" spans="1:38" ht="36" customHeight="1" x14ac:dyDescent="0.2">
      <c r="A101" s="14" t="s">
        <v>17</v>
      </c>
      <c r="B101" s="212">
        <v>244005</v>
      </c>
      <c r="C101" s="14" t="s">
        <v>547</v>
      </c>
      <c r="D101" s="14" t="s">
        <v>268</v>
      </c>
      <c r="E101" s="14" t="s">
        <v>14</v>
      </c>
      <c r="F101" s="14" t="s">
        <v>324</v>
      </c>
      <c r="G101" s="179">
        <v>680100</v>
      </c>
      <c r="H101" s="176" t="s">
        <v>974</v>
      </c>
      <c r="I101" s="176" t="s">
        <v>550</v>
      </c>
      <c r="J101" s="176" t="s">
        <v>128</v>
      </c>
      <c r="K101" s="176" t="s">
        <v>976</v>
      </c>
      <c r="L101" s="40" t="s">
        <v>45</v>
      </c>
      <c r="M101" s="40" t="s">
        <v>341</v>
      </c>
      <c r="N101" s="14" t="s">
        <v>981</v>
      </c>
      <c r="O101" s="14" t="s">
        <v>528</v>
      </c>
      <c r="P101" s="14" t="s">
        <v>517</v>
      </c>
      <c r="Q101" s="14" t="s">
        <v>541</v>
      </c>
      <c r="R101" s="14">
        <v>300</v>
      </c>
      <c r="S101" s="172" t="s">
        <v>51</v>
      </c>
      <c r="T101" s="17">
        <v>2000</v>
      </c>
      <c r="U101" s="14" t="s">
        <v>51</v>
      </c>
      <c r="V101" s="16">
        <f t="shared" si="13"/>
        <v>244005</v>
      </c>
      <c r="W101" s="16">
        <f t="shared" si="14"/>
        <v>244012</v>
      </c>
      <c r="X101" s="16">
        <f t="shared" si="15"/>
        <v>244007</v>
      </c>
      <c r="Y101" s="15"/>
      <c r="Z101" s="177"/>
      <c r="AA101" s="170"/>
      <c r="AB101" s="170"/>
      <c r="AC101" s="170"/>
      <c r="AD101" s="170"/>
      <c r="AE101" s="15"/>
      <c r="AF101" s="177"/>
      <c r="AG101" s="177">
        <f t="shared" si="18"/>
        <v>0</v>
      </c>
      <c r="AH101" s="177">
        <f t="shared" si="19"/>
        <v>0</v>
      </c>
      <c r="AK101" s="176"/>
      <c r="AL101" s="176"/>
    </row>
    <row r="102" spans="1:38" ht="36" customHeight="1" x14ac:dyDescent="0.2">
      <c r="A102" s="14" t="s">
        <v>17</v>
      </c>
      <c r="B102" s="212">
        <v>244005</v>
      </c>
      <c r="C102" s="14" t="s">
        <v>547</v>
      </c>
      <c r="D102" s="14" t="s">
        <v>268</v>
      </c>
      <c r="E102" s="14" t="s">
        <v>14</v>
      </c>
      <c r="F102" s="14" t="s">
        <v>324</v>
      </c>
      <c r="G102" s="179">
        <v>680101</v>
      </c>
      <c r="H102" s="176" t="s">
        <v>215</v>
      </c>
      <c r="I102" s="176" t="s">
        <v>802</v>
      </c>
      <c r="J102" s="176" t="s">
        <v>131</v>
      </c>
      <c r="K102" s="176" t="s">
        <v>977</v>
      </c>
      <c r="L102" s="40" t="s">
        <v>105</v>
      </c>
      <c r="M102" s="40" t="s">
        <v>341</v>
      </c>
      <c r="N102" s="14" t="s">
        <v>982</v>
      </c>
      <c r="O102" s="14" t="s">
        <v>543</v>
      </c>
      <c r="P102" s="14" t="s">
        <v>989</v>
      </c>
      <c r="Q102" s="14" t="s">
        <v>529</v>
      </c>
      <c r="R102" s="14">
        <v>200</v>
      </c>
      <c r="S102" s="172" t="s">
        <v>51</v>
      </c>
      <c r="T102" s="17"/>
      <c r="U102" s="14"/>
      <c r="V102" s="16">
        <f t="shared" ref="V102:V103" si="20">B102</f>
        <v>244005</v>
      </c>
      <c r="W102" s="16">
        <f t="shared" ref="W102:W103" si="21">B102+7</f>
        <v>244012</v>
      </c>
      <c r="X102" s="16">
        <f t="shared" ref="X102:X103" si="22">V102+2</f>
        <v>244007</v>
      </c>
      <c r="Y102" s="15" t="s">
        <v>54</v>
      </c>
      <c r="Z102" s="177">
        <v>244008</v>
      </c>
      <c r="AA102" s="170"/>
      <c r="AB102" s="170"/>
      <c r="AC102" s="170"/>
      <c r="AD102" s="170"/>
      <c r="AE102" s="15" t="s">
        <v>54</v>
      </c>
      <c r="AF102" s="177">
        <v>244014</v>
      </c>
      <c r="AG102" s="177" t="str">
        <f t="shared" si="18"/>
        <v>Pass</v>
      </c>
      <c r="AH102" s="177">
        <f t="shared" si="19"/>
        <v>244014</v>
      </c>
      <c r="AK102" s="176"/>
      <c r="AL102" s="176"/>
    </row>
    <row r="103" spans="1:38" ht="36" customHeight="1" x14ac:dyDescent="0.2">
      <c r="A103" s="14" t="s">
        <v>17</v>
      </c>
      <c r="B103" s="212">
        <v>244005</v>
      </c>
      <c r="C103" s="14" t="s">
        <v>547</v>
      </c>
      <c r="D103" s="14" t="s">
        <v>268</v>
      </c>
      <c r="E103" s="14" t="s">
        <v>14</v>
      </c>
      <c r="F103" s="14" t="s">
        <v>324</v>
      </c>
      <c r="G103" s="179">
        <v>680102</v>
      </c>
      <c r="H103" s="176" t="s">
        <v>215</v>
      </c>
      <c r="I103" s="176" t="s">
        <v>802</v>
      </c>
      <c r="J103" s="176" t="s">
        <v>131</v>
      </c>
      <c r="K103" s="176" t="s">
        <v>977</v>
      </c>
      <c r="L103" s="40" t="s">
        <v>105</v>
      </c>
      <c r="M103" s="40" t="s">
        <v>341</v>
      </c>
      <c r="N103" s="14" t="s">
        <v>983</v>
      </c>
      <c r="O103" s="14" t="s">
        <v>528</v>
      </c>
      <c r="P103" s="14" t="s">
        <v>990</v>
      </c>
      <c r="Q103" s="14" t="s">
        <v>541</v>
      </c>
      <c r="R103" s="14">
        <v>150</v>
      </c>
      <c r="S103" s="172" t="s">
        <v>51</v>
      </c>
      <c r="T103" s="17">
        <v>1540</v>
      </c>
      <c r="U103" s="14" t="s">
        <v>51</v>
      </c>
      <c r="V103" s="16">
        <f t="shared" si="20"/>
        <v>244005</v>
      </c>
      <c r="W103" s="16">
        <f t="shared" si="21"/>
        <v>244012</v>
      </c>
      <c r="X103" s="16">
        <f t="shared" si="22"/>
        <v>244007</v>
      </c>
      <c r="Y103" s="15" t="s">
        <v>54</v>
      </c>
      <c r="Z103" s="177">
        <v>244008</v>
      </c>
      <c r="AA103" s="170"/>
      <c r="AB103" s="170"/>
      <c r="AC103" s="170"/>
      <c r="AD103" s="170"/>
      <c r="AE103" s="15" t="s">
        <v>54</v>
      </c>
      <c r="AF103" s="177">
        <v>244014</v>
      </c>
      <c r="AG103" s="177" t="str">
        <f t="shared" si="18"/>
        <v>Pass</v>
      </c>
      <c r="AH103" s="177">
        <f t="shared" si="19"/>
        <v>244014</v>
      </c>
      <c r="AK103" s="176"/>
      <c r="AL103" s="176"/>
    </row>
    <row r="104" spans="1:38" ht="36" customHeight="1" x14ac:dyDescent="0.2">
      <c r="A104" s="14" t="s">
        <v>17</v>
      </c>
      <c r="B104" s="212">
        <v>244005</v>
      </c>
      <c r="C104" s="14" t="s">
        <v>547</v>
      </c>
      <c r="D104" s="14" t="s">
        <v>268</v>
      </c>
      <c r="E104" s="14" t="s">
        <v>14</v>
      </c>
      <c r="F104" s="14" t="s">
        <v>324</v>
      </c>
      <c r="G104" s="179">
        <v>680103</v>
      </c>
      <c r="H104" s="176" t="s">
        <v>975</v>
      </c>
      <c r="I104" s="176" t="s">
        <v>910</v>
      </c>
      <c r="J104" s="176" t="s">
        <v>130</v>
      </c>
      <c r="K104" s="176" t="s">
        <v>978</v>
      </c>
      <c r="L104" s="40" t="s">
        <v>45</v>
      </c>
      <c r="M104" s="40" t="s">
        <v>341</v>
      </c>
      <c r="N104" s="14" t="s">
        <v>991</v>
      </c>
      <c r="O104" s="14" t="s">
        <v>988</v>
      </c>
      <c r="P104" s="14" t="s">
        <v>992</v>
      </c>
      <c r="Q104" s="14" t="s">
        <v>994</v>
      </c>
      <c r="R104" s="14">
        <v>600</v>
      </c>
      <c r="S104" s="172" t="s">
        <v>51</v>
      </c>
      <c r="T104" s="17">
        <v>2640</v>
      </c>
      <c r="U104" s="14" t="s">
        <v>51</v>
      </c>
      <c r="V104" s="16">
        <f t="shared" ref="V104" si="23">B104</f>
        <v>244005</v>
      </c>
      <c r="W104" s="16">
        <f t="shared" ref="W104" si="24">B104+7</f>
        <v>244012</v>
      </c>
      <c r="X104" s="16">
        <f t="shared" ref="X104" si="25">V104+2</f>
        <v>244007</v>
      </c>
      <c r="Y104" s="15"/>
      <c r="Z104" s="177"/>
      <c r="AA104" s="170"/>
      <c r="AB104" s="170"/>
      <c r="AC104" s="170"/>
      <c r="AD104" s="170"/>
      <c r="AE104" s="15"/>
      <c r="AF104" s="177"/>
      <c r="AG104" s="177">
        <f t="shared" si="18"/>
        <v>0</v>
      </c>
      <c r="AH104" s="177">
        <f t="shared" si="19"/>
        <v>0</v>
      </c>
      <c r="AK104" s="176"/>
      <c r="AL104" s="176"/>
    </row>
    <row r="105" spans="1:38" ht="36" customHeight="1" x14ac:dyDescent="0.2">
      <c r="A105" s="14" t="s">
        <v>17</v>
      </c>
      <c r="B105" s="212">
        <v>244005</v>
      </c>
      <c r="C105" s="14" t="s">
        <v>547</v>
      </c>
      <c r="D105" s="14" t="s">
        <v>268</v>
      </c>
      <c r="E105" s="14" t="s">
        <v>14</v>
      </c>
      <c r="F105" s="14" t="s">
        <v>324</v>
      </c>
      <c r="G105" s="179">
        <v>680104</v>
      </c>
      <c r="H105" s="176" t="s">
        <v>663</v>
      </c>
      <c r="I105" s="176" t="s">
        <v>630</v>
      </c>
      <c r="J105" s="176" t="s">
        <v>821</v>
      </c>
      <c r="K105" s="176" t="s">
        <v>979</v>
      </c>
      <c r="L105" s="40" t="s">
        <v>124</v>
      </c>
      <c r="M105" s="40" t="s">
        <v>341</v>
      </c>
      <c r="N105" s="14" t="s">
        <v>984</v>
      </c>
      <c r="O105" s="14" t="s">
        <v>548</v>
      </c>
      <c r="P105" s="14" t="s">
        <v>518</v>
      </c>
      <c r="Q105" s="14" t="s">
        <v>549</v>
      </c>
      <c r="R105" s="14">
        <v>120</v>
      </c>
      <c r="S105" s="172" t="s">
        <v>51</v>
      </c>
      <c r="T105" s="17">
        <v>2586</v>
      </c>
      <c r="U105" s="14" t="s">
        <v>51</v>
      </c>
      <c r="V105" s="16">
        <f t="shared" ref="V105:V106" si="26">B105</f>
        <v>244005</v>
      </c>
      <c r="W105" s="16">
        <f t="shared" ref="W105:W106" si="27">B105+7</f>
        <v>244012</v>
      </c>
      <c r="X105" s="16">
        <f t="shared" ref="X105:X106" si="28">V105+2</f>
        <v>244007</v>
      </c>
      <c r="Y105" s="15" t="s">
        <v>54</v>
      </c>
      <c r="Z105" s="177">
        <v>244008</v>
      </c>
      <c r="AA105" s="170"/>
      <c r="AB105" s="170"/>
      <c r="AC105" s="170"/>
      <c r="AD105" s="170"/>
      <c r="AE105" s="15" t="s">
        <v>54</v>
      </c>
      <c r="AF105" s="177">
        <v>244014</v>
      </c>
      <c r="AG105" s="177" t="str">
        <f t="shared" si="18"/>
        <v>Pass</v>
      </c>
      <c r="AH105" s="177">
        <f t="shared" si="19"/>
        <v>244014</v>
      </c>
      <c r="AK105" s="176"/>
      <c r="AL105" s="176"/>
    </row>
    <row r="106" spans="1:38" ht="36" customHeight="1" x14ac:dyDescent="0.2">
      <c r="A106" s="14" t="s">
        <v>17</v>
      </c>
      <c r="B106" s="212">
        <v>244005</v>
      </c>
      <c r="C106" s="14" t="s">
        <v>547</v>
      </c>
      <c r="D106" s="14" t="s">
        <v>268</v>
      </c>
      <c r="E106" s="14" t="s">
        <v>14</v>
      </c>
      <c r="F106" s="14" t="s">
        <v>324</v>
      </c>
      <c r="G106" s="179">
        <v>680105</v>
      </c>
      <c r="H106" s="176" t="s">
        <v>975</v>
      </c>
      <c r="I106" s="176" t="s">
        <v>910</v>
      </c>
      <c r="J106" s="176" t="s">
        <v>130</v>
      </c>
      <c r="K106" s="176" t="s">
        <v>978</v>
      </c>
      <c r="L106" s="40" t="s">
        <v>45</v>
      </c>
      <c r="M106" s="40" t="s">
        <v>341</v>
      </c>
      <c r="N106" s="14" t="s">
        <v>985</v>
      </c>
      <c r="O106" s="14" t="s">
        <v>528</v>
      </c>
      <c r="P106" s="14" t="s">
        <v>993</v>
      </c>
      <c r="Q106" s="14" t="s">
        <v>541</v>
      </c>
      <c r="R106" s="14">
        <v>2000</v>
      </c>
      <c r="S106" s="172" t="s">
        <v>51</v>
      </c>
      <c r="T106" s="17">
        <v>2640</v>
      </c>
      <c r="U106" s="14" t="s">
        <v>51</v>
      </c>
      <c r="V106" s="16">
        <f t="shared" si="26"/>
        <v>244005</v>
      </c>
      <c r="W106" s="16">
        <f t="shared" si="27"/>
        <v>244012</v>
      </c>
      <c r="X106" s="16">
        <f t="shared" si="28"/>
        <v>244007</v>
      </c>
      <c r="Y106" s="15"/>
      <c r="Z106" s="177"/>
      <c r="AA106" s="170"/>
      <c r="AB106" s="170"/>
      <c r="AC106" s="170"/>
      <c r="AD106" s="170"/>
      <c r="AE106" s="15"/>
      <c r="AF106" s="177"/>
      <c r="AG106" s="177">
        <f t="shared" si="18"/>
        <v>0</v>
      </c>
      <c r="AH106" s="177">
        <f t="shared" si="19"/>
        <v>0</v>
      </c>
      <c r="AK106" s="176"/>
      <c r="AL106" s="176"/>
    </row>
    <row r="107" spans="1:38" ht="36" customHeight="1" x14ac:dyDescent="0.2">
      <c r="A107" s="14" t="s">
        <v>17</v>
      </c>
      <c r="B107" s="212">
        <v>244005</v>
      </c>
      <c r="C107" s="14" t="s">
        <v>547</v>
      </c>
      <c r="D107" s="14" t="s">
        <v>268</v>
      </c>
      <c r="E107" s="14" t="s">
        <v>14</v>
      </c>
      <c r="F107" s="14" t="s">
        <v>324</v>
      </c>
      <c r="G107" s="179">
        <v>680106</v>
      </c>
      <c r="H107" s="176" t="s">
        <v>609</v>
      </c>
      <c r="I107" s="176" t="s">
        <v>514</v>
      </c>
      <c r="J107" s="176" t="s">
        <v>337</v>
      </c>
      <c r="K107" s="176" t="s">
        <v>980</v>
      </c>
      <c r="L107" s="40" t="s">
        <v>106</v>
      </c>
      <c r="M107" s="40" t="s">
        <v>341</v>
      </c>
      <c r="N107" s="14" t="s">
        <v>986</v>
      </c>
      <c r="O107" s="14" t="s">
        <v>548</v>
      </c>
      <c r="P107" s="14" t="s">
        <v>518</v>
      </c>
      <c r="Q107" s="14" t="s">
        <v>549</v>
      </c>
      <c r="R107" s="14">
        <v>289</v>
      </c>
      <c r="S107" s="172" t="s">
        <v>51</v>
      </c>
      <c r="T107" s="17">
        <v>1549</v>
      </c>
      <c r="U107" s="14" t="s">
        <v>51</v>
      </c>
      <c r="V107" s="16">
        <f t="shared" ref="V107:V170" si="29">B107</f>
        <v>244005</v>
      </c>
      <c r="W107" s="16">
        <f t="shared" ref="W107:W170" si="30">B107+7</f>
        <v>244012</v>
      </c>
      <c r="X107" s="16">
        <f t="shared" ref="X107:X170" si="31">V107+2</f>
        <v>244007</v>
      </c>
      <c r="Y107" s="15"/>
      <c r="Z107" s="177"/>
      <c r="AA107" s="170"/>
      <c r="AB107" s="170"/>
      <c r="AC107" s="170"/>
      <c r="AD107" s="170"/>
      <c r="AE107" s="15"/>
      <c r="AF107" s="177"/>
      <c r="AG107" s="177">
        <f t="shared" si="18"/>
        <v>0</v>
      </c>
      <c r="AH107" s="177">
        <f t="shared" si="19"/>
        <v>0</v>
      </c>
      <c r="AK107" s="176"/>
      <c r="AL107" s="176"/>
    </row>
    <row r="108" spans="1:38" ht="36" customHeight="1" x14ac:dyDescent="0.2">
      <c r="A108" s="14" t="s">
        <v>17</v>
      </c>
      <c r="B108" s="212">
        <v>244005</v>
      </c>
      <c r="C108" s="14" t="s">
        <v>547</v>
      </c>
      <c r="D108" s="14" t="s">
        <v>268</v>
      </c>
      <c r="E108" s="14" t="s">
        <v>14</v>
      </c>
      <c r="F108" s="14" t="s">
        <v>324</v>
      </c>
      <c r="G108" s="179">
        <v>680107</v>
      </c>
      <c r="H108" s="176" t="s">
        <v>609</v>
      </c>
      <c r="I108" s="176" t="s">
        <v>514</v>
      </c>
      <c r="J108" s="176" t="s">
        <v>337</v>
      </c>
      <c r="K108" s="176" t="s">
        <v>980</v>
      </c>
      <c r="L108" s="40" t="s">
        <v>106</v>
      </c>
      <c r="M108" s="40" t="s">
        <v>341</v>
      </c>
      <c r="N108" s="14" t="s">
        <v>987</v>
      </c>
      <c r="O108" s="14" t="s">
        <v>548</v>
      </c>
      <c r="P108" s="14" t="s">
        <v>518</v>
      </c>
      <c r="Q108" s="14" t="s">
        <v>549</v>
      </c>
      <c r="R108" s="14">
        <v>174</v>
      </c>
      <c r="S108" s="172" t="s">
        <v>51</v>
      </c>
      <c r="T108" s="17">
        <v>1423</v>
      </c>
      <c r="U108" s="14" t="s">
        <v>51</v>
      </c>
      <c r="V108" s="16">
        <f t="shared" si="29"/>
        <v>244005</v>
      </c>
      <c r="W108" s="16">
        <f t="shared" si="30"/>
        <v>244012</v>
      </c>
      <c r="X108" s="16">
        <f t="shared" si="31"/>
        <v>244007</v>
      </c>
      <c r="Y108" s="15"/>
      <c r="Z108" s="177"/>
      <c r="AA108" s="170"/>
      <c r="AB108" s="170"/>
      <c r="AC108" s="170"/>
      <c r="AD108" s="170"/>
      <c r="AE108" s="15"/>
      <c r="AF108" s="177"/>
      <c r="AG108" s="177">
        <f t="shared" si="18"/>
        <v>0</v>
      </c>
      <c r="AH108" s="177">
        <f t="shared" si="19"/>
        <v>0</v>
      </c>
      <c r="AK108" s="176"/>
      <c r="AL108" s="176"/>
    </row>
    <row r="109" spans="1:38" ht="36" customHeight="1" x14ac:dyDescent="0.2">
      <c r="A109" s="14" t="s">
        <v>17</v>
      </c>
      <c r="B109" s="212">
        <v>244006</v>
      </c>
      <c r="C109" s="14" t="s">
        <v>547</v>
      </c>
      <c r="D109" s="14" t="s">
        <v>268</v>
      </c>
      <c r="E109" s="14" t="s">
        <v>14</v>
      </c>
      <c r="F109" s="14" t="s">
        <v>324</v>
      </c>
      <c r="G109" s="179">
        <v>680108</v>
      </c>
      <c r="H109" s="176" t="s">
        <v>995</v>
      </c>
      <c r="I109" s="176" t="s">
        <v>551</v>
      </c>
      <c r="J109" s="176" t="s">
        <v>596</v>
      </c>
      <c r="K109" s="176" t="s">
        <v>998</v>
      </c>
      <c r="L109" s="40" t="s">
        <v>108</v>
      </c>
      <c r="M109" s="40" t="s">
        <v>341</v>
      </c>
      <c r="N109" s="14" t="s">
        <v>1002</v>
      </c>
      <c r="O109" s="14" t="s">
        <v>714</v>
      </c>
      <c r="P109" s="14" t="s">
        <v>971</v>
      </c>
      <c r="Q109" s="14" t="s">
        <v>716</v>
      </c>
      <c r="R109" s="17">
        <v>350</v>
      </c>
      <c r="S109" s="172" t="s">
        <v>51</v>
      </c>
      <c r="T109" s="17">
        <v>785</v>
      </c>
      <c r="U109" s="14" t="s">
        <v>51</v>
      </c>
      <c r="V109" s="16">
        <f t="shared" si="29"/>
        <v>244006</v>
      </c>
      <c r="W109" s="16">
        <f t="shared" si="30"/>
        <v>244013</v>
      </c>
      <c r="X109" s="16">
        <f t="shared" si="31"/>
        <v>244008</v>
      </c>
      <c r="Y109" s="15"/>
      <c r="Z109" s="177"/>
      <c r="AA109" s="170"/>
      <c r="AB109" s="170"/>
      <c r="AC109" s="170"/>
      <c r="AD109" s="170"/>
      <c r="AE109" s="15"/>
      <c r="AF109" s="177"/>
      <c r="AG109" s="177">
        <f t="shared" si="18"/>
        <v>0</v>
      </c>
      <c r="AH109" s="177">
        <f t="shared" si="19"/>
        <v>0</v>
      </c>
      <c r="AK109" s="176"/>
      <c r="AL109" s="176"/>
    </row>
    <row r="110" spans="1:38" ht="36" customHeight="1" x14ac:dyDescent="0.2">
      <c r="A110" s="14" t="s">
        <v>17</v>
      </c>
      <c r="B110" s="212">
        <v>244006</v>
      </c>
      <c r="C110" s="14" t="s">
        <v>547</v>
      </c>
      <c r="D110" s="14" t="s">
        <v>268</v>
      </c>
      <c r="E110" s="14" t="s">
        <v>14</v>
      </c>
      <c r="F110" s="14" t="s">
        <v>324</v>
      </c>
      <c r="G110" s="179">
        <v>680109</v>
      </c>
      <c r="H110" s="176" t="s">
        <v>996</v>
      </c>
      <c r="I110" s="176" t="s">
        <v>630</v>
      </c>
      <c r="J110" s="176" t="s">
        <v>520</v>
      </c>
      <c r="K110" s="176" t="s">
        <v>999</v>
      </c>
      <c r="L110" s="40" t="s">
        <v>105</v>
      </c>
      <c r="M110" s="40" t="s">
        <v>341</v>
      </c>
      <c r="N110" s="14" t="s">
        <v>1003</v>
      </c>
      <c r="O110" s="14" t="s">
        <v>1008</v>
      </c>
      <c r="P110" s="14" t="s">
        <v>1011</v>
      </c>
      <c r="Q110" s="14" t="s">
        <v>1014</v>
      </c>
      <c r="R110" s="17">
        <v>120</v>
      </c>
      <c r="S110" s="172" t="s">
        <v>51</v>
      </c>
      <c r="T110" s="17">
        <v>2020</v>
      </c>
      <c r="U110" s="14" t="s">
        <v>51</v>
      </c>
      <c r="V110" s="16">
        <f t="shared" si="29"/>
        <v>244006</v>
      </c>
      <c r="W110" s="16">
        <f t="shared" si="30"/>
        <v>244013</v>
      </c>
      <c r="X110" s="16">
        <f t="shared" si="31"/>
        <v>244008</v>
      </c>
      <c r="Y110" s="15"/>
      <c r="Z110" s="177"/>
      <c r="AA110" s="170"/>
      <c r="AB110" s="170"/>
      <c r="AC110" s="170"/>
      <c r="AD110" s="170"/>
      <c r="AE110" s="15"/>
      <c r="AF110" s="177"/>
      <c r="AG110" s="177">
        <f t="shared" si="18"/>
        <v>0</v>
      </c>
      <c r="AH110" s="177">
        <f t="shared" si="19"/>
        <v>0</v>
      </c>
      <c r="AK110" s="176"/>
      <c r="AL110" s="176"/>
    </row>
    <row r="111" spans="1:38" ht="36" customHeight="1" x14ac:dyDescent="0.2">
      <c r="A111" s="14" t="s">
        <v>17</v>
      </c>
      <c r="B111" s="212">
        <v>244006</v>
      </c>
      <c r="C111" s="14" t="s">
        <v>547</v>
      </c>
      <c r="D111" s="14" t="s">
        <v>268</v>
      </c>
      <c r="E111" s="14" t="s">
        <v>14</v>
      </c>
      <c r="F111" s="14" t="s">
        <v>324</v>
      </c>
      <c r="G111" s="179">
        <v>680110</v>
      </c>
      <c r="H111" s="176" t="s">
        <v>997</v>
      </c>
      <c r="I111" s="176" t="s">
        <v>612</v>
      </c>
      <c r="J111" s="176" t="s">
        <v>131</v>
      </c>
      <c r="K111" s="176" t="s">
        <v>1000</v>
      </c>
      <c r="L111" s="40" t="s">
        <v>105</v>
      </c>
      <c r="M111" s="40" t="s">
        <v>341</v>
      </c>
      <c r="N111" s="14" t="s">
        <v>1004</v>
      </c>
      <c r="O111" s="14" t="s">
        <v>552</v>
      </c>
      <c r="P111" s="14" t="s">
        <v>1012</v>
      </c>
      <c r="Q111" s="14" t="s">
        <v>553</v>
      </c>
      <c r="R111" s="17">
        <v>1100</v>
      </c>
      <c r="S111" s="172" t="s">
        <v>51</v>
      </c>
      <c r="T111" s="17">
        <v>1877</v>
      </c>
      <c r="U111" s="14" t="s">
        <v>51</v>
      </c>
      <c r="V111" s="16">
        <f t="shared" si="29"/>
        <v>244006</v>
      </c>
      <c r="W111" s="16">
        <f t="shared" si="30"/>
        <v>244013</v>
      </c>
      <c r="X111" s="16">
        <f t="shared" si="31"/>
        <v>244008</v>
      </c>
      <c r="Y111" s="15"/>
      <c r="Z111" s="177"/>
      <c r="AA111" s="170"/>
      <c r="AB111" s="170"/>
      <c r="AC111" s="170"/>
      <c r="AD111" s="170"/>
      <c r="AE111" s="15"/>
      <c r="AF111" s="177"/>
      <c r="AG111" s="177">
        <f t="shared" si="18"/>
        <v>0</v>
      </c>
      <c r="AH111" s="177">
        <f t="shared" si="19"/>
        <v>0</v>
      </c>
      <c r="AK111" s="176"/>
      <c r="AL111" s="176"/>
    </row>
    <row r="112" spans="1:38" ht="36" customHeight="1" x14ac:dyDescent="0.2">
      <c r="A112" s="14" t="s">
        <v>17</v>
      </c>
      <c r="B112" s="212">
        <v>244006</v>
      </c>
      <c r="C112" s="14" t="s">
        <v>547</v>
      </c>
      <c r="D112" s="14" t="s">
        <v>268</v>
      </c>
      <c r="E112" s="14" t="s">
        <v>14</v>
      </c>
      <c r="F112" s="14" t="s">
        <v>324</v>
      </c>
      <c r="G112" s="179">
        <v>680111</v>
      </c>
      <c r="H112" s="176" t="s">
        <v>996</v>
      </c>
      <c r="I112" s="176" t="s">
        <v>630</v>
      </c>
      <c r="J112" s="176" t="s">
        <v>520</v>
      </c>
      <c r="K112" s="176" t="s">
        <v>999</v>
      </c>
      <c r="L112" s="40" t="s">
        <v>105</v>
      </c>
      <c r="M112" s="40" t="s">
        <v>341</v>
      </c>
      <c r="N112" s="14" t="s">
        <v>1005</v>
      </c>
      <c r="O112" s="14" t="s">
        <v>1009</v>
      </c>
      <c r="P112" s="14" t="s">
        <v>971</v>
      </c>
      <c r="Q112" s="14" t="s">
        <v>323</v>
      </c>
      <c r="R112" s="17">
        <v>493</v>
      </c>
      <c r="S112" s="172" t="s">
        <v>51</v>
      </c>
      <c r="T112" s="17">
        <v>2050</v>
      </c>
      <c r="U112" s="14" t="s">
        <v>51</v>
      </c>
      <c r="V112" s="16">
        <f t="shared" si="29"/>
        <v>244006</v>
      </c>
      <c r="W112" s="16">
        <f t="shared" si="30"/>
        <v>244013</v>
      </c>
      <c r="X112" s="16">
        <f t="shared" si="31"/>
        <v>244008</v>
      </c>
      <c r="Y112" s="15"/>
      <c r="Z112" s="177"/>
      <c r="AA112" s="170"/>
      <c r="AB112" s="170"/>
      <c r="AC112" s="170"/>
      <c r="AD112" s="170"/>
      <c r="AE112" s="15"/>
      <c r="AF112" s="177"/>
      <c r="AG112" s="177">
        <f t="shared" si="18"/>
        <v>0</v>
      </c>
      <c r="AH112" s="177">
        <f t="shared" si="19"/>
        <v>0</v>
      </c>
      <c r="AK112" s="176"/>
      <c r="AL112" s="176"/>
    </row>
    <row r="113" spans="1:38" ht="36" customHeight="1" x14ac:dyDescent="0.2">
      <c r="A113" s="14" t="s">
        <v>17</v>
      </c>
      <c r="B113" s="212">
        <v>244006</v>
      </c>
      <c r="C113" s="14" t="s">
        <v>547</v>
      </c>
      <c r="D113" s="14" t="s">
        <v>268</v>
      </c>
      <c r="E113" s="14" t="s">
        <v>14</v>
      </c>
      <c r="F113" s="14" t="s">
        <v>324</v>
      </c>
      <c r="G113" s="179">
        <v>680112</v>
      </c>
      <c r="H113" s="176" t="s">
        <v>997</v>
      </c>
      <c r="I113" s="176" t="s">
        <v>612</v>
      </c>
      <c r="J113" s="176" t="s">
        <v>131</v>
      </c>
      <c r="K113" s="176" t="s">
        <v>964</v>
      </c>
      <c r="L113" s="40" t="s">
        <v>105</v>
      </c>
      <c r="M113" s="40" t="s">
        <v>341</v>
      </c>
      <c r="N113" s="14" t="s">
        <v>1006</v>
      </c>
      <c r="O113" s="14" t="s">
        <v>1010</v>
      </c>
      <c r="P113" s="14" t="s">
        <v>1013</v>
      </c>
      <c r="Q113" s="14" t="s">
        <v>1015</v>
      </c>
      <c r="R113" s="17">
        <v>250</v>
      </c>
      <c r="S113" s="172" t="s">
        <v>51</v>
      </c>
      <c r="T113" s="17">
        <v>1930</v>
      </c>
      <c r="U113" s="14" t="s">
        <v>51</v>
      </c>
      <c r="V113" s="16">
        <f t="shared" si="29"/>
        <v>244006</v>
      </c>
      <c r="W113" s="16">
        <f t="shared" si="30"/>
        <v>244013</v>
      </c>
      <c r="X113" s="16">
        <f t="shared" si="31"/>
        <v>244008</v>
      </c>
      <c r="Y113" s="15"/>
      <c r="Z113" s="177"/>
      <c r="AA113" s="170"/>
      <c r="AB113" s="170"/>
      <c r="AC113" s="170"/>
      <c r="AD113" s="170"/>
      <c r="AE113" s="15"/>
      <c r="AF113" s="177"/>
      <c r="AG113" s="177">
        <f t="shared" si="18"/>
        <v>0</v>
      </c>
      <c r="AH113" s="177">
        <f t="shared" si="19"/>
        <v>0</v>
      </c>
      <c r="AK113" s="176"/>
      <c r="AL113" s="176"/>
    </row>
    <row r="114" spans="1:38" ht="36" customHeight="1" x14ac:dyDescent="0.2">
      <c r="A114" s="14" t="s">
        <v>17</v>
      </c>
      <c r="B114" s="212">
        <v>244006</v>
      </c>
      <c r="C114" s="14" t="s">
        <v>547</v>
      </c>
      <c r="D114" s="14" t="s">
        <v>268</v>
      </c>
      <c r="E114" s="14" t="s">
        <v>14</v>
      </c>
      <c r="F114" s="14" t="s">
        <v>324</v>
      </c>
      <c r="G114" s="179">
        <v>680113</v>
      </c>
      <c r="H114" s="176" t="s">
        <v>760</v>
      </c>
      <c r="I114" s="176" t="s">
        <v>551</v>
      </c>
      <c r="J114" s="176" t="s">
        <v>596</v>
      </c>
      <c r="K114" s="176" t="s">
        <v>1001</v>
      </c>
      <c r="L114" s="40" t="s">
        <v>106</v>
      </c>
      <c r="M114" s="40" t="s">
        <v>341</v>
      </c>
      <c r="N114" s="14" t="s">
        <v>1007</v>
      </c>
      <c r="O114" s="14" t="s">
        <v>548</v>
      </c>
      <c r="P114" s="14" t="s">
        <v>518</v>
      </c>
      <c r="Q114" s="14" t="s">
        <v>549</v>
      </c>
      <c r="R114" s="17">
        <v>139</v>
      </c>
      <c r="S114" s="172" t="s">
        <v>51</v>
      </c>
      <c r="T114" s="17"/>
      <c r="U114" s="14"/>
      <c r="V114" s="16">
        <f t="shared" si="29"/>
        <v>244006</v>
      </c>
      <c r="W114" s="16">
        <f t="shared" si="30"/>
        <v>244013</v>
      </c>
      <c r="X114" s="16">
        <f t="shared" si="31"/>
        <v>244008</v>
      </c>
      <c r="Y114" s="15"/>
      <c r="Z114" s="177"/>
      <c r="AA114" s="170"/>
      <c r="AB114" s="170"/>
      <c r="AC114" s="170"/>
      <c r="AD114" s="170"/>
      <c r="AE114" s="15"/>
      <c r="AF114" s="177"/>
      <c r="AG114" s="177">
        <f t="shared" si="18"/>
        <v>0</v>
      </c>
      <c r="AH114" s="177">
        <f t="shared" si="19"/>
        <v>0</v>
      </c>
      <c r="AK114" s="176"/>
      <c r="AL114" s="176"/>
    </row>
    <row r="115" spans="1:38" ht="36" customHeight="1" x14ac:dyDescent="0.2">
      <c r="A115" s="14" t="s">
        <v>17</v>
      </c>
      <c r="B115" s="212">
        <v>244006</v>
      </c>
      <c r="C115" s="14" t="s">
        <v>547</v>
      </c>
      <c r="D115" s="14" t="s">
        <v>268</v>
      </c>
      <c r="E115" s="14" t="s">
        <v>14</v>
      </c>
      <c r="F115" s="14" t="s">
        <v>324</v>
      </c>
      <c r="G115" s="179">
        <v>680114</v>
      </c>
      <c r="H115" s="176" t="s">
        <v>1016</v>
      </c>
      <c r="I115" s="176" t="s">
        <v>802</v>
      </c>
      <c r="J115" s="176" t="s">
        <v>143</v>
      </c>
      <c r="K115" s="176" t="s">
        <v>1018</v>
      </c>
      <c r="L115" s="40" t="s">
        <v>710</v>
      </c>
      <c r="M115" s="40" t="s">
        <v>341</v>
      </c>
      <c r="N115" s="14" t="s">
        <v>836</v>
      </c>
      <c r="O115" s="14" t="s">
        <v>548</v>
      </c>
      <c r="P115" s="14" t="s">
        <v>518</v>
      </c>
      <c r="Q115" s="14" t="s">
        <v>549</v>
      </c>
      <c r="R115" s="17">
        <v>130</v>
      </c>
      <c r="S115" s="172" t="s">
        <v>51</v>
      </c>
      <c r="T115" s="17">
        <v>1129</v>
      </c>
      <c r="U115" s="14" t="s">
        <v>51</v>
      </c>
      <c r="V115" s="16">
        <f t="shared" si="29"/>
        <v>244006</v>
      </c>
      <c r="W115" s="16">
        <f t="shared" si="30"/>
        <v>244013</v>
      </c>
      <c r="X115" s="16">
        <f t="shared" si="31"/>
        <v>244008</v>
      </c>
      <c r="Y115" s="15"/>
      <c r="Z115" s="177"/>
      <c r="AA115" s="170"/>
      <c r="AB115" s="170"/>
      <c r="AC115" s="170"/>
      <c r="AD115" s="170"/>
      <c r="AE115" s="15"/>
      <c r="AF115" s="177"/>
      <c r="AG115" s="177">
        <f t="shared" si="18"/>
        <v>0</v>
      </c>
      <c r="AH115" s="177">
        <f t="shared" si="19"/>
        <v>0</v>
      </c>
      <c r="AK115" s="176"/>
      <c r="AL115" s="176"/>
    </row>
    <row r="116" spans="1:38" ht="36" customHeight="1" x14ac:dyDescent="0.2">
      <c r="A116" s="14" t="s">
        <v>17</v>
      </c>
      <c r="B116" s="212">
        <v>244006</v>
      </c>
      <c r="C116" s="14" t="s">
        <v>547</v>
      </c>
      <c r="D116" s="14" t="s">
        <v>268</v>
      </c>
      <c r="E116" s="14" t="s">
        <v>14</v>
      </c>
      <c r="F116" s="14" t="s">
        <v>324</v>
      </c>
      <c r="G116" s="179">
        <v>680115</v>
      </c>
      <c r="H116" s="176" t="s">
        <v>1017</v>
      </c>
      <c r="I116" s="176" t="s">
        <v>612</v>
      </c>
      <c r="J116" s="176" t="s">
        <v>131</v>
      </c>
      <c r="K116" s="176" t="s">
        <v>1019</v>
      </c>
      <c r="L116" s="40" t="s">
        <v>105</v>
      </c>
      <c r="M116" s="40" t="s">
        <v>341</v>
      </c>
      <c r="N116" s="14" t="s">
        <v>1020</v>
      </c>
      <c r="O116" s="14" t="s">
        <v>1021</v>
      </c>
      <c r="P116" s="14" t="s">
        <v>1022</v>
      </c>
      <c r="Q116" s="14" t="s">
        <v>1023</v>
      </c>
      <c r="R116" s="17">
        <v>1600</v>
      </c>
      <c r="S116" s="172" t="s">
        <v>51</v>
      </c>
      <c r="T116" s="17">
        <v>1130</v>
      </c>
      <c r="U116" s="14" t="s">
        <v>51</v>
      </c>
      <c r="V116" s="16">
        <f t="shared" si="29"/>
        <v>244006</v>
      </c>
      <c r="W116" s="16">
        <f t="shared" si="30"/>
        <v>244013</v>
      </c>
      <c r="X116" s="16">
        <f t="shared" si="31"/>
        <v>244008</v>
      </c>
      <c r="Y116" s="15"/>
      <c r="Z116" s="177"/>
      <c r="AA116" s="170"/>
      <c r="AB116" s="170"/>
      <c r="AC116" s="170"/>
      <c r="AD116" s="170"/>
      <c r="AE116" s="15"/>
      <c r="AF116" s="177"/>
      <c r="AG116" s="177">
        <f t="shared" si="18"/>
        <v>0</v>
      </c>
      <c r="AH116" s="177">
        <f t="shared" si="19"/>
        <v>0</v>
      </c>
      <c r="AK116" s="176"/>
      <c r="AL116" s="176"/>
    </row>
    <row r="117" spans="1:38" ht="36" customHeight="1" x14ac:dyDescent="0.2">
      <c r="A117" s="14" t="s">
        <v>17</v>
      </c>
      <c r="B117" s="212">
        <v>244007</v>
      </c>
      <c r="C117" s="14" t="s">
        <v>547</v>
      </c>
      <c r="D117" s="14" t="s">
        <v>268</v>
      </c>
      <c r="E117" s="14" t="s">
        <v>14</v>
      </c>
      <c r="F117" s="14" t="s">
        <v>324</v>
      </c>
      <c r="G117" s="179">
        <v>680116</v>
      </c>
      <c r="H117" s="176" t="s">
        <v>1024</v>
      </c>
      <c r="I117" s="176" t="s">
        <v>612</v>
      </c>
      <c r="J117" s="176" t="s">
        <v>865</v>
      </c>
      <c r="K117" s="176" t="s">
        <v>1027</v>
      </c>
      <c r="L117" s="40" t="s">
        <v>105</v>
      </c>
      <c r="M117" s="40" t="s">
        <v>341</v>
      </c>
      <c r="N117" s="14" t="s">
        <v>1030</v>
      </c>
      <c r="O117" s="14" t="s">
        <v>528</v>
      </c>
      <c r="P117" s="14" t="s">
        <v>940</v>
      </c>
      <c r="Q117" s="14" t="s">
        <v>541</v>
      </c>
      <c r="R117" s="17">
        <v>250</v>
      </c>
      <c r="S117" s="172" t="s">
        <v>51</v>
      </c>
      <c r="T117" s="17">
        <v>1915</v>
      </c>
      <c r="U117" s="14" t="s">
        <v>51</v>
      </c>
      <c r="V117" s="16">
        <f t="shared" si="29"/>
        <v>244007</v>
      </c>
      <c r="W117" s="16">
        <f t="shared" si="30"/>
        <v>244014</v>
      </c>
      <c r="X117" s="16">
        <f t="shared" si="31"/>
        <v>244009</v>
      </c>
      <c r="Y117" s="15"/>
      <c r="Z117" s="177"/>
      <c r="AA117" s="170"/>
      <c r="AB117" s="170"/>
      <c r="AC117" s="170"/>
      <c r="AD117" s="170"/>
      <c r="AE117" s="15"/>
      <c r="AF117" s="177"/>
      <c r="AG117" s="177">
        <f t="shared" si="18"/>
        <v>0</v>
      </c>
      <c r="AH117" s="177">
        <f t="shared" si="19"/>
        <v>0</v>
      </c>
      <c r="AK117" s="176"/>
      <c r="AL117" s="176"/>
    </row>
    <row r="118" spans="1:38" ht="36" customHeight="1" x14ac:dyDescent="0.2">
      <c r="A118" s="14" t="s">
        <v>17</v>
      </c>
      <c r="B118" s="212">
        <v>244007</v>
      </c>
      <c r="C118" s="14" t="s">
        <v>547</v>
      </c>
      <c r="D118" s="14" t="s">
        <v>268</v>
      </c>
      <c r="E118" s="14" t="s">
        <v>14</v>
      </c>
      <c r="F118" s="14" t="s">
        <v>324</v>
      </c>
      <c r="G118" s="179">
        <v>680117</v>
      </c>
      <c r="H118" s="176" t="s">
        <v>1024</v>
      </c>
      <c r="I118" s="176" t="s">
        <v>612</v>
      </c>
      <c r="J118" s="176" t="s">
        <v>865</v>
      </c>
      <c r="K118" s="176" t="s">
        <v>1027</v>
      </c>
      <c r="L118" s="40" t="s">
        <v>105</v>
      </c>
      <c r="M118" s="40" t="s">
        <v>341</v>
      </c>
      <c r="N118" s="14" t="s">
        <v>1031</v>
      </c>
      <c r="O118" s="14" t="s">
        <v>923</v>
      </c>
      <c r="P118" s="14" t="s">
        <v>1037</v>
      </c>
      <c r="Q118" s="14" t="s">
        <v>929</v>
      </c>
      <c r="R118" s="17">
        <v>300</v>
      </c>
      <c r="S118" s="172" t="s">
        <v>51</v>
      </c>
      <c r="T118" s="17">
        <v>1915</v>
      </c>
      <c r="U118" s="14" t="s">
        <v>51</v>
      </c>
      <c r="V118" s="16">
        <f t="shared" si="29"/>
        <v>244007</v>
      </c>
      <c r="W118" s="16">
        <f t="shared" si="30"/>
        <v>244014</v>
      </c>
      <c r="X118" s="16">
        <f t="shared" si="31"/>
        <v>244009</v>
      </c>
      <c r="Y118" s="15"/>
      <c r="Z118" s="177"/>
      <c r="AA118" s="170"/>
      <c r="AB118" s="170"/>
      <c r="AC118" s="170"/>
      <c r="AD118" s="170"/>
      <c r="AE118" s="15"/>
      <c r="AF118" s="177"/>
      <c r="AG118" s="177">
        <f t="shared" si="18"/>
        <v>0</v>
      </c>
      <c r="AH118" s="177">
        <f t="shared" si="19"/>
        <v>0</v>
      </c>
      <c r="AK118" s="176"/>
      <c r="AL118" s="176"/>
    </row>
    <row r="119" spans="1:38" ht="36" customHeight="1" x14ac:dyDescent="0.2">
      <c r="A119" s="14" t="s">
        <v>17</v>
      </c>
      <c r="B119" s="212">
        <v>244007</v>
      </c>
      <c r="C119" s="14" t="s">
        <v>547</v>
      </c>
      <c r="D119" s="14" t="s">
        <v>268</v>
      </c>
      <c r="E119" s="14" t="s">
        <v>14</v>
      </c>
      <c r="F119" s="14" t="s">
        <v>324</v>
      </c>
      <c r="G119" s="179">
        <v>680118</v>
      </c>
      <c r="H119" s="176" t="s">
        <v>1024</v>
      </c>
      <c r="I119" s="176" t="s">
        <v>612</v>
      </c>
      <c r="J119" s="176" t="s">
        <v>865</v>
      </c>
      <c r="K119" s="176" t="s">
        <v>1027</v>
      </c>
      <c r="L119" s="40" t="s">
        <v>105</v>
      </c>
      <c r="M119" s="40" t="s">
        <v>341</v>
      </c>
      <c r="N119" s="14" t="s">
        <v>1032</v>
      </c>
      <c r="O119" s="14" t="s">
        <v>548</v>
      </c>
      <c r="P119" s="14" t="s">
        <v>518</v>
      </c>
      <c r="Q119" s="14" t="s">
        <v>549</v>
      </c>
      <c r="R119" s="17">
        <v>116</v>
      </c>
      <c r="S119" s="172" t="s">
        <v>51</v>
      </c>
      <c r="T119" s="17">
        <v>2035</v>
      </c>
      <c r="U119" s="14" t="s">
        <v>51</v>
      </c>
      <c r="V119" s="16">
        <f t="shared" si="29"/>
        <v>244007</v>
      </c>
      <c r="W119" s="16">
        <f t="shared" si="30"/>
        <v>244014</v>
      </c>
      <c r="X119" s="16">
        <f t="shared" si="31"/>
        <v>244009</v>
      </c>
      <c r="Y119" s="15"/>
      <c r="Z119" s="177"/>
      <c r="AA119" s="170"/>
      <c r="AB119" s="170"/>
      <c r="AC119" s="170"/>
      <c r="AD119" s="170"/>
      <c r="AE119" s="15"/>
      <c r="AF119" s="177"/>
      <c r="AG119" s="177">
        <f t="shared" si="18"/>
        <v>0</v>
      </c>
      <c r="AH119" s="177">
        <f t="shared" si="19"/>
        <v>0</v>
      </c>
      <c r="AK119" s="176"/>
      <c r="AL119" s="176"/>
    </row>
    <row r="120" spans="1:38" ht="36" customHeight="1" x14ac:dyDescent="0.2">
      <c r="A120" s="14" t="s">
        <v>17</v>
      </c>
      <c r="B120" s="212">
        <v>244007</v>
      </c>
      <c r="C120" s="14" t="s">
        <v>547</v>
      </c>
      <c r="D120" s="14" t="s">
        <v>268</v>
      </c>
      <c r="E120" s="14" t="s">
        <v>14</v>
      </c>
      <c r="F120" s="14" t="s">
        <v>324</v>
      </c>
      <c r="G120" s="179">
        <v>680119</v>
      </c>
      <c r="H120" s="176" t="s">
        <v>1025</v>
      </c>
      <c r="I120" s="176" t="s">
        <v>612</v>
      </c>
      <c r="J120" s="176" t="s">
        <v>727</v>
      </c>
      <c r="K120" s="176" t="s">
        <v>1028</v>
      </c>
      <c r="L120" s="40" t="s">
        <v>105</v>
      </c>
      <c r="M120" s="40" t="s">
        <v>341</v>
      </c>
      <c r="N120" s="14" t="s">
        <v>967</v>
      </c>
      <c r="O120" s="14" t="s">
        <v>548</v>
      </c>
      <c r="P120" s="14" t="s">
        <v>518</v>
      </c>
      <c r="Q120" s="14" t="s">
        <v>549</v>
      </c>
      <c r="R120" s="17">
        <v>146</v>
      </c>
      <c r="S120" s="172" t="s">
        <v>51</v>
      </c>
      <c r="T120" s="17">
        <v>1880</v>
      </c>
      <c r="U120" s="14" t="s">
        <v>51</v>
      </c>
      <c r="V120" s="16">
        <f t="shared" si="29"/>
        <v>244007</v>
      </c>
      <c r="W120" s="16">
        <f t="shared" si="30"/>
        <v>244014</v>
      </c>
      <c r="X120" s="16">
        <f t="shared" si="31"/>
        <v>244009</v>
      </c>
      <c r="Y120" s="15"/>
      <c r="Z120" s="177"/>
      <c r="AA120" s="170"/>
      <c r="AB120" s="170"/>
      <c r="AC120" s="170"/>
      <c r="AD120" s="170"/>
      <c r="AE120" s="15"/>
      <c r="AF120" s="177"/>
      <c r="AG120" s="177">
        <f t="shared" si="18"/>
        <v>0</v>
      </c>
      <c r="AH120" s="177">
        <f t="shared" si="19"/>
        <v>0</v>
      </c>
      <c r="AK120" s="176"/>
      <c r="AL120" s="176"/>
    </row>
    <row r="121" spans="1:38" ht="36" customHeight="1" x14ac:dyDescent="0.2">
      <c r="A121" s="14" t="s">
        <v>17</v>
      </c>
      <c r="B121" s="212">
        <v>244007</v>
      </c>
      <c r="C121" s="14" t="s">
        <v>547</v>
      </c>
      <c r="D121" s="14" t="s">
        <v>268</v>
      </c>
      <c r="E121" s="14" t="s">
        <v>14</v>
      </c>
      <c r="F121" s="14" t="s">
        <v>324</v>
      </c>
      <c r="G121" s="179">
        <v>680120</v>
      </c>
      <c r="H121" s="176" t="s">
        <v>1025</v>
      </c>
      <c r="I121" s="176" t="s">
        <v>612</v>
      </c>
      <c r="J121" s="176" t="s">
        <v>727</v>
      </c>
      <c r="K121" s="176" t="s">
        <v>1028</v>
      </c>
      <c r="L121" s="40" t="s">
        <v>105</v>
      </c>
      <c r="M121" s="40" t="s">
        <v>341</v>
      </c>
      <c r="N121" s="14" t="s">
        <v>1033</v>
      </c>
      <c r="O121" s="14" t="s">
        <v>552</v>
      </c>
      <c r="P121" s="14" t="s">
        <v>519</v>
      </c>
      <c r="Q121" s="14" t="s">
        <v>553</v>
      </c>
      <c r="R121" s="17">
        <v>300</v>
      </c>
      <c r="S121" s="172" t="s">
        <v>51</v>
      </c>
      <c r="T121" s="17">
        <v>1880</v>
      </c>
      <c r="U121" s="14" t="s">
        <v>51</v>
      </c>
      <c r="V121" s="16">
        <f t="shared" si="29"/>
        <v>244007</v>
      </c>
      <c r="W121" s="16">
        <f t="shared" si="30"/>
        <v>244014</v>
      </c>
      <c r="X121" s="16">
        <f t="shared" si="31"/>
        <v>244009</v>
      </c>
      <c r="Y121" s="15"/>
      <c r="Z121" s="177"/>
      <c r="AA121" s="170"/>
      <c r="AB121" s="170"/>
      <c r="AC121" s="170"/>
      <c r="AD121" s="170"/>
      <c r="AE121" s="15"/>
      <c r="AF121" s="177"/>
      <c r="AG121" s="177">
        <f t="shared" si="18"/>
        <v>0</v>
      </c>
      <c r="AH121" s="177">
        <f t="shared" si="19"/>
        <v>0</v>
      </c>
      <c r="AK121" s="176"/>
      <c r="AL121" s="176"/>
    </row>
    <row r="122" spans="1:38" ht="36" customHeight="1" x14ac:dyDescent="0.2">
      <c r="A122" s="14" t="s">
        <v>17</v>
      </c>
      <c r="B122" s="212">
        <v>244007</v>
      </c>
      <c r="C122" s="14" t="s">
        <v>547</v>
      </c>
      <c r="D122" s="14" t="s">
        <v>268</v>
      </c>
      <c r="E122" s="14" t="s">
        <v>14</v>
      </c>
      <c r="F122" s="14" t="s">
        <v>324</v>
      </c>
      <c r="G122" s="179">
        <v>680121</v>
      </c>
      <c r="H122" s="176" t="s">
        <v>1026</v>
      </c>
      <c r="I122" s="176" t="s">
        <v>908</v>
      </c>
      <c r="J122" s="176" t="s">
        <v>133</v>
      </c>
      <c r="K122" s="176" t="s">
        <v>1029</v>
      </c>
      <c r="L122" s="40" t="s">
        <v>45</v>
      </c>
      <c r="M122" s="40" t="s">
        <v>341</v>
      </c>
      <c r="N122" s="14" t="s">
        <v>1034</v>
      </c>
      <c r="O122" s="14" t="s">
        <v>548</v>
      </c>
      <c r="P122" s="14" t="s">
        <v>518</v>
      </c>
      <c r="Q122" s="14" t="s">
        <v>549</v>
      </c>
      <c r="R122" s="17">
        <v>293</v>
      </c>
      <c r="S122" s="172" t="s">
        <v>51</v>
      </c>
      <c r="T122" s="17">
        <v>1911</v>
      </c>
      <c r="U122" s="14" t="s">
        <v>51</v>
      </c>
      <c r="V122" s="16">
        <f t="shared" si="29"/>
        <v>244007</v>
      </c>
      <c r="W122" s="16">
        <f t="shared" si="30"/>
        <v>244014</v>
      </c>
      <c r="X122" s="16">
        <f t="shared" si="31"/>
        <v>244009</v>
      </c>
      <c r="Y122" s="15"/>
      <c r="Z122" s="177"/>
      <c r="AA122" s="170"/>
      <c r="AB122" s="170"/>
      <c r="AC122" s="170"/>
      <c r="AD122" s="170"/>
      <c r="AE122" s="15"/>
      <c r="AF122" s="177"/>
      <c r="AG122" s="177">
        <f t="shared" si="18"/>
        <v>0</v>
      </c>
      <c r="AH122" s="177">
        <f t="shared" si="19"/>
        <v>0</v>
      </c>
      <c r="AK122" s="176"/>
      <c r="AL122" s="176"/>
    </row>
    <row r="123" spans="1:38" ht="36" customHeight="1" x14ac:dyDescent="0.2">
      <c r="A123" s="14" t="s">
        <v>17</v>
      </c>
      <c r="B123" s="212">
        <v>244007</v>
      </c>
      <c r="C123" s="14" t="s">
        <v>547</v>
      </c>
      <c r="D123" s="14" t="s">
        <v>268</v>
      </c>
      <c r="E123" s="14" t="s">
        <v>14</v>
      </c>
      <c r="F123" s="14" t="s">
        <v>324</v>
      </c>
      <c r="G123" s="179">
        <v>680122</v>
      </c>
      <c r="H123" s="176" t="s">
        <v>1026</v>
      </c>
      <c r="I123" s="176" t="s">
        <v>908</v>
      </c>
      <c r="J123" s="176" t="s">
        <v>133</v>
      </c>
      <c r="K123" s="176" t="s">
        <v>1029</v>
      </c>
      <c r="L123" s="40" t="s">
        <v>45</v>
      </c>
      <c r="M123" s="40" t="s">
        <v>341</v>
      </c>
      <c r="N123" s="14" t="s">
        <v>1035</v>
      </c>
      <c r="O123" s="14" t="s">
        <v>953</v>
      </c>
      <c r="P123" s="14" t="s">
        <v>940</v>
      </c>
      <c r="Q123" s="14" t="s">
        <v>956</v>
      </c>
      <c r="R123" s="17">
        <v>500</v>
      </c>
      <c r="S123" s="172" t="s">
        <v>51</v>
      </c>
      <c r="T123" s="17">
        <v>1942</v>
      </c>
      <c r="U123" s="14" t="s">
        <v>51</v>
      </c>
      <c r="V123" s="16">
        <f t="shared" si="29"/>
        <v>244007</v>
      </c>
      <c r="W123" s="16">
        <f t="shared" si="30"/>
        <v>244014</v>
      </c>
      <c r="X123" s="16">
        <f t="shared" si="31"/>
        <v>244009</v>
      </c>
      <c r="Y123" s="15"/>
      <c r="Z123" s="177"/>
      <c r="AA123" s="170"/>
      <c r="AB123" s="170"/>
      <c r="AC123" s="170"/>
      <c r="AD123" s="170"/>
      <c r="AE123" s="15"/>
      <c r="AF123" s="177"/>
      <c r="AG123" s="177">
        <f t="shared" si="18"/>
        <v>0</v>
      </c>
      <c r="AH123" s="177">
        <f t="shared" si="19"/>
        <v>0</v>
      </c>
      <c r="AK123" s="176"/>
      <c r="AL123" s="176"/>
    </row>
    <row r="124" spans="1:38" ht="36" customHeight="1" x14ac:dyDescent="0.2">
      <c r="A124" s="14" t="s">
        <v>17</v>
      </c>
      <c r="B124" s="212">
        <v>244007</v>
      </c>
      <c r="C124" s="14" t="s">
        <v>547</v>
      </c>
      <c r="D124" s="14" t="s">
        <v>268</v>
      </c>
      <c r="E124" s="14" t="s">
        <v>14</v>
      </c>
      <c r="F124" s="14" t="s">
        <v>324</v>
      </c>
      <c r="G124" s="179">
        <v>680123</v>
      </c>
      <c r="H124" s="176" t="s">
        <v>1026</v>
      </c>
      <c r="I124" s="176" t="s">
        <v>908</v>
      </c>
      <c r="J124" s="176" t="s">
        <v>133</v>
      </c>
      <c r="K124" s="176" t="s">
        <v>1029</v>
      </c>
      <c r="L124" s="40" t="s">
        <v>45</v>
      </c>
      <c r="M124" s="40" t="s">
        <v>341</v>
      </c>
      <c r="N124" s="14" t="s">
        <v>1036</v>
      </c>
      <c r="O124" s="14" t="s">
        <v>527</v>
      </c>
      <c r="P124" s="14" t="s">
        <v>1038</v>
      </c>
      <c r="Q124" s="14" t="s">
        <v>542</v>
      </c>
      <c r="R124" s="17">
        <v>200</v>
      </c>
      <c r="S124" s="172" t="s">
        <v>51</v>
      </c>
      <c r="T124" s="17">
        <v>1942</v>
      </c>
      <c r="U124" s="14" t="s">
        <v>51</v>
      </c>
      <c r="V124" s="16">
        <f t="shared" si="29"/>
        <v>244007</v>
      </c>
      <c r="W124" s="16">
        <f t="shared" si="30"/>
        <v>244014</v>
      </c>
      <c r="X124" s="16">
        <f t="shared" si="31"/>
        <v>244009</v>
      </c>
      <c r="Y124" s="15"/>
      <c r="Z124" s="177"/>
      <c r="AA124" s="170"/>
      <c r="AB124" s="170"/>
      <c r="AC124" s="170"/>
      <c r="AD124" s="170"/>
      <c r="AE124" s="15"/>
      <c r="AF124" s="177"/>
      <c r="AG124" s="177">
        <f t="shared" si="18"/>
        <v>0</v>
      </c>
      <c r="AH124" s="177">
        <f t="shared" si="19"/>
        <v>0</v>
      </c>
      <c r="AK124" s="176"/>
      <c r="AL124" s="176"/>
    </row>
    <row r="125" spans="1:38" ht="36" customHeight="1" x14ac:dyDescent="0.2">
      <c r="A125" s="14" t="s">
        <v>17</v>
      </c>
      <c r="B125" s="212">
        <v>244014</v>
      </c>
      <c r="C125" s="14" t="s">
        <v>547</v>
      </c>
      <c r="D125" s="14" t="s">
        <v>268</v>
      </c>
      <c r="E125" s="14" t="s">
        <v>14</v>
      </c>
      <c r="F125" s="14" t="s">
        <v>324</v>
      </c>
      <c r="G125" s="179">
        <v>680124</v>
      </c>
      <c r="H125" s="176" t="s">
        <v>1039</v>
      </c>
      <c r="I125" s="176" t="s">
        <v>908</v>
      </c>
      <c r="J125" s="176" t="s">
        <v>133</v>
      </c>
      <c r="K125" s="176" t="s">
        <v>1042</v>
      </c>
      <c r="L125" s="40" t="s">
        <v>45</v>
      </c>
      <c r="M125" s="40" t="s">
        <v>341</v>
      </c>
      <c r="N125" s="14" t="s">
        <v>1045</v>
      </c>
      <c r="O125" s="14" t="s">
        <v>528</v>
      </c>
      <c r="P125" s="14" t="s">
        <v>1048</v>
      </c>
      <c r="Q125" s="14" t="s">
        <v>541</v>
      </c>
      <c r="R125" s="17">
        <v>500</v>
      </c>
      <c r="S125" s="172" t="s">
        <v>51</v>
      </c>
      <c r="T125" s="17">
        <v>1400</v>
      </c>
      <c r="U125" s="14" t="s">
        <v>51</v>
      </c>
      <c r="V125" s="16">
        <f t="shared" si="29"/>
        <v>244014</v>
      </c>
      <c r="W125" s="16">
        <f t="shared" si="30"/>
        <v>244021</v>
      </c>
      <c r="X125" s="16">
        <f t="shared" si="31"/>
        <v>244016</v>
      </c>
      <c r="Y125" s="15" t="s">
        <v>54</v>
      </c>
      <c r="Z125" s="177">
        <v>244015</v>
      </c>
      <c r="AA125" s="170"/>
      <c r="AB125" s="170"/>
      <c r="AC125" s="170"/>
      <c r="AD125" s="170"/>
      <c r="AE125" s="15" t="s">
        <v>54</v>
      </c>
      <c r="AF125" s="177">
        <v>244017</v>
      </c>
      <c r="AG125" s="177" t="str">
        <f t="shared" si="18"/>
        <v>Pass</v>
      </c>
      <c r="AH125" s="177">
        <f t="shared" si="19"/>
        <v>244017</v>
      </c>
      <c r="AK125" s="176"/>
      <c r="AL125" s="176"/>
    </row>
    <row r="126" spans="1:38" ht="36" customHeight="1" x14ac:dyDescent="0.2">
      <c r="A126" s="14" t="s">
        <v>17</v>
      </c>
      <c r="B126" s="212">
        <v>244014</v>
      </c>
      <c r="C126" s="14" t="s">
        <v>547</v>
      </c>
      <c r="D126" s="14" t="s">
        <v>268</v>
      </c>
      <c r="E126" s="14" t="s">
        <v>14</v>
      </c>
      <c r="F126" s="14" t="s">
        <v>324</v>
      </c>
      <c r="G126" s="179">
        <v>680125</v>
      </c>
      <c r="H126" s="176" t="s">
        <v>1040</v>
      </c>
      <c r="I126" s="176" t="s">
        <v>802</v>
      </c>
      <c r="J126" s="176" t="s">
        <v>143</v>
      </c>
      <c r="K126" s="176" t="s">
        <v>1043</v>
      </c>
      <c r="L126" s="40" t="s">
        <v>710</v>
      </c>
      <c r="M126" s="40" t="s">
        <v>341</v>
      </c>
      <c r="N126" s="14" t="s">
        <v>1046</v>
      </c>
      <c r="O126" s="14" t="s">
        <v>528</v>
      </c>
      <c r="P126" s="14" t="s">
        <v>1049</v>
      </c>
      <c r="Q126" s="14" t="s">
        <v>541</v>
      </c>
      <c r="R126" s="17">
        <v>300</v>
      </c>
      <c r="S126" s="172" t="s">
        <v>51</v>
      </c>
      <c r="T126" s="17">
        <v>1940</v>
      </c>
      <c r="U126" s="14" t="s">
        <v>51</v>
      </c>
      <c r="V126" s="16">
        <f t="shared" si="29"/>
        <v>244014</v>
      </c>
      <c r="W126" s="16">
        <f t="shared" si="30"/>
        <v>244021</v>
      </c>
      <c r="X126" s="16">
        <f t="shared" si="31"/>
        <v>244016</v>
      </c>
      <c r="Y126" s="15" t="s">
        <v>54</v>
      </c>
      <c r="Z126" s="177">
        <v>244033</v>
      </c>
      <c r="AA126" s="170"/>
      <c r="AB126" s="170"/>
      <c r="AC126" s="170"/>
      <c r="AD126" s="170"/>
      <c r="AE126" s="15" t="s">
        <v>54</v>
      </c>
      <c r="AF126" s="177">
        <v>244034</v>
      </c>
      <c r="AG126" s="177" t="str">
        <f t="shared" si="18"/>
        <v>Pass</v>
      </c>
      <c r="AH126" s="177">
        <f t="shared" si="19"/>
        <v>244034</v>
      </c>
      <c r="AK126" s="176"/>
      <c r="AL126" s="176"/>
    </row>
    <row r="127" spans="1:38" ht="36" customHeight="1" x14ac:dyDescent="0.2">
      <c r="A127" s="14" t="s">
        <v>17</v>
      </c>
      <c r="B127" s="212">
        <v>244014</v>
      </c>
      <c r="C127" s="14" t="s">
        <v>547</v>
      </c>
      <c r="D127" s="14" t="s">
        <v>268</v>
      </c>
      <c r="E127" s="14" t="s">
        <v>14</v>
      </c>
      <c r="F127" s="14" t="s">
        <v>324</v>
      </c>
      <c r="G127" s="179">
        <v>680126</v>
      </c>
      <c r="H127" s="176" t="s">
        <v>1041</v>
      </c>
      <c r="I127" s="176" t="s">
        <v>908</v>
      </c>
      <c r="J127" s="176" t="s">
        <v>133</v>
      </c>
      <c r="K127" s="176" t="s">
        <v>1044</v>
      </c>
      <c r="L127" s="40" t="s">
        <v>45</v>
      </c>
      <c r="M127" s="40" t="s">
        <v>341</v>
      </c>
      <c r="N127" s="14" t="s">
        <v>1047</v>
      </c>
      <c r="O127" s="14" t="s">
        <v>528</v>
      </c>
      <c r="P127" s="14" t="s">
        <v>940</v>
      </c>
      <c r="Q127" s="14" t="s">
        <v>541</v>
      </c>
      <c r="R127" s="17">
        <v>600</v>
      </c>
      <c r="S127" s="172" t="s">
        <v>51</v>
      </c>
      <c r="T127" s="17">
        <v>1970</v>
      </c>
      <c r="U127" s="14" t="s">
        <v>51</v>
      </c>
      <c r="V127" s="16">
        <f t="shared" si="29"/>
        <v>244014</v>
      </c>
      <c r="W127" s="16">
        <f t="shared" si="30"/>
        <v>244021</v>
      </c>
      <c r="X127" s="16">
        <f t="shared" si="31"/>
        <v>244016</v>
      </c>
      <c r="Y127" s="15"/>
      <c r="Z127" s="177"/>
      <c r="AA127" s="170"/>
      <c r="AB127" s="170"/>
      <c r="AC127" s="170"/>
      <c r="AD127" s="170"/>
      <c r="AE127" s="15"/>
      <c r="AF127" s="177"/>
      <c r="AG127" s="177">
        <f t="shared" si="18"/>
        <v>0</v>
      </c>
      <c r="AH127" s="177">
        <f t="shared" si="19"/>
        <v>0</v>
      </c>
      <c r="AK127" s="176"/>
      <c r="AL127" s="176"/>
    </row>
    <row r="128" spans="1:38" ht="36" customHeight="1" x14ac:dyDescent="0.2">
      <c r="A128" s="14" t="s">
        <v>17</v>
      </c>
      <c r="B128" s="212">
        <v>244014</v>
      </c>
      <c r="C128" s="14" t="s">
        <v>547</v>
      </c>
      <c r="D128" s="14" t="s">
        <v>268</v>
      </c>
      <c r="E128" s="14" t="s">
        <v>14</v>
      </c>
      <c r="F128" s="14" t="s">
        <v>324</v>
      </c>
      <c r="G128" s="179">
        <v>680127</v>
      </c>
      <c r="H128" s="176" t="s">
        <v>1050</v>
      </c>
      <c r="I128" s="176" t="s">
        <v>802</v>
      </c>
      <c r="J128" s="176" t="s">
        <v>131</v>
      </c>
      <c r="K128" s="176" t="s">
        <v>1056</v>
      </c>
      <c r="L128" s="40" t="s">
        <v>105</v>
      </c>
      <c r="M128" s="40" t="s">
        <v>341</v>
      </c>
      <c r="N128" s="14" t="s">
        <v>1061</v>
      </c>
      <c r="O128" s="14" t="s">
        <v>1069</v>
      </c>
      <c r="P128" s="14" t="s">
        <v>1071</v>
      </c>
      <c r="Q128" s="14" t="s">
        <v>1075</v>
      </c>
      <c r="R128" s="17">
        <v>400</v>
      </c>
      <c r="S128" s="172" t="s">
        <v>51</v>
      </c>
      <c r="T128" s="17">
        <v>1780</v>
      </c>
      <c r="U128" s="14" t="s">
        <v>51</v>
      </c>
      <c r="V128" s="16">
        <f t="shared" si="29"/>
        <v>244014</v>
      </c>
      <c r="W128" s="16">
        <f t="shared" si="30"/>
        <v>244021</v>
      </c>
      <c r="X128" s="16">
        <f t="shared" si="31"/>
        <v>244016</v>
      </c>
      <c r="Y128" s="15"/>
      <c r="Z128" s="177"/>
      <c r="AA128" s="170"/>
      <c r="AB128" s="170"/>
      <c r="AC128" s="170"/>
      <c r="AD128" s="170"/>
      <c r="AE128" s="15"/>
      <c r="AF128" s="177"/>
      <c r="AG128" s="177">
        <f t="shared" si="18"/>
        <v>0</v>
      </c>
      <c r="AH128" s="177">
        <f t="shared" si="19"/>
        <v>0</v>
      </c>
      <c r="AK128" s="176"/>
      <c r="AL128" s="176"/>
    </row>
    <row r="129" spans="1:38" ht="36" customHeight="1" x14ac:dyDescent="0.2">
      <c r="A129" s="14" t="s">
        <v>17</v>
      </c>
      <c r="B129" s="212">
        <v>244014</v>
      </c>
      <c r="C129" s="14" t="s">
        <v>547</v>
      </c>
      <c r="D129" s="14" t="s">
        <v>268</v>
      </c>
      <c r="E129" s="14" t="s">
        <v>14</v>
      </c>
      <c r="F129" s="14" t="s">
        <v>324</v>
      </c>
      <c r="G129" s="179">
        <v>680128</v>
      </c>
      <c r="H129" s="176" t="s">
        <v>1050</v>
      </c>
      <c r="I129" s="176" t="s">
        <v>802</v>
      </c>
      <c r="J129" s="176" t="s">
        <v>131</v>
      </c>
      <c r="K129" s="176" t="s">
        <v>1056</v>
      </c>
      <c r="L129" s="40" t="s">
        <v>105</v>
      </c>
      <c r="M129" s="40" t="s">
        <v>341</v>
      </c>
      <c r="N129" s="14" t="s">
        <v>1062</v>
      </c>
      <c r="O129" s="14" t="s">
        <v>548</v>
      </c>
      <c r="P129" s="14" t="s">
        <v>518</v>
      </c>
      <c r="Q129" s="14" t="s">
        <v>549</v>
      </c>
      <c r="R129" s="17">
        <v>364</v>
      </c>
      <c r="S129" s="172" t="s">
        <v>51</v>
      </c>
      <c r="T129" s="17"/>
      <c r="U129" s="14"/>
      <c r="V129" s="16">
        <f t="shared" si="29"/>
        <v>244014</v>
      </c>
      <c r="W129" s="16">
        <f t="shared" si="30"/>
        <v>244021</v>
      </c>
      <c r="X129" s="16">
        <f t="shared" si="31"/>
        <v>244016</v>
      </c>
      <c r="Y129" s="15"/>
      <c r="Z129" s="177"/>
      <c r="AA129" s="170"/>
      <c r="AB129" s="170"/>
      <c r="AC129" s="170"/>
      <c r="AD129" s="170"/>
      <c r="AE129" s="15"/>
      <c r="AF129" s="177"/>
      <c r="AG129" s="177">
        <f t="shared" si="18"/>
        <v>0</v>
      </c>
      <c r="AH129" s="177">
        <f t="shared" si="19"/>
        <v>0</v>
      </c>
      <c r="AK129" s="176"/>
      <c r="AL129" s="176"/>
    </row>
    <row r="130" spans="1:38" ht="36" customHeight="1" x14ac:dyDescent="0.2">
      <c r="A130" s="14" t="s">
        <v>17</v>
      </c>
      <c r="B130" s="212">
        <v>244014</v>
      </c>
      <c r="C130" s="14" t="s">
        <v>547</v>
      </c>
      <c r="D130" s="14" t="s">
        <v>268</v>
      </c>
      <c r="E130" s="14" t="s">
        <v>14</v>
      </c>
      <c r="F130" s="14" t="s">
        <v>324</v>
      </c>
      <c r="G130" s="179">
        <v>680129</v>
      </c>
      <c r="H130" s="176" t="s">
        <v>1050</v>
      </c>
      <c r="I130" s="176" t="s">
        <v>802</v>
      </c>
      <c r="J130" s="176" t="s">
        <v>131</v>
      </c>
      <c r="K130" s="176" t="s">
        <v>1056</v>
      </c>
      <c r="L130" s="40" t="s">
        <v>105</v>
      </c>
      <c r="M130" s="40" t="s">
        <v>341</v>
      </c>
      <c r="N130" s="14" t="s">
        <v>1063</v>
      </c>
      <c r="O130" s="14" t="s">
        <v>552</v>
      </c>
      <c r="P130" s="14" t="s">
        <v>793</v>
      </c>
      <c r="Q130" s="14" t="s">
        <v>553</v>
      </c>
      <c r="R130" s="17">
        <v>800</v>
      </c>
      <c r="S130" s="172" t="s">
        <v>51</v>
      </c>
      <c r="T130" s="17"/>
      <c r="U130" s="14"/>
      <c r="V130" s="16">
        <f t="shared" si="29"/>
        <v>244014</v>
      </c>
      <c r="W130" s="16">
        <f t="shared" si="30"/>
        <v>244021</v>
      </c>
      <c r="X130" s="16">
        <f t="shared" si="31"/>
        <v>244016</v>
      </c>
      <c r="Y130" s="15"/>
      <c r="Z130" s="177"/>
      <c r="AA130" s="170"/>
      <c r="AB130" s="170"/>
      <c r="AC130" s="170"/>
      <c r="AD130" s="170"/>
      <c r="AE130" s="15"/>
      <c r="AF130" s="177"/>
      <c r="AG130" s="177">
        <f t="shared" si="18"/>
        <v>0</v>
      </c>
      <c r="AH130" s="177">
        <f t="shared" si="19"/>
        <v>0</v>
      </c>
      <c r="AK130" s="176"/>
      <c r="AL130" s="176"/>
    </row>
    <row r="131" spans="1:38" ht="36" customHeight="1" x14ac:dyDescent="0.2">
      <c r="A131" s="14" t="s">
        <v>17</v>
      </c>
      <c r="B131" s="212">
        <v>244014</v>
      </c>
      <c r="C131" s="14" t="s">
        <v>547</v>
      </c>
      <c r="D131" s="14" t="s">
        <v>268</v>
      </c>
      <c r="E131" s="14" t="s">
        <v>14</v>
      </c>
      <c r="F131" s="14" t="s">
        <v>324</v>
      </c>
      <c r="G131" s="179">
        <v>680130</v>
      </c>
      <c r="H131" s="176" t="s">
        <v>1051</v>
      </c>
      <c r="I131" s="176" t="s">
        <v>550</v>
      </c>
      <c r="J131" s="176" t="s">
        <v>128</v>
      </c>
      <c r="K131" s="176" t="s">
        <v>1057</v>
      </c>
      <c r="L131" s="40" t="s">
        <v>45</v>
      </c>
      <c r="M131" s="40" t="s">
        <v>341</v>
      </c>
      <c r="N131" s="14" t="s">
        <v>1064</v>
      </c>
      <c r="O131" s="14" t="s">
        <v>527</v>
      </c>
      <c r="P131" s="14" t="s">
        <v>1072</v>
      </c>
      <c r="Q131" s="14" t="s">
        <v>542</v>
      </c>
      <c r="R131" s="17">
        <v>150</v>
      </c>
      <c r="S131" s="172" t="s">
        <v>51</v>
      </c>
      <c r="T131" s="17">
        <v>1000</v>
      </c>
      <c r="U131" s="14" t="s">
        <v>51</v>
      </c>
      <c r="V131" s="16">
        <f t="shared" si="29"/>
        <v>244014</v>
      </c>
      <c r="W131" s="16">
        <f t="shared" si="30"/>
        <v>244021</v>
      </c>
      <c r="X131" s="16">
        <f t="shared" si="31"/>
        <v>244016</v>
      </c>
      <c r="Y131" s="15"/>
      <c r="Z131" s="177"/>
      <c r="AA131" s="170"/>
      <c r="AB131" s="170"/>
      <c r="AC131" s="170"/>
      <c r="AD131" s="170"/>
      <c r="AE131" s="15"/>
      <c r="AF131" s="177"/>
      <c r="AG131" s="177">
        <f t="shared" si="18"/>
        <v>0</v>
      </c>
      <c r="AH131" s="177">
        <f t="shared" si="19"/>
        <v>0</v>
      </c>
      <c r="AK131" s="176"/>
      <c r="AL131" s="176"/>
    </row>
    <row r="132" spans="1:38" ht="36" customHeight="1" x14ac:dyDescent="0.2">
      <c r="A132" s="14" t="s">
        <v>17</v>
      </c>
      <c r="B132" s="212">
        <v>244014</v>
      </c>
      <c r="C132" s="14" t="s">
        <v>547</v>
      </c>
      <c r="D132" s="14" t="s">
        <v>268</v>
      </c>
      <c r="E132" s="14" t="s">
        <v>14</v>
      </c>
      <c r="F132" s="14" t="s">
        <v>324</v>
      </c>
      <c r="G132" s="179">
        <v>680131</v>
      </c>
      <c r="H132" s="176" t="s">
        <v>1051</v>
      </c>
      <c r="I132" s="176" t="s">
        <v>550</v>
      </c>
      <c r="J132" s="176" t="s">
        <v>128</v>
      </c>
      <c r="K132" s="176" t="s">
        <v>1057</v>
      </c>
      <c r="L132" s="40" t="s">
        <v>45</v>
      </c>
      <c r="M132" s="40" t="s">
        <v>341</v>
      </c>
      <c r="N132" s="14" t="s">
        <v>1065</v>
      </c>
      <c r="O132" s="14" t="s">
        <v>548</v>
      </c>
      <c r="P132" s="14" t="s">
        <v>518</v>
      </c>
      <c r="Q132" s="14" t="s">
        <v>549</v>
      </c>
      <c r="R132" s="17">
        <v>145</v>
      </c>
      <c r="S132" s="172" t="s">
        <v>51</v>
      </c>
      <c r="T132" s="17">
        <v>1000</v>
      </c>
      <c r="U132" s="14" t="s">
        <v>51</v>
      </c>
      <c r="V132" s="16">
        <f t="shared" si="29"/>
        <v>244014</v>
      </c>
      <c r="W132" s="16">
        <f t="shared" si="30"/>
        <v>244021</v>
      </c>
      <c r="X132" s="16">
        <f t="shared" si="31"/>
        <v>244016</v>
      </c>
      <c r="Y132" s="15" t="s">
        <v>54</v>
      </c>
      <c r="Z132" s="177">
        <v>244015</v>
      </c>
      <c r="AA132" s="170"/>
      <c r="AB132" s="170"/>
      <c r="AC132" s="170"/>
      <c r="AD132" s="170"/>
      <c r="AE132" s="15" t="s">
        <v>54</v>
      </c>
      <c r="AF132" s="177">
        <v>244017</v>
      </c>
      <c r="AG132" s="177" t="str">
        <f t="shared" si="18"/>
        <v>Pass</v>
      </c>
      <c r="AH132" s="177">
        <f t="shared" si="19"/>
        <v>244017</v>
      </c>
      <c r="AK132" s="176"/>
      <c r="AL132" s="176"/>
    </row>
    <row r="133" spans="1:38" ht="36" customHeight="1" x14ac:dyDescent="0.2">
      <c r="A133" s="14" t="s">
        <v>17</v>
      </c>
      <c r="B133" s="212">
        <v>244014</v>
      </c>
      <c r="C133" s="14" t="s">
        <v>547</v>
      </c>
      <c r="D133" s="14" t="s">
        <v>268</v>
      </c>
      <c r="E133" s="14" t="s">
        <v>14</v>
      </c>
      <c r="F133" s="14" t="s">
        <v>324</v>
      </c>
      <c r="G133" s="179">
        <v>680132</v>
      </c>
      <c r="H133" s="176" t="s">
        <v>1052</v>
      </c>
      <c r="I133" s="176" t="s">
        <v>802</v>
      </c>
      <c r="J133" s="176" t="s">
        <v>882</v>
      </c>
      <c r="K133" s="176" t="s">
        <v>1058</v>
      </c>
      <c r="L133" s="40" t="s">
        <v>105</v>
      </c>
      <c r="M133" s="40" t="s">
        <v>341</v>
      </c>
      <c r="N133" s="14" t="s">
        <v>1066</v>
      </c>
      <c r="O133" s="14" t="s">
        <v>1070</v>
      </c>
      <c r="P133" s="14" t="s">
        <v>517</v>
      </c>
      <c r="Q133" s="14" t="s">
        <v>1076</v>
      </c>
      <c r="R133" s="17">
        <v>500</v>
      </c>
      <c r="S133" s="172" t="s">
        <v>51</v>
      </c>
      <c r="T133" s="17">
        <v>755</v>
      </c>
      <c r="U133" s="14" t="s">
        <v>51</v>
      </c>
      <c r="V133" s="16">
        <f t="shared" si="29"/>
        <v>244014</v>
      </c>
      <c r="W133" s="16">
        <f t="shared" si="30"/>
        <v>244021</v>
      </c>
      <c r="X133" s="16">
        <f t="shared" si="31"/>
        <v>244016</v>
      </c>
      <c r="Y133" s="15"/>
      <c r="Z133" s="177"/>
      <c r="AA133" s="170"/>
      <c r="AB133" s="170"/>
      <c r="AC133" s="170"/>
      <c r="AD133" s="170"/>
      <c r="AE133" s="15"/>
      <c r="AF133" s="177"/>
      <c r="AG133" s="177">
        <f t="shared" si="18"/>
        <v>0</v>
      </c>
      <c r="AH133" s="177">
        <f t="shared" si="19"/>
        <v>0</v>
      </c>
      <c r="AK133" s="176"/>
      <c r="AL133" s="176"/>
    </row>
    <row r="134" spans="1:38" ht="36" customHeight="1" x14ac:dyDescent="0.2">
      <c r="A134" s="14" t="s">
        <v>17</v>
      </c>
      <c r="B134" s="212">
        <v>244014</v>
      </c>
      <c r="C134" s="14" t="s">
        <v>547</v>
      </c>
      <c r="D134" s="14" t="s">
        <v>268</v>
      </c>
      <c r="E134" s="14" t="s">
        <v>14</v>
      </c>
      <c r="F134" s="14" t="s">
        <v>324</v>
      </c>
      <c r="G134" s="179">
        <v>680133</v>
      </c>
      <c r="H134" s="176" t="s">
        <v>1053</v>
      </c>
      <c r="I134" s="176" t="s">
        <v>1055</v>
      </c>
      <c r="J134" s="176" t="s">
        <v>130</v>
      </c>
      <c r="K134" s="176" t="s">
        <v>1059</v>
      </c>
      <c r="L134" s="40" t="s">
        <v>45</v>
      </c>
      <c r="M134" s="40" t="s">
        <v>341</v>
      </c>
      <c r="N134" s="14" t="s">
        <v>1067</v>
      </c>
      <c r="O134" s="14" t="s">
        <v>528</v>
      </c>
      <c r="P134" s="14" t="s">
        <v>1073</v>
      </c>
      <c r="Q134" s="14" t="s">
        <v>541</v>
      </c>
      <c r="R134" s="17">
        <v>200</v>
      </c>
      <c r="S134" s="172" t="s">
        <v>51</v>
      </c>
      <c r="T134" s="17">
        <v>2615</v>
      </c>
      <c r="U134" s="14" t="s">
        <v>51</v>
      </c>
      <c r="V134" s="16">
        <f t="shared" si="29"/>
        <v>244014</v>
      </c>
      <c r="W134" s="16">
        <f t="shared" si="30"/>
        <v>244021</v>
      </c>
      <c r="X134" s="16">
        <f t="shared" si="31"/>
        <v>244016</v>
      </c>
      <c r="Y134" s="15"/>
      <c r="Z134" s="177"/>
      <c r="AA134" s="170"/>
      <c r="AB134" s="170"/>
      <c r="AC134" s="170"/>
      <c r="AD134" s="170"/>
      <c r="AE134" s="15"/>
      <c r="AF134" s="177"/>
      <c r="AG134" s="177">
        <f t="shared" si="18"/>
        <v>0</v>
      </c>
      <c r="AH134" s="177">
        <f t="shared" si="19"/>
        <v>0</v>
      </c>
      <c r="AK134" s="176"/>
      <c r="AL134" s="176"/>
    </row>
    <row r="135" spans="1:38" ht="36" customHeight="1" x14ac:dyDescent="0.2">
      <c r="A135" s="14" t="s">
        <v>17</v>
      </c>
      <c r="B135" s="212">
        <v>244014</v>
      </c>
      <c r="C135" s="14" t="s">
        <v>547</v>
      </c>
      <c r="D135" s="14" t="s">
        <v>268</v>
      </c>
      <c r="E135" s="14" t="s">
        <v>14</v>
      </c>
      <c r="F135" s="14" t="s">
        <v>324</v>
      </c>
      <c r="G135" s="179">
        <v>680134</v>
      </c>
      <c r="H135" s="176" t="s">
        <v>1054</v>
      </c>
      <c r="I135" s="176" t="s">
        <v>551</v>
      </c>
      <c r="J135" s="176" t="s">
        <v>596</v>
      </c>
      <c r="K135" s="176" t="s">
        <v>1060</v>
      </c>
      <c r="L135" s="40" t="s">
        <v>108</v>
      </c>
      <c r="M135" s="40" t="s">
        <v>341</v>
      </c>
      <c r="N135" s="14" t="s">
        <v>1068</v>
      </c>
      <c r="O135" s="14" t="s">
        <v>528</v>
      </c>
      <c r="P135" s="14" t="s">
        <v>1074</v>
      </c>
      <c r="Q135" s="14" t="s">
        <v>541</v>
      </c>
      <c r="R135" s="17">
        <v>200</v>
      </c>
      <c r="S135" s="172" t="s">
        <v>51</v>
      </c>
      <c r="T135" s="17">
        <v>1530</v>
      </c>
      <c r="U135" s="14" t="s">
        <v>51</v>
      </c>
      <c r="V135" s="16">
        <f t="shared" si="29"/>
        <v>244014</v>
      </c>
      <c r="W135" s="16">
        <f t="shared" si="30"/>
        <v>244021</v>
      </c>
      <c r="X135" s="16">
        <f t="shared" si="31"/>
        <v>244016</v>
      </c>
      <c r="Y135" s="15"/>
      <c r="Z135" s="177"/>
      <c r="AA135" s="170"/>
      <c r="AB135" s="170"/>
      <c r="AC135" s="170"/>
      <c r="AD135" s="170"/>
      <c r="AE135" s="15"/>
      <c r="AF135" s="177"/>
      <c r="AG135" s="177">
        <f t="shared" si="18"/>
        <v>0</v>
      </c>
      <c r="AH135" s="177">
        <f t="shared" si="19"/>
        <v>0</v>
      </c>
      <c r="AK135" s="176"/>
      <c r="AL135" s="176"/>
    </row>
    <row r="136" spans="1:38" ht="36" customHeight="1" x14ac:dyDescent="0.2">
      <c r="A136" s="14" t="s">
        <v>17</v>
      </c>
      <c r="B136" s="212">
        <v>244014</v>
      </c>
      <c r="C136" s="14" t="s">
        <v>547</v>
      </c>
      <c r="D136" s="14" t="s">
        <v>268</v>
      </c>
      <c r="E136" s="14" t="s">
        <v>14</v>
      </c>
      <c r="F136" s="14" t="s">
        <v>324</v>
      </c>
      <c r="G136" s="179">
        <v>680135</v>
      </c>
      <c r="H136" s="176" t="s">
        <v>609</v>
      </c>
      <c r="I136" s="176" t="s">
        <v>514</v>
      </c>
      <c r="J136" s="176" t="s">
        <v>337</v>
      </c>
      <c r="K136" s="176" t="s">
        <v>1077</v>
      </c>
      <c r="L136" s="40" t="s">
        <v>106</v>
      </c>
      <c r="M136" s="40" t="s">
        <v>341</v>
      </c>
      <c r="N136" s="14" t="s">
        <v>1078</v>
      </c>
      <c r="O136" s="14" t="s">
        <v>528</v>
      </c>
      <c r="P136" s="14" t="s">
        <v>971</v>
      </c>
      <c r="Q136" s="14" t="s">
        <v>541</v>
      </c>
      <c r="R136" s="17">
        <v>2000</v>
      </c>
      <c r="S136" s="172" t="s">
        <v>51</v>
      </c>
      <c r="T136" s="17">
        <v>1308</v>
      </c>
      <c r="U136" s="14" t="s">
        <v>51</v>
      </c>
      <c r="V136" s="16">
        <f t="shared" si="29"/>
        <v>244014</v>
      </c>
      <c r="W136" s="16">
        <f t="shared" si="30"/>
        <v>244021</v>
      </c>
      <c r="X136" s="16">
        <f t="shared" si="31"/>
        <v>244016</v>
      </c>
      <c r="Y136" s="15" t="s">
        <v>54</v>
      </c>
      <c r="Z136" s="177">
        <v>244020</v>
      </c>
      <c r="AA136" s="170"/>
      <c r="AB136" s="170"/>
      <c r="AC136" s="170"/>
      <c r="AD136" s="170"/>
      <c r="AE136" s="15" t="s">
        <v>54</v>
      </c>
      <c r="AF136" s="177">
        <v>244021</v>
      </c>
      <c r="AG136" s="177" t="str">
        <f t="shared" si="18"/>
        <v>Pass</v>
      </c>
      <c r="AH136" s="177">
        <f t="shared" si="19"/>
        <v>244021</v>
      </c>
      <c r="AK136" s="176"/>
      <c r="AL136" s="176"/>
    </row>
    <row r="137" spans="1:38" ht="36" customHeight="1" x14ac:dyDescent="0.2">
      <c r="A137" s="14" t="s">
        <v>17</v>
      </c>
      <c r="B137" s="212">
        <v>244014</v>
      </c>
      <c r="C137" s="14" t="s">
        <v>547</v>
      </c>
      <c r="D137" s="14" t="s">
        <v>268</v>
      </c>
      <c r="E137" s="14" t="s">
        <v>14</v>
      </c>
      <c r="F137" s="14" t="s">
        <v>324</v>
      </c>
      <c r="G137" s="179">
        <v>680136</v>
      </c>
      <c r="H137" s="176" t="s">
        <v>1054</v>
      </c>
      <c r="I137" s="176" t="s">
        <v>551</v>
      </c>
      <c r="J137" s="176" t="s">
        <v>596</v>
      </c>
      <c r="K137" s="176" t="s">
        <v>1060</v>
      </c>
      <c r="L137" s="40" t="s">
        <v>108</v>
      </c>
      <c r="M137" s="40" t="s">
        <v>341</v>
      </c>
      <c r="N137" s="14" t="s">
        <v>1079</v>
      </c>
      <c r="O137" s="14" t="s">
        <v>756</v>
      </c>
      <c r="P137" s="14" t="s">
        <v>971</v>
      </c>
      <c r="Q137" s="14" t="s">
        <v>541</v>
      </c>
      <c r="R137" s="17">
        <v>300</v>
      </c>
      <c r="S137" s="172" t="s">
        <v>51</v>
      </c>
      <c r="T137" s="17">
        <v>1220</v>
      </c>
      <c r="U137" s="14" t="s">
        <v>51</v>
      </c>
      <c r="V137" s="16">
        <f t="shared" si="29"/>
        <v>244014</v>
      </c>
      <c r="W137" s="16">
        <f t="shared" si="30"/>
        <v>244021</v>
      </c>
      <c r="X137" s="16">
        <f t="shared" si="31"/>
        <v>244016</v>
      </c>
      <c r="Y137" s="15"/>
      <c r="Z137" s="177"/>
      <c r="AA137" s="170"/>
      <c r="AB137" s="170"/>
      <c r="AC137" s="170"/>
      <c r="AD137" s="170"/>
      <c r="AE137" s="15"/>
      <c r="AF137" s="177"/>
      <c r="AG137" s="177">
        <f t="shared" si="18"/>
        <v>0</v>
      </c>
      <c r="AH137" s="177">
        <f t="shared" si="19"/>
        <v>0</v>
      </c>
      <c r="AK137" s="176"/>
      <c r="AL137" s="176"/>
    </row>
    <row r="138" spans="1:38" ht="36" customHeight="1" x14ac:dyDescent="0.2">
      <c r="A138" s="14" t="s">
        <v>17</v>
      </c>
      <c r="B138" s="212">
        <v>244014</v>
      </c>
      <c r="C138" s="14" t="s">
        <v>547</v>
      </c>
      <c r="D138" s="14" t="s">
        <v>268</v>
      </c>
      <c r="E138" s="14" t="s">
        <v>14</v>
      </c>
      <c r="F138" s="14" t="s">
        <v>324</v>
      </c>
      <c r="G138" s="179">
        <v>680137</v>
      </c>
      <c r="H138" s="176" t="s">
        <v>826</v>
      </c>
      <c r="I138" s="176" t="s">
        <v>551</v>
      </c>
      <c r="J138" s="176" t="s">
        <v>596</v>
      </c>
      <c r="K138" s="176" t="s">
        <v>1082</v>
      </c>
      <c r="L138" s="40" t="s">
        <v>108</v>
      </c>
      <c r="M138" s="40" t="s">
        <v>341</v>
      </c>
      <c r="N138" s="14" t="s">
        <v>1066</v>
      </c>
      <c r="O138" s="14" t="s">
        <v>1087</v>
      </c>
      <c r="P138" s="14" t="s">
        <v>517</v>
      </c>
      <c r="Q138" s="14" t="s">
        <v>1090</v>
      </c>
      <c r="R138" s="17">
        <v>500</v>
      </c>
      <c r="S138" s="172" t="s">
        <v>51</v>
      </c>
      <c r="T138" s="17">
        <v>1685</v>
      </c>
      <c r="U138" s="14" t="s">
        <v>51</v>
      </c>
      <c r="V138" s="16">
        <f t="shared" si="29"/>
        <v>244014</v>
      </c>
      <c r="W138" s="16">
        <f t="shared" si="30"/>
        <v>244021</v>
      </c>
      <c r="X138" s="16">
        <f t="shared" si="31"/>
        <v>244016</v>
      </c>
      <c r="Y138" s="15"/>
      <c r="Z138" s="177"/>
      <c r="AA138" s="170"/>
      <c r="AB138" s="170"/>
      <c r="AC138" s="170"/>
      <c r="AD138" s="170"/>
      <c r="AE138" s="15"/>
      <c r="AF138" s="177"/>
      <c r="AG138" s="177">
        <f t="shared" si="18"/>
        <v>0</v>
      </c>
      <c r="AH138" s="177">
        <f t="shared" si="19"/>
        <v>0</v>
      </c>
      <c r="AK138" s="176"/>
      <c r="AL138" s="176"/>
    </row>
    <row r="139" spans="1:38" ht="36" customHeight="1" x14ac:dyDescent="0.2">
      <c r="A139" s="14" t="s">
        <v>17</v>
      </c>
      <c r="B139" s="212">
        <v>244014</v>
      </c>
      <c r="C139" s="14" t="s">
        <v>547</v>
      </c>
      <c r="D139" s="14" t="s">
        <v>268</v>
      </c>
      <c r="E139" s="14" t="s">
        <v>14</v>
      </c>
      <c r="F139" s="14" t="s">
        <v>324</v>
      </c>
      <c r="G139" s="179">
        <v>680138</v>
      </c>
      <c r="H139" s="176" t="s">
        <v>609</v>
      </c>
      <c r="I139" s="176" t="s">
        <v>514</v>
      </c>
      <c r="J139" s="176" t="s">
        <v>337</v>
      </c>
      <c r="K139" s="176" t="s">
        <v>1077</v>
      </c>
      <c r="L139" s="40" t="s">
        <v>106</v>
      </c>
      <c r="M139" s="40" t="s">
        <v>341</v>
      </c>
      <c r="N139" s="14" t="s">
        <v>1085</v>
      </c>
      <c r="O139" s="14" t="s">
        <v>548</v>
      </c>
      <c r="P139" s="14" t="s">
        <v>717</v>
      </c>
      <c r="Q139" s="14" t="s">
        <v>549</v>
      </c>
      <c r="R139" s="17">
        <v>204</v>
      </c>
      <c r="S139" s="172" t="s">
        <v>51</v>
      </c>
      <c r="T139" s="17">
        <v>1486</v>
      </c>
      <c r="U139" s="14" t="s">
        <v>51</v>
      </c>
      <c r="V139" s="16">
        <f t="shared" si="29"/>
        <v>244014</v>
      </c>
      <c r="W139" s="16">
        <f t="shared" si="30"/>
        <v>244021</v>
      </c>
      <c r="X139" s="16">
        <f t="shared" si="31"/>
        <v>244016</v>
      </c>
      <c r="Y139" s="15"/>
      <c r="Z139" s="177"/>
      <c r="AA139" s="170"/>
      <c r="AB139" s="170"/>
      <c r="AC139" s="170"/>
      <c r="AD139" s="170"/>
      <c r="AE139" s="15"/>
      <c r="AF139" s="177"/>
      <c r="AG139" s="177">
        <f t="shared" si="18"/>
        <v>0</v>
      </c>
      <c r="AH139" s="177">
        <f t="shared" si="19"/>
        <v>0</v>
      </c>
      <c r="AK139" s="176"/>
      <c r="AL139" s="176"/>
    </row>
    <row r="140" spans="1:38" ht="36" customHeight="1" x14ac:dyDescent="0.2">
      <c r="A140" s="14" t="s">
        <v>17</v>
      </c>
      <c r="B140" s="212">
        <v>244014</v>
      </c>
      <c r="C140" s="14" t="s">
        <v>547</v>
      </c>
      <c r="D140" s="14" t="s">
        <v>268</v>
      </c>
      <c r="E140" s="14" t="s">
        <v>14</v>
      </c>
      <c r="F140" s="14" t="s">
        <v>324</v>
      </c>
      <c r="G140" s="179">
        <v>680139</v>
      </c>
      <c r="H140" s="176" t="s">
        <v>1080</v>
      </c>
      <c r="I140" s="176" t="s">
        <v>550</v>
      </c>
      <c r="J140" s="176" t="s">
        <v>128</v>
      </c>
      <c r="K140" s="176" t="s">
        <v>1083</v>
      </c>
      <c r="L140" s="40" t="s">
        <v>45</v>
      </c>
      <c r="M140" s="40" t="s">
        <v>341</v>
      </c>
      <c r="N140" s="14" t="s">
        <v>1086</v>
      </c>
      <c r="O140" s="14" t="s">
        <v>1088</v>
      </c>
      <c r="P140" s="14" t="s">
        <v>517</v>
      </c>
      <c r="Q140" s="14" t="s">
        <v>541</v>
      </c>
      <c r="R140" s="17">
        <v>200</v>
      </c>
      <c r="S140" s="172" t="s">
        <v>51</v>
      </c>
      <c r="T140" s="17">
        <v>2463</v>
      </c>
      <c r="U140" s="14" t="s">
        <v>51</v>
      </c>
      <c r="V140" s="16">
        <f t="shared" si="29"/>
        <v>244014</v>
      </c>
      <c r="W140" s="16">
        <f t="shared" si="30"/>
        <v>244021</v>
      </c>
      <c r="X140" s="16">
        <f t="shared" si="31"/>
        <v>244016</v>
      </c>
      <c r="Y140" s="15"/>
      <c r="Z140" s="177"/>
      <c r="AA140" s="170"/>
      <c r="AB140" s="170"/>
      <c r="AC140" s="170"/>
      <c r="AD140" s="170"/>
      <c r="AE140" s="15"/>
      <c r="AF140" s="177"/>
      <c r="AG140" s="177">
        <f t="shared" si="18"/>
        <v>0</v>
      </c>
      <c r="AH140" s="177">
        <f t="shared" si="19"/>
        <v>0</v>
      </c>
      <c r="AK140" s="176"/>
      <c r="AL140" s="176"/>
    </row>
    <row r="141" spans="1:38" ht="36" customHeight="1" x14ac:dyDescent="0.2">
      <c r="A141" s="14" t="s">
        <v>17</v>
      </c>
      <c r="B141" s="212">
        <v>244014</v>
      </c>
      <c r="C141" s="14" t="s">
        <v>547</v>
      </c>
      <c r="D141" s="14" t="s">
        <v>268</v>
      </c>
      <c r="E141" s="14" t="s">
        <v>14</v>
      </c>
      <c r="F141" s="14" t="s">
        <v>324</v>
      </c>
      <c r="G141" s="179">
        <v>680140</v>
      </c>
      <c r="H141" s="176" t="s">
        <v>1081</v>
      </c>
      <c r="I141" s="176" t="s">
        <v>612</v>
      </c>
      <c r="J141" s="176" t="s">
        <v>865</v>
      </c>
      <c r="K141" s="176" t="s">
        <v>1084</v>
      </c>
      <c r="L141" s="40" t="s">
        <v>105</v>
      </c>
      <c r="M141" s="40" t="s">
        <v>341</v>
      </c>
      <c r="N141" s="14" t="s">
        <v>1089</v>
      </c>
      <c r="O141" s="14" t="s">
        <v>528</v>
      </c>
      <c r="P141" s="14" t="s">
        <v>684</v>
      </c>
      <c r="Q141" s="14" t="s">
        <v>541</v>
      </c>
      <c r="R141" s="17">
        <v>800</v>
      </c>
      <c r="S141" s="172" t="s">
        <v>51</v>
      </c>
      <c r="T141" s="17">
        <v>2033</v>
      </c>
      <c r="U141" s="14" t="s">
        <v>51</v>
      </c>
      <c r="V141" s="16">
        <f t="shared" si="29"/>
        <v>244014</v>
      </c>
      <c r="W141" s="16">
        <f t="shared" si="30"/>
        <v>244021</v>
      </c>
      <c r="X141" s="16">
        <f t="shared" si="31"/>
        <v>244016</v>
      </c>
      <c r="Y141" s="15"/>
      <c r="Z141" s="177"/>
      <c r="AA141" s="170"/>
      <c r="AB141" s="170"/>
      <c r="AC141" s="170"/>
      <c r="AD141" s="170"/>
      <c r="AE141" s="15"/>
      <c r="AF141" s="177"/>
      <c r="AG141" s="177">
        <f t="shared" ref="AG141:AG178" si="32">AE141</f>
        <v>0</v>
      </c>
      <c r="AH141" s="177">
        <f t="shared" ref="AH141:AH178" si="33">AF141</f>
        <v>0</v>
      </c>
      <c r="AK141" s="176"/>
      <c r="AL141" s="176"/>
    </row>
    <row r="142" spans="1:38" ht="36" customHeight="1" x14ac:dyDescent="0.2">
      <c r="A142" s="14" t="s">
        <v>18</v>
      </c>
      <c r="B142" s="212">
        <v>244017</v>
      </c>
      <c r="C142" s="14" t="s">
        <v>547</v>
      </c>
      <c r="D142" s="14" t="s">
        <v>268</v>
      </c>
      <c r="E142" s="14" t="s">
        <v>14</v>
      </c>
      <c r="F142" s="14" t="s">
        <v>324</v>
      </c>
      <c r="G142" s="179">
        <v>680141</v>
      </c>
      <c r="H142" s="176" t="s">
        <v>1091</v>
      </c>
      <c r="I142" s="176" t="s">
        <v>612</v>
      </c>
      <c r="J142" s="176" t="s">
        <v>727</v>
      </c>
      <c r="K142" s="176" t="s">
        <v>1095</v>
      </c>
      <c r="L142" s="40" t="s">
        <v>105</v>
      </c>
      <c r="M142" s="40" t="s">
        <v>341</v>
      </c>
      <c r="N142" s="14" t="s">
        <v>1100</v>
      </c>
      <c r="O142" s="14" t="s">
        <v>548</v>
      </c>
      <c r="P142" s="14" t="s">
        <v>518</v>
      </c>
      <c r="Q142" s="14" t="s">
        <v>549</v>
      </c>
      <c r="R142" s="17">
        <v>144</v>
      </c>
      <c r="S142" s="172" t="s">
        <v>51</v>
      </c>
      <c r="T142" s="17">
        <v>270</v>
      </c>
      <c r="U142" s="14" t="s">
        <v>51</v>
      </c>
      <c r="V142" s="16">
        <f t="shared" si="29"/>
        <v>244017</v>
      </c>
      <c r="W142" s="16">
        <f t="shared" si="30"/>
        <v>244024</v>
      </c>
      <c r="X142" s="16">
        <f t="shared" si="31"/>
        <v>244019</v>
      </c>
      <c r="Y142" s="15" t="s">
        <v>54</v>
      </c>
      <c r="Z142" s="177">
        <v>244020</v>
      </c>
      <c r="AA142" s="170"/>
      <c r="AB142" s="170"/>
      <c r="AC142" s="170"/>
      <c r="AD142" s="170"/>
      <c r="AE142" s="15" t="s">
        <v>54</v>
      </c>
      <c r="AF142" s="177">
        <v>244021</v>
      </c>
      <c r="AG142" s="177" t="str">
        <f t="shared" si="32"/>
        <v>Pass</v>
      </c>
      <c r="AH142" s="177">
        <f t="shared" si="33"/>
        <v>244021</v>
      </c>
      <c r="AK142" s="176"/>
      <c r="AL142" s="176"/>
    </row>
    <row r="143" spans="1:38" ht="36" customHeight="1" x14ac:dyDescent="0.2">
      <c r="A143" s="14" t="s">
        <v>18</v>
      </c>
      <c r="B143" s="212">
        <v>244017</v>
      </c>
      <c r="C143" s="14" t="s">
        <v>547</v>
      </c>
      <c r="D143" s="14" t="s">
        <v>268</v>
      </c>
      <c r="E143" s="14" t="s">
        <v>14</v>
      </c>
      <c r="F143" s="14" t="s">
        <v>324</v>
      </c>
      <c r="G143" s="179">
        <v>680142</v>
      </c>
      <c r="H143" s="176" t="s">
        <v>943</v>
      </c>
      <c r="I143" s="176" t="s">
        <v>802</v>
      </c>
      <c r="J143" s="176" t="s">
        <v>143</v>
      </c>
      <c r="K143" s="176" t="s">
        <v>1096</v>
      </c>
      <c r="L143" s="40" t="s">
        <v>710</v>
      </c>
      <c r="M143" s="40" t="s">
        <v>341</v>
      </c>
      <c r="N143" s="14" t="s">
        <v>616</v>
      </c>
      <c r="O143" s="14" t="s">
        <v>548</v>
      </c>
      <c r="P143" s="14" t="s">
        <v>518</v>
      </c>
      <c r="Q143" s="14" t="s">
        <v>549</v>
      </c>
      <c r="R143" s="17">
        <v>160</v>
      </c>
      <c r="S143" s="172" t="s">
        <v>51</v>
      </c>
      <c r="T143" s="17">
        <v>2339</v>
      </c>
      <c r="U143" s="14" t="s">
        <v>51</v>
      </c>
      <c r="V143" s="16">
        <f t="shared" si="29"/>
        <v>244017</v>
      </c>
      <c r="W143" s="16">
        <f t="shared" si="30"/>
        <v>244024</v>
      </c>
      <c r="X143" s="16">
        <f t="shared" si="31"/>
        <v>244019</v>
      </c>
      <c r="Y143" s="15" t="s">
        <v>54</v>
      </c>
      <c r="Z143" s="177">
        <v>244022</v>
      </c>
      <c r="AA143" s="170"/>
      <c r="AB143" s="170"/>
      <c r="AC143" s="170"/>
      <c r="AD143" s="170"/>
      <c r="AE143" s="15" t="s">
        <v>54</v>
      </c>
      <c r="AF143" s="177">
        <v>244025</v>
      </c>
      <c r="AG143" s="177" t="str">
        <f t="shared" si="32"/>
        <v>Pass</v>
      </c>
      <c r="AH143" s="177">
        <f t="shared" si="33"/>
        <v>244025</v>
      </c>
      <c r="AK143" s="176"/>
      <c r="AL143" s="176"/>
    </row>
    <row r="144" spans="1:38" ht="36" customHeight="1" x14ac:dyDescent="0.2">
      <c r="A144" s="14" t="s">
        <v>18</v>
      </c>
      <c r="B144" s="212">
        <v>244017</v>
      </c>
      <c r="C144" s="14" t="s">
        <v>547</v>
      </c>
      <c r="D144" s="14" t="s">
        <v>268</v>
      </c>
      <c r="E144" s="14" t="s">
        <v>14</v>
      </c>
      <c r="F144" s="14" t="s">
        <v>324</v>
      </c>
      <c r="G144" s="179">
        <v>680143</v>
      </c>
      <c r="H144" s="176" t="s">
        <v>1092</v>
      </c>
      <c r="I144" s="176" t="s">
        <v>630</v>
      </c>
      <c r="J144" s="176" t="s">
        <v>520</v>
      </c>
      <c r="K144" s="176" t="s">
        <v>1097</v>
      </c>
      <c r="L144" s="40" t="s">
        <v>46</v>
      </c>
      <c r="M144" s="40" t="s">
        <v>341</v>
      </c>
      <c r="N144" s="14" t="s">
        <v>1101</v>
      </c>
      <c r="O144" s="14" t="s">
        <v>527</v>
      </c>
      <c r="P144" s="14" t="s">
        <v>1104</v>
      </c>
      <c r="Q144" s="14" t="s">
        <v>542</v>
      </c>
      <c r="R144" s="17">
        <v>212</v>
      </c>
      <c r="S144" s="172" t="s">
        <v>51</v>
      </c>
      <c r="T144" s="17">
        <v>1950</v>
      </c>
      <c r="U144" s="14" t="s">
        <v>51</v>
      </c>
      <c r="V144" s="16">
        <f t="shared" si="29"/>
        <v>244017</v>
      </c>
      <c r="W144" s="16">
        <f t="shared" si="30"/>
        <v>244024</v>
      </c>
      <c r="X144" s="16">
        <f t="shared" si="31"/>
        <v>244019</v>
      </c>
      <c r="Y144" s="15"/>
      <c r="Z144" s="177"/>
      <c r="AA144" s="170"/>
      <c r="AB144" s="170"/>
      <c r="AC144" s="170"/>
      <c r="AD144" s="170"/>
      <c r="AE144" s="15"/>
      <c r="AF144" s="177"/>
      <c r="AG144" s="177">
        <f t="shared" si="32"/>
        <v>0</v>
      </c>
      <c r="AH144" s="177">
        <f t="shared" si="33"/>
        <v>0</v>
      </c>
      <c r="AK144" s="176"/>
      <c r="AL144" s="176"/>
    </row>
    <row r="145" spans="1:38" ht="36" customHeight="1" x14ac:dyDescent="0.2">
      <c r="A145" s="14" t="s">
        <v>18</v>
      </c>
      <c r="B145" s="212">
        <v>244017</v>
      </c>
      <c r="C145" s="14" t="s">
        <v>547</v>
      </c>
      <c r="D145" s="14" t="s">
        <v>268</v>
      </c>
      <c r="E145" s="14" t="s">
        <v>14</v>
      </c>
      <c r="F145" s="14" t="s">
        <v>324</v>
      </c>
      <c r="G145" s="179">
        <v>680144</v>
      </c>
      <c r="H145" s="176" t="s">
        <v>1093</v>
      </c>
      <c r="I145" s="176" t="s">
        <v>802</v>
      </c>
      <c r="J145" s="176" t="s">
        <v>131</v>
      </c>
      <c r="K145" s="176" t="s">
        <v>1098</v>
      </c>
      <c r="L145" s="40" t="s">
        <v>105</v>
      </c>
      <c r="M145" s="40" t="s">
        <v>341</v>
      </c>
      <c r="N145" s="14" t="s">
        <v>1102</v>
      </c>
      <c r="O145" s="14" t="s">
        <v>552</v>
      </c>
      <c r="P145" s="14" t="s">
        <v>1105</v>
      </c>
      <c r="Q145" s="14" t="s">
        <v>553</v>
      </c>
      <c r="R145" s="17">
        <v>300</v>
      </c>
      <c r="S145" s="172" t="s">
        <v>51</v>
      </c>
      <c r="T145" s="17">
        <v>1867</v>
      </c>
      <c r="U145" s="14" t="s">
        <v>51</v>
      </c>
      <c r="V145" s="16">
        <f t="shared" si="29"/>
        <v>244017</v>
      </c>
      <c r="W145" s="16">
        <f t="shared" si="30"/>
        <v>244024</v>
      </c>
      <c r="X145" s="16">
        <f t="shared" si="31"/>
        <v>244019</v>
      </c>
      <c r="Y145" s="15" t="s">
        <v>54</v>
      </c>
      <c r="Z145" s="177">
        <v>244020</v>
      </c>
      <c r="AA145" s="170"/>
      <c r="AB145" s="170"/>
      <c r="AC145" s="170"/>
      <c r="AD145" s="170"/>
      <c r="AE145" s="15" t="s">
        <v>54</v>
      </c>
      <c r="AF145" s="177">
        <v>244021</v>
      </c>
      <c r="AG145" s="177" t="str">
        <f t="shared" si="32"/>
        <v>Pass</v>
      </c>
      <c r="AH145" s="177">
        <f t="shared" si="33"/>
        <v>244021</v>
      </c>
      <c r="AK145" s="176"/>
      <c r="AL145" s="176"/>
    </row>
    <row r="146" spans="1:38" ht="36" customHeight="1" x14ac:dyDescent="0.2">
      <c r="A146" s="14" t="s">
        <v>18</v>
      </c>
      <c r="B146" s="212">
        <v>244017</v>
      </c>
      <c r="C146" s="14" t="s">
        <v>547</v>
      </c>
      <c r="D146" s="14" t="s">
        <v>268</v>
      </c>
      <c r="E146" s="14" t="s">
        <v>14</v>
      </c>
      <c r="F146" s="14" t="s">
        <v>324</v>
      </c>
      <c r="G146" s="179">
        <v>680145</v>
      </c>
      <c r="H146" s="176" t="s">
        <v>1094</v>
      </c>
      <c r="I146" s="176" t="s">
        <v>864</v>
      </c>
      <c r="J146" s="176" t="s">
        <v>289</v>
      </c>
      <c r="K146" s="176" t="s">
        <v>1099</v>
      </c>
      <c r="L146" s="40" t="s">
        <v>45</v>
      </c>
      <c r="M146" s="40" t="s">
        <v>341</v>
      </c>
      <c r="N146" s="14" t="s">
        <v>1103</v>
      </c>
      <c r="O146" s="14" t="s">
        <v>528</v>
      </c>
      <c r="P146" s="14" t="s">
        <v>1106</v>
      </c>
      <c r="Q146" s="14" t="s">
        <v>541</v>
      </c>
      <c r="R146" s="17">
        <v>1650</v>
      </c>
      <c r="S146" s="172" t="s">
        <v>51</v>
      </c>
      <c r="T146" s="17">
        <v>1615</v>
      </c>
      <c r="U146" s="14" t="s">
        <v>51</v>
      </c>
      <c r="V146" s="16">
        <f t="shared" si="29"/>
        <v>244017</v>
      </c>
      <c r="W146" s="16">
        <f t="shared" si="30"/>
        <v>244024</v>
      </c>
      <c r="X146" s="16">
        <f t="shared" si="31"/>
        <v>244019</v>
      </c>
      <c r="Y146" s="15"/>
      <c r="Z146" s="177"/>
      <c r="AA146" s="170"/>
      <c r="AB146" s="170"/>
      <c r="AC146" s="170"/>
      <c r="AD146" s="170"/>
      <c r="AE146" s="15"/>
      <c r="AF146" s="177"/>
      <c r="AG146" s="177">
        <f t="shared" si="32"/>
        <v>0</v>
      </c>
      <c r="AH146" s="177">
        <f t="shared" si="33"/>
        <v>0</v>
      </c>
      <c r="AK146" s="176"/>
      <c r="AL146" s="176"/>
    </row>
    <row r="147" spans="1:38" ht="36" customHeight="1" x14ac:dyDescent="0.2">
      <c r="A147" s="14" t="s">
        <v>18</v>
      </c>
      <c r="B147" s="212">
        <v>244018</v>
      </c>
      <c r="C147" s="14" t="s">
        <v>547</v>
      </c>
      <c r="D147" s="14" t="s">
        <v>268</v>
      </c>
      <c r="E147" s="14" t="s">
        <v>14</v>
      </c>
      <c r="F147" s="14" t="s">
        <v>324</v>
      </c>
      <c r="G147" s="179">
        <v>680146</v>
      </c>
      <c r="H147" s="176" t="s">
        <v>626</v>
      </c>
      <c r="I147" s="176" t="s">
        <v>630</v>
      </c>
      <c r="J147" s="176" t="s">
        <v>520</v>
      </c>
      <c r="K147" s="176" t="s">
        <v>1110</v>
      </c>
      <c r="L147" s="40" t="s">
        <v>46</v>
      </c>
      <c r="M147" s="40" t="s">
        <v>341</v>
      </c>
      <c r="N147" s="14" t="s">
        <v>1114</v>
      </c>
      <c r="O147" s="14" t="s">
        <v>527</v>
      </c>
      <c r="P147" s="14" t="s">
        <v>1120</v>
      </c>
      <c r="Q147" s="14" t="s">
        <v>542</v>
      </c>
      <c r="R147" s="17">
        <v>414</v>
      </c>
      <c r="S147" s="172" t="s">
        <v>51</v>
      </c>
      <c r="T147" s="17">
        <v>2040</v>
      </c>
      <c r="U147" s="14" t="s">
        <v>51</v>
      </c>
      <c r="V147" s="16">
        <f t="shared" si="29"/>
        <v>244018</v>
      </c>
      <c r="W147" s="16">
        <f t="shared" si="30"/>
        <v>244025</v>
      </c>
      <c r="X147" s="16">
        <f t="shared" si="31"/>
        <v>244020</v>
      </c>
      <c r="Y147" s="15" t="s">
        <v>54</v>
      </c>
      <c r="Z147" s="177">
        <v>244028</v>
      </c>
      <c r="AA147" s="170"/>
      <c r="AB147" s="170"/>
      <c r="AC147" s="170"/>
      <c r="AD147" s="170"/>
      <c r="AE147" s="15" t="s">
        <v>54</v>
      </c>
      <c r="AF147" s="177">
        <v>244031</v>
      </c>
      <c r="AG147" s="177" t="str">
        <f t="shared" si="32"/>
        <v>Pass</v>
      </c>
      <c r="AH147" s="177">
        <f t="shared" si="33"/>
        <v>244031</v>
      </c>
      <c r="AK147" s="176"/>
      <c r="AL147" s="176"/>
    </row>
    <row r="148" spans="1:38" ht="36" customHeight="1" x14ac:dyDescent="0.2">
      <c r="A148" s="14" t="s">
        <v>18</v>
      </c>
      <c r="B148" s="212">
        <v>244018</v>
      </c>
      <c r="C148" s="14" t="s">
        <v>547</v>
      </c>
      <c r="D148" s="14" t="s">
        <v>268</v>
      </c>
      <c r="E148" s="14" t="s">
        <v>14</v>
      </c>
      <c r="F148" s="14" t="s">
        <v>324</v>
      </c>
      <c r="G148" s="179">
        <v>680147</v>
      </c>
      <c r="H148" s="176" t="s">
        <v>663</v>
      </c>
      <c r="I148" s="176" t="s">
        <v>630</v>
      </c>
      <c r="J148" s="176" t="s">
        <v>821</v>
      </c>
      <c r="K148" s="176" t="s">
        <v>1111</v>
      </c>
      <c r="L148" s="40" t="s">
        <v>124</v>
      </c>
      <c r="M148" s="40" t="s">
        <v>341</v>
      </c>
      <c r="N148" s="14" t="s">
        <v>1121</v>
      </c>
      <c r="O148" s="14" t="s">
        <v>1119</v>
      </c>
      <c r="P148" s="14" t="s">
        <v>1122</v>
      </c>
      <c r="Q148" s="14" t="s">
        <v>1126</v>
      </c>
      <c r="R148" s="17">
        <v>360</v>
      </c>
      <c r="S148" s="172" t="s">
        <v>51</v>
      </c>
      <c r="T148" s="17">
        <v>2533</v>
      </c>
      <c r="U148" s="14" t="s">
        <v>51</v>
      </c>
      <c r="V148" s="16">
        <f t="shared" si="29"/>
        <v>244018</v>
      </c>
      <c r="W148" s="16">
        <f t="shared" si="30"/>
        <v>244025</v>
      </c>
      <c r="X148" s="16">
        <f t="shared" si="31"/>
        <v>244020</v>
      </c>
      <c r="Y148" s="15" t="s">
        <v>54</v>
      </c>
      <c r="Z148" s="177">
        <v>244022</v>
      </c>
      <c r="AA148" s="170"/>
      <c r="AB148" s="170"/>
      <c r="AC148" s="170"/>
      <c r="AD148" s="170"/>
      <c r="AE148" s="15" t="s">
        <v>54</v>
      </c>
      <c r="AF148" s="177">
        <v>244025</v>
      </c>
      <c r="AG148" s="177" t="str">
        <f t="shared" si="32"/>
        <v>Pass</v>
      </c>
      <c r="AH148" s="177">
        <f t="shared" si="33"/>
        <v>244025</v>
      </c>
      <c r="AK148" s="176"/>
      <c r="AL148" s="176"/>
    </row>
    <row r="149" spans="1:38" ht="36" customHeight="1" x14ac:dyDescent="0.2">
      <c r="A149" s="14" t="s">
        <v>18</v>
      </c>
      <c r="B149" s="212">
        <v>244018</v>
      </c>
      <c r="C149" s="14" t="s">
        <v>547</v>
      </c>
      <c r="D149" s="14" t="s">
        <v>268</v>
      </c>
      <c r="E149" s="14" t="s">
        <v>14</v>
      </c>
      <c r="F149" s="14" t="s">
        <v>324</v>
      </c>
      <c r="G149" s="179">
        <v>680148</v>
      </c>
      <c r="H149" s="176" t="s">
        <v>626</v>
      </c>
      <c r="I149" s="176" t="s">
        <v>630</v>
      </c>
      <c r="J149" s="176" t="s">
        <v>520</v>
      </c>
      <c r="K149" s="176" t="s">
        <v>1110</v>
      </c>
      <c r="L149" s="40" t="s">
        <v>46</v>
      </c>
      <c r="M149" s="40" t="s">
        <v>341</v>
      </c>
      <c r="N149" s="14" t="s">
        <v>1115</v>
      </c>
      <c r="O149" s="14" t="s">
        <v>527</v>
      </c>
      <c r="P149" s="14" t="s">
        <v>1123</v>
      </c>
      <c r="Q149" s="14" t="s">
        <v>542</v>
      </c>
      <c r="R149" s="17">
        <v>205</v>
      </c>
      <c r="S149" s="172" t="s">
        <v>51</v>
      </c>
      <c r="T149" s="17">
        <v>1965</v>
      </c>
      <c r="U149" s="14" t="s">
        <v>51</v>
      </c>
      <c r="V149" s="16">
        <f t="shared" si="29"/>
        <v>244018</v>
      </c>
      <c r="W149" s="16">
        <f t="shared" si="30"/>
        <v>244025</v>
      </c>
      <c r="X149" s="16">
        <f t="shared" si="31"/>
        <v>244020</v>
      </c>
      <c r="Y149" s="15"/>
      <c r="Z149" s="177"/>
      <c r="AA149" s="170"/>
      <c r="AB149" s="170"/>
      <c r="AC149" s="170"/>
      <c r="AD149" s="170"/>
      <c r="AE149" s="15"/>
      <c r="AF149" s="177"/>
      <c r="AG149" s="177">
        <f t="shared" si="32"/>
        <v>0</v>
      </c>
      <c r="AH149" s="177">
        <f t="shared" si="33"/>
        <v>0</v>
      </c>
      <c r="AK149" s="176"/>
      <c r="AL149" s="176"/>
    </row>
    <row r="150" spans="1:38" ht="36" customHeight="1" x14ac:dyDescent="0.2">
      <c r="A150" s="14" t="s">
        <v>18</v>
      </c>
      <c r="B150" s="212">
        <v>244018</v>
      </c>
      <c r="C150" s="14" t="s">
        <v>547</v>
      </c>
      <c r="D150" s="14" t="s">
        <v>268</v>
      </c>
      <c r="E150" s="14" t="s">
        <v>14</v>
      </c>
      <c r="F150" s="14" t="s">
        <v>324</v>
      </c>
      <c r="G150" s="179">
        <v>680149</v>
      </c>
      <c r="H150" s="176" t="s">
        <v>626</v>
      </c>
      <c r="I150" s="176" t="s">
        <v>630</v>
      </c>
      <c r="J150" s="176" t="s">
        <v>520</v>
      </c>
      <c r="K150" s="176" t="s">
        <v>1110</v>
      </c>
      <c r="L150" s="40" t="s">
        <v>46</v>
      </c>
      <c r="M150" s="40" t="s">
        <v>341</v>
      </c>
      <c r="N150" s="14" t="s">
        <v>765</v>
      </c>
      <c r="O150" s="14" t="s">
        <v>548</v>
      </c>
      <c r="P150" s="14" t="s">
        <v>518</v>
      </c>
      <c r="Q150" s="14" t="s">
        <v>549</v>
      </c>
      <c r="R150" s="17">
        <v>200</v>
      </c>
      <c r="S150" s="172" t="s">
        <v>51</v>
      </c>
      <c r="T150" s="17">
        <v>1990</v>
      </c>
      <c r="U150" s="14" t="s">
        <v>51</v>
      </c>
      <c r="V150" s="16">
        <f t="shared" si="29"/>
        <v>244018</v>
      </c>
      <c r="W150" s="16">
        <f t="shared" si="30"/>
        <v>244025</v>
      </c>
      <c r="X150" s="16">
        <f t="shared" si="31"/>
        <v>244020</v>
      </c>
      <c r="Y150" s="15"/>
      <c r="Z150" s="177"/>
      <c r="AA150" s="170"/>
      <c r="AB150" s="170"/>
      <c r="AC150" s="170"/>
      <c r="AD150" s="170"/>
      <c r="AE150" s="15"/>
      <c r="AF150" s="177"/>
      <c r="AG150" s="177">
        <f t="shared" si="32"/>
        <v>0</v>
      </c>
      <c r="AH150" s="177">
        <f t="shared" si="33"/>
        <v>0</v>
      </c>
      <c r="AK150" s="176"/>
      <c r="AL150" s="176"/>
    </row>
    <row r="151" spans="1:38" ht="36" customHeight="1" x14ac:dyDescent="0.2">
      <c r="A151" s="14" t="s">
        <v>18</v>
      </c>
      <c r="B151" s="212">
        <v>244018</v>
      </c>
      <c r="C151" s="14" t="s">
        <v>547</v>
      </c>
      <c r="D151" s="14" t="s">
        <v>268</v>
      </c>
      <c r="E151" s="14" t="s">
        <v>14</v>
      </c>
      <c r="F151" s="14" t="s">
        <v>324</v>
      </c>
      <c r="G151" s="179">
        <v>680150</v>
      </c>
      <c r="H151" s="176" t="s">
        <v>1107</v>
      </c>
      <c r="I151" s="176" t="s">
        <v>550</v>
      </c>
      <c r="J151" s="176" t="s">
        <v>128</v>
      </c>
      <c r="K151" s="176" t="s">
        <v>1112</v>
      </c>
      <c r="L151" s="40" t="s">
        <v>45</v>
      </c>
      <c r="M151" s="40" t="s">
        <v>341</v>
      </c>
      <c r="N151" s="14" t="s">
        <v>1116</v>
      </c>
      <c r="O151" s="14" t="s">
        <v>788</v>
      </c>
      <c r="P151" s="14" t="s">
        <v>1124</v>
      </c>
      <c r="Q151" s="14" t="s">
        <v>797</v>
      </c>
      <c r="R151" s="17">
        <v>2200</v>
      </c>
      <c r="S151" s="172" t="s">
        <v>51</v>
      </c>
      <c r="T151" s="17">
        <v>2441</v>
      </c>
      <c r="U151" s="14" t="s">
        <v>51</v>
      </c>
      <c r="V151" s="16">
        <f t="shared" si="29"/>
        <v>244018</v>
      </c>
      <c r="W151" s="16">
        <f t="shared" si="30"/>
        <v>244025</v>
      </c>
      <c r="X151" s="16">
        <f t="shared" si="31"/>
        <v>244020</v>
      </c>
      <c r="Y151" s="15"/>
      <c r="Z151" s="177"/>
      <c r="AA151" s="170"/>
      <c r="AB151" s="170"/>
      <c r="AC151" s="170"/>
      <c r="AD151" s="170"/>
      <c r="AE151" s="15"/>
      <c r="AF151" s="177"/>
      <c r="AG151" s="177">
        <f t="shared" si="32"/>
        <v>0</v>
      </c>
      <c r="AH151" s="177">
        <f t="shared" si="33"/>
        <v>0</v>
      </c>
      <c r="AK151" s="176"/>
      <c r="AL151" s="176"/>
    </row>
    <row r="152" spans="1:38" ht="36" customHeight="1" x14ac:dyDescent="0.2">
      <c r="A152" s="14" t="s">
        <v>18</v>
      </c>
      <c r="B152" s="212">
        <v>244018</v>
      </c>
      <c r="C152" s="14" t="s">
        <v>547</v>
      </c>
      <c r="D152" s="14" t="s">
        <v>268</v>
      </c>
      <c r="E152" s="14" t="s">
        <v>14</v>
      </c>
      <c r="F152" s="14" t="s">
        <v>324</v>
      </c>
      <c r="G152" s="179">
        <v>680151</v>
      </c>
      <c r="H152" s="176" t="s">
        <v>626</v>
      </c>
      <c r="I152" s="176" t="s">
        <v>630</v>
      </c>
      <c r="J152" s="176" t="s">
        <v>520</v>
      </c>
      <c r="K152" s="176" t="s">
        <v>1110</v>
      </c>
      <c r="L152" s="40" t="s">
        <v>46</v>
      </c>
      <c r="M152" s="40" t="s">
        <v>341</v>
      </c>
      <c r="N152" s="14" t="s">
        <v>1117</v>
      </c>
      <c r="O152" s="14" t="s">
        <v>953</v>
      </c>
      <c r="P152" s="14" t="s">
        <v>1125</v>
      </c>
      <c r="Q152" s="14" t="s">
        <v>956</v>
      </c>
      <c r="R152" s="17">
        <v>1200</v>
      </c>
      <c r="S152" s="172" t="s">
        <v>51</v>
      </c>
      <c r="T152" s="17">
        <v>2075</v>
      </c>
      <c r="U152" s="14" t="s">
        <v>51</v>
      </c>
      <c r="V152" s="16">
        <f t="shared" si="29"/>
        <v>244018</v>
      </c>
      <c r="W152" s="16">
        <f t="shared" si="30"/>
        <v>244025</v>
      </c>
      <c r="X152" s="16">
        <f t="shared" si="31"/>
        <v>244020</v>
      </c>
      <c r="Y152" s="15"/>
      <c r="Z152" s="177"/>
      <c r="AA152" s="170"/>
      <c r="AB152" s="170"/>
      <c r="AC152" s="170"/>
      <c r="AD152" s="170"/>
      <c r="AE152" s="15"/>
      <c r="AF152" s="177"/>
      <c r="AG152" s="177">
        <f t="shared" si="32"/>
        <v>0</v>
      </c>
      <c r="AH152" s="177">
        <f t="shared" si="33"/>
        <v>0</v>
      </c>
      <c r="AK152" s="176"/>
      <c r="AL152" s="176"/>
    </row>
    <row r="153" spans="1:38" ht="36" customHeight="1" x14ac:dyDescent="0.2">
      <c r="A153" s="14" t="s">
        <v>18</v>
      </c>
      <c r="B153" s="212">
        <v>244018</v>
      </c>
      <c r="C153" s="14" t="s">
        <v>547</v>
      </c>
      <c r="D153" s="14" t="s">
        <v>268</v>
      </c>
      <c r="E153" s="14" t="s">
        <v>14</v>
      </c>
      <c r="F153" s="14" t="s">
        <v>324</v>
      </c>
      <c r="G153" s="179">
        <v>680152</v>
      </c>
      <c r="H153" s="176" t="s">
        <v>1108</v>
      </c>
      <c r="I153" s="176" t="s">
        <v>514</v>
      </c>
      <c r="J153" s="176" t="s">
        <v>1109</v>
      </c>
      <c r="K153" s="176" t="s">
        <v>1113</v>
      </c>
      <c r="L153" s="40" t="s">
        <v>106</v>
      </c>
      <c r="M153" s="40" t="s">
        <v>341</v>
      </c>
      <c r="N153" s="14" t="s">
        <v>1118</v>
      </c>
      <c r="O153" s="14" t="s">
        <v>548</v>
      </c>
      <c r="P153" s="14" t="s">
        <v>518</v>
      </c>
      <c r="Q153" s="14" t="s">
        <v>549</v>
      </c>
      <c r="R153" s="17">
        <v>178</v>
      </c>
      <c r="S153" s="172" t="s">
        <v>51</v>
      </c>
      <c r="T153" s="17">
        <v>1520</v>
      </c>
      <c r="U153" s="14" t="s">
        <v>51</v>
      </c>
      <c r="V153" s="16">
        <f t="shared" si="29"/>
        <v>244018</v>
      </c>
      <c r="W153" s="16">
        <f t="shared" si="30"/>
        <v>244025</v>
      </c>
      <c r="X153" s="16">
        <f t="shared" si="31"/>
        <v>244020</v>
      </c>
      <c r="Y153" s="15"/>
      <c r="Z153" s="177"/>
      <c r="AA153" s="170"/>
      <c r="AB153" s="170"/>
      <c r="AC153" s="170"/>
      <c r="AD153" s="170"/>
      <c r="AE153" s="15"/>
      <c r="AF153" s="177"/>
      <c r="AG153" s="177">
        <f t="shared" si="32"/>
        <v>0</v>
      </c>
      <c r="AH153" s="177">
        <f t="shared" si="33"/>
        <v>0</v>
      </c>
      <c r="AK153" s="176"/>
      <c r="AL153" s="176"/>
    </row>
    <row r="154" spans="1:38" ht="36" customHeight="1" x14ac:dyDescent="0.2">
      <c r="A154" s="14" t="s">
        <v>18</v>
      </c>
      <c r="B154" s="212">
        <v>244018</v>
      </c>
      <c r="C154" s="14" t="s">
        <v>547</v>
      </c>
      <c r="D154" s="14" t="s">
        <v>268</v>
      </c>
      <c r="E154" s="14" t="s">
        <v>14</v>
      </c>
      <c r="F154" s="14" t="s">
        <v>324</v>
      </c>
      <c r="G154" s="179">
        <v>680153</v>
      </c>
      <c r="H154" s="176" t="s">
        <v>1127</v>
      </c>
      <c r="I154" s="176" t="s">
        <v>550</v>
      </c>
      <c r="J154" s="176" t="s">
        <v>128</v>
      </c>
      <c r="K154" s="176" t="s">
        <v>1128</v>
      </c>
      <c r="L154" s="40" t="s">
        <v>45</v>
      </c>
      <c r="M154" s="40" t="s">
        <v>341</v>
      </c>
      <c r="N154" s="14" t="s">
        <v>1129</v>
      </c>
      <c r="O154" s="14" t="s">
        <v>548</v>
      </c>
      <c r="P154" s="14" t="s">
        <v>518</v>
      </c>
      <c r="Q154" s="14" t="s">
        <v>549</v>
      </c>
      <c r="R154" s="17">
        <v>168</v>
      </c>
      <c r="S154" s="172" t="s">
        <v>51</v>
      </c>
      <c r="T154" s="17">
        <v>1210</v>
      </c>
      <c r="U154" s="14" t="s">
        <v>51</v>
      </c>
      <c r="V154" s="16">
        <f t="shared" si="29"/>
        <v>244018</v>
      </c>
      <c r="W154" s="16">
        <f t="shared" si="30"/>
        <v>244025</v>
      </c>
      <c r="X154" s="16">
        <f t="shared" si="31"/>
        <v>244020</v>
      </c>
      <c r="Y154" s="15"/>
      <c r="Z154" s="177"/>
      <c r="AA154" s="170"/>
      <c r="AB154" s="170"/>
      <c r="AC154" s="170"/>
      <c r="AD154" s="170"/>
      <c r="AE154" s="15"/>
      <c r="AF154" s="177"/>
      <c r="AG154" s="177">
        <f t="shared" si="32"/>
        <v>0</v>
      </c>
      <c r="AH154" s="177">
        <f t="shared" si="33"/>
        <v>0</v>
      </c>
      <c r="AK154" s="176"/>
      <c r="AL154" s="176"/>
    </row>
    <row r="155" spans="1:38" ht="36" customHeight="1" x14ac:dyDescent="0.2">
      <c r="A155" s="14" t="s">
        <v>18</v>
      </c>
      <c r="B155" s="212">
        <v>244018</v>
      </c>
      <c r="C155" s="14" t="s">
        <v>547</v>
      </c>
      <c r="D155" s="14" t="s">
        <v>268</v>
      </c>
      <c r="E155" s="14" t="s">
        <v>14</v>
      </c>
      <c r="F155" s="14" t="s">
        <v>324</v>
      </c>
      <c r="G155" s="179">
        <v>680154</v>
      </c>
      <c r="H155" s="176" t="s">
        <v>1127</v>
      </c>
      <c r="I155" s="176" t="s">
        <v>550</v>
      </c>
      <c r="J155" s="176" t="s">
        <v>128</v>
      </c>
      <c r="K155" s="176" t="s">
        <v>1128</v>
      </c>
      <c r="L155" s="40" t="s">
        <v>45</v>
      </c>
      <c r="M155" s="40" t="s">
        <v>341</v>
      </c>
      <c r="N155" s="14" t="s">
        <v>1130</v>
      </c>
      <c r="O155" s="14" t="s">
        <v>1131</v>
      </c>
      <c r="P155" s="14" t="s">
        <v>1132</v>
      </c>
      <c r="Q155" s="14" t="s">
        <v>1133</v>
      </c>
      <c r="R155" s="17">
        <v>1095</v>
      </c>
      <c r="S155" s="172" t="s">
        <v>51</v>
      </c>
      <c r="T155" s="17">
        <v>2491</v>
      </c>
      <c r="U155" s="14" t="s">
        <v>51</v>
      </c>
      <c r="V155" s="16">
        <f t="shared" si="29"/>
        <v>244018</v>
      </c>
      <c r="W155" s="16">
        <f t="shared" si="30"/>
        <v>244025</v>
      </c>
      <c r="X155" s="16">
        <f t="shared" si="31"/>
        <v>244020</v>
      </c>
      <c r="Y155" s="15"/>
      <c r="Z155" s="177"/>
      <c r="AA155" s="170"/>
      <c r="AB155" s="170"/>
      <c r="AC155" s="170"/>
      <c r="AD155" s="170"/>
      <c r="AE155" s="15"/>
      <c r="AF155" s="177"/>
      <c r="AG155" s="177">
        <f t="shared" si="32"/>
        <v>0</v>
      </c>
      <c r="AH155" s="177">
        <f t="shared" si="33"/>
        <v>0</v>
      </c>
      <c r="AK155" s="176"/>
      <c r="AL155" s="176"/>
    </row>
    <row r="156" spans="1:38" ht="36" customHeight="1" x14ac:dyDescent="0.2">
      <c r="A156" s="14" t="s">
        <v>18</v>
      </c>
      <c r="B156" s="212">
        <v>244020</v>
      </c>
      <c r="C156" s="14" t="s">
        <v>547</v>
      </c>
      <c r="D156" s="14" t="s">
        <v>268</v>
      </c>
      <c r="E156" s="14" t="s">
        <v>14</v>
      </c>
      <c r="F156" s="14" t="s">
        <v>324</v>
      </c>
      <c r="G156" s="179">
        <v>680155</v>
      </c>
      <c r="H156" s="176" t="s">
        <v>660</v>
      </c>
      <c r="I156" s="176" t="s">
        <v>550</v>
      </c>
      <c r="J156" s="176" t="s">
        <v>128</v>
      </c>
      <c r="K156" s="176" t="s">
        <v>1138</v>
      </c>
      <c r="L156" s="40" t="s">
        <v>106</v>
      </c>
      <c r="M156" s="40" t="s">
        <v>341</v>
      </c>
      <c r="N156" s="14" t="s">
        <v>1143</v>
      </c>
      <c r="O156" s="14" t="s">
        <v>1149</v>
      </c>
      <c r="P156" s="14" t="s">
        <v>1151</v>
      </c>
      <c r="Q156" s="14" t="s">
        <v>1155</v>
      </c>
      <c r="R156" s="17">
        <v>775</v>
      </c>
      <c r="S156" s="172" t="s">
        <v>51</v>
      </c>
      <c r="T156" s="17">
        <v>2025</v>
      </c>
      <c r="U156" s="14" t="s">
        <v>51</v>
      </c>
      <c r="V156" s="16">
        <f t="shared" si="29"/>
        <v>244020</v>
      </c>
      <c r="W156" s="16">
        <f t="shared" si="30"/>
        <v>244027</v>
      </c>
      <c r="X156" s="16">
        <f t="shared" si="31"/>
        <v>244022</v>
      </c>
      <c r="Y156" s="15" t="s">
        <v>54</v>
      </c>
      <c r="Z156" s="177">
        <v>244024</v>
      </c>
      <c r="AA156" s="170"/>
      <c r="AB156" s="170"/>
      <c r="AC156" s="170"/>
      <c r="AD156" s="170"/>
      <c r="AE156" s="15" t="s">
        <v>54</v>
      </c>
      <c r="AF156" s="177">
        <v>244025</v>
      </c>
      <c r="AG156" s="177" t="str">
        <f t="shared" si="32"/>
        <v>Pass</v>
      </c>
      <c r="AH156" s="177">
        <f t="shared" si="33"/>
        <v>244025</v>
      </c>
      <c r="AK156" s="176"/>
      <c r="AL156" s="176"/>
    </row>
    <row r="157" spans="1:38" ht="36" customHeight="1" x14ac:dyDescent="0.2">
      <c r="A157" s="14" t="s">
        <v>18</v>
      </c>
      <c r="B157" s="212">
        <v>244020</v>
      </c>
      <c r="C157" s="14" t="s">
        <v>547</v>
      </c>
      <c r="D157" s="14" t="s">
        <v>268</v>
      </c>
      <c r="E157" s="14" t="s">
        <v>14</v>
      </c>
      <c r="F157" s="14" t="s">
        <v>324</v>
      </c>
      <c r="G157" s="179">
        <v>680156</v>
      </c>
      <c r="H157" s="176" t="s">
        <v>1127</v>
      </c>
      <c r="I157" s="176" t="s">
        <v>550</v>
      </c>
      <c r="J157" s="176" t="s">
        <v>128</v>
      </c>
      <c r="K157" s="176" t="s">
        <v>1128</v>
      </c>
      <c r="L157" s="40" t="s">
        <v>45</v>
      </c>
      <c r="M157" s="40" t="s">
        <v>341</v>
      </c>
      <c r="N157" s="14" t="s">
        <v>1144</v>
      </c>
      <c r="O157" s="14" t="s">
        <v>528</v>
      </c>
      <c r="P157" s="14" t="s">
        <v>1152</v>
      </c>
      <c r="Q157" s="14" t="s">
        <v>541</v>
      </c>
      <c r="R157" s="17">
        <v>400</v>
      </c>
      <c r="S157" s="172" t="s">
        <v>51</v>
      </c>
      <c r="T157" s="17">
        <v>2415</v>
      </c>
      <c r="U157" s="14" t="s">
        <v>51</v>
      </c>
      <c r="V157" s="16">
        <f t="shared" si="29"/>
        <v>244020</v>
      </c>
      <c r="W157" s="16">
        <f t="shared" si="30"/>
        <v>244027</v>
      </c>
      <c r="X157" s="16">
        <f t="shared" si="31"/>
        <v>244022</v>
      </c>
      <c r="Y157" s="15"/>
      <c r="Z157" s="177"/>
      <c r="AA157" s="170"/>
      <c r="AB157" s="170"/>
      <c r="AC157" s="170"/>
      <c r="AD157" s="170"/>
      <c r="AE157" s="15"/>
      <c r="AF157" s="177"/>
      <c r="AG157" s="177">
        <f t="shared" si="32"/>
        <v>0</v>
      </c>
      <c r="AH157" s="177">
        <f t="shared" si="33"/>
        <v>0</v>
      </c>
      <c r="AK157" s="176"/>
      <c r="AL157" s="176"/>
    </row>
    <row r="158" spans="1:38" ht="36" customHeight="1" x14ac:dyDescent="0.2">
      <c r="A158" s="14" t="s">
        <v>18</v>
      </c>
      <c r="B158" s="212">
        <v>244020</v>
      </c>
      <c r="C158" s="14" t="s">
        <v>547</v>
      </c>
      <c r="D158" s="14" t="s">
        <v>268</v>
      </c>
      <c r="E158" s="14" t="s">
        <v>14</v>
      </c>
      <c r="F158" s="14" t="s">
        <v>324</v>
      </c>
      <c r="G158" s="179">
        <v>680157</v>
      </c>
      <c r="H158" s="176" t="s">
        <v>1127</v>
      </c>
      <c r="I158" s="176" t="s">
        <v>550</v>
      </c>
      <c r="J158" s="176" t="s">
        <v>128</v>
      </c>
      <c r="K158" s="176" t="s">
        <v>1128</v>
      </c>
      <c r="L158" s="40" t="s">
        <v>45</v>
      </c>
      <c r="M158" s="40" t="s">
        <v>341</v>
      </c>
      <c r="N158" s="14" t="s">
        <v>1145</v>
      </c>
      <c r="O158" s="14" t="s">
        <v>1150</v>
      </c>
      <c r="P158" s="14" t="s">
        <v>1153</v>
      </c>
      <c r="Q158" s="14" t="s">
        <v>1156</v>
      </c>
      <c r="R158" s="17">
        <v>300</v>
      </c>
      <c r="S158" s="172" t="s">
        <v>51</v>
      </c>
      <c r="T158" s="17">
        <v>2415</v>
      </c>
      <c r="U158" s="14" t="s">
        <v>51</v>
      </c>
      <c r="V158" s="16">
        <f t="shared" si="29"/>
        <v>244020</v>
      </c>
      <c r="W158" s="16">
        <f t="shared" si="30"/>
        <v>244027</v>
      </c>
      <c r="X158" s="16">
        <f t="shared" si="31"/>
        <v>244022</v>
      </c>
      <c r="Y158" s="15"/>
      <c r="Z158" s="177"/>
      <c r="AA158" s="170"/>
      <c r="AB158" s="170"/>
      <c r="AC158" s="170"/>
      <c r="AD158" s="170"/>
      <c r="AE158" s="15"/>
      <c r="AF158" s="177"/>
      <c r="AG158" s="177">
        <f t="shared" si="32"/>
        <v>0</v>
      </c>
      <c r="AH158" s="177">
        <f t="shared" si="33"/>
        <v>0</v>
      </c>
      <c r="AK158" s="176"/>
      <c r="AL158" s="176"/>
    </row>
    <row r="159" spans="1:38" ht="36" customHeight="1" x14ac:dyDescent="0.2">
      <c r="A159" s="14" t="s">
        <v>18</v>
      </c>
      <c r="B159" s="212">
        <v>244020</v>
      </c>
      <c r="C159" s="14" t="s">
        <v>547</v>
      </c>
      <c r="D159" s="14" t="s">
        <v>268</v>
      </c>
      <c r="E159" s="14" t="s">
        <v>14</v>
      </c>
      <c r="F159" s="14" t="s">
        <v>324</v>
      </c>
      <c r="G159" s="179">
        <v>680158</v>
      </c>
      <c r="H159" s="176" t="s">
        <v>1134</v>
      </c>
      <c r="I159" s="176" t="s">
        <v>802</v>
      </c>
      <c r="J159" s="176" t="s">
        <v>131</v>
      </c>
      <c r="K159" s="176" t="s">
        <v>1139</v>
      </c>
      <c r="L159" s="40" t="s">
        <v>105</v>
      </c>
      <c r="M159" s="40" t="s">
        <v>341</v>
      </c>
      <c r="N159" s="14" t="s">
        <v>1146</v>
      </c>
      <c r="O159" s="14" t="s">
        <v>552</v>
      </c>
      <c r="P159" s="14" t="s">
        <v>846</v>
      </c>
      <c r="Q159" s="14" t="s">
        <v>553</v>
      </c>
      <c r="R159" s="17">
        <v>3250</v>
      </c>
      <c r="S159" s="172" t="s">
        <v>51</v>
      </c>
      <c r="T159" s="17">
        <v>1945</v>
      </c>
      <c r="U159" s="14" t="s">
        <v>51</v>
      </c>
      <c r="V159" s="16">
        <f t="shared" si="29"/>
        <v>244020</v>
      </c>
      <c r="W159" s="16">
        <f t="shared" si="30"/>
        <v>244027</v>
      </c>
      <c r="X159" s="16">
        <f t="shared" si="31"/>
        <v>244022</v>
      </c>
      <c r="Y159" s="15"/>
      <c r="Z159" s="177"/>
      <c r="AA159" s="170"/>
      <c r="AB159" s="170"/>
      <c r="AC159" s="170"/>
      <c r="AD159" s="170"/>
      <c r="AE159" s="15"/>
      <c r="AF159" s="177"/>
      <c r="AG159" s="177">
        <f t="shared" si="32"/>
        <v>0</v>
      </c>
      <c r="AH159" s="177">
        <f t="shared" si="33"/>
        <v>0</v>
      </c>
      <c r="AK159" s="176"/>
      <c r="AL159" s="176"/>
    </row>
    <row r="160" spans="1:38" ht="36" customHeight="1" x14ac:dyDescent="0.2">
      <c r="A160" s="14" t="s">
        <v>18</v>
      </c>
      <c r="B160" s="212">
        <v>244020</v>
      </c>
      <c r="C160" s="14" t="s">
        <v>547</v>
      </c>
      <c r="D160" s="14" t="s">
        <v>268</v>
      </c>
      <c r="E160" s="14" t="s">
        <v>14</v>
      </c>
      <c r="F160" s="14" t="s">
        <v>324</v>
      </c>
      <c r="G160" s="179">
        <v>680159</v>
      </c>
      <c r="H160" s="176" t="s">
        <v>1135</v>
      </c>
      <c r="I160" s="176" t="s">
        <v>630</v>
      </c>
      <c r="J160" s="176" t="s">
        <v>520</v>
      </c>
      <c r="K160" s="176" t="s">
        <v>1140</v>
      </c>
      <c r="L160" s="40" t="s">
        <v>46</v>
      </c>
      <c r="M160" s="40" t="s">
        <v>341</v>
      </c>
      <c r="N160" s="14" t="s">
        <v>1147</v>
      </c>
      <c r="O160" s="14" t="s">
        <v>552</v>
      </c>
      <c r="P160" s="14" t="s">
        <v>1154</v>
      </c>
      <c r="Q160" s="14" t="s">
        <v>553</v>
      </c>
      <c r="R160" s="17">
        <v>280</v>
      </c>
      <c r="S160" s="172" t="s">
        <v>51</v>
      </c>
      <c r="T160" s="17">
        <v>2005</v>
      </c>
      <c r="U160" s="14" t="s">
        <v>51</v>
      </c>
      <c r="V160" s="16">
        <f t="shared" si="29"/>
        <v>244020</v>
      </c>
      <c r="W160" s="16">
        <f t="shared" si="30"/>
        <v>244027</v>
      </c>
      <c r="X160" s="16">
        <f t="shared" si="31"/>
        <v>244022</v>
      </c>
      <c r="Y160" s="15" t="s">
        <v>54</v>
      </c>
      <c r="Z160" s="177">
        <v>244024</v>
      </c>
      <c r="AA160" s="170"/>
      <c r="AB160" s="170"/>
      <c r="AC160" s="170"/>
      <c r="AD160" s="170"/>
      <c r="AE160" s="15" t="s">
        <v>54</v>
      </c>
      <c r="AF160" s="177">
        <v>244025</v>
      </c>
      <c r="AG160" s="177" t="str">
        <f t="shared" si="32"/>
        <v>Pass</v>
      </c>
      <c r="AH160" s="177">
        <f t="shared" si="33"/>
        <v>244025</v>
      </c>
      <c r="AK160" s="176"/>
      <c r="AL160" s="176"/>
    </row>
    <row r="161" spans="1:38" ht="36" customHeight="1" x14ac:dyDescent="0.2">
      <c r="A161" s="14" t="s">
        <v>18</v>
      </c>
      <c r="B161" s="212">
        <v>244020</v>
      </c>
      <c r="C161" s="14" t="s">
        <v>547</v>
      </c>
      <c r="D161" s="14" t="s">
        <v>268</v>
      </c>
      <c r="E161" s="14" t="s">
        <v>14</v>
      </c>
      <c r="F161" s="14" t="s">
        <v>324</v>
      </c>
      <c r="G161" s="179">
        <v>680160</v>
      </c>
      <c r="H161" s="176" t="s">
        <v>1136</v>
      </c>
      <c r="I161" s="176" t="s">
        <v>864</v>
      </c>
      <c r="J161" s="176" t="s">
        <v>131</v>
      </c>
      <c r="K161" s="176" t="s">
        <v>1141</v>
      </c>
      <c r="L161" s="40" t="s">
        <v>105</v>
      </c>
      <c r="M161" s="40" t="s">
        <v>341</v>
      </c>
      <c r="N161" s="14" t="s">
        <v>1157</v>
      </c>
      <c r="O161" s="14" t="s">
        <v>1009</v>
      </c>
      <c r="P161" s="14" t="s">
        <v>990</v>
      </c>
      <c r="Q161" s="14" t="s">
        <v>323</v>
      </c>
      <c r="R161" s="17">
        <v>900</v>
      </c>
      <c r="S161" s="172" t="s">
        <v>51</v>
      </c>
      <c r="T161" s="17" t="s">
        <v>1158</v>
      </c>
      <c r="U161" s="14" t="s">
        <v>51</v>
      </c>
      <c r="V161" s="16">
        <f t="shared" si="29"/>
        <v>244020</v>
      </c>
      <c r="W161" s="16">
        <f t="shared" si="30"/>
        <v>244027</v>
      </c>
      <c r="X161" s="16">
        <f t="shared" si="31"/>
        <v>244022</v>
      </c>
      <c r="Y161" s="15"/>
      <c r="Z161" s="177"/>
      <c r="AA161" s="170"/>
      <c r="AB161" s="170"/>
      <c r="AC161" s="170"/>
      <c r="AD161" s="170"/>
      <c r="AE161" s="15"/>
      <c r="AF161" s="177"/>
      <c r="AG161" s="177">
        <f t="shared" si="32"/>
        <v>0</v>
      </c>
      <c r="AH161" s="177">
        <f t="shared" si="33"/>
        <v>0</v>
      </c>
      <c r="AK161" s="176"/>
      <c r="AL161" s="176"/>
    </row>
    <row r="162" spans="1:38" ht="36" customHeight="1" x14ac:dyDescent="0.2">
      <c r="A162" s="14" t="s">
        <v>18</v>
      </c>
      <c r="B162" s="212">
        <v>244020</v>
      </c>
      <c r="C162" s="14" t="s">
        <v>547</v>
      </c>
      <c r="D162" s="14" t="s">
        <v>268</v>
      </c>
      <c r="E162" s="14" t="s">
        <v>14</v>
      </c>
      <c r="F162" s="14" t="s">
        <v>324</v>
      </c>
      <c r="G162" s="179">
        <v>680161</v>
      </c>
      <c r="H162" s="176" t="s">
        <v>1137</v>
      </c>
      <c r="I162" s="176" t="s">
        <v>612</v>
      </c>
      <c r="J162" s="176" t="s">
        <v>554</v>
      </c>
      <c r="K162" s="176" t="s">
        <v>1142</v>
      </c>
      <c r="L162" s="40" t="s">
        <v>45</v>
      </c>
      <c r="M162" s="40" t="s">
        <v>341</v>
      </c>
      <c r="N162" s="14" t="s">
        <v>1148</v>
      </c>
      <c r="O162" s="14" t="s">
        <v>548</v>
      </c>
      <c r="P162" s="14" t="s">
        <v>717</v>
      </c>
      <c r="Q162" s="14" t="s">
        <v>549</v>
      </c>
      <c r="R162" s="17">
        <v>154</v>
      </c>
      <c r="S162" s="172" t="s">
        <v>51</v>
      </c>
      <c r="T162" s="17">
        <v>1810</v>
      </c>
      <c r="U162" s="14" t="s">
        <v>51</v>
      </c>
      <c r="V162" s="16">
        <f t="shared" si="29"/>
        <v>244020</v>
      </c>
      <c r="W162" s="16">
        <f t="shared" si="30"/>
        <v>244027</v>
      </c>
      <c r="X162" s="16">
        <f t="shared" si="31"/>
        <v>244022</v>
      </c>
      <c r="Y162" s="15"/>
      <c r="Z162" s="177"/>
      <c r="AA162" s="170"/>
      <c r="AB162" s="170"/>
      <c r="AC162" s="170"/>
      <c r="AD162" s="170"/>
      <c r="AE162" s="15"/>
      <c r="AF162" s="177"/>
      <c r="AG162" s="177">
        <f t="shared" si="32"/>
        <v>0</v>
      </c>
      <c r="AH162" s="177">
        <f t="shared" si="33"/>
        <v>0</v>
      </c>
      <c r="AK162" s="176"/>
      <c r="AL162" s="176"/>
    </row>
    <row r="163" spans="1:38" ht="36" customHeight="1" x14ac:dyDescent="0.2">
      <c r="A163" s="14" t="s">
        <v>18</v>
      </c>
      <c r="B163" s="212">
        <v>244022</v>
      </c>
      <c r="C163" s="14" t="s">
        <v>547</v>
      </c>
      <c r="D163" s="14" t="s">
        <v>268</v>
      </c>
      <c r="E163" s="14" t="s">
        <v>14</v>
      </c>
      <c r="F163" s="14" t="s">
        <v>324</v>
      </c>
      <c r="G163" s="179">
        <v>680162</v>
      </c>
      <c r="H163" s="176" t="s">
        <v>1159</v>
      </c>
      <c r="I163" s="176" t="s">
        <v>830</v>
      </c>
      <c r="J163" s="176" t="s">
        <v>123</v>
      </c>
      <c r="K163" s="176" t="s">
        <v>1164</v>
      </c>
      <c r="L163" s="40" t="s">
        <v>45</v>
      </c>
      <c r="M163" s="40" t="s">
        <v>341</v>
      </c>
      <c r="N163" s="14" t="s">
        <v>1170</v>
      </c>
      <c r="O163" s="14" t="s">
        <v>543</v>
      </c>
      <c r="P163" s="14" t="s">
        <v>715</v>
      </c>
      <c r="Q163" s="14" t="s">
        <v>529</v>
      </c>
      <c r="R163" s="17">
        <v>400</v>
      </c>
      <c r="S163" s="172" t="s">
        <v>51</v>
      </c>
      <c r="T163" s="17">
        <v>1534</v>
      </c>
      <c r="U163" s="14" t="s">
        <v>51</v>
      </c>
      <c r="V163" s="16">
        <f t="shared" si="29"/>
        <v>244022</v>
      </c>
      <c r="W163" s="16">
        <f t="shared" si="30"/>
        <v>244029</v>
      </c>
      <c r="X163" s="16">
        <f t="shared" si="31"/>
        <v>244024</v>
      </c>
      <c r="Y163" s="15"/>
      <c r="Z163" s="177"/>
      <c r="AA163" s="170"/>
      <c r="AB163" s="170"/>
      <c r="AC163" s="170"/>
      <c r="AD163" s="170"/>
      <c r="AE163" s="15"/>
      <c r="AF163" s="177"/>
      <c r="AG163" s="177">
        <f t="shared" si="32"/>
        <v>0</v>
      </c>
      <c r="AH163" s="177">
        <f t="shared" si="33"/>
        <v>0</v>
      </c>
      <c r="AK163" s="176"/>
      <c r="AL163" s="176"/>
    </row>
    <row r="164" spans="1:38" ht="36" customHeight="1" x14ac:dyDescent="0.2">
      <c r="A164" s="14" t="s">
        <v>18</v>
      </c>
      <c r="B164" s="212">
        <v>244022</v>
      </c>
      <c r="C164" s="14" t="s">
        <v>547</v>
      </c>
      <c r="D164" s="14" t="s">
        <v>268</v>
      </c>
      <c r="E164" s="14" t="s">
        <v>14</v>
      </c>
      <c r="F164" s="14" t="s">
        <v>324</v>
      </c>
      <c r="G164" s="179">
        <v>680163</v>
      </c>
      <c r="H164" s="176" t="s">
        <v>1160</v>
      </c>
      <c r="I164" s="176" t="s">
        <v>630</v>
      </c>
      <c r="J164" s="176" t="s">
        <v>520</v>
      </c>
      <c r="K164" s="176" t="s">
        <v>1165</v>
      </c>
      <c r="L164" s="40" t="s">
        <v>106</v>
      </c>
      <c r="M164" s="40" t="s">
        <v>341</v>
      </c>
      <c r="N164" s="14" t="s">
        <v>1173</v>
      </c>
      <c r="O164" s="14" t="s">
        <v>548</v>
      </c>
      <c r="P164" s="14" t="s">
        <v>518</v>
      </c>
      <c r="Q164" s="14" t="s">
        <v>549</v>
      </c>
      <c r="R164" s="17">
        <v>237</v>
      </c>
      <c r="S164" s="172" t="s">
        <v>51</v>
      </c>
      <c r="T164" s="17" t="s">
        <v>1184</v>
      </c>
      <c r="U164" s="14" t="s">
        <v>51</v>
      </c>
      <c r="V164" s="16">
        <f t="shared" si="29"/>
        <v>244022</v>
      </c>
      <c r="W164" s="16">
        <f t="shared" si="30"/>
        <v>244029</v>
      </c>
      <c r="X164" s="16">
        <f t="shared" si="31"/>
        <v>244024</v>
      </c>
      <c r="Y164" s="15"/>
      <c r="Z164" s="177"/>
      <c r="AA164" s="170"/>
      <c r="AB164" s="170"/>
      <c r="AC164" s="170"/>
      <c r="AD164" s="170"/>
      <c r="AE164" s="15"/>
      <c r="AF164" s="177"/>
      <c r="AG164" s="177">
        <f t="shared" si="32"/>
        <v>0</v>
      </c>
      <c r="AH164" s="177">
        <f t="shared" si="33"/>
        <v>0</v>
      </c>
      <c r="AK164" s="176"/>
      <c r="AL164" s="176"/>
    </row>
    <row r="165" spans="1:38" ht="36" customHeight="1" x14ac:dyDescent="0.2">
      <c r="A165" s="14" t="s">
        <v>18</v>
      </c>
      <c r="B165" s="212">
        <v>244022</v>
      </c>
      <c r="C165" s="14" t="s">
        <v>547</v>
      </c>
      <c r="D165" s="14" t="s">
        <v>268</v>
      </c>
      <c r="E165" s="14" t="s">
        <v>14</v>
      </c>
      <c r="F165" s="14" t="s">
        <v>324</v>
      </c>
      <c r="G165" s="179">
        <v>680164</v>
      </c>
      <c r="H165" s="176" t="s">
        <v>1161</v>
      </c>
      <c r="I165" s="176" t="s">
        <v>630</v>
      </c>
      <c r="J165" s="176" t="s">
        <v>803</v>
      </c>
      <c r="K165" s="176" t="s">
        <v>1166</v>
      </c>
      <c r="L165" s="40" t="s">
        <v>46</v>
      </c>
      <c r="M165" s="40" t="s">
        <v>341</v>
      </c>
      <c r="N165" s="14" t="s">
        <v>1174</v>
      </c>
      <c r="O165" s="14" t="s">
        <v>1177</v>
      </c>
      <c r="P165" s="14" t="s">
        <v>1179</v>
      </c>
      <c r="Q165" s="14" t="s">
        <v>1181</v>
      </c>
      <c r="R165" s="17">
        <v>738</v>
      </c>
      <c r="S165" s="172" t="s">
        <v>51</v>
      </c>
      <c r="T165" s="17" t="s">
        <v>1183</v>
      </c>
      <c r="U165" s="14" t="s">
        <v>51</v>
      </c>
      <c r="V165" s="16">
        <f t="shared" si="29"/>
        <v>244022</v>
      </c>
      <c r="W165" s="16">
        <f t="shared" si="30"/>
        <v>244029</v>
      </c>
      <c r="X165" s="16">
        <f t="shared" si="31"/>
        <v>244024</v>
      </c>
      <c r="Y165" s="15" t="s">
        <v>54</v>
      </c>
      <c r="Z165" s="177">
        <v>244028</v>
      </c>
      <c r="AA165" s="170"/>
      <c r="AB165" s="170"/>
      <c r="AC165" s="170"/>
      <c r="AD165" s="170"/>
      <c r="AE165" s="15" t="s">
        <v>54</v>
      </c>
      <c r="AF165" s="177">
        <v>244031</v>
      </c>
      <c r="AG165" s="177" t="str">
        <f t="shared" si="32"/>
        <v>Pass</v>
      </c>
      <c r="AH165" s="177">
        <f t="shared" si="33"/>
        <v>244031</v>
      </c>
      <c r="AK165" s="176"/>
      <c r="AL165" s="176"/>
    </row>
    <row r="166" spans="1:38" ht="36" customHeight="1" x14ac:dyDescent="0.2">
      <c r="A166" s="14" t="s">
        <v>18</v>
      </c>
      <c r="B166" s="212">
        <v>244022</v>
      </c>
      <c r="C166" s="14" t="s">
        <v>547</v>
      </c>
      <c r="D166" s="14" t="s">
        <v>268</v>
      </c>
      <c r="E166" s="14" t="s">
        <v>14</v>
      </c>
      <c r="F166" s="14" t="s">
        <v>324</v>
      </c>
      <c r="G166" s="179">
        <v>680165</v>
      </c>
      <c r="H166" s="176" t="s">
        <v>1162</v>
      </c>
      <c r="I166" s="176" t="s">
        <v>630</v>
      </c>
      <c r="J166" s="176" t="s">
        <v>803</v>
      </c>
      <c r="K166" s="176" t="s">
        <v>1167</v>
      </c>
      <c r="L166" s="40" t="s">
        <v>46</v>
      </c>
      <c r="M166" s="40" t="s">
        <v>341</v>
      </c>
      <c r="N166" s="14" t="s">
        <v>1171</v>
      </c>
      <c r="O166" s="14" t="s">
        <v>1178</v>
      </c>
      <c r="P166" s="14" t="s">
        <v>901</v>
      </c>
      <c r="Q166" s="14" t="s">
        <v>1182</v>
      </c>
      <c r="R166" s="17">
        <v>120</v>
      </c>
      <c r="S166" s="172" t="s">
        <v>51</v>
      </c>
      <c r="T166" s="17">
        <v>1244</v>
      </c>
      <c r="U166" s="14" t="s">
        <v>51</v>
      </c>
      <c r="V166" s="16">
        <f t="shared" si="29"/>
        <v>244022</v>
      </c>
      <c r="W166" s="16">
        <f t="shared" si="30"/>
        <v>244029</v>
      </c>
      <c r="X166" s="16">
        <f t="shared" si="31"/>
        <v>244024</v>
      </c>
      <c r="Y166" s="15"/>
      <c r="Z166" s="177"/>
      <c r="AA166" s="170"/>
      <c r="AB166" s="170"/>
      <c r="AC166" s="170"/>
      <c r="AD166" s="170"/>
      <c r="AE166" s="15"/>
      <c r="AF166" s="177"/>
      <c r="AG166" s="177">
        <f t="shared" si="32"/>
        <v>0</v>
      </c>
      <c r="AH166" s="177">
        <f t="shared" si="33"/>
        <v>0</v>
      </c>
      <c r="AK166" s="176"/>
      <c r="AL166" s="176"/>
    </row>
    <row r="167" spans="1:38" ht="36" customHeight="1" x14ac:dyDescent="0.2">
      <c r="A167" s="14" t="s">
        <v>18</v>
      </c>
      <c r="B167" s="212">
        <v>244022</v>
      </c>
      <c r="C167" s="14" t="s">
        <v>547</v>
      </c>
      <c r="D167" s="14" t="s">
        <v>268</v>
      </c>
      <c r="E167" s="14" t="s">
        <v>14</v>
      </c>
      <c r="F167" s="14" t="s">
        <v>324</v>
      </c>
      <c r="G167" s="179">
        <v>680166</v>
      </c>
      <c r="H167" s="176" t="s">
        <v>1162</v>
      </c>
      <c r="I167" s="176" t="s">
        <v>630</v>
      </c>
      <c r="J167" s="176" t="s">
        <v>803</v>
      </c>
      <c r="K167" s="176" t="s">
        <v>1167</v>
      </c>
      <c r="L167" s="40" t="s">
        <v>46</v>
      </c>
      <c r="M167" s="40" t="s">
        <v>341</v>
      </c>
      <c r="N167" s="14" t="s">
        <v>1172</v>
      </c>
      <c r="O167" s="14" t="s">
        <v>548</v>
      </c>
      <c r="P167" s="14" t="s">
        <v>518</v>
      </c>
      <c r="Q167" s="14" t="s">
        <v>549</v>
      </c>
      <c r="R167" s="17">
        <v>348</v>
      </c>
      <c r="S167" s="172" t="s">
        <v>51</v>
      </c>
      <c r="T167" s="17"/>
      <c r="U167" s="14"/>
      <c r="V167" s="16">
        <f t="shared" si="29"/>
        <v>244022</v>
      </c>
      <c r="W167" s="16">
        <f t="shared" si="30"/>
        <v>244029</v>
      </c>
      <c r="X167" s="16">
        <f t="shared" si="31"/>
        <v>244024</v>
      </c>
      <c r="Y167" s="15"/>
      <c r="Z167" s="177"/>
      <c r="AA167" s="170"/>
      <c r="AB167" s="170"/>
      <c r="AC167" s="170"/>
      <c r="AD167" s="170"/>
      <c r="AE167" s="15"/>
      <c r="AF167" s="177"/>
      <c r="AG167" s="177">
        <f t="shared" si="32"/>
        <v>0</v>
      </c>
      <c r="AH167" s="177">
        <f t="shared" si="33"/>
        <v>0</v>
      </c>
      <c r="AK167" s="176"/>
      <c r="AL167" s="176"/>
    </row>
    <row r="168" spans="1:38" ht="36" customHeight="1" x14ac:dyDescent="0.2">
      <c r="A168" s="14" t="s">
        <v>18</v>
      </c>
      <c r="B168" s="212">
        <v>244022</v>
      </c>
      <c r="C168" s="14" t="s">
        <v>547</v>
      </c>
      <c r="D168" s="14" t="s">
        <v>268</v>
      </c>
      <c r="E168" s="14" t="s">
        <v>14</v>
      </c>
      <c r="F168" s="14" t="s">
        <v>324</v>
      </c>
      <c r="G168" s="179">
        <v>680167</v>
      </c>
      <c r="H168" s="176" t="s">
        <v>1163</v>
      </c>
      <c r="I168" s="176" t="s">
        <v>802</v>
      </c>
      <c r="J168" s="176" t="s">
        <v>132</v>
      </c>
      <c r="K168" s="176" t="s">
        <v>1168</v>
      </c>
      <c r="L168" s="40" t="s">
        <v>710</v>
      </c>
      <c r="M168" s="40" t="s">
        <v>341</v>
      </c>
      <c r="N168" s="14" t="s">
        <v>1175</v>
      </c>
      <c r="O168" s="14" t="s">
        <v>548</v>
      </c>
      <c r="P168" s="14" t="s">
        <v>518</v>
      </c>
      <c r="Q168" s="14" t="s">
        <v>549</v>
      </c>
      <c r="R168" s="17">
        <v>156</v>
      </c>
      <c r="S168" s="172" t="s">
        <v>51</v>
      </c>
      <c r="T168" s="17">
        <v>1921</v>
      </c>
      <c r="U168" s="14" t="s">
        <v>51</v>
      </c>
      <c r="V168" s="16">
        <f t="shared" si="29"/>
        <v>244022</v>
      </c>
      <c r="W168" s="16">
        <f t="shared" si="30"/>
        <v>244029</v>
      </c>
      <c r="X168" s="16">
        <f t="shared" si="31"/>
        <v>244024</v>
      </c>
      <c r="Y168" s="15" t="s">
        <v>54</v>
      </c>
      <c r="Z168" s="177">
        <v>244033</v>
      </c>
      <c r="AA168" s="170"/>
      <c r="AB168" s="170"/>
      <c r="AC168" s="170"/>
      <c r="AD168" s="170"/>
      <c r="AE168" s="15" t="s">
        <v>54</v>
      </c>
      <c r="AF168" s="177">
        <v>244034</v>
      </c>
      <c r="AG168" s="177" t="str">
        <f t="shared" si="32"/>
        <v>Pass</v>
      </c>
      <c r="AH168" s="177">
        <f t="shared" si="33"/>
        <v>244034</v>
      </c>
      <c r="AK168" s="176"/>
      <c r="AL168" s="176"/>
    </row>
    <row r="169" spans="1:38" ht="36" customHeight="1" x14ac:dyDescent="0.2">
      <c r="A169" s="14" t="s">
        <v>18</v>
      </c>
      <c r="B169" s="212">
        <v>244022</v>
      </c>
      <c r="C169" s="14" t="s">
        <v>547</v>
      </c>
      <c r="D169" s="14" t="s">
        <v>268</v>
      </c>
      <c r="E169" s="14" t="s">
        <v>14</v>
      </c>
      <c r="F169" s="14" t="s">
        <v>324</v>
      </c>
      <c r="G169" s="179">
        <v>680168</v>
      </c>
      <c r="H169" s="176" t="s">
        <v>1163</v>
      </c>
      <c r="I169" s="176" t="s">
        <v>802</v>
      </c>
      <c r="J169" s="176" t="s">
        <v>132</v>
      </c>
      <c r="K169" s="176" t="s">
        <v>1169</v>
      </c>
      <c r="L169" s="40" t="s">
        <v>710</v>
      </c>
      <c r="M169" s="40" t="s">
        <v>341</v>
      </c>
      <c r="N169" s="14" t="s">
        <v>1176</v>
      </c>
      <c r="O169" s="14" t="s">
        <v>527</v>
      </c>
      <c r="P169" s="14" t="s">
        <v>1180</v>
      </c>
      <c r="Q169" s="14" t="s">
        <v>542</v>
      </c>
      <c r="R169" s="17">
        <v>140</v>
      </c>
      <c r="S169" s="172" t="s">
        <v>51</v>
      </c>
      <c r="T169" s="17">
        <v>1904</v>
      </c>
      <c r="U169" s="14" t="s">
        <v>51</v>
      </c>
      <c r="V169" s="16">
        <f t="shared" si="29"/>
        <v>244022</v>
      </c>
      <c r="W169" s="16">
        <f t="shared" si="30"/>
        <v>244029</v>
      </c>
      <c r="X169" s="16">
        <f t="shared" si="31"/>
        <v>244024</v>
      </c>
      <c r="Y169" s="15" t="s">
        <v>54</v>
      </c>
      <c r="Z169" s="177">
        <v>244033</v>
      </c>
      <c r="AA169" s="170"/>
      <c r="AB169" s="170"/>
      <c r="AC169" s="170"/>
      <c r="AD169" s="170"/>
      <c r="AE169" s="15" t="s">
        <v>54</v>
      </c>
      <c r="AF169" s="177">
        <v>244034</v>
      </c>
      <c r="AG169" s="177" t="str">
        <f t="shared" si="32"/>
        <v>Pass</v>
      </c>
      <c r="AH169" s="177">
        <f t="shared" si="33"/>
        <v>244034</v>
      </c>
      <c r="AK169" s="176"/>
      <c r="AL169" s="176"/>
    </row>
    <row r="170" spans="1:38" ht="36" customHeight="1" x14ac:dyDescent="0.2">
      <c r="A170" s="14" t="s">
        <v>18</v>
      </c>
      <c r="B170" s="212">
        <v>244024</v>
      </c>
      <c r="C170" s="14" t="s">
        <v>547</v>
      </c>
      <c r="D170" s="14" t="s">
        <v>268</v>
      </c>
      <c r="E170" s="14" t="s">
        <v>14</v>
      </c>
      <c r="F170" s="14" t="s">
        <v>324</v>
      </c>
      <c r="G170" s="179">
        <v>680169</v>
      </c>
      <c r="H170" s="176" t="s">
        <v>1162</v>
      </c>
      <c r="I170" s="176" t="s">
        <v>630</v>
      </c>
      <c r="J170" s="176" t="s">
        <v>1190</v>
      </c>
      <c r="K170" s="176" t="s">
        <v>1167</v>
      </c>
      <c r="L170" s="40" t="s">
        <v>46</v>
      </c>
      <c r="M170" s="40" t="s">
        <v>341</v>
      </c>
      <c r="N170" s="14" t="s">
        <v>1196</v>
      </c>
      <c r="O170" s="14" t="s">
        <v>552</v>
      </c>
      <c r="P170" s="14" t="s">
        <v>1204</v>
      </c>
      <c r="Q170" s="14" t="s">
        <v>553</v>
      </c>
      <c r="R170" s="17">
        <v>840</v>
      </c>
      <c r="S170" s="172" t="s">
        <v>51</v>
      </c>
      <c r="T170" s="17">
        <v>2080</v>
      </c>
      <c r="U170" s="14" t="s">
        <v>51</v>
      </c>
      <c r="V170" s="16">
        <f t="shared" si="29"/>
        <v>244024</v>
      </c>
      <c r="W170" s="16">
        <f t="shared" si="30"/>
        <v>244031</v>
      </c>
      <c r="X170" s="16">
        <f t="shared" si="31"/>
        <v>244026</v>
      </c>
      <c r="Y170" s="15"/>
      <c r="Z170" s="177"/>
      <c r="AA170" s="170"/>
      <c r="AB170" s="170"/>
      <c r="AC170" s="170"/>
      <c r="AD170" s="170"/>
      <c r="AE170" s="15"/>
      <c r="AF170" s="177"/>
      <c r="AG170" s="177">
        <f t="shared" si="32"/>
        <v>0</v>
      </c>
      <c r="AH170" s="177">
        <f t="shared" si="33"/>
        <v>0</v>
      </c>
      <c r="AK170" s="176"/>
      <c r="AL170" s="176"/>
    </row>
    <row r="171" spans="1:38" ht="36" customHeight="1" x14ac:dyDescent="0.2">
      <c r="A171" s="14" t="s">
        <v>18</v>
      </c>
      <c r="B171" s="212">
        <v>244024</v>
      </c>
      <c r="C171" s="14" t="s">
        <v>547</v>
      </c>
      <c r="D171" s="14" t="s">
        <v>268</v>
      </c>
      <c r="E171" s="14" t="s">
        <v>14</v>
      </c>
      <c r="F171" s="14" t="s">
        <v>324</v>
      </c>
      <c r="G171" s="179">
        <v>680170</v>
      </c>
      <c r="H171" s="176" t="s">
        <v>1185</v>
      </c>
      <c r="I171" s="176" t="s">
        <v>630</v>
      </c>
      <c r="J171" s="176" t="s">
        <v>1190</v>
      </c>
      <c r="K171" s="176" t="s">
        <v>1192</v>
      </c>
      <c r="L171" s="40" t="s">
        <v>46</v>
      </c>
      <c r="M171" s="40" t="s">
        <v>341</v>
      </c>
      <c r="N171" s="14" t="s">
        <v>1197</v>
      </c>
      <c r="O171" s="14" t="s">
        <v>543</v>
      </c>
      <c r="P171" s="14" t="s">
        <v>517</v>
      </c>
      <c r="Q171" s="14" t="s">
        <v>529</v>
      </c>
      <c r="R171" s="17">
        <v>400</v>
      </c>
      <c r="S171" s="172" t="s">
        <v>51</v>
      </c>
      <c r="T171" s="17">
        <v>1935</v>
      </c>
      <c r="U171" s="14" t="s">
        <v>51</v>
      </c>
      <c r="V171" s="16">
        <f t="shared" ref="V171:V200" si="34">B171</f>
        <v>244024</v>
      </c>
      <c r="W171" s="16">
        <f t="shared" ref="W171:W200" si="35">B171+7</f>
        <v>244031</v>
      </c>
      <c r="X171" s="16">
        <f t="shared" ref="X171:X200" si="36">V171+2</f>
        <v>244026</v>
      </c>
      <c r="Y171" s="15"/>
      <c r="Z171" s="177"/>
      <c r="AA171" s="170"/>
      <c r="AB171" s="170"/>
      <c r="AC171" s="170"/>
      <c r="AD171" s="170"/>
      <c r="AE171" s="15"/>
      <c r="AF171" s="177"/>
      <c r="AG171" s="177">
        <f t="shared" si="32"/>
        <v>0</v>
      </c>
      <c r="AH171" s="177">
        <f t="shared" si="33"/>
        <v>0</v>
      </c>
      <c r="AK171" s="176"/>
      <c r="AL171" s="176"/>
    </row>
    <row r="172" spans="1:38" ht="36" customHeight="1" x14ac:dyDescent="0.2">
      <c r="A172" s="14" t="s">
        <v>18</v>
      </c>
      <c r="B172" s="212">
        <v>244024</v>
      </c>
      <c r="C172" s="14" t="s">
        <v>547</v>
      </c>
      <c r="D172" s="14" t="s">
        <v>268</v>
      </c>
      <c r="E172" s="14" t="s">
        <v>14</v>
      </c>
      <c r="F172" s="14" t="s">
        <v>324</v>
      </c>
      <c r="G172" s="179">
        <v>680171</v>
      </c>
      <c r="H172" s="176" t="s">
        <v>1186</v>
      </c>
      <c r="I172" s="176" t="s">
        <v>1189</v>
      </c>
      <c r="J172" s="176" t="s">
        <v>1191</v>
      </c>
      <c r="K172" s="176" t="s">
        <v>1193</v>
      </c>
      <c r="L172" s="40" t="s">
        <v>105</v>
      </c>
      <c r="M172" s="40" t="s">
        <v>341</v>
      </c>
      <c r="N172" s="14" t="s">
        <v>1198</v>
      </c>
      <c r="O172" s="14" t="s">
        <v>552</v>
      </c>
      <c r="P172" s="14" t="s">
        <v>685</v>
      </c>
      <c r="Q172" s="14" t="s">
        <v>553</v>
      </c>
      <c r="R172" s="17">
        <v>400</v>
      </c>
      <c r="S172" s="172" t="s">
        <v>51</v>
      </c>
      <c r="T172" s="17">
        <v>2410</v>
      </c>
      <c r="U172" s="14" t="s">
        <v>51</v>
      </c>
      <c r="V172" s="16">
        <f t="shared" si="34"/>
        <v>244024</v>
      </c>
      <c r="W172" s="16">
        <f t="shared" si="35"/>
        <v>244031</v>
      </c>
      <c r="X172" s="16">
        <f t="shared" si="36"/>
        <v>244026</v>
      </c>
      <c r="Y172" s="15"/>
      <c r="Z172" s="177"/>
      <c r="AA172" s="170"/>
      <c r="AB172" s="170"/>
      <c r="AC172" s="170"/>
      <c r="AD172" s="170"/>
      <c r="AE172" s="15"/>
      <c r="AF172" s="177"/>
      <c r="AG172" s="177">
        <f t="shared" si="32"/>
        <v>0</v>
      </c>
      <c r="AH172" s="177">
        <f t="shared" si="33"/>
        <v>0</v>
      </c>
      <c r="AK172" s="176"/>
      <c r="AL172" s="176"/>
    </row>
    <row r="173" spans="1:38" ht="36" customHeight="1" x14ac:dyDescent="0.2">
      <c r="A173" s="14" t="s">
        <v>18</v>
      </c>
      <c r="B173" s="212">
        <v>244024</v>
      </c>
      <c r="C173" s="14" t="s">
        <v>547</v>
      </c>
      <c r="D173" s="14" t="s">
        <v>268</v>
      </c>
      <c r="E173" s="14" t="s">
        <v>14</v>
      </c>
      <c r="F173" s="14" t="s">
        <v>324</v>
      </c>
      <c r="G173" s="179">
        <v>680172</v>
      </c>
      <c r="H173" s="176" t="s">
        <v>1185</v>
      </c>
      <c r="I173" s="176" t="s">
        <v>630</v>
      </c>
      <c r="J173" s="176" t="s">
        <v>1190</v>
      </c>
      <c r="K173" s="176" t="s">
        <v>1192</v>
      </c>
      <c r="L173" s="40" t="s">
        <v>46</v>
      </c>
      <c r="M173" s="40" t="s">
        <v>341</v>
      </c>
      <c r="N173" s="14" t="s">
        <v>1199</v>
      </c>
      <c r="O173" s="14" t="s">
        <v>1203</v>
      </c>
      <c r="P173" s="14" t="s">
        <v>1205</v>
      </c>
      <c r="Q173" s="14" t="s">
        <v>1207</v>
      </c>
      <c r="R173" s="17">
        <v>200</v>
      </c>
      <c r="S173" s="172" t="s">
        <v>51</v>
      </c>
      <c r="T173" s="17">
        <v>1935</v>
      </c>
      <c r="U173" s="14" t="s">
        <v>51</v>
      </c>
      <c r="V173" s="16">
        <f t="shared" si="34"/>
        <v>244024</v>
      </c>
      <c r="W173" s="16">
        <f t="shared" si="35"/>
        <v>244031</v>
      </c>
      <c r="X173" s="16">
        <f t="shared" si="36"/>
        <v>244026</v>
      </c>
      <c r="Y173" s="15"/>
      <c r="Z173" s="177"/>
      <c r="AA173" s="170"/>
      <c r="AB173" s="170"/>
      <c r="AC173" s="170"/>
      <c r="AD173" s="170"/>
      <c r="AE173" s="15"/>
      <c r="AF173" s="177"/>
      <c r="AG173" s="177">
        <f t="shared" si="32"/>
        <v>0</v>
      </c>
      <c r="AH173" s="177">
        <f t="shared" si="33"/>
        <v>0</v>
      </c>
      <c r="AK173" s="176"/>
      <c r="AL173" s="176"/>
    </row>
    <row r="174" spans="1:38" ht="36" customHeight="1" x14ac:dyDescent="0.2">
      <c r="A174" s="14" t="s">
        <v>18</v>
      </c>
      <c r="B174" s="212">
        <v>244024</v>
      </c>
      <c r="C174" s="14" t="s">
        <v>547</v>
      </c>
      <c r="D174" s="14" t="s">
        <v>268</v>
      </c>
      <c r="E174" s="14" t="s">
        <v>14</v>
      </c>
      <c r="F174" s="14" t="s">
        <v>324</v>
      </c>
      <c r="G174" s="179">
        <v>680173</v>
      </c>
      <c r="H174" s="176" t="s">
        <v>1186</v>
      </c>
      <c r="I174" s="176" t="s">
        <v>1189</v>
      </c>
      <c r="J174" s="176" t="s">
        <v>1191</v>
      </c>
      <c r="K174" s="176" t="s">
        <v>1193</v>
      </c>
      <c r="L174" s="40" t="s">
        <v>105</v>
      </c>
      <c r="M174" s="40" t="s">
        <v>341</v>
      </c>
      <c r="N174" s="14" t="s">
        <v>840</v>
      </c>
      <c r="O174" s="14" t="s">
        <v>548</v>
      </c>
      <c r="P174" s="14" t="s">
        <v>518</v>
      </c>
      <c r="Q174" s="14" t="s">
        <v>549</v>
      </c>
      <c r="R174" s="17">
        <v>250</v>
      </c>
      <c r="S174" s="172" t="s">
        <v>51</v>
      </c>
      <c r="T174" s="17">
        <v>2245</v>
      </c>
      <c r="U174" s="14" t="s">
        <v>51</v>
      </c>
      <c r="V174" s="16">
        <f t="shared" si="34"/>
        <v>244024</v>
      </c>
      <c r="W174" s="16">
        <f t="shared" si="35"/>
        <v>244031</v>
      </c>
      <c r="X174" s="16">
        <f t="shared" si="36"/>
        <v>244026</v>
      </c>
      <c r="Y174" s="15"/>
      <c r="Z174" s="177"/>
      <c r="AA174" s="170"/>
      <c r="AB174" s="170"/>
      <c r="AC174" s="170"/>
      <c r="AD174" s="170"/>
      <c r="AE174" s="15"/>
      <c r="AF174" s="177"/>
      <c r="AG174" s="177">
        <f t="shared" si="32"/>
        <v>0</v>
      </c>
      <c r="AH174" s="177">
        <f t="shared" si="33"/>
        <v>0</v>
      </c>
      <c r="AK174" s="176"/>
      <c r="AL174" s="176"/>
    </row>
    <row r="175" spans="1:38" ht="36" customHeight="1" x14ac:dyDescent="0.2">
      <c r="A175" s="14" t="s">
        <v>18</v>
      </c>
      <c r="B175" s="212">
        <v>244024</v>
      </c>
      <c r="C175" s="14" t="s">
        <v>547</v>
      </c>
      <c r="D175" s="14" t="s">
        <v>268</v>
      </c>
      <c r="E175" s="14" t="s">
        <v>14</v>
      </c>
      <c r="F175" s="14" t="s">
        <v>324</v>
      </c>
      <c r="G175" s="179">
        <v>680174</v>
      </c>
      <c r="H175" s="176" t="s">
        <v>1187</v>
      </c>
      <c r="I175" s="176" t="s">
        <v>1189</v>
      </c>
      <c r="J175" s="176" t="s">
        <v>1191</v>
      </c>
      <c r="K175" s="176" t="s">
        <v>1194</v>
      </c>
      <c r="L175" s="40" t="s">
        <v>105</v>
      </c>
      <c r="M175" s="40" t="s">
        <v>341</v>
      </c>
      <c r="N175" s="14" t="s">
        <v>1200</v>
      </c>
      <c r="O175" s="14" t="s">
        <v>543</v>
      </c>
      <c r="P175" s="14" t="s">
        <v>1206</v>
      </c>
      <c r="Q175" s="14" t="s">
        <v>529</v>
      </c>
      <c r="R175" s="17">
        <v>800</v>
      </c>
      <c r="S175" s="172" t="s">
        <v>51</v>
      </c>
      <c r="T175" s="17">
        <v>2160</v>
      </c>
      <c r="U175" s="14" t="s">
        <v>51</v>
      </c>
      <c r="V175" s="16">
        <f t="shared" si="34"/>
        <v>244024</v>
      </c>
      <c r="W175" s="16">
        <f t="shared" si="35"/>
        <v>244031</v>
      </c>
      <c r="X175" s="16">
        <f t="shared" si="36"/>
        <v>244026</v>
      </c>
      <c r="Y175" s="15"/>
      <c r="Z175" s="177"/>
      <c r="AA175" s="170"/>
      <c r="AB175" s="170"/>
      <c r="AC175" s="170"/>
      <c r="AD175" s="170"/>
      <c r="AE175" s="15"/>
      <c r="AF175" s="177"/>
      <c r="AG175" s="177">
        <f t="shared" si="32"/>
        <v>0</v>
      </c>
      <c r="AH175" s="177">
        <f t="shared" si="33"/>
        <v>0</v>
      </c>
      <c r="AK175" s="176"/>
      <c r="AL175" s="176"/>
    </row>
    <row r="176" spans="1:38" ht="36" customHeight="1" x14ac:dyDescent="0.2">
      <c r="A176" s="14" t="s">
        <v>18</v>
      </c>
      <c r="B176" s="212">
        <v>244024</v>
      </c>
      <c r="C176" s="14" t="s">
        <v>547</v>
      </c>
      <c r="D176" s="14" t="s">
        <v>268</v>
      </c>
      <c r="E176" s="14" t="s">
        <v>14</v>
      </c>
      <c r="F176" s="14" t="s">
        <v>324</v>
      </c>
      <c r="G176" s="179">
        <v>680175</v>
      </c>
      <c r="H176" s="176" t="s">
        <v>1188</v>
      </c>
      <c r="I176" s="176" t="s">
        <v>1189</v>
      </c>
      <c r="J176" s="176" t="s">
        <v>130</v>
      </c>
      <c r="K176" s="176" t="s">
        <v>1195</v>
      </c>
      <c r="L176" s="40" t="s">
        <v>46</v>
      </c>
      <c r="M176" s="40" t="s">
        <v>341</v>
      </c>
      <c r="N176" s="14" t="s">
        <v>1201</v>
      </c>
      <c r="O176" s="14" t="s">
        <v>548</v>
      </c>
      <c r="P176" s="14" t="s">
        <v>518</v>
      </c>
      <c r="Q176" s="14" t="s">
        <v>549</v>
      </c>
      <c r="R176" s="17">
        <v>142</v>
      </c>
      <c r="S176" s="172" t="s">
        <v>51</v>
      </c>
      <c r="T176" s="17">
        <v>2605</v>
      </c>
      <c r="U176" s="14" t="s">
        <v>51</v>
      </c>
      <c r="V176" s="16">
        <f t="shared" si="34"/>
        <v>244024</v>
      </c>
      <c r="W176" s="16">
        <f t="shared" si="35"/>
        <v>244031</v>
      </c>
      <c r="X176" s="16">
        <f t="shared" si="36"/>
        <v>244026</v>
      </c>
      <c r="Y176" s="15"/>
      <c r="Z176" s="177"/>
      <c r="AA176" s="170"/>
      <c r="AB176" s="170"/>
      <c r="AC176" s="170"/>
      <c r="AD176" s="170"/>
      <c r="AE176" s="15"/>
      <c r="AF176" s="177"/>
      <c r="AG176" s="177">
        <f t="shared" si="32"/>
        <v>0</v>
      </c>
      <c r="AH176" s="177">
        <f t="shared" si="33"/>
        <v>0</v>
      </c>
      <c r="AK176" s="176"/>
      <c r="AL176" s="176"/>
    </row>
    <row r="177" spans="1:38" ht="36" customHeight="1" x14ac:dyDescent="0.2">
      <c r="A177" s="14" t="s">
        <v>18</v>
      </c>
      <c r="B177" s="212">
        <v>244024</v>
      </c>
      <c r="C177" s="14" t="s">
        <v>547</v>
      </c>
      <c r="D177" s="14" t="s">
        <v>268</v>
      </c>
      <c r="E177" s="14" t="s">
        <v>14</v>
      </c>
      <c r="F177" s="14" t="s">
        <v>324</v>
      </c>
      <c r="G177" s="179">
        <v>680176</v>
      </c>
      <c r="H177" s="176" t="s">
        <v>1188</v>
      </c>
      <c r="I177" s="176" t="s">
        <v>1189</v>
      </c>
      <c r="J177" s="176" t="s">
        <v>130</v>
      </c>
      <c r="K177" s="176" t="s">
        <v>1195</v>
      </c>
      <c r="L177" s="40" t="s">
        <v>46</v>
      </c>
      <c r="M177" s="40" t="s">
        <v>341</v>
      </c>
      <c r="N177" s="14" t="s">
        <v>1202</v>
      </c>
      <c r="O177" s="14" t="s">
        <v>548</v>
      </c>
      <c r="P177" s="14" t="s">
        <v>518</v>
      </c>
      <c r="Q177" s="14" t="s">
        <v>549</v>
      </c>
      <c r="R177" s="17">
        <v>110</v>
      </c>
      <c r="S177" s="172" t="s">
        <v>51</v>
      </c>
      <c r="T177" s="17"/>
      <c r="U177" s="14"/>
      <c r="V177" s="16">
        <f t="shared" si="34"/>
        <v>244024</v>
      </c>
      <c r="W177" s="16">
        <f t="shared" si="35"/>
        <v>244031</v>
      </c>
      <c r="X177" s="16">
        <f t="shared" si="36"/>
        <v>244026</v>
      </c>
      <c r="Y177" s="15"/>
      <c r="Z177" s="177"/>
      <c r="AA177" s="170"/>
      <c r="AB177" s="170"/>
      <c r="AC177" s="170"/>
      <c r="AD177" s="170"/>
      <c r="AE177" s="15"/>
      <c r="AF177" s="177"/>
      <c r="AG177" s="177">
        <f t="shared" si="32"/>
        <v>0</v>
      </c>
      <c r="AH177" s="177">
        <f t="shared" si="33"/>
        <v>0</v>
      </c>
      <c r="AK177" s="176"/>
      <c r="AL177" s="176"/>
    </row>
    <row r="178" spans="1:38" ht="36" customHeight="1" x14ac:dyDescent="0.2">
      <c r="A178" s="14" t="s">
        <v>18</v>
      </c>
      <c r="B178" s="212">
        <v>244024</v>
      </c>
      <c r="C178" s="14" t="s">
        <v>547</v>
      </c>
      <c r="D178" s="14" t="s">
        <v>268</v>
      </c>
      <c r="E178" s="14" t="s">
        <v>14</v>
      </c>
      <c r="F178" s="14" t="s">
        <v>324</v>
      </c>
      <c r="G178" s="179">
        <v>680177</v>
      </c>
      <c r="H178" s="176" t="s">
        <v>1208</v>
      </c>
      <c r="I178" s="176" t="s">
        <v>1189</v>
      </c>
      <c r="J178" s="176" t="s">
        <v>130</v>
      </c>
      <c r="K178" s="176" t="s">
        <v>1211</v>
      </c>
      <c r="L178" s="40" t="s">
        <v>46</v>
      </c>
      <c r="M178" s="40" t="s">
        <v>341</v>
      </c>
      <c r="N178" s="14" t="s">
        <v>1213</v>
      </c>
      <c r="O178" s="14" t="s">
        <v>1216</v>
      </c>
      <c r="P178" s="14" t="s">
        <v>1218</v>
      </c>
      <c r="Q178" s="14" t="s">
        <v>1220</v>
      </c>
      <c r="R178" s="17">
        <v>1925</v>
      </c>
      <c r="S178" s="172" t="s">
        <v>51</v>
      </c>
      <c r="T178" s="17">
        <v>2710</v>
      </c>
      <c r="U178" s="14" t="s">
        <v>51</v>
      </c>
      <c r="V178" s="16">
        <f t="shared" si="34"/>
        <v>244024</v>
      </c>
      <c r="W178" s="16">
        <f t="shared" si="35"/>
        <v>244031</v>
      </c>
      <c r="X178" s="16">
        <f t="shared" si="36"/>
        <v>244026</v>
      </c>
      <c r="Y178" s="15"/>
      <c r="Z178" s="177"/>
      <c r="AA178" s="170"/>
      <c r="AB178" s="170"/>
      <c r="AC178" s="170"/>
      <c r="AD178" s="170"/>
      <c r="AE178" s="15"/>
      <c r="AF178" s="177"/>
      <c r="AG178" s="177">
        <f t="shared" si="32"/>
        <v>0</v>
      </c>
      <c r="AH178" s="177">
        <f t="shared" si="33"/>
        <v>0</v>
      </c>
      <c r="AK178" s="176"/>
      <c r="AL178" s="176"/>
    </row>
    <row r="179" spans="1:38" ht="36" customHeight="1" x14ac:dyDescent="0.2">
      <c r="A179" s="14" t="s">
        <v>18</v>
      </c>
      <c r="B179" s="212">
        <v>244024</v>
      </c>
      <c r="C179" s="14" t="s">
        <v>547</v>
      </c>
      <c r="D179" s="14" t="s">
        <v>268</v>
      </c>
      <c r="E179" s="14" t="s">
        <v>14</v>
      </c>
      <c r="F179" s="14" t="s">
        <v>324</v>
      </c>
      <c r="G179" s="179">
        <v>680178</v>
      </c>
      <c r="H179" s="176" t="s">
        <v>1209</v>
      </c>
      <c r="I179" s="176" t="s">
        <v>1189</v>
      </c>
      <c r="J179" s="176" t="s">
        <v>1210</v>
      </c>
      <c r="K179" s="176" t="s">
        <v>1212</v>
      </c>
      <c r="L179" s="40" t="s">
        <v>108</v>
      </c>
      <c r="M179" s="40" t="s">
        <v>341</v>
      </c>
      <c r="N179" s="14" t="s">
        <v>1214</v>
      </c>
      <c r="O179" s="14" t="s">
        <v>548</v>
      </c>
      <c r="P179" s="14" t="s">
        <v>717</v>
      </c>
      <c r="Q179" s="14" t="s">
        <v>549</v>
      </c>
      <c r="R179" s="17">
        <v>150</v>
      </c>
      <c r="S179" s="172" t="s">
        <v>51</v>
      </c>
      <c r="T179" s="17">
        <v>2332</v>
      </c>
      <c r="U179" s="14" t="s">
        <v>51</v>
      </c>
      <c r="V179" s="16">
        <f t="shared" si="34"/>
        <v>244024</v>
      </c>
      <c r="W179" s="16">
        <f t="shared" si="35"/>
        <v>244031</v>
      </c>
      <c r="X179" s="16">
        <f t="shared" si="36"/>
        <v>244026</v>
      </c>
      <c r="Y179" s="15"/>
      <c r="Z179" s="177"/>
      <c r="AA179" s="170"/>
      <c r="AB179" s="170"/>
      <c r="AC179" s="170"/>
      <c r="AD179" s="170"/>
      <c r="AE179" s="15"/>
      <c r="AF179" s="177"/>
      <c r="AG179" s="177">
        <f t="shared" ref="AG179:AG242" si="37">AE179</f>
        <v>0</v>
      </c>
      <c r="AH179" s="177">
        <f t="shared" ref="AH179:AH242" si="38">AF179</f>
        <v>0</v>
      </c>
      <c r="AK179" s="176"/>
      <c r="AL179" s="176"/>
    </row>
    <row r="180" spans="1:38" ht="36" customHeight="1" x14ac:dyDescent="0.2">
      <c r="A180" s="14" t="s">
        <v>18</v>
      </c>
      <c r="B180" s="212">
        <v>244024</v>
      </c>
      <c r="C180" s="14" t="s">
        <v>547</v>
      </c>
      <c r="D180" s="14" t="s">
        <v>268</v>
      </c>
      <c r="E180" s="14" t="s">
        <v>14</v>
      </c>
      <c r="F180" s="14" t="s">
        <v>324</v>
      </c>
      <c r="G180" s="179">
        <v>680179</v>
      </c>
      <c r="H180" s="176" t="s">
        <v>1163</v>
      </c>
      <c r="I180" s="176" t="s">
        <v>802</v>
      </c>
      <c r="J180" s="176" t="s">
        <v>132</v>
      </c>
      <c r="K180" s="176" t="s">
        <v>1168</v>
      </c>
      <c r="L180" s="40" t="s">
        <v>710</v>
      </c>
      <c r="M180" s="40" t="s">
        <v>341</v>
      </c>
      <c r="N180" s="14" t="s">
        <v>1215</v>
      </c>
      <c r="O180" s="14" t="s">
        <v>1217</v>
      </c>
      <c r="P180" s="14" t="s">
        <v>1219</v>
      </c>
      <c r="Q180" s="14" t="s">
        <v>1221</v>
      </c>
      <c r="R180" s="17">
        <v>146</v>
      </c>
      <c r="S180" s="172" t="s">
        <v>51</v>
      </c>
      <c r="T180" s="17">
        <v>1904</v>
      </c>
      <c r="U180" s="14" t="s">
        <v>51</v>
      </c>
      <c r="V180" s="16">
        <f t="shared" si="34"/>
        <v>244024</v>
      </c>
      <c r="W180" s="16">
        <f t="shared" si="35"/>
        <v>244031</v>
      </c>
      <c r="X180" s="16">
        <f t="shared" si="36"/>
        <v>244026</v>
      </c>
      <c r="Y180" s="15" t="s">
        <v>54</v>
      </c>
      <c r="Z180" s="177">
        <v>244033</v>
      </c>
      <c r="AA180" s="170"/>
      <c r="AB180" s="170"/>
      <c r="AC180" s="170"/>
      <c r="AD180" s="170"/>
      <c r="AE180" s="15" t="s">
        <v>54</v>
      </c>
      <c r="AF180" s="177">
        <v>244034</v>
      </c>
      <c r="AG180" s="177" t="str">
        <f t="shared" si="37"/>
        <v>Pass</v>
      </c>
      <c r="AH180" s="177">
        <f t="shared" si="38"/>
        <v>244034</v>
      </c>
      <c r="AK180" s="176"/>
      <c r="AL180" s="176"/>
    </row>
    <row r="181" spans="1:38" ht="36" customHeight="1" x14ac:dyDescent="0.2">
      <c r="A181" s="14" t="s">
        <v>18</v>
      </c>
      <c r="B181" s="212">
        <v>244025</v>
      </c>
      <c r="C181" s="14" t="s">
        <v>547</v>
      </c>
      <c r="D181" s="14" t="s">
        <v>268</v>
      </c>
      <c r="E181" s="14" t="s">
        <v>14</v>
      </c>
      <c r="F181" s="14" t="s">
        <v>324</v>
      </c>
      <c r="G181" s="179">
        <v>680180</v>
      </c>
      <c r="H181" s="176" t="s">
        <v>1222</v>
      </c>
      <c r="I181" s="176" t="s">
        <v>612</v>
      </c>
      <c r="J181" s="176" t="s">
        <v>865</v>
      </c>
      <c r="K181" s="176" t="s">
        <v>1224</v>
      </c>
      <c r="L181" s="40" t="s">
        <v>105</v>
      </c>
      <c r="M181" s="40" t="s">
        <v>341</v>
      </c>
      <c r="N181" s="14" t="s">
        <v>1227</v>
      </c>
      <c r="O181" s="14" t="s">
        <v>788</v>
      </c>
      <c r="P181" s="14" t="s">
        <v>1230</v>
      </c>
      <c r="Q181" s="14" t="s">
        <v>797</v>
      </c>
      <c r="R181" s="17">
        <v>650</v>
      </c>
      <c r="S181" s="172" t="s">
        <v>51</v>
      </c>
      <c r="T181" s="17">
        <v>1810</v>
      </c>
      <c r="U181" s="14" t="s">
        <v>51</v>
      </c>
      <c r="V181" s="16">
        <f t="shared" si="34"/>
        <v>244025</v>
      </c>
      <c r="W181" s="16">
        <f t="shared" si="35"/>
        <v>244032</v>
      </c>
      <c r="X181" s="16">
        <f t="shared" si="36"/>
        <v>244027</v>
      </c>
      <c r="Y181" s="15" t="s">
        <v>54</v>
      </c>
      <c r="Z181" s="177">
        <v>244028</v>
      </c>
      <c r="AA181" s="170"/>
      <c r="AB181" s="170"/>
      <c r="AC181" s="170"/>
      <c r="AD181" s="170"/>
      <c r="AE181" s="15" t="s">
        <v>54</v>
      </c>
      <c r="AF181" s="177">
        <v>244031</v>
      </c>
      <c r="AG181" s="177" t="str">
        <f t="shared" si="37"/>
        <v>Pass</v>
      </c>
      <c r="AH181" s="177">
        <f t="shared" si="38"/>
        <v>244031</v>
      </c>
      <c r="AK181" s="176"/>
      <c r="AL181" s="176"/>
    </row>
    <row r="182" spans="1:38" ht="36" customHeight="1" x14ac:dyDescent="0.2">
      <c r="A182" s="14" t="s">
        <v>18</v>
      </c>
      <c r="B182" s="212">
        <v>244025</v>
      </c>
      <c r="C182" s="14" t="s">
        <v>547</v>
      </c>
      <c r="D182" s="14" t="s">
        <v>268</v>
      </c>
      <c r="E182" s="14" t="s">
        <v>14</v>
      </c>
      <c r="F182" s="14" t="s">
        <v>324</v>
      </c>
      <c r="G182" s="179">
        <v>680181</v>
      </c>
      <c r="H182" s="176" t="s">
        <v>1222</v>
      </c>
      <c r="I182" s="176" t="s">
        <v>612</v>
      </c>
      <c r="J182" s="176" t="s">
        <v>865</v>
      </c>
      <c r="K182" s="176" t="s">
        <v>1224</v>
      </c>
      <c r="L182" s="40" t="s">
        <v>105</v>
      </c>
      <c r="M182" s="40" t="s">
        <v>341</v>
      </c>
      <c r="N182" s="14" t="s">
        <v>1228</v>
      </c>
      <c r="O182" s="14" t="s">
        <v>953</v>
      </c>
      <c r="P182" s="14" t="s">
        <v>1231</v>
      </c>
      <c r="Q182" s="14" t="s">
        <v>956</v>
      </c>
      <c r="R182" s="17">
        <v>800</v>
      </c>
      <c r="S182" s="172" t="s">
        <v>51</v>
      </c>
      <c r="T182" s="17">
        <v>1930</v>
      </c>
      <c r="U182" s="14" t="s">
        <v>51</v>
      </c>
      <c r="V182" s="16">
        <f t="shared" si="34"/>
        <v>244025</v>
      </c>
      <c r="W182" s="16">
        <f t="shared" si="35"/>
        <v>244032</v>
      </c>
      <c r="X182" s="16">
        <f t="shared" si="36"/>
        <v>244027</v>
      </c>
      <c r="Y182" s="15" t="s">
        <v>54</v>
      </c>
      <c r="Z182" s="177">
        <v>244028</v>
      </c>
      <c r="AA182" s="170"/>
      <c r="AB182" s="170"/>
      <c r="AC182" s="170"/>
      <c r="AD182" s="170"/>
      <c r="AE182" s="15" t="s">
        <v>54</v>
      </c>
      <c r="AF182" s="177">
        <v>244031</v>
      </c>
      <c r="AG182" s="177" t="str">
        <f t="shared" si="37"/>
        <v>Pass</v>
      </c>
      <c r="AH182" s="177">
        <f t="shared" si="38"/>
        <v>244031</v>
      </c>
      <c r="AK182" s="176"/>
      <c r="AL182" s="176"/>
    </row>
    <row r="183" spans="1:38" ht="36" customHeight="1" x14ac:dyDescent="0.2">
      <c r="A183" s="14" t="s">
        <v>18</v>
      </c>
      <c r="B183" s="212">
        <v>244025</v>
      </c>
      <c r="C183" s="14" t="s">
        <v>547</v>
      </c>
      <c r="D183" s="14" t="s">
        <v>268</v>
      </c>
      <c r="E183" s="14" t="s">
        <v>14</v>
      </c>
      <c r="F183" s="14" t="s">
        <v>324</v>
      </c>
      <c r="G183" s="179">
        <v>680182</v>
      </c>
      <c r="H183" s="176" t="s">
        <v>1223</v>
      </c>
      <c r="I183" s="176" t="s">
        <v>864</v>
      </c>
      <c r="J183" s="176" t="s">
        <v>865</v>
      </c>
      <c r="K183" s="176" t="s">
        <v>1225</v>
      </c>
      <c r="L183" s="40" t="s">
        <v>105</v>
      </c>
      <c r="M183" s="40" t="s">
        <v>341</v>
      </c>
      <c r="N183" s="14" t="s">
        <v>1229</v>
      </c>
      <c r="O183" s="14" t="s">
        <v>1009</v>
      </c>
      <c r="P183" s="14" t="s">
        <v>1232</v>
      </c>
      <c r="Q183" s="14" t="s">
        <v>323</v>
      </c>
      <c r="R183" s="17">
        <v>500</v>
      </c>
      <c r="S183" s="172" t="s">
        <v>51</v>
      </c>
      <c r="T183" s="17">
        <v>1440</v>
      </c>
      <c r="U183" s="14" t="s">
        <v>51</v>
      </c>
      <c r="V183" s="16">
        <f t="shared" si="34"/>
        <v>244025</v>
      </c>
      <c r="W183" s="16">
        <f t="shared" si="35"/>
        <v>244032</v>
      </c>
      <c r="X183" s="16">
        <f t="shared" si="36"/>
        <v>244027</v>
      </c>
      <c r="Y183" s="15"/>
      <c r="Z183" s="177"/>
      <c r="AA183" s="170"/>
      <c r="AB183" s="170"/>
      <c r="AC183" s="170"/>
      <c r="AD183" s="170"/>
      <c r="AE183" s="15"/>
      <c r="AF183" s="177"/>
      <c r="AG183" s="177">
        <f t="shared" si="37"/>
        <v>0</v>
      </c>
      <c r="AH183" s="177">
        <f t="shared" si="38"/>
        <v>0</v>
      </c>
      <c r="AK183" s="176"/>
      <c r="AL183" s="176"/>
    </row>
    <row r="184" spans="1:38" ht="36" customHeight="1" x14ac:dyDescent="0.2">
      <c r="A184" s="14" t="s">
        <v>18</v>
      </c>
      <c r="B184" s="212">
        <v>244025</v>
      </c>
      <c r="C184" s="14" t="s">
        <v>547</v>
      </c>
      <c r="D184" s="14" t="s">
        <v>268</v>
      </c>
      <c r="E184" s="14" t="s">
        <v>14</v>
      </c>
      <c r="F184" s="14" t="s">
        <v>324</v>
      </c>
      <c r="G184" s="179">
        <v>680183</v>
      </c>
      <c r="H184" s="176" t="s">
        <v>886</v>
      </c>
      <c r="I184" s="176" t="s">
        <v>630</v>
      </c>
      <c r="J184" s="176" t="s">
        <v>821</v>
      </c>
      <c r="K184" s="176" t="s">
        <v>1226</v>
      </c>
      <c r="L184" s="40" t="s">
        <v>124</v>
      </c>
      <c r="M184" s="40" t="s">
        <v>341</v>
      </c>
      <c r="N184" s="14" t="s">
        <v>616</v>
      </c>
      <c r="O184" s="14" t="s">
        <v>548</v>
      </c>
      <c r="P184" s="14" t="s">
        <v>518</v>
      </c>
      <c r="Q184" s="14" t="s">
        <v>549</v>
      </c>
      <c r="R184" s="17">
        <v>160</v>
      </c>
      <c r="S184" s="172" t="s">
        <v>51</v>
      </c>
      <c r="T184" s="17">
        <v>2580</v>
      </c>
      <c r="U184" s="14" t="s">
        <v>51</v>
      </c>
      <c r="V184" s="16">
        <f t="shared" si="34"/>
        <v>244025</v>
      </c>
      <c r="W184" s="16">
        <f t="shared" si="35"/>
        <v>244032</v>
      </c>
      <c r="X184" s="16">
        <f t="shared" si="36"/>
        <v>244027</v>
      </c>
      <c r="Y184" s="15"/>
      <c r="Z184" s="177"/>
      <c r="AA184" s="170"/>
      <c r="AB184" s="170"/>
      <c r="AC184" s="170"/>
      <c r="AD184" s="170"/>
      <c r="AE184" s="15"/>
      <c r="AF184" s="177"/>
      <c r="AG184" s="177">
        <f t="shared" si="37"/>
        <v>0</v>
      </c>
      <c r="AH184" s="177">
        <f t="shared" si="38"/>
        <v>0</v>
      </c>
      <c r="AK184" s="176"/>
      <c r="AL184" s="176"/>
    </row>
    <row r="185" spans="1:38" ht="36" customHeight="1" x14ac:dyDescent="0.2">
      <c r="A185" s="14" t="s">
        <v>18</v>
      </c>
      <c r="B185" s="212">
        <v>244026</v>
      </c>
      <c r="C185" s="14" t="s">
        <v>547</v>
      </c>
      <c r="D185" s="14" t="s">
        <v>268</v>
      </c>
      <c r="E185" s="14" t="s">
        <v>14</v>
      </c>
      <c r="F185" s="14" t="s">
        <v>324</v>
      </c>
      <c r="G185" s="179">
        <v>680184</v>
      </c>
      <c r="H185" s="176" t="s">
        <v>1233</v>
      </c>
      <c r="I185" s="176" t="s">
        <v>802</v>
      </c>
      <c r="J185" s="176" t="s">
        <v>143</v>
      </c>
      <c r="K185" s="176" t="s">
        <v>1235</v>
      </c>
      <c r="L185" s="40" t="s">
        <v>710</v>
      </c>
      <c r="M185" s="40" t="s">
        <v>341</v>
      </c>
      <c r="N185" s="14" t="s">
        <v>1239</v>
      </c>
      <c r="O185" s="14" t="s">
        <v>1009</v>
      </c>
      <c r="P185" s="14" t="s">
        <v>1245</v>
      </c>
      <c r="Q185" s="14" t="s">
        <v>323</v>
      </c>
      <c r="R185" s="17">
        <v>500</v>
      </c>
      <c r="S185" s="172" t="s">
        <v>51</v>
      </c>
      <c r="T185" s="17">
        <v>2348</v>
      </c>
      <c r="U185" s="14" t="s">
        <v>51</v>
      </c>
      <c r="V185" s="16">
        <f t="shared" si="34"/>
        <v>244026</v>
      </c>
      <c r="W185" s="16">
        <f t="shared" si="35"/>
        <v>244033</v>
      </c>
      <c r="X185" s="16">
        <f t="shared" si="36"/>
        <v>244028</v>
      </c>
      <c r="Y185" s="15" t="s">
        <v>54</v>
      </c>
      <c r="Z185" s="177">
        <v>244033</v>
      </c>
      <c r="AA185" s="170"/>
      <c r="AB185" s="170"/>
      <c r="AC185" s="170"/>
      <c r="AD185" s="170"/>
      <c r="AE185" s="15" t="s">
        <v>54</v>
      </c>
      <c r="AF185" s="177">
        <v>244034</v>
      </c>
      <c r="AG185" s="177" t="str">
        <f t="shared" si="37"/>
        <v>Pass</v>
      </c>
      <c r="AH185" s="177">
        <f t="shared" si="38"/>
        <v>244034</v>
      </c>
      <c r="AK185" s="176"/>
      <c r="AL185" s="176"/>
    </row>
    <row r="186" spans="1:38" ht="36" customHeight="1" x14ac:dyDescent="0.2">
      <c r="A186" s="14" t="s">
        <v>18</v>
      </c>
      <c r="B186" s="212">
        <v>244026</v>
      </c>
      <c r="C186" s="14" t="s">
        <v>547</v>
      </c>
      <c r="D186" s="14" t="s">
        <v>268</v>
      </c>
      <c r="E186" s="14" t="s">
        <v>14</v>
      </c>
      <c r="F186" s="14" t="s">
        <v>324</v>
      </c>
      <c r="G186" s="179">
        <v>680185</v>
      </c>
      <c r="H186" s="176" t="s">
        <v>799</v>
      </c>
      <c r="I186" s="176" t="s">
        <v>802</v>
      </c>
      <c r="J186" s="176" t="s">
        <v>143</v>
      </c>
      <c r="K186" s="176" t="s">
        <v>1236</v>
      </c>
      <c r="L186" s="40" t="s">
        <v>45</v>
      </c>
      <c r="M186" s="40" t="s">
        <v>341</v>
      </c>
      <c r="N186" s="14" t="s">
        <v>1240</v>
      </c>
      <c r="O186" s="14" t="s">
        <v>528</v>
      </c>
      <c r="P186" s="14" t="s">
        <v>1246</v>
      </c>
      <c r="Q186" s="14" t="s">
        <v>541</v>
      </c>
      <c r="R186" s="17">
        <v>600</v>
      </c>
      <c r="S186" s="172" t="s">
        <v>51</v>
      </c>
      <c r="T186" s="17">
        <v>2464</v>
      </c>
      <c r="U186" s="14" t="s">
        <v>51</v>
      </c>
      <c r="V186" s="16">
        <f t="shared" si="34"/>
        <v>244026</v>
      </c>
      <c r="W186" s="16">
        <f t="shared" si="35"/>
        <v>244033</v>
      </c>
      <c r="X186" s="16">
        <f t="shared" si="36"/>
        <v>244028</v>
      </c>
      <c r="Y186" s="15"/>
      <c r="Z186" s="177"/>
      <c r="AA186" s="170"/>
      <c r="AB186" s="170"/>
      <c r="AC186" s="170"/>
      <c r="AD186" s="170"/>
      <c r="AE186" s="15"/>
      <c r="AF186" s="177"/>
      <c r="AG186" s="177">
        <f t="shared" si="37"/>
        <v>0</v>
      </c>
      <c r="AH186" s="177">
        <f t="shared" si="38"/>
        <v>0</v>
      </c>
      <c r="AK186" s="176"/>
      <c r="AL186" s="176"/>
    </row>
    <row r="187" spans="1:38" ht="36" customHeight="1" x14ac:dyDescent="0.2">
      <c r="A187" s="14" t="s">
        <v>18</v>
      </c>
      <c r="B187" s="212">
        <v>244026</v>
      </c>
      <c r="C187" s="14" t="s">
        <v>547</v>
      </c>
      <c r="D187" s="14" t="s">
        <v>268</v>
      </c>
      <c r="E187" s="14" t="s">
        <v>14</v>
      </c>
      <c r="F187" s="14" t="s">
        <v>324</v>
      </c>
      <c r="G187" s="179">
        <v>680186</v>
      </c>
      <c r="H187" s="176" t="s">
        <v>1223</v>
      </c>
      <c r="I187" s="176" t="s">
        <v>864</v>
      </c>
      <c r="J187" s="176" t="s">
        <v>865</v>
      </c>
      <c r="K187" s="176" t="s">
        <v>1225</v>
      </c>
      <c r="L187" s="40" t="s">
        <v>105</v>
      </c>
      <c r="M187" s="40" t="s">
        <v>341</v>
      </c>
      <c r="N187" s="14" t="s">
        <v>1241</v>
      </c>
      <c r="O187" s="14" t="s">
        <v>1244</v>
      </c>
      <c r="P187" s="14" t="s">
        <v>1247</v>
      </c>
      <c r="Q187" s="14" t="s">
        <v>1250</v>
      </c>
      <c r="R187" s="17">
        <v>223</v>
      </c>
      <c r="S187" s="172" t="s">
        <v>51</v>
      </c>
      <c r="T187" s="17">
        <v>1540</v>
      </c>
      <c r="U187" s="14" t="s">
        <v>51</v>
      </c>
      <c r="V187" s="16">
        <f t="shared" si="34"/>
        <v>244026</v>
      </c>
      <c r="W187" s="16">
        <f t="shared" si="35"/>
        <v>244033</v>
      </c>
      <c r="X187" s="16">
        <f t="shared" si="36"/>
        <v>244028</v>
      </c>
      <c r="Y187" s="15"/>
      <c r="Z187" s="177"/>
      <c r="AA187" s="170"/>
      <c r="AB187" s="170"/>
      <c r="AC187" s="170"/>
      <c r="AD187" s="170"/>
      <c r="AE187" s="15"/>
      <c r="AF187" s="177"/>
      <c r="AG187" s="177">
        <f t="shared" si="37"/>
        <v>0</v>
      </c>
      <c r="AH187" s="177">
        <f t="shared" si="38"/>
        <v>0</v>
      </c>
      <c r="AK187" s="176"/>
      <c r="AL187" s="176"/>
    </row>
    <row r="188" spans="1:38" ht="36" customHeight="1" x14ac:dyDescent="0.2">
      <c r="A188" s="14" t="s">
        <v>18</v>
      </c>
      <c r="B188" s="212">
        <v>244026</v>
      </c>
      <c r="C188" s="14" t="s">
        <v>547</v>
      </c>
      <c r="D188" s="14" t="s">
        <v>268</v>
      </c>
      <c r="E188" s="14" t="s">
        <v>14</v>
      </c>
      <c r="F188" s="14" t="s">
        <v>324</v>
      </c>
      <c r="G188" s="179">
        <v>680187</v>
      </c>
      <c r="H188" s="176" t="s">
        <v>1234</v>
      </c>
      <c r="I188" s="176" t="s">
        <v>864</v>
      </c>
      <c r="J188" s="176" t="s">
        <v>289</v>
      </c>
      <c r="K188" s="176" t="s">
        <v>1237</v>
      </c>
      <c r="L188" s="40" t="s">
        <v>45</v>
      </c>
      <c r="M188" s="40" t="s">
        <v>341</v>
      </c>
      <c r="N188" s="14" t="s">
        <v>1242</v>
      </c>
      <c r="O188" s="14" t="s">
        <v>528</v>
      </c>
      <c r="P188" s="14" t="s">
        <v>1248</v>
      </c>
      <c r="Q188" s="14" t="s">
        <v>541</v>
      </c>
      <c r="R188" s="17">
        <v>150</v>
      </c>
      <c r="S188" s="172" t="s">
        <v>51</v>
      </c>
      <c r="T188" s="17">
        <v>1720</v>
      </c>
      <c r="U188" s="14" t="s">
        <v>51</v>
      </c>
      <c r="V188" s="16">
        <f t="shared" si="34"/>
        <v>244026</v>
      </c>
      <c r="W188" s="16">
        <f t="shared" si="35"/>
        <v>244033</v>
      </c>
      <c r="X188" s="16">
        <f t="shared" si="36"/>
        <v>244028</v>
      </c>
      <c r="Y188" s="15"/>
      <c r="Z188" s="177"/>
      <c r="AA188" s="170"/>
      <c r="AB188" s="170"/>
      <c r="AC188" s="170"/>
      <c r="AD188" s="170"/>
      <c r="AE188" s="15"/>
      <c r="AF188" s="177"/>
      <c r="AG188" s="177">
        <f t="shared" si="37"/>
        <v>0</v>
      </c>
      <c r="AH188" s="177">
        <f t="shared" si="38"/>
        <v>0</v>
      </c>
      <c r="AK188" s="176"/>
      <c r="AL188" s="176"/>
    </row>
    <row r="189" spans="1:38" ht="36" customHeight="1" x14ac:dyDescent="0.2">
      <c r="A189" s="14" t="s">
        <v>18</v>
      </c>
      <c r="B189" s="212">
        <v>244026</v>
      </c>
      <c r="C189" s="14" t="s">
        <v>547</v>
      </c>
      <c r="D189" s="14" t="s">
        <v>268</v>
      </c>
      <c r="E189" s="14" t="s">
        <v>14</v>
      </c>
      <c r="F189" s="14" t="s">
        <v>324</v>
      </c>
      <c r="G189" s="179">
        <v>680188</v>
      </c>
      <c r="H189" s="176" t="s">
        <v>848</v>
      </c>
      <c r="I189" s="176" t="s">
        <v>802</v>
      </c>
      <c r="J189" s="176" t="s">
        <v>131</v>
      </c>
      <c r="K189" s="176" t="s">
        <v>1238</v>
      </c>
      <c r="L189" s="40" t="s">
        <v>105</v>
      </c>
      <c r="M189" s="40" t="s">
        <v>341</v>
      </c>
      <c r="N189" s="14" t="s">
        <v>1243</v>
      </c>
      <c r="O189" s="14" t="s">
        <v>528</v>
      </c>
      <c r="P189" s="14" t="s">
        <v>1249</v>
      </c>
      <c r="Q189" s="14" t="s">
        <v>541</v>
      </c>
      <c r="R189" s="17">
        <v>1000</v>
      </c>
      <c r="S189" s="172" t="s">
        <v>51</v>
      </c>
      <c r="T189" s="17" t="s">
        <v>1251</v>
      </c>
      <c r="U189" s="14" t="s">
        <v>51</v>
      </c>
      <c r="V189" s="16">
        <f t="shared" si="34"/>
        <v>244026</v>
      </c>
      <c r="W189" s="16">
        <f t="shared" si="35"/>
        <v>244033</v>
      </c>
      <c r="X189" s="16">
        <f t="shared" si="36"/>
        <v>244028</v>
      </c>
      <c r="Y189" s="15"/>
      <c r="Z189" s="177"/>
      <c r="AA189" s="170"/>
      <c r="AB189" s="170"/>
      <c r="AC189" s="170"/>
      <c r="AD189" s="170"/>
      <c r="AE189" s="15"/>
      <c r="AF189" s="177"/>
      <c r="AG189" s="177">
        <f t="shared" si="37"/>
        <v>0</v>
      </c>
      <c r="AH189" s="177">
        <f t="shared" si="38"/>
        <v>0</v>
      </c>
      <c r="AK189" s="176"/>
      <c r="AL189" s="176"/>
    </row>
    <row r="190" spans="1:38" ht="36" customHeight="1" x14ac:dyDescent="0.2">
      <c r="A190" s="14" t="s">
        <v>18</v>
      </c>
      <c r="B190" s="212">
        <v>244027</v>
      </c>
      <c r="C190" s="14" t="s">
        <v>547</v>
      </c>
      <c r="D190" s="14" t="s">
        <v>268</v>
      </c>
      <c r="E190" s="14" t="s">
        <v>14</v>
      </c>
      <c r="F190" s="14" t="s">
        <v>324</v>
      </c>
      <c r="G190" s="179">
        <v>680189</v>
      </c>
      <c r="H190" s="176" t="s">
        <v>1080</v>
      </c>
      <c r="I190" s="176" t="s">
        <v>550</v>
      </c>
      <c r="J190" s="176" t="s">
        <v>128</v>
      </c>
      <c r="K190" s="176" t="s">
        <v>1263</v>
      </c>
      <c r="L190" s="40" t="s">
        <v>106</v>
      </c>
      <c r="M190" s="40" t="s">
        <v>341</v>
      </c>
      <c r="N190" s="14" t="s">
        <v>1085</v>
      </c>
      <c r="O190" s="14" t="s">
        <v>548</v>
      </c>
      <c r="P190" s="14" t="s">
        <v>717</v>
      </c>
      <c r="Q190" s="14" t="s">
        <v>549</v>
      </c>
      <c r="R190" s="17">
        <v>204</v>
      </c>
      <c r="S190" s="172" t="s">
        <v>51</v>
      </c>
      <c r="T190" s="17">
        <v>1310</v>
      </c>
      <c r="U190" s="14" t="s">
        <v>51</v>
      </c>
      <c r="V190" s="16">
        <f t="shared" si="34"/>
        <v>244027</v>
      </c>
      <c r="W190" s="16">
        <f t="shared" si="35"/>
        <v>244034</v>
      </c>
      <c r="X190" s="16">
        <f t="shared" si="36"/>
        <v>244029</v>
      </c>
      <c r="Y190" s="15" t="s">
        <v>54</v>
      </c>
      <c r="Z190" s="177">
        <v>244033</v>
      </c>
      <c r="AA190" s="170"/>
      <c r="AB190" s="170"/>
      <c r="AC190" s="170"/>
      <c r="AD190" s="170"/>
      <c r="AE190" s="15" t="s">
        <v>54</v>
      </c>
      <c r="AF190" s="177">
        <v>244034</v>
      </c>
      <c r="AG190" s="177" t="str">
        <f t="shared" si="37"/>
        <v>Pass</v>
      </c>
      <c r="AH190" s="177">
        <f t="shared" si="38"/>
        <v>244034</v>
      </c>
      <c r="AK190" s="176"/>
      <c r="AL190" s="176"/>
    </row>
    <row r="191" spans="1:38" ht="36" customHeight="1" x14ac:dyDescent="0.2">
      <c r="A191" s="14" t="s">
        <v>18</v>
      </c>
      <c r="B191" s="212">
        <v>244027</v>
      </c>
      <c r="C191" s="14" t="s">
        <v>547</v>
      </c>
      <c r="D191" s="14" t="s">
        <v>268</v>
      </c>
      <c r="E191" s="14" t="s">
        <v>14</v>
      </c>
      <c r="F191" s="14" t="s">
        <v>324</v>
      </c>
      <c r="G191" s="179">
        <v>680190</v>
      </c>
      <c r="H191" s="176" t="s">
        <v>1260</v>
      </c>
      <c r="I191" s="176" t="s">
        <v>550</v>
      </c>
      <c r="J191" s="176" t="s">
        <v>128</v>
      </c>
      <c r="K191" s="176" t="s">
        <v>1264</v>
      </c>
      <c r="L191" s="40" t="s">
        <v>106</v>
      </c>
      <c r="M191" s="40" t="s">
        <v>341</v>
      </c>
      <c r="N191" s="14" t="s">
        <v>1267</v>
      </c>
      <c r="O191" s="14" t="s">
        <v>1149</v>
      </c>
      <c r="P191" s="14" t="s">
        <v>517</v>
      </c>
      <c r="Q191" s="14" t="s">
        <v>1155</v>
      </c>
      <c r="R191" s="17">
        <v>700</v>
      </c>
      <c r="S191" s="172" t="s">
        <v>51</v>
      </c>
      <c r="T191" s="17">
        <v>2280</v>
      </c>
      <c r="U191" s="14" t="s">
        <v>51</v>
      </c>
      <c r="V191" s="16">
        <f t="shared" si="34"/>
        <v>244027</v>
      </c>
      <c r="W191" s="16">
        <f t="shared" si="35"/>
        <v>244034</v>
      </c>
      <c r="X191" s="16">
        <f t="shared" si="36"/>
        <v>244029</v>
      </c>
      <c r="Y191" s="15" t="s">
        <v>54</v>
      </c>
      <c r="Z191" s="177">
        <v>244033</v>
      </c>
      <c r="AA191" s="170"/>
      <c r="AB191" s="170"/>
      <c r="AC191" s="170"/>
      <c r="AD191" s="170"/>
      <c r="AE191" s="15" t="s">
        <v>54</v>
      </c>
      <c r="AF191" s="177">
        <v>244034</v>
      </c>
      <c r="AG191" s="177" t="str">
        <f t="shared" si="37"/>
        <v>Pass</v>
      </c>
      <c r="AH191" s="177">
        <f t="shared" si="38"/>
        <v>244034</v>
      </c>
      <c r="AK191" s="176"/>
      <c r="AL191" s="176"/>
    </row>
    <row r="192" spans="1:38" ht="36" customHeight="1" x14ac:dyDescent="0.2">
      <c r="A192" s="14" t="s">
        <v>18</v>
      </c>
      <c r="B192" s="212">
        <v>244027</v>
      </c>
      <c r="C192" s="14" t="s">
        <v>547</v>
      </c>
      <c r="D192" s="14" t="s">
        <v>268</v>
      </c>
      <c r="E192" s="14" t="s">
        <v>14</v>
      </c>
      <c r="F192" s="14" t="s">
        <v>324</v>
      </c>
      <c r="G192" s="179">
        <v>680191</v>
      </c>
      <c r="H192" s="176" t="s">
        <v>1261</v>
      </c>
      <c r="I192" s="176" t="s">
        <v>550</v>
      </c>
      <c r="J192" s="176" t="s">
        <v>128</v>
      </c>
      <c r="K192" s="176" t="s">
        <v>1265</v>
      </c>
      <c r="L192" s="40" t="s">
        <v>106</v>
      </c>
      <c r="M192" s="40" t="s">
        <v>341</v>
      </c>
      <c r="N192" s="14" t="s">
        <v>1268</v>
      </c>
      <c r="O192" s="14" t="s">
        <v>528</v>
      </c>
      <c r="P192" s="14" t="s">
        <v>1274</v>
      </c>
      <c r="Q192" s="14" t="s">
        <v>541</v>
      </c>
      <c r="R192" s="17">
        <v>700</v>
      </c>
      <c r="S192" s="172" t="s">
        <v>51</v>
      </c>
      <c r="T192" s="17">
        <v>150</v>
      </c>
      <c r="U192" s="14" t="s">
        <v>51</v>
      </c>
      <c r="V192" s="16">
        <f t="shared" si="34"/>
        <v>244027</v>
      </c>
      <c r="W192" s="16">
        <f t="shared" si="35"/>
        <v>244034</v>
      </c>
      <c r="X192" s="16">
        <f t="shared" si="36"/>
        <v>244029</v>
      </c>
      <c r="Y192" s="15"/>
      <c r="Z192" s="177"/>
      <c r="AA192" s="170"/>
      <c r="AB192" s="170"/>
      <c r="AC192" s="170"/>
      <c r="AD192" s="170"/>
      <c r="AE192" s="15"/>
      <c r="AF192" s="177"/>
      <c r="AG192" s="177">
        <f t="shared" si="37"/>
        <v>0</v>
      </c>
      <c r="AH192" s="177">
        <f t="shared" si="38"/>
        <v>0</v>
      </c>
      <c r="AK192" s="176"/>
      <c r="AL192" s="176"/>
    </row>
    <row r="193" spans="1:38" ht="36" customHeight="1" x14ac:dyDescent="0.2">
      <c r="A193" s="14" t="s">
        <v>18</v>
      </c>
      <c r="B193" s="212">
        <v>244027</v>
      </c>
      <c r="C193" s="14" t="s">
        <v>547</v>
      </c>
      <c r="D193" s="14" t="s">
        <v>268</v>
      </c>
      <c r="E193" s="14" t="s">
        <v>14</v>
      </c>
      <c r="F193" s="14" t="s">
        <v>324</v>
      </c>
      <c r="G193" s="179">
        <v>680192</v>
      </c>
      <c r="H193" s="176" t="s">
        <v>1261</v>
      </c>
      <c r="I193" s="176" t="s">
        <v>550</v>
      </c>
      <c r="J193" s="176" t="s">
        <v>128</v>
      </c>
      <c r="K193" s="176" t="s">
        <v>1265</v>
      </c>
      <c r="L193" s="40" t="s">
        <v>106</v>
      </c>
      <c r="M193" s="40" t="s">
        <v>341</v>
      </c>
      <c r="N193" s="14" t="s">
        <v>1269</v>
      </c>
      <c r="O193" s="14" t="s">
        <v>528</v>
      </c>
      <c r="P193" s="14" t="s">
        <v>1275</v>
      </c>
      <c r="Q193" s="14" t="s">
        <v>541</v>
      </c>
      <c r="R193" s="17">
        <v>1200</v>
      </c>
      <c r="S193" s="172" t="s">
        <v>51</v>
      </c>
      <c r="T193" s="17">
        <v>2485</v>
      </c>
      <c r="U193" s="14" t="s">
        <v>51</v>
      </c>
      <c r="V193" s="16">
        <f t="shared" si="34"/>
        <v>244027</v>
      </c>
      <c r="W193" s="16">
        <f t="shared" si="35"/>
        <v>244034</v>
      </c>
      <c r="X193" s="16">
        <f t="shared" si="36"/>
        <v>244029</v>
      </c>
      <c r="Y193" s="15" t="s">
        <v>54</v>
      </c>
      <c r="Z193" s="177">
        <v>244033</v>
      </c>
      <c r="AA193" s="170"/>
      <c r="AB193" s="170"/>
      <c r="AC193" s="170"/>
      <c r="AD193" s="170"/>
      <c r="AE193" s="15" t="s">
        <v>54</v>
      </c>
      <c r="AF193" s="177">
        <v>244034</v>
      </c>
      <c r="AG193" s="177" t="str">
        <f t="shared" si="37"/>
        <v>Pass</v>
      </c>
      <c r="AH193" s="177">
        <f t="shared" si="38"/>
        <v>244034</v>
      </c>
      <c r="AK193" s="176"/>
      <c r="AL193" s="176"/>
    </row>
    <row r="194" spans="1:38" ht="36" customHeight="1" x14ac:dyDescent="0.2">
      <c r="A194" s="14" t="s">
        <v>18</v>
      </c>
      <c r="B194" s="212">
        <v>244027</v>
      </c>
      <c r="C194" s="14" t="s">
        <v>547</v>
      </c>
      <c r="D194" s="14" t="s">
        <v>268</v>
      </c>
      <c r="E194" s="14" t="s">
        <v>14</v>
      </c>
      <c r="F194" s="14" t="s">
        <v>324</v>
      </c>
      <c r="G194" s="179">
        <v>680193</v>
      </c>
      <c r="H194" s="176" t="s">
        <v>1261</v>
      </c>
      <c r="I194" s="176" t="s">
        <v>550</v>
      </c>
      <c r="J194" s="176" t="s">
        <v>128</v>
      </c>
      <c r="K194" s="176" t="s">
        <v>1265</v>
      </c>
      <c r="L194" s="40" t="s">
        <v>106</v>
      </c>
      <c r="M194" s="40" t="s">
        <v>341</v>
      </c>
      <c r="N194" s="14" t="s">
        <v>1270</v>
      </c>
      <c r="O194" s="14" t="s">
        <v>548</v>
      </c>
      <c r="P194" s="14" t="s">
        <v>518</v>
      </c>
      <c r="Q194" s="14" t="s">
        <v>549</v>
      </c>
      <c r="R194" s="17">
        <v>203</v>
      </c>
      <c r="S194" s="172" t="s">
        <v>51</v>
      </c>
      <c r="T194" s="17">
        <v>2485</v>
      </c>
      <c r="U194" s="14" t="s">
        <v>51</v>
      </c>
      <c r="V194" s="16">
        <f t="shared" si="34"/>
        <v>244027</v>
      </c>
      <c r="W194" s="16">
        <f t="shared" si="35"/>
        <v>244034</v>
      </c>
      <c r="X194" s="16">
        <f t="shared" si="36"/>
        <v>244029</v>
      </c>
      <c r="Y194" s="15"/>
      <c r="Z194" s="177"/>
      <c r="AA194" s="170"/>
      <c r="AB194" s="170"/>
      <c r="AC194" s="170"/>
      <c r="AD194" s="170"/>
      <c r="AE194" s="15"/>
      <c r="AF194" s="177"/>
      <c r="AG194" s="177">
        <f t="shared" si="37"/>
        <v>0</v>
      </c>
      <c r="AH194" s="177">
        <f t="shared" si="38"/>
        <v>0</v>
      </c>
      <c r="AK194" s="176"/>
      <c r="AL194" s="176"/>
    </row>
    <row r="195" spans="1:38" ht="36" customHeight="1" x14ac:dyDescent="0.2">
      <c r="A195" s="14" t="s">
        <v>18</v>
      </c>
      <c r="B195" s="212">
        <v>244027</v>
      </c>
      <c r="C195" s="14" t="s">
        <v>547</v>
      </c>
      <c r="D195" s="14" t="s">
        <v>268</v>
      </c>
      <c r="E195" s="14" t="s">
        <v>14</v>
      </c>
      <c r="F195" s="14" t="s">
        <v>324</v>
      </c>
      <c r="G195" s="179">
        <v>680194</v>
      </c>
      <c r="H195" s="176" t="s">
        <v>1261</v>
      </c>
      <c r="I195" s="176" t="s">
        <v>550</v>
      </c>
      <c r="J195" s="176" t="s">
        <v>128</v>
      </c>
      <c r="K195" s="176" t="s">
        <v>1265</v>
      </c>
      <c r="L195" s="40" t="s">
        <v>108</v>
      </c>
      <c r="M195" s="40" t="s">
        <v>341</v>
      </c>
      <c r="N195" s="14" t="s">
        <v>1271</v>
      </c>
      <c r="O195" s="14" t="s">
        <v>528</v>
      </c>
      <c r="P195" s="14" t="s">
        <v>1276</v>
      </c>
      <c r="Q195" s="14" t="s">
        <v>541</v>
      </c>
      <c r="R195" s="17">
        <v>450</v>
      </c>
      <c r="S195" s="172" t="s">
        <v>51</v>
      </c>
      <c r="T195" s="17">
        <v>2430</v>
      </c>
      <c r="U195" s="14" t="s">
        <v>51</v>
      </c>
      <c r="V195" s="16">
        <f t="shared" si="34"/>
        <v>244027</v>
      </c>
      <c r="W195" s="16">
        <f t="shared" si="35"/>
        <v>244034</v>
      </c>
      <c r="X195" s="16">
        <f t="shared" si="36"/>
        <v>244029</v>
      </c>
      <c r="Y195" s="15" t="s">
        <v>54</v>
      </c>
      <c r="Z195" s="177">
        <v>244033</v>
      </c>
      <c r="AA195" s="170"/>
      <c r="AB195" s="170"/>
      <c r="AC195" s="170"/>
      <c r="AD195" s="170"/>
      <c r="AE195" s="15" t="s">
        <v>54</v>
      </c>
      <c r="AF195" s="177">
        <v>244034</v>
      </c>
      <c r="AG195" s="177" t="str">
        <f t="shared" si="37"/>
        <v>Pass</v>
      </c>
      <c r="AH195" s="177">
        <f t="shared" si="38"/>
        <v>244034</v>
      </c>
      <c r="AK195" s="176"/>
      <c r="AL195" s="176"/>
    </row>
    <row r="196" spans="1:38" ht="36" customHeight="1" x14ac:dyDescent="0.2">
      <c r="A196" s="14" t="s">
        <v>18</v>
      </c>
      <c r="B196" s="212">
        <v>244027</v>
      </c>
      <c r="C196" s="14" t="s">
        <v>547</v>
      </c>
      <c r="D196" s="14" t="s">
        <v>268</v>
      </c>
      <c r="E196" s="14" t="s">
        <v>14</v>
      </c>
      <c r="F196" s="14" t="s">
        <v>324</v>
      </c>
      <c r="G196" s="179">
        <v>680195</v>
      </c>
      <c r="H196" s="176" t="s">
        <v>1261</v>
      </c>
      <c r="I196" s="176" t="s">
        <v>550</v>
      </c>
      <c r="J196" s="176" t="s">
        <v>128</v>
      </c>
      <c r="K196" s="176" t="s">
        <v>1265</v>
      </c>
      <c r="L196" s="40" t="s">
        <v>124</v>
      </c>
      <c r="M196" s="40" t="s">
        <v>341</v>
      </c>
      <c r="N196" s="14" t="s">
        <v>1272</v>
      </c>
      <c r="O196" s="14" t="s">
        <v>527</v>
      </c>
      <c r="P196" s="14" t="s">
        <v>1277</v>
      </c>
      <c r="Q196" s="14" t="s">
        <v>542</v>
      </c>
      <c r="R196" s="17">
        <v>125</v>
      </c>
      <c r="S196" s="172" t="s">
        <v>51</v>
      </c>
      <c r="T196" s="17">
        <v>2495</v>
      </c>
      <c r="U196" s="14" t="s">
        <v>51</v>
      </c>
      <c r="V196" s="16">
        <f t="shared" si="34"/>
        <v>244027</v>
      </c>
      <c r="W196" s="16">
        <f t="shared" si="35"/>
        <v>244034</v>
      </c>
      <c r="X196" s="16">
        <f t="shared" si="36"/>
        <v>244029</v>
      </c>
      <c r="Y196" s="15" t="s">
        <v>54</v>
      </c>
      <c r="Z196" s="177">
        <v>244033</v>
      </c>
      <c r="AA196" s="170"/>
      <c r="AB196" s="170"/>
      <c r="AC196" s="170"/>
      <c r="AD196" s="170"/>
      <c r="AE196" s="15" t="s">
        <v>54</v>
      </c>
      <c r="AF196" s="177">
        <v>244034</v>
      </c>
      <c r="AG196" s="177" t="str">
        <f t="shared" si="37"/>
        <v>Pass</v>
      </c>
      <c r="AH196" s="177">
        <f t="shared" si="38"/>
        <v>244034</v>
      </c>
      <c r="AK196" s="176"/>
      <c r="AL196" s="176"/>
    </row>
    <row r="197" spans="1:38" ht="36" customHeight="1" x14ac:dyDescent="0.2">
      <c r="A197" s="14" t="s">
        <v>18</v>
      </c>
      <c r="B197" s="212">
        <v>244027</v>
      </c>
      <c r="C197" s="14" t="s">
        <v>547</v>
      </c>
      <c r="D197" s="14" t="s">
        <v>268</v>
      </c>
      <c r="E197" s="14" t="s">
        <v>14</v>
      </c>
      <c r="F197" s="14" t="s">
        <v>324</v>
      </c>
      <c r="G197" s="179">
        <v>680196</v>
      </c>
      <c r="H197" s="176" t="s">
        <v>1262</v>
      </c>
      <c r="I197" s="176" t="s">
        <v>802</v>
      </c>
      <c r="J197" s="176" t="s">
        <v>131</v>
      </c>
      <c r="K197" s="176" t="s">
        <v>1266</v>
      </c>
      <c r="L197" s="40" t="s">
        <v>105</v>
      </c>
      <c r="M197" s="40" t="s">
        <v>341</v>
      </c>
      <c r="N197" s="14" t="s">
        <v>780</v>
      </c>
      <c r="O197" s="14" t="s">
        <v>548</v>
      </c>
      <c r="P197" s="14" t="s">
        <v>518</v>
      </c>
      <c r="Q197" s="14" t="s">
        <v>549</v>
      </c>
      <c r="R197" s="17">
        <v>175</v>
      </c>
      <c r="S197" s="172" t="s">
        <v>51</v>
      </c>
      <c r="T197" s="17">
        <v>1720</v>
      </c>
      <c r="U197" s="14" t="s">
        <v>51</v>
      </c>
      <c r="V197" s="16">
        <f t="shared" si="34"/>
        <v>244027</v>
      </c>
      <c r="W197" s="16">
        <f t="shared" si="35"/>
        <v>244034</v>
      </c>
      <c r="X197" s="16">
        <f t="shared" si="36"/>
        <v>244029</v>
      </c>
      <c r="Y197" s="15"/>
      <c r="Z197" s="177"/>
      <c r="AA197" s="170"/>
      <c r="AB197" s="170"/>
      <c r="AC197" s="170"/>
      <c r="AD197" s="170"/>
      <c r="AE197" s="15"/>
      <c r="AF197" s="177"/>
      <c r="AG197" s="177">
        <f t="shared" si="37"/>
        <v>0</v>
      </c>
      <c r="AH197" s="177">
        <f t="shared" si="38"/>
        <v>0</v>
      </c>
      <c r="AK197" s="176"/>
      <c r="AL197" s="176"/>
    </row>
    <row r="198" spans="1:38" ht="36" customHeight="1" x14ac:dyDescent="0.2">
      <c r="A198" s="14" t="s">
        <v>18</v>
      </c>
      <c r="B198" s="212">
        <v>244027</v>
      </c>
      <c r="C198" s="14" t="s">
        <v>547</v>
      </c>
      <c r="D198" s="14" t="s">
        <v>268</v>
      </c>
      <c r="E198" s="14" t="s">
        <v>14</v>
      </c>
      <c r="F198" s="14" t="s">
        <v>324</v>
      </c>
      <c r="G198" s="179">
        <v>680197</v>
      </c>
      <c r="H198" s="176" t="s">
        <v>1261</v>
      </c>
      <c r="I198" s="176" t="s">
        <v>550</v>
      </c>
      <c r="J198" s="176" t="s">
        <v>128</v>
      </c>
      <c r="K198" s="176" t="s">
        <v>1265</v>
      </c>
      <c r="L198" s="40" t="s">
        <v>106</v>
      </c>
      <c r="M198" s="40" t="s">
        <v>341</v>
      </c>
      <c r="N198" s="14" t="s">
        <v>1273</v>
      </c>
      <c r="O198" s="14" t="s">
        <v>548</v>
      </c>
      <c r="P198" s="14" t="s">
        <v>518</v>
      </c>
      <c r="Q198" s="14" t="s">
        <v>549</v>
      </c>
      <c r="R198" s="17">
        <v>497</v>
      </c>
      <c r="S198" s="172" t="s">
        <v>51</v>
      </c>
      <c r="T198" s="17" t="s">
        <v>1278</v>
      </c>
      <c r="U198" s="14" t="s">
        <v>51</v>
      </c>
      <c r="V198" s="16">
        <f t="shared" si="34"/>
        <v>244027</v>
      </c>
      <c r="W198" s="16">
        <f t="shared" si="35"/>
        <v>244034</v>
      </c>
      <c r="X198" s="16">
        <f t="shared" si="36"/>
        <v>244029</v>
      </c>
      <c r="Y198" s="15"/>
      <c r="Z198" s="177"/>
      <c r="AA198" s="170"/>
      <c r="AB198" s="170"/>
      <c r="AC198" s="170"/>
      <c r="AD198" s="170"/>
      <c r="AE198" s="15"/>
      <c r="AF198" s="177"/>
      <c r="AG198" s="177">
        <f t="shared" si="37"/>
        <v>0</v>
      </c>
      <c r="AH198" s="177">
        <f t="shared" si="38"/>
        <v>0</v>
      </c>
      <c r="AK198" s="176"/>
      <c r="AL198" s="176"/>
    </row>
    <row r="199" spans="1:38" ht="36" customHeight="1" x14ac:dyDescent="0.2">
      <c r="A199" s="14" t="s">
        <v>18</v>
      </c>
      <c r="B199" s="212">
        <v>244028</v>
      </c>
      <c r="C199" s="14" t="s">
        <v>547</v>
      </c>
      <c r="D199" s="14" t="s">
        <v>268</v>
      </c>
      <c r="E199" s="14" t="s">
        <v>14</v>
      </c>
      <c r="F199" s="14" t="s">
        <v>324</v>
      </c>
      <c r="G199" s="179">
        <v>680198</v>
      </c>
      <c r="H199" s="176" t="s">
        <v>1279</v>
      </c>
      <c r="I199" s="176" t="s">
        <v>550</v>
      </c>
      <c r="J199" s="176" t="s">
        <v>128</v>
      </c>
      <c r="K199" s="176" t="s">
        <v>1285</v>
      </c>
      <c r="L199" s="40" t="s">
        <v>45</v>
      </c>
      <c r="M199" s="40" t="s">
        <v>341</v>
      </c>
      <c r="N199" s="14" t="s">
        <v>1290</v>
      </c>
      <c r="O199" s="14" t="s">
        <v>1293</v>
      </c>
      <c r="P199" s="14" t="s">
        <v>1296</v>
      </c>
      <c r="Q199" s="14" t="s">
        <v>1300</v>
      </c>
      <c r="R199" s="17">
        <v>568</v>
      </c>
      <c r="S199" s="172" t="s">
        <v>51</v>
      </c>
      <c r="T199" s="17">
        <v>1370</v>
      </c>
      <c r="U199" s="14" t="s">
        <v>51</v>
      </c>
      <c r="V199" s="16">
        <f t="shared" si="34"/>
        <v>244028</v>
      </c>
      <c r="W199" s="16">
        <f t="shared" si="35"/>
        <v>244035</v>
      </c>
      <c r="X199" s="16">
        <f t="shared" si="36"/>
        <v>244030</v>
      </c>
      <c r="Y199" s="15"/>
      <c r="Z199" s="177"/>
      <c r="AA199" s="170"/>
      <c r="AB199" s="170"/>
      <c r="AC199" s="170"/>
      <c r="AD199" s="170"/>
      <c r="AE199" s="15"/>
      <c r="AF199" s="177"/>
      <c r="AG199" s="177">
        <f t="shared" si="37"/>
        <v>0</v>
      </c>
      <c r="AH199" s="177">
        <f t="shared" si="38"/>
        <v>0</v>
      </c>
      <c r="AK199" s="176"/>
      <c r="AL199" s="176"/>
    </row>
    <row r="200" spans="1:38" ht="36" customHeight="1" x14ac:dyDescent="0.2">
      <c r="A200" s="14" t="s">
        <v>18</v>
      </c>
      <c r="B200" s="212">
        <v>244028</v>
      </c>
      <c r="C200" s="14" t="s">
        <v>547</v>
      </c>
      <c r="D200" s="14" t="s">
        <v>268</v>
      </c>
      <c r="E200" s="14" t="s">
        <v>14</v>
      </c>
      <c r="F200" s="14" t="s">
        <v>324</v>
      </c>
      <c r="G200" s="179">
        <v>680199</v>
      </c>
      <c r="H200" s="176" t="s">
        <v>1279</v>
      </c>
      <c r="I200" s="176" t="s">
        <v>550</v>
      </c>
      <c r="J200" s="176" t="s">
        <v>128</v>
      </c>
      <c r="K200" s="176" t="s">
        <v>1285</v>
      </c>
      <c r="L200" s="40" t="s">
        <v>45</v>
      </c>
      <c r="M200" s="40" t="s">
        <v>341</v>
      </c>
      <c r="N200" s="14" t="s">
        <v>1297</v>
      </c>
      <c r="O200" s="14" t="s">
        <v>527</v>
      </c>
      <c r="P200" s="14" t="s">
        <v>1298</v>
      </c>
      <c r="Q200" s="14" t="s">
        <v>542</v>
      </c>
      <c r="R200" s="17">
        <v>398</v>
      </c>
      <c r="S200" s="172" t="s">
        <v>51</v>
      </c>
      <c r="T200" s="17">
        <v>2370</v>
      </c>
      <c r="U200" s="14" t="s">
        <v>51</v>
      </c>
      <c r="V200" s="16">
        <f t="shared" si="34"/>
        <v>244028</v>
      </c>
      <c r="W200" s="16">
        <f t="shared" si="35"/>
        <v>244035</v>
      </c>
      <c r="X200" s="16">
        <f t="shared" si="36"/>
        <v>244030</v>
      </c>
      <c r="Y200" s="15"/>
      <c r="Z200" s="177"/>
      <c r="AA200" s="170"/>
      <c r="AB200" s="170"/>
      <c r="AC200" s="170"/>
      <c r="AD200" s="170"/>
      <c r="AE200" s="15"/>
      <c r="AF200" s="177"/>
      <c r="AG200" s="177">
        <f t="shared" si="37"/>
        <v>0</v>
      </c>
      <c r="AH200" s="177">
        <f t="shared" si="38"/>
        <v>0</v>
      </c>
      <c r="AK200" s="176"/>
      <c r="AL200" s="176"/>
    </row>
    <row r="201" spans="1:38" ht="36" customHeight="1" x14ac:dyDescent="0.2">
      <c r="A201" s="14" t="s">
        <v>18</v>
      </c>
      <c r="B201" s="212">
        <v>244028</v>
      </c>
      <c r="C201" s="14" t="s">
        <v>547</v>
      </c>
      <c r="D201" s="14" t="s">
        <v>268</v>
      </c>
      <c r="E201" s="14" t="s">
        <v>14</v>
      </c>
      <c r="F201" s="14" t="s">
        <v>324</v>
      </c>
      <c r="G201" s="179">
        <v>680200</v>
      </c>
      <c r="H201" s="176" t="s">
        <v>1280</v>
      </c>
      <c r="I201" s="176" t="s">
        <v>1283</v>
      </c>
      <c r="J201" s="176" t="s">
        <v>1284</v>
      </c>
      <c r="K201" s="176" t="s">
        <v>1286</v>
      </c>
      <c r="L201" s="40" t="s">
        <v>46</v>
      </c>
      <c r="M201" s="40" t="s">
        <v>341</v>
      </c>
      <c r="N201" s="14" t="s">
        <v>1299</v>
      </c>
      <c r="O201" s="14" t="s">
        <v>548</v>
      </c>
      <c r="P201" s="14" t="s">
        <v>518</v>
      </c>
      <c r="Q201" s="14" t="s">
        <v>549</v>
      </c>
      <c r="R201" s="17">
        <v>185</v>
      </c>
      <c r="S201" s="172" t="s">
        <v>51</v>
      </c>
      <c r="T201" s="17">
        <v>1990</v>
      </c>
      <c r="U201" s="14" t="s">
        <v>51</v>
      </c>
      <c r="V201" s="16">
        <f t="shared" ref="V201" si="39">B201</f>
        <v>244028</v>
      </c>
      <c r="W201" s="16">
        <f t="shared" ref="W201" si="40">B201+7</f>
        <v>244035</v>
      </c>
      <c r="X201" s="16">
        <f t="shared" ref="X201" si="41">V201+2</f>
        <v>244030</v>
      </c>
      <c r="Y201" s="15"/>
      <c r="Z201" s="177"/>
      <c r="AA201" s="170"/>
      <c r="AB201" s="170"/>
      <c r="AC201" s="170"/>
      <c r="AD201" s="170"/>
      <c r="AE201" s="15"/>
      <c r="AF201" s="177"/>
      <c r="AG201" s="177">
        <f t="shared" si="37"/>
        <v>0</v>
      </c>
      <c r="AH201" s="177">
        <f t="shared" si="38"/>
        <v>0</v>
      </c>
      <c r="AK201" s="176"/>
      <c r="AL201" s="176"/>
    </row>
    <row r="202" spans="1:38" ht="36" customHeight="1" x14ac:dyDescent="0.2">
      <c r="A202" s="14" t="s">
        <v>18</v>
      </c>
      <c r="B202" s="212">
        <v>244028</v>
      </c>
      <c r="C202" s="14" t="s">
        <v>547</v>
      </c>
      <c r="D202" s="14" t="s">
        <v>268</v>
      </c>
      <c r="E202" s="14" t="s">
        <v>14</v>
      </c>
      <c r="F202" s="14" t="s">
        <v>324</v>
      </c>
      <c r="G202" s="179">
        <v>680201</v>
      </c>
      <c r="H202" s="176" t="s">
        <v>216</v>
      </c>
      <c r="I202" s="176" t="s">
        <v>802</v>
      </c>
      <c r="J202" s="176" t="s">
        <v>131</v>
      </c>
      <c r="K202" s="176" t="s">
        <v>1287</v>
      </c>
      <c r="L202" s="40" t="s">
        <v>105</v>
      </c>
      <c r="M202" s="40" t="s">
        <v>341</v>
      </c>
      <c r="N202" s="14" t="s">
        <v>1066</v>
      </c>
      <c r="O202" s="14" t="s">
        <v>1294</v>
      </c>
      <c r="P202" s="14" t="s">
        <v>517</v>
      </c>
      <c r="Q202" s="14" t="s">
        <v>1301</v>
      </c>
      <c r="R202" s="17">
        <v>500</v>
      </c>
      <c r="S202" s="172" t="s">
        <v>51</v>
      </c>
      <c r="T202" s="17">
        <v>1910</v>
      </c>
      <c r="U202" s="14" t="s">
        <v>51</v>
      </c>
      <c r="V202" s="16">
        <f t="shared" ref="V202:V230" si="42">B202</f>
        <v>244028</v>
      </c>
      <c r="W202" s="16">
        <f t="shared" ref="W202:W230" si="43">B202+7</f>
        <v>244035</v>
      </c>
      <c r="X202" s="16">
        <f t="shared" ref="X202:X230" si="44">V202+2</f>
        <v>244030</v>
      </c>
      <c r="Y202" s="15"/>
      <c r="Z202" s="177"/>
      <c r="AA202" s="170"/>
      <c r="AB202" s="170"/>
      <c r="AC202" s="170"/>
      <c r="AD202" s="170"/>
      <c r="AE202" s="15"/>
      <c r="AF202" s="177"/>
      <c r="AG202" s="177">
        <f t="shared" si="37"/>
        <v>0</v>
      </c>
      <c r="AH202" s="177">
        <f t="shared" si="38"/>
        <v>0</v>
      </c>
      <c r="AK202" s="176"/>
      <c r="AL202" s="176"/>
    </row>
    <row r="203" spans="1:38" ht="36" customHeight="1" x14ac:dyDescent="0.2">
      <c r="A203" s="14" t="s">
        <v>18</v>
      </c>
      <c r="B203" s="212">
        <v>244028</v>
      </c>
      <c r="C203" s="14" t="s">
        <v>547</v>
      </c>
      <c r="D203" s="14" t="s">
        <v>268</v>
      </c>
      <c r="E203" s="14" t="s">
        <v>14</v>
      </c>
      <c r="F203" s="14" t="s">
        <v>324</v>
      </c>
      <c r="G203" s="179">
        <v>680202</v>
      </c>
      <c r="H203" s="176" t="s">
        <v>1281</v>
      </c>
      <c r="I203" s="176" t="s">
        <v>550</v>
      </c>
      <c r="J203" s="176" t="s">
        <v>128</v>
      </c>
      <c r="K203" s="176" t="s">
        <v>1288</v>
      </c>
      <c r="L203" s="40" t="s">
        <v>106</v>
      </c>
      <c r="M203" s="40" t="s">
        <v>341</v>
      </c>
      <c r="N203" s="14" t="s">
        <v>1291</v>
      </c>
      <c r="O203" s="14" t="s">
        <v>548</v>
      </c>
      <c r="P203" s="14" t="s">
        <v>717</v>
      </c>
      <c r="Q203" s="14" t="s">
        <v>549</v>
      </c>
      <c r="R203" s="17">
        <v>330</v>
      </c>
      <c r="S203" s="172" t="s">
        <v>51</v>
      </c>
      <c r="T203" s="17">
        <v>2442</v>
      </c>
      <c r="U203" s="14" t="s">
        <v>51</v>
      </c>
      <c r="V203" s="16">
        <f t="shared" si="42"/>
        <v>244028</v>
      </c>
      <c r="W203" s="16">
        <f t="shared" si="43"/>
        <v>244035</v>
      </c>
      <c r="X203" s="16">
        <f t="shared" si="44"/>
        <v>244030</v>
      </c>
      <c r="Y203" s="15"/>
      <c r="Z203" s="177"/>
      <c r="AA203" s="170"/>
      <c r="AB203" s="170"/>
      <c r="AC203" s="170"/>
      <c r="AD203" s="170"/>
      <c r="AE203" s="15"/>
      <c r="AF203" s="177"/>
      <c r="AG203" s="177">
        <f t="shared" si="37"/>
        <v>0</v>
      </c>
      <c r="AH203" s="177">
        <f t="shared" si="38"/>
        <v>0</v>
      </c>
      <c r="AK203" s="176"/>
      <c r="AL203" s="176"/>
    </row>
    <row r="204" spans="1:38" ht="36" customHeight="1" x14ac:dyDescent="0.2">
      <c r="A204" s="14" t="s">
        <v>18</v>
      </c>
      <c r="B204" s="212">
        <v>244028</v>
      </c>
      <c r="C204" s="14" t="s">
        <v>547</v>
      </c>
      <c r="D204" s="14" t="s">
        <v>268</v>
      </c>
      <c r="E204" s="14" t="s">
        <v>14</v>
      </c>
      <c r="F204" s="14" t="s">
        <v>324</v>
      </c>
      <c r="G204" s="179">
        <v>680203</v>
      </c>
      <c r="H204" s="176" t="s">
        <v>1282</v>
      </c>
      <c r="I204" s="176" t="s">
        <v>802</v>
      </c>
      <c r="J204" s="176" t="s">
        <v>128</v>
      </c>
      <c r="K204" s="176" t="s">
        <v>1289</v>
      </c>
      <c r="L204" s="40" t="s">
        <v>45</v>
      </c>
      <c r="M204" s="40" t="s">
        <v>341</v>
      </c>
      <c r="N204" s="14" t="s">
        <v>1292</v>
      </c>
      <c r="O204" s="14" t="s">
        <v>1295</v>
      </c>
      <c r="P204" s="14" t="s">
        <v>517</v>
      </c>
      <c r="Q204" s="14" t="s">
        <v>1302</v>
      </c>
      <c r="R204" s="17">
        <v>4100</v>
      </c>
      <c r="S204" s="172" t="s">
        <v>51</v>
      </c>
      <c r="T204" s="17" t="s">
        <v>1303</v>
      </c>
      <c r="U204" s="14" t="s">
        <v>51</v>
      </c>
      <c r="V204" s="16">
        <f t="shared" si="42"/>
        <v>244028</v>
      </c>
      <c r="W204" s="16">
        <f t="shared" si="43"/>
        <v>244035</v>
      </c>
      <c r="X204" s="16">
        <f t="shared" si="44"/>
        <v>244030</v>
      </c>
      <c r="Y204" s="15"/>
      <c r="Z204" s="177"/>
      <c r="AA204" s="170"/>
      <c r="AB204" s="170"/>
      <c r="AC204" s="170"/>
      <c r="AD204" s="170"/>
      <c r="AE204" s="15"/>
      <c r="AF204" s="177"/>
      <c r="AG204" s="177">
        <f t="shared" si="37"/>
        <v>0</v>
      </c>
      <c r="AH204" s="177">
        <f t="shared" si="38"/>
        <v>0</v>
      </c>
      <c r="AK204" s="176"/>
      <c r="AL204" s="176"/>
    </row>
    <row r="205" spans="1:38" ht="36" customHeight="1" x14ac:dyDescent="0.2">
      <c r="A205" s="14" t="s">
        <v>18</v>
      </c>
      <c r="B205" s="212">
        <v>244029</v>
      </c>
      <c r="C205" s="14" t="s">
        <v>547</v>
      </c>
      <c r="D205" s="14" t="s">
        <v>268</v>
      </c>
      <c r="E205" s="14" t="s">
        <v>14</v>
      </c>
      <c r="F205" s="14" t="s">
        <v>324</v>
      </c>
      <c r="G205" s="179">
        <v>680204</v>
      </c>
      <c r="H205" s="176" t="s">
        <v>609</v>
      </c>
      <c r="I205" s="176" t="s">
        <v>514</v>
      </c>
      <c r="J205" s="176" t="s">
        <v>1306</v>
      </c>
      <c r="K205" s="176" t="s">
        <v>1307</v>
      </c>
      <c r="L205" s="40" t="s">
        <v>106</v>
      </c>
      <c r="M205" s="40" t="s">
        <v>341</v>
      </c>
      <c r="N205" s="14" t="s">
        <v>1310</v>
      </c>
      <c r="O205" s="14" t="s">
        <v>552</v>
      </c>
      <c r="P205" s="14" t="s">
        <v>1314</v>
      </c>
      <c r="Q205" s="14" t="s">
        <v>553</v>
      </c>
      <c r="R205" s="17">
        <v>275</v>
      </c>
      <c r="S205" s="172" t="s">
        <v>51</v>
      </c>
      <c r="T205" s="17">
        <v>1500</v>
      </c>
      <c r="U205" s="14" t="s">
        <v>51</v>
      </c>
      <c r="V205" s="16">
        <f t="shared" si="42"/>
        <v>244029</v>
      </c>
      <c r="W205" s="16">
        <f t="shared" si="43"/>
        <v>244036</v>
      </c>
      <c r="X205" s="16">
        <f t="shared" si="44"/>
        <v>244031</v>
      </c>
      <c r="Y205" s="15" t="s">
        <v>54</v>
      </c>
      <c r="Z205" s="177">
        <v>244033</v>
      </c>
      <c r="AA205" s="170"/>
      <c r="AB205" s="170"/>
      <c r="AC205" s="170"/>
      <c r="AD205" s="170"/>
      <c r="AE205" s="15" t="s">
        <v>54</v>
      </c>
      <c r="AF205" s="177">
        <v>244034</v>
      </c>
      <c r="AG205" s="177" t="str">
        <f t="shared" si="37"/>
        <v>Pass</v>
      </c>
      <c r="AH205" s="177">
        <f t="shared" si="38"/>
        <v>244034</v>
      </c>
      <c r="AK205" s="176"/>
      <c r="AL205" s="176"/>
    </row>
    <row r="206" spans="1:38" ht="36" customHeight="1" x14ac:dyDescent="0.2">
      <c r="A206" s="14" t="s">
        <v>18</v>
      </c>
      <c r="B206" s="212">
        <v>244029</v>
      </c>
      <c r="C206" s="14" t="s">
        <v>547</v>
      </c>
      <c r="D206" s="14" t="s">
        <v>268</v>
      </c>
      <c r="E206" s="14" t="s">
        <v>14</v>
      </c>
      <c r="F206" s="14" t="s">
        <v>324</v>
      </c>
      <c r="G206" s="179">
        <v>680205</v>
      </c>
      <c r="H206" s="176" t="s">
        <v>1304</v>
      </c>
      <c r="I206" s="176" t="s">
        <v>612</v>
      </c>
      <c r="J206" s="176" t="s">
        <v>666</v>
      </c>
      <c r="K206" s="176" t="s">
        <v>1308</v>
      </c>
      <c r="L206" s="40" t="s">
        <v>45</v>
      </c>
      <c r="M206" s="40" t="s">
        <v>341</v>
      </c>
      <c r="N206" s="14" t="s">
        <v>1311</v>
      </c>
      <c r="O206" s="14" t="s">
        <v>1313</v>
      </c>
      <c r="P206" s="14" t="s">
        <v>901</v>
      </c>
      <c r="Q206" s="14" t="s">
        <v>1315</v>
      </c>
      <c r="R206" s="17">
        <v>175</v>
      </c>
      <c r="S206" s="172" t="s">
        <v>51</v>
      </c>
      <c r="T206" s="17">
        <v>1635</v>
      </c>
      <c r="U206" s="14" t="s">
        <v>51</v>
      </c>
      <c r="V206" s="16">
        <f t="shared" si="42"/>
        <v>244029</v>
      </c>
      <c r="W206" s="16">
        <f t="shared" si="43"/>
        <v>244036</v>
      </c>
      <c r="X206" s="16">
        <f t="shared" si="44"/>
        <v>244031</v>
      </c>
      <c r="Y206" s="15"/>
      <c r="Z206" s="177"/>
      <c r="AA206" s="170"/>
      <c r="AB206" s="170"/>
      <c r="AC206" s="170"/>
      <c r="AD206" s="170"/>
      <c r="AE206" s="15"/>
      <c r="AF206" s="177"/>
      <c r="AG206" s="177">
        <f t="shared" si="37"/>
        <v>0</v>
      </c>
      <c r="AH206" s="177">
        <f t="shared" si="38"/>
        <v>0</v>
      </c>
      <c r="AK206" s="176"/>
      <c r="AL206" s="176"/>
    </row>
    <row r="207" spans="1:38" ht="36" customHeight="1" x14ac:dyDescent="0.2">
      <c r="A207" s="14" t="s">
        <v>18</v>
      </c>
      <c r="B207" s="212">
        <v>244029</v>
      </c>
      <c r="C207" s="14" t="s">
        <v>547</v>
      </c>
      <c r="D207" s="14" t="s">
        <v>268</v>
      </c>
      <c r="E207" s="14" t="s">
        <v>14</v>
      </c>
      <c r="F207" s="14" t="s">
        <v>324</v>
      </c>
      <c r="G207" s="179">
        <v>680206</v>
      </c>
      <c r="H207" s="176" t="s">
        <v>1304</v>
      </c>
      <c r="I207" s="176" t="s">
        <v>612</v>
      </c>
      <c r="J207" s="176" t="s">
        <v>666</v>
      </c>
      <c r="K207" s="176" t="s">
        <v>1308</v>
      </c>
      <c r="L207" s="40" t="s">
        <v>45</v>
      </c>
      <c r="M207" s="40" t="s">
        <v>341</v>
      </c>
      <c r="N207" s="14" t="s">
        <v>1312</v>
      </c>
      <c r="O207" s="14" t="s">
        <v>548</v>
      </c>
      <c r="P207" s="14" t="s">
        <v>518</v>
      </c>
      <c r="Q207" s="14" t="s">
        <v>549</v>
      </c>
      <c r="R207" s="17">
        <v>280</v>
      </c>
      <c r="S207" s="172" t="s">
        <v>51</v>
      </c>
      <c r="T207" s="17">
        <v>1635</v>
      </c>
      <c r="U207" s="14" t="s">
        <v>51</v>
      </c>
      <c r="V207" s="16">
        <f t="shared" si="42"/>
        <v>244029</v>
      </c>
      <c r="W207" s="16">
        <f t="shared" si="43"/>
        <v>244036</v>
      </c>
      <c r="X207" s="16">
        <f t="shared" si="44"/>
        <v>244031</v>
      </c>
      <c r="Y207" s="15"/>
      <c r="Z207" s="177"/>
      <c r="AA207" s="170"/>
      <c r="AB207" s="170"/>
      <c r="AC207" s="170"/>
      <c r="AD207" s="170"/>
      <c r="AE207" s="15"/>
      <c r="AF207" s="177"/>
      <c r="AG207" s="177">
        <f t="shared" si="37"/>
        <v>0</v>
      </c>
      <c r="AH207" s="177">
        <f t="shared" si="38"/>
        <v>0</v>
      </c>
      <c r="AK207" s="176"/>
      <c r="AL207" s="176"/>
    </row>
    <row r="208" spans="1:38" ht="36" customHeight="1" x14ac:dyDescent="0.2">
      <c r="A208" s="14" t="s">
        <v>18</v>
      </c>
      <c r="B208" s="212">
        <v>244029</v>
      </c>
      <c r="C208" s="14" t="s">
        <v>547</v>
      </c>
      <c r="D208" s="14" t="s">
        <v>268</v>
      </c>
      <c r="E208" s="14" t="s">
        <v>14</v>
      </c>
      <c r="F208" s="14" t="s">
        <v>324</v>
      </c>
      <c r="G208" s="179">
        <v>680207</v>
      </c>
      <c r="H208" s="176" t="s">
        <v>1305</v>
      </c>
      <c r="I208" s="176" t="s">
        <v>612</v>
      </c>
      <c r="J208" s="176" t="s">
        <v>666</v>
      </c>
      <c r="K208" s="176" t="s">
        <v>1309</v>
      </c>
      <c r="L208" s="40" t="s">
        <v>45</v>
      </c>
      <c r="M208" s="40" t="s">
        <v>341</v>
      </c>
      <c r="N208" s="14" t="s">
        <v>1086</v>
      </c>
      <c r="O208" s="14" t="s">
        <v>543</v>
      </c>
      <c r="P208" s="14" t="s">
        <v>1248</v>
      </c>
      <c r="Q208" s="14" t="s">
        <v>529</v>
      </c>
      <c r="R208" s="17">
        <v>200</v>
      </c>
      <c r="S208" s="172" t="s">
        <v>51</v>
      </c>
      <c r="T208" s="17">
        <v>1890</v>
      </c>
      <c r="U208" s="14" t="s">
        <v>51</v>
      </c>
      <c r="V208" s="16">
        <f t="shared" si="42"/>
        <v>244029</v>
      </c>
      <c r="W208" s="16">
        <f t="shared" si="43"/>
        <v>244036</v>
      </c>
      <c r="X208" s="16">
        <f t="shared" si="44"/>
        <v>244031</v>
      </c>
      <c r="Y208" s="15"/>
      <c r="Z208" s="177"/>
      <c r="AA208" s="170"/>
      <c r="AB208" s="170"/>
      <c r="AC208" s="170"/>
      <c r="AD208" s="170"/>
      <c r="AE208" s="15"/>
      <c r="AF208" s="177"/>
      <c r="AG208" s="177">
        <f t="shared" si="37"/>
        <v>0</v>
      </c>
      <c r="AH208" s="177">
        <f t="shared" si="38"/>
        <v>0</v>
      </c>
      <c r="AK208" s="176"/>
      <c r="AL208" s="176"/>
    </row>
    <row r="209" spans="1:38" ht="36" customHeight="1" x14ac:dyDescent="0.2">
      <c r="A209" s="14" t="s">
        <v>18</v>
      </c>
      <c r="B209" s="212">
        <v>244031</v>
      </c>
      <c r="C209" s="14" t="s">
        <v>547</v>
      </c>
      <c r="D209" s="14" t="s">
        <v>268</v>
      </c>
      <c r="E209" s="14" t="s">
        <v>14</v>
      </c>
      <c r="F209" s="14" t="s">
        <v>324</v>
      </c>
      <c r="G209" s="179">
        <v>680208</v>
      </c>
      <c r="H209" s="176" t="s">
        <v>1316</v>
      </c>
      <c r="I209" s="176" t="s">
        <v>612</v>
      </c>
      <c r="J209" s="176" t="s">
        <v>727</v>
      </c>
      <c r="K209" s="176" t="s">
        <v>1320</v>
      </c>
      <c r="L209" s="40" t="s">
        <v>105</v>
      </c>
      <c r="M209" s="40" t="s">
        <v>341</v>
      </c>
      <c r="N209" s="14" t="s">
        <v>1129</v>
      </c>
      <c r="O209" s="14" t="s">
        <v>548</v>
      </c>
      <c r="P209" s="14" t="s">
        <v>518</v>
      </c>
      <c r="Q209" s="14" t="s">
        <v>549</v>
      </c>
      <c r="R209" s="17">
        <v>168</v>
      </c>
      <c r="S209" s="172" t="s">
        <v>51</v>
      </c>
      <c r="T209" s="17">
        <v>1355</v>
      </c>
      <c r="U209" s="14" t="s">
        <v>51</v>
      </c>
      <c r="V209" s="16">
        <f t="shared" si="42"/>
        <v>244031</v>
      </c>
      <c r="W209" s="16">
        <f t="shared" si="43"/>
        <v>244038</v>
      </c>
      <c r="X209" s="16">
        <f t="shared" si="44"/>
        <v>244033</v>
      </c>
      <c r="Y209" s="15"/>
      <c r="Z209" s="177"/>
      <c r="AA209" s="170"/>
      <c r="AB209" s="170"/>
      <c r="AC209" s="170"/>
      <c r="AD209" s="170"/>
      <c r="AE209" s="15"/>
      <c r="AF209" s="177"/>
      <c r="AG209" s="177">
        <f t="shared" si="37"/>
        <v>0</v>
      </c>
      <c r="AH209" s="177">
        <f t="shared" si="38"/>
        <v>0</v>
      </c>
      <c r="AK209" s="176"/>
      <c r="AL209" s="176"/>
    </row>
    <row r="210" spans="1:38" ht="36" customHeight="1" x14ac:dyDescent="0.2">
      <c r="A210" s="14" t="s">
        <v>18</v>
      </c>
      <c r="B210" s="212">
        <v>244031</v>
      </c>
      <c r="C210" s="14" t="s">
        <v>547</v>
      </c>
      <c r="D210" s="14" t="s">
        <v>268</v>
      </c>
      <c r="E210" s="14" t="s">
        <v>14</v>
      </c>
      <c r="F210" s="14" t="s">
        <v>324</v>
      </c>
      <c r="G210" s="179">
        <v>680209</v>
      </c>
      <c r="H210" s="176" t="s">
        <v>904</v>
      </c>
      <c r="I210" s="176" t="s">
        <v>908</v>
      </c>
      <c r="J210" s="176" t="s">
        <v>133</v>
      </c>
      <c r="K210" s="176" t="s">
        <v>1321</v>
      </c>
      <c r="L210" s="40" t="s">
        <v>45</v>
      </c>
      <c r="M210" s="40" t="s">
        <v>341</v>
      </c>
      <c r="N210" s="14" t="s">
        <v>1325</v>
      </c>
      <c r="O210" s="14" t="s">
        <v>1149</v>
      </c>
      <c r="P210" s="14" t="s">
        <v>1329</v>
      </c>
      <c r="Q210" s="14" t="s">
        <v>1155</v>
      </c>
      <c r="R210" s="17">
        <v>325</v>
      </c>
      <c r="S210" s="172" t="s">
        <v>51</v>
      </c>
      <c r="T210" s="17">
        <v>1865</v>
      </c>
      <c r="U210" s="14" t="s">
        <v>51</v>
      </c>
      <c r="V210" s="16">
        <f t="shared" si="42"/>
        <v>244031</v>
      </c>
      <c r="W210" s="16">
        <f t="shared" si="43"/>
        <v>244038</v>
      </c>
      <c r="X210" s="16">
        <f t="shared" si="44"/>
        <v>244033</v>
      </c>
      <c r="Y210" s="15"/>
      <c r="Z210" s="177"/>
      <c r="AA210" s="170"/>
      <c r="AB210" s="170"/>
      <c r="AC210" s="170"/>
      <c r="AD210" s="170"/>
      <c r="AE210" s="15"/>
      <c r="AF210" s="177"/>
      <c r="AG210" s="177">
        <f t="shared" si="37"/>
        <v>0</v>
      </c>
      <c r="AH210" s="177">
        <f t="shared" si="38"/>
        <v>0</v>
      </c>
      <c r="AK210" s="176"/>
      <c r="AL210" s="176"/>
    </row>
    <row r="211" spans="1:38" ht="36" customHeight="1" x14ac:dyDescent="0.2">
      <c r="A211" s="14" t="s">
        <v>18</v>
      </c>
      <c r="B211" s="212">
        <v>244031</v>
      </c>
      <c r="C211" s="14" t="s">
        <v>547</v>
      </c>
      <c r="D211" s="14" t="s">
        <v>268</v>
      </c>
      <c r="E211" s="14" t="s">
        <v>14</v>
      </c>
      <c r="F211" s="14" t="s">
        <v>324</v>
      </c>
      <c r="G211" s="179">
        <v>680210</v>
      </c>
      <c r="H211" s="176" t="s">
        <v>1317</v>
      </c>
      <c r="I211" s="176" t="s">
        <v>908</v>
      </c>
      <c r="J211" s="176" t="s">
        <v>133</v>
      </c>
      <c r="K211" s="176" t="s">
        <v>1322</v>
      </c>
      <c r="L211" s="40" t="s">
        <v>45</v>
      </c>
      <c r="M211" s="40" t="s">
        <v>341</v>
      </c>
      <c r="N211" s="14" t="s">
        <v>1326</v>
      </c>
      <c r="O211" s="14" t="s">
        <v>1149</v>
      </c>
      <c r="P211" s="14" t="s">
        <v>1330</v>
      </c>
      <c r="Q211" s="14" t="s">
        <v>1155</v>
      </c>
      <c r="R211" s="17">
        <v>500</v>
      </c>
      <c r="S211" s="172" t="s">
        <v>51</v>
      </c>
      <c r="T211" s="17">
        <v>1820</v>
      </c>
      <c r="U211" s="14" t="s">
        <v>51</v>
      </c>
      <c r="V211" s="16">
        <f t="shared" si="42"/>
        <v>244031</v>
      </c>
      <c r="W211" s="16">
        <f t="shared" si="43"/>
        <v>244038</v>
      </c>
      <c r="X211" s="16">
        <f t="shared" si="44"/>
        <v>244033</v>
      </c>
      <c r="Y211" s="15"/>
      <c r="Z211" s="177"/>
      <c r="AA211" s="170"/>
      <c r="AB211" s="170"/>
      <c r="AC211" s="170"/>
      <c r="AD211" s="170"/>
      <c r="AE211" s="15"/>
      <c r="AF211" s="177"/>
      <c r="AG211" s="177">
        <f t="shared" si="37"/>
        <v>0</v>
      </c>
      <c r="AH211" s="177">
        <f t="shared" si="38"/>
        <v>0</v>
      </c>
      <c r="AK211" s="176"/>
      <c r="AL211" s="176"/>
    </row>
    <row r="212" spans="1:38" ht="36" customHeight="1" x14ac:dyDescent="0.2">
      <c r="A212" s="14" t="s">
        <v>18</v>
      </c>
      <c r="B212" s="212">
        <v>244031</v>
      </c>
      <c r="C212" s="14" t="s">
        <v>547</v>
      </c>
      <c r="D212" s="14" t="s">
        <v>268</v>
      </c>
      <c r="E212" s="14" t="s">
        <v>14</v>
      </c>
      <c r="F212" s="14" t="s">
        <v>324</v>
      </c>
      <c r="G212" s="179">
        <v>680211</v>
      </c>
      <c r="H212" s="176" t="s">
        <v>1318</v>
      </c>
      <c r="I212" s="176" t="s">
        <v>864</v>
      </c>
      <c r="J212" s="176" t="s">
        <v>554</v>
      </c>
      <c r="K212" s="176" t="s">
        <v>1323</v>
      </c>
      <c r="L212" s="40" t="s">
        <v>45</v>
      </c>
      <c r="M212" s="40" t="s">
        <v>341</v>
      </c>
      <c r="N212" s="14" t="s">
        <v>1331</v>
      </c>
      <c r="O212" s="14" t="s">
        <v>528</v>
      </c>
      <c r="P212" s="14" t="s">
        <v>684</v>
      </c>
      <c r="Q212" s="14" t="s">
        <v>541</v>
      </c>
      <c r="R212" s="17">
        <v>125</v>
      </c>
      <c r="S212" s="172" t="s">
        <v>51</v>
      </c>
      <c r="T212" s="17">
        <v>1990</v>
      </c>
      <c r="U212" s="14" t="s">
        <v>51</v>
      </c>
      <c r="V212" s="16">
        <f t="shared" si="42"/>
        <v>244031</v>
      </c>
      <c r="W212" s="16">
        <f t="shared" si="43"/>
        <v>244038</v>
      </c>
      <c r="X212" s="16">
        <f t="shared" si="44"/>
        <v>244033</v>
      </c>
      <c r="Y212" s="15"/>
      <c r="Z212" s="177"/>
      <c r="AA212" s="170"/>
      <c r="AB212" s="170"/>
      <c r="AC212" s="170"/>
      <c r="AD212" s="170"/>
      <c r="AE212" s="15"/>
      <c r="AF212" s="177"/>
      <c r="AG212" s="177">
        <f t="shared" si="37"/>
        <v>0</v>
      </c>
      <c r="AH212" s="177">
        <f t="shared" si="38"/>
        <v>0</v>
      </c>
      <c r="AK212" s="176"/>
      <c r="AL212" s="176"/>
    </row>
    <row r="213" spans="1:38" ht="36" customHeight="1" x14ac:dyDescent="0.2">
      <c r="A213" s="14" t="s">
        <v>18</v>
      </c>
      <c r="B213" s="212">
        <v>244031</v>
      </c>
      <c r="C213" s="14" t="s">
        <v>547</v>
      </c>
      <c r="D213" s="14" t="s">
        <v>268</v>
      </c>
      <c r="E213" s="14" t="s">
        <v>14</v>
      </c>
      <c r="F213" s="14" t="s">
        <v>324</v>
      </c>
      <c r="G213" s="179">
        <v>680212</v>
      </c>
      <c r="H213" s="176" t="s">
        <v>1319</v>
      </c>
      <c r="I213" s="176" t="s">
        <v>551</v>
      </c>
      <c r="J213" s="176" t="s">
        <v>596</v>
      </c>
      <c r="K213" s="176" t="s">
        <v>1324</v>
      </c>
      <c r="L213" s="40" t="s">
        <v>108</v>
      </c>
      <c r="M213" s="40" t="s">
        <v>341</v>
      </c>
      <c r="N213" s="14" t="s">
        <v>1327</v>
      </c>
      <c r="O213" s="14" t="s">
        <v>1328</v>
      </c>
      <c r="P213" s="14" t="s">
        <v>1332</v>
      </c>
      <c r="Q213" s="14" t="s">
        <v>1333</v>
      </c>
      <c r="R213" s="17" t="s">
        <v>624</v>
      </c>
      <c r="S213" s="172" t="s">
        <v>51</v>
      </c>
      <c r="T213" s="17">
        <v>1900</v>
      </c>
      <c r="U213" s="14" t="s">
        <v>51</v>
      </c>
      <c r="V213" s="16">
        <f t="shared" si="42"/>
        <v>244031</v>
      </c>
      <c r="W213" s="16">
        <f t="shared" si="43"/>
        <v>244038</v>
      </c>
      <c r="X213" s="16">
        <f t="shared" si="44"/>
        <v>244033</v>
      </c>
      <c r="Y213" s="15"/>
      <c r="Z213" s="177"/>
      <c r="AA213" s="170"/>
      <c r="AB213" s="170"/>
      <c r="AC213" s="170"/>
      <c r="AD213" s="170"/>
      <c r="AE213" s="15"/>
      <c r="AF213" s="177"/>
      <c r="AG213" s="177">
        <f t="shared" si="37"/>
        <v>0</v>
      </c>
      <c r="AH213" s="177">
        <f t="shared" si="38"/>
        <v>0</v>
      </c>
      <c r="AK213" s="176"/>
      <c r="AL213" s="176"/>
    </row>
    <row r="214" spans="1:38" ht="36" customHeight="1" x14ac:dyDescent="0.2">
      <c r="A214" s="14" t="s">
        <v>18</v>
      </c>
      <c r="B214" s="212">
        <v>244032</v>
      </c>
      <c r="C214" s="14" t="s">
        <v>547</v>
      </c>
      <c r="D214" s="14" t="s">
        <v>268</v>
      </c>
      <c r="E214" s="14" t="s">
        <v>14</v>
      </c>
      <c r="F214" s="14" t="s">
        <v>324</v>
      </c>
      <c r="G214" s="179">
        <v>680213</v>
      </c>
      <c r="H214" s="176" t="s">
        <v>886</v>
      </c>
      <c r="I214" s="176" t="s">
        <v>630</v>
      </c>
      <c r="J214" s="176" t="s">
        <v>821</v>
      </c>
      <c r="K214" s="176" t="s">
        <v>1334</v>
      </c>
      <c r="L214" s="40" t="s">
        <v>124</v>
      </c>
      <c r="M214" s="40" t="s">
        <v>341</v>
      </c>
      <c r="N214" s="14" t="s">
        <v>1336</v>
      </c>
      <c r="O214" s="14" t="s">
        <v>548</v>
      </c>
      <c r="P214" s="14" t="s">
        <v>518</v>
      </c>
      <c r="Q214" s="14" t="s">
        <v>549</v>
      </c>
      <c r="R214" s="17">
        <v>149</v>
      </c>
      <c r="S214" s="172" t="s">
        <v>51</v>
      </c>
      <c r="T214" s="17">
        <v>2691</v>
      </c>
      <c r="U214" s="14" t="s">
        <v>51</v>
      </c>
      <c r="V214" s="16">
        <f t="shared" si="42"/>
        <v>244032</v>
      </c>
      <c r="W214" s="16">
        <f t="shared" si="43"/>
        <v>244039</v>
      </c>
      <c r="X214" s="16">
        <f t="shared" si="44"/>
        <v>244034</v>
      </c>
      <c r="Y214" s="15"/>
      <c r="Z214" s="177"/>
      <c r="AA214" s="170"/>
      <c r="AB214" s="170"/>
      <c r="AC214" s="170"/>
      <c r="AD214" s="170"/>
      <c r="AE214" s="15"/>
      <c r="AF214" s="177"/>
      <c r="AG214" s="177">
        <f t="shared" si="37"/>
        <v>0</v>
      </c>
      <c r="AH214" s="177">
        <f t="shared" si="38"/>
        <v>0</v>
      </c>
      <c r="AK214" s="176"/>
      <c r="AL214" s="176"/>
    </row>
    <row r="215" spans="1:38" ht="36" customHeight="1" x14ac:dyDescent="0.2">
      <c r="A215" s="14" t="s">
        <v>18</v>
      </c>
      <c r="B215" s="212">
        <v>244032</v>
      </c>
      <c r="C215" s="14" t="s">
        <v>547</v>
      </c>
      <c r="D215" s="14" t="s">
        <v>268</v>
      </c>
      <c r="E215" s="14" t="s">
        <v>14</v>
      </c>
      <c r="F215" s="14" t="s">
        <v>324</v>
      </c>
      <c r="G215" s="179">
        <v>680214</v>
      </c>
      <c r="H215" s="176" t="s">
        <v>609</v>
      </c>
      <c r="I215" s="176" t="s">
        <v>514</v>
      </c>
      <c r="J215" s="176" t="s">
        <v>337</v>
      </c>
      <c r="K215" s="176" t="s">
        <v>1307</v>
      </c>
      <c r="L215" s="40" t="s">
        <v>106</v>
      </c>
      <c r="M215" s="40" t="s">
        <v>341</v>
      </c>
      <c r="N215" s="14" t="s">
        <v>1337</v>
      </c>
      <c r="O215" s="14" t="s">
        <v>527</v>
      </c>
      <c r="P215" s="14" t="s">
        <v>1340</v>
      </c>
      <c r="Q215" s="14" t="s">
        <v>542</v>
      </c>
      <c r="R215" s="17">
        <v>117</v>
      </c>
      <c r="S215" s="172" t="s">
        <v>51</v>
      </c>
      <c r="T215" s="17">
        <v>1603</v>
      </c>
      <c r="U215" s="14" t="s">
        <v>51</v>
      </c>
      <c r="V215" s="16">
        <f t="shared" si="42"/>
        <v>244032</v>
      </c>
      <c r="W215" s="16">
        <f t="shared" si="43"/>
        <v>244039</v>
      </c>
      <c r="X215" s="16">
        <f t="shared" si="44"/>
        <v>244034</v>
      </c>
      <c r="Y215" s="15"/>
      <c r="Z215" s="177"/>
      <c r="AA215" s="170"/>
      <c r="AB215" s="170"/>
      <c r="AC215" s="170"/>
      <c r="AD215" s="170"/>
      <c r="AE215" s="15"/>
      <c r="AF215" s="177"/>
      <c r="AG215" s="177">
        <f t="shared" si="37"/>
        <v>0</v>
      </c>
      <c r="AH215" s="177">
        <f t="shared" si="38"/>
        <v>0</v>
      </c>
      <c r="AK215" s="176"/>
      <c r="AL215" s="176"/>
    </row>
    <row r="216" spans="1:38" ht="36" customHeight="1" x14ac:dyDescent="0.2">
      <c r="A216" s="14" t="s">
        <v>18</v>
      </c>
      <c r="B216" s="212">
        <v>244032</v>
      </c>
      <c r="C216" s="14" t="s">
        <v>547</v>
      </c>
      <c r="D216" s="14" t="s">
        <v>268</v>
      </c>
      <c r="E216" s="14" t="s">
        <v>14</v>
      </c>
      <c r="F216" s="14" t="s">
        <v>324</v>
      </c>
      <c r="G216" s="179">
        <v>680215</v>
      </c>
      <c r="H216" s="176" t="s">
        <v>1262</v>
      </c>
      <c r="I216" s="176" t="s">
        <v>802</v>
      </c>
      <c r="J216" s="176" t="s">
        <v>131</v>
      </c>
      <c r="K216" s="176" t="s">
        <v>1335</v>
      </c>
      <c r="L216" s="40" t="s">
        <v>105</v>
      </c>
      <c r="M216" s="40" t="s">
        <v>341</v>
      </c>
      <c r="N216" s="14" t="s">
        <v>1338</v>
      </c>
      <c r="O216" s="14" t="s">
        <v>552</v>
      </c>
      <c r="P216" s="14" t="s">
        <v>1341</v>
      </c>
      <c r="Q216" s="14" t="s">
        <v>553</v>
      </c>
      <c r="R216" s="17">
        <v>1000</v>
      </c>
      <c r="S216" s="172" t="s">
        <v>51</v>
      </c>
      <c r="T216" s="17">
        <v>1930</v>
      </c>
      <c r="U216" s="14" t="s">
        <v>51</v>
      </c>
      <c r="V216" s="16">
        <f t="shared" si="42"/>
        <v>244032</v>
      </c>
      <c r="W216" s="16">
        <f t="shared" si="43"/>
        <v>244039</v>
      </c>
      <c r="X216" s="16">
        <f t="shared" si="44"/>
        <v>244034</v>
      </c>
      <c r="Y216" s="15"/>
      <c r="Z216" s="177"/>
      <c r="AA216" s="170"/>
      <c r="AB216" s="170"/>
      <c r="AC216" s="170"/>
      <c r="AD216" s="170"/>
      <c r="AE216" s="15"/>
      <c r="AF216" s="177"/>
      <c r="AG216" s="177">
        <f t="shared" si="37"/>
        <v>0</v>
      </c>
      <c r="AH216" s="177">
        <f t="shared" si="38"/>
        <v>0</v>
      </c>
      <c r="AK216" s="176"/>
      <c r="AL216" s="176"/>
    </row>
    <row r="217" spans="1:38" ht="36" customHeight="1" x14ac:dyDescent="0.2">
      <c r="A217" s="14" t="s">
        <v>18</v>
      </c>
      <c r="B217" s="212">
        <v>244032</v>
      </c>
      <c r="C217" s="14" t="s">
        <v>547</v>
      </c>
      <c r="D217" s="14" t="s">
        <v>268</v>
      </c>
      <c r="E217" s="14" t="s">
        <v>14</v>
      </c>
      <c r="F217" s="14" t="s">
        <v>324</v>
      </c>
      <c r="G217" s="179">
        <v>680216</v>
      </c>
      <c r="H217" s="176" t="s">
        <v>1262</v>
      </c>
      <c r="I217" s="176" t="s">
        <v>802</v>
      </c>
      <c r="J217" s="176" t="s">
        <v>131</v>
      </c>
      <c r="K217" s="176" t="s">
        <v>1335</v>
      </c>
      <c r="L217" s="40" t="s">
        <v>105</v>
      </c>
      <c r="M217" s="40" t="s">
        <v>341</v>
      </c>
      <c r="N217" s="14" t="s">
        <v>1339</v>
      </c>
      <c r="O217" s="14" t="s">
        <v>1216</v>
      </c>
      <c r="P217" s="14" t="s">
        <v>1342</v>
      </c>
      <c r="Q217" s="14" t="s">
        <v>1220</v>
      </c>
      <c r="R217" s="17">
        <v>500</v>
      </c>
      <c r="S217" s="172" t="s">
        <v>51</v>
      </c>
      <c r="T217" s="17">
        <v>1930</v>
      </c>
      <c r="U217" s="14" t="s">
        <v>51</v>
      </c>
      <c r="V217" s="16">
        <f t="shared" si="42"/>
        <v>244032</v>
      </c>
      <c r="W217" s="16">
        <f t="shared" si="43"/>
        <v>244039</v>
      </c>
      <c r="X217" s="16">
        <f t="shared" si="44"/>
        <v>244034</v>
      </c>
      <c r="Y217" s="15"/>
      <c r="Z217" s="177"/>
      <c r="AA217" s="170"/>
      <c r="AB217" s="170"/>
      <c r="AC217" s="170"/>
      <c r="AD217" s="170"/>
      <c r="AE217" s="15"/>
      <c r="AF217" s="177"/>
      <c r="AG217" s="177">
        <f t="shared" si="37"/>
        <v>0</v>
      </c>
      <c r="AH217" s="177">
        <f t="shared" si="38"/>
        <v>0</v>
      </c>
      <c r="AK217" s="176"/>
      <c r="AL217" s="176"/>
    </row>
    <row r="218" spans="1:38" ht="36" customHeight="1" x14ac:dyDescent="0.2">
      <c r="A218" s="14" t="s">
        <v>18</v>
      </c>
      <c r="B218" s="212">
        <v>244033</v>
      </c>
      <c r="C218" s="14" t="s">
        <v>547</v>
      </c>
      <c r="D218" s="14" t="s">
        <v>268</v>
      </c>
      <c r="E218" s="14" t="s">
        <v>14</v>
      </c>
      <c r="F218" s="14" t="s">
        <v>324</v>
      </c>
      <c r="G218" s="179">
        <v>680217</v>
      </c>
      <c r="H218" s="176" t="s">
        <v>886</v>
      </c>
      <c r="I218" s="176" t="s">
        <v>630</v>
      </c>
      <c r="J218" s="176" t="s">
        <v>1347</v>
      </c>
      <c r="K218" s="176" t="s">
        <v>1334</v>
      </c>
      <c r="L218" s="40" t="s">
        <v>124</v>
      </c>
      <c r="M218" s="40" t="s">
        <v>341</v>
      </c>
      <c r="N218" s="14" t="s">
        <v>1352</v>
      </c>
      <c r="O218" s="14" t="s">
        <v>548</v>
      </c>
      <c r="P218" s="14" t="s">
        <v>717</v>
      </c>
      <c r="Q218" s="14" t="s">
        <v>549</v>
      </c>
      <c r="R218" s="17">
        <v>401</v>
      </c>
      <c r="S218" s="172" t="s">
        <v>51</v>
      </c>
      <c r="T218" s="17">
        <v>2559</v>
      </c>
      <c r="U218" s="14" t="s">
        <v>51</v>
      </c>
      <c r="V218" s="16">
        <f t="shared" si="42"/>
        <v>244033</v>
      </c>
      <c r="W218" s="16">
        <f t="shared" si="43"/>
        <v>244040</v>
      </c>
      <c r="X218" s="16">
        <f t="shared" si="44"/>
        <v>244035</v>
      </c>
      <c r="Y218" s="15"/>
      <c r="Z218" s="177"/>
      <c r="AA218" s="170"/>
      <c r="AB218" s="170"/>
      <c r="AC218" s="170"/>
      <c r="AD218" s="170"/>
      <c r="AE218" s="15"/>
      <c r="AF218" s="177"/>
      <c r="AG218" s="177">
        <f t="shared" si="37"/>
        <v>0</v>
      </c>
      <c r="AH218" s="177">
        <f t="shared" si="38"/>
        <v>0</v>
      </c>
      <c r="AK218" s="176"/>
      <c r="AL218" s="176"/>
    </row>
    <row r="219" spans="1:38" ht="36" customHeight="1" x14ac:dyDescent="0.2">
      <c r="A219" s="14" t="s">
        <v>18</v>
      </c>
      <c r="B219" s="212">
        <v>244033</v>
      </c>
      <c r="C219" s="14" t="s">
        <v>547</v>
      </c>
      <c r="D219" s="14" t="s">
        <v>268</v>
      </c>
      <c r="E219" s="14" t="s">
        <v>14</v>
      </c>
      <c r="F219" s="14" t="s">
        <v>324</v>
      </c>
      <c r="G219" s="179">
        <v>680218</v>
      </c>
      <c r="H219" s="176" t="s">
        <v>1343</v>
      </c>
      <c r="I219" s="176" t="s">
        <v>802</v>
      </c>
      <c r="J219" s="176" t="s">
        <v>143</v>
      </c>
      <c r="K219" s="176" t="s">
        <v>1348</v>
      </c>
      <c r="L219" s="40" t="s">
        <v>710</v>
      </c>
      <c r="M219" s="40" t="s">
        <v>341</v>
      </c>
      <c r="N219" s="14" t="s">
        <v>1353</v>
      </c>
      <c r="O219" s="14" t="s">
        <v>1357</v>
      </c>
      <c r="P219" s="14" t="s">
        <v>971</v>
      </c>
      <c r="Q219" s="14" t="s">
        <v>1361</v>
      </c>
      <c r="R219" s="17">
        <v>1500</v>
      </c>
      <c r="S219" s="172" t="s">
        <v>51</v>
      </c>
      <c r="T219" s="17">
        <v>2511</v>
      </c>
      <c r="U219" s="14" t="s">
        <v>51</v>
      </c>
      <c r="V219" s="16">
        <f t="shared" si="42"/>
        <v>244033</v>
      </c>
      <c r="W219" s="16">
        <f t="shared" si="43"/>
        <v>244040</v>
      </c>
      <c r="X219" s="16">
        <f t="shared" si="44"/>
        <v>244035</v>
      </c>
      <c r="Y219" s="15" t="s">
        <v>54</v>
      </c>
      <c r="Z219" s="177">
        <v>244056</v>
      </c>
      <c r="AA219" s="170"/>
      <c r="AB219" s="170"/>
      <c r="AC219" s="170"/>
      <c r="AD219" s="170"/>
      <c r="AE219" s="15" t="s">
        <v>54</v>
      </c>
      <c r="AF219" s="177">
        <v>244056</v>
      </c>
      <c r="AG219" s="177" t="str">
        <f t="shared" si="37"/>
        <v>Pass</v>
      </c>
      <c r="AH219" s="177">
        <f t="shared" si="38"/>
        <v>244056</v>
      </c>
      <c r="AK219" s="176"/>
      <c r="AL219" s="176"/>
    </row>
    <row r="220" spans="1:38" ht="36" customHeight="1" x14ac:dyDescent="0.2">
      <c r="A220" s="14" t="s">
        <v>18</v>
      </c>
      <c r="B220" s="212">
        <v>244033</v>
      </c>
      <c r="C220" s="14" t="s">
        <v>547</v>
      </c>
      <c r="D220" s="14" t="s">
        <v>268</v>
      </c>
      <c r="E220" s="14" t="s">
        <v>14</v>
      </c>
      <c r="F220" s="14" t="s">
        <v>324</v>
      </c>
      <c r="G220" s="179">
        <v>680219</v>
      </c>
      <c r="H220" s="176" t="s">
        <v>1344</v>
      </c>
      <c r="I220" s="176" t="s">
        <v>550</v>
      </c>
      <c r="J220" s="176" t="s">
        <v>128</v>
      </c>
      <c r="K220" s="176" t="s">
        <v>1349</v>
      </c>
      <c r="L220" s="40" t="s">
        <v>45</v>
      </c>
      <c r="M220" s="40" t="s">
        <v>341</v>
      </c>
      <c r="N220" s="14" t="s">
        <v>1354</v>
      </c>
      <c r="O220" s="14" t="s">
        <v>528</v>
      </c>
      <c r="P220" s="14" t="s">
        <v>1359</v>
      </c>
      <c r="Q220" s="14" t="s">
        <v>541</v>
      </c>
      <c r="R220" s="17">
        <v>750</v>
      </c>
      <c r="S220" s="172" t="s">
        <v>51</v>
      </c>
      <c r="T220" s="17">
        <v>2485</v>
      </c>
      <c r="U220" s="14" t="s">
        <v>51</v>
      </c>
      <c r="V220" s="16">
        <f t="shared" si="42"/>
        <v>244033</v>
      </c>
      <c r="W220" s="16">
        <f t="shared" si="43"/>
        <v>244040</v>
      </c>
      <c r="X220" s="16">
        <f t="shared" si="44"/>
        <v>244035</v>
      </c>
      <c r="Y220" s="15"/>
      <c r="Z220" s="177"/>
      <c r="AA220" s="170"/>
      <c r="AB220" s="170"/>
      <c r="AC220" s="170"/>
      <c r="AD220" s="170"/>
      <c r="AE220" s="15"/>
      <c r="AF220" s="177"/>
      <c r="AG220" s="177">
        <f t="shared" si="37"/>
        <v>0</v>
      </c>
      <c r="AH220" s="177">
        <f t="shared" si="38"/>
        <v>0</v>
      </c>
      <c r="AK220" s="176"/>
      <c r="AL220" s="176"/>
    </row>
    <row r="221" spans="1:38" ht="36" customHeight="1" x14ac:dyDescent="0.2">
      <c r="A221" s="14" t="s">
        <v>18</v>
      </c>
      <c r="B221" s="212">
        <v>244033</v>
      </c>
      <c r="C221" s="14" t="s">
        <v>547</v>
      </c>
      <c r="D221" s="14" t="s">
        <v>268</v>
      </c>
      <c r="E221" s="14" t="s">
        <v>14</v>
      </c>
      <c r="F221" s="14" t="s">
        <v>324</v>
      </c>
      <c r="G221" s="179">
        <v>680220</v>
      </c>
      <c r="H221" s="176" t="s">
        <v>1345</v>
      </c>
      <c r="I221" s="176" t="s">
        <v>550</v>
      </c>
      <c r="J221" s="176" t="s">
        <v>149</v>
      </c>
      <c r="K221" s="176" t="s">
        <v>1350</v>
      </c>
      <c r="L221" s="40" t="s">
        <v>45</v>
      </c>
      <c r="M221" s="40" t="s">
        <v>341</v>
      </c>
      <c r="N221" s="14" t="s">
        <v>1355</v>
      </c>
      <c r="O221" s="14" t="s">
        <v>1358</v>
      </c>
      <c r="P221" s="14" t="s">
        <v>1360</v>
      </c>
      <c r="Q221" s="14" t="s">
        <v>1362</v>
      </c>
      <c r="R221" s="17">
        <v>750</v>
      </c>
      <c r="S221" s="172" t="s">
        <v>51</v>
      </c>
      <c r="T221" s="17">
        <v>1130</v>
      </c>
      <c r="U221" s="14" t="s">
        <v>51</v>
      </c>
      <c r="V221" s="16">
        <f t="shared" si="42"/>
        <v>244033</v>
      </c>
      <c r="W221" s="16">
        <f t="shared" si="43"/>
        <v>244040</v>
      </c>
      <c r="X221" s="16">
        <f t="shared" si="44"/>
        <v>244035</v>
      </c>
      <c r="Y221" s="15"/>
      <c r="Z221" s="177"/>
      <c r="AA221" s="170"/>
      <c r="AB221" s="170"/>
      <c r="AC221" s="170"/>
      <c r="AD221" s="170"/>
      <c r="AE221" s="15"/>
      <c r="AF221" s="177"/>
      <c r="AG221" s="177">
        <f t="shared" si="37"/>
        <v>0</v>
      </c>
      <c r="AH221" s="177">
        <f t="shared" si="38"/>
        <v>0</v>
      </c>
      <c r="AK221" s="176"/>
      <c r="AL221" s="176"/>
    </row>
    <row r="222" spans="1:38" ht="36" customHeight="1" x14ac:dyDescent="0.2">
      <c r="A222" s="14" t="s">
        <v>18</v>
      </c>
      <c r="B222" s="212">
        <v>244033</v>
      </c>
      <c r="C222" s="14" t="s">
        <v>547</v>
      </c>
      <c r="D222" s="14" t="s">
        <v>268</v>
      </c>
      <c r="E222" s="14" t="s">
        <v>14</v>
      </c>
      <c r="F222" s="14" t="s">
        <v>324</v>
      </c>
      <c r="G222" s="179">
        <v>680221</v>
      </c>
      <c r="H222" s="176" t="s">
        <v>1345</v>
      </c>
      <c r="I222" s="176" t="s">
        <v>550</v>
      </c>
      <c r="J222" s="176" t="s">
        <v>128</v>
      </c>
      <c r="K222" s="176" t="s">
        <v>1350</v>
      </c>
      <c r="L222" s="40" t="s">
        <v>45</v>
      </c>
      <c r="M222" s="40" t="s">
        <v>341</v>
      </c>
      <c r="N222" s="14" t="s">
        <v>1356</v>
      </c>
      <c r="O222" s="14" t="s">
        <v>1358</v>
      </c>
      <c r="P222" s="14" t="s">
        <v>1360</v>
      </c>
      <c r="Q222" s="14" t="s">
        <v>1362</v>
      </c>
      <c r="R222" s="17">
        <v>162</v>
      </c>
      <c r="S222" s="172" t="s">
        <v>51</v>
      </c>
      <c r="T222" s="17">
        <v>655</v>
      </c>
      <c r="U222" s="14" t="s">
        <v>51</v>
      </c>
      <c r="V222" s="16">
        <f t="shared" si="42"/>
        <v>244033</v>
      </c>
      <c r="W222" s="16">
        <f t="shared" si="43"/>
        <v>244040</v>
      </c>
      <c r="X222" s="16">
        <f t="shared" si="44"/>
        <v>244035</v>
      </c>
      <c r="Y222" s="15"/>
      <c r="Z222" s="177"/>
      <c r="AA222" s="170"/>
      <c r="AB222" s="170"/>
      <c r="AC222" s="170"/>
      <c r="AD222" s="170"/>
      <c r="AE222" s="15"/>
      <c r="AF222" s="177"/>
      <c r="AG222" s="177">
        <f t="shared" si="37"/>
        <v>0</v>
      </c>
      <c r="AH222" s="177">
        <f t="shared" si="38"/>
        <v>0</v>
      </c>
      <c r="AK222" s="176"/>
      <c r="AL222" s="176"/>
    </row>
    <row r="223" spans="1:38" ht="36" customHeight="1" x14ac:dyDescent="0.2">
      <c r="A223" s="14" t="s">
        <v>18</v>
      </c>
      <c r="B223" s="212">
        <v>244033</v>
      </c>
      <c r="C223" s="14" t="s">
        <v>547</v>
      </c>
      <c r="D223" s="14" t="s">
        <v>268</v>
      </c>
      <c r="E223" s="14" t="s">
        <v>14</v>
      </c>
      <c r="F223" s="14" t="s">
        <v>324</v>
      </c>
      <c r="G223" s="179">
        <v>680222</v>
      </c>
      <c r="H223" s="176" t="s">
        <v>1346</v>
      </c>
      <c r="I223" s="176" t="s">
        <v>550</v>
      </c>
      <c r="J223" s="176" t="s">
        <v>128</v>
      </c>
      <c r="K223" s="176" t="s">
        <v>1351</v>
      </c>
      <c r="L223" s="40" t="s">
        <v>45</v>
      </c>
      <c r="M223" s="40" t="s">
        <v>341</v>
      </c>
      <c r="N223" s="14" t="s">
        <v>1630</v>
      </c>
      <c r="O223" s="14" t="s">
        <v>548</v>
      </c>
      <c r="P223" s="14" t="s">
        <v>717</v>
      </c>
      <c r="Q223" s="14" t="s">
        <v>549</v>
      </c>
      <c r="R223" s="17">
        <v>183</v>
      </c>
      <c r="S223" s="172" t="s">
        <v>51</v>
      </c>
      <c r="T223" s="17">
        <v>2417</v>
      </c>
      <c r="U223" s="14" t="s">
        <v>51</v>
      </c>
      <c r="V223" s="16">
        <f t="shared" si="42"/>
        <v>244033</v>
      </c>
      <c r="W223" s="16">
        <f t="shared" si="43"/>
        <v>244040</v>
      </c>
      <c r="X223" s="16">
        <f t="shared" si="44"/>
        <v>244035</v>
      </c>
      <c r="Y223" s="15"/>
      <c r="Z223" s="177"/>
      <c r="AA223" s="170"/>
      <c r="AB223" s="170"/>
      <c r="AC223" s="170"/>
      <c r="AD223" s="170"/>
      <c r="AE223" s="15"/>
      <c r="AF223" s="177"/>
      <c r="AG223" s="177">
        <f t="shared" si="37"/>
        <v>0</v>
      </c>
      <c r="AH223" s="177">
        <f t="shared" si="38"/>
        <v>0</v>
      </c>
      <c r="AK223" s="176"/>
      <c r="AL223" s="176"/>
    </row>
    <row r="224" spans="1:38" ht="36" customHeight="1" x14ac:dyDescent="0.2">
      <c r="A224" s="14" t="s">
        <v>18</v>
      </c>
      <c r="B224" s="212">
        <v>244034</v>
      </c>
      <c r="C224" s="14" t="s">
        <v>547</v>
      </c>
      <c r="D224" s="14" t="s">
        <v>268</v>
      </c>
      <c r="E224" s="14" t="s">
        <v>14</v>
      </c>
      <c r="F224" s="14" t="s">
        <v>324</v>
      </c>
      <c r="G224" s="179">
        <v>680223</v>
      </c>
      <c r="H224" s="176" t="s">
        <v>1363</v>
      </c>
      <c r="I224" s="176" t="s">
        <v>802</v>
      </c>
      <c r="J224" s="176" t="s">
        <v>882</v>
      </c>
      <c r="K224" s="176" t="s">
        <v>1372</v>
      </c>
      <c r="L224" s="40" t="s">
        <v>105</v>
      </c>
      <c r="M224" s="40" t="s">
        <v>341</v>
      </c>
      <c r="N224" s="14" t="s">
        <v>1380</v>
      </c>
      <c r="O224" s="14" t="s">
        <v>953</v>
      </c>
      <c r="P224" s="14" t="s">
        <v>1387</v>
      </c>
      <c r="Q224" s="14" t="s">
        <v>956</v>
      </c>
      <c r="R224" s="17">
        <v>375</v>
      </c>
      <c r="S224" s="172" t="s">
        <v>51</v>
      </c>
      <c r="T224" s="17">
        <v>653</v>
      </c>
      <c r="U224" s="14" t="s">
        <v>51</v>
      </c>
      <c r="V224" s="16">
        <f t="shared" si="42"/>
        <v>244034</v>
      </c>
      <c r="W224" s="16">
        <f t="shared" si="43"/>
        <v>244041</v>
      </c>
      <c r="X224" s="16">
        <f t="shared" si="44"/>
        <v>244036</v>
      </c>
      <c r="Y224" s="15"/>
      <c r="Z224" s="177"/>
      <c r="AA224" s="170"/>
      <c r="AB224" s="170"/>
      <c r="AC224" s="170"/>
      <c r="AD224" s="170"/>
      <c r="AE224" s="15"/>
      <c r="AF224" s="177"/>
      <c r="AG224" s="177">
        <f t="shared" si="37"/>
        <v>0</v>
      </c>
      <c r="AH224" s="177">
        <f t="shared" si="38"/>
        <v>0</v>
      </c>
      <c r="AK224" s="176"/>
      <c r="AL224" s="176"/>
    </row>
    <row r="225" spans="1:38" ht="36" customHeight="1" x14ac:dyDescent="0.2">
      <c r="A225" s="14" t="s">
        <v>18</v>
      </c>
      <c r="B225" s="212">
        <v>244034</v>
      </c>
      <c r="C225" s="14" t="s">
        <v>547</v>
      </c>
      <c r="D225" s="14" t="s">
        <v>268</v>
      </c>
      <c r="E225" s="14" t="s">
        <v>14</v>
      </c>
      <c r="F225" s="14" t="s">
        <v>324</v>
      </c>
      <c r="G225" s="179">
        <v>680224</v>
      </c>
      <c r="H225" s="176" t="s">
        <v>1364</v>
      </c>
      <c r="I225" s="176" t="s">
        <v>551</v>
      </c>
      <c r="J225" s="176" t="s">
        <v>596</v>
      </c>
      <c r="K225" s="176" t="s">
        <v>1373</v>
      </c>
      <c r="L225" s="40" t="s">
        <v>108</v>
      </c>
      <c r="M225" s="40" t="s">
        <v>341</v>
      </c>
      <c r="N225" s="14" t="s">
        <v>1381</v>
      </c>
      <c r="O225" s="14" t="s">
        <v>1294</v>
      </c>
      <c r="P225" s="14" t="s">
        <v>517</v>
      </c>
      <c r="Q225" s="14" t="s">
        <v>1301</v>
      </c>
      <c r="R225" s="17">
        <v>350</v>
      </c>
      <c r="S225" s="172" t="s">
        <v>51</v>
      </c>
      <c r="T225" s="17">
        <v>2170</v>
      </c>
      <c r="U225" s="14" t="s">
        <v>51</v>
      </c>
      <c r="V225" s="16">
        <f t="shared" si="42"/>
        <v>244034</v>
      </c>
      <c r="W225" s="16">
        <f t="shared" si="43"/>
        <v>244041</v>
      </c>
      <c r="X225" s="16">
        <f t="shared" si="44"/>
        <v>244036</v>
      </c>
      <c r="Y225" s="15"/>
      <c r="Z225" s="177"/>
      <c r="AA225" s="170"/>
      <c r="AB225" s="170"/>
      <c r="AC225" s="170"/>
      <c r="AD225" s="170"/>
      <c r="AE225" s="15"/>
      <c r="AF225" s="177"/>
      <c r="AG225" s="177">
        <f t="shared" si="37"/>
        <v>0</v>
      </c>
      <c r="AH225" s="177">
        <f t="shared" si="38"/>
        <v>0</v>
      </c>
      <c r="AK225" s="176"/>
      <c r="AL225" s="176"/>
    </row>
    <row r="226" spans="1:38" ht="36" customHeight="1" x14ac:dyDescent="0.2">
      <c r="A226" s="14" t="s">
        <v>18</v>
      </c>
      <c r="B226" s="212">
        <v>244034</v>
      </c>
      <c r="C226" s="14" t="s">
        <v>547</v>
      </c>
      <c r="D226" s="14" t="s">
        <v>268</v>
      </c>
      <c r="E226" s="14" t="s">
        <v>14</v>
      </c>
      <c r="F226" s="14" t="s">
        <v>324</v>
      </c>
      <c r="G226" s="179">
        <v>680225</v>
      </c>
      <c r="H226" s="176" t="s">
        <v>1365</v>
      </c>
      <c r="I226" s="176" t="s">
        <v>864</v>
      </c>
      <c r="J226" s="176" t="s">
        <v>131</v>
      </c>
      <c r="K226" s="176" t="s">
        <v>1374</v>
      </c>
      <c r="L226" s="40" t="s">
        <v>105</v>
      </c>
      <c r="M226" s="40" t="s">
        <v>341</v>
      </c>
      <c r="N226" s="14" t="s">
        <v>1336</v>
      </c>
      <c r="O226" s="14" t="s">
        <v>548</v>
      </c>
      <c r="P226" s="14" t="s">
        <v>717</v>
      </c>
      <c r="Q226" s="14" t="s">
        <v>549</v>
      </c>
      <c r="R226" s="17">
        <v>149</v>
      </c>
      <c r="S226" s="172" t="s">
        <v>51</v>
      </c>
      <c r="T226" s="17">
        <v>1915</v>
      </c>
      <c r="U226" s="14" t="s">
        <v>51</v>
      </c>
      <c r="V226" s="16">
        <f t="shared" si="42"/>
        <v>244034</v>
      </c>
      <c r="W226" s="16">
        <f t="shared" si="43"/>
        <v>244041</v>
      </c>
      <c r="X226" s="16">
        <f t="shared" si="44"/>
        <v>244036</v>
      </c>
      <c r="Y226" s="15"/>
      <c r="Z226" s="177"/>
      <c r="AA226" s="170"/>
      <c r="AB226" s="170"/>
      <c r="AC226" s="170"/>
      <c r="AD226" s="170"/>
      <c r="AE226" s="15"/>
      <c r="AF226" s="177"/>
      <c r="AG226" s="177">
        <f t="shared" si="37"/>
        <v>0</v>
      </c>
      <c r="AH226" s="177">
        <f t="shared" si="38"/>
        <v>0</v>
      </c>
      <c r="AK226" s="176"/>
      <c r="AL226" s="176"/>
    </row>
    <row r="227" spans="1:38" ht="36" customHeight="1" x14ac:dyDescent="0.2">
      <c r="A227" s="14" t="s">
        <v>18</v>
      </c>
      <c r="B227" s="212">
        <v>244034</v>
      </c>
      <c r="C227" s="14" t="s">
        <v>547</v>
      </c>
      <c r="D227" s="14" t="s">
        <v>268</v>
      </c>
      <c r="E227" s="14" t="s">
        <v>14</v>
      </c>
      <c r="F227" s="14" t="s">
        <v>324</v>
      </c>
      <c r="G227" s="179">
        <v>680226</v>
      </c>
      <c r="H227" s="176" t="s">
        <v>1366</v>
      </c>
      <c r="I227" s="176" t="s">
        <v>1370</v>
      </c>
      <c r="J227" s="176" t="s">
        <v>1371</v>
      </c>
      <c r="K227" s="176" t="s">
        <v>1375</v>
      </c>
      <c r="L227" s="40" t="s">
        <v>46</v>
      </c>
      <c r="M227" s="40" t="s">
        <v>341</v>
      </c>
      <c r="N227" s="14" t="s">
        <v>1382</v>
      </c>
      <c r="O227" s="14" t="s">
        <v>548</v>
      </c>
      <c r="P227" s="14" t="s">
        <v>717</v>
      </c>
      <c r="Q227" s="14" t="s">
        <v>549</v>
      </c>
      <c r="R227" s="17">
        <v>400</v>
      </c>
      <c r="S227" s="172" t="s">
        <v>51</v>
      </c>
      <c r="T227" s="17" t="s">
        <v>1390</v>
      </c>
      <c r="U227" s="14" t="s">
        <v>51</v>
      </c>
      <c r="V227" s="16">
        <f t="shared" si="42"/>
        <v>244034</v>
      </c>
      <c r="W227" s="16">
        <f t="shared" si="43"/>
        <v>244041</v>
      </c>
      <c r="X227" s="16">
        <f t="shared" si="44"/>
        <v>244036</v>
      </c>
      <c r="Y227" s="15"/>
      <c r="Z227" s="177"/>
      <c r="AA227" s="170"/>
      <c r="AB227" s="170"/>
      <c r="AC227" s="170"/>
      <c r="AD227" s="170"/>
      <c r="AE227" s="15"/>
      <c r="AF227" s="177"/>
      <c r="AG227" s="177">
        <f t="shared" si="37"/>
        <v>0</v>
      </c>
      <c r="AH227" s="177">
        <f t="shared" si="38"/>
        <v>0</v>
      </c>
      <c r="AK227" s="176"/>
      <c r="AL227" s="176"/>
    </row>
    <row r="228" spans="1:38" ht="36" customHeight="1" x14ac:dyDescent="0.2">
      <c r="A228" s="14" t="s">
        <v>18</v>
      </c>
      <c r="B228" s="212">
        <v>244034</v>
      </c>
      <c r="C228" s="14" t="s">
        <v>547</v>
      </c>
      <c r="D228" s="14" t="s">
        <v>268</v>
      </c>
      <c r="E228" s="14" t="s">
        <v>14</v>
      </c>
      <c r="F228" s="14" t="s">
        <v>324</v>
      </c>
      <c r="G228" s="179">
        <v>680227</v>
      </c>
      <c r="H228" s="176" t="s">
        <v>1187</v>
      </c>
      <c r="I228" s="176" t="s">
        <v>1189</v>
      </c>
      <c r="J228" s="176" t="s">
        <v>1210</v>
      </c>
      <c r="K228" s="176" t="s">
        <v>1376</v>
      </c>
      <c r="L228" s="40" t="s">
        <v>108</v>
      </c>
      <c r="M228" s="40" t="s">
        <v>341</v>
      </c>
      <c r="N228" s="14" t="s">
        <v>836</v>
      </c>
      <c r="O228" s="14" t="s">
        <v>548</v>
      </c>
      <c r="P228" s="14" t="s">
        <v>717</v>
      </c>
      <c r="Q228" s="14" t="s">
        <v>549</v>
      </c>
      <c r="R228" s="17">
        <v>130</v>
      </c>
      <c r="S228" s="172" t="s">
        <v>51</v>
      </c>
      <c r="T228" s="17">
        <v>2200</v>
      </c>
      <c r="U228" s="14" t="s">
        <v>51</v>
      </c>
      <c r="V228" s="16">
        <f t="shared" si="42"/>
        <v>244034</v>
      </c>
      <c r="W228" s="16">
        <f t="shared" si="43"/>
        <v>244041</v>
      </c>
      <c r="X228" s="16">
        <f t="shared" si="44"/>
        <v>244036</v>
      </c>
      <c r="Y228" s="15"/>
      <c r="Z228" s="177"/>
      <c r="AA228" s="170"/>
      <c r="AB228" s="170"/>
      <c r="AC228" s="170"/>
      <c r="AD228" s="170"/>
      <c r="AE228" s="15"/>
      <c r="AF228" s="177"/>
      <c r="AG228" s="177">
        <f t="shared" si="37"/>
        <v>0</v>
      </c>
      <c r="AH228" s="177">
        <f t="shared" si="38"/>
        <v>0</v>
      </c>
      <c r="AK228" s="176"/>
      <c r="AL228" s="176"/>
    </row>
    <row r="229" spans="1:38" ht="36" customHeight="1" x14ac:dyDescent="0.2">
      <c r="A229" s="14" t="s">
        <v>18</v>
      </c>
      <c r="B229" s="212">
        <v>244034</v>
      </c>
      <c r="C229" s="14" t="s">
        <v>547</v>
      </c>
      <c r="D229" s="14" t="s">
        <v>268</v>
      </c>
      <c r="E229" s="14" t="s">
        <v>14</v>
      </c>
      <c r="F229" s="14" t="s">
        <v>324</v>
      </c>
      <c r="G229" s="179">
        <v>680228</v>
      </c>
      <c r="H229" s="176" t="s">
        <v>1367</v>
      </c>
      <c r="I229" s="176" t="s">
        <v>1370</v>
      </c>
      <c r="J229" s="176" t="s">
        <v>1371</v>
      </c>
      <c r="K229" s="176" t="s">
        <v>1377</v>
      </c>
      <c r="L229" s="40" t="s">
        <v>46</v>
      </c>
      <c r="M229" s="40" t="s">
        <v>341</v>
      </c>
      <c r="N229" s="14" t="s">
        <v>1383</v>
      </c>
      <c r="O229" s="14" t="s">
        <v>548</v>
      </c>
      <c r="P229" s="14" t="s">
        <v>717</v>
      </c>
      <c r="Q229" s="14" t="s">
        <v>549</v>
      </c>
      <c r="R229" s="17">
        <v>354</v>
      </c>
      <c r="S229" s="172" t="s">
        <v>51</v>
      </c>
      <c r="T229" s="17" t="s">
        <v>1391</v>
      </c>
      <c r="U229" s="14" t="s">
        <v>51</v>
      </c>
      <c r="V229" s="16">
        <f t="shared" si="42"/>
        <v>244034</v>
      </c>
      <c r="W229" s="16">
        <f t="shared" si="43"/>
        <v>244041</v>
      </c>
      <c r="X229" s="16">
        <f t="shared" si="44"/>
        <v>244036</v>
      </c>
      <c r="Y229" s="15"/>
      <c r="Z229" s="177"/>
      <c r="AA229" s="170"/>
      <c r="AB229" s="170"/>
      <c r="AC229" s="170"/>
      <c r="AD229" s="170"/>
      <c r="AE229" s="15"/>
      <c r="AF229" s="177"/>
      <c r="AG229" s="177">
        <f t="shared" si="37"/>
        <v>0</v>
      </c>
      <c r="AH229" s="177">
        <f t="shared" si="38"/>
        <v>0</v>
      </c>
      <c r="AK229" s="176"/>
      <c r="AL229" s="176"/>
    </row>
    <row r="230" spans="1:38" ht="36" customHeight="1" x14ac:dyDescent="0.2">
      <c r="A230" s="14" t="s">
        <v>18</v>
      </c>
      <c r="B230" s="212">
        <v>244034</v>
      </c>
      <c r="C230" s="14" t="s">
        <v>547</v>
      </c>
      <c r="D230" s="14" t="s">
        <v>268</v>
      </c>
      <c r="E230" s="14" t="s">
        <v>14</v>
      </c>
      <c r="F230" s="14" t="s">
        <v>324</v>
      </c>
      <c r="G230" s="179">
        <v>680229</v>
      </c>
      <c r="H230" s="176" t="s">
        <v>1368</v>
      </c>
      <c r="I230" s="176" t="s">
        <v>802</v>
      </c>
      <c r="J230" s="176" t="s">
        <v>128</v>
      </c>
      <c r="K230" s="176" t="s">
        <v>1378</v>
      </c>
      <c r="L230" s="40" t="s">
        <v>45</v>
      </c>
      <c r="M230" s="40" t="s">
        <v>341</v>
      </c>
      <c r="N230" s="14" t="s">
        <v>1384</v>
      </c>
      <c r="O230" s="14" t="s">
        <v>548</v>
      </c>
      <c r="P230" s="14" t="s">
        <v>717</v>
      </c>
      <c r="Q230" s="14" t="s">
        <v>549</v>
      </c>
      <c r="R230" s="17">
        <v>225</v>
      </c>
      <c r="S230" s="172" t="s">
        <v>51</v>
      </c>
      <c r="T230" s="17">
        <v>2313</v>
      </c>
      <c r="U230" s="14" t="s">
        <v>51</v>
      </c>
      <c r="V230" s="16">
        <f t="shared" si="42"/>
        <v>244034</v>
      </c>
      <c r="W230" s="16">
        <f t="shared" si="43"/>
        <v>244041</v>
      </c>
      <c r="X230" s="16">
        <f t="shared" si="44"/>
        <v>244036</v>
      </c>
      <c r="Y230" s="15"/>
      <c r="Z230" s="177"/>
      <c r="AA230" s="170"/>
      <c r="AB230" s="170"/>
      <c r="AC230" s="170"/>
      <c r="AD230" s="170"/>
      <c r="AE230" s="15"/>
      <c r="AF230" s="177"/>
      <c r="AG230" s="177">
        <f t="shared" si="37"/>
        <v>0</v>
      </c>
      <c r="AH230" s="177">
        <f t="shared" si="38"/>
        <v>0</v>
      </c>
      <c r="AK230" s="176"/>
      <c r="AL230" s="176"/>
    </row>
    <row r="231" spans="1:38" ht="36" customHeight="1" x14ac:dyDescent="0.2">
      <c r="A231" s="14" t="s">
        <v>18</v>
      </c>
      <c r="B231" s="212">
        <v>244034</v>
      </c>
      <c r="C231" s="14" t="s">
        <v>547</v>
      </c>
      <c r="D231" s="14" t="s">
        <v>268</v>
      </c>
      <c r="E231" s="14" t="s">
        <v>14</v>
      </c>
      <c r="F231" s="14" t="s">
        <v>324</v>
      </c>
      <c r="G231" s="179">
        <v>680230</v>
      </c>
      <c r="H231" s="176" t="s">
        <v>1368</v>
      </c>
      <c r="I231" s="176" t="s">
        <v>802</v>
      </c>
      <c r="J231" s="176" t="s">
        <v>128</v>
      </c>
      <c r="K231" s="176" t="s">
        <v>1378</v>
      </c>
      <c r="L231" s="40" t="s">
        <v>45</v>
      </c>
      <c r="M231" s="40" t="s">
        <v>341</v>
      </c>
      <c r="N231" s="14" t="s">
        <v>1385</v>
      </c>
      <c r="O231" s="14" t="s">
        <v>527</v>
      </c>
      <c r="P231" s="14" t="s">
        <v>1388</v>
      </c>
      <c r="Q231" s="14" t="s">
        <v>542</v>
      </c>
      <c r="R231" s="17">
        <v>258</v>
      </c>
      <c r="S231" s="172" t="s">
        <v>51</v>
      </c>
      <c r="T231" s="17">
        <v>2468</v>
      </c>
      <c r="U231" s="14" t="s">
        <v>51</v>
      </c>
      <c r="V231" s="16">
        <f t="shared" ref="V231:V294" si="45">B231</f>
        <v>244034</v>
      </c>
      <c r="W231" s="16">
        <f t="shared" ref="W231:W294" si="46">B231+7</f>
        <v>244041</v>
      </c>
      <c r="X231" s="16">
        <f t="shared" ref="X231:X294" si="47">V231+2</f>
        <v>244036</v>
      </c>
      <c r="Y231" s="15"/>
      <c r="Z231" s="177"/>
      <c r="AA231" s="170"/>
      <c r="AB231" s="170"/>
      <c r="AC231" s="170"/>
      <c r="AD231" s="170"/>
      <c r="AE231" s="15"/>
      <c r="AF231" s="177"/>
      <c r="AG231" s="177">
        <f t="shared" si="37"/>
        <v>0</v>
      </c>
      <c r="AH231" s="177">
        <f t="shared" si="38"/>
        <v>0</v>
      </c>
      <c r="AK231" s="176"/>
      <c r="AL231" s="176"/>
    </row>
    <row r="232" spans="1:38" ht="36" customHeight="1" x14ac:dyDescent="0.2">
      <c r="A232" s="14" t="s">
        <v>18</v>
      </c>
      <c r="B232" s="212">
        <v>244034</v>
      </c>
      <c r="C232" s="14" t="s">
        <v>547</v>
      </c>
      <c r="D232" s="14" t="s">
        <v>268</v>
      </c>
      <c r="E232" s="14" t="s">
        <v>14</v>
      </c>
      <c r="F232" s="14" t="s">
        <v>324</v>
      </c>
      <c r="G232" s="179">
        <v>680231</v>
      </c>
      <c r="H232" s="176" t="s">
        <v>1369</v>
      </c>
      <c r="I232" s="176" t="s">
        <v>514</v>
      </c>
      <c r="J232" s="176" t="s">
        <v>337</v>
      </c>
      <c r="K232" s="176" t="s">
        <v>1379</v>
      </c>
      <c r="L232" s="40" t="s">
        <v>106</v>
      </c>
      <c r="M232" s="40" t="s">
        <v>341</v>
      </c>
      <c r="N232" s="14" t="s">
        <v>1386</v>
      </c>
      <c r="O232" s="14" t="s">
        <v>1009</v>
      </c>
      <c r="P232" s="14" t="s">
        <v>1389</v>
      </c>
      <c r="Q232" s="14" t="s">
        <v>323</v>
      </c>
      <c r="R232" s="17">
        <v>425</v>
      </c>
      <c r="S232" s="172" t="s">
        <v>51</v>
      </c>
      <c r="T232" s="17">
        <v>933</v>
      </c>
      <c r="U232" s="14" t="s">
        <v>51</v>
      </c>
      <c r="V232" s="16">
        <f t="shared" si="45"/>
        <v>244034</v>
      </c>
      <c r="W232" s="16">
        <f t="shared" si="46"/>
        <v>244041</v>
      </c>
      <c r="X232" s="16">
        <f t="shared" si="47"/>
        <v>244036</v>
      </c>
      <c r="Y232" s="15"/>
      <c r="Z232" s="177"/>
      <c r="AA232" s="170"/>
      <c r="AB232" s="170"/>
      <c r="AC232" s="170"/>
      <c r="AD232" s="170"/>
      <c r="AE232" s="15"/>
      <c r="AF232" s="177"/>
      <c r="AG232" s="177">
        <f t="shared" si="37"/>
        <v>0</v>
      </c>
      <c r="AH232" s="177">
        <f t="shared" si="38"/>
        <v>0</v>
      </c>
      <c r="AK232" s="176"/>
      <c r="AL232" s="176"/>
    </row>
    <row r="233" spans="1:38" ht="36" customHeight="1" x14ac:dyDescent="0.2">
      <c r="A233" s="14" t="s">
        <v>18</v>
      </c>
      <c r="B233" s="212">
        <v>244035</v>
      </c>
      <c r="C233" s="14" t="s">
        <v>547</v>
      </c>
      <c r="D233" s="14" t="s">
        <v>268</v>
      </c>
      <c r="E233" s="14" t="s">
        <v>14</v>
      </c>
      <c r="F233" s="14" t="s">
        <v>324</v>
      </c>
      <c r="G233" s="179">
        <v>680232</v>
      </c>
      <c r="H233" s="176" t="s">
        <v>1392</v>
      </c>
      <c r="I233" s="176" t="s">
        <v>724</v>
      </c>
      <c r="J233" s="176" t="s">
        <v>726</v>
      </c>
      <c r="K233" s="176" t="s">
        <v>1395</v>
      </c>
      <c r="L233" s="40" t="s">
        <v>108</v>
      </c>
      <c r="M233" s="40" t="s">
        <v>341</v>
      </c>
      <c r="N233" s="14" t="s">
        <v>1397</v>
      </c>
      <c r="O233" s="14" t="s">
        <v>1399</v>
      </c>
      <c r="P233" s="14" t="s">
        <v>1400</v>
      </c>
      <c r="Q233" s="14" t="s">
        <v>1401</v>
      </c>
      <c r="R233" s="17">
        <v>200</v>
      </c>
      <c r="S233" s="172" t="s">
        <v>51</v>
      </c>
      <c r="T233" s="17">
        <v>2320</v>
      </c>
      <c r="U233" s="14" t="s">
        <v>51</v>
      </c>
      <c r="V233" s="16">
        <f t="shared" si="45"/>
        <v>244035</v>
      </c>
      <c r="W233" s="16">
        <f t="shared" si="46"/>
        <v>244042</v>
      </c>
      <c r="X233" s="16">
        <f t="shared" si="47"/>
        <v>244037</v>
      </c>
      <c r="Y233" s="15"/>
      <c r="Z233" s="177"/>
      <c r="AA233" s="170"/>
      <c r="AB233" s="170"/>
      <c r="AC233" s="170"/>
      <c r="AD233" s="170"/>
      <c r="AE233" s="15"/>
      <c r="AF233" s="177"/>
      <c r="AG233" s="177">
        <f t="shared" si="37"/>
        <v>0</v>
      </c>
      <c r="AH233" s="177">
        <f t="shared" si="38"/>
        <v>0</v>
      </c>
      <c r="AK233" s="176"/>
      <c r="AL233" s="176"/>
    </row>
    <row r="234" spans="1:38" ht="36" customHeight="1" x14ac:dyDescent="0.2">
      <c r="A234" s="14" t="s">
        <v>18</v>
      </c>
      <c r="B234" s="212">
        <v>244035</v>
      </c>
      <c r="C234" s="14" t="s">
        <v>547</v>
      </c>
      <c r="D234" s="14" t="s">
        <v>268</v>
      </c>
      <c r="E234" s="14" t="s">
        <v>14</v>
      </c>
      <c r="F234" s="14" t="s">
        <v>324</v>
      </c>
      <c r="G234" s="179">
        <v>680233</v>
      </c>
      <c r="H234" s="176" t="s">
        <v>1393</v>
      </c>
      <c r="I234" s="176" t="s">
        <v>551</v>
      </c>
      <c r="J234" s="176" t="s">
        <v>1394</v>
      </c>
      <c r="K234" s="176" t="s">
        <v>1396</v>
      </c>
      <c r="L234" s="40" t="s">
        <v>106</v>
      </c>
      <c r="M234" s="40" t="s">
        <v>341</v>
      </c>
      <c r="N234" s="14" t="s">
        <v>1398</v>
      </c>
      <c r="O234" s="14" t="s">
        <v>552</v>
      </c>
      <c r="P234" s="14" t="s">
        <v>793</v>
      </c>
      <c r="Q234" s="14" t="s">
        <v>553</v>
      </c>
      <c r="R234" s="17">
        <v>375</v>
      </c>
      <c r="S234" s="172" t="s">
        <v>51</v>
      </c>
      <c r="T234" s="17">
        <v>2810</v>
      </c>
      <c r="U234" s="14" t="s">
        <v>51</v>
      </c>
      <c r="V234" s="16">
        <f t="shared" si="45"/>
        <v>244035</v>
      </c>
      <c r="W234" s="16">
        <f t="shared" si="46"/>
        <v>244042</v>
      </c>
      <c r="X234" s="16">
        <f t="shared" si="47"/>
        <v>244037</v>
      </c>
      <c r="Y234" s="15"/>
      <c r="Z234" s="177"/>
      <c r="AA234" s="170"/>
      <c r="AB234" s="170"/>
      <c r="AC234" s="170"/>
      <c r="AD234" s="170"/>
      <c r="AE234" s="15"/>
      <c r="AF234" s="177"/>
      <c r="AG234" s="177">
        <f t="shared" si="37"/>
        <v>0</v>
      </c>
      <c r="AH234" s="177">
        <f t="shared" si="38"/>
        <v>0</v>
      </c>
      <c r="AK234" s="176"/>
      <c r="AL234" s="176"/>
    </row>
    <row r="235" spans="1:38" ht="36" customHeight="1" x14ac:dyDescent="0.2">
      <c r="A235" s="14" t="s">
        <v>18</v>
      </c>
      <c r="B235" s="212">
        <v>244036</v>
      </c>
      <c r="C235" s="14" t="s">
        <v>547</v>
      </c>
      <c r="D235" s="14" t="s">
        <v>268</v>
      </c>
      <c r="E235" s="14" t="s">
        <v>14</v>
      </c>
      <c r="F235" s="14" t="s">
        <v>324</v>
      </c>
      <c r="G235" s="179">
        <v>680234</v>
      </c>
      <c r="H235" s="176" t="s">
        <v>1402</v>
      </c>
      <c r="I235" s="176" t="s">
        <v>1407</v>
      </c>
      <c r="J235" s="176" t="s">
        <v>1410</v>
      </c>
      <c r="K235" s="176" t="s">
        <v>1413</v>
      </c>
      <c r="L235" s="40" t="s">
        <v>46</v>
      </c>
      <c r="M235" s="40" t="s">
        <v>341</v>
      </c>
      <c r="N235" s="14" t="s">
        <v>1419</v>
      </c>
      <c r="O235" s="14" t="s">
        <v>1426</v>
      </c>
      <c r="P235" s="14" t="s">
        <v>1429</v>
      </c>
      <c r="Q235" s="14" t="s">
        <v>1432</v>
      </c>
      <c r="R235" s="17">
        <v>675</v>
      </c>
      <c r="S235" s="172" t="s">
        <v>51</v>
      </c>
      <c r="T235" s="17">
        <v>1400</v>
      </c>
      <c r="U235" s="14" t="s">
        <v>51</v>
      </c>
      <c r="V235" s="16">
        <f t="shared" si="45"/>
        <v>244036</v>
      </c>
      <c r="W235" s="16">
        <f t="shared" si="46"/>
        <v>244043</v>
      </c>
      <c r="X235" s="16">
        <f t="shared" si="47"/>
        <v>244038</v>
      </c>
      <c r="Y235" s="15"/>
      <c r="Z235" s="177"/>
      <c r="AA235" s="170"/>
      <c r="AB235" s="170"/>
      <c r="AC235" s="170"/>
      <c r="AD235" s="170"/>
      <c r="AE235" s="15"/>
      <c r="AF235" s="177"/>
      <c r="AG235" s="177">
        <f t="shared" si="37"/>
        <v>0</v>
      </c>
      <c r="AH235" s="177">
        <f t="shared" si="38"/>
        <v>0</v>
      </c>
      <c r="AK235" s="176"/>
      <c r="AL235" s="176"/>
    </row>
    <row r="236" spans="1:38" ht="36" customHeight="1" x14ac:dyDescent="0.2">
      <c r="A236" s="14" t="s">
        <v>18</v>
      </c>
      <c r="B236" s="212">
        <v>244036</v>
      </c>
      <c r="C236" s="14" t="s">
        <v>547</v>
      </c>
      <c r="D236" s="14" t="s">
        <v>268</v>
      </c>
      <c r="E236" s="14" t="s">
        <v>14</v>
      </c>
      <c r="F236" s="14" t="s">
        <v>324</v>
      </c>
      <c r="G236" s="179">
        <v>680235</v>
      </c>
      <c r="H236" s="176" t="s">
        <v>1403</v>
      </c>
      <c r="I236" s="176" t="s">
        <v>802</v>
      </c>
      <c r="J236" s="176" t="s">
        <v>131</v>
      </c>
      <c r="K236" s="176" t="s">
        <v>1414</v>
      </c>
      <c r="L236" s="40" t="s">
        <v>105</v>
      </c>
      <c r="M236" s="40" t="s">
        <v>341</v>
      </c>
      <c r="N236" s="14" t="s">
        <v>1420</v>
      </c>
      <c r="O236" s="14" t="s">
        <v>1427</v>
      </c>
      <c r="P236" s="14" t="s">
        <v>1431</v>
      </c>
      <c r="Q236" s="14" t="s">
        <v>1433</v>
      </c>
      <c r="R236" s="17" t="s">
        <v>931</v>
      </c>
      <c r="S236" s="172" t="s">
        <v>51</v>
      </c>
      <c r="T236" s="17">
        <v>1915</v>
      </c>
      <c r="U236" s="14" t="s">
        <v>51</v>
      </c>
      <c r="V236" s="16">
        <f t="shared" si="45"/>
        <v>244036</v>
      </c>
      <c r="W236" s="16">
        <f t="shared" si="46"/>
        <v>244043</v>
      </c>
      <c r="X236" s="16">
        <f t="shared" si="47"/>
        <v>244038</v>
      </c>
      <c r="Y236" s="15"/>
      <c r="Z236" s="177"/>
      <c r="AA236" s="170"/>
      <c r="AB236" s="170"/>
      <c r="AC236" s="170"/>
      <c r="AD236" s="170"/>
      <c r="AE236" s="15"/>
      <c r="AF236" s="177"/>
      <c r="AG236" s="177">
        <f t="shared" si="37"/>
        <v>0</v>
      </c>
      <c r="AH236" s="177">
        <f t="shared" si="38"/>
        <v>0</v>
      </c>
      <c r="AK236" s="176"/>
      <c r="AL236" s="176"/>
    </row>
    <row r="237" spans="1:38" ht="36" customHeight="1" x14ac:dyDescent="0.2">
      <c r="A237" s="14" t="s">
        <v>18</v>
      </c>
      <c r="B237" s="212">
        <v>244036</v>
      </c>
      <c r="C237" s="14" t="s">
        <v>547</v>
      </c>
      <c r="D237" s="14" t="s">
        <v>268</v>
      </c>
      <c r="E237" s="14" t="s">
        <v>14</v>
      </c>
      <c r="F237" s="14" t="s">
        <v>324</v>
      </c>
      <c r="G237" s="179">
        <v>680236</v>
      </c>
      <c r="H237" s="176" t="s">
        <v>1404</v>
      </c>
      <c r="I237" s="176" t="s">
        <v>612</v>
      </c>
      <c r="J237" s="176" t="s">
        <v>131</v>
      </c>
      <c r="K237" s="176" t="s">
        <v>1415</v>
      </c>
      <c r="L237" s="40" t="s">
        <v>105</v>
      </c>
      <c r="M237" s="40" t="s">
        <v>341</v>
      </c>
      <c r="N237" s="14" t="s">
        <v>1421</v>
      </c>
      <c r="O237" s="14" t="s">
        <v>1428</v>
      </c>
      <c r="P237" s="14" t="s">
        <v>1430</v>
      </c>
      <c r="Q237" s="14" t="s">
        <v>1434</v>
      </c>
      <c r="R237" s="17">
        <v>1050</v>
      </c>
      <c r="S237" s="172" t="s">
        <v>51</v>
      </c>
      <c r="T237" s="17">
        <v>1850</v>
      </c>
      <c r="U237" s="14" t="s">
        <v>51</v>
      </c>
      <c r="V237" s="16">
        <f t="shared" si="45"/>
        <v>244036</v>
      </c>
      <c r="W237" s="16">
        <f t="shared" si="46"/>
        <v>244043</v>
      </c>
      <c r="X237" s="16">
        <f t="shared" si="47"/>
        <v>244038</v>
      </c>
      <c r="Y237" s="15"/>
      <c r="Z237" s="177"/>
      <c r="AA237" s="170"/>
      <c r="AB237" s="170"/>
      <c r="AC237" s="170"/>
      <c r="AD237" s="170"/>
      <c r="AE237" s="15"/>
      <c r="AF237" s="177"/>
      <c r="AG237" s="177">
        <f t="shared" si="37"/>
        <v>0</v>
      </c>
      <c r="AH237" s="177">
        <f t="shared" si="38"/>
        <v>0</v>
      </c>
      <c r="AK237" s="176"/>
      <c r="AL237" s="176"/>
    </row>
    <row r="238" spans="1:38" ht="36" customHeight="1" x14ac:dyDescent="0.2">
      <c r="A238" s="14" t="s">
        <v>18</v>
      </c>
      <c r="B238" s="212">
        <v>244036</v>
      </c>
      <c r="C238" s="14" t="s">
        <v>547</v>
      </c>
      <c r="D238" s="14" t="s">
        <v>268</v>
      </c>
      <c r="E238" s="14" t="s">
        <v>14</v>
      </c>
      <c r="F238" s="14" t="s">
        <v>324</v>
      </c>
      <c r="G238" s="179">
        <v>680237</v>
      </c>
      <c r="H238" s="176" t="s">
        <v>1405</v>
      </c>
      <c r="I238" s="176" t="s">
        <v>1409</v>
      </c>
      <c r="J238" s="176" t="s">
        <v>1411</v>
      </c>
      <c r="K238" s="176" t="s">
        <v>1416</v>
      </c>
      <c r="L238" s="40" t="s">
        <v>106</v>
      </c>
      <c r="M238" s="40" t="s">
        <v>341</v>
      </c>
      <c r="N238" s="14" t="s">
        <v>1422</v>
      </c>
      <c r="O238" s="14" t="s">
        <v>543</v>
      </c>
      <c r="P238" s="14" t="s">
        <v>687</v>
      </c>
      <c r="Q238" s="14" t="s">
        <v>529</v>
      </c>
      <c r="R238" s="17">
        <v>250</v>
      </c>
      <c r="S238" s="172" t="s">
        <v>51</v>
      </c>
      <c r="T238" s="17">
        <v>2700</v>
      </c>
      <c r="U238" s="14" t="s">
        <v>51</v>
      </c>
      <c r="V238" s="16">
        <f t="shared" si="45"/>
        <v>244036</v>
      </c>
      <c r="W238" s="16">
        <f t="shared" si="46"/>
        <v>244043</v>
      </c>
      <c r="X238" s="16">
        <f t="shared" si="47"/>
        <v>244038</v>
      </c>
      <c r="Y238" s="15" t="s">
        <v>54</v>
      </c>
      <c r="Z238" s="177">
        <v>244040</v>
      </c>
      <c r="AA238" s="170"/>
      <c r="AB238" s="170"/>
      <c r="AC238" s="170"/>
      <c r="AD238" s="170"/>
      <c r="AE238" s="15" t="s">
        <v>54</v>
      </c>
      <c r="AF238" s="177">
        <v>244041</v>
      </c>
      <c r="AG238" s="177" t="str">
        <f t="shared" si="37"/>
        <v>Pass</v>
      </c>
      <c r="AH238" s="177">
        <f t="shared" si="38"/>
        <v>244041</v>
      </c>
      <c r="AK238" s="176"/>
      <c r="AL238" s="176"/>
    </row>
    <row r="239" spans="1:38" ht="36" customHeight="1" x14ac:dyDescent="0.2">
      <c r="A239" s="14" t="s">
        <v>18</v>
      </c>
      <c r="B239" s="212">
        <v>244036</v>
      </c>
      <c r="C239" s="14" t="s">
        <v>547</v>
      </c>
      <c r="D239" s="14" t="s">
        <v>268</v>
      </c>
      <c r="E239" s="14" t="s">
        <v>14</v>
      </c>
      <c r="F239" s="14" t="s">
        <v>324</v>
      </c>
      <c r="G239" s="179">
        <v>680238</v>
      </c>
      <c r="H239" s="176" t="s">
        <v>1405</v>
      </c>
      <c r="I239" s="176" t="s">
        <v>1409</v>
      </c>
      <c r="J239" s="176" t="s">
        <v>1411</v>
      </c>
      <c r="K239" s="176" t="s">
        <v>1416</v>
      </c>
      <c r="L239" s="40" t="s">
        <v>106</v>
      </c>
      <c r="M239" s="40" t="s">
        <v>341</v>
      </c>
      <c r="N239" s="14" t="s">
        <v>1423</v>
      </c>
      <c r="O239" s="14" t="s">
        <v>548</v>
      </c>
      <c r="P239" s="14" t="s">
        <v>518</v>
      </c>
      <c r="Q239" s="14" t="s">
        <v>549</v>
      </c>
      <c r="R239" s="17">
        <v>196</v>
      </c>
      <c r="S239" s="172" t="s">
        <v>51</v>
      </c>
      <c r="T239" s="17">
        <v>2600</v>
      </c>
      <c r="U239" s="14" t="s">
        <v>51</v>
      </c>
      <c r="V239" s="16">
        <f t="shared" si="45"/>
        <v>244036</v>
      </c>
      <c r="W239" s="16">
        <f t="shared" si="46"/>
        <v>244043</v>
      </c>
      <c r="X239" s="16">
        <f t="shared" si="47"/>
        <v>244038</v>
      </c>
      <c r="Y239" s="15" t="s">
        <v>54</v>
      </c>
      <c r="Z239" s="177">
        <v>244040</v>
      </c>
      <c r="AA239" s="170"/>
      <c r="AB239" s="170"/>
      <c r="AC239" s="170"/>
      <c r="AD239" s="170"/>
      <c r="AE239" s="15" t="s">
        <v>54</v>
      </c>
      <c r="AF239" s="177">
        <v>244041</v>
      </c>
      <c r="AG239" s="177" t="str">
        <f t="shared" si="37"/>
        <v>Pass</v>
      </c>
      <c r="AH239" s="177">
        <f t="shared" si="38"/>
        <v>244041</v>
      </c>
      <c r="AK239" s="176"/>
      <c r="AL239" s="176"/>
    </row>
    <row r="240" spans="1:38" ht="36" customHeight="1" x14ac:dyDescent="0.2">
      <c r="A240" s="14" t="s">
        <v>18</v>
      </c>
      <c r="B240" s="212">
        <v>244036</v>
      </c>
      <c r="C240" s="14" t="s">
        <v>547</v>
      </c>
      <c r="D240" s="14" t="s">
        <v>268</v>
      </c>
      <c r="E240" s="14" t="s">
        <v>14</v>
      </c>
      <c r="F240" s="14" t="s">
        <v>324</v>
      </c>
      <c r="G240" s="179">
        <v>680239</v>
      </c>
      <c r="H240" s="176" t="s">
        <v>1406</v>
      </c>
      <c r="I240" s="176" t="s">
        <v>1408</v>
      </c>
      <c r="J240" s="176" t="s">
        <v>1412</v>
      </c>
      <c r="K240" s="176" t="s">
        <v>1417</v>
      </c>
      <c r="L240" s="40" t="s">
        <v>45</v>
      </c>
      <c r="M240" s="40" t="s">
        <v>341</v>
      </c>
      <c r="N240" s="14" t="s">
        <v>1424</v>
      </c>
      <c r="O240" s="14" t="s">
        <v>548</v>
      </c>
      <c r="P240" s="14" t="s">
        <v>518</v>
      </c>
      <c r="Q240" s="14" t="s">
        <v>549</v>
      </c>
      <c r="R240" s="17">
        <v>159</v>
      </c>
      <c r="S240" s="172" t="s">
        <v>51</v>
      </c>
      <c r="T240" s="17">
        <v>2443</v>
      </c>
      <c r="U240" s="14" t="s">
        <v>51</v>
      </c>
      <c r="V240" s="16">
        <f t="shared" si="45"/>
        <v>244036</v>
      </c>
      <c r="W240" s="16">
        <f t="shared" si="46"/>
        <v>244043</v>
      </c>
      <c r="X240" s="16">
        <f t="shared" si="47"/>
        <v>244038</v>
      </c>
      <c r="Y240" s="15"/>
      <c r="Z240" s="177"/>
      <c r="AA240" s="170"/>
      <c r="AB240" s="170"/>
      <c r="AC240" s="170"/>
      <c r="AD240" s="170"/>
      <c r="AE240" s="15"/>
      <c r="AF240" s="177"/>
      <c r="AG240" s="177">
        <f t="shared" si="37"/>
        <v>0</v>
      </c>
      <c r="AH240" s="177">
        <f t="shared" si="38"/>
        <v>0</v>
      </c>
      <c r="AK240" s="176"/>
      <c r="AL240" s="176"/>
    </row>
    <row r="241" spans="1:38" ht="36" customHeight="1" x14ac:dyDescent="0.2">
      <c r="A241" s="14" t="s">
        <v>18</v>
      </c>
      <c r="B241" s="212">
        <v>244036</v>
      </c>
      <c r="C241" s="14" t="s">
        <v>547</v>
      </c>
      <c r="D241" s="14" t="s">
        <v>268</v>
      </c>
      <c r="E241" s="14" t="s">
        <v>14</v>
      </c>
      <c r="F241" s="14" t="s">
        <v>324</v>
      </c>
      <c r="G241" s="179">
        <v>680240</v>
      </c>
      <c r="H241" s="176" t="s">
        <v>1405</v>
      </c>
      <c r="I241" s="176" t="s">
        <v>1409</v>
      </c>
      <c r="J241" s="176" t="s">
        <v>1411</v>
      </c>
      <c r="K241" s="176" t="s">
        <v>1416</v>
      </c>
      <c r="L241" s="40" t="s">
        <v>106</v>
      </c>
      <c r="M241" s="40" t="s">
        <v>341</v>
      </c>
      <c r="N241" s="14" t="s">
        <v>1214</v>
      </c>
      <c r="O241" s="14" t="s">
        <v>548</v>
      </c>
      <c r="P241" s="14" t="s">
        <v>518</v>
      </c>
      <c r="Q241" s="14" t="s">
        <v>549</v>
      </c>
      <c r="R241" s="17">
        <v>150</v>
      </c>
      <c r="S241" s="172" t="s">
        <v>51</v>
      </c>
      <c r="T241" s="17">
        <v>2785</v>
      </c>
      <c r="U241" s="14" t="s">
        <v>51</v>
      </c>
      <c r="V241" s="16">
        <f t="shared" si="45"/>
        <v>244036</v>
      </c>
      <c r="W241" s="16">
        <f t="shared" si="46"/>
        <v>244043</v>
      </c>
      <c r="X241" s="16">
        <f t="shared" si="47"/>
        <v>244038</v>
      </c>
      <c r="Y241" s="15"/>
      <c r="Z241" s="177"/>
      <c r="AA241" s="170"/>
      <c r="AB241" s="170"/>
      <c r="AC241" s="170"/>
      <c r="AD241" s="170"/>
      <c r="AE241" s="15"/>
      <c r="AF241" s="177"/>
      <c r="AG241" s="177">
        <f t="shared" si="37"/>
        <v>0</v>
      </c>
      <c r="AH241" s="177">
        <f t="shared" si="38"/>
        <v>0</v>
      </c>
      <c r="AK241" s="176"/>
      <c r="AL241" s="176"/>
    </row>
    <row r="242" spans="1:38" ht="36" customHeight="1" x14ac:dyDescent="0.2">
      <c r="A242" s="14" t="s">
        <v>18</v>
      </c>
      <c r="B242" s="212">
        <v>244036</v>
      </c>
      <c r="C242" s="14" t="s">
        <v>547</v>
      </c>
      <c r="D242" s="14" t="s">
        <v>268</v>
      </c>
      <c r="E242" s="14" t="s">
        <v>14</v>
      </c>
      <c r="F242" s="14" t="s">
        <v>324</v>
      </c>
      <c r="G242" s="179">
        <v>680241</v>
      </c>
      <c r="H242" s="176" t="s">
        <v>886</v>
      </c>
      <c r="I242" s="176" t="s">
        <v>630</v>
      </c>
      <c r="J242" s="176" t="s">
        <v>821</v>
      </c>
      <c r="K242" s="176" t="s">
        <v>1418</v>
      </c>
      <c r="L242" s="40" t="s">
        <v>124</v>
      </c>
      <c r="M242" s="40" t="s">
        <v>341</v>
      </c>
      <c r="N242" s="14" t="s">
        <v>1425</v>
      </c>
      <c r="O242" s="14" t="s">
        <v>548</v>
      </c>
      <c r="P242" s="14" t="s">
        <v>518</v>
      </c>
      <c r="Q242" s="14" t="s">
        <v>549</v>
      </c>
      <c r="R242" s="17">
        <v>302</v>
      </c>
      <c r="S242" s="172" t="s">
        <v>51</v>
      </c>
      <c r="T242" s="17">
        <v>2632</v>
      </c>
      <c r="U242" s="14" t="s">
        <v>51</v>
      </c>
      <c r="V242" s="16">
        <f t="shared" si="45"/>
        <v>244036</v>
      </c>
      <c r="W242" s="16">
        <f t="shared" si="46"/>
        <v>244043</v>
      </c>
      <c r="X242" s="16">
        <f t="shared" si="47"/>
        <v>244038</v>
      </c>
      <c r="Y242" s="15"/>
      <c r="Z242" s="177"/>
      <c r="AA242" s="170"/>
      <c r="AB242" s="170"/>
      <c r="AC242" s="170"/>
      <c r="AD242" s="170"/>
      <c r="AE242" s="15"/>
      <c r="AF242" s="177"/>
      <c r="AG242" s="177">
        <f t="shared" si="37"/>
        <v>0</v>
      </c>
      <c r="AH242" s="177">
        <f t="shared" si="38"/>
        <v>0</v>
      </c>
      <c r="AK242" s="176"/>
      <c r="AL242" s="176"/>
    </row>
    <row r="243" spans="1:38" ht="36" customHeight="1" x14ac:dyDescent="0.2">
      <c r="A243" s="14" t="s">
        <v>18</v>
      </c>
      <c r="B243" s="212">
        <v>244038</v>
      </c>
      <c r="C243" s="14" t="s">
        <v>547</v>
      </c>
      <c r="D243" s="14" t="s">
        <v>268</v>
      </c>
      <c r="E243" s="14" t="s">
        <v>14</v>
      </c>
      <c r="F243" s="14" t="s">
        <v>324</v>
      </c>
      <c r="G243" s="179">
        <v>680242</v>
      </c>
      <c r="H243" s="176" t="s">
        <v>886</v>
      </c>
      <c r="I243" s="176" t="s">
        <v>630</v>
      </c>
      <c r="J243" s="176" t="s">
        <v>821</v>
      </c>
      <c r="K243" s="176" t="s">
        <v>1418</v>
      </c>
      <c r="L243" s="40" t="s">
        <v>124</v>
      </c>
      <c r="M243" s="40" t="s">
        <v>341</v>
      </c>
      <c r="N243" s="14" t="s">
        <v>1441</v>
      </c>
      <c r="O243" s="14" t="s">
        <v>548</v>
      </c>
      <c r="P243" s="14" t="s">
        <v>518</v>
      </c>
      <c r="Q243" s="14" t="s">
        <v>549</v>
      </c>
      <c r="R243" s="17">
        <v>132</v>
      </c>
      <c r="S243" s="172" t="s">
        <v>51</v>
      </c>
      <c r="T243" s="17">
        <v>2140</v>
      </c>
      <c r="U243" s="14" t="s">
        <v>51</v>
      </c>
      <c r="V243" s="16">
        <f t="shared" si="45"/>
        <v>244038</v>
      </c>
      <c r="W243" s="16">
        <f t="shared" si="46"/>
        <v>244045</v>
      </c>
      <c r="X243" s="16">
        <f t="shared" si="47"/>
        <v>244040</v>
      </c>
      <c r="Y243" s="15"/>
      <c r="Z243" s="177"/>
      <c r="AA243" s="170"/>
      <c r="AB243" s="170"/>
      <c r="AC243" s="170"/>
      <c r="AD243" s="170"/>
      <c r="AE243" s="15"/>
      <c r="AF243" s="177"/>
      <c r="AG243" s="177">
        <f t="shared" ref="AG243:AG300" si="48">AE243</f>
        <v>0</v>
      </c>
      <c r="AH243" s="177">
        <f t="shared" ref="AH243:AH300" si="49">AF243</f>
        <v>0</v>
      </c>
      <c r="AK243" s="176"/>
      <c r="AL243" s="176"/>
    </row>
    <row r="244" spans="1:38" ht="36" customHeight="1" x14ac:dyDescent="0.2">
      <c r="A244" s="14" t="s">
        <v>18</v>
      </c>
      <c r="B244" s="212">
        <v>244038</v>
      </c>
      <c r="C244" s="14" t="s">
        <v>547</v>
      </c>
      <c r="D244" s="14" t="s">
        <v>268</v>
      </c>
      <c r="E244" s="14" t="s">
        <v>14</v>
      </c>
      <c r="F244" s="14" t="s">
        <v>324</v>
      </c>
      <c r="G244" s="179">
        <v>680243</v>
      </c>
      <c r="H244" s="176" t="s">
        <v>1435</v>
      </c>
      <c r="I244" s="176" t="s">
        <v>1437</v>
      </c>
      <c r="J244" s="176" t="s">
        <v>1438</v>
      </c>
      <c r="K244" s="176" t="s">
        <v>1439</v>
      </c>
      <c r="L244" s="40" t="s">
        <v>45</v>
      </c>
      <c r="M244" s="40" t="s">
        <v>341</v>
      </c>
      <c r="N244" s="14" t="s">
        <v>1442</v>
      </c>
      <c r="O244" s="14" t="s">
        <v>543</v>
      </c>
      <c r="P244" s="14" t="s">
        <v>517</v>
      </c>
      <c r="Q244" s="14" t="s">
        <v>529</v>
      </c>
      <c r="R244" s="17">
        <v>500</v>
      </c>
      <c r="S244" s="172" t="s">
        <v>51</v>
      </c>
      <c r="T244" s="17">
        <v>1780</v>
      </c>
      <c r="U244" s="14" t="s">
        <v>51</v>
      </c>
      <c r="V244" s="16">
        <f t="shared" si="45"/>
        <v>244038</v>
      </c>
      <c r="W244" s="16">
        <f t="shared" si="46"/>
        <v>244045</v>
      </c>
      <c r="X244" s="16">
        <f t="shared" si="47"/>
        <v>244040</v>
      </c>
      <c r="Y244" s="15"/>
      <c r="Z244" s="177"/>
      <c r="AA244" s="170"/>
      <c r="AB244" s="170"/>
      <c r="AC244" s="170"/>
      <c r="AD244" s="170"/>
      <c r="AE244" s="15"/>
      <c r="AF244" s="177"/>
      <c r="AG244" s="177">
        <f t="shared" si="48"/>
        <v>0</v>
      </c>
      <c r="AH244" s="177">
        <f t="shared" si="49"/>
        <v>0</v>
      </c>
      <c r="AK244" s="176"/>
      <c r="AL244" s="176"/>
    </row>
    <row r="245" spans="1:38" ht="36" customHeight="1" x14ac:dyDescent="0.2">
      <c r="A245" s="14" t="s">
        <v>18</v>
      </c>
      <c r="B245" s="212">
        <v>244038</v>
      </c>
      <c r="C245" s="14" t="s">
        <v>547</v>
      </c>
      <c r="D245" s="14" t="s">
        <v>268</v>
      </c>
      <c r="E245" s="14" t="s">
        <v>14</v>
      </c>
      <c r="F245" s="14" t="s">
        <v>324</v>
      </c>
      <c r="G245" s="179">
        <v>680244</v>
      </c>
      <c r="H245" s="176" t="s">
        <v>1436</v>
      </c>
      <c r="I245" s="176" t="s">
        <v>630</v>
      </c>
      <c r="J245" s="176" t="s">
        <v>1190</v>
      </c>
      <c r="K245" s="176" t="s">
        <v>1440</v>
      </c>
      <c r="L245" s="40" t="s">
        <v>46</v>
      </c>
      <c r="M245" s="40" t="s">
        <v>341</v>
      </c>
      <c r="N245" s="14" t="s">
        <v>1443</v>
      </c>
      <c r="O245" s="14" t="s">
        <v>527</v>
      </c>
      <c r="P245" s="14" t="s">
        <v>1180</v>
      </c>
      <c r="Q245" s="14" t="s">
        <v>542</v>
      </c>
      <c r="R245" s="17">
        <v>275</v>
      </c>
      <c r="S245" s="172" t="s">
        <v>51</v>
      </c>
      <c r="T245" s="17">
        <v>1360</v>
      </c>
      <c r="U245" s="14" t="s">
        <v>51</v>
      </c>
      <c r="V245" s="16">
        <f t="shared" si="45"/>
        <v>244038</v>
      </c>
      <c r="W245" s="16">
        <f t="shared" si="46"/>
        <v>244045</v>
      </c>
      <c r="X245" s="16">
        <f t="shared" si="47"/>
        <v>244040</v>
      </c>
      <c r="Y245" s="15"/>
      <c r="Z245" s="177"/>
      <c r="AA245" s="170"/>
      <c r="AB245" s="170"/>
      <c r="AC245" s="170"/>
      <c r="AD245" s="170"/>
      <c r="AE245" s="15"/>
      <c r="AF245" s="177"/>
      <c r="AG245" s="177">
        <f t="shared" si="48"/>
        <v>0</v>
      </c>
      <c r="AH245" s="177">
        <f t="shared" si="49"/>
        <v>0</v>
      </c>
      <c r="AK245" s="176"/>
      <c r="AL245" s="176"/>
    </row>
    <row r="246" spans="1:38" ht="36" customHeight="1" x14ac:dyDescent="0.2">
      <c r="A246" s="14" t="s">
        <v>18</v>
      </c>
      <c r="B246" s="212">
        <v>244038</v>
      </c>
      <c r="C246" s="14" t="s">
        <v>547</v>
      </c>
      <c r="D246" s="14" t="s">
        <v>268</v>
      </c>
      <c r="E246" s="14" t="s">
        <v>14</v>
      </c>
      <c r="F246" s="14" t="s">
        <v>324</v>
      </c>
      <c r="G246" s="179">
        <v>680245</v>
      </c>
      <c r="H246" s="176" t="s">
        <v>1436</v>
      </c>
      <c r="I246" s="176" t="s">
        <v>630</v>
      </c>
      <c r="J246" s="176" t="s">
        <v>1190</v>
      </c>
      <c r="K246" s="176" t="s">
        <v>1440</v>
      </c>
      <c r="L246" s="40" t="s">
        <v>46</v>
      </c>
      <c r="M246" s="40" t="s">
        <v>341</v>
      </c>
      <c r="N246" s="14" t="s">
        <v>1444</v>
      </c>
      <c r="O246" s="14" t="s">
        <v>1178</v>
      </c>
      <c r="P246" s="14" t="s">
        <v>1447</v>
      </c>
      <c r="Q246" s="14" t="s">
        <v>1182</v>
      </c>
      <c r="R246" s="17">
        <v>690</v>
      </c>
      <c r="S246" s="172" t="s">
        <v>51</v>
      </c>
      <c r="T246" s="17" t="s">
        <v>1448</v>
      </c>
      <c r="U246" s="14" t="s">
        <v>51</v>
      </c>
      <c r="V246" s="16">
        <f t="shared" si="45"/>
        <v>244038</v>
      </c>
      <c r="W246" s="16">
        <f t="shared" si="46"/>
        <v>244045</v>
      </c>
      <c r="X246" s="16">
        <f t="shared" si="47"/>
        <v>244040</v>
      </c>
      <c r="Y246" s="15"/>
      <c r="Z246" s="177"/>
      <c r="AA246" s="170"/>
      <c r="AB246" s="170"/>
      <c r="AC246" s="170"/>
      <c r="AD246" s="170"/>
      <c r="AE246" s="15"/>
      <c r="AF246" s="177"/>
      <c r="AG246" s="177">
        <f t="shared" si="48"/>
        <v>0</v>
      </c>
      <c r="AH246" s="177">
        <f t="shared" si="49"/>
        <v>0</v>
      </c>
      <c r="AK246" s="176"/>
      <c r="AL246" s="176"/>
    </row>
    <row r="247" spans="1:38" ht="36" customHeight="1" x14ac:dyDescent="0.2">
      <c r="A247" s="14" t="s">
        <v>18</v>
      </c>
      <c r="B247" s="212">
        <v>244038</v>
      </c>
      <c r="C247" s="14" t="s">
        <v>547</v>
      </c>
      <c r="D247" s="14" t="s">
        <v>268</v>
      </c>
      <c r="E247" s="14" t="s">
        <v>14</v>
      </c>
      <c r="F247" s="14" t="s">
        <v>324</v>
      </c>
      <c r="G247" s="179">
        <v>680246</v>
      </c>
      <c r="H247" s="176" t="s">
        <v>1436</v>
      </c>
      <c r="I247" s="176" t="s">
        <v>630</v>
      </c>
      <c r="J247" s="176" t="s">
        <v>1190</v>
      </c>
      <c r="K247" s="176" t="s">
        <v>1440</v>
      </c>
      <c r="L247" s="40" t="s">
        <v>46</v>
      </c>
      <c r="M247" s="40" t="s">
        <v>341</v>
      </c>
      <c r="N247" s="14" t="s">
        <v>1445</v>
      </c>
      <c r="O247" s="14" t="s">
        <v>548</v>
      </c>
      <c r="P247" s="14" t="s">
        <v>818</v>
      </c>
      <c r="Q247" s="14" t="s">
        <v>549</v>
      </c>
      <c r="R247" s="17">
        <v>351</v>
      </c>
      <c r="S247" s="172" t="s">
        <v>51</v>
      </c>
      <c r="T247" s="17">
        <v>2050</v>
      </c>
      <c r="U247" s="14" t="s">
        <v>51</v>
      </c>
      <c r="V247" s="16">
        <f t="shared" si="45"/>
        <v>244038</v>
      </c>
      <c r="W247" s="16">
        <f t="shared" si="46"/>
        <v>244045</v>
      </c>
      <c r="X247" s="16">
        <f t="shared" si="47"/>
        <v>244040</v>
      </c>
      <c r="Y247" s="15"/>
      <c r="Z247" s="177"/>
      <c r="AA247" s="170"/>
      <c r="AB247" s="170"/>
      <c r="AC247" s="170"/>
      <c r="AD247" s="170"/>
      <c r="AE247" s="15"/>
      <c r="AF247" s="177"/>
      <c r="AG247" s="177">
        <f t="shared" si="48"/>
        <v>0</v>
      </c>
      <c r="AH247" s="177">
        <f t="shared" si="49"/>
        <v>0</v>
      </c>
      <c r="AK247" s="176"/>
      <c r="AL247" s="176"/>
    </row>
    <row r="248" spans="1:38" ht="36" customHeight="1" x14ac:dyDescent="0.2">
      <c r="A248" s="14" t="s">
        <v>18</v>
      </c>
      <c r="B248" s="212">
        <v>244038</v>
      </c>
      <c r="C248" s="14" t="s">
        <v>547</v>
      </c>
      <c r="D248" s="14" t="s">
        <v>268</v>
      </c>
      <c r="E248" s="14" t="s">
        <v>14</v>
      </c>
      <c r="F248" s="14" t="s">
        <v>324</v>
      </c>
      <c r="G248" s="179">
        <v>680247</v>
      </c>
      <c r="H248" s="176" t="s">
        <v>886</v>
      </c>
      <c r="I248" s="176" t="s">
        <v>630</v>
      </c>
      <c r="J248" s="176" t="s">
        <v>821</v>
      </c>
      <c r="K248" s="176" t="s">
        <v>1418</v>
      </c>
      <c r="L248" s="40" t="s">
        <v>124</v>
      </c>
      <c r="M248" s="40" t="s">
        <v>341</v>
      </c>
      <c r="N248" s="14" t="s">
        <v>1446</v>
      </c>
      <c r="O248" s="14" t="s">
        <v>548</v>
      </c>
      <c r="P248" s="14" t="s">
        <v>717</v>
      </c>
      <c r="Q248" s="14" t="s">
        <v>549</v>
      </c>
      <c r="R248" s="17">
        <v>217</v>
      </c>
      <c r="S248" s="172" t="s">
        <v>51</v>
      </c>
      <c r="T248" s="17">
        <v>2554</v>
      </c>
      <c r="U248" s="14" t="s">
        <v>51</v>
      </c>
      <c r="V248" s="16">
        <f t="shared" si="45"/>
        <v>244038</v>
      </c>
      <c r="W248" s="16">
        <f t="shared" si="46"/>
        <v>244045</v>
      </c>
      <c r="X248" s="16">
        <f t="shared" si="47"/>
        <v>244040</v>
      </c>
      <c r="Y248" s="15"/>
      <c r="Z248" s="177"/>
      <c r="AA248" s="170"/>
      <c r="AB248" s="170"/>
      <c r="AC248" s="170"/>
      <c r="AD248" s="170"/>
      <c r="AE248" s="15"/>
      <c r="AF248" s="177"/>
      <c r="AG248" s="177">
        <f t="shared" si="48"/>
        <v>0</v>
      </c>
      <c r="AH248" s="177">
        <f t="shared" si="49"/>
        <v>0</v>
      </c>
      <c r="AK248" s="176"/>
      <c r="AL248" s="176"/>
    </row>
    <row r="249" spans="1:38" ht="36" customHeight="1" x14ac:dyDescent="0.2">
      <c r="A249" s="14" t="s">
        <v>18</v>
      </c>
      <c r="B249" s="212">
        <v>244039</v>
      </c>
      <c r="C249" s="14" t="s">
        <v>547</v>
      </c>
      <c r="D249" s="14" t="s">
        <v>268</v>
      </c>
      <c r="E249" s="14" t="s">
        <v>14</v>
      </c>
      <c r="F249" s="14" t="s">
        <v>324</v>
      </c>
      <c r="G249" s="179">
        <v>680248</v>
      </c>
      <c r="H249" s="176" t="s">
        <v>1449</v>
      </c>
      <c r="I249" s="176" t="s">
        <v>550</v>
      </c>
      <c r="J249" s="176" t="s">
        <v>128</v>
      </c>
      <c r="K249" s="176" t="s">
        <v>1450</v>
      </c>
      <c r="L249" s="40" t="s">
        <v>45</v>
      </c>
      <c r="M249" s="40" t="s">
        <v>341</v>
      </c>
      <c r="N249" s="14" t="s">
        <v>1452</v>
      </c>
      <c r="O249" s="14" t="s">
        <v>528</v>
      </c>
      <c r="P249" s="14" t="s">
        <v>1152</v>
      </c>
      <c r="Q249" s="14" t="s">
        <v>541</v>
      </c>
      <c r="R249" s="17">
        <v>1100</v>
      </c>
      <c r="S249" s="172" t="s">
        <v>51</v>
      </c>
      <c r="T249" s="17">
        <v>2583</v>
      </c>
      <c r="U249" s="14" t="s">
        <v>51</v>
      </c>
      <c r="V249" s="16">
        <f t="shared" si="45"/>
        <v>244039</v>
      </c>
      <c r="W249" s="16">
        <f t="shared" si="46"/>
        <v>244046</v>
      </c>
      <c r="X249" s="16">
        <f t="shared" si="47"/>
        <v>244041</v>
      </c>
      <c r="Y249" s="15"/>
      <c r="Z249" s="177"/>
      <c r="AA249" s="170"/>
      <c r="AB249" s="170"/>
      <c r="AC249" s="170"/>
      <c r="AD249" s="170"/>
      <c r="AE249" s="15"/>
      <c r="AF249" s="177"/>
      <c r="AG249" s="177">
        <f t="shared" si="48"/>
        <v>0</v>
      </c>
      <c r="AH249" s="177">
        <f t="shared" si="49"/>
        <v>0</v>
      </c>
      <c r="AK249" s="176"/>
      <c r="AL249" s="176"/>
    </row>
    <row r="250" spans="1:38" ht="36" customHeight="1" x14ac:dyDescent="0.2">
      <c r="A250" s="14" t="s">
        <v>18</v>
      </c>
      <c r="B250" s="212">
        <v>244039</v>
      </c>
      <c r="C250" s="14" t="s">
        <v>547</v>
      </c>
      <c r="D250" s="14" t="s">
        <v>268</v>
      </c>
      <c r="E250" s="14" t="s">
        <v>14</v>
      </c>
      <c r="F250" s="14" t="s">
        <v>324</v>
      </c>
      <c r="G250" s="179">
        <v>680249</v>
      </c>
      <c r="H250" s="176" t="s">
        <v>1449</v>
      </c>
      <c r="I250" s="176" t="s">
        <v>550</v>
      </c>
      <c r="J250" s="176" t="s">
        <v>128</v>
      </c>
      <c r="K250" s="176" t="s">
        <v>1450</v>
      </c>
      <c r="L250" s="40" t="s">
        <v>45</v>
      </c>
      <c r="M250" s="40" t="s">
        <v>341</v>
      </c>
      <c r="N250" s="14" t="s">
        <v>733</v>
      </c>
      <c r="O250" s="14" t="s">
        <v>756</v>
      </c>
      <c r="P250" s="14" t="s">
        <v>517</v>
      </c>
      <c r="Q250" s="14" t="s">
        <v>758</v>
      </c>
      <c r="R250" s="17">
        <v>300</v>
      </c>
      <c r="S250" s="172" t="s">
        <v>51</v>
      </c>
      <c r="T250" s="17">
        <v>2413</v>
      </c>
      <c r="U250" s="14" t="s">
        <v>51</v>
      </c>
      <c r="V250" s="16">
        <f t="shared" si="45"/>
        <v>244039</v>
      </c>
      <c r="W250" s="16">
        <f t="shared" si="46"/>
        <v>244046</v>
      </c>
      <c r="X250" s="16">
        <f t="shared" si="47"/>
        <v>244041</v>
      </c>
      <c r="Y250" s="15"/>
      <c r="Z250" s="177"/>
      <c r="AA250" s="170"/>
      <c r="AB250" s="170"/>
      <c r="AC250" s="170"/>
      <c r="AD250" s="170"/>
      <c r="AE250" s="15"/>
      <c r="AF250" s="177"/>
      <c r="AG250" s="177">
        <f t="shared" si="48"/>
        <v>0</v>
      </c>
      <c r="AH250" s="177">
        <f t="shared" si="49"/>
        <v>0</v>
      </c>
      <c r="AK250" s="176"/>
      <c r="AL250" s="176"/>
    </row>
    <row r="251" spans="1:38" ht="36" customHeight="1" x14ac:dyDescent="0.2">
      <c r="A251" s="14" t="s">
        <v>18</v>
      </c>
      <c r="B251" s="212">
        <v>244039</v>
      </c>
      <c r="C251" s="14" t="s">
        <v>547</v>
      </c>
      <c r="D251" s="14" t="s">
        <v>268</v>
      </c>
      <c r="E251" s="14" t="s">
        <v>14</v>
      </c>
      <c r="F251" s="14" t="s">
        <v>324</v>
      </c>
      <c r="G251" s="179">
        <v>680250</v>
      </c>
      <c r="H251" s="176" t="s">
        <v>1279</v>
      </c>
      <c r="I251" s="176" t="s">
        <v>550</v>
      </c>
      <c r="J251" s="176" t="s">
        <v>128</v>
      </c>
      <c r="K251" s="176" t="s">
        <v>1451</v>
      </c>
      <c r="L251" s="40" t="s">
        <v>45</v>
      </c>
      <c r="M251" s="40" t="s">
        <v>341</v>
      </c>
      <c r="N251" s="14" t="s">
        <v>1453</v>
      </c>
      <c r="O251" s="14" t="s">
        <v>1454</v>
      </c>
      <c r="P251" s="14" t="s">
        <v>1455</v>
      </c>
      <c r="Q251" s="14" t="s">
        <v>1456</v>
      </c>
      <c r="R251" s="17">
        <v>350</v>
      </c>
      <c r="S251" s="172" t="s">
        <v>51</v>
      </c>
      <c r="T251" s="17">
        <v>1950</v>
      </c>
      <c r="U251" s="14" t="s">
        <v>51</v>
      </c>
      <c r="V251" s="16">
        <f t="shared" si="45"/>
        <v>244039</v>
      </c>
      <c r="W251" s="16">
        <f t="shared" si="46"/>
        <v>244046</v>
      </c>
      <c r="X251" s="16">
        <f t="shared" si="47"/>
        <v>244041</v>
      </c>
      <c r="Y251" s="15"/>
      <c r="Z251" s="177"/>
      <c r="AA251" s="170"/>
      <c r="AB251" s="170"/>
      <c r="AC251" s="170"/>
      <c r="AD251" s="170"/>
      <c r="AE251" s="15"/>
      <c r="AF251" s="177"/>
      <c r="AG251" s="177">
        <f t="shared" si="48"/>
        <v>0</v>
      </c>
      <c r="AH251" s="177">
        <f t="shared" si="49"/>
        <v>0</v>
      </c>
      <c r="AK251" s="176"/>
      <c r="AL251" s="176"/>
    </row>
    <row r="252" spans="1:38" ht="36" customHeight="1" x14ac:dyDescent="0.2">
      <c r="A252" s="14" t="s">
        <v>18</v>
      </c>
      <c r="B252" s="212">
        <v>244040</v>
      </c>
      <c r="C252" s="14" t="s">
        <v>547</v>
      </c>
      <c r="D252" s="14" t="s">
        <v>268</v>
      </c>
      <c r="E252" s="14" t="s">
        <v>14</v>
      </c>
      <c r="F252" s="14" t="s">
        <v>324</v>
      </c>
      <c r="G252" s="179">
        <v>680251</v>
      </c>
      <c r="H252" s="176" t="s">
        <v>1162</v>
      </c>
      <c r="I252" s="176" t="s">
        <v>630</v>
      </c>
      <c r="J252" s="176" t="s">
        <v>1190</v>
      </c>
      <c r="K252" s="176" t="s">
        <v>1458</v>
      </c>
      <c r="L252" s="40" t="s">
        <v>46</v>
      </c>
      <c r="M252" s="40" t="s">
        <v>341</v>
      </c>
      <c r="N252" s="14" t="s">
        <v>1461</v>
      </c>
      <c r="O252" s="14" t="s">
        <v>552</v>
      </c>
      <c r="P252" s="14" t="s">
        <v>519</v>
      </c>
      <c r="Q252" s="14" t="s">
        <v>553</v>
      </c>
      <c r="R252" s="17">
        <v>820</v>
      </c>
      <c r="S252" s="172" t="s">
        <v>51</v>
      </c>
      <c r="T252" s="17">
        <v>2080</v>
      </c>
      <c r="U252" s="14" t="s">
        <v>51</v>
      </c>
      <c r="V252" s="16">
        <f t="shared" si="45"/>
        <v>244040</v>
      </c>
      <c r="W252" s="16">
        <f t="shared" si="46"/>
        <v>244047</v>
      </c>
      <c r="X252" s="16">
        <f t="shared" si="47"/>
        <v>244042</v>
      </c>
      <c r="Y252" s="15"/>
      <c r="Z252" s="177"/>
      <c r="AA252" s="170"/>
      <c r="AB252" s="170"/>
      <c r="AC252" s="170"/>
      <c r="AD252" s="170"/>
      <c r="AE252" s="15"/>
      <c r="AF252" s="177"/>
      <c r="AG252" s="177">
        <f t="shared" si="48"/>
        <v>0</v>
      </c>
      <c r="AH252" s="177">
        <f t="shared" si="49"/>
        <v>0</v>
      </c>
      <c r="AK252" s="176"/>
      <c r="AL252" s="176"/>
    </row>
    <row r="253" spans="1:38" ht="36" customHeight="1" x14ac:dyDescent="0.2">
      <c r="A253" s="14" t="s">
        <v>18</v>
      </c>
      <c r="B253" s="212">
        <v>244040</v>
      </c>
      <c r="C253" s="14" t="s">
        <v>547</v>
      </c>
      <c r="D253" s="14" t="s">
        <v>268</v>
      </c>
      <c r="E253" s="14" t="s">
        <v>14</v>
      </c>
      <c r="F253" s="14" t="s">
        <v>324</v>
      </c>
      <c r="G253" s="179">
        <v>680252</v>
      </c>
      <c r="H253" s="176" t="s">
        <v>1457</v>
      </c>
      <c r="I253" s="176" t="s">
        <v>551</v>
      </c>
      <c r="J253" s="176" t="s">
        <v>596</v>
      </c>
      <c r="K253" s="176" t="s">
        <v>1459</v>
      </c>
      <c r="L253" s="40" t="s">
        <v>108</v>
      </c>
      <c r="M253" s="40" t="s">
        <v>341</v>
      </c>
      <c r="N253" s="14" t="s">
        <v>1462</v>
      </c>
      <c r="O253" s="14" t="s">
        <v>552</v>
      </c>
      <c r="P253" s="14" t="s">
        <v>1467</v>
      </c>
      <c r="Q253" s="14" t="s">
        <v>553</v>
      </c>
      <c r="R253" s="17">
        <v>235</v>
      </c>
      <c r="S253" s="172" t="s">
        <v>51</v>
      </c>
      <c r="T253" s="17">
        <v>1400</v>
      </c>
      <c r="U253" s="14" t="s">
        <v>51</v>
      </c>
      <c r="V253" s="16">
        <f t="shared" si="45"/>
        <v>244040</v>
      </c>
      <c r="W253" s="16">
        <f t="shared" si="46"/>
        <v>244047</v>
      </c>
      <c r="X253" s="16">
        <f t="shared" si="47"/>
        <v>244042</v>
      </c>
      <c r="Y253" s="15"/>
      <c r="Z253" s="177"/>
      <c r="AA253" s="170"/>
      <c r="AB253" s="170"/>
      <c r="AC253" s="170"/>
      <c r="AD253" s="170"/>
      <c r="AE253" s="15"/>
      <c r="AF253" s="177"/>
      <c r="AG253" s="177">
        <f t="shared" si="48"/>
        <v>0</v>
      </c>
      <c r="AH253" s="177">
        <f t="shared" si="49"/>
        <v>0</v>
      </c>
      <c r="AK253" s="176"/>
      <c r="AL253" s="176"/>
    </row>
    <row r="254" spans="1:38" ht="36" customHeight="1" x14ac:dyDescent="0.2">
      <c r="A254" s="14" t="s">
        <v>18</v>
      </c>
      <c r="B254" s="212">
        <v>244040</v>
      </c>
      <c r="C254" s="14" t="s">
        <v>547</v>
      </c>
      <c r="D254" s="14" t="s">
        <v>268</v>
      </c>
      <c r="E254" s="14" t="s">
        <v>14</v>
      </c>
      <c r="F254" s="14" t="s">
        <v>324</v>
      </c>
      <c r="G254" s="179">
        <v>680253</v>
      </c>
      <c r="H254" s="176" t="s">
        <v>1281</v>
      </c>
      <c r="I254" s="176" t="s">
        <v>550</v>
      </c>
      <c r="J254" s="176" t="s">
        <v>128</v>
      </c>
      <c r="K254" s="176" t="s">
        <v>1460</v>
      </c>
      <c r="L254" s="40" t="s">
        <v>106</v>
      </c>
      <c r="M254" s="40" t="s">
        <v>341</v>
      </c>
      <c r="N254" s="14" t="s">
        <v>1463</v>
      </c>
      <c r="O254" s="14" t="s">
        <v>548</v>
      </c>
      <c r="P254" s="14" t="s">
        <v>518</v>
      </c>
      <c r="Q254" s="14" t="s">
        <v>549</v>
      </c>
      <c r="R254" s="17">
        <v>121</v>
      </c>
      <c r="S254" s="172" t="s">
        <v>51</v>
      </c>
      <c r="T254" s="17">
        <v>890</v>
      </c>
      <c r="U254" s="14" t="s">
        <v>51</v>
      </c>
      <c r="V254" s="16">
        <f t="shared" si="45"/>
        <v>244040</v>
      </c>
      <c r="W254" s="16">
        <f t="shared" si="46"/>
        <v>244047</v>
      </c>
      <c r="X254" s="16">
        <f t="shared" si="47"/>
        <v>244042</v>
      </c>
      <c r="Y254" s="15"/>
      <c r="Z254" s="177"/>
      <c r="AA254" s="170"/>
      <c r="AB254" s="170"/>
      <c r="AC254" s="170"/>
      <c r="AD254" s="170"/>
      <c r="AE254" s="15"/>
      <c r="AF254" s="177"/>
      <c r="AG254" s="177">
        <f t="shared" si="48"/>
        <v>0</v>
      </c>
      <c r="AH254" s="177">
        <f t="shared" si="49"/>
        <v>0</v>
      </c>
      <c r="AK254" s="176"/>
      <c r="AL254" s="176"/>
    </row>
    <row r="255" spans="1:38" ht="36" customHeight="1" x14ac:dyDescent="0.2">
      <c r="A255" s="14" t="s">
        <v>18</v>
      </c>
      <c r="B255" s="212">
        <v>244040</v>
      </c>
      <c r="C255" s="14" t="s">
        <v>547</v>
      </c>
      <c r="D255" s="14" t="s">
        <v>268</v>
      </c>
      <c r="E255" s="14" t="s">
        <v>14</v>
      </c>
      <c r="F255" s="14" t="s">
        <v>324</v>
      </c>
      <c r="G255" s="179">
        <v>680254</v>
      </c>
      <c r="H255" s="176" t="s">
        <v>1162</v>
      </c>
      <c r="I255" s="176" t="s">
        <v>630</v>
      </c>
      <c r="J255" s="176" t="s">
        <v>1190</v>
      </c>
      <c r="K255" s="176" t="s">
        <v>1458</v>
      </c>
      <c r="L255" s="40" t="s">
        <v>46</v>
      </c>
      <c r="M255" s="40" t="s">
        <v>341</v>
      </c>
      <c r="N255" s="14" t="s">
        <v>1464</v>
      </c>
      <c r="O255" s="14" t="s">
        <v>953</v>
      </c>
      <c r="P255" s="14" t="s">
        <v>1468</v>
      </c>
      <c r="Q255" s="14" t="s">
        <v>956</v>
      </c>
      <c r="R255" s="17">
        <v>460</v>
      </c>
      <c r="S255" s="172" t="s">
        <v>51</v>
      </c>
      <c r="T255" s="17">
        <v>2050</v>
      </c>
      <c r="U255" s="14" t="s">
        <v>51</v>
      </c>
      <c r="V255" s="16">
        <f t="shared" si="45"/>
        <v>244040</v>
      </c>
      <c r="W255" s="16">
        <f t="shared" si="46"/>
        <v>244047</v>
      </c>
      <c r="X255" s="16">
        <f t="shared" si="47"/>
        <v>244042</v>
      </c>
      <c r="Y255" s="15"/>
      <c r="Z255" s="177"/>
      <c r="AA255" s="170"/>
      <c r="AB255" s="170"/>
      <c r="AC255" s="170"/>
      <c r="AD255" s="170"/>
      <c r="AE255" s="15"/>
      <c r="AF255" s="177"/>
      <c r="AG255" s="177">
        <f t="shared" si="48"/>
        <v>0</v>
      </c>
      <c r="AH255" s="177">
        <f t="shared" si="49"/>
        <v>0</v>
      </c>
      <c r="AK255" s="176"/>
      <c r="AL255" s="176"/>
    </row>
    <row r="256" spans="1:38" ht="36" customHeight="1" x14ac:dyDescent="0.2">
      <c r="A256" s="14" t="s">
        <v>18</v>
      </c>
      <c r="B256" s="212">
        <v>244040</v>
      </c>
      <c r="C256" s="14" t="s">
        <v>547</v>
      </c>
      <c r="D256" s="14" t="s">
        <v>268</v>
      </c>
      <c r="E256" s="14" t="s">
        <v>14</v>
      </c>
      <c r="F256" s="14" t="s">
        <v>324</v>
      </c>
      <c r="G256" s="179">
        <v>680255</v>
      </c>
      <c r="H256" s="176" t="s">
        <v>1162</v>
      </c>
      <c r="I256" s="176" t="s">
        <v>630</v>
      </c>
      <c r="J256" s="176" t="s">
        <v>1190</v>
      </c>
      <c r="K256" s="176" t="s">
        <v>1458</v>
      </c>
      <c r="L256" s="40" t="s">
        <v>46</v>
      </c>
      <c r="M256" s="40" t="s">
        <v>341</v>
      </c>
      <c r="N256" s="14" t="s">
        <v>1465</v>
      </c>
      <c r="O256" s="14" t="s">
        <v>548</v>
      </c>
      <c r="P256" s="14" t="s">
        <v>518</v>
      </c>
      <c r="Q256" s="14" t="s">
        <v>549</v>
      </c>
      <c r="R256" s="17">
        <v>205</v>
      </c>
      <c r="S256" s="172" t="s">
        <v>51</v>
      </c>
      <c r="T256" s="17">
        <v>2050</v>
      </c>
      <c r="U256" s="14" t="s">
        <v>51</v>
      </c>
      <c r="V256" s="16">
        <f t="shared" si="45"/>
        <v>244040</v>
      </c>
      <c r="W256" s="16">
        <f t="shared" si="46"/>
        <v>244047</v>
      </c>
      <c r="X256" s="16">
        <f t="shared" si="47"/>
        <v>244042</v>
      </c>
      <c r="Y256" s="15"/>
      <c r="Z256" s="177"/>
      <c r="AA256" s="170"/>
      <c r="AB256" s="170"/>
      <c r="AC256" s="170"/>
      <c r="AD256" s="170"/>
      <c r="AE256" s="15"/>
      <c r="AF256" s="177"/>
      <c r="AG256" s="177">
        <f t="shared" si="48"/>
        <v>0</v>
      </c>
      <c r="AH256" s="177">
        <f t="shared" si="49"/>
        <v>0</v>
      </c>
      <c r="AK256" s="176"/>
      <c r="AL256" s="176"/>
    </row>
    <row r="257" spans="1:38" ht="36" customHeight="1" x14ac:dyDescent="0.2">
      <c r="A257" s="14" t="s">
        <v>18</v>
      </c>
      <c r="B257" s="212">
        <v>244040</v>
      </c>
      <c r="C257" s="14" t="s">
        <v>547</v>
      </c>
      <c r="D257" s="14" t="s">
        <v>268</v>
      </c>
      <c r="E257" s="14" t="s">
        <v>14</v>
      </c>
      <c r="F257" s="14" t="s">
        <v>324</v>
      </c>
      <c r="G257" s="179">
        <v>680256</v>
      </c>
      <c r="H257" s="176" t="s">
        <v>1281</v>
      </c>
      <c r="I257" s="176" t="s">
        <v>550</v>
      </c>
      <c r="J257" s="176" t="s">
        <v>128</v>
      </c>
      <c r="K257" s="176" t="s">
        <v>1460</v>
      </c>
      <c r="L257" s="40" t="s">
        <v>106</v>
      </c>
      <c r="M257" s="40" t="s">
        <v>341</v>
      </c>
      <c r="N257" s="14" t="s">
        <v>1466</v>
      </c>
      <c r="O257" s="14" t="s">
        <v>756</v>
      </c>
      <c r="P257" s="14" t="s">
        <v>1246</v>
      </c>
      <c r="Q257" s="14" t="s">
        <v>758</v>
      </c>
      <c r="R257" s="17">
        <v>2300</v>
      </c>
      <c r="S257" s="172" t="s">
        <v>51</v>
      </c>
      <c r="T257" s="17">
        <v>2474</v>
      </c>
      <c r="U257" s="14" t="s">
        <v>51</v>
      </c>
      <c r="V257" s="16">
        <f t="shared" si="45"/>
        <v>244040</v>
      </c>
      <c r="W257" s="16">
        <f t="shared" si="46"/>
        <v>244047</v>
      </c>
      <c r="X257" s="16">
        <f t="shared" si="47"/>
        <v>244042</v>
      </c>
      <c r="Y257" s="15"/>
      <c r="Z257" s="177"/>
      <c r="AA257" s="170"/>
      <c r="AB257" s="170"/>
      <c r="AC257" s="170"/>
      <c r="AD257" s="170"/>
      <c r="AE257" s="15"/>
      <c r="AF257" s="177"/>
      <c r="AG257" s="177">
        <f t="shared" si="48"/>
        <v>0</v>
      </c>
      <c r="AH257" s="177">
        <f t="shared" si="49"/>
        <v>0</v>
      </c>
      <c r="AK257" s="176"/>
      <c r="AL257" s="176"/>
    </row>
    <row r="258" spans="1:38" ht="36" customHeight="1" x14ac:dyDescent="0.2">
      <c r="A258" s="14" t="s">
        <v>18</v>
      </c>
      <c r="B258" s="212">
        <v>244041</v>
      </c>
      <c r="C258" s="14" t="s">
        <v>547</v>
      </c>
      <c r="D258" s="14" t="s">
        <v>268</v>
      </c>
      <c r="E258" s="14" t="s">
        <v>14</v>
      </c>
      <c r="F258" s="14" t="s">
        <v>324</v>
      </c>
      <c r="G258" s="179">
        <v>680257</v>
      </c>
      <c r="H258" s="176" t="s">
        <v>1469</v>
      </c>
      <c r="I258" s="176" t="s">
        <v>802</v>
      </c>
      <c r="J258" s="176" t="s">
        <v>128</v>
      </c>
      <c r="K258" s="176" t="s">
        <v>1474</v>
      </c>
      <c r="L258" s="40" t="s">
        <v>45</v>
      </c>
      <c r="M258" s="40" t="s">
        <v>341</v>
      </c>
      <c r="N258" s="14" t="s">
        <v>1479</v>
      </c>
      <c r="O258" s="14" t="s">
        <v>1486</v>
      </c>
      <c r="P258" s="14" t="s">
        <v>1487</v>
      </c>
      <c r="Q258" s="14" t="s">
        <v>1491</v>
      </c>
      <c r="R258" s="17">
        <v>550</v>
      </c>
      <c r="S258" s="172" t="s">
        <v>51</v>
      </c>
      <c r="T258" s="17">
        <v>2485</v>
      </c>
      <c r="U258" s="14" t="s">
        <v>51</v>
      </c>
      <c r="V258" s="16">
        <f t="shared" si="45"/>
        <v>244041</v>
      </c>
      <c r="W258" s="16">
        <f t="shared" si="46"/>
        <v>244048</v>
      </c>
      <c r="X258" s="16">
        <f t="shared" si="47"/>
        <v>244043</v>
      </c>
      <c r="Y258" s="15"/>
      <c r="Z258" s="177"/>
      <c r="AA258" s="170"/>
      <c r="AB258" s="170"/>
      <c r="AC258" s="170"/>
      <c r="AD258" s="170"/>
      <c r="AE258" s="15"/>
      <c r="AF258" s="177"/>
      <c r="AG258" s="177">
        <f t="shared" si="48"/>
        <v>0</v>
      </c>
      <c r="AH258" s="177">
        <f t="shared" si="49"/>
        <v>0</v>
      </c>
      <c r="AK258" s="176"/>
      <c r="AL258" s="176"/>
    </row>
    <row r="259" spans="1:38" ht="36" customHeight="1" x14ac:dyDescent="0.2">
      <c r="A259" s="14" t="s">
        <v>18</v>
      </c>
      <c r="B259" s="212">
        <v>244041</v>
      </c>
      <c r="C259" s="14" t="s">
        <v>547</v>
      </c>
      <c r="D259" s="14" t="s">
        <v>268</v>
      </c>
      <c r="E259" s="14" t="s">
        <v>14</v>
      </c>
      <c r="F259" s="14" t="s">
        <v>324</v>
      </c>
      <c r="G259" s="179">
        <v>680258</v>
      </c>
      <c r="H259" s="176" t="s">
        <v>1185</v>
      </c>
      <c r="I259" s="176" t="s">
        <v>630</v>
      </c>
      <c r="J259" s="176" t="s">
        <v>1190</v>
      </c>
      <c r="K259" s="176" t="s">
        <v>1475</v>
      </c>
      <c r="L259" s="40" t="s">
        <v>46</v>
      </c>
      <c r="M259" s="40" t="s">
        <v>341</v>
      </c>
      <c r="N259" s="14" t="s">
        <v>1480</v>
      </c>
      <c r="O259" s="14" t="s">
        <v>552</v>
      </c>
      <c r="P259" s="14" t="s">
        <v>1205</v>
      </c>
      <c r="Q259" s="14" t="s">
        <v>519</v>
      </c>
      <c r="R259" s="17">
        <v>800</v>
      </c>
      <c r="S259" s="172" t="s">
        <v>51</v>
      </c>
      <c r="T259" s="17">
        <v>2130</v>
      </c>
      <c r="U259" s="14" t="s">
        <v>51</v>
      </c>
      <c r="V259" s="16">
        <f t="shared" si="45"/>
        <v>244041</v>
      </c>
      <c r="W259" s="16">
        <f t="shared" si="46"/>
        <v>244048</v>
      </c>
      <c r="X259" s="16">
        <f t="shared" si="47"/>
        <v>244043</v>
      </c>
      <c r="Y259" s="15"/>
      <c r="Z259" s="177"/>
      <c r="AA259" s="170"/>
      <c r="AB259" s="170"/>
      <c r="AC259" s="170"/>
      <c r="AD259" s="170"/>
      <c r="AE259" s="15"/>
      <c r="AF259" s="177"/>
      <c r="AG259" s="177">
        <f t="shared" si="48"/>
        <v>0</v>
      </c>
      <c r="AH259" s="177">
        <f t="shared" si="49"/>
        <v>0</v>
      </c>
      <c r="AK259" s="176"/>
      <c r="AL259" s="176"/>
    </row>
    <row r="260" spans="1:38" ht="36" customHeight="1" x14ac:dyDescent="0.2">
      <c r="A260" s="14" t="s">
        <v>18</v>
      </c>
      <c r="B260" s="212">
        <v>244041</v>
      </c>
      <c r="C260" s="14" t="s">
        <v>547</v>
      </c>
      <c r="D260" s="14" t="s">
        <v>268</v>
      </c>
      <c r="E260" s="14" t="s">
        <v>14</v>
      </c>
      <c r="F260" s="14" t="s">
        <v>324</v>
      </c>
      <c r="G260" s="179">
        <v>680259</v>
      </c>
      <c r="H260" s="176" t="s">
        <v>1470</v>
      </c>
      <c r="I260" s="176" t="s">
        <v>1472</v>
      </c>
      <c r="J260" s="176" t="s">
        <v>1473</v>
      </c>
      <c r="K260" s="176" t="s">
        <v>1476</v>
      </c>
      <c r="L260" s="40" t="s">
        <v>108</v>
      </c>
      <c r="M260" s="40" t="s">
        <v>341</v>
      </c>
      <c r="N260" s="14" t="s">
        <v>1481</v>
      </c>
      <c r="O260" s="14" t="s">
        <v>548</v>
      </c>
      <c r="P260" s="14" t="s">
        <v>518</v>
      </c>
      <c r="Q260" s="14" t="s">
        <v>717</v>
      </c>
      <c r="R260" s="17">
        <v>194</v>
      </c>
      <c r="S260" s="172" t="s">
        <v>51</v>
      </c>
      <c r="T260" s="17">
        <v>900</v>
      </c>
      <c r="U260" s="14" t="s">
        <v>51</v>
      </c>
      <c r="V260" s="16">
        <f t="shared" si="45"/>
        <v>244041</v>
      </c>
      <c r="W260" s="16">
        <f t="shared" si="46"/>
        <v>244048</v>
      </c>
      <c r="X260" s="16">
        <f t="shared" si="47"/>
        <v>244043</v>
      </c>
      <c r="Y260" s="15"/>
      <c r="Z260" s="177"/>
      <c r="AA260" s="170"/>
      <c r="AB260" s="170"/>
      <c r="AC260" s="170"/>
      <c r="AD260" s="170"/>
      <c r="AE260" s="15"/>
      <c r="AF260" s="177"/>
      <c r="AG260" s="177">
        <f t="shared" si="48"/>
        <v>0</v>
      </c>
      <c r="AH260" s="177">
        <f t="shared" si="49"/>
        <v>0</v>
      </c>
      <c r="AK260" s="176"/>
      <c r="AL260" s="176"/>
    </row>
    <row r="261" spans="1:38" ht="36" customHeight="1" x14ac:dyDescent="0.2">
      <c r="A261" s="14" t="s">
        <v>18</v>
      </c>
      <c r="B261" s="212">
        <v>244041</v>
      </c>
      <c r="C261" s="14" t="s">
        <v>547</v>
      </c>
      <c r="D261" s="14" t="s">
        <v>268</v>
      </c>
      <c r="E261" s="14" t="s">
        <v>14</v>
      </c>
      <c r="F261" s="14" t="s">
        <v>324</v>
      </c>
      <c r="G261" s="179">
        <v>680260</v>
      </c>
      <c r="H261" s="176" t="s">
        <v>1470</v>
      </c>
      <c r="I261" s="176" t="s">
        <v>1472</v>
      </c>
      <c r="J261" s="176" t="s">
        <v>1473</v>
      </c>
      <c r="K261" s="176" t="s">
        <v>1476</v>
      </c>
      <c r="L261" s="40" t="s">
        <v>108</v>
      </c>
      <c r="M261" s="40" t="s">
        <v>341</v>
      </c>
      <c r="N261" s="14" t="s">
        <v>1482</v>
      </c>
      <c r="O261" s="14" t="s">
        <v>552</v>
      </c>
      <c r="P261" s="14" t="s">
        <v>1489</v>
      </c>
      <c r="Q261" s="14" t="s">
        <v>1489</v>
      </c>
      <c r="R261" s="17">
        <v>818</v>
      </c>
      <c r="S261" s="172" t="s">
        <v>51</v>
      </c>
      <c r="T261" s="17">
        <v>900</v>
      </c>
      <c r="U261" s="14" t="s">
        <v>51</v>
      </c>
      <c r="V261" s="16">
        <f t="shared" si="45"/>
        <v>244041</v>
      </c>
      <c r="W261" s="16">
        <f t="shared" si="46"/>
        <v>244048</v>
      </c>
      <c r="X261" s="16">
        <f t="shared" si="47"/>
        <v>244043</v>
      </c>
      <c r="Y261" s="15"/>
      <c r="Z261" s="177"/>
      <c r="AA261" s="170"/>
      <c r="AB261" s="170"/>
      <c r="AC261" s="170"/>
      <c r="AD261" s="170"/>
      <c r="AE261" s="15"/>
      <c r="AF261" s="177"/>
      <c r="AG261" s="177">
        <f t="shared" si="48"/>
        <v>0</v>
      </c>
      <c r="AH261" s="177">
        <f t="shared" si="49"/>
        <v>0</v>
      </c>
      <c r="AK261" s="176"/>
      <c r="AL261" s="176"/>
    </row>
    <row r="262" spans="1:38" ht="36" customHeight="1" x14ac:dyDescent="0.2">
      <c r="A262" s="14" t="s">
        <v>18</v>
      </c>
      <c r="B262" s="212">
        <v>244041</v>
      </c>
      <c r="C262" s="14" t="s">
        <v>547</v>
      </c>
      <c r="D262" s="14" t="s">
        <v>268</v>
      </c>
      <c r="E262" s="14" t="s">
        <v>14</v>
      </c>
      <c r="F262" s="14" t="s">
        <v>324</v>
      </c>
      <c r="G262" s="179">
        <v>680261</v>
      </c>
      <c r="H262" s="176" t="s">
        <v>1185</v>
      </c>
      <c r="I262" s="176" t="s">
        <v>630</v>
      </c>
      <c r="J262" s="176" t="s">
        <v>1190</v>
      </c>
      <c r="K262" s="176" t="s">
        <v>1475</v>
      </c>
      <c r="L262" s="40" t="s">
        <v>46</v>
      </c>
      <c r="M262" s="40" t="s">
        <v>341</v>
      </c>
      <c r="N262" s="14" t="s">
        <v>1483</v>
      </c>
      <c r="O262" s="14" t="s">
        <v>552</v>
      </c>
      <c r="P262" s="14" t="s">
        <v>846</v>
      </c>
      <c r="Q262" s="14" t="s">
        <v>1492</v>
      </c>
      <c r="R262" s="17">
        <v>2800</v>
      </c>
      <c r="S262" s="172" t="s">
        <v>51</v>
      </c>
      <c r="T262" s="17">
        <v>2130</v>
      </c>
      <c r="U262" s="14" t="s">
        <v>51</v>
      </c>
      <c r="V262" s="16">
        <f t="shared" si="45"/>
        <v>244041</v>
      </c>
      <c r="W262" s="16">
        <f t="shared" si="46"/>
        <v>244048</v>
      </c>
      <c r="X262" s="16">
        <f t="shared" si="47"/>
        <v>244043</v>
      </c>
      <c r="Y262" s="15"/>
      <c r="Z262" s="177"/>
      <c r="AA262" s="170"/>
      <c r="AB262" s="170"/>
      <c r="AC262" s="170"/>
      <c r="AD262" s="170"/>
      <c r="AE262" s="15"/>
      <c r="AF262" s="177"/>
      <c r="AG262" s="177">
        <f t="shared" si="48"/>
        <v>0</v>
      </c>
      <c r="AH262" s="177">
        <f t="shared" si="49"/>
        <v>0</v>
      </c>
      <c r="AK262" s="176"/>
      <c r="AL262" s="176"/>
    </row>
    <row r="263" spans="1:38" ht="36" customHeight="1" x14ac:dyDescent="0.2">
      <c r="A263" s="14" t="s">
        <v>18</v>
      </c>
      <c r="B263" s="212">
        <v>244041</v>
      </c>
      <c r="C263" s="14" t="s">
        <v>547</v>
      </c>
      <c r="D263" s="14" t="s">
        <v>268</v>
      </c>
      <c r="E263" s="14" t="s">
        <v>14</v>
      </c>
      <c r="F263" s="14" t="s">
        <v>324</v>
      </c>
      <c r="G263" s="179">
        <v>680262</v>
      </c>
      <c r="H263" s="176" t="s">
        <v>1162</v>
      </c>
      <c r="I263" s="176" t="s">
        <v>630</v>
      </c>
      <c r="J263" s="176" t="s">
        <v>1190</v>
      </c>
      <c r="K263" s="176" t="s">
        <v>1458</v>
      </c>
      <c r="L263" s="40" t="s">
        <v>46</v>
      </c>
      <c r="M263" s="40" t="s">
        <v>341</v>
      </c>
      <c r="N263" s="14" t="s">
        <v>1484</v>
      </c>
      <c r="O263" s="14" t="s">
        <v>548</v>
      </c>
      <c r="P263" s="14" t="s">
        <v>518</v>
      </c>
      <c r="Q263" s="14" t="s">
        <v>717</v>
      </c>
      <c r="R263" s="17">
        <v>188</v>
      </c>
      <c r="S263" s="172" t="s">
        <v>51</v>
      </c>
      <c r="T263" s="17">
        <v>2125</v>
      </c>
      <c r="U263" s="14" t="s">
        <v>51</v>
      </c>
      <c r="V263" s="16">
        <f t="shared" si="45"/>
        <v>244041</v>
      </c>
      <c r="W263" s="16">
        <f t="shared" si="46"/>
        <v>244048</v>
      </c>
      <c r="X263" s="16">
        <f t="shared" si="47"/>
        <v>244043</v>
      </c>
      <c r="Y263" s="15"/>
      <c r="Z263" s="177"/>
      <c r="AA263" s="170"/>
      <c r="AB263" s="170"/>
      <c r="AC263" s="170"/>
      <c r="AD263" s="170"/>
      <c r="AE263" s="15"/>
      <c r="AF263" s="177"/>
      <c r="AG263" s="177">
        <f t="shared" si="48"/>
        <v>0</v>
      </c>
      <c r="AH263" s="177">
        <f t="shared" si="49"/>
        <v>0</v>
      </c>
      <c r="AK263" s="176"/>
      <c r="AL263" s="176"/>
    </row>
    <row r="264" spans="1:38" ht="36" customHeight="1" x14ac:dyDescent="0.2">
      <c r="A264" s="14" t="s">
        <v>18</v>
      </c>
      <c r="B264" s="212">
        <v>244041</v>
      </c>
      <c r="C264" s="14" t="s">
        <v>547</v>
      </c>
      <c r="D264" s="14" t="s">
        <v>268</v>
      </c>
      <c r="E264" s="14" t="s">
        <v>14</v>
      </c>
      <c r="F264" s="14" t="s">
        <v>324</v>
      </c>
      <c r="G264" s="179">
        <v>680263</v>
      </c>
      <c r="H264" s="176" t="s">
        <v>1471</v>
      </c>
      <c r="I264" s="176" t="s">
        <v>630</v>
      </c>
      <c r="J264" s="176" t="s">
        <v>1190</v>
      </c>
      <c r="K264" s="176" t="s">
        <v>1477</v>
      </c>
      <c r="L264" s="40" t="s">
        <v>46</v>
      </c>
      <c r="M264" s="40" t="s">
        <v>341</v>
      </c>
      <c r="N264" s="14" t="s">
        <v>1488</v>
      </c>
      <c r="O264" s="14" t="s">
        <v>543</v>
      </c>
      <c r="P264" s="14" t="s">
        <v>1490</v>
      </c>
      <c r="Q264" s="14" t="s">
        <v>1490</v>
      </c>
      <c r="R264" s="17">
        <v>260</v>
      </c>
      <c r="S264" s="172" t="s">
        <v>51</v>
      </c>
      <c r="T264" s="17">
        <v>2125</v>
      </c>
      <c r="U264" s="14" t="s">
        <v>51</v>
      </c>
      <c r="V264" s="16">
        <f t="shared" si="45"/>
        <v>244041</v>
      </c>
      <c r="W264" s="16">
        <f t="shared" si="46"/>
        <v>244048</v>
      </c>
      <c r="X264" s="16">
        <f t="shared" si="47"/>
        <v>244043</v>
      </c>
      <c r="Y264" s="15"/>
      <c r="Z264" s="177"/>
      <c r="AA264" s="170"/>
      <c r="AB264" s="170"/>
      <c r="AC264" s="170"/>
      <c r="AD264" s="170"/>
      <c r="AE264" s="15"/>
      <c r="AF264" s="177"/>
      <c r="AG264" s="177">
        <f t="shared" si="48"/>
        <v>0</v>
      </c>
      <c r="AH264" s="177">
        <f t="shared" si="49"/>
        <v>0</v>
      </c>
      <c r="AK264" s="176"/>
      <c r="AL264" s="176"/>
    </row>
    <row r="265" spans="1:38" ht="36" customHeight="1" x14ac:dyDescent="0.2">
      <c r="A265" s="14" t="s">
        <v>18</v>
      </c>
      <c r="B265" s="212">
        <v>244041</v>
      </c>
      <c r="C265" s="14" t="s">
        <v>547</v>
      </c>
      <c r="D265" s="14" t="s">
        <v>268</v>
      </c>
      <c r="E265" s="14" t="s">
        <v>14</v>
      </c>
      <c r="F265" s="14" t="s">
        <v>324</v>
      </c>
      <c r="G265" s="179">
        <v>680264</v>
      </c>
      <c r="H265" s="176" t="s">
        <v>1319</v>
      </c>
      <c r="I265" s="176" t="s">
        <v>551</v>
      </c>
      <c r="J265" s="176" t="s">
        <v>832</v>
      </c>
      <c r="K265" s="176" t="s">
        <v>1478</v>
      </c>
      <c r="L265" s="40" t="s">
        <v>106</v>
      </c>
      <c r="M265" s="40" t="s">
        <v>341</v>
      </c>
      <c r="N265" s="14" t="s">
        <v>1485</v>
      </c>
      <c r="O265" s="14" t="s">
        <v>528</v>
      </c>
      <c r="P265" s="14" t="s">
        <v>1152</v>
      </c>
      <c r="Q265" s="14" t="s">
        <v>1152</v>
      </c>
      <c r="R265" s="17">
        <v>150</v>
      </c>
      <c r="S265" s="172" t="s">
        <v>51</v>
      </c>
      <c r="T265" s="17">
        <v>1800</v>
      </c>
      <c r="U265" s="14" t="s">
        <v>51</v>
      </c>
      <c r="V265" s="16">
        <f t="shared" si="45"/>
        <v>244041</v>
      </c>
      <c r="W265" s="16">
        <f t="shared" si="46"/>
        <v>244048</v>
      </c>
      <c r="X265" s="16">
        <f t="shared" si="47"/>
        <v>244043</v>
      </c>
      <c r="Y265" s="15"/>
      <c r="Z265" s="177"/>
      <c r="AA265" s="170"/>
      <c r="AB265" s="170"/>
      <c r="AC265" s="170"/>
      <c r="AD265" s="170"/>
      <c r="AE265" s="15"/>
      <c r="AF265" s="177"/>
      <c r="AG265" s="177">
        <f t="shared" si="48"/>
        <v>0</v>
      </c>
      <c r="AH265" s="177">
        <f t="shared" si="49"/>
        <v>0</v>
      </c>
      <c r="AK265" s="176"/>
      <c r="AL265" s="176"/>
    </row>
    <row r="266" spans="1:38" ht="36" customHeight="1" x14ac:dyDescent="0.2">
      <c r="A266" s="14" t="s">
        <v>18</v>
      </c>
      <c r="B266" s="212">
        <v>244041</v>
      </c>
      <c r="C266" s="14" t="s">
        <v>547</v>
      </c>
      <c r="D266" s="14" t="s">
        <v>268</v>
      </c>
      <c r="E266" s="14" t="s">
        <v>14</v>
      </c>
      <c r="F266" s="14" t="s">
        <v>324</v>
      </c>
      <c r="G266" s="179">
        <v>680265</v>
      </c>
      <c r="H266" s="176" t="s">
        <v>216</v>
      </c>
      <c r="I266" s="176" t="s">
        <v>802</v>
      </c>
      <c r="J266" s="176" t="s">
        <v>131</v>
      </c>
      <c r="K266" s="176" t="s">
        <v>1494</v>
      </c>
      <c r="L266" s="40" t="s">
        <v>105</v>
      </c>
      <c r="M266" s="40" t="s">
        <v>341</v>
      </c>
      <c r="N266" s="14" t="s">
        <v>1498</v>
      </c>
      <c r="O266" s="14" t="s">
        <v>528</v>
      </c>
      <c r="P266" s="14" t="s">
        <v>971</v>
      </c>
      <c r="Q266" s="14" t="s">
        <v>541</v>
      </c>
      <c r="R266" s="17">
        <v>1200</v>
      </c>
      <c r="S266" s="172" t="s">
        <v>51</v>
      </c>
      <c r="T266" s="17">
        <v>1555</v>
      </c>
      <c r="U266" s="14" t="s">
        <v>51</v>
      </c>
      <c r="V266" s="16">
        <f t="shared" si="45"/>
        <v>244041</v>
      </c>
      <c r="W266" s="16">
        <f t="shared" si="46"/>
        <v>244048</v>
      </c>
      <c r="X266" s="16">
        <f t="shared" si="47"/>
        <v>244043</v>
      </c>
      <c r="Y266" s="15"/>
      <c r="Z266" s="177"/>
      <c r="AA266" s="170"/>
      <c r="AB266" s="170"/>
      <c r="AC266" s="170"/>
      <c r="AD266" s="170"/>
      <c r="AE266" s="15"/>
      <c r="AF266" s="177"/>
      <c r="AG266" s="177">
        <f t="shared" si="48"/>
        <v>0</v>
      </c>
      <c r="AH266" s="177">
        <f t="shared" si="49"/>
        <v>0</v>
      </c>
      <c r="AK266" s="176"/>
      <c r="AL266" s="176"/>
    </row>
    <row r="267" spans="1:38" ht="36" customHeight="1" x14ac:dyDescent="0.2">
      <c r="A267" s="14" t="s">
        <v>18</v>
      </c>
      <c r="B267" s="212">
        <v>244041</v>
      </c>
      <c r="C267" s="14" t="s">
        <v>547</v>
      </c>
      <c r="D267" s="14" t="s">
        <v>268</v>
      </c>
      <c r="E267" s="14" t="s">
        <v>14</v>
      </c>
      <c r="F267" s="14" t="s">
        <v>324</v>
      </c>
      <c r="G267" s="179">
        <v>680266</v>
      </c>
      <c r="H267" s="176" t="s">
        <v>1262</v>
      </c>
      <c r="I267" s="176" t="s">
        <v>802</v>
      </c>
      <c r="J267" s="176" t="s">
        <v>131</v>
      </c>
      <c r="K267" s="176" t="s">
        <v>1495</v>
      </c>
      <c r="L267" s="40" t="s">
        <v>105</v>
      </c>
      <c r="M267" s="40" t="s">
        <v>341</v>
      </c>
      <c r="N267" s="14" t="s">
        <v>1499</v>
      </c>
      <c r="O267" s="14" t="s">
        <v>528</v>
      </c>
      <c r="P267" s="14" t="s">
        <v>684</v>
      </c>
      <c r="Q267" s="14" t="s">
        <v>541</v>
      </c>
      <c r="R267" s="17">
        <v>300</v>
      </c>
      <c r="S267" s="172" t="s">
        <v>51</v>
      </c>
      <c r="T267" s="17">
        <v>1910</v>
      </c>
      <c r="U267" s="14" t="s">
        <v>51</v>
      </c>
      <c r="V267" s="16">
        <f t="shared" si="45"/>
        <v>244041</v>
      </c>
      <c r="W267" s="16">
        <f t="shared" si="46"/>
        <v>244048</v>
      </c>
      <c r="X267" s="16">
        <f t="shared" si="47"/>
        <v>244043</v>
      </c>
      <c r="Y267" s="15"/>
      <c r="Z267" s="177"/>
      <c r="AA267" s="170"/>
      <c r="AB267" s="170"/>
      <c r="AC267" s="170"/>
      <c r="AD267" s="170"/>
      <c r="AE267" s="15"/>
      <c r="AF267" s="177"/>
      <c r="AG267" s="177">
        <f t="shared" si="48"/>
        <v>0</v>
      </c>
      <c r="AH267" s="177">
        <f t="shared" si="49"/>
        <v>0</v>
      </c>
      <c r="AK267" s="176"/>
      <c r="AL267" s="176"/>
    </row>
    <row r="268" spans="1:38" ht="36" customHeight="1" x14ac:dyDescent="0.2">
      <c r="A268" s="14" t="s">
        <v>18</v>
      </c>
      <c r="B268" s="212">
        <v>244041</v>
      </c>
      <c r="C268" s="14" t="s">
        <v>547</v>
      </c>
      <c r="D268" s="14" t="s">
        <v>268</v>
      </c>
      <c r="E268" s="14" t="s">
        <v>14</v>
      </c>
      <c r="F268" s="14" t="s">
        <v>324</v>
      </c>
      <c r="G268" s="179">
        <v>680267</v>
      </c>
      <c r="H268" s="176" t="s">
        <v>1493</v>
      </c>
      <c r="I268" s="176" t="s">
        <v>748</v>
      </c>
      <c r="J268" s="176" t="s">
        <v>123</v>
      </c>
      <c r="K268" s="176" t="s">
        <v>1496</v>
      </c>
      <c r="L268" s="40" t="s">
        <v>45</v>
      </c>
      <c r="M268" s="40" t="s">
        <v>341</v>
      </c>
      <c r="N268" s="14" t="s">
        <v>1500</v>
      </c>
      <c r="O268" s="14" t="s">
        <v>1502</v>
      </c>
      <c r="P268" s="14" t="s">
        <v>1503</v>
      </c>
      <c r="Q268" s="14" t="s">
        <v>1505</v>
      </c>
      <c r="R268" s="17">
        <v>1800</v>
      </c>
      <c r="S268" s="172" t="s">
        <v>51</v>
      </c>
      <c r="T268" s="17">
        <v>1960</v>
      </c>
      <c r="U268" s="14" t="s">
        <v>51</v>
      </c>
      <c r="V268" s="16">
        <f t="shared" si="45"/>
        <v>244041</v>
      </c>
      <c r="W268" s="16">
        <f t="shared" si="46"/>
        <v>244048</v>
      </c>
      <c r="X268" s="16">
        <f t="shared" si="47"/>
        <v>244043</v>
      </c>
      <c r="Y268" s="15"/>
      <c r="Z268" s="177"/>
      <c r="AA268" s="170"/>
      <c r="AB268" s="170"/>
      <c r="AC268" s="170"/>
      <c r="AD268" s="170"/>
      <c r="AE268" s="15"/>
      <c r="AF268" s="177"/>
      <c r="AG268" s="177">
        <f t="shared" si="48"/>
        <v>0</v>
      </c>
      <c r="AH268" s="177">
        <f t="shared" si="49"/>
        <v>0</v>
      </c>
      <c r="AK268" s="176"/>
      <c r="AL268" s="176"/>
    </row>
    <row r="269" spans="1:38" ht="36" customHeight="1" x14ac:dyDescent="0.2">
      <c r="A269" s="14" t="s">
        <v>18</v>
      </c>
      <c r="B269" s="212">
        <v>244041</v>
      </c>
      <c r="C269" s="14" t="s">
        <v>547</v>
      </c>
      <c r="D269" s="14" t="s">
        <v>268</v>
      </c>
      <c r="E269" s="14" t="s">
        <v>14</v>
      </c>
      <c r="F269" s="14" t="s">
        <v>324</v>
      </c>
      <c r="G269" s="179">
        <v>680268</v>
      </c>
      <c r="H269" s="176" t="s">
        <v>886</v>
      </c>
      <c r="I269" s="176" t="s">
        <v>630</v>
      </c>
      <c r="J269" s="176" t="s">
        <v>821</v>
      </c>
      <c r="K269" s="176" t="s">
        <v>1497</v>
      </c>
      <c r="L269" s="40" t="s">
        <v>124</v>
      </c>
      <c r="M269" s="40" t="s">
        <v>341</v>
      </c>
      <c r="N269" s="14" t="s">
        <v>1501</v>
      </c>
      <c r="O269" s="14" t="s">
        <v>543</v>
      </c>
      <c r="P269" s="14" t="s">
        <v>1504</v>
      </c>
      <c r="Q269" s="14" t="s">
        <v>529</v>
      </c>
      <c r="R269" s="17">
        <v>960</v>
      </c>
      <c r="S269" s="172" t="s">
        <v>51</v>
      </c>
      <c r="T269" s="17">
        <v>2526</v>
      </c>
      <c r="U269" s="14" t="s">
        <v>51</v>
      </c>
      <c r="V269" s="16">
        <f t="shared" si="45"/>
        <v>244041</v>
      </c>
      <c r="W269" s="16">
        <f t="shared" si="46"/>
        <v>244048</v>
      </c>
      <c r="X269" s="16">
        <f t="shared" si="47"/>
        <v>244043</v>
      </c>
      <c r="Y269" s="15" t="s">
        <v>54</v>
      </c>
      <c r="Z269" s="177">
        <v>244048</v>
      </c>
      <c r="AA269" s="170"/>
      <c r="AB269" s="170"/>
      <c r="AC269" s="170"/>
      <c r="AD269" s="170"/>
      <c r="AE269" s="15" t="s">
        <v>54</v>
      </c>
      <c r="AF269" s="177">
        <v>244049</v>
      </c>
      <c r="AG269" s="177" t="str">
        <f t="shared" si="48"/>
        <v>Pass</v>
      </c>
      <c r="AH269" s="177">
        <f t="shared" si="49"/>
        <v>244049</v>
      </c>
      <c r="AK269" s="176"/>
      <c r="AL269" s="176"/>
    </row>
    <row r="270" spans="1:38" ht="36" customHeight="1" x14ac:dyDescent="0.2">
      <c r="A270" s="14" t="s">
        <v>18</v>
      </c>
      <c r="B270" s="212">
        <v>244042</v>
      </c>
      <c r="C270" s="14" t="s">
        <v>547</v>
      </c>
      <c r="D270" s="14" t="s">
        <v>268</v>
      </c>
      <c r="E270" s="14" t="s">
        <v>14</v>
      </c>
      <c r="F270" s="14" t="s">
        <v>324</v>
      </c>
      <c r="G270" s="179">
        <v>680269</v>
      </c>
      <c r="H270" s="176" t="s">
        <v>1506</v>
      </c>
      <c r="I270" s="176" t="s">
        <v>550</v>
      </c>
      <c r="J270" s="176" t="s">
        <v>128</v>
      </c>
      <c r="K270" s="176" t="s">
        <v>1510</v>
      </c>
      <c r="L270" s="40" t="s">
        <v>106</v>
      </c>
      <c r="M270" s="40" t="s">
        <v>341</v>
      </c>
      <c r="N270" s="14" t="s">
        <v>1516</v>
      </c>
      <c r="O270" s="14" t="s">
        <v>714</v>
      </c>
      <c r="P270" s="14" t="s">
        <v>313</v>
      </c>
      <c r="Q270" s="14" t="s">
        <v>716</v>
      </c>
      <c r="R270" s="17">
        <v>450</v>
      </c>
      <c r="S270" s="172" t="s">
        <v>51</v>
      </c>
      <c r="T270" s="17">
        <v>600</v>
      </c>
      <c r="U270" s="14" t="s">
        <v>51</v>
      </c>
      <c r="V270" s="16">
        <f t="shared" si="45"/>
        <v>244042</v>
      </c>
      <c r="W270" s="16">
        <f t="shared" si="46"/>
        <v>244049</v>
      </c>
      <c r="X270" s="16">
        <f t="shared" si="47"/>
        <v>244044</v>
      </c>
      <c r="Y270" s="15"/>
      <c r="Z270" s="177"/>
      <c r="AA270" s="170"/>
      <c r="AB270" s="170"/>
      <c r="AC270" s="170"/>
      <c r="AD270" s="170"/>
      <c r="AE270" s="15"/>
      <c r="AF270" s="177"/>
      <c r="AG270" s="177">
        <f t="shared" si="48"/>
        <v>0</v>
      </c>
      <c r="AH270" s="177">
        <f t="shared" si="49"/>
        <v>0</v>
      </c>
      <c r="AK270" s="176"/>
      <c r="AL270" s="176"/>
    </row>
    <row r="271" spans="1:38" ht="36" customHeight="1" x14ac:dyDescent="0.2">
      <c r="A271" s="14" t="s">
        <v>18</v>
      </c>
      <c r="B271" s="212">
        <v>244042</v>
      </c>
      <c r="C271" s="14" t="s">
        <v>547</v>
      </c>
      <c r="D271" s="14" t="s">
        <v>268</v>
      </c>
      <c r="E271" s="14" t="s">
        <v>14</v>
      </c>
      <c r="F271" s="14" t="s">
        <v>324</v>
      </c>
      <c r="G271" s="179">
        <v>680270</v>
      </c>
      <c r="H271" s="176" t="s">
        <v>627</v>
      </c>
      <c r="I271" s="176" t="s">
        <v>630</v>
      </c>
      <c r="J271" s="176" t="s">
        <v>520</v>
      </c>
      <c r="K271" s="176" t="s">
        <v>1511</v>
      </c>
      <c r="L271" s="40" t="s">
        <v>46</v>
      </c>
      <c r="M271" s="40" t="s">
        <v>341</v>
      </c>
      <c r="N271" s="14" t="s">
        <v>1517</v>
      </c>
      <c r="O271" s="14" t="s">
        <v>548</v>
      </c>
      <c r="P271" s="14" t="s">
        <v>518</v>
      </c>
      <c r="Q271" s="14" t="s">
        <v>549</v>
      </c>
      <c r="R271" s="17">
        <v>268</v>
      </c>
      <c r="S271" s="172" t="s">
        <v>51</v>
      </c>
      <c r="T271" s="17">
        <v>2070</v>
      </c>
      <c r="U271" s="14" t="s">
        <v>51</v>
      </c>
      <c r="V271" s="16">
        <f t="shared" si="45"/>
        <v>244042</v>
      </c>
      <c r="W271" s="16">
        <f t="shared" si="46"/>
        <v>244049</v>
      </c>
      <c r="X271" s="16">
        <f t="shared" si="47"/>
        <v>244044</v>
      </c>
      <c r="Y271" s="15"/>
      <c r="Z271" s="177"/>
      <c r="AA271" s="170"/>
      <c r="AB271" s="170"/>
      <c r="AC271" s="170"/>
      <c r="AD271" s="170"/>
      <c r="AE271" s="15"/>
      <c r="AF271" s="177"/>
      <c r="AG271" s="177">
        <f t="shared" si="48"/>
        <v>0</v>
      </c>
      <c r="AH271" s="177">
        <f t="shared" si="49"/>
        <v>0</v>
      </c>
      <c r="AK271" s="176"/>
      <c r="AL271" s="176"/>
    </row>
    <row r="272" spans="1:38" ht="36" customHeight="1" x14ac:dyDescent="0.2">
      <c r="A272" s="14" t="s">
        <v>18</v>
      </c>
      <c r="B272" s="212">
        <v>244042</v>
      </c>
      <c r="C272" s="14" t="s">
        <v>547</v>
      </c>
      <c r="D272" s="14" t="s">
        <v>268</v>
      </c>
      <c r="E272" s="14" t="s">
        <v>14</v>
      </c>
      <c r="F272" s="14" t="s">
        <v>324</v>
      </c>
      <c r="G272" s="179">
        <v>680271</v>
      </c>
      <c r="H272" s="176" t="s">
        <v>1506</v>
      </c>
      <c r="I272" s="176" t="s">
        <v>550</v>
      </c>
      <c r="J272" s="176" t="s">
        <v>128</v>
      </c>
      <c r="K272" s="176" t="s">
        <v>1510</v>
      </c>
      <c r="L272" s="40" t="s">
        <v>106</v>
      </c>
      <c r="M272" s="40" t="s">
        <v>341</v>
      </c>
      <c r="N272" s="14" t="s">
        <v>1518</v>
      </c>
      <c r="O272" s="14" t="s">
        <v>548</v>
      </c>
      <c r="P272" s="14" t="s">
        <v>518</v>
      </c>
      <c r="Q272" s="14" t="s">
        <v>549</v>
      </c>
      <c r="R272" s="17">
        <v>238</v>
      </c>
      <c r="S272" s="172" t="s">
        <v>51</v>
      </c>
      <c r="T272" s="17" t="s">
        <v>1531</v>
      </c>
      <c r="U272" s="14" t="s">
        <v>51</v>
      </c>
      <c r="V272" s="16">
        <f t="shared" si="45"/>
        <v>244042</v>
      </c>
      <c r="W272" s="16">
        <f t="shared" si="46"/>
        <v>244049</v>
      </c>
      <c r="X272" s="16">
        <f t="shared" si="47"/>
        <v>244044</v>
      </c>
      <c r="Y272" s="15"/>
      <c r="Z272" s="177"/>
      <c r="AA272" s="170"/>
      <c r="AB272" s="170"/>
      <c r="AC272" s="170"/>
      <c r="AD272" s="170"/>
      <c r="AE272" s="15"/>
      <c r="AF272" s="177"/>
      <c r="AG272" s="177">
        <f t="shared" si="48"/>
        <v>0</v>
      </c>
      <c r="AH272" s="177">
        <f t="shared" si="49"/>
        <v>0</v>
      </c>
      <c r="AK272" s="176"/>
      <c r="AL272" s="176"/>
    </row>
    <row r="273" spans="1:38" ht="36" customHeight="1" x14ac:dyDescent="0.2">
      <c r="A273" s="14" t="s">
        <v>18</v>
      </c>
      <c r="B273" s="212">
        <v>244042</v>
      </c>
      <c r="C273" s="14" t="s">
        <v>547</v>
      </c>
      <c r="D273" s="14" t="s">
        <v>268</v>
      </c>
      <c r="E273" s="14" t="s">
        <v>14</v>
      </c>
      <c r="F273" s="14" t="s">
        <v>324</v>
      </c>
      <c r="G273" s="179">
        <v>680272</v>
      </c>
      <c r="H273" s="176" t="s">
        <v>1507</v>
      </c>
      <c r="I273" s="176" t="s">
        <v>1407</v>
      </c>
      <c r="J273" s="176" t="s">
        <v>1410</v>
      </c>
      <c r="K273" s="176" t="s">
        <v>1512</v>
      </c>
      <c r="L273" s="40" t="s">
        <v>105</v>
      </c>
      <c r="M273" s="40" t="s">
        <v>341</v>
      </c>
      <c r="N273" s="14" t="s">
        <v>1519</v>
      </c>
      <c r="O273" s="14" t="s">
        <v>924</v>
      </c>
      <c r="P273" s="14" t="s">
        <v>1526</v>
      </c>
      <c r="Q273" s="14" t="s">
        <v>930</v>
      </c>
      <c r="R273" s="17">
        <v>200</v>
      </c>
      <c r="S273" s="172" t="s">
        <v>51</v>
      </c>
      <c r="T273" s="17">
        <v>1370</v>
      </c>
      <c r="U273" s="14" t="s">
        <v>51</v>
      </c>
      <c r="V273" s="16">
        <f t="shared" si="45"/>
        <v>244042</v>
      </c>
      <c r="W273" s="16">
        <f t="shared" si="46"/>
        <v>244049</v>
      </c>
      <c r="X273" s="16">
        <f t="shared" si="47"/>
        <v>244044</v>
      </c>
      <c r="Y273" s="15"/>
      <c r="Z273" s="177"/>
      <c r="AA273" s="170"/>
      <c r="AB273" s="170"/>
      <c r="AC273" s="170"/>
      <c r="AD273" s="170"/>
      <c r="AE273" s="15"/>
      <c r="AF273" s="177"/>
      <c r="AG273" s="177">
        <f t="shared" si="48"/>
        <v>0</v>
      </c>
      <c r="AH273" s="177">
        <f t="shared" si="49"/>
        <v>0</v>
      </c>
      <c r="AK273" s="176"/>
      <c r="AL273" s="176"/>
    </row>
    <row r="274" spans="1:38" ht="36" customHeight="1" x14ac:dyDescent="0.2">
      <c r="A274" s="14" t="s">
        <v>18</v>
      </c>
      <c r="B274" s="212">
        <v>244042</v>
      </c>
      <c r="C274" s="14" t="s">
        <v>547</v>
      </c>
      <c r="D274" s="14" t="s">
        <v>268</v>
      </c>
      <c r="E274" s="14" t="s">
        <v>14</v>
      </c>
      <c r="F274" s="14" t="s">
        <v>324</v>
      </c>
      <c r="G274" s="179">
        <v>680273</v>
      </c>
      <c r="H274" s="176" t="s">
        <v>1508</v>
      </c>
      <c r="I274" s="176" t="s">
        <v>550</v>
      </c>
      <c r="J274" s="176" t="s">
        <v>128</v>
      </c>
      <c r="K274" s="176" t="s">
        <v>1513</v>
      </c>
      <c r="L274" s="40" t="s">
        <v>106</v>
      </c>
      <c r="M274" s="40" t="s">
        <v>341</v>
      </c>
      <c r="N274" s="14" t="s">
        <v>1520</v>
      </c>
      <c r="O274" s="14" t="s">
        <v>548</v>
      </c>
      <c r="P274" s="14" t="s">
        <v>518</v>
      </c>
      <c r="Q274" s="14" t="s">
        <v>549</v>
      </c>
      <c r="R274" s="17">
        <v>105</v>
      </c>
      <c r="S274" s="172" t="s">
        <v>51</v>
      </c>
      <c r="T274" s="17"/>
      <c r="U274" s="14"/>
      <c r="V274" s="16">
        <f t="shared" si="45"/>
        <v>244042</v>
      </c>
      <c r="W274" s="16">
        <f t="shared" si="46"/>
        <v>244049</v>
      </c>
      <c r="X274" s="16">
        <f t="shared" si="47"/>
        <v>244044</v>
      </c>
      <c r="Y274" s="15"/>
      <c r="Z274" s="177"/>
      <c r="AA274" s="170"/>
      <c r="AB274" s="170"/>
      <c r="AC274" s="170"/>
      <c r="AD274" s="170"/>
      <c r="AE274" s="15"/>
      <c r="AF274" s="177"/>
      <c r="AG274" s="177">
        <f t="shared" si="48"/>
        <v>0</v>
      </c>
      <c r="AH274" s="177">
        <f t="shared" si="49"/>
        <v>0</v>
      </c>
      <c r="AK274" s="176"/>
      <c r="AL274" s="176"/>
    </row>
    <row r="275" spans="1:38" ht="36" customHeight="1" x14ac:dyDescent="0.2">
      <c r="A275" s="14" t="s">
        <v>18</v>
      </c>
      <c r="B275" s="212">
        <v>244042</v>
      </c>
      <c r="C275" s="14" t="s">
        <v>547</v>
      </c>
      <c r="D275" s="14" t="s">
        <v>268</v>
      </c>
      <c r="E275" s="14" t="s">
        <v>14</v>
      </c>
      <c r="F275" s="14" t="s">
        <v>324</v>
      </c>
      <c r="G275" s="179">
        <v>680274</v>
      </c>
      <c r="H275" s="176" t="s">
        <v>1509</v>
      </c>
      <c r="I275" s="176" t="s">
        <v>864</v>
      </c>
      <c r="J275" s="176" t="s">
        <v>131</v>
      </c>
      <c r="K275" s="176" t="s">
        <v>1514</v>
      </c>
      <c r="L275" s="40" t="s">
        <v>105</v>
      </c>
      <c r="M275" s="40" t="s">
        <v>341</v>
      </c>
      <c r="N275" s="38" t="s">
        <v>1521</v>
      </c>
      <c r="O275" s="14" t="s">
        <v>1524</v>
      </c>
      <c r="P275" s="14" t="s">
        <v>1527</v>
      </c>
      <c r="Q275" s="14" t="s">
        <v>1529</v>
      </c>
      <c r="R275" s="17">
        <v>900</v>
      </c>
      <c r="S275" s="172" t="s">
        <v>51</v>
      </c>
      <c r="T275" s="17">
        <v>1120</v>
      </c>
      <c r="U275" s="14" t="s">
        <v>51</v>
      </c>
      <c r="V275" s="16">
        <f t="shared" si="45"/>
        <v>244042</v>
      </c>
      <c r="W275" s="16">
        <f t="shared" si="46"/>
        <v>244049</v>
      </c>
      <c r="X275" s="16">
        <f t="shared" si="47"/>
        <v>244044</v>
      </c>
      <c r="Y275" s="15"/>
      <c r="Z275" s="177"/>
      <c r="AA275" s="170"/>
      <c r="AB275" s="170"/>
      <c r="AC275" s="170"/>
      <c r="AD275" s="170"/>
      <c r="AE275" s="15"/>
      <c r="AF275" s="177"/>
      <c r="AG275" s="177">
        <f t="shared" si="48"/>
        <v>0</v>
      </c>
      <c r="AH275" s="177">
        <f t="shared" si="49"/>
        <v>0</v>
      </c>
      <c r="AK275" s="176"/>
      <c r="AL275" s="176"/>
    </row>
    <row r="276" spans="1:38" ht="36" customHeight="1" x14ac:dyDescent="0.2">
      <c r="A276" s="14" t="s">
        <v>18</v>
      </c>
      <c r="B276" s="212">
        <v>244042</v>
      </c>
      <c r="C276" s="14" t="s">
        <v>547</v>
      </c>
      <c r="D276" s="14" t="s">
        <v>268</v>
      </c>
      <c r="E276" s="14" t="s">
        <v>14</v>
      </c>
      <c r="F276" s="14" t="s">
        <v>324</v>
      </c>
      <c r="G276" s="179">
        <v>680275</v>
      </c>
      <c r="H276" s="176" t="s">
        <v>1507</v>
      </c>
      <c r="I276" s="176" t="s">
        <v>1407</v>
      </c>
      <c r="J276" s="176" t="s">
        <v>1410</v>
      </c>
      <c r="K276" s="176" t="s">
        <v>1512</v>
      </c>
      <c r="L276" s="40" t="s">
        <v>105</v>
      </c>
      <c r="M276" s="40" t="s">
        <v>341</v>
      </c>
      <c r="N276" s="14" t="s">
        <v>1522</v>
      </c>
      <c r="O276" s="14" t="s">
        <v>543</v>
      </c>
      <c r="P276" s="14" t="s">
        <v>971</v>
      </c>
      <c r="Q276" s="14" t="s">
        <v>529</v>
      </c>
      <c r="R276" s="17">
        <v>1300</v>
      </c>
      <c r="S276" s="172" t="s">
        <v>51</v>
      </c>
      <c r="T276" s="17">
        <v>1380</v>
      </c>
      <c r="U276" s="14" t="s">
        <v>51</v>
      </c>
      <c r="V276" s="16">
        <f t="shared" si="45"/>
        <v>244042</v>
      </c>
      <c r="W276" s="16">
        <f t="shared" si="46"/>
        <v>244049</v>
      </c>
      <c r="X276" s="16">
        <f t="shared" si="47"/>
        <v>244044</v>
      </c>
      <c r="Y276" s="15"/>
      <c r="Z276" s="177"/>
      <c r="AA276" s="170"/>
      <c r="AB276" s="170"/>
      <c r="AC276" s="170"/>
      <c r="AD276" s="170"/>
      <c r="AE276" s="15"/>
      <c r="AF276" s="177"/>
      <c r="AG276" s="177">
        <f t="shared" si="48"/>
        <v>0</v>
      </c>
      <c r="AH276" s="177">
        <f t="shared" si="49"/>
        <v>0</v>
      </c>
      <c r="AK276" s="176"/>
      <c r="AL276" s="176"/>
    </row>
    <row r="277" spans="1:38" ht="36" customHeight="1" x14ac:dyDescent="0.2">
      <c r="A277" s="14" t="s">
        <v>18</v>
      </c>
      <c r="B277" s="212">
        <v>244042</v>
      </c>
      <c r="C277" s="14" t="s">
        <v>547</v>
      </c>
      <c r="D277" s="14" t="s">
        <v>268</v>
      </c>
      <c r="E277" s="14" t="s">
        <v>14</v>
      </c>
      <c r="F277" s="14" t="s">
        <v>324</v>
      </c>
      <c r="G277" s="179">
        <v>680276</v>
      </c>
      <c r="H277" s="176" t="s">
        <v>761</v>
      </c>
      <c r="I277" s="176" t="s">
        <v>748</v>
      </c>
      <c r="J277" s="176" t="s">
        <v>123</v>
      </c>
      <c r="K277" s="176" t="s">
        <v>1515</v>
      </c>
      <c r="L277" s="40" t="s">
        <v>45</v>
      </c>
      <c r="M277" s="40" t="s">
        <v>341</v>
      </c>
      <c r="N277" s="14" t="s">
        <v>1523</v>
      </c>
      <c r="O277" s="14" t="s">
        <v>1525</v>
      </c>
      <c r="P277" s="14" t="s">
        <v>1528</v>
      </c>
      <c r="Q277" s="14" t="s">
        <v>1530</v>
      </c>
      <c r="R277" s="17">
        <v>625</v>
      </c>
      <c r="S277" s="172" t="s">
        <v>51</v>
      </c>
      <c r="T277" s="17">
        <v>1760</v>
      </c>
      <c r="U277" s="14" t="s">
        <v>51</v>
      </c>
      <c r="V277" s="16">
        <f t="shared" si="45"/>
        <v>244042</v>
      </c>
      <c r="W277" s="16">
        <f t="shared" si="46"/>
        <v>244049</v>
      </c>
      <c r="X277" s="16">
        <f t="shared" si="47"/>
        <v>244044</v>
      </c>
      <c r="Y277" s="15"/>
      <c r="Z277" s="177"/>
      <c r="AA277" s="170"/>
      <c r="AB277" s="170"/>
      <c r="AC277" s="170"/>
      <c r="AD277" s="170"/>
      <c r="AE277" s="15"/>
      <c r="AF277" s="177"/>
      <c r="AG277" s="177">
        <f t="shared" si="48"/>
        <v>0</v>
      </c>
      <c r="AH277" s="177">
        <f t="shared" si="49"/>
        <v>0</v>
      </c>
      <c r="AK277" s="176"/>
      <c r="AL277" s="176"/>
    </row>
    <row r="278" spans="1:38" ht="36" customHeight="1" x14ac:dyDescent="0.2">
      <c r="A278" s="14" t="s">
        <v>18</v>
      </c>
      <c r="B278" s="212">
        <v>244042</v>
      </c>
      <c r="C278" s="14" t="s">
        <v>547</v>
      </c>
      <c r="D278" s="14" t="s">
        <v>268</v>
      </c>
      <c r="E278" s="14" t="s">
        <v>14</v>
      </c>
      <c r="F278" s="14" t="s">
        <v>324</v>
      </c>
      <c r="G278" s="179">
        <v>680277</v>
      </c>
      <c r="H278" s="176" t="s">
        <v>759</v>
      </c>
      <c r="I278" s="176" t="s">
        <v>748</v>
      </c>
      <c r="J278" s="176" t="s">
        <v>123</v>
      </c>
      <c r="K278" s="176" t="s">
        <v>1533</v>
      </c>
      <c r="L278" s="40" t="s">
        <v>45</v>
      </c>
      <c r="M278" s="40" t="s">
        <v>341</v>
      </c>
      <c r="N278" s="14" t="s">
        <v>1537</v>
      </c>
      <c r="O278" s="14" t="s">
        <v>543</v>
      </c>
      <c r="P278" s="14" t="s">
        <v>687</v>
      </c>
      <c r="Q278" s="14" t="s">
        <v>529</v>
      </c>
      <c r="R278" s="17">
        <v>500</v>
      </c>
      <c r="S278" s="172" t="s">
        <v>51</v>
      </c>
      <c r="T278" s="17">
        <v>1910</v>
      </c>
      <c r="U278" s="14" t="s">
        <v>51</v>
      </c>
      <c r="V278" s="16">
        <f t="shared" si="45"/>
        <v>244042</v>
      </c>
      <c r="W278" s="16">
        <f t="shared" si="46"/>
        <v>244049</v>
      </c>
      <c r="X278" s="16">
        <f t="shared" si="47"/>
        <v>244044</v>
      </c>
      <c r="Y278" s="15"/>
      <c r="Z278" s="177"/>
      <c r="AA278" s="170"/>
      <c r="AB278" s="170"/>
      <c r="AC278" s="170"/>
      <c r="AD278" s="170"/>
      <c r="AE278" s="15"/>
      <c r="AF278" s="177"/>
      <c r="AG278" s="177">
        <f t="shared" si="48"/>
        <v>0</v>
      </c>
      <c r="AH278" s="177">
        <f t="shared" si="49"/>
        <v>0</v>
      </c>
      <c r="AK278" s="176"/>
      <c r="AL278" s="176"/>
    </row>
    <row r="279" spans="1:38" ht="36" customHeight="1" x14ac:dyDescent="0.2">
      <c r="A279" s="14" t="s">
        <v>18</v>
      </c>
      <c r="B279" s="212">
        <v>244042</v>
      </c>
      <c r="C279" s="14" t="s">
        <v>547</v>
      </c>
      <c r="D279" s="14" t="s">
        <v>268</v>
      </c>
      <c r="E279" s="14" t="s">
        <v>14</v>
      </c>
      <c r="F279" s="14" t="s">
        <v>324</v>
      </c>
      <c r="G279" s="179">
        <v>680278</v>
      </c>
      <c r="H279" s="176" t="s">
        <v>1509</v>
      </c>
      <c r="I279" s="176" t="s">
        <v>864</v>
      </c>
      <c r="J279" s="176" t="s">
        <v>865</v>
      </c>
      <c r="K279" s="176" t="s">
        <v>1514</v>
      </c>
      <c r="L279" s="40" t="s">
        <v>105</v>
      </c>
      <c r="M279" s="40" t="s">
        <v>341</v>
      </c>
      <c r="N279" s="14" t="s">
        <v>1538</v>
      </c>
      <c r="O279" s="14" t="s">
        <v>548</v>
      </c>
      <c r="P279" s="14" t="s">
        <v>518</v>
      </c>
      <c r="Q279" s="14" t="s">
        <v>549</v>
      </c>
      <c r="R279" s="17">
        <v>128</v>
      </c>
      <c r="S279" s="172" t="s">
        <v>51</v>
      </c>
      <c r="T279" s="17">
        <v>1940</v>
      </c>
      <c r="U279" s="14" t="s">
        <v>51</v>
      </c>
      <c r="V279" s="16">
        <f t="shared" si="45"/>
        <v>244042</v>
      </c>
      <c r="W279" s="16">
        <f t="shared" si="46"/>
        <v>244049</v>
      </c>
      <c r="X279" s="16">
        <f t="shared" si="47"/>
        <v>244044</v>
      </c>
      <c r="Y279" s="15"/>
      <c r="Z279" s="177"/>
      <c r="AA279" s="170"/>
      <c r="AB279" s="170"/>
      <c r="AC279" s="170"/>
      <c r="AD279" s="170"/>
      <c r="AE279" s="15"/>
      <c r="AF279" s="177"/>
      <c r="AG279" s="177">
        <f t="shared" si="48"/>
        <v>0</v>
      </c>
      <c r="AH279" s="177">
        <f t="shared" si="49"/>
        <v>0</v>
      </c>
      <c r="AK279" s="176"/>
      <c r="AL279" s="176"/>
    </row>
    <row r="280" spans="1:38" ht="36" customHeight="1" x14ac:dyDescent="0.2">
      <c r="A280" s="14" t="s">
        <v>18</v>
      </c>
      <c r="B280" s="212">
        <v>244042</v>
      </c>
      <c r="C280" s="14" t="s">
        <v>547</v>
      </c>
      <c r="D280" s="14" t="s">
        <v>268</v>
      </c>
      <c r="E280" s="14" t="s">
        <v>14</v>
      </c>
      <c r="F280" s="14" t="s">
        <v>324</v>
      </c>
      <c r="G280" s="179">
        <v>680279</v>
      </c>
      <c r="H280" s="176" t="s">
        <v>886</v>
      </c>
      <c r="I280" s="176" t="s">
        <v>630</v>
      </c>
      <c r="J280" s="176" t="s">
        <v>821</v>
      </c>
      <c r="K280" s="176" t="s">
        <v>1534</v>
      </c>
      <c r="L280" s="40" t="s">
        <v>46</v>
      </c>
      <c r="M280" s="40" t="s">
        <v>341</v>
      </c>
      <c r="N280" s="14" t="s">
        <v>1539</v>
      </c>
      <c r="O280" s="14" t="s">
        <v>543</v>
      </c>
      <c r="P280" s="14" t="s">
        <v>1544</v>
      </c>
      <c r="Q280" s="14" t="s">
        <v>529</v>
      </c>
      <c r="R280" s="17">
        <v>1300</v>
      </c>
      <c r="S280" s="172" t="s">
        <v>51</v>
      </c>
      <c r="T280" s="17">
        <v>2573</v>
      </c>
      <c r="U280" s="14" t="s">
        <v>51</v>
      </c>
      <c r="V280" s="16">
        <f t="shared" si="45"/>
        <v>244042</v>
      </c>
      <c r="W280" s="16">
        <f t="shared" si="46"/>
        <v>244049</v>
      </c>
      <c r="X280" s="16">
        <f t="shared" si="47"/>
        <v>244044</v>
      </c>
      <c r="Y280" s="15"/>
      <c r="Z280" s="177"/>
      <c r="AA280" s="170"/>
      <c r="AB280" s="170"/>
      <c r="AC280" s="170"/>
      <c r="AD280" s="170"/>
      <c r="AE280" s="15"/>
      <c r="AF280" s="177"/>
      <c r="AG280" s="177">
        <f t="shared" si="48"/>
        <v>0</v>
      </c>
      <c r="AH280" s="177">
        <f t="shared" si="49"/>
        <v>0</v>
      </c>
      <c r="AK280" s="176"/>
      <c r="AL280" s="176"/>
    </row>
    <row r="281" spans="1:38" ht="36" customHeight="1" x14ac:dyDescent="0.2">
      <c r="A281" s="14" t="s">
        <v>18</v>
      </c>
      <c r="B281" s="212">
        <v>244042</v>
      </c>
      <c r="C281" s="14" t="s">
        <v>547</v>
      </c>
      <c r="D281" s="14" t="s">
        <v>268</v>
      </c>
      <c r="E281" s="14" t="s">
        <v>14</v>
      </c>
      <c r="F281" s="14" t="s">
        <v>324</v>
      </c>
      <c r="G281" s="179">
        <v>680280</v>
      </c>
      <c r="H281" s="176" t="s">
        <v>759</v>
      </c>
      <c r="I281" s="176" t="s">
        <v>748</v>
      </c>
      <c r="J281" s="176" t="s">
        <v>123</v>
      </c>
      <c r="K281" s="176" t="s">
        <v>1533</v>
      </c>
      <c r="L281" s="40" t="s">
        <v>45</v>
      </c>
      <c r="M281" s="40" t="s">
        <v>341</v>
      </c>
      <c r="N281" s="14" t="s">
        <v>1540</v>
      </c>
      <c r="O281" s="14" t="s">
        <v>548</v>
      </c>
      <c r="P281" s="14" t="s">
        <v>518</v>
      </c>
      <c r="Q281" s="14" t="s">
        <v>549</v>
      </c>
      <c r="R281" s="17">
        <v>163</v>
      </c>
      <c r="S281" s="172" t="s">
        <v>51</v>
      </c>
      <c r="T281" s="17">
        <v>1910</v>
      </c>
      <c r="U281" s="14" t="s">
        <v>51</v>
      </c>
      <c r="V281" s="16">
        <f t="shared" si="45"/>
        <v>244042</v>
      </c>
      <c r="W281" s="16">
        <f t="shared" si="46"/>
        <v>244049</v>
      </c>
      <c r="X281" s="16">
        <f t="shared" si="47"/>
        <v>244044</v>
      </c>
      <c r="Y281" s="15"/>
      <c r="Z281" s="177"/>
      <c r="AA281" s="170"/>
      <c r="AB281" s="170"/>
      <c r="AC281" s="170"/>
      <c r="AD281" s="170"/>
      <c r="AE281" s="15"/>
      <c r="AF281" s="177"/>
      <c r="AG281" s="177">
        <f t="shared" si="48"/>
        <v>0</v>
      </c>
      <c r="AH281" s="177">
        <f t="shared" si="49"/>
        <v>0</v>
      </c>
      <c r="AK281" s="176"/>
      <c r="AL281" s="176"/>
    </row>
    <row r="282" spans="1:38" ht="36" customHeight="1" x14ac:dyDescent="0.2">
      <c r="A282" s="14" t="s">
        <v>18</v>
      </c>
      <c r="B282" s="212">
        <v>244042</v>
      </c>
      <c r="C282" s="14" t="s">
        <v>547</v>
      </c>
      <c r="D282" s="14" t="s">
        <v>268</v>
      </c>
      <c r="E282" s="14" t="s">
        <v>14</v>
      </c>
      <c r="F282" s="14" t="s">
        <v>324</v>
      </c>
      <c r="G282" s="179">
        <v>680281</v>
      </c>
      <c r="H282" s="176" t="s">
        <v>663</v>
      </c>
      <c r="I282" s="176" t="s">
        <v>630</v>
      </c>
      <c r="J282" s="176" t="s">
        <v>821</v>
      </c>
      <c r="K282" s="176" t="s">
        <v>1535</v>
      </c>
      <c r="L282" s="40" t="s">
        <v>124</v>
      </c>
      <c r="M282" s="40" t="s">
        <v>341</v>
      </c>
      <c r="N282" s="14" t="s">
        <v>1541</v>
      </c>
      <c r="O282" s="14" t="s">
        <v>548</v>
      </c>
      <c r="P282" s="14" t="s">
        <v>518</v>
      </c>
      <c r="Q282" s="14" t="s">
        <v>549</v>
      </c>
      <c r="R282" s="17">
        <v>207</v>
      </c>
      <c r="S282" s="172" t="s">
        <v>51</v>
      </c>
      <c r="T282" s="17">
        <v>2539</v>
      </c>
      <c r="U282" s="14" t="s">
        <v>51</v>
      </c>
      <c r="V282" s="16">
        <f t="shared" si="45"/>
        <v>244042</v>
      </c>
      <c r="W282" s="16">
        <f t="shared" si="46"/>
        <v>244049</v>
      </c>
      <c r="X282" s="16">
        <f t="shared" si="47"/>
        <v>244044</v>
      </c>
      <c r="Y282" s="15" t="s">
        <v>54</v>
      </c>
      <c r="Z282" s="177">
        <v>244056</v>
      </c>
      <c r="AA282" s="170"/>
      <c r="AB282" s="170"/>
      <c r="AC282" s="170"/>
      <c r="AD282" s="170"/>
      <c r="AE282" s="15" t="s">
        <v>54</v>
      </c>
      <c r="AF282" s="177">
        <v>244056</v>
      </c>
      <c r="AG282" s="177" t="str">
        <f t="shared" si="48"/>
        <v>Pass</v>
      </c>
      <c r="AH282" s="177">
        <f t="shared" si="49"/>
        <v>244056</v>
      </c>
      <c r="AK282" s="176"/>
      <c r="AL282" s="176"/>
    </row>
    <row r="283" spans="1:38" ht="36" customHeight="1" x14ac:dyDescent="0.2">
      <c r="A283" s="14" t="s">
        <v>18</v>
      </c>
      <c r="B283" s="212">
        <v>244042</v>
      </c>
      <c r="C283" s="14" t="s">
        <v>547</v>
      </c>
      <c r="D283" s="14" t="s">
        <v>268</v>
      </c>
      <c r="E283" s="14" t="s">
        <v>14</v>
      </c>
      <c r="F283" s="14" t="s">
        <v>324</v>
      </c>
      <c r="G283" s="179">
        <v>680282</v>
      </c>
      <c r="H283" s="176" t="s">
        <v>1532</v>
      </c>
      <c r="I283" s="176" t="s">
        <v>864</v>
      </c>
      <c r="J283" s="176" t="s">
        <v>554</v>
      </c>
      <c r="K283" s="176" t="s">
        <v>1536</v>
      </c>
      <c r="L283" s="40" t="s">
        <v>45</v>
      </c>
      <c r="M283" s="40" t="s">
        <v>341</v>
      </c>
      <c r="N283" s="14" t="s">
        <v>1542</v>
      </c>
      <c r="O283" s="14" t="s">
        <v>1543</v>
      </c>
      <c r="P283" s="14" t="s">
        <v>1545</v>
      </c>
      <c r="Q283" s="14" t="s">
        <v>1546</v>
      </c>
      <c r="R283" s="17">
        <v>300</v>
      </c>
      <c r="S283" s="172" t="s">
        <v>51</v>
      </c>
      <c r="T283" s="17"/>
      <c r="U283" s="14"/>
      <c r="V283" s="16">
        <f t="shared" si="45"/>
        <v>244042</v>
      </c>
      <c r="W283" s="16">
        <f t="shared" si="46"/>
        <v>244049</v>
      </c>
      <c r="X283" s="16">
        <f t="shared" si="47"/>
        <v>244044</v>
      </c>
      <c r="Y283" s="15"/>
      <c r="Z283" s="177"/>
      <c r="AA283" s="170"/>
      <c r="AB283" s="170"/>
      <c r="AC283" s="170"/>
      <c r="AD283" s="170"/>
      <c r="AE283" s="15"/>
      <c r="AF283" s="177"/>
      <c r="AG283" s="177">
        <f t="shared" si="48"/>
        <v>0</v>
      </c>
      <c r="AH283" s="177">
        <f t="shared" si="49"/>
        <v>0</v>
      </c>
      <c r="AK283" s="176"/>
      <c r="AL283" s="176"/>
    </row>
    <row r="284" spans="1:38" ht="36" customHeight="1" x14ac:dyDescent="0.2">
      <c r="A284" s="14" t="s">
        <v>19</v>
      </c>
      <c r="B284" s="212">
        <v>244044</v>
      </c>
      <c r="C284" s="14" t="s">
        <v>547</v>
      </c>
      <c r="D284" s="14" t="s">
        <v>268</v>
      </c>
      <c r="E284" s="14" t="s">
        <v>14</v>
      </c>
      <c r="F284" s="14" t="s">
        <v>324</v>
      </c>
      <c r="G284" s="179">
        <v>680283</v>
      </c>
      <c r="H284" s="176" t="s">
        <v>996</v>
      </c>
      <c r="I284" s="176" t="s">
        <v>630</v>
      </c>
      <c r="J284" s="176" t="s">
        <v>520</v>
      </c>
      <c r="K284" s="176" t="s">
        <v>1550</v>
      </c>
      <c r="L284" s="40" t="s">
        <v>46</v>
      </c>
      <c r="M284" s="40" t="s">
        <v>341</v>
      </c>
      <c r="N284" s="14" t="s">
        <v>1557</v>
      </c>
      <c r="O284" s="14" t="s">
        <v>1556</v>
      </c>
      <c r="P284" s="14" t="s">
        <v>1558</v>
      </c>
      <c r="Q284" s="14" t="s">
        <v>1560</v>
      </c>
      <c r="R284" s="17">
        <v>1140</v>
      </c>
      <c r="S284" s="172" t="s">
        <v>51</v>
      </c>
      <c r="T284" s="17">
        <v>2020</v>
      </c>
      <c r="U284" s="14" t="s">
        <v>51</v>
      </c>
      <c r="V284" s="16">
        <f t="shared" si="45"/>
        <v>244044</v>
      </c>
      <c r="W284" s="16">
        <f t="shared" si="46"/>
        <v>244051</v>
      </c>
      <c r="X284" s="16">
        <f t="shared" si="47"/>
        <v>244046</v>
      </c>
      <c r="Y284" s="15"/>
      <c r="Z284" s="177"/>
      <c r="AA284" s="170"/>
      <c r="AB284" s="170"/>
      <c r="AC284" s="170"/>
      <c r="AD284" s="170"/>
      <c r="AE284" s="15"/>
      <c r="AF284" s="177"/>
      <c r="AG284" s="177">
        <f t="shared" si="48"/>
        <v>0</v>
      </c>
      <c r="AH284" s="177">
        <f t="shared" si="49"/>
        <v>0</v>
      </c>
      <c r="AK284" s="176"/>
      <c r="AL284" s="176"/>
    </row>
    <row r="285" spans="1:38" ht="36" customHeight="1" x14ac:dyDescent="0.2">
      <c r="A285" s="14" t="s">
        <v>19</v>
      </c>
      <c r="B285" s="212">
        <v>244044</v>
      </c>
      <c r="C285" s="14" t="s">
        <v>547</v>
      </c>
      <c r="D285" s="14" t="s">
        <v>268</v>
      </c>
      <c r="E285" s="14" t="s">
        <v>14</v>
      </c>
      <c r="F285" s="14" t="s">
        <v>324</v>
      </c>
      <c r="G285" s="179">
        <v>680284</v>
      </c>
      <c r="H285" s="176" t="s">
        <v>663</v>
      </c>
      <c r="I285" s="176" t="s">
        <v>630</v>
      </c>
      <c r="J285" s="176" t="s">
        <v>821</v>
      </c>
      <c r="K285" s="176" t="s">
        <v>1535</v>
      </c>
      <c r="L285" s="40" t="s">
        <v>124</v>
      </c>
      <c r="M285" s="40" t="s">
        <v>341</v>
      </c>
      <c r="N285" s="14" t="s">
        <v>840</v>
      </c>
      <c r="O285" s="14" t="s">
        <v>548</v>
      </c>
      <c r="P285" s="14" t="s">
        <v>518</v>
      </c>
      <c r="Q285" s="14" t="s">
        <v>549</v>
      </c>
      <c r="R285" s="17">
        <v>250</v>
      </c>
      <c r="S285" s="172" t="s">
        <v>51</v>
      </c>
      <c r="T285" s="17">
        <v>2560</v>
      </c>
      <c r="U285" s="14" t="s">
        <v>51</v>
      </c>
      <c r="V285" s="16">
        <f t="shared" si="45"/>
        <v>244044</v>
      </c>
      <c r="W285" s="16">
        <f t="shared" si="46"/>
        <v>244051</v>
      </c>
      <c r="X285" s="16">
        <f t="shared" si="47"/>
        <v>244046</v>
      </c>
      <c r="Y285" s="15"/>
      <c r="Z285" s="177"/>
      <c r="AA285" s="170"/>
      <c r="AB285" s="170"/>
      <c r="AC285" s="170"/>
      <c r="AD285" s="170"/>
      <c r="AE285" s="15"/>
      <c r="AF285" s="177"/>
      <c r="AG285" s="177">
        <f t="shared" si="48"/>
        <v>0</v>
      </c>
      <c r="AH285" s="177">
        <f t="shared" si="49"/>
        <v>0</v>
      </c>
      <c r="AK285" s="176"/>
      <c r="AL285" s="176"/>
    </row>
    <row r="286" spans="1:38" ht="36" customHeight="1" x14ac:dyDescent="0.2">
      <c r="A286" s="14" t="s">
        <v>19</v>
      </c>
      <c r="B286" s="212">
        <v>244044</v>
      </c>
      <c r="C286" s="14" t="s">
        <v>547</v>
      </c>
      <c r="D286" s="14" t="s">
        <v>268</v>
      </c>
      <c r="E286" s="14" t="s">
        <v>14</v>
      </c>
      <c r="F286" s="14" t="s">
        <v>324</v>
      </c>
      <c r="G286" s="179">
        <v>680285</v>
      </c>
      <c r="H286" s="176" t="s">
        <v>1547</v>
      </c>
      <c r="I286" s="176" t="s">
        <v>550</v>
      </c>
      <c r="J286" s="176" t="s">
        <v>128</v>
      </c>
      <c r="K286" s="176" t="s">
        <v>1551</v>
      </c>
      <c r="L286" s="40" t="s">
        <v>106</v>
      </c>
      <c r="M286" s="40" t="s">
        <v>341</v>
      </c>
      <c r="N286" s="14" t="s">
        <v>1554</v>
      </c>
      <c r="O286" s="14" t="s">
        <v>528</v>
      </c>
      <c r="P286" s="14" t="s">
        <v>1559</v>
      </c>
      <c r="Q286" s="14" t="s">
        <v>541</v>
      </c>
      <c r="R286" s="17">
        <v>1100</v>
      </c>
      <c r="S286" s="172" t="s">
        <v>51</v>
      </c>
      <c r="T286" s="17">
        <v>2450</v>
      </c>
      <c r="U286" s="14" t="s">
        <v>51</v>
      </c>
      <c r="V286" s="16">
        <f t="shared" si="45"/>
        <v>244044</v>
      </c>
      <c r="W286" s="16">
        <f t="shared" si="46"/>
        <v>244051</v>
      </c>
      <c r="X286" s="16">
        <f t="shared" si="47"/>
        <v>244046</v>
      </c>
      <c r="Y286" s="15"/>
      <c r="Z286" s="177"/>
      <c r="AA286" s="170"/>
      <c r="AB286" s="170"/>
      <c r="AC286" s="170"/>
      <c r="AD286" s="170"/>
      <c r="AE286" s="15"/>
      <c r="AF286" s="177"/>
      <c r="AG286" s="177">
        <f t="shared" si="48"/>
        <v>0</v>
      </c>
      <c r="AH286" s="177">
        <f t="shared" si="49"/>
        <v>0</v>
      </c>
      <c r="AK286" s="176"/>
      <c r="AL286" s="176"/>
    </row>
    <row r="287" spans="1:38" ht="36" customHeight="1" x14ac:dyDescent="0.2">
      <c r="A287" s="14" t="s">
        <v>19</v>
      </c>
      <c r="B287" s="212">
        <v>244044</v>
      </c>
      <c r="C287" s="14" t="s">
        <v>547</v>
      </c>
      <c r="D287" s="14" t="s">
        <v>268</v>
      </c>
      <c r="E287" s="14" t="s">
        <v>14</v>
      </c>
      <c r="F287" s="14" t="s">
        <v>324</v>
      </c>
      <c r="G287" s="179">
        <v>680286</v>
      </c>
      <c r="H287" s="176" t="s">
        <v>1548</v>
      </c>
      <c r="I287" s="176" t="s">
        <v>630</v>
      </c>
      <c r="J287" s="176" t="s">
        <v>520</v>
      </c>
      <c r="K287" s="176" t="s">
        <v>1552</v>
      </c>
      <c r="L287" s="40" t="s">
        <v>46</v>
      </c>
      <c r="M287" s="40" t="s">
        <v>341</v>
      </c>
      <c r="N287" s="14" t="s">
        <v>1555</v>
      </c>
      <c r="O287" s="14" t="s">
        <v>543</v>
      </c>
      <c r="P287" s="14" t="s">
        <v>313</v>
      </c>
      <c r="Q287" s="14" t="s">
        <v>529</v>
      </c>
      <c r="R287" s="17">
        <v>600</v>
      </c>
      <c r="S287" s="172" t="s">
        <v>51</v>
      </c>
      <c r="T287" s="17">
        <v>2055</v>
      </c>
      <c r="U287" s="14" t="s">
        <v>51</v>
      </c>
      <c r="V287" s="16">
        <f t="shared" si="45"/>
        <v>244044</v>
      </c>
      <c r="W287" s="16">
        <f t="shared" si="46"/>
        <v>244051</v>
      </c>
      <c r="X287" s="16">
        <f t="shared" si="47"/>
        <v>244046</v>
      </c>
      <c r="Y287" s="15"/>
      <c r="Z287" s="177"/>
      <c r="AA287" s="170"/>
      <c r="AB287" s="170"/>
      <c r="AC287" s="170"/>
      <c r="AD287" s="170"/>
      <c r="AE287" s="15"/>
      <c r="AF287" s="177"/>
      <c r="AG287" s="177">
        <f t="shared" si="48"/>
        <v>0</v>
      </c>
      <c r="AH287" s="177">
        <f t="shared" si="49"/>
        <v>0</v>
      </c>
      <c r="AK287" s="176"/>
      <c r="AL287" s="176"/>
    </row>
    <row r="288" spans="1:38" ht="36" customHeight="1" x14ac:dyDescent="0.2">
      <c r="A288" s="14" t="s">
        <v>19</v>
      </c>
      <c r="B288" s="212">
        <v>244044</v>
      </c>
      <c r="C288" s="14" t="s">
        <v>547</v>
      </c>
      <c r="D288" s="14" t="s">
        <v>268</v>
      </c>
      <c r="E288" s="14" t="s">
        <v>14</v>
      </c>
      <c r="F288" s="14" t="s">
        <v>324</v>
      </c>
      <c r="G288" s="179">
        <v>680287</v>
      </c>
      <c r="H288" s="176" t="s">
        <v>1549</v>
      </c>
      <c r="I288" s="176" t="s">
        <v>630</v>
      </c>
      <c r="J288" s="176" t="s">
        <v>520</v>
      </c>
      <c r="K288" s="176" t="s">
        <v>1553</v>
      </c>
      <c r="L288" s="40" t="s">
        <v>46</v>
      </c>
      <c r="M288" s="40" t="s">
        <v>341</v>
      </c>
      <c r="N288" s="14" t="s">
        <v>1480</v>
      </c>
      <c r="O288" s="14" t="s">
        <v>552</v>
      </c>
      <c r="P288" s="14" t="s">
        <v>1205</v>
      </c>
      <c r="Q288" s="14" t="s">
        <v>553</v>
      </c>
      <c r="R288" s="17">
        <v>800</v>
      </c>
      <c r="S288" s="172" t="s">
        <v>51</v>
      </c>
      <c r="T288" s="17">
        <v>2030</v>
      </c>
      <c r="U288" s="14" t="s">
        <v>51</v>
      </c>
      <c r="V288" s="16">
        <f t="shared" si="45"/>
        <v>244044</v>
      </c>
      <c r="W288" s="16">
        <f t="shared" si="46"/>
        <v>244051</v>
      </c>
      <c r="X288" s="16">
        <f t="shared" si="47"/>
        <v>244046</v>
      </c>
      <c r="Y288" s="15"/>
      <c r="Z288" s="177"/>
      <c r="AA288" s="170"/>
      <c r="AB288" s="170"/>
      <c r="AC288" s="170"/>
      <c r="AD288" s="170"/>
      <c r="AE288" s="15"/>
      <c r="AF288" s="177"/>
      <c r="AG288" s="177">
        <f t="shared" si="48"/>
        <v>0</v>
      </c>
      <c r="AH288" s="177">
        <f t="shared" si="49"/>
        <v>0</v>
      </c>
      <c r="AK288" s="176"/>
      <c r="AL288" s="176"/>
    </row>
    <row r="289" spans="1:38" ht="36" customHeight="1" x14ac:dyDescent="0.2">
      <c r="A289" s="14" t="s">
        <v>19</v>
      </c>
      <c r="B289" s="212">
        <v>244046</v>
      </c>
      <c r="C289" s="14" t="s">
        <v>547</v>
      </c>
      <c r="D289" s="14" t="s">
        <v>268</v>
      </c>
      <c r="E289" s="14" t="s">
        <v>14</v>
      </c>
      <c r="F289" s="14" t="s">
        <v>324</v>
      </c>
      <c r="G289" s="179">
        <v>680288</v>
      </c>
      <c r="H289" s="176" t="s">
        <v>1368</v>
      </c>
      <c r="I289" s="176" t="s">
        <v>802</v>
      </c>
      <c r="J289" s="176" t="s">
        <v>128</v>
      </c>
      <c r="K289" s="176" t="s">
        <v>1563</v>
      </c>
      <c r="L289" s="40" t="s">
        <v>45</v>
      </c>
      <c r="M289" s="40" t="s">
        <v>341</v>
      </c>
      <c r="N289" s="14" t="s">
        <v>1567</v>
      </c>
      <c r="O289" s="14" t="s">
        <v>528</v>
      </c>
      <c r="P289" s="14" t="s">
        <v>1572</v>
      </c>
      <c r="Q289" s="14" t="s">
        <v>541</v>
      </c>
      <c r="R289" s="17">
        <v>600</v>
      </c>
      <c r="S289" s="172" t="s">
        <v>51</v>
      </c>
      <c r="T289" s="17">
        <v>2300</v>
      </c>
      <c r="U289" s="14" t="s">
        <v>51</v>
      </c>
      <c r="V289" s="16">
        <f t="shared" si="45"/>
        <v>244046</v>
      </c>
      <c r="W289" s="16">
        <f t="shared" si="46"/>
        <v>244053</v>
      </c>
      <c r="X289" s="16">
        <f t="shared" si="47"/>
        <v>244048</v>
      </c>
      <c r="Y289" s="15"/>
      <c r="Z289" s="177"/>
      <c r="AA289" s="170"/>
      <c r="AB289" s="170"/>
      <c r="AC289" s="170"/>
      <c r="AD289" s="170"/>
      <c r="AE289" s="15"/>
      <c r="AF289" s="177"/>
      <c r="AG289" s="177">
        <f t="shared" si="48"/>
        <v>0</v>
      </c>
      <c r="AH289" s="177">
        <f t="shared" si="49"/>
        <v>0</v>
      </c>
      <c r="AK289" s="176"/>
      <c r="AL289" s="176"/>
    </row>
    <row r="290" spans="1:38" ht="36" customHeight="1" x14ac:dyDescent="0.2">
      <c r="A290" s="14" t="s">
        <v>19</v>
      </c>
      <c r="B290" s="212">
        <v>244046</v>
      </c>
      <c r="C290" s="14" t="s">
        <v>547</v>
      </c>
      <c r="D290" s="14" t="s">
        <v>268</v>
      </c>
      <c r="E290" s="14" t="s">
        <v>14</v>
      </c>
      <c r="F290" s="14" t="s">
        <v>324</v>
      </c>
      <c r="G290" s="179">
        <v>680289</v>
      </c>
      <c r="H290" s="176" t="s">
        <v>1561</v>
      </c>
      <c r="I290" s="176" t="s">
        <v>802</v>
      </c>
      <c r="J290" s="176" t="s">
        <v>143</v>
      </c>
      <c r="K290" s="176" t="s">
        <v>1564</v>
      </c>
      <c r="L290" s="40" t="s">
        <v>710</v>
      </c>
      <c r="M290" s="40" t="s">
        <v>341</v>
      </c>
      <c r="N290" s="14" t="s">
        <v>1568</v>
      </c>
      <c r="O290" s="14" t="s">
        <v>552</v>
      </c>
      <c r="P290" s="14" t="s">
        <v>1314</v>
      </c>
      <c r="Q290" s="14" t="s">
        <v>553</v>
      </c>
      <c r="R290" s="17">
        <v>500</v>
      </c>
      <c r="S290" s="172" t="s">
        <v>51</v>
      </c>
      <c r="T290" s="17">
        <v>705</v>
      </c>
      <c r="U290" s="14" t="s">
        <v>51</v>
      </c>
      <c r="V290" s="16">
        <f t="shared" si="45"/>
        <v>244046</v>
      </c>
      <c r="W290" s="16">
        <f t="shared" si="46"/>
        <v>244053</v>
      </c>
      <c r="X290" s="16">
        <f t="shared" si="47"/>
        <v>244048</v>
      </c>
      <c r="Y290" s="15"/>
      <c r="Z290" s="177"/>
      <c r="AA290" s="170"/>
      <c r="AB290" s="170"/>
      <c r="AC290" s="170"/>
      <c r="AD290" s="170"/>
      <c r="AE290" s="15"/>
      <c r="AF290" s="177"/>
      <c r="AG290" s="177">
        <f t="shared" si="48"/>
        <v>0</v>
      </c>
      <c r="AH290" s="177">
        <f t="shared" si="49"/>
        <v>0</v>
      </c>
      <c r="AK290" s="176"/>
      <c r="AL290" s="176"/>
    </row>
    <row r="291" spans="1:38" ht="36" customHeight="1" x14ac:dyDescent="0.2">
      <c r="A291" s="14" t="s">
        <v>19</v>
      </c>
      <c r="B291" s="212">
        <v>244046</v>
      </c>
      <c r="C291" s="14" t="s">
        <v>547</v>
      </c>
      <c r="D291" s="14" t="s">
        <v>268</v>
      </c>
      <c r="E291" s="14" t="s">
        <v>14</v>
      </c>
      <c r="F291" s="14" t="s">
        <v>324</v>
      </c>
      <c r="G291" s="179">
        <v>680290</v>
      </c>
      <c r="H291" s="176">
        <v>935</v>
      </c>
      <c r="I291" s="176" t="s">
        <v>802</v>
      </c>
      <c r="J291" s="176" t="s">
        <v>128</v>
      </c>
      <c r="K291" s="176" t="s">
        <v>1565</v>
      </c>
      <c r="L291" s="40" t="s">
        <v>45</v>
      </c>
      <c r="M291" s="40" t="s">
        <v>341</v>
      </c>
      <c r="N291" s="14" t="s">
        <v>1569</v>
      </c>
      <c r="O291" s="14" t="s">
        <v>953</v>
      </c>
      <c r="P291" s="14" t="s">
        <v>1573</v>
      </c>
      <c r="Q291" s="14" t="s">
        <v>956</v>
      </c>
      <c r="R291" s="17">
        <v>400</v>
      </c>
      <c r="S291" s="172" t="s">
        <v>51</v>
      </c>
      <c r="T291" s="17">
        <v>2400</v>
      </c>
      <c r="U291" s="14" t="s">
        <v>51</v>
      </c>
      <c r="V291" s="16">
        <f t="shared" si="45"/>
        <v>244046</v>
      </c>
      <c r="W291" s="16">
        <f t="shared" si="46"/>
        <v>244053</v>
      </c>
      <c r="X291" s="16">
        <f t="shared" si="47"/>
        <v>244048</v>
      </c>
      <c r="Y291" s="15"/>
      <c r="Z291" s="177"/>
      <c r="AA291" s="170"/>
      <c r="AB291" s="170"/>
      <c r="AC291" s="170"/>
      <c r="AD291" s="170"/>
      <c r="AE291" s="15"/>
      <c r="AF291" s="177"/>
      <c r="AG291" s="177">
        <f t="shared" si="48"/>
        <v>0</v>
      </c>
      <c r="AH291" s="177">
        <f t="shared" si="49"/>
        <v>0</v>
      </c>
      <c r="AK291" s="176"/>
      <c r="AL291" s="176"/>
    </row>
    <row r="292" spans="1:38" ht="36" customHeight="1" x14ac:dyDescent="0.2">
      <c r="A292" s="14" t="s">
        <v>19</v>
      </c>
      <c r="B292" s="212">
        <v>244046</v>
      </c>
      <c r="C292" s="14" t="s">
        <v>547</v>
      </c>
      <c r="D292" s="14" t="s">
        <v>268</v>
      </c>
      <c r="E292" s="14" t="s">
        <v>14</v>
      </c>
      <c r="F292" s="14" t="s">
        <v>324</v>
      </c>
      <c r="G292" s="179">
        <v>680291</v>
      </c>
      <c r="H292" s="176" t="s">
        <v>1562</v>
      </c>
      <c r="I292" s="176" t="s">
        <v>551</v>
      </c>
      <c r="J292" s="176" t="s">
        <v>596</v>
      </c>
      <c r="K292" s="176" t="s">
        <v>1566</v>
      </c>
      <c r="L292" s="40" t="s">
        <v>108</v>
      </c>
      <c r="M292" s="40" t="s">
        <v>341</v>
      </c>
      <c r="N292" s="14" t="s">
        <v>1570</v>
      </c>
      <c r="O292" s="14" t="s">
        <v>1571</v>
      </c>
      <c r="P292" s="14" t="s">
        <v>1526</v>
      </c>
      <c r="Q292" s="14" t="s">
        <v>1574</v>
      </c>
      <c r="R292" s="17">
        <v>3600</v>
      </c>
      <c r="S292" s="172" t="s">
        <v>51</v>
      </c>
      <c r="T292" s="17">
        <v>3190</v>
      </c>
      <c r="U292" s="14" t="s">
        <v>51</v>
      </c>
      <c r="V292" s="16">
        <f t="shared" si="45"/>
        <v>244046</v>
      </c>
      <c r="W292" s="16">
        <f t="shared" si="46"/>
        <v>244053</v>
      </c>
      <c r="X292" s="16">
        <f t="shared" si="47"/>
        <v>244048</v>
      </c>
      <c r="Y292" s="15"/>
      <c r="Z292" s="177"/>
      <c r="AA292" s="170"/>
      <c r="AB292" s="170"/>
      <c r="AC292" s="170"/>
      <c r="AD292" s="170"/>
      <c r="AE292" s="15"/>
      <c r="AF292" s="177"/>
      <c r="AG292" s="177">
        <f t="shared" si="48"/>
        <v>0</v>
      </c>
      <c r="AH292" s="177">
        <f t="shared" si="49"/>
        <v>0</v>
      </c>
      <c r="AK292" s="176"/>
      <c r="AL292" s="176"/>
    </row>
    <row r="293" spans="1:38" ht="36" customHeight="1" x14ac:dyDescent="0.2">
      <c r="A293" s="14" t="s">
        <v>19</v>
      </c>
      <c r="B293" s="212">
        <v>244047</v>
      </c>
      <c r="C293" s="14" t="s">
        <v>547</v>
      </c>
      <c r="D293" s="14" t="s">
        <v>268</v>
      </c>
      <c r="E293" s="14" t="s">
        <v>14</v>
      </c>
      <c r="F293" s="14" t="s">
        <v>324</v>
      </c>
      <c r="G293" s="179">
        <v>680292</v>
      </c>
      <c r="H293" s="14" t="s">
        <v>1575</v>
      </c>
      <c r="I293" s="176" t="s">
        <v>1578</v>
      </c>
      <c r="J293" s="176" t="s">
        <v>123</v>
      </c>
      <c r="K293" s="176" t="s">
        <v>1579</v>
      </c>
      <c r="L293" s="40" t="s">
        <v>45</v>
      </c>
      <c r="M293" s="40" t="s">
        <v>341</v>
      </c>
      <c r="N293" s="14" t="s">
        <v>1582</v>
      </c>
      <c r="O293" s="14" t="s">
        <v>1585</v>
      </c>
      <c r="P293" s="14" t="s">
        <v>1587</v>
      </c>
      <c r="Q293" s="14" t="s">
        <v>1590</v>
      </c>
      <c r="R293" s="17">
        <v>270</v>
      </c>
      <c r="S293" s="172" t="s">
        <v>51</v>
      </c>
      <c r="T293" s="17">
        <v>1910</v>
      </c>
      <c r="U293" s="14" t="s">
        <v>51</v>
      </c>
      <c r="V293" s="16">
        <f t="shared" si="45"/>
        <v>244047</v>
      </c>
      <c r="W293" s="16">
        <f t="shared" si="46"/>
        <v>244054</v>
      </c>
      <c r="X293" s="16">
        <f t="shared" si="47"/>
        <v>244049</v>
      </c>
      <c r="Y293" s="15" t="s">
        <v>54</v>
      </c>
      <c r="Z293" s="177">
        <v>244057</v>
      </c>
      <c r="AA293" s="170"/>
      <c r="AB293" s="170"/>
      <c r="AC293" s="170"/>
      <c r="AD293" s="170"/>
      <c r="AE293" s="15" t="s">
        <v>54</v>
      </c>
      <c r="AF293" s="177">
        <v>244060</v>
      </c>
      <c r="AG293" s="177" t="str">
        <f t="shared" si="48"/>
        <v>Pass</v>
      </c>
      <c r="AH293" s="177">
        <f t="shared" si="49"/>
        <v>244060</v>
      </c>
      <c r="AK293" s="176"/>
      <c r="AL293" s="176"/>
    </row>
    <row r="294" spans="1:38" ht="36" customHeight="1" x14ac:dyDescent="0.2">
      <c r="A294" s="14" t="s">
        <v>19</v>
      </c>
      <c r="B294" s="212">
        <v>244047</v>
      </c>
      <c r="C294" s="14" t="s">
        <v>547</v>
      </c>
      <c r="D294" s="14" t="s">
        <v>268</v>
      </c>
      <c r="E294" s="14" t="s">
        <v>14</v>
      </c>
      <c r="F294" s="14" t="s">
        <v>324</v>
      </c>
      <c r="G294" s="179">
        <v>680293</v>
      </c>
      <c r="H294" s="14" t="s">
        <v>1576</v>
      </c>
      <c r="I294" s="176" t="s">
        <v>802</v>
      </c>
      <c r="J294" s="176" t="s">
        <v>132</v>
      </c>
      <c r="K294" s="176" t="s">
        <v>1580</v>
      </c>
      <c r="L294" s="40" t="s">
        <v>710</v>
      </c>
      <c r="M294" s="40" t="s">
        <v>341</v>
      </c>
      <c r="N294" s="14" t="s">
        <v>1148</v>
      </c>
      <c r="O294" s="14" t="s">
        <v>548</v>
      </c>
      <c r="P294" s="14" t="s">
        <v>518</v>
      </c>
      <c r="Q294" s="14" t="s">
        <v>549</v>
      </c>
      <c r="R294" s="17">
        <v>154</v>
      </c>
      <c r="S294" s="172" t="s">
        <v>51</v>
      </c>
      <c r="T294" s="17">
        <v>1171</v>
      </c>
      <c r="U294" s="14" t="s">
        <v>51</v>
      </c>
      <c r="V294" s="16">
        <f t="shared" si="45"/>
        <v>244047</v>
      </c>
      <c r="W294" s="16">
        <f t="shared" si="46"/>
        <v>244054</v>
      </c>
      <c r="X294" s="16">
        <f t="shared" si="47"/>
        <v>244049</v>
      </c>
      <c r="Y294" s="15" t="s">
        <v>54</v>
      </c>
      <c r="Z294" s="177">
        <v>244057</v>
      </c>
      <c r="AA294" s="170"/>
      <c r="AB294" s="170"/>
      <c r="AC294" s="170"/>
      <c r="AD294" s="170"/>
      <c r="AE294" s="15" t="s">
        <v>54</v>
      </c>
      <c r="AF294" s="177">
        <v>244061</v>
      </c>
      <c r="AG294" s="177" t="str">
        <f t="shared" si="48"/>
        <v>Pass</v>
      </c>
      <c r="AH294" s="177">
        <f t="shared" si="49"/>
        <v>244061</v>
      </c>
      <c r="AK294" s="176"/>
      <c r="AL294" s="176"/>
    </row>
    <row r="295" spans="1:38" ht="36" customHeight="1" x14ac:dyDescent="0.2">
      <c r="A295" s="14" t="s">
        <v>19</v>
      </c>
      <c r="B295" s="212">
        <v>244047</v>
      </c>
      <c r="C295" s="14" t="s">
        <v>547</v>
      </c>
      <c r="D295" s="14" t="s">
        <v>268</v>
      </c>
      <c r="E295" s="14" t="s">
        <v>14</v>
      </c>
      <c r="F295" s="14" t="s">
        <v>324</v>
      </c>
      <c r="G295" s="179">
        <v>680294</v>
      </c>
      <c r="H295" s="14" t="s">
        <v>1575</v>
      </c>
      <c r="I295" s="176" t="s">
        <v>1578</v>
      </c>
      <c r="J295" s="176" t="s">
        <v>123</v>
      </c>
      <c r="K295" s="176" t="s">
        <v>1579</v>
      </c>
      <c r="L295" s="40" t="s">
        <v>45</v>
      </c>
      <c r="M295" s="40" t="s">
        <v>341</v>
      </c>
      <c r="N295" s="14" t="s">
        <v>1583</v>
      </c>
      <c r="O295" s="14" t="s">
        <v>1588</v>
      </c>
      <c r="P295" s="14" t="s">
        <v>1589</v>
      </c>
      <c r="Q295" s="14" t="s">
        <v>542</v>
      </c>
      <c r="R295" s="17">
        <v>358</v>
      </c>
      <c r="S295" s="172" t="s">
        <v>51</v>
      </c>
      <c r="T295" s="17">
        <v>1990</v>
      </c>
      <c r="U295" s="14" t="s">
        <v>51</v>
      </c>
      <c r="V295" s="16">
        <f t="shared" ref="V295:V300" si="50">B295</f>
        <v>244047</v>
      </c>
      <c r="W295" s="16">
        <f t="shared" ref="W295:W300" si="51">B295+7</f>
        <v>244054</v>
      </c>
      <c r="X295" s="16">
        <f t="shared" ref="X295:X300" si="52">V295+2</f>
        <v>244049</v>
      </c>
      <c r="Y295" s="15" t="s">
        <v>54</v>
      </c>
      <c r="Z295" s="177">
        <v>244057</v>
      </c>
      <c r="AA295" s="170"/>
      <c r="AB295" s="170"/>
      <c r="AC295" s="170"/>
      <c r="AD295" s="170"/>
      <c r="AE295" s="15" t="s">
        <v>54</v>
      </c>
      <c r="AF295" s="177">
        <v>244061</v>
      </c>
      <c r="AG295" s="177" t="str">
        <f t="shared" si="48"/>
        <v>Pass</v>
      </c>
      <c r="AH295" s="177">
        <f t="shared" si="49"/>
        <v>244061</v>
      </c>
      <c r="AK295" s="176"/>
      <c r="AL295" s="176"/>
    </row>
    <row r="296" spans="1:38" ht="36" customHeight="1" x14ac:dyDescent="0.2">
      <c r="A296" s="14" t="s">
        <v>19</v>
      </c>
      <c r="B296" s="212">
        <v>244047</v>
      </c>
      <c r="C296" s="14" t="s">
        <v>547</v>
      </c>
      <c r="D296" s="14" t="s">
        <v>268</v>
      </c>
      <c r="E296" s="14" t="s">
        <v>14</v>
      </c>
      <c r="F296" s="14" t="s">
        <v>324</v>
      </c>
      <c r="G296" s="179">
        <v>680295</v>
      </c>
      <c r="H296" s="14" t="s">
        <v>1577</v>
      </c>
      <c r="I296" s="176" t="s">
        <v>802</v>
      </c>
      <c r="J296" s="176" t="s">
        <v>882</v>
      </c>
      <c r="K296" s="176" t="s">
        <v>1581</v>
      </c>
      <c r="L296" s="40" t="s">
        <v>105</v>
      </c>
      <c r="M296" s="40" t="s">
        <v>341</v>
      </c>
      <c r="N296" s="14" t="s">
        <v>1584</v>
      </c>
      <c r="O296" s="14" t="s">
        <v>1586</v>
      </c>
      <c r="P296" s="14" t="s">
        <v>901</v>
      </c>
      <c r="Q296" s="14" t="s">
        <v>1591</v>
      </c>
      <c r="R296" s="17">
        <v>2500</v>
      </c>
      <c r="S296" s="172" t="s">
        <v>51</v>
      </c>
      <c r="T296" s="17" t="s">
        <v>1592</v>
      </c>
      <c r="U296" s="14" t="s">
        <v>51</v>
      </c>
      <c r="V296" s="16">
        <f t="shared" si="50"/>
        <v>244047</v>
      </c>
      <c r="W296" s="16">
        <f t="shared" si="51"/>
        <v>244054</v>
      </c>
      <c r="X296" s="16">
        <f t="shared" si="52"/>
        <v>244049</v>
      </c>
      <c r="Y296" s="15" t="s">
        <v>54</v>
      </c>
      <c r="Z296" s="177">
        <v>244027</v>
      </c>
      <c r="AA296" s="170"/>
      <c r="AB296" s="170"/>
      <c r="AC296" s="170"/>
      <c r="AD296" s="170"/>
      <c r="AE296" s="15" t="s">
        <v>54</v>
      </c>
      <c r="AF296" s="177">
        <v>244056</v>
      </c>
      <c r="AG296" s="177" t="str">
        <f t="shared" si="48"/>
        <v>Pass</v>
      </c>
      <c r="AH296" s="177">
        <f t="shared" si="49"/>
        <v>244056</v>
      </c>
      <c r="AK296" s="176"/>
      <c r="AL296" s="176"/>
    </row>
    <row r="297" spans="1:38" ht="36" customHeight="1" x14ac:dyDescent="0.2">
      <c r="A297" s="14" t="s">
        <v>19</v>
      </c>
      <c r="B297" s="212">
        <v>244049</v>
      </c>
      <c r="C297" s="14" t="s">
        <v>547</v>
      </c>
      <c r="D297" s="14" t="s">
        <v>268</v>
      </c>
      <c r="E297" s="14" t="s">
        <v>14</v>
      </c>
      <c r="F297" s="14" t="s">
        <v>324</v>
      </c>
      <c r="G297" s="179">
        <v>680296</v>
      </c>
      <c r="H297" s="176" t="s">
        <v>1449</v>
      </c>
      <c r="I297" s="176" t="s">
        <v>550</v>
      </c>
      <c r="J297" s="176" t="s">
        <v>128</v>
      </c>
      <c r="K297" s="176" t="s">
        <v>1594</v>
      </c>
      <c r="L297" s="40" t="s">
        <v>106</v>
      </c>
      <c r="M297" s="40" t="s">
        <v>341</v>
      </c>
      <c r="N297" s="14" t="s">
        <v>1598</v>
      </c>
      <c r="O297" s="14" t="s">
        <v>548</v>
      </c>
      <c r="P297" s="14" t="s">
        <v>518</v>
      </c>
      <c r="Q297" s="14" t="s">
        <v>549</v>
      </c>
      <c r="R297" s="17">
        <v>226</v>
      </c>
      <c r="S297" s="172" t="s">
        <v>51</v>
      </c>
      <c r="T297" s="17">
        <v>2160</v>
      </c>
      <c r="U297" s="14" t="s">
        <v>51</v>
      </c>
      <c r="V297" s="16">
        <f t="shared" si="50"/>
        <v>244049</v>
      </c>
      <c r="W297" s="16">
        <f t="shared" si="51"/>
        <v>244056</v>
      </c>
      <c r="X297" s="16">
        <f t="shared" si="52"/>
        <v>244051</v>
      </c>
      <c r="Y297" s="15"/>
      <c r="Z297" s="177"/>
      <c r="AA297" s="170"/>
      <c r="AB297" s="170"/>
      <c r="AC297" s="170"/>
      <c r="AD297" s="170"/>
      <c r="AE297" s="15"/>
      <c r="AF297" s="177"/>
      <c r="AG297" s="177">
        <f t="shared" si="48"/>
        <v>0</v>
      </c>
      <c r="AH297" s="177">
        <f t="shared" si="49"/>
        <v>0</v>
      </c>
      <c r="AK297" s="176"/>
      <c r="AL297" s="176"/>
    </row>
    <row r="298" spans="1:38" ht="36" customHeight="1" x14ac:dyDescent="0.2">
      <c r="A298" s="14" t="s">
        <v>19</v>
      </c>
      <c r="B298" s="212">
        <v>244049</v>
      </c>
      <c r="C298" s="14" t="s">
        <v>547</v>
      </c>
      <c r="D298" s="14" t="s">
        <v>268</v>
      </c>
      <c r="E298" s="14" t="s">
        <v>14</v>
      </c>
      <c r="F298" s="14" t="s">
        <v>324</v>
      </c>
      <c r="G298" s="179">
        <v>680297</v>
      </c>
      <c r="H298" s="176" t="s">
        <v>1449</v>
      </c>
      <c r="I298" s="176" t="s">
        <v>550</v>
      </c>
      <c r="J298" s="176" t="s">
        <v>128</v>
      </c>
      <c r="K298" s="176" t="s">
        <v>1595</v>
      </c>
      <c r="L298" s="40" t="s">
        <v>106</v>
      </c>
      <c r="M298" s="40" t="s">
        <v>341</v>
      </c>
      <c r="N298" s="14" t="s">
        <v>1599</v>
      </c>
      <c r="O298" s="14" t="s">
        <v>527</v>
      </c>
      <c r="P298" s="14" t="s">
        <v>1180</v>
      </c>
      <c r="Q298" s="14" t="s">
        <v>542</v>
      </c>
      <c r="R298" s="17">
        <v>162</v>
      </c>
      <c r="S298" s="172" t="s">
        <v>51</v>
      </c>
      <c r="T298" s="17">
        <v>2170</v>
      </c>
      <c r="U298" s="14" t="s">
        <v>51</v>
      </c>
      <c r="V298" s="16">
        <f t="shared" si="50"/>
        <v>244049</v>
      </c>
      <c r="W298" s="16">
        <f t="shared" si="51"/>
        <v>244056</v>
      </c>
      <c r="X298" s="16">
        <f t="shared" si="52"/>
        <v>244051</v>
      </c>
      <c r="Y298" s="15"/>
      <c r="Z298" s="177"/>
      <c r="AA298" s="170"/>
      <c r="AB298" s="170"/>
      <c r="AC298" s="170"/>
      <c r="AD298" s="170"/>
      <c r="AE298" s="15"/>
      <c r="AF298" s="177"/>
      <c r="AG298" s="177">
        <f t="shared" si="48"/>
        <v>0</v>
      </c>
      <c r="AH298" s="177">
        <f t="shared" si="49"/>
        <v>0</v>
      </c>
      <c r="AK298" s="176"/>
      <c r="AL298" s="176"/>
    </row>
    <row r="299" spans="1:38" ht="36" customHeight="1" x14ac:dyDescent="0.2">
      <c r="A299" s="14" t="s">
        <v>19</v>
      </c>
      <c r="B299" s="212">
        <v>244049</v>
      </c>
      <c r="C299" s="14" t="s">
        <v>547</v>
      </c>
      <c r="D299" s="14" t="s">
        <v>268</v>
      </c>
      <c r="E299" s="14" t="s">
        <v>14</v>
      </c>
      <c r="F299" s="14" t="s">
        <v>324</v>
      </c>
      <c r="G299" s="179">
        <v>680298</v>
      </c>
      <c r="H299" s="176" t="s">
        <v>1262</v>
      </c>
      <c r="I299" s="176" t="s">
        <v>802</v>
      </c>
      <c r="J299" s="176" t="s">
        <v>131</v>
      </c>
      <c r="K299" s="176" t="s">
        <v>1596</v>
      </c>
      <c r="L299" s="40" t="s">
        <v>105</v>
      </c>
      <c r="M299" s="40" t="s">
        <v>341</v>
      </c>
      <c r="N299" s="14" t="s">
        <v>1600</v>
      </c>
      <c r="O299" s="14" t="s">
        <v>548</v>
      </c>
      <c r="P299" s="14" t="s">
        <v>518</v>
      </c>
      <c r="Q299" s="14" t="s">
        <v>549</v>
      </c>
      <c r="R299" s="17">
        <v>328</v>
      </c>
      <c r="S299" s="172" t="s">
        <v>51</v>
      </c>
      <c r="T299" s="17" t="s">
        <v>1602</v>
      </c>
      <c r="U299" s="14" t="s">
        <v>51</v>
      </c>
      <c r="V299" s="16">
        <f t="shared" si="50"/>
        <v>244049</v>
      </c>
      <c r="W299" s="16">
        <f t="shared" si="51"/>
        <v>244056</v>
      </c>
      <c r="X299" s="16">
        <f t="shared" si="52"/>
        <v>244051</v>
      </c>
      <c r="Y299" s="15" t="s">
        <v>54</v>
      </c>
      <c r="Z299" s="177">
        <v>244027</v>
      </c>
      <c r="AA299" s="170"/>
      <c r="AB299" s="170"/>
      <c r="AC299" s="170"/>
      <c r="AD299" s="170"/>
      <c r="AE299" s="15" t="s">
        <v>54</v>
      </c>
      <c r="AF299" s="177">
        <v>244056</v>
      </c>
      <c r="AG299" s="177" t="str">
        <f t="shared" si="48"/>
        <v>Pass</v>
      </c>
      <c r="AH299" s="177">
        <f t="shared" si="49"/>
        <v>244056</v>
      </c>
      <c r="AK299" s="176"/>
      <c r="AL299" s="176"/>
    </row>
    <row r="300" spans="1:38" ht="36" customHeight="1" x14ac:dyDescent="0.2">
      <c r="A300" s="14" t="s">
        <v>19</v>
      </c>
      <c r="B300" s="212">
        <v>244049</v>
      </c>
      <c r="C300" s="14" t="s">
        <v>547</v>
      </c>
      <c r="D300" s="14" t="s">
        <v>268</v>
      </c>
      <c r="E300" s="14" t="s">
        <v>14</v>
      </c>
      <c r="F300" s="14" t="s">
        <v>324</v>
      </c>
      <c r="G300" s="179">
        <v>680299</v>
      </c>
      <c r="H300" s="176" t="s">
        <v>1593</v>
      </c>
      <c r="I300" s="176" t="s">
        <v>774</v>
      </c>
      <c r="J300" s="176" t="s">
        <v>776</v>
      </c>
      <c r="K300" s="176" t="s">
        <v>1597</v>
      </c>
      <c r="L300" s="40" t="s">
        <v>46</v>
      </c>
      <c r="M300" s="40" t="s">
        <v>341</v>
      </c>
      <c r="N300" s="14" t="s">
        <v>1601</v>
      </c>
      <c r="O300" s="14" t="s">
        <v>552</v>
      </c>
      <c r="P300" s="14" t="s">
        <v>793</v>
      </c>
      <c r="Q300" s="14" t="s">
        <v>553</v>
      </c>
      <c r="R300" s="17">
        <v>3225</v>
      </c>
      <c r="S300" s="172" t="s">
        <v>51</v>
      </c>
      <c r="T300" s="17">
        <v>1730</v>
      </c>
      <c r="U300" s="14" t="s">
        <v>51</v>
      </c>
      <c r="V300" s="16">
        <f t="shared" si="50"/>
        <v>244049</v>
      </c>
      <c r="W300" s="16">
        <f t="shared" si="51"/>
        <v>244056</v>
      </c>
      <c r="X300" s="16">
        <f t="shared" si="52"/>
        <v>244051</v>
      </c>
      <c r="Y300" s="15" t="s">
        <v>54</v>
      </c>
      <c r="Z300" s="177">
        <v>244027</v>
      </c>
      <c r="AA300" s="170"/>
      <c r="AB300" s="170"/>
      <c r="AC300" s="170"/>
      <c r="AD300" s="170"/>
      <c r="AE300" s="15" t="s">
        <v>54</v>
      </c>
      <c r="AF300" s="177">
        <v>244056</v>
      </c>
      <c r="AG300" s="177" t="str">
        <f t="shared" si="48"/>
        <v>Pass</v>
      </c>
      <c r="AH300" s="177">
        <f t="shared" si="49"/>
        <v>244056</v>
      </c>
      <c r="AK300" s="176"/>
      <c r="AL300" s="176"/>
    </row>
    <row r="301" spans="1:38" ht="36" customHeight="1" x14ac:dyDescent="0.2">
      <c r="A301" s="14" t="s">
        <v>19</v>
      </c>
      <c r="B301" s="212">
        <v>244050</v>
      </c>
      <c r="C301" s="14" t="s">
        <v>547</v>
      </c>
      <c r="D301" s="14" t="s">
        <v>268</v>
      </c>
      <c r="E301" s="14" t="s">
        <v>14</v>
      </c>
      <c r="F301" s="14" t="s">
        <v>324</v>
      </c>
      <c r="G301" s="179">
        <v>680300</v>
      </c>
      <c r="H301" s="176" t="s">
        <v>1603</v>
      </c>
      <c r="I301" s="176" t="s">
        <v>551</v>
      </c>
      <c r="J301" s="176" t="s">
        <v>596</v>
      </c>
      <c r="K301" s="176" t="s">
        <v>1607</v>
      </c>
      <c r="L301" s="40" t="s">
        <v>108</v>
      </c>
      <c r="M301" s="40" t="s">
        <v>341</v>
      </c>
      <c r="N301" s="14" t="s">
        <v>1611</v>
      </c>
      <c r="O301" s="14" t="s">
        <v>552</v>
      </c>
      <c r="P301" s="14" t="s">
        <v>519</v>
      </c>
      <c r="Q301" s="14" t="s">
        <v>553</v>
      </c>
      <c r="R301" s="17">
        <v>375</v>
      </c>
      <c r="S301" s="172" t="s">
        <v>51</v>
      </c>
      <c r="T301" s="17">
        <v>1800</v>
      </c>
      <c r="U301" s="14" t="s">
        <v>51</v>
      </c>
      <c r="V301" s="16">
        <f t="shared" ref="V301" si="53">B301</f>
        <v>244050</v>
      </c>
      <c r="W301" s="16">
        <f t="shared" ref="W301" si="54">B301+7</f>
        <v>244057</v>
      </c>
      <c r="X301" s="16">
        <f t="shared" ref="X301" si="55">V301+2</f>
        <v>244052</v>
      </c>
      <c r="Y301" s="15" t="s">
        <v>54</v>
      </c>
      <c r="Z301" s="177">
        <v>244056</v>
      </c>
      <c r="AA301" s="170"/>
      <c r="AB301" s="170"/>
      <c r="AC301" s="170"/>
      <c r="AD301" s="170"/>
      <c r="AE301" s="15" t="s">
        <v>54</v>
      </c>
      <c r="AF301" s="177">
        <v>244056</v>
      </c>
      <c r="AG301" s="177" t="str">
        <f t="shared" ref="AG301:AG364" si="56">AE301</f>
        <v>Pass</v>
      </c>
      <c r="AH301" s="177">
        <f t="shared" ref="AH301:AH364" si="57">AF301</f>
        <v>244056</v>
      </c>
      <c r="AK301" s="176"/>
      <c r="AL301" s="176"/>
    </row>
    <row r="302" spans="1:38" ht="36" customHeight="1" x14ac:dyDescent="0.2">
      <c r="A302" s="14" t="s">
        <v>19</v>
      </c>
      <c r="B302" s="212">
        <v>244050</v>
      </c>
      <c r="C302" s="14" t="s">
        <v>547</v>
      </c>
      <c r="D302" s="14" t="s">
        <v>268</v>
      </c>
      <c r="E302" s="14" t="s">
        <v>14</v>
      </c>
      <c r="F302" s="14" t="s">
        <v>324</v>
      </c>
      <c r="G302" s="179">
        <v>680301</v>
      </c>
      <c r="H302" s="176" t="s">
        <v>1604</v>
      </c>
      <c r="I302" s="176" t="s">
        <v>908</v>
      </c>
      <c r="J302" s="176" t="s">
        <v>133</v>
      </c>
      <c r="K302" s="176" t="s">
        <v>1608</v>
      </c>
      <c r="L302" s="40" t="s">
        <v>45</v>
      </c>
      <c r="M302" s="40" t="s">
        <v>341</v>
      </c>
      <c r="N302" s="14" t="s">
        <v>1612</v>
      </c>
      <c r="O302" s="14" t="s">
        <v>693</v>
      </c>
      <c r="P302" s="14" t="s">
        <v>1621</v>
      </c>
      <c r="Q302" s="14" t="s">
        <v>696</v>
      </c>
      <c r="R302" s="17">
        <v>700</v>
      </c>
      <c r="S302" s="172" t="s">
        <v>51</v>
      </c>
      <c r="T302" s="17">
        <v>1860</v>
      </c>
      <c r="U302" s="14" t="s">
        <v>51</v>
      </c>
      <c r="V302" s="16">
        <f t="shared" ref="V302:V346" si="58">B302</f>
        <v>244050</v>
      </c>
      <c r="W302" s="16">
        <f t="shared" ref="W302:W346" si="59">B302+7</f>
        <v>244057</v>
      </c>
      <c r="X302" s="16">
        <f t="shared" ref="X302:X365" si="60">V302+2</f>
        <v>244052</v>
      </c>
      <c r="Y302" s="15" t="s">
        <v>54</v>
      </c>
      <c r="Z302" s="177">
        <v>244057</v>
      </c>
      <c r="AA302" s="170"/>
      <c r="AB302" s="170"/>
      <c r="AC302" s="170"/>
      <c r="AD302" s="170"/>
      <c r="AE302" s="15" t="s">
        <v>54</v>
      </c>
      <c r="AF302" s="177">
        <v>244061</v>
      </c>
      <c r="AG302" s="177" t="str">
        <f t="shared" si="56"/>
        <v>Pass</v>
      </c>
      <c r="AH302" s="177">
        <f t="shared" si="57"/>
        <v>244061</v>
      </c>
      <c r="AK302" s="176"/>
      <c r="AL302" s="176"/>
    </row>
    <row r="303" spans="1:38" ht="36" customHeight="1" x14ac:dyDescent="0.2">
      <c r="A303" s="14" t="s">
        <v>19</v>
      </c>
      <c r="B303" s="212">
        <v>244050</v>
      </c>
      <c r="C303" s="14" t="s">
        <v>547</v>
      </c>
      <c r="D303" s="14" t="s">
        <v>268</v>
      </c>
      <c r="E303" s="14" t="s">
        <v>14</v>
      </c>
      <c r="F303" s="14" t="s">
        <v>324</v>
      </c>
      <c r="G303" s="179">
        <v>680302</v>
      </c>
      <c r="H303" s="176" t="s">
        <v>1605</v>
      </c>
      <c r="I303" s="176" t="s">
        <v>802</v>
      </c>
      <c r="J303" s="176" t="s">
        <v>882</v>
      </c>
      <c r="K303" s="176" t="s">
        <v>1609</v>
      </c>
      <c r="L303" s="40" t="s">
        <v>105</v>
      </c>
      <c r="M303" s="40" t="s">
        <v>341</v>
      </c>
      <c r="N303" s="14" t="s">
        <v>1613</v>
      </c>
      <c r="O303" s="14" t="s">
        <v>552</v>
      </c>
      <c r="P303" s="14" t="s">
        <v>1622</v>
      </c>
      <c r="Q303" s="14" t="s">
        <v>553</v>
      </c>
      <c r="R303" s="17">
        <v>850</v>
      </c>
      <c r="S303" s="172" t="s">
        <v>51</v>
      </c>
      <c r="T303" s="17">
        <v>1400</v>
      </c>
      <c r="U303" s="14" t="s">
        <v>51</v>
      </c>
      <c r="V303" s="16">
        <f t="shared" si="58"/>
        <v>244050</v>
      </c>
      <c r="W303" s="16">
        <f t="shared" si="59"/>
        <v>244057</v>
      </c>
      <c r="X303" s="16">
        <f t="shared" si="60"/>
        <v>244052</v>
      </c>
      <c r="Y303" s="15" t="s">
        <v>54</v>
      </c>
      <c r="Z303" s="177">
        <v>244057</v>
      </c>
      <c r="AA303" s="170"/>
      <c r="AB303" s="170"/>
      <c r="AC303" s="170"/>
      <c r="AD303" s="170"/>
      <c r="AE303" s="15" t="s">
        <v>54</v>
      </c>
      <c r="AF303" s="177">
        <v>244060</v>
      </c>
      <c r="AG303" s="177" t="str">
        <f t="shared" si="56"/>
        <v>Pass</v>
      </c>
      <c r="AH303" s="177">
        <f t="shared" si="57"/>
        <v>244060</v>
      </c>
      <c r="AK303" s="176"/>
      <c r="AL303" s="176"/>
    </row>
    <row r="304" spans="1:38" ht="36" customHeight="1" x14ac:dyDescent="0.2">
      <c r="A304" s="14" t="s">
        <v>19</v>
      </c>
      <c r="B304" s="212">
        <v>244050</v>
      </c>
      <c r="C304" s="14" t="s">
        <v>547</v>
      </c>
      <c r="D304" s="14" t="s">
        <v>268</v>
      </c>
      <c r="E304" s="14" t="s">
        <v>14</v>
      </c>
      <c r="F304" s="14" t="s">
        <v>324</v>
      </c>
      <c r="G304" s="179">
        <v>680303</v>
      </c>
      <c r="H304" s="176" t="s">
        <v>1604</v>
      </c>
      <c r="I304" s="176" t="s">
        <v>908</v>
      </c>
      <c r="J304" s="176" t="s">
        <v>133</v>
      </c>
      <c r="K304" s="176" t="s">
        <v>1608</v>
      </c>
      <c r="L304" s="40" t="s">
        <v>45</v>
      </c>
      <c r="M304" s="40" t="s">
        <v>341</v>
      </c>
      <c r="N304" s="14" t="s">
        <v>1614</v>
      </c>
      <c r="O304" s="14" t="s">
        <v>1618</v>
      </c>
      <c r="P304" s="14" t="s">
        <v>1623</v>
      </c>
      <c r="Q304" s="14" t="s">
        <v>1627</v>
      </c>
      <c r="R304" s="17">
        <v>248</v>
      </c>
      <c r="S304" s="172" t="s">
        <v>51</v>
      </c>
      <c r="T304" s="17">
        <v>1860</v>
      </c>
      <c r="U304" s="14" t="s">
        <v>51</v>
      </c>
      <c r="V304" s="16">
        <f t="shared" si="58"/>
        <v>244050</v>
      </c>
      <c r="W304" s="16">
        <f t="shared" si="59"/>
        <v>244057</v>
      </c>
      <c r="X304" s="16">
        <f t="shared" si="60"/>
        <v>244052</v>
      </c>
      <c r="Y304" s="15" t="s">
        <v>54</v>
      </c>
      <c r="Z304" s="177">
        <v>244057</v>
      </c>
      <c r="AA304" s="170"/>
      <c r="AB304" s="170"/>
      <c r="AC304" s="170"/>
      <c r="AD304" s="170"/>
      <c r="AE304" s="15" t="s">
        <v>54</v>
      </c>
      <c r="AF304" s="177">
        <v>244061</v>
      </c>
      <c r="AG304" s="177" t="str">
        <f t="shared" si="56"/>
        <v>Pass</v>
      </c>
      <c r="AH304" s="177">
        <f t="shared" si="57"/>
        <v>244061</v>
      </c>
      <c r="AK304" s="176"/>
      <c r="AL304" s="176"/>
    </row>
    <row r="305" spans="1:38" ht="36" customHeight="1" x14ac:dyDescent="0.2">
      <c r="A305" s="14" t="s">
        <v>19</v>
      </c>
      <c r="B305" s="212">
        <v>244050</v>
      </c>
      <c r="C305" s="14" t="s">
        <v>547</v>
      </c>
      <c r="D305" s="14" t="s">
        <v>268</v>
      </c>
      <c r="E305" s="14" t="s">
        <v>14</v>
      </c>
      <c r="F305" s="14" t="s">
        <v>324</v>
      </c>
      <c r="G305" s="179">
        <v>680304</v>
      </c>
      <c r="H305" s="176" t="s">
        <v>1606</v>
      </c>
      <c r="I305" s="176" t="s">
        <v>630</v>
      </c>
      <c r="J305" s="176" t="s">
        <v>520</v>
      </c>
      <c r="K305" s="176" t="s">
        <v>1610</v>
      </c>
      <c r="L305" s="40" t="s">
        <v>46</v>
      </c>
      <c r="M305" s="40" t="s">
        <v>341</v>
      </c>
      <c r="N305" s="14" t="s">
        <v>1615</v>
      </c>
      <c r="O305" s="14" t="s">
        <v>1619</v>
      </c>
      <c r="P305" s="14" t="s">
        <v>1624</v>
      </c>
      <c r="Q305" s="14" t="s">
        <v>1628</v>
      </c>
      <c r="R305" s="17">
        <v>160</v>
      </c>
      <c r="S305" s="172" t="s">
        <v>51</v>
      </c>
      <c r="T305" s="17">
        <v>1900</v>
      </c>
      <c r="U305" s="14" t="s">
        <v>51</v>
      </c>
      <c r="V305" s="16">
        <f t="shared" si="58"/>
        <v>244050</v>
      </c>
      <c r="W305" s="16">
        <f t="shared" si="59"/>
        <v>244057</v>
      </c>
      <c r="X305" s="16">
        <f t="shared" si="60"/>
        <v>244052</v>
      </c>
      <c r="Y305" s="15" t="s">
        <v>54</v>
      </c>
      <c r="Z305" s="177">
        <v>244027</v>
      </c>
      <c r="AA305" s="170"/>
      <c r="AB305" s="170"/>
      <c r="AC305" s="170"/>
      <c r="AD305" s="170"/>
      <c r="AE305" s="15" t="s">
        <v>54</v>
      </c>
      <c r="AF305" s="177">
        <v>244056</v>
      </c>
      <c r="AG305" s="177" t="str">
        <f t="shared" si="56"/>
        <v>Pass</v>
      </c>
      <c r="AH305" s="177">
        <f t="shared" si="57"/>
        <v>244056</v>
      </c>
      <c r="AK305" s="176"/>
      <c r="AL305" s="176"/>
    </row>
    <row r="306" spans="1:38" ht="36" customHeight="1" x14ac:dyDescent="0.2">
      <c r="A306" s="14" t="s">
        <v>19</v>
      </c>
      <c r="B306" s="212">
        <v>244050</v>
      </c>
      <c r="C306" s="14" t="s">
        <v>547</v>
      </c>
      <c r="D306" s="14" t="s">
        <v>268</v>
      </c>
      <c r="E306" s="14" t="s">
        <v>14</v>
      </c>
      <c r="F306" s="14" t="s">
        <v>324</v>
      </c>
      <c r="G306" s="179">
        <v>680305</v>
      </c>
      <c r="H306" s="176" t="s">
        <v>1606</v>
      </c>
      <c r="I306" s="176" t="s">
        <v>630</v>
      </c>
      <c r="J306" s="176" t="s">
        <v>520</v>
      </c>
      <c r="K306" s="176" t="s">
        <v>1610</v>
      </c>
      <c r="L306" s="40" t="s">
        <v>46</v>
      </c>
      <c r="M306" s="40" t="s">
        <v>341</v>
      </c>
      <c r="N306" s="14" t="s">
        <v>1617</v>
      </c>
      <c r="O306" s="14" t="s">
        <v>693</v>
      </c>
      <c r="P306" s="14" t="s">
        <v>1625</v>
      </c>
      <c r="Q306" s="14" t="s">
        <v>696</v>
      </c>
      <c r="R306" s="17">
        <v>600</v>
      </c>
      <c r="S306" s="172" t="s">
        <v>51</v>
      </c>
      <c r="T306" s="17">
        <v>2100</v>
      </c>
      <c r="U306" s="14" t="s">
        <v>51</v>
      </c>
      <c r="V306" s="16">
        <f t="shared" si="58"/>
        <v>244050</v>
      </c>
      <c r="W306" s="16">
        <f t="shared" si="59"/>
        <v>244057</v>
      </c>
      <c r="X306" s="16">
        <f t="shared" si="60"/>
        <v>244052</v>
      </c>
      <c r="Y306" s="15" t="s">
        <v>54</v>
      </c>
      <c r="Z306" s="177">
        <v>244027</v>
      </c>
      <c r="AA306" s="170"/>
      <c r="AB306" s="170"/>
      <c r="AC306" s="170"/>
      <c r="AD306" s="170"/>
      <c r="AE306" s="15" t="s">
        <v>54</v>
      </c>
      <c r="AF306" s="177">
        <v>244056</v>
      </c>
      <c r="AG306" s="177" t="str">
        <f t="shared" si="56"/>
        <v>Pass</v>
      </c>
      <c r="AH306" s="177">
        <f t="shared" si="57"/>
        <v>244056</v>
      </c>
      <c r="AK306" s="176"/>
      <c r="AL306" s="176"/>
    </row>
    <row r="307" spans="1:38" ht="36" customHeight="1" x14ac:dyDescent="0.2">
      <c r="A307" s="14" t="s">
        <v>19</v>
      </c>
      <c r="B307" s="212">
        <v>244050</v>
      </c>
      <c r="C307" s="14" t="s">
        <v>547</v>
      </c>
      <c r="D307" s="14" t="s">
        <v>268</v>
      </c>
      <c r="E307" s="14" t="s">
        <v>14</v>
      </c>
      <c r="F307" s="14" t="s">
        <v>324</v>
      </c>
      <c r="G307" s="179">
        <v>680306</v>
      </c>
      <c r="H307" s="176" t="s">
        <v>1606</v>
      </c>
      <c r="I307" s="176" t="s">
        <v>630</v>
      </c>
      <c r="J307" s="176" t="s">
        <v>520</v>
      </c>
      <c r="K307" s="176" t="s">
        <v>1610</v>
      </c>
      <c r="L307" s="40" t="s">
        <v>46</v>
      </c>
      <c r="M307" s="40" t="s">
        <v>341</v>
      </c>
      <c r="N307" s="14" t="s">
        <v>1616</v>
      </c>
      <c r="O307" s="14" t="s">
        <v>1620</v>
      </c>
      <c r="P307" s="14" t="s">
        <v>1626</v>
      </c>
      <c r="Q307" s="14" t="s">
        <v>1629</v>
      </c>
      <c r="R307" s="17">
        <v>280</v>
      </c>
      <c r="S307" s="172" t="s">
        <v>51</v>
      </c>
      <c r="T307" s="17">
        <v>2100</v>
      </c>
      <c r="U307" s="14" t="s">
        <v>51</v>
      </c>
      <c r="V307" s="16">
        <f t="shared" si="58"/>
        <v>244050</v>
      </c>
      <c r="W307" s="16">
        <f t="shared" si="59"/>
        <v>244057</v>
      </c>
      <c r="X307" s="16">
        <f t="shared" si="60"/>
        <v>244052</v>
      </c>
      <c r="Y307" s="15" t="s">
        <v>54</v>
      </c>
      <c r="Z307" s="177">
        <v>244027</v>
      </c>
      <c r="AA307" s="170"/>
      <c r="AB307" s="170"/>
      <c r="AC307" s="170"/>
      <c r="AD307" s="170"/>
      <c r="AE307" s="15" t="s">
        <v>54</v>
      </c>
      <c r="AF307" s="177">
        <v>244056</v>
      </c>
      <c r="AG307" s="177" t="str">
        <f t="shared" si="56"/>
        <v>Pass</v>
      </c>
      <c r="AH307" s="177">
        <f t="shared" si="57"/>
        <v>244056</v>
      </c>
      <c r="AK307" s="176"/>
      <c r="AL307" s="176"/>
    </row>
    <row r="308" spans="1:38" ht="36" customHeight="1" x14ac:dyDescent="0.2">
      <c r="A308" s="14" t="s">
        <v>19</v>
      </c>
      <c r="B308" s="212">
        <v>244050</v>
      </c>
      <c r="C308" s="14" t="s">
        <v>547</v>
      </c>
      <c r="D308" s="14" t="s">
        <v>268</v>
      </c>
      <c r="E308" s="14" t="s">
        <v>14</v>
      </c>
      <c r="F308" s="14" t="s">
        <v>324</v>
      </c>
      <c r="G308" s="179">
        <v>680307</v>
      </c>
      <c r="H308" s="176" t="s">
        <v>1606</v>
      </c>
      <c r="I308" s="176" t="s">
        <v>630</v>
      </c>
      <c r="J308" s="176" t="s">
        <v>520</v>
      </c>
      <c r="K308" s="176" t="s">
        <v>1610</v>
      </c>
      <c r="L308" s="40" t="s">
        <v>46</v>
      </c>
      <c r="M308" s="40" t="s">
        <v>341</v>
      </c>
      <c r="N308" s="14" t="s">
        <v>765</v>
      </c>
      <c r="O308" s="14" t="s">
        <v>548</v>
      </c>
      <c r="P308" s="14" t="s">
        <v>717</v>
      </c>
      <c r="Q308" s="14" t="s">
        <v>549</v>
      </c>
      <c r="R308" s="17">
        <v>200</v>
      </c>
      <c r="S308" s="172" t="s">
        <v>51</v>
      </c>
      <c r="T308" s="17">
        <v>2100</v>
      </c>
      <c r="U308" s="14" t="s">
        <v>51</v>
      </c>
      <c r="V308" s="16">
        <f t="shared" si="58"/>
        <v>244050</v>
      </c>
      <c r="W308" s="16">
        <f t="shared" si="59"/>
        <v>244057</v>
      </c>
      <c r="X308" s="16">
        <f t="shared" si="60"/>
        <v>244052</v>
      </c>
      <c r="Y308" s="15" t="s">
        <v>54</v>
      </c>
      <c r="Z308" s="177">
        <v>244027</v>
      </c>
      <c r="AA308" s="170"/>
      <c r="AB308" s="170"/>
      <c r="AC308" s="170"/>
      <c r="AD308" s="170"/>
      <c r="AE308" s="15" t="s">
        <v>54</v>
      </c>
      <c r="AF308" s="177">
        <v>244056</v>
      </c>
      <c r="AG308" s="177" t="str">
        <f t="shared" si="56"/>
        <v>Pass</v>
      </c>
      <c r="AH308" s="177">
        <f t="shared" si="57"/>
        <v>244056</v>
      </c>
      <c r="AK308" s="176"/>
      <c r="AL308" s="176"/>
    </row>
    <row r="309" spans="1:38" ht="36" customHeight="1" x14ac:dyDescent="0.2">
      <c r="A309" s="14" t="s">
        <v>19</v>
      </c>
      <c r="B309" s="212">
        <v>244050</v>
      </c>
      <c r="C309" s="14" t="s">
        <v>547</v>
      </c>
      <c r="D309" s="14" t="s">
        <v>268</v>
      </c>
      <c r="E309" s="14" t="s">
        <v>14</v>
      </c>
      <c r="F309" s="14" t="s">
        <v>324</v>
      </c>
      <c r="G309" s="179">
        <v>680308</v>
      </c>
      <c r="H309" s="176" t="s">
        <v>1631</v>
      </c>
      <c r="I309" s="176" t="s">
        <v>1633</v>
      </c>
      <c r="J309" s="176" t="s">
        <v>1634</v>
      </c>
      <c r="K309" s="176" t="s">
        <v>1635</v>
      </c>
      <c r="L309" s="40" t="s">
        <v>46</v>
      </c>
      <c r="M309" s="40" t="s">
        <v>341</v>
      </c>
      <c r="N309" s="14" t="s">
        <v>1638</v>
      </c>
      <c r="O309" s="14" t="s">
        <v>1642</v>
      </c>
      <c r="P309" s="14" t="s">
        <v>1646</v>
      </c>
      <c r="Q309" s="14" t="s">
        <v>1649</v>
      </c>
      <c r="R309" s="17">
        <v>400</v>
      </c>
      <c r="S309" s="172" t="s">
        <v>51</v>
      </c>
      <c r="T309" s="17">
        <v>1098</v>
      </c>
      <c r="U309" s="14" t="s">
        <v>51</v>
      </c>
      <c r="V309" s="16">
        <f t="shared" si="58"/>
        <v>244050</v>
      </c>
      <c r="W309" s="16">
        <f t="shared" si="59"/>
        <v>244057</v>
      </c>
      <c r="X309" s="16">
        <f t="shared" si="60"/>
        <v>244052</v>
      </c>
      <c r="Y309" s="15" t="s">
        <v>54</v>
      </c>
      <c r="Z309" s="177">
        <v>244056</v>
      </c>
      <c r="AA309" s="170"/>
      <c r="AB309" s="170"/>
      <c r="AC309" s="170"/>
      <c r="AD309" s="170"/>
      <c r="AE309" s="15" t="s">
        <v>54</v>
      </c>
      <c r="AF309" s="177">
        <v>244056</v>
      </c>
      <c r="AG309" s="177" t="str">
        <f t="shared" si="56"/>
        <v>Pass</v>
      </c>
      <c r="AH309" s="177">
        <f t="shared" si="57"/>
        <v>244056</v>
      </c>
      <c r="AK309" s="176"/>
      <c r="AL309" s="176"/>
    </row>
    <row r="310" spans="1:38" ht="36" customHeight="1" x14ac:dyDescent="0.2">
      <c r="A310" s="14" t="s">
        <v>19</v>
      </c>
      <c r="B310" s="212">
        <v>244050</v>
      </c>
      <c r="C310" s="14" t="s">
        <v>547</v>
      </c>
      <c r="D310" s="14" t="s">
        <v>268</v>
      </c>
      <c r="E310" s="14" t="s">
        <v>14</v>
      </c>
      <c r="F310" s="14" t="s">
        <v>324</v>
      </c>
      <c r="G310" s="179">
        <v>680309</v>
      </c>
      <c r="H310" s="176" t="s">
        <v>886</v>
      </c>
      <c r="I310" s="176" t="s">
        <v>630</v>
      </c>
      <c r="J310" s="176" t="s">
        <v>821</v>
      </c>
      <c r="K310" s="176" t="s">
        <v>1636</v>
      </c>
      <c r="L310" s="40" t="s">
        <v>124</v>
      </c>
      <c r="M310" s="40" t="s">
        <v>341</v>
      </c>
      <c r="N310" s="14" t="s">
        <v>856</v>
      </c>
      <c r="O310" s="14" t="s">
        <v>1643</v>
      </c>
      <c r="P310" s="14" t="s">
        <v>1647</v>
      </c>
      <c r="Q310" s="14" t="s">
        <v>1651</v>
      </c>
      <c r="R310" s="17">
        <v>560</v>
      </c>
      <c r="S310" s="172" t="s">
        <v>51</v>
      </c>
      <c r="T310" s="17">
        <v>2574</v>
      </c>
      <c r="U310" s="14" t="s">
        <v>51</v>
      </c>
      <c r="V310" s="16">
        <f t="shared" si="58"/>
        <v>244050</v>
      </c>
      <c r="W310" s="16">
        <f t="shared" si="59"/>
        <v>244057</v>
      </c>
      <c r="X310" s="16">
        <f t="shared" si="60"/>
        <v>244052</v>
      </c>
      <c r="Y310" s="15" t="s">
        <v>54</v>
      </c>
      <c r="Z310" s="177">
        <v>244056</v>
      </c>
      <c r="AA310" s="170"/>
      <c r="AB310" s="170"/>
      <c r="AC310" s="170"/>
      <c r="AD310" s="170"/>
      <c r="AE310" s="15" t="s">
        <v>54</v>
      </c>
      <c r="AF310" s="177">
        <v>244056</v>
      </c>
      <c r="AG310" s="177" t="str">
        <f t="shared" si="56"/>
        <v>Pass</v>
      </c>
      <c r="AH310" s="177">
        <f t="shared" si="57"/>
        <v>244056</v>
      </c>
      <c r="AK310" s="176"/>
      <c r="AL310" s="176"/>
    </row>
    <row r="311" spans="1:38" ht="36" customHeight="1" x14ac:dyDescent="0.2">
      <c r="A311" s="14" t="s">
        <v>19</v>
      </c>
      <c r="B311" s="212">
        <v>244050</v>
      </c>
      <c r="C311" s="14" t="s">
        <v>547</v>
      </c>
      <c r="D311" s="14" t="s">
        <v>268</v>
      </c>
      <c r="E311" s="14" t="s">
        <v>14</v>
      </c>
      <c r="F311" s="14" t="s">
        <v>324</v>
      </c>
      <c r="G311" s="179">
        <v>680310</v>
      </c>
      <c r="H311" s="176" t="s">
        <v>1631</v>
      </c>
      <c r="I311" s="176" t="s">
        <v>1633</v>
      </c>
      <c r="J311" s="176" t="s">
        <v>1634</v>
      </c>
      <c r="K311" s="176" t="s">
        <v>1635</v>
      </c>
      <c r="L311" s="40" t="s">
        <v>46</v>
      </c>
      <c r="M311" s="40" t="s">
        <v>341</v>
      </c>
      <c r="N311" s="14" t="s">
        <v>1639</v>
      </c>
      <c r="O311" s="14" t="s">
        <v>548</v>
      </c>
      <c r="P311" s="14" t="s">
        <v>518</v>
      </c>
      <c r="Q311" s="14" t="s">
        <v>549</v>
      </c>
      <c r="R311" s="17">
        <v>256</v>
      </c>
      <c r="S311" s="172" t="s">
        <v>51</v>
      </c>
      <c r="T311" s="17">
        <v>2098</v>
      </c>
      <c r="U311" s="14" t="s">
        <v>51</v>
      </c>
      <c r="V311" s="16">
        <f t="shared" si="58"/>
        <v>244050</v>
      </c>
      <c r="W311" s="16">
        <f t="shared" si="59"/>
        <v>244057</v>
      </c>
      <c r="X311" s="16">
        <f t="shared" si="60"/>
        <v>244052</v>
      </c>
      <c r="Y311" s="15" t="s">
        <v>54</v>
      </c>
      <c r="Z311" s="177">
        <v>244027</v>
      </c>
      <c r="AA311" s="170"/>
      <c r="AB311" s="170"/>
      <c r="AC311" s="170"/>
      <c r="AD311" s="170"/>
      <c r="AE311" s="15" t="s">
        <v>54</v>
      </c>
      <c r="AF311" s="177">
        <v>244056</v>
      </c>
      <c r="AG311" s="177" t="str">
        <f t="shared" si="56"/>
        <v>Pass</v>
      </c>
      <c r="AH311" s="177">
        <f t="shared" si="57"/>
        <v>244056</v>
      </c>
      <c r="AK311" s="176"/>
      <c r="AL311" s="176"/>
    </row>
    <row r="312" spans="1:38" ht="36" customHeight="1" x14ac:dyDescent="0.2">
      <c r="A312" s="14" t="s">
        <v>19</v>
      </c>
      <c r="B312" s="212">
        <v>244050</v>
      </c>
      <c r="C312" s="14" t="s">
        <v>547</v>
      </c>
      <c r="D312" s="14" t="s">
        <v>268</v>
      </c>
      <c r="E312" s="14" t="s">
        <v>14</v>
      </c>
      <c r="F312" s="14" t="s">
        <v>324</v>
      </c>
      <c r="G312" s="179">
        <v>680311</v>
      </c>
      <c r="H312" s="176" t="s">
        <v>1632</v>
      </c>
      <c r="I312" s="176" t="s">
        <v>802</v>
      </c>
      <c r="J312" s="176" t="s">
        <v>882</v>
      </c>
      <c r="K312" s="176" t="s">
        <v>1637</v>
      </c>
      <c r="L312" s="40" t="s">
        <v>105</v>
      </c>
      <c r="M312" s="40" t="s">
        <v>341</v>
      </c>
      <c r="N312" s="14" t="s">
        <v>1640</v>
      </c>
      <c r="O312" s="14" t="s">
        <v>1644</v>
      </c>
      <c r="P312" s="14" t="s">
        <v>955</v>
      </c>
      <c r="Q312" s="14" t="s">
        <v>1652</v>
      </c>
      <c r="R312" s="17">
        <v>300</v>
      </c>
      <c r="S312" s="172" t="s">
        <v>51</v>
      </c>
      <c r="T312" s="17">
        <v>2305</v>
      </c>
      <c r="U312" s="14" t="s">
        <v>51</v>
      </c>
      <c r="V312" s="16">
        <f t="shared" si="58"/>
        <v>244050</v>
      </c>
      <c r="W312" s="16">
        <f t="shared" si="59"/>
        <v>244057</v>
      </c>
      <c r="X312" s="16">
        <f t="shared" si="60"/>
        <v>244052</v>
      </c>
      <c r="Y312" s="15" t="s">
        <v>54</v>
      </c>
      <c r="Z312" s="177">
        <v>244057</v>
      </c>
      <c r="AA312" s="170"/>
      <c r="AB312" s="170"/>
      <c r="AC312" s="170"/>
      <c r="AD312" s="170"/>
      <c r="AE312" s="15" t="s">
        <v>54</v>
      </c>
      <c r="AF312" s="177">
        <v>244061</v>
      </c>
      <c r="AG312" s="177" t="str">
        <f t="shared" si="56"/>
        <v>Pass</v>
      </c>
      <c r="AH312" s="177">
        <f t="shared" si="57"/>
        <v>244061</v>
      </c>
      <c r="AK312" s="176"/>
      <c r="AL312" s="176"/>
    </row>
    <row r="313" spans="1:38" ht="36" customHeight="1" x14ac:dyDescent="0.2">
      <c r="A313" s="14" t="s">
        <v>19</v>
      </c>
      <c r="B313" s="212">
        <v>244050</v>
      </c>
      <c r="C313" s="14" t="s">
        <v>547</v>
      </c>
      <c r="D313" s="14" t="s">
        <v>268</v>
      </c>
      <c r="E313" s="14" t="s">
        <v>14</v>
      </c>
      <c r="F313" s="14" t="s">
        <v>324</v>
      </c>
      <c r="G313" s="179">
        <v>680312</v>
      </c>
      <c r="H313" s="176" t="s">
        <v>1631</v>
      </c>
      <c r="I313" s="176" t="s">
        <v>1633</v>
      </c>
      <c r="J313" s="176" t="s">
        <v>1634</v>
      </c>
      <c r="K313" s="176" t="s">
        <v>1635</v>
      </c>
      <c r="L313" s="40" t="s">
        <v>46</v>
      </c>
      <c r="M313" s="40" t="s">
        <v>341</v>
      </c>
      <c r="N313" s="14" t="s">
        <v>1641</v>
      </c>
      <c r="O313" s="14" t="s">
        <v>1645</v>
      </c>
      <c r="P313" s="14" t="s">
        <v>1648</v>
      </c>
      <c r="Q313" s="14" t="s">
        <v>1650</v>
      </c>
      <c r="R313" s="17">
        <v>150</v>
      </c>
      <c r="S313" s="172" t="s">
        <v>51</v>
      </c>
      <c r="T313" s="17">
        <v>2120</v>
      </c>
      <c r="U313" s="14" t="s">
        <v>51</v>
      </c>
      <c r="V313" s="16">
        <f t="shared" si="58"/>
        <v>244050</v>
      </c>
      <c r="W313" s="16">
        <f t="shared" si="59"/>
        <v>244057</v>
      </c>
      <c r="X313" s="16">
        <f t="shared" si="60"/>
        <v>244052</v>
      </c>
      <c r="Y313" s="15" t="s">
        <v>54</v>
      </c>
      <c r="Z313" s="177">
        <v>244027</v>
      </c>
      <c r="AA313" s="170"/>
      <c r="AB313" s="170"/>
      <c r="AC313" s="170"/>
      <c r="AD313" s="170"/>
      <c r="AE313" s="15" t="s">
        <v>54</v>
      </c>
      <c r="AF313" s="177">
        <v>244056</v>
      </c>
      <c r="AG313" s="177" t="str">
        <f t="shared" si="56"/>
        <v>Pass</v>
      </c>
      <c r="AH313" s="177">
        <f t="shared" si="57"/>
        <v>244056</v>
      </c>
      <c r="AK313" s="176"/>
      <c r="AL313" s="176"/>
    </row>
    <row r="314" spans="1:38" ht="36" customHeight="1" x14ac:dyDescent="0.2">
      <c r="A314" s="14" t="s">
        <v>19</v>
      </c>
      <c r="B314" s="212">
        <v>244051</v>
      </c>
      <c r="C314" s="14" t="s">
        <v>547</v>
      </c>
      <c r="D314" s="14" t="s">
        <v>268</v>
      </c>
      <c r="E314" s="14" t="s">
        <v>14</v>
      </c>
      <c r="F314" s="14" t="s">
        <v>324</v>
      </c>
      <c r="G314" s="179">
        <v>680313</v>
      </c>
      <c r="H314" s="176" t="s">
        <v>886</v>
      </c>
      <c r="I314" s="176" t="s">
        <v>630</v>
      </c>
      <c r="J314" s="176" t="s">
        <v>821</v>
      </c>
      <c r="K314" s="176" t="s">
        <v>1636</v>
      </c>
      <c r="L314" s="40" t="s">
        <v>124</v>
      </c>
      <c r="M314" s="40" t="s">
        <v>341</v>
      </c>
      <c r="N314" s="14" t="s">
        <v>1656</v>
      </c>
      <c r="O314" s="14" t="s">
        <v>1008</v>
      </c>
      <c r="P314" s="14" t="s">
        <v>1659</v>
      </c>
      <c r="Q314" s="14" t="s">
        <v>1014</v>
      </c>
      <c r="R314" s="17">
        <v>200</v>
      </c>
      <c r="S314" s="172" t="s">
        <v>51</v>
      </c>
      <c r="T314" s="17">
        <v>8576</v>
      </c>
      <c r="U314" s="14" t="s">
        <v>51</v>
      </c>
      <c r="V314" s="16">
        <f t="shared" si="58"/>
        <v>244051</v>
      </c>
      <c r="W314" s="16">
        <f t="shared" si="59"/>
        <v>244058</v>
      </c>
      <c r="X314" s="16">
        <f t="shared" si="60"/>
        <v>244053</v>
      </c>
      <c r="Y314" s="15" t="s">
        <v>54</v>
      </c>
      <c r="Z314" s="177">
        <v>244057</v>
      </c>
      <c r="AA314" s="170"/>
      <c r="AB314" s="170"/>
      <c r="AC314" s="170"/>
      <c r="AD314" s="170"/>
      <c r="AE314" s="15" t="s">
        <v>54</v>
      </c>
      <c r="AF314" s="177">
        <v>244060</v>
      </c>
      <c r="AG314" s="177" t="str">
        <f t="shared" si="56"/>
        <v>Pass</v>
      </c>
      <c r="AH314" s="177">
        <f t="shared" si="57"/>
        <v>244060</v>
      </c>
      <c r="AK314" s="176"/>
      <c r="AL314" s="176"/>
    </row>
    <row r="315" spans="1:38" ht="36" customHeight="1" x14ac:dyDescent="0.2">
      <c r="A315" s="14" t="s">
        <v>19</v>
      </c>
      <c r="B315" s="212">
        <v>244051</v>
      </c>
      <c r="C315" s="14" t="s">
        <v>547</v>
      </c>
      <c r="D315" s="14" t="s">
        <v>268</v>
      </c>
      <c r="E315" s="14" t="s">
        <v>14</v>
      </c>
      <c r="F315" s="14" t="s">
        <v>324</v>
      </c>
      <c r="G315" s="179">
        <v>680314</v>
      </c>
      <c r="H315" s="176" t="s">
        <v>861</v>
      </c>
      <c r="I315" s="176" t="s">
        <v>551</v>
      </c>
      <c r="J315" s="176" t="s">
        <v>832</v>
      </c>
      <c r="K315" s="176" t="s">
        <v>1653</v>
      </c>
      <c r="L315" s="40" t="s">
        <v>108</v>
      </c>
      <c r="M315" s="40" t="s">
        <v>341</v>
      </c>
      <c r="N315" s="14" t="s">
        <v>1657</v>
      </c>
      <c r="O315" s="14" t="s">
        <v>552</v>
      </c>
      <c r="P315" s="14" t="s">
        <v>519</v>
      </c>
      <c r="Q315" s="14" t="s">
        <v>553</v>
      </c>
      <c r="R315" s="17">
        <v>468</v>
      </c>
      <c r="S315" s="172" t="s">
        <v>51</v>
      </c>
      <c r="T315" s="17">
        <v>2848</v>
      </c>
      <c r="U315" s="14" t="s">
        <v>51</v>
      </c>
      <c r="V315" s="16">
        <f t="shared" si="58"/>
        <v>244051</v>
      </c>
      <c r="W315" s="16">
        <f t="shared" si="59"/>
        <v>244058</v>
      </c>
      <c r="X315" s="16">
        <f t="shared" si="60"/>
        <v>244053</v>
      </c>
      <c r="Y315" s="15" t="s">
        <v>54</v>
      </c>
      <c r="Z315" s="177">
        <v>244057</v>
      </c>
      <c r="AA315" s="170"/>
      <c r="AB315" s="170"/>
      <c r="AC315" s="170"/>
      <c r="AD315" s="170"/>
      <c r="AE315" s="15" t="s">
        <v>54</v>
      </c>
      <c r="AF315" s="177">
        <v>244060</v>
      </c>
      <c r="AG315" s="177" t="str">
        <f t="shared" si="56"/>
        <v>Pass</v>
      </c>
      <c r="AH315" s="177">
        <f t="shared" si="57"/>
        <v>244060</v>
      </c>
      <c r="AK315" s="176"/>
      <c r="AL315" s="176"/>
    </row>
    <row r="316" spans="1:38" ht="36" customHeight="1" x14ac:dyDescent="0.2">
      <c r="A316" s="14" t="s">
        <v>19</v>
      </c>
      <c r="B316" s="212">
        <v>244051</v>
      </c>
      <c r="C316" s="14" t="s">
        <v>547</v>
      </c>
      <c r="D316" s="14" t="s">
        <v>268</v>
      </c>
      <c r="E316" s="14" t="s">
        <v>14</v>
      </c>
      <c r="F316" s="14" t="s">
        <v>324</v>
      </c>
      <c r="G316" s="179">
        <v>680315</v>
      </c>
      <c r="H316" s="176" t="s">
        <v>958</v>
      </c>
      <c r="I316" s="176" t="s">
        <v>748</v>
      </c>
      <c r="J316" s="176" t="s">
        <v>123</v>
      </c>
      <c r="K316" s="176" t="s">
        <v>1654</v>
      </c>
      <c r="L316" s="40" t="s">
        <v>45</v>
      </c>
      <c r="M316" s="40" t="s">
        <v>341</v>
      </c>
      <c r="N316" s="14" t="s">
        <v>765</v>
      </c>
      <c r="O316" s="14" t="s">
        <v>548</v>
      </c>
      <c r="P316" s="14" t="s">
        <v>518</v>
      </c>
      <c r="Q316" s="14" t="s">
        <v>549</v>
      </c>
      <c r="R316" s="17">
        <v>200</v>
      </c>
      <c r="S316" s="172" t="s">
        <v>51</v>
      </c>
      <c r="T316" s="17">
        <v>1800</v>
      </c>
      <c r="U316" s="14" t="s">
        <v>51</v>
      </c>
      <c r="V316" s="16">
        <f t="shared" si="58"/>
        <v>244051</v>
      </c>
      <c r="W316" s="16">
        <f t="shared" si="59"/>
        <v>244058</v>
      </c>
      <c r="X316" s="16">
        <f t="shared" si="60"/>
        <v>244053</v>
      </c>
      <c r="Y316" s="15" t="s">
        <v>54</v>
      </c>
      <c r="Z316" s="177">
        <v>244057</v>
      </c>
      <c r="AA316" s="170"/>
      <c r="AB316" s="170"/>
      <c r="AC316" s="170"/>
      <c r="AD316" s="170"/>
      <c r="AE316" s="15" t="s">
        <v>54</v>
      </c>
      <c r="AF316" s="177">
        <v>244061</v>
      </c>
      <c r="AG316" s="177" t="str">
        <f t="shared" si="56"/>
        <v>Pass</v>
      </c>
      <c r="AH316" s="177">
        <f t="shared" si="57"/>
        <v>244061</v>
      </c>
      <c r="AK316" s="176"/>
      <c r="AL316" s="176"/>
    </row>
    <row r="317" spans="1:38" ht="36" customHeight="1" x14ac:dyDescent="0.2">
      <c r="A317" s="14" t="s">
        <v>19</v>
      </c>
      <c r="B317" s="212">
        <v>244051</v>
      </c>
      <c r="C317" s="14" t="s">
        <v>547</v>
      </c>
      <c r="D317" s="14" t="s">
        <v>268</v>
      </c>
      <c r="E317" s="14" t="s">
        <v>14</v>
      </c>
      <c r="F317" s="14" t="s">
        <v>324</v>
      </c>
      <c r="G317" s="179">
        <v>680316</v>
      </c>
      <c r="H317" s="176" t="s">
        <v>826</v>
      </c>
      <c r="I317" s="176" t="s">
        <v>551</v>
      </c>
      <c r="J317" s="176" t="s">
        <v>832</v>
      </c>
      <c r="K317" s="176" t="s">
        <v>1655</v>
      </c>
      <c r="L317" s="40" t="s">
        <v>108</v>
      </c>
      <c r="M317" s="40" t="s">
        <v>341</v>
      </c>
      <c r="N317" s="14" t="s">
        <v>1658</v>
      </c>
      <c r="O317" s="14" t="s">
        <v>552</v>
      </c>
      <c r="P317" s="14" t="s">
        <v>1660</v>
      </c>
      <c r="Q317" s="14" t="s">
        <v>553</v>
      </c>
      <c r="R317" s="17">
        <v>3100</v>
      </c>
      <c r="S317" s="172" t="s">
        <v>51</v>
      </c>
      <c r="T317" s="17" t="s">
        <v>1661</v>
      </c>
      <c r="U317" s="14" t="s">
        <v>51</v>
      </c>
      <c r="V317" s="16">
        <f t="shared" si="58"/>
        <v>244051</v>
      </c>
      <c r="W317" s="16">
        <f t="shared" si="59"/>
        <v>244058</v>
      </c>
      <c r="X317" s="16">
        <f t="shared" si="60"/>
        <v>244053</v>
      </c>
      <c r="Y317" s="15" t="s">
        <v>54</v>
      </c>
      <c r="Z317" s="177">
        <v>244224</v>
      </c>
      <c r="AA317" s="170"/>
      <c r="AB317" s="170"/>
      <c r="AC317" s="170"/>
      <c r="AD317" s="170"/>
      <c r="AE317" s="15"/>
      <c r="AF317" s="177"/>
      <c r="AG317" s="177">
        <f t="shared" si="56"/>
        <v>0</v>
      </c>
      <c r="AH317" s="177">
        <f t="shared" si="57"/>
        <v>0</v>
      </c>
      <c r="AK317" s="176"/>
      <c r="AL317" s="176"/>
    </row>
    <row r="318" spans="1:38" ht="36" customHeight="1" x14ac:dyDescent="0.2">
      <c r="A318" s="14" t="s">
        <v>19</v>
      </c>
      <c r="B318" s="212">
        <v>244053</v>
      </c>
      <c r="C318" s="14" t="s">
        <v>547</v>
      </c>
      <c r="D318" s="14" t="s">
        <v>268</v>
      </c>
      <c r="E318" s="14" t="s">
        <v>14</v>
      </c>
      <c r="F318" s="14" t="s">
        <v>324</v>
      </c>
      <c r="G318" s="179">
        <v>680317</v>
      </c>
      <c r="H318" s="176" t="s">
        <v>886</v>
      </c>
      <c r="I318" s="176" t="s">
        <v>630</v>
      </c>
      <c r="J318" s="176" t="s">
        <v>821</v>
      </c>
      <c r="K318" s="176" t="s">
        <v>1636</v>
      </c>
      <c r="L318" s="40" t="s">
        <v>124</v>
      </c>
      <c r="M318" s="40" t="s">
        <v>341</v>
      </c>
      <c r="N318" s="14" t="s">
        <v>1667</v>
      </c>
      <c r="O318" s="14" t="s">
        <v>543</v>
      </c>
      <c r="P318" s="14" t="s">
        <v>517</v>
      </c>
      <c r="Q318" s="14" t="s">
        <v>529</v>
      </c>
      <c r="R318" s="17">
        <v>1000</v>
      </c>
      <c r="S318" s="172" t="s">
        <v>51</v>
      </c>
      <c r="T318" s="17">
        <v>2513</v>
      </c>
      <c r="U318" s="14" t="s">
        <v>51</v>
      </c>
      <c r="V318" s="16">
        <f t="shared" si="58"/>
        <v>244053</v>
      </c>
      <c r="W318" s="16">
        <f t="shared" si="59"/>
        <v>244060</v>
      </c>
      <c r="X318" s="16">
        <f t="shared" si="60"/>
        <v>244055</v>
      </c>
      <c r="Y318" s="15" t="s">
        <v>54</v>
      </c>
      <c r="Z318" s="177">
        <v>244057</v>
      </c>
      <c r="AA318" s="170"/>
      <c r="AB318" s="170"/>
      <c r="AC318" s="170"/>
      <c r="AD318" s="170"/>
      <c r="AE318" s="15" t="s">
        <v>54</v>
      </c>
      <c r="AF318" s="177">
        <v>244060</v>
      </c>
      <c r="AG318" s="177" t="str">
        <f t="shared" si="56"/>
        <v>Pass</v>
      </c>
      <c r="AH318" s="177">
        <f t="shared" si="57"/>
        <v>244060</v>
      </c>
      <c r="AK318" s="176"/>
      <c r="AL318" s="176"/>
    </row>
    <row r="319" spans="1:38" ht="36" customHeight="1" x14ac:dyDescent="0.2">
      <c r="A319" s="14" t="s">
        <v>19</v>
      </c>
      <c r="B319" s="212">
        <v>244053</v>
      </c>
      <c r="C319" s="14" t="s">
        <v>547</v>
      </c>
      <c r="D319" s="14" t="s">
        <v>268</v>
      </c>
      <c r="E319" s="14" t="s">
        <v>14</v>
      </c>
      <c r="F319" s="14" t="s">
        <v>324</v>
      </c>
      <c r="G319" s="179">
        <v>680318</v>
      </c>
      <c r="H319" s="176" t="s">
        <v>1662</v>
      </c>
      <c r="I319" s="176" t="s">
        <v>908</v>
      </c>
      <c r="J319" s="176" t="s">
        <v>133</v>
      </c>
      <c r="K319" s="176" t="s">
        <v>1664</v>
      </c>
      <c r="L319" s="40" t="s">
        <v>45</v>
      </c>
      <c r="M319" s="40" t="s">
        <v>341</v>
      </c>
      <c r="N319" s="14" t="s">
        <v>1668</v>
      </c>
      <c r="O319" s="14" t="s">
        <v>552</v>
      </c>
      <c r="P319" s="14" t="s">
        <v>1489</v>
      </c>
      <c r="Q319" s="14" t="s">
        <v>553</v>
      </c>
      <c r="R319" s="17">
        <v>225</v>
      </c>
      <c r="S319" s="172" t="s">
        <v>51</v>
      </c>
      <c r="T319" s="17">
        <v>1960</v>
      </c>
      <c r="U319" s="14" t="s">
        <v>51</v>
      </c>
      <c r="V319" s="16">
        <f t="shared" si="58"/>
        <v>244053</v>
      </c>
      <c r="W319" s="16">
        <f t="shared" si="59"/>
        <v>244060</v>
      </c>
      <c r="X319" s="16">
        <f t="shared" si="60"/>
        <v>244055</v>
      </c>
      <c r="Y319" s="15" t="s">
        <v>54</v>
      </c>
      <c r="Z319" s="177">
        <v>244057</v>
      </c>
      <c r="AA319" s="170"/>
      <c r="AB319" s="170"/>
      <c r="AC319" s="170"/>
      <c r="AD319" s="170"/>
      <c r="AE319" s="15" t="s">
        <v>54</v>
      </c>
      <c r="AF319" s="177">
        <v>244060</v>
      </c>
      <c r="AG319" s="177" t="str">
        <f t="shared" si="56"/>
        <v>Pass</v>
      </c>
      <c r="AH319" s="177">
        <f t="shared" si="57"/>
        <v>244060</v>
      </c>
      <c r="AK319" s="176"/>
      <c r="AL319" s="176"/>
    </row>
    <row r="320" spans="1:38" ht="36" customHeight="1" x14ac:dyDescent="0.2">
      <c r="A320" s="14" t="s">
        <v>19</v>
      </c>
      <c r="B320" s="212">
        <v>244053</v>
      </c>
      <c r="C320" s="14" t="s">
        <v>547</v>
      </c>
      <c r="D320" s="14" t="s">
        <v>268</v>
      </c>
      <c r="E320" s="14" t="s">
        <v>14</v>
      </c>
      <c r="F320" s="14" t="s">
        <v>324</v>
      </c>
      <c r="G320" s="179">
        <v>680319</v>
      </c>
      <c r="H320" s="176" t="s">
        <v>1662</v>
      </c>
      <c r="I320" s="176" t="s">
        <v>908</v>
      </c>
      <c r="J320" s="176" t="s">
        <v>133</v>
      </c>
      <c r="K320" s="176" t="s">
        <v>1664</v>
      </c>
      <c r="L320" s="40" t="s">
        <v>45</v>
      </c>
      <c r="M320" s="40" t="s">
        <v>341</v>
      </c>
      <c r="N320" s="14" t="s">
        <v>1669</v>
      </c>
      <c r="O320" s="14" t="s">
        <v>548</v>
      </c>
      <c r="P320" s="14" t="s">
        <v>1671</v>
      </c>
      <c r="Q320" s="14" t="s">
        <v>549</v>
      </c>
      <c r="R320" s="17">
        <v>269</v>
      </c>
      <c r="S320" s="172" t="s">
        <v>51</v>
      </c>
      <c r="T320" s="17">
        <v>1600</v>
      </c>
      <c r="U320" s="14" t="s">
        <v>51</v>
      </c>
      <c r="V320" s="16">
        <f t="shared" si="58"/>
        <v>244053</v>
      </c>
      <c r="W320" s="16">
        <f t="shared" si="59"/>
        <v>244060</v>
      </c>
      <c r="X320" s="16">
        <f t="shared" si="60"/>
        <v>244055</v>
      </c>
      <c r="Y320" s="15" t="s">
        <v>54</v>
      </c>
      <c r="Z320" s="177">
        <v>244057</v>
      </c>
      <c r="AA320" s="170"/>
      <c r="AB320" s="170"/>
      <c r="AC320" s="170"/>
      <c r="AD320" s="170"/>
      <c r="AE320" s="15" t="s">
        <v>54</v>
      </c>
      <c r="AF320" s="177">
        <v>244060</v>
      </c>
      <c r="AG320" s="177" t="str">
        <f t="shared" si="56"/>
        <v>Pass</v>
      </c>
      <c r="AH320" s="177">
        <f t="shared" si="57"/>
        <v>244060</v>
      </c>
      <c r="AK320" s="176"/>
      <c r="AL320" s="176"/>
    </row>
    <row r="321" spans="1:38" ht="36" customHeight="1" x14ac:dyDescent="0.2">
      <c r="A321" s="14" t="s">
        <v>19</v>
      </c>
      <c r="B321" s="212">
        <v>244053</v>
      </c>
      <c r="C321" s="14" t="s">
        <v>547</v>
      </c>
      <c r="D321" s="14" t="s">
        <v>268</v>
      </c>
      <c r="E321" s="14" t="s">
        <v>14</v>
      </c>
      <c r="F321" s="14" t="s">
        <v>324</v>
      </c>
      <c r="G321" s="179">
        <v>680320</v>
      </c>
      <c r="H321" s="176" t="s">
        <v>1547</v>
      </c>
      <c r="I321" s="176" t="s">
        <v>550</v>
      </c>
      <c r="J321" s="176" t="s">
        <v>128</v>
      </c>
      <c r="K321" s="176" t="s">
        <v>1665</v>
      </c>
      <c r="L321" s="40" t="s">
        <v>106</v>
      </c>
      <c r="M321" s="40" t="s">
        <v>341</v>
      </c>
      <c r="N321" s="14" t="s">
        <v>1670</v>
      </c>
      <c r="O321" s="14" t="s">
        <v>548</v>
      </c>
      <c r="P321" s="14" t="s">
        <v>518</v>
      </c>
      <c r="Q321" s="14" t="s">
        <v>549</v>
      </c>
      <c r="R321" s="17">
        <v>155</v>
      </c>
      <c r="S321" s="172" t="s">
        <v>51</v>
      </c>
      <c r="T321" s="17">
        <v>1778</v>
      </c>
      <c r="U321" s="14" t="s">
        <v>51</v>
      </c>
      <c r="V321" s="16">
        <f t="shared" si="58"/>
        <v>244053</v>
      </c>
      <c r="W321" s="16">
        <f t="shared" si="59"/>
        <v>244060</v>
      </c>
      <c r="X321" s="16">
        <f t="shared" si="60"/>
        <v>244055</v>
      </c>
      <c r="Y321" s="15" t="s">
        <v>54</v>
      </c>
      <c r="Z321" s="177">
        <v>244057</v>
      </c>
      <c r="AA321" s="170"/>
      <c r="AB321" s="170"/>
      <c r="AC321" s="170"/>
      <c r="AD321" s="170"/>
      <c r="AE321" s="15" t="s">
        <v>54</v>
      </c>
      <c r="AF321" s="177">
        <v>244060</v>
      </c>
      <c r="AG321" s="177" t="str">
        <f t="shared" si="56"/>
        <v>Pass</v>
      </c>
      <c r="AH321" s="177">
        <f t="shared" si="57"/>
        <v>244060</v>
      </c>
      <c r="AK321" s="176"/>
      <c r="AL321" s="176"/>
    </row>
    <row r="322" spans="1:38" ht="36" customHeight="1" x14ac:dyDescent="0.2">
      <c r="A322" s="14" t="s">
        <v>19</v>
      </c>
      <c r="B322" s="212">
        <v>244053</v>
      </c>
      <c r="C322" s="14" t="s">
        <v>547</v>
      </c>
      <c r="D322" s="14" t="s">
        <v>268</v>
      </c>
      <c r="E322" s="14" t="s">
        <v>14</v>
      </c>
      <c r="F322" s="14" t="s">
        <v>324</v>
      </c>
      <c r="G322" s="179">
        <v>680321</v>
      </c>
      <c r="H322" s="176" t="s">
        <v>1663</v>
      </c>
      <c r="I322" s="176" t="s">
        <v>550</v>
      </c>
      <c r="J322" s="176" t="s">
        <v>128</v>
      </c>
      <c r="K322" s="176" t="s">
        <v>1666</v>
      </c>
      <c r="L322" s="40" t="s">
        <v>106</v>
      </c>
      <c r="M322" s="40" t="s">
        <v>341</v>
      </c>
      <c r="N322" s="14" t="s">
        <v>1270</v>
      </c>
      <c r="O322" s="14" t="s">
        <v>548</v>
      </c>
      <c r="P322" s="14" t="s">
        <v>518</v>
      </c>
      <c r="Q322" s="14" t="s">
        <v>549</v>
      </c>
      <c r="R322" s="17">
        <v>203</v>
      </c>
      <c r="S322" s="172" t="s">
        <v>51</v>
      </c>
      <c r="T322" s="17">
        <v>2430</v>
      </c>
      <c r="U322" s="14" t="s">
        <v>51</v>
      </c>
      <c r="V322" s="16">
        <f t="shared" si="58"/>
        <v>244053</v>
      </c>
      <c r="W322" s="16">
        <f t="shared" si="59"/>
        <v>244060</v>
      </c>
      <c r="X322" s="16">
        <f t="shared" si="60"/>
        <v>244055</v>
      </c>
      <c r="Y322" s="15" t="s">
        <v>54</v>
      </c>
      <c r="Z322" s="177">
        <v>244060</v>
      </c>
      <c r="AA322" s="170"/>
      <c r="AB322" s="170"/>
      <c r="AC322" s="170"/>
      <c r="AD322" s="170"/>
      <c r="AE322" s="15" t="s">
        <v>54</v>
      </c>
      <c r="AF322" s="177">
        <v>244061</v>
      </c>
      <c r="AG322" s="177" t="str">
        <f t="shared" si="56"/>
        <v>Pass</v>
      </c>
      <c r="AH322" s="177">
        <f t="shared" si="57"/>
        <v>244061</v>
      </c>
      <c r="AK322" s="176"/>
      <c r="AL322" s="176"/>
    </row>
    <row r="323" spans="1:38" ht="36" customHeight="1" x14ac:dyDescent="0.2">
      <c r="A323" s="14" t="s">
        <v>19</v>
      </c>
      <c r="B323" s="212">
        <v>244054</v>
      </c>
      <c r="C323" s="14" t="s">
        <v>547</v>
      </c>
      <c r="D323" s="14" t="s">
        <v>268</v>
      </c>
      <c r="E323" s="14" t="s">
        <v>14</v>
      </c>
      <c r="F323" s="14" t="s">
        <v>324</v>
      </c>
      <c r="G323" s="179">
        <v>680322</v>
      </c>
      <c r="H323" s="176" t="s">
        <v>886</v>
      </c>
      <c r="I323" s="176" t="s">
        <v>630</v>
      </c>
      <c r="J323" s="176" t="s">
        <v>821</v>
      </c>
      <c r="K323" s="176" t="s">
        <v>1636</v>
      </c>
      <c r="L323" s="40" t="s">
        <v>124</v>
      </c>
      <c r="M323" s="40" t="s">
        <v>341</v>
      </c>
      <c r="N323" s="14" t="s">
        <v>1672</v>
      </c>
      <c r="O323" s="14" t="s">
        <v>543</v>
      </c>
      <c r="P323" s="14" t="s">
        <v>517</v>
      </c>
      <c r="Q323" s="14" t="s">
        <v>529</v>
      </c>
      <c r="R323" s="17">
        <v>1000</v>
      </c>
      <c r="S323" s="172" t="s">
        <v>51</v>
      </c>
      <c r="T323" s="17">
        <v>2513</v>
      </c>
      <c r="U323" s="14" t="s">
        <v>51</v>
      </c>
      <c r="V323" s="16">
        <f t="shared" si="58"/>
        <v>244054</v>
      </c>
      <c r="W323" s="16">
        <f t="shared" si="59"/>
        <v>244061</v>
      </c>
      <c r="X323" s="16">
        <f t="shared" si="60"/>
        <v>244056</v>
      </c>
      <c r="Y323" s="15"/>
      <c r="Z323" s="177"/>
      <c r="AA323" s="170"/>
      <c r="AB323" s="170"/>
      <c r="AC323" s="170"/>
      <c r="AD323" s="170"/>
      <c r="AE323" s="15"/>
      <c r="AF323" s="177"/>
      <c r="AG323" s="177">
        <f t="shared" si="56"/>
        <v>0</v>
      </c>
      <c r="AH323" s="177">
        <f t="shared" si="57"/>
        <v>0</v>
      </c>
      <c r="AK323" s="176"/>
      <c r="AL323" s="176"/>
    </row>
    <row r="324" spans="1:38" ht="36" customHeight="1" x14ac:dyDescent="0.2">
      <c r="A324" s="14" t="s">
        <v>19</v>
      </c>
      <c r="B324" s="212">
        <v>244054</v>
      </c>
      <c r="C324" s="14" t="s">
        <v>547</v>
      </c>
      <c r="D324" s="14" t="s">
        <v>268</v>
      </c>
      <c r="E324" s="14" t="s">
        <v>14</v>
      </c>
      <c r="F324" s="14" t="s">
        <v>324</v>
      </c>
      <c r="G324" s="179">
        <v>680323</v>
      </c>
      <c r="H324" s="176" t="s">
        <v>1662</v>
      </c>
      <c r="I324" s="176" t="s">
        <v>908</v>
      </c>
      <c r="J324" s="176" t="s">
        <v>133</v>
      </c>
      <c r="K324" s="176" t="s">
        <v>1664</v>
      </c>
      <c r="L324" s="40" t="s">
        <v>45</v>
      </c>
      <c r="M324" s="40" t="s">
        <v>341</v>
      </c>
      <c r="N324" s="14" t="s">
        <v>1673</v>
      </c>
      <c r="O324" s="14" t="s">
        <v>552</v>
      </c>
      <c r="P324" s="14" t="s">
        <v>1489</v>
      </c>
      <c r="Q324" s="14" t="s">
        <v>553</v>
      </c>
      <c r="R324" s="17">
        <v>225</v>
      </c>
      <c r="S324" s="172" t="s">
        <v>51</v>
      </c>
      <c r="T324" s="17">
        <v>1960</v>
      </c>
      <c r="U324" s="14" t="s">
        <v>51</v>
      </c>
      <c r="V324" s="16">
        <f t="shared" si="58"/>
        <v>244054</v>
      </c>
      <c r="W324" s="16">
        <f>B324+7</f>
        <v>244061</v>
      </c>
      <c r="X324" s="16">
        <f t="shared" si="60"/>
        <v>244056</v>
      </c>
      <c r="Y324" s="15"/>
      <c r="Z324" s="177"/>
      <c r="AA324" s="170"/>
      <c r="AB324" s="170"/>
      <c r="AC324" s="170"/>
      <c r="AD324" s="170"/>
      <c r="AE324" s="15"/>
      <c r="AF324" s="177"/>
      <c r="AG324" s="177">
        <f t="shared" si="56"/>
        <v>0</v>
      </c>
      <c r="AH324" s="177">
        <f t="shared" si="57"/>
        <v>0</v>
      </c>
      <c r="AK324" s="176"/>
      <c r="AL324" s="176"/>
    </row>
    <row r="325" spans="1:38" ht="36" customHeight="1" x14ac:dyDescent="0.2">
      <c r="A325" s="14" t="s">
        <v>19</v>
      </c>
      <c r="B325" s="212">
        <v>244054</v>
      </c>
      <c r="C325" s="14" t="s">
        <v>547</v>
      </c>
      <c r="D325" s="14" t="s">
        <v>268</v>
      </c>
      <c r="E325" s="14" t="s">
        <v>14</v>
      </c>
      <c r="F325" s="14" t="s">
        <v>324</v>
      </c>
      <c r="G325" s="179">
        <v>680324</v>
      </c>
      <c r="H325" s="176" t="s">
        <v>1662</v>
      </c>
      <c r="I325" s="176" t="s">
        <v>908</v>
      </c>
      <c r="J325" s="176" t="s">
        <v>133</v>
      </c>
      <c r="K325" s="176" t="s">
        <v>1664</v>
      </c>
      <c r="L325" s="40" t="s">
        <v>45</v>
      </c>
      <c r="M325" s="40" t="s">
        <v>341</v>
      </c>
      <c r="N325" s="14" t="s">
        <v>1674</v>
      </c>
      <c r="O325" s="14" t="s">
        <v>548</v>
      </c>
      <c r="P325" s="14" t="s">
        <v>1675</v>
      </c>
      <c r="Q325" s="14" t="s">
        <v>549</v>
      </c>
      <c r="R325" s="17">
        <v>269</v>
      </c>
      <c r="S325" s="172" t="s">
        <v>51</v>
      </c>
      <c r="T325" s="17">
        <v>1600</v>
      </c>
      <c r="U325" s="14" t="s">
        <v>51</v>
      </c>
      <c r="V325" s="16">
        <f t="shared" si="58"/>
        <v>244054</v>
      </c>
      <c r="W325" s="16">
        <f t="shared" si="59"/>
        <v>244061</v>
      </c>
      <c r="X325" s="16">
        <f t="shared" si="60"/>
        <v>244056</v>
      </c>
      <c r="Y325" s="15"/>
      <c r="Z325" s="177"/>
      <c r="AA325" s="170"/>
      <c r="AB325" s="170"/>
      <c r="AC325" s="170"/>
      <c r="AD325" s="170"/>
      <c r="AE325" s="15"/>
      <c r="AF325" s="177"/>
      <c r="AG325" s="177">
        <f t="shared" si="56"/>
        <v>0</v>
      </c>
      <c r="AH325" s="177">
        <f t="shared" si="57"/>
        <v>0</v>
      </c>
      <c r="AK325" s="176"/>
      <c r="AL325" s="176"/>
    </row>
    <row r="326" spans="1:38" ht="36" customHeight="1" x14ac:dyDescent="0.2">
      <c r="A326" s="14" t="s">
        <v>19</v>
      </c>
      <c r="B326" s="212">
        <v>244054</v>
      </c>
      <c r="C326" s="14" t="s">
        <v>547</v>
      </c>
      <c r="D326" s="14" t="s">
        <v>268</v>
      </c>
      <c r="E326" s="14" t="s">
        <v>14</v>
      </c>
      <c r="F326" s="14" t="s">
        <v>324</v>
      </c>
      <c r="G326" s="179">
        <v>680325</v>
      </c>
      <c r="H326" s="176" t="s">
        <v>1547</v>
      </c>
      <c r="I326" s="176" t="s">
        <v>550</v>
      </c>
      <c r="J326" s="176" t="s">
        <v>128</v>
      </c>
      <c r="K326" s="176" t="s">
        <v>1665</v>
      </c>
      <c r="L326" s="40" t="s">
        <v>106</v>
      </c>
      <c r="M326" s="40" t="s">
        <v>341</v>
      </c>
      <c r="N326" s="14" t="s">
        <v>1670</v>
      </c>
      <c r="O326" s="14" t="s">
        <v>548</v>
      </c>
      <c r="P326" s="14" t="s">
        <v>518</v>
      </c>
      <c r="Q326" s="14" t="s">
        <v>549</v>
      </c>
      <c r="R326" s="17">
        <v>155</v>
      </c>
      <c r="S326" s="172" t="s">
        <v>51</v>
      </c>
      <c r="T326" s="17">
        <v>1778</v>
      </c>
      <c r="U326" s="14" t="s">
        <v>51</v>
      </c>
      <c r="V326" s="16">
        <f t="shared" si="58"/>
        <v>244054</v>
      </c>
      <c r="W326" s="16">
        <f t="shared" si="59"/>
        <v>244061</v>
      </c>
      <c r="X326" s="16">
        <f t="shared" si="60"/>
        <v>244056</v>
      </c>
      <c r="Y326" s="15"/>
      <c r="Z326" s="177"/>
      <c r="AA326" s="170"/>
      <c r="AB326" s="170"/>
      <c r="AC326" s="170"/>
      <c r="AD326" s="170"/>
      <c r="AE326" s="15"/>
      <c r="AF326" s="177"/>
      <c r="AG326" s="177">
        <f t="shared" si="56"/>
        <v>0</v>
      </c>
      <c r="AH326" s="177">
        <f t="shared" si="57"/>
        <v>0</v>
      </c>
      <c r="AK326" s="176"/>
      <c r="AL326" s="176"/>
    </row>
    <row r="327" spans="1:38" ht="36" customHeight="1" x14ac:dyDescent="0.2">
      <c r="A327" s="14" t="s">
        <v>19</v>
      </c>
      <c r="B327" s="212">
        <v>244054</v>
      </c>
      <c r="C327" s="14" t="s">
        <v>547</v>
      </c>
      <c r="D327" s="14" t="s">
        <v>268</v>
      </c>
      <c r="E327" s="14" t="s">
        <v>14</v>
      </c>
      <c r="F327" s="14" t="s">
        <v>324</v>
      </c>
      <c r="G327" s="179">
        <v>680326</v>
      </c>
      <c r="H327" s="176" t="s">
        <v>1663</v>
      </c>
      <c r="I327" s="176" t="s">
        <v>550</v>
      </c>
      <c r="J327" s="176" t="s">
        <v>128</v>
      </c>
      <c r="K327" s="176" t="s">
        <v>1666</v>
      </c>
      <c r="L327" s="40" t="s">
        <v>106</v>
      </c>
      <c r="M327" s="40" t="s">
        <v>341</v>
      </c>
      <c r="N327" s="14" t="s">
        <v>1270</v>
      </c>
      <c r="O327" s="14" t="s">
        <v>548</v>
      </c>
      <c r="P327" s="14" t="s">
        <v>518</v>
      </c>
      <c r="Q327" s="14" t="s">
        <v>549</v>
      </c>
      <c r="R327" s="17">
        <v>203</v>
      </c>
      <c r="S327" s="172" t="s">
        <v>51</v>
      </c>
      <c r="T327" s="17">
        <v>2430</v>
      </c>
      <c r="U327" s="14" t="s">
        <v>51</v>
      </c>
      <c r="V327" s="16">
        <f t="shared" si="58"/>
        <v>244054</v>
      </c>
      <c r="W327" s="16">
        <f t="shared" si="59"/>
        <v>244061</v>
      </c>
      <c r="X327" s="16">
        <f t="shared" si="60"/>
        <v>244056</v>
      </c>
      <c r="Y327" s="15"/>
      <c r="Z327" s="177"/>
      <c r="AA327" s="170"/>
      <c r="AB327" s="170"/>
      <c r="AC327" s="170"/>
      <c r="AD327" s="170"/>
      <c r="AE327" s="15"/>
      <c r="AF327" s="177"/>
      <c r="AG327" s="177">
        <f t="shared" si="56"/>
        <v>0</v>
      </c>
      <c r="AH327" s="177">
        <f t="shared" si="57"/>
        <v>0</v>
      </c>
      <c r="AK327" s="176"/>
      <c r="AL327" s="176"/>
    </row>
    <row r="328" spans="1:38" ht="36" customHeight="1" x14ac:dyDescent="0.2">
      <c r="A328" s="14" t="s">
        <v>19</v>
      </c>
      <c r="B328" s="212">
        <v>244055</v>
      </c>
      <c r="C328" s="14" t="s">
        <v>547</v>
      </c>
      <c r="D328" s="14" t="s">
        <v>268</v>
      </c>
      <c r="E328" s="14" t="s">
        <v>14</v>
      </c>
      <c r="F328" s="14" t="s">
        <v>324</v>
      </c>
      <c r="G328" s="179">
        <v>680327</v>
      </c>
      <c r="H328" s="176" t="s">
        <v>1676</v>
      </c>
      <c r="I328" s="176" t="s">
        <v>802</v>
      </c>
      <c r="J328" s="176" t="s">
        <v>131</v>
      </c>
      <c r="K328" s="176" t="s">
        <v>1681</v>
      </c>
      <c r="L328" s="40" t="s">
        <v>105</v>
      </c>
      <c r="M328" s="40" t="s">
        <v>341</v>
      </c>
      <c r="N328" s="14" t="s">
        <v>1685</v>
      </c>
      <c r="O328" s="14" t="s">
        <v>543</v>
      </c>
      <c r="P328" s="14" t="s">
        <v>1690</v>
      </c>
      <c r="Q328" s="14" t="s">
        <v>529</v>
      </c>
      <c r="R328" s="17">
        <v>175</v>
      </c>
      <c r="S328" s="172" t="s">
        <v>51</v>
      </c>
      <c r="T328" s="17">
        <v>1635</v>
      </c>
      <c r="U328" s="14" t="s">
        <v>51</v>
      </c>
      <c r="V328" s="16">
        <f t="shared" si="58"/>
        <v>244055</v>
      </c>
      <c r="W328" s="16">
        <f t="shared" si="59"/>
        <v>244062</v>
      </c>
      <c r="X328" s="16">
        <f t="shared" si="60"/>
        <v>244057</v>
      </c>
      <c r="Y328" s="15"/>
      <c r="Z328" s="177"/>
      <c r="AA328" s="170"/>
      <c r="AB328" s="170"/>
      <c r="AC328" s="170"/>
      <c r="AD328" s="170"/>
      <c r="AE328" s="15"/>
      <c r="AF328" s="177"/>
      <c r="AG328" s="177">
        <f t="shared" si="56"/>
        <v>0</v>
      </c>
      <c r="AH328" s="177">
        <f t="shared" si="57"/>
        <v>0</v>
      </c>
      <c r="AK328" s="176"/>
      <c r="AL328" s="176"/>
    </row>
    <row r="329" spans="1:38" ht="36" customHeight="1" x14ac:dyDescent="0.2">
      <c r="A329" s="14" t="s">
        <v>19</v>
      </c>
      <c r="B329" s="212">
        <v>244055</v>
      </c>
      <c r="C329" s="14" t="s">
        <v>547</v>
      </c>
      <c r="D329" s="14" t="s">
        <v>268</v>
      </c>
      <c r="E329" s="14" t="s">
        <v>14</v>
      </c>
      <c r="F329" s="14" t="s">
        <v>324</v>
      </c>
      <c r="G329" s="179">
        <v>680328</v>
      </c>
      <c r="H329" s="176" t="s">
        <v>1677</v>
      </c>
      <c r="I329" s="176" t="s">
        <v>802</v>
      </c>
      <c r="J329" s="176" t="s">
        <v>131</v>
      </c>
      <c r="K329" s="176" t="s">
        <v>1682</v>
      </c>
      <c r="L329" s="40" t="s">
        <v>105</v>
      </c>
      <c r="M329" s="40" t="s">
        <v>341</v>
      </c>
      <c r="N329" s="14" t="s">
        <v>1686</v>
      </c>
      <c r="O329" s="14" t="s">
        <v>528</v>
      </c>
      <c r="P329" s="14" t="s">
        <v>1691</v>
      </c>
      <c r="Q329" s="14" t="s">
        <v>541</v>
      </c>
      <c r="R329" s="17">
        <v>500</v>
      </c>
      <c r="S329" s="172" t="s">
        <v>51</v>
      </c>
      <c r="T329" s="17">
        <v>1925</v>
      </c>
      <c r="U329" s="14" t="s">
        <v>51</v>
      </c>
      <c r="V329" s="16">
        <f t="shared" si="58"/>
        <v>244055</v>
      </c>
      <c r="W329" s="16">
        <f t="shared" si="59"/>
        <v>244062</v>
      </c>
      <c r="X329" s="16">
        <f t="shared" si="60"/>
        <v>244057</v>
      </c>
      <c r="Y329" s="15"/>
      <c r="Z329" s="177"/>
      <c r="AA329" s="170"/>
      <c r="AB329" s="170"/>
      <c r="AC329" s="170"/>
      <c r="AD329" s="170"/>
      <c r="AE329" s="15"/>
      <c r="AF329" s="177"/>
      <c r="AG329" s="177">
        <f t="shared" si="56"/>
        <v>0</v>
      </c>
      <c r="AH329" s="177">
        <f t="shared" si="57"/>
        <v>0</v>
      </c>
      <c r="AK329" s="176"/>
      <c r="AL329" s="176"/>
    </row>
    <row r="330" spans="1:38" ht="36" customHeight="1" x14ac:dyDescent="0.2">
      <c r="A330" s="14" t="s">
        <v>19</v>
      </c>
      <c r="B330" s="212">
        <v>244055</v>
      </c>
      <c r="C330" s="14" t="s">
        <v>547</v>
      </c>
      <c r="D330" s="14" t="s">
        <v>268</v>
      </c>
      <c r="E330" s="14" t="s">
        <v>14</v>
      </c>
      <c r="F330" s="14" t="s">
        <v>324</v>
      </c>
      <c r="G330" s="179">
        <v>680329</v>
      </c>
      <c r="H330" s="176" t="s">
        <v>1677</v>
      </c>
      <c r="I330" s="176" t="s">
        <v>802</v>
      </c>
      <c r="J330" s="176" t="s">
        <v>131</v>
      </c>
      <c r="K330" s="176" t="s">
        <v>1682</v>
      </c>
      <c r="L330" s="40" t="s">
        <v>105</v>
      </c>
      <c r="M330" s="40" t="s">
        <v>341</v>
      </c>
      <c r="N330" s="14" t="s">
        <v>1687</v>
      </c>
      <c r="O330" s="14" t="s">
        <v>528</v>
      </c>
      <c r="P330" s="14" t="s">
        <v>1692</v>
      </c>
      <c r="Q330" s="14" t="s">
        <v>541</v>
      </c>
      <c r="R330" s="17">
        <v>700</v>
      </c>
      <c r="S330" s="172" t="s">
        <v>51</v>
      </c>
      <c r="T330" s="17">
        <v>1925</v>
      </c>
      <c r="U330" s="14" t="s">
        <v>51</v>
      </c>
      <c r="V330" s="16">
        <f t="shared" si="58"/>
        <v>244055</v>
      </c>
      <c r="W330" s="16">
        <f t="shared" si="59"/>
        <v>244062</v>
      </c>
      <c r="X330" s="16">
        <f t="shared" si="60"/>
        <v>244057</v>
      </c>
      <c r="Y330" s="15"/>
      <c r="Z330" s="177"/>
      <c r="AA330" s="170"/>
      <c r="AB330" s="170"/>
      <c r="AC330" s="170"/>
      <c r="AD330" s="170"/>
      <c r="AE330" s="15"/>
      <c r="AF330" s="177"/>
      <c r="AG330" s="177">
        <f t="shared" si="56"/>
        <v>0</v>
      </c>
      <c r="AH330" s="177">
        <f t="shared" si="57"/>
        <v>0</v>
      </c>
      <c r="AK330" s="176"/>
      <c r="AL330" s="176"/>
    </row>
    <row r="331" spans="1:38" ht="36" customHeight="1" x14ac:dyDescent="0.2">
      <c r="A331" s="14" t="s">
        <v>19</v>
      </c>
      <c r="B331" s="212">
        <v>244055</v>
      </c>
      <c r="C331" s="14" t="s">
        <v>547</v>
      </c>
      <c r="D331" s="14" t="s">
        <v>268</v>
      </c>
      <c r="E331" s="14" t="s">
        <v>14</v>
      </c>
      <c r="F331" s="14" t="s">
        <v>324</v>
      </c>
      <c r="G331" s="179">
        <v>680330</v>
      </c>
      <c r="H331" s="176" t="s">
        <v>1262</v>
      </c>
      <c r="I331" s="176" t="s">
        <v>802</v>
      </c>
      <c r="J331" s="176" t="s">
        <v>131</v>
      </c>
      <c r="K331" s="176" t="s">
        <v>1683</v>
      </c>
      <c r="L331" s="40" t="s">
        <v>105</v>
      </c>
      <c r="M331" s="40" t="s">
        <v>341</v>
      </c>
      <c r="N331" s="14" t="s">
        <v>1688</v>
      </c>
      <c r="O331" s="14" t="s">
        <v>527</v>
      </c>
      <c r="P331" s="14" t="s">
        <v>1693</v>
      </c>
      <c r="Q331" s="14" t="s">
        <v>542</v>
      </c>
      <c r="R331" s="17">
        <v>200</v>
      </c>
      <c r="S331" s="172" t="s">
        <v>51</v>
      </c>
      <c r="T331" s="17">
        <v>1165</v>
      </c>
      <c r="U331" s="14" t="s">
        <v>51</v>
      </c>
      <c r="V331" s="16">
        <f t="shared" si="58"/>
        <v>244055</v>
      </c>
      <c r="W331" s="16">
        <f t="shared" si="59"/>
        <v>244062</v>
      </c>
      <c r="X331" s="16">
        <f t="shared" si="60"/>
        <v>244057</v>
      </c>
      <c r="Y331" s="15"/>
      <c r="Z331" s="177"/>
      <c r="AA331" s="170"/>
      <c r="AB331" s="170"/>
      <c r="AC331" s="170"/>
      <c r="AD331" s="170"/>
      <c r="AE331" s="15"/>
      <c r="AF331" s="177"/>
      <c r="AG331" s="177">
        <f t="shared" si="56"/>
        <v>0</v>
      </c>
      <c r="AH331" s="177">
        <f t="shared" si="57"/>
        <v>0</v>
      </c>
      <c r="AK331" s="176"/>
      <c r="AL331" s="176"/>
    </row>
    <row r="332" spans="1:38" ht="36" customHeight="1" x14ac:dyDescent="0.2">
      <c r="A332" s="14" t="s">
        <v>19</v>
      </c>
      <c r="B332" s="212">
        <v>244055</v>
      </c>
      <c r="C332" s="14" t="s">
        <v>547</v>
      </c>
      <c r="D332" s="14" t="s">
        <v>268</v>
      </c>
      <c r="E332" s="14" t="s">
        <v>14</v>
      </c>
      <c r="F332" s="14" t="s">
        <v>324</v>
      </c>
      <c r="G332" s="179">
        <v>680331</v>
      </c>
      <c r="H332" s="176" t="s">
        <v>1678</v>
      </c>
      <c r="I332" s="176" t="s">
        <v>1679</v>
      </c>
      <c r="J332" s="176" t="s">
        <v>1680</v>
      </c>
      <c r="K332" s="176" t="s">
        <v>1684</v>
      </c>
      <c r="L332" s="40" t="s">
        <v>46</v>
      </c>
      <c r="M332" s="40" t="s">
        <v>341</v>
      </c>
      <c r="N332" s="14" t="s">
        <v>1689</v>
      </c>
      <c r="O332" s="14" t="s">
        <v>552</v>
      </c>
      <c r="P332" s="14" t="s">
        <v>793</v>
      </c>
      <c r="Q332" s="14" t="s">
        <v>553</v>
      </c>
      <c r="R332" s="17">
        <v>1100</v>
      </c>
      <c r="S332" s="172" t="s">
        <v>51</v>
      </c>
      <c r="T332" s="17">
        <v>2160</v>
      </c>
      <c r="U332" s="14" t="s">
        <v>51</v>
      </c>
      <c r="V332" s="16">
        <f t="shared" si="58"/>
        <v>244055</v>
      </c>
      <c r="W332" s="16">
        <f t="shared" si="59"/>
        <v>244062</v>
      </c>
      <c r="X332" s="16">
        <f t="shared" si="60"/>
        <v>244057</v>
      </c>
      <c r="Y332" s="15"/>
      <c r="Z332" s="177"/>
      <c r="AA332" s="170"/>
      <c r="AB332" s="170"/>
      <c r="AC332" s="170"/>
      <c r="AD332" s="170"/>
      <c r="AE332" s="15"/>
      <c r="AF332" s="177"/>
      <c r="AG332" s="177">
        <f t="shared" si="56"/>
        <v>0</v>
      </c>
      <c r="AH332" s="177">
        <f t="shared" si="57"/>
        <v>0</v>
      </c>
      <c r="AK332" s="176"/>
      <c r="AL332" s="176"/>
    </row>
    <row r="333" spans="1:38" ht="36" customHeight="1" x14ac:dyDescent="0.2">
      <c r="A333" s="14" t="s">
        <v>19</v>
      </c>
      <c r="B333" s="212">
        <v>244056</v>
      </c>
      <c r="C333" s="14" t="s">
        <v>547</v>
      </c>
      <c r="D333" s="14" t="s">
        <v>268</v>
      </c>
      <c r="E333" s="14" t="s">
        <v>14</v>
      </c>
      <c r="F333" s="14" t="s">
        <v>324</v>
      </c>
      <c r="G333" s="179">
        <v>680332</v>
      </c>
      <c r="H333" s="176" t="s">
        <v>1694</v>
      </c>
      <c r="I333" s="176" t="s">
        <v>612</v>
      </c>
      <c r="J333" s="176" t="s">
        <v>865</v>
      </c>
      <c r="K333" s="176" t="s">
        <v>1697</v>
      </c>
      <c r="L333" s="40" t="s">
        <v>105</v>
      </c>
      <c r="M333" s="40" t="s">
        <v>341</v>
      </c>
      <c r="N333" s="14" t="s">
        <v>1701</v>
      </c>
      <c r="O333" s="14" t="s">
        <v>714</v>
      </c>
      <c r="P333" s="14" t="s">
        <v>1708</v>
      </c>
      <c r="Q333" s="14" t="s">
        <v>716</v>
      </c>
      <c r="R333" s="17">
        <v>200</v>
      </c>
      <c r="S333" s="172" t="s">
        <v>51</v>
      </c>
      <c r="T333" s="17">
        <v>1940</v>
      </c>
      <c r="U333" s="14" t="s">
        <v>51</v>
      </c>
      <c r="V333" s="16">
        <f t="shared" si="58"/>
        <v>244056</v>
      </c>
      <c r="W333" s="16">
        <f t="shared" si="59"/>
        <v>244063</v>
      </c>
      <c r="X333" s="16">
        <f t="shared" si="60"/>
        <v>244058</v>
      </c>
      <c r="Y333" s="15" t="s">
        <v>54</v>
      </c>
      <c r="Z333" s="177">
        <v>244061</v>
      </c>
      <c r="AA333" s="170"/>
      <c r="AB333" s="170"/>
      <c r="AC333" s="170"/>
      <c r="AD333" s="170"/>
      <c r="AE333" s="15" t="s">
        <v>54</v>
      </c>
      <c r="AF333" s="177">
        <v>244061</v>
      </c>
      <c r="AG333" s="177" t="str">
        <f t="shared" si="56"/>
        <v>Pass</v>
      </c>
      <c r="AH333" s="177">
        <f t="shared" si="57"/>
        <v>244061</v>
      </c>
      <c r="AK333" s="176"/>
      <c r="AL333" s="176"/>
    </row>
    <row r="334" spans="1:38" ht="36" customHeight="1" x14ac:dyDescent="0.2">
      <c r="A334" s="14" t="s">
        <v>19</v>
      </c>
      <c r="B334" s="212">
        <v>244056</v>
      </c>
      <c r="C334" s="14" t="s">
        <v>547</v>
      </c>
      <c r="D334" s="14" t="s">
        <v>268</v>
      </c>
      <c r="E334" s="14" t="s">
        <v>14</v>
      </c>
      <c r="F334" s="14" t="s">
        <v>324</v>
      </c>
      <c r="G334" s="179">
        <v>680333</v>
      </c>
      <c r="H334" s="176" t="s">
        <v>848</v>
      </c>
      <c r="I334" s="176" t="s">
        <v>802</v>
      </c>
      <c r="J334" s="176" t="s">
        <v>131</v>
      </c>
      <c r="K334" s="176" t="s">
        <v>1698</v>
      </c>
      <c r="L334" s="40" t="s">
        <v>105</v>
      </c>
      <c r="M334" s="40" t="s">
        <v>341</v>
      </c>
      <c r="N334" s="14" t="s">
        <v>1702</v>
      </c>
      <c r="O334" s="14" t="s">
        <v>1706</v>
      </c>
      <c r="P334" s="14" t="s">
        <v>715</v>
      </c>
      <c r="Q334" s="14" t="s">
        <v>1710</v>
      </c>
      <c r="R334" s="17">
        <v>400</v>
      </c>
      <c r="S334" s="172" t="s">
        <v>51</v>
      </c>
      <c r="T334" s="17">
        <v>1915</v>
      </c>
      <c r="U334" s="14" t="s">
        <v>51</v>
      </c>
      <c r="V334" s="16">
        <f t="shared" si="58"/>
        <v>244056</v>
      </c>
      <c r="W334" s="16">
        <f t="shared" si="59"/>
        <v>244063</v>
      </c>
      <c r="X334" s="16">
        <f t="shared" si="60"/>
        <v>244058</v>
      </c>
      <c r="Y334" s="15" t="s">
        <v>54</v>
      </c>
      <c r="Z334" s="177">
        <v>244061</v>
      </c>
      <c r="AA334" s="170"/>
      <c r="AB334" s="170"/>
      <c r="AC334" s="170"/>
      <c r="AD334" s="170"/>
      <c r="AE334" s="15" t="s">
        <v>54</v>
      </c>
      <c r="AF334" s="177">
        <v>244061</v>
      </c>
      <c r="AG334" s="177" t="str">
        <f t="shared" si="56"/>
        <v>Pass</v>
      </c>
      <c r="AH334" s="177">
        <f t="shared" si="57"/>
        <v>244061</v>
      </c>
      <c r="AK334" s="176"/>
      <c r="AL334" s="176"/>
    </row>
    <row r="335" spans="1:38" ht="36" customHeight="1" x14ac:dyDescent="0.2">
      <c r="A335" s="14" t="s">
        <v>19</v>
      </c>
      <c r="B335" s="212">
        <v>244056</v>
      </c>
      <c r="C335" s="14" t="s">
        <v>547</v>
      </c>
      <c r="D335" s="14" t="s">
        <v>268</v>
      </c>
      <c r="E335" s="14" t="s">
        <v>14</v>
      </c>
      <c r="F335" s="14" t="s">
        <v>324</v>
      </c>
      <c r="G335" s="179">
        <v>680334</v>
      </c>
      <c r="H335" s="176" t="s">
        <v>1694</v>
      </c>
      <c r="I335" s="176" t="s">
        <v>612</v>
      </c>
      <c r="J335" s="176" t="s">
        <v>865</v>
      </c>
      <c r="K335" s="176" t="s">
        <v>1697</v>
      </c>
      <c r="L335" s="40" t="s">
        <v>105</v>
      </c>
      <c r="M335" s="40" t="s">
        <v>341</v>
      </c>
      <c r="N335" s="14" t="s">
        <v>1703</v>
      </c>
      <c r="O335" s="14" t="s">
        <v>756</v>
      </c>
      <c r="P335" s="14" t="s">
        <v>940</v>
      </c>
      <c r="Q335" s="14" t="s">
        <v>758</v>
      </c>
      <c r="R335" s="17">
        <v>500</v>
      </c>
      <c r="S335" s="172" t="s">
        <v>51</v>
      </c>
      <c r="T335" s="17">
        <v>1915</v>
      </c>
      <c r="U335" s="14" t="s">
        <v>51</v>
      </c>
      <c r="V335" s="16">
        <f t="shared" si="58"/>
        <v>244056</v>
      </c>
      <c r="W335" s="16">
        <f t="shared" si="59"/>
        <v>244063</v>
      </c>
      <c r="X335" s="16">
        <f t="shared" si="60"/>
        <v>244058</v>
      </c>
      <c r="Y335" s="15" t="s">
        <v>54</v>
      </c>
      <c r="Z335" s="177">
        <v>244061</v>
      </c>
      <c r="AA335" s="170"/>
      <c r="AB335" s="170"/>
      <c r="AC335" s="170"/>
      <c r="AD335" s="170"/>
      <c r="AE335" s="15" t="s">
        <v>54</v>
      </c>
      <c r="AF335" s="177">
        <v>244061</v>
      </c>
      <c r="AG335" s="177" t="str">
        <f t="shared" si="56"/>
        <v>Pass</v>
      </c>
      <c r="AH335" s="177">
        <f t="shared" si="57"/>
        <v>244061</v>
      </c>
      <c r="AK335" s="176"/>
      <c r="AL335" s="176"/>
    </row>
    <row r="336" spans="1:38" ht="36" customHeight="1" x14ac:dyDescent="0.2">
      <c r="A336" s="14" t="s">
        <v>19</v>
      </c>
      <c r="B336" s="212">
        <v>244056</v>
      </c>
      <c r="C336" s="14" t="s">
        <v>547</v>
      </c>
      <c r="D336" s="14" t="s">
        <v>268</v>
      </c>
      <c r="E336" s="14" t="s">
        <v>14</v>
      </c>
      <c r="F336" s="14" t="s">
        <v>324</v>
      </c>
      <c r="G336" s="179">
        <v>680335</v>
      </c>
      <c r="H336" s="176" t="s">
        <v>1281</v>
      </c>
      <c r="I336" s="176" t="s">
        <v>550</v>
      </c>
      <c r="J336" s="176" t="s">
        <v>128</v>
      </c>
      <c r="K336" s="176" t="s">
        <v>1699</v>
      </c>
      <c r="L336" s="40" t="s">
        <v>106</v>
      </c>
      <c r="M336" s="40" t="s">
        <v>341</v>
      </c>
      <c r="N336" s="14" t="s">
        <v>1704</v>
      </c>
      <c r="O336" s="14" t="s">
        <v>548</v>
      </c>
      <c r="P336" s="14" t="s">
        <v>717</v>
      </c>
      <c r="Q336" s="14" t="s">
        <v>549</v>
      </c>
      <c r="R336" s="17">
        <v>134</v>
      </c>
      <c r="S336" s="172" t="s">
        <v>51</v>
      </c>
      <c r="T336" s="17">
        <v>830</v>
      </c>
      <c r="U336" s="14" t="s">
        <v>51</v>
      </c>
      <c r="V336" s="16">
        <f t="shared" si="58"/>
        <v>244056</v>
      </c>
      <c r="W336" s="16">
        <f t="shared" si="59"/>
        <v>244063</v>
      </c>
      <c r="X336" s="16">
        <f t="shared" si="60"/>
        <v>244058</v>
      </c>
      <c r="Y336" s="15"/>
      <c r="Z336" s="177"/>
      <c r="AA336" s="170"/>
      <c r="AB336" s="170"/>
      <c r="AC336" s="170"/>
      <c r="AD336" s="170"/>
      <c r="AE336" s="15"/>
      <c r="AF336" s="177"/>
      <c r="AG336" s="177">
        <f t="shared" si="56"/>
        <v>0</v>
      </c>
      <c r="AH336" s="177">
        <f t="shared" si="57"/>
        <v>0</v>
      </c>
      <c r="AK336" s="176"/>
      <c r="AL336" s="176"/>
    </row>
    <row r="337" spans="1:38" ht="36" customHeight="1" x14ac:dyDescent="0.2">
      <c r="A337" s="14" t="s">
        <v>19</v>
      </c>
      <c r="B337" s="212">
        <v>244056</v>
      </c>
      <c r="C337" s="14" t="s">
        <v>547</v>
      </c>
      <c r="D337" s="14" t="s">
        <v>268</v>
      </c>
      <c r="E337" s="14" t="s">
        <v>14</v>
      </c>
      <c r="F337" s="14" t="s">
        <v>324</v>
      </c>
      <c r="G337" s="179">
        <v>680336</v>
      </c>
      <c r="H337" s="176" t="s">
        <v>1695</v>
      </c>
      <c r="I337" s="176" t="s">
        <v>1696</v>
      </c>
      <c r="J337" s="176" t="s">
        <v>123</v>
      </c>
      <c r="K337" s="176" t="s">
        <v>1700</v>
      </c>
      <c r="L337" s="40" t="s">
        <v>45</v>
      </c>
      <c r="M337" s="40" t="s">
        <v>341</v>
      </c>
      <c r="N337" s="14" t="s">
        <v>1705</v>
      </c>
      <c r="O337" s="14" t="s">
        <v>1707</v>
      </c>
      <c r="P337" s="14" t="s">
        <v>1709</v>
      </c>
      <c r="Q337" s="14" t="s">
        <v>1711</v>
      </c>
      <c r="R337" s="17">
        <v>362</v>
      </c>
      <c r="S337" s="172" t="s">
        <v>51</v>
      </c>
      <c r="T337" s="17">
        <v>1995</v>
      </c>
      <c r="U337" s="14" t="s">
        <v>51</v>
      </c>
      <c r="V337" s="16">
        <f t="shared" si="58"/>
        <v>244056</v>
      </c>
      <c r="W337" s="16">
        <f t="shared" si="59"/>
        <v>244063</v>
      </c>
      <c r="X337" s="16">
        <f t="shared" si="60"/>
        <v>244058</v>
      </c>
      <c r="Y337" s="15"/>
      <c r="Z337" s="177"/>
      <c r="AA337" s="170"/>
      <c r="AB337" s="170"/>
      <c r="AC337" s="170"/>
      <c r="AD337" s="170"/>
      <c r="AE337" s="15"/>
      <c r="AF337" s="177"/>
      <c r="AG337" s="177">
        <f t="shared" si="56"/>
        <v>0</v>
      </c>
      <c r="AH337" s="177">
        <f t="shared" si="57"/>
        <v>0</v>
      </c>
      <c r="AK337" s="176"/>
      <c r="AL337" s="176"/>
    </row>
    <row r="338" spans="1:38" ht="36" customHeight="1" x14ac:dyDescent="0.2">
      <c r="A338" s="14" t="s">
        <v>19</v>
      </c>
      <c r="B338" s="212">
        <v>244057</v>
      </c>
      <c r="C338" s="14" t="s">
        <v>547</v>
      </c>
      <c r="D338" s="14" t="s">
        <v>268</v>
      </c>
      <c r="E338" s="14" t="s">
        <v>14</v>
      </c>
      <c r="F338" s="14" t="s">
        <v>324</v>
      </c>
      <c r="G338" s="179">
        <v>680337</v>
      </c>
      <c r="H338" s="176" t="s">
        <v>1712</v>
      </c>
      <c r="I338" s="176" t="s">
        <v>1696</v>
      </c>
      <c r="J338" s="176" t="s">
        <v>123</v>
      </c>
      <c r="K338" s="176" t="s">
        <v>1714</v>
      </c>
      <c r="L338" s="40" t="s">
        <v>45</v>
      </c>
      <c r="M338" s="40" t="s">
        <v>341</v>
      </c>
      <c r="N338" s="14" t="s">
        <v>1718</v>
      </c>
      <c r="O338" s="14" t="s">
        <v>543</v>
      </c>
      <c r="P338" s="14" t="s">
        <v>687</v>
      </c>
      <c r="Q338" s="14" t="s">
        <v>529</v>
      </c>
      <c r="R338" s="17">
        <v>375</v>
      </c>
      <c r="S338" s="172" t="s">
        <v>51</v>
      </c>
      <c r="T338" s="17">
        <v>1990</v>
      </c>
      <c r="U338" s="14" t="s">
        <v>51</v>
      </c>
      <c r="V338" s="16">
        <f t="shared" si="58"/>
        <v>244057</v>
      </c>
      <c r="W338" s="16">
        <f t="shared" si="59"/>
        <v>244064</v>
      </c>
      <c r="X338" s="16">
        <f t="shared" si="60"/>
        <v>244059</v>
      </c>
      <c r="Y338" s="15"/>
      <c r="Z338" s="177"/>
      <c r="AA338" s="170"/>
      <c r="AB338" s="170"/>
      <c r="AC338" s="170"/>
      <c r="AD338" s="170"/>
      <c r="AE338" s="15"/>
      <c r="AF338" s="177"/>
      <c r="AG338" s="177">
        <f t="shared" si="56"/>
        <v>0</v>
      </c>
      <c r="AH338" s="177">
        <f t="shared" si="57"/>
        <v>0</v>
      </c>
      <c r="AK338" s="176"/>
      <c r="AL338" s="176"/>
    </row>
    <row r="339" spans="1:38" ht="36" customHeight="1" x14ac:dyDescent="0.2">
      <c r="A339" s="14" t="s">
        <v>19</v>
      </c>
      <c r="B339" s="212">
        <v>244057</v>
      </c>
      <c r="C339" s="14" t="s">
        <v>547</v>
      </c>
      <c r="D339" s="14" t="s">
        <v>268</v>
      </c>
      <c r="E339" s="14" t="s">
        <v>14</v>
      </c>
      <c r="F339" s="14" t="s">
        <v>324</v>
      </c>
      <c r="G339" s="179">
        <v>680338</v>
      </c>
      <c r="H339" s="176" t="s">
        <v>1449</v>
      </c>
      <c r="I339" s="176" t="s">
        <v>550</v>
      </c>
      <c r="J339" s="176" t="s">
        <v>128</v>
      </c>
      <c r="K339" s="176" t="s">
        <v>1715</v>
      </c>
      <c r="L339" s="40" t="s">
        <v>106</v>
      </c>
      <c r="M339" s="40" t="s">
        <v>341</v>
      </c>
      <c r="N339" s="14" t="s">
        <v>1719</v>
      </c>
      <c r="O339" s="14" t="s">
        <v>548</v>
      </c>
      <c r="P339" s="14" t="s">
        <v>518</v>
      </c>
      <c r="Q339" s="14" t="s">
        <v>549</v>
      </c>
      <c r="R339" s="17">
        <v>712</v>
      </c>
      <c r="S339" s="172" t="s">
        <v>51</v>
      </c>
      <c r="T339" s="17" t="s">
        <v>1725</v>
      </c>
      <c r="U339" s="14" t="s">
        <v>51</v>
      </c>
      <c r="V339" s="16">
        <f t="shared" si="58"/>
        <v>244057</v>
      </c>
      <c r="W339" s="16">
        <f t="shared" si="59"/>
        <v>244064</v>
      </c>
      <c r="X339" s="16">
        <f t="shared" si="60"/>
        <v>244059</v>
      </c>
      <c r="Y339" s="15"/>
      <c r="Z339" s="177"/>
      <c r="AA339" s="170"/>
      <c r="AB339" s="170"/>
      <c r="AC339" s="170"/>
      <c r="AD339" s="170"/>
      <c r="AE339" s="15"/>
      <c r="AF339" s="177"/>
      <c r="AG339" s="177">
        <f t="shared" si="56"/>
        <v>0</v>
      </c>
      <c r="AH339" s="177">
        <f t="shared" si="57"/>
        <v>0</v>
      </c>
      <c r="AK339" s="176"/>
      <c r="AL339" s="176"/>
    </row>
    <row r="340" spans="1:38" ht="36" customHeight="1" x14ac:dyDescent="0.2">
      <c r="A340" s="14" t="s">
        <v>19</v>
      </c>
      <c r="B340" s="212">
        <v>244057</v>
      </c>
      <c r="C340" s="14" t="s">
        <v>547</v>
      </c>
      <c r="D340" s="14" t="s">
        <v>268</v>
      </c>
      <c r="E340" s="14" t="s">
        <v>14</v>
      </c>
      <c r="F340" s="14" t="s">
        <v>324</v>
      </c>
      <c r="G340" s="179">
        <v>680339</v>
      </c>
      <c r="H340" s="176" t="s">
        <v>1713</v>
      </c>
      <c r="I340" s="176" t="s">
        <v>551</v>
      </c>
      <c r="J340" s="176" t="s">
        <v>832</v>
      </c>
      <c r="K340" s="176" t="s">
        <v>1716</v>
      </c>
      <c r="L340" s="40" t="s">
        <v>108</v>
      </c>
      <c r="M340" s="40" t="s">
        <v>341</v>
      </c>
      <c r="N340" s="14" t="s">
        <v>676</v>
      </c>
      <c r="O340" s="14" t="s">
        <v>548</v>
      </c>
      <c r="P340" s="14" t="s">
        <v>518</v>
      </c>
      <c r="Q340" s="14" t="s">
        <v>549</v>
      </c>
      <c r="R340" s="17">
        <v>169</v>
      </c>
      <c r="S340" s="172" t="s">
        <v>51</v>
      </c>
      <c r="T340" s="17">
        <v>2992</v>
      </c>
      <c r="U340" s="14" t="s">
        <v>51</v>
      </c>
      <c r="V340" s="16">
        <f t="shared" si="58"/>
        <v>244057</v>
      </c>
      <c r="W340" s="16">
        <f t="shared" si="59"/>
        <v>244064</v>
      </c>
      <c r="X340" s="16">
        <f t="shared" si="60"/>
        <v>244059</v>
      </c>
      <c r="Y340" s="15"/>
      <c r="Z340" s="177"/>
      <c r="AA340" s="170"/>
      <c r="AB340" s="170"/>
      <c r="AC340" s="170"/>
      <c r="AD340" s="170"/>
      <c r="AE340" s="15"/>
      <c r="AF340" s="177"/>
      <c r="AG340" s="177">
        <f t="shared" si="56"/>
        <v>0</v>
      </c>
      <c r="AH340" s="177">
        <f t="shared" si="57"/>
        <v>0</v>
      </c>
      <c r="AK340" s="176"/>
      <c r="AL340" s="176"/>
    </row>
    <row r="341" spans="1:38" ht="36" customHeight="1" x14ac:dyDescent="0.2">
      <c r="A341" s="14" t="s">
        <v>19</v>
      </c>
      <c r="B341" s="212">
        <v>244057</v>
      </c>
      <c r="C341" s="14" t="s">
        <v>547</v>
      </c>
      <c r="D341" s="14" t="s">
        <v>268</v>
      </c>
      <c r="E341" s="14" t="s">
        <v>14</v>
      </c>
      <c r="F341" s="14" t="s">
        <v>324</v>
      </c>
      <c r="G341" s="179">
        <v>680340</v>
      </c>
      <c r="H341" s="176" t="s">
        <v>1449</v>
      </c>
      <c r="I341" s="176" t="s">
        <v>550</v>
      </c>
      <c r="J341" s="176" t="s">
        <v>128</v>
      </c>
      <c r="K341" s="176" t="s">
        <v>1715</v>
      </c>
      <c r="L341" s="40" t="s">
        <v>106</v>
      </c>
      <c r="M341" s="40" t="s">
        <v>341</v>
      </c>
      <c r="N341" s="14" t="s">
        <v>1720</v>
      </c>
      <c r="O341" s="14" t="s">
        <v>1722</v>
      </c>
      <c r="P341" s="14" t="s">
        <v>1723</v>
      </c>
      <c r="Q341" s="14" t="s">
        <v>1724</v>
      </c>
      <c r="R341" s="17">
        <v>1850</v>
      </c>
      <c r="S341" s="172" t="s">
        <v>51</v>
      </c>
      <c r="T341" s="17">
        <v>1950</v>
      </c>
      <c r="U341" s="14" t="s">
        <v>51</v>
      </c>
      <c r="V341" s="16">
        <f t="shared" si="58"/>
        <v>244057</v>
      </c>
      <c r="W341" s="16">
        <f t="shared" si="59"/>
        <v>244064</v>
      </c>
      <c r="X341" s="16">
        <f t="shared" si="60"/>
        <v>244059</v>
      </c>
      <c r="Y341" s="15"/>
      <c r="Z341" s="177"/>
      <c r="AA341" s="170"/>
      <c r="AB341" s="170"/>
      <c r="AC341" s="170"/>
      <c r="AD341" s="170"/>
      <c r="AE341" s="15"/>
      <c r="AF341" s="177"/>
      <c r="AG341" s="177">
        <f t="shared" si="56"/>
        <v>0</v>
      </c>
      <c r="AH341" s="177">
        <f t="shared" si="57"/>
        <v>0</v>
      </c>
      <c r="AK341" s="176"/>
      <c r="AL341" s="176"/>
    </row>
    <row r="342" spans="1:38" ht="36" customHeight="1" x14ac:dyDescent="0.2">
      <c r="A342" s="14" t="s">
        <v>19</v>
      </c>
      <c r="B342" s="212">
        <v>244057</v>
      </c>
      <c r="C342" s="14" t="s">
        <v>547</v>
      </c>
      <c r="D342" s="14" t="s">
        <v>268</v>
      </c>
      <c r="E342" s="14" t="s">
        <v>14</v>
      </c>
      <c r="F342" s="14" t="s">
        <v>324</v>
      </c>
      <c r="G342" s="179">
        <v>680341</v>
      </c>
      <c r="H342" s="176" t="s">
        <v>1593</v>
      </c>
      <c r="I342" s="176" t="s">
        <v>774</v>
      </c>
      <c r="J342" s="176" t="s">
        <v>776</v>
      </c>
      <c r="K342" s="176" t="s">
        <v>1717</v>
      </c>
      <c r="L342" s="40" t="s">
        <v>105</v>
      </c>
      <c r="M342" s="40" t="s">
        <v>341</v>
      </c>
      <c r="N342" s="14" t="s">
        <v>1721</v>
      </c>
      <c r="O342" s="14" t="s">
        <v>552</v>
      </c>
      <c r="P342" s="14" t="s">
        <v>519</v>
      </c>
      <c r="Q342" s="14" t="s">
        <v>553</v>
      </c>
      <c r="R342" s="17">
        <v>500</v>
      </c>
      <c r="S342" s="172" t="s">
        <v>51</v>
      </c>
      <c r="T342" s="17">
        <v>700</v>
      </c>
      <c r="U342" s="14" t="s">
        <v>51</v>
      </c>
      <c r="V342" s="16">
        <f t="shared" si="58"/>
        <v>244057</v>
      </c>
      <c r="W342" s="16">
        <f t="shared" si="59"/>
        <v>244064</v>
      </c>
      <c r="X342" s="16">
        <f t="shared" si="60"/>
        <v>244059</v>
      </c>
      <c r="Y342" s="15"/>
      <c r="Z342" s="177"/>
      <c r="AA342" s="170"/>
      <c r="AB342" s="170"/>
      <c r="AC342" s="170"/>
      <c r="AD342" s="170"/>
      <c r="AE342" s="15"/>
      <c r="AF342" s="177"/>
      <c r="AG342" s="177">
        <f t="shared" si="56"/>
        <v>0</v>
      </c>
      <c r="AH342" s="177">
        <f t="shared" si="57"/>
        <v>0</v>
      </c>
      <c r="AK342" s="176"/>
      <c r="AL342" s="176"/>
    </row>
    <row r="343" spans="1:38" ht="36" customHeight="1" x14ac:dyDescent="0.2">
      <c r="A343" s="14" t="s">
        <v>19</v>
      </c>
      <c r="B343" s="212">
        <v>244058</v>
      </c>
      <c r="C343" s="14" t="s">
        <v>547</v>
      </c>
      <c r="D343" s="14" t="s">
        <v>268</v>
      </c>
      <c r="E343" s="14" t="s">
        <v>14</v>
      </c>
      <c r="F343" s="14" t="s">
        <v>324</v>
      </c>
      <c r="G343" s="179">
        <v>680342</v>
      </c>
      <c r="H343" s="176" t="s">
        <v>1726</v>
      </c>
      <c r="I343" s="176" t="s">
        <v>1729</v>
      </c>
      <c r="J343" s="176" t="s">
        <v>1730</v>
      </c>
      <c r="K343" s="176" t="s">
        <v>1731</v>
      </c>
      <c r="L343" s="40" t="s">
        <v>108</v>
      </c>
      <c r="M343" s="40" t="s">
        <v>341</v>
      </c>
      <c r="N343" s="14" t="s">
        <v>1736</v>
      </c>
      <c r="O343" s="14" t="s">
        <v>1744</v>
      </c>
      <c r="P343" s="14" t="s">
        <v>793</v>
      </c>
      <c r="Q343" s="14" t="s">
        <v>1751</v>
      </c>
      <c r="R343" s="17">
        <v>1375</v>
      </c>
      <c r="S343" s="172" t="s">
        <v>51</v>
      </c>
      <c r="T343" s="17">
        <v>2770</v>
      </c>
      <c r="U343" s="14" t="s">
        <v>51</v>
      </c>
      <c r="V343" s="16">
        <f t="shared" si="58"/>
        <v>244058</v>
      </c>
      <c r="W343" s="16">
        <f t="shared" si="59"/>
        <v>244065</v>
      </c>
      <c r="X343" s="16">
        <f t="shared" si="60"/>
        <v>244060</v>
      </c>
      <c r="Y343" s="15"/>
      <c r="Z343" s="177"/>
      <c r="AA343" s="170"/>
      <c r="AB343" s="170"/>
      <c r="AC343" s="170"/>
      <c r="AD343" s="170"/>
      <c r="AE343" s="15"/>
      <c r="AF343" s="177"/>
      <c r="AG343" s="177">
        <f t="shared" si="56"/>
        <v>0</v>
      </c>
      <c r="AH343" s="177">
        <f t="shared" si="57"/>
        <v>0</v>
      </c>
      <c r="AK343" s="176"/>
      <c r="AL343" s="176"/>
    </row>
    <row r="344" spans="1:38" ht="36" customHeight="1" x14ac:dyDescent="0.2">
      <c r="A344" s="14" t="s">
        <v>19</v>
      </c>
      <c r="B344" s="212">
        <v>244058</v>
      </c>
      <c r="C344" s="14" t="s">
        <v>547</v>
      </c>
      <c r="D344" s="14" t="s">
        <v>268</v>
      </c>
      <c r="E344" s="14" t="s">
        <v>14</v>
      </c>
      <c r="F344" s="14" t="s">
        <v>324</v>
      </c>
      <c r="G344" s="179">
        <v>680343</v>
      </c>
      <c r="H344" s="176" t="s">
        <v>1449</v>
      </c>
      <c r="I344" s="176" t="s">
        <v>550</v>
      </c>
      <c r="J344" s="176" t="s">
        <v>128</v>
      </c>
      <c r="K344" s="176" t="s">
        <v>1715</v>
      </c>
      <c r="L344" s="40" t="s">
        <v>106</v>
      </c>
      <c r="M344" s="40" t="s">
        <v>341</v>
      </c>
      <c r="N344" s="14" t="s">
        <v>1737</v>
      </c>
      <c r="O344" s="14" t="s">
        <v>1149</v>
      </c>
      <c r="P344" s="14" t="s">
        <v>1746</v>
      </c>
      <c r="Q344" s="14" t="s">
        <v>1155</v>
      </c>
      <c r="R344" s="17">
        <v>1200</v>
      </c>
      <c r="S344" s="172" t="s">
        <v>51</v>
      </c>
      <c r="T344" s="17">
        <v>1875</v>
      </c>
      <c r="U344" s="14" t="s">
        <v>51</v>
      </c>
      <c r="V344" s="16">
        <f t="shared" si="58"/>
        <v>244058</v>
      </c>
      <c r="W344" s="16">
        <f t="shared" si="59"/>
        <v>244065</v>
      </c>
      <c r="X344" s="16">
        <f t="shared" si="60"/>
        <v>244060</v>
      </c>
      <c r="Y344" s="15" t="s">
        <v>54</v>
      </c>
      <c r="Z344" s="177">
        <v>244062</v>
      </c>
      <c r="AA344" s="170"/>
      <c r="AB344" s="170"/>
      <c r="AC344" s="170"/>
      <c r="AD344" s="170"/>
      <c r="AE344" s="15" t="s">
        <v>54</v>
      </c>
      <c r="AF344" s="177">
        <v>244074</v>
      </c>
      <c r="AG344" s="177" t="str">
        <f t="shared" si="56"/>
        <v>Pass</v>
      </c>
      <c r="AH344" s="177">
        <f t="shared" si="57"/>
        <v>244074</v>
      </c>
      <c r="AK344" s="176"/>
      <c r="AL344" s="176"/>
    </row>
    <row r="345" spans="1:38" ht="36" customHeight="1" x14ac:dyDescent="0.2">
      <c r="A345" s="14" t="s">
        <v>19</v>
      </c>
      <c r="B345" s="212">
        <v>244058</v>
      </c>
      <c r="C345" s="14" t="s">
        <v>547</v>
      </c>
      <c r="D345" s="14" t="s">
        <v>268</v>
      </c>
      <c r="E345" s="14" t="s">
        <v>14</v>
      </c>
      <c r="F345" s="14" t="s">
        <v>324</v>
      </c>
      <c r="G345" s="179">
        <v>680344</v>
      </c>
      <c r="H345" s="176" t="s">
        <v>1727</v>
      </c>
      <c r="I345" s="176" t="s">
        <v>802</v>
      </c>
      <c r="J345" s="176" t="s">
        <v>143</v>
      </c>
      <c r="K345" s="176" t="s">
        <v>1732</v>
      </c>
      <c r="L345" s="40" t="s">
        <v>710</v>
      </c>
      <c r="M345" s="40" t="s">
        <v>341</v>
      </c>
      <c r="N345" s="14" t="s">
        <v>1738</v>
      </c>
      <c r="O345" s="14" t="s">
        <v>548</v>
      </c>
      <c r="P345" s="14" t="s">
        <v>518</v>
      </c>
      <c r="Q345" s="14" t="s">
        <v>549</v>
      </c>
      <c r="R345" s="17">
        <v>125</v>
      </c>
      <c r="S345" s="172" t="s">
        <v>51</v>
      </c>
      <c r="T345" s="17">
        <v>2335</v>
      </c>
      <c r="U345" s="14" t="s">
        <v>51</v>
      </c>
      <c r="V345" s="16">
        <f t="shared" si="58"/>
        <v>244058</v>
      </c>
      <c r="W345" s="16">
        <f t="shared" si="59"/>
        <v>244065</v>
      </c>
      <c r="X345" s="16">
        <f t="shared" si="60"/>
        <v>244060</v>
      </c>
      <c r="Y345" s="15" t="s">
        <v>54</v>
      </c>
      <c r="Z345" s="177">
        <v>244062</v>
      </c>
      <c r="AA345" s="170"/>
      <c r="AB345" s="170"/>
      <c r="AC345" s="170"/>
      <c r="AD345" s="170"/>
      <c r="AE345" s="15" t="s">
        <v>54</v>
      </c>
      <c r="AF345" s="177">
        <v>244074</v>
      </c>
      <c r="AG345" s="177" t="str">
        <f t="shared" si="56"/>
        <v>Pass</v>
      </c>
      <c r="AH345" s="177">
        <f t="shared" si="57"/>
        <v>244074</v>
      </c>
      <c r="AK345" s="176"/>
      <c r="AL345" s="176"/>
    </row>
    <row r="346" spans="1:38" ht="36" customHeight="1" x14ac:dyDescent="0.2">
      <c r="A346" s="14" t="s">
        <v>19</v>
      </c>
      <c r="B346" s="212">
        <v>244058</v>
      </c>
      <c r="C346" s="14" t="s">
        <v>547</v>
      </c>
      <c r="D346" s="14" t="s">
        <v>268</v>
      </c>
      <c r="E346" s="14" t="s">
        <v>14</v>
      </c>
      <c r="F346" s="14" t="s">
        <v>324</v>
      </c>
      <c r="G346" s="179">
        <v>680345</v>
      </c>
      <c r="H346" s="176" t="s">
        <v>1449</v>
      </c>
      <c r="I346" s="176" t="s">
        <v>550</v>
      </c>
      <c r="J346" s="176" t="s">
        <v>128</v>
      </c>
      <c r="K346" s="176" t="s">
        <v>1715</v>
      </c>
      <c r="L346" s="40" t="s">
        <v>106</v>
      </c>
      <c r="M346" s="40" t="s">
        <v>341</v>
      </c>
      <c r="N346" s="14" t="s">
        <v>1739</v>
      </c>
      <c r="O346" s="14" t="s">
        <v>1745</v>
      </c>
      <c r="P346" s="14" t="s">
        <v>1747</v>
      </c>
      <c r="Q346" s="14" t="s">
        <v>1752</v>
      </c>
      <c r="R346" s="17">
        <v>324</v>
      </c>
      <c r="S346" s="172" t="s">
        <v>51</v>
      </c>
      <c r="T346" s="17" t="s">
        <v>1753</v>
      </c>
      <c r="U346" s="14" t="s">
        <v>51</v>
      </c>
      <c r="V346" s="16">
        <f t="shared" si="58"/>
        <v>244058</v>
      </c>
      <c r="W346" s="16">
        <f t="shared" si="59"/>
        <v>244065</v>
      </c>
      <c r="X346" s="16">
        <f t="shared" si="60"/>
        <v>244060</v>
      </c>
      <c r="Y346" s="15" t="s">
        <v>54</v>
      </c>
      <c r="Z346" s="177">
        <v>244064</v>
      </c>
      <c r="AA346" s="170"/>
      <c r="AB346" s="170"/>
      <c r="AC346" s="170"/>
      <c r="AD346" s="170"/>
      <c r="AE346" s="15" t="s">
        <v>54</v>
      </c>
      <c r="AF346" s="177">
        <v>244074</v>
      </c>
      <c r="AG346" s="177" t="str">
        <f t="shared" si="56"/>
        <v>Pass</v>
      </c>
      <c r="AH346" s="177">
        <f t="shared" si="57"/>
        <v>244074</v>
      </c>
      <c r="AK346" s="176"/>
      <c r="AL346" s="176"/>
    </row>
    <row r="347" spans="1:38" ht="36" customHeight="1" x14ac:dyDescent="0.2">
      <c r="A347" s="14" t="s">
        <v>19</v>
      </c>
      <c r="B347" s="212">
        <v>244058</v>
      </c>
      <c r="C347" s="14" t="s">
        <v>547</v>
      </c>
      <c r="D347" s="14" t="s">
        <v>268</v>
      </c>
      <c r="E347" s="14" t="s">
        <v>14</v>
      </c>
      <c r="F347" s="14" t="s">
        <v>324</v>
      </c>
      <c r="G347" s="179">
        <v>680346</v>
      </c>
      <c r="H347" s="176" t="s">
        <v>1728</v>
      </c>
      <c r="I347" s="176" t="s">
        <v>551</v>
      </c>
      <c r="J347" s="176" t="s">
        <v>1394</v>
      </c>
      <c r="K347" s="176" t="s">
        <v>1733</v>
      </c>
      <c r="L347" s="40" t="s">
        <v>106</v>
      </c>
      <c r="M347" s="40" t="s">
        <v>341</v>
      </c>
      <c r="N347" s="14" t="s">
        <v>1740</v>
      </c>
      <c r="O347" s="14" t="s">
        <v>1178</v>
      </c>
      <c r="P347" s="14" t="s">
        <v>1748</v>
      </c>
      <c r="Q347" s="14" t="s">
        <v>1182</v>
      </c>
      <c r="R347" s="17">
        <v>120</v>
      </c>
      <c r="S347" s="172" t="s">
        <v>51</v>
      </c>
      <c r="T347" s="17">
        <v>2914</v>
      </c>
      <c r="U347" s="14" t="s">
        <v>51</v>
      </c>
      <c r="V347" s="16">
        <f t="shared" ref="V347:V378" si="61">B347</f>
        <v>244058</v>
      </c>
      <c r="W347" s="16">
        <f t="shared" ref="W347:W378" si="62">B347+7</f>
        <v>244065</v>
      </c>
      <c r="X347" s="16">
        <f t="shared" si="60"/>
        <v>244060</v>
      </c>
      <c r="Y347" s="15" t="s">
        <v>54</v>
      </c>
      <c r="Z347" s="177">
        <v>244064</v>
      </c>
      <c r="AA347" s="170"/>
      <c r="AB347" s="170"/>
      <c r="AC347" s="170"/>
      <c r="AD347" s="170"/>
      <c r="AE347" s="15" t="s">
        <v>54</v>
      </c>
      <c r="AF347" s="177">
        <v>244074</v>
      </c>
      <c r="AG347" s="177" t="str">
        <f t="shared" si="56"/>
        <v>Pass</v>
      </c>
      <c r="AH347" s="177">
        <f t="shared" si="57"/>
        <v>244074</v>
      </c>
      <c r="AK347" s="176"/>
      <c r="AL347" s="176"/>
    </row>
    <row r="348" spans="1:38" ht="36" customHeight="1" x14ac:dyDescent="0.2">
      <c r="A348" s="14" t="s">
        <v>19</v>
      </c>
      <c r="B348" s="212">
        <v>244058</v>
      </c>
      <c r="C348" s="14" t="s">
        <v>547</v>
      </c>
      <c r="D348" s="14" t="s">
        <v>268</v>
      </c>
      <c r="E348" s="14" t="s">
        <v>14</v>
      </c>
      <c r="F348" s="14" t="s">
        <v>324</v>
      </c>
      <c r="G348" s="179">
        <v>680347</v>
      </c>
      <c r="H348" s="176" t="s">
        <v>1208</v>
      </c>
      <c r="I348" s="176" t="s">
        <v>1189</v>
      </c>
      <c r="J348" s="176" t="s">
        <v>130</v>
      </c>
      <c r="K348" s="176" t="s">
        <v>1734</v>
      </c>
      <c r="L348" s="40" t="s">
        <v>46</v>
      </c>
      <c r="M348" s="40" t="s">
        <v>341</v>
      </c>
      <c r="N348" s="14" t="s">
        <v>1741</v>
      </c>
      <c r="O348" s="14" t="s">
        <v>527</v>
      </c>
      <c r="P348" s="14" t="s">
        <v>1749</v>
      </c>
      <c r="Q348" s="14" t="s">
        <v>542</v>
      </c>
      <c r="R348" s="17">
        <v>300</v>
      </c>
      <c r="S348" s="172" t="s">
        <v>51</v>
      </c>
      <c r="T348" s="17">
        <v>2682</v>
      </c>
      <c r="U348" s="14" t="s">
        <v>51</v>
      </c>
      <c r="V348" s="16">
        <f t="shared" si="61"/>
        <v>244058</v>
      </c>
      <c r="W348" s="16">
        <f t="shared" si="62"/>
        <v>244065</v>
      </c>
      <c r="X348" s="16">
        <f t="shared" si="60"/>
        <v>244060</v>
      </c>
      <c r="Y348" s="15" t="s">
        <v>54</v>
      </c>
      <c r="Z348" s="177">
        <v>244064</v>
      </c>
      <c r="AA348" s="170"/>
      <c r="AB348" s="170"/>
      <c r="AC348" s="170"/>
      <c r="AD348" s="170"/>
      <c r="AE348" s="15" t="s">
        <v>54</v>
      </c>
      <c r="AF348" s="177">
        <v>244074</v>
      </c>
      <c r="AG348" s="177" t="str">
        <f t="shared" si="56"/>
        <v>Pass</v>
      </c>
      <c r="AH348" s="177">
        <f t="shared" si="57"/>
        <v>244074</v>
      </c>
      <c r="AK348" s="176"/>
      <c r="AL348" s="176"/>
    </row>
    <row r="349" spans="1:38" ht="36" customHeight="1" x14ac:dyDescent="0.2">
      <c r="A349" s="14" t="s">
        <v>19</v>
      </c>
      <c r="B349" s="212">
        <v>244058</v>
      </c>
      <c r="C349" s="14" t="s">
        <v>547</v>
      </c>
      <c r="D349" s="14" t="s">
        <v>268</v>
      </c>
      <c r="E349" s="14" t="s">
        <v>14</v>
      </c>
      <c r="F349" s="14" t="s">
        <v>324</v>
      </c>
      <c r="G349" s="179">
        <v>680348</v>
      </c>
      <c r="H349" s="176" t="s">
        <v>663</v>
      </c>
      <c r="I349" s="176" t="s">
        <v>630</v>
      </c>
      <c r="J349" s="176" t="s">
        <v>821</v>
      </c>
      <c r="K349" s="176" t="s">
        <v>1735</v>
      </c>
      <c r="L349" s="40" t="s">
        <v>124</v>
      </c>
      <c r="M349" s="40" t="s">
        <v>341</v>
      </c>
      <c r="N349" s="14" t="s">
        <v>1742</v>
      </c>
      <c r="O349" s="14" t="s">
        <v>543</v>
      </c>
      <c r="P349" s="14" t="s">
        <v>1750</v>
      </c>
      <c r="Q349" s="14" t="s">
        <v>529</v>
      </c>
      <c r="R349" s="17">
        <v>1200</v>
      </c>
      <c r="S349" s="172" t="s">
        <v>51</v>
      </c>
      <c r="T349" s="17">
        <v>2589</v>
      </c>
      <c r="U349" s="14" t="s">
        <v>51</v>
      </c>
      <c r="V349" s="16">
        <f t="shared" si="61"/>
        <v>244058</v>
      </c>
      <c r="W349" s="16">
        <f t="shared" si="62"/>
        <v>244065</v>
      </c>
      <c r="X349" s="16">
        <f t="shared" si="60"/>
        <v>244060</v>
      </c>
      <c r="Y349" s="15" t="s">
        <v>54</v>
      </c>
      <c r="Z349" s="177">
        <v>244062</v>
      </c>
      <c r="AA349" s="170"/>
      <c r="AB349" s="170"/>
      <c r="AC349" s="170"/>
      <c r="AD349" s="170"/>
      <c r="AE349" s="15" t="s">
        <v>54</v>
      </c>
      <c r="AF349" s="177">
        <v>244074</v>
      </c>
      <c r="AG349" s="177" t="str">
        <f t="shared" si="56"/>
        <v>Pass</v>
      </c>
      <c r="AH349" s="177">
        <f t="shared" si="57"/>
        <v>244074</v>
      </c>
      <c r="AK349" s="176"/>
      <c r="AL349" s="176"/>
    </row>
    <row r="350" spans="1:38" ht="36" customHeight="1" x14ac:dyDescent="0.2">
      <c r="A350" s="14" t="s">
        <v>19</v>
      </c>
      <c r="B350" s="212">
        <v>244058</v>
      </c>
      <c r="C350" s="14" t="s">
        <v>547</v>
      </c>
      <c r="D350" s="14" t="s">
        <v>268</v>
      </c>
      <c r="E350" s="14" t="s">
        <v>14</v>
      </c>
      <c r="F350" s="14" t="s">
        <v>324</v>
      </c>
      <c r="G350" s="179">
        <v>680349</v>
      </c>
      <c r="H350" s="176" t="s">
        <v>663</v>
      </c>
      <c r="I350" s="176" t="s">
        <v>630</v>
      </c>
      <c r="J350" s="176" t="s">
        <v>821</v>
      </c>
      <c r="K350" s="176" t="s">
        <v>1735</v>
      </c>
      <c r="L350" s="40" t="s">
        <v>124</v>
      </c>
      <c r="M350" s="40" t="s">
        <v>341</v>
      </c>
      <c r="N350" s="14" t="s">
        <v>1743</v>
      </c>
      <c r="O350" s="14" t="s">
        <v>543</v>
      </c>
      <c r="P350" s="14" t="s">
        <v>791</v>
      </c>
      <c r="Q350" s="14" t="s">
        <v>529</v>
      </c>
      <c r="R350" s="17">
        <v>500</v>
      </c>
      <c r="S350" s="172" t="s">
        <v>51</v>
      </c>
      <c r="T350" s="17">
        <v>563</v>
      </c>
      <c r="U350" s="14" t="s">
        <v>51</v>
      </c>
      <c r="V350" s="16">
        <f t="shared" si="61"/>
        <v>244058</v>
      </c>
      <c r="W350" s="16">
        <f t="shared" si="62"/>
        <v>244065</v>
      </c>
      <c r="X350" s="16">
        <f t="shared" si="60"/>
        <v>244060</v>
      </c>
      <c r="Y350" s="15" t="s">
        <v>54</v>
      </c>
      <c r="Z350" s="177">
        <v>244062</v>
      </c>
      <c r="AA350" s="170"/>
      <c r="AB350" s="170"/>
      <c r="AC350" s="170"/>
      <c r="AD350" s="170"/>
      <c r="AE350" s="15" t="s">
        <v>54</v>
      </c>
      <c r="AF350" s="177">
        <v>244074</v>
      </c>
      <c r="AG350" s="177" t="str">
        <f t="shared" si="56"/>
        <v>Pass</v>
      </c>
      <c r="AH350" s="177">
        <f t="shared" si="57"/>
        <v>244074</v>
      </c>
      <c r="AK350" s="176"/>
      <c r="AL350" s="176"/>
    </row>
    <row r="351" spans="1:38" ht="36" customHeight="1" x14ac:dyDescent="0.2">
      <c r="A351" s="14" t="s">
        <v>19</v>
      </c>
      <c r="B351" s="212">
        <v>244058</v>
      </c>
      <c r="C351" s="14" t="s">
        <v>547</v>
      </c>
      <c r="D351" s="14" t="s">
        <v>268</v>
      </c>
      <c r="E351" s="14" t="s">
        <v>14</v>
      </c>
      <c r="F351" s="14" t="s">
        <v>324</v>
      </c>
      <c r="G351" s="179">
        <v>680350</v>
      </c>
      <c r="H351" s="176" t="s">
        <v>1755</v>
      </c>
      <c r="I351" s="176" t="s">
        <v>612</v>
      </c>
      <c r="J351" s="176" t="s">
        <v>289</v>
      </c>
      <c r="K351" s="176" t="s">
        <v>1760</v>
      </c>
      <c r="L351" s="40" t="s">
        <v>46</v>
      </c>
      <c r="M351" s="40" t="s">
        <v>341</v>
      </c>
      <c r="N351" s="14" t="s">
        <v>1765</v>
      </c>
      <c r="O351" s="14" t="s">
        <v>552</v>
      </c>
      <c r="P351" s="14" t="s">
        <v>1205</v>
      </c>
      <c r="Q351" s="14" t="s">
        <v>553</v>
      </c>
      <c r="R351" s="17">
        <v>425</v>
      </c>
      <c r="S351" s="172" t="s">
        <v>51</v>
      </c>
      <c r="T351" s="17">
        <v>1360</v>
      </c>
      <c r="U351" s="14" t="s">
        <v>51</v>
      </c>
      <c r="V351" s="16">
        <f t="shared" si="61"/>
        <v>244058</v>
      </c>
      <c r="W351" s="16">
        <f t="shared" si="62"/>
        <v>244065</v>
      </c>
      <c r="X351" s="16">
        <f t="shared" si="60"/>
        <v>244060</v>
      </c>
      <c r="Y351" s="15" t="s">
        <v>54</v>
      </c>
      <c r="Z351" s="177">
        <v>244069</v>
      </c>
      <c r="AA351" s="170"/>
      <c r="AB351" s="170"/>
      <c r="AC351" s="170"/>
      <c r="AD351" s="170"/>
      <c r="AE351" s="15" t="s">
        <v>54</v>
      </c>
      <c r="AF351" s="177">
        <v>244074</v>
      </c>
      <c r="AG351" s="177" t="str">
        <f t="shared" si="56"/>
        <v>Pass</v>
      </c>
      <c r="AH351" s="177">
        <f t="shared" si="57"/>
        <v>244074</v>
      </c>
      <c r="AK351" s="176"/>
      <c r="AL351" s="176"/>
    </row>
    <row r="352" spans="1:38" ht="36" customHeight="1" x14ac:dyDescent="0.2">
      <c r="A352" s="14" t="s">
        <v>19</v>
      </c>
      <c r="B352" s="212">
        <v>244058</v>
      </c>
      <c r="C352" s="14" t="s">
        <v>547</v>
      </c>
      <c r="D352" s="14" t="s">
        <v>268</v>
      </c>
      <c r="E352" s="14" t="s">
        <v>14</v>
      </c>
      <c r="F352" s="14" t="s">
        <v>324</v>
      </c>
      <c r="G352" s="179">
        <v>680351</v>
      </c>
      <c r="H352" s="176" t="s">
        <v>1754</v>
      </c>
      <c r="I352" s="176" t="s">
        <v>802</v>
      </c>
      <c r="J352" s="176" t="s">
        <v>131</v>
      </c>
      <c r="K352" s="176" t="s">
        <v>1761</v>
      </c>
      <c r="L352" s="40" t="s">
        <v>105</v>
      </c>
      <c r="M352" s="40" t="s">
        <v>341</v>
      </c>
      <c r="N352" s="14" t="s">
        <v>1766</v>
      </c>
      <c r="O352" s="14" t="s">
        <v>552</v>
      </c>
      <c r="P352" s="14" t="s">
        <v>793</v>
      </c>
      <c r="Q352" s="14" t="s">
        <v>553</v>
      </c>
      <c r="R352" s="17">
        <v>450</v>
      </c>
      <c r="S352" s="172" t="s">
        <v>51</v>
      </c>
      <c r="T352" s="17">
        <v>1605</v>
      </c>
      <c r="U352" s="14" t="s">
        <v>51</v>
      </c>
      <c r="V352" s="16">
        <f t="shared" si="61"/>
        <v>244058</v>
      </c>
      <c r="W352" s="16">
        <f t="shared" si="62"/>
        <v>244065</v>
      </c>
      <c r="X352" s="16">
        <f t="shared" si="60"/>
        <v>244060</v>
      </c>
      <c r="Y352" s="15"/>
      <c r="Z352" s="177"/>
      <c r="AA352" s="170"/>
      <c r="AB352" s="170"/>
      <c r="AC352" s="170"/>
      <c r="AD352" s="170"/>
      <c r="AE352" s="15"/>
      <c r="AF352" s="177"/>
      <c r="AG352" s="177">
        <f t="shared" si="56"/>
        <v>0</v>
      </c>
      <c r="AH352" s="177">
        <f t="shared" si="57"/>
        <v>0</v>
      </c>
      <c r="AK352" s="176"/>
      <c r="AL352" s="176"/>
    </row>
    <row r="353" spans="1:38" ht="36" customHeight="1" x14ac:dyDescent="0.2">
      <c r="A353" s="14" t="s">
        <v>19</v>
      </c>
      <c r="B353" s="212">
        <v>244058</v>
      </c>
      <c r="C353" s="14" t="s">
        <v>547</v>
      </c>
      <c r="D353" s="14" t="s">
        <v>268</v>
      </c>
      <c r="E353" s="14" t="s">
        <v>14</v>
      </c>
      <c r="F353" s="14" t="s">
        <v>324</v>
      </c>
      <c r="G353" s="179">
        <v>680352</v>
      </c>
      <c r="H353" s="176" t="s">
        <v>1755</v>
      </c>
      <c r="I353" s="176" t="s">
        <v>612</v>
      </c>
      <c r="J353" s="176" t="s">
        <v>289</v>
      </c>
      <c r="K353" s="176" t="s">
        <v>1760</v>
      </c>
      <c r="L353" s="40" t="s">
        <v>46</v>
      </c>
      <c r="M353" s="40" t="s">
        <v>341</v>
      </c>
      <c r="N353" s="14" t="s">
        <v>1773</v>
      </c>
      <c r="O353" s="14" t="s">
        <v>1772</v>
      </c>
      <c r="P353" s="14" t="s">
        <v>1624</v>
      </c>
      <c r="Q353" s="14" t="s">
        <v>1775</v>
      </c>
      <c r="R353" s="17">
        <v>575</v>
      </c>
      <c r="S353" s="172" t="s">
        <v>51</v>
      </c>
      <c r="T353" s="17">
        <v>1130</v>
      </c>
      <c r="U353" s="14" t="s">
        <v>51</v>
      </c>
      <c r="V353" s="16">
        <f t="shared" si="61"/>
        <v>244058</v>
      </c>
      <c r="W353" s="16">
        <f t="shared" si="62"/>
        <v>244065</v>
      </c>
      <c r="X353" s="16">
        <f t="shared" si="60"/>
        <v>244060</v>
      </c>
      <c r="Y353" s="15" t="s">
        <v>54</v>
      </c>
      <c r="Z353" s="177">
        <v>244069</v>
      </c>
      <c r="AA353" s="170"/>
      <c r="AB353" s="170"/>
      <c r="AC353" s="170"/>
      <c r="AD353" s="170"/>
      <c r="AE353" s="15" t="s">
        <v>54</v>
      </c>
      <c r="AF353" s="177">
        <v>244074</v>
      </c>
      <c r="AG353" s="177" t="str">
        <f t="shared" si="56"/>
        <v>Pass</v>
      </c>
      <c r="AH353" s="177">
        <f t="shared" si="57"/>
        <v>244074</v>
      </c>
      <c r="AK353" s="176"/>
      <c r="AL353" s="176"/>
    </row>
    <row r="354" spans="1:38" ht="36" customHeight="1" x14ac:dyDescent="0.2">
      <c r="A354" s="14" t="s">
        <v>19</v>
      </c>
      <c r="B354" s="212">
        <v>244058</v>
      </c>
      <c r="C354" s="14" t="s">
        <v>547</v>
      </c>
      <c r="D354" s="14" t="s">
        <v>268</v>
      </c>
      <c r="E354" s="14" t="s">
        <v>14</v>
      </c>
      <c r="F354" s="14" t="s">
        <v>324</v>
      </c>
      <c r="G354" s="179">
        <v>680353</v>
      </c>
      <c r="H354" s="176" t="s">
        <v>1756</v>
      </c>
      <c r="I354" s="176" t="s">
        <v>1758</v>
      </c>
      <c r="J354" s="176" t="s">
        <v>1759</v>
      </c>
      <c r="K354" s="176" t="s">
        <v>1762</v>
      </c>
      <c r="L354" s="40" t="s">
        <v>46</v>
      </c>
      <c r="M354" s="40" t="s">
        <v>341</v>
      </c>
      <c r="N354" s="14" t="s">
        <v>1767</v>
      </c>
      <c r="O354" s="14" t="s">
        <v>548</v>
      </c>
      <c r="P354" s="14" t="s">
        <v>518</v>
      </c>
      <c r="Q354" s="14" t="s">
        <v>549</v>
      </c>
      <c r="R354" s="17">
        <v>152</v>
      </c>
      <c r="S354" s="172" t="s">
        <v>51</v>
      </c>
      <c r="T354" s="17">
        <v>1800</v>
      </c>
      <c r="U354" s="14" t="s">
        <v>51</v>
      </c>
      <c r="V354" s="16">
        <f t="shared" si="61"/>
        <v>244058</v>
      </c>
      <c r="W354" s="16">
        <f t="shared" si="62"/>
        <v>244065</v>
      </c>
      <c r="X354" s="16">
        <f t="shared" si="60"/>
        <v>244060</v>
      </c>
      <c r="Y354" s="15" t="s">
        <v>54</v>
      </c>
      <c r="Z354" s="177">
        <v>244069</v>
      </c>
      <c r="AA354" s="170"/>
      <c r="AB354" s="170"/>
      <c r="AC354" s="170"/>
      <c r="AD354" s="170"/>
      <c r="AE354" s="15" t="s">
        <v>54</v>
      </c>
      <c r="AF354" s="177">
        <v>244074</v>
      </c>
      <c r="AG354" s="177" t="str">
        <f t="shared" si="56"/>
        <v>Pass</v>
      </c>
      <c r="AH354" s="177">
        <f t="shared" si="57"/>
        <v>244074</v>
      </c>
      <c r="AK354" s="176"/>
      <c r="AL354" s="176"/>
    </row>
    <row r="355" spans="1:38" ht="36" customHeight="1" x14ac:dyDescent="0.2">
      <c r="A355" s="14" t="s">
        <v>19</v>
      </c>
      <c r="B355" s="212">
        <v>244058</v>
      </c>
      <c r="C355" s="14" t="s">
        <v>547</v>
      </c>
      <c r="D355" s="14" t="s">
        <v>268</v>
      </c>
      <c r="E355" s="14" t="s">
        <v>14</v>
      </c>
      <c r="F355" s="14" t="s">
        <v>324</v>
      </c>
      <c r="G355" s="179">
        <v>680354</v>
      </c>
      <c r="H355" s="176" t="s">
        <v>1754</v>
      </c>
      <c r="I355" s="176" t="s">
        <v>802</v>
      </c>
      <c r="J355" s="176" t="s">
        <v>289</v>
      </c>
      <c r="K355" s="176" t="s">
        <v>1761</v>
      </c>
      <c r="L355" s="40" t="s">
        <v>105</v>
      </c>
      <c r="M355" s="40" t="s">
        <v>341</v>
      </c>
      <c r="N355" s="14" t="s">
        <v>1768</v>
      </c>
      <c r="O355" s="14" t="s">
        <v>548</v>
      </c>
      <c r="P355" s="14" t="s">
        <v>518</v>
      </c>
      <c r="Q355" s="14" t="s">
        <v>549</v>
      </c>
      <c r="R355" s="17">
        <v>379</v>
      </c>
      <c r="S355" s="172" t="s">
        <v>51</v>
      </c>
      <c r="T355" s="17">
        <v>1890</v>
      </c>
      <c r="U355" s="14" t="s">
        <v>51</v>
      </c>
      <c r="V355" s="16">
        <f t="shared" si="61"/>
        <v>244058</v>
      </c>
      <c r="W355" s="16">
        <f t="shared" si="62"/>
        <v>244065</v>
      </c>
      <c r="X355" s="16">
        <f t="shared" si="60"/>
        <v>244060</v>
      </c>
      <c r="Y355" s="15"/>
      <c r="Z355" s="177"/>
      <c r="AA355" s="170"/>
      <c r="AB355" s="170"/>
      <c r="AC355" s="170"/>
      <c r="AD355" s="170"/>
      <c r="AE355" s="15"/>
      <c r="AF355" s="177"/>
      <c r="AG355" s="177">
        <f t="shared" si="56"/>
        <v>0</v>
      </c>
      <c r="AH355" s="177">
        <f t="shared" si="57"/>
        <v>0</v>
      </c>
      <c r="AK355" s="176"/>
      <c r="AL355" s="176"/>
    </row>
    <row r="356" spans="1:38" ht="36" customHeight="1" x14ac:dyDescent="0.2">
      <c r="A356" s="14" t="s">
        <v>19</v>
      </c>
      <c r="B356" s="212">
        <v>244058</v>
      </c>
      <c r="C356" s="14" t="s">
        <v>547</v>
      </c>
      <c r="D356" s="14" t="s">
        <v>268</v>
      </c>
      <c r="E356" s="14" t="s">
        <v>14</v>
      </c>
      <c r="F356" s="14" t="s">
        <v>324</v>
      </c>
      <c r="G356" s="179">
        <v>680355</v>
      </c>
      <c r="H356" s="176" t="s">
        <v>848</v>
      </c>
      <c r="I356" s="176" t="s">
        <v>802</v>
      </c>
      <c r="J356" s="176" t="s">
        <v>289</v>
      </c>
      <c r="K356" s="176" t="s">
        <v>1763</v>
      </c>
      <c r="L356" s="40" t="s">
        <v>105</v>
      </c>
      <c r="M356" s="40" t="s">
        <v>341</v>
      </c>
      <c r="N356" s="14" t="s">
        <v>1769</v>
      </c>
      <c r="O356" s="14" t="s">
        <v>1772</v>
      </c>
      <c r="P356" s="14" t="s">
        <v>1624</v>
      </c>
      <c r="Q356" s="14" t="s">
        <v>1775</v>
      </c>
      <c r="R356" s="17">
        <v>1525</v>
      </c>
      <c r="S356" s="172" t="s">
        <v>51</v>
      </c>
      <c r="T356" s="17">
        <v>1920</v>
      </c>
      <c r="U356" s="14" t="s">
        <v>51</v>
      </c>
      <c r="V356" s="16">
        <f t="shared" si="61"/>
        <v>244058</v>
      </c>
      <c r="W356" s="16">
        <f t="shared" si="62"/>
        <v>244065</v>
      </c>
      <c r="X356" s="16">
        <f t="shared" si="60"/>
        <v>244060</v>
      </c>
      <c r="Y356" s="15"/>
      <c r="Z356" s="177"/>
      <c r="AA356" s="170"/>
      <c r="AB356" s="170"/>
      <c r="AC356" s="170"/>
      <c r="AD356" s="170"/>
      <c r="AE356" s="15"/>
      <c r="AF356" s="177"/>
      <c r="AG356" s="177">
        <f t="shared" si="56"/>
        <v>0</v>
      </c>
      <c r="AH356" s="177">
        <f t="shared" si="57"/>
        <v>0</v>
      </c>
      <c r="AK356" s="176"/>
      <c r="AL356" s="176"/>
    </row>
    <row r="357" spans="1:38" ht="36" customHeight="1" x14ac:dyDescent="0.2">
      <c r="A357" s="14" t="s">
        <v>19</v>
      </c>
      <c r="B357" s="212">
        <v>244058</v>
      </c>
      <c r="C357" s="14" t="s">
        <v>547</v>
      </c>
      <c r="D357" s="14" t="s">
        <v>268</v>
      </c>
      <c r="E357" s="14" t="s">
        <v>14</v>
      </c>
      <c r="F357" s="14" t="s">
        <v>324</v>
      </c>
      <c r="G357" s="179">
        <v>680356</v>
      </c>
      <c r="H357" s="176" t="s">
        <v>1282</v>
      </c>
      <c r="I357" s="176" t="s">
        <v>802</v>
      </c>
      <c r="J357" s="176" t="s">
        <v>128</v>
      </c>
      <c r="K357" s="176" t="s">
        <v>1776</v>
      </c>
      <c r="L357" s="40" t="s">
        <v>45</v>
      </c>
      <c r="M357" s="40" t="s">
        <v>341</v>
      </c>
      <c r="N357" s="14" t="s">
        <v>1770</v>
      </c>
      <c r="O357" s="14" t="s">
        <v>528</v>
      </c>
      <c r="P357" s="14" t="s">
        <v>517</v>
      </c>
      <c r="Q357" s="14" t="s">
        <v>541</v>
      </c>
      <c r="R357" s="17">
        <v>300</v>
      </c>
      <c r="S357" s="172" t="s">
        <v>51</v>
      </c>
      <c r="T357" s="17">
        <v>2460</v>
      </c>
      <c r="U357" s="14" t="s">
        <v>51</v>
      </c>
      <c r="V357" s="16">
        <f t="shared" si="61"/>
        <v>244058</v>
      </c>
      <c r="W357" s="16">
        <f t="shared" si="62"/>
        <v>244065</v>
      </c>
      <c r="X357" s="16">
        <f t="shared" si="60"/>
        <v>244060</v>
      </c>
      <c r="Y357" s="15"/>
      <c r="Z357" s="177"/>
      <c r="AA357" s="170"/>
      <c r="AB357" s="170"/>
      <c r="AC357" s="170"/>
      <c r="AD357" s="170"/>
      <c r="AE357" s="15"/>
      <c r="AF357" s="177"/>
      <c r="AG357" s="177">
        <f t="shared" si="56"/>
        <v>0</v>
      </c>
      <c r="AH357" s="177">
        <f t="shared" si="57"/>
        <v>0</v>
      </c>
      <c r="AK357" s="176"/>
      <c r="AL357" s="176"/>
    </row>
    <row r="358" spans="1:38" ht="36" customHeight="1" x14ac:dyDescent="0.2">
      <c r="A358" s="14" t="s">
        <v>19</v>
      </c>
      <c r="B358" s="212">
        <v>244058</v>
      </c>
      <c r="C358" s="14" t="s">
        <v>547</v>
      </c>
      <c r="D358" s="14" t="s">
        <v>268</v>
      </c>
      <c r="E358" s="14" t="s">
        <v>14</v>
      </c>
      <c r="F358" s="14" t="s">
        <v>324</v>
      </c>
      <c r="G358" s="179">
        <v>680357</v>
      </c>
      <c r="H358" s="176" t="s">
        <v>1757</v>
      </c>
      <c r="I358" s="176" t="s">
        <v>612</v>
      </c>
      <c r="J358" s="176" t="s">
        <v>865</v>
      </c>
      <c r="K358" s="176" t="s">
        <v>1764</v>
      </c>
      <c r="L358" s="40" t="s">
        <v>105</v>
      </c>
      <c r="M358" s="40" t="s">
        <v>341</v>
      </c>
      <c r="N358" s="14" t="s">
        <v>1771</v>
      </c>
      <c r="O358" s="14" t="s">
        <v>1772</v>
      </c>
      <c r="P358" s="14" t="s">
        <v>1774</v>
      </c>
      <c r="Q358" s="14" t="s">
        <v>1775</v>
      </c>
      <c r="R358" s="17">
        <v>903</v>
      </c>
      <c r="S358" s="172" t="s">
        <v>51</v>
      </c>
      <c r="T358" s="17">
        <v>1850</v>
      </c>
      <c r="U358" s="14" t="s">
        <v>51</v>
      </c>
      <c r="V358" s="16">
        <f t="shared" si="61"/>
        <v>244058</v>
      </c>
      <c r="W358" s="16">
        <f t="shared" si="62"/>
        <v>244065</v>
      </c>
      <c r="X358" s="16">
        <f t="shared" si="60"/>
        <v>244060</v>
      </c>
      <c r="Y358" s="15" t="s">
        <v>54</v>
      </c>
      <c r="Z358" s="177">
        <v>244063</v>
      </c>
      <c r="AA358" s="170"/>
      <c r="AB358" s="170"/>
      <c r="AC358" s="170"/>
      <c r="AD358" s="170"/>
      <c r="AE358" s="15" t="s">
        <v>54</v>
      </c>
      <c r="AF358" s="177">
        <v>244074</v>
      </c>
      <c r="AG358" s="177" t="str">
        <f t="shared" si="56"/>
        <v>Pass</v>
      </c>
      <c r="AH358" s="177">
        <f t="shared" si="57"/>
        <v>244074</v>
      </c>
      <c r="AK358" s="176"/>
      <c r="AL358" s="176"/>
    </row>
    <row r="359" spans="1:38" ht="36" customHeight="1" x14ac:dyDescent="0.2">
      <c r="A359" s="14" t="s">
        <v>19</v>
      </c>
      <c r="B359" s="212">
        <v>244061</v>
      </c>
      <c r="C359" s="14" t="s">
        <v>547</v>
      </c>
      <c r="D359" s="14" t="s">
        <v>268</v>
      </c>
      <c r="E359" s="14" t="s">
        <v>14</v>
      </c>
      <c r="F359" s="14" t="s">
        <v>324</v>
      </c>
      <c r="G359" s="179">
        <v>680358</v>
      </c>
      <c r="H359" s="176" t="s">
        <v>1777</v>
      </c>
      <c r="I359" s="176" t="s">
        <v>551</v>
      </c>
      <c r="J359" s="176" t="s">
        <v>596</v>
      </c>
      <c r="K359" s="176" t="s">
        <v>1778</v>
      </c>
      <c r="L359" s="40" t="s">
        <v>108</v>
      </c>
      <c r="M359" s="40" t="s">
        <v>341</v>
      </c>
      <c r="N359" s="14" t="s">
        <v>1781</v>
      </c>
      <c r="O359" s="14" t="s">
        <v>1785</v>
      </c>
      <c r="P359" s="14" t="s">
        <v>1787</v>
      </c>
      <c r="Q359" s="14" t="s">
        <v>1789</v>
      </c>
      <c r="R359" s="17">
        <v>279</v>
      </c>
      <c r="S359" s="172" t="s">
        <v>51</v>
      </c>
      <c r="T359" s="17">
        <v>895</v>
      </c>
      <c r="U359" s="14" t="s">
        <v>51</v>
      </c>
      <c r="V359" s="16">
        <f t="shared" si="61"/>
        <v>244061</v>
      </c>
      <c r="W359" s="16">
        <f t="shared" si="62"/>
        <v>244068</v>
      </c>
      <c r="X359" s="16">
        <f t="shared" si="60"/>
        <v>244063</v>
      </c>
      <c r="Y359" s="15"/>
      <c r="Z359" s="177"/>
      <c r="AA359" s="170"/>
      <c r="AB359" s="170"/>
      <c r="AC359" s="170"/>
      <c r="AD359" s="170"/>
      <c r="AE359" s="15"/>
      <c r="AF359" s="177"/>
      <c r="AG359" s="177">
        <f t="shared" si="56"/>
        <v>0</v>
      </c>
      <c r="AH359" s="177">
        <f t="shared" si="57"/>
        <v>0</v>
      </c>
      <c r="AK359" s="176"/>
      <c r="AL359" s="176"/>
    </row>
    <row r="360" spans="1:38" ht="36" customHeight="1" x14ac:dyDescent="0.2">
      <c r="A360" s="14" t="s">
        <v>19</v>
      </c>
      <c r="B360" s="212">
        <v>244061</v>
      </c>
      <c r="C360" s="14" t="s">
        <v>547</v>
      </c>
      <c r="D360" s="14" t="s">
        <v>268</v>
      </c>
      <c r="E360" s="14" t="s">
        <v>14</v>
      </c>
      <c r="F360" s="14" t="s">
        <v>324</v>
      </c>
      <c r="G360" s="179">
        <v>680359</v>
      </c>
      <c r="H360" s="176" t="s">
        <v>1728</v>
      </c>
      <c r="I360" s="176" t="s">
        <v>551</v>
      </c>
      <c r="J360" s="176" t="s">
        <v>1394</v>
      </c>
      <c r="K360" s="176" t="s">
        <v>1779</v>
      </c>
      <c r="L360" s="40" t="s">
        <v>106</v>
      </c>
      <c r="M360" s="40" t="s">
        <v>341</v>
      </c>
      <c r="N360" s="14" t="s">
        <v>1782</v>
      </c>
      <c r="O360" s="14" t="s">
        <v>1786</v>
      </c>
      <c r="P360" s="14" t="s">
        <v>1788</v>
      </c>
      <c r="Q360" s="14" t="s">
        <v>1790</v>
      </c>
      <c r="R360" s="17">
        <v>260</v>
      </c>
      <c r="S360" s="172" t="s">
        <v>51</v>
      </c>
      <c r="T360" s="17">
        <v>2721</v>
      </c>
      <c r="U360" s="14" t="s">
        <v>51</v>
      </c>
      <c r="V360" s="16">
        <f t="shared" si="61"/>
        <v>244061</v>
      </c>
      <c r="W360" s="16">
        <f t="shared" si="62"/>
        <v>244068</v>
      </c>
      <c r="X360" s="16">
        <f t="shared" si="60"/>
        <v>244063</v>
      </c>
      <c r="Y360" s="15"/>
      <c r="Z360" s="177"/>
      <c r="AA360" s="170"/>
      <c r="AB360" s="170"/>
      <c r="AC360" s="170"/>
      <c r="AD360" s="170"/>
      <c r="AE360" s="15"/>
      <c r="AF360" s="177"/>
      <c r="AG360" s="177">
        <f t="shared" si="56"/>
        <v>0</v>
      </c>
      <c r="AH360" s="177">
        <f t="shared" si="57"/>
        <v>0</v>
      </c>
      <c r="AK360" s="176"/>
      <c r="AL360" s="176"/>
    </row>
    <row r="361" spans="1:38" ht="36" customHeight="1" x14ac:dyDescent="0.2">
      <c r="A361" s="14" t="s">
        <v>19</v>
      </c>
      <c r="B361" s="212">
        <v>244061</v>
      </c>
      <c r="C361" s="14" t="s">
        <v>547</v>
      </c>
      <c r="D361" s="14" t="s">
        <v>268</v>
      </c>
      <c r="E361" s="14" t="s">
        <v>14</v>
      </c>
      <c r="F361" s="14" t="s">
        <v>324</v>
      </c>
      <c r="G361" s="179">
        <v>680360</v>
      </c>
      <c r="H361" s="176" t="s">
        <v>1631</v>
      </c>
      <c r="I361" s="176" t="s">
        <v>1633</v>
      </c>
      <c r="J361" s="176" t="s">
        <v>1634</v>
      </c>
      <c r="K361" s="176" t="s">
        <v>1635</v>
      </c>
      <c r="L361" s="40" t="s">
        <v>45</v>
      </c>
      <c r="M361" s="40" t="s">
        <v>341</v>
      </c>
      <c r="N361" s="14" t="s">
        <v>1783</v>
      </c>
      <c r="O361" s="14" t="s">
        <v>548</v>
      </c>
      <c r="P361" s="14" t="s">
        <v>518</v>
      </c>
      <c r="Q361" s="14" t="s">
        <v>549</v>
      </c>
      <c r="R361" s="17">
        <v>360</v>
      </c>
      <c r="S361" s="172" t="s">
        <v>51</v>
      </c>
      <c r="T361" s="17">
        <v>2050</v>
      </c>
      <c r="U361" s="14" t="s">
        <v>51</v>
      </c>
      <c r="V361" s="16">
        <f t="shared" si="61"/>
        <v>244061</v>
      </c>
      <c r="W361" s="16">
        <f t="shared" si="62"/>
        <v>244068</v>
      </c>
      <c r="X361" s="16">
        <f t="shared" si="60"/>
        <v>244063</v>
      </c>
      <c r="Y361" s="15"/>
      <c r="Z361" s="177"/>
      <c r="AA361" s="170"/>
      <c r="AB361" s="170"/>
      <c r="AC361" s="170"/>
      <c r="AD361" s="170"/>
      <c r="AE361" s="15"/>
      <c r="AF361" s="177"/>
      <c r="AG361" s="177">
        <f t="shared" si="56"/>
        <v>0</v>
      </c>
      <c r="AH361" s="177">
        <f t="shared" si="57"/>
        <v>0</v>
      </c>
      <c r="AK361" s="176"/>
      <c r="AL361" s="176"/>
    </row>
    <row r="362" spans="1:38" ht="36" customHeight="1" x14ac:dyDescent="0.2">
      <c r="A362" s="14" t="s">
        <v>19</v>
      </c>
      <c r="B362" s="212">
        <v>244061</v>
      </c>
      <c r="C362" s="14" t="s">
        <v>547</v>
      </c>
      <c r="D362" s="14" t="s">
        <v>268</v>
      </c>
      <c r="E362" s="14" t="s">
        <v>14</v>
      </c>
      <c r="F362" s="14" t="s">
        <v>324</v>
      </c>
      <c r="G362" s="179">
        <v>680361</v>
      </c>
      <c r="H362" s="176" t="s">
        <v>628</v>
      </c>
      <c r="I362" s="176" t="s">
        <v>551</v>
      </c>
      <c r="J362" s="176" t="s">
        <v>596</v>
      </c>
      <c r="K362" s="176" t="s">
        <v>1780</v>
      </c>
      <c r="L362" s="40" t="s">
        <v>108</v>
      </c>
      <c r="M362" s="40" t="s">
        <v>341</v>
      </c>
      <c r="N362" s="14" t="s">
        <v>1784</v>
      </c>
      <c r="O362" s="14" t="s">
        <v>528</v>
      </c>
      <c r="P362" s="14" t="s">
        <v>517</v>
      </c>
      <c r="Q362" s="14" t="s">
        <v>541</v>
      </c>
      <c r="R362" s="17">
        <v>400</v>
      </c>
      <c r="S362" s="172" t="s">
        <v>51</v>
      </c>
      <c r="T362" s="17">
        <v>1200</v>
      </c>
      <c r="U362" s="14" t="s">
        <v>51</v>
      </c>
      <c r="V362" s="16">
        <f t="shared" si="61"/>
        <v>244061</v>
      </c>
      <c r="W362" s="16">
        <f t="shared" si="62"/>
        <v>244068</v>
      </c>
      <c r="X362" s="16">
        <f t="shared" si="60"/>
        <v>244063</v>
      </c>
      <c r="Y362" s="15"/>
      <c r="Z362" s="177"/>
      <c r="AA362" s="170"/>
      <c r="AB362" s="170"/>
      <c r="AC362" s="170"/>
      <c r="AD362" s="170"/>
      <c r="AE362" s="15"/>
      <c r="AF362" s="177"/>
      <c r="AG362" s="177">
        <f t="shared" si="56"/>
        <v>0</v>
      </c>
      <c r="AH362" s="177">
        <f t="shared" si="57"/>
        <v>0</v>
      </c>
      <c r="AK362" s="176"/>
      <c r="AL362" s="176"/>
    </row>
    <row r="363" spans="1:38" ht="36" customHeight="1" x14ac:dyDescent="0.2">
      <c r="A363" s="14" t="s">
        <v>19</v>
      </c>
      <c r="B363" s="212">
        <v>244062</v>
      </c>
      <c r="C363" s="14" t="s">
        <v>547</v>
      </c>
      <c r="D363" s="14" t="s">
        <v>268</v>
      </c>
      <c r="E363" s="14" t="s">
        <v>14</v>
      </c>
      <c r="F363" s="14" t="s">
        <v>324</v>
      </c>
      <c r="G363" s="179">
        <v>680362</v>
      </c>
      <c r="H363" s="176" t="s">
        <v>886</v>
      </c>
      <c r="I363" s="176" t="s">
        <v>630</v>
      </c>
      <c r="J363" s="176" t="s">
        <v>821</v>
      </c>
      <c r="K363" s="176" t="s">
        <v>1795</v>
      </c>
      <c r="L363" s="40" t="s">
        <v>124</v>
      </c>
      <c r="M363" s="40" t="s">
        <v>341</v>
      </c>
      <c r="N363" s="14" t="s">
        <v>1800</v>
      </c>
      <c r="O363" s="14" t="s">
        <v>548</v>
      </c>
      <c r="P363" s="14" t="s">
        <v>1671</v>
      </c>
      <c r="Q363" s="14" t="s">
        <v>549</v>
      </c>
      <c r="R363" s="17">
        <v>325</v>
      </c>
      <c r="S363" s="172" t="s">
        <v>51</v>
      </c>
      <c r="T363" s="17">
        <v>400</v>
      </c>
      <c r="U363" s="14" t="s">
        <v>51</v>
      </c>
      <c r="V363" s="16">
        <f t="shared" si="61"/>
        <v>244062</v>
      </c>
      <c r="W363" s="16">
        <f t="shared" si="62"/>
        <v>244069</v>
      </c>
      <c r="X363" s="16">
        <f t="shared" si="60"/>
        <v>244064</v>
      </c>
      <c r="Y363" s="15"/>
      <c r="Z363" s="177"/>
      <c r="AA363" s="170"/>
      <c r="AB363" s="170"/>
      <c r="AC363" s="170"/>
      <c r="AD363" s="170"/>
      <c r="AE363" s="15"/>
      <c r="AF363" s="177"/>
      <c r="AG363" s="177">
        <f t="shared" si="56"/>
        <v>0</v>
      </c>
      <c r="AH363" s="177">
        <f t="shared" si="57"/>
        <v>0</v>
      </c>
      <c r="AK363" s="176"/>
      <c r="AL363" s="176"/>
    </row>
    <row r="364" spans="1:38" ht="36" customHeight="1" x14ac:dyDescent="0.2">
      <c r="A364" s="14" t="s">
        <v>19</v>
      </c>
      <c r="B364" s="212">
        <v>244062</v>
      </c>
      <c r="C364" s="14" t="s">
        <v>547</v>
      </c>
      <c r="D364" s="14" t="s">
        <v>268</v>
      </c>
      <c r="E364" s="14" t="s">
        <v>14</v>
      </c>
      <c r="F364" s="14" t="s">
        <v>324</v>
      </c>
      <c r="G364" s="179">
        <v>680363</v>
      </c>
      <c r="H364" s="176" t="s">
        <v>1791</v>
      </c>
      <c r="I364" s="176" t="s">
        <v>612</v>
      </c>
      <c r="J364" s="176" t="s">
        <v>865</v>
      </c>
      <c r="K364" s="176" t="s">
        <v>1796</v>
      </c>
      <c r="L364" s="40" t="s">
        <v>105</v>
      </c>
      <c r="M364" s="40" t="s">
        <v>341</v>
      </c>
      <c r="N364" s="14" t="s">
        <v>1801</v>
      </c>
      <c r="O364" s="14" t="s">
        <v>548</v>
      </c>
      <c r="P364" s="14" t="s">
        <v>518</v>
      </c>
      <c r="Q364" s="14" t="s">
        <v>549</v>
      </c>
      <c r="R364" s="17">
        <v>126</v>
      </c>
      <c r="S364" s="172" t="s">
        <v>51</v>
      </c>
      <c r="T364" s="17">
        <v>1930</v>
      </c>
      <c r="U364" s="14" t="s">
        <v>51</v>
      </c>
      <c r="V364" s="16">
        <f t="shared" si="61"/>
        <v>244062</v>
      </c>
      <c r="W364" s="16">
        <f t="shared" si="62"/>
        <v>244069</v>
      </c>
      <c r="X364" s="16">
        <f t="shared" si="60"/>
        <v>244064</v>
      </c>
      <c r="Y364" s="15"/>
      <c r="Z364" s="177"/>
      <c r="AA364" s="170"/>
      <c r="AB364" s="170"/>
      <c r="AC364" s="170"/>
      <c r="AD364" s="170"/>
      <c r="AE364" s="15"/>
      <c r="AF364" s="177"/>
      <c r="AG364" s="177">
        <f t="shared" si="56"/>
        <v>0</v>
      </c>
      <c r="AH364" s="177">
        <f t="shared" si="57"/>
        <v>0</v>
      </c>
      <c r="AK364" s="176"/>
      <c r="AL364" s="176"/>
    </row>
    <row r="365" spans="1:38" ht="36" customHeight="1" x14ac:dyDescent="0.2">
      <c r="A365" s="14" t="s">
        <v>19</v>
      </c>
      <c r="B365" s="212">
        <v>244062</v>
      </c>
      <c r="C365" s="14" t="s">
        <v>547</v>
      </c>
      <c r="D365" s="14" t="s">
        <v>268</v>
      </c>
      <c r="E365" s="14" t="s">
        <v>14</v>
      </c>
      <c r="F365" s="14" t="s">
        <v>324</v>
      </c>
      <c r="G365" s="179">
        <v>680364</v>
      </c>
      <c r="H365" s="176" t="s">
        <v>1508</v>
      </c>
      <c r="I365" s="176" t="s">
        <v>550</v>
      </c>
      <c r="J365" s="176" t="s">
        <v>128</v>
      </c>
      <c r="K365" s="176" t="s">
        <v>1797</v>
      </c>
      <c r="L365" s="40" t="s">
        <v>106</v>
      </c>
      <c r="M365" s="40" t="s">
        <v>341</v>
      </c>
      <c r="N365" s="14" t="s">
        <v>1802</v>
      </c>
      <c r="O365" s="14" t="s">
        <v>528</v>
      </c>
      <c r="P365" s="14" t="s">
        <v>971</v>
      </c>
      <c r="Q365" s="14" t="s">
        <v>541</v>
      </c>
      <c r="R365" s="17">
        <v>500</v>
      </c>
      <c r="S365" s="172" t="s">
        <v>51</v>
      </c>
      <c r="T365" s="17">
        <v>1404</v>
      </c>
      <c r="U365" s="14" t="s">
        <v>51</v>
      </c>
      <c r="V365" s="16">
        <f t="shared" si="61"/>
        <v>244062</v>
      </c>
      <c r="W365" s="16">
        <f t="shared" si="62"/>
        <v>244069</v>
      </c>
      <c r="X365" s="16">
        <f t="shared" si="60"/>
        <v>244064</v>
      </c>
      <c r="Y365" s="15" t="s">
        <v>54</v>
      </c>
      <c r="Z365" s="177">
        <v>244065</v>
      </c>
      <c r="AA365" s="170"/>
      <c r="AB365" s="170"/>
      <c r="AC365" s="170"/>
      <c r="AD365" s="170"/>
      <c r="AE365" s="15" t="s">
        <v>54</v>
      </c>
      <c r="AF365" s="177">
        <v>244074</v>
      </c>
      <c r="AG365" s="177" t="str">
        <f t="shared" ref="AG365:AG409" si="63">AE365</f>
        <v>Pass</v>
      </c>
      <c r="AH365" s="177">
        <f t="shared" ref="AH365:AH409" si="64">AF365</f>
        <v>244074</v>
      </c>
      <c r="AK365" s="176"/>
      <c r="AL365" s="176"/>
    </row>
    <row r="366" spans="1:38" ht="36" customHeight="1" x14ac:dyDescent="0.2">
      <c r="A366" s="14" t="s">
        <v>19</v>
      </c>
      <c r="B366" s="212">
        <v>244062</v>
      </c>
      <c r="C366" s="14" t="s">
        <v>547</v>
      </c>
      <c r="D366" s="14" t="s">
        <v>268</v>
      </c>
      <c r="E366" s="14" t="s">
        <v>14</v>
      </c>
      <c r="F366" s="14" t="s">
        <v>324</v>
      </c>
      <c r="G366" s="179">
        <v>680365</v>
      </c>
      <c r="H366" s="176" t="s">
        <v>1792</v>
      </c>
      <c r="I366" s="176" t="s">
        <v>1794</v>
      </c>
      <c r="J366" s="176" t="s">
        <v>130</v>
      </c>
      <c r="K366" s="176" t="s">
        <v>1798</v>
      </c>
      <c r="L366" s="40" t="s">
        <v>45</v>
      </c>
      <c r="M366" s="40" t="s">
        <v>341</v>
      </c>
      <c r="N366" s="14" t="s">
        <v>1803</v>
      </c>
      <c r="O366" s="14" t="s">
        <v>527</v>
      </c>
      <c r="P366" s="14" t="s">
        <v>1180</v>
      </c>
      <c r="Q366" s="14" t="s">
        <v>542</v>
      </c>
      <c r="R366" s="17">
        <v>200</v>
      </c>
      <c r="S366" s="172" t="s">
        <v>51</v>
      </c>
      <c r="T366" s="17">
        <v>1520</v>
      </c>
      <c r="U366" s="14" t="s">
        <v>51</v>
      </c>
      <c r="V366" s="16">
        <f t="shared" si="61"/>
        <v>244062</v>
      </c>
      <c r="W366" s="16">
        <f t="shared" si="62"/>
        <v>244069</v>
      </c>
      <c r="X366" s="16">
        <f t="shared" ref="X366:X401" si="65">V366+2</f>
        <v>244064</v>
      </c>
      <c r="Y366" s="15"/>
      <c r="Z366" s="177"/>
      <c r="AA366" s="170"/>
      <c r="AB366" s="170"/>
      <c r="AC366" s="170"/>
      <c r="AD366" s="170"/>
      <c r="AE366" s="15"/>
      <c r="AF366" s="177"/>
      <c r="AG366" s="177">
        <f t="shared" si="63"/>
        <v>0</v>
      </c>
      <c r="AH366" s="177">
        <f t="shared" si="64"/>
        <v>0</v>
      </c>
      <c r="AK366" s="176"/>
      <c r="AL366" s="176"/>
    </row>
    <row r="367" spans="1:38" ht="36" customHeight="1" x14ac:dyDescent="0.2">
      <c r="A367" s="14" t="s">
        <v>19</v>
      </c>
      <c r="B367" s="212">
        <v>244062</v>
      </c>
      <c r="C367" s="14" t="s">
        <v>547</v>
      </c>
      <c r="D367" s="14" t="s">
        <v>268</v>
      </c>
      <c r="E367" s="14" t="s">
        <v>14</v>
      </c>
      <c r="F367" s="14" t="s">
        <v>324</v>
      </c>
      <c r="G367" s="179">
        <v>680366</v>
      </c>
      <c r="H367" s="176" t="s">
        <v>1793</v>
      </c>
      <c r="I367" s="176" t="s">
        <v>664</v>
      </c>
      <c r="J367" s="176" t="s">
        <v>123</v>
      </c>
      <c r="K367" s="176" t="s">
        <v>1799</v>
      </c>
      <c r="L367" s="40" t="s">
        <v>46</v>
      </c>
      <c r="M367" s="40" t="s">
        <v>341</v>
      </c>
      <c r="N367" s="14" t="s">
        <v>1804</v>
      </c>
      <c r="O367" s="14" t="s">
        <v>1149</v>
      </c>
      <c r="P367" s="14" t="s">
        <v>687</v>
      </c>
      <c r="Q367" s="14" t="s">
        <v>1155</v>
      </c>
      <c r="R367" s="17">
        <v>1000</v>
      </c>
      <c r="S367" s="172" t="s">
        <v>51</v>
      </c>
      <c r="T367" s="17">
        <v>1990</v>
      </c>
      <c r="U367" s="14" t="s">
        <v>51</v>
      </c>
      <c r="V367" s="16">
        <f t="shared" si="61"/>
        <v>244062</v>
      </c>
      <c r="W367" s="16">
        <f t="shared" si="62"/>
        <v>244069</v>
      </c>
      <c r="X367" s="16">
        <f t="shared" si="65"/>
        <v>244064</v>
      </c>
      <c r="Y367" s="15" t="s">
        <v>54</v>
      </c>
      <c r="Z367" s="177">
        <v>244069</v>
      </c>
      <c r="AA367" s="170"/>
      <c r="AB367" s="170"/>
      <c r="AC367" s="170"/>
      <c r="AD367" s="170"/>
      <c r="AE367" s="15" t="s">
        <v>54</v>
      </c>
      <c r="AF367" s="177">
        <v>244074</v>
      </c>
      <c r="AG367" s="177" t="str">
        <f t="shared" si="63"/>
        <v>Pass</v>
      </c>
      <c r="AH367" s="177">
        <f t="shared" si="64"/>
        <v>244074</v>
      </c>
      <c r="AK367" s="176"/>
      <c r="AL367" s="176"/>
    </row>
    <row r="368" spans="1:38" ht="36" customHeight="1" x14ac:dyDescent="0.2">
      <c r="A368" s="14" t="s">
        <v>19</v>
      </c>
      <c r="B368" s="212">
        <v>244062</v>
      </c>
      <c r="C368" s="14" t="s">
        <v>547</v>
      </c>
      <c r="D368" s="14" t="s">
        <v>268</v>
      </c>
      <c r="E368" s="14" t="s">
        <v>14</v>
      </c>
      <c r="F368" s="14" t="s">
        <v>324</v>
      </c>
      <c r="G368" s="179">
        <v>680367</v>
      </c>
      <c r="H368" s="176" t="s">
        <v>1792</v>
      </c>
      <c r="I368" s="176" t="s">
        <v>1794</v>
      </c>
      <c r="J368" s="176" t="s">
        <v>130</v>
      </c>
      <c r="K368" s="176" t="s">
        <v>1798</v>
      </c>
      <c r="L368" s="40" t="s">
        <v>45</v>
      </c>
      <c r="M368" s="40" t="s">
        <v>341</v>
      </c>
      <c r="N368" s="14" t="s">
        <v>1805</v>
      </c>
      <c r="O368" s="14" t="s">
        <v>548</v>
      </c>
      <c r="P368" s="14" t="s">
        <v>1807</v>
      </c>
      <c r="Q368" s="14" t="s">
        <v>549</v>
      </c>
      <c r="R368" s="17">
        <v>375</v>
      </c>
      <c r="S368" s="172" t="s">
        <v>51</v>
      </c>
      <c r="T368" s="17">
        <v>3015</v>
      </c>
      <c r="U368" s="14" t="s">
        <v>51</v>
      </c>
      <c r="V368" s="16">
        <f t="shared" si="61"/>
        <v>244062</v>
      </c>
      <c r="W368" s="16">
        <f t="shared" si="62"/>
        <v>244069</v>
      </c>
      <c r="X368" s="16">
        <f t="shared" si="65"/>
        <v>244064</v>
      </c>
      <c r="Y368" s="15"/>
      <c r="Z368" s="177"/>
      <c r="AA368" s="170"/>
      <c r="AB368" s="170"/>
      <c r="AC368" s="170"/>
      <c r="AD368" s="170"/>
      <c r="AE368" s="15"/>
      <c r="AF368" s="177"/>
      <c r="AG368" s="177">
        <f t="shared" si="63"/>
        <v>0</v>
      </c>
      <c r="AH368" s="177">
        <f t="shared" si="64"/>
        <v>0</v>
      </c>
      <c r="AK368" s="176"/>
      <c r="AL368" s="176"/>
    </row>
    <row r="369" spans="1:38" ht="36" customHeight="1" x14ac:dyDescent="0.2">
      <c r="A369" s="14" t="s">
        <v>19</v>
      </c>
      <c r="B369" s="212">
        <v>244062</v>
      </c>
      <c r="C369" s="14" t="s">
        <v>547</v>
      </c>
      <c r="D369" s="14" t="s">
        <v>268</v>
      </c>
      <c r="E369" s="14" t="s">
        <v>14</v>
      </c>
      <c r="F369" s="14" t="s">
        <v>324</v>
      </c>
      <c r="G369" s="179">
        <v>680368</v>
      </c>
      <c r="H369" s="176" t="s">
        <v>886</v>
      </c>
      <c r="I369" s="176" t="s">
        <v>630</v>
      </c>
      <c r="J369" s="176" t="s">
        <v>821</v>
      </c>
      <c r="K369" s="176" t="s">
        <v>1795</v>
      </c>
      <c r="L369" s="40" t="s">
        <v>124</v>
      </c>
      <c r="M369" s="40" t="s">
        <v>341</v>
      </c>
      <c r="N369" s="14" t="s">
        <v>1806</v>
      </c>
      <c r="O369" s="14" t="s">
        <v>543</v>
      </c>
      <c r="P369" s="14" t="s">
        <v>860</v>
      </c>
      <c r="Q369" s="14" t="s">
        <v>529</v>
      </c>
      <c r="R369" s="17">
        <v>980</v>
      </c>
      <c r="S369" s="172" t="s">
        <v>51</v>
      </c>
      <c r="T369" s="17">
        <v>2398</v>
      </c>
      <c r="U369" s="14" t="s">
        <v>51</v>
      </c>
      <c r="V369" s="16">
        <f t="shared" si="61"/>
        <v>244062</v>
      </c>
      <c r="W369" s="16">
        <f t="shared" si="62"/>
        <v>244069</v>
      </c>
      <c r="X369" s="16">
        <f t="shared" si="65"/>
        <v>244064</v>
      </c>
      <c r="Y369" s="15"/>
      <c r="Z369" s="177"/>
      <c r="AA369" s="170"/>
      <c r="AB369" s="170"/>
      <c r="AC369" s="170"/>
      <c r="AD369" s="170"/>
      <c r="AE369" s="15"/>
      <c r="AF369" s="177"/>
      <c r="AG369" s="177">
        <f t="shared" si="63"/>
        <v>0</v>
      </c>
      <c r="AH369" s="177">
        <f t="shared" si="64"/>
        <v>0</v>
      </c>
      <c r="AK369" s="176"/>
      <c r="AL369" s="176"/>
    </row>
    <row r="370" spans="1:38" ht="36" customHeight="1" x14ac:dyDescent="0.2">
      <c r="A370" s="14" t="s">
        <v>19</v>
      </c>
      <c r="B370" s="212">
        <v>244063</v>
      </c>
      <c r="C370" s="14" t="s">
        <v>547</v>
      </c>
      <c r="D370" s="14" t="s">
        <v>268</v>
      </c>
      <c r="E370" s="14" t="s">
        <v>14</v>
      </c>
      <c r="F370" s="14" t="s">
        <v>324</v>
      </c>
      <c r="G370" s="179">
        <v>680369</v>
      </c>
      <c r="H370" s="176" t="s">
        <v>1808</v>
      </c>
      <c r="I370" s="176" t="s">
        <v>1810</v>
      </c>
      <c r="J370" s="176" t="s">
        <v>1812</v>
      </c>
      <c r="K370" s="176" t="s">
        <v>1814</v>
      </c>
      <c r="L370" s="40" t="s">
        <v>105</v>
      </c>
      <c r="M370" s="40" t="s">
        <v>341</v>
      </c>
      <c r="N370" s="14" t="s">
        <v>1819</v>
      </c>
      <c r="O370" s="14" t="s">
        <v>1825</v>
      </c>
      <c r="P370" s="14" t="s">
        <v>1826</v>
      </c>
      <c r="Q370" s="14" t="s">
        <v>1830</v>
      </c>
      <c r="R370" s="17">
        <v>200</v>
      </c>
      <c r="S370" s="172" t="s">
        <v>51</v>
      </c>
      <c r="T370" s="17">
        <v>1230</v>
      </c>
      <c r="U370" s="14" t="s">
        <v>51</v>
      </c>
      <c r="V370" s="16">
        <f t="shared" si="61"/>
        <v>244063</v>
      </c>
      <c r="W370" s="16">
        <f t="shared" si="62"/>
        <v>244070</v>
      </c>
      <c r="X370" s="16">
        <f t="shared" si="65"/>
        <v>244065</v>
      </c>
      <c r="Y370" s="15" t="s">
        <v>54</v>
      </c>
      <c r="Z370" s="177">
        <v>244065</v>
      </c>
      <c r="AA370" s="170"/>
      <c r="AB370" s="170"/>
      <c r="AC370" s="170"/>
      <c r="AD370" s="170"/>
      <c r="AE370" s="15" t="s">
        <v>54</v>
      </c>
      <c r="AF370" s="177">
        <v>244074</v>
      </c>
      <c r="AG370" s="177" t="str">
        <f t="shared" si="63"/>
        <v>Pass</v>
      </c>
      <c r="AH370" s="177">
        <f t="shared" si="64"/>
        <v>244074</v>
      </c>
      <c r="AK370" s="176"/>
      <c r="AL370" s="176"/>
    </row>
    <row r="371" spans="1:38" ht="36" customHeight="1" x14ac:dyDescent="0.2">
      <c r="A371" s="14" t="s">
        <v>19</v>
      </c>
      <c r="B371" s="212">
        <v>244063</v>
      </c>
      <c r="C371" s="14" t="s">
        <v>547</v>
      </c>
      <c r="D371" s="14" t="s">
        <v>268</v>
      </c>
      <c r="E371" s="14" t="s">
        <v>14</v>
      </c>
      <c r="F371" s="14" t="s">
        <v>324</v>
      </c>
      <c r="G371" s="179">
        <v>680370</v>
      </c>
      <c r="H371" s="176" t="s">
        <v>772</v>
      </c>
      <c r="I371" s="176" t="s">
        <v>774</v>
      </c>
      <c r="J371" s="176" t="s">
        <v>776</v>
      </c>
      <c r="K371" s="176" t="s">
        <v>1815</v>
      </c>
      <c r="L371" s="40" t="s">
        <v>105</v>
      </c>
      <c r="M371" s="40" t="s">
        <v>341</v>
      </c>
      <c r="N371" s="14" t="s">
        <v>1820</v>
      </c>
      <c r="O371" s="14" t="s">
        <v>548</v>
      </c>
      <c r="P371" s="14" t="s">
        <v>717</v>
      </c>
      <c r="Q371" s="14" t="s">
        <v>549</v>
      </c>
      <c r="R371" s="17">
        <v>383</v>
      </c>
      <c r="S371" s="172" t="s">
        <v>51</v>
      </c>
      <c r="T371" s="17">
        <v>1360</v>
      </c>
      <c r="U371" s="14" t="s">
        <v>51</v>
      </c>
      <c r="V371" s="16">
        <f t="shared" si="61"/>
        <v>244063</v>
      </c>
      <c r="W371" s="16">
        <f t="shared" si="62"/>
        <v>244070</v>
      </c>
      <c r="X371" s="16">
        <f t="shared" si="65"/>
        <v>244065</v>
      </c>
      <c r="Y371" s="15" t="s">
        <v>54</v>
      </c>
      <c r="Z371" s="177">
        <v>244065</v>
      </c>
      <c r="AA371" s="170"/>
      <c r="AB371" s="170"/>
      <c r="AC371" s="170"/>
      <c r="AD371" s="170"/>
      <c r="AE371" s="15" t="s">
        <v>54</v>
      </c>
      <c r="AF371" s="177">
        <v>244074</v>
      </c>
      <c r="AG371" s="177" t="str">
        <f t="shared" si="63"/>
        <v>Pass</v>
      </c>
      <c r="AH371" s="177">
        <f t="shared" si="64"/>
        <v>244074</v>
      </c>
      <c r="AK371" s="176"/>
      <c r="AL371" s="176"/>
    </row>
    <row r="372" spans="1:38" ht="36" customHeight="1" x14ac:dyDescent="0.2">
      <c r="A372" s="14" t="s">
        <v>19</v>
      </c>
      <c r="B372" s="212">
        <v>244063</v>
      </c>
      <c r="C372" s="14" t="s">
        <v>547</v>
      </c>
      <c r="D372" s="14" t="s">
        <v>268</v>
      </c>
      <c r="E372" s="14" t="s">
        <v>14</v>
      </c>
      <c r="F372" s="14" t="s">
        <v>324</v>
      </c>
      <c r="G372" s="179">
        <v>680371</v>
      </c>
      <c r="H372" s="176" t="s">
        <v>662</v>
      </c>
      <c r="I372" s="176" t="s">
        <v>664</v>
      </c>
      <c r="J372" s="176" t="s">
        <v>123</v>
      </c>
      <c r="K372" s="176" t="s">
        <v>1816</v>
      </c>
      <c r="L372" s="40" t="s">
        <v>46</v>
      </c>
      <c r="M372" s="40" t="s">
        <v>341</v>
      </c>
      <c r="N372" s="14" t="s">
        <v>1821</v>
      </c>
      <c r="O372" s="14" t="s">
        <v>693</v>
      </c>
      <c r="P372" s="14" t="s">
        <v>1827</v>
      </c>
      <c r="Q372" s="14" t="s">
        <v>696</v>
      </c>
      <c r="R372" s="17">
        <v>450</v>
      </c>
      <c r="S372" s="172" t="s">
        <v>51</v>
      </c>
      <c r="T372" s="17">
        <v>2000</v>
      </c>
      <c r="U372" s="14" t="s">
        <v>51</v>
      </c>
      <c r="V372" s="16">
        <f t="shared" si="61"/>
        <v>244063</v>
      </c>
      <c r="W372" s="16">
        <f t="shared" si="62"/>
        <v>244070</v>
      </c>
      <c r="X372" s="16">
        <f t="shared" si="65"/>
        <v>244065</v>
      </c>
      <c r="Y372" s="15" t="s">
        <v>54</v>
      </c>
      <c r="Z372" s="177">
        <v>244069</v>
      </c>
      <c r="AA372" s="170"/>
      <c r="AB372" s="170"/>
      <c r="AC372" s="170"/>
      <c r="AD372" s="170"/>
      <c r="AE372" s="15" t="s">
        <v>54</v>
      </c>
      <c r="AF372" s="177">
        <v>244074</v>
      </c>
      <c r="AG372" s="177" t="str">
        <f t="shared" si="63"/>
        <v>Pass</v>
      </c>
      <c r="AH372" s="177">
        <f t="shared" si="64"/>
        <v>244074</v>
      </c>
      <c r="AK372" s="176"/>
      <c r="AL372" s="176"/>
    </row>
    <row r="373" spans="1:38" ht="36" customHeight="1" x14ac:dyDescent="0.2">
      <c r="A373" s="14" t="s">
        <v>19</v>
      </c>
      <c r="B373" s="212">
        <v>244063</v>
      </c>
      <c r="C373" s="14" t="s">
        <v>547</v>
      </c>
      <c r="D373" s="14" t="s">
        <v>268</v>
      </c>
      <c r="E373" s="14" t="s">
        <v>14</v>
      </c>
      <c r="F373" s="14" t="s">
        <v>324</v>
      </c>
      <c r="G373" s="179">
        <v>680372</v>
      </c>
      <c r="H373" s="176" t="s">
        <v>1809</v>
      </c>
      <c r="I373" s="176" t="s">
        <v>1811</v>
      </c>
      <c r="J373" s="176" t="s">
        <v>1813</v>
      </c>
      <c r="K373" s="176" t="s">
        <v>1817</v>
      </c>
      <c r="L373" s="40" t="s">
        <v>108</v>
      </c>
      <c r="M373" s="40" t="s">
        <v>341</v>
      </c>
      <c r="N373" s="14" t="s">
        <v>1822</v>
      </c>
      <c r="O373" s="14" t="s">
        <v>543</v>
      </c>
      <c r="P373" s="14" t="s">
        <v>1828</v>
      </c>
      <c r="Q373" s="14" t="s">
        <v>529</v>
      </c>
      <c r="R373" s="17">
        <v>400</v>
      </c>
      <c r="S373" s="172" t="s">
        <v>51</v>
      </c>
      <c r="T373" s="17">
        <v>2307</v>
      </c>
      <c r="U373" s="14" t="s">
        <v>51</v>
      </c>
      <c r="V373" s="16">
        <f t="shared" si="61"/>
        <v>244063</v>
      </c>
      <c r="W373" s="16">
        <f t="shared" si="62"/>
        <v>244070</v>
      </c>
      <c r="X373" s="16">
        <f t="shared" si="65"/>
        <v>244065</v>
      </c>
      <c r="Y373" s="15"/>
      <c r="Z373" s="177"/>
      <c r="AA373" s="170"/>
      <c r="AB373" s="170"/>
      <c r="AC373" s="170"/>
      <c r="AD373" s="170"/>
      <c r="AE373" s="15"/>
      <c r="AF373" s="177"/>
      <c r="AG373" s="177">
        <f t="shared" si="63"/>
        <v>0</v>
      </c>
      <c r="AH373" s="177">
        <f t="shared" si="64"/>
        <v>0</v>
      </c>
      <c r="AK373" s="176"/>
      <c r="AL373" s="176"/>
    </row>
    <row r="374" spans="1:38" ht="36" customHeight="1" x14ac:dyDescent="0.2">
      <c r="A374" s="14" t="s">
        <v>19</v>
      </c>
      <c r="B374" s="212">
        <v>244063</v>
      </c>
      <c r="C374" s="14" t="s">
        <v>547</v>
      </c>
      <c r="D374" s="14" t="s">
        <v>268</v>
      </c>
      <c r="E374" s="14" t="s">
        <v>14</v>
      </c>
      <c r="F374" s="14" t="s">
        <v>324</v>
      </c>
      <c r="G374" s="179">
        <v>680373</v>
      </c>
      <c r="H374" s="176" t="s">
        <v>861</v>
      </c>
      <c r="I374" s="176" t="s">
        <v>551</v>
      </c>
      <c r="J374" s="176" t="s">
        <v>832</v>
      </c>
      <c r="K374" s="176" t="s">
        <v>1818</v>
      </c>
      <c r="L374" s="40" t="s">
        <v>108</v>
      </c>
      <c r="M374" s="40" t="s">
        <v>341</v>
      </c>
      <c r="N374" s="14" t="s">
        <v>765</v>
      </c>
      <c r="O374" s="14" t="s">
        <v>548</v>
      </c>
      <c r="P374" s="14" t="s">
        <v>717</v>
      </c>
      <c r="Q374" s="14" t="s">
        <v>549</v>
      </c>
      <c r="R374" s="17">
        <v>200</v>
      </c>
      <c r="S374" s="172" t="s">
        <v>51</v>
      </c>
      <c r="T374" s="17">
        <v>2720</v>
      </c>
      <c r="U374" s="14" t="s">
        <v>51</v>
      </c>
      <c r="V374" s="16">
        <f t="shared" si="61"/>
        <v>244063</v>
      </c>
      <c r="W374" s="16">
        <f t="shared" si="62"/>
        <v>244070</v>
      </c>
      <c r="X374" s="16">
        <f t="shared" si="65"/>
        <v>244065</v>
      </c>
      <c r="Y374" s="15"/>
      <c r="Z374" s="177"/>
      <c r="AA374" s="170"/>
      <c r="AB374" s="170"/>
      <c r="AC374" s="170"/>
      <c r="AD374" s="170"/>
      <c r="AE374" s="15"/>
      <c r="AF374" s="177"/>
      <c r="AG374" s="177">
        <f t="shared" si="63"/>
        <v>0</v>
      </c>
      <c r="AH374" s="177">
        <f t="shared" si="64"/>
        <v>0</v>
      </c>
      <c r="AK374" s="176"/>
      <c r="AL374" s="176"/>
    </row>
    <row r="375" spans="1:38" ht="36" customHeight="1" x14ac:dyDescent="0.2">
      <c r="A375" s="14" t="s">
        <v>19</v>
      </c>
      <c r="B375" s="212">
        <v>244063</v>
      </c>
      <c r="C375" s="14" t="s">
        <v>547</v>
      </c>
      <c r="D375" s="14" t="s">
        <v>268</v>
      </c>
      <c r="E375" s="14" t="s">
        <v>14</v>
      </c>
      <c r="F375" s="14" t="s">
        <v>324</v>
      </c>
      <c r="G375" s="179">
        <v>680374</v>
      </c>
      <c r="H375" s="176" t="s">
        <v>662</v>
      </c>
      <c r="I375" s="176" t="s">
        <v>664</v>
      </c>
      <c r="J375" s="176" t="s">
        <v>123</v>
      </c>
      <c r="K375" s="176" t="s">
        <v>1816</v>
      </c>
      <c r="L375" s="40" t="s">
        <v>46</v>
      </c>
      <c r="M375" s="40" t="s">
        <v>341</v>
      </c>
      <c r="N375" s="14" t="s">
        <v>1823</v>
      </c>
      <c r="O375" s="14" t="s">
        <v>527</v>
      </c>
      <c r="P375" s="14" t="s">
        <v>1277</v>
      </c>
      <c r="Q375" s="14" t="s">
        <v>542</v>
      </c>
      <c r="R375" s="17">
        <v>150</v>
      </c>
      <c r="S375" s="172" t="s">
        <v>51</v>
      </c>
      <c r="T375" s="17">
        <v>2049</v>
      </c>
      <c r="U375" s="14" t="s">
        <v>51</v>
      </c>
      <c r="V375" s="16">
        <f t="shared" si="61"/>
        <v>244063</v>
      </c>
      <c r="W375" s="16">
        <f t="shared" si="62"/>
        <v>244070</v>
      </c>
      <c r="X375" s="16">
        <f t="shared" si="65"/>
        <v>244065</v>
      </c>
      <c r="Y375" s="15"/>
      <c r="Z375" s="177"/>
      <c r="AA375" s="170"/>
      <c r="AB375" s="170"/>
      <c r="AC375" s="170"/>
      <c r="AD375" s="170"/>
      <c r="AE375" s="15"/>
      <c r="AF375" s="177"/>
      <c r="AG375" s="177">
        <f t="shared" si="63"/>
        <v>0</v>
      </c>
      <c r="AH375" s="177">
        <f t="shared" si="64"/>
        <v>0</v>
      </c>
      <c r="AK375" s="176"/>
      <c r="AL375" s="176"/>
    </row>
    <row r="376" spans="1:38" ht="36" customHeight="1" x14ac:dyDescent="0.2">
      <c r="A376" s="14" t="s">
        <v>19</v>
      </c>
      <c r="B376" s="212">
        <v>244063</v>
      </c>
      <c r="C376" s="14" t="s">
        <v>547</v>
      </c>
      <c r="D376" s="14" t="s">
        <v>268</v>
      </c>
      <c r="E376" s="14" t="s">
        <v>14</v>
      </c>
      <c r="F376" s="14" t="s">
        <v>324</v>
      </c>
      <c r="G376" s="179">
        <v>680375</v>
      </c>
      <c r="H376" s="176" t="s">
        <v>662</v>
      </c>
      <c r="I376" s="176" t="s">
        <v>664</v>
      </c>
      <c r="J376" s="176" t="s">
        <v>123</v>
      </c>
      <c r="K376" s="176" t="s">
        <v>1816</v>
      </c>
      <c r="L376" s="40" t="s">
        <v>46</v>
      </c>
      <c r="M376" s="40" t="s">
        <v>341</v>
      </c>
      <c r="N376" s="14" t="s">
        <v>1824</v>
      </c>
      <c r="O376" s="14" t="s">
        <v>552</v>
      </c>
      <c r="P376" s="14" t="s">
        <v>1829</v>
      </c>
      <c r="Q376" s="14" t="s">
        <v>553</v>
      </c>
      <c r="R376" s="17">
        <v>1275</v>
      </c>
      <c r="S376" s="172" t="s">
        <v>51</v>
      </c>
      <c r="T376" s="17">
        <v>1990</v>
      </c>
      <c r="U376" s="14" t="s">
        <v>51</v>
      </c>
      <c r="V376" s="16">
        <f t="shared" si="61"/>
        <v>244063</v>
      </c>
      <c r="W376" s="16">
        <f t="shared" si="62"/>
        <v>244070</v>
      </c>
      <c r="X376" s="16">
        <f t="shared" si="65"/>
        <v>244065</v>
      </c>
      <c r="Y376" s="15" t="s">
        <v>54</v>
      </c>
      <c r="Z376" s="177">
        <v>244069</v>
      </c>
      <c r="AA376" s="170"/>
      <c r="AB376" s="170"/>
      <c r="AC376" s="170"/>
      <c r="AD376" s="170"/>
      <c r="AE376" s="15" t="s">
        <v>54</v>
      </c>
      <c r="AF376" s="177">
        <v>244074</v>
      </c>
      <c r="AG376" s="177" t="str">
        <f t="shared" si="63"/>
        <v>Pass</v>
      </c>
      <c r="AH376" s="177">
        <f t="shared" si="64"/>
        <v>244074</v>
      </c>
      <c r="AK376" s="176"/>
      <c r="AL376" s="176"/>
    </row>
    <row r="377" spans="1:38" ht="36" customHeight="1" x14ac:dyDescent="0.2">
      <c r="A377" s="14" t="s">
        <v>19</v>
      </c>
      <c r="B377" s="212">
        <v>244065</v>
      </c>
      <c r="C377" s="14" t="s">
        <v>547</v>
      </c>
      <c r="D377" s="14" t="s">
        <v>268</v>
      </c>
      <c r="E377" s="14" t="s">
        <v>14</v>
      </c>
      <c r="F377" s="14" t="s">
        <v>324</v>
      </c>
      <c r="G377" s="179">
        <v>680376</v>
      </c>
      <c r="H377" s="176" t="s">
        <v>1831</v>
      </c>
      <c r="I377" s="176" t="s">
        <v>908</v>
      </c>
      <c r="J377" s="176" t="s">
        <v>133</v>
      </c>
      <c r="K377" s="176" t="s">
        <v>1835</v>
      </c>
      <c r="L377" s="40" t="s">
        <v>46</v>
      </c>
      <c r="M377" s="40" t="s">
        <v>341</v>
      </c>
      <c r="N377" s="14" t="s">
        <v>1840</v>
      </c>
      <c r="O377" s="14" t="s">
        <v>543</v>
      </c>
      <c r="P377" s="14" t="s">
        <v>1847</v>
      </c>
      <c r="Q377" s="14" t="s">
        <v>529</v>
      </c>
      <c r="R377" s="17">
        <v>200</v>
      </c>
      <c r="S377" s="172" t="s">
        <v>51</v>
      </c>
      <c r="T377" s="17">
        <v>1975</v>
      </c>
      <c r="U377" s="14" t="s">
        <v>51</v>
      </c>
      <c r="V377" s="16">
        <f t="shared" si="61"/>
        <v>244065</v>
      </c>
      <c r="W377" s="16">
        <f t="shared" si="62"/>
        <v>244072</v>
      </c>
      <c r="X377" s="16">
        <f t="shared" si="65"/>
        <v>244067</v>
      </c>
      <c r="Y377" s="15" t="s">
        <v>54</v>
      </c>
      <c r="Z377" s="177">
        <v>244069</v>
      </c>
      <c r="AA377" s="170"/>
      <c r="AB377" s="170"/>
      <c r="AC377" s="170"/>
      <c r="AD377" s="170"/>
      <c r="AE377" s="15" t="s">
        <v>54</v>
      </c>
      <c r="AF377" s="177">
        <v>244074</v>
      </c>
      <c r="AG377" s="177" t="str">
        <f t="shared" si="63"/>
        <v>Pass</v>
      </c>
      <c r="AH377" s="177">
        <f t="shared" si="64"/>
        <v>244074</v>
      </c>
      <c r="AK377" s="176"/>
      <c r="AL377" s="176"/>
    </row>
    <row r="378" spans="1:38" ht="36" customHeight="1" x14ac:dyDescent="0.2">
      <c r="A378" s="14" t="s">
        <v>19</v>
      </c>
      <c r="B378" s="212">
        <v>244065</v>
      </c>
      <c r="C378" s="14" t="s">
        <v>547</v>
      </c>
      <c r="D378" s="14" t="s">
        <v>268</v>
      </c>
      <c r="E378" s="14" t="s">
        <v>14</v>
      </c>
      <c r="F378" s="14" t="s">
        <v>324</v>
      </c>
      <c r="G378" s="179">
        <v>680377</v>
      </c>
      <c r="H378" s="176" t="s">
        <v>1832</v>
      </c>
      <c r="I378" s="176" t="s">
        <v>908</v>
      </c>
      <c r="J378" s="176" t="s">
        <v>133</v>
      </c>
      <c r="K378" s="176" t="s">
        <v>1836</v>
      </c>
      <c r="L378" s="40" t="s">
        <v>46</v>
      </c>
      <c r="M378" s="40" t="s">
        <v>341</v>
      </c>
      <c r="N378" s="14" t="s">
        <v>1841</v>
      </c>
      <c r="O378" s="14" t="s">
        <v>543</v>
      </c>
      <c r="P378" s="14" t="s">
        <v>1848</v>
      </c>
      <c r="Q378" s="14" t="s">
        <v>529</v>
      </c>
      <c r="R378" s="17">
        <v>575</v>
      </c>
      <c r="S378" s="172" t="s">
        <v>51</v>
      </c>
      <c r="T378" s="17">
        <v>200</v>
      </c>
      <c r="U378" s="14" t="s">
        <v>51</v>
      </c>
      <c r="V378" s="16">
        <f t="shared" si="61"/>
        <v>244065</v>
      </c>
      <c r="W378" s="16">
        <f t="shared" si="62"/>
        <v>244072</v>
      </c>
      <c r="X378" s="16">
        <f t="shared" si="65"/>
        <v>244067</v>
      </c>
      <c r="Y378" s="15" t="s">
        <v>54</v>
      </c>
      <c r="Z378" s="177">
        <v>244069</v>
      </c>
      <c r="AA378" s="170"/>
      <c r="AB378" s="170"/>
      <c r="AC378" s="170"/>
      <c r="AD378" s="170"/>
      <c r="AE378" s="15" t="s">
        <v>54</v>
      </c>
      <c r="AF378" s="177">
        <v>244074</v>
      </c>
      <c r="AG378" s="177" t="str">
        <f t="shared" si="63"/>
        <v>Pass</v>
      </c>
      <c r="AH378" s="177">
        <f t="shared" si="64"/>
        <v>244074</v>
      </c>
      <c r="AK378" s="176"/>
      <c r="AL378" s="176"/>
    </row>
    <row r="379" spans="1:38" ht="36" customHeight="1" x14ac:dyDescent="0.2">
      <c r="A379" s="14" t="s">
        <v>19</v>
      </c>
      <c r="B379" s="212">
        <v>244065</v>
      </c>
      <c r="C379" s="14" t="s">
        <v>547</v>
      </c>
      <c r="D379" s="14" t="s">
        <v>268</v>
      </c>
      <c r="E379" s="14" t="s">
        <v>14</v>
      </c>
      <c r="F379" s="14" t="s">
        <v>324</v>
      </c>
      <c r="G379" s="179">
        <v>680378</v>
      </c>
      <c r="H379" s="176" t="s">
        <v>1222</v>
      </c>
      <c r="I379" s="176" t="s">
        <v>612</v>
      </c>
      <c r="J379" s="176" t="s">
        <v>865</v>
      </c>
      <c r="K379" s="176" t="s">
        <v>1837</v>
      </c>
      <c r="L379" s="40" t="s">
        <v>105</v>
      </c>
      <c r="M379" s="40" t="s">
        <v>341</v>
      </c>
      <c r="N379" s="14" t="s">
        <v>1842</v>
      </c>
      <c r="O379" s="14" t="s">
        <v>528</v>
      </c>
      <c r="P379" s="14" t="s">
        <v>1849</v>
      </c>
      <c r="Q379" s="14" t="s">
        <v>541</v>
      </c>
      <c r="R379" s="17">
        <v>450</v>
      </c>
      <c r="S379" s="172" t="s">
        <v>51</v>
      </c>
      <c r="T379" s="17">
        <v>1850</v>
      </c>
      <c r="U379" s="14" t="s">
        <v>51</v>
      </c>
      <c r="V379" s="16">
        <f t="shared" ref="V379:V401" si="66">B379</f>
        <v>244065</v>
      </c>
      <c r="W379" s="16">
        <f t="shared" ref="W379:W401" si="67">B379+7</f>
        <v>244072</v>
      </c>
      <c r="X379" s="16">
        <f t="shared" si="65"/>
        <v>244067</v>
      </c>
      <c r="Y379" s="15" t="s">
        <v>54</v>
      </c>
      <c r="Z379" s="177">
        <v>244068</v>
      </c>
      <c r="AA379" s="170"/>
      <c r="AB379" s="170"/>
      <c r="AC379" s="170"/>
      <c r="AD379" s="170"/>
      <c r="AE379" s="15" t="s">
        <v>54</v>
      </c>
      <c r="AF379" s="177">
        <v>244074</v>
      </c>
      <c r="AG379" s="177" t="str">
        <f t="shared" si="63"/>
        <v>Pass</v>
      </c>
      <c r="AH379" s="177">
        <f t="shared" si="64"/>
        <v>244074</v>
      </c>
      <c r="AK379" s="176"/>
      <c r="AL379" s="176"/>
    </row>
    <row r="380" spans="1:38" ht="36" customHeight="1" x14ac:dyDescent="0.2">
      <c r="A380" s="14" t="s">
        <v>19</v>
      </c>
      <c r="B380" s="212">
        <v>244065</v>
      </c>
      <c r="C380" s="14" t="s">
        <v>547</v>
      </c>
      <c r="D380" s="14" t="s">
        <v>268</v>
      </c>
      <c r="E380" s="14" t="s">
        <v>14</v>
      </c>
      <c r="F380" s="14" t="s">
        <v>324</v>
      </c>
      <c r="G380" s="179">
        <v>680379</v>
      </c>
      <c r="H380" s="176" t="s">
        <v>1833</v>
      </c>
      <c r="I380" s="176" t="s">
        <v>908</v>
      </c>
      <c r="J380" s="176" t="s">
        <v>133</v>
      </c>
      <c r="K380" s="176" t="s">
        <v>1838</v>
      </c>
      <c r="L380" s="40" t="s">
        <v>46</v>
      </c>
      <c r="M380" s="40" t="s">
        <v>341</v>
      </c>
      <c r="N380" s="14" t="s">
        <v>1843</v>
      </c>
      <c r="O380" s="14" t="s">
        <v>552</v>
      </c>
      <c r="P380" s="14" t="s">
        <v>1660</v>
      </c>
      <c r="Q380" s="14" t="s">
        <v>553</v>
      </c>
      <c r="R380" s="17">
        <v>1179</v>
      </c>
      <c r="S380" s="172" t="s">
        <v>51</v>
      </c>
      <c r="T380" s="17">
        <v>1130</v>
      </c>
      <c r="U380" s="14" t="s">
        <v>51</v>
      </c>
      <c r="V380" s="16">
        <f t="shared" si="66"/>
        <v>244065</v>
      </c>
      <c r="W380" s="16">
        <f t="shared" si="67"/>
        <v>244072</v>
      </c>
      <c r="X380" s="16">
        <f t="shared" si="65"/>
        <v>244067</v>
      </c>
      <c r="Y380" s="15"/>
      <c r="Z380" s="177"/>
      <c r="AA380" s="170"/>
      <c r="AB380" s="170"/>
      <c r="AC380" s="170"/>
      <c r="AD380" s="170"/>
      <c r="AE380" s="15"/>
      <c r="AF380" s="177"/>
      <c r="AG380" s="177">
        <f t="shared" si="63"/>
        <v>0</v>
      </c>
      <c r="AH380" s="177">
        <f t="shared" si="64"/>
        <v>0</v>
      </c>
      <c r="AK380" s="176"/>
      <c r="AL380" s="176"/>
    </row>
    <row r="381" spans="1:38" ht="36" customHeight="1" x14ac:dyDescent="0.2">
      <c r="A381" s="14" t="s">
        <v>19</v>
      </c>
      <c r="B381" s="212">
        <v>244065</v>
      </c>
      <c r="C381" s="14" t="s">
        <v>547</v>
      </c>
      <c r="D381" s="14" t="s">
        <v>268</v>
      </c>
      <c r="E381" s="14" t="s">
        <v>14</v>
      </c>
      <c r="F381" s="14" t="s">
        <v>324</v>
      </c>
      <c r="G381" s="179">
        <v>680380</v>
      </c>
      <c r="H381" s="176" t="s">
        <v>1834</v>
      </c>
      <c r="I381" s="176" t="s">
        <v>864</v>
      </c>
      <c r="J381" s="176" t="s">
        <v>131</v>
      </c>
      <c r="K381" s="176" t="s">
        <v>1839</v>
      </c>
      <c r="L381" s="40" t="s">
        <v>105</v>
      </c>
      <c r="M381" s="40" t="s">
        <v>341</v>
      </c>
      <c r="N381" s="14" t="s">
        <v>1844</v>
      </c>
      <c r="O381" s="14" t="s">
        <v>548</v>
      </c>
      <c r="P381" s="14" t="s">
        <v>518</v>
      </c>
      <c r="Q381" s="14" t="s">
        <v>549</v>
      </c>
      <c r="R381" s="17">
        <v>574</v>
      </c>
      <c r="S381" s="172" t="s">
        <v>51</v>
      </c>
      <c r="T381" s="17" t="s">
        <v>1852</v>
      </c>
      <c r="U381" s="14" t="s">
        <v>51</v>
      </c>
      <c r="V381" s="16">
        <f t="shared" si="66"/>
        <v>244065</v>
      </c>
      <c r="W381" s="16">
        <f t="shared" si="67"/>
        <v>244072</v>
      </c>
      <c r="X381" s="16">
        <f t="shared" si="65"/>
        <v>244067</v>
      </c>
      <c r="Y381" s="15" t="s">
        <v>54</v>
      </c>
      <c r="Z381" s="177">
        <v>244071</v>
      </c>
      <c r="AA381" s="170"/>
      <c r="AB381" s="170"/>
      <c r="AC381" s="170"/>
      <c r="AD381" s="170"/>
      <c r="AE381" s="15" t="s">
        <v>54</v>
      </c>
      <c r="AF381" s="177">
        <v>244074</v>
      </c>
      <c r="AG381" s="177" t="str">
        <f t="shared" si="63"/>
        <v>Pass</v>
      </c>
      <c r="AH381" s="177">
        <f t="shared" si="64"/>
        <v>244074</v>
      </c>
      <c r="AK381" s="176"/>
      <c r="AL381" s="176"/>
    </row>
    <row r="382" spans="1:38" ht="36" customHeight="1" x14ac:dyDescent="0.2">
      <c r="A382" s="14" t="s">
        <v>19</v>
      </c>
      <c r="B382" s="212">
        <v>244065</v>
      </c>
      <c r="C382" s="14" t="s">
        <v>547</v>
      </c>
      <c r="D382" s="14" t="s">
        <v>268</v>
      </c>
      <c r="E382" s="14" t="s">
        <v>14</v>
      </c>
      <c r="F382" s="14" t="s">
        <v>324</v>
      </c>
      <c r="G382" s="179">
        <v>680381</v>
      </c>
      <c r="H382" s="176" t="s">
        <v>1834</v>
      </c>
      <c r="I382" s="176" t="s">
        <v>864</v>
      </c>
      <c r="J382" s="176" t="s">
        <v>131</v>
      </c>
      <c r="K382" s="176" t="s">
        <v>1839</v>
      </c>
      <c r="L382" s="40" t="s">
        <v>105</v>
      </c>
      <c r="M382" s="40" t="s">
        <v>341</v>
      </c>
      <c r="N382" s="14" t="s">
        <v>1845</v>
      </c>
      <c r="O382" s="14" t="s">
        <v>1846</v>
      </c>
      <c r="P382" s="14" t="s">
        <v>1850</v>
      </c>
      <c r="Q382" s="14" t="s">
        <v>1851</v>
      </c>
      <c r="R382" s="17">
        <v>1300</v>
      </c>
      <c r="S382" s="172" t="s">
        <v>51</v>
      </c>
      <c r="T382" s="17">
        <v>1915</v>
      </c>
      <c r="U382" s="14" t="s">
        <v>51</v>
      </c>
      <c r="V382" s="16">
        <f t="shared" si="66"/>
        <v>244065</v>
      </c>
      <c r="W382" s="16">
        <f t="shared" si="67"/>
        <v>244072</v>
      </c>
      <c r="X382" s="16">
        <f t="shared" si="65"/>
        <v>244067</v>
      </c>
      <c r="Y382" s="15" t="s">
        <v>54</v>
      </c>
      <c r="Z382" s="177">
        <v>244071</v>
      </c>
      <c r="AA382" s="170"/>
      <c r="AB382" s="170"/>
      <c r="AC382" s="170"/>
      <c r="AD382" s="170"/>
      <c r="AE382" s="15" t="s">
        <v>54</v>
      </c>
      <c r="AF382" s="177">
        <v>244074</v>
      </c>
      <c r="AG382" s="177" t="str">
        <f t="shared" si="63"/>
        <v>Pass</v>
      </c>
      <c r="AH382" s="177">
        <f t="shared" si="64"/>
        <v>244074</v>
      </c>
      <c r="AK382" s="176"/>
      <c r="AL382" s="176"/>
    </row>
    <row r="383" spans="1:38" ht="36" customHeight="1" x14ac:dyDescent="0.2">
      <c r="A383" s="14" t="s">
        <v>19</v>
      </c>
      <c r="B383" s="212">
        <v>244067</v>
      </c>
      <c r="C383" s="14" t="s">
        <v>547</v>
      </c>
      <c r="D383" s="14" t="s">
        <v>268</v>
      </c>
      <c r="E383" s="14" t="s">
        <v>14</v>
      </c>
      <c r="F383" s="14" t="s">
        <v>324</v>
      </c>
      <c r="G383" s="179">
        <v>680382</v>
      </c>
      <c r="H383" s="176" t="s">
        <v>1364</v>
      </c>
      <c r="I383" s="176" t="s">
        <v>551</v>
      </c>
      <c r="J383" s="176" t="s">
        <v>596</v>
      </c>
      <c r="K383" s="176" t="s">
        <v>1854</v>
      </c>
      <c r="L383" s="40" t="s">
        <v>108</v>
      </c>
      <c r="M383" s="40" t="s">
        <v>341</v>
      </c>
      <c r="N383" s="14" t="s">
        <v>1859</v>
      </c>
      <c r="O383" s="14" t="s">
        <v>953</v>
      </c>
      <c r="P383" s="14" t="s">
        <v>1152</v>
      </c>
      <c r="Q383" s="14" t="s">
        <v>956</v>
      </c>
      <c r="R383" s="17">
        <v>1700</v>
      </c>
      <c r="S383" s="172" t="s">
        <v>51</v>
      </c>
      <c r="T383" s="17">
        <v>1980</v>
      </c>
      <c r="U383" s="14" t="s">
        <v>51</v>
      </c>
      <c r="V383" s="16">
        <f t="shared" si="66"/>
        <v>244067</v>
      </c>
      <c r="W383" s="16">
        <f t="shared" si="67"/>
        <v>244074</v>
      </c>
      <c r="X383" s="16">
        <f t="shared" si="65"/>
        <v>244069</v>
      </c>
      <c r="Y383" s="15"/>
      <c r="Z383" s="177"/>
      <c r="AA383" s="170"/>
      <c r="AB383" s="170"/>
      <c r="AC383" s="170"/>
      <c r="AD383" s="170"/>
      <c r="AE383" s="15"/>
      <c r="AF383" s="177"/>
      <c r="AG383" s="177">
        <f t="shared" si="63"/>
        <v>0</v>
      </c>
      <c r="AH383" s="177">
        <f t="shared" si="64"/>
        <v>0</v>
      </c>
      <c r="AK383" s="176"/>
      <c r="AL383" s="176"/>
    </row>
    <row r="384" spans="1:38" ht="36" customHeight="1" x14ac:dyDescent="0.2">
      <c r="A384" s="14" t="s">
        <v>19</v>
      </c>
      <c r="B384" s="212">
        <v>244067</v>
      </c>
      <c r="C384" s="14" t="s">
        <v>547</v>
      </c>
      <c r="D384" s="14" t="s">
        <v>268</v>
      </c>
      <c r="E384" s="14" t="s">
        <v>14</v>
      </c>
      <c r="F384" s="14" t="s">
        <v>324</v>
      </c>
      <c r="G384" s="179">
        <v>680383</v>
      </c>
      <c r="H384" s="176" t="s">
        <v>886</v>
      </c>
      <c r="I384" s="176" t="s">
        <v>630</v>
      </c>
      <c r="J384" s="176" t="s">
        <v>821</v>
      </c>
      <c r="K384" s="176" t="s">
        <v>1855</v>
      </c>
      <c r="L384" s="40" t="s">
        <v>124</v>
      </c>
      <c r="M384" s="40" t="s">
        <v>341</v>
      </c>
      <c r="N384" s="14" t="s">
        <v>1144</v>
      </c>
      <c r="O384" s="14" t="s">
        <v>543</v>
      </c>
      <c r="P384" s="14" t="s">
        <v>971</v>
      </c>
      <c r="Q384" s="14" t="s">
        <v>529</v>
      </c>
      <c r="R384" s="17">
        <v>400</v>
      </c>
      <c r="S384" s="172" t="s">
        <v>51</v>
      </c>
      <c r="T384" s="17">
        <v>2552</v>
      </c>
      <c r="U384" s="14" t="s">
        <v>51</v>
      </c>
      <c r="V384" s="16">
        <f t="shared" si="66"/>
        <v>244067</v>
      </c>
      <c r="W384" s="16">
        <f t="shared" si="67"/>
        <v>244074</v>
      </c>
      <c r="X384" s="16">
        <f t="shared" si="65"/>
        <v>244069</v>
      </c>
      <c r="Y384" s="15"/>
      <c r="Z384" s="177"/>
      <c r="AA384" s="170"/>
      <c r="AB384" s="170"/>
      <c r="AC384" s="170"/>
      <c r="AD384" s="170"/>
      <c r="AE384" s="15"/>
      <c r="AF384" s="177"/>
      <c r="AG384" s="177">
        <f t="shared" si="63"/>
        <v>0</v>
      </c>
      <c r="AH384" s="177">
        <f t="shared" si="64"/>
        <v>0</v>
      </c>
      <c r="AK384" s="176"/>
      <c r="AL384" s="176"/>
    </row>
    <row r="385" spans="1:38" ht="36" customHeight="1" x14ac:dyDescent="0.2">
      <c r="A385" s="14" t="s">
        <v>19</v>
      </c>
      <c r="B385" s="212">
        <v>244067</v>
      </c>
      <c r="C385" s="14" t="s">
        <v>547</v>
      </c>
      <c r="D385" s="14" t="s">
        <v>268</v>
      </c>
      <c r="E385" s="14" t="s">
        <v>14</v>
      </c>
      <c r="F385" s="14" t="s">
        <v>324</v>
      </c>
      <c r="G385" s="179">
        <v>680384</v>
      </c>
      <c r="H385" s="176" t="s">
        <v>1262</v>
      </c>
      <c r="I385" s="176" t="s">
        <v>802</v>
      </c>
      <c r="J385" s="176" t="s">
        <v>131</v>
      </c>
      <c r="K385" s="176" t="s">
        <v>1856</v>
      </c>
      <c r="L385" s="40" t="s">
        <v>105</v>
      </c>
      <c r="M385" s="40" t="s">
        <v>341</v>
      </c>
      <c r="N385" s="14" t="s">
        <v>1860</v>
      </c>
      <c r="O385" s="14" t="s">
        <v>548</v>
      </c>
      <c r="P385" s="14" t="s">
        <v>717</v>
      </c>
      <c r="Q385" s="14" t="s">
        <v>549</v>
      </c>
      <c r="R385" s="17">
        <v>348</v>
      </c>
      <c r="S385" s="172" t="s">
        <v>51</v>
      </c>
      <c r="T385" s="17" t="s">
        <v>1870</v>
      </c>
      <c r="U385" s="14" t="s">
        <v>51</v>
      </c>
      <c r="V385" s="16">
        <f t="shared" si="66"/>
        <v>244067</v>
      </c>
      <c r="W385" s="16">
        <f t="shared" si="67"/>
        <v>244074</v>
      </c>
      <c r="X385" s="16">
        <f t="shared" si="65"/>
        <v>244069</v>
      </c>
      <c r="Y385" s="15" t="s">
        <v>54</v>
      </c>
      <c r="Z385" s="177">
        <v>244068</v>
      </c>
      <c r="AA385" s="170"/>
      <c r="AB385" s="170"/>
      <c r="AC385" s="170"/>
      <c r="AD385" s="170"/>
      <c r="AE385" s="15" t="s">
        <v>54</v>
      </c>
      <c r="AF385" s="177">
        <v>244074</v>
      </c>
      <c r="AG385" s="177" t="str">
        <f t="shared" si="63"/>
        <v>Pass</v>
      </c>
      <c r="AH385" s="177">
        <f t="shared" si="64"/>
        <v>244074</v>
      </c>
      <c r="AK385" s="176"/>
      <c r="AL385" s="176"/>
    </row>
    <row r="386" spans="1:38" ht="36" customHeight="1" x14ac:dyDescent="0.2">
      <c r="A386" s="14" t="s">
        <v>19</v>
      </c>
      <c r="B386" s="212">
        <v>244067</v>
      </c>
      <c r="C386" s="14" t="s">
        <v>547</v>
      </c>
      <c r="D386" s="14" t="s">
        <v>268</v>
      </c>
      <c r="E386" s="14" t="s">
        <v>14</v>
      </c>
      <c r="F386" s="14" t="s">
        <v>324</v>
      </c>
      <c r="G386" s="179">
        <v>680385</v>
      </c>
      <c r="H386" s="176" t="s">
        <v>1506</v>
      </c>
      <c r="I386" s="176" t="s">
        <v>550</v>
      </c>
      <c r="J386" s="176" t="s">
        <v>128</v>
      </c>
      <c r="K386" s="176" t="s">
        <v>1857</v>
      </c>
      <c r="L386" s="40" t="s">
        <v>46</v>
      </c>
      <c r="M386" s="40" t="s">
        <v>341</v>
      </c>
      <c r="N386" s="14" t="s">
        <v>1861</v>
      </c>
      <c r="O386" s="14" t="s">
        <v>528</v>
      </c>
      <c r="P386" s="14" t="s">
        <v>1866</v>
      </c>
      <c r="Q386" s="14" t="s">
        <v>541</v>
      </c>
      <c r="R386" s="17">
        <v>550</v>
      </c>
      <c r="S386" s="172" t="s">
        <v>51</v>
      </c>
      <c r="T386" s="17">
        <v>1880</v>
      </c>
      <c r="U386" s="14" t="s">
        <v>51</v>
      </c>
      <c r="V386" s="16">
        <f t="shared" si="66"/>
        <v>244067</v>
      </c>
      <c r="W386" s="16">
        <f t="shared" si="67"/>
        <v>244074</v>
      </c>
      <c r="X386" s="16">
        <f t="shared" si="65"/>
        <v>244069</v>
      </c>
      <c r="Y386" s="15" t="s">
        <v>54</v>
      </c>
      <c r="Z386" s="177">
        <v>244069</v>
      </c>
      <c r="AA386" s="170"/>
      <c r="AB386" s="170"/>
      <c r="AC386" s="170"/>
      <c r="AD386" s="170"/>
      <c r="AE386" s="15" t="s">
        <v>54</v>
      </c>
      <c r="AF386" s="177">
        <v>244074</v>
      </c>
      <c r="AG386" s="177" t="str">
        <f t="shared" si="63"/>
        <v>Pass</v>
      </c>
      <c r="AH386" s="177">
        <f t="shared" si="64"/>
        <v>244074</v>
      </c>
      <c r="AK386" s="176"/>
      <c r="AL386" s="176"/>
    </row>
    <row r="387" spans="1:38" ht="36" customHeight="1" x14ac:dyDescent="0.2">
      <c r="A387" s="14" t="s">
        <v>19</v>
      </c>
      <c r="B387" s="212">
        <v>244067</v>
      </c>
      <c r="C387" s="14" t="s">
        <v>547</v>
      </c>
      <c r="D387" s="14" t="s">
        <v>268</v>
      </c>
      <c r="E387" s="14" t="s">
        <v>14</v>
      </c>
      <c r="F387" s="14" t="s">
        <v>324</v>
      </c>
      <c r="G387" s="179">
        <v>680386</v>
      </c>
      <c r="H387" s="176" t="s">
        <v>1506</v>
      </c>
      <c r="I387" s="176" t="s">
        <v>550</v>
      </c>
      <c r="J387" s="176" t="s">
        <v>128</v>
      </c>
      <c r="K387" s="176" t="s">
        <v>1857</v>
      </c>
      <c r="L387" s="40" t="s">
        <v>46</v>
      </c>
      <c r="M387" s="40" t="s">
        <v>341</v>
      </c>
      <c r="N387" s="14" t="s">
        <v>1862</v>
      </c>
      <c r="O387" s="14" t="s">
        <v>548</v>
      </c>
      <c r="P387" s="14" t="s">
        <v>518</v>
      </c>
      <c r="Q387" s="14" t="s">
        <v>549</v>
      </c>
      <c r="R387" s="17">
        <v>340</v>
      </c>
      <c r="S387" s="172" t="s">
        <v>51</v>
      </c>
      <c r="T387" s="17">
        <v>1880</v>
      </c>
      <c r="U387" s="14" t="s">
        <v>51</v>
      </c>
      <c r="V387" s="16">
        <f t="shared" si="66"/>
        <v>244067</v>
      </c>
      <c r="W387" s="16">
        <f t="shared" si="67"/>
        <v>244074</v>
      </c>
      <c r="X387" s="16">
        <f t="shared" si="65"/>
        <v>244069</v>
      </c>
      <c r="Y387" s="15" t="s">
        <v>54</v>
      </c>
      <c r="Z387" s="177">
        <v>244069</v>
      </c>
      <c r="AA387" s="170"/>
      <c r="AB387" s="170"/>
      <c r="AC387" s="170"/>
      <c r="AD387" s="170"/>
      <c r="AE387" s="15" t="s">
        <v>54</v>
      </c>
      <c r="AF387" s="177">
        <v>244074</v>
      </c>
      <c r="AG387" s="177" t="str">
        <f t="shared" si="63"/>
        <v>Pass</v>
      </c>
      <c r="AH387" s="177">
        <f t="shared" si="64"/>
        <v>244074</v>
      </c>
      <c r="AK387" s="176"/>
      <c r="AL387" s="176"/>
    </row>
    <row r="388" spans="1:38" ht="36" customHeight="1" x14ac:dyDescent="0.2">
      <c r="A388" s="14" t="s">
        <v>19</v>
      </c>
      <c r="B388" s="212">
        <v>244067</v>
      </c>
      <c r="C388" s="14" t="s">
        <v>547</v>
      </c>
      <c r="D388" s="14" t="s">
        <v>268</v>
      </c>
      <c r="E388" s="14" t="s">
        <v>14</v>
      </c>
      <c r="F388" s="14" t="s">
        <v>324</v>
      </c>
      <c r="G388" s="179">
        <v>680387</v>
      </c>
      <c r="H388" s="176" t="s">
        <v>1853</v>
      </c>
      <c r="I388" s="176" t="s">
        <v>864</v>
      </c>
      <c r="J388" s="176" t="s">
        <v>289</v>
      </c>
      <c r="K388" s="176" t="s">
        <v>1858</v>
      </c>
      <c r="L388" s="40" t="s">
        <v>105</v>
      </c>
      <c r="M388" s="40" t="s">
        <v>341</v>
      </c>
      <c r="N388" s="14" t="s">
        <v>1863</v>
      </c>
      <c r="O388" s="14" t="s">
        <v>1865</v>
      </c>
      <c r="P388" s="14" t="s">
        <v>1867</v>
      </c>
      <c r="Q388" s="14"/>
      <c r="R388" s="17">
        <v>525</v>
      </c>
      <c r="S388" s="172" t="s">
        <v>51</v>
      </c>
      <c r="T388" s="17">
        <v>1770</v>
      </c>
      <c r="U388" s="14" t="s">
        <v>51</v>
      </c>
      <c r="V388" s="16">
        <f t="shared" si="66"/>
        <v>244067</v>
      </c>
      <c r="W388" s="16">
        <f t="shared" si="67"/>
        <v>244074</v>
      </c>
      <c r="X388" s="16">
        <f t="shared" si="65"/>
        <v>244069</v>
      </c>
      <c r="Y388" s="15" t="s">
        <v>54</v>
      </c>
      <c r="Z388" s="177">
        <v>244071</v>
      </c>
      <c r="AA388" s="170"/>
      <c r="AB388" s="170"/>
      <c r="AC388" s="170"/>
      <c r="AD388" s="170"/>
      <c r="AE388" s="15" t="s">
        <v>54</v>
      </c>
      <c r="AF388" s="177">
        <v>244074</v>
      </c>
      <c r="AG388" s="177" t="str">
        <f t="shared" si="63"/>
        <v>Pass</v>
      </c>
      <c r="AH388" s="177">
        <f t="shared" si="64"/>
        <v>244074</v>
      </c>
      <c r="AK388" s="176"/>
      <c r="AL388" s="176"/>
    </row>
    <row r="389" spans="1:38" ht="36" customHeight="1" x14ac:dyDescent="0.2">
      <c r="A389" s="14" t="s">
        <v>19</v>
      </c>
      <c r="B389" s="212">
        <v>244067</v>
      </c>
      <c r="C389" s="14" t="s">
        <v>547</v>
      </c>
      <c r="D389" s="14" t="s">
        <v>268</v>
      </c>
      <c r="E389" s="14" t="s">
        <v>14</v>
      </c>
      <c r="F389" s="14" t="s">
        <v>324</v>
      </c>
      <c r="G389" s="179">
        <v>680388</v>
      </c>
      <c r="H389" s="176" t="s">
        <v>1506</v>
      </c>
      <c r="I389" s="176" t="s">
        <v>550</v>
      </c>
      <c r="J389" s="176" t="s">
        <v>128</v>
      </c>
      <c r="K389" s="176" t="s">
        <v>1857</v>
      </c>
      <c r="L389" s="40" t="s">
        <v>46</v>
      </c>
      <c r="M389" s="40" t="s">
        <v>341</v>
      </c>
      <c r="N389" s="14" t="s">
        <v>1864</v>
      </c>
      <c r="O389" s="14" t="s">
        <v>528</v>
      </c>
      <c r="P389" s="14" t="s">
        <v>1868</v>
      </c>
      <c r="Q389" s="14" t="s">
        <v>541</v>
      </c>
      <c r="R389" s="17">
        <v>350</v>
      </c>
      <c r="S389" s="172" t="s">
        <v>51</v>
      </c>
      <c r="T389" s="17">
        <v>2550</v>
      </c>
      <c r="U389" s="14" t="s">
        <v>51</v>
      </c>
      <c r="V389" s="16">
        <f t="shared" si="66"/>
        <v>244067</v>
      </c>
      <c r="W389" s="16">
        <f t="shared" si="67"/>
        <v>244074</v>
      </c>
      <c r="X389" s="16">
        <f t="shared" si="65"/>
        <v>244069</v>
      </c>
      <c r="Y389" s="15"/>
      <c r="Z389" s="177"/>
      <c r="AA389" s="170"/>
      <c r="AB389" s="170"/>
      <c r="AC389" s="170"/>
      <c r="AD389" s="170"/>
      <c r="AE389" s="15"/>
      <c r="AF389" s="177"/>
      <c r="AG389" s="177">
        <f t="shared" si="63"/>
        <v>0</v>
      </c>
      <c r="AH389" s="177">
        <f t="shared" si="64"/>
        <v>0</v>
      </c>
      <c r="AK389" s="176"/>
      <c r="AL389" s="176"/>
    </row>
    <row r="390" spans="1:38" ht="36" customHeight="1" x14ac:dyDescent="0.2">
      <c r="A390" s="14" t="s">
        <v>19</v>
      </c>
      <c r="B390" s="212">
        <v>244067</v>
      </c>
      <c r="C390" s="14" t="s">
        <v>547</v>
      </c>
      <c r="D390" s="14" t="s">
        <v>268</v>
      </c>
      <c r="E390" s="14" t="s">
        <v>14</v>
      </c>
      <c r="F390" s="14" t="s">
        <v>324</v>
      </c>
      <c r="G390" s="179">
        <v>680389</v>
      </c>
      <c r="H390" s="176" t="s">
        <v>1506</v>
      </c>
      <c r="I390" s="176" t="s">
        <v>550</v>
      </c>
      <c r="J390" s="176" t="s">
        <v>128</v>
      </c>
      <c r="K390" s="176" t="s">
        <v>1857</v>
      </c>
      <c r="L390" s="40" t="s">
        <v>46</v>
      </c>
      <c r="M390" s="40" t="s">
        <v>341</v>
      </c>
      <c r="N390" s="14" t="s">
        <v>1869</v>
      </c>
      <c r="O390" s="14" t="s">
        <v>1149</v>
      </c>
      <c r="P390" s="14" t="s">
        <v>1723</v>
      </c>
      <c r="Q390" s="14" t="s">
        <v>1155</v>
      </c>
      <c r="R390" s="17">
        <v>1700</v>
      </c>
      <c r="S390" s="172" t="s">
        <v>51</v>
      </c>
      <c r="T390" s="17">
        <v>1800</v>
      </c>
      <c r="U390" s="14" t="s">
        <v>51</v>
      </c>
      <c r="V390" s="16">
        <f t="shared" si="66"/>
        <v>244067</v>
      </c>
      <c r="W390" s="16">
        <f t="shared" si="67"/>
        <v>244074</v>
      </c>
      <c r="X390" s="16">
        <f t="shared" si="65"/>
        <v>244069</v>
      </c>
      <c r="Y390" s="15" t="s">
        <v>54</v>
      </c>
      <c r="Z390" s="177">
        <v>244081</v>
      </c>
      <c r="AA390" s="170"/>
      <c r="AB390" s="170"/>
      <c r="AC390" s="170"/>
      <c r="AD390" s="170"/>
      <c r="AE390" s="15" t="s">
        <v>54</v>
      </c>
      <c r="AF390" s="177">
        <v>244091</v>
      </c>
      <c r="AG390" s="177" t="str">
        <f t="shared" si="63"/>
        <v>Pass</v>
      </c>
      <c r="AH390" s="177">
        <f t="shared" si="64"/>
        <v>244091</v>
      </c>
      <c r="AK390" s="176"/>
      <c r="AL390" s="176"/>
    </row>
    <row r="391" spans="1:38" ht="36" customHeight="1" x14ac:dyDescent="0.2">
      <c r="A391" s="14" t="s">
        <v>19</v>
      </c>
      <c r="B391" s="212">
        <v>244068</v>
      </c>
      <c r="C391" s="14" t="s">
        <v>547</v>
      </c>
      <c r="D391" s="14" t="s">
        <v>268</v>
      </c>
      <c r="E391" s="14" t="s">
        <v>14</v>
      </c>
      <c r="F391" s="14" t="s">
        <v>324</v>
      </c>
      <c r="G391" s="179">
        <v>680390</v>
      </c>
      <c r="H391" s="176" t="s">
        <v>1281</v>
      </c>
      <c r="I391" s="176" t="s">
        <v>550</v>
      </c>
      <c r="J391" s="176" t="s">
        <v>128</v>
      </c>
      <c r="K391" s="176" t="s">
        <v>1875</v>
      </c>
      <c r="L391" s="40" t="s">
        <v>46</v>
      </c>
      <c r="M391" s="40" t="s">
        <v>341</v>
      </c>
      <c r="N391" s="14" t="s">
        <v>1880</v>
      </c>
      <c r="O391" s="14" t="s">
        <v>548</v>
      </c>
      <c r="P391" s="14" t="s">
        <v>518</v>
      </c>
      <c r="Q391" s="14" t="s">
        <v>549</v>
      </c>
      <c r="R391" s="17">
        <v>122</v>
      </c>
      <c r="S391" s="172" t="s">
        <v>51</v>
      </c>
      <c r="T391" s="17">
        <v>2480</v>
      </c>
      <c r="U391" s="14" t="s">
        <v>51</v>
      </c>
      <c r="V391" s="16">
        <f t="shared" si="66"/>
        <v>244068</v>
      </c>
      <c r="W391" s="16">
        <f t="shared" si="67"/>
        <v>244075</v>
      </c>
      <c r="X391" s="16">
        <f t="shared" si="65"/>
        <v>244070</v>
      </c>
      <c r="Y391" s="15"/>
      <c r="Z391" s="177"/>
      <c r="AA391" s="170"/>
      <c r="AB391" s="170"/>
      <c r="AC391" s="170"/>
      <c r="AD391" s="170"/>
      <c r="AE391" s="15"/>
      <c r="AF391" s="177"/>
      <c r="AG391" s="177">
        <f t="shared" si="63"/>
        <v>0</v>
      </c>
      <c r="AH391" s="177">
        <f t="shared" si="64"/>
        <v>0</v>
      </c>
      <c r="AK391" s="176"/>
      <c r="AL391" s="176"/>
    </row>
    <row r="392" spans="1:38" ht="36" customHeight="1" x14ac:dyDescent="0.2">
      <c r="A392" s="14" t="s">
        <v>19</v>
      </c>
      <c r="B392" s="212">
        <v>244068</v>
      </c>
      <c r="C392" s="14" t="s">
        <v>547</v>
      </c>
      <c r="D392" s="14" t="s">
        <v>268</v>
      </c>
      <c r="E392" s="14" t="s">
        <v>14</v>
      </c>
      <c r="F392" s="14" t="s">
        <v>324</v>
      </c>
      <c r="G392" s="179">
        <v>680391</v>
      </c>
      <c r="H392" s="176" t="s">
        <v>1871</v>
      </c>
      <c r="I392" s="176" t="s">
        <v>630</v>
      </c>
      <c r="J392" s="176" t="s">
        <v>520</v>
      </c>
      <c r="K392" s="176" t="s">
        <v>1876</v>
      </c>
      <c r="L392" s="40" t="s">
        <v>105</v>
      </c>
      <c r="M392" s="40" t="s">
        <v>341</v>
      </c>
      <c r="N392" s="14" t="s">
        <v>917</v>
      </c>
      <c r="O392" s="14" t="s">
        <v>548</v>
      </c>
      <c r="P392" s="14" t="s">
        <v>518</v>
      </c>
      <c r="Q392" s="14" t="s">
        <v>549</v>
      </c>
      <c r="R392" s="17">
        <v>300</v>
      </c>
      <c r="S392" s="172" t="s">
        <v>51</v>
      </c>
      <c r="T392" s="17">
        <v>2015</v>
      </c>
      <c r="U392" s="14" t="s">
        <v>51</v>
      </c>
      <c r="V392" s="16">
        <f t="shared" si="66"/>
        <v>244068</v>
      </c>
      <c r="W392" s="16">
        <f t="shared" si="67"/>
        <v>244075</v>
      </c>
      <c r="X392" s="16">
        <f t="shared" si="65"/>
        <v>244070</v>
      </c>
      <c r="Y392" s="15" t="s">
        <v>54</v>
      </c>
      <c r="Z392" s="177">
        <v>244071</v>
      </c>
      <c r="AA392" s="170"/>
      <c r="AB392" s="170"/>
      <c r="AC392" s="170"/>
      <c r="AD392" s="170"/>
      <c r="AE392" s="15" t="s">
        <v>54</v>
      </c>
      <c r="AF392" s="177">
        <v>244074</v>
      </c>
      <c r="AG392" s="177" t="str">
        <f t="shared" si="63"/>
        <v>Pass</v>
      </c>
      <c r="AH392" s="177">
        <f t="shared" si="64"/>
        <v>244074</v>
      </c>
      <c r="AK392" s="176"/>
      <c r="AL392" s="176"/>
    </row>
    <row r="393" spans="1:38" ht="36" customHeight="1" x14ac:dyDescent="0.2">
      <c r="A393" s="14" t="s">
        <v>19</v>
      </c>
      <c r="B393" s="212">
        <v>244068</v>
      </c>
      <c r="C393" s="14" t="s">
        <v>547</v>
      </c>
      <c r="D393" s="14" t="s">
        <v>268</v>
      </c>
      <c r="E393" s="14" t="s">
        <v>14</v>
      </c>
      <c r="F393" s="14" t="s">
        <v>324</v>
      </c>
      <c r="G393" s="179">
        <v>680392</v>
      </c>
      <c r="H393" s="176" t="s">
        <v>1631</v>
      </c>
      <c r="I393" s="176" t="s">
        <v>1633</v>
      </c>
      <c r="J393" s="176" t="s">
        <v>1634</v>
      </c>
      <c r="K393" s="176" t="s">
        <v>1635</v>
      </c>
      <c r="L393" s="40" t="s">
        <v>45</v>
      </c>
      <c r="M393" s="40" t="s">
        <v>341</v>
      </c>
      <c r="N393" s="14" t="s">
        <v>1086</v>
      </c>
      <c r="O393" s="14" t="s">
        <v>528</v>
      </c>
      <c r="P393" s="14" t="s">
        <v>517</v>
      </c>
      <c r="Q393" s="14" t="s">
        <v>541</v>
      </c>
      <c r="R393" s="17">
        <v>200</v>
      </c>
      <c r="S393" s="172" t="s">
        <v>51</v>
      </c>
      <c r="T393" s="17">
        <v>2075</v>
      </c>
      <c r="U393" s="14" t="s">
        <v>51</v>
      </c>
      <c r="V393" s="16">
        <f t="shared" si="66"/>
        <v>244068</v>
      </c>
      <c r="W393" s="16">
        <f t="shared" si="67"/>
        <v>244075</v>
      </c>
      <c r="X393" s="16">
        <f t="shared" si="65"/>
        <v>244070</v>
      </c>
      <c r="Y393" s="15"/>
      <c r="Z393" s="177"/>
      <c r="AA393" s="170"/>
      <c r="AB393" s="170"/>
      <c r="AC393" s="170"/>
      <c r="AD393" s="170"/>
      <c r="AE393" s="15"/>
      <c r="AF393" s="177"/>
      <c r="AG393" s="177">
        <f t="shared" si="63"/>
        <v>0</v>
      </c>
      <c r="AH393" s="177">
        <f t="shared" si="64"/>
        <v>0</v>
      </c>
      <c r="AK393" s="176"/>
      <c r="AL393" s="176"/>
    </row>
    <row r="394" spans="1:38" ht="36" customHeight="1" x14ac:dyDescent="0.2">
      <c r="A394" s="14" t="s">
        <v>19</v>
      </c>
      <c r="B394" s="212">
        <v>244068</v>
      </c>
      <c r="C394" s="14" t="s">
        <v>547</v>
      </c>
      <c r="D394" s="14" t="s">
        <v>268</v>
      </c>
      <c r="E394" s="14" t="s">
        <v>14</v>
      </c>
      <c r="F394" s="14" t="s">
        <v>324</v>
      </c>
      <c r="G394" s="179">
        <v>680393</v>
      </c>
      <c r="H394" s="176" t="s">
        <v>1872</v>
      </c>
      <c r="I394" s="176" t="s">
        <v>1874</v>
      </c>
      <c r="J394" s="176" t="s">
        <v>127</v>
      </c>
      <c r="K394" s="176" t="s">
        <v>1877</v>
      </c>
      <c r="L394" s="40" t="s">
        <v>108</v>
      </c>
      <c r="M394" s="40" t="s">
        <v>341</v>
      </c>
      <c r="N394" s="14" t="s">
        <v>1881</v>
      </c>
      <c r="O394" s="14" t="s">
        <v>552</v>
      </c>
      <c r="P394" s="14" t="s">
        <v>1884</v>
      </c>
      <c r="Q394" s="14" t="s">
        <v>553</v>
      </c>
      <c r="R394" s="17">
        <v>2400</v>
      </c>
      <c r="S394" s="172" t="s">
        <v>51</v>
      </c>
      <c r="T394" s="17">
        <v>3100</v>
      </c>
      <c r="U394" s="14" t="s">
        <v>51</v>
      </c>
      <c r="V394" s="16">
        <f t="shared" si="66"/>
        <v>244068</v>
      </c>
      <c r="W394" s="16">
        <f t="shared" si="67"/>
        <v>244075</v>
      </c>
      <c r="X394" s="16">
        <f t="shared" si="65"/>
        <v>244070</v>
      </c>
      <c r="Y394" s="15"/>
      <c r="Z394" s="177"/>
      <c r="AA394" s="170"/>
      <c r="AB394" s="170"/>
      <c r="AC394" s="170"/>
      <c r="AD394" s="170"/>
      <c r="AE394" s="15"/>
      <c r="AF394" s="177"/>
      <c r="AG394" s="177">
        <f t="shared" si="63"/>
        <v>0</v>
      </c>
      <c r="AH394" s="177">
        <f t="shared" si="64"/>
        <v>0</v>
      </c>
      <c r="AK394" s="176"/>
      <c r="AL394" s="176"/>
    </row>
    <row r="395" spans="1:38" ht="36" customHeight="1" x14ac:dyDescent="0.2">
      <c r="A395" s="14" t="s">
        <v>19</v>
      </c>
      <c r="B395" s="212">
        <v>244068</v>
      </c>
      <c r="C395" s="14" t="s">
        <v>547</v>
      </c>
      <c r="D395" s="14" t="s">
        <v>268</v>
      </c>
      <c r="E395" s="14" t="s">
        <v>14</v>
      </c>
      <c r="F395" s="14" t="s">
        <v>324</v>
      </c>
      <c r="G395" s="179">
        <v>680394</v>
      </c>
      <c r="H395" s="176" t="s">
        <v>1873</v>
      </c>
      <c r="I395" s="176" t="s">
        <v>630</v>
      </c>
      <c r="J395" s="176" t="s">
        <v>520</v>
      </c>
      <c r="K395" s="176" t="s">
        <v>1878</v>
      </c>
      <c r="L395" s="40" t="s">
        <v>105</v>
      </c>
      <c r="M395" s="40" t="s">
        <v>341</v>
      </c>
      <c r="N395" s="14" t="s">
        <v>1882</v>
      </c>
      <c r="O395" s="14" t="s">
        <v>548</v>
      </c>
      <c r="P395" s="14" t="s">
        <v>518</v>
      </c>
      <c r="Q395" s="14" t="s">
        <v>549</v>
      </c>
      <c r="R395" s="17">
        <v>129</v>
      </c>
      <c r="S395" s="172" t="s">
        <v>51</v>
      </c>
      <c r="T395" s="17">
        <v>1400</v>
      </c>
      <c r="U395" s="14" t="s">
        <v>51</v>
      </c>
      <c r="V395" s="16">
        <f t="shared" si="66"/>
        <v>244068</v>
      </c>
      <c r="W395" s="16">
        <f t="shared" si="67"/>
        <v>244075</v>
      </c>
      <c r="X395" s="16">
        <f t="shared" si="65"/>
        <v>244070</v>
      </c>
      <c r="Y395" s="15" t="s">
        <v>54</v>
      </c>
      <c r="Z395" s="177">
        <v>244071</v>
      </c>
      <c r="AA395" s="170"/>
      <c r="AB395" s="170"/>
      <c r="AC395" s="170"/>
      <c r="AD395" s="170"/>
      <c r="AE395" s="15" t="s">
        <v>54</v>
      </c>
      <c r="AF395" s="177">
        <v>244074</v>
      </c>
      <c r="AG395" s="177" t="str">
        <f t="shared" si="63"/>
        <v>Pass</v>
      </c>
      <c r="AH395" s="177">
        <f t="shared" si="64"/>
        <v>244074</v>
      </c>
      <c r="AK395" s="176"/>
      <c r="AL395" s="176"/>
    </row>
    <row r="396" spans="1:38" ht="36" customHeight="1" x14ac:dyDescent="0.2">
      <c r="A396" s="14" t="s">
        <v>19</v>
      </c>
      <c r="B396" s="212">
        <v>244068</v>
      </c>
      <c r="C396" s="14" t="s">
        <v>547</v>
      </c>
      <c r="D396" s="14" t="s">
        <v>268</v>
      </c>
      <c r="E396" s="14" t="s">
        <v>14</v>
      </c>
      <c r="F396" s="14" t="s">
        <v>324</v>
      </c>
      <c r="G396" s="179">
        <v>680395</v>
      </c>
      <c r="H396" s="176" t="s">
        <v>861</v>
      </c>
      <c r="I396" s="176" t="s">
        <v>551</v>
      </c>
      <c r="J396" s="176" t="s">
        <v>832</v>
      </c>
      <c r="K396" s="176" t="s">
        <v>1879</v>
      </c>
      <c r="L396" s="40" t="s">
        <v>108</v>
      </c>
      <c r="M396" s="40" t="s">
        <v>341</v>
      </c>
      <c r="N396" s="14" t="s">
        <v>1883</v>
      </c>
      <c r="O396" s="14" t="s">
        <v>648</v>
      </c>
      <c r="P396" s="14" t="s">
        <v>1885</v>
      </c>
      <c r="Q396" s="14" t="s">
        <v>656</v>
      </c>
      <c r="R396" s="17">
        <v>150</v>
      </c>
      <c r="S396" s="172" t="s">
        <v>51</v>
      </c>
      <c r="T396" s="17">
        <v>2920</v>
      </c>
      <c r="U396" s="14" t="s">
        <v>51</v>
      </c>
      <c r="V396" s="16">
        <f t="shared" si="66"/>
        <v>244068</v>
      </c>
      <c r="W396" s="16">
        <f t="shared" si="67"/>
        <v>244075</v>
      </c>
      <c r="X396" s="16">
        <f t="shared" si="65"/>
        <v>244070</v>
      </c>
      <c r="Y396" s="15"/>
      <c r="Z396" s="177"/>
      <c r="AA396" s="170"/>
      <c r="AB396" s="170"/>
      <c r="AC396" s="170"/>
      <c r="AD396" s="170"/>
      <c r="AE396" s="15"/>
      <c r="AF396" s="177"/>
      <c r="AG396" s="177">
        <f t="shared" si="63"/>
        <v>0</v>
      </c>
      <c r="AH396" s="177">
        <f t="shared" si="64"/>
        <v>0</v>
      </c>
      <c r="AK396" s="176"/>
      <c r="AL396" s="176"/>
    </row>
    <row r="397" spans="1:38" ht="36" customHeight="1" x14ac:dyDescent="0.2">
      <c r="A397" s="14" t="s">
        <v>19</v>
      </c>
      <c r="B397" s="212">
        <v>244068</v>
      </c>
      <c r="C397" s="14" t="s">
        <v>547</v>
      </c>
      <c r="D397" s="14" t="s">
        <v>268</v>
      </c>
      <c r="E397" s="14" t="s">
        <v>14</v>
      </c>
      <c r="F397" s="14" t="s">
        <v>324</v>
      </c>
      <c r="G397" s="179">
        <v>680396</v>
      </c>
      <c r="H397" s="176" t="s">
        <v>626</v>
      </c>
      <c r="I397" s="176" t="s">
        <v>630</v>
      </c>
      <c r="J397" s="176" t="s">
        <v>520</v>
      </c>
      <c r="K397" s="176" t="s">
        <v>1890</v>
      </c>
      <c r="L397" s="40" t="s">
        <v>105</v>
      </c>
      <c r="M397" s="40" t="s">
        <v>341</v>
      </c>
      <c r="N397" s="14" t="s">
        <v>1033</v>
      </c>
      <c r="O397" s="14" t="s">
        <v>552</v>
      </c>
      <c r="P397" s="14" t="s">
        <v>1205</v>
      </c>
      <c r="Q397" s="14" t="s">
        <v>553</v>
      </c>
      <c r="R397" s="17">
        <v>300</v>
      </c>
      <c r="S397" s="172" t="s">
        <v>51</v>
      </c>
      <c r="T397" s="17">
        <v>1885</v>
      </c>
      <c r="U397" s="14" t="s">
        <v>51</v>
      </c>
      <c r="V397" s="16">
        <f t="shared" si="66"/>
        <v>244068</v>
      </c>
      <c r="W397" s="16">
        <f t="shared" si="67"/>
        <v>244075</v>
      </c>
      <c r="X397" s="16">
        <f t="shared" si="65"/>
        <v>244070</v>
      </c>
      <c r="Y397" s="15"/>
      <c r="Z397" s="177"/>
      <c r="AA397" s="170"/>
      <c r="AB397" s="170"/>
      <c r="AC397" s="170"/>
      <c r="AD397" s="170"/>
      <c r="AE397" s="15"/>
      <c r="AF397" s="177"/>
      <c r="AG397" s="177">
        <f t="shared" si="63"/>
        <v>0</v>
      </c>
      <c r="AH397" s="177">
        <f t="shared" si="64"/>
        <v>0</v>
      </c>
      <c r="AK397" s="176"/>
      <c r="AL397" s="176"/>
    </row>
    <row r="398" spans="1:38" ht="36" customHeight="1" x14ac:dyDescent="0.2">
      <c r="A398" s="14" t="s">
        <v>19</v>
      </c>
      <c r="B398" s="212">
        <v>244068</v>
      </c>
      <c r="C398" s="14" t="s">
        <v>547</v>
      </c>
      <c r="D398" s="14" t="s">
        <v>268</v>
      </c>
      <c r="E398" s="14" t="s">
        <v>14</v>
      </c>
      <c r="F398" s="14" t="s">
        <v>324</v>
      </c>
      <c r="G398" s="179">
        <v>680397</v>
      </c>
      <c r="H398" s="176" t="s">
        <v>1886</v>
      </c>
      <c r="I398" s="176" t="s">
        <v>1888</v>
      </c>
      <c r="J398" s="176" t="s">
        <v>1889</v>
      </c>
      <c r="K398" s="176" t="s">
        <v>1891</v>
      </c>
      <c r="L398" s="40" t="s">
        <v>45</v>
      </c>
      <c r="M398" s="40" t="s">
        <v>341</v>
      </c>
      <c r="N398" s="14" t="s">
        <v>765</v>
      </c>
      <c r="O398" s="14" t="s">
        <v>548</v>
      </c>
      <c r="P398" s="14" t="s">
        <v>518</v>
      </c>
      <c r="Q398" s="14" t="s">
        <v>549</v>
      </c>
      <c r="R398" s="17">
        <v>200</v>
      </c>
      <c r="S398" s="172" t="s">
        <v>51</v>
      </c>
      <c r="T398" s="17">
        <v>1840</v>
      </c>
      <c r="U398" s="14" t="s">
        <v>51</v>
      </c>
      <c r="V398" s="16">
        <f t="shared" si="66"/>
        <v>244068</v>
      </c>
      <c r="W398" s="16">
        <f t="shared" si="67"/>
        <v>244075</v>
      </c>
      <c r="X398" s="16">
        <f t="shared" si="65"/>
        <v>244070</v>
      </c>
      <c r="Y398" s="15" t="s">
        <v>54</v>
      </c>
      <c r="Z398" s="177">
        <v>244319</v>
      </c>
      <c r="AA398" s="170"/>
      <c r="AB398" s="170"/>
      <c r="AC398" s="170"/>
      <c r="AD398" s="170"/>
      <c r="AE398" s="15" t="s">
        <v>54</v>
      </c>
      <c r="AF398" s="177">
        <v>244319</v>
      </c>
      <c r="AG398" s="177" t="str">
        <f t="shared" si="63"/>
        <v>Pass</v>
      </c>
      <c r="AH398" s="177">
        <f t="shared" si="64"/>
        <v>244319</v>
      </c>
      <c r="AK398" s="176"/>
      <c r="AL398" s="176"/>
    </row>
    <row r="399" spans="1:38" ht="36" customHeight="1" x14ac:dyDescent="0.2">
      <c r="A399" s="14" t="s">
        <v>19</v>
      </c>
      <c r="B399" s="212">
        <v>244068</v>
      </c>
      <c r="C399" s="14" t="s">
        <v>547</v>
      </c>
      <c r="D399" s="14" t="s">
        <v>268</v>
      </c>
      <c r="E399" s="14" t="s">
        <v>14</v>
      </c>
      <c r="F399" s="14" t="s">
        <v>324</v>
      </c>
      <c r="G399" s="179">
        <v>680398</v>
      </c>
      <c r="H399" s="176" t="s">
        <v>772</v>
      </c>
      <c r="I399" s="176" t="s">
        <v>774</v>
      </c>
      <c r="J399" s="176" t="s">
        <v>776</v>
      </c>
      <c r="K399" s="176" t="s">
        <v>1892</v>
      </c>
      <c r="L399" s="40" t="s">
        <v>105</v>
      </c>
      <c r="M399" s="40" t="s">
        <v>341</v>
      </c>
      <c r="N399" s="14" t="s">
        <v>836</v>
      </c>
      <c r="O399" s="14" t="s">
        <v>548</v>
      </c>
      <c r="P399" s="14" t="s">
        <v>518</v>
      </c>
      <c r="Q399" s="14" t="s">
        <v>549</v>
      </c>
      <c r="R399" s="17">
        <v>130</v>
      </c>
      <c r="S399" s="172" t="s">
        <v>51</v>
      </c>
      <c r="T399" s="17">
        <v>1460</v>
      </c>
      <c r="U399" s="14" t="s">
        <v>51</v>
      </c>
      <c r="V399" s="16">
        <f t="shared" si="66"/>
        <v>244068</v>
      </c>
      <c r="W399" s="16">
        <f t="shared" si="67"/>
        <v>244075</v>
      </c>
      <c r="X399" s="16">
        <f t="shared" si="65"/>
        <v>244070</v>
      </c>
      <c r="Y399" s="15"/>
      <c r="Z399" s="177"/>
      <c r="AA399" s="170"/>
      <c r="AB399" s="170"/>
      <c r="AC399" s="170"/>
      <c r="AD399" s="170"/>
      <c r="AE399" s="15"/>
      <c r="AF399" s="177"/>
      <c r="AG399" s="177">
        <f t="shared" si="63"/>
        <v>0</v>
      </c>
      <c r="AH399" s="177">
        <f t="shared" si="64"/>
        <v>0</v>
      </c>
      <c r="AK399" s="176"/>
      <c r="AL399" s="176"/>
    </row>
    <row r="400" spans="1:38" ht="36" customHeight="1" x14ac:dyDescent="0.2">
      <c r="A400" s="14" t="s">
        <v>19</v>
      </c>
      <c r="B400" s="212">
        <v>244068</v>
      </c>
      <c r="C400" s="14" t="s">
        <v>547</v>
      </c>
      <c r="D400" s="14" t="s">
        <v>268</v>
      </c>
      <c r="E400" s="14" t="s">
        <v>14</v>
      </c>
      <c r="F400" s="14" t="s">
        <v>324</v>
      </c>
      <c r="G400" s="179">
        <v>680399</v>
      </c>
      <c r="H400" s="176" t="s">
        <v>1887</v>
      </c>
      <c r="I400" s="176" t="s">
        <v>551</v>
      </c>
      <c r="J400" s="176" t="s">
        <v>596</v>
      </c>
      <c r="K400" s="176" t="s">
        <v>1893</v>
      </c>
      <c r="L400" s="40" t="s">
        <v>108</v>
      </c>
      <c r="M400" s="40" t="s">
        <v>341</v>
      </c>
      <c r="N400" s="14" t="s">
        <v>1894</v>
      </c>
      <c r="O400" s="14" t="s">
        <v>557</v>
      </c>
      <c r="P400" s="14" t="s">
        <v>1526</v>
      </c>
      <c r="Q400" s="14" t="s">
        <v>558</v>
      </c>
      <c r="R400" s="17">
        <v>800</v>
      </c>
      <c r="S400" s="172" t="s">
        <v>51</v>
      </c>
      <c r="T400" s="17">
        <v>2370</v>
      </c>
      <c r="U400" s="14" t="s">
        <v>51</v>
      </c>
      <c r="V400" s="16">
        <f t="shared" si="66"/>
        <v>244068</v>
      </c>
      <c r="W400" s="16">
        <f t="shared" si="67"/>
        <v>244075</v>
      </c>
      <c r="X400" s="16">
        <f t="shared" si="65"/>
        <v>244070</v>
      </c>
      <c r="Y400" s="15"/>
      <c r="Z400" s="177"/>
      <c r="AA400" s="170"/>
      <c r="AB400" s="170"/>
      <c r="AC400" s="170"/>
      <c r="AD400" s="170"/>
      <c r="AE400" s="15"/>
      <c r="AF400" s="177"/>
      <c r="AG400" s="177">
        <f t="shared" si="63"/>
        <v>0</v>
      </c>
      <c r="AH400" s="177">
        <f t="shared" si="64"/>
        <v>0</v>
      </c>
      <c r="AK400" s="176"/>
      <c r="AL400" s="176"/>
    </row>
    <row r="401" spans="1:38" ht="36" customHeight="1" x14ac:dyDescent="0.2">
      <c r="A401" s="14" t="s">
        <v>19</v>
      </c>
      <c r="B401" s="212">
        <v>244068</v>
      </c>
      <c r="C401" s="14" t="s">
        <v>547</v>
      </c>
      <c r="D401" s="14" t="s">
        <v>268</v>
      </c>
      <c r="E401" s="14" t="s">
        <v>14</v>
      </c>
      <c r="F401" s="14" t="s">
        <v>324</v>
      </c>
      <c r="G401" s="179">
        <v>680400</v>
      </c>
      <c r="H401" s="176" t="s">
        <v>772</v>
      </c>
      <c r="I401" s="176" t="s">
        <v>774</v>
      </c>
      <c r="J401" s="176" t="s">
        <v>776</v>
      </c>
      <c r="K401" s="176" t="s">
        <v>1892</v>
      </c>
      <c r="L401" s="40" t="s">
        <v>105</v>
      </c>
      <c r="M401" s="40" t="s">
        <v>341</v>
      </c>
      <c r="N401" s="14" t="s">
        <v>1895</v>
      </c>
      <c r="O401" s="14" t="s">
        <v>953</v>
      </c>
      <c r="P401" s="14" t="s">
        <v>1896</v>
      </c>
      <c r="Q401" s="14" t="s">
        <v>956</v>
      </c>
      <c r="R401" s="17">
        <v>1250</v>
      </c>
      <c r="S401" s="172" t="s">
        <v>51</v>
      </c>
      <c r="T401" s="17">
        <v>1740</v>
      </c>
      <c r="U401" s="14" t="s">
        <v>51</v>
      </c>
      <c r="V401" s="16">
        <f t="shared" si="66"/>
        <v>244068</v>
      </c>
      <c r="W401" s="16">
        <f t="shared" si="67"/>
        <v>244075</v>
      </c>
      <c r="X401" s="16">
        <f t="shared" si="65"/>
        <v>244070</v>
      </c>
      <c r="Y401" s="15"/>
      <c r="Z401" s="177"/>
      <c r="AA401" s="170"/>
      <c r="AB401" s="170"/>
      <c r="AC401" s="170"/>
      <c r="AD401" s="170"/>
      <c r="AE401" s="15"/>
      <c r="AF401" s="177"/>
      <c r="AG401" s="177">
        <f t="shared" si="63"/>
        <v>0</v>
      </c>
      <c r="AH401" s="177">
        <f t="shared" si="64"/>
        <v>0</v>
      </c>
      <c r="AK401" s="176"/>
      <c r="AL401" s="176"/>
    </row>
    <row r="402" spans="1:38" ht="36" customHeight="1" x14ac:dyDescent="0.2">
      <c r="A402" s="14" t="s">
        <v>19</v>
      </c>
      <c r="B402" s="212">
        <v>244068</v>
      </c>
      <c r="C402" s="14" t="s">
        <v>547</v>
      </c>
      <c r="D402" s="14" t="s">
        <v>268</v>
      </c>
      <c r="E402" s="14" t="s">
        <v>14</v>
      </c>
      <c r="F402" s="14" t="s">
        <v>324</v>
      </c>
      <c r="G402" s="179">
        <v>680401</v>
      </c>
      <c r="H402" s="176" t="s">
        <v>772</v>
      </c>
      <c r="I402" s="176" t="s">
        <v>774</v>
      </c>
      <c r="J402" s="176" t="s">
        <v>776</v>
      </c>
      <c r="K402" s="176" t="s">
        <v>1892</v>
      </c>
      <c r="L402" s="40" t="s">
        <v>105</v>
      </c>
      <c r="M402" s="40" t="s">
        <v>341</v>
      </c>
      <c r="N402" s="14" t="s">
        <v>1424</v>
      </c>
      <c r="O402" s="14" t="s">
        <v>548</v>
      </c>
      <c r="P402" s="14" t="s">
        <v>518</v>
      </c>
      <c r="Q402" s="14" t="s">
        <v>549</v>
      </c>
      <c r="R402" s="17">
        <v>159</v>
      </c>
      <c r="S402" s="172" t="s">
        <v>51</v>
      </c>
      <c r="T402" s="17">
        <v>1740</v>
      </c>
      <c r="U402" s="14" t="s">
        <v>51</v>
      </c>
      <c r="V402" s="16">
        <f t="shared" ref="V402:V465" si="68">B402</f>
        <v>244068</v>
      </c>
      <c r="W402" s="16">
        <f t="shared" ref="W402:W465" si="69">B402+7</f>
        <v>244075</v>
      </c>
      <c r="X402" s="16">
        <f t="shared" ref="X402:X465" si="70">V402+2</f>
        <v>244070</v>
      </c>
      <c r="Y402" s="15"/>
      <c r="Z402" s="177"/>
      <c r="AA402" s="170"/>
      <c r="AB402" s="170"/>
      <c r="AC402" s="170"/>
      <c r="AD402" s="170"/>
      <c r="AE402" s="15"/>
      <c r="AF402" s="177"/>
      <c r="AG402" s="177">
        <f t="shared" si="63"/>
        <v>0</v>
      </c>
      <c r="AH402" s="177">
        <f t="shared" si="64"/>
        <v>0</v>
      </c>
      <c r="AK402" s="176"/>
      <c r="AL402" s="176"/>
    </row>
    <row r="403" spans="1:38" ht="36" customHeight="1" x14ac:dyDescent="0.2">
      <c r="A403" s="14" t="s">
        <v>19</v>
      </c>
      <c r="B403" s="212">
        <v>244069</v>
      </c>
      <c r="C403" s="14" t="s">
        <v>547</v>
      </c>
      <c r="D403" s="14" t="s">
        <v>268</v>
      </c>
      <c r="E403" s="14" t="s">
        <v>14</v>
      </c>
      <c r="F403" s="14" t="s">
        <v>324</v>
      </c>
      <c r="G403" s="179">
        <v>680402</v>
      </c>
      <c r="H403" s="176" t="s">
        <v>1887</v>
      </c>
      <c r="I403" s="176" t="s">
        <v>551</v>
      </c>
      <c r="J403" s="176" t="s">
        <v>596</v>
      </c>
      <c r="K403" s="176" t="s">
        <v>1893</v>
      </c>
      <c r="L403" s="40" t="s">
        <v>108</v>
      </c>
      <c r="M403" s="40" t="s">
        <v>341</v>
      </c>
      <c r="N403" s="14" t="s">
        <v>1901</v>
      </c>
      <c r="O403" s="14" t="s">
        <v>1149</v>
      </c>
      <c r="P403" s="14" t="s">
        <v>1911</v>
      </c>
      <c r="Q403" s="14" t="s">
        <v>1155</v>
      </c>
      <c r="R403" s="17">
        <v>600</v>
      </c>
      <c r="S403" s="172" t="s">
        <v>51</v>
      </c>
      <c r="T403" s="17">
        <v>2370</v>
      </c>
      <c r="U403" s="14" t="s">
        <v>51</v>
      </c>
      <c r="V403" s="16">
        <f t="shared" si="68"/>
        <v>244069</v>
      </c>
      <c r="W403" s="16">
        <f t="shared" si="69"/>
        <v>244076</v>
      </c>
      <c r="X403" s="16">
        <f t="shared" si="70"/>
        <v>244071</v>
      </c>
      <c r="Y403" s="15"/>
      <c r="Z403" s="177"/>
      <c r="AA403" s="170"/>
      <c r="AB403" s="170"/>
      <c r="AC403" s="170"/>
      <c r="AD403" s="170"/>
      <c r="AE403" s="15"/>
      <c r="AF403" s="177"/>
      <c r="AG403" s="177">
        <f t="shared" si="63"/>
        <v>0</v>
      </c>
      <c r="AH403" s="177">
        <f t="shared" si="64"/>
        <v>0</v>
      </c>
      <c r="AK403" s="176"/>
      <c r="AL403" s="176"/>
    </row>
    <row r="404" spans="1:38" ht="36" customHeight="1" x14ac:dyDescent="0.2">
      <c r="A404" s="14" t="s">
        <v>19</v>
      </c>
      <c r="B404" s="212">
        <v>244069</v>
      </c>
      <c r="C404" s="14" t="s">
        <v>547</v>
      </c>
      <c r="D404" s="14" t="s">
        <v>268</v>
      </c>
      <c r="E404" s="14" t="s">
        <v>14</v>
      </c>
      <c r="F404" s="14" t="s">
        <v>324</v>
      </c>
      <c r="G404" s="179">
        <v>680403</v>
      </c>
      <c r="H404" s="176" t="s">
        <v>1897</v>
      </c>
      <c r="I404" s="176" t="s">
        <v>1408</v>
      </c>
      <c r="J404" s="176" t="s">
        <v>127</v>
      </c>
      <c r="K404" s="176" t="s">
        <v>1899</v>
      </c>
      <c r="L404" s="40" t="s">
        <v>108</v>
      </c>
      <c r="M404" s="40" t="s">
        <v>341</v>
      </c>
      <c r="N404" s="14" t="s">
        <v>1902</v>
      </c>
      <c r="O404" s="14" t="s">
        <v>1909</v>
      </c>
      <c r="P404" s="14" t="s">
        <v>1912</v>
      </c>
      <c r="Q404" s="14" t="s">
        <v>1913</v>
      </c>
      <c r="R404" s="17">
        <v>300</v>
      </c>
      <c r="S404" s="172" t="s">
        <v>51</v>
      </c>
      <c r="T404" s="17">
        <v>2350</v>
      </c>
      <c r="U404" s="14" t="s">
        <v>51</v>
      </c>
      <c r="V404" s="16">
        <f t="shared" si="68"/>
        <v>244069</v>
      </c>
      <c r="W404" s="16">
        <f t="shared" si="69"/>
        <v>244076</v>
      </c>
      <c r="X404" s="16">
        <f t="shared" si="70"/>
        <v>244071</v>
      </c>
      <c r="Y404" s="15"/>
      <c r="Z404" s="177"/>
      <c r="AA404" s="170"/>
      <c r="AB404" s="170"/>
      <c r="AC404" s="170"/>
      <c r="AD404" s="170"/>
      <c r="AE404" s="15"/>
      <c r="AF404" s="177"/>
      <c r="AG404" s="177">
        <f t="shared" si="63"/>
        <v>0</v>
      </c>
      <c r="AH404" s="177">
        <f t="shared" si="64"/>
        <v>0</v>
      </c>
      <c r="AK404" s="176"/>
      <c r="AL404" s="176"/>
    </row>
    <row r="405" spans="1:38" ht="36" customHeight="1" x14ac:dyDescent="0.2">
      <c r="A405" s="14" t="s">
        <v>19</v>
      </c>
      <c r="B405" s="212">
        <v>244069</v>
      </c>
      <c r="C405" s="14" t="s">
        <v>547</v>
      </c>
      <c r="D405" s="14" t="s">
        <v>268</v>
      </c>
      <c r="E405" s="14" t="s">
        <v>14</v>
      </c>
      <c r="F405" s="14" t="s">
        <v>324</v>
      </c>
      <c r="G405" s="179">
        <v>680404</v>
      </c>
      <c r="H405" s="176" t="s">
        <v>1898</v>
      </c>
      <c r="I405" s="176" t="s">
        <v>550</v>
      </c>
      <c r="J405" s="176" t="s">
        <v>128</v>
      </c>
      <c r="K405" s="176" t="s">
        <v>1900</v>
      </c>
      <c r="L405" s="40" t="s">
        <v>46</v>
      </c>
      <c r="M405" s="40" t="s">
        <v>341</v>
      </c>
      <c r="N405" s="14" t="s">
        <v>1903</v>
      </c>
      <c r="O405" s="14" t="s">
        <v>528</v>
      </c>
      <c r="P405" s="14" t="s">
        <v>684</v>
      </c>
      <c r="Q405" s="14" t="s">
        <v>541</v>
      </c>
      <c r="R405" s="17">
        <v>350</v>
      </c>
      <c r="S405" s="172" t="s">
        <v>51</v>
      </c>
      <c r="T405" s="17">
        <v>2517</v>
      </c>
      <c r="U405" s="14" t="s">
        <v>51</v>
      </c>
      <c r="V405" s="16">
        <f t="shared" si="68"/>
        <v>244069</v>
      </c>
      <c r="W405" s="16">
        <f t="shared" si="69"/>
        <v>244076</v>
      </c>
      <c r="X405" s="16">
        <f t="shared" si="70"/>
        <v>244071</v>
      </c>
      <c r="Y405" s="15" t="s">
        <v>54</v>
      </c>
      <c r="Z405" s="177">
        <v>244077</v>
      </c>
      <c r="AA405" s="170"/>
      <c r="AB405" s="170"/>
      <c r="AC405" s="170"/>
      <c r="AD405" s="170"/>
      <c r="AE405" s="15" t="s">
        <v>54</v>
      </c>
      <c r="AF405" s="177">
        <v>244081</v>
      </c>
      <c r="AG405" s="177" t="str">
        <f t="shared" si="63"/>
        <v>Pass</v>
      </c>
      <c r="AH405" s="177">
        <f t="shared" si="64"/>
        <v>244081</v>
      </c>
      <c r="AK405" s="176"/>
      <c r="AL405" s="176"/>
    </row>
    <row r="406" spans="1:38" ht="36" customHeight="1" x14ac:dyDescent="0.2">
      <c r="A406" s="14" t="s">
        <v>19</v>
      </c>
      <c r="B406" s="212">
        <v>244069</v>
      </c>
      <c r="C406" s="14" t="s">
        <v>547</v>
      </c>
      <c r="D406" s="14" t="s">
        <v>268</v>
      </c>
      <c r="E406" s="14" t="s">
        <v>14</v>
      </c>
      <c r="F406" s="14" t="s">
        <v>324</v>
      </c>
      <c r="G406" s="179">
        <v>680405</v>
      </c>
      <c r="H406" s="176" t="s">
        <v>1898</v>
      </c>
      <c r="I406" s="176" t="s">
        <v>550</v>
      </c>
      <c r="J406" s="176" t="s">
        <v>128</v>
      </c>
      <c r="K406" s="176" t="s">
        <v>1900</v>
      </c>
      <c r="L406" s="40" t="s">
        <v>46</v>
      </c>
      <c r="M406" s="40" t="s">
        <v>341</v>
      </c>
      <c r="N406" s="14" t="s">
        <v>1904</v>
      </c>
      <c r="O406" s="14" t="s">
        <v>1149</v>
      </c>
      <c r="P406" s="14" t="s">
        <v>1723</v>
      </c>
      <c r="Q406" s="14" t="s">
        <v>1155</v>
      </c>
      <c r="R406" s="17">
        <v>1200</v>
      </c>
      <c r="S406" s="172" t="s">
        <v>51</v>
      </c>
      <c r="T406" s="17">
        <v>2491</v>
      </c>
      <c r="U406" s="14" t="s">
        <v>51</v>
      </c>
      <c r="V406" s="16">
        <f t="shared" si="68"/>
        <v>244069</v>
      </c>
      <c r="W406" s="16">
        <f t="shared" si="69"/>
        <v>244076</v>
      </c>
      <c r="X406" s="16">
        <f t="shared" si="70"/>
        <v>244071</v>
      </c>
      <c r="Y406" s="15" t="s">
        <v>54</v>
      </c>
      <c r="Z406" s="177">
        <v>244077</v>
      </c>
      <c r="AA406" s="170"/>
      <c r="AB406" s="170"/>
      <c r="AC406" s="170"/>
      <c r="AD406" s="170"/>
      <c r="AE406" s="15" t="s">
        <v>54</v>
      </c>
      <c r="AF406" s="177">
        <v>244081</v>
      </c>
      <c r="AG406" s="177" t="str">
        <f t="shared" si="63"/>
        <v>Pass</v>
      </c>
      <c r="AH406" s="177">
        <f t="shared" si="64"/>
        <v>244081</v>
      </c>
      <c r="AK406" s="176"/>
      <c r="AL406" s="176"/>
    </row>
    <row r="407" spans="1:38" ht="36" customHeight="1" x14ac:dyDescent="0.2">
      <c r="A407" s="14" t="s">
        <v>19</v>
      </c>
      <c r="B407" s="212">
        <v>244069</v>
      </c>
      <c r="C407" s="14" t="s">
        <v>547</v>
      </c>
      <c r="D407" s="14" t="s">
        <v>268</v>
      </c>
      <c r="E407" s="14" t="s">
        <v>14</v>
      </c>
      <c r="F407" s="14" t="s">
        <v>324</v>
      </c>
      <c r="G407" s="179">
        <v>680406</v>
      </c>
      <c r="H407" s="176" t="s">
        <v>1631</v>
      </c>
      <c r="I407" s="176" t="s">
        <v>1633</v>
      </c>
      <c r="J407" s="176" t="s">
        <v>1634</v>
      </c>
      <c r="K407" s="176" t="s">
        <v>1635</v>
      </c>
      <c r="L407" s="40" t="s">
        <v>45</v>
      </c>
      <c r="M407" s="40" t="s">
        <v>341</v>
      </c>
      <c r="N407" s="14" t="s">
        <v>1905</v>
      </c>
      <c r="O407" s="14" t="s">
        <v>548</v>
      </c>
      <c r="P407" s="14" t="s">
        <v>717</v>
      </c>
      <c r="Q407" s="14" t="s">
        <v>549</v>
      </c>
      <c r="R407" s="17">
        <v>165</v>
      </c>
      <c r="S407" s="172" t="s">
        <v>51</v>
      </c>
      <c r="T407" s="17">
        <v>2180</v>
      </c>
      <c r="U407" s="14" t="s">
        <v>51</v>
      </c>
      <c r="V407" s="16">
        <f t="shared" si="68"/>
        <v>244069</v>
      </c>
      <c r="W407" s="16">
        <f t="shared" si="69"/>
        <v>244076</v>
      </c>
      <c r="X407" s="16">
        <f t="shared" si="70"/>
        <v>244071</v>
      </c>
      <c r="Y407" s="15"/>
      <c r="Z407" s="177"/>
      <c r="AA407" s="170"/>
      <c r="AB407" s="170"/>
      <c r="AC407" s="170"/>
      <c r="AD407" s="170"/>
      <c r="AE407" s="15"/>
      <c r="AF407" s="177"/>
      <c r="AG407" s="177">
        <f t="shared" si="63"/>
        <v>0</v>
      </c>
      <c r="AH407" s="177">
        <f t="shared" si="64"/>
        <v>0</v>
      </c>
      <c r="AK407" s="176"/>
      <c r="AL407" s="176"/>
    </row>
    <row r="408" spans="1:38" ht="36" customHeight="1" x14ac:dyDescent="0.2">
      <c r="A408" s="14" t="s">
        <v>19</v>
      </c>
      <c r="B408" s="212">
        <v>244069</v>
      </c>
      <c r="C408" s="14" t="s">
        <v>547</v>
      </c>
      <c r="D408" s="14" t="s">
        <v>268</v>
      </c>
      <c r="E408" s="14" t="s">
        <v>14</v>
      </c>
      <c r="F408" s="14" t="s">
        <v>324</v>
      </c>
      <c r="G408" s="179">
        <v>680407</v>
      </c>
      <c r="H408" s="176" t="s">
        <v>772</v>
      </c>
      <c r="I408" s="176" t="s">
        <v>774</v>
      </c>
      <c r="J408" s="176" t="s">
        <v>776</v>
      </c>
      <c r="K408" s="176" t="s">
        <v>1892</v>
      </c>
      <c r="L408" s="40" t="s">
        <v>105</v>
      </c>
      <c r="M408" s="40" t="s">
        <v>341</v>
      </c>
      <c r="N408" s="14" t="s">
        <v>1906</v>
      </c>
      <c r="O408" s="14" t="s">
        <v>1910</v>
      </c>
      <c r="P408" s="14" t="s">
        <v>517</v>
      </c>
      <c r="Q408" s="14" t="s">
        <v>1914</v>
      </c>
      <c r="R408" s="17">
        <v>625</v>
      </c>
      <c r="S408" s="172" t="s">
        <v>51</v>
      </c>
      <c r="T408" s="17">
        <v>1730</v>
      </c>
      <c r="U408" s="14" t="s">
        <v>51</v>
      </c>
      <c r="V408" s="16">
        <f t="shared" si="68"/>
        <v>244069</v>
      </c>
      <c r="W408" s="16">
        <f t="shared" si="69"/>
        <v>244076</v>
      </c>
      <c r="X408" s="16">
        <f t="shared" si="70"/>
        <v>244071</v>
      </c>
      <c r="Y408" s="15"/>
      <c r="Z408" s="177"/>
      <c r="AA408" s="170"/>
      <c r="AB408" s="170"/>
      <c r="AC408" s="170"/>
      <c r="AD408" s="170"/>
      <c r="AE408" s="15"/>
      <c r="AF408" s="177"/>
      <c r="AG408" s="177">
        <f t="shared" si="63"/>
        <v>0</v>
      </c>
      <c r="AH408" s="177">
        <f t="shared" si="64"/>
        <v>0</v>
      </c>
      <c r="AK408" s="176"/>
      <c r="AL408" s="176"/>
    </row>
    <row r="409" spans="1:38" ht="36" customHeight="1" x14ac:dyDescent="0.2">
      <c r="A409" s="14" t="s">
        <v>19</v>
      </c>
      <c r="B409" s="212">
        <v>244069</v>
      </c>
      <c r="C409" s="14" t="s">
        <v>547</v>
      </c>
      <c r="D409" s="14" t="s">
        <v>268</v>
      </c>
      <c r="E409" s="14" t="s">
        <v>14</v>
      </c>
      <c r="F409" s="14" t="s">
        <v>324</v>
      </c>
      <c r="G409" s="179">
        <v>680408</v>
      </c>
      <c r="H409" s="176" t="s">
        <v>772</v>
      </c>
      <c r="I409" s="176" t="s">
        <v>774</v>
      </c>
      <c r="J409" s="176" t="s">
        <v>776</v>
      </c>
      <c r="K409" s="176" t="s">
        <v>1892</v>
      </c>
      <c r="L409" s="40" t="s">
        <v>105</v>
      </c>
      <c r="M409" s="40" t="s">
        <v>341</v>
      </c>
      <c r="N409" s="14" t="s">
        <v>1907</v>
      </c>
      <c r="O409" s="14" t="s">
        <v>552</v>
      </c>
      <c r="P409" s="14" t="s">
        <v>793</v>
      </c>
      <c r="Q409" s="14" t="s">
        <v>553</v>
      </c>
      <c r="R409" s="17">
        <v>201</v>
      </c>
      <c r="S409" s="172" t="s">
        <v>51</v>
      </c>
      <c r="T409" s="17">
        <v>1720</v>
      </c>
      <c r="U409" s="14" t="s">
        <v>51</v>
      </c>
      <c r="V409" s="16">
        <f t="shared" si="68"/>
        <v>244069</v>
      </c>
      <c r="W409" s="16">
        <f t="shared" si="69"/>
        <v>244076</v>
      </c>
      <c r="X409" s="16">
        <f t="shared" si="70"/>
        <v>244071</v>
      </c>
      <c r="Y409" s="15"/>
      <c r="Z409" s="177"/>
      <c r="AA409" s="170"/>
      <c r="AB409" s="170"/>
      <c r="AC409" s="170"/>
      <c r="AD409" s="170"/>
      <c r="AE409" s="15"/>
      <c r="AF409" s="177"/>
      <c r="AG409" s="177">
        <f t="shared" si="63"/>
        <v>0</v>
      </c>
      <c r="AH409" s="177">
        <f t="shared" si="64"/>
        <v>0</v>
      </c>
      <c r="AK409" s="176"/>
      <c r="AL409" s="176"/>
    </row>
    <row r="410" spans="1:38" ht="36" customHeight="1" x14ac:dyDescent="0.2">
      <c r="A410" s="14" t="s">
        <v>19</v>
      </c>
      <c r="B410" s="212">
        <v>244069</v>
      </c>
      <c r="C410" s="14" t="s">
        <v>547</v>
      </c>
      <c r="D410" s="14" t="s">
        <v>268</v>
      </c>
      <c r="E410" s="14" t="s">
        <v>14</v>
      </c>
      <c r="F410" s="14" t="s">
        <v>324</v>
      </c>
      <c r="G410" s="179">
        <v>680409</v>
      </c>
      <c r="H410" s="176" t="s">
        <v>772</v>
      </c>
      <c r="I410" s="176" t="s">
        <v>774</v>
      </c>
      <c r="J410" s="176" t="s">
        <v>776</v>
      </c>
      <c r="K410" s="176" t="s">
        <v>1892</v>
      </c>
      <c r="L410" s="40" t="s">
        <v>105</v>
      </c>
      <c r="M410" s="40" t="s">
        <v>341</v>
      </c>
      <c r="N410" s="14" t="s">
        <v>1908</v>
      </c>
      <c r="O410" s="14" t="s">
        <v>548</v>
      </c>
      <c r="P410" s="14" t="s">
        <v>717</v>
      </c>
      <c r="Q410" s="14" t="s">
        <v>549</v>
      </c>
      <c r="R410" s="17">
        <v>310</v>
      </c>
      <c r="S410" s="172" t="s">
        <v>51</v>
      </c>
      <c r="T410" s="17">
        <v>1750</v>
      </c>
      <c r="U410" s="14" t="s">
        <v>51</v>
      </c>
      <c r="V410" s="16">
        <f t="shared" si="68"/>
        <v>244069</v>
      </c>
      <c r="W410" s="16">
        <f t="shared" si="69"/>
        <v>244076</v>
      </c>
      <c r="X410" s="16">
        <f t="shared" si="70"/>
        <v>244071</v>
      </c>
      <c r="Y410" s="15"/>
      <c r="Z410" s="177"/>
      <c r="AA410" s="170"/>
      <c r="AB410" s="170"/>
      <c r="AC410" s="170"/>
      <c r="AD410" s="170"/>
      <c r="AE410" s="15"/>
      <c r="AF410" s="177"/>
      <c r="AG410" s="177">
        <f t="shared" ref="AG410:AG473" si="71">AE410</f>
        <v>0</v>
      </c>
      <c r="AH410" s="177">
        <f t="shared" ref="AH410:AH473" si="72">AF410</f>
        <v>0</v>
      </c>
      <c r="AK410" s="176"/>
      <c r="AL410" s="176"/>
    </row>
    <row r="411" spans="1:38" ht="36" customHeight="1" x14ac:dyDescent="0.2">
      <c r="A411" s="14" t="s">
        <v>19</v>
      </c>
      <c r="B411" s="212">
        <v>244071</v>
      </c>
      <c r="C411" s="14" t="s">
        <v>547</v>
      </c>
      <c r="D411" s="14" t="s">
        <v>268</v>
      </c>
      <c r="E411" s="14" t="s">
        <v>14</v>
      </c>
      <c r="F411" s="14" t="s">
        <v>324</v>
      </c>
      <c r="G411" s="179">
        <v>680410</v>
      </c>
      <c r="H411" s="176" t="s">
        <v>1915</v>
      </c>
      <c r="I411" s="176" t="s">
        <v>550</v>
      </c>
      <c r="J411" s="176" t="s">
        <v>128</v>
      </c>
      <c r="K411" s="176" t="s">
        <v>1916</v>
      </c>
      <c r="L411" s="40" t="s">
        <v>46</v>
      </c>
      <c r="M411" s="40" t="s">
        <v>341</v>
      </c>
      <c r="N411" s="14" t="s">
        <v>733</v>
      </c>
      <c r="O411" s="14" t="s">
        <v>528</v>
      </c>
      <c r="P411" s="14" t="s">
        <v>517</v>
      </c>
      <c r="Q411" s="14" t="s">
        <v>541</v>
      </c>
      <c r="R411" s="17">
        <v>300</v>
      </c>
      <c r="S411" s="172" t="s">
        <v>51</v>
      </c>
      <c r="T411" s="17">
        <v>2235</v>
      </c>
      <c r="U411" s="14" t="s">
        <v>51</v>
      </c>
      <c r="V411" s="16">
        <f t="shared" si="68"/>
        <v>244071</v>
      </c>
      <c r="W411" s="16">
        <f t="shared" si="69"/>
        <v>244078</v>
      </c>
      <c r="X411" s="16">
        <f t="shared" si="70"/>
        <v>244073</v>
      </c>
      <c r="Y411" s="15" t="s">
        <v>54</v>
      </c>
      <c r="Z411" s="177">
        <v>244077</v>
      </c>
      <c r="AA411" s="170"/>
      <c r="AB411" s="170"/>
      <c r="AC411" s="170"/>
      <c r="AD411" s="170"/>
      <c r="AE411" s="15" t="s">
        <v>54</v>
      </c>
      <c r="AF411" s="177">
        <v>244081</v>
      </c>
      <c r="AG411" s="177" t="str">
        <f t="shared" si="71"/>
        <v>Pass</v>
      </c>
      <c r="AH411" s="177">
        <f t="shared" si="72"/>
        <v>244081</v>
      </c>
      <c r="AK411" s="176"/>
      <c r="AL411" s="176"/>
    </row>
    <row r="412" spans="1:38" ht="36" customHeight="1" x14ac:dyDescent="0.2">
      <c r="A412" s="14" t="s">
        <v>19</v>
      </c>
      <c r="B412" s="212">
        <v>244071</v>
      </c>
      <c r="C412" s="14" t="s">
        <v>547</v>
      </c>
      <c r="D412" s="14" t="s">
        <v>268</v>
      </c>
      <c r="E412" s="14" t="s">
        <v>14</v>
      </c>
      <c r="F412" s="14" t="s">
        <v>324</v>
      </c>
      <c r="G412" s="179">
        <v>680411</v>
      </c>
      <c r="H412" s="176" t="s">
        <v>142</v>
      </c>
      <c r="I412" s="176" t="s">
        <v>551</v>
      </c>
      <c r="J412" s="176" t="s">
        <v>596</v>
      </c>
      <c r="K412" s="176" t="s">
        <v>1917</v>
      </c>
      <c r="L412" s="40" t="s">
        <v>108</v>
      </c>
      <c r="M412" s="40" t="s">
        <v>341</v>
      </c>
      <c r="N412" s="14" t="s">
        <v>1919</v>
      </c>
      <c r="O412" s="14" t="s">
        <v>1149</v>
      </c>
      <c r="P412" s="14" t="s">
        <v>1921</v>
      </c>
      <c r="Q412" s="14" t="s">
        <v>1155</v>
      </c>
      <c r="R412" s="17">
        <v>300</v>
      </c>
      <c r="S412" s="172" t="s">
        <v>51</v>
      </c>
      <c r="T412" s="17">
        <v>825</v>
      </c>
      <c r="U412" s="14" t="s">
        <v>51</v>
      </c>
      <c r="V412" s="16">
        <f t="shared" si="68"/>
        <v>244071</v>
      </c>
      <c r="W412" s="16">
        <f t="shared" si="69"/>
        <v>244078</v>
      </c>
      <c r="X412" s="16">
        <f t="shared" si="70"/>
        <v>244073</v>
      </c>
      <c r="Y412" s="15"/>
      <c r="Z412" s="177"/>
      <c r="AA412" s="170"/>
      <c r="AB412" s="170"/>
      <c r="AC412" s="170"/>
      <c r="AD412" s="170"/>
      <c r="AE412" s="15"/>
      <c r="AF412" s="177"/>
      <c r="AG412" s="177">
        <f t="shared" si="71"/>
        <v>0</v>
      </c>
      <c r="AH412" s="177">
        <f t="shared" si="72"/>
        <v>0</v>
      </c>
      <c r="AK412" s="176"/>
      <c r="AL412" s="176"/>
    </row>
    <row r="413" spans="1:38" ht="36" customHeight="1" x14ac:dyDescent="0.2">
      <c r="A413" s="14" t="s">
        <v>19</v>
      </c>
      <c r="B413" s="212">
        <v>244071</v>
      </c>
      <c r="C413" s="14" t="s">
        <v>547</v>
      </c>
      <c r="D413" s="14" t="s">
        <v>268</v>
      </c>
      <c r="E413" s="14" t="s">
        <v>14</v>
      </c>
      <c r="F413" s="14" t="s">
        <v>324</v>
      </c>
      <c r="G413" s="179">
        <v>680412</v>
      </c>
      <c r="H413" s="176" t="s">
        <v>1728</v>
      </c>
      <c r="I413" s="176" t="s">
        <v>551</v>
      </c>
      <c r="J413" s="176" t="s">
        <v>1394</v>
      </c>
      <c r="K413" s="176" t="s">
        <v>1918</v>
      </c>
      <c r="L413" s="40" t="s">
        <v>108</v>
      </c>
      <c r="M413" s="40" t="s">
        <v>341</v>
      </c>
      <c r="N413" s="14" t="s">
        <v>1920</v>
      </c>
      <c r="O413" s="14" t="s">
        <v>552</v>
      </c>
      <c r="P413" s="14" t="s">
        <v>1922</v>
      </c>
      <c r="Q413" s="14" t="s">
        <v>553</v>
      </c>
      <c r="R413" s="17">
        <v>125</v>
      </c>
      <c r="S413" s="172" t="s">
        <v>51</v>
      </c>
      <c r="T413" s="17">
        <v>2885</v>
      </c>
      <c r="U413" s="14" t="s">
        <v>51</v>
      </c>
      <c r="V413" s="16">
        <f t="shared" si="68"/>
        <v>244071</v>
      </c>
      <c r="W413" s="16">
        <f t="shared" si="69"/>
        <v>244078</v>
      </c>
      <c r="X413" s="16">
        <f t="shared" si="70"/>
        <v>244073</v>
      </c>
      <c r="Y413" s="15"/>
      <c r="Z413" s="177"/>
      <c r="AA413" s="170"/>
      <c r="AB413" s="170"/>
      <c r="AC413" s="170"/>
      <c r="AD413" s="170"/>
      <c r="AE413" s="15"/>
      <c r="AF413" s="177"/>
      <c r="AG413" s="177">
        <f t="shared" si="71"/>
        <v>0</v>
      </c>
      <c r="AH413" s="177">
        <f t="shared" si="72"/>
        <v>0</v>
      </c>
      <c r="AK413" s="176"/>
      <c r="AL413" s="176"/>
    </row>
    <row r="414" spans="1:38" ht="36" customHeight="1" x14ac:dyDescent="0.2">
      <c r="A414" s="14" t="s">
        <v>19</v>
      </c>
      <c r="B414" s="212">
        <v>244072</v>
      </c>
      <c r="C414" s="14" t="s">
        <v>547</v>
      </c>
      <c r="D414" s="14" t="s">
        <v>268</v>
      </c>
      <c r="E414" s="14" t="s">
        <v>14</v>
      </c>
      <c r="F414" s="14" t="s">
        <v>324</v>
      </c>
      <c r="G414" s="179">
        <v>680413</v>
      </c>
      <c r="H414" s="176" t="s">
        <v>760</v>
      </c>
      <c r="I414" s="176" t="s">
        <v>551</v>
      </c>
      <c r="J414" s="176" t="s">
        <v>596</v>
      </c>
      <c r="K414" s="176" t="s">
        <v>1926</v>
      </c>
      <c r="L414" s="40" t="s">
        <v>108</v>
      </c>
      <c r="M414" s="40" t="s">
        <v>341</v>
      </c>
      <c r="N414" s="14" t="s">
        <v>1933</v>
      </c>
      <c r="O414" s="14" t="s">
        <v>552</v>
      </c>
      <c r="P414" s="14" t="s">
        <v>519</v>
      </c>
      <c r="Q414" s="14" t="s">
        <v>553</v>
      </c>
      <c r="R414" s="17">
        <v>400</v>
      </c>
      <c r="S414" s="172" t="s">
        <v>51</v>
      </c>
      <c r="T414" s="17">
        <v>1060</v>
      </c>
      <c r="U414" s="14" t="s">
        <v>51</v>
      </c>
      <c r="V414" s="16">
        <f t="shared" si="68"/>
        <v>244072</v>
      </c>
      <c r="W414" s="16">
        <f t="shared" si="69"/>
        <v>244079</v>
      </c>
      <c r="X414" s="16">
        <f t="shared" si="70"/>
        <v>244074</v>
      </c>
      <c r="Y414" s="15"/>
      <c r="Z414" s="177"/>
      <c r="AA414" s="170"/>
      <c r="AB414" s="170"/>
      <c r="AC414" s="170"/>
      <c r="AD414" s="170"/>
      <c r="AE414" s="15"/>
      <c r="AF414" s="177"/>
      <c r="AG414" s="177">
        <f t="shared" si="71"/>
        <v>0</v>
      </c>
      <c r="AH414" s="177">
        <f t="shared" si="72"/>
        <v>0</v>
      </c>
      <c r="AK414" s="176"/>
      <c r="AL414" s="176"/>
    </row>
    <row r="415" spans="1:38" ht="36" customHeight="1" x14ac:dyDescent="0.2">
      <c r="A415" s="14" t="s">
        <v>19</v>
      </c>
      <c r="B415" s="212">
        <v>244072</v>
      </c>
      <c r="C415" s="14" t="s">
        <v>547</v>
      </c>
      <c r="D415" s="14" t="s">
        <v>268</v>
      </c>
      <c r="E415" s="14" t="s">
        <v>14</v>
      </c>
      <c r="F415" s="14" t="s">
        <v>324</v>
      </c>
      <c r="G415" s="179">
        <v>680414</v>
      </c>
      <c r="H415" s="176" t="s">
        <v>1603</v>
      </c>
      <c r="I415" s="176" t="s">
        <v>551</v>
      </c>
      <c r="J415" s="176" t="s">
        <v>596</v>
      </c>
      <c r="K415" s="176" t="s">
        <v>1927</v>
      </c>
      <c r="L415" s="40" t="s">
        <v>108</v>
      </c>
      <c r="M415" s="40" t="s">
        <v>341</v>
      </c>
      <c r="N415" s="14" t="s">
        <v>1934</v>
      </c>
      <c r="O415" s="14" t="s">
        <v>552</v>
      </c>
      <c r="P415" s="14" t="s">
        <v>1940</v>
      </c>
      <c r="Q415" s="14" t="s">
        <v>553</v>
      </c>
      <c r="R415" s="17">
        <v>182</v>
      </c>
      <c r="S415" s="172" t="s">
        <v>51</v>
      </c>
      <c r="T415" s="17">
        <v>3170</v>
      </c>
      <c r="U415" s="14" t="s">
        <v>51</v>
      </c>
      <c r="V415" s="16">
        <f t="shared" si="68"/>
        <v>244072</v>
      </c>
      <c r="W415" s="16">
        <f t="shared" si="69"/>
        <v>244079</v>
      </c>
      <c r="X415" s="16">
        <f t="shared" si="70"/>
        <v>244074</v>
      </c>
      <c r="Y415" s="15"/>
      <c r="Z415" s="177"/>
      <c r="AA415" s="170"/>
      <c r="AB415" s="170"/>
      <c r="AC415" s="170"/>
      <c r="AD415" s="170"/>
      <c r="AE415" s="15"/>
      <c r="AF415" s="177"/>
      <c r="AG415" s="177">
        <f t="shared" si="71"/>
        <v>0</v>
      </c>
      <c r="AH415" s="177">
        <f t="shared" si="72"/>
        <v>0</v>
      </c>
      <c r="AK415" s="176"/>
      <c r="AL415" s="176"/>
    </row>
    <row r="416" spans="1:38" ht="36" customHeight="1" x14ac:dyDescent="0.2">
      <c r="A416" s="14" t="s">
        <v>19</v>
      </c>
      <c r="B416" s="212">
        <v>244072</v>
      </c>
      <c r="C416" s="14" t="s">
        <v>547</v>
      </c>
      <c r="D416" s="14" t="s">
        <v>268</v>
      </c>
      <c r="E416" s="14" t="s">
        <v>14</v>
      </c>
      <c r="F416" s="14" t="s">
        <v>324</v>
      </c>
      <c r="G416" s="179">
        <v>680415</v>
      </c>
      <c r="H416" s="176" t="s">
        <v>1402</v>
      </c>
      <c r="I416" s="176" t="s">
        <v>1407</v>
      </c>
      <c r="J416" s="176" t="s">
        <v>1410</v>
      </c>
      <c r="K416" s="176" t="s">
        <v>1928</v>
      </c>
      <c r="L416" s="40" t="s">
        <v>124</v>
      </c>
      <c r="M416" s="40" t="s">
        <v>341</v>
      </c>
      <c r="N416" s="14" t="s">
        <v>1935</v>
      </c>
      <c r="O416" s="14" t="s">
        <v>527</v>
      </c>
      <c r="P416" s="14" t="s">
        <v>1180</v>
      </c>
      <c r="Q416" s="14" t="s">
        <v>542</v>
      </c>
      <c r="R416" s="17">
        <v>182</v>
      </c>
      <c r="S416" s="172" t="s">
        <v>51</v>
      </c>
      <c r="T416" s="17">
        <v>1425</v>
      </c>
      <c r="U416" s="14" t="s">
        <v>51</v>
      </c>
      <c r="V416" s="16">
        <f t="shared" si="68"/>
        <v>244072</v>
      </c>
      <c r="W416" s="16">
        <f t="shared" si="69"/>
        <v>244079</v>
      </c>
      <c r="X416" s="16">
        <f t="shared" si="70"/>
        <v>244074</v>
      </c>
      <c r="Y416" s="15" t="s">
        <v>54</v>
      </c>
      <c r="Z416" s="177">
        <v>244047</v>
      </c>
      <c r="AA416" s="170"/>
      <c r="AB416" s="170"/>
      <c r="AC416" s="170"/>
      <c r="AD416" s="170"/>
      <c r="AE416" s="15" t="s">
        <v>54</v>
      </c>
      <c r="AF416" s="177">
        <v>244081</v>
      </c>
      <c r="AG416" s="177" t="str">
        <f t="shared" si="71"/>
        <v>Pass</v>
      </c>
      <c r="AH416" s="177">
        <f t="shared" si="72"/>
        <v>244081</v>
      </c>
      <c r="AK416" s="176"/>
      <c r="AL416" s="176"/>
    </row>
    <row r="417" spans="1:38" ht="36" customHeight="1" x14ac:dyDescent="0.2">
      <c r="A417" s="14" t="s">
        <v>19</v>
      </c>
      <c r="B417" s="212">
        <v>244072</v>
      </c>
      <c r="C417" s="14" t="s">
        <v>547</v>
      </c>
      <c r="D417" s="14" t="s">
        <v>268</v>
      </c>
      <c r="E417" s="14" t="s">
        <v>14</v>
      </c>
      <c r="F417" s="14" t="s">
        <v>324</v>
      </c>
      <c r="G417" s="179">
        <v>680416</v>
      </c>
      <c r="H417" s="176" t="s">
        <v>824</v>
      </c>
      <c r="I417" s="176" t="s">
        <v>774</v>
      </c>
      <c r="J417" s="176" t="s">
        <v>776</v>
      </c>
      <c r="K417" s="176" t="s">
        <v>1929</v>
      </c>
      <c r="L417" s="40" t="s">
        <v>105</v>
      </c>
      <c r="M417" s="40" t="s">
        <v>341</v>
      </c>
      <c r="N417" s="14" t="s">
        <v>1936</v>
      </c>
      <c r="O417" s="14" t="s">
        <v>552</v>
      </c>
      <c r="P417" s="14" t="s">
        <v>519</v>
      </c>
      <c r="Q417" s="14" t="s">
        <v>553</v>
      </c>
      <c r="R417" s="17">
        <v>800</v>
      </c>
      <c r="S417" s="172" t="s">
        <v>51</v>
      </c>
      <c r="T417" s="17">
        <v>1750</v>
      </c>
      <c r="U417" s="14" t="s">
        <v>51</v>
      </c>
      <c r="V417" s="16">
        <f t="shared" si="68"/>
        <v>244072</v>
      </c>
      <c r="W417" s="16">
        <f t="shared" si="69"/>
        <v>244079</v>
      </c>
      <c r="X417" s="16">
        <f t="shared" si="70"/>
        <v>244074</v>
      </c>
      <c r="Y417" s="15" t="s">
        <v>54</v>
      </c>
      <c r="Z417" s="177">
        <v>244047</v>
      </c>
      <c r="AA417" s="170"/>
      <c r="AB417" s="170"/>
      <c r="AC417" s="170"/>
      <c r="AD417" s="170"/>
      <c r="AE417" s="15" t="s">
        <v>54</v>
      </c>
      <c r="AF417" s="177">
        <v>244081</v>
      </c>
      <c r="AG417" s="177" t="str">
        <f t="shared" si="71"/>
        <v>Pass</v>
      </c>
      <c r="AH417" s="177">
        <f t="shared" si="72"/>
        <v>244081</v>
      </c>
      <c r="AK417" s="176"/>
      <c r="AL417" s="176"/>
    </row>
    <row r="418" spans="1:38" ht="36" customHeight="1" x14ac:dyDescent="0.2">
      <c r="A418" s="14" t="s">
        <v>19</v>
      </c>
      <c r="B418" s="212">
        <v>244072</v>
      </c>
      <c r="C418" s="14" t="s">
        <v>547</v>
      </c>
      <c r="D418" s="14" t="s">
        <v>268</v>
      </c>
      <c r="E418" s="14" t="s">
        <v>14</v>
      </c>
      <c r="F418" s="14" t="s">
        <v>324</v>
      </c>
      <c r="G418" s="179">
        <v>680417</v>
      </c>
      <c r="H418" s="176" t="s">
        <v>824</v>
      </c>
      <c r="I418" s="176" t="s">
        <v>774</v>
      </c>
      <c r="J418" s="176" t="s">
        <v>776</v>
      </c>
      <c r="K418" s="176" t="s">
        <v>1929</v>
      </c>
      <c r="L418" s="40" t="s">
        <v>105</v>
      </c>
      <c r="M418" s="40" t="s">
        <v>341</v>
      </c>
      <c r="N418" s="14" t="s">
        <v>1937</v>
      </c>
      <c r="O418" s="14" t="s">
        <v>557</v>
      </c>
      <c r="P418" s="14" t="s">
        <v>1941</v>
      </c>
      <c r="Q418" s="14" t="s">
        <v>558</v>
      </c>
      <c r="R418" s="17">
        <v>500</v>
      </c>
      <c r="S418" s="172" t="s">
        <v>51</v>
      </c>
      <c r="T418" s="17">
        <v>1720</v>
      </c>
      <c r="U418" s="14" t="s">
        <v>51</v>
      </c>
      <c r="V418" s="16">
        <f t="shared" si="68"/>
        <v>244072</v>
      </c>
      <c r="W418" s="16">
        <f t="shared" si="69"/>
        <v>244079</v>
      </c>
      <c r="X418" s="16">
        <f t="shared" si="70"/>
        <v>244074</v>
      </c>
      <c r="Y418" s="15" t="s">
        <v>54</v>
      </c>
      <c r="Z418" s="177">
        <v>244047</v>
      </c>
      <c r="AA418" s="170"/>
      <c r="AB418" s="170"/>
      <c r="AC418" s="170"/>
      <c r="AD418" s="170"/>
      <c r="AE418" s="15" t="s">
        <v>54</v>
      </c>
      <c r="AF418" s="177">
        <v>244081</v>
      </c>
      <c r="AG418" s="177" t="str">
        <f t="shared" si="71"/>
        <v>Pass</v>
      </c>
      <c r="AH418" s="177">
        <f t="shared" si="72"/>
        <v>244081</v>
      </c>
      <c r="AK418" s="176"/>
      <c r="AL418" s="176"/>
    </row>
    <row r="419" spans="1:38" ht="36" customHeight="1" x14ac:dyDescent="0.2">
      <c r="A419" s="14" t="s">
        <v>19</v>
      </c>
      <c r="B419" s="212">
        <v>244072</v>
      </c>
      <c r="C419" s="14" t="s">
        <v>547</v>
      </c>
      <c r="D419" s="14" t="s">
        <v>268</v>
      </c>
      <c r="E419" s="14" t="s">
        <v>14</v>
      </c>
      <c r="F419" s="14" t="s">
        <v>324</v>
      </c>
      <c r="G419" s="179">
        <v>680418</v>
      </c>
      <c r="H419" s="176" t="s">
        <v>1923</v>
      </c>
      <c r="I419" s="176" t="s">
        <v>864</v>
      </c>
      <c r="J419" s="176" t="s">
        <v>666</v>
      </c>
      <c r="K419" s="176" t="s">
        <v>1930</v>
      </c>
      <c r="L419" s="40" t="s">
        <v>45</v>
      </c>
      <c r="M419" s="40" t="s">
        <v>341</v>
      </c>
      <c r="N419" s="14" t="s">
        <v>1938</v>
      </c>
      <c r="O419" s="14" t="s">
        <v>548</v>
      </c>
      <c r="P419" s="14" t="s">
        <v>518</v>
      </c>
      <c r="Q419" s="14" t="s">
        <v>549</v>
      </c>
      <c r="R419" s="17">
        <v>400</v>
      </c>
      <c r="S419" s="172" t="s">
        <v>51</v>
      </c>
      <c r="T419" s="17">
        <v>1715</v>
      </c>
      <c r="U419" s="14" t="s">
        <v>51</v>
      </c>
      <c r="V419" s="16">
        <f t="shared" si="68"/>
        <v>244072</v>
      </c>
      <c r="W419" s="16">
        <f t="shared" si="69"/>
        <v>244079</v>
      </c>
      <c r="X419" s="16">
        <f t="shared" si="70"/>
        <v>244074</v>
      </c>
      <c r="Y419" s="15" t="s">
        <v>54</v>
      </c>
      <c r="Z419" s="177">
        <v>244081</v>
      </c>
      <c r="AA419" s="170"/>
      <c r="AB419" s="170"/>
      <c r="AC419" s="170"/>
      <c r="AD419" s="170"/>
      <c r="AE419" s="15" t="s">
        <v>54</v>
      </c>
      <c r="AF419" s="177">
        <v>244091</v>
      </c>
      <c r="AG419" s="177" t="str">
        <f t="shared" si="71"/>
        <v>Pass</v>
      </c>
      <c r="AH419" s="177">
        <f t="shared" si="72"/>
        <v>244091</v>
      </c>
      <c r="AK419" s="176"/>
      <c r="AL419" s="176"/>
    </row>
    <row r="420" spans="1:38" ht="36" customHeight="1" x14ac:dyDescent="0.2">
      <c r="A420" s="14" t="s">
        <v>19</v>
      </c>
      <c r="B420" s="212">
        <v>244072</v>
      </c>
      <c r="C420" s="14" t="s">
        <v>547</v>
      </c>
      <c r="D420" s="14" t="s">
        <v>268</v>
      </c>
      <c r="E420" s="14" t="s">
        <v>14</v>
      </c>
      <c r="F420" s="14" t="s">
        <v>324</v>
      </c>
      <c r="G420" s="179">
        <v>680419</v>
      </c>
      <c r="H420" s="176" t="s">
        <v>1924</v>
      </c>
      <c r="I420" s="176" t="s">
        <v>550</v>
      </c>
      <c r="J420" s="176" t="s">
        <v>128</v>
      </c>
      <c r="K420" s="176" t="s">
        <v>1931</v>
      </c>
      <c r="L420" s="40" t="s">
        <v>108</v>
      </c>
      <c r="M420" s="40" t="s">
        <v>341</v>
      </c>
      <c r="N420" s="14" t="s">
        <v>1939</v>
      </c>
      <c r="O420" s="14" t="s">
        <v>756</v>
      </c>
      <c r="P420" s="14" t="s">
        <v>971</v>
      </c>
      <c r="Q420" s="14" t="s">
        <v>758</v>
      </c>
      <c r="R420" s="17">
        <v>600</v>
      </c>
      <c r="S420" s="172" t="s">
        <v>51</v>
      </c>
      <c r="T420" s="17">
        <v>930</v>
      </c>
      <c r="U420" s="14" t="s">
        <v>51</v>
      </c>
      <c r="V420" s="16">
        <f t="shared" si="68"/>
        <v>244072</v>
      </c>
      <c r="W420" s="16">
        <f t="shared" si="69"/>
        <v>244079</v>
      </c>
      <c r="X420" s="16">
        <f t="shared" si="70"/>
        <v>244074</v>
      </c>
      <c r="Y420" s="15"/>
      <c r="Z420" s="177"/>
      <c r="AA420" s="170"/>
      <c r="AB420" s="170"/>
      <c r="AC420" s="170"/>
      <c r="AD420" s="170"/>
      <c r="AE420" s="15"/>
      <c r="AF420" s="177"/>
      <c r="AG420" s="177">
        <f t="shared" si="71"/>
        <v>0</v>
      </c>
      <c r="AH420" s="177">
        <f t="shared" si="72"/>
        <v>0</v>
      </c>
      <c r="AK420" s="176"/>
      <c r="AL420" s="176"/>
    </row>
    <row r="421" spans="1:38" ht="36" customHeight="1" x14ac:dyDescent="0.2">
      <c r="A421" s="14" t="s">
        <v>19</v>
      </c>
      <c r="B421" s="212">
        <v>244072</v>
      </c>
      <c r="C421" s="14" t="s">
        <v>547</v>
      </c>
      <c r="D421" s="14" t="s">
        <v>268</v>
      </c>
      <c r="E421" s="14" t="s">
        <v>14</v>
      </c>
      <c r="F421" s="14" t="s">
        <v>324</v>
      </c>
      <c r="G421" s="179">
        <v>680420</v>
      </c>
      <c r="H421" s="176" t="s">
        <v>1925</v>
      </c>
      <c r="I421" s="176" t="s">
        <v>630</v>
      </c>
      <c r="J421" s="176" t="s">
        <v>520</v>
      </c>
      <c r="K421" s="176" t="s">
        <v>1932</v>
      </c>
      <c r="L421" s="40" t="s">
        <v>105</v>
      </c>
      <c r="M421" s="40" t="s">
        <v>341</v>
      </c>
      <c r="N421" s="14" t="s">
        <v>1214</v>
      </c>
      <c r="O421" s="14" t="s">
        <v>548</v>
      </c>
      <c r="P421" s="14" t="s">
        <v>518</v>
      </c>
      <c r="Q421" s="14" t="s">
        <v>549</v>
      </c>
      <c r="R421" s="17">
        <v>150</v>
      </c>
      <c r="S421" s="172" t="s">
        <v>51</v>
      </c>
      <c r="T421" s="17">
        <v>1935</v>
      </c>
      <c r="U421" s="14" t="s">
        <v>51</v>
      </c>
      <c r="V421" s="16">
        <f t="shared" si="68"/>
        <v>244072</v>
      </c>
      <c r="W421" s="16">
        <f t="shared" si="69"/>
        <v>244079</v>
      </c>
      <c r="X421" s="16">
        <f t="shared" si="70"/>
        <v>244074</v>
      </c>
      <c r="Y421" s="15" t="s">
        <v>54</v>
      </c>
      <c r="Z421" s="177">
        <v>244047</v>
      </c>
      <c r="AA421" s="170"/>
      <c r="AB421" s="170"/>
      <c r="AC421" s="170"/>
      <c r="AD421" s="170"/>
      <c r="AE421" s="15" t="s">
        <v>54</v>
      </c>
      <c r="AF421" s="177">
        <v>244081</v>
      </c>
      <c r="AG421" s="177" t="str">
        <f t="shared" si="71"/>
        <v>Pass</v>
      </c>
      <c r="AH421" s="177">
        <f t="shared" si="72"/>
        <v>244081</v>
      </c>
      <c r="AK421" s="176"/>
      <c r="AL421" s="176"/>
    </row>
    <row r="422" spans="1:38" ht="36" customHeight="1" x14ac:dyDescent="0.2">
      <c r="A422" s="14" t="s">
        <v>19</v>
      </c>
      <c r="B422" s="212">
        <v>244014</v>
      </c>
      <c r="C422" s="14" t="s">
        <v>547</v>
      </c>
      <c r="D422" s="14" t="s">
        <v>268</v>
      </c>
      <c r="E422" s="14" t="s">
        <v>14</v>
      </c>
      <c r="F422" s="14" t="s">
        <v>324</v>
      </c>
      <c r="G422" s="179">
        <v>680421</v>
      </c>
      <c r="H422" s="176" t="s">
        <v>1925</v>
      </c>
      <c r="I422" s="176" t="s">
        <v>630</v>
      </c>
      <c r="J422" s="176" t="s">
        <v>520</v>
      </c>
      <c r="K422" s="176" t="s">
        <v>1932</v>
      </c>
      <c r="L422" s="40" t="s">
        <v>105</v>
      </c>
      <c r="M422" s="40" t="s">
        <v>341</v>
      </c>
      <c r="N422" s="14" t="s">
        <v>1946</v>
      </c>
      <c r="O422" s="14" t="s">
        <v>552</v>
      </c>
      <c r="P422" s="14" t="s">
        <v>1954</v>
      </c>
      <c r="Q422" s="14" t="s">
        <v>553</v>
      </c>
      <c r="R422" s="17">
        <v>2720</v>
      </c>
      <c r="S422" s="172" t="s">
        <v>51</v>
      </c>
      <c r="T422" s="17">
        <v>2065</v>
      </c>
      <c r="U422" s="14" t="s">
        <v>51</v>
      </c>
      <c r="V422" s="16">
        <f t="shared" si="68"/>
        <v>244014</v>
      </c>
      <c r="W422" s="16">
        <f t="shared" si="69"/>
        <v>244021</v>
      </c>
      <c r="X422" s="16">
        <f t="shared" si="70"/>
        <v>244016</v>
      </c>
      <c r="Y422" s="15" t="s">
        <v>54</v>
      </c>
      <c r="Z422" s="177">
        <v>244047</v>
      </c>
      <c r="AA422" s="170"/>
      <c r="AB422" s="170"/>
      <c r="AC422" s="170"/>
      <c r="AD422" s="170"/>
      <c r="AE422" s="15" t="s">
        <v>54</v>
      </c>
      <c r="AF422" s="177">
        <v>244081</v>
      </c>
      <c r="AG422" s="177" t="str">
        <f t="shared" si="71"/>
        <v>Pass</v>
      </c>
      <c r="AH422" s="177">
        <f t="shared" si="72"/>
        <v>244081</v>
      </c>
      <c r="AK422" s="176"/>
      <c r="AL422" s="176"/>
    </row>
    <row r="423" spans="1:38" ht="36" customHeight="1" x14ac:dyDescent="0.2">
      <c r="A423" s="14" t="s">
        <v>19</v>
      </c>
      <c r="B423" s="212">
        <v>244014</v>
      </c>
      <c r="C423" s="14" t="s">
        <v>547</v>
      </c>
      <c r="D423" s="14" t="s">
        <v>268</v>
      </c>
      <c r="E423" s="14" t="s">
        <v>14</v>
      </c>
      <c r="F423" s="14" t="s">
        <v>324</v>
      </c>
      <c r="G423" s="179">
        <v>680422</v>
      </c>
      <c r="H423" s="176" t="s">
        <v>1925</v>
      </c>
      <c r="I423" s="176" t="s">
        <v>630</v>
      </c>
      <c r="J423" s="176" t="s">
        <v>520</v>
      </c>
      <c r="K423" s="176" t="s">
        <v>1932</v>
      </c>
      <c r="L423" s="40" t="s">
        <v>105</v>
      </c>
      <c r="M423" s="40" t="s">
        <v>341</v>
      </c>
      <c r="N423" s="14" t="s">
        <v>1947</v>
      </c>
      <c r="O423" s="14" t="s">
        <v>527</v>
      </c>
      <c r="P423" s="14" t="s">
        <v>1746</v>
      </c>
      <c r="Q423" s="14" t="s">
        <v>542</v>
      </c>
      <c r="R423" s="17">
        <v>302</v>
      </c>
      <c r="S423" s="172" t="s">
        <v>51</v>
      </c>
      <c r="T423" s="17">
        <v>1290</v>
      </c>
      <c r="U423" s="14" t="s">
        <v>51</v>
      </c>
      <c r="V423" s="16">
        <f t="shared" si="68"/>
        <v>244014</v>
      </c>
      <c r="W423" s="16">
        <f t="shared" si="69"/>
        <v>244021</v>
      </c>
      <c r="X423" s="16">
        <f t="shared" si="70"/>
        <v>244016</v>
      </c>
      <c r="Y423" s="15" t="s">
        <v>54</v>
      </c>
      <c r="Z423" s="177">
        <v>244047</v>
      </c>
      <c r="AA423" s="170"/>
      <c r="AB423" s="170"/>
      <c r="AC423" s="170"/>
      <c r="AD423" s="170"/>
      <c r="AE423" s="15" t="s">
        <v>54</v>
      </c>
      <c r="AF423" s="177">
        <v>244081</v>
      </c>
      <c r="AG423" s="177" t="str">
        <f t="shared" si="71"/>
        <v>Pass</v>
      </c>
      <c r="AH423" s="177">
        <f t="shared" si="72"/>
        <v>244081</v>
      </c>
      <c r="AK423" s="176"/>
      <c r="AL423" s="176"/>
    </row>
    <row r="424" spans="1:38" ht="36" customHeight="1" x14ac:dyDescent="0.2">
      <c r="A424" s="14" t="s">
        <v>19</v>
      </c>
      <c r="B424" s="212">
        <v>244014</v>
      </c>
      <c r="C424" s="14" t="s">
        <v>547</v>
      </c>
      <c r="D424" s="14" t="s">
        <v>268</v>
      </c>
      <c r="E424" s="14" t="s">
        <v>14</v>
      </c>
      <c r="F424" s="14" t="s">
        <v>324</v>
      </c>
      <c r="G424" s="179">
        <v>680423</v>
      </c>
      <c r="H424" s="176" t="s">
        <v>1925</v>
      </c>
      <c r="I424" s="176" t="s">
        <v>630</v>
      </c>
      <c r="J424" s="176" t="s">
        <v>520</v>
      </c>
      <c r="K424" s="176" t="s">
        <v>1932</v>
      </c>
      <c r="L424" s="40" t="s">
        <v>105</v>
      </c>
      <c r="M424" s="40" t="s">
        <v>341</v>
      </c>
      <c r="N424" s="14" t="s">
        <v>1948</v>
      </c>
      <c r="O424" s="14" t="s">
        <v>1953</v>
      </c>
      <c r="P424" s="14" t="s">
        <v>1955</v>
      </c>
      <c r="Q424" s="14" t="s">
        <v>1956</v>
      </c>
      <c r="R424" s="17">
        <v>502</v>
      </c>
      <c r="S424" s="172" t="s">
        <v>51</v>
      </c>
      <c r="T424" s="17">
        <v>1095</v>
      </c>
      <c r="U424" s="14" t="s">
        <v>51</v>
      </c>
      <c r="V424" s="16">
        <f t="shared" si="68"/>
        <v>244014</v>
      </c>
      <c r="W424" s="16">
        <f t="shared" si="69"/>
        <v>244021</v>
      </c>
      <c r="X424" s="16">
        <f t="shared" si="70"/>
        <v>244016</v>
      </c>
      <c r="Y424" s="15" t="s">
        <v>54</v>
      </c>
      <c r="Z424" s="177">
        <v>244047</v>
      </c>
      <c r="AA424" s="170"/>
      <c r="AB424" s="170"/>
      <c r="AC424" s="170"/>
      <c r="AD424" s="170"/>
      <c r="AE424" s="15" t="s">
        <v>54</v>
      </c>
      <c r="AF424" s="177">
        <v>244081</v>
      </c>
      <c r="AG424" s="177" t="str">
        <f t="shared" si="71"/>
        <v>Pass</v>
      </c>
      <c r="AH424" s="177">
        <f t="shared" si="72"/>
        <v>244081</v>
      </c>
      <c r="AK424" s="176"/>
      <c r="AL424" s="176"/>
    </row>
    <row r="425" spans="1:38" ht="36" customHeight="1" x14ac:dyDescent="0.2">
      <c r="A425" s="14" t="s">
        <v>19</v>
      </c>
      <c r="B425" s="212">
        <v>244014</v>
      </c>
      <c r="C425" s="14" t="s">
        <v>547</v>
      </c>
      <c r="D425" s="14" t="s">
        <v>268</v>
      </c>
      <c r="E425" s="14" t="s">
        <v>14</v>
      </c>
      <c r="F425" s="14" t="s">
        <v>324</v>
      </c>
      <c r="G425" s="179">
        <v>680424</v>
      </c>
      <c r="H425" s="176" t="s">
        <v>1925</v>
      </c>
      <c r="I425" s="176" t="s">
        <v>630</v>
      </c>
      <c r="J425" s="176" t="s">
        <v>520</v>
      </c>
      <c r="K425" s="176" t="s">
        <v>1932</v>
      </c>
      <c r="L425" s="40" t="s">
        <v>105</v>
      </c>
      <c r="M425" s="40" t="s">
        <v>341</v>
      </c>
      <c r="N425" s="14" t="s">
        <v>1949</v>
      </c>
      <c r="O425" s="14" t="s">
        <v>548</v>
      </c>
      <c r="P425" s="14" t="s">
        <v>518</v>
      </c>
      <c r="Q425" s="14" t="s">
        <v>549</v>
      </c>
      <c r="R425" s="17">
        <v>226</v>
      </c>
      <c r="S425" s="172" t="s">
        <v>51</v>
      </c>
      <c r="T425" s="17">
        <v>1950</v>
      </c>
      <c r="U425" s="14" t="s">
        <v>51</v>
      </c>
      <c r="V425" s="16">
        <f t="shared" si="68"/>
        <v>244014</v>
      </c>
      <c r="W425" s="16">
        <f t="shared" si="69"/>
        <v>244021</v>
      </c>
      <c r="X425" s="16">
        <f t="shared" si="70"/>
        <v>244016</v>
      </c>
      <c r="Y425" s="15" t="s">
        <v>54</v>
      </c>
      <c r="Z425" s="177">
        <v>244047</v>
      </c>
      <c r="AA425" s="170"/>
      <c r="AB425" s="170"/>
      <c r="AC425" s="170"/>
      <c r="AD425" s="170"/>
      <c r="AE425" s="15" t="s">
        <v>54</v>
      </c>
      <c r="AF425" s="177">
        <v>244081</v>
      </c>
      <c r="AG425" s="177" t="str">
        <f t="shared" si="71"/>
        <v>Pass</v>
      </c>
      <c r="AH425" s="177">
        <f t="shared" si="72"/>
        <v>244081</v>
      </c>
      <c r="AK425" s="176"/>
      <c r="AL425" s="176"/>
    </row>
    <row r="426" spans="1:38" ht="36" customHeight="1" x14ac:dyDescent="0.2">
      <c r="A426" s="14" t="s">
        <v>19</v>
      </c>
      <c r="B426" s="212">
        <v>244014</v>
      </c>
      <c r="C426" s="14" t="s">
        <v>547</v>
      </c>
      <c r="D426" s="14" t="s">
        <v>268</v>
      </c>
      <c r="E426" s="14" t="s">
        <v>14</v>
      </c>
      <c r="F426" s="14" t="s">
        <v>324</v>
      </c>
      <c r="G426" s="179">
        <v>680425</v>
      </c>
      <c r="H426" s="176" t="s">
        <v>1791</v>
      </c>
      <c r="I426" s="176" t="s">
        <v>612</v>
      </c>
      <c r="J426" s="176" t="s">
        <v>865</v>
      </c>
      <c r="K426" s="176" t="s">
        <v>1943</v>
      </c>
      <c r="L426" s="40" t="s">
        <v>46</v>
      </c>
      <c r="M426" s="40" t="s">
        <v>341</v>
      </c>
      <c r="N426" s="14" t="s">
        <v>1950</v>
      </c>
      <c r="O426" s="14" t="s">
        <v>552</v>
      </c>
      <c r="P426" s="14" t="s">
        <v>793</v>
      </c>
      <c r="Q426" s="14" t="s">
        <v>553</v>
      </c>
      <c r="R426" s="17">
        <v>375</v>
      </c>
      <c r="S426" s="172" t="s">
        <v>51</v>
      </c>
      <c r="T426" s="17">
        <v>1924</v>
      </c>
      <c r="U426" s="14" t="s">
        <v>51</v>
      </c>
      <c r="V426" s="16">
        <f t="shared" si="68"/>
        <v>244014</v>
      </c>
      <c r="W426" s="16">
        <f t="shared" si="69"/>
        <v>244021</v>
      </c>
      <c r="X426" s="16">
        <f t="shared" si="70"/>
        <v>244016</v>
      </c>
      <c r="Y426" s="15"/>
      <c r="Z426" s="177"/>
      <c r="AA426" s="170"/>
      <c r="AB426" s="170"/>
      <c r="AC426" s="170"/>
      <c r="AD426" s="170"/>
      <c r="AE426" s="15"/>
      <c r="AF426" s="177"/>
      <c r="AG426" s="177">
        <f t="shared" si="71"/>
        <v>0</v>
      </c>
      <c r="AH426" s="177">
        <f t="shared" si="72"/>
        <v>0</v>
      </c>
      <c r="AK426" s="176"/>
      <c r="AL426" s="176"/>
    </row>
    <row r="427" spans="1:38" ht="36" customHeight="1" x14ac:dyDescent="0.2">
      <c r="A427" s="14" t="s">
        <v>19</v>
      </c>
      <c r="B427" s="212">
        <v>244014</v>
      </c>
      <c r="C427" s="14" t="s">
        <v>547</v>
      </c>
      <c r="D427" s="14" t="s">
        <v>268</v>
      </c>
      <c r="E427" s="14" t="s">
        <v>14</v>
      </c>
      <c r="F427" s="14" t="s">
        <v>324</v>
      </c>
      <c r="G427" s="179">
        <v>680426</v>
      </c>
      <c r="H427" s="176" t="s">
        <v>1092</v>
      </c>
      <c r="I427" s="176" t="s">
        <v>630</v>
      </c>
      <c r="J427" s="176" t="s">
        <v>520</v>
      </c>
      <c r="K427" s="176" t="s">
        <v>1944</v>
      </c>
      <c r="L427" s="40" t="s">
        <v>105</v>
      </c>
      <c r="M427" s="40" t="s">
        <v>341</v>
      </c>
      <c r="N427" s="14" t="s">
        <v>1951</v>
      </c>
      <c r="O427" s="14" t="s">
        <v>548</v>
      </c>
      <c r="P427" s="14" t="s">
        <v>518</v>
      </c>
      <c r="Q427" s="14" t="s">
        <v>549</v>
      </c>
      <c r="R427" s="17">
        <v>292</v>
      </c>
      <c r="S427" s="172" t="s">
        <v>51</v>
      </c>
      <c r="T427" s="17">
        <v>1770</v>
      </c>
      <c r="U427" s="14" t="s">
        <v>51</v>
      </c>
      <c r="V427" s="16">
        <f t="shared" si="68"/>
        <v>244014</v>
      </c>
      <c r="W427" s="16">
        <f t="shared" si="69"/>
        <v>244021</v>
      </c>
      <c r="X427" s="16">
        <f t="shared" si="70"/>
        <v>244016</v>
      </c>
      <c r="Y427" s="15" t="s">
        <v>54</v>
      </c>
      <c r="Z427" s="177">
        <v>244047</v>
      </c>
      <c r="AA427" s="170"/>
      <c r="AB427" s="170"/>
      <c r="AC427" s="170"/>
      <c r="AD427" s="170"/>
      <c r="AE427" s="15" t="s">
        <v>54</v>
      </c>
      <c r="AF427" s="177">
        <v>244081</v>
      </c>
      <c r="AG427" s="177" t="str">
        <f t="shared" si="71"/>
        <v>Pass</v>
      </c>
      <c r="AH427" s="177">
        <f t="shared" si="72"/>
        <v>244081</v>
      </c>
      <c r="AK427" s="176"/>
      <c r="AL427" s="176"/>
    </row>
    <row r="428" spans="1:38" ht="36" customHeight="1" x14ac:dyDescent="0.2">
      <c r="A428" s="14" t="s">
        <v>19</v>
      </c>
      <c r="B428" s="212">
        <v>244014</v>
      </c>
      <c r="C428" s="14" t="s">
        <v>547</v>
      </c>
      <c r="D428" s="14" t="s">
        <v>268</v>
      </c>
      <c r="E428" s="14" t="s">
        <v>14</v>
      </c>
      <c r="F428" s="14" t="s">
        <v>324</v>
      </c>
      <c r="G428" s="179">
        <v>680427</v>
      </c>
      <c r="H428" s="176" t="s">
        <v>1942</v>
      </c>
      <c r="I428" s="176" t="s">
        <v>612</v>
      </c>
      <c r="J428" s="176" t="s">
        <v>865</v>
      </c>
      <c r="K428" s="176" t="s">
        <v>1945</v>
      </c>
      <c r="L428" s="40" t="s">
        <v>46</v>
      </c>
      <c r="M428" s="40" t="s">
        <v>341</v>
      </c>
      <c r="N428" s="14" t="s">
        <v>1952</v>
      </c>
      <c r="O428" s="14" t="s">
        <v>552</v>
      </c>
      <c r="P428" s="14" t="s">
        <v>519</v>
      </c>
      <c r="Q428" s="14" t="s">
        <v>553</v>
      </c>
      <c r="R428" s="17">
        <v>850</v>
      </c>
      <c r="S428" s="172" t="s">
        <v>51</v>
      </c>
      <c r="T428" s="17">
        <v>1875</v>
      </c>
      <c r="U428" s="14" t="s">
        <v>51</v>
      </c>
      <c r="V428" s="16">
        <f t="shared" si="68"/>
        <v>244014</v>
      </c>
      <c r="W428" s="16">
        <f t="shared" si="69"/>
        <v>244021</v>
      </c>
      <c r="X428" s="16">
        <f t="shared" si="70"/>
        <v>244016</v>
      </c>
      <c r="Y428" s="15"/>
      <c r="Z428" s="177"/>
      <c r="AA428" s="170"/>
      <c r="AB428" s="170"/>
      <c r="AC428" s="170"/>
      <c r="AD428" s="170"/>
      <c r="AE428" s="15"/>
      <c r="AF428" s="177"/>
      <c r="AG428" s="177">
        <f t="shared" si="71"/>
        <v>0</v>
      </c>
      <c r="AH428" s="177">
        <f t="shared" si="72"/>
        <v>0</v>
      </c>
      <c r="AK428" s="176"/>
      <c r="AL428" s="176"/>
    </row>
    <row r="429" spans="1:38" ht="36" customHeight="1" x14ac:dyDescent="0.2">
      <c r="A429" s="14" t="s">
        <v>20</v>
      </c>
      <c r="B429" s="212">
        <v>244075</v>
      </c>
      <c r="C429" s="14" t="s">
        <v>547</v>
      </c>
      <c r="D429" s="14" t="s">
        <v>268</v>
      </c>
      <c r="E429" s="14" t="s">
        <v>14</v>
      </c>
      <c r="F429" s="14" t="s">
        <v>324</v>
      </c>
      <c r="G429" s="179">
        <v>680428</v>
      </c>
      <c r="H429" s="176" t="s">
        <v>1957</v>
      </c>
      <c r="I429" s="176" t="s">
        <v>864</v>
      </c>
      <c r="J429" s="176" t="s">
        <v>727</v>
      </c>
      <c r="K429" s="176" t="s">
        <v>1959</v>
      </c>
      <c r="L429" s="40" t="s">
        <v>46</v>
      </c>
      <c r="M429" s="40" t="s">
        <v>341</v>
      </c>
      <c r="N429" s="14" t="s">
        <v>1964</v>
      </c>
      <c r="O429" s="14" t="s">
        <v>1977</v>
      </c>
      <c r="P429" s="14" t="s">
        <v>517</v>
      </c>
      <c r="Q429" s="14" t="s">
        <v>1978</v>
      </c>
      <c r="R429" s="17">
        <v>1000</v>
      </c>
      <c r="S429" s="172" t="s">
        <v>51</v>
      </c>
      <c r="T429" s="17">
        <v>1630</v>
      </c>
      <c r="U429" s="14" t="s">
        <v>51</v>
      </c>
      <c r="V429" s="16">
        <f t="shared" si="68"/>
        <v>244075</v>
      </c>
      <c r="W429" s="16">
        <f t="shared" si="69"/>
        <v>244082</v>
      </c>
      <c r="X429" s="16">
        <f t="shared" si="70"/>
        <v>244077</v>
      </c>
      <c r="Y429" s="15"/>
      <c r="Z429" s="177"/>
      <c r="AA429" s="170"/>
      <c r="AB429" s="170"/>
      <c r="AC429" s="170"/>
      <c r="AD429" s="170"/>
      <c r="AE429" s="15"/>
      <c r="AF429" s="177"/>
      <c r="AG429" s="177">
        <f t="shared" si="71"/>
        <v>0</v>
      </c>
      <c r="AH429" s="177">
        <f t="shared" si="72"/>
        <v>0</v>
      </c>
      <c r="AK429" s="176"/>
      <c r="AL429" s="176"/>
    </row>
    <row r="430" spans="1:38" ht="36" customHeight="1" x14ac:dyDescent="0.2">
      <c r="A430" s="14" t="s">
        <v>20</v>
      </c>
      <c r="B430" s="212">
        <v>244075</v>
      </c>
      <c r="C430" s="14" t="s">
        <v>547</v>
      </c>
      <c r="D430" s="14" t="s">
        <v>268</v>
      </c>
      <c r="E430" s="14" t="s">
        <v>14</v>
      </c>
      <c r="F430" s="14" t="s">
        <v>324</v>
      </c>
      <c r="G430" s="179">
        <v>680429</v>
      </c>
      <c r="H430" s="176" t="s">
        <v>627</v>
      </c>
      <c r="I430" s="176" t="s">
        <v>630</v>
      </c>
      <c r="J430" s="176" t="s">
        <v>520</v>
      </c>
      <c r="K430" s="176" t="s">
        <v>1960</v>
      </c>
      <c r="L430" s="40" t="s">
        <v>105</v>
      </c>
      <c r="M430" s="40" t="s">
        <v>341</v>
      </c>
      <c r="N430" s="14" t="s">
        <v>1972</v>
      </c>
      <c r="O430" s="14" t="s">
        <v>1970</v>
      </c>
      <c r="P430" s="14" t="s">
        <v>1973</v>
      </c>
      <c r="Q430" s="14" t="s">
        <v>1979</v>
      </c>
      <c r="R430" s="17">
        <v>580</v>
      </c>
      <c r="S430" s="172" t="s">
        <v>51</v>
      </c>
      <c r="T430" s="17">
        <v>2030</v>
      </c>
      <c r="U430" s="14" t="s">
        <v>51</v>
      </c>
      <c r="V430" s="16">
        <f t="shared" si="68"/>
        <v>244075</v>
      </c>
      <c r="W430" s="16">
        <f t="shared" si="69"/>
        <v>244082</v>
      </c>
      <c r="X430" s="16">
        <f t="shared" si="70"/>
        <v>244077</v>
      </c>
      <c r="Y430" s="15" t="s">
        <v>54</v>
      </c>
      <c r="Z430" s="177">
        <v>244047</v>
      </c>
      <c r="AA430" s="170"/>
      <c r="AB430" s="170"/>
      <c r="AC430" s="170"/>
      <c r="AD430" s="170"/>
      <c r="AE430" s="15" t="s">
        <v>54</v>
      </c>
      <c r="AF430" s="177">
        <v>244081</v>
      </c>
      <c r="AG430" s="177" t="str">
        <f t="shared" si="71"/>
        <v>Pass</v>
      </c>
      <c r="AH430" s="177">
        <f t="shared" si="72"/>
        <v>244081</v>
      </c>
      <c r="AK430" s="176"/>
      <c r="AL430" s="176"/>
    </row>
    <row r="431" spans="1:38" ht="36" customHeight="1" x14ac:dyDescent="0.2">
      <c r="A431" s="14" t="s">
        <v>20</v>
      </c>
      <c r="B431" s="212">
        <v>244075</v>
      </c>
      <c r="C431" s="14" t="s">
        <v>547</v>
      </c>
      <c r="D431" s="14" t="s">
        <v>268</v>
      </c>
      <c r="E431" s="14" t="s">
        <v>14</v>
      </c>
      <c r="F431" s="14" t="s">
        <v>324</v>
      </c>
      <c r="G431" s="179">
        <v>680430</v>
      </c>
      <c r="H431" s="176" t="s">
        <v>1223</v>
      </c>
      <c r="I431" s="176" t="s">
        <v>864</v>
      </c>
      <c r="J431" s="176" t="s">
        <v>865</v>
      </c>
      <c r="K431" s="176" t="s">
        <v>1961</v>
      </c>
      <c r="L431" s="40" t="s">
        <v>46</v>
      </c>
      <c r="M431" s="40" t="s">
        <v>341</v>
      </c>
      <c r="N431" s="14" t="s">
        <v>1968</v>
      </c>
      <c r="O431" s="14" t="s">
        <v>756</v>
      </c>
      <c r="P431" s="14" t="s">
        <v>1974</v>
      </c>
      <c r="Q431" s="14" t="s">
        <v>758</v>
      </c>
      <c r="R431" s="17">
        <v>300</v>
      </c>
      <c r="S431" s="172" t="s">
        <v>51</v>
      </c>
      <c r="T431" s="17">
        <v>1665</v>
      </c>
      <c r="U431" s="14" t="s">
        <v>51</v>
      </c>
      <c r="V431" s="16">
        <f t="shared" si="68"/>
        <v>244075</v>
      </c>
      <c r="W431" s="16">
        <f t="shared" si="69"/>
        <v>244082</v>
      </c>
      <c r="X431" s="16">
        <f t="shared" si="70"/>
        <v>244077</v>
      </c>
      <c r="Y431" s="15"/>
      <c r="Z431" s="177"/>
      <c r="AA431" s="170"/>
      <c r="AB431" s="170"/>
      <c r="AC431" s="170"/>
      <c r="AD431" s="170"/>
      <c r="AE431" s="15"/>
      <c r="AF431" s="177"/>
      <c r="AG431" s="177">
        <f t="shared" si="71"/>
        <v>0</v>
      </c>
      <c r="AH431" s="177">
        <f t="shared" si="72"/>
        <v>0</v>
      </c>
      <c r="AK431" s="176"/>
      <c r="AL431" s="176"/>
    </row>
    <row r="432" spans="1:38" ht="36" customHeight="1" x14ac:dyDescent="0.2">
      <c r="A432" s="14" t="s">
        <v>20</v>
      </c>
      <c r="B432" s="212">
        <v>244075</v>
      </c>
      <c r="C432" s="14" t="s">
        <v>547</v>
      </c>
      <c r="D432" s="14" t="s">
        <v>268</v>
      </c>
      <c r="E432" s="14" t="s">
        <v>14</v>
      </c>
      <c r="F432" s="14" t="s">
        <v>324</v>
      </c>
      <c r="G432" s="179">
        <v>680431</v>
      </c>
      <c r="H432" s="176" t="s">
        <v>627</v>
      </c>
      <c r="I432" s="176" t="s">
        <v>630</v>
      </c>
      <c r="J432" s="176" t="s">
        <v>520</v>
      </c>
      <c r="K432" s="176" t="s">
        <v>1960</v>
      </c>
      <c r="L432" s="40" t="s">
        <v>105</v>
      </c>
      <c r="M432" s="40" t="s">
        <v>341</v>
      </c>
      <c r="N432" s="14" t="s">
        <v>1965</v>
      </c>
      <c r="O432" s="14" t="s">
        <v>1971</v>
      </c>
      <c r="P432" s="14" t="s">
        <v>1975</v>
      </c>
      <c r="Q432" s="14" t="s">
        <v>1980</v>
      </c>
      <c r="R432" s="17">
        <v>980</v>
      </c>
      <c r="S432" s="172" t="s">
        <v>51</v>
      </c>
      <c r="T432" s="17">
        <v>2030</v>
      </c>
      <c r="U432" s="14" t="s">
        <v>51</v>
      </c>
      <c r="V432" s="16">
        <f t="shared" si="68"/>
        <v>244075</v>
      </c>
      <c r="W432" s="16">
        <f t="shared" si="69"/>
        <v>244082</v>
      </c>
      <c r="X432" s="16">
        <f t="shared" si="70"/>
        <v>244077</v>
      </c>
      <c r="Y432" s="15" t="s">
        <v>54</v>
      </c>
      <c r="Z432" s="177">
        <v>244047</v>
      </c>
      <c r="AA432" s="170"/>
      <c r="AB432" s="170"/>
      <c r="AC432" s="170"/>
      <c r="AD432" s="170"/>
      <c r="AE432" s="15" t="s">
        <v>54</v>
      </c>
      <c r="AF432" s="177">
        <v>244081</v>
      </c>
      <c r="AG432" s="177" t="str">
        <f t="shared" si="71"/>
        <v>Pass</v>
      </c>
      <c r="AH432" s="177">
        <f t="shared" si="72"/>
        <v>244081</v>
      </c>
      <c r="AK432" s="176"/>
      <c r="AL432" s="176"/>
    </row>
    <row r="433" spans="1:38" ht="36" customHeight="1" x14ac:dyDescent="0.2">
      <c r="A433" s="14" t="s">
        <v>20</v>
      </c>
      <c r="B433" s="212">
        <v>244075</v>
      </c>
      <c r="C433" s="14" t="s">
        <v>547</v>
      </c>
      <c r="D433" s="14" t="s">
        <v>268</v>
      </c>
      <c r="E433" s="14" t="s">
        <v>14</v>
      </c>
      <c r="F433" s="14" t="s">
        <v>324</v>
      </c>
      <c r="G433" s="179">
        <v>680432</v>
      </c>
      <c r="H433" s="176" t="s">
        <v>1223</v>
      </c>
      <c r="I433" s="176" t="s">
        <v>864</v>
      </c>
      <c r="J433" s="176" t="s">
        <v>865</v>
      </c>
      <c r="K433" s="176" t="s">
        <v>1961</v>
      </c>
      <c r="L433" s="40" t="s">
        <v>46</v>
      </c>
      <c r="M433" s="40" t="s">
        <v>341</v>
      </c>
      <c r="N433" s="14" t="s">
        <v>1966</v>
      </c>
      <c r="O433" s="14" t="s">
        <v>552</v>
      </c>
      <c r="P433" s="14" t="s">
        <v>793</v>
      </c>
      <c r="Q433" s="14" t="s">
        <v>553</v>
      </c>
      <c r="R433" s="17">
        <v>127</v>
      </c>
      <c r="S433" s="172" t="s">
        <v>51</v>
      </c>
      <c r="T433" s="17">
        <v>1915</v>
      </c>
      <c r="U433" s="14" t="s">
        <v>51</v>
      </c>
      <c r="V433" s="16">
        <f t="shared" si="68"/>
        <v>244075</v>
      </c>
      <c r="W433" s="16">
        <f t="shared" si="69"/>
        <v>244082</v>
      </c>
      <c r="X433" s="16">
        <f t="shared" si="70"/>
        <v>244077</v>
      </c>
      <c r="Y433" s="15"/>
      <c r="Z433" s="177"/>
      <c r="AA433" s="170"/>
      <c r="AB433" s="170"/>
      <c r="AC433" s="170"/>
      <c r="AD433" s="170"/>
      <c r="AE433" s="15"/>
      <c r="AF433" s="177"/>
      <c r="AG433" s="177">
        <f t="shared" si="71"/>
        <v>0</v>
      </c>
      <c r="AH433" s="177">
        <f t="shared" si="72"/>
        <v>0</v>
      </c>
      <c r="AK433" s="176"/>
      <c r="AL433" s="176"/>
    </row>
    <row r="434" spans="1:38" ht="36" customHeight="1" x14ac:dyDescent="0.2">
      <c r="A434" s="14" t="s">
        <v>20</v>
      </c>
      <c r="B434" s="212">
        <v>244075</v>
      </c>
      <c r="C434" s="14" t="s">
        <v>547</v>
      </c>
      <c r="D434" s="14" t="s">
        <v>268</v>
      </c>
      <c r="E434" s="14" t="s">
        <v>14</v>
      </c>
      <c r="F434" s="14" t="s">
        <v>324</v>
      </c>
      <c r="G434" s="179">
        <v>680433</v>
      </c>
      <c r="H434" s="176" t="s">
        <v>1958</v>
      </c>
      <c r="I434" s="176" t="s">
        <v>630</v>
      </c>
      <c r="J434" s="176" t="s">
        <v>520</v>
      </c>
      <c r="K434" s="176" t="s">
        <v>1962</v>
      </c>
      <c r="L434" s="40" t="s">
        <v>105</v>
      </c>
      <c r="M434" s="40" t="s">
        <v>341</v>
      </c>
      <c r="N434" s="14" t="s">
        <v>1967</v>
      </c>
      <c r="O434" s="14" t="s">
        <v>988</v>
      </c>
      <c r="P434" s="14" t="s">
        <v>901</v>
      </c>
      <c r="Q434" s="14" t="s">
        <v>994</v>
      </c>
      <c r="R434" s="17">
        <v>280</v>
      </c>
      <c r="S434" s="172" t="s">
        <v>51</v>
      </c>
      <c r="T434" s="17">
        <v>985</v>
      </c>
      <c r="U434" s="14" t="s">
        <v>51</v>
      </c>
      <c r="V434" s="16">
        <f t="shared" si="68"/>
        <v>244075</v>
      </c>
      <c r="W434" s="16">
        <f t="shared" si="69"/>
        <v>244082</v>
      </c>
      <c r="X434" s="16">
        <f t="shared" si="70"/>
        <v>244077</v>
      </c>
      <c r="Y434" s="15" t="s">
        <v>54</v>
      </c>
      <c r="Z434" s="177">
        <v>244077</v>
      </c>
      <c r="AA434" s="170"/>
      <c r="AB434" s="170"/>
      <c r="AC434" s="170"/>
      <c r="AD434" s="170"/>
      <c r="AE434" s="15" t="s">
        <v>54</v>
      </c>
      <c r="AF434" s="177">
        <v>244081</v>
      </c>
      <c r="AG434" s="177" t="str">
        <f t="shared" si="71"/>
        <v>Pass</v>
      </c>
      <c r="AH434" s="177">
        <f t="shared" si="72"/>
        <v>244081</v>
      </c>
      <c r="AK434" s="176"/>
      <c r="AL434" s="176"/>
    </row>
    <row r="435" spans="1:38" ht="36" customHeight="1" x14ac:dyDescent="0.2">
      <c r="A435" s="14" t="s">
        <v>20</v>
      </c>
      <c r="B435" s="212">
        <v>244075</v>
      </c>
      <c r="C435" s="14" t="s">
        <v>547</v>
      </c>
      <c r="D435" s="14" t="s">
        <v>268</v>
      </c>
      <c r="E435" s="14" t="s">
        <v>14</v>
      </c>
      <c r="F435" s="14" t="s">
        <v>324</v>
      </c>
      <c r="G435" s="179">
        <v>680434</v>
      </c>
      <c r="H435" s="176" t="s">
        <v>1136</v>
      </c>
      <c r="I435" s="176" t="s">
        <v>612</v>
      </c>
      <c r="J435" s="176" t="s">
        <v>865</v>
      </c>
      <c r="K435" s="176" t="s">
        <v>1963</v>
      </c>
      <c r="L435" s="40" t="s">
        <v>46</v>
      </c>
      <c r="M435" s="40" t="s">
        <v>341</v>
      </c>
      <c r="N435" s="14" t="s">
        <v>1969</v>
      </c>
      <c r="O435" s="14" t="s">
        <v>528</v>
      </c>
      <c r="P435" s="14" t="s">
        <v>1976</v>
      </c>
      <c r="Q435" s="14" t="s">
        <v>541</v>
      </c>
      <c r="R435" s="17">
        <v>350</v>
      </c>
      <c r="S435" s="172" t="s">
        <v>51</v>
      </c>
      <c r="T435" s="17">
        <v>1940</v>
      </c>
      <c r="U435" s="14" t="s">
        <v>51</v>
      </c>
      <c r="V435" s="16">
        <f t="shared" si="68"/>
        <v>244075</v>
      </c>
      <c r="W435" s="16">
        <f t="shared" si="69"/>
        <v>244082</v>
      </c>
      <c r="X435" s="16">
        <f t="shared" si="70"/>
        <v>244077</v>
      </c>
      <c r="Y435" s="15"/>
      <c r="Z435" s="177"/>
      <c r="AA435" s="170"/>
      <c r="AB435" s="170"/>
      <c r="AC435" s="170"/>
      <c r="AD435" s="170"/>
      <c r="AE435" s="15"/>
      <c r="AF435" s="177"/>
      <c r="AG435" s="177">
        <f t="shared" si="71"/>
        <v>0</v>
      </c>
      <c r="AH435" s="177">
        <f t="shared" si="72"/>
        <v>0</v>
      </c>
      <c r="AK435" s="176"/>
      <c r="AL435" s="176"/>
    </row>
    <row r="436" spans="1:38" ht="36" customHeight="1" x14ac:dyDescent="0.2">
      <c r="A436" s="14" t="s">
        <v>20</v>
      </c>
      <c r="B436" s="212">
        <v>244076</v>
      </c>
      <c r="C436" s="14" t="s">
        <v>547</v>
      </c>
      <c r="D436" s="14" t="s">
        <v>268</v>
      </c>
      <c r="E436" s="14" t="s">
        <v>14</v>
      </c>
      <c r="F436" s="14" t="s">
        <v>324</v>
      </c>
      <c r="G436" s="179">
        <v>680435</v>
      </c>
      <c r="H436" s="176" t="s">
        <v>1279</v>
      </c>
      <c r="I436" s="176" t="s">
        <v>550</v>
      </c>
      <c r="J436" s="176" t="s">
        <v>128</v>
      </c>
      <c r="K436" s="176" t="s">
        <v>1981</v>
      </c>
      <c r="L436" s="40" t="s">
        <v>46</v>
      </c>
      <c r="M436" s="40" t="s">
        <v>341</v>
      </c>
      <c r="N436" s="14" t="s">
        <v>733</v>
      </c>
      <c r="O436" s="14" t="s">
        <v>528</v>
      </c>
      <c r="P436" s="14" t="s">
        <v>1248</v>
      </c>
      <c r="Q436" s="14" t="s">
        <v>541</v>
      </c>
      <c r="R436" s="17">
        <v>300</v>
      </c>
      <c r="S436" s="172" t="s">
        <v>51</v>
      </c>
      <c r="T436" s="17">
        <v>2400</v>
      </c>
      <c r="U436" s="14" t="s">
        <v>51</v>
      </c>
      <c r="V436" s="16">
        <f t="shared" si="68"/>
        <v>244076</v>
      </c>
      <c r="W436" s="16">
        <f t="shared" si="69"/>
        <v>244083</v>
      </c>
      <c r="X436" s="16">
        <f t="shared" si="70"/>
        <v>244078</v>
      </c>
      <c r="Y436" s="15" t="s">
        <v>54</v>
      </c>
      <c r="Z436" s="177">
        <v>244047</v>
      </c>
      <c r="AA436" s="170"/>
      <c r="AB436" s="170"/>
      <c r="AC436" s="170"/>
      <c r="AD436" s="170"/>
      <c r="AE436" s="15" t="s">
        <v>54</v>
      </c>
      <c r="AF436" s="177">
        <v>244081</v>
      </c>
      <c r="AG436" s="177" t="str">
        <f t="shared" si="71"/>
        <v>Pass</v>
      </c>
      <c r="AH436" s="177">
        <f t="shared" si="72"/>
        <v>244081</v>
      </c>
      <c r="AK436" s="176"/>
      <c r="AL436" s="176"/>
    </row>
    <row r="437" spans="1:38" ht="36" customHeight="1" x14ac:dyDescent="0.2">
      <c r="A437" s="14" t="s">
        <v>20</v>
      </c>
      <c r="B437" s="212">
        <v>244076</v>
      </c>
      <c r="C437" s="14" t="s">
        <v>547</v>
      </c>
      <c r="D437" s="14" t="s">
        <v>268</v>
      </c>
      <c r="E437" s="14" t="s">
        <v>14</v>
      </c>
      <c r="F437" s="14" t="s">
        <v>324</v>
      </c>
      <c r="G437" s="179">
        <v>680436</v>
      </c>
      <c r="H437" s="176" t="s">
        <v>1279</v>
      </c>
      <c r="I437" s="176" t="s">
        <v>550</v>
      </c>
      <c r="J437" s="176" t="s">
        <v>128</v>
      </c>
      <c r="K437" s="176" t="s">
        <v>1981</v>
      </c>
      <c r="L437" s="40" t="s">
        <v>46</v>
      </c>
      <c r="M437" s="40" t="s">
        <v>341</v>
      </c>
      <c r="N437" s="14" t="s">
        <v>1982</v>
      </c>
      <c r="O437" s="14" t="s">
        <v>1983</v>
      </c>
      <c r="P437" s="14" t="s">
        <v>1984</v>
      </c>
      <c r="Q437" s="14" t="s">
        <v>1985</v>
      </c>
      <c r="R437" s="17">
        <v>2300</v>
      </c>
      <c r="S437" s="172" t="s">
        <v>51</v>
      </c>
      <c r="T437" s="17">
        <v>2505</v>
      </c>
      <c r="U437" s="14" t="s">
        <v>51</v>
      </c>
      <c r="V437" s="16">
        <f t="shared" si="68"/>
        <v>244076</v>
      </c>
      <c r="W437" s="16">
        <f t="shared" si="69"/>
        <v>244083</v>
      </c>
      <c r="X437" s="16">
        <f t="shared" si="70"/>
        <v>244078</v>
      </c>
      <c r="Y437" s="15" t="s">
        <v>54</v>
      </c>
      <c r="Z437" s="177">
        <v>244047</v>
      </c>
      <c r="AA437" s="170"/>
      <c r="AB437" s="170"/>
      <c r="AC437" s="170"/>
      <c r="AD437" s="170"/>
      <c r="AE437" s="15" t="s">
        <v>54</v>
      </c>
      <c r="AF437" s="177">
        <v>244081</v>
      </c>
      <c r="AG437" s="177" t="str">
        <f t="shared" si="71"/>
        <v>Pass</v>
      </c>
      <c r="AH437" s="177">
        <f t="shared" si="72"/>
        <v>244081</v>
      </c>
      <c r="AK437" s="176"/>
      <c r="AL437" s="176"/>
    </row>
    <row r="438" spans="1:38" ht="36" customHeight="1" x14ac:dyDescent="0.2">
      <c r="A438" s="14" t="s">
        <v>20</v>
      </c>
      <c r="B438" s="212">
        <v>244077</v>
      </c>
      <c r="C438" s="14" t="s">
        <v>547</v>
      </c>
      <c r="D438" s="14" t="s">
        <v>268</v>
      </c>
      <c r="E438" s="14" t="s">
        <v>14</v>
      </c>
      <c r="F438" s="14" t="s">
        <v>324</v>
      </c>
      <c r="G438" s="179">
        <v>680437</v>
      </c>
      <c r="H438" s="176" t="s">
        <v>1436</v>
      </c>
      <c r="I438" s="176" t="s">
        <v>630</v>
      </c>
      <c r="J438" s="176" t="s">
        <v>1190</v>
      </c>
      <c r="K438" s="176" t="s">
        <v>1988</v>
      </c>
      <c r="L438" s="40" t="s">
        <v>105</v>
      </c>
      <c r="M438" s="40" t="s">
        <v>341</v>
      </c>
      <c r="N438" s="14" t="s">
        <v>1783</v>
      </c>
      <c r="O438" s="14" t="s">
        <v>548</v>
      </c>
      <c r="P438" s="14" t="s">
        <v>518</v>
      </c>
      <c r="Q438" s="14" t="s">
        <v>549</v>
      </c>
      <c r="R438" s="17">
        <v>360</v>
      </c>
      <c r="S438" s="172" t="s">
        <v>51</v>
      </c>
      <c r="T438" s="17">
        <v>1890</v>
      </c>
      <c r="U438" s="14" t="s">
        <v>51</v>
      </c>
      <c r="V438" s="16">
        <f t="shared" si="68"/>
        <v>244077</v>
      </c>
      <c r="W438" s="16">
        <f t="shared" si="69"/>
        <v>244084</v>
      </c>
      <c r="X438" s="16">
        <f t="shared" si="70"/>
        <v>244079</v>
      </c>
      <c r="Y438" s="15"/>
      <c r="Z438" s="177"/>
      <c r="AA438" s="170"/>
      <c r="AB438" s="170"/>
      <c r="AC438" s="170"/>
      <c r="AD438" s="170"/>
      <c r="AE438" s="15"/>
      <c r="AF438" s="177"/>
      <c r="AG438" s="177">
        <f t="shared" si="71"/>
        <v>0</v>
      </c>
      <c r="AH438" s="177">
        <f t="shared" si="72"/>
        <v>0</v>
      </c>
      <c r="AK438" s="176"/>
      <c r="AL438" s="176"/>
    </row>
    <row r="439" spans="1:38" ht="36" customHeight="1" x14ac:dyDescent="0.2">
      <c r="A439" s="14" t="s">
        <v>20</v>
      </c>
      <c r="B439" s="212">
        <v>244077</v>
      </c>
      <c r="C439" s="14" t="s">
        <v>547</v>
      </c>
      <c r="D439" s="14" t="s">
        <v>268</v>
      </c>
      <c r="E439" s="14" t="s">
        <v>14</v>
      </c>
      <c r="F439" s="14" t="s">
        <v>324</v>
      </c>
      <c r="G439" s="179">
        <v>680438</v>
      </c>
      <c r="H439" s="176" t="s">
        <v>1986</v>
      </c>
      <c r="I439" s="176" t="s">
        <v>550</v>
      </c>
      <c r="J439" s="176" t="s">
        <v>128</v>
      </c>
      <c r="K439" s="176" t="s">
        <v>1989</v>
      </c>
      <c r="L439" s="40" t="s">
        <v>106</v>
      </c>
      <c r="M439" s="40" t="s">
        <v>341</v>
      </c>
      <c r="N439" s="14" t="s">
        <v>1991</v>
      </c>
      <c r="O439" s="14" t="s">
        <v>548</v>
      </c>
      <c r="P439" s="14" t="s">
        <v>518</v>
      </c>
      <c r="Q439" s="14" t="s">
        <v>549</v>
      </c>
      <c r="R439" s="17">
        <v>264</v>
      </c>
      <c r="S439" s="172" t="s">
        <v>51</v>
      </c>
      <c r="T439" s="17">
        <v>1590</v>
      </c>
      <c r="U439" s="14" t="s">
        <v>51</v>
      </c>
      <c r="V439" s="16">
        <f t="shared" si="68"/>
        <v>244077</v>
      </c>
      <c r="W439" s="16">
        <f t="shared" si="69"/>
        <v>244084</v>
      </c>
      <c r="X439" s="16">
        <f t="shared" si="70"/>
        <v>244079</v>
      </c>
      <c r="Y439" s="15" t="s">
        <v>54</v>
      </c>
      <c r="Z439" s="177">
        <v>244085</v>
      </c>
      <c r="AA439" s="170"/>
      <c r="AB439" s="170"/>
      <c r="AC439" s="170"/>
      <c r="AD439" s="170"/>
      <c r="AE439" s="15" t="s">
        <v>54</v>
      </c>
      <c r="AF439" s="177">
        <v>244091</v>
      </c>
      <c r="AG439" s="177" t="str">
        <f t="shared" si="71"/>
        <v>Pass</v>
      </c>
      <c r="AH439" s="177">
        <f t="shared" si="72"/>
        <v>244091</v>
      </c>
      <c r="AK439" s="176"/>
      <c r="AL439" s="176"/>
    </row>
    <row r="440" spans="1:38" ht="36" customHeight="1" x14ac:dyDescent="0.2">
      <c r="A440" s="14" t="s">
        <v>20</v>
      </c>
      <c r="B440" s="212">
        <v>244077</v>
      </c>
      <c r="C440" s="14" t="s">
        <v>547</v>
      </c>
      <c r="D440" s="14" t="s">
        <v>268</v>
      </c>
      <c r="E440" s="14" t="s">
        <v>14</v>
      </c>
      <c r="F440" s="14" t="s">
        <v>324</v>
      </c>
      <c r="G440" s="179">
        <v>680439</v>
      </c>
      <c r="H440" s="176" t="s">
        <v>1436</v>
      </c>
      <c r="I440" s="176" t="s">
        <v>630</v>
      </c>
      <c r="J440" s="176" t="s">
        <v>1190</v>
      </c>
      <c r="K440" s="176" t="s">
        <v>1988</v>
      </c>
      <c r="L440" s="40" t="s">
        <v>124</v>
      </c>
      <c r="M440" s="40" t="s">
        <v>341</v>
      </c>
      <c r="N440" s="14" t="s">
        <v>1992</v>
      </c>
      <c r="O440" s="14" t="s">
        <v>552</v>
      </c>
      <c r="P440" s="14" t="s">
        <v>1995</v>
      </c>
      <c r="Q440" s="14" t="s">
        <v>553</v>
      </c>
      <c r="R440" s="17">
        <v>3545</v>
      </c>
      <c r="S440" s="172" t="s">
        <v>51</v>
      </c>
      <c r="T440" s="17">
        <v>1840</v>
      </c>
      <c r="U440" s="14" t="s">
        <v>51</v>
      </c>
      <c r="V440" s="16">
        <f t="shared" si="68"/>
        <v>244077</v>
      </c>
      <c r="W440" s="16">
        <f t="shared" si="69"/>
        <v>244084</v>
      </c>
      <c r="X440" s="16">
        <f t="shared" si="70"/>
        <v>244079</v>
      </c>
      <c r="Y440" s="15"/>
      <c r="Z440" s="177"/>
      <c r="AA440" s="170"/>
      <c r="AB440" s="170"/>
      <c r="AC440" s="170"/>
      <c r="AD440" s="170"/>
      <c r="AE440" s="15"/>
      <c r="AF440" s="177"/>
      <c r="AG440" s="177">
        <f t="shared" si="71"/>
        <v>0</v>
      </c>
      <c r="AH440" s="177">
        <f t="shared" si="72"/>
        <v>0</v>
      </c>
      <c r="AK440" s="176"/>
      <c r="AL440" s="176"/>
    </row>
    <row r="441" spans="1:38" ht="36" customHeight="1" x14ac:dyDescent="0.2">
      <c r="A441" s="14" t="s">
        <v>20</v>
      </c>
      <c r="B441" s="212">
        <v>244077</v>
      </c>
      <c r="C441" s="14" t="s">
        <v>547</v>
      </c>
      <c r="D441" s="14" t="s">
        <v>268</v>
      </c>
      <c r="E441" s="14" t="s">
        <v>14</v>
      </c>
      <c r="F441" s="14" t="s">
        <v>324</v>
      </c>
      <c r="G441" s="179">
        <v>680440</v>
      </c>
      <c r="H441" s="176" t="s">
        <v>1925</v>
      </c>
      <c r="I441" s="176" t="s">
        <v>630</v>
      </c>
      <c r="J441" s="176" t="s">
        <v>1987</v>
      </c>
      <c r="K441" s="176" t="s">
        <v>1990</v>
      </c>
      <c r="L441" s="40" t="s">
        <v>105</v>
      </c>
      <c r="M441" s="40" t="s">
        <v>341</v>
      </c>
      <c r="N441" s="14" t="s">
        <v>1993</v>
      </c>
      <c r="O441" s="14" t="s">
        <v>527</v>
      </c>
      <c r="P441" s="14" t="s">
        <v>1996</v>
      </c>
      <c r="Q441" s="14" t="s">
        <v>542</v>
      </c>
      <c r="R441" s="17">
        <v>175</v>
      </c>
      <c r="S441" s="172" t="s">
        <v>51</v>
      </c>
      <c r="T441" s="17">
        <v>1170</v>
      </c>
      <c r="U441" s="14" t="s">
        <v>51</v>
      </c>
      <c r="V441" s="16">
        <f t="shared" si="68"/>
        <v>244077</v>
      </c>
      <c r="W441" s="16">
        <f t="shared" si="69"/>
        <v>244084</v>
      </c>
      <c r="X441" s="16">
        <f t="shared" si="70"/>
        <v>244079</v>
      </c>
      <c r="Y441" s="15"/>
      <c r="Z441" s="177"/>
      <c r="AA441" s="170"/>
      <c r="AB441" s="170"/>
      <c r="AC441" s="170"/>
      <c r="AD441" s="170"/>
      <c r="AE441" s="15"/>
      <c r="AF441" s="177"/>
      <c r="AG441" s="177">
        <f t="shared" si="71"/>
        <v>0</v>
      </c>
      <c r="AH441" s="177">
        <f t="shared" si="72"/>
        <v>0</v>
      </c>
      <c r="AK441" s="176"/>
      <c r="AL441" s="176"/>
    </row>
    <row r="442" spans="1:38" ht="36" customHeight="1" x14ac:dyDescent="0.2">
      <c r="A442" s="14" t="s">
        <v>20</v>
      </c>
      <c r="B442" s="212">
        <v>244077</v>
      </c>
      <c r="C442" s="14" t="s">
        <v>547</v>
      </c>
      <c r="D442" s="14" t="s">
        <v>268</v>
      </c>
      <c r="E442" s="14" t="s">
        <v>14</v>
      </c>
      <c r="F442" s="14" t="s">
        <v>324</v>
      </c>
      <c r="G442" s="179">
        <v>680441</v>
      </c>
      <c r="H442" s="176" t="s">
        <v>1925</v>
      </c>
      <c r="I442" s="176" t="s">
        <v>630</v>
      </c>
      <c r="J442" s="176" t="s">
        <v>1987</v>
      </c>
      <c r="K442" s="176" t="s">
        <v>1990</v>
      </c>
      <c r="L442" s="40" t="s">
        <v>105</v>
      </c>
      <c r="M442" s="40" t="s">
        <v>341</v>
      </c>
      <c r="N442" s="14" t="s">
        <v>1994</v>
      </c>
      <c r="O442" s="14" t="s">
        <v>1588</v>
      </c>
      <c r="P442" s="14" t="s">
        <v>1997</v>
      </c>
      <c r="Q442" s="14" t="s">
        <v>542</v>
      </c>
      <c r="R442" s="17">
        <v>345</v>
      </c>
      <c r="S442" s="172" t="s">
        <v>51</v>
      </c>
      <c r="T442" s="17">
        <v>1450</v>
      </c>
      <c r="U442" s="14" t="s">
        <v>51</v>
      </c>
      <c r="V442" s="16">
        <f t="shared" si="68"/>
        <v>244077</v>
      </c>
      <c r="W442" s="16">
        <f t="shared" si="69"/>
        <v>244084</v>
      </c>
      <c r="X442" s="16">
        <f t="shared" si="70"/>
        <v>244079</v>
      </c>
      <c r="Y442" s="15"/>
      <c r="Z442" s="177"/>
      <c r="AA442" s="170"/>
      <c r="AB442" s="170"/>
      <c r="AC442" s="170"/>
      <c r="AD442" s="170"/>
      <c r="AE442" s="15"/>
      <c r="AF442" s="177"/>
      <c r="AG442" s="177">
        <f t="shared" si="71"/>
        <v>0</v>
      </c>
      <c r="AH442" s="177">
        <f t="shared" si="72"/>
        <v>0</v>
      </c>
      <c r="AK442" s="176"/>
      <c r="AL442" s="176"/>
    </row>
    <row r="443" spans="1:38" ht="36" customHeight="1" x14ac:dyDescent="0.2">
      <c r="A443" s="14" t="s">
        <v>20</v>
      </c>
      <c r="B443" s="212">
        <v>244079</v>
      </c>
      <c r="C443" s="14" t="s">
        <v>547</v>
      </c>
      <c r="D443" s="14" t="s">
        <v>268</v>
      </c>
      <c r="E443" s="14" t="s">
        <v>14</v>
      </c>
      <c r="F443" s="14" t="s">
        <v>324</v>
      </c>
      <c r="G443" s="179">
        <v>680442</v>
      </c>
      <c r="H443" s="176" t="s">
        <v>849</v>
      </c>
      <c r="I443" s="176" t="s">
        <v>550</v>
      </c>
      <c r="J443" s="176" t="s">
        <v>128</v>
      </c>
      <c r="K443" s="176" t="s">
        <v>1999</v>
      </c>
      <c r="L443" s="40" t="s">
        <v>106</v>
      </c>
      <c r="M443" s="40" t="s">
        <v>341</v>
      </c>
      <c r="N443" s="14" t="s">
        <v>2004</v>
      </c>
      <c r="O443" s="14" t="s">
        <v>2009</v>
      </c>
      <c r="P443" s="14" t="s">
        <v>2010</v>
      </c>
      <c r="Q443" s="14" t="s">
        <v>2013</v>
      </c>
      <c r="R443" s="17">
        <v>200</v>
      </c>
      <c r="S443" s="172" t="s">
        <v>51</v>
      </c>
      <c r="T443" s="17">
        <v>925</v>
      </c>
      <c r="U443" s="14" t="s">
        <v>51</v>
      </c>
      <c r="V443" s="16">
        <f t="shared" si="68"/>
        <v>244079</v>
      </c>
      <c r="W443" s="16">
        <f t="shared" si="69"/>
        <v>244086</v>
      </c>
      <c r="X443" s="16">
        <f t="shared" si="70"/>
        <v>244081</v>
      </c>
      <c r="Y443" s="15"/>
      <c r="Z443" s="177"/>
      <c r="AA443" s="170"/>
      <c r="AB443" s="170"/>
      <c r="AC443" s="170"/>
      <c r="AD443" s="170"/>
      <c r="AE443" s="15"/>
      <c r="AF443" s="177"/>
      <c r="AG443" s="177">
        <f t="shared" si="71"/>
        <v>0</v>
      </c>
      <c r="AH443" s="177">
        <f t="shared" si="72"/>
        <v>0</v>
      </c>
      <c r="AK443" s="176"/>
      <c r="AL443" s="176"/>
    </row>
    <row r="444" spans="1:38" ht="36" customHeight="1" x14ac:dyDescent="0.2">
      <c r="A444" s="14" t="s">
        <v>20</v>
      </c>
      <c r="B444" s="212">
        <v>244079</v>
      </c>
      <c r="C444" s="14" t="s">
        <v>547</v>
      </c>
      <c r="D444" s="14" t="s">
        <v>268</v>
      </c>
      <c r="E444" s="14" t="s">
        <v>14</v>
      </c>
      <c r="F444" s="14" t="s">
        <v>324</v>
      </c>
      <c r="G444" s="179">
        <v>680443</v>
      </c>
      <c r="H444" s="176" t="s">
        <v>1547</v>
      </c>
      <c r="I444" s="176" t="s">
        <v>550</v>
      </c>
      <c r="J444" s="176" t="s">
        <v>128</v>
      </c>
      <c r="K444" s="176" t="s">
        <v>2000</v>
      </c>
      <c r="L444" s="40" t="s">
        <v>106</v>
      </c>
      <c r="M444" s="40" t="s">
        <v>341</v>
      </c>
      <c r="N444" s="14" t="s">
        <v>2005</v>
      </c>
      <c r="O444" s="14" t="s">
        <v>1009</v>
      </c>
      <c r="P444" s="14" t="s">
        <v>2011</v>
      </c>
      <c r="Q444" s="14" t="s">
        <v>323</v>
      </c>
      <c r="R444" s="17">
        <v>150</v>
      </c>
      <c r="S444" s="172" t="s">
        <v>51</v>
      </c>
      <c r="T444" s="17">
        <v>2550</v>
      </c>
      <c r="U444" s="14" t="s">
        <v>51</v>
      </c>
      <c r="V444" s="16">
        <f t="shared" si="68"/>
        <v>244079</v>
      </c>
      <c r="W444" s="16">
        <f t="shared" si="69"/>
        <v>244086</v>
      </c>
      <c r="X444" s="16">
        <f t="shared" si="70"/>
        <v>244081</v>
      </c>
      <c r="Y444" s="15"/>
      <c r="Z444" s="177"/>
      <c r="AA444" s="170"/>
      <c r="AB444" s="170"/>
      <c r="AC444" s="170"/>
      <c r="AD444" s="170"/>
      <c r="AE444" s="15"/>
      <c r="AF444" s="177"/>
      <c r="AG444" s="177">
        <f t="shared" si="71"/>
        <v>0</v>
      </c>
      <c r="AH444" s="177">
        <f t="shared" si="72"/>
        <v>0</v>
      </c>
      <c r="AK444" s="176"/>
      <c r="AL444" s="176"/>
    </row>
    <row r="445" spans="1:38" ht="36" customHeight="1" x14ac:dyDescent="0.2">
      <c r="A445" s="14" t="s">
        <v>20</v>
      </c>
      <c r="B445" s="212">
        <v>244079</v>
      </c>
      <c r="C445" s="14" t="s">
        <v>547</v>
      </c>
      <c r="D445" s="14" t="s">
        <v>268</v>
      </c>
      <c r="E445" s="14" t="s">
        <v>14</v>
      </c>
      <c r="F445" s="14" t="s">
        <v>324</v>
      </c>
      <c r="G445" s="179">
        <v>680444</v>
      </c>
      <c r="H445" s="176" t="s">
        <v>1493</v>
      </c>
      <c r="I445" s="176" t="s">
        <v>748</v>
      </c>
      <c r="J445" s="176" t="s">
        <v>123</v>
      </c>
      <c r="K445" s="176" t="s">
        <v>2001</v>
      </c>
      <c r="L445" s="40" t="s">
        <v>46</v>
      </c>
      <c r="M445" s="40" t="s">
        <v>341</v>
      </c>
      <c r="N445" s="14" t="s">
        <v>2006</v>
      </c>
      <c r="O445" s="14" t="s">
        <v>543</v>
      </c>
      <c r="P445" s="14" t="s">
        <v>2012</v>
      </c>
      <c r="Q445" s="14" t="s">
        <v>529</v>
      </c>
      <c r="R445" s="17">
        <v>400</v>
      </c>
      <c r="S445" s="172" t="s">
        <v>51</v>
      </c>
      <c r="T445" s="17">
        <v>1995</v>
      </c>
      <c r="U445" s="14" t="s">
        <v>51</v>
      </c>
      <c r="V445" s="16">
        <f t="shared" si="68"/>
        <v>244079</v>
      </c>
      <c r="W445" s="16">
        <f t="shared" si="69"/>
        <v>244086</v>
      </c>
      <c r="X445" s="16">
        <f t="shared" si="70"/>
        <v>244081</v>
      </c>
      <c r="Y445" s="15"/>
      <c r="Z445" s="177"/>
      <c r="AA445" s="170"/>
      <c r="AB445" s="170"/>
      <c r="AC445" s="170"/>
      <c r="AD445" s="170"/>
      <c r="AE445" s="15"/>
      <c r="AF445" s="177"/>
      <c r="AG445" s="177">
        <f t="shared" si="71"/>
        <v>0</v>
      </c>
      <c r="AH445" s="177">
        <f t="shared" si="72"/>
        <v>0</v>
      </c>
      <c r="AK445" s="176"/>
      <c r="AL445" s="176"/>
    </row>
    <row r="446" spans="1:38" ht="36" customHeight="1" x14ac:dyDescent="0.2">
      <c r="A446" s="14" t="s">
        <v>20</v>
      </c>
      <c r="B446" s="212">
        <v>244079</v>
      </c>
      <c r="C446" s="14" t="s">
        <v>547</v>
      </c>
      <c r="D446" s="14" t="s">
        <v>268</v>
      </c>
      <c r="E446" s="14" t="s">
        <v>14</v>
      </c>
      <c r="F446" s="14" t="s">
        <v>324</v>
      </c>
      <c r="G446" s="179">
        <v>680445</v>
      </c>
      <c r="H446" s="176" t="s">
        <v>1345</v>
      </c>
      <c r="I446" s="176" t="s">
        <v>550</v>
      </c>
      <c r="J446" s="176" t="s">
        <v>128</v>
      </c>
      <c r="K446" s="176" t="s">
        <v>2002</v>
      </c>
      <c r="L446" s="40" t="s">
        <v>108</v>
      </c>
      <c r="M446" s="40" t="s">
        <v>341</v>
      </c>
      <c r="N446" s="14" t="s">
        <v>2007</v>
      </c>
      <c r="O446" s="14" t="s">
        <v>548</v>
      </c>
      <c r="P446" s="14" t="s">
        <v>518</v>
      </c>
      <c r="Q446" s="14" t="s">
        <v>549</v>
      </c>
      <c r="R446" s="17">
        <v>143</v>
      </c>
      <c r="S446" s="172" t="s">
        <v>51</v>
      </c>
      <c r="T446" s="17">
        <v>1500</v>
      </c>
      <c r="U446" s="14" t="s">
        <v>51</v>
      </c>
      <c r="V446" s="16">
        <f t="shared" si="68"/>
        <v>244079</v>
      </c>
      <c r="W446" s="16">
        <f t="shared" si="69"/>
        <v>244086</v>
      </c>
      <c r="X446" s="16">
        <f t="shared" si="70"/>
        <v>244081</v>
      </c>
      <c r="Y446" s="15"/>
      <c r="Z446" s="177"/>
      <c r="AA446" s="170"/>
      <c r="AB446" s="170"/>
      <c r="AC446" s="170"/>
      <c r="AD446" s="170"/>
      <c r="AE446" s="15"/>
      <c r="AF446" s="177"/>
      <c r="AG446" s="177">
        <f t="shared" si="71"/>
        <v>0</v>
      </c>
      <c r="AH446" s="177">
        <f t="shared" si="72"/>
        <v>0</v>
      </c>
      <c r="AK446" s="176"/>
      <c r="AL446" s="176"/>
    </row>
    <row r="447" spans="1:38" ht="36" customHeight="1" x14ac:dyDescent="0.2">
      <c r="A447" s="14" t="s">
        <v>20</v>
      </c>
      <c r="B447" s="212">
        <v>244079</v>
      </c>
      <c r="C447" s="14" t="s">
        <v>547</v>
      </c>
      <c r="D447" s="14" t="s">
        <v>268</v>
      </c>
      <c r="E447" s="14" t="s">
        <v>14</v>
      </c>
      <c r="F447" s="14" t="s">
        <v>324</v>
      </c>
      <c r="G447" s="179">
        <v>680446</v>
      </c>
      <c r="H447" s="176" t="s">
        <v>1998</v>
      </c>
      <c r="I447" s="176" t="s">
        <v>612</v>
      </c>
      <c r="J447" s="176" t="s">
        <v>865</v>
      </c>
      <c r="K447" s="176" t="s">
        <v>2003</v>
      </c>
      <c r="L447" s="40" t="s">
        <v>46</v>
      </c>
      <c r="M447" s="40" t="s">
        <v>341</v>
      </c>
      <c r="N447" s="14" t="s">
        <v>2008</v>
      </c>
      <c r="O447" s="14" t="s">
        <v>548</v>
      </c>
      <c r="P447" s="14" t="s">
        <v>518</v>
      </c>
      <c r="Q447" s="14" t="s">
        <v>549</v>
      </c>
      <c r="R447" s="17">
        <v>210</v>
      </c>
      <c r="S447" s="172" t="s">
        <v>51</v>
      </c>
      <c r="T447" s="17">
        <v>1000</v>
      </c>
      <c r="U447" s="14" t="s">
        <v>51</v>
      </c>
      <c r="V447" s="16">
        <f t="shared" si="68"/>
        <v>244079</v>
      </c>
      <c r="W447" s="16">
        <f t="shared" si="69"/>
        <v>244086</v>
      </c>
      <c r="X447" s="16">
        <f t="shared" si="70"/>
        <v>244081</v>
      </c>
      <c r="Y447" s="15"/>
      <c r="Z447" s="177"/>
      <c r="AA447" s="170"/>
      <c r="AB447" s="170"/>
      <c r="AC447" s="170"/>
      <c r="AD447" s="170"/>
      <c r="AE447" s="15"/>
      <c r="AF447" s="177"/>
      <c r="AG447" s="177">
        <f t="shared" si="71"/>
        <v>0</v>
      </c>
      <c r="AH447" s="177">
        <f t="shared" si="72"/>
        <v>0</v>
      </c>
      <c r="AK447" s="176"/>
      <c r="AL447" s="176"/>
    </row>
    <row r="448" spans="1:38" ht="36" customHeight="1" x14ac:dyDescent="0.2">
      <c r="A448" s="14" t="s">
        <v>20</v>
      </c>
      <c r="B448" s="212">
        <v>244081</v>
      </c>
      <c r="C448" s="14" t="s">
        <v>547</v>
      </c>
      <c r="D448" s="14" t="s">
        <v>268</v>
      </c>
      <c r="E448" s="14" t="s">
        <v>119</v>
      </c>
      <c r="F448" s="14" t="s">
        <v>2087</v>
      </c>
      <c r="G448" s="179">
        <v>680447</v>
      </c>
      <c r="H448" s="176" t="s">
        <v>2014</v>
      </c>
      <c r="I448" s="176" t="s">
        <v>748</v>
      </c>
      <c r="J448" s="176" t="s">
        <v>123</v>
      </c>
      <c r="K448" s="176" t="s">
        <v>2019</v>
      </c>
      <c r="L448" s="40" t="s">
        <v>46</v>
      </c>
      <c r="M448" s="40" t="s">
        <v>341</v>
      </c>
      <c r="N448" s="14" t="s">
        <v>2023</v>
      </c>
      <c r="O448" s="14" t="s">
        <v>2025</v>
      </c>
      <c r="P448" s="14" t="s">
        <v>2026</v>
      </c>
      <c r="Q448" s="14" t="s">
        <v>2028</v>
      </c>
      <c r="R448" s="17">
        <v>1600</v>
      </c>
      <c r="S448" s="172" t="s">
        <v>51</v>
      </c>
      <c r="T448" s="17">
        <v>2000</v>
      </c>
      <c r="U448" s="14" t="s">
        <v>51</v>
      </c>
      <c r="V448" s="16">
        <f t="shared" si="68"/>
        <v>244081</v>
      </c>
      <c r="W448" s="16">
        <f t="shared" si="69"/>
        <v>244088</v>
      </c>
      <c r="X448" s="16">
        <f t="shared" si="70"/>
        <v>244083</v>
      </c>
      <c r="Y448" s="15" t="s">
        <v>54</v>
      </c>
      <c r="Z448" s="177">
        <v>244141</v>
      </c>
      <c r="AA448" s="170"/>
      <c r="AB448" s="170"/>
      <c r="AC448" s="170"/>
      <c r="AD448" s="170"/>
      <c r="AE448" s="15" t="s">
        <v>54</v>
      </c>
      <c r="AF448" s="177">
        <v>244141</v>
      </c>
      <c r="AG448" s="177" t="str">
        <f t="shared" si="71"/>
        <v>Pass</v>
      </c>
      <c r="AH448" s="177">
        <f t="shared" si="72"/>
        <v>244141</v>
      </c>
      <c r="AK448" s="176"/>
      <c r="AL448" s="176"/>
    </row>
    <row r="449" spans="1:38" ht="36" customHeight="1" x14ac:dyDescent="0.2">
      <c r="A449" s="14" t="s">
        <v>20</v>
      </c>
      <c r="B449" s="212">
        <v>244081</v>
      </c>
      <c r="C449" s="14" t="s">
        <v>547</v>
      </c>
      <c r="D449" s="14" t="s">
        <v>268</v>
      </c>
      <c r="E449" s="14" t="s">
        <v>14</v>
      </c>
      <c r="F449" s="14" t="s">
        <v>324</v>
      </c>
      <c r="G449" s="179">
        <v>680448</v>
      </c>
      <c r="H449" s="176" t="s">
        <v>2015</v>
      </c>
      <c r="I449" s="176" t="s">
        <v>2018</v>
      </c>
      <c r="J449" s="176" t="s">
        <v>130</v>
      </c>
      <c r="K449" s="176" t="s">
        <v>2020</v>
      </c>
      <c r="L449" s="40" t="s">
        <v>45</v>
      </c>
      <c r="M449" s="40" t="s">
        <v>341</v>
      </c>
      <c r="N449" s="14" t="s">
        <v>1086</v>
      </c>
      <c r="O449" s="14" t="s">
        <v>528</v>
      </c>
      <c r="P449" s="14" t="s">
        <v>1248</v>
      </c>
      <c r="Q449" s="14" t="s">
        <v>541</v>
      </c>
      <c r="R449" s="17">
        <v>400</v>
      </c>
      <c r="S449" s="172" t="s">
        <v>51</v>
      </c>
      <c r="T449" s="17">
        <v>2650</v>
      </c>
      <c r="U449" s="14" t="s">
        <v>51</v>
      </c>
      <c r="V449" s="16">
        <f t="shared" si="68"/>
        <v>244081</v>
      </c>
      <c r="W449" s="16">
        <f t="shared" si="69"/>
        <v>244088</v>
      </c>
      <c r="X449" s="16">
        <f t="shared" si="70"/>
        <v>244083</v>
      </c>
      <c r="Y449" s="15"/>
      <c r="Z449" s="177"/>
      <c r="AA449" s="170"/>
      <c r="AB449" s="170"/>
      <c r="AC449" s="170"/>
      <c r="AD449" s="170"/>
      <c r="AE449" s="15"/>
      <c r="AF449" s="177"/>
      <c r="AG449" s="177">
        <f t="shared" si="71"/>
        <v>0</v>
      </c>
      <c r="AH449" s="177">
        <f t="shared" si="72"/>
        <v>0</v>
      </c>
      <c r="AK449" s="176"/>
      <c r="AL449" s="176"/>
    </row>
    <row r="450" spans="1:38" ht="36" customHeight="1" x14ac:dyDescent="0.2">
      <c r="A450" s="14" t="s">
        <v>20</v>
      </c>
      <c r="B450" s="212">
        <v>244081</v>
      </c>
      <c r="C450" s="14" t="s">
        <v>547</v>
      </c>
      <c r="D450" s="14" t="s">
        <v>268</v>
      </c>
      <c r="E450" s="14" t="s">
        <v>14</v>
      </c>
      <c r="F450" s="14" t="s">
        <v>324</v>
      </c>
      <c r="G450" s="179">
        <v>680449</v>
      </c>
      <c r="H450" s="176" t="s">
        <v>2016</v>
      </c>
      <c r="I450" s="176" t="s">
        <v>612</v>
      </c>
      <c r="J450" s="176" t="s">
        <v>865</v>
      </c>
      <c r="K450" s="176" t="s">
        <v>2021</v>
      </c>
      <c r="L450" s="40" t="s">
        <v>46</v>
      </c>
      <c r="M450" s="40" t="s">
        <v>341</v>
      </c>
      <c r="N450" s="14" t="s">
        <v>1480</v>
      </c>
      <c r="O450" s="14" t="s">
        <v>552</v>
      </c>
      <c r="P450" s="14" t="s">
        <v>519</v>
      </c>
      <c r="Q450" s="14" t="s">
        <v>553</v>
      </c>
      <c r="R450" s="17">
        <v>800</v>
      </c>
      <c r="S450" s="172" t="s">
        <v>51</v>
      </c>
      <c r="T450" s="17" t="s">
        <v>2029</v>
      </c>
      <c r="U450" s="14" t="s">
        <v>51</v>
      </c>
      <c r="V450" s="16">
        <f t="shared" si="68"/>
        <v>244081</v>
      </c>
      <c r="W450" s="16">
        <f t="shared" si="69"/>
        <v>244088</v>
      </c>
      <c r="X450" s="16">
        <f t="shared" si="70"/>
        <v>244083</v>
      </c>
      <c r="Y450" s="15"/>
      <c r="Z450" s="177"/>
      <c r="AA450" s="170"/>
      <c r="AB450" s="170"/>
      <c r="AC450" s="170"/>
      <c r="AD450" s="170"/>
      <c r="AE450" s="15"/>
      <c r="AF450" s="177"/>
      <c r="AG450" s="177">
        <f t="shared" si="71"/>
        <v>0</v>
      </c>
      <c r="AH450" s="177">
        <f t="shared" si="72"/>
        <v>0</v>
      </c>
      <c r="AK450" s="176"/>
      <c r="AL450" s="176"/>
    </row>
    <row r="451" spans="1:38" ht="36" customHeight="1" x14ac:dyDescent="0.2">
      <c r="A451" s="14" t="s">
        <v>20</v>
      </c>
      <c r="B451" s="212">
        <v>244081</v>
      </c>
      <c r="C451" s="14" t="s">
        <v>547</v>
      </c>
      <c r="D451" s="14" t="s">
        <v>268</v>
      </c>
      <c r="E451" s="14" t="s">
        <v>14</v>
      </c>
      <c r="F451" s="14" t="s">
        <v>324</v>
      </c>
      <c r="G451" s="179">
        <v>680450</v>
      </c>
      <c r="H451" s="176" t="s">
        <v>2017</v>
      </c>
      <c r="I451" s="176" t="s">
        <v>864</v>
      </c>
      <c r="J451" s="176" t="s">
        <v>727</v>
      </c>
      <c r="K451" s="176" t="s">
        <v>2022</v>
      </c>
      <c r="L451" s="40" t="s">
        <v>46</v>
      </c>
      <c r="M451" s="40" t="s">
        <v>341</v>
      </c>
      <c r="N451" s="14" t="s">
        <v>1299</v>
      </c>
      <c r="O451" s="14" t="s">
        <v>548</v>
      </c>
      <c r="P451" s="14" t="s">
        <v>518</v>
      </c>
      <c r="Q451" s="14" t="s">
        <v>549</v>
      </c>
      <c r="R451" s="17">
        <v>185</v>
      </c>
      <c r="S451" s="172" t="s">
        <v>51</v>
      </c>
      <c r="T451" s="17">
        <v>1785</v>
      </c>
      <c r="U451" s="14" t="s">
        <v>51</v>
      </c>
      <c r="V451" s="16">
        <f t="shared" si="68"/>
        <v>244081</v>
      </c>
      <c r="W451" s="16">
        <f t="shared" si="69"/>
        <v>244088</v>
      </c>
      <c r="X451" s="16">
        <f t="shared" si="70"/>
        <v>244083</v>
      </c>
      <c r="Y451" s="15"/>
      <c r="Z451" s="177"/>
      <c r="AA451" s="170"/>
      <c r="AB451" s="170"/>
      <c r="AC451" s="170"/>
      <c r="AD451" s="170"/>
      <c r="AE451" s="15"/>
      <c r="AF451" s="177"/>
      <c r="AG451" s="177">
        <f t="shared" si="71"/>
        <v>0</v>
      </c>
      <c r="AH451" s="177">
        <f t="shared" si="72"/>
        <v>0</v>
      </c>
      <c r="AK451" s="176"/>
      <c r="AL451" s="176"/>
    </row>
    <row r="452" spans="1:38" ht="36" customHeight="1" x14ac:dyDescent="0.2">
      <c r="A452" s="14" t="s">
        <v>20</v>
      </c>
      <c r="B452" s="212">
        <v>244081</v>
      </c>
      <c r="C452" s="14" t="s">
        <v>547</v>
      </c>
      <c r="D452" s="14" t="s">
        <v>268</v>
      </c>
      <c r="E452" s="14" t="s">
        <v>14</v>
      </c>
      <c r="F452" s="14" t="s">
        <v>324</v>
      </c>
      <c r="G452" s="179">
        <v>680451</v>
      </c>
      <c r="H452" s="176" t="s">
        <v>2016</v>
      </c>
      <c r="I452" s="176" t="s">
        <v>612</v>
      </c>
      <c r="J452" s="176" t="s">
        <v>865</v>
      </c>
      <c r="K452" s="176" t="s">
        <v>2021</v>
      </c>
      <c r="L452" s="40" t="s">
        <v>46</v>
      </c>
      <c r="M452" s="40" t="s">
        <v>341</v>
      </c>
      <c r="N452" s="14" t="s">
        <v>2024</v>
      </c>
      <c r="O452" s="14" t="s">
        <v>552</v>
      </c>
      <c r="P452" s="14" t="s">
        <v>2027</v>
      </c>
      <c r="Q452" s="14" t="s">
        <v>553</v>
      </c>
      <c r="R452" s="17">
        <v>744</v>
      </c>
      <c r="S452" s="172" t="s">
        <v>51</v>
      </c>
      <c r="T452" s="17">
        <v>1480</v>
      </c>
      <c r="U452" s="14" t="s">
        <v>51</v>
      </c>
      <c r="V452" s="16">
        <f>B452</f>
        <v>244081</v>
      </c>
      <c r="W452" s="16">
        <f t="shared" si="69"/>
        <v>244088</v>
      </c>
      <c r="X452" s="16">
        <f t="shared" si="70"/>
        <v>244083</v>
      </c>
      <c r="Y452" s="15"/>
      <c r="Z452" s="177"/>
      <c r="AA452" s="170"/>
      <c r="AB452" s="170"/>
      <c r="AC452" s="170"/>
      <c r="AD452" s="170"/>
      <c r="AE452" s="15"/>
      <c r="AF452" s="177"/>
      <c r="AG452" s="177">
        <f t="shared" si="71"/>
        <v>0</v>
      </c>
      <c r="AH452" s="177">
        <f t="shared" si="72"/>
        <v>0</v>
      </c>
      <c r="AK452" s="176"/>
      <c r="AL452" s="176"/>
    </row>
    <row r="453" spans="1:38" ht="36" customHeight="1" x14ac:dyDescent="0.2">
      <c r="A453" s="14" t="s">
        <v>20</v>
      </c>
      <c r="B453" s="212">
        <v>244081</v>
      </c>
      <c r="C453" s="14" t="s">
        <v>547</v>
      </c>
      <c r="D453" s="14" t="s">
        <v>268</v>
      </c>
      <c r="E453" s="14" t="s">
        <v>14</v>
      </c>
      <c r="F453" s="14" t="s">
        <v>324</v>
      </c>
      <c r="G453" s="179">
        <v>680452</v>
      </c>
      <c r="H453" s="176" t="s">
        <v>720</v>
      </c>
      <c r="I453" s="176" t="s">
        <v>724</v>
      </c>
      <c r="J453" s="176" t="s">
        <v>707</v>
      </c>
      <c r="K453" s="176" t="s">
        <v>2030</v>
      </c>
      <c r="L453" s="40" t="s">
        <v>108</v>
      </c>
      <c r="M453" s="40" t="s">
        <v>341</v>
      </c>
      <c r="N453" s="14" t="s">
        <v>2035</v>
      </c>
      <c r="O453" s="14" t="s">
        <v>543</v>
      </c>
      <c r="P453" s="14" t="s">
        <v>2037</v>
      </c>
      <c r="Q453" s="14" t="s">
        <v>529</v>
      </c>
      <c r="R453" s="17">
        <v>400</v>
      </c>
      <c r="S453" s="172" t="s">
        <v>51</v>
      </c>
      <c r="T453" s="17">
        <v>3610</v>
      </c>
      <c r="U453" s="14" t="s">
        <v>51</v>
      </c>
      <c r="V453" s="16">
        <f t="shared" si="68"/>
        <v>244081</v>
      </c>
      <c r="W453" s="16">
        <f t="shared" si="69"/>
        <v>244088</v>
      </c>
      <c r="X453" s="16">
        <f t="shared" si="70"/>
        <v>244083</v>
      </c>
      <c r="Y453" s="15"/>
      <c r="Z453" s="177"/>
      <c r="AA453" s="170"/>
      <c r="AB453" s="170"/>
      <c r="AC453" s="170"/>
      <c r="AD453" s="170"/>
      <c r="AE453" s="15"/>
      <c r="AF453" s="177"/>
      <c r="AG453" s="177">
        <f t="shared" si="71"/>
        <v>0</v>
      </c>
      <c r="AH453" s="177">
        <f t="shared" si="72"/>
        <v>0</v>
      </c>
      <c r="AK453" s="176"/>
      <c r="AL453" s="176"/>
    </row>
    <row r="454" spans="1:38" ht="36" customHeight="1" x14ac:dyDescent="0.2">
      <c r="A454" s="14" t="s">
        <v>20</v>
      </c>
      <c r="B454" s="212">
        <v>244081</v>
      </c>
      <c r="C454" s="14" t="s">
        <v>547</v>
      </c>
      <c r="D454" s="14" t="s">
        <v>268</v>
      </c>
      <c r="E454" s="14" t="s">
        <v>14</v>
      </c>
      <c r="F454" s="14" t="s">
        <v>324</v>
      </c>
      <c r="G454" s="179">
        <v>680453</v>
      </c>
      <c r="H454" s="176" t="s">
        <v>720</v>
      </c>
      <c r="I454" s="176" t="s">
        <v>724</v>
      </c>
      <c r="J454" s="176" t="s">
        <v>707</v>
      </c>
      <c r="K454" s="176" t="s">
        <v>2030</v>
      </c>
      <c r="L454" s="40" t="s">
        <v>108</v>
      </c>
      <c r="M454" s="40" t="s">
        <v>341</v>
      </c>
      <c r="N454" s="14" t="s">
        <v>2033</v>
      </c>
      <c r="O454" s="14" t="s">
        <v>543</v>
      </c>
      <c r="P454" s="14" t="s">
        <v>2038</v>
      </c>
      <c r="Q454" s="14" t="s">
        <v>529</v>
      </c>
      <c r="R454" s="17">
        <v>150</v>
      </c>
      <c r="S454" s="172" t="s">
        <v>51</v>
      </c>
      <c r="T454" s="17">
        <v>600</v>
      </c>
      <c r="U454" s="14" t="s">
        <v>51</v>
      </c>
      <c r="V454" s="16">
        <f t="shared" si="68"/>
        <v>244081</v>
      </c>
      <c r="W454" s="16">
        <f t="shared" si="69"/>
        <v>244088</v>
      </c>
      <c r="X454" s="16">
        <f t="shared" si="70"/>
        <v>244083</v>
      </c>
      <c r="Y454" s="15"/>
      <c r="Z454" s="177"/>
      <c r="AA454" s="170"/>
      <c r="AB454" s="170"/>
      <c r="AC454" s="170"/>
      <c r="AD454" s="170"/>
      <c r="AE454" s="15"/>
      <c r="AF454" s="177"/>
      <c r="AG454" s="177">
        <f t="shared" si="71"/>
        <v>0</v>
      </c>
      <c r="AH454" s="177">
        <f t="shared" si="72"/>
        <v>0</v>
      </c>
      <c r="AK454" s="176"/>
      <c r="AL454" s="176"/>
    </row>
    <row r="455" spans="1:38" ht="36" customHeight="1" x14ac:dyDescent="0.2">
      <c r="A455" s="14" t="s">
        <v>20</v>
      </c>
      <c r="B455" s="212">
        <v>244081</v>
      </c>
      <c r="C455" s="14" t="s">
        <v>547</v>
      </c>
      <c r="D455" s="14" t="s">
        <v>268</v>
      </c>
      <c r="E455" s="14" t="s">
        <v>14</v>
      </c>
      <c r="F455" s="14" t="s">
        <v>324</v>
      </c>
      <c r="G455" s="179">
        <v>680454</v>
      </c>
      <c r="H455" s="176" t="s">
        <v>626</v>
      </c>
      <c r="I455" s="176" t="s">
        <v>630</v>
      </c>
      <c r="J455" s="176" t="s">
        <v>520</v>
      </c>
      <c r="K455" s="176" t="s">
        <v>2031</v>
      </c>
      <c r="L455" s="40" t="s">
        <v>105</v>
      </c>
      <c r="M455" s="40" t="s">
        <v>341</v>
      </c>
      <c r="N455" s="14" t="s">
        <v>2034</v>
      </c>
      <c r="O455" s="14" t="s">
        <v>548</v>
      </c>
      <c r="P455" s="14" t="s">
        <v>518</v>
      </c>
      <c r="Q455" s="14" t="s">
        <v>549</v>
      </c>
      <c r="R455" s="17">
        <v>299</v>
      </c>
      <c r="S455" s="172" t="s">
        <v>51</v>
      </c>
      <c r="T455" s="17">
        <v>1890</v>
      </c>
      <c r="U455" s="14" t="s">
        <v>51</v>
      </c>
      <c r="V455" s="16">
        <f t="shared" si="68"/>
        <v>244081</v>
      </c>
      <c r="W455" s="16">
        <f t="shared" si="69"/>
        <v>244088</v>
      </c>
      <c r="X455" s="16">
        <f t="shared" si="70"/>
        <v>244083</v>
      </c>
      <c r="Y455" s="15"/>
      <c r="Z455" s="177"/>
      <c r="AA455" s="170"/>
      <c r="AB455" s="170"/>
      <c r="AC455" s="170"/>
      <c r="AD455" s="170"/>
      <c r="AE455" s="15"/>
      <c r="AF455" s="177"/>
      <c r="AG455" s="177">
        <f t="shared" si="71"/>
        <v>0</v>
      </c>
      <c r="AH455" s="177">
        <f t="shared" si="72"/>
        <v>0</v>
      </c>
      <c r="AK455" s="176"/>
      <c r="AL455" s="176"/>
    </row>
    <row r="456" spans="1:38" ht="36" customHeight="1" x14ac:dyDescent="0.2">
      <c r="A456" s="14" t="s">
        <v>20</v>
      </c>
      <c r="B456" s="212">
        <v>244081</v>
      </c>
      <c r="C456" s="14" t="s">
        <v>547</v>
      </c>
      <c r="D456" s="14" t="s">
        <v>268</v>
      </c>
      <c r="E456" s="14" t="s">
        <v>14</v>
      </c>
      <c r="F456" s="14" t="s">
        <v>324</v>
      </c>
      <c r="G456" s="179">
        <v>680455</v>
      </c>
      <c r="H456" s="176" t="s">
        <v>1604</v>
      </c>
      <c r="I456" s="176" t="s">
        <v>908</v>
      </c>
      <c r="J456" s="176" t="s">
        <v>133</v>
      </c>
      <c r="K456" s="176" t="s">
        <v>2032</v>
      </c>
      <c r="L456" s="40" t="s">
        <v>45</v>
      </c>
      <c r="M456" s="40" t="s">
        <v>341</v>
      </c>
      <c r="N456" s="14" t="s">
        <v>2036</v>
      </c>
      <c r="O456" s="14" t="s">
        <v>548</v>
      </c>
      <c r="P456" s="14" t="s">
        <v>518</v>
      </c>
      <c r="Q456" s="14" t="s">
        <v>549</v>
      </c>
      <c r="R456" s="17">
        <v>140</v>
      </c>
      <c r="S456" s="172" t="s">
        <v>51</v>
      </c>
      <c r="T456" s="17">
        <v>790</v>
      </c>
      <c r="U456" s="14" t="s">
        <v>51</v>
      </c>
      <c r="V456" s="16">
        <f t="shared" si="68"/>
        <v>244081</v>
      </c>
      <c r="W456" s="16">
        <f t="shared" si="69"/>
        <v>244088</v>
      </c>
      <c r="X456" s="16">
        <f t="shared" si="70"/>
        <v>244083</v>
      </c>
      <c r="Y456" s="15"/>
      <c r="Z456" s="177"/>
      <c r="AA456" s="170"/>
      <c r="AB456" s="170"/>
      <c r="AC456" s="170"/>
      <c r="AD456" s="170"/>
      <c r="AE456" s="15"/>
      <c r="AF456" s="177"/>
      <c r="AG456" s="177">
        <f t="shared" si="71"/>
        <v>0</v>
      </c>
      <c r="AH456" s="177">
        <f t="shared" si="72"/>
        <v>0</v>
      </c>
      <c r="AK456" s="176"/>
      <c r="AL456" s="176"/>
    </row>
    <row r="457" spans="1:38" ht="36" customHeight="1" x14ac:dyDescent="0.2">
      <c r="A457" s="14" t="s">
        <v>20</v>
      </c>
      <c r="B457" s="212">
        <v>244082</v>
      </c>
      <c r="C457" s="14" t="s">
        <v>547</v>
      </c>
      <c r="D457" s="14" t="s">
        <v>268</v>
      </c>
      <c r="E457" s="14" t="s">
        <v>14</v>
      </c>
      <c r="F457" s="14" t="s">
        <v>324</v>
      </c>
      <c r="G457" s="179">
        <v>680456</v>
      </c>
      <c r="H457" s="176" t="s">
        <v>2039</v>
      </c>
      <c r="I457" s="176" t="s">
        <v>612</v>
      </c>
      <c r="J457" s="176" t="s">
        <v>865</v>
      </c>
      <c r="K457" s="176" t="s">
        <v>2043</v>
      </c>
      <c r="L457" s="40" t="s">
        <v>46</v>
      </c>
      <c r="M457" s="40" t="s">
        <v>341</v>
      </c>
      <c r="N457" s="14" t="s">
        <v>2047</v>
      </c>
      <c r="O457" s="14" t="s">
        <v>552</v>
      </c>
      <c r="P457" s="14" t="s">
        <v>1489</v>
      </c>
      <c r="Q457" s="14" t="s">
        <v>553</v>
      </c>
      <c r="R457" s="17">
        <v>200</v>
      </c>
      <c r="S457" s="172" t="s">
        <v>51</v>
      </c>
      <c r="T457" s="17">
        <v>1099</v>
      </c>
      <c r="U457" s="14" t="s">
        <v>51</v>
      </c>
      <c r="V457" s="16">
        <f t="shared" si="68"/>
        <v>244082</v>
      </c>
      <c r="W457" s="16">
        <f t="shared" si="69"/>
        <v>244089</v>
      </c>
      <c r="X457" s="16">
        <f t="shared" si="70"/>
        <v>244084</v>
      </c>
      <c r="Y457" s="15"/>
      <c r="Z457" s="177"/>
      <c r="AA457" s="170"/>
      <c r="AB457" s="170"/>
      <c r="AC457" s="170"/>
      <c r="AD457" s="170"/>
      <c r="AE457" s="15"/>
      <c r="AF457" s="177"/>
      <c r="AG457" s="177">
        <f t="shared" si="71"/>
        <v>0</v>
      </c>
      <c r="AH457" s="177">
        <f t="shared" si="72"/>
        <v>0</v>
      </c>
      <c r="AK457" s="176"/>
      <c r="AL457" s="176"/>
    </row>
    <row r="458" spans="1:38" ht="36" customHeight="1" x14ac:dyDescent="0.2">
      <c r="A458" s="14" t="s">
        <v>20</v>
      </c>
      <c r="B458" s="212">
        <v>244082</v>
      </c>
      <c r="C458" s="14" t="s">
        <v>547</v>
      </c>
      <c r="D458" s="14" t="s">
        <v>268</v>
      </c>
      <c r="E458" s="14" t="s">
        <v>14</v>
      </c>
      <c r="F458" s="14" t="s">
        <v>324</v>
      </c>
      <c r="G458" s="179">
        <v>680457</v>
      </c>
      <c r="H458" s="176" t="s">
        <v>2040</v>
      </c>
      <c r="I458" s="176" t="s">
        <v>909</v>
      </c>
      <c r="J458" s="176" t="s">
        <v>2042</v>
      </c>
      <c r="K458" s="176" t="s">
        <v>2044</v>
      </c>
      <c r="L458" s="40" t="s">
        <v>45</v>
      </c>
      <c r="M458" s="40" t="s">
        <v>341</v>
      </c>
      <c r="N458" s="14" t="s">
        <v>2048</v>
      </c>
      <c r="O458" s="14" t="s">
        <v>543</v>
      </c>
      <c r="P458" s="14" t="s">
        <v>517</v>
      </c>
      <c r="Q458" s="14" t="s">
        <v>529</v>
      </c>
      <c r="R458" s="17">
        <v>400</v>
      </c>
      <c r="S458" s="172" t="s">
        <v>51</v>
      </c>
      <c r="T458" s="17">
        <v>1800</v>
      </c>
      <c r="U458" s="14" t="s">
        <v>51</v>
      </c>
      <c r="V458" s="16">
        <f t="shared" si="68"/>
        <v>244082</v>
      </c>
      <c r="W458" s="16">
        <f t="shared" si="69"/>
        <v>244089</v>
      </c>
      <c r="X458" s="16">
        <f t="shared" si="70"/>
        <v>244084</v>
      </c>
      <c r="Y458" s="15"/>
      <c r="Z458" s="177"/>
      <c r="AA458" s="170"/>
      <c r="AB458" s="170"/>
      <c r="AC458" s="170"/>
      <c r="AD458" s="170"/>
      <c r="AE458" s="15"/>
      <c r="AF458" s="177"/>
      <c r="AG458" s="177">
        <f t="shared" si="71"/>
        <v>0</v>
      </c>
      <c r="AH458" s="177">
        <f t="shared" si="72"/>
        <v>0</v>
      </c>
      <c r="AK458" s="176"/>
      <c r="AL458" s="176"/>
    </row>
    <row r="459" spans="1:38" ht="36" customHeight="1" x14ac:dyDescent="0.2">
      <c r="A459" s="14" t="s">
        <v>20</v>
      </c>
      <c r="B459" s="212">
        <v>244082</v>
      </c>
      <c r="C459" s="14" t="s">
        <v>547</v>
      </c>
      <c r="D459" s="14" t="s">
        <v>268</v>
      </c>
      <c r="E459" s="14" t="s">
        <v>14</v>
      </c>
      <c r="F459" s="14" t="s">
        <v>324</v>
      </c>
      <c r="G459" s="179">
        <v>680458</v>
      </c>
      <c r="H459" s="176" t="s">
        <v>2040</v>
      </c>
      <c r="I459" s="176" t="s">
        <v>909</v>
      </c>
      <c r="J459" s="176" t="s">
        <v>2042</v>
      </c>
      <c r="K459" s="176" t="s">
        <v>2044</v>
      </c>
      <c r="L459" s="40" t="s">
        <v>45</v>
      </c>
      <c r="M459" s="40" t="s">
        <v>341</v>
      </c>
      <c r="N459" s="14" t="s">
        <v>2049</v>
      </c>
      <c r="O459" s="14" t="s">
        <v>548</v>
      </c>
      <c r="P459" s="14" t="s">
        <v>518</v>
      </c>
      <c r="Q459" s="14" t="s">
        <v>549</v>
      </c>
      <c r="R459" s="17">
        <v>416</v>
      </c>
      <c r="S459" s="172" t="s">
        <v>51</v>
      </c>
      <c r="T459" s="17">
        <v>1800</v>
      </c>
      <c r="U459" s="14" t="s">
        <v>51</v>
      </c>
      <c r="V459" s="16">
        <f t="shared" si="68"/>
        <v>244082</v>
      </c>
      <c r="W459" s="16">
        <f t="shared" si="69"/>
        <v>244089</v>
      </c>
      <c r="X459" s="16">
        <f t="shared" si="70"/>
        <v>244084</v>
      </c>
      <c r="Y459" s="15"/>
      <c r="Z459" s="177"/>
      <c r="AA459" s="170"/>
      <c r="AB459" s="170"/>
      <c r="AC459" s="170"/>
      <c r="AD459" s="170"/>
      <c r="AE459" s="15"/>
      <c r="AF459" s="177"/>
      <c r="AG459" s="177">
        <f t="shared" si="71"/>
        <v>0</v>
      </c>
      <c r="AH459" s="177">
        <f t="shared" si="72"/>
        <v>0</v>
      </c>
      <c r="AK459" s="176"/>
      <c r="AL459" s="176"/>
    </row>
    <row r="460" spans="1:38" ht="36" customHeight="1" x14ac:dyDescent="0.2">
      <c r="A460" s="14" t="s">
        <v>20</v>
      </c>
      <c r="B460" s="212">
        <v>244082</v>
      </c>
      <c r="C460" s="14" t="s">
        <v>547</v>
      </c>
      <c r="D460" s="14" t="s">
        <v>268</v>
      </c>
      <c r="E460" s="14" t="s">
        <v>14</v>
      </c>
      <c r="F460" s="14" t="s">
        <v>324</v>
      </c>
      <c r="G460" s="179">
        <v>680459</v>
      </c>
      <c r="H460" s="176" t="s">
        <v>2041</v>
      </c>
      <c r="I460" s="176" t="s">
        <v>612</v>
      </c>
      <c r="J460" s="176" t="s">
        <v>865</v>
      </c>
      <c r="K460" s="176" t="s">
        <v>2045</v>
      </c>
      <c r="L460" s="40" t="s">
        <v>46</v>
      </c>
      <c r="M460" s="40" t="s">
        <v>341</v>
      </c>
      <c r="N460" s="14" t="s">
        <v>2050</v>
      </c>
      <c r="O460" s="14" t="s">
        <v>552</v>
      </c>
      <c r="P460" s="14" t="s">
        <v>519</v>
      </c>
      <c r="Q460" s="14" t="s">
        <v>553</v>
      </c>
      <c r="R460" s="17">
        <v>1437</v>
      </c>
      <c r="S460" s="172" t="s">
        <v>51</v>
      </c>
      <c r="T460" s="17">
        <v>1915</v>
      </c>
      <c r="U460" s="14" t="s">
        <v>51</v>
      </c>
      <c r="V460" s="16">
        <f t="shared" si="68"/>
        <v>244082</v>
      </c>
      <c r="W460" s="16">
        <f t="shared" si="69"/>
        <v>244089</v>
      </c>
      <c r="X460" s="16">
        <f t="shared" si="70"/>
        <v>244084</v>
      </c>
      <c r="Y460" s="15"/>
      <c r="Z460" s="177"/>
      <c r="AA460" s="170"/>
      <c r="AB460" s="170"/>
      <c r="AC460" s="170"/>
      <c r="AD460" s="170"/>
      <c r="AE460" s="15"/>
      <c r="AF460" s="177"/>
      <c r="AG460" s="177">
        <f t="shared" si="71"/>
        <v>0</v>
      </c>
      <c r="AH460" s="177">
        <f t="shared" si="72"/>
        <v>0</v>
      </c>
      <c r="AK460" s="176"/>
      <c r="AL460" s="176"/>
    </row>
    <row r="461" spans="1:38" ht="36" customHeight="1" x14ac:dyDescent="0.2">
      <c r="A461" s="14" t="s">
        <v>20</v>
      </c>
      <c r="B461" s="212">
        <v>244082</v>
      </c>
      <c r="C461" s="14" t="s">
        <v>547</v>
      </c>
      <c r="D461" s="14" t="s">
        <v>268</v>
      </c>
      <c r="E461" s="14" t="s">
        <v>14</v>
      </c>
      <c r="F461" s="14" t="s">
        <v>324</v>
      </c>
      <c r="G461" s="179">
        <v>680460</v>
      </c>
      <c r="H461" s="176" t="s">
        <v>1532</v>
      </c>
      <c r="I461" s="176" t="s">
        <v>864</v>
      </c>
      <c r="J461" s="176" t="s">
        <v>554</v>
      </c>
      <c r="K461" s="176" t="s">
        <v>2046</v>
      </c>
      <c r="L461" s="40" t="s">
        <v>45</v>
      </c>
      <c r="M461" s="40" t="s">
        <v>341</v>
      </c>
      <c r="N461" s="14" t="s">
        <v>2051</v>
      </c>
      <c r="O461" s="14" t="s">
        <v>552</v>
      </c>
      <c r="P461" s="14" t="s">
        <v>519</v>
      </c>
      <c r="Q461" s="14" t="s">
        <v>553</v>
      </c>
      <c r="R461" s="17">
        <v>475</v>
      </c>
      <c r="S461" s="172" t="s">
        <v>51</v>
      </c>
      <c r="T461" s="17">
        <v>1725</v>
      </c>
      <c r="U461" s="14" t="s">
        <v>51</v>
      </c>
      <c r="V461" s="16">
        <f t="shared" si="68"/>
        <v>244082</v>
      </c>
      <c r="W461" s="16">
        <f t="shared" si="69"/>
        <v>244089</v>
      </c>
      <c r="X461" s="16">
        <f t="shared" si="70"/>
        <v>244084</v>
      </c>
      <c r="Y461" s="15"/>
      <c r="Z461" s="177"/>
      <c r="AA461" s="170"/>
      <c r="AB461" s="170"/>
      <c r="AC461" s="170"/>
      <c r="AD461" s="170"/>
      <c r="AE461" s="15"/>
      <c r="AF461" s="177"/>
      <c r="AG461" s="177">
        <f t="shared" si="71"/>
        <v>0</v>
      </c>
      <c r="AH461" s="177">
        <f t="shared" si="72"/>
        <v>0</v>
      </c>
      <c r="AK461" s="176"/>
      <c r="AL461" s="176"/>
    </row>
    <row r="462" spans="1:38" ht="36" customHeight="1" x14ac:dyDescent="0.2">
      <c r="A462" s="14" t="s">
        <v>20</v>
      </c>
      <c r="B462" s="212">
        <v>244083</v>
      </c>
      <c r="C462" s="14" t="s">
        <v>547</v>
      </c>
      <c r="D462" s="14" t="s">
        <v>268</v>
      </c>
      <c r="E462" s="14" t="s">
        <v>14</v>
      </c>
      <c r="F462" s="14" t="s">
        <v>324</v>
      </c>
      <c r="G462" s="179">
        <v>680461</v>
      </c>
      <c r="H462" s="176" t="s">
        <v>2052</v>
      </c>
      <c r="I462" s="176" t="s">
        <v>1729</v>
      </c>
      <c r="J462" s="176" t="s">
        <v>1730</v>
      </c>
      <c r="K462" s="176" t="s">
        <v>2055</v>
      </c>
      <c r="L462" s="40" t="s">
        <v>108</v>
      </c>
      <c r="M462" s="40" t="s">
        <v>341</v>
      </c>
      <c r="N462" s="14" t="s">
        <v>2059</v>
      </c>
      <c r="O462" s="14" t="s">
        <v>528</v>
      </c>
      <c r="P462" s="14" t="s">
        <v>2064</v>
      </c>
      <c r="Q462" s="14" t="s">
        <v>541</v>
      </c>
      <c r="R462" s="17">
        <v>500</v>
      </c>
      <c r="S462" s="172" t="s">
        <v>51</v>
      </c>
      <c r="T462" s="17">
        <v>2660</v>
      </c>
      <c r="U462" s="14" t="s">
        <v>51</v>
      </c>
      <c r="V462" s="16">
        <f t="shared" si="68"/>
        <v>244083</v>
      </c>
      <c r="W462" s="16">
        <f t="shared" si="69"/>
        <v>244090</v>
      </c>
      <c r="X462" s="16">
        <f t="shared" si="70"/>
        <v>244085</v>
      </c>
      <c r="Y462" s="15"/>
      <c r="Z462" s="177"/>
      <c r="AA462" s="170"/>
      <c r="AB462" s="170"/>
      <c r="AC462" s="170"/>
      <c r="AD462" s="170"/>
      <c r="AE462" s="15"/>
      <c r="AF462" s="177"/>
      <c r="AG462" s="177">
        <f t="shared" si="71"/>
        <v>0</v>
      </c>
      <c r="AH462" s="177">
        <f t="shared" si="72"/>
        <v>0</v>
      </c>
      <c r="AK462" s="176"/>
      <c r="AL462" s="176"/>
    </row>
    <row r="463" spans="1:38" ht="36" customHeight="1" x14ac:dyDescent="0.2">
      <c r="A463" s="14" t="s">
        <v>20</v>
      </c>
      <c r="B463" s="212">
        <v>244083</v>
      </c>
      <c r="C463" s="14" t="s">
        <v>547</v>
      </c>
      <c r="D463" s="14" t="s">
        <v>268</v>
      </c>
      <c r="E463" s="14" t="s">
        <v>14</v>
      </c>
      <c r="F463" s="14" t="s">
        <v>324</v>
      </c>
      <c r="G463" s="179">
        <v>680462</v>
      </c>
      <c r="H463" s="176" t="s">
        <v>2053</v>
      </c>
      <c r="I463" s="176" t="s">
        <v>612</v>
      </c>
      <c r="J463" s="176" t="s">
        <v>865</v>
      </c>
      <c r="K463" s="176" t="s">
        <v>2056</v>
      </c>
      <c r="L463" s="40" t="s">
        <v>46</v>
      </c>
      <c r="M463" s="40" t="s">
        <v>341</v>
      </c>
      <c r="N463" s="14" t="s">
        <v>2060</v>
      </c>
      <c r="O463" s="14" t="s">
        <v>552</v>
      </c>
      <c r="P463" s="14" t="s">
        <v>846</v>
      </c>
      <c r="Q463" s="14" t="s">
        <v>553</v>
      </c>
      <c r="R463" s="17">
        <v>298</v>
      </c>
      <c r="S463" s="172" t="s">
        <v>51</v>
      </c>
      <c r="T463" s="17">
        <v>1870</v>
      </c>
      <c r="U463" s="14" t="s">
        <v>51</v>
      </c>
      <c r="V463" s="16">
        <f t="shared" si="68"/>
        <v>244083</v>
      </c>
      <c r="W463" s="16">
        <f t="shared" si="69"/>
        <v>244090</v>
      </c>
      <c r="X463" s="16">
        <f t="shared" si="70"/>
        <v>244085</v>
      </c>
      <c r="Y463" s="15"/>
      <c r="Z463" s="177"/>
      <c r="AA463" s="170"/>
      <c r="AB463" s="170"/>
      <c r="AC463" s="170"/>
      <c r="AD463" s="170"/>
      <c r="AE463" s="15"/>
      <c r="AF463" s="177"/>
      <c r="AG463" s="177">
        <f t="shared" si="71"/>
        <v>0</v>
      </c>
      <c r="AH463" s="177">
        <f t="shared" si="72"/>
        <v>0</v>
      </c>
      <c r="AK463" s="176"/>
      <c r="AL463" s="176"/>
    </row>
    <row r="464" spans="1:38" ht="36" customHeight="1" x14ac:dyDescent="0.2">
      <c r="A464" s="14" t="s">
        <v>20</v>
      </c>
      <c r="B464" s="212">
        <v>244083</v>
      </c>
      <c r="C464" s="14" t="s">
        <v>547</v>
      </c>
      <c r="D464" s="14" t="s">
        <v>268</v>
      </c>
      <c r="E464" s="14" t="s">
        <v>14</v>
      </c>
      <c r="F464" s="14" t="s">
        <v>324</v>
      </c>
      <c r="G464" s="179">
        <v>680463</v>
      </c>
      <c r="H464" s="176" t="s">
        <v>2052</v>
      </c>
      <c r="I464" s="176" t="s">
        <v>1729</v>
      </c>
      <c r="J464" s="176" t="s">
        <v>1730</v>
      </c>
      <c r="K464" s="176" t="s">
        <v>2055</v>
      </c>
      <c r="L464" s="40" t="s">
        <v>108</v>
      </c>
      <c r="M464" s="40" t="s">
        <v>341</v>
      </c>
      <c r="N464" s="14" t="s">
        <v>2061</v>
      </c>
      <c r="O464" s="14" t="s">
        <v>552</v>
      </c>
      <c r="P464" s="14" t="s">
        <v>846</v>
      </c>
      <c r="Q464" s="14" t="s">
        <v>553</v>
      </c>
      <c r="R464" s="17">
        <v>600</v>
      </c>
      <c r="S464" s="172" t="s">
        <v>51</v>
      </c>
      <c r="T464" s="17">
        <v>2760</v>
      </c>
      <c r="U464" s="14" t="s">
        <v>51</v>
      </c>
      <c r="V464" s="16">
        <f t="shared" si="68"/>
        <v>244083</v>
      </c>
      <c r="W464" s="16">
        <f t="shared" si="69"/>
        <v>244090</v>
      </c>
      <c r="X464" s="16">
        <f t="shared" si="70"/>
        <v>244085</v>
      </c>
      <c r="Y464" s="15"/>
      <c r="Z464" s="177"/>
      <c r="AA464" s="170"/>
      <c r="AB464" s="170"/>
      <c r="AC464" s="170"/>
      <c r="AD464" s="170"/>
      <c r="AE464" s="15"/>
      <c r="AF464" s="177"/>
      <c r="AG464" s="177">
        <f t="shared" si="71"/>
        <v>0</v>
      </c>
      <c r="AH464" s="177">
        <f t="shared" si="72"/>
        <v>0</v>
      </c>
      <c r="AK464" s="176"/>
      <c r="AL464" s="176"/>
    </row>
    <row r="465" spans="1:38" ht="36" customHeight="1" x14ac:dyDescent="0.2">
      <c r="A465" s="14" t="s">
        <v>20</v>
      </c>
      <c r="B465" s="212">
        <v>244083</v>
      </c>
      <c r="C465" s="14" t="s">
        <v>547</v>
      </c>
      <c r="D465" s="14" t="s">
        <v>268</v>
      </c>
      <c r="E465" s="14" t="s">
        <v>14</v>
      </c>
      <c r="F465" s="14" t="s">
        <v>324</v>
      </c>
      <c r="G465" s="179">
        <v>680464</v>
      </c>
      <c r="H465" s="176" t="s">
        <v>1281</v>
      </c>
      <c r="I465" s="176" t="s">
        <v>550</v>
      </c>
      <c r="J465" s="176" t="s">
        <v>128</v>
      </c>
      <c r="K465" s="176" t="s">
        <v>2057</v>
      </c>
      <c r="L465" s="40" t="s">
        <v>106</v>
      </c>
      <c r="M465" s="40" t="s">
        <v>341</v>
      </c>
      <c r="N465" s="14" t="s">
        <v>2062</v>
      </c>
      <c r="O465" s="14" t="s">
        <v>548</v>
      </c>
      <c r="P465" s="14" t="s">
        <v>518</v>
      </c>
      <c r="Q465" s="14" t="s">
        <v>549</v>
      </c>
      <c r="R465" s="17">
        <v>283</v>
      </c>
      <c r="S465" s="172" t="s">
        <v>51</v>
      </c>
      <c r="T465" s="17">
        <v>2450</v>
      </c>
      <c r="U465" s="14" t="s">
        <v>51</v>
      </c>
      <c r="V465" s="16">
        <f t="shared" si="68"/>
        <v>244083</v>
      </c>
      <c r="W465" s="16">
        <f t="shared" si="69"/>
        <v>244090</v>
      </c>
      <c r="X465" s="16">
        <f t="shared" si="70"/>
        <v>244085</v>
      </c>
      <c r="Y465" s="15" t="s">
        <v>54</v>
      </c>
      <c r="Z465" s="177">
        <v>244086</v>
      </c>
      <c r="AA465" s="170"/>
      <c r="AB465" s="170"/>
      <c r="AC465" s="170"/>
      <c r="AD465" s="170"/>
      <c r="AE465" s="15" t="s">
        <v>54</v>
      </c>
      <c r="AF465" s="177">
        <v>244091</v>
      </c>
      <c r="AG465" s="177" t="str">
        <f t="shared" si="71"/>
        <v>Pass</v>
      </c>
      <c r="AH465" s="177">
        <f t="shared" si="72"/>
        <v>244091</v>
      </c>
      <c r="AK465" s="176"/>
      <c r="AL465" s="176"/>
    </row>
    <row r="466" spans="1:38" ht="36" customHeight="1" x14ac:dyDescent="0.2">
      <c r="A466" s="14" t="s">
        <v>20</v>
      </c>
      <c r="B466" s="212">
        <v>244083</v>
      </c>
      <c r="C466" s="14" t="s">
        <v>547</v>
      </c>
      <c r="D466" s="14" t="s">
        <v>268</v>
      </c>
      <c r="E466" s="14" t="s">
        <v>14</v>
      </c>
      <c r="F466" s="14" t="s">
        <v>324</v>
      </c>
      <c r="G466" s="179">
        <v>680465</v>
      </c>
      <c r="H466" s="176" t="s">
        <v>2054</v>
      </c>
      <c r="I466" s="176" t="s">
        <v>864</v>
      </c>
      <c r="J466" s="176" t="s">
        <v>131</v>
      </c>
      <c r="K466" s="176" t="s">
        <v>2058</v>
      </c>
      <c r="L466" s="40" t="s">
        <v>46</v>
      </c>
      <c r="M466" s="40" t="s">
        <v>341</v>
      </c>
      <c r="N466" s="14" t="s">
        <v>2063</v>
      </c>
      <c r="O466" s="14" t="s">
        <v>552</v>
      </c>
      <c r="P466" s="14" t="s">
        <v>519</v>
      </c>
      <c r="Q466" s="14" t="s">
        <v>553</v>
      </c>
      <c r="R466" s="17">
        <v>1225</v>
      </c>
      <c r="S466" s="172" t="s">
        <v>51</v>
      </c>
      <c r="T466" s="17">
        <v>450</v>
      </c>
      <c r="U466" s="14" t="s">
        <v>51</v>
      </c>
      <c r="V466" s="16">
        <f t="shared" ref="V466:V501" si="73">B466</f>
        <v>244083</v>
      </c>
      <c r="W466" s="16">
        <f t="shared" ref="W466:W501" si="74">B466+7</f>
        <v>244090</v>
      </c>
      <c r="X466" s="16">
        <f t="shared" ref="X466:X501" si="75">V466+2</f>
        <v>244085</v>
      </c>
      <c r="Y466" s="15"/>
      <c r="Z466" s="177"/>
      <c r="AA466" s="170"/>
      <c r="AB466" s="170"/>
      <c r="AC466" s="170"/>
      <c r="AD466" s="170"/>
      <c r="AE466" s="15"/>
      <c r="AF466" s="177"/>
      <c r="AG466" s="177">
        <f t="shared" si="71"/>
        <v>0</v>
      </c>
      <c r="AH466" s="177">
        <f t="shared" si="72"/>
        <v>0</v>
      </c>
      <c r="AK466" s="176"/>
      <c r="AL466" s="176"/>
    </row>
    <row r="467" spans="1:38" ht="36" customHeight="1" x14ac:dyDescent="0.2">
      <c r="A467" s="14" t="s">
        <v>20</v>
      </c>
      <c r="B467" s="212">
        <v>244085</v>
      </c>
      <c r="C467" s="14" t="s">
        <v>547</v>
      </c>
      <c r="D467" s="14" t="s">
        <v>268</v>
      </c>
      <c r="E467" s="14" t="s">
        <v>14</v>
      </c>
      <c r="F467" s="14" t="s">
        <v>324</v>
      </c>
      <c r="G467" s="179">
        <v>680466</v>
      </c>
      <c r="H467" s="176" t="s">
        <v>2054</v>
      </c>
      <c r="I467" s="176" t="s">
        <v>864</v>
      </c>
      <c r="J467" s="176" t="s">
        <v>131</v>
      </c>
      <c r="K467" s="176" t="s">
        <v>2058</v>
      </c>
      <c r="L467" s="40" t="s">
        <v>46</v>
      </c>
      <c r="M467" s="40" t="s">
        <v>341</v>
      </c>
      <c r="N467" s="14" t="s">
        <v>2074</v>
      </c>
      <c r="O467" s="14" t="s">
        <v>1909</v>
      </c>
      <c r="P467" s="14" t="s">
        <v>2082</v>
      </c>
      <c r="Q467" s="14" t="s">
        <v>1913</v>
      </c>
      <c r="R467" s="17">
        <v>500</v>
      </c>
      <c r="S467" s="172" t="s">
        <v>51</v>
      </c>
      <c r="T467" s="17" t="s">
        <v>2086</v>
      </c>
      <c r="U467" s="14" t="s">
        <v>51</v>
      </c>
      <c r="V467" s="16">
        <f t="shared" si="73"/>
        <v>244085</v>
      </c>
      <c r="W467" s="16">
        <f t="shared" si="74"/>
        <v>244092</v>
      </c>
      <c r="X467" s="16">
        <f t="shared" si="75"/>
        <v>244087</v>
      </c>
      <c r="Y467" s="15"/>
      <c r="Z467" s="177"/>
      <c r="AA467" s="170"/>
      <c r="AB467" s="170"/>
      <c r="AC467" s="170"/>
      <c r="AD467" s="170"/>
      <c r="AE467" s="15"/>
      <c r="AF467" s="177"/>
      <c r="AG467" s="177">
        <f t="shared" si="71"/>
        <v>0</v>
      </c>
      <c r="AH467" s="177">
        <f t="shared" si="72"/>
        <v>0</v>
      </c>
      <c r="AK467" s="176"/>
      <c r="AL467" s="176"/>
    </row>
    <row r="468" spans="1:38" ht="36" customHeight="1" x14ac:dyDescent="0.2">
      <c r="A468" s="14" t="s">
        <v>20</v>
      </c>
      <c r="B468" s="212">
        <v>244085</v>
      </c>
      <c r="C468" s="14" t="s">
        <v>547</v>
      </c>
      <c r="D468" s="14" t="s">
        <v>268</v>
      </c>
      <c r="E468" s="14" t="s">
        <v>14</v>
      </c>
      <c r="F468" s="14" t="s">
        <v>324</v>
      </c>
      <c r="G468" s="179">
        <v>680467</v>
      </c>
      <c r="H468" s="176" t="s">
        <v>2065</v>
      </c>
      <c r="I468" s="176" t="s">
        <v>908</v>
      </c>
      <c r="J468" s="176" t="s">
        <v>133</v>
      </c>
      <c r="K468" s="176" t="s">
        <v>2069</v>
      </c>
      <c r="L468" s="40" t="s">
        <v>46</v>
      </c>
      <c r="M468" s="40" t="s">
        <v>341</v>
      </c>
      <c r="N468" s="14" t="s">
        <v>2075</v>
      </c>
      <c r="O468" s="14" t="s">
        <v>1619</v>
      </c>
      <c r="P468" s="14" t="s">
        <v>1528</v>
      </c>
      <c r="Q468" s="14" t="s">
        <v>1628</v>
      </c>
      <c r="R468" s="17">
        <v>1913</v>
      </c>
      <c r="S468" s="172" t="s">
        <v>51</v>
      </c>
      <c r="T468" s="17">
        <v>1743</v>
      </c>
      <c r="U468" s="14" t="s">
        <v>51</v>
      </c>
      <c r="V468" s="16">
        <f t="shared" si="73"/>
        <v>244085</v>
      </c>
      <c r="W468" s="16">
        <f t="shared" si="74"/>
        <v>244092</v>
      </c>
      <c r="X468" s="16">
        <f t="shared" si="75"/>
        <v>244087</v>
      </c>
      <c r="Y468" s="15"/>
      <c r="Z468" s="177"/>
      <c r="AA468" s="170"/>
      <c r="AB468" s="170"/>
      <c r="AC468" s="170"/>
      <c r="AD468" s="170"/>
      <c r="AE468" s="15"/>
      <c r="AF468" s="177"/>
      <c r="AG468" s="177">
        <f t="shared" si="71"/>
        <v>0</v>
      </c>
      <c r="AH468" s="177">
        <f t="shared" si="72"/>
        <v>0</v>
      </c>
      <c r="AK468" s="176"/>
      <c r="AL468" s="176"/>
    </row>
    <row r="469" spans="1:38" ht="36" customHeight="1" x14ac:dyDescent="0.2">
      <c r="A469" s="14" t="s">
        <v>20</v>
      </c>
      <c r="B469" s="212">
        <v>244085</v>
      </c>
      <c r="C469" s="14" t="s">
        <v>547</v>
      </c>
      <c r="D469" s="14" t="s">
        <v>268</v>
      </c>
      <c r="E469" s="14" t="s">
        <v>14</v>
      </c>
      <c r="F469" s="14" t="s">
        <v>324</v>
      </c>
      <c r="G469" s="179">
        <v>680468</v>
      </c>
      <c r="H469" s="176" t="s">
        <v>2066</v>
      </c>
      <c r="I469" s="176" t="s">
        <v>550</v>
      </c>
      <c r="J469" s="176" t="s">
        <v>128</v>
      </c>
      <c r="K469" s="176" t="s">
        <v>2070</v>
      </c>
      <c r="L469" s="40" t="s">
        <v>106</v>
      </c>
      <c r="M469" s="40" t="s">
        <v>341</v>
      </c>
      <c r="N469" s="14" t="s">
        <v>2076</v>
      </c>
      <c r="O469" s="14" t="s">
        <v>2081</v>
      </c>
      <c r="P469" s="14" t="s">
        <v>2083</v>
      </c>
      <c r="Q469" s="14" t="s">
        <v>2085</v>
      </c>
      <c r="R469" s="17">
        <v>525</v>
      </c>
      <c r="S469" s="172" t="s">
        <v>51</v>
      </c>
      <c r="T469" s="17">
        <v>1300</v>
      </c>
      <c r="U469" s="14" t="s">
        <v>51</v>
      </c>
      <c r="V469" s="16">
        <f t="shared" si="73"/>
        <v>244085</v>
      </c>
      <c r="W469" s="16">
        <f t="shared" si="74"/>
        <v>244092</v>
      </c>
      <c r="X469" s="16">
        <f t="shared" si="75"/>
        <v>244087</v>
      </c>
      <c r="Y469" s="15"/>
      <c r="Z469" s="177"/>
      <c r="AA469" s="170"/>
      <c r="AB469" s="170"/>
      <c r="AC469" s="170"/>
      <c r="AD469" s="170"/>
      <c r="AE469" s="15"/>
      <c r="AF469" s="177"/>
      <c r="AG469" s="177">
        <f t="shared" si="71"/>
        <v>0</v>
      </c>
      <c r="AH469" s="177">
        <f t="shared" si="72"/>
        <v>0</v>
      </c>
      <c r="AK469" s="176"/>
      <c r="AL469" s="176"/>
    </row>
    <row r="470" spans="1:38" ht="36" customHeight="1" x14ac:dyDescent="0.2">
      <c r="A470" s="14" t="s">
        <v>20</v>
      </c>
      <c r="B470" s="212">
        <v>244085</v>
      </c>
      <c r="C470" s="14" t="s">
        <v>547</v>
      </c>
      <c r="D470" s="14" t="s">
        <v>268</v>
      </c>
      <c r="E470" s="14" t="s">
        <v>14</v>
      </c>
      <c r="F470" s="14" t="s">
        <v>324</v>
      </c>
      <c r="G470" s="179">
        <v>680469</v>
      </c>
      <c r="H470" s="176" t="s">
        <v>2066</v>
      </c>
      <c r="I470" s="176" t="s">
        <v>550</v>
      </c>
      <c r="J470" s="176" t="s">
        <v>128</v>
      </c>
      <c r="K470" s="176" t="s">
        <v>2070</v>
      </c>
      <c r="L470" s="40" t="s">
        <v>106</v>
      </c>
      <c r="M470" s="40" t="s">
        <v>341</v>
      </c>
      <c r="N470" s="14" t="s">
        <v>2077</v>
      </c>
      <c r="O470" s="14" t="s">
        <v>548</v>
      </c>
      <c r="P470" s="14" t="s">
        <v>518</v>
      </c>
      <c r="Q470" s="14" t="s">
        <v>549</v>
      </c>
      <c r="R470" s="17">
        <v>350</v>
      </c>
      <c r="S470" s="172" t="s">
        <v>51</v>
      </c>
      <c r="T470" s="17">
        <v>1300</v>
      </c>
      <c r="U470" s="14" t="s">
        <v>51</v>
      </c>
      <c r="V470" s="16">
        <f t="shared" si="73"/>
        <v>244085</v>
      </c>
      <c r="W470" s="16">
        <f t="shared" si="74"/>
        <v>244092</v>
      </c>
      <c r="X470" s="16">
        <f t="shared" si="75"/>
        <v>244087</v>
      </c>
      <c r="Y470" s="15"/>
      <c r="Z470" s="177"/>
      <c r="AA470" s="170"/>
      <c r="AB470" s="170"/>
      <c r="AC470" s="170"/>
      <c r="AD470" s="170"/>
      <c r="AE470" s="15"/>
      <c r="AF470" s="177"/>
      <c r="AG470" s="177">
        <f t="shared" si="71"/>
        <v>0</v>
      </c>
      <c r="AH470" s="177">
        <f t="shared" si="72"/>
        <v>0</v>
      </c>
      <c r="AK470" s="176"/>
      <c r="AL470" s="176"/>
    </row>
    <row r="471" spans="1:38" ht="36" customHeight="1" x14ac:dyDescent="0.2">
      <c r="A471" s="14" t="s">
        <v>20</v>
      </c>
      <c r="B471" s="212">
        <v>244085</v>
      </c>
      <c r="C471" s="14" t="s">
        <v>547</v>
      </c>
      <c r="D471" s="14" t="s">
        <v>268</v>
      </c>
      <c r="E471" s="14" t="s">
        <v>14</v>
      </c>
      <c r="F471" s="14" t="s">
        <v>324</v>
      </c>
      <c r="G471" s="179">
        <v>680470</v>
      </c>
      <c r="H471" s="176" t="s">
        <v>2067</v>
      </c>
      <c r="I471" s="176" t="s">
        <v>550</v>
      </c>
      <c r="J471" s="176" t="s">
        <v>128</v>
      </c>
      <c r="K471" s="176" t="s">
        <v>2071</v>
      </c>
      <c r="L471" s="40" t="s">
        <v>106</v>
      </c>
      <c r="M471" s="40" t="s">
        <v>341</v>
      </c>
      <c r="N471" s="14" t="s">
        <v>2078</v>
      </c>
      <c r="O471" s="14" t="s">
        <v>548</v>
      </c>
      <c r="P471" s="14" t="s">
        <v>518</v>
      </c>
      <c r="Q471" s="14" t="s">
        <v>549</v>
      </c>
      <c r="R471" s="17">
        <v>453</v>
      </c>
      <c r="S471" s="172" t="s">
        <v>51</v>
      </c>
      <c r="T471" s="17">
        <v>2506</v>
      </c>
      <c r="U471" s="14" t="s">
        <v>51</v>
      </c>
      <c r="V471" s="16">
        <f t="shared" si="73"/>
        <v>244085</v>
      </c>
      <c r="W471" s="16">
        <f t="shared" si="74"/>
        <v>244092</v>
      </c>
      <c r="X471" s="16">
        <f t="shared" si="75"/>
        <v>244087</v>
      </c>
      <c r="Y471" s="15"/>
      <c r="Z471" s="177"/>
      <c r="AA471" s="170"/>
      <c r="AB471" s="170"/>
      <c r="AC471" s="170"/>
      <c r="AD471" s="170"/>
      <c r="AE471" s="15"/>
      <c r="AF471" s="177"/>
      <c r="AG471" s="177">
        <f t="shared" si="71"/>
        <v>0</v>
      </c>
      <c r="AH471" s="177">
        <f t="shared" si="72"/>
        <v>0</v>
      </c>
      <c r="AK471" s="176"/>
      <c r="AL471" s="176"/>
    </row>
    <row r="472" spans="1:38" ht="36" customHeight="1" x14ac:dyDescent="0.2">
      <c r="A472" s="14" t="s">
        <v>20</v>
      </c>
      <c r="B472" s="212">
        <v>244085</v>
      </c>
      <c r="C472" s="14" t="s">
        <v>547</v>
      </c>
      <c r="D472" s="14" t="s">
        <v>268</v>
      </c>
      <c r="E472" s="14" t="s">
        <v>14</v>
      </c>
      <c r="F472" s="14" t="s">
        <v>324</v>
      </c>
      <c r="G472" s="179">
        <v>680471</v>
      </c>
      <c r="H472" s="176" t="s">
        <v>2067</v>
      </c>
      <c r="I472" s="176" t="s">
        <v>550</v>
      </c>
      <c r="J472" s="176" t="s">
        <v>128</v>
      </c>
      <c r="K472" s="176" t="s">
        <v>2071</v>
      </c>
      <c r="L472" s="40" t="s">
        <v>106</v>
      </c>
      <c r="M472" s="40" t="s">
        <v>341</v>
      </c>
      <c r="N472" s="14" t="s">
        <v>2079</v>
      </c>
      <c r="O472" s="14" t="s">
        <v>2081</v>
      </c>
      <c r="P472" s="14" t="s">
        <v>2084</v>
      </c>
      <c r="Q472" s="14" t="s">
        <v>2085</v>
      </c>
      <c r="R472" s="17">
        <v>400</v>
      </c>
      <c r="S472" s="172" t="s">
        <v>51</v>
      </c>
      <c r="T472" s="17">
        <v>1800</v>
      </c>
      <c r="U472" s="14" t="s">
        <v>51</v>
      </c>
      <c r="V472" s="16">
        <f t="shared" si="73"/>
        <v>244085</v>
      </c>
      <c r="W472" s="16">
        <f t="shared" si="74"/>
        <v>244092</v>
      </c>
      <c r="X472" s="16">
        <f t="shared" si="75"/>
        <v>244087</v>
      </c>
      <c r="Y472" s="15"/>
      <c r="Z472" s="177"/>
      <c r="AA472" s="170"/>
      <c r="AB472" s="170"/>
      <c r="AC472" s="170"/>
      <c r="AD472" s="170"/>
      <c r="AE472" s="15"/>
      <c r="AF472" s="177"/>
      <c r="AG472" s="177">
        <f t="shared" si="71"/>
        <v>0</v>
      </c>
      <c r="AH472" s="177">
        <f t="shared" si="72"/>
        <v>0</v>
      </c>
      <c r="AK472" s="176"/>
      <c r="AL472" s="176"/>
    </row>
    <row r="473" spans="1:38" ht="36" customHeight="1" x14ac:dyDescent="0.2">
      <c r="A473" s="14" t="s">
        <v>20</v>
      </c>
      <c r="B473" s="212">
        <v>244085</v>
      </c>
      <c r="C473" s="14" t="s">
        <v>547</v>
      </c>
      <c r="D473" s="14" t="s">
        <v>268</v>
      </c>
      <c r="E473" s="14" t="s">
        <v>14</v>
      </c>
      <c r="F473" s="14" t="s">
        <v>324</v>
      </c>
      <c r="G473" s="179">
        <v>680472</v>
      </c>
      <c r="H473" s="176" t="s">
        <v>2068</v>
      </c>
      <c r="I473" s="176" t="s">
        <v>550</v>
      </c>
      <c r="J473" s="176" t="s">
        <v>128</v>
      </c>
      <c r="K473" s="176" t="s">
        <v>2072</v>
      </c>
      <c r="L473" s="40" t="s">
        <v>106</v>
      </c>
      <c r="M473" s="40" t="s">
        <v>341</v>
      </c>
      <c r="N473" s="14" t="s">
        <v>2080</v>
      </c>
      <c r="O473" s="14" t="s">
        <v>548</v>
      </c>
      <c r="P473" s="14" t="s">
        <v>518</v>
      </c>
      <c r="Q473" s="14" t="s">
        <v>549</v>
      </c>
      <c r="R473" s="17">
        <v>370</v>
      </c>
      <c r="S473" s="172" t="s">
        <v>51</v>
      </c>
      <c r="T473" s="17">
        <v>2460</v>
      </c>
      <c r="U473" s="14" t="s">
        <v>51</v>
      </c>
      <c r="V473" s="16">
        <f t="shared" si="73"/>
        <v>244085</v>
      </c>
      <c r="W473" s="16">
        <f t="shared" si="74"/>
        <v>244092</v>
      </c>
      <c r="X473" s="16">
        <f t="shared" si="75"/>
        <v>244087</v>
      </c>
      <c r="Y473" s="15"/>
      <c r="Z473" s="177"/>
      <c r="AA473" s="170"/>
      <c r="AB473" s="170"/>
      <c r="AC473" s="170"/>
      <c r="AD473" s="170"/>
      <c r="AE473" s="15"/>
      <c r="AF473" s="177"/>
      <c r="AG473" s="177">
        <f t="shared" si="71"/>
        <v>0</v>
      </c>
      <c r="AH473" s="177">
        <f t="shared" si="72"/>
        <v>0</v>
      </c>
      <c r="AK473" s="176"/>
      <c r="AL473" s="176"/>
    </row>
    <row r="474" spans="1:38" ht="36" customHeight="1" x14ac:dyDescent="0.2">
      <c r="A474" s="14" t="s">
        <v>20</v>
      </c>
      <c r="B474" s="212">
        <v>244085</v>
      </c>
      <c r="C474" s="14" t="s">
        <v>547</v>
      </c>
      <c r="D474" s="14" t="s">
        <v>268</v>
      </c>
      <c r="E474" s="14" t="s">
        <v>14</v>
      </c>
      <c r="F474" s="14" t="s">
        <v>324</v>
      </c>
      <c r="G474" s="179">
        <v>680473</v>
      </c>
      <c r="H474" s="176" t="s">
        <v>849</v>
      </c>
      <c r="I474" s="176" t="s">
        <v>550</v>
      </c>
      <c r="J474" s="176" t="s">
        <v>128</v>
      </c>
      <c r="K474" s="176" t="s">
        <v>2073</v>
      </c>
      <c r="L474" s="40" t="s">
        <v>46</v>
      </c>
      <c r="M474" s="40" t="s">
        <v>341</v>
      </c>
      <c r="N474" s="14" t="s">
        <v>1499</v>
      </c>
      <c r="O474" s="14" t="s">
        <v>528</v>
      </c>
      <c r="P474" s="14" t="s">
        <v>684</v>
      </c>
      <c r="Q474" s="14" t="s">
        <v>541</v>
      </c>
      <c r="R474" s="17">
        <v>300</v>
      </c>
      <c r="S474" s="172" t="s">
        <v>51</v>
      </c>
      <c r="T474" s="17">
        <v>2375</v>
      </c>
      <c r="U474" s="14" t="s">
        <v>51</v>
      </c>
      <c r="V474" s="16">
        <f t="shared" si="73"/>
        <v>244085</v>
      </c>
      <c r="W474" s="16">
        <f t="shared" si="74"/>
        <v>244092</v>
      </c>
      <c r="X474" s="16">
        <f t="shared" si="75"/>
        <v>244087</v>
      </c>
      <c r="Y474" s="15"/>
      <c r="Z474" s="177"/>
      <c r="AA474" s="170"/>
      <c r="AB474" s="170"/>
      <c r="AC474" s="170"/>
      <c r="AD474" s="170"/>
      <c r="AE474" s="15"/>
      <c r="AF474" s="177"/>
      <c r="AG474" s="177">
        <f t="shared" ref="AG474:AG479" si="76">AE474</f>
        <v>0</v>
      </c>
      <c r="AH474" s="177">
        <f t="shared" ref="AH474:AH479" si="77">AF474</f>
        <v>0</v>
      </c>
      <c r="AK474" s="176"/>
      <c r="AL474" s="176"/>
    </row>
    <row r="475" spans="1:38" ht="36" customHeight="1" x14ac:dyDescent="0.2">
      <c r="A475" s="14" t="s">
        <v>20</v>
      </c>
      <c r="B475" s="212">
        <v>244086</v>
      </c>
      <c r="C475" s="14" t="s">
        <v>547</v>
      </c>
      <c r="D475" s="14" t="s">
        <v>268</v>
      </c>
      <c r="E475" s="14" t="s">
        <v>14</v>
      </c>
      <c r="F475" s="14" t="s">
        <v>324</v>
      </c>
      <c r="G475" s="179">
        <v>680474</v>
      </c>
      <c r="H475" s="176" t="s">
        <v>1547</v>
      </c>
      <c r="I475" s="176" t="s">
        <v>550</v>
      </c>
      <c r="J475" s="176" t="s">
        <v>128</v>
      </c>
      <c r="K475" s="176" t="s">
        <v>2091</v>
      </c>
      <c r="L475" s="40" t="s">
        <v>106</v>
      </c>
      <c r="M475" s="40" t="s">
        <v>341</v>
      </c>
      <c r="N475" s="14" t="s">
        <v>2096</v>
      </c>
      <c r="O475" s="14" t="s">
        <v>693</v>
      </c>
      <c r="P475" s="14" t="s">
        <v>2104</v>
      </c>
      <c r="Q475" s="14" t="s">
        <v>696</v>
      </c>
      <c r="R475" s="17">
        <v>525</v>
      </c>
      <c r="S475" s="172" t="s">
        <v>51</v>
      </c>
      <c r="T475" s="17">
        <v>2500</v>
      </c>
      <c r="U475" s="14" t="s">
        <v>51</v>
      </c>
      <c r="V475" s="16">
        <f t="shared" si="73"/>
        <v>244086</v>
      </c>
      <c r="W475" s="16">
        <f t="shared" si="74"/>
        <v>244093</v>
      </c>
      <c r="X475" s="16">
        <f t="shared" si="75"/>
        <v>244088</v>
      </c>
      <c r="Y475" s="15"/>
      <c r="Z475" s="177"/>
      <c r="AA475" s="170"/>
      <c r="AB475" s="170"/>
      <c r="AC475" s="170"/>
      <c r="AD475" s="170"/>
      <c r="AE475" s="15"/>
      <c r="AF475" s="177"/>
      <c r="AG475" s="177">
        <f t="shared" si="76"/>
        <v>0</v>
      </c>
      <c r="AH475" s="177">
        <f t="shared" si="77"/>
        <v>0</v>
      </c>
      <c r="AK475" s="176"/>
      <c r="AL475" s="176"/>
    </row>
    <row r="476" spans="1:38" ht="36" customHeight="1" x14ac:dyDescent="0.2">
      <c r="A476" s="14" t="s">
        <v>20</v>
      </c>
      <c r="B476" s="212">
        <v>244086</v>
      </c>
      <c r="C476" s="14" t="s">
        <v>547</v>
      </c>
      <c r="D476" s="14" t="s">
        <v>268</v>
      </c>
      <c r="E476" s="14" t="s">
        <v>14</v>
      </c>
      <c r="F476" s="14" t="s">
        <v>324</v>
      </c>
      <c r="G476" s="179">
        <v>680475</v>
      </c>
      <c r="H476" s="176" t="s">
        <v>2088</v>
      </c>
      <c r="I476" s="176" t="s">
        <v>2090</v>
      </c>
      <c r="J476" s="176" t="s">
        <v>1371</v>
      </c>
      <c r="K476" s="176" t="s">
        <v>2092</v>
      </c>
      <c r="L476" s="40" t="s">
        <v>45</v>
      </c>
      <c r="M476" s="40" t="s">
        <v>341</v>
      </c>
      <c r="N476" s="14" t="s">
        <v>2097</v>
      </c>
      <c r="O476" s="14" t="s">
        <v>543</v>
      </c>
      <c r="P476" s="14" t="s">
        <v>313</v>
      </c>
      <c r="Q476" s="14" t="s">
        <v>529</v>
      </c>
      <c r="R476" s="17">
        <v>400</v>
      </c>
      <c r="S476" s="172" t="s">
        <v>51</v>
      </c>
      <c r="T476" s="17">
        <v>2570</v>
      </c>
      <c r="U476" s="14" t="s">
        <v>51</v>
      </c>
      <c r="V476" s="16">
        <f t="shared" si="73"/>
        <v>244086</v>
      </c>
      <c r="W476" s="16">
        <f t="shared" si="74"/>
        <v>244093</v>
      </c>
      <c r="X476" s="16">
        <f t="shared" si="75"/>
        <v>244088</v>
      </c>
      <c r="Y476" s="15"/>
      <c r="Z476" s="177"/>
      <c r="AA476" s="170"/>
      <c r="AB476" s="170"/>
      <c r="AC476" s="170"/>
      <c r="AD476" s="170"/>
      <c r="AE476" s="15"/>
      <c r="AF476" s="177"/>
      <c r="AG476" s="177">
        <f t="shared" si="76"/>
        <v>0</v>
      </c>
      <c r="AH476" s="177">
        <f t="shared" si="77"/>
        <v>0</v>
      </c>
      <c r="AK476" s="176"/>
      <c r="AL476" s="176"/>
    </row>
    <row r="477" spans="1:38" ht="36" customHeight="1" x14ac:dyDescent="0.2">
      <c r="A477" s="14" t="s">
        <v>20</v>
      </c>
      <c r="B477" s="212">
        <v>244086</v>
      </c>
      <c r="C477" s="14" t="s">
        <v>547</v>
      </c>
      <c r="D477" s="14" t="s">
        <v>268</v>
      </c>
      <c r="E477" s="14" t="s">
        <v>14</v>
      </c>
      <c r="F477" s="14" t="s">
        <v>324</v>
      </c>
      <c r="G477" s="179">
        <v>680476</v>
      </c>
      <c r="H477" s="176" t="s">
        <v>1631</v>
      </c>
      <c r="I477" s="176" t="s">
        <v>1633</v>
      </c>
      <c r="J477" s="176" t="s">
        <v>1634</v>
      </c>
      <c r="K477" s="176" t="s">
        <v>1635</v>
      </c>
      <c r="L477" s="40" t="s">
        <v>45</v>
      </c>
      <c r="M477" s="40" t="s">
        <v>341</v>
      </c>
      <c r="N477" s="14" t="s">
        <v>2098</v>
      </c>
      <c r="O477" s="14" t="s">
        <v>528</v>
      </c>
      <c r="P477" s="14" t="s">
        <v>517</v>
      </c>
      <c r="Q477" s="14" t="s">
        <v>541</v>
      </c>
      <c r="R477" s="17">
        <v>800</v>
      </c>
      <c r="S477" s="172" t="s">
        <v>51</v>
      </c>
      <c r="T477" s="17">
        <v>2150</v>
      </c>
      <c r="U477" s="14" t="s">
        <v>51</v>
      </c>
      <c r="V477" s="16">
        <f t="shared" si="73"/>
        <v>244086</v>
      </c>
      <c r="W477" s="16">
        <f t="shared" si="74"/>
        <v>244093</v>
      </c>
      <c r="X477" s="16">
        <f t="shared" si="75"/>
        <v>244088</v>
      </c>
      <c r="Y477" s="15"/>
      <c r="Z477" s="177"/>
      <c r="AA477" s="170"/>
      <c r="AB477" s="170"/>
      <c r="AC477" s="170"/>
      <c r="AD477" s="170"/>
      <c r="AE477" s="15"/>
      <c r="AF477" s="177"/>
      <c r="AG477" s="177">
        <f t="shared" si="76"/>
        <v>0</v>
      </c>
      <c r="AH477" s="177">
        <f t="shared" si="77"/>
        <v>0</v>
      </c>
      <c r="AK477" s="176"/>
      <c r="AL477" s="176"/>
    </row>
    <row r="478" spans="1:38" ht="36" customHeight="1" x14ac:dyDescent="0.2">
      <c r="A478" s="14" t="s">
        <v>20</v>
      </c>
      <c r="B478" s="212">
        <v>244086</v>
      </c>
      <c r="C478" s="14" t="s">
        <v>547</v>
      </c>
      <c r="D478" s="14" t="s">
        <v>268</v>
      </c>
      <c r="E478" s="14" t="s">
        <v>14</v>
      </c>
      <c r="F478" s="14" t="s">
        <v>324</v>
      </c>
      <c r="G478" s="179">
        <v>680477</v>
      </c>
      <c r="H478" s="176" t="s">
        <v>1041</v>
      </c>
      <c r="I478" s="176" t="s">
        <v>908</v>
      </c>
      <c r="J478" s="176" t="s">
        <v>133</v>
      </c>
      <c r="K478" s="176" t="s">
        <v>2093</v>
      </c>
      <c r="L478" s="40" t="s">
        <v>46</v>
      </c>
      <c r="M478" s="40" t="s">
        <v>341</v>
      </c>
      <c r="N478" s="14" t="s">
        <v>1952</v>
      </c>
      <c r="O478" s="14" t="s">
        <v>552</v>
      </c>
      <c r="P478" s="14" t="s">
        <v>519</v>
      </c>
      <c r="Q478" s="14" t="s">
        <v>553</v>
      </c>
      <c r="R478" s="17">
        <v>850</v>
      </c>
      <c r="S478" s="172" t="s">
        <v>51</v>
      </c>
      <c r="T478" s="17">
        <v>1725</v>
      </c>
      <c r="U478" s="14" t="s">
        <v>51</v>
      </c>
      <c r="V478" s="16">
        <f t="shared" si="73"/>
        <v>244086</v>
      </c>
      <c r="W478" s="16">
        <f t="shared" si="74"/>
        <v>244093</v>
      </c>
      <c r="X478" s="16">
        <f t="shared" si="75"/>
        <v>244088</v>
      </c>
      <c r="Y478" s="15"/>
      <c r="Z478" s="177"/>
      <c r="AA478" s="170"/>
      <c r="AB478" s="170"/>
      <c r="AC478" s="170"/>
      <c r="AD478" s="170"/>
      <c r="AE478" s="15"/>
      <c r="AF478" s="177"/>
      <c r="AG478" s="177">
        <f t="shared" si="76"/>
        <v>0</v>
      </c>
      <c r="AH478" s="177">
        <f t="shared" si="77"/>
        <v>0</v>
      </c>
      <c r="AK478" s="176"/>
      <c r="AL478" s="176"/>
    </row>
    <row r="479" spans="1:38" ht="36" customHeight="1" x14ac:dyDescent="0.2">
      <c r="A479" s="14" t="s">
        <v>20</v>
      </c>
      <c r="B479" s="212">
        <v>244086</v>
      </c>
      <c r="C479" s="14" t="s">
        <v>547</v>
      </c>
      <c r="D479" s="14" t="s">
        <v>268</v>
      </c>
      <c r="E479" s="14" t="s">
        <v>14</v>
      </c>
      <c r="F479" s="14" t="s">
        <v>324</v>
      </c>
      <c r="G479" s="179">
        <v>680478</v>
      </c>
      <c r="H479" s="176" t="s">
        <v>1041</v>
      </c>
      <c r="I479" s="176" t="s">
        <v>908</v>
      </c>
      <c r="J479" s="176" t="s">
        <v>133</v>
      </c>
      <c r="K479" s="176" t="s">
        <v>2093</v>
      </c>
      <c r="L479" s="40" t="s">
        <v>46</v>
      </c>
      <c r="M479" s="40" t="s">
        <v>341</v>
      </c>
      <c r="N479" s="14" t="s">
        <v>2102</v>
      </c>
      <c r="O479" s="14" t="s">
        <v>2103</v>
      </c>
      <c r="P479" s="14" t="s">
        <v>2105</v>
      </c>
      <c r="Q479" s="14" t="s">
        <v>2108</v>
      </c>
      <c r="R479" s="17">
        <v>500</v>
      </c>
      <c r="S479" s="172" t="s">
        <v>51</v>
      </c>
      <c r="T479" s="17">
        <v>1990</v>
      </c>
      <c r="U479" s="14" t="s">
        <v>51</v>
      </c>
      <c r="V479" s="16">
        <f t="shared" si="73"/>
        <v>244086</v>
      </c>
      <c r="W479" s="16">
        <f t="shared" si="74"/>
        <v>244093</v>
      </c>
      <c r="X479" s="16">
        <f t="shared" si="75"/>
        <v>244088</v>
      </c>
      <c r="Y479" s="15"/>
      <c r="Z479" s="177"/>
      <c r="AA479" s="170"/>
      <c r="AB479" s="170"/>
      <c r="AC479" s="170"/>
      <c r="AD479" s="170"/>
      <c r="AE479" s="15"/>
      <c r="AF479" s="177"/>
      <c r="AG479" s="177">
        <f t="shared" si="76"/>
        <v>0</v>
      </c>
      <c r="AH479" s="177">
        <f t="shared" si="77"/>
        <v>0</v>
      </c>
      <c r="AK479" s="176"/>
      <c r="AL479" s="176"/>
    </row>
    <row r="480" spans="1:38" ht="36" customHeight="1" x14ac:dyDescent="0.2">
      <c r="A480" s="14" t="s">
        <v>20</v>
      </c>
      <c r="B480" s="212">
        <v>244086</v>
      </c>
      <c r="C480" s="14" t="s">
        <v>547</v>
      </c>
      <c r="D480" s="14" t="s">
        <v>268</v>
      </c>
      <c r="E480" s="14" t="s">
        <v>14</v>
      </c>
      <c r="F480" s="14" t="s">
        <v>324</v>
      </c>
      <c r="G480" s="179">
        <v>680479</v>
      </c>
      <c r="H480" s="176" t="s">
        <v>2089</v>
      </c>
      <c r="I480" s="176" t="s">
        <v>550</v>
      </c>
      <c r="J480" s="176" t="s">
        <v>128</v>
      </c>
      <c r="K480" s="176" t="s">
        <v>2094</v>
      </c>
      <c r="L480" s="40" t="s">
        <v>106</v>
      </c>
      <c r="M480" s="40" t="s">
        <v>341</v>
      </c>
      <c r="N480" s="14" t="s">
        <v>2099</v>
      </c>
      <c r="O480" s="14" t="s">
        <v>548</v>
      </c>
      <c r="P480" s="14" t="s">
        <v>518</v>
      </c>
      <c r="Q480" s="14" t="s">
        <v>549</v>
      </c>
      <c r="R480" s="17">
        <v>137</v>
      </c>
      <c r="S480" s="172" t="s">
        <v>51</v>
      </c>
      <c r="T480" s="17">
        <v>2448</v>
      </c>
      <c r="U480" s="14" t="s">
        <v>51</v>
      </c>
      <c r="V480" s="16">
        <f t="shared" si="73"/>
        <v>244086</v>
      </c>
      <c r="W480" s="16">
        <f t="shared" si="74"/>
        <v>244093</v>
      </c>
      <c r="X480" s="16">
        <f t="shared" si="75"/>
        <v>244088</v>
      </c>
      <c r="Y480" s="15"/>
      <c r="Z480" s="177"/>
      <c r="AA480" s="170"/>
      <c r="AB480" s="170"/>
      <c r="AC480" s="170"/>
      <c r="AD480" s="170"/>
      <c r="AE480" s="15"/>
      <c r="AF480" s="177"/>
      <c r="AG480" s="177">
        <f t="shared" ref="AG480:AG543" si="78">AE480</f>
        <v>0</v>
      </c>
      <c r="AH480" s="177">
        <f t="shared" ref="AH480:AH543" si="79">AF480</f>
        <v>0</v>
      </c>
      <c r="AK480" s="176"/>
      <c r="AL480" s="176"/>
    </row>
    <row r="481" spans="1:38" ht="36" customHeight="1" x14ac:dyDescent="0.2">
      <c r="A481" s="14" t="s">
        <v>20</v>
      </c>
      <c r="B481" s="212">
        <v>244086</v>
      </c>
      <c r="C481" s="14" t="s">
        <v>547</v>
      </c>
      <c r="D481" s="14" t="s">
        <v>268</v>
      </c>
      <c r="E481" s="14" t="s">
        <v>14</v>
      </c>
      <c r="F481" s="14" t="s">
        <v>324</v>
      </c>
      <c r="G481" s="179">
        <v>680480</v>
      </c>
      <c r="H481" s="176" t="s">
        <v>663</v>
      </c>
      <c r="I481" s="176" t="s">
        <v>630</v>
      </c>
      <c r="J481" s="176" t="s">
        <v>821</v>
      </c>
      <c r="K481" s="176" t="s">
        <v>2095</v>
      </c>
      <c r="L481" s="40" t="s">
        <v>124</v>
      </c>
      <c r="M481" s="40" t="s">
        <v>341</v>
      </c>
      <c r="N481" s="14" t="s">
        <v>2100</v>
      </c>
      <c r="O481" s="14" t="s">
        <v>693</v>
      </c>
      <c r="P481" s="14" t="s">
        <v>2106</v>
      </c>
      <c r="Q481" s="14" t="s">
        <v>696</v>
      </c>
      <c r="R481" s="17">
        <v>1200</v>
      </c>
      <c r="S481" s="172" t="s">
        <v>51</v>
      </c>
      <c r="T481" s="17">
        <v>2567</v>
      </c>
      <c r="U481" s="14" t="s">
        <v>51</v>
      </c>
      <c r="V481" s="16">
        <f t="shared" si="73"/>
        <v>244086</v>
      </c>
      <c r="W481" s="16">
        <f t="shared" si="74"/>
        <v>244093</v>
      </c>
      <c r="X481" s="16">
        <f t="shared" si="75"/>
        <v>244088</v>
      </c>
      <c r="Y481" s="15"/>
      <c r="Z481" s="177"/>
      <c r="AA481" s="170"/>
      <c r="AB481" s="170"/>
      <c r="AC481" s="170"/>
      <c r="AD481" s="170"/>
      <c r="AE481" s="15"/>
      <c r="AF481" s="177"/>
      <c r="AG481" s="177">
        <f t="shared" si="78"/>
        <v>0</v>
      </c>
      <c r="AH481" s="177">
        <f t="shared" si="79"/>
        <v>0</v>
      </c>
      <c r="AK481" s="176"/>
      <c r="AL481" s="176"/>
    </row>
    <row r="482" spans="1:38" ht="36" customHeight="1" x14ac:dyDescent="0.2">
      <c r="A482" s="14" t="s">
        <v>20</v>
      </c>
      <c r="B482" s="212">
        <v>244086</v>
      </c>
      <c r="C482" s="14" t="s">
        <v>547</v>
      </c>
      <c r="D482" s="14" t="s">
        <v>268</v>
      </c>
      <c r="E482" s="14" t="s">
        <v>14</v>
      </c>
      <c r="F482" s="14" t="s">
        <v>324</v>
      </c>
      <c r="G482" s="179">
        <v>680481</v>
      </c>
      <c r="H482" s="176" t="s">
        <v>1631</v>
      </c>
      <c r="I482" s="176" t="s">
        <v>1633</v>
      </c>
      <c r="J482" s="176" t="s">
        <v>1634</v>
      </c>
      <c r="K482" s="176" t="s">
        <v>1635</v>
      </c>
      <c r="L482" s="40" t="s">
        <v>45</v>
      </c>
      <c r="M482" s="40" t="s">
        <v>341</v>
      </c>
      <c r="N482" s="14" t="s">
        <v>2101</v>
      </c>
      <c r="O482" s="14" t="s">
        <v>557</v>
      </c>
      <c r="P482" s="14" t="s">
        <v>2107</v>
      </c>
      <c r="Q482" s="14" t="s">
        <v>558</v>
      </c>
      <c r="R482" s="17">
        <v>400</v>
      </c>
      <c r="S482" s="172" t="s">
        <v>51</v>
      </c>
      <c r="T482" s="17">
        <v>2145</v>
      </c>
      <c r="U482" s="14" t="s">
        <v>51</v>
      </c>
      <c r="V482" s="16">
        <f t="shared" si="73"/>
        <v>244086</v>
      </c>
      <c r="W482" s="16">
        <f t="shared" si="74"/>
        <v>244093</v>
      </c>
      <c r="X482" s="16">
        <f t="shared" si="75"/>
        <v>244088</v>
      </c>
      <c r="Y482" s="15"/>
      <c r="Z482" s="177"/>
      <c r="AA482" s="170"/>
      <c r="AB482" s="170"/>
      <c r="AC482" s="170"/>
      <c r="AD482" s="170"/>
      <c r="AE482" s="15"/>
      <c r="AF482" s="177"/>
      <c r="AG482" s="177">
        <f t="shared" si="78"/>
        <v>0</v>
      </c>
      <c r="AH482" s="177">
        <f t="shared" si="79"/>
        <v>0</v>
      </c>
      <c r="AK482" s="176"/>
      <c r="AL482" s="176"/>
    </row>
    <row r="483" spans="1:38" ht="36" customHeight="1" x14ac:dyDescent="0.2">
      <c r="A483" s="14" t="s">
        <v>20</v>
      </c>
      <c r="B483" s="212">
        <v>244091</v>
      </c>
      <c r="C483" s="14" t="s">
        <v>547</v>
      </c>
      <c r="D483" s="14" t="s">
        <v>268</v>
      </c>
      <c r="E483" s="14" t="s">
        <v>14</v>
      </c>
      <c r="F483" s="14" t="s">
        <v>324</v>
      </c>
      <c r="G483" s="179">
        <v>680482</v>
      </c>
      <c r="H483" s="176" t="s">
        <v>1281</v>
      </c>
      <c r="I483" s="176" t="s">
        <v>550</v>
      </c>
      <c r="J483" s="176" t="s">
        <v>128</v>
      </c>
      <c r="K483" s="176" t="s">
        <v>2109</v>
      </c>
      <c r="L483" s="40" t="s">
        <v>106</v>
      </c>
      <c r="M483" s="40" t="s">
        <v>341</v>
      </c>
      <c r="N483" s="14" t="s">
        <v>2098</v>
      </c>
      <c r="O483" s="14" t="s">
        <v>528</v>
      </c>
      <c r="P483" s="14" t="s">
        <v>1248</v>
      </c>
      <c r="Q483" s="14" t="s">
        <v>541</v>
      </c>
      <c r="R483" s="17">
        <v>800</v>
      </c>
      <c r="S483" s="172" t="s">
        <v>51</v>
      </c>
      <c r="T483" s="17">
        <v>2485</v>
      </c>
      <c r="U483" s="14" t="s">
        <v>51</v>
      </c>
      <c r="V483" s="16">
        <f t="shared" si="73"/>
        <v>244091</v>
      </c>
      <c r="W483" s="16">
        <f t="shared" si="74"/>
        <v>244098</v>
      </c>
      <c r="X483" s="16">
        <f t="shared" si="75"/>
        <v>244093</v>
      </c>
      <c r="Y483" s="15"/>
      <c r="Z483" s="177"/>
      <c r="AA483" s="170"/>
      <c r="AB483" s="170"/>
      <c r="AC483" s="170"/>
      <c r="AD483" s="170"/>
      <c r="AE483" s="15"/>
      <c r="AF483" s="177"/>
      <c r="AG483" s="177">
        <f t="shared" si="78"/>
        <v>0</v>
      </c>
      <c r="AH483" s="177">
        <f t="shared" si="79"/>
        <v>0</v>
      </c>
      <c r="AK483" s="176"/>
      <c r="AL483" s="176"/>
    </row>
    <row r="484" spans="1:38" ht="36" customHeight="1" x14ac:dyDescent="0.2">
      <c r="A484" s="14" t="s">
        <v>20</v>
      </c>
      <c r="B484" s="212">
        <v>244092</v>
      </c>
      <c r="C484" s="14" t="s">
        <v>547</v>
      </c>
      <c r="D484" s="14" t="s">
        <v>268</v>
      </c>
      <c r="E484" s="14" t="s">
        <v>14</v>
      </c>
      <c r="F484" s="14" t="s">
        <v>324</v>
      </c>
      <c r="G484" s="179">
        <v>680483</v>
      </c>
      <c r="H484" s="176" t="s">
        <v>1925</v>
      </c>
      <c r="I484" s="176" t="s">
        <v>630</v>
      </c>
      <c r="J484" s="176" t="s">
        <v>520</v>
      </c>
      <c r="K484" s="176" t="s">
        <v>2110</v>
      </c>
      <c r="L484" s="40" t="s">
        <v>105</v>
      </c>
      <c r="M484" s="40" t="s">
        <v>341</v>
      </c>
      <c r="N484" s="14" t="s">
        <v>2112</v>
      </c>
      <c r="O484" s="14" t="s">
        <v>552</v>
      </c>
      <c r="P484" s="14" t="s">
        <v>685</v>
      </c>
      <c r="Q484" s="14" t="s">
        <v>553</v>
      </c>
      <c r="R484" s="17">
        <v>200</v>
      </c>
      <c r="S484" s="172" t="s">
        <v>51</v>
      </c>
      <c r="T484" s="17">
        <v>2050</v>
      </c>
      <c r="U484" s="14" t="s">
        <v>51</v>
      </c>
      <c r="V484" s="16">
        <f t="shared" ref="V484" si="80">B484</f>
        <v>244092</v>
      </c>
      <c r="W484" s="16">
        <f t="shared" ref="W484" si="81">B484+7</f>
        <v>244099</v>
      </c>
      <c r="X484" s="16">
        <f t="shared" ref="X484" si="82">V484+2</f>
        <v>244094</v>
      </c>
      <c r="Y484" s="15"/>
      <c r="Z484" s="177"/>
      <c r="AA484" s="170"/>
      <c r="AB484" s="170"/>
      <c r="AC484" s="170"/>
      <c r="AD484" s="170"/>
      <c r="AE484" s="15"/>
      <c r="AF484" s="177"/>
      <c r="AG484" s="177">
        <f t="shared" si="78"/>
        <v>0</v>
      </c>
      <c r="AH484" s="177">
        <f t="shared" si="79"/>
        <v>0</v>
      </c>
      <c r="AK484" s="176"/>
      <c r="AL484" s="176"/>
    </row>
    <row r="485" spans="1:38" ht="36" customHeight="1" x14ac:dyDescent="0.2">
      <c r="A485" s="14" t="s">
        <v>20</v>
      </c>
      <c r="B485" s="212">
        <v>244092</v>
      </c>
      <c r="C485" s="14" t="s">
        <v>547</v>
      </c>
      <c r="D485" s="14" t="s">
        <v>268</v>
      </c>
      <c r="E485" s="14" t="s">
        <v>14</v>
      </c>
      <c r="F485" s="14" t="s">
        <v>324</v>
      </c>
      <c r="G485" s="179">
        <v>680484</v>
      </c>
      <c r="H485" s="176" t="s">
        <v>1631</v>
      </c>
      <c r="I485" s="176" t="s">
        <v>1633</v>
      </c>
      <c r="J485" s="176" t="s">
        <v>1634</v>
      </c>
      <c r="K485" s="176" t="s">
        <v>1635</v>
      </c>
      <c r="L485" s="40" t="s">
        <v>45</v>
      </c>
      <c r="M485" s="40" t="s">
        <v>341</v>
      </c>
      <c r="N485" s="14" t="s">
        <v>2113</v>
      </c>
      <c r="O485" s="14" t="s">
        <v>552</v>
      </c>
      <c r="P485" s="14" t="s">
        <v>2114</v>
      </c>
      <c r="Q485" s="14" t="s">
        <v>553</v>
      </c>
      <c r="R485" s="17">
        <v>550</v>
      </c>
      <c r="S485" s="172" t="s">
        <v>51</v>
      </c>
      <c r="T485" s="17">
        <v>2170</v>
      </c>
      <c r="U485" s="14" t="s">
        <v>51</v>
      </c>
      <c r="V485" s="16">
        <f t="shared" si="73"/>
        <v>244092</v>
      </c>
      <c r="W485" s="16">
        <f t="shared" si="74"/>
        <v>244099</v>
      </c>
      <c r="X485" s="16">
        <f t="shared" si="75"/>
        <v>244094</v>
      </c>
      <c r="Y485" s="15"/>
      <c r="Z485" s="177"/>
      <c r="AA485" s="170"/>
      <c r="AB485" s="170"/>
      <c r="AC485" s="170"/>
      <c r="AD485" s="170"/>
      <c r="AE485" s="15"/>
      <c r="AF485" s="177"/>
      <c r="AG485" s="177">
        <f t="shared" si="78"/>
        <v>0</v>
      </c>
      <c r="AH485" s="177">
        <f t="shared" si="79"/>
        <v>0</v>
      </c>
      <c r="AK485" s="176"/>
      <c r="AL485" s="176"/>
    </row>
    <row r="486" spans="1:38" ht="36" customHeight="1" x14ac:dyDescent="0.2">
      <c r="A486" s="14" t="s">
        <v>20</v>
      </c>
      <c r="B486" s="212">
        <v>244092</v>
      </c>
      <c r="C486" s="14" t="s">
        <v>547</v>
      </c>
      <c r="D486" s="14" t="s">
        <v>268</v>
      </c>
      <c r="E486" s="14" t="s">
        <v>14</v>
      </c>
      <c r="F486" s="14" t="s">
        <v>324</v>
      </c>
      <c r="G486" s="179">
        <v>680485</v>
      </c>
      <c r="H486" s="176" t="s">
        <v>1547</v>
      </c>
      <c r="I486" s="176" t="s">
        <v>550</v>
      </c>
      <c r="J486" s="176" t="s">
        <v>128</v>
      </c>
      <c r="K486" s="176" t="s">
        <v>2111</v>
      </c>
      <c r="L486" s="40" t="s">
        <v>106</v>
      </c>
      <c r="M486" s="40" t="s">
        <v>341</v>
      </c>
      <c r="N486" s="14" t="s">
        <v>765</v>
      </c>
      <c r="O486" s="14" t="s">
        <v>548</v>
      </c>
      <c r="P486" s="14" t="s">
        <v>518</v>
      </c>
      <c r="Q486" s="14" t="s">
        <v>549</v>
      </c>
      <c r="R486" s="17">
        <v>200</v>
      </c>
      <c r="S486" s="172" t="s">
        <v>51</v>
      </c>
      <c r="T486" s="17">
        <v>2060</v>
      </c>
      <c r="U486" s="14" t="s">
        <v>51</v>
      </c>
      <c r="V486" s="16">
        <f t="shared" si="73"/>
        <v>244092</v>
      </c>
      <c r="W486" s="16">
        <f t="shared" si="74"/>
        <v>244099</v>
      </c>
      <c r="X486" s="16">
        <f t="shared" si="75"/>
        <v>244094</v>
      </c>
      <c r="Y486" s="15"/>
      <c r="Z486" s="177"/>
      <c r="AA486" s="170"/>
      <c r="AB486" s="170"/>
      <c r="AC486" s="170"/>
      <c r="AD486" s="170"/>
      <c r="AE486" s="15"/>
      <c r="AF486" s="177"/>
      <c r="AG486" s="177">
        <f t="shared" si="78"/>
        <v>0</v>
      </c>
      <c r="AH486" s="177">
        <f t="shared" si="79"/>
        <v>0</v>
      </c>
      <c r="AK486" s="176"/>
      <c r="AL486" s="176"/>
    </row>
    <row r="487" spans="1:38" ht="36" customHeight="1" x14ac:dyDescent="0.2">
      <c r="A487" s="14" t="s">
        <v>20</v>
      </c>
      <c r="B487" s="212">
        <v>244093</v>
      </c>
      <c r="C487" s="14" t="s">
        <v>547</v>
      </c>
      <c r="D487" s="14" t="s">
        <v>268</v>
      </c>
      <c r="E487" s="14" t="s">
        <v>14</v>
      </c>
      <c r="F487" s="14" t="s">
        <v>324</v>
      </c>
      <c r="G487" s="179">
        <v>680486</v>
      </c>
      <c r="H487" s="176" t="s">
        <v>2115</v>
      </c>
      <c r="I487" s="176" t="s">
        <v>612</v>
      </c>
      <c r="J487" s="176" t="s">
        <v>865</v>
      </c>
      <c r="K487" s="176" t="s">
        <v>2120</v>
      </c>
      <c r="L487" s="40" t="s">
        <v>46</v>
      </c>
      <c r="M487" s="40" t="s">
        <v>341</v>
      </c>
      <c r="N487" s="14" t="s">
        <v>2126</v>
      </c>
      <c r="O487" s="14" t="s">
        <v>552</v>
      </c>
      <c r="P487" s="14" t="s">
        <v>1205</v>
      </c>
      <c r="Q487" s="14" t="s">
        <v>553</v>
      </c>
      <c r="R487" s="17">
        <v>700</v>
      </c>
      <c r="S487" s="172" t="s">
        <v>51</v>
      </c>
      <c r="T487" s="17">
        <v>1865</v>
      </c>
      <c r="U487" s="14" t="s">
        <v>51</v>
      </c>
      <c r="V487" s="16">
        <f t="shared" si="73"/>
        <v>244093</v>
      </c>
      <c r="W487" s="16">
        <f t="shared" si="74"/>
        <v>244100</v>
      </c>
      <c r="X487" s="16">
        <f t="shared" si="75"/>
        <v>244095</v>
      </c>
      <c r="Y487" s="15"/>
      <c r="Z487" s="177"/>
      <c r="AA487" s="170"/>
      <c r="AB487" s="170"/>
      <c r="AC487" s="170"/>
      <c r="AD487" s="170"/>
      <c r="AE487" s="15"/>
      <c r="AF487" s="177"/>
      <c r="AG487" s="177">
        <f t="shared" si="78"/>
        <v>0</v>
      </c>
      <c r="AH487" s="177">
        <f t="shared" si="79"/>
        <v>0</v>
      </c>
      <c r="AK487" s="176"/>
      <c r="AL487" s="176"/>
    </row>
    <row r="488" spans="1:38" ht="36" customHeight="1" x14ac:dyDescent="0.2">
      <c r="A488" s="14" t="s">
        <v>20</v>
      </c>
      <c r="B488" s="212">
        <v>244093</v>
      </c>
      <c r="C488" s="14" t="s">
        <v>547</v>
      </c>
      <c r="D488" s="14" t="s">
        <v>268</v>
      </c>
      <c r="E488" s="14" t="s">
        <v>14</v>
      </c>
      <c r="F488" s="14" t="s">
        <v>324</v>
      </c>
      <c r="G488" s="179">
        <v>680487</v>
      </c>
      <c r="H488" s="176" t="s">
        <v>1547</v>
      </c>
      <c r="I488" s="176" t="s">
        <v>550</v>
      </c>
      <c r="J488" s="176" t="s">
        <v>128</v>
      </c>
      <c r="K488" s="176" t="s">
        <v>2111</v>
      </c>
      <c r="L488" s="40" t="s">
        <v>106</v>
      </c>
      <c r="M488" s="40" t="s">
        <v>341</v>
      </c>
      <c r="N488" s="14" t="s">
        <v>2127</v>
      </c>
      <c r="O488" s="14" t="s">
        <v>2133</v>
      </c>
      <c r="P488" s="14" t="s">
        <v>955</v>
      </c>
      <c r="Q488" s="14" t="s">
        <v>2136</v>
      </c>
      <c r="R488" s="17">
        <v>300</v>
      </c>
      <c r="S488" s="172" t="s">
        <v>51</v>
      </c>
      <c r="T488" s="17">
        <v>2468</v>
      </c>
      <c r="U488" s="14" t="s">
        <v>51</v>
      </c>
      <c r="V488" s="16">
        <f t="shared" si="73"/>
        <v>244093</v>
      </c>
      <c r="W488" s="16">
        <f t="shared" si="74"/>
        <v>244100</v>
      </c>
      <c r="X488" s="16">
        <f t="shared" si="75"/>
        <v>244095</v>
      </c>
      <c r="Y488" s="15"/>
      <c r="Z488" s="177"/>
      <c r="AA488" s="170"/>
      <c r="AB488" s="170"/>
      <c r="AC488" s="170"/>
      <c r="AD488" s="170"/>
      <c r="AE488" s="15"/>
      <c r="AF488" s="177"/>
      <c r="AG488" s="177">
        <f t="shared" si="78"/>
        <v>0</v>
      </c>
      <c r="AH488" s="177">
        <f t="shared" si="79"/>
        <v>0</v>
      </c>
      <c r="AK488" s="176"/>
      <c r="AL488" s="176"/>
    </row>
    <row r="489" spans="1:38" ht="36" customHeight="1" x14ac:dyDescent="0.2">
      <c r="A489" s="14" t="s">
        <v>20</v>
      </c>
      <c r="B489" s="212">
        <v>244093</v>
      </c>
      <c r="C489" s="14" t="s">
        <v>547</v>
      </c>
      <c r="D489" s="14" t="s">
        <v>268</v>
      </c>
      <c r="E489" s="14" t="s">
        <v>14</v>
      </c>
      <c r="F489" s="14" t="s">
        <v>324</v>
      </c>
      <c r="G489" s="179">
        <v>680488</v>
      </c>
      <c r="H489" s="176" t="s">
        <v>2116</v>
      </c>
      <c r="I489" s="176" t="s">
        <v>908</v>
      </c>
      <c r="J489" s="176" t="s">
        <v>133</v>
      </c>
      <c r="K489" s="176" t="s">
        <v>2121</v>
      </c>
      <c r="L489" s="40" t="s">
        <v>46</v>
      </c>
      <c r="M489" s="40" t="s">
        <v>341</v>
      </c>
      <c r="N489" s="14" t="s">
        <v>2128</v>
      </c>
      <c r="O489" s="14" t="s">
        <v>552</v>
      </c>
      <c r="P489" s="14" t="s">
        <v>941</v>
      </c>
      <c r="Q489" s="14" t="s">
        <v>553</v>
      </c>
      <c r="R489" s="17">
        <v>119</v>
      </c>
      <c r="S489" s="172" t="s">
        <v>51</v>
      </c>
      <c r="T489" s="17">
        <v>1980</v>
      </c>
      <c r="U489" s="14" t="s">
        <v>51</v>
      </c>
      <c r="V489" s="16">
        <f t="shared" si="73"/>
        <v>244093</v>
      </c>
      <c r="W489" s="16">
        <f t="shared" si="74"/>
        <v>244100</v>
      </c>
      <c r="X489" s="16">
        <f t="shared" si="75"/>
        <v>244095</v>
      </c>
      <c r="Y489" s="15"/>
      <c r="Z489" s="177"/>
      <c r="AA489" s="170"/>
      <c r="AB489" s="170"/>
      <c r="AC489" s="170"/>
      <c r="AD489" s="170"/>
      <c r="AE489" s="15"/>
      <c r="AF489" s="177"/>
      <c r="AG489" s="177">
        <f t="shared" si="78"/>
        <v>0</v>
      </c>
      <c r="AH489" s="177">
        <f t="shared" si="79"/>
        <v>0</v>
      </c>
      <c r="AK489" s="176"/>
      <c r="AL489" s="176"/>
    </row>
    <row r="490" spans="1:38" ht="36" customHeight="1" x14ac:dyDescent="0.2">
      <c r="A490" s="14" t="s">
        <v>20</v>
      </c>
      <c r="B490" s="212">
        <v>244093</v>
      </c>
      <c r="C490" s="14" t="s">
        <v>547</v>
      </c>
      <c r="D490" s="14" t="s">
        <v>268</v>
      </c>
      <c r="E490" s="14" t="s">
        <v>14</v>
      </c>
      <c r="F490" s="14" t="s">
        <v>324</v>
      </c>
      <c r="G490" s="179">
        <v>680489</v>
      </c>
      <c r="H490" s="176" t="s">
        <v>1603</v>
      </c>
      <c r="I490" s="176" t="s">
        <v>551</v>
      </c>
      <c r="J490" s="176" t="s">
        <v>596</v>
      </c>
      <c r="K490" s="176" t="s">
        <v>2122</v>
      </c>
      <c r="L490" s="40" t="s">
        <v>108</v>
      </c>
      <c r="M490" s="40" t="s">
        <v>341</v>
      </c>
      <c r="N490" s="14" t="s">
        <v>2129</v>
      </c>
      <c r="O490" s="14" t="s">
        <v>552</v>
      </c>
      <c r="P490" s="14" t="s">
        <v>2134</v>
      </c>
      <c r="Q490" s="14" t="s">
        <v>553</v>
      </c>
      <c r="R490" s="17">
        <v>1700</v>
      </c>
      <c r="S490" s="172" t="s">
        <v>51</v>
      </c>
      <c r="T490" s="17">
        <v>3060</v>
      </c>
      <c r="U490" s="14" t="s">
        <v>51</v>
      </c>
      <c r="V490" s="16">
        <f t="shared" si="73"/>
        <v>244093</v>
      </c>
      <c r="W490" s="16">
        <f t="shared" si="74"/>
        <v>244100</v>
      </c>
      <c r="X490" s="16">
        <f t="shared" si="75"/>
        <v>244095</v>
      </c>
      <c r="Y490" s="15"/>
      <c r="Z490" s="177"/>
      <c r="AA490" s="170"/>
      <c r="AB490" s="170"/>
      <c r="AC490" s="170"/>
      <c r="AD490" s="170"/>
      <c r="AE490" s="15"/>
      <c r="AF490" s="177"/>
      <c r="AG490" s="177">
        <f t="shared" si="78"/>
        <v>0</v>
      </c>
      <c r="AH490" s="177">
        <f t="shared" si="79"/>
        <v>0</v>
      </c>
      <c r="AK490" s="176"/>
      <c r="AL490" s="176"/>
    </row>
    <row r="491" spans="1:38" ht="36" customHeight="1" x14ac:dyDescent="0.2">
      <c r="A491" s="14" t="s">
        <v>20</v>
      </c>
      <c r="B491" s="212">
        <v>244093</v>
      </c>
      <c r="C491" s="14" t="s">
        <v>547</v>
      </c>
      <c r="D491" s="14" t="s">
        <v>268</v>
      </c>
      <c r="E491" s="14" t="s">
        <v>14</v>
      </c>
      <c r="F491" s="14" t="s">
        <v>324</v>
      </c>
      <c r="G491" s="179">
        <v>680490</v>
      </c>
      <c r="H491" s="176" t="s">
        <v>2117</v>
      </c>
      <c r="I491" s="176" t="s">
        <v>612</v>
      </c>
      <c r="J491" s="176" t="s">
        <v>727</v>
      </c>
      <c r="K491" s="176" t="s">
        <v>2123</v>
      </c>
      <c r="L491" s="40" t="s">
        <v>46</v>
      </c>
      <c r="M491" s="40" t="s">
        <v>341</v>
      </c>
      <c r="N491" s="14" t="s">
        <v>2130</v>
      </c>
      <c r="O491" s="14" t="s">
        <v>552</v>
      </c>
      <c r="P491" s="14" t="s">
        <v>1205</v>
      </c>
      <c r="Q491" s="14" t="s">
        <v>553</v>
      </c>
      <c r="R491" s="17">
        <v>193</v>
      </c>
      <c r="S491" s="172" t="s">
        <v>51</v>
      </c>
      <c r="T491" s="17">
        <v>1925</v>
      </c>
      <c r="U491" s="14" t="s">
        <v>51</v>
      </c>
      <c r="V491" s="16">
        <f t="shared" si="73"/>
        <v>244093</v>
      </c>
      <c r="W491" s="16">
        <f t="shared" si="74"/>
        <v>244100</v>
      </c>
      <c r="X491" s="16">
        <f t="shared" si="75"/>
        <v>244095</v>
      </c>
      <c r="Y491" s="15"/>
      <c r="Z491" s="177"/>
      <c r="AA491" s="170"/>
      <c r="AB491" s="170"/>
      <c r="AC491" s="170"/>
      <c r="AD491" s="170"/>
      <c r="AE491" s="15"/>
      <c r="AF491" s="177"/>
      <c r="AG491" s="177">
        <f t="shared" si="78"/>
        <v>0</v>
      </c>
      <c r="AH491" s="177">
        <f t="shared" si="79"/>
        <v>0</v>
      </c>
      <c r="AK491" s="176"/>
      <c r="AL491" s="176"/>
    </row>
    <row r="492" spans="1:38" ht="36" customHeight="1" x14ac:dyDescent="0.2">
      <c r="A492" s="14" t="s">
        <v>20</v>
      </c>
      <c r="B492" s="212">
        <v>244093</v>
      </c>
      <c r="C492" s="14" t="s">
        <v>547</v>
      </c>
      <c r="D492" s="14" t="s">
        <v>268</v>
      </c>
      <c r="E492" s="14" t="s">
        <v>14</v>
      </c>
      <c r="F492" s="14" t="s">
        <v>324</v>
      </c>
      <c r="G492" s="179">
        <v>680491</v>
      </c>
      <c r="H492" s="176" t="s">
        <v>1223</v>
      </c>
      <c r="I492" s="176" t="s">
        <v>864</v>
      </c>
      <c r="J492" s="176" t="s">
        <v>865</v>
      </c>
      <c r="K492" s="176" t="s">
        <v>2124</v>
      </c>
      <c r="L492" s="40" t="s">
        <v>46</v>
      </c>
      <c r="M492" s="40" t="s">
        <v>341</v>
      </c>
      <c r="N492" s="14" t="s">
        <v>2131</v>
      </c>
      <c r="O492" s="14" t="s">
        <v>1571</v>
      </c>
      <c r="P492" s="14" t="s">
        <v>2135</v>
      </c>
      <c r="Q492" s="14" t="s">
        <v>1574</v>
      </c>
      <c r="R492" s="17">
        <v>400</v>
      </c>
      <c r="S492" s="172" t="s">
        <v>51</v>
      </c>
      <c r="T492" s="17">
        <v>2040</v>
      </c>
      <c r="U492" s="14" t="s">
        <v>51</v>
      </c>
      <c r="V492" s="16">
        <f t="shared" si="73"/>
        <v>244093</v>
      </c>
      <c r="W492" s="16">
        <f t="shared" si="74"/>
        <v>244100</v>
      </c>
      <c r="X492" s="16">
        <f t="shared" si="75"/>
        <v>244095</v>
      </c>
      <c r="Y492" s="15" t="s">
        <v>54</v>
      </c>
      <c r="Z492" s="177">
        <v>244100</v>
      </c>
      <c r="AA492" s="170"/>
      <c r="AB492" s="170"/>
      <c r="AC492" s="170"/>
      <c r="AD492" s="170"/>
      <c r="AE492" s="15" t="s">
        <v>54</v>
      </c>
      <c r="AF492" s="177">
        <v>244102</v>
      </c>
      <c r="AG492" s="177" t="str">
        <f t="shared" si="78"/>
        <v>Pass</v>
      </c>
      <c r="AH492" s="177">
        <f t="shared" si="79"/>
        <v>244102</v>
      </c>
      <c r="AK492" s="176"/>
      <c r="AL492" s="176"/>
    </row>
    <row r="493" spans="1:38" ht="36" customHeight="1" x14ac:dyDescent="0.2">
      <c r="A493" s="14" t="s">
        <v>20</v>
      </c>
      <c r="B493" s="212">
        <v>244093</v>
      </c>
      <c r="C493" s="14" t="s">
        <v>547</v>
      </c>
      <c r="D493" s="14" t="s">
        <v>268</v>
      </c>
      <c r="E493" s="14" t="s">
        <v>14</v>
      </c>
      <c r="F493" s="14" t="s">
        <v>324</v>
      </c>
      <c r="G493" s="179">
        <v>680492</v>
      </c>
      <c r="H493" s="176" t="s">
        <v>2118</v>
      </c>
      <c r="I493" s="176" t="s">
        <v>2119</v>
      </c>
      <c r="J493" s="176" t="s">
        <v>1210</v>
      </c>
      <c r="K493" s="176" t="s">
        <v>2125</v>
      </c>
      <c r="L493" s="40" t="s">
        <v>108</v>
      </c>
      <c r="M493" s="40" t="s">
        <v>341</v>
      </c>
      <c r="N493" s="14" t="s">
        <v>2132</v>
      </c>
      <c r="O493" s="14" t="s">
        <v>552</v>
      </c>
      <c r="P493" s="14" t="s">
        <v>1314</v>
      </c>
      <c r="Q493" s="14" t="s">
        <v>553</v>
      </c>
      <c r="R493" s="17">
        <v>300</v>
      </c>
      <c r="S493" s="172" t="s">
        <v>51</v>
      </c>
      <c r="T493" s="17">
        <v>1510</v>
      </c>
      <c r="U493" s="14" t="s">
        <v>51</v>
      </c>
      <c r="V493" s="16">
        <f t="shared" si="73"/>
        <v>244093</v>
      </c>
      <c r="W493" s="16">
        <f t="shared" si="74"/>
        <v>244100</v>
      </c>
      <c r="X493" s="16">
        <f t="shared" si="75"/>
        <v>244095</v>
      </c>
      <c r="Y493" s="15"/>
      <c r="Z493" s="177"/>
      <c r="AA493" s="170"/>
      <c r="AB493" s="170"/>
      <c r="AC493" s="170"/>
      <c r="AD493" s="170"/>
      <c r="AE493" s="15"/>
      <c r="AF493" s="177"/>
      <c r="AG493" s="177">
        <f t="shared" si="78"/>
        <v>0</v>
      </c>
      <c r="AH493" s="177">
        <f t="shared" si="79"/>
        <v>0</v>
      </c>
      <c r="AK493" s="176"/>
      <c r="AL493" s="176"/>
    </row>
    <row r="494" spans="1:38" ht="36" customHeight="1" x14ac:dyDescent="0.2">
      <c r="A494" s="14" t="s">
        <v>20</v>
      </c>
      <c r="B494" s="212">
        <v>244093</v>
      </c>
      <c r="C494" s="14" t="s">
        <v>547</v>
      </c>
      <c r="D494" s="14" t="s">
        <v>268</v>
      </c>
      <c r="E494" s="14" t="s">
        <v>14</v>
      </c>
      <c r="F494" s="14" t="s">
        <v>324</v>
      </c>
      <c r="G494" s="179">
        <v>680493</v>
      </c>
      <c r="H494" s="176" t="s">
        <v>2137</v>
      </c>
      <c r="I494" s="176" t="s">
        <v>908</v>
      </c>
      <c r="J494" s="176" t="s">
        <v>133</v>
      </c>
      <c r="K494" s="176" t="s">
        <v>2138</v>
      </c>
      <c r="L494" s="40" t="s">
        <v>45</v>
      </c>
      <c r="M494" s="40" t="s">
        <v>341</v>
      </c>
      <c r="N494" s="14" t="s">
        <v>2139</v>
      </c>
      <c r="O494" s="14" t="s">
        <v>756</v>
      </c>
      <c r="P494" s="14" t="s">
        <v>2140</v>
      </c>
      <c r="Q494" s="14" t="s">
        <v>758</v>
      </c>
      <c r="R494" s="17">
        <v>700</v>
      </c>
      <c r="S494" s="172" t="s">
        <v>51</v>
      </c>
      <c r="T494" s="17">
        <v>1920</v>
      </c>
      <c r="U494" s="14" t="s">
        <v>51</v>
      </c>
      <c r="V494" s="16">
        <f t="shared" si="73"/>
        <v>244093</v>
      </c>
      <c r="W494" s="16">
        <f t="shared" si="74"/>
        <v>244100</v>
      </c>
      <c r="X494" s="16">
        <f t="shared" si="75"/>
        <v>244095</v>
      </c>
      <c r="Y494" s="15"/>
      <c r="Z494" s="177"/>
      <c r="AA494" s="170"/>
      <c r="AB494" s="170"/>
      <c r="AC494" s="170"/>
      <c r="AD494" s="170"/>
      <c r="AE494" s="15"/>
      <c r="AF494" s="177"/>
      <c r="AG494" s="177">
        <f t="shared" si="78"/>
        <v>0</v>
      </c>
      <c r="AH494" s="177">
        <f t="shared" si="79"/>
        <v>0</v>
      </c>
      <c r="AK494" s="176"/>
      <c r="AL494" s="176"/>
    </row>
    <row r="495" spans="1:38" ht="36" customHeight="1" x14ac:dyDescent="0.2">
      <c r="A495" s="14" t="s">
        <v>20</v>
      </c>
      <c r="B495" s="212">
        <v>244095</v>
      </c>
      <c r="C495" s="14" t="s">
        <v>547</v>
      </c>
      <c r="D495" s="14" t="s">
        <v>268</v>
      </c>
      <c r="E495" s="14" t="s">
        <v>14</v>
      </c>
      <c r="F495" s="14" t="s">
        <v>324</v>
      </c>
      <c r="G495" s="179">
        <v>680494</v>
      </c>
      <c r="H495" s="176" t="s">
        <v>2141</v>
      </c>
      <c r="I495" s="176" t="s">
        <v>612</v>
      </c>
      <c r="J495" s="176" t="s">
        <v>727</v>
      </c>
      <c r="K495" s="176" t="s">
        <v>2144</v>
      </c>
      <c r="L495" s="40" t="s">
        <v>46</v>
      </c>
      <c r="M495" s="40" t="s">
        <v>341</v>
      </c>
      <c r="N495" s="14" t="s">
        <v>1086</v>
      </c>
      <c r="O495" s="14" t="s">
        <v>543</v>
      </c>
      <c r="P495" s="14" t="s">
        <v>517</v>
      </c>
      <c r="Q495" s="14" t="s">
        <v>529</v>
      </c>
      <c r="R495" s="17">
        <v>200</v>
      </c>
      <c r="S495" s="172" t="s">
        <v>51</v>
      </c>
      <c r="T495" s="17">
        <v>2000</v>
      </c>
      <c r="U495" s="14" t="s">
        <v>51</v>
      </c>
      <c r="V495" s="16">
        <f t="shared" si="73"/>
        <v>244095</v>
      </c>
      <c r="W495" s="16">
        <f t="shared" si="74"/>
        <v>244102</v>
      </c>
      <c r="X495" s="16">
        <f t="shared" si="75"/>
        <v>244097</v>
      </c>
      <c r="Y495" s="15"/>
      <c r="Z495" s="177"/>
      <c r="AA495" s="170"/>
      <c r="AB495" s="170"/>
      <c r="AC495" s="170"/>
      <c r="AD495" s="170"/>
      <c r="AE495" s="15"/>
      <c r="AF495" s="177"/>
      <c r="AG495" s="177">
        <f t="shared" si="78"/>
        <v>0</v>
      </c>
      <c r="AH495" s="177">
        <f t="shared" si="79"/>
        <v>0</v>
      </c>
      <c r="AK495" s="176"/>
      <c r="AL495" s="176"/>
    </row>
    <row r="496" spans="1:38" ht="36" customHeight="1" x14ac:dyDescent="0.2">
      <c r="A496" s="14" t="s">
        <v>20</v>
      </c>
      <c r="B496" s="212">
        <v>244095</v>
      </c>
      <c r="C496" s="14" t="s">
        <v>547</v>
      </c>
      <c r="D496" s="14" t="s">
        <v>268</v>
      </c>
      <c r="E496" s="14" t="s">
        <v>14</v>
      </c>
      <c r="F496" s="14" t="s">
        <v>324</v>
      </c>
      <c r="G496" s="179">
        <v>680495</v>
      </c>
      <c r="H496" s="176" t="s">
        <v>719</v>
      </c>
      <c r="I496" s="176" t="s">
        <v>551</v>
      </c>
      <c r="J496" s="176" t="s">
        <v>596</v>
      </c>
      <c r="K496" s="176" t="s">
        <v>2145</v>
      </c>
      <c r="L496" s="40" t="s">
        <v>108</v>
      </c>
      <c r="M496" s="40" t="s">
        <v>341</v>
      </c>
      <c r="N496" s="14" t="s">
        <v>2150</v>
      </c>
      <c r="O496" s="14" t="s">
        <v>528</v>
      </c>
      <c r="P496" s="14" t="s">
        <v>517</v>
      </c>
      <c r="Q496" s="14" t="s">
        <v>541</v>
      </c>
      <c r="R496" s="17">
        <v>200</v>
      </c>
      <c r="S496" s="172" t="s">
        <v>51</v>
      </c>
      <c r="T496" s="17">
        <v>3105</v>
      </c>
      <c r="U496" s="14" t="s">
        <v>51</v>
      </c>
      <c r="V496" s="16">
        <f t="shared" si="73"/>
        <v>244095</v>
      </c>
      <c r="W496" s="16">
        <f t="shared" si="74"/>
        <v>244102</v>
      </c>
      <c r="X496" s="16">
        <f t="shared" si="75"/>
        <v>244097</v>
      </c>
      <c r="Y496" s="15"/>
      <c r="Z496" s="177"/>
      <c r="AA496" s="170"/>
      <c r="AB496" s="170"/>
      <c r="AC496" s="170"/>
      <c r="AD496" s="170"/>
      <c r="AE496" s="15"/>
      <c r="AF496" s="177"/>
      <c r="AG496" s="177">
        <f t="shared" si="78"/>
        <v>0</v>
      </c>
      <c r="AH496" s="177">
        <f t="shared" si="79"/>
        <v>0</v>
      </c>
      <c r="AK496" s="176"/>
      <c r="AL496" s="176"/>
    </row>
    <row r="497" spans="1:38" ht="36" customHeight="1" x14ac:dyDescent="0.2">
      <c r="A497" s="14" t="s">
        <v>20</v>
      </c>
      <c r="B497" s="212">
        <v>244095</v>
      </c>
      <c r="C497" s="14" t="s">
        <v>547</v>
      </c>
      <c r="D497" s="14" t="s">
        <v>268</v>
      </c>
      <c r="E497" s="14" t="s">
        <v>14</v>
      </c>
      <c r="F497" s="14" t="s">
        <v>324</v>
      </c>
      <c r="G497" s="179">
        <v>680496</v>
      </c>
      <c r="H497" s="176" t="s">
        <v>2142</v>
      </c>
      <c r="I497" s="176" t="s">
        <v>550</v>
      </c>
      <c r="J497" s="176" t="s">
        <v>128</v>
      </c>
      <c r="K497" s="176" t="s">
        <v>2146</v>
      </c>
      <c r="L497" s="40" t="s">
        <v>106</v>
      </c>
      <c r="M497" s="40" t="s">
        <v>341</v>
      </c>
      <c r="N497" s="14" t="s">
        <v>2151</v>
      </c>
      <c r="O497" s="14" t="s">
        <v>552</v>
      </c>
      <c r="P497" s="14" t="s">
        <v>2155</v>
      </c>
      <c r="Q497" s="14" t="s">
        <v>553</v>
      </c>
      <c r="R497" s="17">
        <v>500</v>
      </c>
      <c r="S497" s="172" t="s">
        <v>51</v>
      </c>
      <c r="T497" s="17">
        <v>2420</v>
      </c>
      <c r="U497" s="14" t="s">
        <v>51</v>
      </c>
      <c r="V497" s="16">
        <f t="shared" si="73"/>
        <v>244095</v>
      </c>
      <c r="W497" s="16">
        <f t="shared" si="74"/>
        <v>244102</v>
      </c>
      <c r="X497" s="16">
        <f t="shared" si="75"/>
        <v>244097</v>
      </c>
      <c r="Y497" s="15"/>
      <c r="Z497" s="177"/>
      <c r="AA497" s="170"/>
      <c r="AB497" s="170"/>
      <c r="AC497" s="170"/>
      <c r="AD497" s="170"/>
      <c r="AE497" s="15"/>
      <c r="AF497" s="177"/>
      <c r="AG497" s="177">
        <f t="shared" si="78"/>
        <v>0</v>
      </c>
      <c r="AH497" s="177">
        <f t="shared" si="79"/>
        <v>0</v>
      </c>
      <c r="AK497" s="176"/>
      <c r="AL497" s="176"/>
    </row>
    <row r="498" spans="1:38" ht="36" customHeight="1" x14ac:dyDescent="0.2">
      <c r="A498" s="14" t="s">
        <v>20</v>
      </c>
      <c r="B498" s="212">
        <v>244095</v>
      </c>
      <c r="C498" s="14" t="s">
        <v>547</v>
      </c>
      <c r="D498" s="14" t="s">
        <v>268</v>
      </c>
      <c r="E498" s="14" t="s">
        <v>14</v>
      </c>
      <c r="F498" s="14" t="s">
        <v>324</v>
      </c>
      <c r="G498" s="179">
        <v>680497</v>
      </c>
      <c r="H498" s="176" t="s">
        <v>1041</v>
      </c>
      <c r="I498" s="176" t="s">
        <v>908</v>
      </c>
      <c r="J498" s="176" t="s">
        <v>133</v>
      </c>
      <c r="K498" s="176" t="s">
        <v>2147</v>
      </c>
      <c r="L498" s="40" t="s">
        <v>45</v>
      </c>
      <c r="M498" s="40" t="s">
        <v>341</v>
      </c>
      <c r="N498" s="14" t="s">
        <v>2152</v>
      </c>
      <c r="O498" s="14" t="s">
        <v>552</v>
      </c>
      <c r="P498" s="14" t="s">
        <v>793</v>
      </c>
      <c r="Q498" s="14" t="s">
        <v>553</v>
      </c>
      <c r="R498" s="17">
        <v>557</v>
      </c>
      <c r="S498" s="172" t="s">
        <v>51</v>
      </c>
      <c r="T498" s="17">
        <v>1975</v>
      </c>
      <c r="U498" s="14" t="s">
        <v>51</v>
      </c>
      <c r="V498" s="16">
        <f t="shared" si="73"/>
        <v>244095</v>
      </c>
      <c r="W498" s="16">
        <f t="shared" si="74"/>
        <v>244102</v>
      </c>
      <c r="X498" s="16">
        <f t="shared" si="75"/>
        <v>244097</v>
      </c>
      <c r="Y498" s="15"/>
      <c r="Z498" s="177"/>
      <c r="AA498" s="170"/>
      <c r="AB498" s="170"/>
      <c r="AC498" s="170"/>
      <c r="AD498" s="170"/>
      <c r="AE498" s="15"/>
      <c r="AF498" s="177"/>
      <c r="AG498" s="177">
        <f t="shared" si="78"/>
        <v>0</v>
      </c>
      <c r="AH498" s="177">
        <f t="shared" si="79"/>
        <v>0</v>
      </c>
      <c r="AK498" s="176"/>
      <c r="AL498" s="176"/>
    </row>
    <row r="499" spans="1:38" ht="36" customHeight="1" x14ac:dyDescent="0.2">
      <c r="A499" s="14" t="s">
        <v>20</v>
      </c>
      <c r="B499" s="212">
        <v>244095</v>
      </c>
      <c r="C499" s="14" t="s">
        <v>547</v>
      </c>
      <c r="D499" s="14" t="s">
        <v>268</v>
      </c>
      <c r="E499" s="14" t="s">
        <v>14</v>
      </c>
      <c r="F499" s="14" t="s">
        <v>324</v>
      </c>
      <c r="G499" s="179">
        <v>680498</v>
      </c>
      <c r="H499" s="176" t="s">
        <v>2142</v>
      </c>
      <c r="I499" s="176" t="s">
        <v>550</v>
      </c>
      <c r="J499" s="176" t="s">
        <v>128</v>
      </c>
      <c r="K499" s="176" t="s">
        <v>2146</v>
      </c>
      <c r="L499" s="40" t="s">
        <v>106</v>
      </c>
      <c r="M499" s="40" t="s">
        <v>341</v>
      </c>
      <c r="N499" s="14" t="s">
        <v>984</v>
      </c>
      <c r="O499" s="14" t="s">
        <v>548</v>
      </c>
      <c r="P499" s="14" t="s">
        <v>518</v>
      </c>
      <c r="Q499" s="14" t="s">
        <v>549</v>
      </c>
      <c r="R499" s="17">
        <v>120</v>
      </c>
      <c r="S499" s="172" t="s">
        <v>51</v>
      </c>
      <c r="T499" s="17">
        <v>2420</v>
      </c>
      <c r="U499" s="14" t="s">
        <v>51</v>
      </c>
      <c r="V499" s="16">
        <f t="shared" si="73"/>
        <v>244095</v>
      </c>
      <c r="W499" s="16">
        <f t="shared" si="74"/>
        <v>244102</v>
      </c>
      <c r="X499" s="16">
        <f t="shared" si="75"/>
        <v>244097</v>
      </c>
      <c r="Y499" s="15"/>
      <c r="Z499" s="177"/>
      <c r="AA499" s="170"/>
      <c r="AB499" s="170"/>
      <c r="AC499" s="170"/>
      <c r="AD499" s="170"/>
      <c r="AE499" s="15"/>
      <c r="AF499" s="177"/>
      <c r="AG499" s="177">
        <f t="shared" si="78"/>
        <v>0</v>
      </c>
      <c r="AH499" s="177">
        <f t="shared" si="79"/>
        <v>0</v>
      </c>
      <c r="AK499" s="176"/>
      <c r="AL499" s="176"/>
    </row>
    <row r="500" spans="1:38" ht="36" customHeight="1" x14ac:dyDescent="0.2">
      <c r="A500" s="14" t="s">
        <v>20</v>
      </c>
      <c r="B500" s="212">
        <v>244095</v>
      </c>
      <c r="C500" s="14" t="s">
        <v>547</v>
      </c>
      <c r="D500" s="14" t="s">
        <v>268</v>
      </c>
      <c r="E500" s="14" t="s">
        <v>14</v>
      </c>
      <c r="F500" s="14" t="s">
        <v>324</v>
      </c>
      <c r="G500" s="179">
        <v>680499</v>
      </c>
      <c r="H500" s="176" t="s">
        <v>2143</v>
      </c>
      <c r="I500" s="176" t="s">
        <v>550</v>
      </c>
      <c r="J500" s="176" t="s">
        <v>128</v>
      </c>
      <c r="K500" s="176" t="s">
        <v>2148</v>
      </c>
      <c r="L500" s="40" t="s">
        <v>106</v>
      </c>
      <c r="M500" s="40" t="s">
        <v>341</v>
      </c>
      <c r="N500" s="14" t="s">
        <v>2153</v>
      </c>
      <c r="O500" s="14" t="s">
        <v>548</v>
      </c>
      <c r="P500" s="14" t="s">
        <v>518</v>
      </c>
      <c r="Q500" s="14" t="s">
        <v>549</v>
      </c>
      <c r="R500" s="17">
        <v>433</v>
      </c>
      <c r="S500" s="172" t="s">
        <v>51</v>
      </c>
      <c r="T500" s="17">
        <v>2400</v>
      </c>
      <c r="U500" s="14" t="s">
        <v>51</v>
      </c>
      <c r="V500" s="16">
        <f t="shared" si="73"/>
        <v>244095</v>
      </c>
      <c r="W500" s="16">
        <f t="shared" si="74"/>
        <v>244102</v>
      </c>
      <c r="X500" s="16">
        <f t="shared" si="75"/>
        <v>244097</v>
      </c>
      <c r="Y500" s="15"/>
      <c r="Z500" s="177"/>
      <c r="AA500" s="170"/>
      <c r="AB500" s="170"/>
      <c r="AC500" s="170"/>
      <c r="AD500" s="170"/>
      <c r="AE500" s="15"/>
      <c r="AF500" s="177"/>
      <c r="AG500" s="177">
        <f t="shared" si="78"/>
        <v>0</v>
      </c>
      <c r="AH500" s="177">
        <f t="shared" si="79"/>
        <v>0</v>
      </c>
      <c r="AK500" s="176"/>
      <c r="AL500" s="176"/>
    </row>
    <row r="501" spans="1:38" ht="36" customHeight="1" x14ac:dyDescent="0.2">
      <c r="A501" s="14" t="s">
        <v>20</v>
      </c>
      <c r="B501" s="212">
        <v>244095</v>
      </c>
      <c r="C501" s="14" t="s">
        <v>547</v>
      </c>
      <c r="D501" s="14" t="s">
        <v>268</v>
      </c>
      <c r="E501" s="14" t="s">
        <v>14</v>
      </c>
      <c r="F501" s="14" t="s">
        <v>324</v>
      </c>
      <c r="G501" s="179">
        <v>680500</v>
      </c>
      <c r="H501" s="176" t="s">
        <v>1392</v>
      </c>
      <c r="I501" s="176" t="s">
        <v>724</v>
      </c>
      <c r="J501" s="176" t="s">
        <v>707</v>
      </c>
      <c r="K501" s="176" t="s">
        <v>2149</v>
      </c>
      <c r="L501" s="40" t="s">
        <v>108</v>
      </c>
      <c r="M501" s="40" t="s">
        <v>341</v>
      </c>
      <c r="N501" s="14" t="s">
        <v>2154</v>
      </c>
      <c r="O501" s="14" t="s">
        <v>543</v>
      </c>
      <c r="P501" s="14" t="s">
        <v>2156</v>
      </c>
      <c r="Q501" s="14" t="s">
        <v>529</v>
      </c>
      <c r="R501" s="17">
        <v>500</v>
      </c>
      <c r="S501" s="172" t="s">
        <v>51</v>
      </c>
      <c r="T501" s="17">
        <v>3080</v>
      </c>
      <c r="U501" s="14" t="s">
        <v>51</v>
      </c>
      <c r="V501" s="16">
        <f t="shared" si="73"/>
        <v>244095</v>
      </c>
      <c r="W501" s="16">
        <f t="shared" si="74"/>
        <v>244102</v>
      </c>
      <c r="X501" s="16">
        <f t="shared" si="75"/>
        <v>244097</v>
      </c>
      <c r="Y501" s="15"/>
      <c r="Z501" s="177"/>
      <c r="AA501" s="170"/>
      <c r="AB501" s="170"/>
      <c r="AC501" s="170"/>
      <c r="AD501" s="170"/>
      <c r="AE501" s="15"/>
      <c r="AF501" s="177"/>
      <c r="AG501" s="177">
        <f t="shared" si="78"/>
        <v>0</v>
      </c>
      <c r="AH501" s="177">
        <f t="shared" si="79"/>
        <v>0</v>
      </c>
      <c r="AK501" s="176"/>
      <c r="AL501" s="176"/>
    </row>
    <row r="502" spans="1:38" ht="36" customHeight="1" x14ac:dyDescent="0.2">
      <c r="A502" s="14" t="s">
        <v>20</v>
      </c>
      <c r="B502" s="212">
        <v>244095</v>
      </c>
      <c r="C502" s="14" t="s">
        <v>547</v>
      </c>
      <c r="D502" s="14" t="s">
        <v>268</v>
      </c>
      <c r="E502" s="14" t="s">
        <v>14</v>
      </c>
      <c r="F502" s="14" t="s">
        <v>324</v>
      </c>
      <c r="G502" s="179">
        <v>680501</v>
      </c>
      <c r="H502" s="176" t="s">
        <v>2157</v>
      </c>
      <c r="I502" s="176" t="s">
        <v>864</v>
      </c>
      <c r="J502" s="176" t="s">
        <v>131</v>
      </c>
      <c r="K502" s="176" t="s">
        <v>2158</v>
      </c>
      <c r="L502" s="40" t="s">
        <v>46</v>
      </c>
      <c r="M502" s="40" t="s">
        <v>341</v>
      </c>
      <c r="N502" s="14" t="s">
        <v>2159</v>
      </c>
      <c r="O502" s="14" t="s">
        <v>528</v>
      </c>
      <c r="P502" s="14" t="s">
        <v>2160</v>
      </c>
      <c r="Q502" s="14" t="s">
        <v>541</v>
      </c>
      <c r="R502" s="17">
        <v>200</v>
      </c>
      <c r="S502" s="172" t="s">
        <v>51</v>
      </c>
      <c r="T502" s="17">
        <v>1850</v>
      </c>
      <c r="U502" s="14" t="s">
        <v>51</v>
      </c>
      <c r="V502" s="16">
        <f t="shared" ref="V502:V564" si="83">B502</f>
        <v>244095</v>
      </c>
      <c r="W502" s="16">
        <f t="shared" ref="W502:W564" si="84">B502+7</f>
        <v>244102</v>
      </c>
      <c r="X502" s="16">
        <f t="shared" ref="X502:X564" si="85">V502+2</f>
        <v>244097</v>
      </c>
      <c r="Y502" s="15"/>
      <c r="Z502" s="177"/>
      <c r="AA502" s="170"/>
      <c r="AB502" s="170"/>
      <c r="AC502" s="170"/>
      <c r="AD502" s="170"/>
      <c r="AE502" s="15"/>
      <c r="AF502" s="177"/>
      <c r="AG502" s="177">
        <f t="shared" si="78"/>
        <v>0</v>
      </c>
      <c r="AH502" s="177">
        <f t="shared" si="79"/>
        <v>0</v>
      </c>
      <c r="AK502" s="176"/>
      <c r="AL502" s="176"/>
    </row>
    <row r="503" spans="1:38" ht="36" customHeight="1" x14ac:dyDescent="0.2">
      <c r="A503" s="14" t="s">
        <v>20</v>
      </c>
      <c r="B503" s="212">
        <v>244096</v>
      </c>
      <c r="C503" s="14" t="s">
        <v>547</v>
      </c>
      <c r="D503" s="14" t="s">
        <v>268</v>
      </c>
      <c r="E503" s="14" t="s">
        <v>14</v>
      </c>
      <c r="F503" s="14" t="s">
        <v>324</v>
      </c>
      <c r="G503" s="179">
        <v>680502</v>
      </c>
      <c r="H503" s="176" t="s">
        <v>2157</v>
      </c>
      <c r="I503" s="176" t="s">
        <v>864</v>
      </c>
      <c r="J503" s="176" t="s">
        <v>131</v>
      </c>
      <c r="K503" s="176" t="s">
        <v>2158</v>
      </c>
      <c r="L503" s="40" t="s">
        <v>46</v>
      </c>
      <c r="M503" s="40" t="s">
        <v>341</v>
      </c>
      <c r="N503" s="14" t="s">
        <v>2164</v>
      </c>
      <c r="O503" s="14" t="s">
        <v>756</v>
      </c>
      <c r="P503" s="14" t="s">
        <v>2064</v>
      </c>
      <c r="Q503" s="14" t="s">
        <v>758</v>
      </c>
      <c r="R503" s="17">
        <v>1900</v>
      </c>
      <c r="S503" s="172" t="s">
        <v>51</v>
      </c>
      <c r="T503" s="17">
        <v>1923</v>
      </c>
      <c r="U503" s="14" t="s">
        <v>51</v>
      </c>
      <c r="V503" s="16">
        <f t="shared" si="83"/>
        <v>244096</v>
      </c>
      <c r="W503" s="16">
        <f t="shared" si="84"/>
        <v>244103</v>
      </c>
      <c r="X503" s="16">
        <f t="shared" si="85"/>
        <v>244098</v>
      </c>
      <c r="Y503" s="15"/>
      <c r="Z503" s="177"/>
      <c r="AA503" s="170"/>
      <c r="AB503" s="170"/>
      <c r="AC503" s="170"/>
      <c r="AD503" s="170"/>
      <c r="AE503" s="15"/>
      <c r="AF503" s="177"/>
      <c r="AG503" s="177">
        <f t="shared" si="78"/>
        <v>0</v>
      </c>
      <c r="AH503" s="177">
        <f t="shared" si="79"/>
        <v>0</v>
      </c>
      <c r="AK503" s="176"/>
      <c r="AL503" s="176"/>
    </row>
    <row r="504" spans="1:38" ht="36" customHeight="1" x14ac:dyDescent="0.2">
      <c r="A504" s="14" t="s">
        <v>20</v>
      </c>
      <c r="B504" s="212">
        <v>244096</v>
      </c>
      <c r="C504" s="14" t="s">
        <v>547</v>
      </c>
      <c r="D504" s="14" t="s">
        <v>268</v>
      </c>
      <c r="E504" s="14" t="s">
        <v>14</v>
      </c>
      <c r="F504" s="14" t="s">
        <v>324</v>
      </c>
      <c r="G504" s="179">
        <v>680503</v>
      </c>
      <c r="H504" s="176" t="s">
        <v>1392</v>
      </c>
      <c r="I504" s="176" t="s">
        <v>724</v>
      </c>
      <c r="J504" s="176" t="s">
        <v>707</v>
      </c>
      <c r="K504" s="176" t="s">
        <v>2149</v>
      </c>
      <c r="L504" s="40" t="s">
        <v>108</v>
      </c>
      <c r="M504" s="40" t="s">
        <v>341</v>
      </c>
      <c r="N504" s="14" t="s">
        <v>1046</v>
      </c>
      <c r="O504" s="14" t="s">
        <v>2167</v>
      </c>
      <c r="P504" s="14" t="s">
        <v>1049</v>
      </c>
      <c r="Q504" s="14" t="s">
        <v>2172</v>
      </c>
      <c r="R504" s="17">
        <v>300</v>
      </c>
      <c r="S504" s="172" t="s">
        <v>51</v>
      </c>
      <c r="T504" s="17">
        <v>1420</v>
      </c>
      <c r="U504" s="14" t="s">
        <v>51</v>
      </c>
      <c r="V504" s="16">
        <f t="shared" si="83"/>
        <v>244096</v>
      </c>
      <c r="W504" s="16">
        <f t="shared" si="84"/>
        <v>244103</v>
      </c>
      <c r="X504" s="16">
        <f t="shared" si="85"/>
        <v>244098</v>
      </c>
      <c r="Y504" s="15"/>
      <c r="Z504" s="177"/>
      <c r="AA504" s="170"/>
      <c r="AB504" s="170"/>
      <c r="AC504" s="170"/>
      <c r="AD504" s="170"/>
      <c r="AE504" s="15"/>
      <c r="AF504" s="177"/>
      <c r="AG504" s="177">
        <f t="shared" si="78"/>
        <v>0</v>
      </c>
      <c r="AH504" s="177">
        <f t="shared" si="79"/>
        <v>0</v>
      </c>
      <c r="AK504" s="176"/>
      <c r="AL504" s="176"/>
    </row>
    <row r="505" spans="1:38" ht="36" customHeight="1" x14ac:dyDescent="0.2">
      <c r="A505" s="14" t="s">
        <v>20</v>
      </c>
      <c r="B505" s="212">
        <v>244096</v>
      </c>
      <c r="C505" s="14" t="s">
        <v>547</v>
      </c>
      <c r="D505" s="14" t="s">
        <v>268</v>
      </c>
      <c r="E505" s="14" t="s">
        <v>14</v>
      </c>
      <c r="F505" s="14" t="s">
        <v>324</v>
      </c>
      <c r="G505" s="179">
        <v>680504</v>
      </c>
      <c r="H505" s="176" t="s">
        <v>659</v>
      </c>
      <c r="I505" s="176" t="s">
        <v>612</v>
      </c>
      <c r="J505" s="176" t="s">
        <v>666</v>
      </c>
      <c r="K505" s="176" t="s">
        <v>2162</v>
      </c>
      <c r="L505" s="40" t="s">
        <v>105</v>
      </c>
      <c r="M505" s="40" t="s">
        <v>341</v>
      </c>
      <c r="N505" s="14" t="s">
        <v>2165</v>
      </c>
      <c r="O505" s="14" t="s">
        <v>552</v>
      </c>
      <c r="P505" s="14" t="s">
        <v>793</v>
      </c>
      <c r="Q505" s="14" t="s">
        <v>553</v>
      </c>
      <c r="R505" s="17">
        <v>2300</v>
      </c>
      <c r="S505" s="172" t="s">
        <v>51</v>
      </c>
      <c r="T505" s="17">
        <v>1650</v>
      </c>
      <c r="U505" s="14" t="s">
        <v>51</v>
      </c>
      <c r="V505" s="16">
        <f t="shared" si="83"/>
        <v>244096</v>
      </c>
      <c r="W505" s="16">
        <f t="shared" si="84"/>
        <v>244103</v>
      </c>
      <c r="X505" s="16">
        <f t="shared" si="85"/>
        <v>244098</v>
      </c>
      <c r="Y505" s="15" t="s">
        <v>54</v>
      </c>
      <c r="Z505" s="177">
        <v>244100</v>
      </c>
      <c r="AA505" s="170"/>
      <c r="AB505" s="170"/>
      <c r="AC505" s="170"/>
      <c r="AD505" s="170"/>
      <c r="AE505" s="15" t="s">
        <v>54</v>
      </c>
      <c r="AF505" s="177">
        <v>244102</v>
      </c>
      <c r="AG505" s="177" t="str">
        <f t="shared" si="78"/>
        <v>Pass</v>
      </c>
      <c r="AH505" s="177">
        <f t="shared" si="79"/>
        <v>244102</v>
      </c>
      <c r="AK505" s="176"/>
      <c r="AL505" s="176"/>
    </row>
    <row r="506" spans="1:38" ht="36" customHeight="1" x14ac:dyDescent="0.2">
      <c r="A506" s="14" t="s">
        <v>20</v>
      </c>
      <c r="B506" s="212">
        <v>244096</v>
      </c>
      <c r="C506" s="14" t="s">
        <v>547</v>
      </c>
      <c r="D506" s="14" t="s">
        <v>268</v>
      </c>
      <c r="E506" s="14" t="s">
        <v>14</v>
      </c>
      <c r="F506" s="14" t="s">
        <v>324</v>
      </c>
      <c r="G506" s="179">
        <v>680505</v>
      </c>
      <c r="H506" s="176" t="s">
        <v>2161</v>
      </c>
      <c r="I506" s="176" t="s">
        <v>550</v>
      </c>
      <c r="J506" s="176" t="s">
        <v>803</v>
      </c>
      <c r="K506" s="176" t="s">
        <v>2163</v>
      </c>
      <c r="L506" s="40" t="s">
        <v>46</v>
      </c>
      <c r="M506" s="40" t="s">
        <v>341</v>
      </c>
      <c r="N506" s="14" t="s">
        <v>2169</v>
      </c>
      <c r="O506" s="14" t="s">
        <v>756</v>
      </c>
      <c r="P506" s="14" t="s">
        <v>2170</v>
      </c>
      <c r="Q506" s="14" t="s">
        <v>758</v>
      </c>
      <c r="R506" s="17">
        <v>500</v>
      </c>
      <c r="S506" s="172" t="s">
        <v>51</v>
      </c>
      <c r="T506" s="17">
        <v>800</v>
      </c>
      <c r="U506" s="14" t="s">
        <v>51</v>
      </c>
      <c r="V506" s="16">
        <f t="shared" si="83"/>
        <v>244096</v>
      </c>
      <c r="W506" s="16">
        <f t="shared" si="84"/>
        <v>244103</v>
      </c>
      <c r="X506" s="16">
        <f t="shared" si="85"/>
        <v>244098</v>
      </c>
      <c r="Y506" s="15"/>
      <c r="Z506" s="177"/>
      <c r="AA506" s="170"/>
      <c r="AB506" s="170"/>
      <c r="AC506" s="170"/>
      <c r="AD506" s="170"/>
      <c r="AE506" s="15"/>
      <c r="AF506" s="177"/>
      <c r="AG506" s="177">
        <f t="shared" si="78"/>
        <v>0</v>
      </c>
      <c r="AH506" s="177">
        <f t="shared" si="79"/>
        <v>0</v>
      </c>
      <c r="AK506" s="176"/>
      <c r="AL506" s="176"/>
    </row>
    <row r="507" spans="1:38" ht="36" customHeight="1" x14ac:dyDescent="0.2">
      <c r="A507" s="14" t="s">
        <v>20</v>
      </c>
      <c r="B507" s="212">
        <v>244096</v>
      </c>
      <c r="C507" s="14" t="s">
        <v>547</v>
      </c>
      <c r="D507" s="14" t="s">
        <v>268</v>
      </c>
      <c r="E507" s="14" t="s">
        <v>14</v>
      </c>
      <c r="F507" s="14" t="s">
        <v>324</v>
      </c>
      <c r="G507" s="179">
        <v>680506</v>
      </c>
      <c r="H507" s="176" t="s">
        <v>2161</v>
      </c>
      <c r="I507" s="176" t="s">
        <v>550</v>
      </c>
      <c r="J507" s="176" t="s">
        <v>803</v>
      </c>
      <c r="K507" s="176" t="s">
        <v>2163</v>
      </c>
      <c r="L507" s="40" t="s">
        <v>46</v>
      </c>
      <c r="M507" s="40" t="s">
        <v>341</v>
      </c>
      <c r="N507" s="14" t="s">
        <v>2166</v>
      </c>
      <c r="O507" s="14" t="s">
        <v>2168</v>
      </c>
      <c r="P507" s="14" t="s">
        <v>2171</v>
      </c>
      <c r="Q507" s="14" t="s">
        <v>2173</v>
      </c>
      <c r="R507" s="17">
        <v>593</v>
      </c>
      <c r="S507" s="172" t="s">
        <v>51</v>
      </c>
      <c r="T507" s="17">
        <v>2500</v>
      </c>
      <c r="U507" s="14" t="s">
        <v>51</v>
      </c>
      <c r="V507" s="16">
        <f t="shared" si="83"/>
        <v>244096</v>
      </c>
      <c r="W507" s="16">
        <f t="shared" si="84"/>
        <v>244103</v>
      </c>
      <c r="X507" s="16">
        <f t="shared" si="85"/>
        <v>244098</v>
      </c>
      <c r="Y507" s="15"/>
      <c r="Z507" s="177"/>
      <c r="AA507" s="170"/>
      <c r="AB507" s="170"/>
      <c r="AC507" s="170"/>
      <c r="AD507" s="170"/>
      <c r="AE507" s="15"/>
      <c r="AF507" s="177"/>
      <c r="AG507" s="177">
        <f t="shared" si="78"/>
        <v>0</v>
      </c>
      <c r="AH507" s="177">
        <f t="shared" si="79"/>
        <v>0</v>
      </c>
      <c r="AK507" s="176"/>
      <c r="AL507" s="176"/>
    </row>
    <row r="508" spans="1:38" ht="36" customHeight="1" x14ac:dyDescent="0.2">
      <c r="A508" s="14" t="s">
        <v>20</v>
      </c>
      <c r="B508" s="212">
        <v>244097</v>
      </c>
      <c r="C508" s="14" t="s">
        <v>547</v>
      </c>
      <c r="D508" s="14" t="s">
        <v>268</v>
      </c>
      <c r="E508" s="14" t="s">
        <v>14</v>
      </c>
      <c r="F508" s="14" t="s">
        <v>324</v>
      </c>
      <c r="G508" s="179">
        <v>680507</v>
      </c>
      <c r="H508" s="176" t="s">
        <v>2174</v>
      </c>
      <c r="I508" s="176" t="s">
        <v>960</v>
      </c>
      <c r="J508" s="176" t="s">
        <v>127</v>
      </c>
      <c r="K508" s="176" t="s">
        <v>2177</v>
      </c>
      <c r="L508" s="40" t="s">
        <v>108</v>
      </c>
      <c r="M508" s="40" t="s">
        <v>341</v>
      </c>
      <c r="N508" s="14" t="s">
        <v>984</v>
      </c>
      <c r="O508" s="14" t="s">
        <v>548</v>
      </c>
      <c r="P508" s="14" t="s">
        <v>518</v>
      </c>
      <c r="Q508" s="14" t="s">
        <v>549</v>
      </c>
      <c r="R508" s="17">
        <v>120</v>
      </c>
      <c r="S508" s="172" t="s">
        <v>51</v>
      </c>
      <c r="T508" s="17">
        <v>3165</v>
      </c>
      <c r="U508" s="14" t="s">
        <v>51</v>
      </c>
      <c r="V508" s="16">
        <f t="shared" si="83"/>
        <v>244097</v>
      </c>
      <c r="W508" s="16">
        <f t="shared" si="84"/>
        <v>244104</v>
      </c>
      <c r="X508" s="16">
        <f t="shared" si="85"/>
        <v>244099</v>
      </c>
      <c r="Y508" s="15"/>
      <c r="Z508" s="177"/>
      <c r="AA508" s="170"/>
      <c r="AB508" s="170"/>
      <c r="AC508" s="170"/>
      <c r="AD508" s="170"/>
      <c r="AE508" s="15"/>
      <c r="AF508" s="177"/>
      <c r="AG508" s="177">
        <f t="shared" si="78"/>
        <v>0</v>
      </c>
      <c r="AH508" s="177">
        <f t="shared" si="79"/>
        <v>0</v>
      </c>
      <c r="AK508" s="176"/>
      <c r="AL508" s="176"/>
    </row>
    <row r="509" spans="1:38" ht="36" customHeight="1" x14ac:dyDescent="0.2">
      <c r="A509" s="14" t="s">
        <v>20</v>
      </c>
      <c r="B509" s="212">
        <v>244097</v>
      </c>
      <c r="C509" s="14" t="s">
        <v>547</v>
      </c>
      <c r="D509" s="14" t="s">
        <v>268</v>
      </c>
      <c r="E509" s="14" t="s">
        <v>14</v>
      </c>
      <c r="F509" s="14" t="s">
        <v>324</v>
      </c>
      <c r="G509" s="179">
        <v>680508</v>
      </c>
      <c r="H509" s="176" t="s">
        <v>1606</v>
      </c>
      <c r="I509" s="176" t="s">
        <v>630</v>
      </c>
      <c r="J509" s="176" t="s">
        <v>520</v>
      </c>
      <c r="K509" s="176" t="s">
        <v>2178</v>
      </c>
      <c r="L509" s="40" t="s">
        <v>105</v>
      </c>
      <c r="M509" s="40" t="s">
        <v>341</v>
      </c>
      <c r="N509" s="14" t="s">
        <v>2184</v>
      </c>
      <c r="O509" s="14" t="s">
        <v>988</v>
      </c>
      <c r="P509" s="14" t="s">
        <v>2190</v>
      </c>
      <c r="Q509" s="14" t="s">
        <v>994</v>
      </c>
      <c r="R509" s="17">
        <v>720</v>
      </c>
      <c r="S509" s="172" t="s">
        <v>51</v>
      </c>
      <c r="T509" s="17">
        <v>640</v>
      </c>
      <c r="U509" s="14" t="s">
        <v>51</v>
      </c>
      <c r="V509" s="16">
        <f t="shared" si="83"/>
        <v>244097</v>
      </c>
      <c r="W509" s="16">
        <f t="shared" si="84"/>
        <v>244104</v>
      </c>
      <c r="X509" s="16">
        <f t="shared" si="85"/>
        <v>244099</v>
      </c>
      <c r="Y509" s="15" t="s">
        <v>54</v>
      </c>
      <c r="Z509" s="177">
        <v>244100</v>
      </c>
      <c r="AA509" s="170"/>
      <c r="AB509" s="170"/>
      <c r="AC509" s="170"/>
      <c r="AD509" s="170"/>
      <c r="AE509" s="15" t="s">
        <v>54</v>
      </c>
      <c r="AF509" s="177">
        <v>244102</v>
      </c>
      <c r="AG509" s="177" t="str">
        <f t="shared" si="78"/>
        <v>Pass</v>
      </c>
      <c r="AH509" s="177">
        <f t="shared" si="79"/>
        <v>244102</v>
      </c>
      <c r="AK509" s="176"/>
      <c r="AL509" s="176"/>
    </row>
    <row r="510" spans="1:38" ht="36" customHeight="1" x14ac:dyDescent="0.2">
      <c r="A510" s="14" t="s">
        <v>20</v>
      </c>
      <c r="B510" s="212">
        <v>244097</v>
      </c>
      <c r="C510" s="14" t="s">
        <v>547</v>
      </c>
      <c r="D510" s="14" t="s">
        <v>268</v>
      </c>
      <c r="E510" s="14" t="s">
        <v>14</v>
      </c>
      <c r="F510" s="14" t="s">
        <v>324</v>
      </c>
      <c r="G510" s="179">
        <v>680509</v>
      </c>
      <c r="H510" s="176" t="s">
        <v>2175</v>
      </c>
      <c r="I510" s="176" t="s">
        <v>748</v>
      </c>
      <c r="J510" s="176" t="s">
        <v>123</v>
      </c>
      <c r="K510" s="176" t="s">
        <v>2179</v>
      </c>
      <c r="L510" s="40" t="s">
        <v>45</v>
      </c>
      <c r="M510" s="40" t="s">
        <v>341</v>
      </c>
      <c r="N510" s="14" t="s">
        <v>2185</v>
      </c>
      <c r="O510" s="14" t="s">
        <v>2187</v>
      </c>
      <c r="P510" s="14" t="s">
        <v>2191</v>
      </c>
      <c r="Q510" s="14" t="s">
        <v>2192</v>
      </c>
      <c r="R510" s="17">
        <v>513</v>
      </c>
      <c r="S510" s="172" t="s">
        <v>51</v>
      </c>
      <c r="T510" s="17">
        <v>1910</v>
      </c>
      <c r="U510" s="14" t="s">
        <v>51</v>
      </c>
      <c r="V510" s="16">
        <f t="shared" si="83"/>
        <v>244097</v>
      </c>
      <c r="W510" s="16">
        <f t="shared" si="84"/>
        <v>244104</v>
      </c>
      <c r="X510" s="16">
        <f t="shared" si="85"/>
        <v>244099</v>
      </c>
      <c r="Y510" s="15" t="s">
        <v>54</v>
      </c>
      <c r="Z510" s="177">
        <v>244100</v>
      </c>
      <c r="AA510" s="170"/>
      <c r="AB510" s="170"/>
      <c r="AC510" s="170"/>
      <c r="AD510" s="170"/>
      <c r="AE510" s="15" t="s">
        <v>54</v>
      </c>
      <c r="AF510" s="177">
        <v>244102</v>
      </c>
      <c r="AG510" s="177" t="str">
        <f t="shared" si="78"/>
        <v>Pass</v>
      </c>
      <c r="AH510" s="177">
        <f t="shared" si="79"/>
        <v>244102</v>
      </c>
      <c r="AK510" s="176"/>
      <c r="AL510" s="176"/>
    </row>
    <row r="511" spans="1:38" ht="36" customHeight="1" x14ac:dyDescent="0.2">
      <c r="A511" s="14" t="s">
        <v>20</v>
      </c>
      <c r="B511" s="212">
        <v>244097</v>
      </c>
      <c r="C511" s="14" t="s">
        <v>547</v>
      </c>
      <c r="D511" s="14" t="s">
        <v>268</v>
      </c>
      <c r="E511" s="14" t="s">
        <v>14</v>
      </c>
      <c r="F511" s="14" t="s">
        <v>324</v>
      </c>
      <c r="G511" s="179">
        <v>680510</v>
      </c>
      <c r="H511" s="176" t="s">
        <v>2175</v>
      </c>
      <c r="I511" s="176" t="s">
        <v>748</v>
      </c>
      <c r="J511" s="176" t="s">
        <v>123</v>
      </c>
      <c r="K511" s="176" t="s">
        <v>2179</v>
      </c>
      <c r="L511" s="40" t="s">
        <v>45</v>
      </c>
      <c r="M511" s="40" t="s">
        <v>341</v>
      </c>
      <c r="N511" s="14" t="s">
        <v>712</v>
      </c>
      <c r="O511" s="14" t="s">
        <v>548</v>
      </c>
      <c r="P511" s="14" t="s">
        <v>518</v>
      </c>
      <c r="Q511" s="14" t="s">
        <v>549</v>
      </c>
      <c r="R511" s="17">
        <v>151</v>
      </c>
      <c r="S511" s="172" t="s">
        <v>51</v>
      </c>
      <c r="T511" s="17">
        <v>1830</v>
      </c>
      <c r="U511" s="14" t="s">
        <v>51</v>
      </c>
      <c r="V511" s="16">
        <f t="shared" si="83"/>
        <v>244097</v>
      </c>
      <c r="W511" s="16">
        <f t="shared" si="84"/>
        <v>244104</v>
      </c>
      <c r="X511" s="16">
        <f t="shared" si="85"/>
        <v>244099</v>
      </c>
      <c r="Y511" s="15" t="s">
        <v>54</v>
      </c>
      <c r="Z511" s="177">
        <v>244100</v>
      </c>
      <c r="AA511" s="170"/>
      <c r="AB511" s="170"/>
      <c r="AC511" s="170"/>
      <c r="AD511" s="170"/>
      <c r="AE511" s="15" t="s">
        <v>54</v>
      </c>
      <c r="AF511" s="177">
        <v>244102</v>
      </c>
      <c r="AG511" s="177" t="str">
        <f t="shared" si="78"/>
        <v>Pass</v>
      </c>
      <c r="AH511" s="177">
        <f t="shared" si="79"/>
        <v>244102</v>
      </c>
      <c r="AK511" s="176"/>
      <c r="AL511" s="176"/>
    </row>
    <row r="512" spans="1:38" ht="36" customHeight="1" x14ac:dyDescent="0.2">
      <c r="A512" s="14" t="s">
        <v>20</v>
      </c>
      <c r="B512" s="212">
        <v>244097</v>
      </c>
      <c r="C512" s="14" t="s">
        <v>547</v>
      </c>
      <c r="D512" s="14" t="s">
        <v>268</v>
      </c>
      <c r="E512" s="14" t="s">
        <v>14</v>
      </c>
      <c r="F512" s="14" t="s">
        <v>324</v>
      </c>
      <c r="G512" s="179">
        <v>680511</v>
      </c>
      <c r="H512" s="176" t="s">
        <v>1606</v>
      </c>
      <c r="I512" s="176" t="s">
        <v>630</v>
      </c>
      <c r="J512" s="176" t="s">
        <v>520</v>
      </c>
      <c r="K512" s="176" t="s">
        <v>2178</v>
      </c>
      <c r="L512" s="40" t="s">
        <v>105</v>
      </c>
      <c r="M512" s="40" t="s">
        <v>341</v>
      </c>
      <c r="N512" s="14" t="s">
        <v>2183</v>
      </c>
      <c r="O512" s="14" t="s">
        <v>548</v>
      </c>
      <c r="P512" s="14" t="s">
        <v>518</v>
      </c>
      <c r="Q512" s="14" t="s">
        <v>549</v>
      </c>
      <c r="R512" s="17">
        <v>202</v>
      </c>
      <c r="S512" s="172" t="s">
        <v>51</v>
      </c>
      <c r="T512" s="17" t="s">
        <v>2193</v>
      </c>
      <c r="U512" s="14" t="s">
        <v>51</v>
      </c>
      <c r="V512" s="16">
        <f t="shared" si="83"/>
        <v>244097</v>
      </c>
      <c r="W512" s="16">
        <f t="shared" si="84"/>
        <v>244104</v>
      </c>
      <c r="X512" s="16">
        <f t="shared" si="85"/>
        <v>244099</v>
      </c>
      <c r="Y512" s="15" t="s">
        <v>54</v>
      </c>
      <c r="Z512" s="177">
        <v>244100</v>
      </c>
      <c r="AA512" s="170"/>
      <c r="AB512" s="170"/>
      <c r="AC512" s="170"/>
      <c r="AD512" s="170"/>
      <c r="AE512" s="15" t="s">
        <v>54</v>
      </c>
      <c r="AF512" s="177">
        <v>244102</v>
      </c>
      <c r="AG512" s="177" t="str">
        <f t="shared" si="78"/>
        <v>Pass</v>
      </c>
      <c r="AH512" s="177">
        <f t="shared" si="79"/>
        <v>244102</v>
      </c>
      <c r="AK512" s="176"/>
      <c r="AL512" s="176"/>
    </row>
    <row r="513" spans="1:38" ht="36" customHeight="1" x14ac:dyDescent="0.2">
      <c r="A513" s="14" t="s">
        <v>20</v>
      </c>
      <c r="B513" s="212">
        <v>244097</v>
      </c>
      <c r="C513" s="14" t="s">
        <v>547</v>
      </c>
      <c r="D513" s="14" t="s">
        <v>268</v>
      </c>
      <c r="E513" s="14" t="s">
        <v>14</v>
      </c>
      <c r="F513" s="14" t="s">
        <v>324</v>
      </c>
      <c r="G513" s="179">
        <v>680512</v>
      </c>
      <c r="H513" s="176" t="s">
        <v>2182</v>
      </c>
      <c r="I513" s="176" t="s">
        <v>550</v>
      </c>
      <c r="J513" s="176" t="s">
        <v>803</v>
      </c>
      <c r="K513" s="176" t="s">
        <v>2180</v>
      </c>
      <c r="L513" s="40" t="s">
        <v>46</v>
      </c>
      <c r="M513" s="40" t="s">
        <v>341</v>
      </c>
      <c r="N513" s="14" t="s">
        <v>2186</v>
      </c>
      <c r="O513" s="14" t="s">
        <v>552</v>
      </c>
      <c r="P513" s="14" t="s">
        <v>793</v>
      </c>
      <c r="Q513" s="14" t="s">
        <v>553</v>
      </c>
      <c r="R513" s="17">
        <v>425</v>
      </c>
      <c r="S513" s="172" t="s">
        <v>51</v>
      </c>
      <c r="T513" s="17">
        <v>600</v>
      </c>
      <c r="U513" s="14" t="s">
        <v>51</v>
      </c>
      <c r="V513" s="16">
        <f t="shared" si="83"/>
        <v>244097</v>
      </c>
      <c r="W513" s="16">
        <f t="shared" si="84"/>
        <v>244104</v>
      </c>
      <c r="X513" s="16">
        <f t="shared" si="85"/>
        <v>244099</v>
      </c>
      <c r="Y513" s="15"/>
      <c r="Z513" s="177"/>
      <c r="AA513" s="170"/>
      <c r="AB513" s="170"/>
      <c r="AC513" s="170"/>
      <c r="AD513" s="170"/>
      <c r="AE513" s="15"/>
      <c r="AF513" s="177"/>
      <c r="AG513" s="177">
        <f t="shared" si="78"/>
        <v>0</v>
      </c>
      <c r="AH513" s="177">
        <f t="shared" si="79"/>
        <v>0</v>
      </c>
      <c r="AK513" s="176"/>
      <c r="AL513" s="176"/>
    </row>
    <row r="514" spans="1:38" ht="36" customHeight="1" x14ac:dyDescent="0.2">
      <c r="A514" s="14" t="s">
        <v>20</v>
      </c>
      <c r="B514" s="212">
        <v>244097</v>
      </c>
      <c r="C514" s="14" t="s">
        <v>547</v>
      </c>
      <c r="D514" s="14" t="s">
        <v>268</v>
      </c>
      <c r="E514" s="14" t="s">
        <v>14</v>
      </c>
      <c r="F514" s="14" t="s">
        <v>324</v>
      </c>
      <c r="G514" s="179">
        <v>680513</v>
      </c>
      <c r="H514" s="176" t="s">
        <v>2176</v>
      </c>
      <c r="I514" s="176" t="s">
        <v>550</v>
      </c>
      <c r="J514" s="176" t="s">
        <v>128</v>
      </c>
      <c r="K514" s="176" t="s">
        <v>2181</v>
      </c>
      <c r="L514" s="40" t="s">
        <v>106</v>
      </c>
      <c r="M514" s="40" t="s">
        <v>341</v>
      </c>
      <c r="N514" s="14" t="s">
        <v>836</v>
      </c>
      <c r="O514" s="14" t="s">
        <v>548</v>
      </c>
      <c r="P514" s="14" t="s">
        <v>518</v>
      </c>
      <c r="Q514" s="14" t="s">
        <v>549</v>
      </c>
      <c r="R514" s="17">
        <v>130</v>
      </c>
      <c r="S514" s="172" t="s">
        <v>51</v>
      </c>
      <c r="T514" s="17">
        <v>2430</v>
      </c>
      <c r="U514" s="14" t="s">
        <v>51</v>
      </c>
      <c r="V514" s="16">
        <f t="shared" si="83"/>
        <v>244097</v>
      </c>
      <c r="W514" s="16">
        <f t="shared" si="84"/>
        <v>244104</v>
      </c>
      <c r="X514" s="16">
        <f t="shared" si="85"/>
        <v>244099</v>
      </c>
      <c r="Y514" s="15"/>
      <c r="Z514" s="177"/>
      <c r="AA514" s="170"/>
      <c r="AB514" s="170"/>
      <c r="AC514" s="170"/>
      <c r="AD514" s="170"/>
      <c r="AE514" s="15"/>
      <c r="AF514" s="177"/>
      <c r="AG514" s="177">
        <f t="shared" si="78"/>
        <v>0</v>
      </c>
      <c r="AH514" s="177">
        <f t="shared" si="79"/>
        <v>0</v>
      </c>
      <c r="AK514" s="176"/>
      <c r="AL514" s="176"/>
    </row>
    <row r="515" spans="1:38" ht="36" customHeight="1" x14ac:dyDescent="0.2">
      <c r="A515" s="14" t="s">
        <v>20</v>
      </c>
      <c r="B515" s="212">
        <v>244097</v>
      </c>
      <c r="C515" s="14" t="s">
        <v>547</v>
      </c>
      <c r="D515" s="14" t="s">
        <v>268</v>
      </c>
      <c r="E515" s="14" t="s">
        <v>14</v>
      </c>
      <c r="F515" s="14" t="s">
        <v>324</v>
      </c>
      <c r="G515" s="179">
        <v>680514</v>
      </c>
      <c r="H515" s="176" t="s">
        <v>2175</v>
      </c>
      <c r="I515" s="176" t="s">
        <v>748</v>
      </c>
      <c r="J515" s="176" t="s">
        <v>123</v>
      </c>
      <c r="K515" s="176" t="s">
        <v>2179</v>
      </c>
      <c r="L515" s="40" t="s">
        <v>45</v>
      </c>
      <c r="M515" s="40" t="s">
        <v>341</v>
      </c>
      <c r="N515" s="14" t="s">
        <v>2188</v>
      </c>
      <c r="O515" s="14" t="s">
        <v>543</v>
      </c>
      <c r="P515" s="14" t="s">
        <v>1625</v>
      </c>
      <c r="Q515" s="14" t="s">
        <v>529</v>
      </c>
      <c r="R515" s="17">
        <v>500</v>
      </c>
      <c r="S515" s="172" t="s">
        <v>51</v>
      </c>
      <c r="T515" s="17">
        <v>1830</v>
      </c>
      <c r="U515" s="14" t="s">
        <v>51</v>
      </c>
      <c r="V515" s="16">
        <f t="shared" si="83"/>
        <v>244097</v>
      </c>
      <c r="W515" s="16">
        <f t="shared" si="84"/>
        <v>244104</v>
      </c>
      <c r="X515" s="16">
        <f t="shared" si="85"/>
        <v>244099</v>
      </c>
      <c r="Y515" s="15" t="s">
        <v>54</v>
      </c>
      <c r="Z515" s="177">
        <v>244100</v>
      </c>
      <c r="AA515" s="170"/>
      <c r="AB515" s="170"/>
      <c r="AC515" s="170"/>
      <c r="AD515" s="170"/>
      <c r="AE515" s="15" t="s">
        <v>54</v>
      </c>
      <c r="AF515" s="177">
        <v>244102</v>
      </c>
      <c r="AG515" s="177" t="str">
        <f t="shared" si="78"/>
        <v>Pass</v>
      </c>
      <c r="AH515" s="177">
        <f t="shared" si="79"/>
        <v>244102</v>
      </c>
      <c r="AK515" s="176"/>
      <c r="AL515" s="176"/>
    </row>
    <row r="516" spans="1:38" ht="36" customHeight="1" x14ac:dyDescent="0.2">
      <c r="A516" s="14" t="s">
        <v>20</v>
      </c>
      <c r="B516" s="212">
        <v>244097</v>
      </c>
      <c r="C516" s="14" t="s">
        <v>547</v>
      </c>
      <c r="D516" s="14" t="s">
        <v>268</v>
      </c>
      <c r="E516" s="14" t="s">
        <v>14</v>
      </c>
      <c r="F516" s="14" t="s">
        <v>324</v>
      </c>
      <c r="G516" s="179">
        <v>680515</v>
      </c>
      <c r="H516" s="176" t="s">
        <v>959</v>
      </c>
      <c r="I516" s="176" t="s">
        <v>960</v>
      </c>
      <c r="J516" s="176" t="s">
        <v>127</v>
      </c>
      <c r="K516" s="176" t="s">
        <v>2177</v>
      </c>
      <c r="L516" s="40" t="s">
        <v>108</v>
      </c>
      <c r="M516" s="40" t="s">
        <v>341</v>
      </c>
      <c r="N516" s="14" t="s">
        <v>2189</v>
      </c>
      <c r="O516" s="14" t="s">
        <v>557</v>
      </c>
      <c r="P516" s="14" t="s">
        <v>517</v>
      </c>
      <c r="Q516" s="14" t="s">
        <v>558</v>
      </c>
      <c r="R516" s="17">
        <v>600</v>
      </c>
      <c r="S516" s="172" t="s">
        <v>51</v>
      </c>
      <c r="T516" s="17">
        <v>3055</v>
      </c>
      <c r="U516" s="14" t="s">
        <v>51</v>
      </c>
      <c r="V516" s="16">
        <f t="shared" si="83"/>
        <v>244097</v>
      </c>
      <c r="W516" s="16">
        <f t="shared" si="84"/>
        <v>244104</v>
      </c>
      <c r="X516" s="16">
        <f t="shared" si="85"/>
        <v>244099</v>
      </c>
      <c r="Y516" s="15"/>
      <c r="Z516" s="177"/>
      <c r="AA516" s="170"/>
      <c r="AB516" s="170"/>
      <c r="AC516" s="170"/>
      <c r="AD516" s="170"/>
      <c r="AE516" s="15"/>
      <c r="AF516" s="177"/>
      <c r="AG516" s="177">
        <f t="shared" si="78"/>
        <v>0</v>
      </c>
      <c r="AH516" s="177">
        <f t="shared" si="79"/>
        <v>0</v>
      </c>
      <c r="AK516" s="176"/>
      <c r="AL516" s="176"/>
    </row>
    <row r="517" spans="1:38" ht="36" customHeight="1" x14ac:dyDescent="0.2">
      <c r="A517" s="14" t="s">
        <v>20</v>
      </c>
      <c r="B517" s="212">
        <v>244098</v>
      </c>
      <c r="C517" s="14" t="s">
        <v>547</v>
      </c>
      <c r="D517" s="14" t="s">
        <v>268</v>
      </c>
      <c r="E517" s="14" t="s">
        <v>14</v>
      </c>
      <c r="F517" s="14" t="s">
        <v>324</v>
      </c>
      <c r="G517" s="179">
        <v>680516</v>
      </c>
      <c r="H517" s="176" t="s">
        <v>996</v>
      </c>
      <c r="I517" s="176" t="s">
        <v>630</v>
      </c>
      <c r="J517" s="176" t="s">
        <v>520</v>
      </c>
      <c r="K517" s="176" t="s">
        <v>2197</v>
      </c>
      <c r="L517" s="40" t="s">
        <v>105</v>
      </c>
      <c r="M517" s="40" t="s">
        <v>341</v>
      </c>
      <c r="N517" s="14" t="s">
        <v>2200</v>
      </c>
      <c r="O517" s="14" t="s">
        <v>953</v>
      </c>
      <c r="P517" s="14" t="s">
        <v>2203</v>
      </c>
      <c r="Q517" s="14" t="s">
        <v>956</v>
      </c>
      <c r="R517" s="17">
        <v>800</v>
      </c>
      <c r="S517" s="172" t="s">
        <v>51</v>
      </c>
      <c r="T517" s="17">
        <v>2040</v>
      </c>
      <c r="U517" s="14" t="s">
        <v>51</v>
      </c>
      <c r="V517" s="16">
        <f t="shared" si="83"/>
        <v>244098</v>
      </c>
      <c r="W517" s="16">
        <f t="shared" si="84"/>
        <v>244105</v>
      </c>
      <c r="X517" s="16">
        <f t="shared" si="85"/>
        <v>244100</v>
      </c>
      <c r="Y517" s="15" t="s">
        <v>54</v>
      </c>
      <c r="Z517" s="177">
        <v>244100</v>
      </c>
      <c r="AA517" s="170"/>
      <c r="AB517" s="170"/>
      <c r="AC517" s="170"/>
      <c r="AD517" s="170"/>
      <c r="AE517" s="15" t="s">
        <v>54</v>
      </c>
      <c r="AF517" s="177">
        <v>244102</v>
      </c>
      <c r="AG517" s="177" t="str">
        <f t="shared" si="78"/>
        <v>Pass</v>
      </c>
      <c r="AH517" s="177">
        <f t="shared" si="79"/>
        <v>244102</v>
      </c>
      <c r="AK517" s="176"/>
      <c r="AL517" s="176"/>
    </row>
    <row r="518" spans="1:38" ht="36" customHeight="1" x14ac:dyDescent="0.2">
      <c r="A518" s="14" t="s">
        <v>20</v>
      </c>
      <c r="B518" s="212">
        <v>244098</v>
      </c>
      <c r="C518" s="14" t="s">
        <v>547</v>
      </c>
      <c r="D518" s="14" t="s">
        <v>268</v>
      </c>
      <c r="E518" s="14" t="s">
        <v>14</v>
      </c>
      <c r="F518" s="14" t="s">
        <v>324</v>
      </c>
      <c r="G518" s="179">
        <v>680517</v>
      </c>
      <c r="H518" s="176" t="s">
        <v>996</v>
      </c>
      <c r="I518" s="176" t="s">
        <v>630</v>
      </c>
      <c r="J518" s="176" t="s">
        <v>520</v>
      </c>
      <c r="K518" s="176" t="s">
        <v>2197</v>
      </c>
      <c r="L518" s="40" t="s">
        <v>105</v>
      </c>
      <c r="M518" s="40" t="s">
        <v>341</v>
      </c>
      <c r="N518" s="14" t="s">
        <v>765</v>
      </c>
      <c r="O518" s="14" t="s">
        <v>548</v>
      </c>
      <c r="P518" s="14" t="s">
        <v>717</v>
      </c>
      <c r="Q518" s="14" t="s">
        <v>549</v>
      </c>
      <c r="R518" s="17">
        <v>200</v>
      </c>
      <c r="S518" s="172" t="s">
        <v>51</v>
      </c>
      <c r="T518" s="17">
        <v>2040</v>
      </c>
      <c r="U518" s="14" t="s">
        <v>51</v>
      </c>
      <c r="V518" s="16">
        <f t="shared" si="83"/>
        <v>244098</v>
      </c>
      <c r="W518" s="16">
        <f t="shared" si="84"/>
        <v>244105</v>
      </c>
      <c r="X518" s="16">
        <f t="shared" si="85"/>
        <v>244100</v>
      </c>
      <c r="Y518" s="15" t="s">
        <v>54</v>
      </c>
      <c r="Z518" s="177">
        <v>244100</v>
      </c>
      <c r="AA518" s="170"/>
      <c r="AB518" s="170"/>
      <c r="AC518" s="170"/>
      <c r="AD518" s="170"/>
      <c r="AE518" s="15" t="s">
        <v>54</v>
      </c>
      <c r="AF518" s="177">
        <v>244102</v>
      </c>
      <c r="AG518" s="177" t="str">
        <f t="shared" si="78"/>
        <v>Pass</v>
      </c>
      <c r="AH518" s="177">
        <f t="shared" si="79"/>
        <v>244102</v>
      </c>
      <c r="AK518" s="176"/>
      <c r="AL518" s="176"/>
    </row>
    <row r="519" spans="1:38" ht="36" customHeight="1" x14ac:dyDescent="0.2">
      <c r="A519" s="14" t="s">
        <v>20</v>
      </c>
      <c r="B519" s="212">
        <v>244098</v>
      </c>
      <c r="C519" s="14" t="s">
        <v>547</v>
      </c>
      <c r="D519" s="14" t="s">
        <v>268</v>
      </c>
      <c r="E519" s="14" t="s">
        <v>14</v>
      </c>
      <c r="F519" s="14" t="s">
        <v>324</v>
      </c>
      <c r="G519" s="179">
        <v>680518</v>
      </c>
      <c r="H519" s="176" t="s">
        <v>886</v>
      </c>
      <c r="I519" s="176" t="s">
        <v>630</v>
      </c>
      <c r="J519" s="176" t="s">
        <v>821</v>
      </c>
      <c r="K519" s="176" t="s">
        <v>2198</v>
      </c>
      <c r="L519" s="40" t="s">
        <v>124</v>
      </c>
      <c r="M519" s="40" t="s">
        <v>341</v>
      </c>
      <c r="N519" s="14" t="s">
        <v>1905</v>
      </c>
      <c r="O519" s="14" t="s">
        <v>548</v>
      </c>
      <c r="P519" s="14" t="s">
        <v>717</v>
      </c>
      <c r="Q519" s="14" t="s">
        <v>549</v>
      </c>
      <c r="R519" s="17">
        <v>165</v>
      </c>
      <c r="S519" s="172" t="s">
        <v>51</v>
      </c>
      <c r="T519" s="17">
        <v>2520</v>
      </c>
      <c r="U519" s="14" t="s">
        <v>51</v>
      </c>
      <c r="V519" s="16">
        <f t="shared" si="83"/>
        <v>244098</v>
      </c>
      <c r="W519" s="16">
        <f t="shared" si="84"/>
        <v>244105</v>
      </c>
      <c r="X519" s="16">
        <f t="shared" si="85"/>
        <v>244100</v>
      </c>
      <c r="Y519" s="15"/>
      <c r="Z519" s="177"/>
      <c r="AA519" s="170"/>
      <c r="AB519" s="170"/>
      <c r="AC519" s="170"/>
      <c r="AD519" s="170"/>
      <c r="AE519" s="15"/>
      <c r="AF519" s="177"/>
      <c r="AG519" s="177">
        <f t="shared" si="78"/>
        <v>0</v>
      </c>
      <c r="AH519" s="177">
        <f t="shared" si="79"/>
        <v>0</v>
      </c>
      <c r="AK519" s="176"/>
      <c r="AL519" s="176"/>
    </row>
    <row r="520" spans="1:38" ht="36" customHeight="1" x14ac:dyDescent="0.2">
      <c r="A520" s="14" t="s">
        <v>20</v>
      </c>
      <c r="B520" s="212">
        <v>244098</v>
      </c>
      <c r="C520" s="14" t="s">
        <v>547</v>
      </c>
      <c r="D520" s="14" t="s">
        <v>268</v>
      </c>
      <c r="E520" s="14" t="s">
        <v>14</v>
      </c>
      <c r="F520" s="14" t="s">
        <v>324</v>
      </c>
      <c r="G520" s="179">
        <v>680519</v>
      </c>
      <c r="H520" s="176" t="s">
        <v>996</v>
      </c>
      <c r="I520" s="176" t="s">
        <v>630</v>
      </c>
      <c r="J520" s="176" t="s">
        <v>520</v>
      </c>
      <c r="K520" s="176" t="s">
        <v>2197</v>
      </c>
      <c r="L520" s="40" t="s">
        <v>105</v>
      </c>
      <c r="M520" s="40" t="s">
        <v>341</v>
      </c>
      <c r="N520" s="14" t="s">
        <v>2201</v>
      </c>
      <c r="O520" s="14" t="s">
        <v>527</v>
      </c>
      <c r="P520" s="14" t="s">
        <v>2204</v>
      </c>
      <c r="Q520" s="14" t="s">
        <v>542</v>
      </c>
      <c r="R520" s="17">
        <v>243</v>
      </c>
      <c r="S520" s="172" t="s">
        <v>51</v>
      </c>
      <c r="T520" s="17" t="s">
        <v>2206</v>
      </c>
      <c r="U520" s="14" t="s">
        <v>51</v>
      </c>
      <c r="V520" s="16">
        <f t="shared" si="83"/>
        <v>244098</v>
      </c>
      <c r="W520" s="16">
        <f t="shared" si="84"/>
        <v>244105</v>
      </c>
      <c r="X520" s="16">
        <f t="shared" si="85"/>
        <v>244100</v>
      </c>
      <c r="Y520" s="15" t="s">
        <v>54</v>
      </c>
      <c r="Z520" s="177">
        <v>244100</v>
      </c>
      <c r="AA520" s="170"/>
      <c r="AB520" s="170"/>
      <c r="AC520" s="170"/>
      <c r="AD520" s="170"/>
      <c r="AE520" s="15" t="s">
        <v>54</v>
      </c>
      <c r="AF520" s="177">
        <v>244102</v>
      </c>
      <c r="AG520" s="177" t="str">
        <f t="shared" si="78"/>
        <v>Pass</v>
      </c>
      <c r="AH520" s="177">
        <f t="shared" si="79"/>
        <v>244102</v>
      </c>
      <c r="AK520" s="176"/>
      <c r="AL520" s="176"/>
    </row>
    <row r="521" spans="1:38" ht="36" customHeight="1" x14ac:dyDescent="0.2">
      <c r="A521" s="14" t="s">
        <v>20</v>
      </c>
      <c r="B521" s="212">
        <v>244098</v>
      </c>
      <c r="C521" s="14" t="s">
        <v>547</v>
      </c>
      <c r="D521" s="14" t="s">
        <v>268</v>
      </c>
      <c r="E521" s="14" t="s">
        <v>14</v>
      </c>
      <c r="F521" s="14" t="s">
        <v>324</v>
      </c>
      <c r="G521" s="179">
        <v>680520</v>
      </c>
      <c r="H521" s="176" t="s">
        <v>2194</v>
      </c>
      <c r="I521" s="176" t="s">
        <v>2195</v>
      </c>
      <c r="J521" s="176" t="s">
        <v>2196</v>
      </c>
      <c r="K521" s="176" t="s">
        <v>2199</v>
      </c>
      <c r="L521" s="40" t="s">
        <v>45</v>
      </c>
      <c r="M521" s="40" t="s">
        <v>341</v>
      </c>
      <c r="N521" s="14" t="s">
        <v>2202</v>
      </c>
      <c r="O521" s="14" t="s">
        <v>528</v>
      </c>
      <c r="P521" s="14" t="s">
        <v>2205</v>
      </c>
      <c r="Q521" s="14" t="s">
        <v>541</v>
      </c>
      <c r="R521" s="17">
        <v>350</v>
      </c>
      <c r="S521" s="172" t="s">
        <v>51</v>
      </c>
      <c r="T521" s="17">
        <v>1245</v>
      </c>
      <c r="U521" s="14" t="s">
        <v>51</v>
      </c>
      <c r="V521" s="16">
        <f t="shared" si="83"/>
        <v>244098</v>
      </c>
      <c r="W521" s="16">
        <f t="shared" si="84"/>
        <v>244105</v>
      </c>
      <c r="X521" s="16">
        <f t="shared" si="85"/>
        <v>244100</v>
      </c>
      <c r="Y521" s="15"/>
      <c r="Z521" s="177"/>
      <c r="AA521" s="170"/>
      <c r="AB521" s="170"/>
      <c r="AC521" s="170"/>
      <c r="AD521" s="170"/>
      <c r="AE521" s="15"/>
      <c r="AF521" s="177"/>
      <c r="AG521" s="177">
        <f t="shared" si="78"/>
        <v>0</v>
      </c>
      <c r="AH521" s="177">
        <f t="shared" si="79"/>
        <v>0</v>
      </c>
      <c r="AK521" s="176"/>
      <c r="AL521" s="176"/>
    </row>
    <row r="522" spans="1:38" ht="36" customHeight="1" x14ac:dyDescent="0.2">
      <c r="A522" s="14" t="s">
        <v>20</v>
      </c>
      <c r="B522" s="212">
        <v>244102</v>
      </c>
      <c r="C522" s="14" t="s">
        <v>547</v>
      </c>
      <c r="D522" s="14" t="s">
        <v>268</v>
      </c>
      <c r="E522" s="14" t="s">
        <v>14</v>
      </c>
      <c r="F522" s="14" t="s">
        <v>324</v>
      </c>
      <c r="G522" s="179">
        <v>680521</v>
      </c>
      <c r="H522" s="176" t="s">
        <v>1392</v>
      </c>
      <c r="I522" s="176" t="s">
        <v>724</v>
      </c>
      <c r="J522" s="176" t="s">
        <v>707</v>
      </c>
      <c r="K522" s="176" t="s">
        <v>2210</v>
      </c>
      <c r="L522" s="40" t="s">
        <v>108</v>
      </c>
      <c r="M522" s="40" t="s">
        <v>341</v>
      </c>
      <c r="N522" s="14" t="s">
        <v>2213</v>
      </c>
      <c r="O522" s="14" t="s">
        <v>1909</v>
      </c>
      <c r="P522" s="14" t="s">
        <v>2220</v>
      </c>
      <c r="Q522" s="14" t="s">
        <v>1913</v>
      </c>
      <c r="R522" s="17">
        <v>150</v>
      </c>
      <c r="S522" s="172" t="s">
        <v>51</v>
      </c>
      <c r="T522" s="17">
        <v>3220</v>
      </c>
      <c r="U522" s="14" t="s">
        <v>51</v>
      </c>
      <c r="V522" s="16">
        <f t="shared" si="83"/>
        <v>244102</v>
      </c>
      <c r="W522" s="16">
        <f t="shared" si="84"/>
        <v>244109</v>
      </c>
      <c r="X522" s="16">
        <f t="shared" si="85"/>
        <v>244104</v>
      </c>
      <c r="Y522" s="15" t="s">
        <v>54</v>
      </c>
      <c r="Z522" s="177">
        <v>244126</v>
      </c>
      <c r="AA522" s="170"/>
      <c r="AB522" s="170"/>
      <c r="AC522" s="170"/>
      <c r="AD522" s="170"/>
      <c r="AE522" s="15" t="s">
        <v>54</v>
      </c>
      <c r="AF522" s="177">
        <v>244127</v>
      </c>
      <c r="AG522" s="177" t="str">
        <f t="shared" si="78"/>
        <v>Pass</v>
      </c>
      <c r="AH522" s="177">
        <f t="shared" si="79"/>
        <v>244127</v>
      </c>
      <c r="AK522" s="176"/>
      <c r="AL522" s="176"/>
    </row>
    <row r="523" spans="1:38" ht="36" customHeight="1" x14ac:dyDescent="0.2">
      <c r="A523" s="14" t="s">
        <v>20</v>
      </c>
      <c r="B523" s="212">
        <v>244102</v>
      </c>
      <c r="C523" s="14" t="s">
        <v>547</v>
      </c>
      <c r="D523" s="14" t="s">
        <v>268</v>
      </c>
      <c r="E523" s="14" t="s">
        <v>14</v>
      </c>
      <c r="F523" s="14" t="s">
        <v>324</v>
      </c>
      <c r="G523" s="179">
        <v>680522</v>
      </c>
      <c r="H523" s="176" t="s">
        <v>1631</v>
      </c>
      <c r="I523" s="176" t="s">
        <v>1633</v>
      </c>
      <c r="J523" s="176" t="s">
        <v>1634</v>
      </c>
      <c r="K523" s="176" t="s">
        <v>1635</v>
      </c>
      <c r="L523" s="40" t="s">
        <v>45</v>
      </c>
      <c r="M523" s="40" t="s">
        <v>341</v>
      </c>
      <c r="N523" s="14" t="s">
        <v>1423</v>
      </c>
      <c r="O523" s="14" t="s">
        <v>548</v>
      </c>
      <c r="P523" s="14" t="s">
        <v>518</v>
      </c>
      <c r="Q523" s="14" t="s">
        <v>549</v>
      </c>
      <c r="R523" s="17">
        <v>196</v>
      </c>
      <c r="S523" s="172" t="s">
        <v>51</v>
      </c>
      <c r="T523" s="17">
        <v>2312</v>
      </c>
      <c r="U523" s="14" t="s">
        <v>51</v>
      </c>
      <c r="V523" s="16">
        <f t="shared" si="83"/>
        <v>244102</v>
      </c>
      <c r="W523" s="16">
        <f t="shared" si="84"/>
        <v>244109</v>
      </c>
      <c r="X523" s="16">
        <f t="shared" si="85"/>
        <v>244104</v>
      </c>
      <c r="Y523" s="15"/>
      <c r="Z523" s="177"/>
      <c r="AA523" s="170"/>
      <c r="AB523" s="170"/>
      <c r="AC523" s="170"/>
      <c r="AD523" s="170"/>
      <c r="AE523" s="15"/>
      <c r="AF523" s="177"/>
      <c r="AG523" s="177">
        <f t="shared" si="78"/>
        <v>0</v>
      </c>
      <c r="AH523" s="177">
        <f t="shared" si="79"/>
        <v>0</v>
      </c>
      <c r="AK523" s="176"/>
      <c r="AL523" s="176"/>
    </row>
    <row r="524" spans="1:38" ht="36" customHeight="1" x14ac:dyDescent="0.2">
      <c r="A524" s="14" t="s">
        <v>20</v>
      </c>
      <c r="B524" s="212">
        <v>244102</v>
      </c>
      <c r="C524" s="14" t="s">
        <v>547</v>
      </c>
      <c r="D524" s="14" t="s">
        <v>268</v>
      </c>
      <c r="E524" s="14" t="s">
        <v>14</v>
      </c>
      <c r="F524" s="14" t="s">
        <v>324</v>
      </c>
      <c r="G524" s="179">
        <v>680523</v>
      </c>
      <c r="H524" s="176" t="s">
        <v>1402</v>
      </c>
      <c r="I524" s="176" t="s">
        <v>1407</v>
      </c>
      <c r="J524" s="176" t="s">
        <v>1410</v>
      </c>
      <c r="K524" s="176" t="s">
        <v>2211</v>
      </c>
      <c r="L524" s="40" t="s">
        <v>46</v>
      </c>
      <c r="M524" s="40" t="s">
        <v>341</v>
      </c>
      <c r="N524" s="14" t="s">
        <v>2214</v>
      </c>
      <c r="O524" s="14" t="s">
        <v>528</v>
      </c>
      <c r="P524" s="14" t="s">
        <v>517</v>
      </c>
      <c r="Q524" s="14" t="s">
        <v>541</v>
      </c>
      <c r="R524" s="17">
        <v>300</v>
      </c>
      <c r="S524" s="172" t="s">
        <v>51</v>
      </c>
      <c r="T524" s="17">
        <v>1310</v>
      </c>
      <c r="U524" s="14" t="s">
        <v>51</v>
      </c>
      <c r="V524" s="16">
        <f t="shared" si="83"/>
        <v>244102</v>
      </c>
      <c r="W524" s="16">
        <f t="shared" si="84"/>
        <v>244109</v>
      </c>
      <c r="X524" s="16">
        <f t="shared" si="85"/>
        <v>244104</v>
      </c>
      <c r="Y524" s="15"/>
      <c r="Z524" s="177"/>
      <c r="AA524" s="170"/>
      <c r="AB524" s="170"/>
      <c r="AC524" s="170"/>
      <c r="AD524" s="170"/>
      <c r="AE524" s="15"/>
      <c r="AF524" s="177"/>
      <c r="AG524" s="177">
        <f t="shared" si="78"/>
        <v>0</v>
      </c>
      <c r="AH524" s="177">
        <f t="shared" si="79"/>
        <v>0</v>
      </c>
      <c r="AK524" s="176"/>
      <c r="AL524" s="176"/>
    </row>
    <row r="525" spans="1:38" ht="36" customHeight="1" x14ac:dyDescent="0.2">
      <c r="A525" s="14" t="s">
        <v>20</v>
      </c>
      <c r="B525" s="212">
        <v>244102</v>
      </c>
      <c r="C525" s="14" t="s">
        <v>547</v>
      </c>
      <c r="D525" s="14" t="s">
        <v>268</v>
      </c>
      <c r="E525" s="14" t="s">
        <v>14</v>
      </c>
      <c r="F525" s="14" t="s">
        <v>324</v>
      </c>
      <c r="G525" s="179">
        <v>680524</v>
      </c>
      <c r="H525" s="176" t="s">
        <v>824</v>
      </c>
      <c r="I525" s="176" t="s">
        <v>774</v>
      </c>
      <c r="J525" s="176" t="s">
        <v>776</v>
      </c>
      <c r="K525" s="176" t="s">
        <v>2208</v>
      </c>
      <c r="L525" s="40" t="s">
        <v>46</v>
      </c>
      <c r="M525" s="40" t="s">
        <v>341</v>
      </c>
      <c r="N525" s="14" t="s">
        <v>2215</v>
      </c>
      <c r="O525" s="14" t="s">
        <v>552</v>
      </c>
      <c r="P525" s="14" t="s">
        <v>793</v>
      </c>
      <c r="Q525" s="14" t="s">
        <v>553</v>
      </c>
      <c r="R525" s="17">
        <v>5023</v>
      </c>
      <c r="S525" s="172" t="s">
        <v>51</v>
      </c>
      <c r="T525" s="17">
        <v>1730</v>
      </c>
      <c r="U525" s="14" t="s">
        <v>51</v>
      </c>
      <c r="V525" s="16">
        <f t="shared" si="83"/>
        <v>244102</v>
      </c>
      <c r="W525" s="16">
        <f t="shared" si="84"/>
        <v>244109</v>
      </c>
      <c r="X525" s="16">
        <f t="shared" si="85"/>
        <v>244104</v>
      </c>
      <c r="Y525" s="15"/>
      <c r="Z525" s="177"/>
      <c r="AA525" s="170"/>
      <c r="AB525" s="170"/>
      <c r="AC525" s="170"/>
      <c r="AD525" s="170"/>
      <c r="AE525" s="15"/>
      <c r="AF525" s="177"/>
      <c r="AG525" s="177">
        <f t="shared" si="78"/>
        <v>0</v>
      </c>
      <c r="AH525" s="177">
        <f t="shared" si="79"/>
        <v>0</v>
      </c>
      <c r="AK525" s="176"/>
      <c r="AL525" s="176"/>
    </row>
    <row r="526" spans="1:38" ht="36" customHeight="1" x14ac:dyDescent="0.2">
      <c r="A526" s="14" t="s">
        <v>20</v>
      </c>
      <c r="B526" s="212">
        <v>244102</v>
      </c>
      <c r="C526" s="14" t="s">
        <v>547</v>
      </c>
      <c r="D526" s="14" t="s">
        <v>268</v>
      </c>
      <c r="E526" s="14" t="s">
        <v>14</v>
      </c>
      <c r="F526" s="14" t="s">
        <v>324</v>
      </c>
      <c r="G526" s="179">
        <v>680525</v>
      </c>
      <c r="H526" s="176" t="s">
        <v>824</v>
      </c>
      <c r="I526" s="176" t="s">
        <v>774</v>
      </c>
      <c r="J526" s="176" t="s">
        <v>776</v>
      </c>
      <c r="K526" s="176" t="s">
        <v>2208</v>
      </c>
      <c r="L526" s="40" t="s">
        <v>46</v>
      </c>
      <c r="M526" s="40" t="s">
        <v>341</v>
      </c>
      <c r="N526" s="14" t="s">
        <v>2222</v>
      </c>
      <c r="O526" s="14" t="s">
        <v>714</v>
      </c>
      <c r="P526" s="14" t="s">
        <v>2221</v>
      </c>
      <c r="Q526" s="14" t="s">
        <v>716</v>
      </c>
      <c r="R526" s="17">
        <v>800</v>
      </c>
      <c r="S526" s="172" t="s">
        <v>51</v>
      </c>
      <c r="T526" s="17">
        <v>1750</v>
      </c>
      <c r="U526" s="14" t="s">
        <v>51</v>
      </c>
      <c r="V526" s="16">
        <f t="shared" si="83"/>
        <v>244102</v>
      </c>
      <c r="W526" s="16">
        <f t="shared" si="84"/>
        <v>244109</v>
      </c>
      <c r="X526" s="16">
        <f t="shared" si="85"/>
        <v>244104</v>
      </c>
      <c r="Y526" s="15"/>
      <c r="Z526" s="177"/>
      <c r="AA526" s="170"/>
      <c r="AB526" s="170"/>
      <c r="AC526" s="170"/>
      <c r="AD526" s="170"/>
      <c r="AE526" s="15"/>
      <c r="AF526" s="177"/>
      <c r="AG526" s="177">
        <f t="shared" si="78"/>
        <v>0</v>
      </c>
      <c r="AH526" s="177">
        <f t="shared" si="79"/>
        <v>0</v>
      </c>
      <c r="AK526" s="176"/>
      <c r="AL526" s="176"/>
    </row>
    <row r="527" spans="1:38" ht="36" customHeight="1" x14ac:dyDescent="0.2">
      <c r="A527" s="14" t="s">
        <v>20</v>
      </c>
      <c r="B527" s="212">
        <v>244102</v>
      </c>
      <c r="C527" s="14" t="s">
        <v>547</v>
      </c>
      <c r="D527" s="14" t="s">
        <v>268</v>
      </c>
      <c r="E527" s="14" t="s">
        <v>14</v>
      </c>
      <c r="F527" s="14" t="s">
        <v>324</v>
      </c>
      <c r="G527" s="179">
        <v>680526</v>
      </c>
      <c r="H527" s="176" t="s">
        <v>996</v>
      </c>
      <c r="I527" s="176" t="s">
        <v>630</v>
      </c>
      <c r="J527" s="176" t="s">
        <v>520</v>
      </c>
      <c r="K527" s="176" t="s">
        <v>2197</v>
      </c>
      <c r="L527" s="40" t="s">
        <v>105</v>
      </c>
      <c r="M527" s="40" t="s">
        <v>341</v>
      </c>
      <c r="N527" s="14" t="s">
        <v>2216</v>
      </c>
      <c r="O527" s="14" t="s">
        <v>527</v>
      </c>
      <c r="P527" s="14" t="s">
        <v>2223</v>
      </c>
      <c r="Q527" s="14" t="s">
        <v>542</v>
      </c>
      <c r="R527" s="17">
        <v>129</v>
      </c>
      <c r="S527" s="172" t="s">
        <v>51</v>
      </c>
      <c r="T527" s="17">
        <v>2055</v>
      </c>
      <c r="U527" s="14" t="s">
        <v>51</v>
      </c>
      <c r="V527" s="16">
        <f t="shared" si="83"/>
        <v>244102</v>
      </c>
      <c r="W527" s="16">
        <f t="shared" si="84"/>
        <v>244109</v>
      </c>
      <c r="X527" s="16">
        <f t="shared" si="85"/>
        <v>244104</v>
      </c>
      <c r="Y527" s="15" t="s">
        <v>54</v>
      </c>
      <c r="Z527" s="177">
        <v>244107</v>
      </c>
      <c r="AA527" s="170"/>
      <c r="AB527" s="170"/>
      <c r="AC527" s="170"/>
      <c r="AD527" s="170"/>
      <c r="AE527" s="15" t="s">
        <v>54</v>
      </c>
      <c r="AF527" s="177">
        <v>244109</v>
      </c>
      <c r="AG527" s="177" t="str">
        <f t="shared" si="78"/>
        <v>Pass</v>
      </c>
      <c r="AH527" s="177">
        <f t="shared" si="79"/>
        <v>244109</v>
      </c>
      <c r="AK527" s="176"/>
      <c r="AL527" s="176"/>
    </row>
    <row r="528" spans="1:38" ht="36" customHeight="1" x14ac:dyDescent="0.2">
      <c r="A528" s="14" t="s">
        <v>20</v>
      </c>
      <c r="B528" s="212">
        <v>244102</v>
      </c>
      <c r="C528" s="14" t="s">
        <v>547</v>
      </c>
      <c r="D528" s="14" t="s">
        <v>268</v>
      </c>
      <c r="E528" s="14" t="s">
        <v>14</v>
      </c>
      <c r="F528" s="14" t="s">
        <v>324</v>
      </c>
      <c r="G528" s="179">
        <v>680527</v>
      </c>
      <c r="H528" s="176" t="s">
        <v>824</v>
      </c>
      <c r="I528" s="176" t="s">
        <v>774</v>
      </c>
      <c r="J528" s="176" t="s">
        <v>776</v>
      </c>
      <c r="K528" s="176" t="s">
        <v>2208</v>
      </c>
      <c r="L528" s="40" t="s">
        <v>46</v>
      </c>
      <c r="M528" s="40" t="s">
        <v>341</v>
      </c>
      <c r="N528" s="14" t="s">
        <v>1738</v>
      </c>
      <c r="O528" s="14" t="s">
        <v>548</v>
      </c>
      <c r="P528" s="14" t="s">
        <v>518</v>
      </c>
      <c r="Q528" s="14" t="s">
        <v>549</v>
      </c>
      <c r="R528" s="17">
        <v>125</v>
      </c>
      <c r="S528" s="172" t="s">
        <v>51</v>
      </c>
      <c r="T528" s="17">
        <v>1730</v>
      </c>
      <c r="U528" s="14" t="s">
        <v>51</v>
      </c>
      <c r="V528" s="16">
        <f t="shared" si="83"/>
        <v>244102</v>
      </c>
      <c r="W528" s="16">
        <f t="shared" si="84"/>
        <v>244109</v>
      </c>
      <c r="X528" s="16">
        <f t="shared" si="85"/>
        <v>244104</v>
      </c>
      <c r="Y528" s="15"/>
      <c r="Z528" s="177"/>
      <c r="AA528" s="170"/>
      <c r="AB528" s="170"/>
      <c r="AC528" s="170"/>
      <c r="AD528" s="170"/>
      <c r="AE528" s="15"/>
      <c r="AF528" s="177"/>
      <c r="AG528" s="177">
        <f t="shared" si="78"/>
        <v>0</v>
      </c>
      <c r="AH528" s="177">
        <f t="shared" si="79"/>
        <v>0</v>
      </c>
      <c r="AK528" s="176"/>
      <c r="AL528" s="176"/>
    </row>
    <row r="529" spans="1:38" ht="36" customHeight="1" x14ac:dyDescent="0.2">
      <c r="A529" s="14" t="s">
        <v>20</v>
      </c>
      <c r="B529" s="212">
        <v>244102</v>
      </c>
      <c r="C529" s="14" t="s">
        <v>547</v>
      </c>
      <c r="D529" s="14" t="s">
        <v>268</v>
      </c>
      <c r="E529" s="14" t="s">
        <v>14</v>
      </c>
      <c r="F529" s="14" t="s">
        <v>324</v>
      </c>
      <c r="G529" s="179">
        <v>680528</v>
      </c>
      <c r="H529" s="176" t="s">
        <v>2207</v>
      </c>
      <c r="I529" s="176" t="s">
        <v>1794</v>
      </c>
      <c r="J529" s="176" t="s">
        <v>130</v>
      </c>
      <c r="K529" s="176" t="s">
        <v>2209</v>
      </c>
      <c r="L529" s="40" t="s">
        <v>45</v>
      </c>
      <c r="M529" s="40" t="s">
        <v>341</v>
      </c>
      <c r="N529" s="14" t="s">
        <v>2217</v>
      </c>
      <c r="O529" s="14" t="s">
        <v>2219</v>
      </c>
      <c r="P529" s="14" t="s">
        <v>2224</v>
      </c>
      <c r="Q529" s="14" t="s">
        <v>2225</v>
      </c>
      <c r="R529" s="17">
        <v>1025</v>
      </c>
      <c r="S529" s="172" t="s">
        <v>51</v>
      </c>
      <c r="T529" s="17" t="s">
        <v>2226</v>
      </c>
      <c r="U529" s="14" t="s">
        <v>51</v>
      </c>
      <c r="V529" s="16">
        <f t="shared" si="83"/>
        <v>244102</v>
      </c>
      <c r="W529" s="16">
        <f t="shared" si="84"/>
        <v>244109</v>
      </c>
      <c r="X529" s="16">
        <f t="shared" si="85"/>
        <v>244104</v>
      </c>
      <c r="Y529" s="15"/>
      <c r="Z529" s="177"/>
      <c r="AA529" s="170"/>
      <c r="AB529" s="170"/>
      <c r="AC529" s="170"/>
      <c r="AD529" s="170"/>
      <c r="AE529" s="15"/>
      <c r="AF529" s="177"/>
      <c r="AG529" s="177">
        <f t="shared" si="78"/>
        <v>0</v>
      </c>
      <c r="AH529" s="177">
        <f t="shared" si="79"/>
        <v>0</v>
      </c>
      <c r="AK529" s="176"/>
      <c r="AL529" s="176"/>
    </row>
    <row r="530" spans="1:38" ht="36" customHeight="1" x14ac:dyDescent="0.2">
      <c r="A530" s="14" t="s">
        <v>20</v>
      </c>
      <c r="B530" s="212">
        <v>244102</v>
      </c>
      <c r="C530" s="14" t="s">
        <v>547</v>
      </c>
      <c r="D530" s="14" t="s">
        <v>268</v>
      </c>
      <c r="E530" s="14" t="s">
        <v>14</v>
      </c>
      <c r="F530" s="14" t="s">
        <v>324</v>
      </c>
      <c r="G530" s="179">
        <v>680529</v>
      </c>
      <c r="H530" s="176" t="s">
        <v>720</v>
      </c>
      <c r="I530" s="176" t="s">
        <v>724</v>
      </c>
      <c r="J530" s="176" t="s">
        <v>707</v>
      </c>
      <c r="K530" s="176" t="s">
        <v>2212</v>
      </c>
      <c r="L530" s="40" t="s">
        <v>108</v>
      </c>
      <c r="M530" s="40" t="s">
        <v>341</v>
      </c>
      <c r="N530" s="14" t="s">
        <v>2218</v>
      </c>
      <c r="O530" s="14" t="s">
        <v>543</v>
      </c>
      <c r="P530" s="14" t="s">
        <v>519</v>
      </c>
      <c r="Q530" s="14" t="s">
        <v>529</v>
      </c>
      <c r="R530" s="17">
        <v>600</v>
      </c>
      <c r="S530" s="172" t="s">
        <v>51</v>
      </c>
      <c r="T530" s="17">
        <v>3291</v>
      </c>
      <c r="U530" s="14" t="s">
        <v>51</v>
      </c>
      <c r="V530" s="16">
        <f t="shared" si="83"/>
        <v>244102</v>
      </c>
      <c r="W530" s="16">
        <f t="shared" si="84"/>
        <v>244109</v>
      </c>
      <c r="X530" s="16">
        <f t="shared" si="85"/>
        <v>244104</v>
      </c>
      <c r="Y530" s="15"/>
      <c r="Z530" s="177"/>
      <c r="AA530" s="170"/>
      <c r="AB530" s="170"/>
      <c r="AC530" s="170"/>
      <c r="AD530" s="170"/>
      <c r="AE530" s="15"/>
      <c r="AF530" s="177"/>
      <c r="AG530" s="177">
        <f t="shared" si="78"/>
        <v>0</v>
      </c>
      <c r="AH530" s="177">
        <f t="shared" si="79"/>
        <v>0</v>
      </c>
      <c r="AK530" s="176"/>
      <c r="AL530" s="176"/>
    </row>
    <row r="531" spans="1:38" ht="36" customHeight="1" x14ac:dyDescent="0.2">
      <c r="A531" s="14" t="s">
        <v>20</v>
      </c>
      <c r="B531" s="212">
        <v>244103</v>
      </c>
      <c r="C531" s="14" t="s">
        <v>547</v>
      </c>
      <c r="D531" s="14" t="s">
        <v>268</v>
      </c>
      <c r="E531" s="14" t="s">
        <v>14</v>
      </c>
      <c r="F531" s="14" t="s">
        <v>324</v>
      </c>
      <c r="G531" s="179">
        <v>680530</v>
      </c>
      <c r="H531" s="176" t="s">
        <v>886</v>
      </c>
      <c r="I531" s="176" t="s">
        <v>630</v>
      </c>
      <c r="J531" s="176" t="s">
        <v>821</v>
      </c>
      <c r="K531" s="176" t="s">
        <v>2198</v>
      </c>
      <c r="L531" s="40" t="s">
        <v>124</v>
      </c>
      <c r="M531" s="40" t="s">
        <v>341</v>
      </c>
      <c r="N531" s="14" t="s">
        <v>2233</v>
      </c>
      <c r="O531" s="14" t="s">
        <v>548</v>
      </c>
      <c r="P531" s="14" t="s">
        <v>518</v>
      </c>
      <c r="Q531" s="14" t="s">
        <v>549</v>
      </c>
      <c r="R531" s="17">
        <v>207</v>
      </c>
      <c r="S531" s="172" t="s">
        <v>51</v>
      </c>
      <c r="T531" s="17">
        <v>2548</v>
      </c>
      <c r="U531" s="14" t="s">
        <v>51</v>
      </c>
      <c r="V531" s="16">
        <f t="shared" si="83"/>
        <v>244103</v>
      </c>
      <c r="W531" s="16">
        <f t="shared" si="84"/>
        <v>244110</v>
      </c>
      <c r="X531" s="16">
        <f t="shared" si="85"/>
        <v>244105</v>
      </c>
      <c r="Y531" s="15"/>
      <c r="Z531" s="177"/>
      <c r="AA531" s="170"/>
      <c r="AB531" s="170"/>
      <c r="AC531" s="170"/>
      <c r="AD531" s="170"/>
      <c r="AE531" s="15"/>
      <c r="AF531" s="177"/>
      <c r="AG531" s="177">
        <f t="shared" si="78"/>
        <v>0</v>
      </c>
      <c r="AH531" s="177">
        <f t="shared" si="79"/>
        <v>0</v>
      </c>
      <c r="AK531" s="176"/>
      <c r="AL531" s="176"/>
    </row>
    <row r="532" spans="1:38" ht="36" customHeight="1" x14ac:dyDescent="0.2">
      <c r="A532" s="14" t="s">
        <v>20</v>
      </c>
      <c r="B532" s="212">
        <v>244103</v>
      </c>
      <c r="C532" s="14" t="s">
        <v>547</v>
      </c>
      <c r="D532" s="14" t="s">
        <v>268</v>
      </c>
      <c r="E532" s="14" t="s">
        <v>14</v>
      </c>
      <c r="F532" s="14" t="s">
        <v>324</v>
      </c>
      <c r="G532" s="179">
        <v>680531</v>
      </c>
      <c r="H532" s="176" t="s">
        <v>723</v>
      </c>
      <c r="I532" s="176" t="s">
        <v>725</v>
      </c>
      <c r="J532" s="176" t="s">
        <v>123</v>
      </c>
      <c r="K532" s="176" t="s">
        <v>2229</v>
      </c>
      <c r="L532" s="40" t="s">
        <v>45</v>
      </c>
      <c r="M532" s="40" t="s">
        <v>341</v>
      </c>
      <c r="N532" s="14" t="s">
        <v>2234</v>
      </c>
      <c r="O532" s="14" t="s">
        <v>548</v>
      </c>
      <c r="P532" s="14" t="s">
        <v>518</v>
      </c>
      <c r="Q532" s="14" t="s">
        <v>549</v>
      </c>
      <c r="R532" s="17">
        <v>131</v>
      </c>
      <c r="S532" s="172" t="s">
        <v>51</v>
      </c>
      <c r="T532" s="17">
        <v>1165</v>
      </c>
      <c r="U532" s="14" t="s">
        <v>51</v>
      </c>
      <c r="V532" s="16">
        <f t="shared" si="83"/>
        <v>244103</v>
      </c>
      <c r="W532" s="16">
        <f t="shared" si="84"/>
        <v>244110</v>
      </c>
      <c r="X532" s="16">
        <f t="shared" si="85"/>
        <v>244105</v>
      </c>
      <c r="Y532" s="15"/>
      <c r="Z532" s="177"/>
      <c r="AA532" s="170"/>
      <c r="AB532" s="170"/>
      <c r="AC532" s="170"/>
      <c r="AD532" s="170"/>
      <c r="AE532" s="15"/>
      <c r="AF532" s="177"/>
      <c r="AG532" s="177">
        <f t="shared" si="78"/>
        <v>0</v>
      </c>
      <c r="AH532" s="177">
        <f t="shared" si="79"/>
        <v>0</v>
      </c>
      <c r="AK532" s="176"/>
      <c r="AL532" s="176"/>
    </row>
    <row r="533" spans="1:38" ht="36" customHeight="1" x14ac:dyDescent="0.2">
      <c r="A533" s="14" t="s">
        <v>20</v>
      </c>
      <c r="B533" s="212">
        <v>244103</v>
      </c>
      <c r="C533" s="14" t="s">
        <v>547</v>
      </c>
      <c r="D533" s="14" t="s">
        <v>268</v>
      </c>
      <c r="E533" s="14" t="s">
        <v>14</v>
      </c>
      <c r="F533" s="14" t="s">
        <v>324</v>
      </c>
      <c r="G533" s="179">
        <v>680532</v>
      </c>
      <c r="H533" s="176" t="s">
        <v>663</v>
      </c>
      <c r="I533" s="176" t="s">
        <v>630</v>
      </c>
      <c r="J533" s="176" t="s">
        <v>821</v>
      </c>
      <c r="K533" s="176" t="s">
        <v>2232</v>
      </c>
      <c r="L533" s="40" t="s">
        <v>124</v>
      </c>
      <c r="M533" s="40" t="s">
        <v>341</v>
      </c>
      <c r="N533" s="14" t="s">
        <v>2235</v>
      </c>
      <c r="O533" s="14" t="s">
        <v>2238</v>
      </c>
      <c r="P533" s="14" t="s">
        <v>2239</v>
      </c>
      <c r="Q533" s="14" t="s">
        <v>2241</v>
      </c>
      <c r="R533" s="17">
        <v>200</v>
      </c>
      <c r="S533" s="172" t="s">
        <v>51</v>
      </c>
      <c r="T533" s="17">
        <v>2679</v>
      </c>
      <c r="U533" s="14" t="s">
        <v>51</v>
      </c>
      <c r="V533" s="16">
        <f t="shared" si="83"/>
        <v>244103</v>
      </c>
      <c r="W533" s="16">
        <f t="shared" si="84"/>
        <v>244110</v>
      </c>
      <c r="X533" s="16">
        <f t="shared" si="85"/>
        <v>244105</v>
      </c>
      <c r="Y533" s="15"/>
      <c r="Z533" s="177"/>
      <c r="AA533" s="170"/>
      <c r="AB533" s="170"/>
      <c r="AC533" s="170"/>
      <c r="AD533" s="170"/>
      <c r="AE533" s="15"/>
      <c r="AF533" s="177"/>
      <c r="AG533" s="177">
        <f t="shared" si="78"/>
        <v>0</v>
      </c>
      <c r="AH533" s="177">
        <f t="shared" si="79"/>
        <v>0</v>
      </c>
      <c r="AK533" s="176"/>
      <c r="AL533" s="176"/>
    </row>
    <row r="534" spans="1:38" ht="36" customHeight="1" x14ac:dyDescent="0.2">
      <c r="A534" s="14" t="s">
        <v>20</v>
      </c>
      <c r="B534" s="212">
        <v>244103</v>
      </c>
      <c r="C534" s="14" t="s">
        <v>547</v>
      </c>
      <c r="D534" s="14" t="s">
        <v>268</v>
      </c>
      <c r="E534" s="14" t="s">
        <v>14</v>
      </c>
      <c r="F534" s="14" t="s">
        <v>324</v>
      </c>
      <c r="G534" s="179">
        <v>680533</v>
      </c>
      <c r="H534" s="176" t="s">
        <v>2227</v>
      </c>
      <c r="I534" s="176" t="s">
        <v>664</v>
      </c>
      <c r="J534" s="176" t="s">
        <v>123</v>
      </c>
      <c r="K534" s="176" t="s">
        <v>2231</v>
      </c>
      <c r="L534" s="40" t="s">
        <v>45</v>
      </c>
      <c r="M534" s="40" t="s">
        <v>341</v>
      </c>
      <c r="N534" s="14" t="s">
        <v>2236</v>
      </c>
      <c r="O534" s="14" t="s">
        <v>548</v>
      </c>
      <c r="P534" s="14" t="s">
        <v>518</v>
      </c>
      <c r="Q534" s="14" t="s">
        <v>549</v>
      </c>
      <c r="R534" s="17">
        <v>275</v>
      </c>
      <c r="S534" s="172" t="s">
        <v>51</v>
      </c>
      <c r="T534" s="17">
        <v>1900</v>
      </c>
      <c r="U534" s="14" t="s">
        <v>51</v>
      </c>
      <c r="V534" s="16">
        <f t="shared" si="83"/>
        <v>244103</v>
      </c>
      <c r="W534" s="16">
        <f t="shared" si="84"/>
        <v>244110</v>
      </c>
      <c r="X534" s="16">
        <f t="shared" si="85"/>
        <v>244105</v>
      </c>
      <c r="Y534" s="15"/>
      <c r="Z534" s="177"/>
      <c r="AA534" s="170"/>
      <c r="AB534" s="170"/>
      <c r="AC534" s="170"/>
      <c r="AD534" s="170"/>
      <c r="AE534" s="15"/>
      <c r="AF534" s="177"/>
      <c r="AG534" s="177">
        <f t="shared" si="78"/>
        <v>0</v>
      </c>
      <c r="AH534" s="177">
        <f t="shared" si="79"/>
        <v>0</v>
      </c>
      <c r="AK534" s="176"/>
      <c r="AL534" s="176"/>
    </row>
    <row r="535" spans="1:38" ht="36" customHeight="1" x14ac:dyDescent="0.2">
      <c r="A535" s="14" t="s">
        <v>20</v>
      </c>
      <c r="B535" s="212">
        <v>244103</v>
      </c>
      <c r="C535" s="14" t="s">
        <v>547</v>
      </c>
      <c r="D535" s="14" t="s">
        <v>268</v>
      </c>
      <c r="E535" s="14" t="s">
        <v>14</v>
      </c>
      <c r="F535" s="14" t="s">
        <v>324</v>
      </c>
      <c r="G535" s="179">
        <v>680534</v>
      </c>
      <c r="H535" s="176" t="s">
        <v>663</v>
      </c>
      <c r="I535" s="176" t="s">
        <v>630</v>
      </c>
      <c r="J535" s="176" t="s">
        <v>821</v>
      </c>
      <c r="K535" s="176" t="s">
        <v>2232</v>
      </c>
      <c r="L535" s="40" t="s">
        <v>124</v>
      </c>
      <c r="M535" s="40" t="s">
        <v>341</v>
      </c>
      <c r="N535" s="14" t="s">
        <v>765</v>
      </c>
      <c r="O535" s="14" t="s">
        <v>548</v>
      </c>
      <c r="P535" s="14" t="s">
        <v>518</v>
      </c>
      <c r="Q535" s="14" t="s">
        <v>549</v>
      </c>
      <c r="R535" s="17">
        <v>200</v>
      </c>
      <c r="S535" s="172" t="s">
        <v>51</v>
      </c>
      <c r="T535" s="17">
        <v>2679</v>
      </c>
      <c r="U535" s="14" t="s">
        <v>51</v>
      </c>
      <c r="V535" s="16">
        <f t="shared" si="83"/>
        <v>244103</v>
      </c>
      <c r="W535" s="16">
        <f t="shared" si="84"/>
        <v>244110</v>
      </c>
      <c r="X535" s="16">
        <f t="shared" si="85"/>
        <v>244105</v>
      </c>
      <c r="Y535" s="15"/>
      <c r="Z535" s="177"/>
      <c r="AA535" s="170"/>
      <c r="AB535" s="170"/>
      <c r="AC535" s="170"/>
      <c r="AD535" s="170"/>
      <c r="AE535" s="15"/>
      <c r="AF535" s="177"/>
      <c r="AG535" s="177">
        <f t="shared" si="78"/>
        <v>0</v>
      </c>
      <c r="AH535" s="177">
        <f t="shared" si="79"/>
        <v>0</v>
      </c>
      <c r="AK535" s="176"/>
      <c r="AL535" s="176"/>
    </row>
    <row r="536" spans="1:38" ht="36" customHeight="1" x14ac:dyDescent="0.2">
      <c r="A536" s="14" t="s">
        <v>20</v>
      </c>
      <c r="B536" s="212">
        <v>244103</v>
      </c>
      <c r="C536" s="14" t="s">
        <v>547</v>
      </c>
      <c r="D536" s="14" t="s">
        <v>268</v>
      </c>
      <c r="E536" s="14" t="s">
        <v>14</v>
      </c>
      <c r="F536" s="14" t="s">
        <v>324</v>
      </c>
      <c r="G536" s="179">
        <v>680535</v>
      </c>
      <c r="H536" s="176" t="s">
        <v>2228</v>
      </c>
      <c r="I536" s="176" t="s">
        <v>550</v>
      </c>
      <c r="J536" s="176" t="s">
        <v>128</v>
      </c>
      <c r="K536" s="176" t="s">
        <v>2230</v>
      </c>
      <c r="L536" s="40" t="s">
        <v>106</v>
      </c>
      <c r="M536" s="40" t="s">
        <v>341</v>
      </c>
      <c r="N536" s="14" t="s">
        <v>2237</v>
      </c>
      <c r="O536" s="14" t="s">
        <v>543</v>
      </c>
      <c r="P536" s="14" t="s">
        <v>2240</v>
      </c>
      <c r="Q536" s="14" t="s">
        <v>529</v>
      </c>
      <c r="R536" s="17">
        <v>300</v>
      </c>
      <c r="S536" s="172" t="s">
        <v>51</v>
      </c>
      <c r="T536" s="17">
        <v>2490</v>
      </c>
      <c r="U536" s="14" t="s">
        <v>51</v>
      </c>
      <c r="V536" s="16">
        <f t="shared" si="83"/>
        <v>244103</v>
      </c>
      <c r="W536" s="16">
        <f t="shared" si="84"/>
        <v>244110</v>
      </c>
      <c r="X536" s="16">
        <f t="shared" si="85"/>
        <v>244105</v>
      </c>
      <c r="Y536" s="15"/>
      <c r="Z536" s="177"/>
      <c r="AA536" s="170"/>
      <c r="AB536" s="170"/>
      <c r="AC536" s="170"/>
      <c r="AD536" s="170"/>
      <c r="AE536" s="15"/>
      <c r="AF536" s="177"/>
      <c r="AG536" s="177">
        <f t="shared" si="78"/>
        <v>0</v>
      </c>
      <c r="AH536" s="177">
        <f t="shared" si="79"/>
        <v>0</v>
      </c>
      <c r="AK536" s="176"/>
      <c r="AL536" s="176"/>
    </row>
    <row r="537" spans="1:38" ht="36" customHeight="1" x14ac:dyDescent="0.2">
      <c r="A537" s="14" t="s">
        <v>20</v>
      </c>
      <c r="B537" s="212">
        <v>244104</v>
      </c>
      <c r="C537" s="14" t="s">
        <v>547</v>
      </c>
      <c r="D537" s="14" t="s">
        <v>268</v>
      </c>
      <c r="E537" s="14" t="s">
        <v>14</v>
      </c>
      <c r="F537" s="14" t="s">
        <v>324</v>
      </c>
      <c r="G537" s="179">
        <v>680536</v>
      </c>
      <c r="H537" s="176" t="s">
        <v>2242</v>
      </c>
      <c r="I537" s="176" t="s">
        <v>664</v>
      </c>
      <c r="J537" s="176" t="s">
        <v>123</v>
      </c>
      <c r="K537" s="176" t="s">
        <v>2243</v>
      </c>
      <c r="L537" s="40" t="s">
        <v>45</v>
      </c>
      <c r="M537" s="40" t="s">
        <v>341</v>
      </c>
      <c r="N537" s="14" t="s">
        <v>2246</v>
      </c>
      <c r="O537" s="14" t="s">
        <v>528</v>
      </c>
      <c r="P537" s="14" t="s">
        <v>715</v>
      </c>
      <c r="Q537" s="14" t="s">
        <v>541</v>
      </c>
      <c r="R537" s="17">
        <v>500</v>
      </c>
      <c r="S537" s="172" t="s">
        <v>51</v>
      </c>
      <c r="T537" s="17">
        <v>1890</v>
      </c>
      <c r="U537" s="14" t="s">
        <v>51</v>
      </c>
      <c r="V537" s="16">
        <f t="shared" si="83"/>
        <v>244104</v>
      </c>
      <c r="W537" s="16">
        <f t="shared" si="84"/>
        <v>244111</v>
      </c>
      <c r="X537" s="16">
        <f t="shared" si="85"/>
        <v>244106</v>
      </c>
      <c r="Y537" s="15"/>
      <c r="Z537" s="177"/>
      <c r="AA537" s="170"/>
      <c r="AB537" s="170"/>
      <c r="AC537" s="170"/>
      <c r="AD537" s="170"/>
      <c r="AE537" s="15"/>
      <c r="AF537" s="177"/>
      <c r="AG537" s="177">
        <f t="shared" si="78"/>
        <v>0</v>
      </c>
      <c r="AH537" s="177">
        <f t="shared" si="79"/>
        <v>0</v>
      </c>
      <c r="AK537" s="176"/>
      <c r="AL537" s="176"/>
    </row>
    <row r="538" spans="1:38" ht="36" customHeight="1" x14ac:dyDescent="0.2">
      <c r="A538" s="14" t="s">
        <v>20</v>
      </c>
      <c r="B538" s="212">
        <v>244104</v>
      </c>
      <c r="C538" s="14" t="s">
        <v>547</v>
      </c>
      <c r="D538" s="14" t="s">
        <v>268</v>
      </c>
      <c r="E538" s="14" t="s">
        <v>14</v>
      </c>
      <c r="F538" s="14" t="s">
        <v>324</v>
      </c>
      <c r="G538" s="179">
        <v>680537</v>
      </c>
      <c r="H538" s="176" t="s">
        <v>626</v>
      </c>
      <c r="I538" s="176" t="s">
        <v>630</v>
      </c>
      <c r="J538" s="176" t="s">
        <v>520</v>
      </c>
      <c r="K538" s="176" t="s">
        <v>2244</v>
      </c>
      <c r="L538" s="40" t="s">
        <v>105</v>
      </c>
      <c r="M538" s="40" t="s">
        <v>341</v>
      </c>
      <c r="N538" s="14" t="s">
        <v>2247</v>
      </c>
      <c r="O538" s="14" t="s">
        <v>552</v>
      </c>
      <c r="P538" s="14" t="s">
        <v>2254</v>
      </c>
      <c r="Q538" s="14" t="s">
        <v>553</v>
      </c>
      <c r="R538" s="17">
        <v>340</v>
      </c>
      <c r="S538" s="172" t="s">
        <v>51</v>
      </c>
      <c r="T538" s="17">
        <v>1975</v>
      </c>
      <c r="U538" s="14" t="s">
        <v>51</v>
      </c>
      <c r="V538" s="16">
        <f t="shared" si="83"/>
        <v>244104</v>
      </c>
      <c r="W538" s="16">
        <f t="shared" si="84"/>
        <v>244111</v>
      </c>
      <c r="X538" s="16">
        <f t="shared" si="85"/>
        <v>244106</v>
      </c>
      <c r="Y538" s="15" t="s">
        <v>54</v>
      </c>
      <c r="Z538" s="177">
        <v>244107</v>
      </c>
      <c r="AA538" s="170"/>
      <c r="AB538" s="170"/>
      <c r="AC538" s="170"/>
      <c r="AD538" s="170"/>
      <c r="AE538" s="15" t="s">
        <v>54</v>
      </c>
      <c r="AF538" s="177">
        <v>244109</v>
      </c>
      <c r="AG538" s="177" t="str">
        <f t="shared" si="78"/>
        <v>Pass</v>
      </c>
      <c r="AH538" s="177">
        <f t="shared" si="79"/>
        <v>244109</v>
      </c>
      <c r="AK538" s="176"/>
      <c r="AL538" s="176"/>
    </row>
    <row r="539" spans="1:38" ht="36" customHeight="1" x14ac:dyDescent="0.2">
      <c r="A539" s="14" t="s">
        <v>20</v>
      </c>
      <c r="B539" s="212">
        <v>244104</v>
      </c>
      <c r="C539" s="14" t="s">
        <v>547</v>
      </c>
      <c r="D539" s="14" t="s">
        <v>268</v>
      </c>
      <c r="E539" s="14" t="s">
        <v>14</v>
      </c>
      <c r="F539" s="14" t="s">
        <v>324</v>
      </c>
      <c r="G539" s="179">
        <v>680538</v>
      </c>
      <c r="H539" s="176" t="s">
        <v>663</v>
      </c>
      <c r="I539" s="176" t="s">
        <v>630</v>
      </c>
      <c r="J539" s="176" t="s">
        <v>821</v>
      </c>
      <c r="K539" s="176" t="s">
        <v>2232</v>
      </c>
      <c r="L539" s="40" t="s">
        <v>124</v>
      </c>
      <c r="M539" s="40" t="s">
        <v>341</v>
      </c>
      <c r="N539" s="14" t="s">
        <v>2248</v>
      </c>
      <c r="O539" s="14" t="s">
        <v>548</v>
      </c>
      <c r="P539" s="14" t="s">
        <v>518</v>
      </c>
      <c r="Q539" s="14" t="s">
        <v>549</v>
      </c>
      <c r="R539" s="17">
        <v>177</v>
      </c>
      <c r="S539" s="172" t="s">
        <v>51</v>
      </c>
      <c r="T539" s="17">
        <v>2568</v>
      </c>
      <c r="U539" s="14" t="s">
        <v>51</v>
      </c>
      <c r="V539" s="16">
        <f t="shared" si="83"/>
        <v>244104</v>
      </c>
      <c r="W539" s="16">
        <f t="shared" si="84"/>
        <v>244111</v>
      </c>
      <c r="X539" s="16">
        <f t="shared" si="85"/>
        <v>244106</v>
      </c>
      <c r="Y539" s="15"/>
      <c r="Z539" s="177"/>
      <c r="AA539" s="170"/>
      <c r="AB539" s="170"/>
      <c r="AC539" s="170"/>
      <c r="AD539" s="170"/>
      <c r="AE539" s="15"/>
      <c r="AF539" s="177"/>
      <c r="AG539" s="177">
        <f t="shared" si="78"/>
        <v>0</v>
      </c>
      <c r="AH539" s="177">
        <f t="shared" si="79"/>
        <v>0</v>
      </c>
      <c r="AK539" s="176"/>
      <c r="AL539" s="176"/>
    </row>
    <row r="540" spans="1:38" ht="36" customHeight="1" x14ac:dyDescent="0.2">
      <c r="A540" s="14" t="s">
        <v>20</v>
      </c>
      <c r="B540" s="212">
        <v>244104</v>
      </c>
      <c r="C540" s="14" t="s">
        <v>547</v>
      </c>
      <c r="D540" s="14" t="s">
        <v>268</v>
      </c>
      <c r="E540" s="14" t="s">
        <v>14</v>
      </c>
      <c r="F540" s="14" t="s">
        <v>324</v>
      </c>
      <c r="G540" s="179">
        <v>680539</v>
      </c>
      <c r="H540" s="176" t="s">
        <v>626</v>
      </c>
      <c r="I540" s="176" t="s">
        <v>630</v>
      </c>
      <c r="J540" s="176" t="s">
        <v>520</v>
      </c>
      <c r="K540" s="176" t="s">
        <v>2244</v>
      </c>
      <c r="L540" s="40" t="s">
        <v>105</v>
      </c>
      <c r="M540" s="40" t="s">
        <v>341</v>
      </c>
      <c r="N540" s="14" t="s">
        <v>2249</v>
      </c>
      <c r="O540" s="14" t="s">
        <v>2252</v>
      </c>
      <c r="P540" s="14" t="s">
        <v>2255</v>
      </c>
      <c r="Q540" s="14" t="s">
        <v>2257</v>
      </c>
      <c r="R540" s="17">
        <v>266</v>
      </c>
      <c r="S540" s="172" t="s">
        <v>51</v>
      </c>
      <c r="T540" s="17">
        <v>2046</v>
      </c>
      <c r="U540" s="14" t="s">
        <v>51</v>
      </c>
      <c r="V540" s="16">
        <f t="shared" si="83"/>
        <v>244104</v>
      </c>
      <c r="W540" s="16">
        <f t="shared" si="84"/>
        <v>244111</v>
      </c>
      <c r="X540" s="16">
        <f t="shared" si="85"/>
        <v>244106</v>
      </c>
      <c r="Y540" s="15" t="s">
        <v>54</v>
      </c>
      <c r="Z540" s="177">
        <v>244107</v>
      </c>
      <c r="AA540" s="170"/>
      <c r="AB540" s="170"/>
      <c r="AC540" s="170"/>
      <c r="AD540" s="170"/>
      <c r="AE540" s="15" t="s">
        <v>54</v>
      </c>
      <c r="AF540" s="177">
        <v>244109</v>
      </c>
      <c r="AG540" s="177" t="str">
        <f t="shared" si="78"/>
        <v>Pass</v>
      </c>
      <c r="AH540" s="177">
        <f t="shared" si="79"/>
        <v>244109</v>
      </c>
      <c r="AK540" s="176"/>
      <c r="AL540" s="176"/>
    </row>
    <row r="541" spans="1:38" ht="36" customHeight="1" x14ac:dyDescent="0.2">
      <c r="A541" s="14" t="s">
        <v>20</v>
      </c>
      <c r="B541" s="212">
        <v>244104</v>
      </c>
      <c r="C541" s="14" t="s">
        <v>547</v>
      </c>
      <c r="D541" s="14" t="s">
        <v>268</v>
      </c>
      <c r="E541" s="14" t="s">
        <v>14</v>
      </c>
      <c r="F541" s="14" t="s">
        <v>324</v>
      </c>
      <c r="G541" s="179">
        <v>680540</v>
      </c>
      <c r="H541" s="176" t="s">
        <v>626</v>
      </c>
      <c r="I541" s="176" t="s">
        <v>630</v>
      </c>
      <c r="J541" s="176" t="s">
        <v>520</v>
      </c>
      <c r="K541" s="176" t="s">
        <v>2244</v>
      </c>
      <c r="L541" s="40" t="s">
        <v>105</v>
      </c>
      <c r="M541" s="40" t="s">
        <v>341</v>
      </c>
      <c r="N541" s="14" t="s">
        <v>2250</v>
      </c>
      <c r="O541" s="14" t="s">
        <v>693</v>
      </c>
      <c r="P541" s="14" t="s">
        <v>860</v>
      </c>
      <c r="Q541" s="14" t="s">
        <v>696</v>
      </c>
      <c r="R541" s="17">
        <v>1248</v>
      </c>
      <c r="S541" s="172" t="s">
        <v>51</v>
      </c>
      <c r="T541" s="17">
        <v>2040</v>
      </c>
      <c r="U541" s="14" t="s">
        <v>51</v>
      </c>
      <c r="V541" s="16">
        <f t="shared" si="83"/>
        <v>244104</v>
      </c>
      <c r="W541" s="16">
        <f t="shared" si="84"/>
        <v>244111</v>
      </c>
      <c r="X541" s="16">
        <f t="shared" si="85"/>
        <v>244106</v>
      </c>
      <c r="Y541" s="15" t="s">
        <v>54</v>
      </c>
      <c r="Z541" s="177">
        <v>244107</v>
      </c>
      <c r="AA541" s="170"/>
      <c r="AB541" s="170"/>
      <c r="AC541" s="170"/>
      <c r="AD541" s="170"/>
      <c r="AE541" s="15" t="s">
        <v>54</v>
      </c>
      <c r="AF541" s="177">
        <v>244109</v>
      </c>
      <c r="AG541" s="177" t="str">
        <f t="shared" si="78"/>
        <v>Pass</v>
      </c>
      <c r="AH541" s="177">
        <f t="shared" si="79"/>
        <v>244109</v>
      </c>
      <c r="AK541" s="176"/>
      <c r="AL541" s="176"/>
    </row>
    <row r="542" spans="1:38" ht="36" customHeight="1" x14ac:dyDescent="0.2">
      <c r="A542" s="14" t="s">
        <v>20</v>
      </c>
      <c r="B542" s="212">
        <v>244104</v>
      </c>
      <c r="C542" s="14" t="s">
        <v>547</v>
      </c>
      <c r="D542" s="14" t="s">
        <v>268</v>
      </c>
      <c r="E542" s="14" t="s">
        <v>14</v>
      </c>
      <c r="F542" s="14" t="s">
        <v>324</v>
      </c>
      <c r="G542" s="179">
        <v>680541</v>
      </c>
      <c r="H542" s="176" t="s">
        <v>626</v>
      </c>
      <c r="I542" s="176" t="s">
        <v>630</v>
      </c>
      <c r="J542" s="176" t="s">
        <v>520</v>
      </c>
      <c r="K542" s="176" t="s">
        <v>2244</v>
      </c>
      <c r="L542" s="40" t="s">
        <v>105</v>
      </c>
      <c r="M542" s="40" t="s">
        <v>341</v>
      </c>
      <c r="N542" s="14" t="s">
        <v>2251</v>
      </c>
      <c r="O542" s="14" t="s">
        <v>2253</v>
      </c>
      <c r="P542" s="14" t="s">
        <v>2256</v>
      </c>
      <c r="Q542" s="14" t="s">
        <v>2258</v>
      </c>
      <c r="R542" s="17">
        <v>820</v>
      </c>
      <c r="S542" s="172" t="s">
        <v>51</v>
      </c>
      <c r="T542" s="17">
        <v>2060</v>
      </c>
      <c r="U542" s="14" t="s">
        <v>51</v>
      </c>
      <c r="V542" s="16">
        <f t="shared" si="83"/>
        <v>244104</v>
      </c>
      <c r="W542" s="16">
        <f t="shared" si="84"/>
        <v>244111</v>
      </c>
      <c r="X542" s="16">
        <f t="shared" si="85"/>
        <v>244106</v>
      </c>
      <c r="Y542" s="15" t="s">
        <v>54</v>
      </c>
      <c r="Z542" s="177">
        <v>244107</v>
      </c>
      <c r="AA542" s="170"/>
      <c r="AB542" s="170"/>
      <c r="AC542" s="170"/>
      <c r="AD542" s="170"/>
      <c r="AE542" s="15" t="s">
        <v>54</v>
      </c>
      <c r="AF542" s="177">
        <v>244109</v>
      </c>
      <c r="AG542" s="177" t="str">
        <f t="shared" si="78"/>
        <v>Pass</v>
      </c>
      <c r="AH542" s="177">
        <f t="shared" si="79"/>
        <v>244109</v>
      </c>
      <c r="AK542" s="176"/>
      <c r="AL542" s="176"/>
    </row>
    <row r="543" spans="1:38" ht="36" customHeight="1" x14ac:dyDescent="0.2">
      <c r="A543" s="14" t="s">
        <v>20</v>
      </c>
      <c r="B543" s="212">
        <v>244104</v>
      </c>
      <c r="C543" s="14" t="s">
        <v>547</v>
      </c>
      <c r="D543" s="14" t="s">
        <v>268</v>
      </c>
      <c r="E543" s="14" t="s">
        <v>14</v>
      </c>
      <c r="F543" s="14" t="s">
        <v>324</v>
      </c>
      <c r="G543" s="179">
        <v>680542</v>
      </c>
      <c r="H543" s="176" t="s">
        <v>1712</v>
      </c>
      <c r="I543" s="176" t="s">
        <v>664</v>
      </c>
      <c r="J543" s="176" t="s">
        <v>123</v>
      </c>
      <c r="K543" s="176" t="s">
        <v>2245</v>
      </c>
      <c r="L543" s="40" t="s">
        <v>45</v>
      </c>
      <c r="M543" s="40" t="s">
        <v>341</v>
      </c>
      <c r="N543" s="14" t="s">
        <v>2186</v>
      </c>
      <c r="O543" s="14" t="s">
        <v>552</v>
      </c>
      <c r="P543" s="14" t="s">
        <v>793</v>
      </c>
      <c r="Q543" s="14" t="s">
        <v>553</v>
      </c>
      <c r="R543" s="17">
        <v>425</v>
      </c>
      <c r="S543" s="172" t="s">
        <v>51</v>
      </c>
      <c r="T543" s="17">
        <v>1601</v>
      </c>
      <c r="U543" s="14" t="s">
        <v>51</v>
      </c>
      <c r="V543" s="16">
        <f t="shared" si="83"/>
        <v>244104</v>
      </c>
      <c r="W543" s="16">
        <f t="shared" si="84"/>
        <v>244111</v>
      </c>
      <c r="X543" s="16">
        <f t="shared" si="85"/>
        <v>244106</v>
      </c>
      <c r="Y543" s="15"/>
      <c r="Z543" s="177"/>
      <c r="AA543" s="170"/>
      <c r="AB543" s="170"/>
      <c r="AC543" s="170"/>
      <c r="AD543" s="170"/>
      <c r="AE543" s="15"/>
      <c r="AF543" s="177"/>
      <c r="AG543" s="177">
        <f t="shared" si="78"/>
        <v>0</v>
      </c>
      <c r="AH543" s="177">
        <f t="shared" si="79"/>
        <v>0</v>
      </c>
      <c r="AK543" s="176"/>
      <c r="AL543" s="176"/>
    </row>
    <row r="544" spans="1:38" ht="36" customHeight="1" x14ac:dyDescent="0.2">
      <c r="A544" s="14" t="s">
        <v>21</v>
      </c>
      <c r="B544" s="212">
        <v>244106</v>
      </c>
      <c r="C544" s="14" t="s">
        <v>547</v>
      </c>
      <c r="D544" s="14" t="s">
        <v>268</v>
      </c>
      <c r="E544" s="14" t="s">
        <v>14</v>
      </c>
      <c r="F544" s="14" t="s">
        <v>324</v>
      </c>
      <c r="G544" s="179">
        <v>680543</v>
      </c>
      <c r="H544" s="176" t="s">
        <v>663</v>
      </c>
      <c r="I544" s="176" t="s">
        <v>630</v>
      </c>
      <c r="J544" s="176" t="s">
        <v>821</v>
      </c>
      <c r="K544" s="176" t="s">
        <v>2232</v>
      </c>
      <c r="L544" s="40" t="s">
        <v>124</v>
      </c>
      <c r="M544" s="40" t="s">
        <v>341</v>
      </c>
      <c r="N544" s="14" t="s">
        <v>2265</v>
      </c>
      <c r="O544" s="14" t="s">
        <v>543</v>
      </c>
      <c r="P544" s="14" t="s">
        <v>517</v>
      </c>
      <c r="Q544" s="14" t="s">
        <v>529</v>
      </c>
      <c r="R544" s="17">
        <v>600</v>
      </c>
      <c r="S544" s="172" t="s">
        <v>51</v>
      </c>
      <c r="T544" s="17">
        <v>2700</v>
      </c>
      <c r="U544" s="14" t="s">
        <v>51</v>
      </c>
      <c r="V544" s="16">
        <f t="shared" si="83"/>
        <v>244106</v>
      </c>
      <c r="W544" s="16">
        <f t="shared" si="84"/>
        <v>244113</v>
      </c>
      <c r="X544" s="16">
        <f t="shared" si="85"/>
        <v>244108</v>
      </c>
      <c r="Y544" s="15"/>
      <c r="Z544" s="177"/>
      <c r="AA544" s="170"/>
      <c r="AB544" s="170"/>
      <c r="AC544" s="170"/>
      <c r="AD544" s="170"/>
      <c r="AE544" s="15"/>
      <c r="AF544" s="177"/>
      <c r="AG544" s="177">
        <f t="shared" ref="AG544:AG607" si="86">AE544</f>
        <v>0</v>
      </c>
      <c r="AH544" s="177">
        <f t="shared" ref="AH544:AH607" si="87">AF544</f>
        <v>0</v>
      </c>
      <c r="AK544" s="176"/>
      <c r="AL544" s="176"/>
    </row>
    <row r="545" spans="1:38" ht="36" customHeight="1" x14ac:dyDescent="0.2">
      <c r="A545" s="14" t="s">
        <v>21</v>
      </c>
      <c r="B545" s="212">
        <v>244106</v>
      </c>
      <c r="C545" s="14" t="s">
        <v>547</v>
      </c>
      <c r="D545" s="14" t="s">
        <v>268</v>
      </c>
      <c r="E545" s="14" t="s">
        <v>14</v>
      </c>
      <c r="F545" s="14" t="s">
        <v>324</v>
      </c>
      <c r="G545" s="179">
        <v>680544</v>
      </c>
      <c r="H545" s="176" t="s">
        <v>1663</v>
      </c>
      <c r="I545" s="176" t="s">
        <v>550</v>
      </c>
      <c r="J545" s="176" t="s">
        <v>128</v>
      </c>
      <c r="K545" s="176" t="s">
        <v>2262</v>
      </c>
      <c r="L545" s="40" t="s">
        <v>106</v>
      </c>
      <c r="M545" s="40" t="s">
        <v>341</v>
      </c>
      <c r="N545" s="14" t="s">
        <v>2266</v>
      </c>
      <c r="O545" s="14" t="s">
        <v>543</v>
      </c>
      <c r="P545" s="14" t="s">
        <v>2270</v>
      </c>
      <c r="Q545" s="14" t="s">
        <v>529</v>
      </c>
      <c r="R545" s="17">
        <v>300</v>
      </c>
      <c r="S545" s="172" t="s">
        <v>51</v>
      </c>
      <c r="T545" s="17"/>
      <c r="U545" s="14"/>
      <c r="V545" s="16">
        <f t="shared" si="83"/>
        <v>244106</v>
      </c>
      <c r="W545" s="16">
        <f t="shared" si="84"/>
        <v>244113</v>
      </c>
      <c r="X545" s="16">
        <f t="shared" si="85"/>
        <v>244108</v>
      </c>
      <c r="Y545" s="15"/>
      <c r="Z545" s="177"/>
      <c r="AA545" s="170"/>
      <c r="AB545" s="170"/>
      <c r="AC545" s="170"/>
      <c r="AD545" s="170"/>
      <c r="AE545" s="15"/>
      <c r="AF545" s="177"/>
      <c r="AG545" s="177">
        <f t="shared" si="86"/>
        <v>0</v>
      </c>
      <c r="AH545" s="177">
        <f t="shared" si="87"/>
        <v>0</v>
      </c>
      <c r="AK545" s="176"/>
      <c r="AL545" s="176"/>
    </row>
    <row r="546" spans="1:38" ht="36" customHeight="1" x14ac:dyDescent="0.2">
      <c r="A546" s="14" t="s">
        <v>21</v>
      </c>
      <c r="B546" s="212">
        <v>244106</v>
      </c>
      <c r="C546" s="14" t="s">
        <v>547</v>
      </c>
      <c r="D546" s="14" t="s">
        <v>268</v>
      </c>
      <c r="E546" s="14" t="s">
        <v>14</v>
      </c>
      <c r="F546" s="14" t="s">
        <v>324</v>
      </c>
      <c r="G546" s="179">
        <v>680545</v>
      </c>
      <c r="H546" s="176" t="s">
        <v>626</v>
      </c>
      <c r="I546" s="176" t="s">
        <v>630</v>
      </c>
      <c r="J546" s="176" t="s">
        <v>520</v>
      </c>
      <c r="K546" s="176" t="s">
        <v>2244</v>
      </c>
      <c r="L546" s="40" t="s">
        <v>105</v>
      </c>
      <c r="M546" s="40" t="s">
        <v>341</v>
      </c>
      <c r="N546" s="14" t="s">
        <v>2267</v>
      </c>
      <c r="O546" s="14" t="s">
        <v>1772</v>
      </c>
      <c r="P546" s="14" t="s">
        <v>1709</v>
      </c>
      <c r="Q546" s="14" t="s">
        <v>1775</v>
      </c>
      <c r="R546" s="17">
        <v>302</v>
      </c>
      <c r="S546" s="172" t="s">
        <v>51</v>
      </c>
      <c r="T546" s="17">
        <v>2040</v>
      </c>
      <c r="U546" s="14" t="s">
        <v>51</v>
      </c>
      <c r="V546" s="16">
        <f t="shared" si="83"/>
        <v>244106</v>
      </c>
      <c r="W546" s="16">
        <f t="shared" si="84"/>
        <v>244113</v>
      </c>
      <c r="X546" s="16">
        <f t="shared" si="85"/>
        <v>244108</v>
      </c>
      <c r="Y546" s="15" t="s">
        <v>54</v>
      </c>
      <c r="Z546" s="177">
        <v>244110</v>
      </c>
      <c r="AA546" s="170"/>
      <c r="AB546" s="170"/>
      <c r="AC546" s="170"/>
      <c r="AD546" s="170"/>
      <c r="AE546" s="15" t="s">
        <v>54</v>
      </c>
      <c r="AF546" s="177">
        <v>244110</v>
      </c>
      <c r="AG546" s="177" t="str">
        <f t="shared" si="86"/>
        <v>Pass</v>
      </c>
      <c r="AH546" s="177">
        <f t="shared" si="87"/>
        <v>244110</v>
      </c>
      <c r="AK546" s="176"/>
      <c r="AL546" s="176"/>
    </row>
    <row r="547" spans="1:38" ht="36" customHeight="1" x14ac:dyDescent="0.2">
      <c r="A547" s="14" t="s">
        <v>21</v>
      </c>
      <c r="B547" s="212">
        <v>244106</v>
      </c>
      <c r="C547" s="14" t="s">
        <v>547</v>
      </c>
      <c r="D547" s="14" t="s">
        <v>268</v>
      </c>
      <c r="E547" s="14" t="s">
        <v>14</v>
      </c>
      <c r="F547" s="14" t="s">
        <v>324</v>
      </c>
      <c r="G547" s="179">
        <v>680546</v>
      </c>
      <c r="H547" s="176" t="s">
        <v>2259</v>
      </c>
      <c r="I547" s="176" t="s">
        <v>2260</v>
      </c>
      <c r="J547" s="176" t="s">
        <v>2261</v>
      </c>
      <c r="K547" s="176" t="s">
        <v>2263</v>
      </c>
      <c r="L547" s="40" t="s">
        <v>105</v>
      </c>
      <c r="M547" s="40" t="s">
        <v>341</v>
      </c>
      <c r="N547" s="14" t="s">
        <v>2268</v>
      </c>
      <c r="O547" s="14" t="s">
        <v>548</v>
      </c>
      <c r="P547" s="14" t="s">
        <v>518</v>
      </c>
      <c r="Q547" s="14" t="s">
        <v>549</v>
      </c>
      <c r="R547" s="17">
        <v>235</v>
      </c>
      <c r="S547" s="172" t="s">
        <v>51</v>
      </c>
      <c r="T547" s="17">
        <v>2405</v>
      </c>
      <c r="U547" s="14" t="s">
        <v>51</v>
      </c>
      <c r="V547" s="16">
        <f t="shared" si="83"/>
        <v>244106</v>
      </c>
      <c r="W547" s="16">
        <f t="shared" si="84"/>
        <v>244113</v>
      </c>
      <c r="X547" s="16">
        <f t="shared" si="85"/>
        <v>244108</v>
      </c>
      <c r="Y547" s="15" t="s">
        <v>54</v>
      </c>
      <c r="Z547" s="177">
        <v>244110</v>
      </c>
      <c r="AA547" s="170"/>
      <c r="AB547" s="170"/>
      <c r="AC547" s="170"/>
      <c r="AD547" s="170"/>
      <c r="AE547" s="15" t="s">
        <v>54</v>
      </c>
      <c r="AF547" s="177">
        <v>244110</v>
      </c>
      <c r="AG547" s="177" t="str">
        <f t="shared" si="86"/>
        <v>Pass</v>
      </c>
      <c r="AH547" s="177">
        <f t="shared" si="87"/>
        <v>244110</v>
      </c>
      <c r="AK547" s="176"/>
      <c r="AL547" s="176"/>
    </row>
    <row r="548" spans="1:38" ht="36" customHeight="1" x14ac:dyDescent="0.2">
      <c r="A548" s="14" t="s">
        <v>21</v>
      </c>
      <c r="B548" s="212">
        <v>244106</v>
      </c>
      <c r="C548" s="14" t="s">
        <v>547</v>
      </c>
      <c r="D548" s="14" t="s">
        <v>268</v>
      </c>
      <c r="E548" s="14" t="s">
        <v>14</v>
      </c>
      <c r="F548" s="14" t="s">
        <v>324</v>
      </c>
      <c r="G548" s="179">
        <v>680547</v>
      </c>
      <c r="H548" s="176" t="s">
        <v>1092</v>
      </c>
      <c r="I548" s="176" t="s">
        <v>630</v>
      </c>
      <c r="J548" s="176" t="s">
        <v>520</v>
      </c>
      <c r="K548" s="176" t="s">
        <v>2264</v>
      </c>
      <c r="L548" s="40" t="s">
        <v>105</v>
      </c>
      <c r="M548" s="40" t="s">
        <v>341</v>
      </c>
      <c r="N548" s="14" t="s">
        <v>2269</v>
      </c>
      <c r="O548" s="14" t="s">
        <v>548</v>
      </c>
      <c r="P548" s="14" t="s">
        <v>518</v>
      </c>
      <c r="Q548" s="14" t="s">
        <v>549</v>
      </c>
      <c r="R548" s="17">
        <v>352</v>
      </c>
      <c r="S548" s="172" t="s">
        <v>51</v>
      </c>
      <c r="T548" s="17">
        <v>1680</v>
      </c>
      <c r="U548" s="14" t="s">
        <v>51</v>
      </c>
      <c r="V548" s="16">
        <f t="shared" si="83"/>
        <v>244106</v>
      </c>
      <c r="W548" s="16">
        <f t="shared" si="84"/>
        <v>244113</v>
      </c>
      <c r="X548" s="16">
        <f t="shared" si="85"/>
        <v>244108</v>
      </c>
      <c r="Y548" s="15" t="s">
        <v>54</v>
      </c>
      <c r="Z548" s="177">
        <v>244110</v>
      </c>
      <c r="AA548" s="170"/>
      <c r="AB548" s="170"/>
      <c r="AC548" s="170"/>
      <c r="AD548" s="170"/>
      <c r="AE548" s="15" t="s">
        <v>54</v>
      </c>
      <c r="AF548" s="177">
        <v>244110</v>
      </c>
      <c r="AG548" s="177" t="str">
        <f t="shared" si="86"/>
        <v>Pass</v>
      </c>
      <c r="AH548" s="177">
        <f t="shared" si="87"/>
        <v>244110</v>
      </c>
      <c r="AK548" s="176"/>
      <c r="AL548" s="176"/>
    </row>
    <row r="549" spans="1:38" ht="36" customHeight="1" x14ac:dyDescent="0.2">
      <c r="A549" s="14" t="s">
        <v>21</v>
      </c>
      <c r="B549" s="212">
        <v>244106</v>
      </c>
      <c r="C549" s="14" t="s">
        <v>547</v>
      </c>
      <c r="D549" s="14" t="s">
        <v>268</v>
      </c>
      <c r="E549" s="14" t="s">
        <v>14</v>
      </c>
      <c r="F549" s="14" t="s">
        <v>324</v>
      </c>
      <c r="G549" s="179">
        <v>680548</v>
      </c>
      <c r="H549" s="176" t="s">
        <v>1092</v>
      </c>
      <c r="I549" s="176" t="s">
        <v>630</v>
      </c>
      <c r="J549" s="176" t="s">
        <v>520</v>
      </c>
      <c r="K549" s="176" t="s">
        <v>2264</v>
      </c>
      <c r="L549" s="40" t="s">
        <v>105</v>
      </c>
      <c r="M549" s="40" t="s">
        <v>341</v>
      </c>
      <c r="N549" s="14" t="s">
        <v>2218</v>
      </c>
      <c r="O549" s="14" t="s">
        <v>552</v>
      </c>
      <c r="P549" s="14" t="s">
        <v>519</v>
      </c>
      <c r="Q549" s="14" t="s">
        <v>553</v>
      </c>
      <c r="R549" s="17">
        <v>600</v>
      </c>
      <c r="S549" s="172" t="s">
        <v>51</v>
      </c>
      <c r="T549" s="17">
        <v>2050</v>
      </c>
      <c r="U549" s="14" t="s">
        <v>51</v>
      </c>
      <c r="V549" s="16">
        <f t="shared" si="83"/>
        <v>244106</v>
      </c>
      <c r="W549" s="16">
        <f t="shared" si="84"/>
        <v>244113</v>
      </c>
      <c r="X549" s="16">
        <f t="shared" si="85"/>
        <v>244108</v>
      </c>
      <c r="Y549" s="15" t="s">
        <v>54</v>
      </c>
      <c r="Z549" s="177">
        <v>244110</v>
      </c>
      <c r="AA549" s="170"/>
      <c r="AB549" s="170"/>
      <c r="AC549" s="170"/>
      <c r="AD549" s="170"/>
      <c r="AE549" s="15" t="s">
        <v>54</v>
      </c>
      <c r="AF549" s="177">
        <v>244110</v>
      </c>
      <c r="AG549" s="177" t="str">
        <f t="shared" si="86"/>
        <v>Pass</v>
      </c>
      <c r="AH549" s="177">
        <f t="shared" si="87"/>
        <v>244110</v>
      </c>
      <c r="AK549" s="176"/>
      <c r="AL549" s="176"/>
    </row>
    <row r="550" spans="1:38" ht="36" customHeight="1" x14ac:dyDescent="0.2">
      <c r="A550" s="14" t="s">
        <v>21</v>
      </c>
      <c r="B550" s="212">
        <v>244107</v>
      </c>
      <c r="C550" s="14" t="s">
        <v>547</v>
      </c>
      <c r="D550" s="14" t="s">
        <v>268</v>
      </c>
      <c r="E550" s="14" t="s">
        <v>14</v>
      </c>
      <c r="F550" s="14" t="s">
        <v>324</v>
      </c>
      <c r="G550" s="179">
        <v>680549</v>
      </c>
      <c r="H550" s="176" t="s">
        <v>1092</v>
      </c>
      <c r="I550" s="176" t="s">
        <v>630</v>
      </c>
      <c r="J550" s="176" t="s">
        <v>520</v>
      </c>
      <c r="K550" s="176" t="s">
        <v>2264</v>
      </c>
      <c r="L550" s="40" t="s">
        <v>105</v>
      </c>
      <c r="M550" s="40" t="s">
        <v>341</v>
      </c>
      <c r="N550" s="14" t="s">
        <v>2273</v>
      </c>
      <c r="O550" s="14" t="s">
        <v>527</v>
      </c>
      <c r="P550" s="14" t="s">
        <v>2279</v>
      </c>
      <c r="Q550" s="14" t="s">
        <v>542</v>
      </c>
      <c r="R550" s="17">
        <v>130</v>
      </c>
      <c r="S550" s="172" t="s">
        <v>51</v>
      </c>
      <c r="T550" s="17">
        <v>845</v>
      </c>
      <c r="U550" s="14" t="s">
        <v>51</v>
      </c>
      <c r="V550" s="16">
        <f t="shared" si="83"/>
        <v>244107</v>
      </c>
      <c r="W550" s="16">
        <f t="shared" si="84"/>
        <v>244114</v>
      </c>
      <c r="X550" s="16">
        <f t="shared" si="85"/>
        <v>244109</v>
      </c>
      <c r="Y550" s="15" t="s">
        <v>54</v>
      </c>
      <c r="Z550" s="177">
        <v>244112</v>
      </c>
      <c r="AA550" s="170"/>
      <c r="AB550" s="170"/>
      <c r="AC550" s="170"/>
      <c r="AD550" s="170"/>
      <c r="AE550" s="15" t="s">
        <v>54</v>
      </c>
      <c r="AF550" s="177">
        <v>244112</v>
      </c>
      <c r="AG550" s="177" t="str">
        <f t="shared" si="86"/>
        <v>Pass</v>
      </c>
      <c r="AH550" s="177">
        <f t="shared" si="87"/>
        <v>244112</v>
      </c>
      <c r="AK550" s="176"/>
      <c r="AL550" s="176"/>
    </row>
    <row r="551" spans="1:38" ht="36" customHeight="1" x14ac:dyDescent="0.2">
      <c r="A551" s="14" t="s">
        <v>21</v>
      </c>
      <c r="B551" s="212">
        <v>244107</v>
      </c>
      <c r="C551" s="14" t="s">
        <v>547</v>
      </c>
      <c r="D551" s="14" t="s">
        <v>268</v>
      </c>
      <c r="E551" s="14" t="s">
        <v>14</v>
      </c>
      <c r="F551" s="14" t="s">
        <v>324</v>
      </c>
      <c r="G551" s="179">
        <v>680550</v>
      </c>
      <c r="H551" s="176" t="s">
        <v>2259</v>
      </c>
      <c r="I551" s="176" t="s">
        <v>2260</v>
      </c>
      <c r="J551" s="176" t="s">
        <v>2261</v>
      </c>
      <c r="K551" s="176" t="s">
        <v>2263</v>
      </c>
      <c r="L551" s="40" t="s">
        <v>105</v>
      </c>
      <c r="M551" s="40" t="s">
        <v>341</v>
      </c>
      <c r="N551" s="14" t="s">
        <v>2274</v>
      </c>
      <c r="O551" s="14" t="s">
        <v>543</v>
      </c>
      <c r="P551" s="14" t="s">
        <v>1746</v>
      </c>
      <c r="Q551" s="14" t="s">
        <v>529</v>
      </c>
      <c r="R551" s="17">
        <v>200</v>
      </c>
      <c r="S551" s="172" t="s">
        <v>51</v>
      </c>
      <c r="T551" s="17">
        <v>2000</v>
      </c>
      <c r="U551" s="14" t="s">
        <v>51</v>
      </c>
      <c r="V551" s="16">
        <f t="shared" si="83"/>
        <v>244107</v>
      </c>
      <c r="W551" s="16">
        <f t="shared" si="84"/>
        <v>244114</v>
      </c>
      <c r="X551" s="16">
        <f t="shared" si="85"/>
        <v>244109</v>
      </c>
      <c r="Y551" s="15" t="s">
        <v>54</v>
      </c>
      <c r="Z551" s="177">
        <v>244112</v>
      </c>
      <c r="AA551" s="170"/>
      <c r="AB551" s="170"/>
      <c r="AC551" s="170"/>
      <c r="AD551" s="170"/>
      <c r="AE551" s="15" t="s">
        <v>54</v>
      </c>
      <c r="AF551" s="177">
        <v>244112</v>
      </c>
      <c r="AG551" s="177" t="str">
        <f t="shared" si="86"/>
        <v>Pass</v>
      </c>
      <c r="AH551" s="177">
        <f t="shared" si="87"/>
        <v>244112</v>
      </c>
      <c r="AK551" s="176"/>
      <c r="AL551" s="176"/>
    </row>
    <row r="552" spans="1:38" ht="36" customHeight="1" x14ac:dyDescent="0.2">
      <c r="A552" s="14" t="s">
        <v>21</v>
      </c>
      <c r="B552" s="212">
        <v>244107</v>
      </c>
      <c r="C552" s="14" t="s">
        <v>547</v>
      </c>
      <c r="D552" s="14" t="s">
        <v>268</v>
      </c>
      <c r="E552" s="14" t="s">
        <v>14</v>
      </c>
      <c r="F552" s="14" t="s">
        <v>324</v>
      </c>
      <c r="G552" s="179">
        <v>680551</v>
      </c>
      <c r="H552" s="176" t="s">
        <v>1281</v>
      </c>
      <c r="I552" s="176" t="s">
        <v>550</v>
      </c>
      <c r="J552" s="176" t="s">
        <v>128</v>
      </c>
      <c r="K552" s="176" t="s">
        <v>2271</v>
      </c>
      <c r="L552" s="40" t="s">
        <v>106</v>
      </c>
      <c r="M552" s="40" t="s">
        <v>341</v>
      </c>
      <c r="N552" s="14" t="s">
        <v>2275</v>
      </c>
      <c r="O552" s="14" t="s">
        <v>543</v>
      </c>
      <c r="P552" s="14" t="s">
        <v>2280</v>
      </c>
      <c r="Q552" s="14" t="s">
        <v>529</v>
      </c>
      <c r="R552" s="17">
        <v>1175</v>
      </c>
      <c r="S552" s="172" t="s">
        <v>51</v>
      </c>
      <c r="T552" s="17">
        <v>2516</v>
      </c>
      <c r="U552" s="14" t="s">
        <v>51</v>
      </c>
      <c r="V552" s="16">
        <f t="shared" si="83"/>
        <v>244107</v>
      </c>
      <c r="W552" s="16">
        <f t="shared" si="84"/>
        <v>244114</v>
      </c>
      <c r="X552" s="16">
        <f t="shared" si="85"/>
        <v>244109</v>
      </c>
      <c r="Y552" s="15"/>
      <c r="Z552" s="177"/>
      <c r="AA552" s="170"/>
      <c r="AB552" s="170"/>
      <c r="AC552" s="170"/>
      <c r="AD552" s="170"/>
      <c r="AE552" s="15"/>
      <c r="AF552" s="177"/>
      <c r="AG552" s="177">
        <f t="shared" si="86"/>
        <v>0</v>
      </c>
      <c r="AH552" s="177">
        <f t="shared" si="87"/>
        <v>0</v>
      </c>
      <c r="AK552" s="176"/>
      <c r="AL552" s="176"/>
    </row>
    <row r="553" spans="1:38" ht="36" customHeight="1" x14ac:dyDescent="0.2">
      <c r="A553" s="14" t="s">
        <v>21</v>
      </c>
      <c r="B553" s="212">
        <v>244107</v>
      </c>
      <c r="C553" s="14" t="s">
        <v>547</v>
      </c>
      <c r="D553" s="14" t="s">
        <v>268</v>
      </c>
      <c r="E553" s="14" t="s">
        <v>14</v>
      </c>
      <c r="F553" s="14" t="s">
        <v>324</v>
      </c>
      <c r="G553" s="179">
        <v>680552</v>
      </c>
      <c r="H553" s="176" t="s">
        <v>1548</v>
      </c>
      <c r="I553" s="176" t="s">
        <v>630</v>
      </c>
      <c r="J553" s="176" t="s">
        <v>520</v>
      </c>
      <c r="K553" s="176" t="s">
        <v>2272</v>
      </c>
      <c r="L553" s="40" t="s">
        <v>105</v>
      </c>
      <c r="M553" s="40" t="s">
        <v>341</v>
      </c>
      <c r="N553" s="14" t="s">
        <v>2276</v>
      </c>
      <c r="O553" s="14" t="s">
        <v>527</v>
      </c>
      <c r="P553" s="14" t="s">
        <v>2281</v>
      </c>
      <c r="Q553" s="14" t="s">
        <v>542</v>
      </c>
      <c r="R553" s="17">
        <v>250</v>
      </c>
      <c r="S553" s="172" t="s">
        <v>51</v>
      </c>
      <c r="T553" s="17">
        <v>2045</v>
      </c>
      <c r="U553" s="14" t="s">
        <v>51</v>
      </c>
      <c r="V553" s="16">
        <f t="shared" si="83"/>
        <v>244107</v>
      </c>
      <c r="W553" s="16">
        <f t="shared" si="84"/>
        <v>244114</v>
      </c>
      <c r="X553" s="16">
        <f t="shared" si="85"/>
        <v>244109</v>
      </c>
      <c r="Y553" s="15" t="s">
        <v>54</v>
      </c>
      <c r="Z553" s="177">
        <v>244112</v>
      </c>
      <c r="AA553" s="170"/>
      <c r="AB553" s="170"/>
      <c r="AC553" s="170"/>
      <c r="AD553" s="170"/>
      <c r="AE553" s="15" t="s">
        <v>54</v>
      </c>
      <c r="AF553" s="177">
        <v>244112</v>
      </c>
      <c r="AG553" s="177" t="str">
        <f t="shared" si="86"/>
        <v>Pass</v>
      </c>
      <c r="AH553" s="177">
        <f t="shared" si="87"/>
        <v>244112</v>
      </c>
      <c r="AK553" s="176"/>
      <c r="AL553" s="176"/>
    </row>
    <row r="554" spans="1:38" ht="36" customHeight="1" x14ac:dyDescent="0.2">
      <c r="A554" s="14" t="s">
        <v>21</v>
      </c>
      <c r="B554" s="212">
        <v>244107</v>
      </c>
      <c r="C554" s="14" t="s">
        <v>547</v>
      </c>
      <c r="D554" s="14" t="s">
        <v>268</v>
      </c>
      <c r="E554" s="14" t="s">
        <v>14</v>
      </c>
      <c r="F554" s="14" t="s">
        <v>324</v>
      </c>
      <c r="G554" s="179">
        <v>680553</v>
      </c>
      <c r="H554" s="176" t="s">
        <v>1548</v>
      </c>
      <c r="I554" s="176" t="s">
        <v>630</v>
      </c>
      <c r="J554" s="176" t="s">
        <v>520</v>
      </c>
      <c r="K554" s="176" t="s">
        <v>2272</v>
      </c>
      <c r="L554" s="40" t="s">
        <v>105</v>
      </c>
      <c r="M554" s="40" t="s">
        <v>341</v>
      </c>
      <c r="N554" s="14" t="s">
        <v>2277</v>
      </c>
      <c r="O554" s="14" t="s">
        <v>988</v>
      </c>
      <c r="P554" s="14" t="s">
        <v>2282</v>
      </c>
      <c r="Q554" s="14" t="s">
        <v>994</v>
      </c>
      <c r="R554" s="17">
        <v>500</v>
      </c>
      <c r="S554" s="172" t="s">
        <v>51</v>
      </c>
      <c r="T554" s="17">
        <v>2040</v>
      </c>
      <c r="U554" s="14" t="s">
        <v>51</v>
      </c>
      <c r="V554" s="16">
        <f t="shared" si="83"/>
        <v>244107</v>
      </c>
      <c r="W554" s="16">
        <f t="shared" si="84"/>
        <v>244114</v>
      </c>
      <c r="X554" s="16">
        <f t="shared" si="85"/>
        <v>244109</v>
      </c>
      <c r="Y554" s="15" t="s">
        <v>54</v>
      </c>
      <c r="Z554" s="177">
        <v>244112</v>
      </c>
      <c r="AA554" s="170"/>
      <c r="AB554" s="170"/>
      <c r="AC554" s="170"/>
      <c r="AD554" s="170"/>
      <c r="AE554" s="15" t="s">
        <v>54</v>
      </c>
      <c r="AF554" s="177">
        <v>244112</v>
      </c>
      <c r="AG554" s="177" t="str">
        <f t="shared" si="86"/>
        <v>Pass</v>
      </c>
      <c r="AH554" s="177">
        <f t="shared" si="87"/>
        <v>244112</v>
      </c>
      <c r="AK554" s="176"/>
      <c r="AL554" s="176"/>
    </row>
    <row r="555" spans="1:38" ht="36" customHeight="1" x14ac:dyDescent="0.2">
      <c r="A555" s="14" t="s">
        <v>21</v>
      </c>
      <c r="B555" s="212">
        <v>244107</v>
      </c>
      <c r="C555" s="14" t="s">
        <v>547</v>
      </c>
      <c r="D555" s="14" t="s">
        <v>268</v>
      </c>
      <c r="E555" s="14" t="s">
        <v>14</v>
      </c>
      <c r="F555" s="14" t="s">
        <v>324</v>
      </c>
      <c r="G555" s="179">
        <v>680554</v>
      </c>
      <c r="H555" s="176" t="s">
        <v>1548</v>
      </c>
      <c r="I555" s="176" t="s">
        <v>630</v>
      </c>
      <c r="J555" s="176" t="s">
        <v>520</v>
      </c>
      <c r="K555" s="176" t="s">
        <v>2272</v>
      </c>
      <c r="L555" s="40" t="s">
        <v>105</v>
      </c>
      <c r="M555" s="40" t="s">
        <v>341</v>
      </c>
      <c r="N555" s="14" t="s">
        <v>2278</v>
      </c>
      <c r="O555" s="14" t="s">
        <v>548</v>
      </c>
      <c r="P555" s="14" t="s">
        <v>518</v>
      </c>
      <c r="Q555" s="14" t="s">
        <v>549</v>
      </c>
      <c r="R555" s="17">
        <v>626</v>
      </c>
      <c r="S555" s="172" t="s">
        <v>51</v>
      </c>
      <c r="T555" s="17" t="s">
        <v>2283</v>
      </c>
      <c r="U555" s="14" t="s">
        <v>51</v>
      </c>
      <c r="V555" s="16">
        <f t="shared" si="83"/>
        <v>244107</v>
      </c>
      <c r="W555" s="16">
        <f t="shared" si="84"/>
        <v>244114</v>
      </c>
      <c r="X555" s="16">
        <f t="shared" si="85"/>
        <v>244109</v>
      </c>
      <c r="Y555" s="15" t="s">
        <v>54</v>
      </c>
      <c r="Z555" s="177">
        <v>244112</v>
      </c>
      <c r="AA555" s="170"/>
      <c r="AB555" s="170"/>
      <c r="AC555" s="170"/>
      <c r="AD555" s="170"/>
      <c r="AE555" s="15" t="s">
        <v>54</v>
      </c>
      <c r="AF555" s="177">
        <v>244112</v>
      </c>
      <c r="AG555" s="177" t="str">
        <f t="shared" si="86"/>
        <v>Pass</v>
      </c>
      <c r="AH555" s="177">
        <f t="shared" si="87"/>
        <v>244112</v>
      </c>
      <c r="AK555" s="176"/>
      <c r="AL555" s="176"/>
    </row>
    <row r="556" spans="1:38" ht="36" customHeight="1" x14ac:dyDescent="0.2">
      <c r="A556" s="14" t="s">
        <v>21</v>
      </c>
      <c r="B556" s="212">
        <v>244109</v>
      </c>
      <c r="C556" s="14" t="s">
        <v>547</v>
      </c>
      <c r="D556" s="14" t="s">
        <v>268</v>
      </c>
      <c r="E556" s="14" t="s">
        <v>14</v>
      </c>
      <c r="F556" s="14" t="s">
        <v>324</v>
      </c>
      <c r="G556" s="179">
        <v>680555</v>
      </c>
      <c r="H556" s="176" t="s">
        <v>1549</v>
      </c>
      <c r="I556" s="176" t="s">
        <v>630</v>
      </c>
      <c r="J556" s="176" t="s">
        <v>520</v>
      </c>
      <c r="K556" s="176" t="s">
        <v>2285</v>
      </c>
      <c r="L556" s="40" t="s">
        <v>105</v>
      </c>
      <c r="M556" s="40" t="s">
        <v>341</v>
      </c>
      <c r="N556" s="14" t="s">
        <v>2288</v>
      </c>
      <c r="O556" s="14" t="s">
        <v>527</v>
      </c>
      <c r="P556" s="14" t="s">
        <v>2290</v>
      </c>
      <c r="Q556" s="14" t="s">
        <v>542</v>
      </c>
      <c r="R556" s="17">
        <v>200</v>
      </c>
      <c r="S556" s="172" t="s">
        <v>51</v>
      </c>
      <c r="T556" s="17">
        <v>1970</v>
      </c>
      <c r="U556" s="14" t="s">
        <v>51</v>
      </c>
      <c r="V556" s="16">
        <f t="shared" si="83"/>
        <v>244109</v>
      </c>
      <c r="W556" s="16">
        <f t="shared" si="84"/>
        <v>244116</v>
      </c>
      <c r="X556" s="16">
        <f t="shared" si="85"/>
        <v>244111</v>
      </c>
      <c r="Y556" s="15" t="s">
        <v>54</v>
      </c>
      <c r="Z556" s="177">
        <v>244112</v>
      </c>
      <c r="AA556" s="170"/>
      <c r="AB556" s="170"/>
      <c r="AC556" s="170"/>
      <c r="AD556" s="170"/>
      <c r="AE556" s="15" t="s">
        <v>54</v>
      </c>
      <c r="AF556" s="177">
        <v>244112</v>
      </c>
      <c r="AG556" s="177" t="str">
        <f t="shared" si="86"/>
        <v>Pass</v>
      </c>
      <c r="AH556" s="177">
        <f t="shared" si="87"/>
        <v>244112</v>
      </c>
      <c r="AK556" s="176"/>
      <c r="AL556" s="176"/>
    </row>
    <row r="557" spans="1:38" ht="36" customHeight="1" x14ac:dyDescent="0.2">
      <c r="A557" s="14" t="s">
        <v>21</v>
      </c>
      <c r="B557" s="212">
        <v>244109</v>
      </c>
      <c r="C557" s="14" t="s">
        <v>547</v>
      </c>
      <c r="D557" s="14" t="s">
        <v>268</v>
      </c>
      <c r="E557" s="14" t="s">
        <v>14</v>
      </c>
      <c r="F557" s="14" t="s">
        <v>324</v>
      </c>
      <c r="G557" s="179">
        <v>680556</v>
      </c>
      <c r="H557" s="176" t="s">
        <v>1318</v>
      </c>
      <c r="I557" s="176" t="s">
        <v>864</v>
      </c>
      <c r="J557" s="176" t="s">
        <v>554</v>
      </c>
      <c r="K557" s="176" t="s">
        <v>2286</v>
      </c>
      <c r="L557" s="40" t="s">
        <v>45</v>
      </c>
      <c r="M557" s="40" t="s">
        <v>341</v>
      </c>
      <c r="N557" s="14" t="s">
        <v>2289</v>
      </c>
      <c r="O557" s="14" t="s">
        <v>1909</v>
      </c>
      <c r="P557" s="14" t="s">
        <v>2291</v>
      </c>
      <c r="Q557" s="14" t="s">
        <v>1913</v>
      </c>
      <c r="R557" s="17">
        <v>550</v>
      </c>
      <c r="S557" s="172" t="s">
        <v>51</v>
      </c>
      <c r="T557" s="17">
        <v>1850</v>
      </c>
      <c r="U557" s="14" t="s">
        <v>51</v>
      </c>
      <c r="V557" s="16">
        <f t="shared" si="83"/>
        <v>244109</v>
      </c>
      <c r="W557" s="16">
        <f t="shared" si="84"/>
        <v>244116</v>
      </c>
      <c r="X557" s="16">
        <f t="shared" si="85"/>
        <v>244111</v>
      </c>
      <c r="Y557" s="15"/>
      <c r="Z557" s="177"/>
      <c r="AA557" s="170"/>
      <c r="AB557" s="170"/>
      <c r="AC557" s="170"/>
      <c r="AD557" s="170"/>
      <c r="AE557" s="15"/>
      <c r="AF557" s="177"/>
      <c r="AG557" s="177">
        <f t="shared" si="86"/>
        <v>0</v>
      </c>
      <c r="AH557" s="177">
        <f t="shared" si="87"/>
        <v>0</v>
      </c>
      <c r="AK557" s="176"/>
      <c r="AL557" s="176"/>
    </row>
    <row r="558" spans="1:38" ht="36" customHeight="1" x14ac:dyDescent="0.2">
      <c r="A558" s="14" t="s">
        <v>21</v>
      </c>
      <c r="B558" s="212">
        <v>244109</v>
      </c>
      <c r="C558" s="14" t="s">
        <v>547</v>
      </c>
      <c r="D558" s="14" t="s">
        <v>268</v>
      </c>
      <c r="E558" s="14" t="s">
        <v>14</v>
      </c>
      <c r="F558" s="14" t="s">
        <v>324</v>
      </c>
      <c r="G558" s="179">
        <v>680557</v>
      </c>
      <c r="H558" s="176" t="s">
        <v>2284</v>
      </c>
      <c r="I558" s="176" t="s">
        <v>1189</v>
      </c>
      <c r="J558" s="176" t="s">
        <v>130</v>
      </c>
      <c r="K558" s="176" t="s">
        <v>2287</v>
      </c>
      <c r="L558" s="40" t="s">
        <v>46</v>
      </c>
      <c r="M558" s="40" t="s">
        <v>341</v>
      </c>
      <c r="N558" s="14" t="s">
        <v>2292</v>
      </c>
      <c r="O558" s="14" t="s">
        <v>552</v>
      </c>
      <c r="P558" s="14" t="s">
        <v>685</v>
      </c>
      <c r="Q558" s="14" t="s">
        <v>553</v>
      </c>
      <c r="R558" s="17">
        <v>100</v>
      </c>
      <c r="S558" s="172" t="s">
        <v>51</v>
      </c>
      <c r="T558" s="17">
        <v>1400</v>
      </c>
      <c r="U558" s="14" t="s">
        <v>51</v>
      </c>
      <c r="V558" s="16">
        <f t="shared" si="83"/>
        <v>244109</v>
      </c>
      <c r="W558" s="16">
        <f t="shared" si="84"/>
        <v>244116</v>
      </c>
      <c r="X558" s="16">
        <f t="shared" si="85"/>
        <v>244111</v>
      </c>
      <c r="Y558" s="15"/>
      <c r="Z558" s="177"/>
      <c r="AA558" s="170"/>
      <c r="AB558" s="170"/>
      <c r="AC558" s="170"/>
      <c r="AD558" s="170"/>
      <c r="AE558" s="15"/>
      <c r="AF558" s="177"/>
      <c r="AG558" s="177">
        <f t="shared" si="86"/>
        <v>0</v>
      </c>
      <c r="AH558" s="177">
        <f t="shared" si="87"/>
        <v>0</v>
      </c>
      <c r="AK558" s="176"/>
      <c r="AL558" s="176"/>
    </row>
    <row r="559" spans="1:38" ht="36" customHeight="1" x14ac:dyDescent="0.2">
      <c r="A559" s="14" t="s">
        <v>21</v>
      </c>
      <c r="B559" s="212">
        <v>244110</v>
      </c>
      <c r="C559" s="14" t="s">
        <v>547</v>
      </c>
      <c r="D559" s="14" t="s">
        <v>268</v>
      </c>
      <c r="E559" s="14" t="s">
        <v>14</v>
      </c>
      <c r="F559" s="14" t="s">
        <v>324</v>
      </c>
      <c r="G559" s="179">
        <v>680558</v>
      </c>
      <c r="H559" s="176" t="s">
        <v>1925</v>
      </c>
      <c r="I559" s="176" t="s">
        <v>630</v>
      </c>
      <c r="J559" s="176" t="s">
        <v>520</v>
      </c>
      <c r="K559" s="176" t="s">
        <v>2295</v>
      </c>
      <c r="L559" s="40" t="s">
        <v>105</v>
      </c>
      <c r="M559" s="40" t="s">
        <v>341</v>
      </c>
      <c r="N559" s="14" t="s">
        <v>2300</v>
      </c>
      <c r="O559" s="14" t="s">
        <v>2305</v>
      </c>
      <c r="P559" s="14" t="s">
        <v>2309</v>
      </c>
      <c r="Q559" s="14" t="s">
        <v>2313</v>
      </c>
      <c r="R559" s="17">
        <v>700</v>
      </c>
      <c r="S559" s="172" t="s">
        <v>51</v>
      </c>
      <c r="T559" s="17">
        <v>1300</v>
      </c>
      <c r="U559" s="14" t="s">
        <v>51</v>
      </c>
      <c r="V559" s="16">
        <f t="shared" si="83"/>
        <v>244110</v>
      </c>
      <c r="W559" s="16">
        <f t="shared" si="84"/>
        <v>244117</v>
      </c>
      <c r="X559" s="16">
        <f t="shared" si="85"/>
        <v>244112</v>
      </c>
      <c r="Y559" s="15" t="s">
        <v>54</v>
      </c>
      <c r="Z559" s="177">
        <v>244112</v>
      </c>
      <c r="AA559" s="170"/>
      <c r="AB559" s="170"/>
      <c r="AC559" s="170"/>
      <c r="AD559" s="170"/>
      <c r="AE559" s="15" t="s">
        <v>54</v>
      </c>
      <c r="AF559" s="177">
        <v>244112</v>
      </c>
      <c r="AG559" s="177" t="str">
        <f t="shared" si="86"/>
        <v>Pass</v>
      </c>
      <c r="AH559" s="177">
        <f t="shared" si="87"/>
        <v>244112</v>
      </c>
      <c r="AK559" s="176"/>
      <c r="AL559" s="176"/>
    </row>
    <row r="560" spans="1:38" ht="36" customHeight="1" x14ac:dyDescent="0.2">
      <c r="A560" s="14" t="s">
        <v>21</v>
      </c>
      <c r="B560" s="212">
        <v>244110</v>
      </c>
      <c r="C560" s="14" t="s">
        <v>547</v>
      </c>
      <c r="D560" s="14" t="s">
        <v>268</v>
      </c>
      <c r="E560" s="14" t="s">
        <v>14</v>
      </c>
      <c r="F560" s="14" t="s">
        <v>324</v>
      </c>
      <c r="G560" s="179">
        <v>680559</v>
      </c>
      <c r="H560" s="176" t="s">
        <v>1915</v>
      </c>
      <c r="I560" s="176" t="s">
        <v>550</v>
      </c>
      <c r="J560" s="176" t="s">
        <v>128</v>
      </c>
      <c r="K560" s="176" t="s">
        <v>2298</v>
      </c>
      <c r="L560" s="40" t="s">
        <v>106</v>
      </c>
      <c r="M560" s="40" t="s">
        <v>341</v>
      </c>
      <c r="N560" s="14" t="s">
        <v>2301</v>
      </c>
      <c r="O560" s="14" t="s">
        <v>2306</v>
      </c>
      <c r="P560" s="14" t="s">
        <v>941</v>
      </c>
      <c r="Q560" s="14" t="s">
        <v>2314</v>
      </c>
      <c r="R560" s="17">
        <v>475</v>
      </c>
      <c r="S560" s="172" t="s">
        <v>51</v>
      </c>
      <c r="T560" s="17">
        <v>2485</v>
      </c>
      <c r="U560" s="14" t="s">
        <v>51</v>
      </c>
      <c r="V560" s="16">
        <f t="shared" si="83"/>
        <v>244110</v>
      </c>
      <c r="W560" s="16">
        <f t="shared" si="84"/>
        <v>244117</v>
      </c>
      <c r="X560" s="16">
        <f t="shared" si="85"/>
        <v>244112</v>
      </c>
      <c r="Y560" s="15"/>
      <c r="Z560" s="177"/>
      <c r="AA560" s="170"/>
      <c r="AB560" s="170"/>
      <c r="AC560" s="170"/>
      <c r="AD560" s="170"/>
      <c r="AE560" s="15"/>
      <c r="AF560" s="177"/>
      <c r="AG560" s="177">
        <f t="shared" si="86"/>
        <v>0</v>
      </c>
      <c r="AH560" s="177">
        <f t="shared" si="87"/>
        <v>0</v>
      </c>
      <c r="AK560" s="176"/>
      <c r="AL560" s="176"/>
    </row>
    <row r="561" spans="1:38" ht="36" customHeight="1" x14ac:dyDescent="0.2">
      <c r="A561" s="14" t="s">
        <v>21</v>
      </c>
      <c r="B561" s="212">
        <v>244110</v>
      </c>
      <c r="C561" s="14" t="s">
        <v>547</v>
      </c>
      <c r="D561" s="14" t="s">
        <v>268</v>
      </c>
      <c r="E561" s="14" t="s">
        <v>14</v>
      </c>
      <c r="F561" s="14" t="s">
        <v>324</v>
      </c>
      <c r="G561" s="179">
        <v>680560</v>
      </c>
      <c r="H561" s="176" t="s">
        <v>1054</v>
      </c>
      <c r="I561" s="176" t="s">
        <v>551</v>
      </c>
      <c r="J561" s="176" t="s">
        <v>596</v>
      </c>
      <c r="K561" s="176" t="s">
        <v>2297</v>
      </c>
      <c r="L561" s="40" t="s">
        <v>108</v>
      </c>
      <c r="M561" s="40" t="s">
        <v>341</v>
      </c>
      <c r="N561" s="14" t="s">
        <v>2302</v>
      </c>
      <c r="O561" s="14" t="s">
        <v>528</v>
      </c>
      <c r="P561" s="14" t="s">
        <v>2310</v>
      </c>
      <c r="Q561" s="14" t="s">
        <v>541</v>
      </c>
      <c r="R561" s="17">
        <v>175</v>
      </c>
      <c r="S561" s="172" t="s">
        <v>51</v>
      </c>
      <c r="T561" s="17">
        <v>3130</v>
      </c>
      <c r="U561" s="14" t="s">
        <v>51</v>
      </c>
      <c r="V561" s="16">
        <f t="shared" si="83"/>
        <v>244110</v>
      </c>
      <c r="W561" s="16">
        <f t="shared" si="84"/>
        <v>244117</v>
      </c>
      <c r="X561" s="16">
        <f t="shared" si="85"/>
        <v>244112</v>
      </c>
      <c r="Y561" s="15"/>
      <c r="Z561" s="177"/>
      <c r="AA561" s="170"/>
      <c r="AB561" s="170"/>
      <c r="AC561" s="170"/>
      <c r="AD561" s="170"/>
      <c r="AE561" s="15"/>
      <c r="AF561" s="177"/>
      <c r="AG561" s="177">
        <f t="shared" si="86"/>
        <v>0</v>
      </c>
      <c r="AH561" s="177">
        <f t="shared" si="87"/>
        <v>0</v>
      </c>
      <c r="AK561" s="176"/>
      <c r="AL561" s="176"/>
    </row>
    <row r="562" spans="1:38" ht="36" customHeight="1" x14ac:dyDescent="0.2">
      <c r="A562" s="14" t="s">
        <v>21</v>
      </c>
      <c r="B562" s="212">
        <v>244110</v>
      </c>
      <c r="C562" s="14" t="s">
        <v>547</v>
      </c>
      <c r="D562" s="14" t="s">
        <v>268</v>
      </c>
      <c r="E562" s="14" t="s">
        <v>14</v>
      </c>
      <c r="F562" s="14" t="s">
        <v>324</v>
      </c>
      <c r="G562" s="179">
        <v>680561</v>
      </c>
      <c r="H562" s="176" t="s">
        <v>2293</v>
      </c>
      <c r="I562" s="176" t="s">
        <v>1189</v>
      </c>
      <c r="J562" s="176" t="s">
        <v>1191</v>
      </c>
      <c r="K562" s="176" t="s">
        <v>2296</v>
      </c>
      <c r="L562" s="40" t="s">
        <v>45</v>
      </c>
      <c r="M562" s="40" t="s">
        <v>341</v>
      </c>
      <c r="N562" s="14" t="s">
        <v>2303</v>
      </c>
      <c r="O562" s="14" t="s">
        <v>543</v>
      </c>
      <c r="P562" s="14" t="s">
        <v>1274</v>
      </c>
      <c r="Q562" s="14" t="s">
        <v>529</v>
      </c>
      <c r="R562" s="17">
        <v>300</v>
      </c>
      <c r="S562" s="172" t="s">
        <v>51</v>
      </c>
      <c r="T562" s="17">
        <v>1175</v>
      </c>
      <c r="U562" s="14" t="s">
        <v>51</v>
      </c>
      <c r="V562" s="16">
        <f t="shared" si="83"/>
        <v>244110</v>
      </c>
      <c r="W562" s="16">
        <f t="shared" si="84"/>
        <v>244117</v>
      </c>
      <c r="X562" s="16">
        <f t="shared" si="85"/>
        <v>244112</v>
      </c>
      <c r="Y562" s="15"/>
      <c r="Z562" s="177"/>
      <c r="AA562" s="170"/>
      <c r="AB562" s="170"/>
      <c r="AC562" s="170"/>
      <c r="AD562" s="170"/>
      <c r="AE562" s="15"/>
      <c r="AF562" s="177"/>
      <c r="AG562" s="177">
        <f t="shared" si="86"/>
        <v>0</v>
      </c>
      <c r="AH562" s="177">
        <f t="shared" si="87"/>
        <v>0</v>
      </c>
      <c r="AK562" s="176"/>
      <c r="AL562" s="176"/>
    </row>
    <row r="563" spans="1:38" ht="36" customHeight="1" x14ac:dyDescent="0.2">
      <c r="A563" s="14" t="s">
        <v>21</v>
      </c>
      <c r="B563" s="212">
        <v>244110</v>
      </c>
      <c r="C563" s="14" t="s">
        <v>547</v>
      </c>
      <c r="D563" s="14" t="s">
        <v>268</v>
      </c>
      <c r="E563" s="14" t="s">
        <v>14</v>
      </c>
      <c r="F563" s="14" t="s">
        <v>324</v>
      </c>
      <c r="G563" s="179">
        <v>680562</v>
      </c>
      <c r="H563" s="176" t="s">
        <v>2294</v>
      </c>
      <c r="I563" s="176" t="s">
        <v>1189</v>
      </c>
      <c r="J563" s="176" t="s">
        <v>1191</v>
      </c>
      <c r="K563" s="176" t="s">
        <v>2299</v>
      </c>
      <c r="L563" s="40" t="s">
        <v>45</v>
      </c>
      <c r="M563" s="40" t="s">
        <v>341</v>
      </c>
      <c r="N563" s="14" t="s">
        <v>2304</v>
      </c>
      <c r="O563" s="14" t="s">
        <v>2307</v>
      </c>
      <c r="P563" s="14" t="s">
        <v>2311</v>
      </c>
      <c r="Q563" s="14" t="s">
        <v>2315</v>
      </c>
      <c r="R563" s="17">
        <v>392</v>
      </c>
      <c r="S563" s="172" t="s">
        <v>51</v>
      </c>
      <c r="T563" s="17">
        <v>2250</v>
      </c>
      <c r="U563" s="14" t="s">
        <v>51</v>
      </c>
      <c r="V563" s="16">
        <f t="shared" si="83"/>
        <v>244110</v>
      </c>
      <c r="W563" s="16">
        <f t="shared" si="84"/>
        <v>244117</v>
      </c>
      <c r="X563" s="16">
        <f t="shared" si="85"/>
        <v>244112</v>
      </c>
      <c r="Y563" s="15"/>
      <c r="Z563" s="177"/>
      <c r="AA563" s="170"/>
      <c r="AB563" s="170"/>
      <c r="AC563" s="170"/>
      <c r="AD563" s="170"/>
      <c r="AE563" s="15"/>
      <c r="AF563" s="177"/>
      <c r="AG563" s="177">
        <f t="shared" si="86"/>
        <v>0</v>
      </c>
      <c r="AH563" s="177">
        <f t="shared" si="87"/>
        <v>0</v>
      </c>
      <c r="AK563" s="176"/>
      <c r="AL563" s="176"/>
    </row>
    <row r="564" spans="1:38" ht="36" customHeight="1" x14ac:dyDescent="0.2">
      <c r="A564" s="14" t="s">
        <v>21</v>
      </c>
      <c r="B564" s="212">
        <v>244110</v>
      </c>
      <c r="C564" s="14" t="s">
        <v>547</v>
      </c>
      <c r="D564" s="14" t="s">
        <v>268</v>
      </c>
      <c r="E564" s="14" t="s">
        <v>14</v>
      </c>
      <c r="F564" s="14" t="s">
        <v>324</v>
      </c>
      <c r="G564" s="179">
        <v>680563</v>
      </c>
      <c r="H564" s="176" t="s">
        <v>1925</v>
      </c>
      <c r="I564" s="176" t="s">
        <v>630</v>
      </c>
      <c r="J564" s="176" t="s">
        <v>520</v>
      </c>
      <c r="K564" s="176" t="s">
        <v>2295</v>
      </c>
      <c r="L564" s="40" t="s">
        <v>105</v>
      </c>
      <c r="M564" s="40" t="s">
        <v>341</v>
      </c>
      <c r="N564" s="14" t="s">
        <v>2308</v>
      </c>
      <c r="O564" s="14" t="s">
        <v>1909</v>
      </c>
      <c r="P564" s="14" t="s">
        <v>2312</v>
      </c>
      <c r="Q564" s="14" t="s">
        <v>1913</v>
      </c>
      <c r="R564" s="17">
        <v>620</v>
      </c>
      <c r="S564" s="172" t="s">
        <v>51</v>
      </c>
      <c r="T564" s="17" t="s">
        <v>2316</v>
      </c>
      <c r="U564" s="14" t="s">
        <v>51</v>
      </c>
      <c r="V564" s="16">
        <f t="shared" si="83"/>
        <v>244110</v>
      </c>
      <c r="W564" s="16">
        <f t="shared" si="84"/>
        <v>244117</v>
      </c>
      <c r="X564" s="16">
        <f t="shared" si="85"/>
        <v>244112</v>
      </c>
      <c r="Y564" s="15" t="s">
        <v>54</v>
      </c>
      <c r="Z564" s="177">
        <v>244112</v>
      </c>
      <c r="AA564" s="170"/>
      <c r="AB564" s="170"/>
      <c r="AC564" s="170"/>
      <c r="AD564" s="170"/>
      <c r="AE564" s="15" t="s">
        <v>54</v>
      </c>
      <c r="AF564" s="177">
        <v>244112</v>
      </c>
      <c r="AG564" s="177" t="str">
        <f t="shared" si="86"/>
        <v>Pass</v>
      </c>
      <c r="AH564" s="177">
        <f t="shared" si="87"/>
        <v>244112</v>
      </c>
      <c r="AK564" s="176"/>
      <c r="AL564" s="176"/>
    </row>
    <row r="565" spans="1:38" ht="36" customHeight="1" x14ac:dyDescent="0.2">
      <c r="A565" s="14" t="s">
        <v>21</v>
      </c>
      <c r="B565" s="212">
        <v>244111</v>
      </c>
      <c r="C565" s="14" t="s">
        <v>547</v>
      </c>
      <c r="D565" s="14" t="s">
        <v>268</v>
      </c>
      <c r="E565" s="14" t="s">
        <v>14</v>
      </c>
      <c r="F565" s="14" t="s">
        <v>324</v>
      </c>
      <c r="G565" s="179">
        <v>680564</v>
      </c>
      <c r="H565" s="176" t="s">
        <v>1925</v>
      </c>
      <c r="I565" s="176" t="s">
        <v>630</v>
      </c>
      <c r="J565" s="176" t="s">
        <v>520</v>
      </c>
      <c r="K565" s="176" t="s">
        <v>2295</v>
      </c>
      <c r="L565" s="40" t="s">
        <v>105</v>
      </c>
      <c r="M565" s="40" t="s">
        <v>341</v>
      </c>
      <c r="N565" s="14" t="s">
        <v>2319</v>
      </c>
      <c r="O565" s="14" t="s">
        <v>2321</v>
      </c>
      <c r="P565" s="14" t="s">
        <v>2323</v>
      </c>
      <c r="Q565" s="14" t="s">
        <v>2325</v>
      </c>
      <c r="R565" s="17">
        <v>634</v>
      </c>
      <c r="S565" s="172" t="s">
        <v>51</v>
      </c>
      <c r="T565" s="17">
        <v>2055</v>
      </c>
      <c r="U565" s="14" t="s">
        <v>51</v>
      </c>
      <c r="V565" s="16">
        <f t="shared" ref="V565:V600" si="88">B565</f>
        <v>244111</v>
      </c>
      <c r="W565" s="16">
        <f t="shared" ref="W565:W600" si="89">B565+7</f>
        <v>244118</v>
      </c>
      <c r="X565" s="16">
        <f t="shared" ref="X565:X600" si="90">V565+2</f>
        <v>244113</v>
      </c>
      <c r="Y565" s="15"/>
      <c r="Z565" s="177"/>
      <c r="AA565" s="170"/>
      <c r="AB565" s="170"/>
      <c r="AC565" s="170"/>
      <c r="AD565" s="170"/>
      <c r="AE565" s="15"/>
      <c r="AF565" s="177"/>
      <c r="AG565" s="177">
        <f t="shared" si="86"/>
        <v>0</v>
      </c>
      <c r="AH565" s="177">
        <f t="shared" si="87"/>
        <v>0</v>
      </c>
      <c r="AK565" s="176"/>
      <c r="AL565" s="176"/>
    </row>
    <row r="566" spans="1:38" ht="36" customHeight="1" x14ac:dyDescent="0.2">
      <c r="A566" s="14" t="s">
        <v>21</v>
      </c>
      <c r="B566" s="212">
        <v>244111</v>
      </c>
      <c r="C566" s="14" t="s">
        <v>547</v>
      </c>
      <c r="D566" s="14" t="s">
        <v>268</v>
      </c>
      <c r="E566" s="14" t="s">
        <v>14</v>
      </c>
      <c r="F566" s="14" t="s">
        <v>324</v>
      </c>
      <c r="G566" s="179">
        <v>680565</v>
      </c>
      <c r="H566" s="176" t="s">
        <v>1925</v>
      </c>
      <c r="I566" s="176" t="s">
        <v>630</v>
      </c>
      <c r="J566" s="176" t="s">
        <v>520</v>
      </c>
      <c r="K566" s="176" t="s">
        <v>2295</v>
      </c>
      <c r="L566" s="40" t="s">
        <v>105</v>
      </c>
      <c r="M566" s="40" t="s">
        <v>341</v>
      </c>
      <c r="N566" s="14" t="s">
        <v>2320</v>
      </c>
      <c r="O566" s="14" t="s">
        <v>2322</v>
      </c>
      <c r="P566" s="14" t="s">
        <v>2324</v>
      </c>
      <c r="Q566" s="14" t="s">
        <v>2326</v>
      </c>
      <c r="R566" s="17">
        <v>533</v>
      </c>
      <c r="S566" s="172" t="s">
        <v>51</v>
      </c>
      <c r="T566" s="17">
        <v>2040</v>
      </c>
      <c r="U566" s="14" t="s">
        <v>51</v>
      </c>
      <c r="V566" s="16">
        <f t="shared" si="88"/>
        <v>244111</v>
      </c>
      <c r="W566" s="16">
        <f t="shared" si="89"/>
        <v>244118</v>
      </c>
      <c r="X566" s="16">
        <f t="shared" si="90"/>
        <v>244113</v>
      </c>
      <c r="Y566" s="15"/>
      <c r="Z566" s="177"/>
      <c r="AA566" s="170"/>
      <c r="AB566" s="170"/>
      <c r="AC566" s="170"/>
      <c r="AD566" s="170"/>
      <c r="AE566" s="15"/>
      <c r="AF566" s="177"/>
      <c r="AG566" s="177">
        <f t="shared" si="86"/>
        <v>0</v>
      </c>
      <c r="AH566" s="177">
        <f t="shared" si="87"/>
        <v>0</v>
      </c>
      <c r="AK566" s="176"/>
      <c r="AL566" s="176"/>
    </row>
    <row r="567" spans="1:38" ht="36" customHeight="1" x14ac:dyDescent="0.2">
      <c r="A567" s="14" t="s">
        <v>21</v>
      </c>
      <c r="B567" s="212">
        <v>244111</v>
      </c>
      <c r="C567" s="14" t="s">
        <v>547</v>
      </c>
      <c r="D567" s="14" t="s">
        <v>268</v>
      </c>
      <c r="E567" s="14" t="s">
        <v>14</v>
      </c>
      <c r="F567" s="14" t="s">
        <v>324</v>
      </c>
      <c r="G567" s="179">
        <v>680566</v>
      </c>
      <c r="H567" s="176" t="s">
        <v>2317</v>
      </c>
      <c r="I567" s="176" t="s">
        <v>612</v>
      </c>
      <c r="J567" s="176" t="s">
        <v>727</v>
      </c>
      <c r="K567" s="176" t="s">
        <v>2318</v>
      </c>
      <c r="L567" s="40" t="s">
        <v>45</v>
      </c>
      <c r="M567" s="40" t="s">
        <v>341</v>
      </c>
      <c r="N567" s="14" t="s">
        <v>1214</v>
      </c>
      <c r="O567" s="14" t="s">
        <v>548</v>
      </c>
      <c r="P567" s="14" t="s">
        <v>518</v>
      </c>
      <c r="Q567" s="14" t="s">
        <v>549</v>
      </c>
      <c r="R567" s="17">
        <v>150</v>
      </c>
      <c r="S567" s="172" t="s">
        <v>51</v>
      </c>
      <c r="T567" s="17">
        <v>1800</v>
      </c>
      <c r="U567" s="14" t="s">
        <v>51</v>
      </c>
      <c r="V567" s="16">
        <f t="shared" si="88"/>
        <v>244111</v>
      </c>
      <c r="W567" s="16">
        <f t="shared" si="89"/>
        <v>244118</v>
      </c>
      <c r="X567" s="16">
        <f t="shared" si="90"/>
        <v>244113</v>
      </c>
      <c r="Y567" s="15"/>
      <c r="Z567" s="177"/>
      <c r="AA567" s="170"/>
      <c r="AB567" s="170"/>
      <c r="AC567" s="170"/>
      <c r="AD567" s="170"/>
      <c r="AE567" s="15"/>
      <c r="AF567" s="177"/>
      <c r="AG567" s="177">
        <f t="shared" si="86"/>
        <v>0</v>
      </c>
      <c r="AH567" s="177">
        <f t="shared" si="87"/>
        <v>0</v>
      </c>
      <c r="AK567" s="176"/>
      <c r="AL567" s="176"/>
    </row>
    <row r="568" spans="1:38" ht="36" customHeight="1" x14ac:dyDescent="0.2">
      <c r="A568" s="14" t="s">
        <v>21</v>
      </c>
      <c r="B568" s="212">
        <v>244111</v>
      </c>
      <c r="C568" s="14" t="s">
        <v>547</v>
      </c>
      <c r="D568" s="14" t="s">
        <v>268</v>
      </c>
      <c r="E568" s="14" t="s">
        <v>14</v>
      </c>
      <c r="F568" s="14" t="s">
        <v>324</v>
      </c>
      <c r="G568" s="179">
        <v>680567</v>
      </c>
      <c r="H568" s="176" t="s">
        <v>2327</v>
      </c>
      <c r="I568" s="176" t="s">
        <v>1874</v>
      </c>
      <c r="J568" s="176" t="s">
        <v>1412</v>
      </c>
      <c r="K568" s="176" t="s">
        <v>2328</v>
      </c>
      <c r="L568" s="40" t="s">
        <v>2329</v>
      </c>
      <c r="M568" s="40" t="s">
        <v>341</v>
      </c>
      <c r="N568" s="14" t="s">
        <v>2330</v>
      </c>
      <c r="O568" s="14" t="s">
        <v>543</v>
      </c>
      <c r="P568" s="14" t="s">
        <v>2332</v>
      </c>
      <c r="Q568" s="14" t="s">
        <v>529</v>
      </c>
      <c r="R568" s="17">
        <v>475</v>
      </c>
      <c r="S568" s="172" t="s">
        <v>51</v>
      </c>
      <c r="T568" s="17">
        <v>2449</v>
      </c>
      <c r="U568" s="14" t="s">
        <v>51</v>
      </c>
      <c r="V568" s="16">
        <f t="shared" si="88"/>
        <v>244111</v>
      </c>
      <c r="W568" s="16">
        <f t="shared" si="89"/>
        <v>244118</v>
      </c>
      <c r="X568" s="16">
        <f t="shared" si="90"/>
        <v>244113</v>
      </c>
      <c r="Y568" s="15"/>
      <c r="Z568" s="177"/>
      <c r="AA568" s="170"/>
      <c r="AB568" s="170"/>
      <c r="AC568" s="170"/>
      <c r="AD568" s="170"/>
      <c r="AE568" s="15"/>
      <c r="AF568" s="177"/>
      <c r="AG568" s="177">
        <f t="shared" si="86"/>
        <v>0</v>
      </c>
      <c r="AH568" s="177">
        <f t="shared" si="87"/>
        <v>0</v>
      </c>
      <c r="AK568" s="176"/>
      <c r="AL568" s="176"/>
    </row>
    <row r="569" spans="1:38" ht="36" customHeight="1" x14ac:dyDescent="0.2">
      <c r="A569" s="14" t="s">
        <v>21</v>
      </c>
      <c r="B569" s="212">
        <v>244111</v>
      </c>
      <c r="C569" s="14" t="s">
        <v>547</v>
      </c>
      <c r="D569" s="14" t="s">
        <v>268</v>
      </c>
      <c r="E569" s="14" t="s">
        <v>14</v>
      </c>
      <c r="F569" s="14" t="s">
        <v>324</v>
      </c>
      <c r="G569" s="179">
        <v>680568</v>
      </c>
      <c r="H569" s="176" t="s">
        <v>2327</v>
      </c>
      <c r="I569" s="176" t="s">
        <v>1874</v>
      </c>
      <c r="J569" s="176" t="s">
        <v>1412</v>
      </c>
      <c r="K569" s="176" t="s">
        <v>2328</v>
      </c>
      <c r="L569" s="40" t="s">
        <v>2329</v>
      </c>
      <c r="M569" s="40" t="s">
        <v>341</v>
      </c>
      <c r="N569" s="14" t="s">
        <v>2331</v>
      </c>
      <c r="O569" s="14" t="s">
        <v>548</v>
      </c>
      <c r="P569" s="14" t="s">
        <v>518</v>
      </c>
      <c r="Q569" s="14" t="s">
        <v>549</v>
      </c>
      <c r="R569" s="17">
        <v>363</v>
      </c>
      <c r="S569" s="172" t="s">
        <v>51</v>
      </c>
      <c r="T569" s="17" t="s">
        <v>2333</v>
      </c>
      <c r="U569" s="14" t="s">
        <v>51</v>
      </c>
      <c r="V569" s="16">
        <f t="shared" si="88"/>
        <v>244111</v>
      </c>
      <c r="W569" s="16">
        <f t="shared" si="89"/>
        <v>244118</v>
      </c>
      <c r="X569" s="16">
        <f t="shared" si="90"/>
        <v>244113</v>
      </c>
      <c r="Y569" s="15"/>
      <c r="Z569" s="177"/>
      <c r="AA569" s="170"/>
      <c r="AB569" s="170"/>
      <c r="AC569" s="170"/>
      <c r="AD569" s="170"/>
      <c r="AE569" s="15"/>
      <c r="AF569" s="177"/>
      <c r="AG569" s="177">
        <f t="shared" si="86"/>
        <v>0</v>
      </c>
      <c r="AH569" s="177">
        <f t="shared" si="87"/>
        <v>0</v>
      </c>
      <c r="AK569" s="176"/>
      <c r="AL569" s="176"/>
    </row>
    <row r="570" spans="1:38" ht="36" customHeight="1" x14ac:dyDescent="0.2">
      <c r="A570" s="14" t="s">
        <v>21</v>
      </c>
      <c r="B570" s="212">
        <v>244113</v>
      </c>
      <c r="C570" s="14" t="s">
        <v>547</v>
      </c>
      <c r="D570" s="14" t="s">
        <v>268</v>
      </c>
      <c r="E570" s="14" t="s">
        <v>14</v>
      </c>
      <c r="F570" s="14" t="s">
        <v>324</v>
      </c>
      <c r="G570" s="179">
        <v>680569</v>
      </c>
      <c r="H570" s="176" t="s">
        <v>2334</v>
      </c>
      <c r="I570" s="176" t="s">
        <v>551</v>
      </c>
      <c r="J570" s="176" t="s">
        <v>596</v>
      </c>
      <c r="K570" s="176" t="s">
        <v>2337</v>
      </c>
      <c r="L570" s="40" t="s">
        <v>108</v>
      </c>
      <c r="M570" s="40" t="s">
        <v>341</v>
      </c>
      <c r="N570" s="14" t="s">
        <v>2341</v>
      </c>
      <c r="O570" s="14" t="s">
        <v>2347</v>
      </c>
      <c r="P570" s="14" t="s">
        <v>2349</v>
      </c>
      <c r="Q570" s="14" t="s">
        <v>2351</v>
      </c>
      <c r="R570" s="17">
        <v>1000</v>
      </c>
      <c r="S570" s="172" t="s">
        <v>51</v>
      </c>
      <c r="T570" s="17">
        <v>3085</v>
      </c>
      <c r="U570" s="14" t="s">
        <v>51</v>
      </c>
      <c r="V570" s="16">
        <f t="shared" si="88"/>
        <v>244113</v>
      </c>
      <c r="W570" s="16">
        <f t="shared" si="89"/>
        <v>244120</v>
      </c>
      <c r="X570" s="16">
        <f t="shared" si="90"/>
        <v>244115</v>
      </c>
      <c r="Y570" s="15"/>
      <c r="Z570" s="177"/>
      <c r="AA570" s="170"/>
      <c r="AB570" s="170"/>
      <c r="AC570" s="170"/>
      <c r="AD570" s="170"/>
      <c r="AE570" s="15"/>
      <c r="AF570" s="177"/>
      <c r="AG570" s="177">
        <f t="shared" si="86"/>
        <v>0</v>
      </c>
      <c r="AH570" s="177">
        <f t="shared" si="87"/>
        <v>0</v>
      </c>
      <c r="AK570" s="176"/>
      <c r="AL570" s="176"/>
    </row>
    <row r="571" spans="1:38" ht="36" customHeight="1" x14ac:dyDescent="0.2">
      <c r="A571" s="14" t="s">
        <v>21</v>
      </c>
      <c r="B571" s="212">
        <v>244113</v>
      </c>
      <c r="C571" s="14" t="s">
        <v>547</v>
      </c>
      <c r="D571" s="14" t="s">
        <v>268</v>
      </c>
      <c r="E571" s="14" t="s">
        <v>14</v>
      </c>
      <c r="F571" s="14" t="s">
        <v>324</v>
      </c>
      <c r="G571" s="179">
        <v>680570</v>
      </c>
      <c r="H571" s="176" t="s">
        <v>2335</v>
      </c>
      <c r="I571" s="176" t="s">
        <v>909</v>
      </c>
      <c r="J571" s="176" t="s">
        <v>2042</v>
      </c>
      <c r="K571" s="176" t="s">
        <v>2338</v>
      </c>
      <c r="L571" s="40" t="s">
        <v>45</v>
      </c>
      <c r="M571" s="40" t="s">
        <v>341</v>
      </c>
      <c r="N571" s="14" t="s">
        <v>2342</v>
      </c>
      <c r="O571" s="14" t="s">
        <v>2348</v>
      </c>
      <c r="P571" s="14" t="s">
        <v>517</v>
      </c>
      <c r="Q571" s="14" t="s">
        <v>2352</v>
      </c>
      <c r="R571" s="17">
        <v>900</v>
      </c>
      <c r="S571" s="172" t="s">
        <v>51</v>
      </c>
      <c r="T571" s="17">
        <v>1750</v>
      </c>
      <c r="U571" s="14" t="s">
        <v>51</v>
      </c>
      <c r="V571" s="16">
        <f t="shared" si="88"/>
        <v>244113</v>
      </c>
      <c r="W571" s="16">
        <f t="shared" si="89"/>
        <v>244120</v>
      </c>
      <c r="X571" s="16">
        <f t="shared" si="90"/>
        <v>244115</v>
      </c>
      <c r="Y571" s="15"/>
      <c r="Z571" s="177"/>
      <c r="AA571" s="170"/>
      <c r="AB571" s="170"/>
      <c r="AC571" s="170"/>
      <c r="AD571" s="170"/>
      <c r="AE571" s="15"/>
      <c r="AF571" s="177"/>
      <c r="AG571" s="177">
        <f t="shared" si="86"/>
        <v>0</v>
      </c>
      <c r="AH571" s="177">
        <f t="shared" si="87"/>
        <v>0</v>
      </c>
      <c r="AK571" s="176"/>
      <c r="AL571" s="176"/>
    </row>
    <row r="572" spans="1:38" ht="36" customHeight="1" x14ac:dyDescent="0.2">
      <c r="A572" s="14" t="s">
        <v>21</v>
      </c>
      <c r="B572" s="212">
        <v>244113</v>
      </c>
      <c r="C572" s="14" t="s">
        <v>547</v>
      </c>
      <c r="D572" s="14" t="s">
        <v>268</v>
      </c>
      <c r="E572" s="14" t="s">
        <v>14</v>
      </c>
      <c r="F572" s="14" t="s">
        <v>324</v>
      </c>
      <c r="G572" s="179">
        <v>680571</v>
      </c>
      <c r="H572" s="176" t="s">
        <v>2335</v>
      </c>
      <c r="I572" s="176" t="s">
        <v>909</v>
      </c>
      <c r="J572" s="176" t="s">
        <v>2042</v>
      </c>
      <c r="K572" s="176" t="s">
        <v>2338</v>
      </c>
      <c r="L572" s="40" t="s">
        <v>45</v>
      </c>
      <c r="M572" s="40" t="s">
        <v>341</v>
      </c>
      <c r="N572" s="14" t="s">
        <v>1423</v>
      </c>
      <c r="O572" s="14" t="s">
        <v>548</v>
      </c>
      <c r="P572" s="14" t="s">
        <v>518</v>
      </c>
      <c r="Q572" s="14" t="s">
        <v>549</v>
      </c>
      <c r="R572" s="17">
        <v>196</v>
      </c>
      <c r="S572" s="172" t="s">
        <v>51</v>
      </c>
      <c r="T572" s="17">
        <v>1750</v>
      </c>
      <c r="U572" s="14" t="s">
        <v>51</v>
      </c>
      <c r="V572" s="16">
        <f t="shared" si="88"/>
        <v>244113</v>
      </c>
      <c r="W572" s="16">
        <f t="shared" si="89"/>
        <v>244120</v>
      </c>
      <c r="X572" s="16">
        <f t="shared" si="90"/>
        <v>244115</v>
      </c>
      <c r="Y572" s="15"/>
      <c r="Z572" s="177"/>
      <c r="AA572" s="170"/>
      <c r="AB572" s="170"/>
      <c r="AC572" s="170"/>
      <c r="AD572" s="170"/>
      <c r="AE572" s="15"/>
      <c r="AF572" s="177"/>
      <c r="AG572" s="177">
        <f t="shared" si="86"/>
        <v>0</v>
      </c>
      <c r="AH572" s="177">
        <f t="shared" si="87"/>
        <v>0</v>
      </c>
      <c r="AK572" s="176"/>
      <c r="AL572" s="176"/>
    </row>
    <row r="573" spans="1:38" ht="36" customHeight="1" x14ac:dyDescent="0.2">
      <c r="A573" s="14" t="s">
        <v>21</v>
      </c>
      <c r="B573" s="212">
        <v>244113</v>
      </c>
      <c r="C573" s="14" t="s">
        <v>547</v>
      </c>
      <c r="D573" s="14" t="s">
        <v>268</v>
      </c>
      <c r="E573" s="14" t="s">
        <v>14</v>
      </c>
      <c r="F573" s="14" t="s">
        <v>324</v>
      </c>
      <c r="G573" s="179">
        <v>680572</v>
      </c>
      <c r="H573" s="176" t="s">
        <v>2336</v>
      </c>
      <c r="I573" s="176" t="s">
        <v>550</v>
      </c>
      <c r="J573" s="176" t="s">
        <v>128</v>
      </c>
      <c r="K573" s="176" t="s">
        <v>2339</v>
      </c>
      <c r="L573" s="40" t="s">
        <v>106</v>
      </c>
      <c r="M573" s="40" t="s">
        <v>341</v>
      </c>
      <c r="N573" s="14" t="s">
        <v>2343</v>
      </c>
      <c r="O573" s="14" t="s">
        <v>548</v>
      </c>
      <c r="P573" s="14" t="s">
        <v>518</v>
      </c>
      <c r="Q573" s="14" t="s">
        <v>549</v>
      </c>
      <c r="R573" s="17">
        <v>236</v>
      </c>
      <c r="S573" s="172" t="s">
        <v>51</v>
      </c>
      <c r="T573" s="17">
        <v>2375</v>
      </c>
      <c r="U573" s="14" t="s">
        <v>51</v>
      </c>
      <c r="V573" s="16">
        <f t="shared" si="88"/>
        <v>244113</v>
      </c>
      <c r="W573" s="16">
        <f t="shared" si="89"/>
        <v>244120</v>
      </c>
      <c r="X573" s="16">
        <f t="shared" si="90"/>
        <v>244115</v>
      </c>
      <c r="Y573" s="15"/>
      <c r="Z573" s="177"/>
      <c r="AA573" s="170"/>
      <c r="AB573" s="170"/>
      <c r="AC573" s="170"/>
      <c r="AD573" s="170"/>
      <c r="AE573" s="15"/>
      <c r="AF573" s="177"/>
      <c r="AG573" s="177">
        <f t="shared" si="86"/>
        <v>0</v>
      </c>
      <c r="AH573" s="177">
        <f t="shared" si="87"/>
        <v>0</v>
      </c>
      <c r="AK573" s="176"/>
      <c r="AL573" s="176"/>
    </row>
    <row r="574" spans="1:38" ht="36" customHeight="1" x14ac:dyDescent="0.2">
      <c r="A574" s="14" t="s">
        <v>21</v>
      </c>
      <c r="B574" s="212">
        <v>244113</v>
      </c>
      <c r="C574" s="14" t="s">
        <v>547</v>
      </c>
      <c r="D574" s="14" t="s">
        <v>268</v>
      </c>
      <c r="E574" s="14" t="s">
        <v>14</v>
      </c>
      <c r="F574" s="14" t="s">
        <v>324</v>
      </c>
      <c r="G574" s="179">
        <v>680573</v>
      </c>
      <c r="H574" s="176" t="s">
        <v>772</v>
      </c>
      <c r="I574" s="176" t="s">
        <v>774</v>
      </c>
      <c r="J574" s="176" t="s">
        <v>776</v>
      </c>
      <c r="K574" s="176" t="s">
        <v>2340</v>
      </c>
      <c r="L574" s="40" t="s">
        <v>105</v>
      </c>
      <c r="M574" s="40" t="s">
        <v>341</v>
      </c>
      <c r="N574" s="14" t="s">
        <v>2344</v>
      </c>
      <c r="O574" s="14" t="s">
        <v>527</v>
      </c>
      <c r="P574" s="14" t="s">
        <v>2350</v>
      </c>
      <c r="Q574" s="14" t="s">
        <v>542</v>
      </c>
      <c r="R574" s="17">
        <v>844</v>
      </c>
      <c r="S574" s="172" t="s">
        <v>51</v>
      </c>
      <c r="T574" s="17">
        <v>1725</v>
      </c>
      <c r="U574" s="14" t="s">
        <v>51</v>
      </c>
      <c r="V574" s="16">
        <f t="shared" si="88"/>
        <v>244113</v>
      </c>
      <c r="W574" s="16">
        <f t="shared" si="89"/>
        <v>244120</v>
      </c>
      <c r="X574" s="16">
        <f t="shared" si="90"/>
        <v>244115</v>
      </c>
      <c r="Y574" s="15"/>
      <c r="Z574" s="177"/>
      <c r="AA574" s="170"/>
      <c r="AB574" s="170"/>
      <c r="AC574" s="170"/>
      <c r="AD574" s="170"/>
      <c r="AE574" s="15"/>
      <c r="AF574" s="177"/>
      <c r="AG574" s="177">
        <f t="shared" si="86"/>
        <v>0</v>
      </c>
      <c r="AH574" s="177">
        <f t="shared" si="87"/>
        <v>0</v>
      </c>
      <c r="AK574" s="176"/>
      <c r="AL574" s="176"/>
    </row>
    <row r="575" spans="1:38" ht="36" customHeight="1" x14ac:dyDescent="0.2">
      <c r="A575" s="14" t="s">
        <v>21</v>
      </c>
      <c r="B575" s="212">
        <v>244113</v>
      </c>
      <c r="C575" s="14" t="s">
        <v>547</v>
      </c>
      <c r="D575" s="14" t="s">
        <v>268</v>
      </c>
      <c r="E575" s="14" t="s">
        <v>14</v>
      </c>
      <c r="F575" s="14" t="s">
        <v>324</v>
      </c>
      <c r="G575" s="179">
        <v>680574</v>
      </c>
      <c r="H575" s="176" t="s">
        <v>2335</v>
      </c>
      <c r="I575" s="176" t="s">
        <v>909</v>
      </c>
      <c r="J575" s="176" t="s">
        <v>2042</v>
      </c>
      <c r="K575" s="176" t="s">
        <v>2338</v>
      </c>
      <c r="L575" s="40" t="s">
        <v>45</v>
      </c>
      <c r="M575" s="40" t="s">
        <v>341</v>
      </c>
      <c r="N575" s="14" t="s">
        <v>2345</v>
      </c>
      <c r="O575" s="14" t="s">
        <v>552</v>
      </c>
      <c r="P575" s="14" t="s">
        <v>519</v>
      </c>
      <c r="Q575" s="14" t="s">
        <v>553</v>
      </c>
      <c r="R575" s="17">
        <v>1100</v>
      </c>
      <c r="S575" s="172" t="s">
        <v>51</v>
      </c>
      <c r="T575" s="17">
        <v>1750</v>
      </c>
      <c r="U575" s="14" t="s">
        <v>51</v>
      </c>
      <c r="V575" s="16">
        <f t="shared" si="88"/>
        <v>244113</v>
      </c>
      <c r="W575" s="16">
        <f t="shared" si="89"/>
        <v>244120</v>
      </c>
      <c r="X575" s="16">
        <f t="shared" si="90"/>
        <v>244115</v>
      </c>
      <c r="Y575" s="15"/>
      <c r="Z575" s="177"/>
      <c r="AA575" s="170"/>
      <c r="AB575" s="170"/>
      <c r="AC575" s="170"/>
      <c r="AD575" s="170"/>
      <c r="AE575" s="15"/>
      <c r="AF575" s="177"/>
      <c r="AG575" s="177">
        <f t="shared" si="86"/>
        <v>0</v>
      </c>
      <c r="AH575" s="177">
        <f t="shared" si="87"/>
        <v>0</v>
      </c>
      <c r="AK575" s="176"/>
      <c r="AL575" s="176"/>
    </row>
    <row r="576" spans="1:38" ht="36" customHeight="1" x14ac:dyDescent="0.2">
      <c r="A576" s="14" t="s">
        <v>21</v>
      </c>
      <c r="B576" s="212">
        <v>244113</v>
      </c>
      <c r="C576" s="14" t="s">
        <v>547</v>
      </c>
      <c r="D576" s="14" t="s">
        <v>268</v>
      </c>
      <c r="E576" s="14" t="s">
        <v>14</v>
      </c>
      <c r="F576" s="14" t="s">
        <v>324</v>
      </c>
      <c r="G576" s="179">
        <v>680575</v>
      </c>
      <c r="H576" s="176" t="s">
        <v>772</v>
      </c>
      <c r="I576" s="176" t="s">
        <v>774</v>
      </c>
      <c r="J576" s="176" t="s">
        <v>776</v>
      </c>
      <c r="K576" s="176" t="s">
        <v>2340</v>
      </c>
      <c r="L576" s="40" t="s">
        <v>105</v>
      </c>
      <c r="M576" s="40" t="s">
        <v>341</v>
      </c>
      <c r="N576" s="14" t="s">
        <v>2346</v>
      </c>
      <c r="O576" s="14" t="s">
        <v>552</v>
      </c>
      <c r="P576" s="14" t="s">
        <v>519</v>
      </c>
      <c r="Q576" s="14" t="s">
        <v>553</v>
      </c>
      <c r="R576" s="17">
        <v>3115</v>
      </c>
      <c r="S576" s="172" t="s">
        <v>51</v>
      </c>
      <c r="T576" s="17">
        <v>1510</v>
      </c>
      <c r="U576" s="14" t="s">
        <v>51</v>
      </c>
      <c r="V576" s="16">
        <f t="shared" si="88"/>
        <v>244113</v>
      </c>
      <c r="W576" s="16">
        <f t="shared" si="89"/>
        <v>244120</v>
      </c>
      <c r="X576" s="16">
        <f t="shared" si="90"/>
        <v>244115</v>
      </c>
      <c r="Y576" s="15"/>
      <c r="Z576" s="177"/>
      <c r="AA576" s="170"/>
      <c r="AB576" s="170"/>
      <c r="AC576" s="170"/>
      <c r="AD576" s="170"/>
      <c r="AE576" s="15"/>
      <c r="AF576" s="177"/>
      <c r="AG576" s="177">
        <f t="shared" si="86"/>
        <v>0</v>
      </c>
      <c r="AH576" s="177">
        <f t="shared" si="87"/>
        <v>0</v>
      </c>
      <c r="AK576" s="176"/>
      <c r="AL576" s="176"/>
    </row>
    <row r="577" spans="1:38" ht="36" customHeight="1" x14ac:dyDescent="0.2">
      <c r="A577" s="14" t="s">
        <v>21</v>
      </c>
      <c r="B577" s="212">
        <v>244114</v>
      </c>
      <c r="C577" s="14" t="s">
        <v>547</v>
      </c>
      <c r="D577" s="14" t="s">
        <v>268</v>
      </c>
      <c r="E577" s="14" t="s">
        <v>14</v>
      </c>
      <c r="F577" s="14" t="s">
        <v>324</v>
      </c>
      <c r="G577" s="179">
        <v>680576</v>
      </c>
      <c r="H577" s="176" t="s">
        <v>1281</v>
      </c>
      <c r="I577" s="176" t="s">
        <v>550</v>
      </c>
      <c r="J577" s="176" t="s">
        <v>128</v>
      </c>
      <c r="K577" s="176" t="s">
        <v>2353</v>
      </c>
      <c r="L577" s="40" t="s">
        <v>106</v>
      </c>
      <c r="M577" s="40" t="s">
        <v>341</v>
      </c>
      <c r="N577" s="14" t="s">
        <v>2355</v>
      </c>
      <c r="O577" s="14" t="s">
        <v>548</v>
      </c>
      <c r="P577" s="14" t="s">
        <v>717</v>
      </c>
      <c r="Q577" s="14" t="s">
        <v>549</v>
      </c>
      <c r="R577" s="17">
        <v>186</v>
      </c>
      <c r="S577" s="172" t="s">
        <v>51</v>
      </c>
      <c r="T577" s="17">
        <v>2138</v>
      </c>
      <c r="U577" s="14" t="s">
        <v>51</v>
      </c>
      <c r="V577" s="16">
        <f t="shared" si="88"/>
        <v>244114</v>
      </c>
      <c r="W577" s="16">
        <f t="shared" si="89"/>
        <v>244121</v>
      </c>
      <c r="X577" s="16">
        <f t="shared" si="90"/>
        <v>244116</v>
      </c>
      <c r="Y577" s="15" t="s">
        <v>54</v>
      </c>
      <c r="Z577" s="177">
        <v>244126</v>
      </c>
      <c r="AA577" s="170"/>
      <c r="AB577" s="170"/>
      <c r="AC577" s="170"/>
      <c r="AD577" s="170"/>
      <c r="AE577" s="15" t="s">
        <v>54</v>
      </c>
      <c r="AF577" s="177">
        <v>244127</v>
      </c>
      <c r="AG577" s="177" t="str">
        <f t="shared" si="86"/>
        <v>Pass</v>
      </c>
      <c r="AH577" s="177">
        <f t="shared" si="87"/>
        <v>244127</v>
      </c>
      <c r="AK577" s="176"/>
      <c r="AL577" s="176"/>
    </row>
    <row r="578" spans="1:38" ht="36" customHeight="1" x14ac:dyDescent="0.2">
      <c r="A578" s="14" t="s">
        <v>21</v>
      </c>
      <c r="B578" s="212">
        <v>244114</v>
      </c>
      <c r="C578" s="14" t="s">
        <v>547</v>
      </c>
      <c r="D578" s="14" t="s">
        <v>268</v>
      </c>
      <c r="E578" s="14" t="s">
        <v>14</v>
      </c>
      <c r="F578" s="14" t="s">
        <v>324</v>
      </c>
      <c r="G578" s="179">
        <v>680577</v>
      </c>
      <c r="H578" s="176" t="s">
        <v>1223</v>
      </c>
      <c r="I578" s="176" t="s">
        <v>864</v>
      </c>
      <c r="J578" s="176" t="s">
        <v>865</v>
      </c>
      <c r="K578" s="176" t="s">
        <v>2354</v>
      </c>
      <c r="L578" s="40" t="s">
        <v>45</v>
      </c>
      <c r="M578" s="40" t="s">
        <v>341</v>
      </c>
      <c r="N578" s="14" t="s">
        <v>733</v>
      </c>
      <c r="O578" s="14" t="s">
        <v>528</v>
      </c>
      <c r="P578" s="14" t="s">
        <v>1248</v>
      </c>
      <c r="Q578" s="14" t="s">
        <v>541</v>
      </c>
      <c r="R578" s="17">
        <v>300</v>
      </c>
      <c r="S578" s="172" t="s">
        <v>51</v>
      </c>
      <c r="T578" s="17">
        <v>900</v>
      </c>
      <c r="U578" s="14" t="s">
        <v>51</v>
      </c>
      <c r="V578" s="16">
        <f t="shared" si="88"/>
        <v>244114</v>
      </c>
      <c r="W578" s="16">
        <f t="shared" si="89"/>
        <v>244121</v>
      </c>
      <c r="X578" s="16">
        <f t="shared" si="90"/>
        <v>244116</v>
      </c>
      <c r="Y578" s="15" t="s">
        <v>54</v>
      </c>
      <c r="Z578" s="177">
        <v>244125</v>
      </c>
      <c r="AA578" s="170"/>
      <c r="AB578" s="170"/>
      <c r="AC578" s="170"/>
      <c r="AD578" s="170"/>
      <c r="AE578" s="15" t="s">
        <v>54</v>
      </c>
      <c r="AF578" s="177">
        <v>244126</v>
      </c>
      <c r="AG578" s="177" t="str">
        <f t="shared" si="86"/>
        <v>Pass</v>
      </c>
      <c r="AH578" s="177">
        <f t="shared" si="87"/>
        <v>244126</v>
      </c>
      <c r="AK578" s="176"/>
      <c r="AL578" s="176"/>
    </row>
    <row r="579" spans="1:38" ht="36" customHeight="1" x14ac:dyDescent="0.2">
      <c r="A579" s="14" t="s">
        <v>21</v>
      </c>
      <c r="B579" s="212">
        <v>244114</v>
      </c>
      <c r="C579" s="14" t="s">
        <v>547</v>
      </c>
      <c r="D579" s="14" t="s">
        <v>268</v>
      </c>
      <c r="E579" s="14" t="s">
        <v>14</v>
      </c>
      <c r="F579" s="14" t="s">
        <v>324</v>
      </c>
      <c r="G579" s="179">
        <v>680578</v>
      </c>
      <c r="H579" s="176" t="s">
        <v>1223</v>
      </c>
      <c r="I579" s="176" t="s">
        <v>864</v>
      </c>
      <c r="J579" s="176" t="s">
        <v>865</v>
      </c>
      <c r="K579" s="176" t="s">
        <v>2354</v>
      </c>
      <c r="L579" s="40" t="s">
        <v>45</v>
      </c>
      <c r="M579" s="40" t="s">
        <v>341</v>
      </c>
      <c r="N579" s="14" t="s">
        <v>2356</v>
      </c>
      <c r="O579" s="14" t="s">
        <v>714</v>
      </c>
      <c r="P579" s="14" t="s">
        <v>2362</v>
      </c>
      <c r="Q579" s="14" t="s">
        <v>716</v>
      </c>
      <c r="R579" s="17">
        <v>250</v>
      </c>
      <c r="S579" s="172" t="s">
        <v>51</v>
      </c>
      <c r="T579" s="17">
        <v>900</v>
      </c>
      <c r="U579" s="14" t="s">
        <v>51</v>
      </c>
      <c r="V579" s="16">
        <f t="shared" si="88"/>
        <v>244114</v>
      </c>
      <c r="W579" s="16">
        <f t="shared" si="89"/>
        <v>244121</v>
      </c>
      <c r="X579" s="16">
        <f t="shared" si="90"/>
        <v>244116</v>
      </c>
      <c r="Y579" s="15" t="s">
        <v>54</v>
      </c>
      <c r="Z579" s="177">
        <v>244125</v>
      </c>
      <c r="AA579" s="170"/>
      <c r="AB579" s="170"/>
      <c r="AC579" s="170"/>
      <c r="AD579" s="170"/>
      <c r="AE579" s="15" t="s">
        <v>54</v>
      </c>
      <c r="AF579" s="177">
        <v>244126</v>
      </c>
      <c r="AG579" s="177" t="str">
        <f t="shared" si="86"/>
        <v>Pass</v>
      </c>
      <c r="AH579" s="177">
        <f t="shared" si="87"/>
        <v>244126</v>
      </c>
      <c r="AK579" s="176"/>
      <c r="AL579" s="176"/>
    </row>
    <row r="580" spans="1:38" ht="36" customHeight="1" x14ac:dyDescent="0.2">
      <c r="A580" s="14" t="s">
        <v>21</v>
      </c>
      <c r="B580" s="212">
        <v>244114</v>
      </c>
      <c r="C580" s="14" t="s">
        <v>547</v>
      </c>
      <c r="D580" s="14" t="s">
        <v>268</v>
      </c>
      <c r="E580" s="14" t="s">
        <v>14</v>
      </c>
      <c r="F580" s="14" t="s">
        <v>324</v>
      </c>
      <c r="G580" s="179">
        <v>680579</v>
      </c>
      <c r="H580" s="176" t="s">
        <v>1223</v>
      </c>
      <c r="I580" s="176" t="s">
        <v>864</v>
      </c>
      <c r="J580" s="176" t="s">
        <v>865</v>
      </c>
      <c r="K580" s="176" t="s">
        <v>2354</v>
      </c>
      <c r="L580" s="40" t="s">
        <v>45</v>
      </c>
      <c r="M580" s="40" t="s">
        <v>341</v>
      </c>
      <c r="N580" s="14" t="s">
        <v>2357</v>
      </c>
      <c r="O580" s="14" t="s">
        <v>756</v>
      </c>
      <c r="P580" s="14" t="s">
        <v>2363</v>
      </c>
      <c r="Q580" s="14" t="s">
        <v>758</v>
      </c>
      <c r="R580" s="17">
        <v>350</v>
      </c>
      <c r="S580" s="172" t="s">
        <v>51</v>
      </c>
      <c r="T580" s="17">
        <v>1400</v>
      </c>
      <c r="U580" s="14" t="s">
        <v>51</v>
      </c>
      <c r="V580" s="16">
        <f t="shared" si="88"/>
        <v>244114</v>
      </c>
      <c r="W580" s="16">
        <f t="shared" si="89"/>
        <v>244121</v>
      </c>
      <c r="X580" s="16">
        <f t="shared" si="90"/>
        <v>244116</v>
      </c>
      <c r="Y580" s="15" t="s">
        <v>54</v>
      </c>
      <c r="Z580" s="177">
        <v>244125</v>
      </c>
      <c r="AA580" s="170"/>
      <c r="AB580" s="170"/>
      <c r="AC580" s="170"/>
      <c r="AD580" s="170"/>
      <c r="AE580" s="15" t="s">
        <v>54</v>
      </c>
      <c r="AF580" s="177">
        <v>244126</v>
      </c>
      <c r="AG580" s="177" t="str">
        <f t="shared" si="86"/>
        <v>Pass</v>
      </c>
      <c r="AH580" s="177">
        <f t="shared" si="87"/>
        <v>244126</v>
      </c>
      <c r="AK580" s="176"/>
      <c r="AL580" s="176"/>
    </row>
    <row r="581" spans="1:38" ht="36" customHeight="1" x14ac:dyDescent="0.2">
      <c r="A581" s="14" t="s">
        <v>21</v>
      </c>
      <c r="B581" s="212">
        <v>244114</v>
      </c>
      <c r="C581" s="14" t="s">
        <v>547</v>
      </c>
      <c r="D581" s="14" t="s">
        <v>268</v>
      </c>
      <c r="E581" s="14" t="s">
        <v>14</v>
      </c>
      <c r="F581" s="14" t="s">
        <v>324</v>
      </c>
      <c r="G581" s="179">
        <v>680580</v>
      </c>
      <c r="H581" s="176" t="s">
        <v>1223</v>
      </c>
      <c r="I581" s="176" t="s">
        <v>864</v>
      </c>
      <c r="J581" s="176" t="s">
        <v>865</v>
      </c>
      <c r="K581" s="176" t="s">
        <v>2354</v>
      </c>
      <c r="L581" s="40" t="s">
        <v>45</v>
      </c>
      <c r="M581" s="40" t="s">
        <v>341</v>
      </c>
      <c r="N581" s="14" t="s">
        <v>2358</v>
      </c>
      <c r="O581" s="14" t="s">
        <v>552</v>
      </c>
      <c r="P581" s="14" t="s">
        <v>685</v>
      </c>
      <c r="Q581" s="14" t="s">
        <v>553</v>
      </c>
      <c r="R581" s="17">
        <v>632</v>
      </c>
      <c r="S581" s="172" t="s">
        <v>51</v>
      </c>
      <c r="T581" s="17">
        <v>1400</v>
      </c>
      <c r="U581" s="14" t="s">
        <v>51</v>
      </c>
      <c r="V581" s="16">
        <f t="shared" si="88"/>
        <v>244114</v>
      </c>
      <c r="W581" s="16">
        <f t="shared" si="89"/>
        <v>244121</v>
      </c>
      <c r="X581" s="16">
        <f t="shared" si="90"/>
        <v>244116</v>
      </c>
      <c r="Y581" s="15" t="s">
        <v>54</v>
      </c>
      <c r="Z581" s="177">
        <v>244125</v>
      </c>
      <c r="AA581" s="170"/>
      <c r="AB581" s="170"/>
      <c r="AC581" s="170"/>
      <c r="AD581" s="170"/>
      <c r="AE581" s="15" t="s">
        <v>54</v>
      </c>
      <c r="AF581" s="177">
        <v>244126</v>
      </c>
      <c r="AG581" s="177" t="str">
        <f t="shared" si="86"/>
        <v>Pass</v>
      </c>
      <c r="AH581" s="177">
        <f t="shared" si="87"/>
        <v>244126</v>
      </c>
      <c r="AK581" s="176"/>
      <c r="AL581" s="176"/>
    </row>
    <row r="582" spans="1:38" ht="36" customHeight="1" x14ac:dyDescent="0.2">
      <c r="A582" s="14" t="s">
        <v>21</v>
      </c>
      <c r="B582" s="212">
        <v>244114</v>
      </c>
      <c r="C582" s="14" t="s">
        <v>547</v>
      </c>
      <c r="D582" s="14" t="s">
        <v>268</v>
      </c>
      <c r="E582" s="14" t="s">
        <v>14</v>
      </c>
      <c r="F582" s="14" t="s">
        <v>324</v>
      </c>
      <c r="G582" s="179">
        <v>680581</v>
      </c>
      <c r="H582" s="176" t="s">
        <v>1223</v>
      </c>
      <c r="I582" s="176" t="s">
        <v>864</v>
      </c>
      <c r="J582" s="176" t="s">
        <v>865</v>
      </c>
      <c r="K582" s="176" t="s">
        <v>2354</v>
      </c>
      <c r="L582" s="40" t="s">
        <v>45</v>
      </c>
      <c r="M582" s="40" t="s">
        <v>341</v>
      </c>
      <c r="N582" s="14" t="s">
        <v>2359</v>
      </c>
      <c r="O582" s="14" t="s">
        <v>756</v>
      </c>
      <c r="P582" s="14" t="s">
        <v>2364</v>
      </c>
      <c r="Q582" s="14" t="s">
        <v>758</v>
      </c>
      <c r="R582" s="17">
        <v>300</v>
      </c>
      <c r="S582" s="172" t="s">
        <v>51</v>
      </c>
      <c r="T582" s="17">
        <v>835</v>
      </c>
      <c r="U582" s="14" t="s">
        <v>51</v>
      </c>
      <c r="V582" s="16">
        <f t="shared" si="88"/>
        <v>244114</v>
      </c>
      <c r="W582" s="16">
        <f t="shared" si="89"/>
        <v>244121</v>
      </c>
      <c r="X582" s="16">
        <f t="shared" si="90"/>
        <v>244116</v>
      </c>
      <c r="Y582" s="15"/>
      <c r="Z582" s="177"/>
      <c r="AA582" s="170"/>
      <c r="AB582" s="170"/>
      <c r="AC582" s="170"/>
      <c r="AD582" s="170"/>
      <c r="AE582" s="15"/>
      <c r="AF582" s="177"/>
      <c r="AG582" s="177">
        <f t="shared" si="86"/>
        <v>0</v>
      </c>
      <c r="AH582" s="177">
        <f t="shared" si="87"/>
        <v>0</v>
      </c>
      <c r="AK582" s="176"/>
      <c r="AL582" s="176"/>
    </row>
    <row r="583" spans="1:38" ht="36" customHeight="1" x14ac:dyDescent="0.2">
      <c r="A583" s="14" t="s">
        <v>21</v>
      </c>
      <c r="B583" s="212">
        <v>244114</v>
      </c>
      <c r="C583" s="14" t="s">
        <v>547</v>
      </c>
      <c r="D583" s="14" t="s">
        <v>268</v>
      </c>
      <c r="E583" s="14" t="s">
        <v>14</v>
      </c>
      <c r="F583" s="14" t="s">
        <v>324</v>
      </c>
      <c r="G583" s="179">
        <v>680582</v>
      </c>
      <c r="H583" s="176" t="s">
        <v>1223</v>
      </c>
      <c r="I583" s="176" t="s">
        <v>864</v>
      </c>
      <c r="J583" s="176" t="s">
        <v>865</v>
      </c>
      <c r="K583" s="176" t="s">
        <v>2354</v>
      </c>
      <c r="L583" s="40" t="s">
        <v>45</v>
      </c>
      <c r="M583" s="40" t="s">
        <v>341</v>
      </c>
      <c r="N583" s="14" t="s">
        <v>2360</v>
      </c>
      <c r="O583" s="14" t="s">
        <v>552</v>
      </c>
      <c r="P583" s="14" t="s">
        <v>1489</v>
      </c>
      <c r="Q583" s="14" t="s">
        <v>553</v>
      </c>
      <c r="R583" s="17">
        <v>135</v>
      </c>
      <c r="S583" s="172" t="s">
        <v>51</v>
      </c>
      <c r="T583" s="17">
        <v>835</v>
      </c>
      <c r="U583" s="14" t="s">
        <v>51</v>
      </c>
      <c r="V583" s="16">
        <f t="shared" si="88"/>
        <v>244114</v>
      </c>
      <c r="W583" s="16">
        <f t="shared" si="89"/>
        <v>244121</v>
      </c>
      <c r="X583" s="16">
        <f t="shared" si="90"/>
        <v>244116</v>
      </c>
      <c r="Y583" s="15"/>
      <c r="Z583" s="177"/>
      <c r="AA583" s="170"/>
      <c r="AB583" s="170"/>
      <c r="AC583" s="170"/>
      <c r="AD583" s="170"/>
      <c r="AE583" s="15"/>
      <c r="AF583" s="177"/>
      <c r="AG583" s="177">
        <f t="shared" si="86"/>
        <v>0</v>
      </c>
      <c r="AH583" s="177">
        <f t="shared" si="87"/>
        <v>0</v>
      </c>
      <c r="AK583" s="176"/>
      <c r="AL583" s="176"/>
    </row>
    <row r="584" spans="1:38" ht="36" customHeight="1" x14ac:dyDescent="0.2">
      <c r="A584" s="14" t="s">
        <v>21</v>
      </c>
      <c r="B584" s="212">
        <v>244114</v>
      </c>
      <c r="C584" s="14" t="s">
        <v>547</v>
      </c>
      <c r="D584" s="14" t="s">
        <v>268</v>
      </c>
      <c r="E584" s="14" t="s">
        <v>14</v>
      </c>
      <c r="F584" s="14" t="s">
        <v>324</v>
      </c>
      <c r="G584" s="179">
        <v>680583</v>
      </c>
      <c r="H584" s="176" t="s">
        <v>772</v>
      </c>
      <c r="I584" s="176" t="s">
        <v>774</v>
      </c>
      <c r="J584" s="176" t="s">
        <v>865</v>
      </c>
      <c r="K584" s="176" t="s">
        <v>2340</v>
      </c>
      <c r="L584" s="40" t="s">
        <v>105</v>
      </c>
      <c r="M584" s="40" t="s">
        <v>341</v>
      </c>
      <c r="N584" s="14" t="s">
        <v>2361</v>
      </c>
      <c r="O584" s="14" t="s">
        <v>552</v>
      </c>
      <c r="P584" s="14" t="s">
        <v>519</v>
      </c>
      <c r="Q584" s="14" t="s">
        <v>553</v>
      </c>
      <c r="R584" s="17">
        <v>875</v>
      </c>
      <c r="S584" s="172" t="s">
        <v>51</v>
      </c>
      <c r="T584" s="17">
        <v>1745</v>
      </c>
      <c r="U584" s="14" t="s">
        <v>51</v>
      </c>
      <c r="V584" s="16">
        <f t="shared" si="88"/>
        <v>244114</v>
      </c>
      <c r="W584" s="16">
        <f t="shared" si="89"/>
        <v>244121</v>
      </c>
      <c r="X584" s="16">
        <f t="shared" si="90"/>
        <v>244116</v>
      </c>
      <c r="Y584" s="15" t="s">
        <v>54</v>
      </c>
      <c r="Z584" s="177">
        <v>244127</v>
      </c>
      <c r="AA584" s="170"/>
      <c r="AB584" s="170"/>
      <c r="AC584" s="170"/>
      <c r="AD584" s="170"/>
      <c r="AE584" s="15" t="s">
        <v>54</v>
      </c>
      <c r="AF584" s="177">
        <v>244130</v>
      </c>
      <c r="AG584" s="177" t="str">
        <f t="shared" si="86"/>
        <v>Pass</v>
      </c>
      <c r="AH584" s="177">
        <f t="shared" si="87"/>
        <v>244130</v>
      </c>
      <c r="AK584" s="176"/>
      <c r="AL584" s="176"/>
    </row>
    <row r="585" spans="1:38" ht="36" customHeight="1" x14ac:dyDescent="0.2">
      <c r="A585" s="14" t="s">
        <v>21</v>
      </c>
      <c r="B585" s="212">
        <v>244117</v>
      </c>
      <c r="C585" s="14" t="s">
        <v>547</v>
      </c>
      <c r="D585" s="14" t="s">
        <v>268</v>
      </c>
      <c r="E585" s="14" t="s">
        <v>14</v>
      </c>
      <c r="F585" s="14" t="s">
        <v>324</v>
      </c>
      <c r="G585" s="179">
        <v>680584</v>
      </c>
      <c r="H585" s="176" t="s">
        <v>2365</v>
      </c>
      <c r="I585" s="176" t="s">
        <v>551</v>
      </c>
      <c r="J585" s="176" t="s">
        <v>596</v>
      </c>
      <c r="K585" s="176" t="s">
        <v>2368</v>
      </c>
      <c r="L585" s="40" t="s">
        <v>108</v>
      </c>
      <c r="M585" s="40" t="s">
        <v>341</v>
      </c>
      <c r="N585" s="14" t="s">
        <v>2373</v>
      </c>
      <c r="O585" s="14" t="s">
        <v>2381</v>
      </c>
      <c r="P585" s="14" t="s">
        <v>1746</v>
      </c>
      <c r="Q585" s="14" t="s">
        <v>2386</v>
      </c>
      <c r="R585" s="17">
        <v>112</v>
      </c>
      <c r="S585" s="172" t="s">
        <v>51</v>
      </c>
      <c r="T585" s="17">
        <v>1935</v>
      </c>
      <c r="U585" s="14" t="s">
        <v>51</v>
      </c>
      <c r="V585" s="16">
        <f t="shared" si="88"/>
        <v>244117</v>
      </c>
      <c r="W585" s="16">
        <f t="shared" si="89"/>
        <v>244124</v>
      </c>
      <c r="X585" s="16">
        <f t="shared" si="90"/>
        <v>244119</v>
      </c>
      <c r="Y585" s="15" t="s">
        <v>54</v>
      </c>
      <c r="Z585" s="177">
        <v>244126</v>
      </c>
      <c r="AA585" s="170"/>
      <c r="AB585" s="170"/>
      <c r="AC585" s="170"/>
      <c r="AD585" s="170"/>
      <c r="AE585" s="15" t="s">
        <v>54</v>
      </c>
      <c r="AF585" s="177">
        <v>244127</v>
      </c>
      <c r="AG585" s="177" t="str">
        <f t="shared" si="86"/>
        <v>Pass</v>
      </c>
      <c r="AH585" s="177">
        <f t="shared" si="87"/>
        <v>244127</v>
      </c>
      <c r="AK585" s="176"/>
      <c r="AL585" s="176"/>
    </row>
    <row r="586" spans="1:38" ht="36" customHeight="1" x14ac:dyDescent="0.2">
      <c r="A586" s="14" t="s">
        <v>21</v>
      </c>
      <c r="B586" s="212">
        <v>244117</v>
      </c>
      <c r="C586" s="14" t="s">
        <v>547</v>
      </c>
      <c r="D586" s="14" t="s">
        <v>268</v>
      </c>
      <c r="E586" s="14" t="s">
        <v>14</v>
      </c>
      <c r="F586" s="14" t="s">
        <v>324</v>
      </c>
      <c r="G586" s="179">
        <v>680585</v>
      </c>
      <c r="H586" s="176" t="s">
        <v>2366</v>
      </c>
      <c r="I586" s="176" t="s">
        <v>550</v>
      </c>
      <c r="J586" s="176" t="s">
        <v>128</v>
      </c>
      <c r="K586" s="176" t="s">
        <v>2369</v>
      </c>
      <c r="L586" s="40" t="s">
        <v>45</v>
      </c>
      <c r="M586" s="40" t="s">
        <v>341</v>
      </c>
      <c r="N586" s="14" t="s">
        <v>2374</v>
      </c>
      <c r="O586" s="14" t="s">
        <v>1009</v>
      </c>
      <c r="P586" s="14" t="s">
        <v>2382</v>
      </c>
      <c r="Q586" s="14" t="s">
        <v>323</v>
      </c>
      <c r="R586" s="17">
        <v>150</v>
      </c>
      <c r="S586" s="172" t="s">
        <v>51</v>
      </c>
      <c r="T586" s="17">
        <v>2515</v>
      </c>
      <c r="U586" s="14" t="s">
        <v>51</v>
      </c>
      <c r="V586" s="16">
        <f t="shared" si="88"/>
        <v>244117</v>
      </c>
      <c r="W586" s="16">
        <f t="shared" si="89"/>
        <v>244124</v>
      </c>
      <c r="X586" s="16">
        <f t="shared" si="90"/>
        <v>244119</v>
      </c>
      <c r="Y586" s="15"/>
      <c r="Z586" s="177"/>
      <c r="AA586" s="170"/>
      <c r="AB586" s="170"/>
      <c r="AC586" s="170"/>
      <c r="AD586" s="170"/>
      <c r="AE586" s="15"/>
      <c r="AF586" s="177"/>
      <c r="AG586" s="177">
        <f t="shared" si="86"/>
        <v>0</v>
      </c>
      <c r="AH586" s="177">
        <f t="shared" si="87"/>
        <v>0</v>
      </c>
      <c r="AK586" s="176"/>
      <c r="AL586" s="176"/>
    </row>
    <row r="587" spans="1:38" ht="36" customHeight="1" x14ac:dyDescent="0.2">
      <c r="A587" s="14" t="s">
        <v>21</v>
      </c>
      <c r="B587" s="212">
        <v>244117</v>
      </c>
      <c r="C587" s="14" t="s">
        <v>547</v>
      </c>
      <c r="D587" s="14" t="s">
        <v>268</v>
      </c>
      <c r="E587" s="14" t="s">
        <v>14</v>
      </c>
      <c r="F587" s="14" t="s">
        <v>324</v>
      </c>
      <c r="G587" s="179">
        <v>680586</v>
      </c>
      <c r="H587" s="176" t="s">
        <v>1925</v>
      </c>
      <c r="I587" s="176" t="s">
        <v>630</v>
      </c>
      <c r="J587" s="176" t="s">
        <v>520</v>
      </c>
      <c r="K587" s="176" t="s">
        <v>2370</v>
      </c>
      <c r="L587" s="40" t="s">
        <v>105</v>
      </c>
      <c r="M587" s="40" t="s">
        <v>341</v>
      </c>
      <c r="N587" s="14" t="s">
        <v>2375</v>
      </c>
      <c r="O587" s="14" t="s">
        <v>543</v>
      </c>
      <c r="P587" s="14" t="s">
        <v>2383</v>
      </c>
      <c r="Q587" s="14" t="s">
        <v>529</v>
      </c>
      <c r="R587" s="17">
        <v>960</v>
      </c>
      <c r="S587" s="172" t="s">
        <v>51</v>
      </c>
      <c r="T587" s="17">
        <v>2035</v>
      </c>
      <c r="U587" s="14" t="s">
        <v>51</v>
      </c>
      <c r="V587" s="16">
        <f t="shared" si="88"/>
        <v>244117</v>
      </c>
      <c r="W587" s="16">
        <f t="shared" si="89"/>
        <v>244124</v>
      </c>
      <c r="X587" s="16">
        <f t="shared" si="90"/>
        <v>244119</v>
      </c>
      <c r="Y587" s="15" t="s">
        <v>54</v>
      </c>
      <c r="Z587" s="177">
        <v>244127</v>
      </c>
      <c r="AA587" s="170"/>
      <c r="AB587" s="170"/>
      <c r="AC587" s="170"/>
      <c r="AD587" s="170"/>
      <c r="AE587" s="15" t="s">
        <v>54</v>
      </c>
      <c r="AF587" s="177">
        <v>244130</v>
      </c>
      <c r="AG587" s="177" t="str">
        <f t="shared" si="86"/>
        <v>Pass</v>
      </c>
      <c r="AH587" s="177">
        <f t="shared" si="87"/>
        <v>244130</v>
      </c>
      <c r="AK587" s="176"/>
      <c r="AL587" s="176"/>
    </row>
    <row r="588" spans="1:38" ht="36" customHeight="1" x14ac:dyDescent="0.2">
      <c r="A588" s="14" t="s">
        <v>21</v>
      </c>
      <c r="B588" s="212">
        <v>244117</v>
      </c>
      <c r="C588" s="14" t="s">
        <v>547</v>
      </c>
      <c r="D588" s="14" t="s">
        <v>268</v>
      </c>
      <c r="E588" s="14" t="s">
        <v>14</v>
      </c>
      <c r="F588" s="14" t="s">
        <v>324</v>
      </c>
      <c r="G588" s="179">
        <v>680587</v>
      </c>
      <c r="H588" s="176" t="s">
        <v>720</v>
      </c>
      <c r="I588" s="176" t="s">
        <v>724</v>
      </c>
      <c r="J588" s="176" t="s">
        <v>707</v>
      </c>
      <c r="K588" s="176" t="s">
        <v>2371</v>
      </c>
      <c r="L588" s="40" t="s">
        <v>106</v>
      </c>
      <c r="M588" s="40" t="s">
        <v>341</v>
      </c>
      <c r="N588" s="14" t="s">
        <v>2376</v>
      </c>
      <c r="O588" s="14" t="s">
        <v>548</v>
      </c>
      <c r="P588" s="14" t="s">
        <v>518</v>
      </c>
      <c r="Q588" s="14" t="s">
        <v>549</v>
      </c>
      <c r="R588" s="17">
        <v>107</v>
      </c>
      <c r="S588" s="172" t="s">
        <v>51</v>
      </c>
      <c r="T588" s="17">
        <v>3177</v>
      </c>
      <c r="U588" s="14" t="s">
        <v>51</v>
      </c>
      <c r="V588" s="16">
        <f t="shared" si="88"/>
        <v>244117</v>
      </c>
      <c r="W588" s="16">
        <f t="shared" si="89"/>
        <v>244124</v>
      </c>
      <c r="X588" s="16">
        <f t="shared" si="90"/>
        <v>244119</v>
      </c>
      <c r="Y588" s="15" t="s">
        <v>54</v>
      </c>
      <c r="Z588" s="177">
        <v>244126</v>
      </c>
      <c r="AA588" s="170"/>
      <c r="AB588" s="170"/>
      <c r="AC588" s="170"/>
      <c r="AD588" s="170"/>
      <c r="AE588" s="15" t="s">
        <v>54</v>
      </c>
      <c r="AF588" s="177">
        <v>244127</v>
      </c>
      <c r="AG588" s="177" t="str">
        <f t="shared" si="86"/>
        <v>Pass</v>
      </c>
      <c r="AH588" s="177">
        <f t="shared" si="87"/>
        <v>244127</v>
      </c>
      <c r="AK588" s="176"/>
      <c r="AL588" s="176"/>
    </row>
    <row r="589" spans="1:38" ht="36" customHeight="1" x14ac:dyDescent="0.2">
      <c r="A589" s="14" t="s">
        <v>21</v>
      </c>
      <c r="B589" s="212">
        <v>244117</v>
      </c>
      <c r="C589" s="14" t="s">
        <v>547</v>
      </c>
      <c r="D589" s="14" t="s">
        <v>268</v>
      </c>
      <c r="E589" s="14" t="s">
        <v>14</v>
      </c>
      <c r="F589" s="14" t="s">
        <v>324</v>
      </c>
      <c r="G589" s="179">
        <v>680588</v>
      </c>
      <c r="H589" s="176" t="s">
        <v>2366</v>
      </c>
      <c r="I589" s="176" t="s">
        <v>550</v>
      </c>
      <c r="J589" s="176" t="s">
        <v>128</v>
      </c>
      <c r="K589" s="176" t="s">
        <v>2369</v>
      </c>
      <c r="L589" s="40" t="s">
        <v>45</v>
      </c>
      <c r="M589" s="40" t="s">
        <v>341</v>
      </c>
      <c r="N589" s="14" t="s">
        <v>2377</v>
      </c>
      <c r="O589" s="14" t="s">
        <v>557</v>
      </c>
      <c r="P589" s="14" t="s">
        <v>2384</v>
      </c>
      <c r="Q589" s="14" t="s">
        <v>558</v>
      </c>
      <c r="R589" s="17">
        <v>187</v>
      </c>
      <c r="S589" s="172" t="s">
        <v>51</v>
      </c>
      <c r="T589" s="17">
        <v>1705</v>
      </c>
      <c r="U589" s="14" t="s">
        <v>51</v>
      </c>
      <c r="V589" s="16">
        <f t="shared" si="88"/>
        <v>244117</v>
      </c>
      <c r="W589" s="16">
        <f t="shared" si="89"/>
        <v>244124</v>
      </c>
      <c r="X589" s="16">
        <f t="shared" si="90"/>
        <v>244119</v>
      </c>
      <c r="Y589" s="15"/>
      <c r="Z589" s="177"/>
      <c r="AA589" s="170"/>
      <c r="AB589" s="170"/>
      <c r="AC589" s="170"/>
      <c r="AD589" s="170"/>
      <c r="AE589" s="15"/>
      <c r="AF589" s="177"/>
      <c r="AG589" s="177">
        <f t="shared" si="86"/>
        <v>0</v>
      </c>
      <c r="AH589" s="177">
        <f t="shared" si="87"/>
        <v>0</v>
      </c>
      <c r="AK589" s="176"/>
      <c r="AL589" s="176"/>
    </row>
    <row r="590" spans="1:38" ht="36" customHeight="1" x14ac:dyDescent="0.2">
      <c r="A590" s="14" t="s">
        <v>21</v>
      </c>
      <c r="B590" s="212">
        <v>244117</v>
      </c>
      <c r="C590" s="14" t="s">
        <v>547</v>
      </c>
      <c r="D590" s="14" t="s">
        <v>268</v>
      </c>
      <c r="E590" s="14" t="s">
        <v>14</v>
      </c>
      <c r="F590" s="14" t="s">
        <v>324</v>
      </c>
      <c r="G590" s="179">
        <v>680589</v>
      </c>
      <c r="H590" s="176" t="s">
        <v>720</v>
      </c>
      <c r="I590" s="176" t="s">
        <v>724</v>
      </c>
      <c r="J590" s="176" t="s">
        <v>707</v>
      </c>
      <c r="K590" s="176" t="s">
        <v>2371</v>
      </c>
      <c r="L590" s="40" t="s">
        <v>106</v>
      </c>
      <c r="M590" s="40" t="s">
        <v>341</v>
      </c>
      <c r="N590" s="14" t="s">
        <v>2378</v>
      </c>
      <c r="O590" s="14" t="s">
        <v>548</v>
      </c>
      <c r="P590" s="14" t="s">
        <v>717</v>
      </c>
      <c r="Q590" s="14" t="s">
        <v>549</v>
      </c>
      <c r="R590" s="17">
        <v>141</v>
      </c>
      <c r="S590" s="172" t="s">
        <v>51</v>
      </c>
      <c r="T590" s="17">
        <v>3473</v>
      </c>
      <c r="U590" s="14" t="s">
        <v>51</v>
      </c>
      <c r="V590" s="16">
        <f t="shared" si="88"/>
        <v>244117</v>
      </c>
      <c r="W590" s="16">
        <f t="shared" si="89"/>
        <v>244124</v>
      </c>
      <c r="X590" s="16">
        <f t="shared" si="90"/>
        <v>244119</v>
      </c>
      <c r="Y590" s="15" t="s">
        <v>54</v>
      </c>
      <c r="Z590" s="177">
        <v>244126</v>
      </c>
      <c r="AA590" s="170"/>
      <c r="AB590" s="170"/>
      <c r="AC590" s="170"/>
      <c r="AD590" s="170"/>
      <c r="AE590" s="15" t="s">
        <v>54</v>
      </c>
      <c r="AF590" s="177">
        <v>244127</v>
      </c>
      <c r="AG590" s="177" t="str">
        <f t="shared" si="86"/>
        <v>Pass</v>
      </c>
      <c r="AH590" s="177">
        <f t="shared" si="87"/>
        <v>244127</v>
      </c>
      <c r="AK590" s="176"/>
      <c r="AL590" s="176"/>
    </row>
    <row r="591" spans="1:38" ht="36" customHeight="1" x14ac:dyDescent="0.2">
      <c r="A591" s="14" t="s">
        <v>21</v>
      </c>
      <c r="B591" s="212">
        <v>244117</v>
      </c>
      <c r="C591" s="14" t="s">
        <v>547</v>
      </c>
      <c r="D591" s="14" t="s">
        <v>268</v>
      </c>
      <c r="E591" s="14" t="s">
        <v>14</v>
      </c>
      <c r="F591" s="14" t="s">
        <v>324</v>
      </c>
      <c r="G591" s="179">
        <v>680590</v>
      </c>
      <c r="H591" s="176" t="s">
        <v>2367</v>
      </c>
      <c r="I591" s="176" t="s">
        <v>550</v>
      </c>
      <c r="J591" s="176" t="s">
        <v>128</v>
      </c>
      <c r="K591" s="176" t="s">
        <v>2372</v>
      </c>
      <c r="L591" s="40" t="s">
        <v>45</v>
      </c>
      <c r="M591" s="40" t="s">
        <v>341</v>
      </c>
      <c r="N591" s="14" t="s">
        <v>2379</v>
      </c>
      <c r="O591" s="14" t="s">
        <v>1644</v>
      </c>
      <c r="P591" s="14" t="s">
        <v>2385</v>
      </c>
      <c r="Q591" s="14" t="s">
        <v>1652</v>
      </c>
      <c r="R591" s="17">
        <v>800</v>
      </c>
      <c r="S591" s="172" t="s">
        <v>51</v>
      </c>
      <c r="T591" s="17">
        <v>2800</v>
      </c>
      <c r="U591" s="14" t="s">
        <v>51</v>
      </c>
      <c r="V591" s="16">
        <f t="shared" si="88"/>
        <v>244117</v>
      </c>
      <c r="W591" s="16">
        <f t="shared" si="89"/>
        <v>244124</v>
      </c>
      <c r="X591" s="16">
        <f t="shared" si="90"/>
        <v>244119</v>
      </c>
      <c r="Y591" s="15" t="s">
        <v>54</v>
      </c>
      <c r="Z591" s="177">
        <v>244125</v>
      </c>
      <c r="AA591" s="170"/>
      <c r="AB591" s="170"/>
      <c r="AC591" s="170"/>
      <c r="AD591" s="170"/>
      <c r="AE591" s="15" t="s">
        <v>54</v>
      </c>
      <c r="AF591" s="177">
        <v>244126</v>
      </c>
      <c r="AG591" s="177" t="str">
        <f t="shared" si="86"/>
        <v>Pass</v>
      </c>
      <c r="AH591" s="177">
        <f t="shared" si="87"/>
        <v>244126</v>
      </c>
      <c r="AK591" s="176"/>
      <c r="AL591" s="176"/>
    </row>
    <row r="592" spans="1:38" ht="36" customHeight="1" x14ac:dyDescent="0.2">
      <c r="A592" s="14" t="s">
        <v>21</v>
      </c>
      <c r="B592" s="212">
        <v>244117</v>
      </c>
      <c r="C592" s="14" t="s">
        <v>547</v>
      </c>
      <c r="D592" s="14" t="s">
        <v>268</v>
      </c>
      <c r="E592" s="14" t="s">
        <v>14</v>
      </c>
      <c r="F592" s="14" t="s">
        <v>324</v>
      </c>
      <c r="G592" s="179">
        <v>680591</v>
      </c>
      <c r="H592" s="176" t="s">
        <v>2367</v>
      </c>
      <c r="I592" s="176" t="s">
        <v>550</v>
      </c>
      <c r="J592" s="176" t="s">
        <v>128</v>
      </c>
      <c r="K592" s="176" t="s">
        <v>2372</v>
      </c>
      <c r="L592" s="40" t="s">
        <v>45</v>
      </c>
      <c r="M592" s="40" t="s">
        <v>341</v>
      </c>
      <c r="N592" s="14" t="s">
        <v>2380</v>
      </c>
      <c r="O592" s="14" t="s">
        <v>528</v>
      </c>
      <c r="P592" s="14" t="s">
        <v>517</v>
      </c>
      <c r="Q592" s="14" t="s">
        <v>541</v>
      </c>
      <c r="R592" s="17">
        <v>500</v>
      </c>
      <c r="S592" s="172" t="s">
        <v>51</v>
      </c>
      <c r="T592" s="17">
        <v>2150</v>
      </c>
      <c r="U592" s="14" t="s">
        <v>51</v>
      </c>
      <c r="V592" s="16">
        <f t="shared" si="88"/>
        <v>244117</v>
      </c>
      <c r="W592" s="16">
        <f t="shared" si="89"/>
        <v>244124</v>
      </c>
      <c r="X592" s="16">
        <f t="shared" si="90"/>
        <v>244119</v>
      </c>
      <c r="Y592" s="15" t="s">
        <v>54</v>
      </c>
      <c r="Z592" s="177">
        <v>244125</v>
      </c>
      <c r="AA592" s="170"/>
      <c r="AB592" s="170"/>
      <c r="AC592" s="170"/>
      <c r="AD592" s="170"/>
      <c r="AE592" s="15" t="s">
        <v>54</v>
      </c>
      <c r="AF592" s="177">
        <v>244126</v>
      </c>
      <c r="AG592" s="177" t="str">
        <f t="shared" si="86"/>
        <v>Pass</v>
      </c>
      <c r="AH592" s="177">
        <f t="shared" si="87"/>
        <v>244126</v>
      </c>
      <c r="AK592" s="176"/>
      <c r="AL592" s="176"/>
    </row>
    <row r="593" spans="1:38" ht="36" customHeight="1" x14ac:dyDescent="0.2">
      <c r="A593" s="14" t="s">
        <v>21</v>
      </c>
      <c r="B593" s="212">
        <v>244118</v>
      </c>
      <c r="C593" s="14" t="s">
        <v>547</v>
      </c>
      <c r="D593" s="14" t="s">
        <v>268</v>
      </c>
      <c r="E593" s="14" t="s">
        <v>14</v>
      </c>
      <c r="F593" s="14" t="s">
        <v>324</v>
      </c>
      <c r="G593" s="179">
        <v>680592</v>
      </c>
      <c r="H593" s="176" t="s">
        <v>1925</v>
      </c>
      <c r="I593" s="176" t="s">
        <v>630</v>
      </c>
      <c r="J593" s="176" t="s">
        <v>520</v>
      </c>
      <c r="K593" s="176" t="s">
        <v>2370</v>
      </c>
      <c r="L593" s="40" t="s">
        <v>105</v>
      </c>
      <c r="M593" s="40" t="s">
        <v>341</v>
      </c>
      <c r="N593" s="14" t="s">
        <v>2390</v>
      </c>
      <c r="O593" s="14" t="s">
        <v>543</v>
      </c>
      <c r="P593" s="14" t="s">
        <v>2392</v>
      </c>
      <c r="Q593" s="14" t="s">
        <v>529</v>
      </c>
      <c r="R593" s="17">
        <v>520</v>
      </c>
      <c r="S593" s="172" t="s">
        <v>51</v>
      </c>
      <c r="T593" s="17">
        <v>2071</v>
      </c>
      <c r="U593" s="14" t="s">
        <v>51</v>
      </c>
      <c r="V593" s="16">
        <f t="shared" si="88"/>
        <v>244118</v>
      </c>
      <c r="W593" s="16">
        <f t="shared" si="89"/>
        <v>244125</v>
      </c>
      <c r="X593" s="16">
        <f t="shared" si="90"/>
        <v>244120</v>
      </c>
      <c r="Y593" s="15"/>
      <c r="Z593" s="177"/>
      <c r="AA593" s="170"/>
      <c r="AB593" s="170"/>
      <c r="AC593" s="170"/>
      <c r="AD593" s="170"/>
      <c r="AE593" s="15"/>
      <c r="AF593" s="177"/>
      <c r="AG593" s="177">
        <f t="shared" si="86"/>
        <v>0</v>
      </c>
      <c r="AH593" s="177">
        <f t="shared" si="87"/>
        <v>0</v>
      </c>
      <c r="AK593" s="176"/>
      <c r="AL593" s="176"/>
    </row>
    <row r="594" spans="1:38" ht="36" customHeight="1" x14ac:dyDescent="0.2">
      <c r="A594" s="14" t="s">
        <v>21</v>
      </c>
      <c r="B594" s="212">
        <v>244118</v>
      </c>
      <c r="C594" s="14" t="s">
        <v>547</v>
      </c>
      <c r="D594" s="14" t="s">
        <v>268</v>
      </c>
      <c r="E594" s="14" t="s">
        <v>14</v>
      </c>
      <c r="F594" s="14" t="s">
        <v>324</v>
      </c>
      <c r="G594" s="179">
        <v>680593</v>
      </c>
      <c r="H594" s="176" t="s">
        <v>2387</v>
      </c>
      <c r="I594" s="176" t="s">
        <v>725</v>
      </c>
      <c r="J594" s="176" t="s">
        <v>123</v>
      </c>
      <c r="K594" s="176" t="s">
        <v>2388</v>
      </c>
      <c r="L594" s="40" t="s">
        <v>45</v>
      </c>
      <c r="M594" s="40" t="s">
        <v>341</v>
      </c>
      <c r="N594" s="14" t="s">
        <v>2391</v>
      </c>
      <c r="O594" s="14" t="s">
        <v>543</v>
      </c>
      <c r="P594" s="14" t="s">
        <v>517</v>
      </c>
      <c r="Q594" s="14" t="s">
        <v>529</v>
      </c>
      <c r="R594" s="17">
        <v>500</v>
      </c>
      <c r="S594" s="172" t="s">
        <v>51</v>
      </c>
      <c r="T594" s="17">
        <v>2015</v>
      </c>
      <c r="U594" s="14" t="s">
        <v>51</v>
      </c>
      <c r="V594" s="16">
        <f t="shared" si="88"/>
        <v>244118</v>
      </c>
      <c r="W594" s="16">
        <f t="shared" si="89"/>
        <v>244125</v>
      </c>
      <c r="X594" s="16">
        <f t="shared" si="90"/>
        <v>244120</v>
      </c>
      <c r="Y594" s="15"/>
      <c r="Z594" s="177"/>
      <c r="AA594" s="170"/>
      <c r="AB594" s="170"/>
      <c r="AC594" s="170"/>
      <c r="AD594" s="170"/>
      <c r="AE594" s="15"/>
      <c r="AF594" s="177"/>
      <c r="AG594" s="177">
        <f t="shared" si="86"/>
        <v>0</v>
      </c>
      <c r="AH594" s="177">
        <f t="shared" si="87"/>
        <v>0</v>
      </c>
      <c r="AK594" s="176"/>
      <c r="AL594" s="176"/>
    </row>
    <row r="595" spans="1:38" ht="36" customHeight="1" x14ac:dyDescent="0.2">
      <c r="A595" s="14" t="s">
        <v>21</v>
      </c>
      <c r="B595" s="212">
        <v>244118</v>
      </c>
      <c r="C595" s="14" t="s">
        <v>547</v>
      </c>
      <c r="D595" s="14" t="s">
        <v>268</v>
      </c>
      <c r="E595" s="14" t="s">
        <v>14</v>
      </c>
      <c r="F595" s="14" t="s">
        <v>324</v>
      </c>
      <c r="G595" s="179">
        <v>680594</v>
      </c>
      <c r="H595" s="176" t="s">
        <v>1712</v>
      </c>
      <c r="I595" s="176" t="s">
        <v>664</v>
      </c>
      <c r="J595" s="176" t="s">
        <v>123</v>
      </c>
      <c r="K595" s="176" t="s">
        <v>2389</v>
      </c>
      <c r="L595" s="40" t="s">
        <v>45</v>
      </c>
      <c r="M595" s="40" t="s">
        <v>341</v>
      </c>
      <c r="N595" s="14" t="s">
        <v>2378</v>
      </c>
      <c r="O595" s="14" t="s">
        <v>548</v>
      </c>
      <c r="P595" s="14" t="s">
        <v>717</v>
      </c>
      <c r="Q595" s="14" t="s">
        <v>549</v>
      </c>
      <c r="R595" s="17">
        <v>141</v>
      </c>
      <c r="S595" s="172" t="s">
        <v>51</v>
      </c>
      <c r="T595" s="17">
        <v>1865</v>
      </c>
      <c r="U595" s="14" t="s">
        <v>51</v>
      </c>
      <c r="V595" s="16">
        <f t="shared" si="88"/>
        <v>244118</v>
      </c>
      <c r="W595" s="16">
        <f t="shared" si="89"/>
        <v>244125</v>
      </c>
      <c r="X595" s="16">
        <f t="shared" si="90"/>
        <v>244120</v>
      </c>
      <c r="Y595" s="15"/>
      <c r="Z595" s="177"/>
      <c r="AA595" s="170"/>
      <c r="AB595" s="170"/>
      <c r="AC595" s="170"/>
      <c r="AD595" s="170"/>
      <c r="AE595" s="15"/>
      <c r="AF595" s="177"/>
      <c r="AG595" s="177">
        <f t="shared" si="86"/>
        <v>0</v>
      </c>
      <c r="AH595" s="177">
        <f t="shared" si="87"/>
        <v>0</v>
      </c>
      <c r="AK595" s="176"/>
      <c r="AL595" s="176"/>
    </row>
    <row r="596" spans="1:38" ht="36" customHeight="1" x14ac:dyDescent="0.2">
      <c r="A596" s="14" t="s">
        <v>21</v>
      </c>
      <c r="B596" s="212">
        <v>244119</v>
      </c>
      <c r="C596" s="14" t="s">
        <v>547</v>
      </c>
      <c r="D596" s="14" t="s">
        <v>268</v>
      </c>
      <c r="E596" s="14" t="s">
        <v>14</v>
      </c>
      <c r="F596" s="14" t="s">
        <v>324</v>
      </c>
      <c r="G596" s="179">
        <v>680595</v>
      </c>
      <c r="H596" s="176" t="s">
        <v>722</v>
      </c>
      <c r="I596" s="176" t="s">
        <v>612</v>
      </c>
      <c r="J596" s="176" t="s">
        <v>727</v>
      </c>
      <c r="K596" s="176" t="s">
        <v>2395</v>
      </c>
      <c r="L596" s="40" t="s">
        <v>46</v>
      </c>
      <c r="M596" s="40" t="s">
        <v>341</v>
      </c>
      <c r="N596" s="14" t="s">
        <v>836</v>
      </c>
      <c r="O596" s="14" t="s">
        <v>548</v>
      </c>
      <c r="P596" s="14" t="s">
        <v>717</v>
      </c>
      <c r="Q596" s="14" t="s">
        <v>549</v>
      </c>
      <c r="R596" s="17">
        <v>130</v>
      </c>
      <c r="S596" s="172" t="s">
        <v>51</v>
      </c>
      <c r="T596" s="17">
        <v>1814</v>
      </c>
      <c r="U596" s="14" t="s">
        <v>51</v>
      </c>
      <c r="V596" s="16">
        <f t="shared" si="88"/>
        <v>244119</v>
      </c>
      <c r="W596" s="16">
        <f t="shared" si="89"/>
        <v>244126</v>
      </c>
      <c r="X596" s="16">
        <f t="shared" si="90"/>
        <v>244121</v>
      </c>
      <c r="Y596" s="15" t="s">
        <v>54</v>
      </c>
      <c r="Z596" s="177">
        <v>244126</v>
      </c>
      <c r="AA596" s="170"/>
      <c r="AB596" s="170"/>
      <c r="AC596" s="170"/>
      <c r="AD596" s="170"/>
      <c r="AE596" s="15" t="s">
        <v>54</v>
      </c>
      <c r="AF596" s="177">
        <v>244127</v>
      </c>
      <c r="AG596" s="177" t="str">
        <f t="shared" si="86"/>
        <v>Pass</v>
      </c>
      <c r="AH596" s="177">
        <f t="shared" si="87"/>
        <v>244127</v>
      </c>
      <c r="AK596" s="176"/>
      <c r="AL596" s="176"/>
    </row>
    <row r="597" spans="1:38" ht="36" customHeight="1" x14ac:dyDescent="0.2">
      <c r="A597" s="14" t="s">
        <v>21</v>
      </c>
      <c r="B597" s="212">
        <v>244119</v>
      </c>
      <c r="C597" s="14" t="s">
        <v>547</v>
      </c>
      <c r="D597" s="14" t="s">
        <v>268</v>
      </c>
      <c r="E597" s="14" t="s">
        <v>14</v>
      </c>
      <c r="F597" s="14" t="s">
        <v>324</v>
      </c>
      <c r="G597" s="179">
        <v>680596</v>
      </c>
      <c r="H597" s="176" t="s">
        <v>772</v>
      </c>
      <c r="I597" s="176" t="s">
        <v>774</v>
      </c>
      <c r="J597" s="176" t="s">
        <v>776</v>
      </c>
      <c r="K597" s="176" t="s">
        <v>2340</v>
      </c>
      <c r="L597" s="40" t="s">
        <v>105</v>
      </c>
      <c r="M597" s="40" t="s">
        <v>341</v>
      </c>
      <c r="N597" s="14" t="s">
        <v>2400</v>
      </c>
      <c r="O597" s="14" t="s">
        <v>552</v>
      </c>
      <c r="P597" s="14" t="s">
        <v>793</v>
      </c>
      <c r="Q597" s="14" t="s">
        <v>553</v>
      </c>
      <c r="R597" s="17">
        <v>2475</v>
      </c>
      <c r="S597" s="172" t="s">
        <v>51</v>
      </c>
      <c r="T597" s="17">
        <v>1745</v>
      </c>
      <c r="U597" s="14" t="s">
        <v>51</v>
      </c>
      <c r="V597" s="16">
        <f t="shared" si="88"/>
        <v>244119</v>
      </c>
      <c r="W597" s="16">
        <f t="shared" si="89"/>
        <v>244126</v>
      </c>
      <c r="X597" s="16">
        <f t="shared" si="90"/>
        <v>244121</v>
      </c>
      <c r="Y597" s="15" t="s">
        <v>54</v>
      </c>
      <c r="Z597" s="177">
        <v>244127</v>
      </c>
      <c r="AA597" s="170"/>
      <c r="AB597" s="170"/>
      <c r="AC597" s="170"/>
      <c r="AD597" s="170"/>
      <c r="AE597" s="15" t="s">
        <v>54</v>
      </c>
      <c r="AF597" s="177">
        <v>244130</v>
      </c>
      <c r="AG597" s="177" t="str">
        <f t="shared" si="86"/>
        <v>Pass</v>
      </c>
      <c r="AH597" s="177">
        <f t="shared" si="87"/>
        <v>244130</v>
      </c>
      <c r="AK597" s="176"/>
      <c r="AL597" s="176"/>
    </row>
    <row r="598" spans="1:38" ht="36" customHeight="1" x14ac:dyDescent="0.2">
      <c r="A598" s="14" t="s">
        <v>21</v>
      </c>
      <c r="B598" s="212">
        <v>244119</v>
      </c>
      <c r="C598" s="14" t="s">
        <v>547</v>
      </c>
      <c r="D598" s="14" t="s">
        <v>268</v>
      </c>
      <c r="E598" s="14" t="s">
        <v>14</v>
      </c>
      <c r="F598" s="14" t="s">
        <v>324</v>
      </c>
      <c r="G598" s="179">
        <v>680597</v>
      </c>
      <c r="H598" s="176" t="s">
        <v>1281</v>
      </c>
      <c r="I598" s="176" t="s">
        <v>550</v>
      </c>
      <c r="J598" s="176" t="s">
        <v>128</v>
      </c>
      <c r="K598" s="176" t="s">
        <v>2396</v>
      </c>
      <c r="L598" s="40" t="s">
        <v>106</v>
      </c>
      <c r="M598" s="40" t="s">
        <v>341</v>
      </c>
      <c r="N598" s="14" t="s">
        <v>2401</v>
      </c>
      <c r="O598" s="14" t="s">
        <v>552</v>
      </c>
      <c r="P598" s="14" t="s">
        <v>1660</v>
      </c>
      <c r="Q598" s="14" t="s">
        <v>553</v>
      </c>
      <c r="R598" s="17">
        <v>1475</v>
      </c>
      <c r="S598" s="172" t="s">
        <v>51</v>
      </c>
      <c r="T598" s="17">
        <v>2460</v>
      </c>
      <c r="U598" s="14" t="s">
        <v>51</v>
      </c>
      <c r="V598" s="16">
        <f t="shared" si="88"/>
        <v>244119</v>
      </c>
      <c r="W598" s="16">
        <f t="shared" si="89"/>
        <v>244126</v>
      </c>
      <c r="X598" s="16">
        <f t="shared" si="90"/>
        <v>244121</v>
      </c>
      <c r="Y598" s="15" t="s">
        <v>54</v>
      </c>
      <c r="Z598" s="177">
        <v>244126</v>
      </c>
      <c r="AA598" s="170"/>
      <c r="AB598" s="170"/>
      <c r="AC598" s="170"/>
      <c r="AD598" s="170"/>
      <c r="AE598" s="15" t="s">
        <v>54</v>
      </c>
      <c r="AF598" s="177">
        <v>244127</v>
      </c>
      <c r="AG598" s="177" t="str">
        <f t="shared" si="86"/>
        <v>Pass</v>
      </c>
      <c r="AH598" s="177">
        <f t="shared" si="87"/>
        <v>244127</v>
      </c>
      <c r="AK598" s="176"/>
      <c r="AL598" s="176"/>
    </row>
    <row r="599" spans="1:38" ht="36" customHeight="1" x14ac:dyDescent="0.2">
      <c r="A599" s="14" t="s">
        <v>21</v>
      </c>
      <c r="B599" s="212">
        <v>244119</v>
      </c>
      <c r="C599" s="14" t="s">
        <v>547</v>
      </c>
      <c r="D599" s="14" t="s">
        <v>268</v>
      </c>
      <c r="E599" s="14" t="s">
        <v>14</v>
      </c>
      <c r="F599" s="14" t="s">
        <v>324</v>
      </c>
      <c r="G599" s="179">
        <v>680598</v>
      </c>
      <c r="H599" s="176" t="s">
        <v>1281</v>
      </c>
      <c r="I599" s="176" t="s">
        <v>550</v>
      </c>
      <c r="J599" s="176" t="s">
        <v>128</v>
      </c>
      <c r="K599" s="176" t="s">
        <v>2396</v>
      </c>
      <c r="L599" s="40" t="s">
        <v>106</v>
      </c>
      <c r="M599" s="40" t="s">
        <v>341</v>
      </c>
      <c r="N599" s="14" t="s">
        <v>2402</v>
      </c>
      <c r="O599" s="14" t="s">
        <v>548</v>
      </c>
      <c r="P599" s="14" t="s">
        <v>518</v>
      </c>
      <c r="Q599" s="14" t="s">
        <v>549</v>
      </c>
      <c r="R599" s="17">
        <v>109</v>
      </c>
      <c r="S599" s="172" t="s">
        <v>51</v>
      </c>
      <c r="T599" s="17">
        <v>2460</v>
      </c>
      <c r="U599" s="14" t="s">
        <v>51</v>
      </c>
      <c r="V599" s="16">
        <f t="shared" si="88"/>
        <v>244119</v>
      </c>
      <c r="W599" s="16">
        <f t="shared" si="89"/>
        <v>244126</v>
      </c>
      <c r="X599" s="16">
        <f t="shared" si="90"/>
        <v>244121</v>
      </c>
      <c r="Y599" s="15" t="s">
        <v>54</v>
      </c>
      <c r="Z599" s="177">
        <v>244126</v>
      </c>
      <c r="AA599" s="170"/>
      <c r="AB599" s="170"/>
      <c r="AC599" s="170"/>
      <c r="AD599" s="170"/>
      <c r="AE599" s="15" t="s">
        <v>54</v>
      </c>
      <c r="AF599" s="177">
        <v>244127</v>
      </c>
      <c r="AG599" s="177" t="str">
        <f t="shared" si="86"/>
        <v>Pass</v>
      </c>
      <c r="AH599" s="177">
        <f t="shared" si="87"/>
        <v>244127</v>
      </c>
      <c r="AK599" s="176"/>
      <c r="AL599" s="176"/>
    </row>
    <row r="600" spans="1:38" ht="36" customHeight="1" x14ac:dyDescent="0.2">
      <c r="A600" s="14" t="s">
        <v>21</v>
      </c>
      <c r="B600" s="212">
        <v>244119</v>
      </c>
      <c r="C600" s="14" t="s">
        <v>547</v>
      </c>
      <c r="D600" s="14" t="s">
        <v>268</v>
      </c>
      <c r="E600" s="14" t="s">
        <v>14</v>
      </c>
      <c r="F600" s="14" t="s">
        <v>324</v>
      </c>
      <c r="G600" s="179">
        <v>680599</v>
      </c>
      <c r="H600" s="176" t="s">
        <v>2393</v>
      </c>
      <c r="I600" s="176" t="s">
        <v>748</v>
      </c>
      <c r="J600" s="176" t="s">
        <v>123</v>
      </c>
      <c r="K600" s="176" t="s">
        <v>2397</v>
      </c>
      <c r="L600" s="40" t="s">
        <v>46</v>
      </c>
      <c r="M600" s="40" t="s">
        <v>341</v>
      </c>
      <c r="N600" s="14" t="s">
        <v>1860</v>
      </c>
      <c r="O600" s="14" t="s">
        <v>548</v>
      </c>
      <c r="P600" s="14" t="s">
        <v>518</v>
      </c>
      <c r="Q600" s="14" t="s">
        <v>549</v>
      </c>
      <c r="R600" s="17">
        <v>348</v>
      </c>
      <c r="S600" s="172" t="s">
        <v>51</v>
      </c>
      <c r="T600" s="17">
        <v>1685</v>
      </c>
      <c r="U600" s="14" t="s">
        <v>51</v>
      </c>
      <c r="V600" s="16">
        <f t="shared" si="88"/>
        <v>244119</v>
      </c>
      <c r="W600" s="16">
        <f t="shared" si="89"/>
        <v>244126</v>
      </c>
      <c r="X600" s="16">
        <f t="shared" si="90"/>
        <v>244121</v>
      </c>
      <c r="Y600" s="15" t="s">
        <v>54</v>
      </c>
      <c r="Z600" s="177">
        <v>244126</v>
      </c>
      <c r="AA600" s="170"/>
      <c r="AB600" s="170"/>
      <c r="AC600" s="170"/>
      <c r="AD600" s="170"/>
      <c r="AE600" s="15" t="s">
        <v>54</v>
      </c>
      <c r="AF600" s="177">
        <v>244127</v>
      </c>
      <c r="AG600" s="177" t="str">
        <f t="shared" si="86"/>
        <v>Pass</v>
      </c>
      <c r="AH600" s="177">
        <f t="shared" si="87"/>
        <v>244127</v>
      </c>
      <c r="AK600" s="176"/>
      <c r="AL600" s="176"/>
    </row>
    <row r="601" spans="1:38" ht="36" customHeight="1" x14ac:dyDescent="0.2">
      <c r="A601" s="14" t="s">
        <v>21</v>
      </c>
      <c r="B601" s="212">
        <v>244119</v>
      </c>
      <c r="C601" s="14" t="s">
        <v>547</v>
      </c>
      <c r="D601" s="14" t="s">
        <v>268</v>
      </c>
      <c r="E601" s="14" t="s">
        <v>14</v>
      </c>
      <c r="F601" s="14" t="s">
        <v>324</v>
      </c>
      <c r="G601" s="179">
        <v>680600</v>
      </c>
      <c r="H601" s="176" t="s">
        <v>2394</v>
      </c>
      <c r="I601" s="176" t="s">
        <v>551</v>
      </c>
      <c r="J601" s="176" t="s">
        <v>596</v>
      </c>
      <c r="K601" s="176" t="s">
        <v>2398</v>
      </c>
      <c r="L601" s="40" t="s">
        <v>106</v>
      </c>
      <c r="M601" s="40" t="s">
        <v>341</v>
      </c>
      <c r="N601" s="14" t="s">
        <v>2403</v>
      </c>
      <c r="O601" s="14" t="s">
        <v>548</v>
      </c>
      <c r="P601" s="14" t="s">
        <v>518</v>
      </c>
      <c r="Q601" s="14" t="s">
        <v>549</v>
      </c>
      <c r="R601" s="17">
        <v>279</v>
      </c>
      <c r="S601" s="172" t="s">
        <v>51</v>
      </c>
      <c r="T601" s="17">
        <v>2990</v>
      </c>
      <c r="U601" s="14" t="s">
        <v>51</v>
      </c>
      <c r="V601" s="16">
        <f t="shared" ref="V601:V622" si="91">B601</f>
        <v>244119</v>
      </c>
      <c r="W601" s="16">
        <f t="shared" ref="W601:W622" si="92">B601+7</f>
        <v>244126</v>
      </c>
      <c r="X601" s="16">
        <f t="shared" ref="X601:X622" si="93">V601+2</f>
        <v>244121</v>
      </c>
      <c r="Y601" s="15"/>
      <c r="Z601" s="177"/>
      <c r="AA601" s="170"/>
      <c r="AB601" s="170"/>
      <c r="AC601" s="170"/>
      <c r="AD601" s="170"/>
      <c r="AE601" s="15"/>
      <c r="AF601" s="177"/>
      <c r="AG601" s="177">
        <f t="shared" si="86"/>
        <v>0</v>
      </c>
      <c r="AH601" s="177">
        <f t="shared" si="87"/>
        <v>0</v>
      </c>
      <c r="AK601" s="176"/>
      <c r="AL601" s="176"/>
    </row>
    <row r="602" spans="1:38" ht="36" customHeight="1" x14ac:dyDescent="0.2">
      <c r="A602" s="14" t="s">
        <v>21</v>
      </c>
      <c r="B602" s="212">
        <v>244119</v>
      </c>
      <c r="C602" s="14" t="s">
        <v>547</v>
      </c>
      <c r="D602" s="14" t="s">
        <v>268</v>
      </c>
      <c r="E602" s="14" t="s">
        <v>14</v>
      </c>
      <c r="F602" s="14" t="s">
        <v>324</v>
      </c>
      <c r="G602" s="179">
        <v>680601</v>
      </c>
      <c r="H602" s="176" t="s">
        <v>719</v>
      </c>
      <c r="I602" s="176" t="s">
        <v>551</v>
      </c>
      <c r="J602" s="176" t="s">
        <v>596</v>
      </c>
      <c r="K602" s="176" t="s">
        <v>2399</v>
      </c>
      <c r="L602" s="40" t="s">
        <v>106</v>
      </c>
      <c r="M602" s="40" t="s">
        <v>341</v>
      </c>
      <c r="N602" s="14" t="s">
        <v>765</v>
      </c>
      <c r="O602" s="14" t="s">
        <v>548</v>
      </c>
      <c r="P602" s="14" t="s">
        <v>518</v>
      </c>
      <c r="Q602" s="14" t="s">
        <v>549</v>
      </c>
      <c r="R602" s="17">
        <v>200</v>
      </c>
      <c r="S602" s="172" t="s">
        <v>51</v>
      </c>
      <c r="T602" s="17">
        <v>1710</v>
      </c>
      <c r="U602" s="14" t="s">
        <v>51</v>
      </c>
      <c r="V602" s="16">
        <f t="shared" si="91"/>
        <v>244119</v>
      </c>
      <c r="W602" s="16">
        <f t="shared" si="92"/>
        <v>244126</v>
      </c>
      <c r="X602" s="16">
        <f t="shared" si="93"/>
        <v>244121</v>
      </c>
      <c r="Y602" s="15"/>
      <c r="Z602" s="177"/>
      <c r="AA602" s="170"/>
      <c r="AB602" s="170"/>
      <c r="AC602" s="170"/>
      <c r="AD602" s="170"/>
      <c r="AE602" s="15"/>
      <c r="AF602" s="177"/>
      <c r="AG602" s="177">
        <f t="shared" si="86"/>
        <v>0</v>
      </c>
      <c r="AH602" s="177">
        <f t="shared" si="87"/>
        <v>0</v>
      </c>
      <c r="AK602" s="176"/>
      <c r="AL602" s="176"/>
    </row>
    <row r="603" spans="1:38" ht="36" customHeight="1" x14ac:dyDescent="0.2">
      <c r="A603" s="14" t="s">
        <v>21</v>
      </c>
      <c r="B603" s="212">
        <v>244120</v>
      </c>
      <c r="C603" s="14" t="s">
        <v>547</v>
      </c>
      <c r="D603" s="14" t="s">
        <v>268</v>
      </c>
      <c r="E603" s="14" t="s">
        <v>14</v>
      </c>
      <c r="F603" s="14" t="s">
        <v>324</v>
      </c>
      <c r="G603" s="179">
        <v>680602</v>
      </c>
      <c r="H603" s="176" t="s">
        <v>628</v>
      </c>
      <c r="I603" s="176" t="s">
        <v>551</v>
      </c>
      <c r="J603" s="176" t="s">
        <v>596</v>
      </c>
      <c r="K603" s="176" t="s">
        <v>2405</v>
      </c>
      <c r="L603" s="40" t="s">
        <v>106</v>
      </c>
      <c r="M603" s="40" t="s">
        <v>341</v>
      </c>
      <c r="N603" s="14" t="s">
        <v>2218</v>
      </c>
      <c r="O603" s="14" t="s">
        <v>552</v>
      </c>
      <c r="P603" s="14" t="s">
        <v>1205</v>
      </c>
      <c r="Q603" s="14" t="s">
        <v>553</v>
      </c>
      <c r="R603" s="17">
        <v>600</v>
      </c>
      <c r="S603" s="172" t="s">
        <v>51</v>
      </c>
      <c r="T603" s="17">
        <v>3005</v>
      </c>
      <c r="U603" s="14" t="s">
        <v>51</v>
      </c>
      <c r="V603" s="16">
        <f t="shared" si="91"/>
        <v>244120</v>
      </c>
      <c r="W603" s="16">
        <f t="shared" si="92"/>
        <v>244127</v>
      </c>
      <c r="X603" s="16">
        <f t="shared" si="93"/>
        <v>244122</v>
      </c>
      <c r="Y603" s="15" t="s">
        <v>54</v>
      </c>
      <c r="Z603" s="177">
        <v>244126</v>
      </c>
      <c r="AA603" s="170"/>
      <c r="AB603" s="170"/>
      <c r="AC603" s="170"/>
      <c r="AD603" s="170"/>
      <c r="AE603" s="15" t="s">
        <v>54</v>
      </c>
      <c r="AF603" s="177">
        <v>244127</v>
      </c>
      <c r="AG603" s="177" t="str">
        <f t="shared" si="86"/>
        <v>Pass</v>
      </c>
      <c r="AH603" s="177">
        <f t="shared" si="87"/>
        <v>244127</v>
      </c>
      <c r="AK603" s="176"/>
      <c r="AL603" s="176"/>
    </row>
    <row r="604" spans="1:38" ht="36" customHeight="1" x14ac:dyDescent="0.2">
      <c r="A604" s="14" t="s">
        <v>21</v>
      </c>
      <c r="B604" s="212">
        <v>244120</v>
      </c>
      <c r="C604" s="14" t="s">
        <v>547</v>
      </c>
      <c r="D604" s="14" t="s">
        <v>268</v>
      </c>
      <c r="E604" s="14" t="s">
        <v>14</v>
      </c>
      <c r="F604" s="14" t="s">
        <v>324</v>
      </c>
      <c r="G604" s="179">
        <v>680603</v>
      </c>
      <c r="H604" s="176" t="s">
        <v>2393</v>
      </c>
      <c r="I604" s="176" t="s">
        <v>748</v>
      </c>
      <c r="J604" s="176" t="s">
        <v>123</v>
      </c>
      <c r="K604" s="176" t="s">
        <v>2406</v>
      </c>
      <c r="L604" s="40" t="s">
        <v>46</v>
      </c>
      <c r="M604" s="40" t="s">
        <v>341</v>
      </c>
      <c r="N604" s="14" t="s">
        <v>2411</v>
      </c>
      <c r="O604" s="14" t="s">
        <v>548</v>
      </c>
      <c r="P604" s="14" t="s">
        <v>518</v>
      </c>
      <c r="Q604" s="14" t="s">
        <v>549</v>
      </c>
      <c r="R604" s="17">
        <v>192</v>
      </c>
      <c r="S604" s="172" t="s">
        <v>51</v>
      </c>
      <c r="T604" s="17">
        <v>1873</v>
      </c>
      <c r="U604" s="14" t="s">
        <v>51</v>
      </c>
      <c r="V604" s="16">
        <f t="shared" si="91"/>
        <v>244120</v>
      </c>
      <c r="W604" s="16">
        <f t="shared" si="92"/>
        <v>244127</v>
      </c>
      <c r="X604" s="16">
        <f t="shared" si="93"/>
        <v>244122</v>
      </c>
      <c r="Y604" s="15" t="s">
        <v>54</v>
      </c>
      <c r="Z604" s="177">
        <v>244126</v>
      </c>
      <c r="AA604" s="170"/>
      <c r="AB604" s="170"/>
      <c r="AC604" s="170"/>
      <c r="AD604" s="170"/>
      <c r="AE604" s="15" t="s">
        <v>54</v>
      </c>
      <c r="AF604" s="177">
        <v>244127</v>
      </c>
      <c r="AG604" s="177" t="str">
        <f t="shared" si="86"/>
        <v>Pass</v>
      </c>
      <c r="AH604" s="177">
        <f t="shared" si="87"/>
        <v>244127</v>
      </c>
      <c r="AK604" s="176"/>
      <c r="AL604" s="176"/>
    </row>
    <row r="605" spans="1:38" ht="36" customHeight="1" x14ac:dyDescent="0.2">
      <c r="A605" s="14" t="s">
        <v>21</v>
      </c>
      <c r="B605" s="212">
        <v>244120</v>
      </c>
      <c r="C605" s="14" t="s">
        <v>547</v>
      </c>
      <c r="D605" s="14" t="s">
        <v>268</v>
      </c>
      <c r="E605" s="14" t="s">
        <v>14</v>
      </c>
      <c r="F605" s="14" t="s">
        <v>324</v>
      </c>
      <c r="G605" s="179">
        <v>680604</v>
      </c>
      <c r="H605" s="176" t="s">
        <v>760</v>
      </c>
      <c r="I605" s="176" t="s">
        <v>551</v>
      </c>
      <c r="J605" s="176" t="s">
        <v>832</v>
      </c>
      <c r="K605" s="176" t="s">
        <v>2407</v>
      </c>
      <c r="L605" s="40" t="s">
        <v>106</v>
      </c>
      <c r="M605" s="40" t="s">
        <v>341</v>
      </c>
      <c r="N605" s="14" t="s">
        <v>2410</v>
      </c>
      <c r="O605" s="14" t="s">
        <v>552</v>
      </c>
      <c r="P605" s="14" t="s">
        <v>685</v>
      </c>
      <c r="Q605" s="14" t="s">
        <v>553</v>
      </c>
      <c r="R605" s="17">
        <v>1025</v>
      </c>
      <c r="S605" s="172" t="s">
        <v>51</v>
      </c>
      <c r="T605" s="17">
        <v>1150</v>
      </c>
      <c r="U605" s="14" t="s">
        <v>51</v>
      </c>
      <c r="V605" s="16">
        <f t="shared" si="91"/>
        <v>244120</v>
      </c>
      <c r="W605" s="16">
        <f t="shared" si="92"/>
        <v>244127</v>
      </c>
      <c r="X605" s="16">
        <f t="shared" si="93"/>
        <v>244122</v>
      </c>
      <c r="Y605" s="15"/>
      <c r="Z605" s="177"/>
      <c r="AA605" s="170"/>
      <c r="AB605" s="170"/>
      <c r="AC605" s="170"/>
      <c r="AD605" s="170"/>
      <c r="AE605" s="15"/>
      <c r="AF605" s="177"/>
      <c r="AG605" s="177">
        <f t="shared" si="86"/>
        <v>0</v>
      </c>
      <c r="AH605" s="177">
        <f t="shared" si="87"/>
        <v>0</v>
      </c>
      <c r="AK605" s="176"/>
      <c r="AL605" s="176"/>
    </row>
    <row r="606" spans="1:38" ht="36" customHeight="1" x14ac:dyDescent="0.2">
      <c r="A606" s="14" t="s">
        <v>21</v>
      </c>
      <c r="B606" s="212">
        <v>244120</v>
      </c>
      <c r="C606" s="14" t="s">
        <v>547</v>
      </c>
      <c r="D606" s="14" t="s">
        <v>268</v>
      </c>
      <c r="E606" s="14" t="s">
        <v>14</v>
      </c>
      <c r="F606" s="14" t="s">
        <v>324</v>
      </c>
      <c r="G606" s="179">
        <v>680605</v>
      </c>
      <c r="H606" s="176" t="s">
        <v>759</v>
      </c>
      <c r="I606" s="176" t="s">
        <v>748</v>
      </c>
      <c r="J606" s="176" t="s">
        <v>123</v>
      </c>
      <c r="K606" s="176" t="s">
        <v>2408</v>
      </c>
      <c r="L606" s="40" t="s">
        <v>45</v>
      </c>
      <c r="M606" s="40" t="s">
        <v>341</v>
      </c>
      <c r="N606" s="14" t="s">
        <v>2412</v>
      </c>
      <c r="O606" s="14" t="s">
        <v>548</v>
      </c>
      <c r="P606" s="14" t="s">
        <v>518</v>
      </c>
      <c r="Q606" s="14" t="s">
        <v>549</v>
      </c>
      <c r="R606" s="17">
        <v>350</v>
      </c>
      <c r="S606" s="172" t="s">
        <v>51</v>
      </c>
      <c r="T606" s="17" t="s">
        <v>2413</v>
      </c>
      <c r="U606" s="14" t="s">
        <v>51</v>
      </c>
      <c r="V606" s="16">
        <f t="shared" si="91"/>
        <v>244120</v>
      </c>
      <c r="W606" s="16">
        <f t="shared" si="92"/>
        <v>244127</v>
      </c>
      <c r="X606" s="16">
        <f t="shared" si="93"/>
        <v>244122</v>
      </c>
      <c r="Y606" s="15" t="s">
        <v>54</v>
      </c>
      <c r="Z606" s="177">
        <v>244125</v>
      </c>
      <c r="AA606" s="170"/>
      <c r="AB606" s="170"/>
      <c r="AC606" s="170"/>
      <c r="AD606" s="170"/>
      <c r="AE606" s="15" t="s">
        <v>54</v>
      </c>
      <c r="AF606" s="177">
        <v>244126</v>
      </c>
      <c r="AG606" s="177" t="str">
        <f t="shared" si="86"/>
        <v>Pass</v>
      </c>
      <c r="AH606" s="177">
        <f t="shared" si="87"/>
        <v>244126</v>
      </c>
      <c r="AK606" s="176"/>
      <c r="AL606" s="176"/>
    </row>
    <row r="607" spans="1:38" ht="36" customHeight="1" x14ac:dyDescent="0.2">
      <c r="A607" s="14" t="s">
        <v>21</v>
      </c>
      <c r="B607" s="212">
        <v>244120</v>
      </c>
      <c r="C607" s="14" t="s">
        <v>547</v>
      </c>
      <c r="D607" s="14" t="s">
        <v>268</v>
      </c>
      <c r="E607" s="14" t="s">
        <v>14</v>
      </c>
      <c r="F607" s="14" t="s">
        <v>324</v>
      </c>
      <c r="G607" s="179">
        <v>680606</v>
      </c>
      <c r="H607" s="176" t="s">
        <v>826</v>
      </c>
      <c r="I607" s="176" t="s">
        <v>551</v>
      </c>
      <c r="J607" s="176" t="s">
        <v>2404</v>
      </c>
      <c r="K607" s="176" t="s">
        <v>2409</v>
      </c>
      <c r="L607" s="40" t="s">
        <v>106</v>
      </c>
      <c r="M607" s="40" t="s">
        <v>341</v>
      </c>
      <c r="N607" s="14" t="s">
        <v>780</v>
      </c>
      <c r="O607" s="14" t="s">
        <v>548</v>
      </c>
      <c r="P607" s="14" t="s">
        <v>518</v>
      </c>
      <c r="Q607" s="14" t="s">
        <v>549</v>
      </c>
      <c r="R607" s="17">
        <v>175</v>
      </c>
      <c r="S607" s="172" t="s">
        <v>51</v>
      </c>
      <c r="T607" s="17">
        <v>2020</v>
      </c>
      <c r="U607" s="14" t="s">
        <v>51</v>
      </c>
      <c r="V607" s="16">
        <f t="shared" si="91"/>
        <v>244120</v>
      </c>
      <c r="W607" s="16">
        <f t="shared" si="92"/>
        <v>244127</v>
      </c>
      <c r="X607" s="16">
        <f t="shared" si="93"/>
        <v>244122</v>
      </c>
      <c r="Y607" s="15" t="s">
        <v>54</v>
      </c>
      <c r="Z607" s="177">
        <v>244126</v>
      </c>
      <c r="AA607" s="170"/>
      <c r="AB607" s="170"/>
      <c r="AC607" s="170"/>
      <c r="AD607" s="170"/>
      <c r="AE607" s="15" t="s">
        <v>54</v>
      </c>
      <c r="AF607" s="177">
        <v>244127</v>
      </c>
      <c r="AG607" s="177" t="str">
        <f t="shared" si="86"/>
        <v>Pass</v>
      </c>
      <c r="AH607" s="177">
        <f t="shared" si="87"/>
        <v>244127</v>
      </c>
      <c r="AK607" s="176"/>
      <c r="AL607" s="176"/>
    </row>
    <row r="608" spans="1:38" ht="36" customHeight="1" x14ac:dyDescent="0.2">
      <c r="A608" s="14" t="s">
        <v>21</v>
      </c>
      <c r="B608" s="212">
        <v>244121</v>
      </c>
      <c r="C608" s="14" t="s">
        <v>547</v>
      </c>
      <c r="D608" s="14" t="s">
        <v>268</v>
      </c>
      <c r="E608" s="14" t="s">
        <v>14</v>
      </c>
      <c r="F608" s="14" t="s">
        <v>324</v>
      </c>
      <c r="G608" s="179">
        <v>680607</v>
      </c>
      <c r="H608" s="176" t="s">
        <v>826</v>
      </c>
      <c r="I608" s="176" t="s">
        <v>551</v>
      </c>
      <c r="J608" s="176" t="s">
        <v>2404</v>
      </c>
      <c r="K608" s="176" t="s">
        <v>2409</v>
      </c>
      <c r="L608" s="40" t="s">
        <v>106</v>
      </c>
      <c r="M608" s="40" t="s">
        <v>341</v>
      </c>
      <c r="N608" s="14" t="s">
        <v>2419</v>
      </c>
      <c r="O608" s="14" t="s">
        <v>552</v>
      </c>
      <c r="P608" s="14" t="s">
        <v>2426</v>
      </c>
      <c r="Q608" s="14" t="s">
        <v>553</v>
      </c>
      <c r="R608" s="17">
        <v>2200</v>
      </c>
      <c r="S608" s="172" t="s">
        <v>51</v>
      </c>
      <c r="T608" s="17"/>
      <c r="U608" s="14"/>
      <c r="V608" s="16">
        <f t="shared" si="91"/>
        <v>244121</v>
      </c>
      <c r="W608" s="16">
        <f t="shared" si="92"/>
        <v>244128</v>
      </c>
      <c r="X608" s="16">
        <f t="shared" si="93"/>
        <v>244123</v>
      </c>
      <c r="Y608" s="15" t="s">
        <v>54</v>
      </c>
      <c r="Z608" s="177">
        <v>244126</v>
      </c>
      <c r="AA608" s="170"/>
      <c r="AB608" s="170"/>
      <c r="AC608" s="170"/>
      <c r="AD608" s="170"/>
      <c r="AE608" s="15" t="s">
        <v>54</v>
      </c>
      <c r="AF608" s="177">
        <v>244127</v>
      </c>
      <c r="AG608" s="177" t="str">
        <f t="shared" ref="AG608:AG671" si="94">AE608</f>
        <v>Pass</v>
      </c>
      <c r="AH608" s="177">
        <f t="shared" ref="AH608:AH671" si="95">AF608</f>
        <v>244127</v>
      </c>
      <c r="AK608" s="176"/>
      <c r="AL608" s="176"/>
    </row>
    <row r="609" spans="1:38" ht="36" customHeight="1" x14ac:dyDescent="0.2">
      <c r="A609" s="14" t="s">
        <v>21</v>
      </c>
      <c r="B609" s="212">
        <v>244121</v>
      </c>
      <c r="C609" s="14" t="s">
        <v>547</v>
      </c>
      <c r="D609" s="14" t="s">
        <v>268</v>
      </c>
      <c r="E609" s="14" t="s">
        <v>14</v>
      </c>
      <c r="F609" s="14" t="s">
        <v>324</v>
      </c>
      <c r="G609" s="179">
        <v>680608</v>
      </c>
      <c r="H609" s="176" t="s">
        <v>1726</v>
      </c>
      <c r="I609" s="176" t="s">
        <v>1729</v>
      </c>
      <c r="J609" s="176" t="s">
        <v>1730</v>
      </c>
      <c r="K609" s="176" t="s">
        <v>2416</v>
      </c>
      <c r="L609" s="40" t="s">
        <v>106</v>
      </c>
      <c r="M609" s="40" t="s">
        <v>341</v>
      </c>
      <c r="N609" s="14" t="s">
        <v>2420</v>
      </c>
      <c r="O609" s="14" t="s">
        <v>2424</v>
      </c>
      <c r="P609" s="14" t="s">
        <v>793</v>
      </c>
      <c r="Q609" s="14" t="s">
        <v>2427</v>
      </c>
      <c r="R609" s="17">
        <v>3575</v>
      </c>
      <c r="S609" s="172" t="s">
        <v>51</v>
      </c>
      <c r="T609" s="17">
        <v>2760</v>
      </c>
      <c r="U609" s="14" t="s">
        <v>51</v>
      </c>
      <c r="V609" s="16">
        <f t="shared" si="91"/>
        <v>244121</v>
      </c>
      <c r="W609" s="16">
        <f t="shared" si="92"/>
        <v>244128</v>
      </c>
      <c r="X609" s="16">
        <f t="shared" si="93"/>
        <v>244123</v>
      </c>
      <c r="Y609" s="15" t="s">
        <v>54</v>
      </c>
      <c r="Z609" s="177">
        <v>244126</v>
      </c>
      <c r="AA609" s="170"/>
      <c r="AB609" s="170"/>
      <c r="AC609" s="170"/>
      <c r="AD609" s="170"/>
      <c r="AE609" s="15" t="s">
        <v>54</v>
      </c>
      <c r="AF609" s="177">
        <v>244127</v>
      </c>
      <c r="AG609" s="177" t="str">
        <f t="shared" si="94"/>
        <v>Pass</v>
      </c>
      <c r="AH609" s="177">
        <f t="shared" si="95"/>
        <v>244127</v>
      </c>
      <c r="AK609" s="176"/>
      <c r="AL609" s="176"/>
    </row>
    <row r="610" spans="1:38" ht="36" customHeight="1" x14ac:dyDescent="0.2">
      <c r="A610" s="14" t="s">
        <v>21</v>
      </c>
      <c r="B610" s="212">
        <v>244121</v>
      </c>
      <c r="C610" s="14" t="s">
        <v>547</v>
      </c>
      <c r="D610" s="14" t="s">
        <v>268</v>
      </c>
      <c r="E610" s="14" t="s">
        <v>14</v>
      </c>
      <c r="F610" s="14" t="s">
        <v>324</v>
      </c>
      <c r="G610" s="179">
        <v>680609</v>
      </c>
      <c r="H610" s="176" t="s">
        <v>2414</v>
      </c>
      <c r="I610" s="176" t="s">
        <v>664</v>
      </c>
      <c r="J610" s="176" t="s">
        <v>2042</v>
      </c>
      <c r="K610" s="176" t="s">
        <v>2417</v>
      </c>
      <c r="L610" s="40" t="s">
        <v>45</v>
      </c>
      <c r="M610" s="40" t="s">
        <v>341</v>
      </c>
      <c r="N610" s="14" t="s">
        <v>2425</v>
      </c>
      <c r="O610" s="14" t="s">
        <v>528</v>
      </c>
      <c r="P610" s="14" t="s">
        <v>715</v>
      </c>
      <c r="Q610" s="14" t="s">
        <v>541</v>
      </c>
      <c r="R610" s="17">
        <v>600</v>
      </c>
      <c r="S610" s="172" t="s">
        <v>51</v>
      </c>
      <c r="T610" s="17">
        <v>1840</v>
      </c>
      <c r="U610" s="14" t="s">
        <v>51</v>
      </c>
      <c r="V610" s="16">
        <f t="shared" si="91"/>
        <v>244121</v>
      </c>
      <c r="W610" s="16">
        <f t="shared" si="92"/>
        <v>244128</v>
      </c>
      <c r="X610" s="16">
        <f t="shared" si="93"/>
        <v>244123</v>
      </c>
      <c r="Y610" s="15" t="s">
        <v>54</v>
      </c>
      <c r="Z610" s="177">
        <v>244125</v>
      </c>
      <c r="AA610" s="170"/>
      <c r="AB610" s="170"/>
      <c r="AC610" s="170"/>
      <c r="AD610" s="170"/>
      <c r="AE610" s="15" t="s">
        <v>54</v>
      </c>
      <c r="AF610" s="177">
        <v>244126</v>
      </c>
      <c r="AG610" s="177" t="str">
        <f t="shared" si="94"/>
        <v>Pass</v>
      </c>
      <c r="AH610" s="177">
        <f t="shared" si="95"/>
        <v>244126</v>
      </c>
      <c r="AK610" s="176"/>
      <c r="AL610" s="176"/>
    </row>
    <row r="611" spans="1:38" ht="36" customHeight="1" x14ac:dyDescent="0.2">
      <c r="A611" s="14" t="s">
        <v>21</v>
      </c>
      <c r="B611" s="212">
        <v>244121</v>
      </c>
      <c r="C611" s="14" t="s">
        <v>547</v>
      </c>
      <c r="D611" s="14" t="s">
        <v>268</v>
      </c>
      <c r="E611" s="14" t="s">
        <v>14</v>
      </c>
      <c r="F611" s="14" t="s">
        <v>324</v>
      </c>
      <c r="G611" s="179">
        <v>680610</v>
      </c>
      <c r="H611" s="176" t="s">
        <v>2415</v>
      </c>
      <c r="I611" s="176" t="s">
        <v>864</v>
      </c>
      <c r="J611" s="176" t="s">
        <v>666</v>
      </c>
      <c r="K611" s="176" t="s">
        <v>2418</v>
      </c>
      <c r="L611" s="40" t="s">
        <v>105</v>
      </c>
      <c r="M611" s="40" t="s">
        <v>341</v>
      </c>
      <c r="N611" s="14" t="s">
        <v>2421</v>
      </c>
      <c r="O611" s="14" t="s">
        <v>548</v>
      </c>
      <c r="P611" s="14" t="s">
        <v>717</v>
      </c>
      <c r="Q611" s="14" t="s">
        <v>549</v>
      </c>
      <c r="R611" s="17">
        <v>108</v>
      </c>
      <c r="S611" s="172" t="s">
        <v>51</v>
      </c>
      <c r="T611" s="17">
        <v>1800</v>
      </c>
      <c r="U611" s="14" t="s">
        <v>51</v>
      </c>
      <c r="V611" s="16">
        <f t="shared" si="91"/>
        <v>244121</v>
      </c>
      <c r="W611" s="16">
        <f t="shared" si="92"/>
        <v>244128</v>
      </c>
      <c r="X611" s="16">
        <f t="shared" si="93"/>
        <v>244123</v>
      </c>
      <c r="Y611" s="15"/>
      <c r="Z611" s="177"/>
      <c r="AA611" s="170"/>
      <c r="AB611" s="170"/>
      <c r="AC611" s="170"/>
      <c r="AD611" s="170"/>
      <c r="AE611" s="15"/>
      <c r="AF611" s="177"/>
      <c r="AG611" s="177">
        <f t="shared" si="94"/>
        <v>0</v>
      </c>
      <c r="AH611" s="177">
        <f t="shared" si="95"/>
        <v>0</v>
      </c>
      <c r="AK611" s="176"/>
      <c r="AL611" s="176"/>
    </row>
    <row r="612" spans="1:38" ht="36" customHeight="1" x14ac:dyDescent="0.2">
      <c r="A612" s="14" t="s">
        <v>21</v>
      </c>
      <c r="B612" s="212">
        <v>244121</v>
      </c>
      <c r="C612" s="14" t="s">
        <v>547</v>
      </c>
      <c r="D612" s="14" t="s">
        <v>268</v>
      </c>
      <c r="E612" s="14" t="s">
        <v>14</v>
      </c>
      <c r="F612" s="14" t="s">
        <v>324</v>
      </c>
      <c r="G612" s="179">
        <v>680611</v>
      </c>
      <c r="H612" s="176" t="s">
        <v>1726</v>
      </c>
      <c r="I612" s="176" t="s">
        <v>1729</v>
      </c>
      <c r="J612" s="176" t="s">
        <v>1730</v>
      </c>
      <c r="K612" s="176" t="s">
        <v>2416</v>
      </c>
      <c r="L612" s="40" t="s">
        <v>106</v>
      </c>
      <c r="M612" s="40" t="s">
        <v>341</v>
      </c>
      <c r="N612" s="14" t="s">
        <v>2422</v>
      </c>
      <c r="O612" s="14" t="s">
        <v>552</v>
      </c>
      <c r="P612" s="14" t="s">
        <v>793</v>
      </c>
      <c r="Q612" s="14" t="s">
        <v>553</v>
      </c>
      <c r="R612" s="17">
        <v>4075</v>
      </c>
      <c r="S612" s="172" t="s">
        <v>51</v>
      </c>
      <c r="T612" s="17">
        <v>2720</v>
      </c>
      <c r="U612" s="14" t="s">
        <v>51</v>
      </c>
      <c r="V612" s="16">
        <f t="shared" si="91"/>
        <v>244121</v>
      </c>
      <c r="W612" s="16">
        <f t="shared" si="92"/>
        <v>244128</v>
      </c>
      <c r="X612" s="16">
        <f t="shared" si="93"/>
        <v>244123</v>
      </c>
      <c r="Y612" s="15" t="s">
        <v>54</v>
      </c>
      <c r="Z612" s="177">
        <v>244126</v>
      </c>
      <c r="AA612" s="170"/>
      <c r="AB612" s="170"/>
      <c r="AC612" s="170"/>
      <c r="AD612" s="170"/>
      <c r="AE612" s="15" t="s">
        <v>54</v>
      </c>
      <c r="AF612" s="177">
        <v>244127</v>
      </c>
      <c r="AG612" s="177" t="str">
        <f t="shared" si="94"/>
        <v>Pass</v>
      </c>
      <c r="AH612" s="177">
        <f t="shared" si="95"/>
        <v>244127</v>
      </c>
      <c r="AK612" s="176"/>
      <c r="AL612" s="176"/>
    </row>
    <row r="613" spans="1:38" ht="36" customHeight="1" x14ac:dyDescent="0.2">
      <c r="A613" s="14" t="s">
        <v>21</v>
      </c>
      <c r="B613" s="212">
        <v>244121</v>
      </c>
      <c r="C613" s="14" t="s">
        <v>547</v>
      </c>
      <c r="D613" s="14" t="s">
        <v>268</v>
      </c>
      <c r="E613" s="14" t="s">
        <v>14</v>
      </c>
      <c r="F613" s="14" t="s">
        <v>324</v>
      </c>
      <c r="G613" s="179">
        <v>680612</v>
      </c>
      <c r="H613" s="176" t="s">
        <v>2415</v>
      </c>
      <c r="I613" s="176" t="s">
        <v>864</v>
      </c>
      <c r="J613" s="176" t="s">
        <v>666</v>
      </c>
      <c r="K613" s="176" t="s">
        <v>2418</v>
      </c>
      <c r="L613" s="40" t="s">
        <v>105</v>
      </c>
      <c r="M613" s="40" t="s">
        <v>341</v>
      </c>
      <c r="N613" s="14" t="s">
        <v>2423</v>
      </c>
      <c r="O613" s="14" t="s">
        <v>552</v>
      </c>
      <c r="P613" s="14" t="s">
        <v>793</v>
      </c>
      <c r="Q613" s="14" t="s">
        <v>553</v>
      </c>
      <c r="R613" s="17">
        <v>625</v>
      </c>
      <c r="S613" s="172" t="s">
        <v>51</v>
      </c>
      <c r="T613" s="17">
        <v>1800</v>
      </c>
      <c r="U613" s="14" t="s">
        <v>51</v>
      </c>
      <c r="V613" s="16">
        <f t="shared" si="91"/>
        <v>244121</v>
      </c>
      <c r="W613" s="16">
        <f t="shared" si="92"/>
        <v>244128</v>
      </c>
      <c r="X613" s="16">
        <f t="shared" si="93"/>
        <v>244123</v>
      </c>
      <c r="Y613" s="15"/>
      <c r="Z613" s="177"/>
      <c r="AA613" s="170"/>
      <c r="AB613" s="170"/>
      <c r="AC613" s="170"/>
      <c r="AD613" s="170"/>
      <c r="AE613" s="15"/>
      <c r="AF613" s="177"/>
      <c r="AG613" s="177">
        <f t="shared" si="94"/>
        <v>0</v>
      </c>
      <c r="AH613" s="177">
        <f t="shared" si="95"/>
        <v>0</v>
      </c>
      <c r="AK613" s="176"/>
      <c r="AL613" s="176"/>
    </row>
    <row r="614" spans="1:38" ht="36" customHeight="1" x14ac:dyDescent="0.2">
      <c r="A614" s="14" t="s">
        <v>21</v>
      </c>
      <c r="B614" s="212">
        <v>244123</v>
      </c>
      <c r="C614" s="14" t="s">
        <v>547</v>
      </c>
      <c r="D614" s="14" t="s">
        <v>268</v>
      </c>
      <c r="E614" s="14" t="s">
        <v>14</v>
      </c>
      <c r="F614" s="14" t="s">
        <v>324</v>
      </c>
      <c r="G614" s="179">
        <v>680613</v>
      </c>
      <c r="H614" s="176" t="s">
        <v>2414</v>
      </c>
      <c r="I614" s="176" t="s">
        <v>664</v>
      </c>
      <c r="J614" s="176" t="s">
        <v>123</v>
      </c>
      <c r="K614" s="176" t="s">
        <v>2417</v>
      </c>
      <c r="L614" s="40" t="s">
        <v>45</v>
      </c>
      <c r="M614" s="40" t="s">
        <v>341</v>
      </c>
      <c r="N614" s="14" t="s">
        <v>2292</v>
      </c>
      <c r="O614" s="14" t="s">
        <v>1909</v>
      </c>
      <c r="P614" s="14" t="s">
        <v>793</v>
      </c>
      <c r="Q614" s="14" t="s">
        <v>1913</v>
      </c>
      <c r="R614" s="17">
        <v>100</v>
      </c>
      <c r="S614" s="172" t="s">
        <v>51</v>
      </c>
      <c r="T614" s="17">
        <v>1995</v>
      </c>
      <c r="U614" s="14" t="s">
        <v>51</v>
      </c>
      <c r="V614" s="16">
        <f t="shared" si="91"/>
        <v>244123</v>
      </c>
      <c r="W614" s="16">
        <f t="shared" si="92"/>
        <v>244130</v>
      </c>
      <c r="X614" s="16">
        <f t="shared" si="93"/>
        <v>244125</v>
      </c>
      <c r="Y614" s="15" t="s">
        <v>54</v>
      </c>
      <c r="Z614" s="177">
        <v>244125</v>
      </c>
      <c r="AA614" s="170"/>
      <c r="AB614" s="170"/>
      <c r="AC614" s="170"/>
      <c r="AD614" s="170"/>
      <c r="AE614" s="15" t="s">
        <v>54</v>
      </c>
      <c r="AF614" s="177">
        <v>244126</v>
      </c>
      <c r="AG614" s="177" t="str">
        <f t="shared" si="94"/>
        <v>Pass</v>
      </c>
      <c r="AH614" s="177">
        <f t="shared" si="95"/>
        <v>244126</v>
      </c>
      <c r="AK614" s="176"/>
      <c r="AL614" s="176"/>
    </row>
    <row r="615" spans="1:38" ht="36" customHeight="1" x14ac:dyDescent="0.2">
      <c r="A615" s="14" t="s">
        <v>21</v>
      </c>
      <c r="B615" s="212">
        <v>244123</v>
      </c>
      <c r="C615" s="14" t="s">
        <v>547</v>
      </c>
      <c r="D615" s="14" t="s">
        <v>268</v>
      </c>
      <c r="E615" s="14" t="s">
        <v>14</v>
      </c>
      <c r="F615" s="14" t="s">
        <v>324</v>
      </c>
      <c r="G615" s="179">
        <v>680614</v>
      </c>
      <c r="H615" s="176" t="s">
        <v>2414</v>
      </c>
      <c r="I615" s="176" t="s">
        <v>664</v>
      </c>
      <c r="J615" s="176" t="s">
        <v>123</v>
      </c>
      <c r="K615" s="176" t="s">
        <v>2417</v>
      </c>
      <c r="L615" s="40" t="s">
        <v>45</v>
      </c>
      <c r="M615" s="40" t="s">
        <v>341</v>
      </c>
      <c r="N615" s="14" t="s">
        <v>2435</v>
      </c>
      <c r="O615" s="14" t="s">
        <v>543</v>
      </c>
      <c r="P615" s="14" t="s">
        <v>2104</v>
      </c>
      <c r="Q615" s="14" t="s">
        <v>529</v>
      </c>
      <c r="R615" s="17">
        <v>125</v>
      </c>
      <c r="S615" s="172" t="s">
        <v>51</v>
      </c>
      <c r="T615" s="17">
        <v>1995</v>
      </c>
      <c r="U615" s="14" t="s">
        <v>51</v>
      </c>
      <c r="V615" s="16">
        <f t="shared" si="91"/>
        <v>244123</v>
      </c>
      <c r="W615" s="16">
        <f t="shared" si="92"/>
        <v>244130</v>
      </c>
      <c r="X615" s="16">
        <f t="shared" si="93"/>
        <v>244125</v>
      </c>
      <c r="Y615" s="15" t="s">
        <v>54</v>
      </c>
      <c r="Z615" s="177">
        <v>244125</v>
      </c>
      <c r="AA615" s="170"/>
      <c r="AB615" s="170"/>
      <c r="AC615" s="170"/>
      <c r="AD615" s="170"/>
      <c r="AE615" s="15" t="s">
        <v>54</v>
      </c>
      <c r="AF615" s="177">
        <v>244126</v>
      </c>
      <c r="AG615" s="177" t="str">
        <f t="shared" si="94"/>
        <v>Pass</v>
      </c>
      <c r="AH615" s="177">
        <f t="shared" si="95"/>
        <v>244126</v>
      </c>
      <c r="AK615" s="176"/>
      <c r="AL615" s="176"/>
    </row>
    <row r="616" spans="1:38" ht="36" customHeight="1" x14ac:dyDescent="0.2">
      <c r="A616" s="14" t="s">
        <v>21</v>
      </c>
      <c r="B616" s="212">
        <v>244123</v>
      </c>
      <c r="C616" s="14" t="s">
        <v>547</v>
      </c>
      <c r="D616" s="14" t="s">
        <v>268</v>
      </c>
      <c r="E616" s="14" t="s">
        <v>14</v>
      </c>
      <c r="F616" s="14" t="s">
        <v>324</v>
      </c>
      <c r="G616" s="179">
        <v>680615</v>
      </c>
      <c r="H616" s="176" t="s">
        <v>2414</v>
      </c>
      <c r="I616" s="176" t="s">
        <v>664</v>
      </c>
      <c r="J616" s="176" t="s">
        <v>123</v>
      </c>
      <c r="K616" s="176" t="s">
        <v>2417</v>
      </c>
      <c r="L616" s="40" t="s">
        <v>45</v>
      </c>
      <c r="M616" s="40" t="s">
        <v>341</v>
      </c>
      <c r="N616" s="14" t="s">
        <v>2436</v>
      </c>
      <c r="O616" s="14" t="s">
        <v>923</v>
      </c>
      <c r="P616" s="14" t="s">
        <v>1105</v>
      </c>
      <c r="Q616" s="14" t="s">
        <v>929</v>
      </c>
      <c r="R616" s="17">
        <v>200</v>
      </c>
      <c r="S616" s="172" t="s">
        <v>51</v>
      </c>
      <c r="T616" s="17">
        <v>1993</v>
      </c>
      <c r="U616" s="14" t="s">
        <v>51</v>
      </c>
      <c r="V616" s="16">
        <f t="shared" si="91"/>
        <v>244123</v>
      </c>
      <c r="W616" s="16">
        <f t="shared" si="92"/>
        <v>244130</v>
      </c>
      <c r="X616" s="16">
        <f t="shared" si="93"/>
        <v>244125</v>
      </c>
      <c r="Y616" s="15" t="s">
        <v>54</v>
      </c>
      <c r="Z616" s="177">
        <v>244125</v>
      </c>
      <c r="AA616" s="170"/>
      <c r="AB616" s="170"/>
      <c r="AC616" s="170"/>
      <c r="AD616" s="170"/>
      <c r="AE616" s="15" t="s">
        <v>54</v>
      </c>
      <c r="AF616" s="177">
        <v>244126</v>
      </c>
      <c r="AG616" s="177" t="str">
        <f t="shared" si="94"/>
        <v>Pass</v>
      </c>
      <c r="AH616" s="177">
        <f t="shared" si="95"/>
        <v>244126</v>
      </c>
      <c r="AK616" s="176"/>
      <c r="AL616" s="176"/>
    </row>
    <row r="617" spans="1:38" ht="36" customHeight="1" x14ac:dyDescent="0.2">
      <c r="A617" s="14" t="s">
        <v>21</v>
      </c>
      <c r="B617" s="212">
        <v>244123</v>
      </c>
      <c r="C617" s="14" t="s">
        <v>547</v>
      </c>
      <c r="D617" s="14" t="s">
        <v>268</v>
      </c>
      <c r="E617" s="14" t="s">
        <v>14</v>
      </c>
      <c r="F617" s="14" t="s">
        <v>324</v>
      </c>
      <c r="G617" s="179">
        <v>680616</v>
      </c>
      <c r="H617" s="176" t="s">
        <v>2428</v>
      </c>
      <c r="I617" s="176" t="s">
        <v>2431</v>
      </c>
      <c r="J617" s="176" t="s">
        <v>1813</v>
      </c>
      <c r="K617" s="176" t="s">
        <v>2432</v>
      </c>
      <c r="L617" s="40" t="s">
        <v>106</v>
      </c>
      <c r="M617" s="40" t="s">
        <v>341</v>
      </c>
      <c r="N617" s="14" t="s">
        <v>2437</v>
      </c>
      <c r="O617" s="14" t="s">
        <v>2439</v>
      </c>
      <c r="P617" s="14" t="s">
        <v>2441</v>
      </c>
      <c r="Q617" s="14" t="s">
        <v>2443</v>
      </c>
      <c r="R617" s="17">
        <v>600</v>
      </c>
      <c r="S617" s="172" t="s">
        <v>51</v>
      </c>
      <c r="T617" s="17">
        <v>2028</v>
      </c>
      <c r="U617" s="14" t="s">
        <v>51</v>
      </c>
      <c r="V617" s="16">
        <f t="shared" si="91"/>
        <v>244123</v>
      </c>
      <c r="W617" s="16">
        <f t="shared" si="92"/>
        <v>244130</v>
      </c>
      <c r="X617" s="16">
        <f t="shared" si="93"/>
        <v>244125</v>
      </c>
      <c r="Y617" s="15"/>
      <c r="Z617" s="177"/>
      <c r="AA617" s="170"/>
      <c r="AB617" s="170"/>
      <c r="AC617" s="170"/>
      <c r="AD617" s="170"/>
      <c r="AE617" s="15"/>
      <c r="AF617" s="177"/>
      <c r="AG617" s="177">
        <f t="shared" si="94"/>
        <v>0</v>
      </c>
      <c r="AH617" s="177">
        <f t="shared" si="95"/>
        <v>0</v>
      </c>
      <c r="AK617" s="176"/>
      <c r="AL617" s="176"/>
    </row>
    <row r="618" spans="1:38" ht="36" customHeight="1" x14ac:dyDescent="0.2">
      <c r="A618" s="14" t="s">
        <v>21</v>
      </c>
      <c r="B618" s="212">
        <v>244123</v>
      </c>
      <c r="C618" s="14" t="s">
        <v>547</v>
      </c>
      <c r="D618" s="14" t="s">
        <v>268</v>
      </c>
      <c r="E618" s="14" t="s">
        <v>14</v>
      </c>
      <c r="F618" s="14" t="s">
        <v>324</v>
      </c>
      <c r="G618" s="179">
        <v>680617</v>
      </c>
      <c r="H618" s="176" t="s">
        <v>2428</v>
      </c>
      <c r="I618" s="176" t="s">
        <v>2431</v>
      </c>
      <c r="J618" s="176" t="s">
        <v>1813</v>
      </c>
      <c r="K618" s="176" t="s">
        <v>2432</v>
      </c>
      <c r="L618" s="40" t="s">
        <v>106</v>
      </c>
      <c r="M618" s="40" t="s">
        <v>341</v>
      </c>
      <c r="N618" s="14" t="s">
        <v>1148</v>
      </c>
      <c r="O618" s="14" t="s">
        <v>548</v>
      </c>
      <c r="P618" s="14" t="s">
        <v>518</v>
      </c>
      <c r="Q618" s="14" t="s">
        <v>549</v>
      </c>
      <c r="R618" s="17">
        <v>154</v>
      </c>
      <c r="S618" s="172" t="s">
        <v>51</v>
      </c>
      <c r="T618" s="17">
        <v>2028</v>
      </c>
      <c r="U618" s="14" t="s">
        <v>51</v>
      </c>
      <c r="V618" s="16">
        <f t="shared" si="91"/>
        <v>244123</v>
      </c>
      <c r="W618" s="16">
        <f t="shared" si="92"/>
        <v>244130</v>
      </c>
      <c r="X618" s="16">
        <f t="shared" si="93"/>
        <v>244125</v>
      </c>
      <c r="Y618" s="15"/>
      <c r="Z618" s="177"/>
      <c r="AA618" s="170"/>
      <c r="AB618" s="170"/>
      <c r="AC618" s="170"/>
      <c r="AD618" s="170"/>
      <c r="AE618" s="15"/>
      <c r="AF618" s="177"/>
      <c r="AG618" s="177">
        <f t="shared" si="94"/>
        <v>0</v>
      </c>
      <c r="AH618" s="177">
        <f t="shared" si="95"/>
        <v>0</v>
      </c>
      <c r="AK618" s="176"/>
      <c r="AL618" s="176"/>
    </row>
    <row r="619" spans="1:38" ht="36" customHeight="1" x14ac:dyDescent="0.2">
      <c r="A619" s="14" t="s">
        <v>21</v>
      </c>
      <c r="B619" s="212">
        <v>244123</v>
      </c>
      <c r="C619" s="14" t="s">
        <v>547</v>
      </c>
      <c r="D619" s="14" t="s">
        <v>268</v>
      </c>
      <c r="E619" s="14" t="s">
        <v>14</v>
      </c>
      <c r="F619" s="14" t="s">
        <v>324</v>
      </c>
      <c r="G619" s="179">
        <v>680618</v>
      </c>
      <c r="H619" s="176" t="s">
        <v>2429</v>
      </c>
      <c r="I619" s="176" t="s">
        <v>864</v>
      </c>
      <c r="J619" s="176" t="s">
        <v>159</v>
      </c>
      <c r="K619" s="176" t="s">
        <v>2433</v>
      </c>
      <c r="L619" s="40" t="s">
        <v>46</v>
      </c>
      <c r="M619" s="40" t="s">
        <v>341</v>
      </c>
      <c r="N619" s="14" t="s">
        <v>765</v>
      </c>
      <c r="O619" s="14" t="s">
        <v>548</v>
      </c>
      <c r="P619" s="14" t="s">
        <v>518</v>
      </c>
      <c r="Q619" s="14" t="s">
        <v>549</v>
      </c>
      <c r="R619" s="17">
        <v>200</v>
      </c>
      <c r="S619" s="172" t="s">
        <v>51</v>
      </c>
      <c r="T619" s="17">
        <v>435</v>
      </c>
      <c r="U619" s="14" t="s">
        <v>51</v>
      </c>
      <c r="V619" s="16">
        <f t="shared" si="91"/>
        <v>244123</v>
      </c>
      <c r="W619" s="16">
        <f t="shared" si="92"/>
        <v>244130</v>
      </c>
      <c r="X619" s="16">
        <f t="shared" si="93"/>
        <v>244125</v>
      </c>
      <c r="Y619" s="15" t="s">
        <v>54</v>
      </c>
      <c r="Z619" s="177">
        <v>244126</v>
      </c>
      <c r="AA619" s="170"/>
      <c r="AB619" s="170"/>
      <c r="AC619" s="170"/>
      <c r="AD619" s="170"/>
      <c r="AE619" s="15" t="s">
        <v>54</v>
      </c>
      <c r="AF619" s="177">
        <v>244127</v>
      </c>
      <c r="AG619" s="177" t="str">
        <f t="shared" si="94"/>
        <v>Pass</v>
      </c>
      <c r="AH619" s="177">
        <f t="shared" si="95"/>
        <v>244127</v>
      </c>
      <c r="AK619" s="176"/>
      <c r="AL619" s="176"/>
    </row>
    <row r="620" spans="1:38" ht="36" customHeight="1" x14ac:dyDescent="0.2">
      <c r="A620" s="14" t="s">
        <v>21</v>
      </c>
      <c r="B620" s="212">
        <v>244123</v>
      </c>
      <c r="C620" s="14" t="s">
        <v>547</v>
      </c>
      <c r="D620" s="14" t="s">
        <v>268</v>
      </c>
      <c r="E620" s="14" t="s">
        <v>14</v>
      </c>
      <c r="F620" s="14" t="s">
        <v>324</v>
      </c>
      <c r="G620" s="179">
        <v>680619</v>
      </c>
      <c r="H620" s="176" t="s">
        <v>2430</v>
      </c>
      <c r="I620" s="176" t="s">
        <v>612</v>
      </c>
      <c r="J620" s="176" t="s">
        <v>727</v>
      </c>
      <c r="K620" s="176" t="s">
        <v>2434</v>
      </c>
      <c r="L620" s="40" t="s">
        <v>46</v>
      </c>
      <c r="M620" s="40" t="s">
        <v>341</v>
      </c>
      <c r="N620" s="14" t="s">
        <v>2438</v>
      </c>
      <c r="O620" s="14" t="s">
        <v>2440</v>
      </c>
      <c r="P620" s="14" t="s">
        <v>2442</v>
      </c>
      <c r="Q620" s="14" t="s">
        <v>2444</v>
      </c>
      <c r="R620" s="17">
        <v>425</v>
      </c>
      <c r="S620" s="172" t="s">
        <v>51</v>
      </c>
      <c r="T620" s="17">
        <v>1938</v>
      </c>
      <c r="U620" s="14" t="s">
        <v>51</v>
      </c>
      <c r="V620" s="16">
        <f>B620</f>
        <v>244123</v>
      </c>
      <c r="W620" s="16">
        <f t="shared" si="92"/>
        <v>244130</v>
      </c>
      <c r="X620" s="16">
        <f t="shared" si="93"/>
        <v>244125</v>
      </c>
      <c r="Y620" s="15"/>
      <c r="Z620" s="177"/>
      <c r="AA620" s="170"/>
      <c r="AB620" s="170"/>
      <c r="AC620" s="170"/>
      <c r="AD620" s="170"/>
      <c r="AE620" s="15"/>
      <c r="AF620" s="177"/>
      <c r="AG620" s="177">
        <f t="shared" si="94"/>
        <v>0</v>
      </c>
      <c r="AH620" s="177">
        <f t="shared" si="95"/>
        <v>0</v>
      </c>
      <c r="AK620" s="176"/>
      <c r="AL620" s="176"/>
    </row>
    <row r="621" spans="1:38" ht="36" customHeight="1" x14ac:dyDescent="0.2">
      <c r="A621" s="14" t="s">
        <v>21</v>
      </c>
      <c r="B621" s="212">
        <v>244124</v>
      </c>
      <c r="C621" s="14" t="s">
        <v>547</v>
      </c>
      <c r="D621" s="14" t="s">
        <v>268</v>
      </c>
      <c r="E621" s="14" t="s">
        <v>14</v>
      </c>
      <c r="F621" s="14" t="s">
        <v>324</v>
      </c>
      <c r="G621" s="179">
        <v>680620</v>
      </c>
      <c r="H621" s="176" t="s">
        <v>2365</v>
      </c>
      <c r="I621" s="176" t="s">
        <v>551</v>
      </c>
      <c r="J621" s="176" t="s">
        <v>596</v>
      </c>
      <c r="K621" s="176" t="s">
        <v>2445</v>
      </c>
      <c r="L621" s="40" t="s">
        <v>106</v>
      </c>
      <c r="M621" s="40" t="s">
        <v>341</v>
      </c>
      <c r="N621" s="14" t="s">
        <v>2447</v>
      </c>
      <c r="O621" s="14" t="s">
        <v>552</v>
      </c>
      <c r="P621" s="14" t="s">
        <v>1205</v>
      </c>
      <c r="Q621" s="14" t="s">
        <v>553</v>
      </c>
      <c r="R621" s="17">
        <v>500</v>
      </c>
      <c r="S621" s="172" t="s">
        <v>51</v>
      </c>
      <c r="T621" s="17">
        <v>3080</v>
      </c>
      <c r="U621" s="14" t="s">
        <v>51</v>
      </c>
      <c r="V621" s="16">
        <f t="shared" si="91"/>
        <v>244124</v>
      </c>
      <c r="W621" s="16">
        <f t="shared" si="92"/>
        <v>244131</v>
      </c>
      <c r="X621" s="16">
        <f t="shared" si="93"/>
        <v>244126</v>
      </c>
      <c r="Y621" s="15"/>
      <c r="Z621" s="177"/>
      <c r="AA621" s="170"/>
      <c r="AB621" s="170"/>
      <c r="AC621" s="170"/>
      <c r="AD621" s="170"/>
      <c r="AE621" s="15"/>
      <c r="AF621" s="177"/>
      <c r="AG621" s="177">
        <f t="shared" si="94"/>
        <v>0</v>
      </c>
      <c r="AH621" s="177">
        <f t="shared" si="95"/>
        <v>0</v>
      </c>
      <c r="AK621" s="176"/>
      <c r="AL621" s="176"/>
    </row>
    <row r="622" spans="1:38" ht="36" customHeight="1" x14ac:dyDescent="0.2">
      <c r="A622" s="14" t="s">
        <v>21</v>
      </c>
      <c r="B622" s="212">
        <v>244124</v>
      </c>
      <c r="C622" s="14" t="s">
        <v>547</v>
      </c>
      <c r="D622" s="14" t="s">
        <v>268</v>
      </c>
      <c r="E622" s="14" t="s">
        <v>14</v>
      </c>
      <c r="F622" s="14" t="s">
        <v>324</v>
      </c>
      <c r="G622" s="179">
        <v>680621</v>
      </c>
      <c r="H622" s="176" t="s">
        <v>1631</v>
      </c>
      <c r="I622" s="176" t="s">
        <v>1633</v>
      </c>
      <c r="J622" s="176" t="s">
        <v>1634</v>
      </c>
      <c r="K622" s="176" t="s">
        <v>1635</v>
      </c>
      <c r="L622" s="40" t="s">
        <v>46</v>
      </c>
      <c r="M622" s="40" t="s">
        <v>341</v>
      </c>
      <c r="N622" s="14" t="s">
        <v>1384</v>
      </c>
      <c r="O622" s="14" t="s">
        <v>548</v>
      </c>
      <c r="P622" s="14" t="s">
        <v>518</v>
      </c>
      <c r="Q622" s="14" t="s">
        <v>549</v>
      </c>
      <c r="R622" s="17">
        <v>225</v>
      </c>
      <c r="S622" s="172" t="s">
        <v>51</v>
      </c>
      <c r="T622" s="17">
        <v>2744</v>
      </c>
      <c r="U622" s="14" t="s">
        <v>51</v>
      </c>
      <c r="V622" s="16">
        <f t="shared" si="91"/>
        <v>244124</v>
      </c>
      <c r="W622" s="16">
        <f t="shared" si="92"/>
        <v>244131</v>
      </c>
      <c r="X622" s="16">
        <f t="shared" si="93"/>
        <v>244126</v>
      </c>
      <c r="Y622" s="15" t="s">
        <v>54</v>
      </c>
      <c r="Z622" s="177">
        <v>244126</v>
      </c>
      <c r="AA622" s="170"/>
      <c r="AB622" s="170"/>
      <c r="AC622" s="170"/>
      <c r="AD622" s="170"/>
      <c r="AE622" s="15" t="s">
        <v>54</v>
      </c>
      <c r="AF622" s="177">
        <v>244127</v>
      </c>
      <c r="AG622" s="177" t="str">
        <f t="shared" si="94"/>
        <v>Pass</v>
      </c>
      <c r="AH622" s="177">
        <f t="shared" si="95"/>
        <v>244127</v>
      </c>
      <c r="AK622" s="176"/>
      <c r="AL622" s="176"/>
    </row>
    <row r="623" spans="1:38" ht="36" customHeight="1" x14ac:dyDescent="0.2">
      <c r="A623" s="14" t="s">
        <v>21</v>
      </c>
      <c r="B623" s="212">
        <v>244124</v>
      </c>
      <c r="C623" s="14" t="s">
        <v>547</v>
      </c>
      <c r="D623" s="14" t="s">
        <v>268</v>
      </c>
      <c r="E623" s="14" t="s">
        <v>14</v>
      </c>
      <c r="F623" s="14" t="s">
        <v>324</v>
      </c>
      <c r="G623" s="179">
        <v>680622</v>
      </c>
      <c r="H623" s="176" t="s">
        <v>1041</v>
      </c>
      <c r="I623" s="176" t="s">
        <v>908</v>
      </c>
      <c r="J623" s="176" t="s">
        <v>133</v>
      </c>
      <c r="K623" s="176" t="s">
        <v>2446</v>
      </c>
      <c r="L623" s="40" t="s">
        <v>45</v>
      </c>
      <c r="M623" s="40" t="s">
        <v>341</v>
      </c>
      <c r="N623" s="14" t="s">
        <v>2448</v>
      </c>
      <c r="O623" s="14" t="s">
        <v>552</v>
      </c>
      <c r="P623" s="14" t="s">
        <v>793</v>
      </c>
      <c r="Q623" s="14" t="s">
        <v>553</v>
      </c>
      <c r="R623" s="17">
        <v>381</v>
      </c>
      <c r="S623" s="172" t="s">
        <v>51</v>
      </c>
      <c r="T623" s="17">
        <v>1960</v>
      </c>
      <c r="U623" s="14" t="s">
        <v>51</v>
      </c>
      <c r="V623" s="16">
        <f t="shared" ref="V623:V686" si="96">B623</f>
        <v>244124</v>
      </c>
      <c r="W623" s="16">
        <f t="shared" ref="W623:W686" si="97">B623+7</f>
        <v>244131</v>
      </c>
      <c r="X623" s="16">
        <f t="shared" ref="X623:X686" si="98">V623+2</f>
        <v>244126</v>
      </c>
      <c r="Y623" s="15" t="s">
        <v>54</v>
      </c>
      <c r="Z623" s="177">
        <v>244125</v>
      </c>
      <c r="AA623" s="170"/>
      <c r="AB623" s="170"/>
      <c r="AC623" s="170"/>
      <c r="AD623" s="170"/>
      <c r="AE623" s="15" t="s">
        <v>54</v>
      </c>
      <c r="AF623" s="177">
        <v>244126</v>
      </c>
      <c r="AG623" s="177" t="str">
        <f t="shared" si="94"/>
        <v>Pass</v>
      </c>
      <c r="AH623" s="177">
        <f t="shared" si="95"/>
        <v>244126</v>
      </c>
      <c r="AK623" s="176"/>
      <c r="AL623" s="176"/>
    </row>
    <row r="624" spans="1:38" ht="36" customHeight="1" x14ac:dyDescent="0.2">
      <c r="A624" s="14" t="s">
        <v>21</v>
      </c>
      <c r="B624" s="212">
        <v>244125</v>
      </c>
      <c r="C624" s="14" t="s">
        <v>547</v>
      </c>
      <c r="D624" s="14" t="s">
        <v>268</v>
      </c>
      <c r="E624" s="14" t="s">
        <v>14</v>
      </c>
      <c r="F624" s="14" t="s">
        <v>324</v>
      </c>
      <c r="G624" s="179">
        <v>680623</v>
      </c>
      <c r="H624" s="176" t="s">
        <v>1026</v>
      </c>
      <c r="I624" s="176" t="s">
        <v>908</v>
      </c>
      <c r="J624" s="176" t="s">
        <v>133</v>
      </c>
      <c r="K624" s="176" t="s">
        <v>2450</v>
      </c>
      <c r="L624" s="40" t="s">
        <v>45</v>
      </c>
      <c r="M624" s="40" t="s">
        <v>341</v>
      </c>
      <c r="N624" s="14" t="s">
        <v>2454</v>
      </c>
      <c r="O624" s="14" t="s">
        <v>552</v>
      </c>
      <c r="P624" s="14" t="s">
        <v>793</v>
      </c>
      <c r="Q624" s="14" t="s">
        <v>553</v>
      </c>
      <c r="R624" s="17">
        <v>133</v>
      </c>
      <c r="S624" s="172" t="s">
        <v>51</v>
      </c>
      <c r="T624" s="17">
        <v>1960</v>
      </c>
      <c r="U624" s="14" t="s">
        <v>51</v>
      </c>
      <c r="V624" s="16">
        <f t="shared" si="96"/>
        <v>244125</v>
      </c>
      <c r="W624" s="16">
        <f t="shared" si="97"/>
        <v>244132</v>
      </c>
      <c r="X624" s="16">
        <f t="shared" si="98"/>
        <v>244127</v>
      </c>
      <c r="Y624" s="15" t="s">
        <v>54</v>
      </c>
      <c r="Z624" s="177">
        <v>244141</v>
      </c>
      <c r="AA624" s="170"/>
      <c r="AB624" s="170"/>
      <c r="AC624" s="170"/>
      <c r="AD624" s="170"/>
      <c r="AE624" s="15" t="s">
        <v>54</v>
      </c>
      <c r="AF624" s="177">
        <v>244141</v>
      </c>
      <c r="AG624" s="177" t="str">
        <f t="shared" si="94"/>
        <v>Pass</v>
      </c>
      <c r="AH624" s="177">
        <f t="shared" si="95"/>
        <v>244141</v>
      </c>
      <c r="AK624" s="176"/>
      <c r="AL624" s="176"/>
    </row>
    <row r="625" spans="1:38" ht="36" customHeight="1" x14ac:dyDescent="0.2">
      <c r="A625" s="14" t="s">
        <v>21</v>
      </c>
      <c r="B625" s="212">
        <v>244125</v>
      </c>
      <c r="C625" s="14" t="s">
        <v>547</v>
      </c>
      <c r="D625" s="14" t="s">
        <v>268</v>
      </c>
      <c r="E625" s="14" t="s">
        <v>14</v>
      </c>
      <c r="F625" s="14" t="s">
        <v>324</v>
      </c>
      <c r="G625" s="179">
        <v>680624</v>
      </c>
      <c r="H625" s="176" t="s">
        <v>1663</v>
      </c>
      <c r="I625" s="176" t="s">
        <v>550</v>
      </c>
      <c r="J625" s="176" t="s">
        <v>128</v>
      </c>
      <c r="K625" s="176" t="s">
        <v>2451</v>
      </c>
      <c r="L625" s="40" t="s">
        <v>105</v>
      </c>
      <c r="M625" s="40" t="s">
        <v>341</v>
      </c>
      <c r="N625" s="14" t="s">
        <v>2455</v>
      </c>
      <c r="O625" s="14" t="s">
        <v>528</v>
      </c>
      <c r="P625" s="14" t="s">
        <v>2038</v>
      </c>
      <c r="Q625" s="14" t="s">
        <v>541</v>
      </c>
      <c r="R625" s="17">
        <v>400</v>
      </c>
      <c r="S625" s="172" t="s">
        <v>51</v>
      </c>
      <c r="T625" s="17">
        <v>2550</v>
      </c>
      <c r="U625" s="14" t="s">
        <v>51</v>
      </c>
      <c r="V625" s="16">
        <f t="shared" si="96"/>
        <v>244125</v>
      </c>
      <c r="W625" s="16">
        <f t="shared" si="97"/>
        <v>244132</v>
      </c>
      <c r="X625" s="16">
        <f t="shared" si="98"/>
        <v>244127</v>
      </c>
      <c r="Y625" s="15"/>
      <c r="Z625" s="177"/>
      <c r="AA625" s="170"/>
      <c r="AB625" s="170"/>
      <c r="AC625" s="170"/>
      <c r="AD625" s="170"/>
      <c r="AE625" s="15"/>
      <c r="AF625" s="177"/>
      <c r="AG625" s="177">
        <f t="shared" si="94"/>
        <v>0</v>
      </c>
      <c r="AH625" s="177">
        <f t="shared" si="95"/>
        <v>0</v>
      </c>
      <c r="AK625" s="176"/>
      <c r="AL625" s="176"/>
    </row>
    <row r="626" spans="1:38" ht="36" customHeight="1" x14ac:dyDescent="0.2">
      <c r="A626" s="14" t="s">
        <v>21</v>
      </c>
      <c r="B626" s="212">
        <v>244125</v>
      </c>
      <c r="C626" s="14" t="s">
        <v>547</v>
      </c>
      <c r="D626" s="14" t="s">
        <v>268</v>
      </c>
      <c r="E626" s="14" t="s">
        <v>14</v>
      </c>
      <c r="F626" s="14" t="s">
        <v>324</v>
      </c>
      <c r="G626" s="179">
        <v>680625</v>
      </c>
      <c r="H626" s="176" t="s">
        <v>2449</v>
      </c>
      <c r="I626" s="176" t="s">
        <v>830</v>
      </c>
      <c r="J626" s="176" t="s">
        <v>123</v>
      </c>
      <c r="K626" s="176" t="s">
        <v>2452</v>
      </c>
      <c r="L626" s="40" t="s">
        <v>45</v>
      </c>
      <c r="M626" s="40" t="s">
        <v>341</v>
      </c>
      <c r="N626" s="14" t="s">
        <v>2456</v>
      </c>
      <c r="O626" s="14" t="s">
        <v>2460</v>
      </c>
      <c r="P626" s="14" t="s">
        <v>2203</v>
      </c>
      <c r="Q626" s="14" t="s">
        <v>2464</v>
      </c>
      <c r="R626" s="17">
        <v>500</v>
      </c>
      <c r="S626" s="172" t="s">
        <v>51</v>
      </c>
      <c r="T626" s="17">
        <v>1933</v>
      </c>
      <c r="U626" s="14" t="s">
        <v>51</v>
      </c>
      <c r="V626" s="16">
        <f t="shared" si="96"/>
        <v>244125</v>
      </c>
      <c r="W626" s="16">
        <f t="shared" si="97"/>
        <v>244132</v>
      </c>
      <c r="X626" s="16">
        <f t="shared" si="98"/>
        <v>244127</v>
      </c>
      <c r="Y626" s="15"/>
      <c r="Z626" s="177"/>
      <c r="AA626" s="170"/>
      <c r="AB626" s="170"/>
      <c r="AC626" s="170"/>
      <c r="AD626" s="170"/>
      <c r="AE626" s="15"/>
      <c r="AF626" s="177"/>
      <c r="AG626" s="177">
        <f t="shared" si="94"/>
        <v>0</v>
      </c>
      <c r="AH626" s="177">
        <f t="shared" si="95"/>
        <v>0</v>
      </c>
      <c r="AK626" s="176"/>
      <c r="AL626" s="176"/>
    </row>
    <row r="627" spans="1:38" ht="36" customHeight="1" x14ac:dyDescent="0.2">
      <c r="A627" s="14" t="s">
        <v>21</v>
      </c>
      <c r="B627" s="212">
        <v>244125</v>
      </c>
      <c r="C627" s="14" t="s">
        <v>547</v>
      </c>
      <c r="D627" s="14" t="s">
        <v>268</v>
      </c>
      <c r="E627" s="14" t="s">
        <v>14</v>
      </c>
      <c r="F627" s="14" t="s">
        <v>324</v>
      </c>
      <c r="G627" s="179">
        <v>680626</v>
      </c>
      <c r="H627" s="176" t="s">
        <v>628</v>
      </c>
      <c r="I627" s="176" t="s">
        <v>551</v>
      </c>
      <c r="J627" s="176" t="s">
        <v>596</v>
      </c>
      <c r="K627" s="176" t="s">
        <v>2453</v>
      </c>
      <c r="L627" s="40" t="s">
        <v>106</v>
      </c>
      <c r="M627" s="40" t="s">
        <v>341</v>
      </c>
      <c r="N627" s="14" t="s">
        <v>2457</v>
      </c>
      <c r="O627" s="14" t="s">
        <v>2461</v>
      </c>
      <c r="P627" s="14" t="s">
        <v>2462</v>
      </c>
      <c r="Q627" s="14" t="s">
        <v>2465</v>
      </c>
      <c r="R627" s="17">
        <v>675</v>
      </c>
      <c r="S627" s="172" t="s">
        <v>51</v>
      </c>
      <c r="T627" s="17">
        <v>3330</v>
      </c>
      <c r="U627" s="14" t="s">
        <v>51</v>
      </c>
      <c r="V627" s="16">
        <f t="shared" si="96"/>
        <v>244125</v>
      </c>
      <c r="W627" s="16">
        <f t="shared" si="97"/>
        <v>244132</v>
      </c>
      <c r="X627" s="16">
        <f t="shared" si="98"/>
        <v>244127</v>
      </c>
      <c r="Y627" s="15" t="s">
        <v>54</v>
      </c>
      <c r="Z627" s="177">
        <v>244126</v>
      </c>
      <c r="AA627" s="170"/>
      <c r="AB627" s="170"/>
      <c r="AC627" s="170"/>
      <c r="AD627" s="170"/>
      <c r="AE627" s="15" t="s">
        <v>54</v>
      </c>
      <c r="AF627" s="177">
        <v>244127</v>
      </c>
      <c r="AG627" s="177" t="str">
        <f t="shared" si="94"/>
        <v>Pass</v>
      </c>
      <c r="AH627" s="177">
        <f t="shared" si="95"/>
        <v>244127</v>
      </c>
      <c r="AK627" s="176"/>
      <c r="AL627" s="176"/>
    </row>
    <row r="628" spans="1:38" ht="36" customHeight="1" x14ac:dyDescent="0.2">
      <c r="A628" s="14" t="s">
        <v>21</v>
      </c>
      <c r="B628" s="212">
        <v>244125</v>
      </c>
      <c r="C628" s="14" t="s">
        <v>547</v>
      </c>
      <c r="D628" s="14" t="s">
        <v>268</v>
      </c>
      <c r="E628" s="14" t="s">
        <v>14</v>
      </c>
      <c r="F628" s="14" t="s">
        <v>324</v>
      </c>
      <c r="G628" s="179">
        <v>680627</v>
      </c>
      <c r="H628" s="176" t="s">
        <v>1631</v>
      </c>
      <c r="I628" s="176" t="s">
        <v>1633</v>
      </c>
      <c r="J628" s="176" t="s">
        <v>1634</v>
      </c>
      <c r="K628" s="176" t="s">
        <v>1635</v>
      </c>
      <c r="L628" s="40" t="s">
        <v>46</v>
      </c>
      <c r="M628" s="40" t="s">
        <v>341</v>
      </c>
      <c r="N628" s="14" t="s">
        <v>2458</v>
      </c>
      <c r="O628" s="14" t="s">
        <v>548</v>
      </c>
      <c r="P628" s="14" t="s">
        <v>518</v>
      </c>
      <c r="Q628" s="14" t="s">
        <v>549</v>
      </c>
      <c r="R628" s="17">
        <v>241</v>
      </c>
      <c r="S628" s="172" t="s">
        <v>51</v>
      </c>
      <c r="T628" s="17">
        <v>2600</v>
      </c>
      <c r="U628" s="14" t="s">
        <v>51</v>
      </c>
      <c r="V628" s="16">
        <f t="shared" si="96"/>
        <v>244125</v>
      </c>
      <c r="W628" s="16">
        <f t="shared" si="97"/>
        <v>244132</v>
      </c>
      <c r="X628" s="16">
        <f t="shared" si="98"/>
        <v>244127</v>
      </c>
      <c r="Y628" s="15" t="s">
        <v>54</v>
      </c>
      <c r="Z628" s="177">
        <v>244126</v>
      </c>
      <c r="AA628" s="170"/>
      <c r="AB628" s="170"/>
      <c r="AC628" s="170"/>
      <c r="AD628" s="170"/>
      <c r="AE628" s="15" t="s">
        <v>54</v>
      </c>
      <c r="AF628" s="177">
        <v>244127</v>
      </c>
      <c r="AG628" s="177" t="str">
        <f t="shared" si="94"/>
        <v>Pass</v>
      </c>
      <c r="AH628" s="177">
        <f t="shared" si="95"/>
        <v>244127</v>
      </c>
      <c r="AK628" s="176"/>
      <c r="AL628" s="176"/>
    </row>
    <row r="629" spans="1:38" ht="36" customHeight="1" x14ac:dyDescent="0.2">
      <c r="A629" s="14" t="s">
        <v>21</v>
      </c>
      <c r="B629" s="212">
        <v>244125</v>
      </c>
      <c r="C629" s="14" t="s">
        <v>547</v>
      </c>
      <c r="D629" s="14" t="s">
        <v>268</v>
      </c>
      <c r="E629" s="14" t="s">
        <v>14</v>
      </c>
      <c r="F629" s="14" t="s">
        <v>324</v>
      </c>
      <c r="G629" s="179">
        <v>680628</v>
      </c>
      <c r="H629" s="176" t="s">
        <v>2449</v>
      </c>
      <c r="I629" s="176" t="s">
        <v>830</v>
      </c>
      <c r="J629" s="176" t="s">
        <v>123</v>
      </c>
      <c r="K629" s="176" t="s">
        <v>2452</v>
      </c>
      <c r="L629" s="40" t="s">
        <v>45</v>
      </c>
      <c r="M629" s="40" t="s">
        <v>341</v>
      </c>
      <c r="N629" s="14" t="s">
        <v>2459</v>
      </c>
      <c r="O629" s="14" t="s">
        <v>543</v>
      </c>
      <c r="P629" s="14" t="s">
        <v>2463</v>
      </c>
      <c r="Q629" s="14" t="s">
        <v>529</v>
      </c>
      <c r="R629" s="17">
        <v>175</v>
      </c>
      <c r="S629" s="172" t="s">
        <v>51</v>
      </c>
      <c r="T629" s="17">
        <v>1979</v>
      </c>
      <c r="U629" s="14" t="s">
        <v>51</v>
      </c>
      <c r="V629" s="16">
        <f t="shared" si="96"/>
        <v>244125</v>
      </c>
      <c r="W629" s="16">
        <f t="shared" si="97"/>
        <v>244132</v>
      </c>
      <c r="X629" s="16">
        <f t="shared" si="98"/>
        <v>244127</v>
      </c>
      <c r="Y629" s="15"/>
      <c r="Z629" s="177"/>
      <c r="AA629" s="170"/>
      <c r="AB629" s="170"/>
      <c r="AC629" s="170"/>
      <c r="AD629" s="170"/>
      <c r="AE629" s="15"/>
      <c r="AF629" s="177"/>
      <c r="AG629" s="177">
        <f t="shared" si="94"/>
        <v>0</v>
      </c>
      <c r="AH629" s="177">
        <f t="shared" si="95"/>
        <v>0</v>
      </c>
      <c r="AK629" s="176"/>
      <c r="AL629" s="176"/>
    </row>
    <row r="630" spans="1:38" ht="36" customHeight="1" x14ac:dyDescent="0.2">
      <c r="A630" s="14" t="s">
        <v>21</v>
      </c>
      <c r="B630" s="212">
        <v>244125</v>
      </c>
      <c r="C630" s="14" t="s">
        <v>547</v>
      </c>
      <c r="D630" s="14" t="s">
        <v>268</v>
      </c>
      <c r="E630" s="14" t="s">
        <v>14</v>
      </c>
      <c r="F630" s="14" t="s">
        <v>324</v>
      </c>
      <c r="G630" s="179">
        <v>680629</v>
      </c>
      <c r="H630" s="176" t="s">
        <v>2449</v>
      </c>
      <c r="I630" s="176" t="s">
        <v>830</v>
      </c>
      <c r="J630" s="176" t="s">
        <v>123</v>
      </c>
      <c r="K630" s="176" t="s">
        <v>2452</v>
      </c>
      <c r="L630" s="40" t="s">
        <v>45</v>
      </c>
      <c r="M630" s="40" t="s">
        <v>341</v>
      </c>
      <c r="N630" s="14" t="s">
        <v>1100</v>
      </c>
      <c r="O630" s="14" t="s">
        <v>548</v>
      </c>
      <c r="P630" s="14" t="s">
        <v>518</v>
      </c>
      <c r="Q630" s="14" t="s">
        <v>549</v>
      </c>
      <c r="R630" s="17">
        <v>144</v>
      </c>
      <c r="S630" s="172" t="s">
        <v>51</v>
      </c>
      <c r="T630" s="17">
        <v>1933</v>
      </c>
      <c r="U630" s="14" t="s">
        <v>51</v>
      </c>
      <c r="V630" s="16">
        <f t="shared" si="96"/>
        <v>244125</v>
      </c>
      <c r="W630" s="16">
        <f t="shared" si="97"/>
        <v>244132</v>
      </c>
      <c r="X630" s="16">
        <f t="shared" si="98"/>
        <v>244127</v>
      </c>
      <c r="Y630" s="15"/>
      <c r="Z630" s="177"/>
      <c r="AA630" s="170"/>
      <c r="AB630" s="170"/>
      <c r="AC630" s="170"/>
      <c r="AD630" s="170"/>
      <c r="AE630" s="15"/>
      <c r="AF630" s="177"/>
      <c r="AG630" s="177">
        <f t="shared" si="94"/>
        <v>0</v>
      </c>
      <c r="AH630" s="177">
        <f t="shared" si="95"/>
        <v>0</v>
      </c>
      <c r="AK630" s="176"/>
      <c r="AL630" s="176"/>
    </row>
    <row r="631" spans="1:38" ht="36" customHeight="1" x14ac:dyDescent="0.2">
      <c r="A631" s="14" t="s">
        <v>21</v>
      </c>
      <c r="B631" s="212">
        <v>244125</v>
      </c>
      <c r="C631" s="14" t="s">
        <v>547</v>
      </c>
      <c r="D631" s="14" t="s">
        <v>268</v>
      </c>
      <c r="E631" s="14" t="s">
        <v>14</v>
      </c>
      <c r="F631" s="14" t="s">
        <v>324</v>
      </c>
      <c r="G631" s="179">
        <v>680630</v>
      </c>
      <c r="H631" s="176" t="s">
        <v>1631</v>
      </c>
      <c r="I631" s="176" t="s">
        <v>1633</v>
      </c>
      <c r="J631" s="176" t="s">
        <v>1634</v>
      </c>
      <c r="K631" s="176" t="s">
        <v>1635</v>
      </c>
      <c r="L631" s="40" t="s">
        <v>46</v>
      </c>
      <c r="M631" s="40" t="s">
        <v>341</v>
      </c>
      <c r="N631" s="14" t="s">
        <v>2466</v>
      </c>
      <c r="O631" s="14" t="s">
        <v>552</v>
      </c>
      <c r="P631" s="14" t="s">
        <v>2467</v>
      </c>
      <c r="Q631" s="14" t="s">
        <v>553</v>
      </c>
      <c r="R631" s="17">
        <v>2500</v>
      </c>
      <c r="S631" s="172" t="s">
        <v>51</v>
      </c>
      <c r="T631" s="17">
        <v>2600</v>
      </c>
      <c r="U631" s="14" t="s">
        <v>51</v>
      </c>
      <c r="V631" s="16">
        <f t="shared" si="96"/>
        <v>244125</v>
      </c>
      <c r="W631" s="16">
        <f t="shared" si="97"/>
        <v>244132</v>
      </c>
      <c r="X631" s="16">
        <f t="shared" si="98"/>
        <v>244127</v>
      </c>
      <c r="Y631" s="15" t="s">
        <v>54</v>
      </c>
      <c r="Z631" s="177">
        <v>244126</v>
      </c>
      <c r="AA631" s="170"/>
      <c r="AB631" s="170"/>
      <c r="AC631" s="170"/>
      <c r="AD631" s="170"/>
      <c r="AE631" s="15" t="s">
        <v>54</v>
      </c>
      <c r="AF631" s="177">
        <v>244127</v>
      </c>
      <c r="AG631" s="177" t="str">
        <f t="shared" si="94"/>
        <v>Pass</v>
      </c>
      <c r="AH631" s="177">
        <f t="shared" si="95"/>
        <v>244127</v>
      </c>
      <c r="AK631" s="176"/>
      <c r="AL631" s="176"/>
    </row>
    <row r="632" spans="1:38" ht="36" customHeight="1" x14ac:dyDescent="0.2">
      <c r="A632" s="14" t="s">
        <v>21</v>
      </c>
      <c r="B632" s="212">
        <v>244126</v>
      </c>
      <c r="C632" s="14" t="s">
        <v>547</v>
      </c>
      <c r="D632" s="14" t="s">
        <v>268</v>
      </c>
      <c r="E632" s="14" t="s">
        <v>14</v>
      </c>
      <c r="F632" s="14" t="s">
        <v>324</v>
      </c>
      <c r="G632" s="179">
        <v>680631</v>
      </c>
      <c r="H632" s="176" t="s">
        <v>1712</v>
      </c>
      <c r="I632" s="176" t="s">
        <v>664</v>
      </c>
      <c r="J632" s="176" t="s">
        <v>2042</v>
      </c>
      <c r="K632" s="176" t="s">
        <v>2469</v>
      </c>
      <c r="L632" s="40" t="s">
        <v>45</v>
      </c>
      <c r="M632" s="40" t="s">
        <v>341</v>
      </c>
      <c r="N632" s="14" t="s">
        <v>1933</v>
      </c>
      <c r="O632" s="14" t="s">
        <v>552</v>
      </c>
      <c r="P632" s="14" t="s">
        <v>1205</v>
      </c>
      <c r="Q632" s="14" t="s">
        <v>553</v>
      </c>
      <c r="R632" s="17">
        <v>400</v>
      </c>
      <c r="S632" s="172" t="s">
        <v>51</v>
      </c>
      <c r="T632" s="17">
        <v>1980</v>
      </c>
      <c r="U632" s="14" t="s">
        <v>51</v>
      </c>
      <c r="V632" s="16">
        <f t="shared" si="96"/>
        <v>244126</v>
      </c>
      <c r="W632" s="16">
        <f t="shared" si="97"/>
        <v>244133</v>
      </c>
      <c r="X632" s="16">
        <f t="shared" si="98"/>
        <v>244128</v>
      </c>
      <c r="Y632" s="15"/>
      <c r="Z632" s="177"/>
      <c r="AA632" s="170"/>
      <c r="AB632" s="170"/>
      <c r="AC632" s="170"/>
      <c r="AD632" s="170"/>
      <c r="AE632" s="15"/>
      <c r="AF632" s="177"/>
      <c r="AG632" s="177">
        <f t="shared" si="94"/>
        <v>0</v>
      </c>
      <c r="AH632" s="177">
        <f t="shared" si="95"/>
        <v>0</v>
      </c>
      <c r="AK632" s="176"/>
      <c r="AL632" s="176"/>
    </row>
    <row r="633" spans="1:38" ht="36" customHeight="1" x14ac:dyDescent="0.2">
      <c r="A633" s="14" t="s">
        <v>21</v>
      </c>
      <c r="B633" s="212">
        <v>244126</v>
      </c>
      <c r="C633" s="14" t="s">
        <v>547</v>
      </c>
      <c r="D633" s="14" t="s">
        <v>268</v>
      </c>
      <c r="E633" s="14" t="s">
        <v>14</v>
      </c>
      <c r="F633" s="14" t="s">
        <v>324</v>
      </c>
      <c r="G633" s="179">
        <v>680632</v>
      </c>
      <c r="H633" s="176" t="s">
        <v>662</v>
      </c>
      <c r="I633" s="176" t="s">
        <v>664</v>
      </c>
      <c r="J633" s="176" t="s">
        <v>123</v>
      </c>
      <c r="K633" s="176" t="s">
        <v>2468</v>
      </c>
      <c r="L633" s="40" t="s">
        <v>45</v>
      </c>
      <c r="M633" s="40" t="s">
        <v>341</v>
      </c>
      <c r="N633" s="14" t="s">
        <v>1086</v>
      </c>
      <c r="O633" s="14" t="s">
        <v>528</v>
      </c>
      <c r="P633" s="14" t="s">
        <v>517</v>
      </c>
      <c r="Q633" s="14" t="s">
        <v>541</v>
      </c>
      <c r="R633" s="17">
        <v>200</v>
      </c>
      <c r="S633" s="172" t="s">
        <v>51</v>
      </c>
      <c r="T633" s="17">
        <v>1990</v>
      </c>
      <c r="U633" s="14" t="s">
        <v>51</v>
      </c>
      <c r="V633" s="16">
        <f t="shared" si="96"/>
        <v>244126</v>
      </c>
      <c r="W633" s="16">
        <f t="shared" si="97"/>
        <v>244133</v>
      </c>
      <c r="X633" s="16">
        <f t="shared" si="98"/>
        <v>244128</v>
      </c>
      <c r="Y633" s="15" t="s">
        <v>54</v>
      </c>
      <c r="Z633" s="177">
        <v>244127</v>
      </c>
      <c r="AA633" s="170"/>
      <c r="AB633" s="170"/>
      <c r="AC633" s="170"/>
      <c r="AD633" s="170"/>
      <c r="AE633" s="15" t="s">
        <v>54</v>
      </c>
      <c r="AF633" s="177">
        <v>244130</v>
      </c>
      <c r="AG633" s="177" t="str">
        <f t="shared" si="94"/>
        <v>Pass</v>
      </c>
      <c r="AH633" s="177">
        <f t="shared" si="95"/>
        <v>244130</v>
      </c>
      <c r="AK633" s="176"/>
      <c r="AL633" s="176"/>
    </row>
    <row r="634" spans="1:38" ht="36" customHeight="1" x14ac:dyDescent="0.2">
      <c r="A634" s="14" t="s">
        <v>21</v>
      </c>
      <c r="B634" s="212">
        <v>244127</v>
      </c>
      <c r="C634" s="14" t="s">
        <v>547</v>
      </c>
      <c r="D634" s="14" t="s">
        <v>268</v>
      </c>
      <c r="E634" s="14" t="s">
        <v>14</v>
      </c>
      <c r="F634" s="14" t="s">
        <v>324</v>
      </c>
      <c r="G634" s="179">
        <v>680633</v>
      </c>
      <c r="H634" s="176" t="s">
        <v>1281</v>
      </c>
      <c r="I634" s="176" t="s">
        <v>550</v>
      </c>
      <c r="J634" s="176" t="s">
        <v>128</v>
      </c>
      <c r="K634" s="176" t="s">
        <v>2470</v>
      </c>
      <c r="L634" s="40" t="s">
        <v>106</v>
      </c>
      <c r="M634" s="40" t="s">
        <v>341</v>
      </c>
      <c r="N634" s="14" t="s">
        <v>1424</v>
      </c>
      <c r="O634" s="14" t="s">
        <v>548</v>
      </c>
      <c r="P634" s="14" t="s">
        <v>518</v>
      </c>
      <c r="Q634" s="14" t="s">
        <v>549</v>
      </c>
      <c r="R634" s="17">
        <v>159</v>
      </c>
      <c r="S634" s="172" t="s">
        <v>51</v>
      </c>
      <c r="T634" s="17">
        <v>2363</v>
      </c>
      <c r="U634" s="14" t="s">
        <v>51</v>
      </c>
      <c r="V634" s="16">
        <f t="shared" si="96"/>
        <v>244127</v>
      </c>
      <c r="W634" s="16">
        <f t="shared" si="97"/>
        <v>244134</v>
      </c>
      <c r="X634" s="16">
        <f t="shared" si="98"/>
        <v>244129</v>
      </c>
      <c r="Y634" s="15" t="s">
        <v>54</v>
      </c>
      <c r="Z634" s="177">
        <v>244132</v>
      </c>
      <c r="AA634" s="170"/>
      <c r="AB634" s="170"/>
      <c r="AC634" s="170"/>
      <c r="AD634" s="170"/>
      <c r="AE634" s="15" t="s">
        <v>54</v>
      </c>
      <c r="AF634" s="177">
        <v>244133</v>
      </c>
      <c r="AG634" s="177" t="str">
        <f t="shared" si="94"/>
        <v>Pass</v>
      </c>
      <c r="AH634" s="177">
        <f t="shared" si="95"/>
        <v>244133</v>
      </c>
      <c r="AK634" s="176"/>
      <c r="AL634" s="176"/>
    </row>
    <row r="635" spans="1:38" ht="36" customHeight="1" x14ac:dyDescent="0.2">
      <c r="A635" s="14" t="s">
        <v>21</v>
      </c>
      <c r="B635" s="212">
        <v>244127</v>
      </c>
      <c r="C635" s="14" t="s">
        <v>547</v>
      </c>
      <c r="D635" s="14" t="s">
        <v>268</v>
      </c>
      <c r="E635" s="14" t="s">
        <v>14</v>
      </c>
      <c r="F635" s="14" t="s">
        <v>324</v>
      </c>
      <c r="G635" s="179">
        <v>680634</v>
      </c>
      <c r="H635" s="176" t="s">
        <v>904</v>
      </c>
      <c r="I635" s="176" t="s">
        <v>908</v>
      </c>
      <c r="J635" s="176" t="s">
        <v>133</v>
      </c>
      <c r="K635" s="176" t="s">
        <v>2471</v>
      </c>
      <c r="L635" s="40" t="s">
        <v>45</v>
      </c>
      <c r="M635" s="40" t="s">
        <v>341</v>
      </c>
      <c r="N635" s="14" t="s">
        <v>2473</v>
      </c>
      <c r="O635" s="14" t="s">
        <v>552</v>
      </c>
      <c r="P635" s="14" t="s">
        <v>519</v>
      </c>
      <c r="Q635" s="14" t="s">
        <v>553</v>
      </c>
      <c r="R635" s="17">
        <v>2550</v>
      </c>
      <c r="S635" s="172" t="s">
        <v>51</v>
      </c>
      <c r="T635" s="17">
        <v>1950</v>
      </c>
      <c r="U635" s="14" t="s">
        <v>51</v>
      </c>
      <c r="V635" s="16">
        <f t="shared" si="96"/>
        <v>244127</v>
      </c>
      <c r="W635" s="16">
        <f t="shared" si="97"/>
        <v>244134</v>
      </c>
      <c r="X635" s="16">
        <f t="shared" si="98"/>
        <v>244129</v>
      </c>
      <c r="Y635" s="15"/>
      <c r="Z635" s="177"/>
      <c r="AA635" s="170"/>
      <c r="AB635" s="170"/>
      <c r="AC635" s="170"/>
      <c r="AD635" s="170"/>
      <c r="AE635" s="15"/>
      <c r="AF635" s="177"/>
      <c r="AG635" s="177">
        <f t="shared" si="94"/>
        <v>0</v>
      </c>
      <c r="AH635" s="177">
        <f t="shared" si="95"/>
        <v>0</v>
      </c>
      <c r="AK635" s="176"/>
      <c r="AL635" s="176"/>
    </row>
    <row r="636" spans="1:38" ht="36" customHeight="1" x14ac:dyDescent="0.2">
      <c r="A636" s="14" t="s">
        <v>21</v>
      </c>
      <c r="B636" s="212">
        <v>244127</v>
      </c>
      <c r="C636" s="14" t="s">
        <v>547</v>
      </c>
      <c r="D636" s="14" t="s">
        <v>268</v>
      </c>
      <c r="E636" s="14" t="s">
        <v>14</v>
      </c>
      <c r="F636" s="14" t="s">
        <v>324</v>
      </c>
      <c r="G636" s="179">
        <v>680635</v>
      </c>
      <c r="H636" s="176" t="s">
        <v>662</v>
      </c>
      <c r="I636" s="176" t="s">
        <v>664</v>
      </c>
      <c r="J636" s="176" t="s">
        <v>123</v>
      </c>
      <c r="K636" s="176" t="s">
        <v>2468</v>
      </c>
      <c r="L636" s="40" t="s">
        <v>45</v>
      </c>
      <c r="M636" s="40" t="s">
        <v>341</v>
      </c>
      <c r="N636" s="14" t="s">
        <v>2474</v>
      </c>
      <c r="O636" s="14" t="s">
        <v>552</v>
      </c>
      <c r="P636" s="14" t="s">
        <v>519</v>
      </c>
      <c r="Q636" s="14" t="s">
        <v>553</v>
      </c>
      <c r="R636" s="17">
        <v>385</v>
      </c>
      <c r="S636" s="172" t="s">
        <v>51</v>
      </c>
      <c r="T636" s="17">
        <v>1990</v>
      </c>
      <c r="U636" s="14" t="s">
        <v>51</v>
      </c>
      <c r="V636" s="16">
        <f t="shared" si="96"/>
        <v>244127</v>
      </c>
      <c r="W636" s="16">
        <f t="shared" si="97"/>
        <v>244134</v>
      </c>
      <c r="X636" s="16">
        <f t="shared" si="98"/>
        <v>244129</v>
      </c>
      <c r="Y636" s="15"/>
      <c r="Z636" s="177"/>
      <c r="AA636" s="170"/>
      <c r="AB636" s="170"/>
      <c r="AC636" s="170"/>
      <c r="AD636" s="170"/>
      <c r="AE636" s="15"/>
      <c r="AF636" s="177"/>
      <c r="AG636" s="177">
        <f t="shared" si="94"/>
        <v>0</v>
      </c>
      <c r="AH636" s="177">
        <f t="shared" si="95"/>
        <v>0</v>
      </c>
      <c r="AK636" s="176"/>
      <c r="AL636" s="176"/>
    </row>
    <row r="637" spans="1:38" ht="36" customHeight="1" x14ac:dyDescent="0.2">
      <c r="A637" s="14" t="s">
        <v>21</v>
      </c>
      <c r="B637" s="212">
        <v>244127</v>
      </c>
      <c r="C637" s="14" t="s">
        <v>547</v>
      </c>
      <c r="D637" s="14" t="s">
        <v>268</v>
      </c>
      <c r="E637" s="14" t="s">
        <v>14</v>
      </c>
      <c r="F637" s="14" t="s">
        <v>324</v>
      </c>
      <c r="G637" s="179">
        <v>680636</v>
      </c>
      <c r="H637" s="176" t="s">
        <v>1041</v>
      </c>
      <c r="I637" s="176" t="s">
        <v>908</v>
      </c>
      <c r="J637" s="176" t="s">
        <v>133</v>
      </c>
      <c r="K637" s="176" t="s">
        <v>2472</v>
      </c>
      <c r="L637" s="40" t="s">
        <v>45</v>
      </c>
      <c r="M637" s="40" t="s">
        <v>341</v>
      </c>
      <c r="N637" s="14" t="s">
        <v>2475</v>
      </c>
      <c r="O637" s="14" t="s">
        <v>552</v>
      </c>
      <c r="P637" s="14" t="s">
        <v>793</v>
      </c>
      <c r="Q637" s="14" t="s">
        <v>553</v>
      </c>
      <c r="R637" s="17">
        <v>1050</v>
      </c>
      <c r="S637" s="172" t="s">
        <v>51</v>
      </c>
      <c r="T637" s="17">
        <v>1950</v>
      </c>
      <c r="U637" s="14" t="s">
        <v>51</v>
      </c>
      <c r="V637" s="16">
        <f t="shared" si="96"/>
        <v>244127</v>
      </c>
      <c r="W637" s="16">
        <f t="shared" si="97"/>
        <v>244134</v>
      </c>
      <c r="X637" s="16">
        <f t="shared" si="98"/>
        <v>244129</v>
      </c>
      <c r="Y637" s="15"/>
      <c r="Z637" s="177"/>
      <c r="AA637" s="170"/>
      <c r="AB637" s="170"/>
      <c r="AC637" s="170"/>
      <c r="AD637" s="170"/>
      <c r="AE637" s="15"/>
      <c r="AF637" s="177"/>
      <c r="AG637" s="177">
        <f t="shared" si="94"/>
        <v>0</v>
      </c>
      <c r="AH637" s="177">
        <f t="shared" si="95"/>
        <v>0</v>
      </c>
      <c r="AK637" s="176"/>
      <c r="AL637" s="176"/>
    </row>
    <row r="638" spans="1:38" ht="36" customHeight="1" x14ac:dyDescent="0.2">
      <c r="A638" s="14" t="s">
        <v>21</v>
      </c>
      <c r="B638" s="212">
        <v>244128</v>
      </c>
      <c r="C638" s="14" t="s">
        <v>547</v>
      </c>
      <c r="D638" s="14" t="s">
        <v>268</v>
      </c>
      <c r="E638" s="14" t="s">
        <v>14</v>
      </c>
      <c r="F638" s="14" t="s">
        <v>324</v>
      </c>
      <c r="G638" s="179">
        <v>680637</v>
      </c>
      <c r="H638" s="176" t="s">
        <v>663</v>
      </c>
      <c r="I638" s="176" t="s">
        <v>630</v>
      </c>
      <c r="J638" s="176" t="s">
        <v>821</v>
      </c>
      <c r="K638" s="176" t="s">
        <v>2477</v>
      </c>
      <c r="L638" s="40" t="s">
        <v>124</v>
      </c>
      <c r="M638" s="40" t="s">
        <v>341</v>
      </c>
      <c r="N638" s="14" t="s">
        <v>2479</v>
      </c>
      <c r="O638" s="14" t="s">
        <v>543</v>
      </c>
      <c r="P638" s="14" t="s">
        <v>517</v>
      </c>
      <c r="Q638" s="14" t="s">
        <v>529</v>
      </c>
      <c r="R638" s="17">
        <v>1800</v>
      </c>
      <c r="S638" s="172" t="s">
        <v>51</v>
      </c>
      <c r="T638" s="17">
        <v>2593</v>
      </c>
      <c r="U638" s="14" t="s">
        <v>51</v>
      </c>
      <c r="V638" s="16">
        <f t="shared" si="96"/>
        <v>244128</v>
      </c>
      <c r="W638" s="16">
        <f t="shared" si="97"/>
        <v>244135</v>
      </c>
      <c r="X638" s="16">
        <f t="shared" si="98"/>
        <v>244130</v>
      </c>
      <c r="Y638" s="15"/>
      <c r="Z638" s="177"/>
      <c r="AA638" s="170"/>
      <c r="AB638" s="170"/>
      <c r="AC638" s="170"/>
      <c r="AD638" s="170"/>
      <c r="AE638" s="15"/>
      <c r="AF638" s="177"/>
      <c r="AG638" s="177">
        <f t="shared" si="94"/>
        <v>0</v>
      </c>
      <c r="AH638" s="177">
        <f t="shared" si="95"/>
        <v>0</v>
      </c>
      <c r="AK638" s="176"/>
      <c r="AL638" s="176"/>
    </row>
    <row r="639" spans="1:38" ht="36" customHeight="1" x14ac:dyDescent="0.2">
      <c r="A639" s="14" t="s">
        <v>21</v>
      </c>
      <c r="B639" s="212">
        <v>244128</v>
      </c>
      <c r="C639" s="14" t="s">
        <v>547</v>
      </c>
      <c r="D639" s="14" t="s">
        <v>268</v>
      </c>
      <c r="E639" s="14" t="s">
        <v>14</v>
      </c>
      <c r="F639" s="14" t="s">
        <v>324</v>
      </c>
      <c r="G639" s="179">
        <v>680638</v>
      </c>
      <c r="H639" s="176" t="s">
        <v>2476</v>
      </c>
      <c r="I639" s="176" t="s">
        <v>748</v>
      </c>
      <c r="J639" s="176" t="s">
        <v>123</v>
      </c>
      <c r="K639" s="176" t="s">
        <v>2478</v>
      </c>
      <c r="L639" s="40" t="s">
        <v>45</v>
      </c>
      <c r="M639" s="40" t="s">
        <v>341</v>
      </c>
      <c r="N639" s="14" t="s">
        <v>2480</v>
      </c>
      <c r="O639" s="14" t="s">
        <v>543</v>
      </c>
      <c r="P639" s="14" t="s">
        <v>517</v>
      </c>
      <c r="Q639" s="14" t="s">
        <v>529</v>
      </c>
      <c r="R639" s="17">
        <v>1900</v>
      </c>
      <c r="S639" s="172" t="s">
        <v>51</v>
      </c>
      <c r="T639" s="17">
        <v>1900</v>
      </c>
      <c r="U639" s="14" t="s">
        <v>51</v>
      </c>
      <c r="V639" s="16">
        <f t="shared" si="96"/>
        <v>244128</v>
      </c>
      <c r="W639" s="16">
        <f t="shared" si="97"/>
        <v>244135</v>
      </c>
      <c r="X639" s="16">
        <f t="shared" si="98"/>
        <v>244130</v>
      </c>
      <c r="Y639" s="15" t="s">
        <v>54</v>
      </c>
      <c r="Z639" s="177">
        <v>244141</v>
      </c>
      <c r="AA639" s="170"/>
      <c r="AB639" s="170"/>
      <c r="AC639" s="170"/>
      <c r="AD639" s="170"/>
      <c r="AE639" s="15" t="s">
        <v>54</v>
      </c>
      <c r="AF639" s="177">
        <v>244141</v>
      </c>
      <c r="AG639" s="177" t="str">
        <f t="shared" si="94"/>
        <v>Pass</v>
      </c>
      <c r="AH639" s="177">
        <f t="shared" si="95"/>
        <v>244141</v>
      </c>
      <c r="AK639" s="176"/>
      <c r="AL639" s="176"/>
    </row>
    <row r="640" spans="1:38" ht="36" customHeight="1" x14ac:dyDescent="0.2">
      <c r="A640" s="14" t="s">
        <v>21</v>
      </c>
      <c r="B640" s="212">
        <v>244128</v>
      </c>
      <c r="C640" s="14" t="s">
        <v>547</v>
      </c>
      <c r="D640" s="14" t="s">
        <v>268</v>
      </c>
      <c r="E640" s="14" t="s">
        <v>14</v>
      </c>
      <c r="F640" s="14" t="s">
        <v>324</v>
      </c>
      <c r="G640" s="179">
        <v>680639</v>
      </c>
      <c r="H640" s="176" t="s">
        <v>2502</v>
      </c>
      <c r="I640" s="176" t="s">
        <v>630</v>
      </c>
      <c r="J640" s="176" t="s">
        <v>821</v>
      </c>
      <c r="K640" s="176" t="s">
        <v>2477</v>
      </c>
      <c r="L640" s="40" t="s">
        <v>124</v>
      </c>
      <c r="M640" s="40" t="s">
        <v>341</v>
      </c>
      <c r="N640" s="14" t="s">
        <v>1079</v>
      </c>
      <c r="O640" s="14" t="s">
        <v>543</v>
      </c>
      <c r="P640" s="14" t="s">
        <v>971</v>
      </c>
      <c r="Q640" s="14" t="s">
        <v>529</v>
      </c>
      <c r="R640" s="17">
        <v>300</v>
      </c>
      <c r="S640" s="172" t="s">
        <v>51</v>
      </c>
      <c r="T640" s="17">
        <v>2579</v>
      </c>
      <c r="U640" s="14" t="s">
        <v>51</v>
      </c>
      <c r="V640" s="16">
        <f t="shared" si="96"/>
        <v>244128</v>
      </c>
      <c r="W640" s="16">
        <f t="shared" si="97"/>
        <v>244135</v>
      </c>
      <c r="X640" s="16">
        <f t="shared" si="98"/>
        <v>244130</v>
      </c>
      <c r="Y640" s="15"/>
      <c r="Z640" s="177"/>
      <c r="AA640" s="170"/>
      <c r="AB640" s="170"/>
      <c r="AC640" s="170"/>
      <c r="AD640" s="170"/>
      <c r="AE640" s="15"/>
      <c r="AF640" s="177"/>
      <c r="AG640" s="177">
        <f t="shared" si="94"/>
        <v>0</v>
      </c>
      <c r="AH640" s="177">
        <f t="shared" si="95"/>
        <v>0</v>
      </c>
      <c r="AK640" s="176"/>
      <c r="AL640" s="176"/>
    </row>
    <row r="641" spans="1:38" ht="36" customHeight="1" x14ac:dyDescent="0.2">
      <c r="A641" s="14" t="s">
        <v>21</v>
      </c>
      <c r="B641" s="212">
        <v>244130</v>
      </c>
      <c r="C641" s="14" t="s">
        <v>547</v>
      </c>
      <c r="D641" s="14" t="s">
        <v>268</v>
      </c>
      <c r="E641" s="14" t="s">
        <v>14</v>
      </c>
      <c r="F641" s="14" t="s">
        <v>324</v>
      </c>
      <c r="G641" s="179">
        <v>680640</v>
      </c>
      <c r="H641" s="176" t="s">
        <v>663</v>
      </c>
      <c r="I641" s="176" t="s">
        <v>630</v>
      </c>
      <c r="J641" s="176" t="s">
        <v>821</v>
      </c>
      <c r="K641" s="176" t="s">
        <v>2477</v>
      </c>
      <c r="L641" s="40" t="s">
        <v>124</v>
      </c>
      <c r="M641" s="40" t="s">
        <v>341</v>
      </c>
      <c r="N641" s="14" t="s">
        <v>2486</v>
      </c>
      <c r="O641" s="14" t="s">
        <v>988</v>
      </c>
      <c r="P641" s="14" t="s">
        <v>517</v>
      </c>
      <c r="Q641" s="14" t="s">
        <v>994</v>
      </c>
      <c r="R641" s="17">
        <v>1020</v>
      </c>
      <c r="S641" s="172" t="s">
        <v>51</v>
      </c>
      <c r="T641" s="17">
        <v>2570</v>
      </c>
      <c r="U641" s="14" t="s">
        <v>51</v>
      </c>
      <c r="V641" s="16">
        <f t="shared" si="96"/>
        <v>244130</v>
      </c>
      <c r="W641" s="16">
        <f t="shared" si="97"/>
        <v>244137</v>
      </c>
      <c r="X641" s="16">
        <f t="shared" si="98"/>
        <v>244132</v>
      </c>
      <c r="Y641" s="15"/>
      <c r="Z641" s="177"/>
      <c r="AA641" s="170"/>
      <c r="AB641" s="170"/>
      <c r="AC641" s="170"/>
      <c r="AD641" s="170"/>
      <c r="AE641" s="15"/>
      <c r="AF641" s="177"/>
      <c r="AG641" s="177">
        <f t="shared" si="94"/>
        <v>0</v>
      </c>
      <c r="AH641" s="177">
        <f t="shared" si="95"/>
        <v>0</v>
      </c>
      <c r="AK641" s="176"/>
      <c r="AL641" s="176"/>
    </row>
    <row r="642" spans="1:38" ht="36" customHeight="1" x14ac:dyDescent="0.2">
      <c r="A642" s="14" t="s">
        <v>21</v>
      </c>
      <c r="B642" s="212">
        <v>244130</v>
      </c>
      <c r="C642" s="14" t="s">
        <v>547</v>
      </c>
      <c r="D642" s="14" t="s">
        <v>268</v>
      </c>
      <c r="E642" s="14" t="s">
        <v>14</v>
      </c>
      <c r="F642" s="14" t="s">
        <v>324</v>
      </c>
      <c r="G642" s="179">
        <v>680641</v>
      </c>
      <c r="H642" s="176" t="s">
        <v>861</v>
      </c>
      <c r="I642" s="176" t="s">
        <v>551</v>
      </c>
      <c r="J642" s="176" t="s">
        <v>832</v>
      </c>
      <c r="K642" s="176" t="s">
        <v>2482</v>
      </c>
      <c r="L642" s="40" t="s">
        <v>108</v>
      </c>
      <c r="M642" s="40" t="s">
        <v>341</v>
      </c>
      <c r="N642" s="14" t="s">
        <v>2487</v>
      </c>
      <c r="O642" s="14" t="s">
        <v>543</v>
      </c>
      <c r="P642" s="14" t="s">
        <v>2495</v>
      </c>
      <c r="Q642" s="14" t="s">
        <v>529</v>
      </c>
      <c r="R642" s="17">
        <v>200</v>
      </c>
      <c r="S642" s="172" t="s">
        <v>51</v>
      </c>
      <c r="T642" s="17">
        <v>1520</v>
      </c>
      <c r="U642" s="14" t="s">
        <v>51</v>
      </c>
      <c r="V642" s="16">
        <f t="shared" si="96"/>
        <v>244130</v>
      </c>
      <c r="W642" s="16">
        <f t="shared" si="97"/>
        <v>244137</v>
      </c>
      <c r="X642" s="16">
        <f t="shared" si="98"/>
        <v>244132</v>
      </c>
      <c r="Y642" s="15" t="s">
        <v>54</v>
      </c>
      <c r="Z642" s="177">
        <v>244224</v>
      </c>
      <c r="AA642" s="170"/>
      <c r="AB642" s="170"/>
      <c r="AC642" s="170"/>
      <c r="AD642" s="170"/>
      <c r="AE642" s="15" t="s">
        <v>54</v>
      </c>
      <c r="AF642" s="177">
        <v>244225</v>
      </c>
      <c r="AG642" s="177" t="str">
        <f t="shared" si="94"/>
        <v>Pass</v>
      </c>
      <c r="AH642" s="177">
        <f t="shared" si="95"/>
        <v>244225</v>
      </c>
      <c r="AK642" s="176"/>
      <c r="AL642" s="176"/>
    </row>
    <row r="643" spans="1:38" ht="36" customHeight="1" x14ac:dyDescent="0.2">
      <c r="A643" s="14" t="s">
        <v>21</v>
      </c>
      <c r="B643" s="212">
        <v>244130</v>
      </c>
      <c r="C643" s="14" t="s">
        <v>547</v>
      </c>
      <c r="D643" s="14" t="s">
        <v>268</v>
      </c>
      <c r="E643" s="14" t="s">
        <v>14</v>
      </c>
      <c r="F643" s="14" t="s">
        <v>324</v>
      </c>
      <c r="G643" s="179">
        <v>680642</v>
      </c>
      <c r="H643" s="176" t="s">
        <v>2481</v>
      </c>
      <c r="I643" s="176" t="s">
        <v>630</v>
      </c>
      <c r="J643" s="176" t="s">
        <v>520</v>
      </c>
      <c r="K643" s="176" t="s">
        <v>2483</v>
      </c>
      <c r="L643" s="40" t="s">
        <v>105</v>
      </c>
      <c r="M643" s="40" t="s">
        <v>341</v>
      </c>
      <c r="N643" s="14" t="s">
        <v>2489</v>
      </c>
      <c r="O643" s="14" t="s">
        <v>2492</v>
      </c>
      <c r="P643" s="14" t="s">
        <v>2496</v>
      </c>
      <c r="Q643" s="14" t="s">
        <v>2499</v>
      </c>
      <c r="R643" s="17">
        <v>726</v>
      </c>
      <c r="S643" s="172" t="s">
        <v>51</v>
      </c>
      <c r="T643" s="17">
        <v>2200</v>
      </c>
      <c r="U643" s="14" t="s">
        <v>51</v>
      </c>
      <c r="V643" s="16">
        <f t="shared" si="96"/>
        <v>244130</v>
      </c>
      <c r="W643" s="16">
        <f t="shared" si="97"/>
        <v>244137</v>
      </c>
      <c r="X643" s="16">
        <f t="shared" si="98"/>
        <v>244132</v>
      </c>
      <c r="Y643" s="15"/>
      <c r="Z643" s="177"/>
      <c r="AA643" s="170"/>
      <c r="AB643" s="170"/>
      <c r="AC643" s="170"/>
      <c r="AD643" s="170"/>
      <c r="AE643" s="15"/>
      <c r="AF643" s="177"/>
      <c r="AG643" s="177">
        <f t="shared" si="94"/>
        <v>0</v>
      </c>
      <c r="AH643" s="177">
        <f t="shared" si="95"/>
        <v>0</v>
      </c>
      <c r="AK643" s="176"/>
      <c r="AL643" s="176"/>
    </row>
    <row r="644" spans="1:38" ht="36" customHeight="1" x14ac:dyDescent="0.2">
      <c r="A644" s="14" t="s">
        <v>21</v>
      </c>
      <c r="B644" s="212">
        <v>244130</v>
      </c>
      <c r="C644" s="14" t="s">
        <v>547</v>
      </c>
      <c r="D644" s="14" t="s">
        <v>268</v>
      </c>
      <c r="E644" s="14" t="s">
        <v>14</v>
      </c>
      <c r="F644" s="14" t="s">
        <v>324</v>
      </c>
      <c r="G644" s="179">
        <v>680643</v>
      </c>
      <c r="H644" s="176" t="s">
        <v>1606</v>
      </c>
      <c r="I644" s="176" t="s">
        <v>630</v>
      </c>
      <c r="J644" s="176" t="s">
        <v>520</v>
      </c>
      <c r="K644" s="176" t="s">
        <v>2484</v>
      </c>
      <c r="L644" s="40" t="s">
        <v>105</v>
      </c>
      <c r="M644" s="40" t="s">
        <v>341</v>
      </c>
      <c r="N644" s="14" t="s">
        <v>2488</v>
      </c>
      <c r="O644" s="14" t="s">
        <v>1525</v>
      </c>
      <c r="P644" s="14" t="s">
        <v>2497</v>
      </c>
      <c r="Q644" s="14" t="s">
        <v>1530</v>
      </c>
      <c r="R644" s="17">
        <v>1241</v>
      </c>
      <c r="S644" s="172" t="s">
        <v>51</v>
      </c>
      <c r="T644" s="17">
        <v>1900</v>
      </c>
      <c r="U644" s="14" t="s">
        <v>51</v>
      </c>
      <c r="V644" s="16">
        <f t="shared" si="96"/>
        <v>244130</v>
      </c>
      <c r="W644" s="16">
        <f t="shared" si="97"/>
        <v>244137</v>
      </c>
      <c r="X644" s="16">
        <f t="shared" si="98"/>
        <v>244132</v>
      </c>
      <c r="Y644" s="15"/>
      <c r="Z644" s="177"/>
      <c r="AA644" s="170"/>
      <c r="AB644" s="170"/>
      <c r="AC644" s="170"/>
      <c r="AD644" s="170"/>
      <c r="AE644" s="15"/>
      <c r="AF644" s="177"/>
      <c r="AG644" s="177">
        <f t="shared" si="94"/>
        <v>0</v>
      </c>
      <c r="AH644" s="177">
        <f t="shared" si="95"/>
        <v>0</v>
      </c>
      <c r="AK644" s="176"/>
      <c r="AL644" s="176"/>
    </row>
    <row r="645" spans="1:38" ht="36" customHeight="1" x14ac:dyDescent="0.2">
      <c r="A645" s="14" t="s">
        <v>21</v>
      </c>
      <c r="B645" s="212">
        <v>244130</v>
      </c>
      <c r="C645" s="14" t="s">
        <v>547</v>
      </c>
      <c r="D645" s="14" t="s">
        <v>268</v>
      </c>
      <c r="E645" s="14" t="s">
        <v>14</v>
      </c>
      <c r="F645" s="14" t="s">
        <v>324</v>
      </c>
      <c r="G645" s="179">
        <v>680644</v>
      </c>
      <c r="H645" s="176" t="s">
        <v>1606</v>
      </c>
      <c r="I645" s="176" t="s">
        <v>630</v>
      </c>
      <c r="J645" s="176" t="s">
        <v>520</v>
      </c>
      <c r="K645" s="176" t="s">
        <v>2484</v>
      </c>
      <c r="L645" s="40" t="s">
        <v>105</v>
      </c>
      <c r="M645" s="40" t="s">
        <v>341</v>
      </c>
      <c r="N645" s="14" t="s">
        <v>2490</v>
      </c>
      <c r="O645" s="14" t="s">
        <v>2493</v>
      </c>
      <c r="P645" s="14" t="s">
        <v>2498</v>
      </c>
      <c r="Q645" s="14" t="s">
        <v>2500</v>
      </c>
      <c r="R645" s="17">
        <v>1683</v>
      </c>
      <c r="S645" s="172" t="s">
        <v>51</v>
      </c>
      <c r="T645" s="17">
        <v>2025</v>
      </c>
      <c r="U645" s="14" t="s">
        <v>51</v>
      </c>
      <c r="V645" s="16">
        <f t="shared" si="96"/>
        <v>244130</v>
      </c>
      <c r="W645" s="16">
        <f t="shared" si="97"/>
        <v>244137</v>
      </c>
      <c r="X645" s="16">
        <f t="shared" si="98"/>
        <v>244132</v>
      </c>
      <c r="Y645" s="15"/>
      <c r="Z645" s="177"/>
      <c r="AA645" s="170"/>
      <c r="AB645" s="170"/>
      <c r="AC645" s="170"/>
      <c r="AD645" s="170"/>
      <c r="AE645" s="15"/>
      <c r="AF645" s="177"/>
      <c r="AG645" s="177">
        <f t="shared" si="94"/>
        <v>0</v>
      </c>
      <c r="AH645" s="177">
        <f t="shared" si="95"/>
        <v>0</v>
      </c>
      <c r="AK645" s="176"/>
      <c r="AL645" s="176"/>
    </row>
    <row r="646" spans="1:38" ht="36" customHeight="1" x14ac:dyDescent="0.2">
      <c r="A646" s="14" t="s">
        <v>21</v>
      </c>
      <c r="B646" s="212">
        <v>244130</v>
      </c>
      <c r="C646" s="14" t="s">
        <v>547</v>
      </c>
      <c r="D646" s="14" t="s">
        <v>268</v>
      </c>
      <c r="E646" s="14" t="s">
        <v>14</v>
      </c>
      <c r="F646" s="14" t="s">
        <v>324</v>
      </c>
      <c r="G646" s="179">
        <v>680645</v>
      </c>
      <c r="H646" s="176" t="s">
        <v>663</v>
      </c>
      <c r="I646" s="176" t="s">
        <v>630</v>
      </c>
      <c r="J646" s="176" t="s">
        <v>821</v>
      </c>
      <c r="K646" s="176" t="s">
        <v>2477</v>
      </c>
      <c r="L646" s="40" t="s">
        <v>124</v>
      </c>
      <c r="M646" s="40" t="s">
        <v>341</v>
      </c>
      <c r="N646" s="14" t="s">
        <v>1312</v>
      </c>
      <c r="O646" s="14" t="s">
        <v>548</v>
      </c>
      <c r="P646" s="14" t="s">
        <v>717</v>
      </c>
      <c r="Q646" s="14" t="s">
        <v>549</v>
      </c>
      <c r="R646" s="17">
        <v>280</v>
      </c>
      <c r="S646" s="172" t="s">
        <v>51</v>
      </c>
      <c r="T646" s="17">
        <v>1775</v>
      </c>
      <c r="U646" s="14" t="s">
        <v>51</v>
      </c>
      <c r="V646" s="16">
        <f t="shared" si="96"/>
        <v>244130</v>
      </c>
      <c r="W646" s="16">
        <f t="shared" si="97"/>
        <v>244137</v>
      </c>
      <c r="X646" s="16">
        <f t="shared" si="98"/>
        <v>244132</v>
      </c>
      <c r="Y646" s="15"/>
      <c r="Z646" s="177"/>
      <c r="AA646" s="170"/>
      <c r="AB646" s="170"/>
      <c r="AC646" s="170"/>
      <c r="AD646" s="170"/>
      <c r="AE646" s="15"/>
      <c r="AF646" s="177"/>
      <c r="AG646" s="177">
        <f t="shared" si="94"/>
        <v>0</v>
      </c>
      <c r="AH646" s="177">
        <f t="shared" si="95"/>
        <v>0</v>
      </c>
      <c r="AK646" s="176"/>
      <c r="AL646" s="176"/>
    </row>
    <row r="647" spans="1:38" ht="36" customHeight="1" x14ac:dyDescent="0.2">
      <c r="A647" s="14" t="s">
        <v>21</v>
      </c>
      <c r="B647" s="212">
        <v>244130</v>
      </c>
      <c r="C647" s="14" t="s">
        <v>547</v>
      </c>
      <c r="D647" s="14" t="s">
        <v>268</v>
      </c>
      <c r="E647" s="14" t="s">
        <v>14</v>
      </c>
      <c r="F647" s="14" t="s">
        <v>324</v>
      </c>
      <c r="G647" s="179">
        <v>680646</v>
      </c>
      <c r="H647" s="176" t="s">
        <v>996</v>
      </c>
      <c r="I647" s="176" t="s">
        <v>630</v>
      </c>
      <c r="J647" s="176" t="s">
        <v>520</v>
      </c>
      <c r="K647" s="176" t="s">
        <v>2485</v>
      </c>
      <c r="L647" s="40" t="s">
        <v>105</v>
      </c>
      <c r="M647" s="40" t="s">
        <v>341</v>
      </c>
      <c r="N647" s="14" t="s">
        <v>2491</v>
      </c>
      <c r="O647" s="14" t="s">
        <v>2494</v>
      </c>
      <c r="P647" s="14" t="s">
        <v>687</v>
      </c>
      <c r="Q647" s="14" t="s">
        <v>2501</v>
      </c>
      <c r="R647" s="17">
        <v>1640</v>
      </c>
      <c r="S647" s="172" t="s">
        <v>51</v>
      </c>
      <c r="T647" s="17">
        <v>2040</v>
      </c>
      <c r="U647" s="14" t="s">
        <v>51</v>
      </c>
      <c r="V647" s="16">
        <f t="shared" si="96"/>
        <v>244130</v>
      </c>
      <c r="W647" s="16">
        <f t="shared" si="97"/>
        <v>244137</v>
      </c>
      <c r="X647" s="16">
        <f t="shared" si="98"/>
        <v>244132</v>
      </c>
      <c r="Y647" s="15"/>
      <c r="Z647" s="177"/>
      <c r="AA647" s="170"/>
      <c r="AB647" s="170"/>
      <c r="AC647" s="170"/>
      <c r="AD647" s="170"/>
      <c r="AE647" s="15"/>
      <c r="AF647" s="177"/>
      <c r="AG647" s="177">
        <f t="shared" si="94"/>
        <v>0</v>
      </c>
      <c r="AH647" s="177">
        <f t="shared" si="95"/>
        <v>0</v>
      </c>
      <c r="AK647" s="176"/>
      <c r="AL647" s="176"/>
    </row>
    <row r="648" spans="1:38" ht="36" customHeight="1" x14ac:dyDescent="0.2">
      <c r="A648" s="14" t="s">
        <v>21</v>
      </c>
      <c r="B648" s="212">
        <v>244130</v>
      </c>
      <c r="C648" s="14" t="s">
        <v>547</v>
      </c>
      <c r="D648" s="14" t="s">
        <v>268</v>
      </c>
      <c r="E648" s="14" t="s">
        <v>14</v>
      </c>
      <c r="F648" s="14" t="s">
        <v>324</v>
      </c>
      <c r="G648" s="179">
        <v>680647</v>
      </c>
      <c r="H648" s="176" t="s">
        <v>996</v>
      </c>
      <c r="I648" s="176" t="s">
        <v>630</v>
      </c>
      <c r="J648" s="176" t="s">
        <v>520</v>
      </c>
      <c r="K648" s="176" t="s">
        <v>2485</v>
      </c>
      <c r="L648" s="40" t="s">
        <v>105</v>
      </c>
      <c r="M648" s="40" t="s">
        <v>341</v>
      </c>
      <c r="N648" s="14" t="s">
        <v>1299</v>
      </c>
      <c r="O648" s="14" t="s">
        <v>548</v>
      </c>
      <c r="P648" s="14" t="s">
        <v>717</v>
      </c>
      <c r="Q648" s="14" t="s">
        <v>549</v>
      </c>
      <c r="R648" s="17">
        <v>185</v>
      </c>
      <c r="S648" s="172" t="s">
        <v>51</v>
      </c>
      <c r="T648" s="17">
        <v>2040</v>
      </c>
      <c r="U648" s="14" t="s">
        <v>51</v>
      </c>
      <c r="V648" s="16">
        <f t="shared" si="96"/>
        <v>244130</v>
      </c>
      <c r="W648" s="16">
        <f t="shared" si="97"/>
        <v>244137</v>
      </c>
      <c r="X648" s="16">
        <f t="shared" si="98"/>
        <v>244132</v>
      </c>
      <c r="Y648" s="15"/>
      <c r="Z648" s="177"/>
      <c r="AA648" s="170"/>
      <c r="AB648" s="170"/>
      <c r="AC648" s="170"/>
      <c r="AD648" s="170"/>
      <c r="AE648" s="15"/>
      <c r="AF648" s="177"/>
      <c r="AG648" s="177">
        <f t="shared" si="94"/>
        <v>0</v>
      </c>
      <c r="AH648" s="177">
        <f t="shared" si="95"/>
        <v>0</v>
      </c>
      <c r="AK648" s="176"/>
      <c r="AL648" s="176"/>
    </row>
    <row r="649" spans="1:38" ht="36" customHeight="1" x14ac:dyDescent="0.2">
      <c r="A649" s="14" t="s">
        <v>21</v>
      </c>
      <c r="B649" s="212">
        <v>244130</v>
      </c>
      <c r="C649" s="14" t="s">
        <v>547</v>
      </c>
      <c r="D649" s="14" t="s">
        <v>268</v>
      </c>
      <c r="E649" s="14" t="s">
        <v>14</v>
      </c>
      <c r="F649" s="14" t="s">
        <v>324</v>
      </c>
      <c r="G649" s="179">
        <v>680648</v>
      </c>
      <c r="H649" s="176" t="s">
        <v>826</v>
      </c>
      <c r="I649" s="176" t="s">
        <v>551</v>
      </c>
      <c r="J649" s="176" t="s">
        <v>596</v>
      </c>
      <c r="K649" s="176" t="s">
        <v>2503</v>
      </c>
      <c r="L649" s="40" t="s">
        <v>108</v>
      </c>
      <c r="M649" s="40" t="s">
        <v>341</v>
      </c>
      <c r="N649" s="14" t="s">
        <v>1129</v>
      </c>
      <c r="O649" s="14" t="s">
        <v>548</v>
      </c>
      <c r="P649" s="14" t="s">
        <v>717</v>
      </c>
      <c r="Q649" s="14" t="s">
        <v>549</v>
      </c>
      <c r="R649" s="17">
        <v>168</v>
      </c>
      <c r="S649" s="172" t="s">
        <v>51</v>
      </c>
      <c r="T649" s="17">
        <v>2420</v>
      </c>
      <c r="U649" s="14" t="s">
        <v>51</v>
      </c>
      <c r="V649" s="16">
        <f t="shared" si="96"/>
        <v>244130</v>
      </c>
      <c r="W649" s="16">
        <f t="shared" si="97"/>
        <v>244137</v>
      </c>
      <c r="X649" s="16">
        <f t="shared" si="98"/>
        <v>244132</v>
      </c>
      <c r="Y649" s="15"/>
      <c r="Z649" s="177"/>
      <c r="AA649" s="170"/>
      <c r="AB649" s="170"/>
      <c r="AC649" s="170"/>
      <c r="AD649" s="170"/>
      <c r="AE649" s="15"/>
      <c r="AF649" s="177"/>
      <c r="AG649" s="177">
        <f t="shared" si="94"/>
        <v>0</v>
      </c>
      <c r="AH649" s="177">
        <f t="shared" si="95"/>
        <v>0</v>
      </c>
      <c r="AK649" s="176"/>
      <c r="AL649" s="176"/>
    </row>
    <row r="650" spans="1:38" ht="36" customHeight="1" x14ac:dyDescent="0.2">
      <c r="A650" s="14" t="s">
        <v>21</v>
      </c>
      <c r="B650" s="212">
        <v>244130</v>
      </c>
      <c r="C650" s="14" t="s">
        <v>547</v>
      </c>
      <c r="D650" s="14" t="s">
        <v>268</v>
      </c>
      <c r="E650" s="14" t="s">
        <v>14</v>
      </c>
      <c r="F650" s="14" t="s">
        <v>324</v>
      </c>
      <c r="G650" s="179">
        <v>680649</v>
      </c>
      <c r="H650" s="176" t="s">
        <v>996</v>
      </c>
      <c r="I650" s="176" t="s">
        <v>630</v>
      </c>
      <c r="J650" s="176" t="s">
        <v>520</v>
      </c>
      <c r="K650" s="176" t="s">
        <v>2485</v>
      </c>
      <c r="L650" s="40" t="s">
        <v>105</v>
      </c>
      <c r="M650" s="40" t="s">
        <v>341</v>
      </c>
      <c r="N650" s="14" t="s">
        <v>2504</v>
      </c>
      <c r="O650" s="14" t="s">
        <v>548</v>
      </c>
      <c r="P650" s="14" t="s">
        <v>717</v>
      </c>
      <c r="Q650" s="14" t="s">
        <v>549</v>
      </c>
      <c r="R650" s="17">
        <v>131</v>
      </c>
      <c r="S650" s="172" t="s">
        <v>51</v>
      </c>
      <c r="T650" s="17">
        <v>1988</v>
      </c>
      <c r="U650" s="14" t="s">
        <v>51</v>
      </c>
      <c r="V650" s="16">
        <f t="shared" si="96"/>
        <v>244130</v>
      </c>
      <c r="W650" s="16">
        <f t="shared" si="97"/>
        <v>244137</v>
      </c>
      <c r="X650" s="16">
        <f t="shared" si="98"/>
        <v>244132</v>
      </c>
      <c r="Y650" s="15"/>
      <c r="Z650" s="177"/>
      <c r="AA650" s="170"/>
      <c r="AB650" s="170"/>
      <c r="AC650" s="170"/>
      <c r="AD650" s="170"/>
      <c r="AE650" s="15"/>
      <c r="AF650" s="177"/>
      <c r="AG650" s="177">
        <f t="shared" si="94"/>
        <v>0</v>
      </c>
      <c r="AH650" s="177">
        <f t="shared" si="95"/>
        <v>0</v>
      </c>
      <c r="AK650" s="176"/>
      <c r="AL650" s="176"/>
    </row>
    <row r="651" spans="1:38" ht="36" customHeight="1" x14ac:dyDescent="0.2">
      <c r="A651" s="14" t="s">
        <v>21</v>
      </c>
      <c r="B651" s="212">
        <v>244130</v>
      </c>
      <c r="C651" s="14" t="s">
        <v>547</v>
      </c>
      <c r="D651" s="14" t="s">
        <v>268</v>
      </c>
      <c r="E651" s="14" t="s">
        <v>14</v>
      </c>
      <c r="F651" s="14" t="s">
        <v>324</v>
      </c>
      <c r="G651" s="179">
        <v>680650</v>
      </c>
      <c r="H651" s="176" t="s">
        <v>996</v>
      </c>
      <c r="I651" s="176" t="s">
        <v>630</v>
      </c>
      <c r="J651" s="176" t="s">
        <v>520</v>
      </c>
      <c r="K651" s="176" t="s">
        <v>2485</v>
      </c>
      <c r="L651" s="40" t="s">
        <v>105</v>
      </c>
      <c r="M651" s="40" t="s">
        <v>341</v>
      </c>
      <c r="N651" s="14" t="s">
        <v>2505</v>
      </c>
      <c r="O651" s="14" t="s">
        <v>527</v>
      </c>
      <c r="P651" s="14" t="s">
        <v>2506</v>
      </c>
      <c r="Q651" s="14" t="s">
        <v>542</v>
      </c>
      <c r="R651" s="17">
        <v>123</v>
      </c>
      <c r="S651" s="172" t="s">
        <v>51</v>
      </c>
      <c r="T651" s="17">
        <v>1780</v>
      </c>
      <c r="U651" s="14" t="s">
        <v>51</v>
      </c>
      <c r="V651" s="16">
        <f t="shared" si="96"/>
        <v>244130</v>
      </c>
      <c r="W651" s="16">
        <f t="shared" si="97"/>
        <v>244137</v>
      </c>
      <c r="X651" s="16">
        <f t="shared" si="98"/>
        <v>244132</v>
      </c>
      <c r="Y651" s="15"/>
      <c r="Z651" s="177"/>
      <c r="AA651" s="170"/>
      <c r="AB651" s="170"/>
      <c r="AC651" s="170"/>
      <c r="AD651" s="170"/>
      <c r="AE651" s="15"/>
      <c r="AF651" s="177"/>
      <c r="AG651" s="177">
        <f t="shared" si="94"/>
        <v>0</v>
      </c>
      <c r="AH651" s="177">
        <f t="shared" si="95"/>
        <v>0</v>
      </c>
      <c r="AK651" s="176"/>
      <c r="AL651" s="176"/>
    </row>
    <row r="652" spans="1:38" ht="36" customHeight="1" x14ac:dyDescent="0.2">
      <c r="A652" s="14" t="s">
        <v>21</v>
      </c>
      <c r="B652" s="212">
        <v>244131</v>
      </c>
      <c r="C652" s="14" t="s">
        <v>547</v>
      </c>
      <c r="D652" s="14" t="s">
        <v>268</v>
      </c>
      <c r="E652" s="14" t="s">
        <v>14</v>
      </c>
      <c r="F652" s="14" t="s">
        <v>324</v>
      </c>
      <c r="G652" s="179">
        <v>680651</v>
      </c>
      <c r="H652" s="176" t="s">
        <v>2507</v>
      </c>
      <c r="I652" s="176" t="s">
        <v>550</v>
      </c>
      <c r="J652" s="176" t="s">
        <v>128</v>
      </c>
      <c r="K652" s="176" t="s">
        <v>2508</v>
      </c>
      <c r="L652" s="40" t="s">
        <v>45</v>
      </c>
      <c r="M652" s="40" t="s">
        <v>341</v>
      </c>
      <c r="N652" s="14" t="s">
        <v>2511</v>
      </c>
      <c r="O652" s="14" t="s">
        <v>548</v>
      </c>
      <c r="P652" s="14" t="s">
        <v>518</v>
      </c>
      <c r="Q652" s="14" t="s">
        <v>549</v>
      </c>
      <c r="R652" s="17">
        <v>135</v>
      </c>
      <c r="S652" s="172" t="s">
        <v>51</v>
      </c>
      <c r="T652" s="17">
        <v>2445</v>
      </c>
      <c r="U652" s="14" t="s">
        <v>51</v>
      </c>
      <c r="V652" s="16">
        <f t="shared" si="96"/>
        <v>244131</v>
      </c>
      <c r="W652" s="16">
        <f t="shared" si="97"/>
        <v>244138</v>
      </c>
      <c r="X652" s="16">
        <f t="shared" si="98"/>
        <v>244133</v>
      </c>
      <c r="Y652" s="15"/>
      <c r="Z652" s="177"/>
      <c r="AA652" s="170"/>
      <c r="AB652" s="170"/>
      <c r="AC652" s="170"/>
      <c r="AD652" s="170"/>
      <c r="AE652" s="15"/>
      <c r="AF652" s="177"/>
      <c r="AG652" s="177">
        <f t="shared" si="94"/>
        <v>0</v>
      </c>
      <c r="AH652" s="177">
        <f t="shared" si="95"/>
        <v>0</v>
      </c>
      <c r="AK652" s="176"/>
      <c r="AL652" s="176"/>
    </row>
    <row r="653" spans="1:38" ht="36" customHeight="1" x14ac:dyDescent="0.2">
      <c r="A653" s="14" t="s">
        <v>21</v>
      </c>
      <c r="B653" s="212">
        <v>244131</v>
      </c>
      <c r="C653" s="14" t="s">
        <v>547</v>
      </c>
      <c r="D653" s="14" t="s">
        <v>268</v>
      </c>
      <c r="E653" s="14" t="s">
        <v>14</v>
      </c>
      <c r="F653" s="14" t="s">
        <v>324</v>
      </c>
      <c r="G653" s="179">
        <v>680652</v>
      </c>
      <c r="H653" s="176" t="s">
        <v>1713</v>
      </c>
      <c r="I653" s="176" t="s">
        <v>551</v>
      </c>
      <c r="J653" s="176" t="s">
        <v>596</v>
      </c>
      <c r="K653" s="176" t="s">
        <v>2509</v>
      </c>
      <c r="L653" s="40" t="s">
        <v>108</v>
      </c>
      <c r="M653" s="40" t="s">
        <v>341</v>
      </c>
      <c r="N653" s="14" t="s">
        <v>2512</v>
      </c>
      <c r="O653" s="14" t="s">
        <v>552</v>
      </c>
      <c r="P653" s="14" t="s">
        <v>1429</v>
      </c>
      <c r="Q653" s="14" t="s">
        <v>553</v>
      </c>
      <c r="R653" s="17">
        <v>500</v>
      </c>
      <c r="S653" s="172" t="s">
        <v>51</v>
      </c>
      <c r="T653" s="17">
        <v>1365</v>
      </c>
      <c r="U653" s="14" t="s">
        <v>51</v>
      </c>
      <c r="V653" s="16">
        <f t="shared" si="96"/>
        <v>244131</v>
      </c>
      <c r="W653" s="16">
        <f t="shared" si="97"/>
        <v>244138</v>
      </c>
      <c r="X653" s="16">
        <f t="shared" si="98"/>
        <v>244133</v>
      </c>
      <c r="Y653" s="15" t="s">
        <v>54</v>
      </c>
      <c r="Z653" s="177">
        <v>244224</v>
      </c>
      <c r="AA653" s="170"/>
      <c r="AB653" s="170"/>
      <c r="AC653" s="170"/>
      <c r="AD653" s="170"/>
      <c r="AE653" s="15" t="s">
        <v>54</v>
      </c>
      <c r="AF653" s="177">
        <v>244225</v>
      </c>
      <c r="AG653" s="177" t="str">
        <f t="shared" si="94"/>
        <v>Pass</v>
      </c>
      <c r="AH653" s="177">
        <f t="shared" si="95"/>
        <v>244225</v>
      </c>
      <c r="AK653" s="176"/>
      <c r="AL653" s="176"/>
    </row>
    <row r="654" spans="1:38" ht="36" customHeight="1" x14ac:dyDescent="0.2">
      <c r="A654" s="14" t="s">
        <v>21</v>
      </c>
      <c r="B654" s="212">
        <v>244131</v>
      </c>
      <c r="C654" s="14" t="s">
        <v>547</v>
      </c>
      <c r="D654" s="14" t="s">
        <v>268</v>
      </c>
      <c r="E654" s="14" t="s">
        <v>14</v>
      </c>
      <c r="F654" s="14" t="s">
        <v>324</v>
      </c>
      <c r="G654" s="179">
        <v>680653</v>
      </c>
      <c r="H654" s="176" t="s">
        <v>2242</v>
      </c>
      <c r="I654" s="176" t="s">
        <v>664</v>
      </c>
      <c r="J654" s="176" t="s">
        <v>123</v>
      </c>
      <c r="K654" s="176" t="s">
        <v>2510</v>
      </c>
      <c r="L654" s="40" t="s">
        <v>45</v>
      </c>
      <c r="M654" s="40" t="s">
        <v>341</v>
      </c>
      <c r="N654" s="14" t="s">
        <v>2513</v>
      </c>
      <c r="O654" s="14" t="s">
        <v>552</v>
      </c>
      <c r="P654" s="14" t="s">
        <v>793</v>
      </c>
      <c r="Q654" s="14" t="s">
        <v>553</v>
      </c>
      <c r="R654" s="17">
        <v>2350</v>
      </c>
      <c r="S654" s="172" t="s">
        <v>51</v>
      </c>
      <c r="T654" s="17">
        <v>1970</v>
      </c>
      <c r="U654" s="14" t="s">
        <v>51</v>
      </c>
      <c r="V654" s="16">
        <f t="shared" si="96"/>
        <v>244131</v>
      </c>
      <c r="W654" s="16">
        <f t="shared" si="97"/>
        <v>244138</v>
      </c>
      <c r="X654" s="16">
        <f t="shared" si="98"/>
        <v>244133</v>
      </c>
      <c r="Y654" s="15"/>
      <c r="Z654" s="177"/>
      <c r="AA654" s="170"/>
      <c r="AB654" s="170"/>
      <c r="AC654" s="170"/>
      <c r="AD654" s="170"/>
      <c r="AE654" s="15"/>
      <c r="AF654" s="177"/>
      <c r="AG654" s="177">
        <f t="shared" si="94"/>
        <v>0</v>
      </c>
      <c r="AH654" s="177">
        <f t="shared" si="95"/>
        <v>0</v>
      </c>
      <c r="AK654" s="176"/>
      <c r="AL654" s="176"/>
    </row>
    <row r="655" spans="1:38" ht="36" customHeight="1" x14ac:dyDescent="0.2">
      <c r="A655" s="14" t="s">
        <v>21</v>
      </c>
      <c r="B655" s="212">
        <v>244132</v>
      </c>
      <c r="C655" s="14" t="s">
        <v>547</v>
      </c>
      <c r="D655" s="14" t="s">
        <v>268</v>
      </c>
      <c r="E655" s="14" t="s">
        <v>14</v>
      </c>
      <c r="F655" s="14" t="s">
        <v>324</v>
      </c>
      <c r="G655" s="179">
        <v>680654</v>
      </c>
      <c r="H655" s="176" t="s">
        <v>1548</v>
      </c>
      <c r="I655" s="176" t="s">
        <v>630</v>
      </c>
      <c r="J655" s="176" t="s">
        <v>520</v>
      </c>
      <c r="K655" s="176" t="s">
        <v>2517</v>
      </c>
      <c r="L655" s="40" t="s">
        <v>105</v>
      </c>
      <c r="M655" s="40" t="s">
        <v>341</v>
      </c>
      <c r="N655" s="14" t="s">
        <v>2519</v>
      </c>
      <c r="O655" s="14" t="s">
        <v>548</v>
      </c>
      <c r="P655" s="14" t="s">
        <v>518</v>
      </c>
      <c r="Q655" s="14" t="s">
        <v>549</v>
      </c>
      <c r="R655" s="17">
        <v>106</v>
      </c>
      <c r="S655" s="172" t="s">
        <v>51</v>
      </c>
      <c r="T655" s="17">
        <v>1625</v>
      </c>
      <c r="U655" s="14" t="s">
        <v>51</v>
      </c>
      <c r="V655" s="16">
        <f t="shared" si="96"/>
        <v>244132</v>
      </c>
      <c r="W655" s="16">
        <f t="shared" si="97"/>
        <v>244139</v>
      </c>
      <c r="X655" s="16">
        <f t="shared" si="98"/>
        <v>244134</v>
      </c>
      <c r="Y655" s="15"/>
      <c r="Z655" s="177"/>
      <c r="AA655" s="170"/>
      <c r="AB655" s="170"/>
      <c r="AC655" s="170"/>
      <c r="AD655" s="170"/>
      <c r="AE655" s="15"/>
      <c r="AF655" s="177"/>
      <c r="AG655" s="177">
        <f t="shared" si="94"/>
        <v>0</v>
      </c>
      <c r="AH655" s="177">
        <f t="shared" si="95"/>
        <v>0</v>
      </c>
      <c r="AK655" s="176"/>
      <c r="AL655" s="176"/>
    </row>
    <row r="656" spans="1:38" ht="36" customHeight="1" x14ac:dyDescent="0.2">
      <c r="A656" s="14" t="s">
        <v>21</v>
      </c>
      <c r="B656" s="212">
        <v>244132</v>
      </c>
      <c r="C656" s="14" t="s">
        <v>547</v>
      </c>
      <c r="D656" s="14" t="s">
        <v>268</v>
      </c>
      <c r="E656" s="14" t="s">
        <v>14</v>
      </c>
      <c r="F656" s="14" t="s">
        <v>324</v>
      </c>
      <c r="G656" s="179">
        <v>680655</v>
      </c>
      <c r="H656" s="176" t="s">
        <v>2514</v>
      </c>
      <c r="I656" s="176" t="s">
        <v>2515</v>
      </c>
      <c r="J656" s="176" t="s">
        <v>2516</v>
      </c>
      <c r="K656" s="176" t="s">
        <v>2518</v>
      </c>
      <c r="L656" s="40" t="s">
        <v>46</v>
      </c>
      <c r="M656" s="40" t="s">
        <v>341</v>
      </c>
      <c r="N656" s="14" t="s">
        <v>1086</v>
      </c>
      <c r="O656" s="14" t="s">
        <v>1009</v>
      </c>
      <c r="P656" s="14" t="s">
        <v>517</v>
      </c>
      <c r="Q656" s="14" t="s">
        <v>323</v>
      </c>
      <c r="R656" s="17">
        <v>200</v>
      </c>
      <c r="S656" s="172" t="s">
        <v>51</v>
      </c>
      <c r="T656" s="17">
        <v>3156</v>
      </c>
      <c r="U656" s="14" t="s">
        <v>51</v>
      </c>
      <c r="V656" s="16">
        <f t="shared" si="96"/>
        <v>244132</v>
      </c>
      <c r="W656" s="16">
        <f t="shared" si="97"/>
        <v>244139</v>
      </c>
      <c r="X656" s="16">
        <f t="shared" si="98"/>
        <v>244134</v>
      </c>
      <c r="Y656" s="15" t="s">
        <v>54</v>
      </c>
      <c r="Z656" s="177">
        <v>244141</v>
      </c>
      <c r="AA656" s="170"/>
      <c r="AB656" s="170"/>
      <c r="AC656" s="170"/>
      <c r="AD656" s="170"/>
      <c r="AE656" s="15" t="s">
        <v>54</v>
      </c>
      <c r="AF656" s="177">
        <v>244144</v>
      </c>
      <c r="AG656" s="177" t="str">
        <f t="shared" si="94"/>
        <v>Pass</v>
      </c>
      <c r="AH656" s="177">
        <f t="shared" si="95"/>
        <v>244144</v>
      </c>
      <c r="AK656" s="176"/>
      <c r="AL656" s="176"/>
    </row>
    <row r="657" spans="1:38" ht="36" customHeight="1" x14ac:dyDescent="0.2">
      <c r="A657" s="14" t="s">
        <v>21</v>
      </c>
      <c r="B657" s="212">
        <v>244132</v>
      </c>
      <c r="C657" s="14" t="s">
        <v>547</v>
      </c>
      <c r="D657" s="14" t="s">
        <v>268</v>
      </c>
      <c r="E657" s="14" t="s">
        <v>14</v>
      </c>
      <c r="F657" s="14" t="s">
        <v>324</v>
      </c>
      <c r="G657" s="179">
        <v>680656</v>
      </c>
      <c r="H657" s="176" t="s">
        <v>1548</v>
      </c>
      <c r="I657" s="176" t="s">
        <v>630</v>
      </c>
      <c r="J657" s="176" t="s">
        <v>520</v>
      </c>
      <c r="K657" s="176" t="s">
        <v>2517</v>
      </c>
      <c r="L657" s="40" t="s">
        <v>105</v>
      </c>
      <c r="M657" s="40" t="s">
        <v>341</v>
      </c>
      <c r="N657" s="14" t="s">
        <v>2520</v>
      </c>
      <c r="O657" s="14" t="s">
        <v>2521</v>
      </c>
      <c r="P657" s="14" t="s">
        <v>2522</v>
      </c>
      <c r="Q657" s="14" t="s">
        <v>2523</v>
      </c>
      <c r="R657" s="17">
        <v>200</v>
      </c>
      <c r="S657" s="172" t="s">
        <v>51</v>
      </c>
      <c r="T657" s="17">
        <v>2050</v>
      </c>
      <c r="U657" s="14" t="s">
        <v>51</v>
      </c>
      <c r="V657" s="16">
        <f t="shared" si="96"/>
        <v>244132</v>
      </c>
      <c r="W657" s="16">
        <f t="shared" si="97"/>
        <v>244139</v>
      </c>
      <c r="X657" s="16">
        <f t="shared" si="98"/>
        <v>244134</v>
      </c>
      <c r="Y657" s="15"/>
      <c r="Z657" s="177"/>
      <c r="AA657" s="170"/>
      <c r="AB657" s="170"/>
      <c r="AC657" s="170"/>
      <c r="AD657" s="170"/>
      <c r="AE657" s="15"/>
      <c r="AF657" s="177"/>
      <c r="AG657" s="177">
        <f t="shared" si="94"/>
        <v>0</v>
      </c>
      <c r="AH657" s="177">
        <f t="shared" si="95"/>
        <v>0</v>
      </c>
      <c r="AK657" s="176"/>
      <c r="AL657" s="176"/>
    </row>
    <row r="658" spans="1:38" ht="36" customHeight="1" x14ac:dyDescent="0.2">
      <c r="A658" s="14" t="s">
        <v>21</v>
      </c>
      <c r="B658" s="212">
        <v>244133</v>
      </c>
      <c r="C658" s="14" t="s">
        <v>547</v>
      </c>
      <c r="D658" s="14" t="s">
        <v>268</v>
      </c>
      <c r="E658" s="14" t="s">
        <v>14</v>
      </c>
      <c r="F658" s="14" t="s">
        <v>324</v>
      </c>
      <c r="G658" s="179">
        <v>680657</v>
      </c>
      <c r="H658" s="176" t="s">
        <v>2524</v>
      </c>
      <c r="I658" s="176" t="s">
        <v>630</v>
      </c>
      <c r="J658" s="176" t="s">
        <v>2525</v>
      </c>
      <c r="K658" s="176" t="s">
        <v>2526</v>
      </c>
      <c r="L658" s="40" t="s">
        <v>105</v>
      </c>
      <c r="M658" s="40" t="s">
        <v>341</v>
      </c>
      <c r="N658" s="14" t="s">
        <v>2528</v>
      </c>
      <c r="O658" s="14" t="s">
        <v>2531</v>
      </c>
      <c r="P658" s="14" t="s">
        <v>2532</v>
      </c>
      <c r="Q658" s="14" t="s">
        <v>2534</v>
      </c>
      <c r="R658" s="17">
        <v>850</v>
      </c>
      <c r="S658" s="172" t="s">
        <v>51</v>
      </c>
      <c r="T658" s="17">
        <v>2160</v>
      </c>
      <c r="U658" s="14" t="s">
        <v>51</v>
      </c>
      <c r="V658" s="16">
        <f t="shared" si="96"/>
        <v>244133</v>
      </c>
      <c r="W658" s="16">
        <f t="shared" si="97"/>
        <v>244140</v>
      </c>
      <c r="X658" s="16">
        <f t="shared" si="98"/>
        <v>244135</v>
      </c>
      <c r="Y658" s="15"/>
      <c r="Z658" s="177"/>
      <c r="AA658" s="170"/>
      <c r="AB658" s="170"/>
      <c r="AC658" s="170"/>
      <c r="AD658" s="170"/>
      <c r="AE658" s="15"/>
      <c r="AF658" s="177"/>
      <c r="AG658" s="177">
        <f t="shared" si="94"/>
        <v>0</v>
      </c>
      <c r="AH658" s="177">
        <f t="shared" si="95"/>
        <v>0</v>
      </c>
      <c r="AK658" s="176"/>
      <c r="AL658" s="176"/>
    </row>
    <row r="659" spans="1:38" ht="36" customHeight="1" x14ac:dyDescent="0.2">
      <c r="A659" s="14" t="s">
        <v>21</v>
      </c>
      <c r="B659" s="212">
        <v>244133</v>
      </c>
      <c r="C659" s="14" t="s">
        <v>547</v>
      </c>
      <c r="D659" s="14" t="s">
        <v>268</v>
      </c>
      <c r="E659" s="14" t="s">
        <v>14</v>
      </c>
      <c r="F659" s="14" t="s">
        <v>324</v>
      </c>
      <c r="G659" s="179">
        <v>680658</v>
      </c>
      <c r="H659" s="176" t="s">
        <v>2524</v>
      </c>
      <c r="I659" s="176" t="s">
        <v>630</v>
      </c>
      <c r="J659" s="176" t="s">
        <v>2525</v>
      </c>
      <c r="K659" s="176" t="s">
        <v>2526</v>
      </c>
      <c r="L659" s="40" t="s">
        <v>105</v>
      </c>
      <c r="M659" s="40" t="s">
        <v>341</v>
      </c>
      <c r="N659" s="14" t="s">
        <v>2529</v>
      </c>
      <c r="O659" s="14" t="s">
        <v>527</v>
      </c>
      <c r="P659" s="14" t="s">
        <v>2533</v>
      </c>
      <c r="Q659" s="14" t="s">
        <v>542</v>
      </c>
      <c r="R659" s="17">
        <v>216</v>
      </c>
      <c r="S659" s="172" t="s">
        <v>51</v>
      </c>
      <c r="T659" s="17">
        <v>2160</v>
      </c>
      <c r="U659" s="14" t="s">
        <v>51</v>
      </c>
      <c r="V659" s="16">
        <f t="shared" si="96"/>
        <v>244133</v>
      </c>
      <c r="W659" s="16">
        <f t="shared" si="97"/>
        <v>244140</v>
      </c>
      <c r="X659" s="16">
        <f t="shared" si="98"/>
        <v>244135</v>
      </c>
      <c r="Y659" s="15"/>
      <c r="Z659" s="177"/>
      <c r="AA659" s="170"/>
      <c r="AB659" s="170"/>
      <c r="AC659" s="170"/>
      <c r="AD659" s="170"/>
      <c r="AE659" s="15"/>
      <c r="AF659" s="177"/>
      <c r="AG659" s="177">
        <f t="shared" si="94"/>
        <v>0</v>
      </c>
      <c r="AH659" s="177">
        <f t="shared" si="95"/>
        <v>0</v>
      </c>
      <c r="AK659" s="176"/>
      <c r="AL659" s="176"/>
    </row>
    <row r="660" spans="1:38" ht="36" customHeight="1" x14ac:dyDescent="0.2">
      <c r="A660" s="14" t="s">
        <v>21</v>
      </c>
      <c r="B660" s="212">
        <v>244133</v>
      </c>
      <c r="C660" s="14" t="s">
        <v>547</v>
      </c>
      <c r="D660" s="14" t="s">
        <v>268</v>
      </c>
      <c r="E660" s="14" t="s">
        <v>14</v>
      </c>
      <c r="F660" s="14" t="s">
        <v>324</v>
      </c>
      <c r="G660" s="179">
        <v>680659</v>
      </c>
      <c r="H660" s="176" t="s">
        <v>772</v>
      </c>
      <c r="I660" s="176" t="s">
        <v>774</v>
      </c>
      <c r="J660" s="176" t="s">
        <v>776</v>
      </c>
      <c r="K660" s="176" t="s">
        <v>2527</v>
      </c>
      <c r="L660" s="40" t="s">
        <v>46</v>
      </c>
      <c r="M660" s="40" t="s">
        <v>341</v>
      </c>
      <c r="N660" s="14" t="s">
        <v>2530</v>
      </c>
      <c r="O660" s="14" t="s">
        <v>552</v>
      </c>
      <c r="P660" s="14" t="s">
        <v>793</v>
      </c>
      <c r="Q660" s="14" t="s">
        <v>553</v>
      </c>
      <c r="R660" s="17">
        <v>7725</v>
      </c>
      <c r="S660" s="172" t="s">
        <v>51</v>
      </c>
      <c r="T660" s="17">
        <v>7725</v>
      </c>
      <c r="U660" s="14" t="s">
        <v>51</v>
      </c>
      <c r="V660" s="16">
        <f t="shared" si="96"/>
        <v>244133</v>
      </c>
      <c r="W660" s="16">
        <f t="shared" si="97"/>
        <v>244140</v>
      </c>
      <c r="X660" s="16">
        <f t="shared" si="98"/>
        <v>244135</v>
      </c>
      <c r="Y660" s="15"/>
      <c r="Z660" s="177"/>
      <c r="AA660" s="170"/>
      <c r="AB660" s="170"/>
      <c r="AC660" s="170"/>
      <c r="AD660" s="170"/>
      <c r="AE660" s="15"/>
      <c r="AF660" s="177"/>
      <c r="AG660" s="177">
        <f t="shared" si="94"/>
        <v>0</v>
      </c>
      <c r="AH660" s="177">
        <f t="shared" si="95"/>
        <v>0</v>
      </c>
      <c r="AK660" s="176"/>
      <c r="AL660" s="176"/>
    </row>
    <row r="661" spans="1:38" ht="36" customHeight="1" x14ac:dyDescent="0.2">
      <c r="A661" s="14" t="s">
        <v>21</v>
      </c>
      <c r="B661" s="212">
        <v>244134</v>
      </c>
      <c r="C661" s="14" t="s">
        <v>547</v>
      </c>
      <c r="D661" s="14" t="s">
        <v>268</v>
      </c>
      <c r="E661" s="14" t="s">
        <v>14</v>
      </c>
      <c r="F661" s="14" t="s">
        <v>324</v>
      </c>
      <c r="G661" s="179">
        <v>680660</v>
      </c>
      <c r="H661" s="176" t="s">
        <v>2535</v>
      </c>
      <c r="I661" s="176" t="s">
        <v>630</v>
      </c>
      <c r="J661" s="176" t="s">
        <v>2525</v>
      </c>
      <c r="K661" s="176" t="s">
        <v>2540</v>
      </c>
      <c r="L661" s="40" t="s">
        <v>105</v>
      </c>
      <c r="M661" s="40" t="s">
        <v>341</v>
      </c>
      <c r="N661" s="14" t="s">
        <v>2545</v>
      </c>
      <c r="O661" s="14" t="s">
        <v>552</v>
      </c>
      <c r="P661" s="14" t="s">
        <v>846</v>
      </c>
      <c r="Q661" s="14" t="s">
        <v>553</v>
      </c>
      <c r="R661" s="17">
        <v>160</v>
      </c>
      <c r="S661" s="172" t="s">
        <v>51</v>
      </c>
      <c r="T661" s="17">
        <v>2080</v>
      </c>
      <c r="U661" s="14" t="s">
        <v>51</v>
      </c>
      <c r="V661" s="16">
        <f t="shared" si="96"/>
        <v>244134</v>
      </c>
      <c r="W661" s="16">
        <f t="shared" si="97"/>
        <v>244141</v>
      </c>
      <c r="X661" s="16">
        <f t="shared" si="98"/>
        <v>244136</v>
      </c>
      <c r="Y661" s="15"/>
      <c r="Z661" s="177"/>
      <c r="AA661" s="170"/>
      <c r="AB661" s="170"/>
      <c r="AC661" s="170"/>
      <c r="AD661" s="170"/>
      <c r="AE661" s="15"/>
      <c r="AF661" s="177"/>
      <c r="AG661" s="177">
        <f t="shared" si="94"/>
        <v>0</v>
      </c>
      <c r="AH661" s="177">
        <f t="shared" si="95"/>
        <v>0</v>
      </c>
      <c r="AK661" s="176"/>
      <c r="AL661" s="176"/>
    </row>
    <row r="662" spans="1:38" ht="36" customHeight="1" x14ac:dyDescent="0.2">
      <c r="A662" s="14" t="s">
        <v>21</v>
      </c>
      <c r="B662" s="212">
        <v>244134</v>
      </c>
      <c r="C662" s="14" t="s">
        <v>547</v>
      </c>
      <c r="D662" s="14" t="s">
        <v>268</v>
      </c>
      <c r="E662" s="14" t="s">
        <v>14</v>
      </c>
      <c r="F662" s="14" t="s">
        <v>324</v>
      </c>
      <c r="G662" s="179">
        <v>680661</v>
      </c>
      <c r="H662" s="176" t="s">
        <v>222</v>
      </c>
      <c r="I662" s="176" t="s">
        <v>1874</v>
      </c>
      <c r="J662" s="176" t="s">
        <v>127</v>
      </c>
      <c r="K662" s="176" t="s">
        <v>2541</v>
      </c>
      <c r="L662" s="40" t="s">
        <v>108</v>
      </c>
      <c r="M662" s="40" t="s">
        <v>341</v>
      </c>
      <c r="N662" s="14" t="s">
        <v>2546</v>
      </c>
      <c r="O662" s="14" t="s">
        <v>527</v>
      </c>
      <c r="P662" s="14" t="s">
        <v>1180</v>
      </c>
      <c r="Q662" s="14" t="s">
        <v>542</v>
      </c>
      <c r="R662" s="17">
        <v>120</v>
      </c>
      <c r="S662" s="172" t="s">
        <v>51</v>
      </c>
      <c r="T662" s="17">
        <v>2975</v>
      </c>
      <c r="U662" s="14" t="s">
        <v>51</v>
      </c>
      <c r="V662" s="16">
        <f t="shared" si="96"/>
        <v>244134</v>
      </c>
      <c r="W662" s="16">
        <f t="shared" si="97"/>
        <v>244141</v>
      </c>
      <c r="X662" s="16">
        <f t="shared" si="98"/>
        <v>244136</v>
      </c>
      <c r="Y662" s="15" t="s">
        <v>54</v>
      </c>
      <c r="Z662" s="177">
        <v>244224</v>
      </c>
      <c r="AA662" s="170"/>
      <c r="AB662" s="170"/>
      <c r="AC662" s="170"/>
      <c r="AD662" s="170"/>
      <c r="AE662" s="15" t="s">
        <v>54</v>
      </c>
      <c r="AF662" s="177">
        <v>244225</v>
      </c>
      <c r="AG662" s="177" t="str">
        <f t="shared" si="94"/>
        <v>Pass</v>
      </c>
      <c r="AH662" s="177">
        <f t="shared" si="95"/>
        <v>244225</v>
      </c>
      <c r="AK662" s="176"/>
      <c r="AL662" s="176"/>
    </row>
    <row r="663" spans="1:38" ht="36" customHeight="1" x14ac:dyDescent="0.2">
      <c r="A663" s="14" t="s">
        <v>21</v>
      </c>
      <c r="B663" s="212">
        <v>244134</v>
      </c>
      <c r="C663" s="14" t="s">
        <v>547</v>
      </c>
      <c r="D663" s="14" t="s">
        <v>268</v>
      </c>
      <c r="E663" s="14" t="s">
        <v>14</v>
      </c>
      <c r="F663" s="14" t="s">
        <v>324</v>
      </c>
      <c r="G663" s="179">
        <v>680662</v>
      </c>
      <c r="H663" s="176" t="s">
        <v>2536</v>
      </c>
      <c r="I663" s="176" t="s">
        <v>630</v>
      </c>
      <c r="J663" s="176" t="s">
        <v>2525</v>
      </c>
      <c r="K663" s="176" t="s">
        <v>2542</v>
      </c>
      <c r="L663" s="40" t="s">
        <v>105</v>
      </c>
      <c r="M663" s="40" t="s">
        <v>341</v>
      </c>
      <c r="N663" s="14" t="s">
        <v>2547</v>
      </c>
      <c r="O663" s="14" t="s">
        <v>527</v>
      </c>
      <c r="P663" s="14" t="s">
        <v>2550</v>
      </c>
      <c r="Q663" s="14" t="s">
        <v>542</v>
      </c>
      <c r="R663" s="17">
        <v>525</v>
      </c>
      <c r="S663" s="172" t="s">
        <v>51</v>
      </c>
      <c r="T663" s="17">
        <v>2550</v>
      </c>
      <c r="U663" s="14" t="s">
        <v>51</v>
      </c>
      <c r="V663" s="16">
        <f t="shared" si="96"/>
        <v>244134</v>
      </c>
      <c r="W663" s="16">
        <f t="shared" si="97"/>
        <v>244141</v>
      </c>
      <c r="X663" s="16">
        <f t="shared" si="98"/>
        <v>244136</v>
      </c>
      <c r="Y663" s="15"/>
      <c r="Z663" s="177"/>
      <c r="AA663" s="170"/>
      <c r="AB663" s="170"/>
      <c r="AC663" s="170"/>
      <c r="AD663" s="170"/>
      <c r="AE663" s="15"/>
      <c r="AF663" s="177"/>
      <c r="AG663" s="177">
        <f t="shared" si="94"/>
        <v>0</v>
      </c>
      <c r="AH663" s="177">
        <f t="shared" si="95"/>
        <v>0</v>
      </c>
      <c r="AK663" s="176"/>
      <c r="AL663" s="176"/>
    </row>
    <row r="664" spans="1:38" ht="36" customHeight="1" x14ac:dyDescent="0.2">
      <c r="A664" s="14" t="s">
        <v>21</v>
      </c>
      <c r="B664" s="212">
        <v>244134</v>
      </c>
      <c r="C664" s="14" t="s">
        <v>547</v>
      </c>
      <c r="D664" s="14" t="s">
        <v>268</v>
      </c>
      <c r="E664" s="14" t="s">
        <v>14</v>
      </c>
      <c r="F664" s="14" t="s">
        <v>324</v>
      </c>
      <c r="G664" s="179">
        <v>680663</v>
      </c>
      <c r="H664" s="176" t="s">
        <v>2537</v>
      </c>
      <c r="I664" s="176" t="s">
        <v>612</v>
      </c>
      <c r="J664" s="176" t="s">
        <v>727</v>
      </c>
      <c r="K664" s="176" t="s">
        <v>2543</v>
      </c>
      <c r="L664" s="40" t="s">
        <v>46</v>
      </c>
      <c r="M664" s="40" t="s">
        <v>341</v>
      </c>
      <c r="N664" s="14" t="s">
        <v>1214</v>
      </c>
      <c r="O664" s="14" t="s">
        <v>548</v>
      </c>
      <c r="P664" s="14" t="s">
        <v>518</v>
      </c>
      <c r="Q664" s="14" t="s">
        <v>549</v>
      </c>
      <c r="R664" s="17">
        <v>150</v>
      </c>
      <c r="S664" s="172" t="s">
        <v>51</v>
      </c>
      <c r="T664" s="17">
        <v>273</v>
      </c>
      <c r="U664" s="14" t="s">
        <v>51</v>
      </c>
      <c r="V664" s="16">
        <f t="shared" si="96"/>
        <v>244134</v>
      </c>
      <c r="W664" s="16">
        <f t="shared" si="97"/>
        <v>244141</v>
      </c>
      <c r="X664" s="16">
        <f t="shared" si="98"/>
        <v>244136</v>
      </c>
      <c r="Y664" s="15"/>
      <c r="Z664" s="177"/>
      <c r="AA664" s="170"/>
      <c r="AB664" s="170"/>
      <c r="AC664" s="170"/>
      <c r="AD664" s="170"/>
      <c r="AE664" s="15"/>
      <c r="AF664" s="177"/>
      <c r="AG664" s="177">
        <f t="shared" si="94"/>
        <v>0</v>
      </c>
      <c r="AH664" s="177">
        <f t="shared" si="95"/>
        <v>0</v>
      </c>
      <c r="AK664" s="176"/>
      <c r="AL664" s="176"/>
    </row>
    <row r="665" spans="1:38" ht="36" customHeight="1" x14ac:dyDescent="0.2">
      <c r="A665" s="14" t="s">
        <v>21</v>
      </c>
      <c r="B665" s="212">
        <v>244134</v>
      </c>
      <c r="C665" s="14" t="s">
        <v>547</v>
      </c>
      <c r="D665" s="14" t="s">
        <v>268</v>
      </c>
      <c r="E665" s="14" t="s">
        <v>14</v>
      </c>
      <c r="F665" s="14" t="s">
        <v>324</v>
      </c>
      <c r="G665" s="179">
        <v>680664</v>
      </c>
      <c r="H665" s="176" t="s">
        <v>222</v>
      </c>
      <c r="I665" s="176" t="s">
        <v>1874</v>
      </c>
      <c r="J665" s="176" t="s">
        <v>127</v>
      </c>
      <c r="K665" s="176" t="s">
        <v>2541</v>
      </c>
      <c r="L665" s="40" t="s">
        <v>108</v>
      </c>
      <c r="M665" s="40" t="s">
        <v>341</v>
      </c>
      <c r="N665" s="14" t="s">
        <v>2551</v>
      </c>
      <c r="O665" s="14" t="s">
        <v>1977</v>
      </c>
      <c r="P665" s="14" t="s">
        <v>2552</v>
      </c>
      <c r="Q665" s="14" t="s">
        <v>1978</v>
      </c>
      <c r="R665" s="17">
        <v>160</v>
      </c>
      <c r="S665" s="172" t="s">
        <v>51</v>
      </c>
      <c r="T665" s="17"/>
      <c r="U665" s="14"/>
      <c r="V665" s="16">
        <f t="shared" si="96"/>
        <v>244134</v>
      </c>
      <c r="W665" s="16">
        <f t="shared" si="97"/>
        <v>244141</v>
      </c>
      <c r="X665" s="16">
        <f t="shared" si="98"/>
        <v>244136</v>
      </c>
      <c r="Y665" s="15" t="s">
        <v>54</v>
      </c>
      <c r="Z665" s="177">
        <v>244224</v>
      </c>
      <c r="AA665" s="170"/>
      <c r="AB665" s="170"/>
      <c r="AC665" s="170"/>
      <c r="AD665" s="170"/>
      <c r="AE665" s="15" t="s">
        <v>54</v>
      </c>
      <c r="AF665" s="177">
        <v>244225</v>
      </c>
      <c r="AG665" s="177" t="str">
        <f t="shared" si="94"/>
        <v>Pass</v>
      </c>
      <c r="AH665" s="177">
        <f t="shared" si="95"/>
        <v>244225</v>
      </c>
      <c r="AK665" s="176"/>
      <c r="AL665" s="176"/>
    </row>
    <row r="666" spans="1:38" ht="36" customHeight="1" x14ac:dyDescent="0.2">
      <c r="A666" s="14" t="s">
        <v>21</v>
      </c>
      <c r="B666" s="212">
        <v>244134</v>
      </c>
      <c r="C666" s="14" t="s">
        <v>547</v>
      </c>
      <c r="D666" s="14" t="s">
        <v>268</v>
      </c>
      <c r="E666" s="14" t="s">
        <v>14</v>
      </c>
      <c r="F666" s="14" t="s">
        <v>324</v>
      </c>
      <c r="G666" s="179">
        <v>680665</v>
      </c>
      <c r="H666" s="176" t="s">
        <v>222</v>
      </c>
      <c r="I666" s="176" t="s">
        <v>1874</v>
      </c>
      <c r="J666" s="176" t="s">
        <v>127</v>
      </c>
      <c r="K666" s="176" t="s">
        <v>2541</v>
      </c>
      <c r="L666" s="40" t="s">
        <v>108</v>
      </c>
      <c r="M666" s="40" t="s">
        <v>341</v>
      </c>
      <c r="N666" s="14" t="s">
        <v>2548</v>
      </c>
      <c r="O666" s="14" t="s">
        <v>548</v>
      </c>
      <c r="P666" s="14" t="s">
        <v>518</v>
      </c>
      <c r="Q666" s="14" t="s">
        <v>549</v>
      </c>
      <c r="R666" s="17">
        <v>273</v>
      </c>
      <c r="S666" s="172" t="s">
        <v>51</v>
      </c>
      <c r="T666" s="17"/>
      <c r="U666" s="14"/>
      <c r="V666" s="16">
        <f t="shared" si="96"/>
        <v>244134</v>
      </c>
      <c r="W666" s="16">
        <f t="shared" si="97"/>
        <v>244141</v>
      </c>
      <c r="X666" s="16">
        <f t="shared" si="98"/>
        <v>244136</v>
      </c>
      <c r="Y666" s="15" t="s">
        <v>54</v>
      </c>
      <c r="Z666" s="177">
        <v>244224</v>
      </c>
      <c r="AA666" s="170"/>
      <c r="AB666" s="170"/>
      <c r="AC666" s="170"/>
      <c r="AD666" s="170"/>
      <c r="AE666" s="15" t="s">
        <v>54</v>
      </c>
      <c r="AF666" s="177">
        <v>244225</v>
      </c>
      <c r="AG666" s="177" t="str">
        <f t="shared" si="94"/>
        <v>Pass</v>
      </c>
      <c r="AH666" s="177">
        <f t="shared" si="95"/>
        <v>244225</v>
      </c>
      <c r="AK666" s="176"/>
      <c r="AL666" s="176"/>
    </row>
    <row r="667" spans="1:38" ht="36" customHeight="1" x14ac:dyDescent="0.2">
      <c r="A667" s="14" t="s">
        <v>21</v>
      </c>
      <c r="B667" s="212">
        <v>244134</v>
      </c>
      <c r="C667" s="14" t="s">
        <v>547</v>
      </c>
      <c r="D667" s="14" t="s">
        <v>268</v>
      </c>
      <c r="E667" s="14" t="s">
        <v>14</v>
      </c>
      <c r="F667" s="14" t="s">
        <v>324</v>
      </c>
      <c r="G667" s="179">
        <v>680666</v>
      </c>
      <c r="H667" s="176" t="s">
        <v>2538</v>
      </c>
      <c r="I667" s="176" t="s">
        <v>2539</v>
      </c>
      <c r="J667" s="176" t="s">
        <v>1634</v>
      </c>
      <c r="K667" s="176" t="s">
        <v>2544</v>
      </c>
      <c r="L667" s="40" t="s">
        <v>105</v>
      </c>
      <c r="M667" s="40" t="s">
        <v>341</v>
      </c>
      <c r="N667" s="14" t="s">
        <v>2549</v>
      </c>
      <c r="O667" s="14" t="s">
        <v>714</v>
      </c>
      <c r="P667" s="14" t="s">
        <v>846</v>
      </c>
      <c r="Q667" s="14" t="s">
        <v>716</v>
      </c>
      <c r="R667" s="17">
        <v>500</v>
      </c>
      <c r="S667" s="172" t="s">
        <v>51</v>
      </c>
      <c r="T667" s="17">
        <v>2635</v>
      </c>
      <c r="U667" s="14" t="s">
        <v>51</v>
      </c>
      <c r="V667" s="16">
        <f t="shared" si="96"/>
        <v>244134</v>
      </c>
      <c r="W667" s="16">
        <f t="shared" si="97"/>
        <v>244141</v>
      </c>
      <c r="X667" s="16">
        <f t="shared" si="98"/>
        <v>244136</v>
      </c>
      <c r="Y667" s="15"/>
      <c r="Z667" s="177"/>
      <c r="AA667" s="170"/>
      <c r="AB667" s="170"/>
      <c r="AC667" s="170"/>
      <c r="AD667" s="170"/>
      <c r="AE667" s="15"/>
      <c r="AF667" s="177"/>
      <c r="AG667" s="177">
        <f t="shared" si="94"/>
        <v>0</v>
      </c>
      <c r="AH667" s="177">
        <f t="shared" si="95"/>
        <v>0</v>
      </c>
      <c r="AK667" s="176"/>
      <c r="AL667" s="176"/>
    </row>
    <row r="668" spans="1:38" ht="36" customHeight="1" x14ac:dyDescent="0.2">
      <c r="A668" s="14" t="s">
        <v>21</v>
      </c>
      <c r="B668" s="212">
        <v>244135</v>
      </c>
      <c r="C668" s="14" t="s">
        <v>547</v>
      </c>
      <c r="D668" s="14" t="s">
        <v>268</v>
      </c>
      <c r="E668" s="14" t="s">
        <v>14</v>
      </c>
      <c r="F668" s="14" t="s">
        <v>324</v>
      </c>
      <c r="G668" s="179">
        <v>680667</v>
      </c>
      <c r="H668" s="176" t="s">
        <v>2553</v>
      </c>
      <c r="I668" s="176" t="s">
        <v>612</v>
      </c>
      <c r="J668" s="176" t="s">
        <v>727</v>
      </c>
      <c r="K668" s="176" t="s">
        <v>2554</v>
      </c>
      <c r="L668" s="40" t="s">
        <v>46</v>
      </c>
      <c r="M668" s="40" t="s">
        <v>341</v>
      </c>
      <c r="N668" s="14" t="s">
        <v>2556</v>
      </c>
      <c r="O668" s="14" t="s">
        <v>552</v>
      </c>
      <c r="P668" s="14" t="s">
        <v>1314</v>
      </c>
      <c r="Q668" s="14" t="s">
        <v>553</v>
      </c>
      <c r="R668" s="17">
        <v>692</v>
      </c>
      <c r="S668" s="172" t="s">
        <v>51</v>
      </c>
      <c r="T668" s="17">
        <v>650</v>
      </c>
      <c r="U668" s="14" t="s">
        <v>51</v>
      </c>
      <c r="V668" s="16">
        <f t="shared" si="96"/>
        <v>244135</v>
      </c>
      <c r="W668" s="16">
        <f t="shared" si="97"/>
        <v>244142</v>
      </c>
      <c r="X668" s="16">
        <f t="shared" si="98"/>
        <v>244137</v>
      </c>
      <c r="Y668" s="15"/>
      <c r="Z668" s="177"/>
      <c r="AA668" s="170"/>
      <c r="AB668" s="170"/>
      <c r="AC668" s="170"/>
      <c r="AD668" s="170"/>
      <c r="AE668" s="15"/>
      <c r="AF668" s="177"/>
      <c r="AG668" s="177">
        <f t="shared" si="94"/>
        <v>0</v>
      </c>
      <c r="AH668" s="177">
        <f t="shared" si="95"/>
        <v>0</v>
      </c>
      <c r="AK668" s="176"/>
      <c r="AL668" s="176"/>
    </row>
    <row r="669" spans="1:38" ht="36" customHeight="1" x14ac:dyDescent="0.2">
      <c r="A669" s="14" t="s">
        <v>21</v>
      </c>
      <c r="B669" s="212">
        <v>244135</v>
      </c>
      <c r="C669" s="14" t="s">
        <v>547</v>
      </c>
      <c r="D669" s="14" t="s">
        <v>268</v>
      </c>
      <c r="E669" s="14" t="s">
        <v>14</v>
      </c>
      <c r="F669" s="14" t="s">
        <v>324</v>
      </c>
      <c r="G669" s="179">
        <v>680668</v>
      </c>
      <c r="H669" s="176" t="s">
        <v>959</v>
      </c>
      <c r="I669" s="176" t="s">
        <v>960</v>
      </c>
      <c r="J669" s="176" t="s">
        <v>127</v>
      </c>
      <c r="K669" s="176" t="s">
        <v>2555</v>
      </c>
      <c r="L669" s="40" t="s">
        <v>108</v>
      </c>
      <c r="M669" s="40" t="s">
        <v>341</v>
      </c>
      <c r="N669" s="14" t="s">
        <v>2557</v>
      </c>
      <c r="O669" s="14" t="s">
        <v>788</v>
      </c>
      <c r="P669" s="14" t="s">
        <v>517</v>
      </c>
      <c r="Q669" s="14" t="s">
        <v>797</v>
      </c>
      <c r="R669" s="17">
        <v>2200</v>
      </c>
      <c r="S669" s="172" t="s">
        <v>51</v>
      </c>
      <c r="T669" s="17">
        <v>3030</v>
      </c>
      <c r="U669" s="14" t="s">
        <v>51</v>
      </c>
      <c r="V669" s="16">
        <f t="shared" si="96"/>
        <v>244135</v>
      </c>
      <c r="W669" s="16">
        <f t="shared" si="97"/>
        <v>244142</v>
      </c>
      <c r="X669" s="16">
        <f t="shared" si="98"/>
        <v>244137</v>
      </c>
      <c r="Y669" s="15" t="s">
        <v>54</v>
      </c>
      <c r="Z669" s="177">
        <v>244224</v>
      </c>
      <c r="AA669" s="170"/>
      <c r="AB669" s="170"/>
      <c r="AC669" s="170"/>
      <c r="AD669" s="170"/>
      <c r="AE669" s="15" t="s">
        <v>54</v>
      </c>
      <c r="AF669" s="177">
        <v>244225</v>
      </c>
      <c r="AG669" s="177" t="str">
        <f t="shared" si="94"/>
        <v>Pass</v>
      </c>
      <c r="AH669" s="177">
        <f t="shared" si="95"/>
        <v>244225</v>
      </c>
      <c r="AK669" s="176"/>
      <c r="AL669" s="176"/>
    </row>
    <row r="670" spans="1:38" ht="36" customHeight="1" x14ac:dyDescent="0.2">
      <c r="A670" s="14" t="s">
        <v>22</v>
      </c>
      <c r="B670" s="212">
        <v>244137</v>
      </c>
      <c r="C670" s="14" t="s">
        <v>547</v>
      </c>
      <c r="D670" s="14" t="s">
        <v>268</v>
      </c>
      <c r="E670" s="14" t="s">
        <v>14</v>
      </c>
      <c r="F670" s="14" t="s">
        <v>324</v>
      </c>
      <c r="G670" s="179">
        <v>680669</v>
      </c>
      <c r="H670" s="176" t="s">
        <v>1871</v>
      </c>
      <c r="I670" s="176" t="s">
        <v>630</v>
      </c>
      <c r="J670" s="176" t="s">
        <v>520</v>
      </c>
      <c r="K670" s="176" t="s">
        <v>2558</v>
      </c>
      <c r="L670" s="40" t="s">
        <v>105</v>
      </c>
      <c r="M670" s="40" t="s">
        <v>341</v>
      </c>
      <c r="N670" s="14" t="s">
        <v>2561</v>
      </c>
      <c r="O670" s="14" t="s">
        <v>552</v>
      </c>
      <c r="P670" s="14" t="s">
        <v>519</v>
      </c>
      <c r="Q670" s="14" t="s">
        <v>553</v>
      </c>
      <c r="R670" s="17">
        <v>7475</v>
      </c>
      <c r="S670" s="172" t="s">
        <v>51</v>
      </c>
      <c r="T670" s="17"/>
      <c r="U670" s="14"/>
      <c r="V670" s="16">
        <f t="shared" si="96"/>
        <v>244137</v>
      </c>
      <c r="W670" s="16">
        <f t="shared" si="97"/>
        <v>244144</v>
      </c>
      <c r="X670" s="16">
        <f t="shared" si="98"/>
        <v>244139</v>
      </c>
      <c r="Y670" s="15"/>
      <c r="Z670" s="177"/>
      <c r="AA670" s="170"/>
      <c r="AB670" s="170"/>
      <c r="AC670" s="170"/>
      <c r="AD670" s="170"/>
      <c r="AE670" s="15"/>
      <c r="AF670" s="177"/>
      <c r="AG670" s="177">
        <f t="shared" si="94"/>
        <v>0</v>
      </c>
      <c r="AH670" s="177">
        <f t="shared" si="95"/>
        <v>0</v>
      </c>
      <c r="AK670" s="176"/>
      <c r="AL670" s="176"/>
    </row>
    <row r="671" spans="1:38" ht="36" customHeight="1" x14ac:dyDescent="0.2">
      <c r="A671" s="14" t="s">
        <v>22</v>
      </c>
      <c r="B671" s="212">
        <v>244137</v>
      </c>
      <c r="C671" s="14" t="s">
        <v>547</v>
      </c>
      <c r="D671" s="14" t="s">
        <v>268</v>
      </c>
      <c r="E671" s="14" t="s">
        <v>14</v>
      </c>
      <c r="F671" s="14" t="s">
        <v>324</v>
      </c>
      <c r="G671" s="179">
        <v>680670</v>
      </c>
      <c r="H671" s="176" t="s">
        <v>2538</v>
      </c>
      <c r="I671" s="176" t="s">
        <v>2539</v>
      </c>
      <c r="J671" s="176" t="s">
        <v>1634</v>
      </c>
      <c r="K671" s="176" t="s">
        <v>2544</v>
      </c>
      <c r="L671" s="40" t="s">
        <v>105</v>
      </c>
      <c r="M671" s="40" t="s">
        <v>341</v>
      </c>
      <c r="N671" s="14" t="s">
        <v>2562</v>
      </c>
      <c r="O671" s="14" t="s">
        <v>2565</v>
      </c>
      <c r="P671" s="14" t="s">
        <v>2568</v>
      </c>
      <c r="Q671" s="14" t="s">
        <v>2571</v>
      </c>
      <c r="R671" s="17">
        <v>924</v>
      </c>
      <c r="S671" s="172" t="s">
        <v>51</v>
      </c>
      <c r="T671" s="17">
        <v>2750</v>
      </c>
      <c r="U671" s="14" t="s">
        <v>51</v>
      </c>
      <c r="V671" s="16">
        <f t="shared" si="96"/>
        <v>244137</v>
      </c>
      <c r="W671" s="16">
        <f t="shared" si="97"/>
        <v>244144</v>
      </c>
      <c r="X671" s="16">
        <f t="shared" si="98"/>
        <v>244139</v>
      </c>
      <c r="Y671" s="15"/>
      <c r="Z671" s="177"/>
      <c r="AA671" s="170"/>
      <c r="AB671" s="170"/>
      <c r="AC671" s="170"/>
      <c r="AD671" s="170"/>
      <c r="AE671" s="15"/>
      <c r="AF671" s="177"/>
      <c r="AG671" s="177">
        <f t="shared" si="94"/>
        <v>0</v>
      </c>
      <c r="AH671" s="177">
        <f t="shared" si="95"/>
        <v>0</v>
      </c>
      <c r="AK671" s="176"/>
      <c r="AL671" s="176"/>
    </row>
    <row r="672" spans="1:38" ht="36" customHeight="1" x14ac:dyDescent="0.2">
      <c r="A672" s="14" t="s">
        <v>22</v>
      </c>
      <c r="B672" s="212">
        <v>244137</v>
      </c>
      <c r="C672" s="14" t="s">
        <v>547</v>
      </c>
      <c r="D672" s="14" t="s">
        <v>268</v>
      </c>
      <c r="E672" s="14" t="s">
        <v>14</v>
      </c>
      <c r="F672" s="14" t="s">
        <v>324</v>
      </c>
      <c r="G672" s="179">
        <v>680671</v>
      </c>
      <c r="H672" s="176" t="s">
        <v>1135</v>
      </c>
      <c r="I672" s="176" t="s">
        <v>630</v>
      </c>
      <c r="J672" s="176" t="s">
        <v>520</v>
      </c>
      <c r="K672" s="176" t="s">
        <v>2559</v>
      </c>
      <c r="L672" s="40" t="s">
        <v>105</v>
      </c>
      <c r="M672" s="40" t="s">
        <v>341</v>
      </c>
      <c r="N672" s="14" t="s">
        <v>2563</v>
      </c>
      <c r="O672" s="14" t="s">
        <v>2521</v>
      </c>
      <c r="P672" s="14" t="s">
        <v>2569</v>
      </c>
      <c r="Q672" s="14" t="s">
        <v>2523</v>
      </c>
      <c r="R672" s="17">
        <v>440</v>
      </c>
      <c r="S672" s="172" t="s">
        <v>51</v>
      </c>
      <c r="T672" s="17">
        <v>2050</v>
      </c>
      <c r="U672" s="14" t="s">
        <v>51</v>
      </c>
      <c r="V672" s="16">
        <f t="shared" si="96"/>
        <v>244137</v>
      </c>
      <c r="W672" s="16">
        <f t="shared" si="97"/>
        <v>244144</v>
      </c>
      <c r="X672" s="16">
        <f t="shared" si="98"/>
        <v>244139</v>
      </c>
      <c r="Y672" s="15"/>
      <c r="Z672" s="177"/>
      <c r="AA672" s="170"/>
      <c r="AB672" s="170"/>
      <c r="AC672" s="170"/>
      <c r="AD672" s="170"/>
      <c r="AE672" s="15"/>
      <c r="AF672" s="177"/>
      <c r="AG672" s="177">
        <f t="shared" ref="AG672:AG735" si="99">AE672</f>
        <v>0</v>
      </c>
      <c r="AH672" s="177">
        <f t="shared" ref="AH672:AH735" si="100">AF672</f>
        <v>0</v>
      </c>
      <c r="AK672" s="176"/>
      <c r="AL672" s="176"/>
    </row>
    <row r="673" spans="1:38" ht="36" customHeight="1" x14ac:dyDescent="0.2">
      <c r="A673" s="14" t="s">
        <v>22</v>
      </c>
      <c r="B673" s="212">
        <v>244137</v>
      </c>
      <c r="C673" s="14" t="s">
        <v>547</v>
      </c>
      <c r="D673" s="14" t="s">
        <v>268</v>
      </c>
      <c r="E673" s="14" t="s">
        <v>14</v>
      </c>
      <c r="F673" s="14" t="s">
        <v>324</v>
      </c>
      <c r="G673" s="179">
        <v>680672</v>
      </c>
      <c r="H673" s="176" t="s">
        <v>1135</v>
      </c>
      <c r="I673" s="176" t="s">
        <v>630</v>
      </c>
      <c r="J673" s="176" t="s">
        <v>520</v>
      </c>
      <c r="K673" s="176" t="s">
        <v>2559</v>
      </c>
      <c r="L673" s="40" t="s">
        <v>105</v>
      </c>
      <c r="M673" s="40" t="s">
        <v>341</v>
      </c>
      <c r="N673" s="14" t="s">
        <v>2566</v>
      </c>
      <c r="O673" s="14" t="s">
        <v>552</v>
      </c>
      <c r="P673" s="14" t="s">
        <v>793</v>
      </c>
      <c r="Q673" s="14" t="s">
        <v>553</v>
      </c>
      <c r="R673" s="17">
        <v>1160</v>
      </c>
      <c r="S673" s="172" t="s">
        <v>51</v>
      </c>
      <c r="T673" s="17">
        <v>2050</v>
      </c>
      <c r="U673" s="14" t="s">
        <v>51</v>
      </c>
      <c r="V673" s="16">
        <f t="shared" si="96"/>
        <v>244137</v>
      </c>
      <c r="W673" s="16">
        <f t="shared" si="97"/>
        <v>244144</v>
      </c>
      <c r="X673" s="16">
        <f t="shared" si="98"/>
        <v>244139</v>
      </c>
      <c r="Y673" s="15"/>
      <c r="Z673" s="177"/>
      <c r="AA673" s="170"/>
      <c r="AB673" s="170"/>
      <c r="AC673" s="170"/>
      <c r="AD673" s="170"/>
      <c r="AE673" s="15"/>
      <c r="AF673" s="177"/>
      <c r="AG673" s="177">
        <f t="shared" si="99"/>
        <v>0</v>
      </c>
      <c r="AH673" s="177">
        <f t="shared" si="100"/>
        <v>0</v>
      </c>
      <c r="AK673" s="176"/>
      <c r="AL673" s="176"/>
    </row>
    <row r="674" spans="1:38" ht="36" customHeight="1" x14ac:dyDescent="0.2">
      <c r="A674" s="14" t="s">
        <v>22</v>
      </c>
      <c r="B674" s="212">
        <v>244137</v>
      </c>
      <c r="C674" s="14" t="s">
        <v>547</v>
      </c>
      <c r="D674" s="14" t="s">
        <v>268</v>
      </c>
      <c r="E674" s="14" t="s">
        <v>14</v>
      </c>
      <c r="F674" s="14" t="s">
        <v>324</v>
      </c>
      <c r="G674" s="179">
        <v>680673</v>
      </c>
      <c r="H674" s="176" t="s">
        <v>1663</v>
      </c>
      <c r="I674" s="176" t="s">
        <v>550</v>
      </c>
      <c r="J674" s="176" t="s">
        <v>128</v>
      </c>
      <c r="K674" s="176" t="s">
        <v>2560</v>
      </c>
      <c r="L674" s="40" t="s">
        <v>106</v>
      </c>
      <c r="M674" s="40" t="s">
        <v>341</v>
      </c>
      <c r="N674" s="14" t="s">
        <v>1214</v>
      </c>
      <c r="O674" s="14" t="s">
        <v>548</v>
      </c>
      <c r="P674" s="14" t="s">
        <v>518</v>
      </c>
      <c r="Q674" s="14" t="s">
        <v>549</v>
      </c>
      <c r="R674" s="17">
        <v>150</v>
      </c>
      <c r="S674" s="172" t="s">
        <v>51</v>
      </c>
      <c r="T674" s="17">
        <v>1140</v>
      </c>
      <c r="U674" s="14" t="s">
        <v>51</v>
      </c>
      <c r="V674" s="16">
        <f t="shared" si="96"/>
        <v>244137</v>
      </c>
      <c r="W674" s="16">
        <f t="shared" si="97"/>
        <v>244144</v>
      </c>
      <c r="X674" s="16">
        <f t="shared" si="98"/>
        <v>244139</v>
      </c>
      <c r="Y674" s="15" t="s">
        <v>54</v>
      </c>
      <c r="Z674" s="177">
        <v>244141</v>
      </c>
      <c r="AA674" s="170"/>
      <c r="AB674" s="170"/>
      <c r="AC674" s="170"/>
      <c r="AD674" s="170"/>
      <c r="AE674" s="15" t="s">
        <v>54</v>
      </c>
      <c r="AF674" s="177">
        <v>244141</v>
      </c>
      <c r="AG674" s="177" t="str">
        <f t="shared" si="99"/>
        <v>Pass</v>
      </c>
      <c r="AH674" s="177">
        <f t="shared" si="100"/>
        <v>244141</v>
      </c>
      <c r="AK674" s="176"/>
      <c r="AL674" s="176"/>
    </row>
    <row r="675" spans="1:38" ht="36" customHeight="1" x14ac:dyDescent="0.2">
      <c r="A675" s="14" t="s">
        <v>22</v>
      </c>
      <c r="B675" s="212">
        <v>244137</v>
      </c>
      <c r="C675" s="14" t="s">
        <v>547</v>
      </c>
      <c r="D675" s="14" t="s">
        <v>268</v>
      </c>
      <c r="E675" s="14" t="s">
        <v>14</v>
      </c>
      <c r="F675" s="14" t="s">
        <v>324</v>
      </c>
      <c r="G675" s="179">
        <v>680674</v>
      </c>
      <c r="H675" s="176" t="s">
        <v>1135</v>
      </c>
      <c r="I675" s="176" t="s">
        <v>630</v>
      </c>
      <c r="J675" s="176" t="s">
        <v>520</v>
      </c>
      <c r="K675" s="176" t="s">
        <v>2559</v>
      </c>
      <c r="L675" s="40" t="s">
        <v>105</v>
      </c>
      <c r="M675" s="40" t="s">
        <v>341</v>
      </c>
      <c r="N675" s="14" t="s">
        <v>2564</v>
      </c>
      <c r="O675" s="14" t="s">
        <v>2567</v>
      </c>
      <c r="P675" s="14" t="s">
        <v>2570</v>
      </c>
      <c r="Q675" s="14" t="s">
        <v>2572</v>
      </c>
      <c r="R675" s="17">
        <v>247</v>
      </c>
      <c r="S675" s="172" t="s">
        <v>51</v>
      </c>
      <c r="T675" s="17">
        <v>2045</v>
      </c>
      <c r="U675" s="14" t="s">
        <v>51</v>
      </c>
      <c r="V675" s="16">
        <f t="shared" si="96"/>
        <v>244137</v>
      </c>
      <c r="W675" s="16">
        <f t="shared" si="97"/>
        <v>244144</v>
      </c>
      <c r="X675" s="16">
        <f t="shared" si="98"/>
        <v>244139</v>
      </c>
      <c r="Y675" s="15"/>
      <c r="Z675" s="177"/>
      <c r="AA675" s="170"/>
      <c r="AB675" s="170"/>
      <c r="AC675" s="170"/>
      <c r="AD675" s="170"/>
      <c r="AE675" s="15"/>
      <c r="AF675" s="177"/>
      <c r="AG675" s="177">
        <f t="shared" si="99"/>
        <v>0</v>
      </c>
      <c r="AH675" s="177">
        <f t="shared" si="100"/>
        <v>0</v>
      </c>
      <c r="AK675" s="176"/>
      <c r="AL675" s="176"/>
    </row>
    <row r="676" spans="1:38" ht="36" customHeight="1" x14ac:dyDescent="0.2">
      <c r="A676" s="14" t="s">
        <v>22</v>
      </c>
      <c r="B676" s="212">
        <v>244137</v>
      </c>
      <c r="C676" s="14" t="s">
        <v>547</v>
      </c>
      <c r="D676" s="14" t="s">
        <v>268</v>
      </c>
      <c r="E676" s="14" t="s">
        <v>14</v>
      </c>
      <c r="F676" s="14" t="s">
        <v>324</v>
      </c>
      <c r="G676" s="179">
        <v>680675</v>
      </c>
      <c r="H676" s="176" t="s">
        <v>1135</v>
      </c>
      <c r="I676" s="176" t="s">
        <v>630</v>
      </c>
      <c r="J676" s="176" t="s">
        <v>520</v>
      </c>
      <c r="K676" s="176" t="s">
        <v>2559</v>
      </c>
      <c r="L676" s="40" t="s">
        <v>105</v>
      </c>
      <c r="M676" s="40" t="s">
        <v>341</v>
      </c>
      <c r="N676" s="14" t="s">
        <v>2576</v>
      </c>
      <c r="O676" s="14" t="s">
        <v>552</v>
      </c>
      <c r="P676" s="14" t="s">
        <v>2579</v>
      </c>
      <c r="Q676" s="14" t="s">
        <v>553</v>
      </c>
      <c r="R676" s="17">
        <v>660</v>
      </c>
      <c r="S676" s="172" t="s">
        <v>51</v>
      </c>
      <c r="T676" s="17">
        <v>1025</v>
      </c>
      <c r="U676" s="14" t="s">
        <v>51</v>
      </c>
      <c r="V676" s="16">
        <f t="shared" si="96"/>
        <v>244137</v>
      </c>
      <c r="W676" s="16">
        <f t="shared" si="97"/>
        <v>244144</v>
      </c>
      <c r="X676" s="16">
        <f t="shared" si="98"/>
        <v>244139</v>
      </c>
      <c r="Y676" s="15"/>
      <c r="Z676" s="177"/>
      <c r="AA676" s="170"/>
      <c r="AB676" s="170"/>
      <c r="AC676" s="170"/>
      <c r="AD676" s="170"/>
      <c r="AE676" s="15"/>
      <c r="AF676" s="177"/>
      <c r="AG676" s="177">
        <f t="shared" si="99"/>
        <v>0</v>
      </c>
      <c r="AH676" s="177">
        <f t="shared" si="100"/>
        <v>0</v>
      </c>
      <c r="AK676" s="176"/>
      <c r="AL676" s="176"/>
    </row>
    <row r="677" spans="1:38" ht="36" customHeight="1" x14ac:dyDescent="0.2">
      <c r="A677" s="14" t="s">
        <v>22</v>
      </c>
      <c r="B677" s="212">
        <v>244137</v>
      </c>
      <c r="C677" s="14" t="s">
        <v>547</v>
      </c>
      <c r="D677" s="14" t="s">
        <v>268</v>
      </c>
      <c r="E677" s="14" t="s">
        <v>14</v>
      </c>
      <c r="F677" s="14" t="s">
        <v>324</v>
      </c>
      <c r="G677" s="179">
        <v>680676</v>
      </c>
      <c r="H677" s="176" t="s">
        <v>2573</v>
      </c>
      <c r="I677" s="176" t="s">
        <v>830</v>
      </c>
      <c r="J677" s="176" t="s">
        <v>123</v>
      </c>
      <c r="K677" s="176" t="s">
        <v>2574</v>
      </c>
      <c r="L677" s="40" t="s">
        <v>45</v>
      </c>
      <c r="M677" s="40" t="s">
        <v>341</v>
      </c>
      <c r="N677" s="14" t="s">
        <v>1086</v>
      </c>
      <c r="O677" s="14" t="s">
        <v>543</v>
      </c>
      <c r="P677" s="14" t="s">
        <v>517</v>
      </c>
      <c r="Q677" s="14" t="s">
        <v>529</v>
      </c>
      <c r="R677" s="17">
        <v>200</v>
      </c>
      <c r="S677" s="172" t="s">
        <v>51</v>
      </c>
      <c r="T677" s="17">
        <v>1200</v>
      </c>
      <c r="U677" s="14" t="s">
        <v>51</v>
      </c>
      <c r="V677" s="16">
        <f t="shared" si="96"/>
        <v>244137</v>
      </c>
      <c r="W677" s="16">
        <f t="shared" si="97"/>
        <v>244144</v>
      </c>
      <c r="X677" s="16">
        <f t="shared" si="98"/>
        <v>244139</v>
      </c>
      <c r="Y677" s="15" t="s">
        <v>54</v>
      </c>
      <c r="Z677" s="177">
        <v>244141</v>
      </c>
      <c r="AA677" s="170"/>
      <c r="AB677" s="170"/>
      <c r="AC677" s="170"/>
      <c r="AD677" s="170"/>
      <c r="AE677" s="15" t="s">
        <v>54</v>
      </c>
      <c r="AF677" s="177">
        <v>244144</v>
      </c>
      <c r="AG677" s="177" t="str">
        <f t="shared" si="99"/>
        <v>Pass</v>
      </c>
      <c r="AH677" s="177">
        <f t="shared" si="100"/>
        <v>244144</v>
      </c>
      <c r="AK677" s="176"/>
      <c r="AL677" s="176"/>
    </row>
    <row r="678" spans="1:38" ht="36" customHeight="1" x14ac:dyDescent="0.2">
      <c r="A678" s="14" t="s">
        <v>22</v>
      </c>
      <c r="B678" s="212">
        <v>244137</v>
      </c>
      <c r="C678" s="14" t="s">
        <v>547</v>
      </c>
      <c r="D678" s="14" t="s">
        <v>268</v>
      </c>
      <c r="E678" s="14" t="s">
        <v>14</v>
      </c>
      <c r="F678" s="14" t="s">
        <v>324</v>
      </c>
      <c r="G678" s="179">
        <v>680677</v>
      </c>
      <c r="H678" s="176" t="s">
        <v>1925</v>
      </c>
      <c r="I678" s="176" t="s">
        <v>630</v>
      </c>
      <c r="J678" s="176" t="s">
        <v>520</v>
      </c>
      <c r="K678" s="176" t="s">
        <v>2575</v>
      </c>
      <c r="L678" s="40" t="s">
        <v>105</v>
      </c>
      <c r="M678" s="40" t="s">
        <v>341</v>
      </c>
      <c r="N678" s="14" t="s">
        <v>2577</v>
      </c>
      <c r="O678" s="14" t="s">
        <v>2578</v>
      </c>
      <c r="P678" s="14" t="s">
        <v>2580</v>
      </c>
      <c r="Q678" s="14" t="s">
        <v>2581</v>
      </c>
      <c r="R678" s="17">
        <v>1660</v>
      </c>
      <c r="S678" s="172" t="s">
        <v>51</v>
      </c>
      <c r="T678" s="17"/>
      <c r="U678" s="14"/>
      <c r="V678" s="16">
        <f t="shared" si="96"/>
        <v>244137</v>
      </c>
      <c r="W678" s="16">
        <f t="shared" si="97"/>
        <v>244144</v>
      </c>
      <c r="X678" s="16">
        <f t="shared" si="98"/>
        <v>244139</v>
      </c>
      <c r="Y678" s="15"/>
      <c r="Z678" s="177"/>
      <c r="AA678" s="170"/>
      <c r="AB678" s="170"/>
      <c r="AC678" s="170"/>
      <c r="AD678" s="170"/>
      <c r="AE678" s="15"/>
      <c r="AF678" s="177"/>
      <c r="AG678" s="177">
        <f t="shared" si="99"/>
        <v>0</v>
      </c>
      <c r="AH678" s="177">
        <f t="shared" si="100"/>
        <v>0</v>
      </c>
      <c r="AK678" s="176"/>
      <c r="AL678" s="176"/>
    </row>
    <row r="679" spans="1:38" ht="36" customHeight="1" x14ac:dyDescent="0.2">
      <c r="A679" s="14" t="s">
        <v>22</v>
      </c>
      <c r="B679" s="212">
        <v>244138</v>
      </c>
      <c r="C679" s="14" t="s">
        <v>547</v>
      </c>
      <c r="D679" s="14" t="s">
        <v>268</v>
      </c>
      <c r="E679" s="14" t="s">
        <v>14</v>
      </c>
      <c r="F679" s="14" t="s">
        <v>324</v>
      </c>
      <c r="G679" s="179">
        <v>680678</v>
      </c>
      <c r="H679" s="176" t="s">
        <v>824</v>
      </c>
      <c r="I679" s="176" t="s">
        <v>774</v>
      </c>
      <c r="J679" s="176" t="s">
        <v>776</v>
      </c>
      <c r="K679" s="176" t="s">
        <v>2582</v>
      </c>
      <c r="L679" s="40" t="s">
        <v>46</v>
      </c>
      <c r="M679" s="40" t="s">
        <v>341</v>
      </c>
      <c r="N679" s="14" t="s">
        <v>2583</v>
      </c>
      <c r="O679" s="14" t="s">
        <v>714</v>
      </c>
      <c r="P679" s="14" t="s">
        <v>2588</v>
      </c>
      <c r="Q679" s="14" t="s">
        <v>716</v>
      </c>
      <c r="R679" s="17">
        <v>400</v>
      </c>
      <c r="S679" s="172" t="s">
        <v>51</v>
      </c>
      <c r="T679" s="17">
        <v>1748</v>
      </c>
      <c r="U679" s="14" t="s">
        <v>51</v>
      </c>
      <c r="V679" s="16">
        <f t="shared" si="96"/>
        <v>244138</v>
      </c>
      <c r="W679" s="16">
        <f t="shared" si="97"/>
        <v>244145</v>
      </c>
      <c r="X679" s="16">
        <f t="shared" si="98"/>
        <v>244140</v>
      </c>
      <c r="Y679" s="15"/>
      <c r="Z679" s="177"/>
      <c r="AA679" s="170"/>
      <c r="AB679" s="170"/>
      <c r="AC679" s="170"/>
      <c r="AD679" s="170"/>
      <c r="AE679" s="15"/>
      <c r="AF679" s="177"/>
      <c r="AG679" s="177">
        <f t="shared" si="99"/>
        <v>0</v>
      </c>
      <c r="AH679" s="177">
        <f t="shared" si="100"/>
        <v>0</v>
      </c>
      <c r="AK679" s="176"/>
      <c r="AL679" s="176"/>
    </row>
    <row r="680" spans="1:38" ht="36" customHeight="1" x14ac:dyDescent="0.2">
      <c r="A680" s="14" t="s">
        <v>22</v>
      </c>
      <c r="B680" s="212">
        <v>244138</v>
      </c>
      <c r="C680" s="14" t="s">
        <v>547</v>
      </c>
      <c r="D680" s="14" t="s">
        <v>268</v>
      </c>
      <c r="E680" s="14" t="s">
        <v>14</v>
      </c>
      <c r="F680" s="14" t="s">
        <v>324</v>
      </c>
      <c r="G680" s="179">
        <v>680679</v>
      </c>
      <c r="H680" s="176" t="s">
        <v>2538</v>
      </c>
      <c r="I680" s="176" t="s">
        <v>2539</v>
      </c>
      <c r="J680" s="176" t="s">
        <v>1634</v>
      </c>
      <c r="K680" s="176" t="s">
        <v>2544</v>
      </c>
      <c r="L680" s="40" t="s">
        <v>45</v>
      </c>
      <c r="M680" s="40" t="s">
        <v>341</v>
      </c>
      <c r="N680" s="14" t="s">
        <v>2584</v>
      </c>
      <c r="O680" s="14" t="s">
        <v>2592</v>
      </c>
      <c r="P680" s="14" t="s">
        <v>2589</v>
      </c>
      <c r="Q680" s="14" t="s">
        <v>2593</v>
      </c>
      <c r="R680" s="17">
        <v>993</v>
      </c>
      <c r="S680" s="172" t="s">
        <v>51</v>
      </c>
      <c r="T680" s="17">
        <v>2740</v>
      </c>
      <c r="U680" s="14" t="s">
        <v>51</v>
      </c>
      <c r="V680" s="16">
        <f t="shared" si="96"/>
        <v>244138</v>
      </c>
      <c r="W680" s="16">
        <f t="shared" si="97"/>
        <v>244145</v>
      </c>
      <c r="X680" s="16">
        <f t="shared" si="98"/>
        <v>244140</v>
      </c>
      <c r="Y680" s="15" t="s">
        <v>54</v>
      </c>
      <c r="Z680" s="177">
        <v>244141</v>
      </c>
      <c r="AA680" s="170"/>
      <c r="AB680" s="170"/>
      <c r="AC680" s="170"/>
      <c r="AD680" s="170"/>
      <c r="AE680" s="15" t="s">
        <v>54</v>
      </c>
      <c r="AF680" s="177">
        <v>244144</v>
      </c>
      <c r="AG680" s="177" t="str">
        <f t="shared" si="99"/>
        <v>Pass</v>
      </c>
      <c r="AH680" s="177">
        <f t="shared" si="100"/>
        <v>244144</v>
      </c>
      <c r="AK680" s="176"/>
      <c r="AL680" s="176"/>
    </row>
    <row r="681" spans="1:38" ht="36" customHeight="1" x14ac:dyDescent="0.2">
      <c r="A681" s="14" t="s">
        <v>22</v>
      </c>
      <c r="B681" s="212">
        <v>244138</v>
      </c>
      <c r="C681" s="14" t="s">
        <v>547</v>
      </c>
      <c r="D681" s="14" t="s">
        <v>268</v>
      </c>
      <c r="E681" s="14" t="s">
        <v>14</v>
      </c>
      <c r="F681" s="14" t="s">
        <v>324</v>
      </c>
      <c r="G681" s="179">
        <v>680680</v>
      </c>
      <c r="H681" s="176" t="s">
        <v>824</v>
      </c>
      <c r="I681" s="176" t="s">
        <v>774</v>
      </c>
      <c r="J681" s="176" t="s">
        <v>1634</v>
      </c>
      <c r="K681" s="176" t="s">
        <v>2575</v>
      </c>
      <c r="L681" s="40" t="s">
        <v>45</v>
      </c>
      <c r="M681" s="40" t="s">
        <v>341</v>
      </c>
      <c r="N681" s="14" t="s">
        <v>2585</v>
      </c>
      <c r="O681" s="14" t="s">
        <v>2587</v>
      </c>
      <c r="P681" s="14" t="s">
        <v>2590</v>
      </c>
      <c r="Q681" s="14" t="s">
        <v>2591</v>
      </c>
      <c r="R681" s="17">
        <v>675</v>
      </c>
      <c r="S681" s="172" t="s">
        <v>51</v>
      </c>
      <c r="T681" s="17">
        <v>1500</v>
      </c>
      <c r="U681" s="14" t="s">
        <v>51</v>
      </c>
      <c r="V681" s="16">
        <f t="shared" si="96"/>
        <v>244138</v>
      </c>
      <c r="W681" s="16">
        <f t="shared" si="97"/>
        <v>244145</v>
      </c>
      <c r="X681" s="16">
        <f t="shared" si="98"/>
        <v>244140</v>
      </c>
      <c r="Y681" s="15"/>
      <c r="Z681" s="177"/>
      <c r="AA681" s="170"/>
      <c r="AB681" s="170"/>
      <c r="AC681" s="170"/>
      <c r="AD681" s="170"/>
      <c r="AE681" s="15"/>
      <c r="AF681" s="177"/>
      <c r="AG681" s="177">
        <f t="shared" si="99"/>
        <v>0</v>
      </c>
      <c r="AH681" s="177">
        <f t="shared" si="100"/>
        <v>0</v>
      </c>
      <c r="AK681" s="176"/>
      <c r="AL681" s="176"/>
    </row>
    <row r="682" spans="1:38" ht="36" customHeight="1" x14ac:dyDescent="0.2">
      <c r="A682" s="14" t="s">
        <v>22</v>
      </c>
      <c r="B682" s="212">
        <v>244138</v>
      </c>
      <c r="C682" s="14" t="s">
        <v>547</v>
      </c>
      <c r="D682" s="14" t="s">
        <v>268</v>
      </c>
      <c r="E682" s="14" t="s">
        <v>14</v>
      </c>
      <c r="F682" s="14" t="s">
        <v>324</v>
      </c>
      <c r="G682" s="179">
        <v>680681</v>
      </c>
      <c r="H682" s="176" t="s">
        <v>824</v>
      </c>
      <c r="I682" s="176" t="s">
        <v>774</v>
      </c>
      <c r="J682" s="176" t="s">
        <v>1634</v>
      </c>
      <c r="K682" s="176" t="s">
        <v>2575</v>
      </c>
      <c r="L682" s="40" t="s">
        <v>45</v>
      </c>
      <c r="M682" s="40" t="s">
        <v>341</v>
      </c>
      <c r="N682" s="14" t="s">
        <v>2586</v>
      </c>
      <c r="O682" s="14" t="s">
        <v>548</v>
      </c>
      <c r="P682" s="14" t="s">
        <v>518</v>
      </c>
      <c r="Q682" s="14" t="s">
        <v>549</v>
      </c>
      <c r="R682" s="17">
        <v>417</v>
      </c>
      <c r="S682" s="172" t="s">
        <v>51</v>
      </c>
      <c r="T682" s="17">
        <v>1500</v>
      </c>
      <c r="U682" s="14" t="s">
        <v>51</v>
      </c>
      <c r="V682" s="16">
        <f t="shared" si="96"/>
        <v>244138</v>
      </c>
      <c r="W682" s="16">
        <f t="shared" si="97"/>
        <v>244145</v>
      </c>
      <c r="X682" s="16">
        <f t="shared" si="98"/>
        <v>244140</v>
      </c>
      <c r="Y682" s="15"/>
      <c r="Z682" s="177"/>
      <c r="AA682" s="170"/>
      <c r="AB682" s="170"/>
      <c r="AC682" s="170"/>
      <c r="AD682" s="170"/>
      <c r="AE682" s="15"/>
      <c r="AF682" s="177"/>
      <c r="AG682" s="177">
        <f t="shared" si="99"/>
        <v>0</v>
      </c>
      <c r="AH682" s="177">
        <f t="shared" si="100"/>
        <v>0</v>
      </c>
      <c r="AK682" s="176"/>
      <c r="AL682" s="176"/>
    </row>
    <row r="683" spans="1:38" ht="36" customHeight="1" x14ac:dyDescent="0.2">
      <c r="A683" s="14" t="s">
        <v>22</v>
      </c>
      <c r="B683" s="212">
        <v>244139</v>
      </c>
      <c r="C683" s="14" t="s">
        <v>547</v>
      </c>
      <c r="D683" s="14" t="s">
        <v>268</v>
      </c>
      <c r="E683" s="14" t="s">
        <v>14</v>
      </c>
      <c r="F683" s="14" t="s">
        <v>324</v>
      </c>
      <c r="G683" s="179">
        <v>680682</v>
      </c>
      <c r="H683" s="176" t="s">
        <v>824</v>
      </c>
      <c r="I683" s="176" t="s">
        <v>774</v>
      </c>
      <c r="J683" s="176" t="s">
        <v>1634</v>
      </c>
      <c r="K683" s="176" t="s">
        <v>2582</v>
      </c>
      <c r="L683" s="40" t="s">
        <v>46</v>
      </c>
      <c r="M683" s="40" t="s">
        <v>341</v>
      </c>
      <c r="N683" s="14" t="s">
        <v>1519</v>
      </c>
      <c r="O683" s="14" t="s">
        <v>2597</v>
      </c>
      <c r="P683" s="14" t="s">
        <v>1429</v>
      </c>
      <c r="Q683" s="14" t="s">
        <v>2599</v>
      </c>
      <c r="R683" s="17">
        <v>200</v>
      </c>
      <c r="S683" s="172" t="s">
        <v>51</v>
      </c>
      <c r="T683" s="17">
        <v>1733</v>
      </c>
      <c r="U683" s="14" t="s">
        <v>51</v>
      </c>
      <c r="V683" s="16">
        <f t="shared" si="96"/>
        <v>244139</v>
      </c>
      <c r="W683" s="16">
        <f t="shared" si="97"/>
        <v>244146</v>
      </c>
      <c r="X683" s="16">
        <f t="shared" si="98"/>
        <v>244141</v>
      </c>
      <c r="Y683" s="15"/>
      <c r="Z683" s="177"/>
      <c r="AA683" s="170"/>
      <c r="AB683" s="170"/>
      <c r="AC683" s="170"/>
      <c r="AD683" s="170"/>
      <c r="AE683" s="15"/>
      <c r="AF683" s="177"/>
      <c r="AG683" s="177">
        <f t="shared" si="99"/>
        <v>0</v>
      </c>
      <c r="AH683" s="177">
        <f t="shared" si="100"/>
        <v>0</v>
      </c>
      <c r="AK683" s="176"/>
      <c r="AL683" s="176"/>
    </row>
    <row r="684" spans="1:38" ht="36" customHeight="1" x14ac:dyDescent="0.2">
      <c r="A684" s="14" t="s">
        <v>22</v>
      </c>
      <c r="B684" s="212">
        <v>244139</v>
      </c>
      <c r="C684" s="14" t="s">
        <v>547</v>
      </c>
      <c r="D684" s="14" t="s">
        <v>268</v>
      </c>
      <c r="E684" s="14" t="s">
        <v>14</v>
      </c>
      <c r="F684" s="14" t="s">
        <v>324</v>
      </c>
      <c r="G684" s="179">
        <v>680683</v>
      </c>
      <c r="H684" s="176" t="s">
        <v>2538</v>
      </c>
      <c r="I684" s="176" t="s">
        <v>2539</v>
      </c>
      <c r="J684" s="176" t="s">
        <v>1634</v>
      </c>
      <c r="K684" s="176" t="s">
        <v>2544</v>
      </c>
      <c r="L684" s="40" t="s">
        <v>45</v>
      </c>
      <c r="M684" s="40" t="s">
        <v>341</v>
      </c>
      <c r="N684" s="14" t="s">
        <v>2594</v>
      </c>
      <c r="O684" s="14" t="s">
        <v>543</v>
      </c>
      <c r="P684" s="14" t="s">
        <v>1827</v>
      </c>
      <c r="Q684" s="14" t="s">
        <v>529</v>
      </c>
      <c r="R684" s="17">
        <v>500</v>
      </c>
      <c r="S684" s="172" t="s">
        <v>51</v>
      </c>
      <c r="T684" s="17">
        <v>2740</v>
      </c>
      <c r="U684" s="14" t="s">
        <v>51</v>
      </c>
      <c r="V684" s="16">
        <f t="shared" si="96"/>
        <v>244139</v>
      </c>
      <c r="W684" s="16">
        <f t="shared" si="97"/>
        <v>244146</v>
      </c>
      <c r="X684" s="16">
        <f t="shared" si="98"/>
        <v>244141</v>
      </c>
      <c r="Y684" s="15" t="s">
        <v>54</v>
      </c>
      <c r="Z684" s="177">
        <v>244141</v>
      </c>
      <c r="AA684" s="170"/>
      <c r="AB684" s="170"/>
      <c r="AC684" s="170"/>
      <c r="AD684" s="170"/>
      <c r="AE684" s="15" t="s">
        <v>54</v>
      </c>
      <c r="AF684" s="177">
        <v>244144</v>
      </c>
      <c r="AG684" s="177" t="str">
        <f t="shared" si="99"/>
        <v>Pass</v>
      </c>
      <c r="AH684" s="177">
        <f t="shared" si="100"/>
        <v>244144</v>
      </c>
      <c r="AK684" s="176"/>
      <c r="AL684" s="176"/>
    </row>
    <row r="685" spans="1:38" ht="36" customHeight="1" x14ac:dyDescent="0.2">
      <c r="A685" s="14" t="s">
        <v>22</v>
      </c>
      <c r="B685" s="212">
        <v>244139</v>
      </c>
      <c r="C685" s="14" t="s">
        <v>547</v>
      </c>
      <c r="D685" s="14" t="s">
        <v>268</v>
      </c>
      <c r="E685" s="14" t="s">
        <v>14</v>
      </c>
      <c r="F685" s="14" t="s">
        <v>324</v>
      </c>
      <c r="G685" s="179">
        <v>680684</v>
      </c>
      <c r="H685" s="176" t="s">
        <v>2538</v>
      </c>
      <c r="I685" s="176" t="s">
        <v>2539</v>
      </c>
      <c r="J685" s="176" t="s">
        <v>1634</v>
      </c>
      <c r="K685" s="176" t="s">
        <v>2544</v>
      </c>
      <c r="L685" s="40" t="s">
        <v>45</v>
      </c>
      <c r="M685" s="40" t="s">
        <v>341</v>
      </c>
      <c r="N685" s="14" t="s">
        <v>2595</v>
      </c>
      <c r="O685" s="14" t="s">
        <v>2598</v>
      </c>
      <c r="P685" s="14" t="s">
        <v>519</v>
      </c>
      <c r="Q685" s="14" t="s">
        <v>553</v>
      </c>
      <c r="R685" s="17">
        <v>4300</v>
      </c>
      <c r="S685" s="172" t="s">
        <v>51</v>
      </c>
      <c r="T685" s="17">
        <v>2900</v>
      </c>
      <c r="U685" s="14" t="s">
        <v>51</v>
      </c>
      <c r="V685" s="16">
        <f t="shared" si="96"/>
        <v>244139</v>
      </c>
      <c r="W685" s="16">
        <f t="shared" si="97"/>
        <v>244146</v>
      </c>
      <c r="X685" s="16">
        <f t="shared" si="98"/>
        <v>244141</v>
      </c>
      <c r="Y685" s="15" t="s">
        <v>54</v>
      </c>
      <c r="Z685" s="177">
        <v>244141</v>
      </c>
      <c r="AA685" s="170"/>
      <c r="AB685" s="170"/>
      <c r="AC685" s="170"/>
      <c r="AD685" s="170"/>
      <c r="AE685" s="15" t="s">
        <v>54</v>
      </c>
      <c r="AF685" s="177">
        <v>244144</v>
      </c>
      <c r="AG685" s="177" t="str">
        <f t="shared" si="99"/>
        <v>Pass</v>
      </c>
      <c r="AH685" s="177">
        <f t="shared" si="100"/>
        <v>244144</v>
      </c>
      <c r="AK685" s="176"/>
      <c r="AL685" s="176"/>
    </row>
    <row r="686" spans="1:38" ht="36" customHeight="1" x14ac:dyDescent="0.2">
      <c r="A686" s="14" t="s">
        <v>22</v>
      </c>
      <c r="B686" s="212">
        <v>244139</v>
      </c>
      <c r="C686" s="14" t="s">
        <v>547</v>
      </c>
      <c r="D686" s="14" t="s">
        <v>268</v>
      </c>
      <c r="E686" s="14" t="s">
        <v>14</v>
      </c>
      <c r="F686" s="14" t="s">
        <v>324</v>
      </c>
      <c r="G686" s="179">
        <v>680685</v>
      </c>
      <c r="H686" s="176" t="s">
        <v>2538</v>
      </c>
      <c r="I686" s="176" t="s">
        <v>2539</v>
      </c>
      <c r="J686" s="176" t="s">
        <v>1634</v>
      </c>
      <c r="K686" s="176" t="s">
        <v>2544</v>
      </c>
      <c r="L686" s="40" t="s">
        <v>45</v>
      </c>
      <c r="M686" s="40" t="s">
        <v>341</v>
      </c>
      <c r="N686" s="14" t="s">
        <v>2596</v>
      </c>
      <c r="O686" s="14" t="s">
        <v>548</v>
      </c>
      <c r="P686" s="14" t="s">
        <v>518</v>
      </c>
      <c r="Q686" s="14" t="s">
        <v>549</v>
      </c>
      <c r="R686" s="17">
        <v>1127</v>
      </c>
      <c r="S686" s="172" t="s">
        <v>51</v>
      </c>
      <c r="T686" s="17">
        <v>2760</v>
      </c>
      <c r="U686" s="14" t="s">
        <v>51</v>
      </c>
      <c r="V686" s="16">
        <f t="shared" si="96"/>
        <v>244139</v>
      </c>
      <c r="W686" s="16">
        <f t="shared" si="97"/>
        <v>244146</v>
      </c>
      <c r="X686" s="16">
        <f t="shared" si="98"/>
        <v>244141</v>
      </c>
      <c r="Y686" s="15" t="s">
        <v>54</v>
      </c>
      <c r="Z686" s="177">
        <v>244141</v>
      </c>
      <c r="AA686" s="170"/>
      <c r="AB686" s="170"/>
      <c r="AC686" s="170"/>
      <c r="AD686" s="170"/>
      <c r="AE686" s="15" t="s">
        <v>54</v>
      </c>
      <c r="AF686" s="177">
        <v>244144</v>
      </c>
      <c r="AG686" s="177" t="str">
        <f t="shared" si="99"/>
        <v>Pass</v>
      </c>
      <c r="AH686" s="177">
        <f t="shared" si="100"/>
        <v>244144</v>
      </c>
      <c r="AK686" s="176"/>
      <c r="AL686" s="176"/>
    </row>
    <row r="687" spans="1:38" ht="36" customHeight="1" x14ac:dyDescent="0.2">
      <c r="A687" s="14" t="s">
        <v>22</v>
      </c>
      <c r="B687" s="212">
        <v>244140</v>
      </c>
      <c r="C687" s="14" t="s">
        <v>547</v>
      </c>
      <c r="D687" s="14" t="s">
        <v>268</v>
      </c>
      <c r="E687" s="14" t="s">
        <v>14</v>
      </c>
      <c r="F687" s="14" t="s">
        <v>324</v>
      </c>
      <c r="G687" s="179">
        <v>680686</v>
      </c>
      <c r="H687" s="176" t="s">
        <v>626</v>
      </c>
      <c r="I687" s="176" t="s">
        <v>630</v>
      </c>
      <c r="J687" s="176" t="s">
        <v>520</v>
      </c>
      <c r="K687" s="176" t="s">
        <v>2600</v>
      </c>
      <c r="L687" s="40" t="s">
        <v>105</v>
      </c>
      <c r="M687" s="40" t="s">
        <v>341</v>
      </c>
      <c r="N687" s="14" t="s">
        <v>2601</v>
      </c>
      <c r="O687" s="14" t="s">
        <v>1585</v>
      </c>
      <c r="P687" s="14" t="s">
        <v>313</v>
      </c>
      <c r="Q687" s="14" t="s">
        <v>1590</v>
      </c>
      <c r="R687" s="17">
        <v>100</v>
      </c>
      <c r="S687" s="172" t="s">
        <v>51</v>
      </c>
      <c r="T687" s="17">
        <v>2040</v>
      </c>
      <c r="U687" s="14" t="s">
        <v>51</v>
      </c>
      <c r="V687" s="16">
        <f t="shared" ref="V687:V748" si="101">B687</f>
        <v>244140</v>
      </c>
      <c r="W687" s="16">
        <f t="shared" ref="W687:W748" si="102">B687+7</f>
        <v>244147</v>
      </c>
      <c r="X687" s="16">
        <f t="shared" ref="X687:X748" si="103">V687+2</f>
        <v>244142</v>
      </c>
      <c r="Y687" s="15"/>
      <c r="Z687" s="177"/>
      <c r="AA687" s="170"/>
      <c r="AB687" s="170"/>
      <c r="AC687" s="170"/>
      <c r="AD687" s="170"/>
      <c r="AE687" s="15"/>
      <c r="AF687" s="177"/>
      <c r="AG687" s="177">
        <f t="shared" si="99"/>
        <v>0</v>
      </c>
      <c r="AH687" s="177">
        <f t="shared" si="100"/>
        <v>0</v>
      </c>
      <c r="AK687" s="176"/>
      <c r="AL687" s="176"/>
    </row>
    <row r="688" spans="1:38" ht="36" customHeight="1" x14ac:dyDescent="0.2">
      <c r="A688" s="14" t="s">
        <v>22</v>
      </c>
      <c r="B688" s="212">
        <v>244140</v>
      </c>
      <c r="C688" s="14" t="s">
        <v>547</v>
      </c>
      <c r="D688" s="14" t="s">
        <v>268</v>
      </c>
      <c r="E688" s="14" t="s">
        <v>14</v>
      </c>
      <c r="F688" s="14" t="s">
        <v>324</v>
      </c>
      <c r="G688" s="179">
        <v>680687</v>
      </c>
      <c r="H688" s="176" t="s">
        <v>626</v>
      </c>
      <c r="I688" s="176" t="s">
        <v>630</v>
      </c>
      <c r="J688" s="176" t="s">
        <v>520</v>
      </c>
      <c r="K688" s="176" t="s">
        <v>2600</v>
      </c>
      <c r="L688" s="40" t="s">
        <v>105</v>
      </c>
      <c r="M688" s="40" t="s">
        <v>341</v>
      </c>
      <c r="N688" s="14" t="s">
        <v>2602</v>
      </c>
      <c r="O688" s="14" t="s">
        <v>1707</v>
      </c>
      <c r="P688" s="14" t="s">
        <v>2608</v>
      </c>
      <c r="Q688" s="14" t="s">
        <v>1711</v>
      </c>
      <c r="R688" s="17">
        <v>1129</v>
      </c>
      <c r="S688" s="172" t="s">
        <v>51</v>
      </c>
      <c r="T688" s="17">
        <v>2040</v>
      </c>
      <c r="U688" s="14" t="s">
        <v>51</v>
      </c>
      <c r="V688" s="16">
        <f t="shared" si="101"/>
        <v>244140</v>
      </c>
      <c r="W688" s="16">
        <f t="shared" si="102"/>
        <v>244147</v>
      </c>
      <c r="X688" s="16">
        <f t="shared" si="103"/>
        <v>244142</v>
      </c>
      <c r="Y688" s="15"/>
      <c r="Z688" s="177"/>
      <c r="AA688" s="170"/>
      <c r="AB688" s="170"/>
      <c r="AC688" s="170"/>
      <c r="AD688" s="170"/>
      <c r="AE688" s="15"/>
      <c r="AF688" s="177"/>
      <c r="AG688" s="177">
        <f t="shared" si="99"/>
        <v>0</v>
      </c>
      <c r="AH688" s="177">
        <f t="shared" si="100"/>
        <v>0</v>
      </c>
      <c r="AK688" s="176"/>
      <c r="AL688" s="176"/>
    </row>
    <row r="689" spans="1:38" ht="36" customHeight="1" x14ac:dyDescent="0.2">
      <c r="A689" s="14" t="s">
        <v>22</v>
      </c>
      <c r="B689" s="212">
        <v>244140</v>
      </c>
      <c r="C689" s="14" t="s">
        <v>547</v>
      </c>
      <c r="D689" s="14" t="s">
        <v>268</v>
      </c>
      <c r="E689" s="14" t="s">
        <v>14</v>
      </c>
      <c r="F689" s="14" t="s">
        <v>324</v>
      </c>
      <c r="G689" s="179">
        <v>680688</v>
      </c>
      <c r="H689" s="176" t="s">
        <v>626</v>
      </c>
      <c r="I689" s="176" t="s">
        <v>630</v>
      </c>
      <c r="J689" s="176" t="s">
        <v>520</v>
      </c>
      <c r="K689" s="176" t="s">
        <v>2600</v>
      </c>
      <c r="L689" s="40" t="s">
        <v>105</v>
      </c>
      <c r="M689" s="40" t="s">
        <v>341</v>
      </c>
      <c r="N689" s="14" t="s">
        <v>2603</v>
      </c>
      <c r="O689" s="14" t="s">
        <v>527</v>
      </c>
      <c r="P689" s="14" t="s">
        <v>2609</v>
      </c>
      <c r="Q689" s="14" t="s">
        <v>542</v>
      </c>
      <c r="R689" s="17">
        <v>250</v>
      </c>
      <c r="S689" s="172" t="s">
        <v>51</v>
      </c>
      <c r="T689" s="17">
        <v>615</v>
      </c>
      <c r="U689" s="14" t="s">
        <v>51</v>
      </c>
      <c r="V689" s="16">
        <f t="shared" si="101"/>
        <v>244140</v>
      </c>
      <c r="W689" s="16">
        <f t="shared" si="102"/>
        <v>244147</v>
      </c>
      <c r="X689" s="16">
        <f t="shared" si="103"/>
        <v>244142</v>
      </c>
      <c r="Y689" s="15"/>
      <c r="Z689" s="177"/>
      <c r="AA689" s="170"/>
      <c r="AB689" s="170"/>
      <c r="AC689" s="170"/>
      <c r="AD689" s="170"/>
      <c r="AE689" s="15"/>
      <c r="AF689" s="177"/>
      <c r="AG689" s="177">
        <f t="shared" si="99"/>
        <v>0</v>
      </c>
      <c r="AH689" s="177">
        <f t="shared" si="100"/>
        <v>0</v>
      </c>
      <c r="AK689" s="176"/>
      <c r="AL689" s="176"/>
    </row>
    <row r="690" spans="1:38" ht="36" customHeight="1" x14ac:dyDescent="0.2">
      <c r="A690" s="14" t="s">
        <v>22</v>
      </c>
      <c r="B690" s="212">
        <v>244140</v>
      </c>
      <c r="C690" s="14" t="s">
        <v>547</v>
      </c>
      <c r="D690" s="14" t="s">
        <v>268</v>
      </c>
      <c r="E690" s="14" t="s">
        <v>14</v>
      </c>
      <c r="F690" s="14" t="s">
        <v>324</v>
      </c>
      <c r="G690" s="179">
        <v>680689</v>
      </c>
      <c r="H690" s="176" t="s">
        <v>626</v>
      </c>
      <c r="I690" s="176" t="s">
        <v>630</v>
      </c>
      <c r="J690" s="176" t="s">
        <v>520</v>
      </c>
      <c r="K690" s="176" t="s">
        <v>2600</v>
      </c>
      <c r="L690" s="40" t="s">
        <v>105</v>
      </c>
      <c r="M690" s="40" t="s">
        <v>341</v>
      </c>
      <c r="N690" s="14" t="s">
        <v>2604</v>
      </c>
      <c r="O690" s="14" t="s">
        <v>548</v>
      </c>
      <c r="P690" s="14" t="s">
        <v>518</v>
      </c>
      <c r="Q690" s="14" t="s">
        <v>549</v>
      </c>
      <c r="R690" s="17">
        <v>222</v>
      </c>
      <c r="S690" s="172" t="s">
        <v>51</v>
      </c>
      <c r="T690" s="17">
        <v>2000</v>
      </c>
      <c r="U690" s="14" t="s">
        <v>51</v>
      </c>
      <c r="V690" s="16">
        <f t="shared" si="101"/>
        <v>244140</v>
      </c>
      <c r="W690" s="16">
        <f t="shared" si="102"/>
        <v>244147</v>
      </c>
      <c r="X690" s="16">
        <f t="shared" si="103"/>
        <v>244142</v>
      </c>
      <c r="Y690" s="15"/>
      <c r="Z690" s="177"/>
      <c r="AA690" s="170"/>
      <c r="AB690" s="170"/>
      <c r="AC690" s="170"/>
      <c r="AD690" s="170"/>
      <c r="AE690" s="15"/>
      <c r="AF690" s="177"/>
      <c r="AG690" s="177">
        <f t="shared" si="99"/>
        <v>0</v>
      </c>
      <c r="AH690" s="177">
        <f t="shared" si="100"/>
        <v>0</v>
      </c>
      <c r="AK690" s="176"/>
      <c r="AL690" s="176"/>
    </row>
    <row r="691" spans="1:38" ht="36" customHeight="1" x14ac:dyDescent="0.2">
      <c r="A691" s="14" t="s">
        <v>22</v>
      </c>
      <c r="B691" s="212">
        <v>244140</v>
      </c>
      <c r="C691" s="14" t="s">
        <v>547</v>
      </c>
      <c r="D691" s="14" t="s">
        <v>268</v>
      </c>
      <c r="E691" s="14" t="s">
        <v>14</v>
      </c>
      <c r="F691" s="14" t="s">
        <v>324</v>
      </c>
      <c r="G691" s="179">
        <v>680690</v>
      </c>
      <c r="H691" s="176" t="s">
        <v>626</v>
      </c>
      <c r="I691" s="176" t="s">
        <v>630</v>
      </c>
      <c r="J691" s="176" t="s">
        <v>520</v>
      </c>
      <c r="K691" s="176" t="s">
        <v>2600</v>
      </c>
      <c r="L691" s="40" t="s">
        <v>105</v>
      </c>
      <c r="M691" s="40" t="s">
        <v>341</v>
      </c>
      <c r="N691" s="14" t="s">
        <v>2605</v>
      </c>
      <c r="O691" s="14" t="s">
        <v>2607</v>
      </c>
      <c r="P691" s="14" t="s">
        <v>313</v>
      </c>
      <c r="Q691" s="14" t="s">
        <v>2611</v>
      </c>
      <c r="R691" s="17">
        <v>500</v>
      </c>
      <c r="S691" s="172" t="s">
        <v>51</v>
      </c>
      <c r="T691" s="17">
        <v>2000</v>
      </c>
      <c r="U691" s="14" t="s">
        <v>51</v>
      </c>
      <c r="V691" s="16">
        <f t="shared" si="101"/>
        <v>244140</v>
      </c>
      <c r="W691" s="16">
        <f t="shared" si="102"/>
        <v>244147</v>
      </c>
      <c r="X691" s="16">
        <f t="shared" si="103"/>
        <v>244142</v>
      </c>
      <c r="Y691" s="15"/>
      <c r="Z691" s="177"/>
      <c r="AA691" s="170"/>
      <c r="AB691" s="170"/>
      <c r="AC691" s="170"/>
      <c r="AD691" s="170"/>
      <c r="AE691" s="15"/>
      <c r="AF691" s="177"/>
      <c r="AG691" s="177">
        <f t="shared" si="99"/>
        <v>0</v>
      </c>
      <c r="AH691" s="177">
        <f t="shared" si="100"/>
        <v>0</v>
      </c>
      <c r="AK691" s="176"/>
      <c r="AL691" s="176"/>
    </row>
    <row r="692" spans="1:38" ht="36" customHeight="1" x14ac:dyDescent="0.2">
      <c r="A692" s="14" t="s">
        <v>22</v>
      </c>
      <c r="B692" s="212">
        <v>244140</v>
      </c>
      <c r="C692" s="14" t="s">
        <v>547</v>
      </c>
      <c r="D692" s="14" t="s">
        <v>268</v>
      </c>
      <c r="E692" s="14" t="s">
        <v>14</v>
      </c>
      <c r="F692" s="14" t="s">
        <v>324</v>
      </c>
      <c r="G692" s="179">
        <v>680691</v>
      </c>
      <c r="H692" s="176" t="s">
        <v>626</v>
      </c>
      <c r="I692" s="176" t="s">
        <v>630</v>
      </c>
      <c r="J692" s="176" t="s">
        <v>520</v>
      </c>
      <c r="K692" s="176" t="s">
        <v>2600</v>
      </c>
      <c r="L692" s="40" t="s">
        <v>105</v>
      </c>
      <c r="M692" s="40" t="s">
        <v>341</v>
      </c>
      <c r="N692" s="14" t="s">
        <v>2606</v>
      </c>
      <c r="O692" s="14" t="s">
        <v>527</v>
      </c>
      <c r="P692" s="14" t="s">
        <v>2610</v>
      </c>
      <c r="Q692" s="14" t="s">
        <v>542</v>
      </c>
      <c r="R692" s="17">
        <v>200</v>
      </c>
      <c r="S692" s="172" t="s">
        <v>51</v>
      </c>
      <c r="T692" s="17">
        <v>2050</v>
      </c>
      <c r="U692" s="14" t="s">
        <v>51</v>
      </c>
      <c r="V692" s="16">
        <f t="shared" si="101"/>
        <v>244140</v>
      </c>
      <c r="W692" s="16">
        <f t="shared" si="102"/>
        <v>244147</v>
      </c>
      <c r="X692" s="16">
        <f t="shared" si="103"/>
        <v>244142</v>
      </c>
      <c r="Y692" s="15"/>
      <c r="Z692" s="177"/>
      <c r="AA692" s="170"/>
      <c r="AB692" s="170"/>
      <c r="AC692" s="170"/>
      <c r="AD692" s="170"/>
      <c r="AE692" s="15"/>
      <c r="AF692" s="177"/>
      <c r="AG692" s="177">
        <f t="shared" si="99"/>
        <v>0</v>
      </c>
      <c r="AH692" s="177">
        <f t="shared" si="100"/>
        <v>0</v>
      </c>
      <c r="AK692" s="176"/>
      <c r="AL692" s="176"/>
    </row>
    <row r="693" spans="1:38" ht="36" customHeight="1" x14ac:dyDescent="0.2">
      <c r="A693" s="14" t="s">
        <v>22</v>
      </c>
      <c r="B693" s="212">
        <v>244141</v>
      </c>
      <c r="C693" s="14" t="s">
        <v>547</v>
      </c>
      <c r="D693" s="14" t="s">
        <v>268</v>
      </c>
      <c r="E693" s="14" t="s">
        <v>14</v>
      </c>
      <c r="F693" s="14" t="s">
        <v>324</v>
      </c>
      <c r="G693" s="179">
        <v>680692</v>
      </c>
      <c r="H693" s="176" t="s">
        <v>662</v>
      </c>
      <c r="I693" s="176" t="s">
        <v>664</v>
      </c>
      <c r="J693" s="176" t="s">
        <v>123</v>
      </c>
      <c r="K693" s="176" t="s">
        <v>2612</v>
      </c>
      <c r="L693" s="40" t="s">
        <v>45</v>
      </c>
      <c r="M693" s="40" t="s">
        <v>341</v>
      </c>
      <c r="N693" s="14" t="s">
        <v>2615</v>
      </c>
      <c r="O693" s="14" t="s">
        <v>693</v>
      </c>
      <c r="P693" s="14" t="s">
        <v>2621</v>
      </c>
      <c r="Q693" s="14" t="s">
        <v>696</v>
      </c>
      <c r="R693" s="17">
        <v>1100</v>
      </c>
      <c r="S693" s="172" t="s">
        <v>51</v>
      </c>
      <c r="T693" s="17">
        <v>1960</v>
      </c>
      <c r="U693" s="14" t="s">
        <v>51</v>
      </c>
      <c r="V693" s="16">
        <f t="shared" si="101"/>
        <v>244141</v>
      </c>
      <c r="W693" s="16">
        <f t="shared" si="102"/>
        <v>244148</v>
      </c>
      <c r="X693" s="16">
        <f t="shared" si="103"/>
        <v>244143</v>
      </c>
      <c r="Y693" s="15"/>
      <c r="Z693" s="177"/>
      <c r="AA693" s="170"/>
      <c r="AB693" s="170"/>
      <c r="AC693" s="170"/>
      <c r="AD693" s="170"/>
      <c r="AE693" s="15"/>
      <c r="AF693" s="177"/>
      <c r="AG693" s="177">
        <f t="shared" si="99"/>
        <v>0</v>
      </c>
      <c r="AH693" s="177">
        <f t="shared" si="100"/>
        <v>0</v>
      </c>
      <c r="AK693" s="176"/>
      <c r="AL693" s="176"/>
    </row>
    <row r="694" spans="1:38" ht="36" customHeight="1" x14ac:dyDescent="0.2">
      <c r="A694" s="14" t="s">
        <v>22</v>
      </c>
      <c r="B694" s="212">
        <v>244141</v>
      </c>
      <c r="C694" s="14" t="s">
        <v>547</v>
      </c>
      <c r="D694" s="14" t="s">
        <v>268</v>
      </c>
      <c r="E694" s="14" t="s">
        <v>14</v>
      </c>
      <c r="F694" s="14" t="s">
        <v>324</v>
      </c>
      <c r="G694" s="179">
        <v>680693</v>
      </c>
      <c r="H694" s="176" t="s">
        <v>772</v>
      </c>
      <c r="I694" s="176" t="s">
        <v>774</v>
      </c>
      <c r="J694" s="176" t="s">
        <v>776</v>
      </c>
      <c r="K694" s="176" t="s">
        <v>2613</v>
      </c>
      <c r="L694" s="40" t="s">
        <v>105</v>
      </c>
      <c r="M694" s="40" t="s">
        <v>341</v>
      </c>
      <c r="N694" s="14" t="s">
        <v>2616</v>
      </c>
      <c r="O694" s="14" t="s">
        <v>552</v>
      </c>
      <c r="P694" s="14" t="s">
        <v>519</v>
      </c>
      <c r="Q694" s="14" t="s">
        <v>553</v>
      </c>
      <c r="R694" s="17">
        <v>2569</v>
      </c>
      <c r="S694" s="172" t="s">
        <v>51</v>
      </c>
      <c r="T694" s="17">
        <v>1730</v>
      </c>
      <c r="U694" s="14" t="s">
        <v>51</v>
      </c>
      <c r="V694" s="16">
        <f t="shared" si="101"/>
        <v>244141</v>
      </c>
      <c r="W694" s="16">
        <f t="shared" si="102"/>
        <v>244148</v>
      </c>
      <c r="X694" s="16">
        <f t="shared" si="103"/>
        <v>244143</v>
      </c>
      <c r="Y694" s="15"/>
      <c r="Z694" s="177"/>
      <c r="AA694" s="170"/>
      <c r="AB694" s="170"/>
      <c r="AC694" s="170"/>
      <c r="AD694" s="170"/>
      <c r="AE694" s="15"/>
      <c r="AF694" s="177"/>
      <c r="AG694" s="177">
        <f t="shared" si="99"/>
        <v>0</v>
      </c>
      <c r="AH694" s="177">
        <f t="shared" si="100"/>
        <v>0</v>
      </c>
      <c r="AK694" s="176"/>
      <c r="AL694" s="176"/>
    </row>
    <row r="695" spans="1:38" ht="36" customHeight="1" x14ac:dyDescent="0.2">
      <c r="A695" s="14" t="s">
        <v>22</v>
      </c>
      <c r="B695" s="212">
        <v>244141</v>
      </c>
      <c r="C695" s="14" t="s">
        <v>547</v>
      </c>
      <c r="D695" s="14" t="s">
        <v>268</v>
      </c>
      <c r="E695" s="14" t="s">
        <v>14</v>
      </c>
      <c r="F695" s="14" t="s">
        <v>324</v>
      </c>
      <c r="G695" s="179">
        <v>680694</v>
      </c>
      <c r="H695" s="176" t="s">
        <v>1054</v>
      </c>
      <c r="I695" s="176" t="s">
        <v>551</v>
      </c>
      <c r="J695" s="176" t="s">
        <v>596</v>
      </c>
      <c r="K695" s="176" t="s">
        <v>2614</v>
      </c>
      <c r="L695" s="40" t="s">
        <v>108</v>
      </c>
      <c r="M695" s="40" t="s">
        <v>341</v>
      </c>
      <c r="N695" s="14" t="s">
        <v>2617</v>
      </c>
      <c r="O695" s="14" t="s">
        <v>2620</v>
      </c>
      <c r="P695" s="14" t="s">
        <v>2622</v>
      </c>
      <c r="Q695" s="14" t="s">
        <v>2623</v>
      </c>
      <c r="R695" s="17">
        <v>4043</v>
      </c>
      <c r="S695" s="172" t="s">
        <v>51</v>
      </c>
      <c r="T695" s="17"/>
      <c r="U695" s="14"/>
      <c r="V695" s="16">
        <f t="shared" si="101"/>
        <v>244141</v>
      </c>
      <c r="W695" s="16">
        <f t="shared" si="102"/>
        <v>244148</v>
      </c>
      <c r="X695" s="16">
        <f t="shared" si="103"/>
        <v>244143</v>
      </c>
      <c r="Y695" s="15" t="s">
        <v>54</v>
      </c>
      <c r="Z695" s="177">
        <v>244144</v>
      </c>
      <c r="AA695" s="170"/>
      <c r="AB695" s="170"/>
      <c r="AC695" s="170"/>
      <c r="AD695" s="170"/>
      <c r="AE695" s="15" t="s">
        <v>54</v>
      </c>
      <c r="AF695" s="177">
        <v>244145</v>
      </c>
      <c r="AG695" s="177" t="str">
        <f t="shared" si="99"/>
        <v>Pass</v>
      </c>
      <c r="AH695" s="177">
        <f t="shared" si="100"/>
        <v>244145</v>
      </c>
      <c r="AK695" s="176"/>
      <c r="AL695" s="176"/>
    </row>
    <row r="696" spans="1:38" ht="36" customHeight="1" x14ac:dyDescent="0.2">
      <c r="A696" s="14" t="s">
        <v>22</v>
      </c>
      <c r="B696" s="212">
        <v>244141</v>
      </c>
      <c r="C696" s="14" t="s">
        <v>547</v>
      </c>
      <c r="D696" s="14" t="s">
        <v>268</v>
      </c>
      <c r="E696" s="14" t="s">
        <v>14</v>
      </c>
      <c r="F696" s="14" t="s">
        <v>324</v>
      </c>
      <c r="G696" s="179">
        <v>680695</v>
      </c>
      <c r="H696" s="176" t="s">
        <v>662</v>
      </c>
      <c r="I696" s="176" t="s">
        <v>664</v>
      </c>
      <c r="J696" s="176" t="s">
        <v>123</v>
      </c>
      <c r="K696" s="176" t="s">
        <v>2612</v>
      </c>
      <c r="L696" s="40" t="s">
        <v>45</v>
      </c>
      <c r="M696" s="40" t="s">
        <v>341</v>
      </c>
      <c r="N696" s="14" t="s">
        <v>2618</v>
      </c>
      <c r="O696" s="14" t="s">
        <v>548</v>
      </c>
      <c r="P696" s="14" t="s">
        <v>518</v>
      </c>
      <c r="Q696" s="14" t="s">
        <v>549</v>
      </c>
      <c r="R696" s="17">
        <v>112</v>
      </c>
      <c r="S696" s="172" t="s">
        <v>51</v>
      </c>
      <c r="T696" s="17">
        <v>1695</v>
      </c>
      <c r="U696" s="14" t="s">
        <v>51</v>
      </c>
      <c r="V696" s="16">
        <f t="shared" si="101"/>
        <v>244141</v>
      </c>
      <c r="W696" s="16">
        <f t="shared" si="102"/>
        <v>244148</v>
      </c>
      <c r="X696" s="16">
        <f t="shared" si="103"/>
        <v>244143</v>
      </c>
      <c r="Y696" s="15"/>
      <c r="Z696" s="177"/>
      <c r="AA696" s="170"/>
      <c r="AB696" s="170"/>
      <c r="AC696" s="170"/>
      <c r="AD696" s="170"/>
      <c r="AE696" s="15"/>
      <c r="AF696" s="177"/>
      <c r="AG696" s="177">
        <f t="shared" si="99"/>
        <v>0</v>
      </c>
      <c r="AH696" s="177">
        <f t="shared" si="100"/>
        <v>0</v>
      </c>
      <c r="AK696" s="176"/>
      <c r="AL696" s="176"/>
    </row>
    <row r="697" spans="1:38" ht="36" customHeight="1" x14ac:dyDescent="0.2">
      <c r="A697" s="14" t="s">
        <v>22</v>
      </c>
      <c r="B697" s="212">
        <v>244141</v>
      </c>
      <c r="C697" s="14" t="s">
        <v>547</v>
      </c>
      <c r="D697" s="14" t="s">
        <v>268</v>
      </c>
      <c r="E697" s="14" t="s">
        <v>14</v>
      </c>
      <c r="F697" s="14" t="s">
        <v>324</v>
      </c>
      <c r="G697" s="179">
        <v>680696</v>
      </c>
      <c r="H697" s="176" t="s">
        <v>2538</v>
      </c>
      <c r="I697" s="176" t="s">
        <v>2539</v>
      </c>
      <c r="J697" s="176" t="s">
        <v>1634</v>
      </c>
      <c r="K697" s="176" t="s">
        <v>2544</v>
      </c>
      <c r="L697" s="40" t="s">
        <v>45</v>
      </c>
      <c r="M697" s="40" t="s">
        <v>341</v>
      </c>
      <c r="N697" s="14" t="s">
        <v>2619</v>
      </c>
      <c r="O697" s="14" t="s">
        <v>552</v>
      </c>
      <c r="P697" s="14" t="s">
        <v>519</v>
      </c>
      <c r="Q697" s="14" t="s">
        <v>553</v>
      </c>
      <c r="R697" s="17">
        <v>2500</v>
      </c>
      <c r="S697" s="172" t="s">
        <v>51</v>
      </c>
      <c r="T697" s="17">
        <v>2570</v>
      </c>
      <c r="U697" s="14" t="s">
        <v>51</v>
      </c>
      <c r="V697" s="16">
        <f t="shared" si="101"/>
        <v>244141</v>
      </c>
      <c r="W697" s="16">
        <f t="shared" si="102"/>
        <v>244148</v>
      </c>
      <c r="X697" s="16">
        <f t="shared" si="103"/>
        <v>244143</v>
      </c>
      <c r="Y697" s="15"/>
      <c r="Z697" s="177"/>
      <c r="AA697" s="170"/>
      <c r="AB697" s="170"/>
      <c r="AC697" s="170"/>
      <c r="AD697" s="170"/>
      <c r="AE697" s="15"/>
      <c r="AF697" s="177"/>
      <c r="AG697" s="177">
        <f t="shared" si="99"/>
        <v>0</v>
      </c>
      <c r="AH697" s="177">
        <f t="shared" si="100"/>
        <v>0</v>
      </c>
      <c r="AK697" s="176"/>
      <c r="AL697" s="176"/>
    </row>
    <row r="698" spans="1:38" ht="36" customHeight="1" x14ac:dyDescent="0.2">
      <c r="A698" s="14" t="s">
        <v>22</v>
      </c>
      <c r="B698" s="212">
        <v>244142</v>
      </c>
      <c r="C698" s="14" t="s">
        <v>547</v>
      </c>
      <c r="D698" s="14" t="s">
        <v>268</v>
      </c>
      <c r="E698" s="14" t="s">
        <v>14</v>
      </c>
      <c r="F698" s="14" t="s">
        <v>324</v>
      </c>
      <c r="G698" s="179">
        <v>680697</v>
      </c>
      <c r="H698" s="176" t="s">
        <v>2537</v>
      </c>
      <c r="I698" s="176" t="s">
        <v>612</v>
      </c>
      <c r="J698" s="176" t="s">
        <v>2626</v>
      </c>
      <c r="K698" s="176" t="s">
        <v>2627</v>
      </c>
      <c r="L698" s="40" t="s">
        <v>108</v>
      </c>
      <c r="M698" s="40" t="s">
        <v>341</v>
      </c>
      <c r="N698" s="14" t="s">
        <v>2629</v>
      </c>
      <c r="O698" s="14" t="s">
        <v>543</v>
      </c>
      <c r="P698" s="14" t="s">
        <v>2633</v>
      </c>
      <c r="Q698" s="14" t="s">
        <v>529</v>
      </c>
      <c r="R698" s="17">
        <v>300</v>
      </c>
      <c r="S698" s="172" t="s">
        <v>51</v>
      </c>
      <c r="T698" s="17">
        <v>1800</v>
      </c>
      <c r="U698" s="14" t="s">
        <v>51</v>
      </c>
      <c r="V698" s="16">
        <f t="shared" si="101"/>
        <v>244142</v>
      </c>
      <c r="W698" s="16">
        <f t="shared" si="102"/>
        <v>244149</v>
      </c>
      <c r="X698" s="16">
        <f t="shared" si="103"/>
        <v>244144</v>
      </c>
      <c r="Y698" s="15" t="s">
        <v>54</v>
      </c>
      <c r="Z698" s="177">
        <v>244144</v>
      </c>
      <c r="AA698" s="170"/>
      <c r="AB698" s="170"/>
      <c r="AC698" s="170"/>
      <c r="AD698" s="170"/>
      <c r="AE698" s="15" t="s">
        <v>54</v>
      </c>
      <c r="AF698" s="177">
        <v>244145</v>
      </c>
      <c r="AG698" s="177" t="str">
        <f t="shared" si="99"/>
        <v>Pass</v>
      </c>
      <c r="AH698" s="177">
        <f t="shared" si="100"/>
        <v>244145</v>
      </c>
      <c r="AK698" s="176"/>
      <c r="AL698" s="176"/>
    </row>
    <row r="699" spans="1:38" ht="36" customHeight="1" x14ac:dyDescent="0.2">
      <c r="A699" s="14" t="s">
        <v>22</v>
      </c>
      <c r="B699" s="212">
        <v>244142</v>
      </c>
      <c r="C699" s="14" t="s">
        <v>547</v>
      </c>
      <c r="D699" s="14" t="s">
        <v>268</v>
      </c>
      <c r="E699" s="14" t="s">
        <v>14</v>
      </c>
      <c r="F699" s="14" t="s">
        <v>324</v>
      </c>
      <c r="G699" s="179">
        <v>680698</v>
      </c>
      <c r="H699" s="176" t="s">
        <v>2537</v>
      </c>
      <c r="I699" s="176" t="s">
        <v>612</v>
      </c>
      <c r="J699" s="176" t="s">
        <v>2626</v>
      </c>
      <c r="K699" s="176" t="s">
        <v>2627</v>
      </c>
      <c r="L699" s="40" t="s">
        <v>108</v>
      </c>
      <c r="M699" s="40" t="s">
        <v>341</v>
      </c>
      <c r="N699" s="14" t="s">
        <v>2630</v>
      </c>
      <c r="O699" s="14" t="s">
        <v>548</v>
      </c>
      <c r="P699" s="14" t="s">
        <v>717</v>
      </c>
      <c r="Q699" s="14" t="s">
        <v>549</v>
      </c>
      <c r="R699" s="17">
        <v>260</v>
      </c>
      <c r="S699" s="172" t="s">
        <v>51</v>
      </c>
      <c r="T699" s="17">
        <v>1800</v>
      </c>
      <c r="U699" s="14" t="s">
        <v>51</v>
      </c>
      <c r="V699" s="16">
        <f t="shared" si="101"/>
        <v>244142</v>
      </c>
      <c r="W699" s="16">
        <f t="shared" si="102"/>
        <v>244149</v>
      </c>
      <c r="X699" s="16">
        <f t="shared" si="103"/>
        <v>244144</v>
      </c>
      <c r="Y699" s="15" t="s">
        <v>54</v>
      </c>
      <c r="Z699" s="177">
        <v>244144</v>
      </c>
      <c r="AA699" s="170"/>
      <c r="AB699" s="170"/>
      <c r="AC699" s="170"/>
      <c r="AD699" s="170"/>
      <c r="AE699" s="15" t="s">
        <v>54</v>
      </c>
      <c r="AF699" s="177">
        <v>244145</v>
      </c>
      <c r="AG699" s="177" t="str">
        <f t="shared" si="99"/>
        <v>Pass</v>
      </c>
      <c r="AH699" s="177">
        <f t="shared" si="100"/>
        <v>244145</v>
      </c>
      <c r="AK699" s="176"/>
      <c r="AL699" s="176"/>
    </row>
    <row r="700" spans="1:38" ht="36" customHeight="1" x14ac:dyDescent="0.2">
      <c r="A700" s="14" t="s">
        <v>22</v>
      </c>
      <c r="B700" s="212">
        <v>244142</v>
      </c>
      <c r="C700" s="14" t="s">
        <v>547</v>
      </c>
      <c r="D700" s="14" t="s">
        <v>268</v>
      </c>
      <c r="E700" s="14" t="s">
        <v>14</v>
      </c>
      <c r="F700" s="14" t="s">
        <v>324</v>
      </c>
      <c r="G700" s="179">
        <v>680699</v>
      </c>
      <c r="H700" s="176" t="s">
        <v>2537</v>
      </c>
      <c r="I700" s="176" t="s">
        <v>612</v>
      </c>
      <c r="J700" s="176" t="s">
        <v>2626</v>
      </c>
      <c r="K700" s="176" t="s">
        <v>2627</v>
      </c>
      <c r="L700" s="40" t="s">
        <v>108</v>
      </c>
      <c r="M700" s="40" t="s">
        <v>341</v>
      </c>
      <c r="N700" s="14" t="s">
        <v>2631</v>
      </c>
      <c r="O700" s="14" t="s">
        <v>1119</v>
      </c>
      <c r="P700" s="14" t="s">
        <v>715</v>
      </c>
      <c r="Q700" s="14" t="s">
        <v>1126</v>
      </c>
      <c r="R700" s="17">
        <v>350</v>
      </c>
      <c r="S700" s="172" t="s">
        <v>51</v>
      </c>
      <c r="T700" s="17">
        <v>1948</v>
      </c>
      <c r="U700" s="14" t="s">
        <v>51</v>
      </c>
      <c r="V700" s="16">
        <f t="shared" si="101"/>
        <v>244142</v>
      </c>
      <c r="W700" s="16">
        <f t="shared" si="102"/>
        <v>244149</v>
      </c>
      <c r="X700" s="16">
        <f t="shared" si="103"/>
        <v>244144</v>
      </c>
      <c r="Y700" s="15"/>
      <c r="Z700" s="177"/>
      <c r="AA700" s="170"/>
      <c r="AB700" s="170"/>
      <c r="AC700" s="170"/>
      <c r="AD700" s="170"/>
      <c r="AE700" s="15"/>
      <c r="AF700" s="177"/>
      <c r="AG700" s="177">
        <f t="shared" si="99"/>
        <v>0</v>
      </c>
      <c r="AH700" s="177">
        <f t="shared" si="100"/>
        <v>0</v>
      </c>
      <c r="AK700" s="176"/>
      <c r="AL700" s="176"/>
    </row>
    <row r="701" spans="1:38" ht="36" customHeight="1" x14ac:dyDescent="0.2">
      <c r="A701" s="14" t="s">
        <v>22</v>
      </c>
      <c r="B701" s="212">
        <v>244142</v>
      </c>
      <c r="C701" s="14" t="s">
        <v>547</v>
      </c>
      <c r="D701" s="14" t="s">
        <v>268</v>
      </c>
      <c r="E701" s="14" t="s">
        <v>14</v>
      </c>
      <c r="F701" s="14" t="s">
        <v>324</v>
      </c>
      <c r="G701" s="179">
        <v>680700</v>
      </c>
      <c r="H701" s="176" t="s">
        <v>2624</v>
      </c>
      <c r="I701" s="176" t="s">
        <v>612</v>
      </c>
      <c r="J701" s="176" t="s">
        <v>865</v>
      </c>
      <c r="K701" s="176" t="s">
        <v>2628</v>
      </c>
      <c r="L701" s="40" t="s">
        <v>46</v>
      </c>
      <c r="M701" s="40" t="s">
        <v>341</v>
      </c>
      <c r="N701" s="14" t="s">
        <v>2634</v>
      </c>
      <c r="O701" s="14" t="s">
        <v>552</v>
      </c>
      <c r="P701" s="14" t="s">
        <v>2635</v>
      </c>
      <c r="Q701" s="14" t="s">
        <v>553</v>
      </c>
      <c r="R701" s="17">
        <v>332</v>
      </c>
      <c r="S701" s="172" t="s">
        <v>51</v>
      </c>
      <c r="T701" s="17">
        <v>1920</v>
      </c>
      <c r="U701" s="14" t="s">
        <v>51</v>
      </c>
      <c r="V701" s="16">
        <f t="shared" si="101"/>
        <v>244142</v>
      </c>
      <c r="W701" s="16">
        <f t="shared" si="102"/>
        <v>244149</v>
      </c>
      <c r="X701" s="16">
        <f t="shared" si="103"/>
        <v>244144</v>
      </c>
      <c r="Y701" s="15"/>
      <c r="Z701" s="177"/>
      <c r="AA701" s="170"/>
      <c r="AB701" s="170"/>
      <c r="AC701" s="170"/>
      <c r="AD701" s="170"/>
      <c r="AE701" s="15"/>
      <c r="AF701" s="177"/>
      <c r="AG701" s="177">
        <f t="shared" si="99"/>
        <v>0</v>
      </c>
      <c r="AH701" s="177">
        <f t="shared" si="100"/>
        <v>0</v>
      </c>
      <c r="AK701" s="176"/>
      <c r="AL701" s="176"/>
    </row>
    <row r="702" spans="1:38" ht="36" customHeight="1" x14ac:dyDescent="0.2">
      <c r="A702" s="14" t="s">
        <v>22</v>
      </c>
      <c r="B702" s="212">
        <v>244142</v>
      </c>
      <c r="C702" s="14" t="s">
        <v>547</v>
      </c>
      <c r="D702" s="14" t="s">
        <v>268</v>
      </c>
      <c r="E702" s="14" t="s">
        <v>14</v>
      </c>
      <c r="F702" s="14" t="s">
        <v>324</v>
      </c>
      <c r="G702" s="179">
        <v>680701</v>
      </c>
      <c r="H702" s="176" t="s">
        <v>2625</v>
      </c>
      <c r="I702" s="176" t="s">
        <v>664</v>
      </c>
      <c r="J702" s="176" t="s">
        <v>123</v>
      </c>
      <c r="K702" s="176" t="s">
        <v>2612</v>
      </c>
      <c r="L702" s="40" t="s">
        <v>45</v>
      </c>
      <c r="M702" s="40" t="s">
        <v>341</v>
      </c>
      <c r="N702" s="14" t="s">
        <v>2632</v>
      </c>
      <c r="O702" s="14" t="s">
        <v>543</v>
      </c>
      <c r="P702" s="14" t="s">
        <v>2636</v>
      </c>
      <c r="Q702" s="14" t="s">
        <v>529</v>
      </c>
      <c r="R702" s="17">
        <v>175</v>
      </c>
      <c r="S702" s="172" t="s">
        <v>51</v>
      </c>
      <c r="T702" s="17">
        <v>1980</v>
      </c>
      <c r="U702" s="14" t="s">
        <v>51</v>
      </c>
      <c r="V702" s="16">
        <f t="shared" si="101"/>
        <v>244142</v>
      </c>
      <c r="W702" s="16">
        <f t="shared" si="102"/>
        <v>244149</v>
      </c>
      <c r="X702" s="16">
        <f t="shared" si="103"/>
        <v>244144</v>
      </c>
      <c r="Y702" s="15"/>
      <c r="Z702" s="177"/>
      <c r="AA702" s="170"/>
      <c r="AB702" s="170"/>
      <c r="AC702" s="170"/>
      <c r="AD702" s="170"/>
      <c r="AE702" s="15"/>
      <c r="AF702" s="177"/>
      <c r="AG702" s="177">
        <f t="shared" si="99"/>
        <v>0</v>
      </c>
      <c r="AH702" s="177">
        <f t="shared" si="100"/>
        <v>0</v>
      </c>
      <c r="AK702" s="176"/>
      <c r="AL702" s="176"/>
    </row>
    <row r="703" spans="1:38" ht="36" customHeight="1" x14ac:dyDescent="0.2">
      <c r="A703" s="14" t="s">
        <v>22</v>
      </c>
      <c r="B703" s="212">
        <v>244144</v>
      </c>
      <c r="C703" s="14" t="s">
        <v>547</v>
      </c>
      <c r="D703" s="14" t="s">
        <v>268</v>
      </c>
      <c r="E703" s="14" t="s">
        <v>14</v>
      </c>
      <c r="F703" s="14" t="s">
        <v>324</v>
      </c>
      <c r="G703" s="179">
        <v>680702</v>
      </c>
      <c r="H703" s="176" t="s">
        <v>2637</v>
      </c>
      <c r="I703" s="176" t="s">
        <v>2639</v>
      </c>
      <c r="J703" s="176" t="s">
        <v>2640</v>
      </c>
      <c r="K703" s="176" t="s">
        <v>2641</v>
      </c>
      <c r="L703" s="40" t="s">
        <v>105</v>
      </c>
      <c r="M703" s="40" t="s">
        <v>341</v>
      </c>
      <c r="N703" s="14" t="s">
        <v>2644</v>
      </c>
      <c r="O703" s="14" t="s">
        <v>543</v>
      </c>
      <c r="P703" s="14" t="s">
        <v>1746</v>
      </c>
      <c r="Q703" s="14" t="s">
        <v>529</v>
      </c>
      <c r="R703" s="17">
        <v>250</v>
      </c>
      <c r="S703" s="172" t="s">
        <v>51</v>
      </c>
      <c r="T703" s="17">
        <v>1740</v>
      </c>
      <c r="U703" s="14" t="s">
        <v>51</v>
      </c>
      <c r="V703" s="16">
        <f t="shared" si="101"/>
        <v>244144</v>
      </c>
      <c r="W703" s="16">
        <f t="shared" si="102"/>
        <v>244151</v>
      </c>
      <c r="X703" s="16">
        <f t="shared" si="103"/>
        <v>244146</v>
      </c>
      <c r="Y703" s="15"/>
      <c r="Z703" s="177"/>
      <c r="AA703" s="170"/>
      <c r="AB703" s="170"/>
      <c r="AC703" s="170"/>
      <c r="AD703" s="170"/>
      <c r="AE703" s="15"/>
      <c r="AF703" s="177"/>
      <c r="AG703" s="177">
        <f t="shared" si="99"/>
        <v>0</v>
      </c>
      <c r="AH703" s="177">
        <f t="shared" si="100"/>
        <v>0</v>
      </c>
      <c r="AK703" s="176"/>
      <c r="AL703" s="176"/>
    </row>
    <row r="704" spans="1:38" ht="36" customHeight="1" x14ac:dyDescent="0.2">
      <c r="A704" s="14" t="s">
        <v>22</v>
      </c>
      <c r="B704" s="212">
        <v>244144</v>
      </c>
      <c r="C704" s="14" t="s">
        <v>547</v>
      </c>
      <c r="D704" s="14" t="s">
        <v>268</v>
      </c>
      <c r="E704" s="14" t="s">
        <v>14</v>
      </c>
      <c r="F704" s="14" t="s">
        <v>324</v>
      </c>
      <c r="G704" s="179">
        <v>680703</v>
      </c>
      <c r="H704" s="176" t="s">
        <v>826</v>
      </c>
      <c r="I704" s="176" t="s">
        <v>551</v>
      </c>
      <c r="J704" s="176" t="s">
        <v>832</v>
      </c>
      <c r="K704" s="176" t="s">
        <v>2642</v>
      </c>
      <c r="L704" s="40" t="s">
        <v>108</v>
      </c>
      <c r="M704" s="40" t="s">
        <v>341</v>
      </c>
      <c r="N704" s="14" t="s">
        <v>984</v>
      </c>
      <c r="O704" s="14" t="s">
        <v>548</v>
      </c>
      <c r="P704" s="14" t="s">
        <v>717</v>
      </c>
      <c r="Q704" s="14" t="s">
        <v>549</v>
      </c>
      <c r="R704" s="17">
        <v>120</v>
      </c>
      <c r="S704" s="172" t="s">
        <v>51</v>
      </c>
      <c r="T704" s="17">
        <v>2990</v>
      </c>
      <c r="U704" s="14" t="s">
        <v>51</v>
      </c>
      <c r="V704" s="16">
        <f t="shared" si="101"/>
        <v>244144</v>
      </c>
      <c r="W704" s="16">
        <f t="shared" si="102"/>
        <v>244151</v>
      </c>
      <c r="X704" s="16">
        <f t="shared" si="103"/>
        <v>244146</v>
      </c>
      <c r="Y704" s="15"/>
      <c r="Z704" s="177"/>
      <c r="AA704" s="170"/>
      <c r="AB704" s="170"/>
      <c r="AC704" s="170"/>
      <c r="AD704" s="170"/>
      <c r="AE704" s="15"/>
      <c r="AF704" s="177"/>
      <c r="AG704" s="177">
        <f t="shared" si="99"/>
        <v>0</v>
      </c>
      <c r="AH704" s="177">
        <f t="shared" si="100"/>
        <v>0</v>
      </c>
      <c r="AK704" s="176"/>
      <c r="AL704" s="176"/>
    </row>
    <row r="705" spans="1:38" ht="36" customHeight="1" x14ac:dyDescent="0.2">
      <c r="A705" s="14" t="s">
        <v>22</v>
      </c>
      <c r="B705" s="212">
        <v>244144</v>
      </c>
      <c r="C705" s="14" t="s">
        <v>547</v>
      </c>
      <c r="D705" s="14" t="s">
        <v>268</v>
      </c>
      <c r="E705" s="14" t="s">
        <v>14</v>
      </c>
      <c r="F705" s="14" t="s">
        <v>324</v>
      </c>
      <c r="G705" s="179">
        <v>680704</v>
      </c>
      <c r="H705" s="176" t="s">
        <v>2637</v>
      </c>
      <c r="I705" s="176" t="s">
        <v>2639</v>
      </c>
      <c r="J705" s="176" t="s">
        <v>2640</v>
      </c>
      <c r="K705" s="176" t="s">
        <v>2641</v>
      </c>
      <c r="L705" s="40" t="s">
        <v>105</v>
      </c>
      <c r="M705" s="40" t="s">
        <v>341</v>
      </c>
      <c r="N705" s="14" t="s">
        <v>2645</v>
      </c>
      <c r="O705" s="14" t="s">
        <v>2648</v>
      </c>
      <c r="P705" s="14" t="s">
        <v>2649</v>
      </c>
      <c r="Q705" s="14" t="s">
        <v>2651</v>
      </c>
      <c r="R705" s="17">
        <v>1625</v>
      </c>
      <c r="S705" s="172" t="s">
        <v>51</v>
      </c>
      <c r="T705" s="17">
        <v>2740</v>
      </c>
      <c r="U705" s="14" t="s">
        <v>51</v>
      </c>
      <c r="V705" s="16">
        <f t="shared" si="101"/>
        <v>244144</v>
      </c>
      <c r="W705" s="16">
        <f t="shared" si="102"/>
        <v>244151</v>
      </c>
      <c r="X705" s="16">
        <f t="shared" si="103"/>
        <v>244146</v>
      </c>
      <c r="Y705" s="15"/>
      <c r="Z705" s="177"/>
      <c r="AA705" s="170"/>
      <c r="AB705" s="170"/>
      <c r="AC705" s="170"/>
      <c r="AD705" s="170"/>
      <c r="AE705" s="15"/>
      <c r="AF705" s="177"/>
      <c r="AG705" s="177">
        <f t="shared" si="99"/>
        <v>0</v>
      </c>
      <c r="AH705" s="177">
        <f t="shared" si="100"/>
        <v>0</v>
      </c>
      <c r="AK705" s="176"/>
      <c r="AL705" s="176"/>
    </row>
    <row r="706" spans="1:38" ht="36" customHeight="1" x14ac:dyDescent="0.2">
      <c r="A706" s="14" t="s">
        <v>22</v>
      </c>
      <c r="B706" s="212">
        <v>244144</v>
      </c>
      <c r="C706" s="14" t="s">
        <v>547</v>
      </c>
      <c r="D706" s="14" t="s">
        <v>268</v>
      </c>
      <c r="E706" s="14" t="s">
        <v>14</v>
      </c>
      <c r="F706" s="14" t="s">
        <v>324</v>
      </c>
      <c r="G706" s="179">
        <v>680705</v>
      </c>
      <c r="H706" s="176" t="s">
        <v>2638</v>
      </c>
      <c r="I706" s="176" t="s">
        <v>773</v>
      </c>
      <c r="J706" s="176" t="s">
        <v>775</v>
      </c>
      <c r="K706" s="176" t="s">
        <v>2643</v>
      </c>
      <c r="L706" s="40" t="s">
        <v>45</v>
      </c>
      <c r="M706" s="40" t="s">
        <v>341</v>
      </c>
      <c r="N706" s="14" t="s">
        <v>2646</v>
      </c>
      <c r="O706" s="14" t="s">
        <v>527</v>
      </c>
      <c r="P706" s="14" t="s">
        <v>2650</v>
      </c>
      <c r="Q706" s="14" t="s">
        <v>542</v>
      </c>
      <c r="R706" s="17">
        <v>100</v>
      </c>
      <c r="S706" s="172" t="s">
        <v>51</v>
      </c>
      <c r="T706" s="17">
        <v>1965</v>
      </c>
      <c r="U706" s="14" t="s">
        <v>51</v>
      </c>
      <c r="V706" s="16">
        <f t="shared" si="101"/>
        <v>244144</v>
      </c>
      <c r="W706" s="16">
        <f t="shared" si="102"/>
        <v>244151</v>
      </c>
      <c r="X706" s="16">
        <f t="shared" si="103"/>
        <v>244146</v>
      </c>
      <c r="Y706" s="15"/>
      <c r="Z706" s="177"/>
      <c r="AA706" s="170"/>
      <c r="AB706" s="170"/>
      <c r="AC706" s="170"/>
      <c r="AD706" s="170"/>
      <c r="AE706" s="15"/>
      <c r="AF706" s="177"/>
      <c r="AG706" s="177">
        <f t="shared" si="99"/>
        <v>0</v>
      </c>
      <c r="AH706" s="177">
        <f t="shared" si="100"/>
        <v>0</v>
      </c>
      <c r="AK706" s="176"/>
      <c r="AL706" s="176"/>
    </row>
    <row r="707" spans="1:38" ht="36" customHeight="1" x14ac:dyDescent="0.2">
      <c r="A707" s="14" t="s">
        <v>22</v>
      </c>
      <c r="B707" s="212">
        <v>244144</v>
      </c>
      <c r="C707" s="14" t="s">
        <v>547</v>
      </c>
      <c r="D707" s="14" t="s">
        <v>268</v>
      </c>
      <c r="E707" s="14" t="s">
        <v>14</v>
      </c>
      <c r="F707" s="14" t="s">
        <v>324</v>
      </c>
      <c r="G707" s="179">
        <v>680706</v>
      </c>
      <c r="H707" s="176" t="s">
        <v>826</v>
      </c>
      <c r="I707" s="176" t="s">
        <v>551</v>
      </c>
      <c r="J707" s="176" t="s">
        <v>832</v>
      </c>
      <c r="K707" s="176" t="s">
        <v>2642</v>
      </c>
      <c r="L707" s="40" t="s">
        <v>108</v>
      </c>
      <c r="M707" s="40" t="s">
        <v>341</v>
      </c>
      <c r="N707" s="14" t="s">
        <v>2647</v>
      </c>
      <c r="O707" s="14" t="s">
        <v>552</v>
      </c>
      <c r="P707" s="14" t="s">
        <v>1660</v>
      </c>
      <c r="Q707" s="14" t="s">
        <v>553</v>
      </c>
      <c r="R707" s="17">
        <v>1625</v>
      </c>
      <c r="S707" s="172" t="s">
        <v>51</v>
      </c>
      <c r="T707" s="17">
        <v>3080</v>
      </c>
      <c r="U707" s="14" t="s">
        <v>51</v>
      </c>
      <c r="V707" s="16">
        <f t="shared" si="101"/>
        <v>244144</v>
      </c>
      <c r="W707" s="16">
        <f t="shared" si="102"/>
        <v>244151</v>
      </c>
      <c r="X707" s="16">
        <f t="shared" si="103"/>
        <v>244146</v>
      </c>
      <c r="Y707" s="15"/>
      <c r="Z707" s="177"/>
      <c r="AA707" s="170"/>
      <c r="AB707" s="170"/>
      <c r="AC707" s="170"/>
      <c r="AD707" s="170"/>
      <c r="AE707" s="15"/>
      <c r="AF707" s="177"/>
      <c r="AG707" s="177">
        <f t="shared" si="99"/>
        <v>0</v>
      </c>
      <c r="AH707" s="177">
        <f t="shared" si="100"/>
        <v>0</v>
      </c>
      <c r="AK707" s="176"/>
      <c r="AL707" s="176"/>
    </row>
    <row r="708" spans="1:38" ht="36" customHeight="1" x14ac:dyDescent="0.2">
      <c r="A708" s="14" t="s">
        <v>22</v>
      </c>
      <c r="B708" s="212">
        <v>244145</v>
      </c>
      <c r="C708" s="14" t="s">
        <v>547</v>
      </c>
      <c r="D708" s="14" t="s">
        <v>268</v>
      </c>
      <c r="E708" s="14" t="s">
        <v>14</v>
      </c>
      <c r="F708" s="14" t="s">
        <v>324</v>
      </c>
      <c r="G708" s="179">
        <v>680707</v>
      </c>
      <c r="H708" s="176" t="s">
        <v>1402</v>
      </c>
      <c r="I708" s="176" t="s">
        <v>1407</v>
      </c>
      <c r="J708" s="176" t="s">
        <v>1410</v>
      </c>
      <c r="K708" s="176" t="s">
        <v>2652</v>
      </c>
      <c r="L708" s="40" t="s">
        <v>105</v>
      </c>
      <c r="M708" s="40" t="s">
        <v>341</v>
      </c>
      <c r="N708" s="14" t="s">
        <v>2654</v>
      </c>
      <c r="O708" s="14" t="s">
        <v>1909</v>
      </c>
      <c r="P708" s="14" t="s">
        <v>971</v>
      </c>
      <c r="Q708" s="14" t="s">
        <v>1913</v>
      </c>
      <c r="R708" s="17">
        <v>1300</v>
      </c>
      <c r="S708" s="172" t="s">
        <v>51</v>
      </c>
      <c r="T708" s="17">
        <v>1365</v>
      </c>
      <c r="U708" s="14" t="s">
        <v>51</v>
      </c>
      <c r="V708" s="16">
        <f t="shared" si="101"/>
        <v>244145</v>
      </c>
      <c r="W708" s="16">
        <f t="shared" si="102"/>
        <v>244152</v>
      </c>
      <c r="X708" s="16">
        <f t="shared" si="103"/>
        <v>244147</v>
      </c>
      <c r="Y708" s="15"/>
      <c r="Z708" s="177"/>
      <c r="AA708" s="170"/>
      <c r="AB708" s="170"/>
      <c r="AC708" s="170"/>
      <c r="AD708" s="170"/>
      <c r="AE708" s="15"/>
      <c r="AF708" s="177"/>
      <c r="AG708" s="177">
        <f t="shared" si="99"/>
        <v>0</v>
      </c>
      <c r="AH708" s="177">
        <f t="shared" si="100"/>
        <v>0</v>
      </c>
      <c r="AK708" s="176"/>
      <c r="AL708" s="176"/>
    </row>
    <row r="709" spans="1:38" ht="36" customHeight="1" x14ac:dyDescent="0.2">
      <c r="A709" s="14" t="s">
        <v>22</v>
      </c>
      <c r="B709" s="212">
        <v>244145</v>
      </c>
      <c r="C709" s="14" t="s">
        <v>547</v>
      </c>
      <c r="D709" s="14" t="s">
        <v>268</v>
      </c>
      <c r="E709" s="14" t="s">
        <v>14</v>
      </c>
      <c r="F709" s="14" t="s">
        <v>324</v>
      </c>
      <c r="G709" s="179">
        <v>680708</v>
      </c>
      <c r="H709" s="176" t="s">
        <v>626</v>
      </c>
      <c r="I709" s="176" t="s">
        <v>630</v>
      </c>
      <c r="J709" s="176" t="s">
        <v>520</v>
      </c>
      <c r="K709" s="176" t="s">
        <v>2653</v>
      </c>
      <c r="L709" s="40" t="s">
        <v>105</v>
      </c>
      <c r="M709" s="40" t="s">
        <v>341</v>
      </c>
      <c r="N709" s="14" t="s">
        <v>2655</v>
      </c>
      <c r="O709" s="14" t="s">
        <v>953</v>
      </c>
      <c r="P709" s="14" t="s">
        <v>2661</v>
      </c>
      <c r="Q709" s="14" t="s">
        <v>2664</v>
      </c>
      <c r="R709" s="17">
        <v>980</v>
      </c>
      <c r="S709" s="172" t="s">
        <v>51</v>
      </c>
      <c r="T709" s="17">
        <v>2035</v>
      </c>
      <c r="U709" s="14" t="s">
        <v>51</v>
      </c>
      <c r="V709" s="16">
        <f t="shared" si="101"/>
        <v>244145</v>
      </c>
      <c r="W709" s="16">
        <f t="shared" si="102"/>
        <v>244152</v>
      </c>
      <c r="X709" s="16">
        <f t="shared" si="103"/>
        <v>244147</v>
      </c>
      <c r="Y709" s="15"/>
      <c r="Z709" s="177"/>
      <c r="AA709" s="170"/>
      <c r="AB709" s="170"/>
      <c r="AC709" s="170"/>
      <c r="AD709" s="170"/>
      <c r="AE709" s="15"/>
      <c r="AF709" s="177"/>
      <c r="AG709" s="177">
        <f t="shared" si="99"/>
        <v>0</v>
      </c>
      <c r="AH709" s="177">
        <f t="shared" si="100"/>
        <v>0</v>
      </c>
      <c r="AK709" s="176"/>
      <c r="AL709" s="176"/>
    </row>
    <row r="710" spans="1:38" ht="36" customHeight="1" x14ac:dyDescent="0.2">
      <c r="A710" s="14" t="s">
        <v>22</v>
      </c>
      <c r="B710" s="212">
        <v>244145</v>
      </c>
      <c r="C710" s="14" t="s">
        <v>547</v>
      </c>
      <c r="D710" s="14" t="s">
        <v>268</v>
      </c>
      <c r="E710" s="14" t="s">
        <v>14</v>
      </c>
      <c r="F710" s="14" t="s">
        <v>324</v>
      </c>
      <c r="G710" s="179">
        <v>680709</v>
      </c>
      <c r="H710" s="176" t="s">
        <v>626</v>
      </c>
      <c r="I710" s="176" t="s">
        <v>630</v>
      </c>
      <c r="J710" s="176" t="s">
        <v>520</v>
      </c>
      <c r="K710" s="176" t="s">
        <v>2653</v>
      </c>
      <c r="L710" s="40" t="s">
        <v>105</v>
      </c>
      <c r="M710" s="40" t="s">
        <v>341</v>
      </c>
      <c r="N710" s="14" t="s">
        <v>2656</v>
      </c>
      <c r="O710" s="14" t="s">
        <v>2658</v>
      </c>
      <c r="P710" s="14" t="s">
        <v>2662</v>
      </c>
      <c r="Q710" s="14" t="s">
        <v>2665</v>
      </c>
      <c r="R710" s="17">
        <v>160</v>
      </c>
      <c r="S710" s="172" t="s">
        <v>51</v>
      </c>
      <c r="T710" s="17">
        <v>2035</v>
      </c>
      <c r="U710" s="14" t="s">
        <v>51</v>
      </c>
      <c r="V710" s="16">
        <f t="shared" si="101"/>
        <v>244145</v>
      </c>
      <c r="W710" s="16">
        <f t="shared" si="102"/>
        <v>244152</v>
      </c>
      <c r="X710" s="16">
        <f t="shared" si="103"/>
        <v>244147</v>
      </c>
      <c r="Y710" s="15"/>
      <c r="Z710" s="177"/>
      <c r="AA710" s="170"/>
      <c r="AB710" s="170"/>
      <c r="AC710" s="170"/>
      <c r="AD710" s="170"/>
      <c r="AE710" s="15"/>
      <c r="AF710" s="177"/>
      <c r="AG710" s="177">
        <f t="shared" si="99"/>
        <v>0</v>
      </c>
      <c r="AH710" s="177">
        <f t="shared" si="100"/>
        <v>0</v>
      </c>
      <c r="AK710" s="176"/>
      <c r="AL710" s="176"/>
    </row>
    <row r="711" spans="1:38" ht="36" customHeight="1" x14ac:dyDescent="0.2">
      <c r="A711" s="14" t="s">
        <v>22</v>
      </c>
      <c r="B711" s="212">
        <v>244145</v>
      </c>
      <c r="C711" s="14" t="s">
        <v>547</v>
      </c>
      <c r="D711" s="14" t="s">
        <v>268</v>
      </c>
      <c r="E711" s="14" t="s">
        <v>14</v>
      </c>
      <c r="F711" s="14" t="s">
        <v>324</v>
      </c>
      <c r="G711" s="179">
        <v>680710</v>
      </c>
      <c r="H711" s="176" t="s">
        <v>1402</v>
      </c>
      <c r="I711" s="176" t="s">
        <v>1407</v>
      </c>
      <c r="J711" s="176" t="s">
        <v>1410</v>
      </c>
      <c r="K711" s="176" t="s">
        <v>2652</v>
      </c>
      <c r="L711" s="40" t="s">
        <v>105</v>
      </c>
      <c r="M711" s="40" t="s">
        <v>341</v>
      </c>
      <c r="N711" s="14" t="s">
        <v>2189</v>
      </c>
      <c r="O711" s="14" t="s">
        <v>543</v>
      </c>
      <c r="P711" s="14" t="s">
        <v>517</v>
      </c>
      <c r="Q711" s="14" t="s">
        <v>529</v>
      </c>
      <c r="R711" s="17">
        <v>600</v>
      </c>
      <c r="S711" s="172" t="s">
        <v>51</v>
      </c>
      <c r="T711" s="17">
        <v>1345</v>
      </c>
      <c r="U711" s="14" t="s">
        <v>51</v>
      </c>
      <c r="V711" s="16">
        <f t="shared" si="101"/>
        <v>244145</v>
      </c>
      <c r="W711" s="16">
        <f t="shared" si="102"/>
        <v>244152</v>
      </c>
      <c r="X711" s="16">
        <f t="shared" si="103"/>
        <v>244147</v>
      </c>
      <c r="Y711" s="15"/>
      <c r="Z711" s="177"/>
      <c r="AA711" s="170"/>
      <c r="AB711" s="170"/>
      <c r="AC711" s="170"/>
      <c r="AD711" s="170"/>
      <c r="AE711" s="15"/>
      <c r="AF711" s="177"/>
      <c r="AG711" s="177">
        <f t="shared" si="99"/>
        <v>0</v>
      </c>
      <c r="AH711" s="177">
        <f t="shared" si="100"/>
        <v>0</v>
      </c>
      <c r="AK711" s="176"/>
      <c r="AL711" s="176"/>
    </row>
    <row r="712" spans="1:38" ht="36" customHeight="1" x14ac:dyDescent="0.2">
      <c r="A712" s="14" t="s">
        <v>22</v>
      </c>
      <c r="B712" s="212">
        <v>244145</v>
      </c>
      <c r="C712" s="14" t="s">
        <v>547</v>
      </c>
      <c r="D712" s="14" t="s">
        <v>268</v>
      </c>
      <c r="E712" s="14" t="s">
        <v>14</v>
      </c>
      <c r="F712" s="14" t="s">
        <v>324</v>
      </c>
      <c r="G712" s="179">
        <v>680711</v>
      </c>
      <c r="H712" s="176" t="s">
        <v>626</v>
      </c>
      <c r="I712" s="176" t="s">
        <v>630</v>
      </c>
      <c r="J712" s="176" t="s">
        <v>520</v>
      </c>
      <c r="K712" s="176" t="s">
        <v>2653</v>
      </c>
      <c r="L712" s="40" t="s">
        <v>105</v>
      </c>
      <c r="M712" s="40" t="s">
        <v>341</v>
      </c>
      <c r="N712" s="14" t="s">
        <v>2657</v>
      </c>
      <c r="O712" s="14" t="s">
        <v>527</v>
      </c>
      <c r="P712" s="14" t="s">
        <v>2663</v>
      </c>
      <c r="Q712" s="14" t="s">
        <v>542</v>
      </c>
      <c r="R712" s="17">
        <v>520</v>
      </c>
      <c r="S712" s="172" t="s">
        <v>51</v>
      </c>
      <c r="T712" s="17">
        <v>1980</v>
      </c>
      <c r="U712" s="14" t="s">
        <v>51</v>
      </c>
      <c r="V712" s="16">
        <f t="shared" si="101"/>
        <v>244145</v>
      </c>
      <c r="W712" s="16">
        <f t="shared" si="102"/>
        <v>244152</v>
      </c>
      <c r="X712" s="16">
        <f t="shared" si="103"/>
        <v>244147</v>
      </c>
      <c r="Y712" s="15"/>
      <c r="Z712" s="177"/>
      <c r="AA712" s="170"/>
      <c r="AB712" s="170"/>
      <c r="AC712" s="170"/>
      <c r="AD712" s="170"/>
      <c r="AE712" s="15"/>
      <c r="AF712" s="177"/>
      <c r="AG712" s="177">
        <f t="shared" si="99"/>
        <v>0</v>
      </c>
      <c r="AH712" s="177">
        <f t="shared" si="100"/>
        <v>0</v>
      </c>
      <c r="AK712" s="176"/>
      <c r="AL712" s="176"/>
    </row>
    <row r="713" spans="1:38" ht="36" customHeight="1" x14ac:dyDescent="0.2">
      <c r="A713" s="14" t="s">
        <v>22</v>
      </c>
      <c r="B713" s="212">
        <v>244145</v>
      </c>
      <c r="C713" s="14" t="s">
        <v>547</v>
      </c>
      <c r="D713" s="14" t="s">
        <v>268</v>
      </c>
      <c r="E713" s="14" t="s">
        <v>14</v>
      </c>
      <c r="F713" s="14" t="s">
        <v>324</v>
      </c>
      <c r="G713" s="179">
        <v>680712</v>
      </c>
      <c r="H713" s="176" t="s">
        <v>626</v>
      </c>
      <c r="I713" s="176" t="s">
        <v>630</v>
      </c>
      <c r="J713" s="176" t="s">
        <v>520</v>
      </c>
      <c r="K713" s="176" t="s">
        <v>2653</v>
      </c>
      <c r="L713" s="40" t="s">
        <v>105</v>
      </c>
      <c r="M713" s="40" t="s">
        <v>341</v>
      </c>
      <c r="N713" s="14" t="s">
        <v>2659</v>
      </c>
      <c r="O713" s="14" t="s">
        <v>2660</v>
      </c>
      <c r="P713" s="14" t="s">
        <v>313</v>
      </c>
      <c r="Q713" s="14" t="s">
        <v>1590</v>
      </c>
      <c r="R713" s="17">
        <v>1540</v>
      </c>
      <c r="S713" s="172" t="s">
        <v>51</v>
      </c>
      <c r="T713" s="17"/>
      <c r="U713" s="14" t="s">
        <v>51</v>
      </c>
      <c r="V713" s="16">
        <f t="shared" si="101"/>
        <v>244145</v>
      </c>
      <c r="W713" s="16">
        <f t="shared" si="102"/>
        <v>244152</v>
      </c>
      <c r="X713" s="16">
        <f t="shared" si="103"/>
        <v>244147</v>
      </c>
      <c r="Y713" s="15"/>
      <c r="Z713" s="177"/>
      <c r="AA713" s="170"/>
      <c r="AB713" s="170"/>
      <c r="AC713" s="170"/>
      <c r="AD713" s="170"/>
      <c r="AE713" s="15"/>
      <c r="AF713" s="177"/>
      <c r="AG713" s="177">
        <f t="shared" si="99"/>
        <v>0</v>
      </c>
      <c r="AH713" s="177">
        <f t="shared" si="100"/>
        <v>0</v>
      </c>
      <c r="AK713" s="176"/>
      <c r="AL713" s="176"/>
    </row>
    <row r="714" spans="1:38" ht="36" customHeight="1" x14ac:dyDescent="0.2">
      <c r="A714" s="14" t="s">
        <v>22</v>
      </c>
      <c r="B714" s="212">
        <v>244147</v>
      </c>
      <c r="C714" s="14" t="s">
        <v>547</v>
      </c>
      <c r="D714" s="14" t="s">
        <v>268</v>
      </c>
      <c r="E714" s="14" t="s">
        <v>14</v>
      </c>
      <c r="F714" s="14" t="s">
        <v>324</v>
      </c>
      <c r="G714" s="179">
        <v>680713</v>
      </c>
      <c r="H714" s="176" t="s">
        <v>2666</v>
      </c>
      <c r="I714" s="176" t="s">
        <v>2667</v>
      </c>
      <c r="J714" s="176" t="s">
        <v>1473</v>
      </c>
      <c r="K714" s="176" t="s">
        <v>2668</v>
      </c>
      <c r="L714" s="40" t="s">
        <v>108</v>
      </c>
      <c r="M714" s="40" t="s">
        <v>341</v>
      </c>
      <c r="N714" s="14" t="s">
        <v>2670</v>
      </c>
      <c r="O714" s="14" t="s">
        <v>2672</v>
      </c>
      <c r="P714" s="14" t="s">
        <v>685</v>
      </c>
      <c r="Q714" s="14" t="s">
        <v>2674</v>
      </c>
      <c r="R714" s="17">
        <v>6650</v>
      </c>
      <c r="S714" s="172" t="s">
        <v>51</v>
      </c>
      <c r="T714" s="17"/>
      <c r="U714" s="14"/>
      <c r="V714" s="16">
        <f t="shared" si="101"/>
        <v>244147</v>
      </c>
      <c r="W714" s="16">
        <f t="shared" si="102"/>
        <v>244154</v>
      </c>
      <c r="X714" s="16">
        <f t="shared" si="103"/>
        <v>244149</v>
      </c>
      <c r="Y714" s="15"/>
      <c r="Z714" s="177"/>
      <c r="AA714" s="170"/>
      <c r="AB714" s="170"/>
      <c r="AC714" s="170"/>
      <c r="AD714" s="170"/>
      <c r="AE714" s="15"/>
      <c r="AF714" s="177"/>
      <c r="AG714" s="177">
        <f t="shared" si="99"/>
        <v>0</v>
      </c>
      <c r="AH714" s="177">
        <f t="shared" si="100"/>
        <v>0</v>
      </c>
      <c r="AK714" s="176"/>
      <c r="AL714" s="176"/>
    </row>
    <row r="715" spans="1:38" ht="36" customHeight="1" x14ac:dyDescent="0.2">
      <c r="A715" s="14" t="s">
        <v>22</v>
      </c>
      <c r="B715" s="212">
        <v>244147</v>
      </c>
      <c r="C715" s="14" t="s">
        <v>547</v>
      </c>
      <c r="D715" s="14" t="s">
        <v>268</v>
      </c>
      <c r="E715" s="14" t="s">
        <v>14</v>
      </c>
      <c r="F715" s="14" t="s">
        <v>324</v>
      </c>
      <c r="G715" s="179">
        <v>680714</v>
      </c>
      <c r="H715" s="176" t="s">
        <v>1695</v>
      </c>
      <c r="I715" s="176" t="s">
        <v>664</v>
      </c>
      <c r="J715" s="176" t="s">
        <v>123</v>
      </c>
      <c r="K715" s="176" t="s">
        <v>2669</v>
      </c>
      <c r="L715" s="40" t="s">
        <v>45</v>
      </c>
      <c r="M715" s="40" t="s">
        <v>341</v>
      </c>
      <c r="N715" s="14" t="s">
        <v>2671</v>
      </c>
      <c r="O715" s="14" t="s">
        <v>528</v>
      </c>
      <c r="P715" s="14" t="s">
        <v>2673</v>
      </c>
      <c r="Q715" s="14" t="s">
        <v>541</v>
      </c>
      <c r="R715" s="17">
        <v>300</v>
      </c>
      <c r="S715" s="172" t="s">
        <v>51</v>
      </c>
      <c r="T715" s="17">
        <v>1970</v>
      </c>
      <c r="U715" s="14" t="s">
        <v>51</v>
      </c>
      <c r="V715" s="16">
        <f t="shared" si="101"/>
        <v>244147</v>
      </c>
      <c r="W715" s="16">
        <f t="shared" si="102"/>
        <v>244154</v>
      </c>
      <c r="X715" s="16">
        <f t="shared" si="103"/>
        <v>244149</v>
      </c>
      <c r="Y715" s="15"/>
      <c r="Z715" s="177"/>
      <c r="AA715" s="170"/>
      <c r="AB715" s="170"/>
      <c r="AC715" s="170"/>
      <c r="AD715" s="170"/>
      <c r="AE715" s="15"/>
      <c r="AF715" s="177"/>
      <c r="AG715" s="177">
        <f t="shared" si="99"/>
        <v>0</v>
      </c>
      <c r="AH715" s="177">
        <f t="shared" si="100"/>
        <v>0</v>
      </c>
      <c r="AK715" s="176"/>
      <c r="AL715" s="176"/>
    </row>
    <row r="716" spans="1:38" ht="36" customHeight="1" x14ac:dyDescent="0.2">
      <c r="A716" s="14" t="s">
        <v>22</v>
      </c>
      <c r="B716" s="212">
        <v>244148</v>
      </c>
      <c r="C716" s="14" t="s">
        <v>547</v>
      </c>
      <c r="D716" s="14" t="s">
        <v>268</v>
      </c>
      <c r="E716" s="14" t="s">
        <v>14</v>
      </c>
      <c r="F716" s="14" t="s">
        <v>324</v>
      </c>
      <c r="G716" s="179">
        <v>680715</v>
      </c>
      <c r="H716" s="176" t="s">
        <v>1695</v>
      </c>
      <c r="I716" s="176" t="s">
        <v>664</v>
      </c>
      <c r="J716" s="176" t="s">
        <v>123</v>
      </c>
      <c r="K716" s="176" t="s">
        <v>2669</v>
      </c>
      <c r="L716" s="40" t="s">
        <v>45</v>
      </c>
      <c r="M716" s="40" t="s">
        <v>341</v>
      </c>
      <c r="N716" s="14" t="s">
        <v>2033</v>
      </c>
      <c r="O716" s="14" t="s">
        <v>1909</v>
      </c>
      <c r="P716" s="14" t="s">
        <v>2683</v>
      </c>
      <c r="Q716" s="14" t="s">
        <v>1913</v>
      </c>
      <c r="R716" s="17">
        <v>150</v>
      </c>
      <c r="S716" s="172" t="s">
        <v>51</v>
      </c>
      <c r="T716" s="17">
        <v>1980</v>
      </c>
      <c r="U716" s="14" t="s">
        <v>51</v>
      </c>
      <c r="V716" s="16">
        <f t="shared" si="101"/>
        <v>244148</v>
      </c>
      <c r="W716" s="16">
        <f t="shared" si="102"/>
        <v>244155</v>
      </c>
      <c r="X716" s="16">
        <f t="shared" si="103"/>
        <v>244150</v>
      </c>
      <c r="Y716" s="15"/>
      <c r="Z716" s="177"/>
      <c r="AA716" s="170"/>
      <c r="AB716" s="170"/>
      <c r="AC716" s="170"/>
      <c r="AD716" s="170"/>
      <c r="AE716" s="15"/>
      <c r="AF716" s="177"/>
      <c r="AG716" s="177">
        <f t="shared" si="99"/>
        <v>0</v>
      </c>
      <c r="AH716" s="177">
        <f t="shared" si="100"/>
        <v>0</v>
      </c>
      <c r="AK716" s="176"/>
      <c r="AL716" s="176"/>
    </row>
    <row r="717" spans="1:38" ht="36" customHeight="1" x14ac:dyDescent="0.2">
      <c r="A717" s="14" t="s">
        <v>22</v>
      </c>
      <c r="B717" s="212">
        <v>244148</v>
      </c>
      <c r="C717" s="14" t="s">
        <v>547</v>
      </c>
      <c r="D717" s="14" t="s">
        <v>268</v>
      </c>
      <c r="E717" s="14" t="s">
        <v>14</v>
      </c>
      <c r="F717" s="14" t="s">
        <v>324</v>
      </c>
      <c r="G717" s="179">
        <v>680716</v>
      </c>
      <c r="H717" s="176" t="s">
        <v>1223</v>
      </c>
      <c r="I717" s="176" t="s">
        <v>864</v>
      </c>
      <c r="J717" s="176" t="s">
        <v>865</v>
      </c>
      <c r="K717" s="176" t="s">
        <v>2676</v>
      </c>
      <c r="L717" s="40" t="s">
        <v>46</v>
      </c>
      <c r="M717" s="40" t="s">
        <v>341</v>
      </c>
      <c r="N717" s="14" t="s">
        <v>2679</v>
      </c>
      <c r="O717" s="14" t="s">
        <v>548</v>
      </c>
      <c r="P717" s="14" t="s">
        <v>717</v>
      </c>
      <c r="Q717" s="14" t="s">
        <v>549</v>
      </c>
      <c r="R717" s="17">
        <v>685</v>
      </c>
      <c r="S717" s="172" t="s">
        <v>51</v>
      </c>
      <c r="T717" s="17">
        <v>1400</v>
      </c>
      <c r="U717" s="14" t="s">
        <v>51</v>
      </c>
      <c r="V717" s="16">
        <f t="shared" si="101"/>
        <v>244148</v>
      </c>
      <c r="W717" s="16">
        <f t="shared" si="102"/>
        <v>244155</v>
      </c>
      <c r="X717" s="16">
        <f t="shared" si="103"/>
        <v>244150</v>
      </c>
      <c r="Y717" s="15"/>
      <c r="Z717" s="177"/>
      <c r="AA717" s="170"/>
      <c r="AB717" s="170"/>
      <c r="AC717" s="170"/>
      <c r="AD717" s="170"/>
      <c r="AE717" s="15"/>
      <c r="AF717" s="177"/>
      <c r="AG717" s="177">
        <f t="shared" si="99"/>
        <v>0</v>
      </c>
      <c r="AH717" s="177">
        <f t="shared" si="100"/>
        <v>0</v>
      </c>
      <c r="AK717" s="176"/>
      <c r="AL717" s="176"/>
    </row>
    <row r="718" spans="1:38" ht="36" customHeight="1" x14ac:dyDescent="0.2">
      <c r="A718" s="14" t="s">
        <v>22</v>
      </c>
      <c r="B718" s="212">
        <v>244148</v>
      </c>
      <c r="C718" s="14" t="s">
        <v>547</v>
      </c>
      <c r="D718" s="14" t="s">
        <v>268</v>
      </c>
      <c r="E718" s="14" t="s">
        <v>14</v>
      </c>
      <c r="F718" s="14" t="s">
        <v>324</v>
      </c>
      <c r="G718" s="179">
        <v>680717</v>
      </c>
      <c r="H718" s="176" t="s">
        <v>1223</v>
      </c>
      <c r="I718" s="176" t="s">
        <v>864</v>
      </c>
      <c r="J718" s="176" t="s">
        <v>865</v>
      </c>
      <c r="K718" s="176" t="s">
        <v>2676</v>
      </c>
      <c r="L718" s="40" t="s">
        <v>46</v>
      </c>
      <c r="M718" s="40" t="s">
        <v>341</v>
      </c>
      <c r="N718" s="14" t="s">
        <v>2680</v>
      </c>
      <c r="O718" s="14" t="s">
        <v>1150</v>
      </c>
      <c r="P718" s="14" t="s">
        <v>2684</v>
      </c>
      <c r="Q718" s="14" t="s">
        <v>1156</v>
      </c>
      <c r="R718" s="17">
        <v>300</v>
      </c>
      <c r="S718" s="172" t="s">
        <v>51</v>
      </c>
      <c r="T718" s="17">
        <v>1400</v>
      </c>
      <c r="U718" s="14" t="s">
        <v>51</v>
      </c>
      <c r="V718" s="16">
        <f t="shared" si="101"/>
        <v>244148</v>
      </c>
      <c r="W718" s="16">
        <f t="shared" si="102"/>
        <v>244155</v>
      </c>
      <c r="X718" s="16">
        <f t="shared" si="103"/>
        <v>244150</v>
      </c>
      <c r="Y718" s="15"/>
      <c r="Z718" s="177"/>
      <c r="AA718" s="170"/>
      <c r="AB718" s="170"/>
      <c r="AC718" s="170"/>
      <c r="AD718" s="170"/>
      <c r="AE718" s="15"/>
      <c r="AF718" s="177"/>
      <c r="AG718" s="177">
        <f t="shared" si="99"/>
        <v>0</v>
      </c>
      <c r="AH718" s="177">
        <f t="shared" si="100"/>
        <v>0</v>
      </c>
      <c r="AK718" s="176"/>
      <c r="AL718" s="176"/>
    </row>
    <row r="719" spans="1:38" ht="36" customHeight="1" x14ac:dyDescent="0.2">
      <c r="A719" s="14" t="s">
        <v>22</v>
      </c>
      <c r="B719" s="212">
        <v>244148</v>
      </c>
      <c r="C719" s="14" t="s">
        <v>547</v>
      </c>
      <c r="D719" s="14" t="s">
        <v>268</v>
      </c>
      <c r="E719" s="14" t="s">
        <v>14</v>
      </c>
      <c r="F719" s="14" t="s">
        <v>324</v>
      </c>
      <c r="G719" s="179">
        <v>680718</v>
      </c>
      <c r="H719" s="176" t="s">
        <v>142</v>
      </c>
      <c r="I719" s="176" t="s">
        <v>551</v>
      </c>
      <c r="J719" s="176" t="s">
        <v>596</v>
      </c>
      <c r="K719" s="176" t="s">
        <v>2677</v>
      </c>
      <c r="L719" s="40" t="s">
        <v>108</v>
      </c>
      <c r="M719" s="40" t="s">
        <v>341</v>
      </c>
      <c r="N719" s="14" t="s">
        <v>2681</v>
      </c>
      <c r="O719" s="14" t="s">
        <v>693</v>
      </c>
      <c r="P719" s="14" t="s">
        <v>2685</v>
      </c>
      <c r="Q719" s="14" t="s">
        <v>696</v>
      </c>
      <c r="R719" s="17">
        <v>250</v>
      </c>
      <c r="S719" s="172" t="s">
        <v>51</v>
      </c>
      <c r="T719" s="17">
        <v>3065</v>
      </c>
      <c r="U719" s="14" t="s">
        <v>51</v>
      </c>
      <c r="V719" s="16">
        <f t="shared" si="101"/>
        <v>244148</v>
      </c>
      <c r="W719" s="16">
        <f t="shared" si="102"/>
        <v>244155</v>
      </c>
      <c r="X719" s="16">
        <f t="shared" si="103"/>
        <v>244150</v>
      </c>
      <c r="Y719" s="15"/>
      <c r="Z719" s="177"/>
      <c r="AA719" s="170"/>
      <c r="AB719" s="170"/>
      <c r="AC719" s="170"/>
      <c r="AD719" s="170"/>
      <c r="AE719" s="15"/>
      <c r="AF719" s="177"/>
      <c r="AG719" s="177">
        <f t="shared" si="99"/>
        <v>0</v>
      </c>
      <c r="AH719" s="177">
        <f t="shared" si="100"/>
        <v>0</v>
      </c>
      <c r="AK719" s="176"/>
      <c r="AL719" s="176"/>
    </row>
    <row r="720" spans="1:38" ht="36" customHeight="1" x14ac:dyDescent="0.2">
      <c r="A720" s="14" t="s">
        <v>22</v>
      </c>
      <c r="B720" s="212">
        <v>244148</v>
      </c>
      <c r="C720" s="14" t="s">
        <v>547</v>
      </c>
      <c r="D720" s="14" t="s">
        <v>268</v>
      </c>
      <c r="E720" s="14" t="s">
        <v>14</v>
      </c>
      <c r="F720" s="14" t="s">
        <v>324</v>
      </c>
      <c r="G720" s="179">
        <v>680719</v>
      </c>
      <c r="H720" s="176" t="s">
        <v>2675</v>
      </c>
      <c r="I720" s="176" t="s">
        <v>612</v>
      </c>
      <c r="J720" s="176" t="s">
        <v>727</v>
      </c>
      <c r="K720" s="176" t="s">
        <v>2678</v>
      </c>
      <c r="L720" s="40" t="s">
        <v>105</v>
      </c>
      <c r="M720" s="40" t="s">
        <v>341</v>
      </c>
      <c r="N720" s="14" t="s">
        <v>2682</v>
      </c>
      <c r="O720" s="14" t="s">
        <v>548</v>
      </c>
      <c r="P720" s="14" t="s">
        <v>518</v>
      </c>
      <c r="Q720" s="14" t="s">
        <v>549</v>
      </c>
      <c r="R720" s="17">
        <v>103</v>
      </c>
      <c r="S720" s="172" t="s">
        <v>51</v>
      </c>
      <c r="T720" s="17">
        <v>1950</v>
      </c>
      <c r="U720" s="14" t="s">
        <v>51</v>
      </c>
      <c r="V720" s="16">
        <f t="shared" si="101"/>
        <v>244148</v>
      </c>
      <c r="W720" s="16">
        <f t="shared" si="102"/>
        <v>244155</v>
      </c>
      <c r="X720" s="16">
        <f t="shared" si="103"/>
        <v>244150</v>
      </c>
      <c r="Y720" s="15"/>
      <c r="Z720" s="177"/>
      <c r="AA720" s="170"/>
      <c r="AB720" s="170"/>
      <c r="AC720" s="170"/>
      <c r="AD720" s="170"/>
      <c r="AE720" s="15"/>
      <c r="AF720" s="177"/>
      <c r="AG720" s="177">
        <f t="shared" si="99"/>
        <v>0</v>
      </c>
      <c r="AH720" s="177">
        <f t="shared" si="100"/>
        <v>0</v>
      </c>
      <c r="AK720" s="176"/>
      <c r="AL720" s="176"/>
    </row>
    <row r="721" spans="1:38" ht="36" customHeight="1" x14ac:dyDescent="0.2">
      <c r="A721" s="14" t="s">
        <v>22</v>
      </c>
      <c r="B721" s="212">
        <v>244149</v>
      </c>
      <c r="C721" s="14" t="s">
        <v>547</v>
      </c>
      <c r="D721" s="14" t="s">
        <v>268</v>
      </c>
      <c r="E721" s="14" t="s">
        <v>14</v>
      </c>
      <c r="F721" s="14" t="s">
        <v>324</v>
      </c>
      <c r="G721" s="179">
        <v>680720</v>
      </c>
      <c r="H721" s="176" t="s">
        <v>2227</v>
      </c>
      <c r="I721" s="176" t="s">
        <v>664</v>
      </c>
      <c r="J721" s="176" t="s">
        <v>123</v>
      </c>
      <c r="K721" s="176" t="s">
        <v>2686</v>
      </c>
      <c r="L721" s="40" t="s">
        <v>45</v>
      </c>
      <c r="M721" s="40" t="s">
        <v>341</v>
      </c>
      <c r="N721" s="14" t="s">
        <v>2688</v>
      </c>
      <c r="O721" s="14" t="s">
        <v>1149</v>
      </c>
      <c r="P721" s="14" t="s">
        <v>2362</v>
      </c>
      <c r="Q721" s="14" t="s">
        <v>1155</v>
      </c>
      <c r="R721" s="17">
        <v>700</v>
      </c>
      <c r="S721" s="172" t="s">
        <v>51</v>
      </c>
      <c r="T721" s="17">
        <v>1295</v>
      </c>
      <c r="U721" s="14" t="s">
        <v>51</v>
      </c>
      <c r="V721" s="16">
        <f t="shared" si="101"/>
        <v>244149</v>
      </c>
      <c r="W721" s="16">
        <f t="shared" si="102"/>
        <v>244156</v>
      </c>
      <c r="X721" s="16">
        <f t="shared" si="103"/>
        <v>244151</v>
      </c>
      <c r="Y721" s="15"/>
      <c r="Z721" s="177"/>
      <c r="AA721" s="170"/>
      <c r="AB721" s="170"/>
      <c r="AC721" s="170"/>
      <c r="AD721" s="170"/>
      <c r="AE721" s="15"/>
      <c r="AF721" s="177"/>
      <c r="AG721" s="177">
        <f t="shared" si="99"/>
        <v>0</v>
      </c>
      <c r="AH721" s="177">
        <f t="shared" si="100"/>
        <v>0</v>
      </c>
      <c r="AK721" s="176"/>
      <c r="AL721" s="176"/>
    </row>
    <row r="722" spans="1:38" ht="36" customHeight="1" x14ac:dyDescent="0.2">
      <c r="A722" s="14" t="s">
        <v>22</v>
      </c>
      <c r="B722" s="212">
        <v>244149</v>
      </c>
      <c r="C722" s="14" t="s">
        <v>547</v>
      </c>
      <c r="D722" s="14" t="s">
        <v>268</v>
      </c>
      <c r="E722" s="14" t="s">
        <v>14</v>
      </c>
      <c r="F722" s="14" t="s">
        <v>324</v>
      </c>
      <c r="G722" s="179">
        <v>680721</v>
      </c>
      <c r="H722" s="176" t="s">
        <v>1223</v>
      </c>
      <c r="I722" s="176" t="s">
        <v>864</v>
      </c>
      <c r="J722" s="176" t="s">
        <v>865</v>
      </c>
      <c r="K722" s="176" t="s">
        <v>2687</v>
      </c>
      <c r="L722" s="40" t="s">
        <v>105</v>
      </c>
      <c r="M722" s="40" t="s">
        <v>341</v>
      </c>
      <c r="N722" s="14" t="s">
        <v>2689</v>
      </c>
      <c r="O722" s="14" t="s">
        <v>1149</v>
      </c>
      <c r="P722" s="14" t="s">
        <v>2696</v>
      </c>
      <c r="Q722" s="14" t="s">
        <v>1155</v>
      </c>
      <c r="R722" s="17">
        <v>700</v>
      </c>
      <c r="S722" s="172" t="s">
        <v>51</v>
      </c>
      <c r="T722" s="17">
        <v>1920</v>
      </c>
      <c r="U722" s="14" t="s">
        <v>51</v>
      </c>
      <c r="V722" s="16">
        <f t="shared" si="101"/>
        <v>244149</v>
      </c>
      <c r="W722" s="16">
        <f t="shared" si="102"/>
        <v>244156</v>
      </c>
      <c r="X722" s="16">
        <f t="shared" si="103"/>
        <v>244151</v>
      </c>
      <c r="Y722" s="15"/>
      <c r="Z722" s="177"/>
      <c r="AA722" s="170"/>
      <c r="AB722" s="170"/>
      <c r="AC722" s="170"/>
      <c r="AD722" s="170"/>
      <c r="AE722" s="15"/>
      <c r="AF722" s="177"/>
      <c r="AG722" s="177">
        <f t="shared" si="99"/>
        <v>0</v>
      </c>
      <c r="AH722" s="177">
        <f t="shared" si="100"/>
        <v>0</v>
      </c>
      <c r="AK722" s="176"/>
      <c r="AL722" s="176"/>
    </row>
    <row r="723" spans="1:38" ht="36" customHeight="1" x14ac:dyDescent="0.2">
      <c r="A723" s="14" t="s">
        <v>22</v>
      </c>
      <c r="B723" s="212">
        <v>244149</v>
      </c>
      <c r="C723" s="14" t="s">
        <v>547</v>
      </c>
      <c r="D723" s="14" t="s">
        <v>268</v>
      </c>
      <c r="E723" s="14" t="s">
        <v>14</v>
      </c>
      <c r="F723" s="14" t="s">
        <v>324</v>
      </c>
      <c r="G723" s="179">
        <v>680722</v>
      </c>
      <c r="H723" s="176" t="s">
        <v>1223</v>
      </c>
      <c r="I723" s="176" t="s">
        <v>864</v>
      </c>
      <c r="J723" s="176" t="s">
        <v>865</v>
      </c>
      <c r="K723" s="176" t="s">
        <v>2687</v>
      </c>
      <c r="L723" s="40" t="s">
        <v>105</v>
      </c>
      <c r="M723" s="40" t="s">
        <v>341</v>
      </c>
      <c r="N723" s="14" t="s">
        <v>1905</v>
      </c>
      <c r="O723" s="14" t="s">
        <v>548</v>
      </c>
      <c r="P723" s="14" t="s">
        <v>518</v>
      </c>
      <c r="Q723" s="14" t="s">
        <v>549</v>
      </c>
      <c r="R723" s="17">
        <v>165</v>
      </c>
      <c r="S723" s="172" t="s">
        <v>51</v>
      </c>
      <c r="T723" s="17">
        <v>1920</v>
      </c>
      <c r="U723" s="14" t="s">
        <v>51</v>
      </c>
      <c r="V723" s="16">
        <f t="shared" si="101"/>
        <v>244149</v>
      </c>
      <c r="W723" s="16">
        <f t="shared" si="102"/>
        <v>244156</v>
      </c>
      <c r="X723" s="16">
        <f t="shared" si="103"/>
        <v>244151</v>
      </c>
      <c r="Y723" s="15"/>
      <c r="Z723" s="177"/>
      <c r="AA723" s="170"/>
      <c r="AB723" s="170"/>
      <c r="AC723" s="170"/>
      <c r="AD723" s="170"/>
      <c r="AE723" s="15"/>
      <c r="AF723" s="177"/>
      <c r="AG723" s="177">
        <f t="shared" si="99"/>
        <v>0</v>
      </c>
      <c r="AH723" s="177">
        <f t="shared" si="100"/>
        <v>0</v>
      </c>
      <c r="AK723" s="176"/>
      <c r="AL723" s="176"/>
    </row>
    <row r="724" spans="1:38" ht="36" customHeight="1" x14ac:dyDescent="0.2">
      <c r="A724" s="14" t="s">
        <v>22</v>
      </c>
      <c r="B724" s="212">
        <v>244149</v>
      </c>
      <c r="C724" s="14" t="s">
        <v>547</v>
      </c>
      <c r="D724" s="14" t="s">
        <v>268</v>
      </c>
      <c r="E724" s="14" t="s">
        <v>14</v>
      </c>
      <c r="F724" s="14" t="s">
        <v>324</v>
      </c>
      <c r="G724" s="179">
        <v>680723</v>
      </c>
      <c r="H724" s="176" t="s">
        <v>1223</v>
      </c>
      <c r="I724" s="176" t="s">
        <v>864</v>
      </c>
      <c r="J724" s="176" t="s">
        <v>865</v>
      </c>
      <c r="K724" s="176" t="s">
        <v>2687</v>
      </c>
      <c r="L724" s="40" t="s">
        <v>105</v>
      </c>
      <c r="M724" s="40" t="s">
        <v>341</v>
      </c>
      <c r="N724" s="14" t="s">
        <v>2690</v>
      </c>
      <c r="O724" s="14" t="s">
        <v>2693</v>
      </c>
      <c r="P724" s="14" t="s">
        <v>2697</v>
      </c>
      <c r="Q724" s="14" t="s">
        <v>2702</v>
      </c>
      <c r="R724" s="17">
        <v>1700</v>
      </c>
      <c r="S724" s="172" t="s">
        <v>51</v>
      </c>
      <c r="T724" s="17">
        <v>1910</v>
      </c>
      <c r="U724" s="14" t="s">
        <v>51</v>
      </c>
      <c r="V724" s="16">
        <f t="shared" si="101"/>
        <v>244149</v>
      </c>
      <c r="W724" s="16">
        <f t="shared" si="102"/>
        <v>244156</v>
      </c>
      <c r="X724" s="16">
        <f t="shared" si="103"/>
        <v>244151</v>
      </c>
      <c r="Y724" s="15"/>
      <c r="Z724" s="177"/>
      <c r="AA724" s="170"/>
      <c r="AB724" s="170"/>
      <c r="AC724" s="170"/>
      <c r="AD724" s="170"/>
      <c r="AE724" s="15"/>
      <c r="AF724" s="177"/>
      <c r="AG724" s="177">
        <f t="shared" si="99"/>
        <v>0</v>
      </c>
      <c r="AH724" s="177">
        <f t="shared" si="100"/>
        <v>0</v>
      </c>
      <c r="AK724" s="176"/>
      <c r="AL724" s="176"/>
    </row>
    <row r="725" spans="1:38" ht="36" customHeight="1" x14ac:dyDescent="0.2">
      <c r="A725" s="14" t="s">
        <v>22</v>
      </c>
      <c r="B725" s="212">
        <v>244149</v>
      </c>
      <c r="C725" s="14" t="s">
        <v>547</v>
      </c>
      <c r="D725" s="14" t="s">
        <v>268</v>
      </c>
      <c r="E725" s="14" t="s">
        <v>14</v>
      </c>
      <c r="F725" s="14" t="s">
        <v>324</v>
      </c>
      <c r="G725" s="179">
        <v>680724</v>
      </c>
      <c r="H725" s="176" t="s">
        <v>1223</v>
      </c>
      <c r="I725" s="176" t="s">
        <v>864</v>
      </c>
      <c r="J725" s="176" t="s">
        <v>865</v>
      </c>
      <c r="K725" s="176" t="s">
        <v>2687</v>
      </c>
      <c r="L725" s="40" t="s">
        <v>105</v>
      </c>
      <c r="M725" s="40" t="s">
        <v>341</v>
      </c>
      <c r="N725" s="14" t="s">
        <v>2698</v>
      </c>
      <c r="O725" s="14" t="s">
        <v>527</v>
      </c>
      <c r="P725" s="14" t="s">
        <v>2699</v>
      </c>
      <c r="Q725" s="14" t="s">
        <v>542</v>
      </c>
      <c r="R725" s="17">
        <v>200</v>
      </c>
      <c r="S725" s="172" t="s">
        <v>51</v>
      </c>
      <c r="T725" s="17">
        <v>260</v>
      </c>
      <c r="U725" s="14" t="s">
        <v>51</v>
      </c>
      <c r="V725" s="16">
        <f t="shared" si="101"/>
        <v>244149</v>
      </c>
      <c r="W725" s="16">
        <f t="shared" si="102"/>
        <v>244156</v>
      </c>
      <c r="X725" s="16">
        <f t="shared" si="103"/>
        <v>244151</v>
      </c>
      <c r="Y725" s="15"/>
      <c r="Z725" s="177"/>
      <c r="AA725" s="170"/>
      <c r="AB725" s="170"/>
      <c r="AC725" s="170"/>
      <c r="AD725" s="170"/>
      <c r="AE725" s="15"/>
      <c r="AF725" s="177"/>
      <c r="AG725" s="177">
        <f t="shared" si="99"/>
        <v>0</v>
      </c>
      <c r="AH725" s="177">
        <f t="shared" si="100"/>
        <v>0</v>
      </c>
      <c r="AK725" s="176"/>
      <c r="AL725" s="176"/>
    </row>
    <row r="726" spans="1:38" ht="36" customHeight="1" x14ac:dyDescent="0.2">
      <c r="A726" s="14" t="s">
        <v>22</v>
      </c>
      <c r="B726" s="212">
        <v>244149</v>
      </c>
      <c r="C726" s="14" t="s">
        <v>547</v>
      </c>
      <c r="D726" s="14" t="s">
        <v>268</v>
      </c>
      <c r="E726" s="14" t="s">
        <v>14</v>
      </c>
      <c r="F726" s="14" t="s">
        <v>324</v>
      </c>
      <c r="G726" s="179">
        <v>680725</v>
      </c>
      <c r="H726" s="176" t="s">
        <v>1223</v>
      </c>
      <c r="I726" s="176" t="s">
        <v>864</v>
      </c>
      <c r="J726" s="176" t="s">
        <v>865</v>
      </c>
      <c r="K726" s="176" t="s">
        <v>2687</v>
      </c>
      <c r="L726" s="40" t="s">
        <v>105</v>
      </c>
      <c r="M726" s="40" t="s">
        <v>341</v>
      </c>
      <c r="N726" s="14" t="s">
        <v>2691</v>
      </c>
      <c r="O726" s="14" t="s">
        <v>2694</v>
      </c>
      <c r="P726" s="14" t="s">
        <v>2700</v>
      </c>
      <c r="Q726" s="14" t="s">
        <v>2703</v>
      </c>
      <c r="R726" s="17">
        <v>950</v>
      </c>
      <c r="S726" s="172" t="s">
        <v>51</v>
      </c>
      <c r="T726" s="17">
        <v>1925</v>
      </c>
      <c r="U726" s="14" t="s">
        <v>51</v>
      </c>
      <c r="V726" s="16">
        <f t="shared" si="101"/>
        <v>244149</v>
      </c>
      <c r="W726" s="16">
        <f t="shared" si="102"/>
        <v>244156</v>
      </c>
      <c r="X726" s="16">
        <f t="shared" si="103"/>
        <v>244151</v>
      </c>
      <c r="Y726" s="15"/>
      <c r="Z726" s="177"/>
      <c r="AA726" s="170"/>
      <c r="AB726" s="170"/>
      <c r="AC726" s="170"/>
      <c r="AD726" s="170"/>
      <c r="AE726" s="15"/>
      <c r="AF726" s="177"/>
      <c r="AG726" s="177">
        <f t="shared" si="99"/>
        <v>0</v>
      </c>
      <c r="AH726" s="177">
        <f t="shared" si="100"/>
        <v>0</v>
      </c>
      <c r="AK726" s="176"/>
      <c r="AL726" s="176"/>
    </row>
    <row r="727" spans="1:38" ht="36" customHeight="1" x14ac:dyDescent="0.2">
      <c r="A727" s="14" t="s">
        <v>22</v>
      </c>
      <c r="B727" s="212">
        <v>244149</v>
      </c>
      <c r="C727" s="14" t="s">
        <v>547</v>
      </c>
      <c r="D727" s="14" t="s">
        <v>268</v>
      </c>
      <c r="E727" s="14" t="s">
        <v>14</v>
      </c>
      <c r="F727" s="14" t="s">
        <v>324</v>
      </c>
      <c r="G727" s="179">
        <v>680726</v>
      </c>
      <c r="H727" s="176" t="s">
        <v>1223</v>
      </c>
      <c r="I727" s="176" t="s">
        <v>864</v>
      </c>
      <c r="J727" s="176" t="s">
        <v>865</v>
      </c>
      <c r="K727" s="176" t="s">
        <v>2687</v>
      </c>
      <c r="L727" s="40" t="s">
        <v>105</v>
      </c>
      <c r="M727" s="40" t="s">
        <v>341</v>
      </c>
      <c r="N727" s="14" t="s">
        <v>2692</v>
      </c>
      <c r="O727" s="14" t="s">
        <v>2695</v>
      </c>
      <c r="P727" s="14" t="s">
        <v>2701</v>
      </c>
      <c r="Q727" s="14" t="s">
        <v>2704</v>
      </c>
      <c r="R727" s="17">
        <v>327</v>
      </c>
      <c r="S727" s="172" t="s">
        <v>51</v>
      </c>
      <c r="T727" s="17">
        <v>1400</v>
      </c>
      <c r="U727" s="14" t="s">
        <v>51</v>
      </c>
      <c r="V727" s="16">
        <f t="shared" si="101"/>
        <v>244149</v>
      </c>
      <c r="W727" s="16">
        <f t="shared" si="102"/>
        <v>244156</v>
      </c>
      <c r="X727" s="16">
        <f t="shared" si="103"/>
        <v>244151</v>
      </c>
      <c r="Y727" s="15"/>
      <c r="Z727" s="177"/>
      <c r="AA727" s="170"/>
      <c r="AB727" s="170"/>
      <c r="AC727" s="170"/>
      <c r="AD727" s="170"/>
      <c r="AE727" s="15"/>
      <c r="AF727" s="177"/>
      <c r="AG727" s="177">
        <f t="shared" si="99"/>
        <v>0</v>
      </c>
      <c r="AH727" s="177">
        <f t="shared" si="100"/>
        <v>0</v>
      </c>
      <c r="AK727" s="176"/>
      <c r="AL727" s="176"/>
    </row>
    <row r="728" spans="1:38" ht="36" customHeight="1" x14ac:dyDescent="0.2">
      <c r="A728" s="14" t="s">
        <v>22</v>
      </c>
      <c r="B728" s="212">
        <v>244151</v>
      </c>
      <c r="C728" s="14" t="s">
        <v>547</v>
      </c>
      <c r="D728" s="14" t="s">
        <v>268</v>
      </c>
      <c r="E728" s="14" t="s">
        <v>14</v>
      </c>
      <c r="F728" s="14" t="s">
        <v>324</v>
      </c>
      <c r="G728" s="179">
        <v>680727</v>
      </c>
      <c r="H728" s="176" t="s">
        <v>2705</v>
      </c>
      <c r="I728" s="176" t="s">
        <v>551</v>
      </c>
      <c r="J728" s="176" t="s">
        <v>596</v>
      </c>
      <c r="K728" s="176" t="s">
        <v>2707</v>
      </c>
      <c r="L728" s="40" t="s">
        <v>108</v>
      </c>
      <c r="M728" s="40" t="s">
        <v>341</v>
      </c>
      <c r="N728" s="14" t="s">
        <v>2711</v>
      </c>
      <c r="O728" s="14" t="s">
        <v>557</v>
      </c>
      <c r="P728" s="14" t="s">
        <v>1180</v>
      </c>
      <c r="Q728" s="14" t="s">
        <v>558</v>
      </c>
      <c r="R728" s="17">
        <v>150</v>
      </c>
      <c r="S728" s="172" t="s">
        <v>51</v>
      </c>
      <c r="T728" s="17">
        <v>665</v>
      </c>
      <c r="U728" s="14" t="s">
        <v>51</v>
      </c>
      <c r="V728" s="16">
        <f t="shared" si="101"/>
        <v>244151</v>
      </c>
      <c r="W728" s="16">
        <f t="shared" si="102"/>
        <v>244158</v>
      </c>
      <c r="X728" s="16">
        <f t="shared" si="103"/>
        <v>244153</v>
      </c>
      <c r="Y728" s="15"/>
      <c r="Z728" s="177"/>
      <c r="AA728" s="170"/>
      <c r="AB728" s="170"/>
      <c r="AC728" s="170"/>
      <c r="AD728" s="170"/>
      <c r="AE728" s="15"/>
      <c r="AF728" s="177"/>
      <c r="AG728" s="177">
        <f t="shared" si="99"/>
        <v>0</v>
      </c>
      <c r="AH728" s="177">
        <f t="shared" si="100"/>
        <v>0</v>
      </c>
      <c r="AK728" s="176"/>
      <c r="AL728" s="176"/>
    </row>
    <row r="729" spans="1:38" ht="36" customHeight="1" x14ac:dyDescent="0.2">
      <c r="A729" s="14" t="s">
        <v>22</v>
      </c>
      <c r="B729" s="212">
        <v>244151</v>
      </c>
      <c r="C729" s="14" t="s">
        <v>547</v>
      </c>
      <c r="D729" s="14" t="s">
        <v>268</v>
      </c>
      <c r="E729" s="14" t="s">
        <v>14</v>
      </c>
      <c r="F729" s="14" t="s">
        <v>324</v>
      </c>
      <c r="G729" s="179">
        <v>680728</v>
      </c>
      <c r="H729" s="176" t="s">
        <v>2227</v>
      </c>
      <c r="I729" s="176" t="s">
        <v>664</v>
      </c>
      <c r="J729" s="176" t="s">
        <v>123</v>
      </c>
      <c r="K729" s="176" t="s">
        <v>2686</v>
      </c>
      <c r="L729" s="40" t="s">
        <v>45</v>
      </c>
      <c r="M729" s="40" t="s">
        <v>341</v>
      </c>
      <c r="N729" s="14" t="s">
        <v>2712</v>
      </c>
      <c r="O729" s="14" t="s">
        <v>1585</v>
      </c>
      <c r="P729" s="14" t="s">
        <v>2718</v>
      </c>
      <c r="Q729" s="14" t="s">
        <v>1590</v>
      </c>
      <c r="R729" s="17">
        <v>200</v>
      </c>
      <c r="S729" s="172" t="s">
        <v>51</v>
      </c>
      <c r="T729" s="17">
        <v>1980</v>
      </c>
      <c r="U729" s="14" t="s">
        <v>51</v>
      </c>
      <c r="V729" s="16">
        <f t="shared" si="101"/>
        <v>244151</v>
      </c>
      <c r="W729" s="16">
        <f t="shared" si="102"/>
        <v>244158</v>
      </c>
      <c r="X729" s="16">
        <f t="shared" si="103"/>
        <v>244153</v>
      </c>
      <c r="Y729" s="15"/>
      <c r="Z729" s="177"/>
      <c r="AA729" s="170"/>
      <c r="AB729" s="170"/>
      <c r="AC729" s="170"/>
      <c r="AD729" s="170"/>
      <c r="AE729" s="15"/>
      <c r="AF729" s="177"/>
      <c r="AG729" s="177">
        <f t="shared" si="99"/>
        <v>0</v>
      </c>
      <c r="AH729" s="177">
        <f t="shared" si="100"/>
        <v>0</v>
      </c>
      <c r="AK729" s="176"/>
      <c r="AL729" s="176"/>
    </row>
    <row r="730" spans="1:38" ht="36" customHeight="1" x14ac:dyDescent="0.2">
      <c r="A730" s="14" t="s">
        <v>22</v>
      </c>
      <c r="B730" s="212">
        <v>244151</v>
      </c>
      <c r="C730" s="14" t="s">
        <v>547</v>
      </c>
      <c r="D730" s="14" t="s">
        <v>268</v>
      </c>
      <c r="E730" s="14" t="s">
        <v>14</v>
      </c>
      <c r="F730" s="14" t="s">
        <v>324</v>
      </c>
      <c r="G730" s="179">
        <v>680729</v>
      </c>
      <c r="H730" s="176" t="s">
        <v>2227</v>
      </c>
      <c r="I730" s="176" t="s">
        <v>664</v>
      </c>
      <c r="J730" s="176" t="s">
        <v>123</v>
      </c>
      <c r="K730" s="176" t="s">
        <v>2686</v>
      </c>
      <c r="L730" s="40" t="s">
        <v>45</v>
      </c>
      <c r="M730" s="40" t="s">
        <v>341</v>
      </c>
      <c r="N730" s="14" t="s">
        <v>2713</v>
      </c>
      <c r="O730" s="14" t="s">
        <v>543</v>
      </c>
      <c r="P730" s="14" t="s">
        <v>2719</v>
      </c>
      <c r="Q730" s="14" t="s">
        <v>529</v>
      </c>
      <c r="R730" s="17">
        <v>325</v>
      </c>
      <c r="S730" s="172" t="s">
        <v>51</v>
      </c>
      <c r="T730" s="17">
        <v>1980</v>
      </c>
      <c r="U730" s="14" t="s">
        <v>51</v>
      </c>
      <c r="V730" s="16">
        <f t="shared" si="101"/>
        <v>244151</v>
      </c>
      <c r="W730" s="16">
        <f t="shared" si="102"/>
        <v>244158</v>
      </c>
      <c r="X730" s="16">
        <f t="shared" si="103"/>
        <v>244153</v>
      </c>
      <c r="Y730" s="15"/>
      <c r="Z730" s="177"/>
      <c r="AA730" s="170"/>
      <c r="AB730" s="170"/>
      <c r="AC730" s="170"/>
      <c r="AD730" s="170"/>
      <c r="AE730" s="15"/>
      <c r="AF730" s="177"/>
      <c r="AG730" s="177">
        <f t="shared" si="99"/>
        <v>0</v>
      </c>
      <c r="AH730" s="177">
        <f t="shared" si="100"/>
        <v>0</v>
      </c>
      <c r="AK730" s="176"/>
      <c r="AL730" s="176"/>
    </row>
    <row r="731" spans="1:38" ht="36" customHeight="1" x14ac:dyDescent="0.2">
      <c r="A731" s="14" t="s">
        <v>22</v>
      </c>
      <c r="B731" s="212">
        <v>244151</v>
      </c>
      <c r="C731" s="14" t="s">
        <v>547</v>
      </c>
      <c r="D731" s="14" t="s">
        <v>268</v>
      </c>
      <c r="E731" s="14" t="s">
        <v>14</v>
      </c>
      <c r="F731" s="14" t="s">
        <v>324</v>
      </c>
      <c r="G731" s="179">
        <v>680730</v>
      </c>
      <c r="H731" s="176" t="s">
        <v>2706</v>
      </c>
      <c r="I731" s="176" t="s">
        <v>550</v>
      </c>
      <c r="J731" s="176" t="s">
        <v>128</v>
      </c>
      <c r="K731" s="176" t="s">
        <v>2708</v>
      </c>
      <c r="L731" s="40" t="s">
        <v>45</v>
      </c>
      <c r="M731" s="40" t="s">
        <v>341</v>
      </c>
      <c r="N731" s="14" t="s">
        <v>2716</v>
      </c>
      <c r="O731" s="14" t="s">
        <v>543</v>
      </c>
      <c r="P731" s="14" t="s">
        <v>901</v>
      </c>
      <c r="Q731" s="14" t="s">
        <v>529</v>
      </c>
      <c r="R731" s="17">
        <v>325</v>
      </c>
      <c r="S731" s="172" t="s">
        <v>51</v>
      </c>
      <c r="T731" s="17">
        <v>2450</v>
      </c>
      <c r="U731" s="14" t="s">
        <v>51</v>
      </c>
      <c r="V731" s="16">
        <f t="shared" si="101"/>
        <v>244151</v>
      </c>
      <c r="W731" s="16">
        <f t="shared" si="102"/>
        <v>244158</v>
      </c>
      <c r="X731" s="16">
        <f t="shared" si="103"/>
        <v>244153</v>
      </c>
      <c r="Y731" s="15"/>
      <c r="Z731" s="177"/>
      <c r="AA731" s="170"/>
      <c r="AB731" s="170"/>
      <c r="AC731" s="170"/>
      <c r="AD731" s="170"/>
      <c r="AE731" s="15"/>
      <c r="AF731" s="177"/>
      <c r="AG731" s="177">
        <f t="shared" si="99"/>
        <v>0</v>
      </c>
      <c r="AH731" s="177">
        <f t="shared" si="100"/>
        <v>0</v>
      </c>
      <c r="AK731" s="176"/>
      <c r="AL731" s="176"/>
    </row>
    <row r="732" spans="1:38" ht="36" customHeight="1" x14ac:dyDescent="0.2">
      <c r="A732" s="14" t="s">
        <v>22</v>
      </c>
      <c r="B732" s="212">
        <v>244151</v>
      </c>
      <c r="C732" s="14" t="s">
        <v>547</v>
      </c>
      <c r="D732" s="14" t="s">
        <v>268</v>
      </c>
      <c r="E732" s="14" t="s">
        <v>14</v>
      </c>
      <c r="F732" s="14" t="s">
        <v>324</v>
      </c>
      <c r="G732" s="179">
        <v>680731</v>
      </c>
      <c r="H732" s="176" t="s">
        <v>1548</v>
      </c>
      <c r="I732" s="176" t="s">
        <v>630</v>
      </c>
      <c r="J732" s="176" t="s">
        <v>520</v>
      </c>
      <c r="K732" s="176" t="s">
        <v>2709</v>
      </c>
      <c r="L732" s="40" t="s">
        <v>105</v>
      </c>
      <c r="M732" s="40" t="s">
        <v>341</v>
      </c>
      <c r="N732" s="14" t="s">
        <v>2717</v>
      </c>
      <c r="O732" s="14" t="s">
        <v>552</v>
      </c>
      <c r="P732" s="14" t="s">
        <v>2720</v>
      </c>
      <c r="Q732" s="14" t="s">
        <v>553</v>
      </c>
      <c r="R732" s="17">
        <v>220</v>
      </c>
      <c r="S732" s="172" t="s">
        <v>51</v>
      </c>
      <c r="T732" s="17">
        <v>2050</v>
      </c>
      <c r="U732" s="14" t="s">
        <v>51</v>
      </c>
      <c r="V732" s="16">
        <f t="shared" si="101"/>
        <v>244151</v>
      </c>
      <c r="W732" s="16">
        <f t="shared" si="102"/>
        <v>244158</v>
      </c>
      <c r="X732" s="16">
        <f t="shared" si="103"/>
        <v>244153</v>
      </c>
      <c r="Y732" s="15"/>
      <c r="Z732" s="177"/>
      <c r="AA732" s="170"/>
      <c r="AB732" s="170"/>
      <c r="AC732" s="170"/>
      <c r="AD732" s="170"/>
      <c r="AE732" s="15"/>
      <c r="AF732" s="177"/>
      <c r="AG732" s="177">
        <f t="shared" si="99"/>
        <v>0</v>
      </c>
      <c r="AH732" s="177">
        <f t="shared" si="100"/>
        <v>0</v>
      </c>
      <c r="AK732" s="176"/>
      <c r="AL732" s="176"/>
    </row>
    <row r="733" spans="1:38" ht="36" customHeight="1" x14ac:dyDescent="0.2">
      <c r="A733" s="14" t="s">
        <v>22</v>
      </c>
      <c r="B733" s="212">
        <v>244151</v>
      </c>
      <c r="C733" s="14" t="s">
        <v>547</v>
      </c>
      <c r="D733" s="14" t="s">
        <v>268</v>
      </c>
      <c r="E733" s="14" t="s">
        <v>14</v>
      </c>
      <c r="F733" s="14" t="s">
        <v>324</v>
      </c>
      <c r="G733" s="179">
        <v>680732</v>
      </c>
      <c r="H733" s="176" t="s">
        <v>1548</v>
      </c>
      <c r="I733" s="176" t="s">
        <v>630</v>
      </c>
      <c r="J733" s="176" t="s">
        <v>520</v>
      </c>
      <c r="K733" s="176" t="s">
        <v>2709</v>
      </c>
      <c r="L733" s="40" t="s">
        <v>105</v>
      </c>
      <c r="M733" s="40" t="s">
        <v>341</v>
      </c>
      <c r="N733" s="14" t="s">
        <v>2714</v>
      </c>
      <c r="O733" s="14" t="s">
        <v>527</v>
      </c>
      <c r="P733" s="14" t="s">
        <v>2721</v>
      </c>
      <c r="Q733" s="14" t="s">
        <v>542</v>
      </c>
      <c r="R733" s="17">
        <v>288</v>
      </c>
      <c r="S733" s="172" t="s">
        <v>51</v>
      </c>
      <c r="T733" s="17">
        <v>2040</v>
      </c>
      <c r="U733" s="14" t="s">
        <v>51</v>
      </c>
      <c r="V733" s="16">
        <f t="shared" si="101"/>
        <v>244151</v>
      </c>
      <c r="W733" s="16">
        <f t="shared" si="102"/>
        <v>244158</v>
      </c>
      <c r="X733" s="16">
        <f t="shared" si="103"/>
        <v>244153</v>
      </c>
      <c r="Y733" s="15"/>
      <c r="Z733" s="177"/>
      <c r="AA733" s="170"/>
      <c r="AB733" s="170"/>
      <c r="AC733" s="170"/>
      <c r="AD733" s="170"/>
      <c r="AE733" s="15"/>
      <c r="AF733" s="177"/>
      <c r="AG733" s="177">
        <f t="shared" si="99"/>
        <v>0</v>
      </c>
      <c r="AH733" s="177">
        <f t="shared" si="100"/>
        <v>0</v>
      </c>
      <c r="AK733" s="176"/>
      <c r="AL733" s="176"/>
    </row>
    <row r="734" spans="1:38" ht="36" customHeight="1" x14ac:dyDescent="0.2">
      <c r="A734" s="14" t="s">
        <v>22</v>
      </c>
      <c r="B734" s="212">
        <v>244151</v>
      </c>
      <c r="C734" s="14" t="s">
        <v>547</v>
      </c>
      <c r="D734" s="14" t="s">
        <v>268</v>
      </c>
      <c r="E734" s="14" t="s">
        <v>14</v>
      </c>
      <c r="F734" s="14" t="s">
        <v>324</v>
      </c>
      <c r="G734" s="179">
        <v>680733</v>
      </c>
      <c r="H734" s="176" t="s">
        <v>905</v>
      </c>
      <c r="I734" s="176" t="s">
        <v>909</v>
      </c>
      <c r="J734" s="176" t="s">
        <v>2042</v>
      </c>
      <c r="K734" s="176" t="s">
        <v>2710</v>
      </c>
      <c r="L734" s="40" t="s">
        <v>45</v>
      </c>
      <c r="M734" s="40" t="s">
        <v>341</v>
      </c>
      <c r="N734" s="14" t="s">
        <v>2715</v>
      </c>
      <c r="O734" s="14" t="s">
        <v>548</v>
      </c>
      <c r="P734" s="14" t="s">
        <v>717</v>
      </c>
      <c r="Q734" s="14" t="s">
        <v>549</v>
      </c>
      <c r="R734" s="17">
        <v>251</v>
      </c>
      <c r="S734" s="172" t="s">
        <v>51</v>
      </c>
      <c r="T734" s="17">
        <v>1810</v>
      </c>
      <c r="U734" s="14" t="s">
        <v>51</v>
      </c>
      <c r="V734" s="16">
        <f t="shared" si="101"/>
        <v>244151</v>
      </c>
      <c r="W734" s="16">
        <f t="shared" si="102"/>
        <v>244158</v>
      </c>
      <c r="X734" s="16">
        <f t="shared" si="103"/>
        <v>244153</v>
      </c>
      <c r="Y734" s="15"/>
      <c r="Z734" s="177"/>
      <c r="AA734" s="170"/>
      <c r="AB734" s="170"/>
      <c r="AC734" s="170"/>
      <c r="AD734" s="170"/>
      <c r="AE734" s="15"/>
      <c r="AF734" s="177"/>
      <c r="AG734" s="177">
        <f t="shared" si="99"/>
        <v>0</v>
      </c>
      <c r="AH734" s="177">
        <f t="shared" si="100"/>
        <v>0</v>
      </c>
      <c r="AK734" s="176"/>
      <c r="AL734" s="176"/>
    </row>
    <row r="735" spans="1:38" ht="36" customHeight="1" x14ac:dyDescent="0.2">
      <c r="A735" s="14" t="s">
        <v>22</v>
      </c>
      <c r="B735" s="212">
        <v>244151</v>
      </c>
      <c r="C735" s="14" t="s">
        <v>547</v>
      </c>
      <c r="D735" s="14" t="s">
        <v>268</v>
      </c>
      <c r="E735" s="14" t="s">
        <v>14</v>
      </c>
      <c r="F735" s="14" t="s">
        <v>324</v>
      </c>
      <c r="G735" s="179">
        <v>680734</v>
      </c>
      <c r="H735" s="176" t="s">
        <v>627</v>
      </c>
      <c r="I735" s="176" t="s">
        <v>630</v>
      </c>
      <c r="J735" s="176" t="s">
        <v>520</v>
      </c>
      <c r="K735" s="176" t="s">
        <v>2722</v>
      </c>
      <c r="L735" s="40" t="s">
        <v>105</v>
      </c>
      <c r="M735" s="40" t="s">
        <v>341</v>
      </c>
      <c r="N735" s="14" t="s">
        <v>2723</v>
      </c>
      <c r="O735" s="14" t="s">
        <v>2724</v>
      </c>
      <c r="P735" s="14" t="s">
        <v>2725</v>
      </c>
      <c r="Q735" s="14" t="s">
        <v>2726</v>
      </c>
      <c r="R735" s="17">
        <v>359</v>
      </c>
      <c r="S735" s="172" t="s">
        <v>51</v>
      </c>
      <c r="T735" s="17">
        <v>1134</v>
      </c>
      <c r="U735" s="14" t="s">
        <v>51</v>
      </c>
      <c r="V735" s="16">
        <f t="shared" si="101"/>
        <v>244151</v>
      </c>
      <c r="W735" s="16">
        <f t="shared" si="102"/>
        <v>244158</v>
      </c>
      <c r="X735" s="16">
        <f t="shared" si="103"/>
        <v>244153</v>
      </c>
      <c r="Y735" s="15"/>
      <c r="Z735" s="177"/>
      <c r="AA735" s="170"/>
      <c r="AB735" s="170"/>
      <c r="AC735" s="170"/>
      <c r="AD735" s="170"/>
      <c r="AE735" s="15"/>
      <c r="AF735" s="177"/>
      <c r="AG735" s="177">
        <f t="shared" si="99"/>
        <v>0</v>
      </c>
      <c r="AH735" s="177">
        <f t="shared" si="100"/>
        <v>0</v>
      </c>
      <c r="AK735" s="176"/>
      <c r="AL735" s="176"/>
    </row>
    <row r="736" spans="1:38" ht="36" customHeight="1" x14ac:dyDescent="0.2">
      <c r="A736" s="14" t="s">
        <v>22</v>
      </c>
      <c r="B736" s="212">
        <v>244152</v>
      </c>
      <c r="C736" s="14" t="s">
        <v>547</v>
      </c>
      <c r="D736" s="14" t="s">
        <v>268</v>
      </c>
      <c r="E736" s="14" t="s">
        <v>14</v>
      </c>
      <c r="F736" s="14" t="s">
        <v>324</v>
      </c>
      <c r="G736" s="179">
        <v>680735</v>
      </c>
      <c r="H736" s="176" t="s">
        <v>2727</v>
      </c>
      <c r="I736" s="176" t="s">
        <v>2260</v>
      </c>
      <c r="J736" s="176" t="s">
        <v>2728</v>
      </c>
      <c r="K736" s="176" t="s">
        <v>2730</v>
      </c>
      <c r="L736" s="40" t="s">
        <v>46</v>
      </c>
      <c r="M736" s="40" t="s">
        <v>341</v>
      </c>
      <c r="N736" s="14" t="s">
        <v>2735</v>
      </c>
      <c r="O736" s="14" t="s">
        <v>543</v>
      </c>
      <c r="P736" s="14" t="s">
        <v>901</v>
      </c>
      <c r="Q736" s="14" t="s">
        <v>529</v>
      </c>
      <c r="R736" s="17">
        <v>200</v>
      </c>
      <c r="S736" s="172" t="s">
        <v>51</v>
      </c>
      <c r="T736" s="17">
        <v>400</v>
      </c>
      <c r="U736" s="14" t="s">
        <v>51</v>
      </c>
      <c r="V736" s="16">
        <f t="shared" si="101"/>
        <v>244152</v>
      </c>
      <c r="W736" s="16">
        <f t="shared" si="102"/>
        <v>244159</v>
      </c>
      <c r="X736" s="16">
        <f t="shared" si="103"/>
        <v>244154</v>
      </c>
      <c r="Y736" s="15"/>
      <c r="Z736" s="177"/>
      <c r="AA736" s="170"/>
      <c r="AB736" s="170"/>
      <c r="AC736" s="170"/>
      <c r="AD736" s="170"/>
      <c r="AE736" s="15"/>
      <c r="AF736" s="177"/>
      <c r="AG736" s="177">
        <f t="shared" ref="AG736:AG799" si="104">AE736</f>
        <v>0</v>
      </c>
      <c r="AH736" s="177">
        <f t="shared" ref="AH736:AH799" si="105">AF736</f>
        <v>0</v>
      </c>
      <c r="AK736" s="176"/>
      <c r="AL736" s="176"/>
    </row>
    <row r="737" spans="1:38" ht="36" customHeight="1" x14ac:dyDescent="0.2">
      <c r="A737" s="14" t="s">
        <v>22</v>
      </c>
      <c r="B737" s="212">
        <v>244152</v>
      </c>
      <c r="C737" s="14" t="s">
        <v>547</v>
      </c>
      <c r="D737" s="14" t="s">
        <v>268</v>
      </c>
      <c r="E737" s="14" t="s">
        <v>14</v>
      </c>
      <c r="F737" s="14" t="s">
        <v>324</v>
      </c>
      <c r="G737" s="179">
        <v>680736</v>
      </c>
      <c r="H737" s="176" t="s">
        <v>1547</v>
      </c>
      <c r="I737" s="176" t="s">
        <v>550</v>
      </c>
      <c r="J737" s="176" t="s">
        <v>128</v>
      </c>
      <c r="K737" s="176" t="s">
        <v>2731</v>
      </c>
      <c r="L737" s="40" t="s">
        <v>106</v>
      </c>
      <c r="M737" s="40" t="s">
        <v>341</v>
      </c>
      <c r="N737" s="14" t="s">
        <v>1242</v>
      </c>
      <c r="O737" s="14" t="s">
        <v>1178</v>
      </c>
      <c r="P737" s="14" t="s">
        <v>517</v>
      </c>
      <c r="Q737" s="14" t="s">
        <v>1182</v>
      </c>
      <c r="R737" s="17">
        <v>150</v>
      </c>
      <c r="S737" s="172" t="s">
        <v>51</v>
      </c>
      <c r="T737" s="17">
        <v>2475</v>
      </c>
      <c r="U737" s="14" t="s">
        <v>51</v>
      </c>
      <c r="V737" s="16">
        <f t="shared" si="101"/>
        <v>244152</v>
      </c>
      <c r="W737" s="16">
        <f t="shared" si="102"/>
        <v>244159</v>
      </c>
      <c r="X737" s="16">
        <f t="shared" si="103"/>
        <v>244154</v>
      </c>
      <c r="Y737" s="15" t="s">
        <v>54</v>
      </c>
      <c r="Z737" s="177">
        <v>244224</v>
      </c>
      <c r="AA737" s="170"/>
      <c r="AB737" s="170"/>
      <c r="AC737" s="170"/>
      <c r="AD737" s="170"/>
      <c r="AE737" s="15" t="s">
        <v>54</v>
      </c>
      <c r="AF737" s="177">
        <v>244228</v>
      </c>
      <c r="AG737" s="177" t="str">
        <f t="shared" si="104"/>
        <v>Pass</v>
      </c>
      <c r="AH737" s="177">
        <f t="shared" si="105"/>
        <v>244228</v>
      </c>
      <c r="AK737" s="176"/>
      <c r="AL737" s="176"/>
    </row>
    <row r="738" spans="1:38" ht="36" customHeight="1" x14ac:dyDescent="0.2">
      <c r="A738" s="14" t="s">
        <v>22</v>
      </c>
      <c r="B738" s="212">
        <v>244152</v>
      </c>
      <c r="C738" s="14" t="s">
        <v>547</v>
      </c>
      <c r="D738" s="14" t="s">
        <v>268</v>
      </c>
      <c r="E738" s="14" t="s">
        <v>14</v>
      </c>
      <c r="F738" s="14" t="s">
        <v>324</v>
      </c>
      <c r="G738" s="179">
        <v>680737</v>
      </c>
      <c r="H738" s="176" t="s">
        <v>2727</v>
      </c>
      <c r="I738" s="176" t="s">
        <v>2260</v>
      </c>
      <c r="J738" s="176" t="s">
        <v>2728</v>
      </c>
      <c r="K738" s="176" t="s">
        <v>2730</v>
      </c>
      <c r="L738" s="40" t="s">
        <v>46</v>
      </c>
      <c r="M738" s="40" t="s">
        <v>341</v>
      </c>
      <c r="N738" s="14" t="s">
        <v>2740</v>
      </c>
      <c r="O738" s="14" t="s">
        <v>552</v>
      </c>
      <c r="P738" s="14" t="s">
        <v>685</v>
      </c>
      <c r="Q738" s="14" t="s">
        <v>553</v>
      </c>
      <c r="R738" s="17">
        <v>340</v>
      </c>
      <c r="S738" s="172" t="s">
        <v>51</v>
      </c>
      <c r="T738" s="17">
        <v>1750</v>
      </c>
      <c r="U738" s="14" t="s">
        <v>51</v>
      </c>
      <c r="V738" s="16">
        <f t="shared" si="101"/>
        <v>244152</v>
      </c>
      <c r="W738" s="16">
        <f t="shared" si="102"/>
        <v>244159</v>
      </c>
      <c r="X738" s="16">
        <f t="shared" si="103"/>
        <v>244154</v>
      </c>
      <c r="Y738" s="15"/>
      <c r="Z738" s="177"/>
      <c r="AA738" s="170"/>
      <c r="AB738" s="170"/>
      <c r="AC738" s="170"/>
      <c r="AD738" s="170"/>
      <c r="AE738" s="15"/>
      <c r="AF738" s="177"/>
      <c r="AG738" s="177">
        <f t="shared" si="104"/>
        <v>0</v>
      </c>
      <c r="AH738" s="177">
        <f t="shared" si="105"/>
        <v>0</v>
      </c>
      <c r="AK738" s="176"/>
      <c r="AL738" s="176"/>
    </row>
    <row r="739" spans="1:38" ht="36" customHeight="1" x14ac:dyDescent="0.2">
      <c r="A739" s="14" t="s">
        <v>22</v>
      </c>
      <c r="B739" s="212">
        <v>244152</v>
      </c>
      <c r="C739" s="14" t="s">
        <v>547</v>
      </c>
      <c r="D739" s="14" t="s">
        <v>268</v>
      </c>
      <c r="E739" s="14" t="s">
        <v>14</v>
      </c>
      <c r="F739" s="14" t="s">
        <v>324</v>
      </c>
      <c r="G739" s="179">
        <v>680738</v>
      </c>
      <c r="H739" s="176" t="s">
        <v>2365</v>
      </c>
      <c r="I739" s="176" t="s">
        <v>551</v>
      </c>
      <c r="J739" s="176" t="s">
        <v>596</v>
      </c>
      <c r="K739" s="176" t="s">
        <v>2732</v>
      </c>
      <c r="L739" s="40" t="s">
        <v>108</v>
      </c>
      <c r="M739" s="40" t="s">
        <v>341</v>
      </c>
      <c r="N739" s="14" t="s">
        <v>2736</v>
      </c>
      <c r="O739" s="14" t="s">
        <v>2739</v>
      </c>
      <c r="P739" s="14" t="s">
        <v>2741</v>
      </c>
      <c r="Q739" s="14" t="s">
        <v>2743</v>
      </c>
      <c r="R739" s="17">
        <v>2950</v>
      </c>
      <c r="S739" s="172" t="s">
        <v>51</v>
      </c>
      <c r="T739" s="17">
        <v>3040</v>
      </c>
      <c r="U739" s="14" t="s">
        <v>51</v>
      </c>
      <c r="V739" s="16">
        <f t="shared" si="101"/>
        <v>244152</v>
      </c>
      <c r="W739" s="16">
        <f t="shared" si="102"/>
        <v>244159</v>
      </c>
      <c r="X739" s="16">
        <f t="shared" si="103"/>
        <v>244154</v>
      </c>
      <c r="Y739" s="15" t="s">
        <v>54</v>
      </c>
      <c r="Z739" s="177">
        <v>244167</v>
      </c>
      <c r="AA739" s="170"/>
      <c r="AB739" s="170"/>
      <c r="AC739" s="170"/>
      <c r="AD739" s="170"/>
      <c r="AE739" s="15" t="s">
        <v>54</v>
      </c>
      <c r="AF739" s="177">
        <v>244168</v>
      </c>
      <c r="AG739" s="177" t="str">
        <f t="shared" si="104"/>
        <v>Pass</v>
      </c>
      <c r="AH739" s="177">
        <f t="shared" si="105"/>
        <v>244168</v>
      </c>
      <c r="AK739" s="176"/>
      <c r="AL739" s="176"/>
    </row>
    <row r="740" spans="1:38" ht="36" customHeight="1" x14ac:dyDescent="0.2">
      <c r="A740" s="14" t="s">
        <v>22</v>
      </c>
      <c r="B740" s="212">
        <v>244152</v>
      </c>
      <c r="C740" s="14" t="s">
        <v>547</v>
      </c>
      <c r="D740" s="14" t="s">
        <v>268</v>
      </c>
      <c r="E740" s="14" t="s">
        <v>14</v>
      </c>
      <c r="F740" s="14" t="s">
        <v>324</v>
      </c>
      <c r="G740" s="179">
        <v>680739</v>
      </c>
      <c r="H740" s="176" t="s">
        <v>2415</v>
      </c>
      <c r="I740" s="176" t="s">
        <v>864</v>
      </c>
      <c r="J740" s="176" t="s">
        <v>2729</v>
      </c>
      <c r="K740" s="176" t="s">
        <v>2733</v>
      </c>
      <c r="L740" s="40" t="s">
        <v>46</v>
      </c>
      <c r="M740" s="40" t="s">
        <v>341</v>
      </c>
      <c r="N740" s="14" t="s">
        <v>2737</v>
      </c>
      <c r="O740" s="14" t="s">
        <v>543</v>
      </c>
      <c r="P740" s="14" t="s">
        <v>2742</v>
      </c>
      <c r="Q740" s="14" t="s">
        <v>529</v>
      </c>
      <c r="R740" s="17">
        <v>300</v>
      </c>
      <c r="S740" s="172" t="s">
        <v>51</v>
      </c>
      <c r="T740" s="17">
        <v>325</v>
      </c>
      <c r="U740" s="14" t="s">
        <v>51</v>
      </c>
      <c r="V740" s="16">
        <f t="shared" si="101"/>
        <v>244152</v>
      </c>
      <c r="W740" s="16">
        <f t="shared" si="102"/>
        <v>244159</v>
      </c>
      <c r="X740" s="16">
        <f t="shared" si="103"/>
        <v>244154</v>
      </c>
      <c r="Y740" s="15"/>
      <c r="Z740" s="177"/>
      <c r="AA740" s="170"/>
      <c r="AB740" s="170"/>
      <c r="AC740" s="170"/>
      <c r="AD740" s="170"/>
      <c r="AE740" s="15"/>
      <c r="AF740" s="177"/>
      <c r="AG740" s="177">
        <f t="shared" si="104"/>
        <v>0</v>
      </c>
      <c r="AH740" s="177">
        <f t="shared" si="105"/>
        <v>0</v>
      </c>
      <c r="AK740" s="176"/>
      <c r="AL740" s="176"/>
    </row>
    <row r="741" spans="1:38" ht="36" customHeight="1" x14ac:dyDescent="0.2">
      <c r="A741" s="14" t="s">
        <v>22</v>
      </c>
      <c r="B741" s="212">
        <v>244152</v>
      </c>
      <c r="C741" s="14" t="s">
        <v>547</v>
      </c>
      <c r="D741" s="14" t="s">
        <v>268</v>
      </c>
      <c r="E741" s="14" t="s">
        <v>14</v>
      </c>
      <c r="F741" s="14" t="s">
        <v>324</v>
      </c>
      <c r="G741" s="179">
        <v>680740</v>
      </c>
      <c r="H741" s="176" t="s">
        <v>2089</v>
      </c>
      <c r="I741" s="176" t="s">
        <v>550</v>
      </c>
      <c r="J741" s="176" t="s">
        <v>128</v>
      </c>
      <c r="K741" s="176" t="s">
        <v>2734</v>
      </c>
      <c r="L741" s="40" t="s">
        <v>106</v>
      </c>
      <c r="M741" s="40" t="s">
        <v>341</v>
      </c>
      <c r="N741" s="14" t="s">
        <v>2738</v>
      </c>
      <c r="O741" s="14" t="s">
        <v>548</v>
      </c>
      <c r="P741" s="14" t="s">
        <v>717</v>
      </c>
      <c r="Q741" s="14" t="s">
        <v>549</v>
      </c>
      <c r="R741" s="17">
        <v>113</v>
      </c>
      <c r="S741" s="172" t="s">
        <v>51</v>
      </c>
      <c r="T741" s="17">
        <v>2610</v>
      </c>
      <c r="U741" s="14" t="s">
        <v>51</v>
      </c>
      <c r="V741" s="16">
        <f t="shared" si="101"/>
        <v>244152</v>
      </c>
      <c r="W741" s="16">
        <f t="shared" si="102"/>
        <v>244159</v>
      </c>
      <c r="X741" s="16">
        <f t="shared" si="103"/>
        <v>244154</v>
      </c>
      <c r="Y741" s="15"/>
      <c r="Z741" s="177"/>
      <c r="AA741" s="170"/>
      <c r="AB741" s="170"/>
      <c r="AC741" s="170"/>
      <c r="AD741" s="170"/>
      <c r="AE741" s="15"/>
      <c r="AF741" s="177"/>
      <c r="AG741" s="177">
        <f t="shared" si="104"/>
        <v>0</v>
      </c>
      <c r="AH741" s="177">
        <f t="shared" si="105"/>
        <v>0</v>
      </c>
      <c r="AK741" s="176"/>
      <c r="AL741" s="176"/>
    </row>
    <row r="742" spans="1:38" ht="36" customHeight="1" x14ac:dyDescent="0.2">
      <c r="A742" s="14" t="s">
        <v>22</v>
      </c>
      <c r="B742" s="212">
        <v>244152</v>
      </c>
      <c r="C742" s="14" t="s">
        <v>547</v>
      </c>
      <c r="D742" s="14" t="s">
        <v>268</v>
      </c>
      <c r="E742" s="14" t="s">
        <v>14</v>
      </c>
      <c r="F742" s="14" t="s">
        <v>324</v>
      </c>
      <c r="G742" s="179">
        <v>680741</v>
      </c>
      <c r="H742" s="176" t="s">
        <v>2415</v>
      </c>
      <c r="I742" s="176" t="s">
        <v>864</v>
      </c>
      <c r="J742" s="176" t="s">
        <v>2729</v>
      </c>
      <c r="K742" s="176" t="s">
        <v>2733</v>
      </c>
      <c r="L742" s="40" t="s">
        <v>46</v>
      </c>
      <c r="M742" s="40" t="s">
        <v>341</v>
      </c>
      <c r="N742" s="14" t="s">
        <v>1441</v>
      </c>
      <c r="O742" s="14" t="s">
        <v>548</v>
      </c>
      <c r="P742" s="14" t="s">
        <v>717</v>
      </c>
      <c r="Q742" s="14" t="s">
        <v>549</v>
      </c>
      <c r="R742" s="17">
        <v>132</v>
      </c>
      <c r="S742" s="172" t="s">
        <v>51</v>
      </c>
      <c r="T742" s="17">
        <v>1070</v>
      </c>
      <c r="U742" s="14" t="s">
        <v>51</v>
      </c>
      <c r="V742" s="16">
        <f t="shared" si="101"/>
        <v>244152</v>
      </c>
      <c r="W742" s="16">
        <f t="shared" si="102"/>
        <v>244159</v>
      </c>
      <c r="X742" s="16">
        <f t="shared" si="103"/>
        <v>244154</v>
      </c>
      <c r="Y742" s="15"/>
      <c r="Z742" s="177"/>
      <c r="AA742" s="170"/>
      <c r="AB742" s="170"/>
      <c r="AC742" s="170"/>
      <c r="AD742" s="170"/>
      <c r="AE742" s="15"/>
      <c r="AF742" s="177"/>
      <c r="AG742" s="177">
        <f t="shared" si="104"/>
        <v>0</v>
      </c>
      <c r="AH742" s="177">
        <f t="shared" si="105"/>
        <v>0</v>
      </c>
      <c r="AK742" s="176"/>
      <c r="AL742" s="176"/>
    </row>
    <row r="743" spans="1:38" ht="36" customHeight="1" x14ac:dyDescent="0.2">
      <c r="A743" s="14" t="s">
        <v>22</v>
      </c>
      <c r="B743" s="212">
        <v>244152</v>
      </c>
      <c r="C743" s="14" t="s">
        <v>547</v>
      </c>
      <c r="D743" s="14" t="s">
        <v>268</v>
      </c>
      <c r="E743" s="14" t="s">
        <v>14</v>
      </c>
      <c r="F743" s="14" t="s">
        <v>324</v>
      </c>
      <c r="G743" s="179">
        <v>680742</v>
      </c>
      <c r="H743" s="176" t="s">
        <v>2744</v>
      </c>
      <c r="I743" s="176" t="s">
        <v>2639</v>
      </c>
      <c r="J743" s="176" t="s">
        <v>2640</v>
      </c>
      <c r="K743" s="176" t="s">
        <v>2746</v>
      </c>
      <c r="L743" s="40" t="s">
        <v>46</v>
      </c>
      <c r="M743" s="40" t="s">
        <v>341</v>
      </c>
      <c r="N743" s="14" t="s">
        <v>2748</v>
      </c>
      <c r="O743" s="14" t="s">
        <v>548</v>
      </c>
      <c r="P743" s="14" t="s">
        <v>717</v>
      </c>
      <c r="Q743" s="14" t="s">
        <v>549</v>
      </c>
      <c r="R743" s="17">
        <v>148</v>
      </c>
      <c r="S743" s="172" t="s">
        <v>51</v>
      </c>
      <c r="T743" s="17">
        <v>1732</v>
      </c>
      <c r="U743" s="14" t="s">
        <v>51</v>
      </c>
      <c r="V743" s="16">
        <f t="shared" si="101"/>
        <v>244152</v>
      </c>
      <c r="W743" s="16">
        <f t="shared" si="102"/>
        <v>244159</v>
      </c>
      <c r="X743" s="16">
        <f t="shared" si="103"/>
        <v>244154</v>
      </c>
      <c r="Y743" s="15"/>
      <c r="Z743" s="177"/>
      <c r="AA743" s="170"/>
      <c r="AB743" s="170"/>
      <c r="AC743" s="170"/>
      <c r="AD743" s="170"/>
      <c r="AE743" s="15"/>
      <c r="AF743" s="177"/>
      <c r="AG743" s="177">
        <f t="shared" si="104"/>
        <v>0</v>
      </c>
      <c r="AH743" s="177">
        <f t="shared" si="105"/>
        <v>0</v>
      </c>
      <c r="AK743" s="176"/>
      <c r="AL743" s="176"/>
    </row>
    <row r="744" spans="1:38" ht="36" customHeight="1" x14ac:dyDescent="0.2">
      <c r="A744" s="14" t="s">
        <v>22</v>
      </c>
      <c r="B744" s="212">
        <v>244152</v>
      </c>
      <c r="C744" s="14" t="s">
        <v>547</v>
      </c>
      <c r="D744" s="14" t="s">
        <v>268</v>
      </c>
      <c r="E744" s="14" t="s">
        <v>14</v>
      </c>
      <c r="F744" s="14" t="s">
        <v>324</v>
      </c>
      <c r="G744" s="179">
        <v>680743</v>
      </c>
      <c r="H744" s="176" t="s">
        <v>2745</v>
      </c>
      <c r="I744" s="176" t="s">
        <v>551</v>
      </c>
      <c r="J744" s="176" t="s">
        <v>596</v>
      </c>
      <c r="K744" s="176" t="s">
        <v>2747</v>
      </c>
      <c r="L744" s="40" t="s">
        <v>108</v>
      </c>
      <c r="M744" s="40" t="s">
        <v>341</v>
      </c>
      <c r="N744" s="14" t="s">
        <v>1384</v>
      </c>
      <c r="O744" s="14" t="s">
        <v>548</v>
      </c>
      <c r="P744" s="14" t="s">
        <v>717</v>
      </c>
      <c r="Q744" s="14" t="s">
        <v>549</v>
      </c>
      <c r="R744" s="17">
        <v>225</v>
      </c>
      <c r="S744" s="172" t="s">
        <v>51</v>
      </c>
      <c r="T744" s="17">
        <v>2950</v>
      </c>
      <c r="U744" s="14" t="s">
        <v>51</v>
      </c>
      <c r="V744" s="16">
        <f t="shared" si="101"/>
        <v>244152</v>
      </c>
      <c r="W744" s="16">
        <f t="shared" si="102"/>
        <v>244159</v>
      </c>
      <c r="X744" s="16">
        <f t="shared" si="103"/>
        <v>244154</v>
      </c>
      <c r="Y744" s="15"/>
      <c r="Z744" s="177"/>
      <c r="AA744" s="170"/>
      <c r="AB744" s="170"/>
      <c r="AC744" s="170"/>
      <c r="AD744" s="170"/>
      <c r="AE744" s="15"/>
      <c r="AF744" s="177"/>
      <c r="AG744" s="177">
        <f t="shared" si="104"/>
        <v>0</v>
      </c>
      <c r="AH744" s="177">
        <f t="shared" si="105"/>
        <v>0</v>
      </c>
      <c r="AK744" s="176"/>
      <c r="AL744" s="176"/>
    </row>
    <row r="745" spans="1:38" ht="36" customHeight="1" x14ac:dyDescent="0.2">
      <c r="A745" s="14" t="s">
        <v>22</v>
      </c>
      <c r="B745" s="212">
        <v>244153</v>
      </c>
      <c r="C745" s="14" t="s">
        <v>547</v>
      </c>
      <c r="D745" s="14" t="s">
        <v>268</v>
      </c>
      <c r="E745" s="14" t="s">
        <v>14</v>
      </c>
      <c r="F745" s="14" t="s">
        <v>324</v>
      </c>
      <c r="G745" s="179">
        <v>680744</v>
      </c>
      <c r="H745" s="176" t="s">
        <v>1547</v>
      </c>
      <c r="I745" s="176" t="s">
        <v>550</v>
      </c>
      <c r="J745" s="176" t="s">
        <v>128</v>
      </c>
      <c r="K745" s="176" t="s">
        <v>2731</v>
      </c>
      <c r="L745" s="40" t="s">
        <v>106</v>
      </c>
      <c r="M745" s="40" t="s">
        <v>341</v>
      </c>
      <c r="N745" s="14" t="s">
        <v>2753</v>
      </c>
      <c r="O745" s="14" t="s">
        <v>543</v>
      </c>
      <c r="P745" s="14" t="s">
        <v>1218</v>
      </c>
      <c r="Q745" s="14" t="s">
        <v>529</v>
      </c>
      <c r="R745" s="17">
        <v>1050</v>
      </c>
      <c r="S745" s="172" t="s">
        <v>51</v>
      </c>
      <c r="T745" s="17">
        <v>2480</v>
      </c>
      <c r="U745" s="14" t="s">
        <v>51</v>
      </c>
      <c r="V745" s="16">
        <f t="shared" si="101"/>
        <v>244153</v>
      </c>
      <c r="W745" s="16">
        <f t="shared" si="102"/>
        <v>244160</v>
      </c>
      <c r="X745" s="16">
        <f t="shared" si="103"/>
        <v>244155</v>
      </c>
      <c r="Y745" s="15"/>
      <c r="Z745" s="177"/>
      <c r="AA745" s="170"/>
      <c r="AB745" s="170"/>
      <c r="AC745" s="170"/>
      <c r="AD745" s="170"/>
      <c r="AE745" s="15"/>
      <c r="AF745" s="177"/>
      <c r="AG745" s="177">
        <f t="shared" si="104"/>
        <v>0</v>
      </c>
      <c r="AH745" s="177">
        <f t="shared" si="105"/>
        <v>0</v>
      </c>
      <c r="AK745" s="176"/>
      <c r="AL745" s="176"/>
    </row>
    <row r="746" spans="1:38" ht="36" customHeight="1" x14ac:dyDescent="0.2">
      <c r="A746" s="14" t="s">
        <v>22</v>
      </c>
      <c r="B746" s="212">
        <v>244153</v>
      </c>
      <c r="C746" s="14" t="s">
        <v>547</v>
      </c>
      <c r="D746" s="14" t="s">
        <v>268</v>
      </c>
      <c r="E746" s="14" t="s">
        <v>14</v>
      </c>
      <c r="F746" s="14" t="s">
        <v>324</v>
      </c>
      <c r="G746" s="179">
        <v>680745</v>
      </c>
      <c r="H746" s="176" t="s">
        <v>2749</v>
      </c>
      <c r="I746" s="176" t="s">
        <v>2639</v>
      </c>
      <c r="J746" s="176" t="s">
        <v>2640</v>
      </c>
      <c r="K746" s="176" t="s">
        <v>2751</v>
      </c>
      <c r="L746" s="40" t="s">
        <v>46</v>
      </c>
      <c r="M746" s="40" t="s">
        <v>341</v>
      </c>
      <c r="N746" s="14" t="s">
        <v>2754</v>
      </c>
      <c r="O746" s="14" t="s">
        <v>548</v>
      </c>
      <c r="P746" s="14" t="s">
        <v>518</v>
      </c>
      <c r="Q746" s="14" t="s">
        <v>549</v>
      </c>
      <c r="R746" s="17">
        <v>221</v>
      </c>
      <c r="S746" s="172" t="s">
        <v>51</v>
      </c>
      <c r="T746" s="17">
        <v>1230</v>
      </c>
      <c r="U746" s="14" t="s">
        <v>51</v>
      </c>
      <c r="V746" s="16">
        <f t="shared" si="101"/>
        <v>244153</v>
      </c>
      <c r="W746" s="16">
        <f t="shared" si="102"/>
        <v>244160</v>
      </c>
      <c r="X746" s="16">
        <f t="shared" si="103"/>
        <v>244155</v>
      </c>
      <c r="Y746" s="15"/>
      <c r="Z746" s="177"/>
      <c r="AA746" s="170"/>
      <c r="AB746" s="170"/>
      <c r="AC746" s="170"/>
      <c r="AD746" s="170"/>
      <c r="AE746" s="15"/>
      <c r="AF746" s="177"/>
      <c r="AG746" s="177">
        <f t="shared" si="104"/>
        <v>0</v>
      </c>
      <c r="AH746" s="177">
        <f t="shared" si="105"/>
        <v>0</v>
      </c>
      <c r="AK746" s="176"/>
      <c r="AL746" s="176"/>
    </row>
    <row r="747" spans="1:38" ht="36" customHeight="1" x14ac:dyDescent="0.2">
      <c r="A747" s="14" t="s">
        <v>22</v>
      </c>
      <c r="B747" s="212">
        <v>244153</v>
      </c>
      <c r="C747" s="14" t="s">
        <v>547</v>
      </c>
      <c r="D747" s="14" t="s">
        <v>268</v>
      </c>
      <c r="E747" s="14" t="s">
        <v>14</v>
      </c>
      <c r="F747" s="14" t="s">
        <v>324</v>
      </c>
      <c r="G747" s="179">
        <v>680746</v>
      </c>
      <c r="H747" s="176" t="s">
        <v>2750</v>
      </c>
      <c r="I747" s="176" t="s">
        <v>725</v>
      </c>
      <c r="J747" s="176" t="s">
        <v>123</v>
      </c>
      <c r="K747" s="176" t="s">
        <v>2752</v>
      </c>
      <c r="L747" s="40" t="s">
        <v>45</v>
      </c>
      <c r="M747" s="40" t="s">
        <v>341</v>
      </c>
      <c r="N747" s="14" t="s">
        <v>2755</v>
      </c>
      <c r="O747" s="14" t="s">
        <v>543</v>
      </c>
      <c r="P747" s="14" t="s">
        <v>901</v>
      </c>
      <c r="Q747" s="14" t="s">
        <v>529</v>
      </c>
      <c r="R747" s="17">
        <v>100</v>
      </c>
      <c r="S747" s="172" t="s">
        <v>51</v>
      </c>
      <c r="T747" s="17">
        <v>1980</v>
      </c>
      <c r="U747" s="14" t="s">
        <v>51</v>
      </c>
      <c r="V747" s="16">
        <f t="shared" si="101"/>
        <v>244153</v>
      </c>
      <c r="W747" s="16">
        <f t="shared" si="102"/>
        <v>244160</v>
      </c>
      <c r="X747" s="16">
        <f t="shared" si="103"/>
        <v>244155</v>
      </c>
      <c r="Y747" s="15"/>
      <c r="Z747" s="177"/>
      <c r="AA747" s="170"/>
      <c r="AB747" s="170"/>
      <c r="AC747" s="170"/>
      <c r="AD747" s="170"/>
      <c r="AE747" s="15"/>
      <c r="AF747" s="177"/>
      <c r="AG747" s="177">
        <f t="shared" si="104"/>
        <v>0</v>
      </c>
      <c r="AH747" s="177">
        <f t="shared" si="105"/>
        <v>0</v>
      </c>
      <c r="AK747" s="176"/>
      <c r="AL747" s="176"/>
    </row>
    <row r="748" spans="1:38" ht="36" customHeight="1" x14ac:dyDescent="0.2">
      <c r="A748" s="14" t="s">
        <v>22</v>
      </c>
      <c r="B748" s="212">
        <v>244155</v>
      </c>
      <c r="C748" s="14" t="s">
        <v>547</v>
      </c>
      <c r="D748" s="14" t="s">
        <v>268</v>
      </c>
      <c r="E748" s="14" t="s">
        <v>14</v>
      </c>
      <c r="F748" s="14" t="s">
        <v>324</v>
      </c>
      <c r="G748" s="179">
        <v>680747</v>
      </c>
      <c r="H748" s="176" t="s">
        <v>609</v>
      </c>
      <c r="I748" s="176" t="s">
        <v>514</v>
      </c>
      <c r="J748" s="176" t="s">
        <v>337</v>
      </c>
      <c r="K748" s="176" t="s">
        <v>2761</v>
      </c>
      <c r="L748" s="40" t="s">
        <v>106</v>
      </c>
      <c r="M748" s="40" t="s">
        <v>341</v>
      </c>
      <c r="N748" s="14" t="s">
        <v>2765</v>
      </c>
      <c r="O748" s="14" t="s">
        <v>2769</v>
      </c>
      <c r="P748" s="14" t="s">
        <v>2770</v>
      </c>
      <c r="Q748" s="14" t="s">
        <v>2772</v>
      </c>
      <c r="R748" s="17">
        <v>300</v>
      </c>
      <c r="S748" s="172" t="s">
        <v>51</v>
      </c>
      <c r="T748" s="17">
        <v>1540</v>
      </c>
      <c r="U748" s="14" t="s">
        <v>51</v>
      </c>
      <c r="V748" s="16">
        <f t="shared" si="101"/>
        <v>244155</v>
      </c>
      <c r="W748" s="16">
        <f t="shared" si="102"/>
        <v>244162</v>
      </c>
      <c r="X748" s="16">
        <f t="shared" si="103"/>
        <v>244157</v>
      </c>
      <c r="Y748" s="15"/>
      <c r="Z748" s="177"/>
      <c r="AA748" s="170"/>
      <c r="AB748" s="170"/>
      <c r="AC748" s="170"/>
      <c r="AD748" s="170"/>
      <c r="AE748" s="15"/>
      <c r="AF748" s="177"/>
      <c r="AG748" s="177">
        <f t="shared" si="104"/>
        <v>0</v>
      </c>
      <c r="AH748" s="177">
        <f t="shared" si="105"/>
        <v>0</v>
      </c>
      <c r="AK748" s="176"/>
      <c r="AL748" s="176"/>
    </row>
    <row r="749" spans="1:38" ht="36" customHeight="1" x14ac:dyDescent="0.2">
      <c r="A749" s="14" t="s">
        <v>22</v>
      </c>
      <c r="B749" s="212">
        <v>244155</v>
      </c>
      <c r="C749" s="14" t="s">
        <v>547</v>
      </c>
      <c r="D749" s="14" t="s">
        <v>268</v>
      </c>
      <c r="E749" s="14" t="s">
        <v>14</v>
      </c>
      <c r="F749" s="14" t="s">
        <v>324</v>
      </c>
      <c r="G749" s="179">
        <v>680748</v>
      </c>
      <c r="H749" s="176" t="s">
        <v>609</v>
      </c>
      <c r="I749" s="176" t="s">
        <v>514</v>
      </c>
      <c r="J749" s="176" t="s">
        <v>337</v>
      </c>
      <c r="K749" s="176" t="s">
        <v>2761</v>
      </c>
      <c r="L749" s="40" t="s">
        <v>106</v>
      </c>
      <c r="M749" s="40" t="s">
        <v>341</v>
      </c>
      <c r="N749" s="14" t="s">
        <v>2766</v>
      </c>
      <c r="O749" s="14" t="s">
        <v>548</v>
      </c>
      <c r="P749" s="14" t="s">
        <v>717</v>
      </c>
      <c r="Q749" s="14" t="s">
        <v>549</v>
      </c>
      <c r="R749" s="17">
        <v>262</v>
      </c>
      <c r="S749" s="172" t="s">
        <v>51</v>
      </c>
      <c r="T749" s="17">
        <v>1540</v>
      </c>
      <c r="U749" s="14" t="s">
        <v>51</v>
      </c>
      <c r="V749" s="16">
        <f t="shared" ref="V749:V812" si="106">B749</f>
        <v>244155</v>
      </c>
      <c r="W749" s="16">
        <f t="shared" ref="W749:W812" si="107">B749+7</f>
        <v>244162</v>
      </c>
      <c r="X749" s="16">
        <f t="shared" ref="X749:X812" si="108">V749+2</f>
        <v>244157</v>
      </c>
      <c r="Y749" s="15"/>
      <c r="Z749" s="177"/>
      <c r="AA749" s="170"/>
      <c r="AB749" s="170"/>
      <c r="AC749" s="170"/>
      <c r="AD749" s="170"/>
      <c r="AE749" s="15"/>
      <c r="AF749" s="177"/>
      <c r="AG749" s="177">
        <f t="shared" si="104"/>
        <v>0</v>
      </c>
      <c r="AH749" s="177">
        <f t="shared" si="105"/>
        <v>0</v>
      </c>
      <c r="AK749" s="176"/>
      <c r="AL749" s="176"/>
    </row>
    <row r="750" spans="1:38" ht="36" customHeight="1" x14ac:dyDescent="0.2">
      <c r="A750" s="14" t="s">
        <v>22</v>
      </c>
      <c r="B750" s="212">
        <v>244155</v>
      </c>
      <c r="C750" s="14" t="s">
        <v>547</v>
      </c>
      <c r="D750" s="14" t="s">
        <v>268</v>
      </c>
      <c r="E750" s="14" t="s">
        <v>14</v>
      </c>
      <c r="F750" s="14" t="s">
        <v>324</v>
      </c>
      <c r="G750" s="179">
        <v>680749</v>
      </c>
      <c r="H750" s="176" t="s">
        <v>2756</v>
      </c>
      <c r="I750" s="176" t="s">
        <v>2758</v>
      </c>
      <c r="J750" s="176" t="s">
        <v>1411</v>
      </c>
      <c r="K750" s="176" t="s">
        <v>2762</v>
      </c>
      <c r="L750" s="40" t="s">
        <v>105</v>
      </c>
      <c r="M750" s="40" t="s">
        <v>341</v>
      </c>
      <c r="N750" s="14" t="s">
        <v>2767</v>
      </c>
      <c r="O750" s="14" t="s">
        <v>543</v>
      </c>
      <c r="P750" s="14" t="s">
        <v>2771</v>
      </c>
      <c r="Q750" s="14" t="s">
        <v>529</v>
      </c>
      <c r="R750" s="17">
        <v>300</v>
      </c>
      <c r="S750" s="172" t="s">
        <v>51</v>
      </c>
      <c r="T750" s="17">
        <v>2615</v>
      </c>
      <c r="U750" s="14" t="s">
        <v>51</v>
      </c>
      <c r="V750" s="16">
        <f t="shared" si="106"/>
        <v>244155</v>
      </c>
      <c r="W750" s="16">
        <f t="shared" si="107"/>
        <v>244162</v>
      </c>
      <c r="X750" s="16">
        <f t="shared" si="108"/>
        <v>244157</v>
      </c>
      <c r="Y750" s="15" t="s">
        <v>54</v>
      </c>
      <c r="Z750" s="177">
        <v>244167</v>
      </c>
      <c r="AA750" s="170"/>
      <c r="AB750" s="170"/>
      <c r="AC750" s="170"/>
      <c r="AD750" s="170"/>
      <c r="AE750" s="15" t="s">
        <v>54</v>
      </c>
      <c r="AF750" s="177">
        <v>244168</v>
      </c>
      <c r="AG750" s="177" t="str">
        <f t="shared" si="104"/>
        <v>Pass</v>
      </c>
      <c r="AH750" s="177">
        <f t="shared" si="105"/>
        <v>244168</v>
      </c>
      <c r="AK750" s="176"/>
      <c r="AL750" s="176"/>
    </row>
    <row r="751" spans="1:38" ht="36" customHeight="1" x14ac:dyDescent="0.2">
      <c r="A751" s="14" t="s">
        <v>22</v>
      </c>
      <c r="B751" s="212">
        <v>244155</v>
      </c>
      <c r="C751" s="14" t="s">
        <v>547</v>
      </c>
      <c r="D751" s="14" t="s">
        <v>268</v>
      </c>
      <c r="E751" s="14" t="s">
        <v>14</v>
      </c>
      <c r="F751" s="14" t="s">
        <v>324</v>
      </c>
      <c r="G751" s="179">
        <v>680750</v>
      </c>
      <c r="H751" s="176" t="s">
        <v>1041</v>
      </c>
      <c r="I751" s="176" t="s">
        <v>908</v>
      </c>
      <c r="J751" s="176" t="s">
        <v>133</v>
      </c>
      <c r="K751" s="176" t="s">
        <v>2763</v>
      </c>
      <c r="L751" s="40" t="s">
        <v>45</v>
      </c>
      <c r="M751" s="40" t="s">
        <v>341</v>
      </c>
      <c r="N751" s="14" t="s">
        <v>2768</v>
      </c>
      <c r="O751" s="14" t="s">
        <v>552</v>
      </c>
      <c r="P751" s="14" t="s">
        <v>1489</v>
      </c>
      <c r="Q751" s="14" t="s">
        <v>553</v>
      </c>
      <c r="R751" s="17">
        <v>125</v>
      </c>
      <c r="S751" s="172" t="s">
        <v>51</v>
      </c>
      <c r="T751" s="17">
        <v>1980</v>
      </c>
      <c r="U751" s="14" t="s">
        <v>51</v>
      </c>
      <c r="V751" s="16">
        <f t="shared" si="106"/>
        <v>244155</v>
      </c>
      <c r="W751" s="16">
        <f t="shared" si="107"/>
        <v>244162</v>
      </c>
      <c r="X751" s="16">
        <f t="shared" si="108"/>
        <v>244157</v>
      </c>
      <c r="Y751" s="15"/>
      <c r="Z751" s="177"/>
      <c r="AA751" s="170"/>
      <c r="AB751" s="170"/>
      <c r="AC751" s="170"/>
      <c r="AD751" s="170"/>
      <c r="AE751" s="15"/>
      <c r="AF751" s="177"/>
      <c r="AG751" s="177">
        <f t="shared" si="104"/>
        <v>0</v>
      </c>
      <c r="AH751" s="177">
        <f t="shared" si="105"/>
        <v>0</v>
      </c>
      <c r="AK751" s="176"/>
      <c r="AL751" s="176"/>
    </row>
    <row r="752" spans="1:38" ht="36" customHeight="1" x14ac:dyDescent="0.2">
      <c r="A752" s="14" t="s">
        <v>22</v>
      </c>
      <c r="B752" s="212">
        <v>244155</v>
      </c>
      <c r="C752" s="14" t="s">
        <v>547</v>
      </c>
      <c r="D752" s="14" t="s">
        <v>268</v>
      </c>
      <c r="E752" s="14" t="s">
        <v>14</v>
      </c>
      <c r="F752" s="14" t="s">
        <v>324</v>
      </c>
      <c r="G752" s="179">
        <v>680751</v>
      </c>
      <c r="H752" s="176" t="s">
        <v>2757</v>
      </c>
      <c r="I752" s="176" t="s">
        <v>2759</v>
      </c>
      <c r="J752" s="176" t="s">
        <v>2760</v>
      </c>
      <c r="K752" s="176" t="s">
        <v>2764</v>
      </c>
      <c r="L752" s="40" t="s">
        <v>105</v>
      </c>
      <c r="M752" s="40" t="s">
        <v>341</v>
      </c>
      <c r="N752" s="14" t="s">
        <v>1242</v>
      </c>
      <c r="O752" s="14" t="s">
        <v>1313</v>
      </c>
      <c r="P752" s="14" t="s">
        <v>517</v>
      </c>
      <c r="Q752" s="14" t="s">
        <v>1315</v>
      </c>
      <c r="R752" s="17">
        <v>150</v>
      </c>
      <c r="S752" s="172" t="s">
        <v>51</v>
      </c>
      <c r="T752" s="17">
        <v>2160</v>
      </c>
      <c r="U752" s="14" t="s">
        <v>51</v>
      </c>
      <c r="V752" s="16">
        <f t="shared" si="106"/>
        <v>244155</v>
      </c>
      <c r="W752" s="16">
        <f t="shared" si="107"/>
        <v>244162</v>
      </c>
      <c r="X752" s="16">
        <f t="shared" si="108"/>
        <v>244157</v>
      </c>
      <c r="Y752" s="15"/>
      <c r="Z752" s="177"/>
      <c r="AA752" s="170"/>
      <c r="AB752" s="170"/>
      <c r="AC752" s="170"/>
      <c r="AD752" s="170"/>
      <c r="AE752" s="15"/>
      <c r="AF752" s="177"/>
      <c r="AG752" s="177">
        <f t="shared" si="104"/>
        <v>0</v>
      </c>
      <c r="AH752" s="177">
        <f t="shared" si="105"/>
        <v>0</v>
      </c>
      <c r="AK752" s="176"/>
      <c r="AL752" s="176"/>
    </row>
    <row r="753" spans="1:38" ht="36" customHeight="1" x14ac:dyDescent="0.2">
      <c r="A753" s="14" t="s">
        <v>22</v>
      </c>
      <c r="B753" s="212">
        <v>244156</v>
      </c>
      <c r="C753" s="14" t="s">
        <v>547</v>
      </c>
      <c r="D753" s="14" t="s">
        <v>268</v>
      </c>
      <c r="E753" s="14" t="s">
        <v>14</v>
      </c>
      <c r="F753" s="14" t="s">
        <v>324</v>
      </c>
      <c r="G753" s="179">
        <v>680752</v>
      </c>
      <c r="H753" s="176" t="s">
        <v>277</v>
      </c>
      <c r="I753" s="176" t="s">
        <v>1874</v>
      </c>
      <c r="J753" s="176" t="s">
        <v>127</v>
      </c>
      <c r="K753" s="176" t="s">
        <v>2774</v>
      </c>
      <c r="L753" s="40" t="s">
        <v>108</v>
      </c>
      <c r="M753" s="40" t="s">
        <v>341</v>
      </c>
      <c r="N753" s="14" t="s">
        <v>1214</v>
      </c>
      <c r="O753" s="14" t="s">
        <v>548</v>
      </c>
      <c r="P753" s="14" t="s">
        <v>717</v>
      </c>
      <c r="Q753" s="14" t="s">
        <v>549</v>
      </c>
      <c r="R753" s="17">
        <v>150</v>
      </c>
      <c r="S753" s="172" t="s">
        <v>51</v>
      </c>
      <c r="T753" s="17">
        <v>1830</v>
      </c>
      <c r="U753" s="14" t="s">
        <v>51</v>
      </c>
      <c r="V753" s="16">
        <f t="shared" si="106"/>
        <v>244156</v>
      </c>
      <c r="W753" s="16">
        <f t="shared" si="107"/>
        <v>244163</v>
      </c>
      <c r="X753" s="16">
        <f t="shared" si="108"/>
        <v>244158</v>
      </c>
      <c r="Y753" s="15" t="s">
        <v>54</v>
      </c>
      <c r="Z753" s="177">
        <v>244224</v>
      </c>
      <c r="AA753" s="170"/>
      <c r="AB753" s="170"/>
      <c r="AC753" s="170"/>
      <c r="AD753" s="170"/>
      <c r="AE753" s="15" t="s">
        <v>54</v>
      </c>
      <c r="AF753" s="177">
        <v>244225</v>
      </c>
      <c r="AG753" s="177" t="str">
        <f t="shared" si="104"/>
        <v>Pass</v>
      </c>
      <c r="AH753" s="177">
        <f t="shared" si="105"/>
        <v>244225</v>
      </c>
      <c r="AK753" s="176"/>
      <c r="AL753" s="176"/>
    </row>
    <row r="754" spans="1:38" ht="36" customHeight="1" x14ac:dyDescent="0.2">
      <c r="A754" s="14" t="s">
        <v>22</v>
      </c>
      <c r="B754" s="212">
        <v>244156</v>
      </c>
      <c r="C754" s="14" t="s">
        <v>547</v>
      </c>
      <c r="D754" s="14" t="s">
        <v>268</v>
      </c>
      <c r="E754" s="14" t="s">
        <v>14</v>
      </c>
      <c r="F754" s="14" t="s">
        <v>324</v>
      </c>
      <c r="G754" s="179">
        <v>680753</v>
      </c>
      <c r="H754" s="176" t="s">
        <v>2538</v>
      </c>
      <c r="I754" s="176" t="s">
        <v>2539</v>
      </c>
      <c r="J754" s="176" t="s">
        <v>1634</v>
      </c>
      <c r="K754" s="176" t="s">
        <v>1635</v>
      </c>
      <c r="L754" s="40" t="s">
        <v>45</v>
      </c>
      <c r="M754" s="40" t="s">
        <v>341</v>
      </c>
      <c r="N754" s="14" t="s">
        <v>2777</v>
      </c>
      <c r="O754" s="14" t="s">
        <v>2780</v>
      </c>
      <c r="P754" s="14" t="s">
        <v>2783</v>
      </c>
      <c r="Q754" s="14" t="s">
        <v>2785</v>
      </c>
      <c r="R754" s="17">
        <v>1200</v>
      </c>
      <c r="S754" s="172" t="s">
        <v>51</v>
      </c>
      <c r="T754" s="17">
        <v>2175</v>
      </c>
      <c r="U754" s="14" t="s">
        <v>51</v>
      </c>
      <c r="V754" s="16">
        <f t="shared" si="106"/>
        <v>244156</v>
      </c>
      <c r="W754" s="16">
        <f t="shared" si="107"/>
        <v>244163</v>
      </c>
      <c r="X754" s="16">
        <f t="shared" si="108"/>
        <v>244158</v>
      </c>
      <c r="Y754" s="15"/>
      <c r="Z754" s="177"/>
      <c r="AA754" s="170"/>
      <c r="AB754" s="170"/>
      <c r="AC754" s="170"/>
      <c r="AD754" s="170"/>
      <c r="AE754" s="15"/>
      <c r="AF754" s="177"/>
      <c r="AG754" s="177">
        <f t="shared" si="104"/>
        <v>0</v>
      </c>
      <c r="AH754" s="177">
        <f t="shared" si="105"/>
        <v>0</v>
      </c>
      <c r="AK754" s="176"/>
      <c r="AL754" s="176"/>
    </row>
    <row r="755" spans="1:38" ht="36" customHeight="1" x14ac:dyDescent="0.2">
      <c r="A755" s="14" t="s">
        <v>22</v>
      </c>
      <c r="B755" s="212">
        <v>244156</v>
      </c>
      <c r="C755" s="14" t="s">
        <v>547</v>
      </c>
      <c r="D755" s="14" t="s">
        <v>268</v>
      </c>
      <c r="E755" s="14" t="s">
        <v>14</v>
      </c>
      <c r="F755" s="14" t="s">
        <v>324</v>
      </c>
      <c r="G755" s="179">
        <v>680754</v>
      </c>
      <c r="H755" s="176" t="s">
        <v>2773</v>
      </c>
      <c r="I755" s="176" t="s">
        <v>612</v>
      </c>
      <c r="J755" s="176" t="s">
        <v>666</v>
      </c>
      <c r="K755" s="176" t="s">
        <v>2775</v>
      </c>
      <c r="L755" s="40" t="s">
        <v>46</v>
      </c>
      <c r="M755" s="40" t="s">
        <v>341</v>
      </c>
      <c r="N755" s="14" t="s">
        <v>2778</v>
      </c>
      <c r="O755" s="14" t="s">
        <v>543</v>
      </c>
      <c r="P755" s="14" t="s">
        <v>687</v>
      </c>
      <c r="Q755" s="14" t="s">
        <v>529</v>
      </c>
      <c r="R755" s="17">
        <v>950</v>
      </c>
      <c r="S755" s="172" t="s">
        <v>51</v>
      </c>
      <c r="T755" s="17">
        <v>1825</v>
      </c>
      <c r="U755" s="14" t="s">
        <v>51</v>
      </c>
      <c r="V755" s="16">
        <f t="shared" si="106"/>
        <v>244156</v>
      </c>
      <c r="W755" s="16">
        <f t="shared" si="107"/>
        <v>244163</v>
      </c>
      <c r="X755" s="16">
        <f t="shared" si="108"/>
        <v>244158</v>
      </c>
      <c r="Y755" s="15"/>
      <c r="Z755" s="177"/>
      <c r="AA755" s="170"/>
      <c r="AB755" s="170"/>
      <c r="AC755" s="170"/>
      <c r="AD755" s="170"/>
      <c r="AE755" s="15"/>
      <c r="AF755" s="177"/>
      <c r="AG755" s="177">
        <f t="shared" si="104"/>
        <v>0</v>
      </c>
      <c r="AH755" s="177">
        <f t="shared" si="105"/>
        <v>0</v>
      </c>
      <c r="AK755" s="176"/>
      <c r="AL755" s="176"/>
    </row>
    <row r="756" spans="1:38" ht="36" customHeight="1" x14ac:dyDescent="0.2">
      <c r="A756" s="14" t="s">
        <v>22</v>
      </c>
      <c r="B756" s="212">
        <v>244156</v>
      </c>
      <c r="C756" s="14" t="s">
        <v>547</v>
      </c>
      <c r="D756" s="14" t="s">
        <v>268</v>
      </c>
      <c r="E756" s="14" t="s">
        <v>14</v>
      </c>
      <c r="F756" s="14" t="s">
        <v>324</v>
      </c>
      <c r="G756" s="179">
        <v>680755</v>
      </c>
      <c r="H756" s="176" t="s">
        <v>2773</v>
      </c>
      <c r="I756" s="176" t="s">
        <v>612</v>
      </c>
      <c r="J756" s="176" t="s">
        <v>666</v>
      </c>
      <c r="K756" s="176" t="s">
        <v>2775</v>
      </c>
      <c r="L756" s="40" t="s">
        <v>46</v>
      </c>
      <c r="M756" s="40" t="s">
        <v>341</v>
      </c>
      <c r="N756" s="14" t="s">
        <v>2126</v>
      </c>
      <c r="O756" s="14" t="s">
        <v>1970</v>
      </c>
      <c r="P756" s="14" t="s">
        <v>519</v>
      </c>
      <c r="Q756" s="14" t="s">
        <v>1979</v>
      </c>
      <c r="R756" s="17">
        <v>700</v>
      </c>
      <c r="S756" s="172" t="s">
        <v>51</v>
      </c>
      <c r="T756" s="17">
        <v>1825</v>
      </c>
      <c r="U756" s="14" t="s">
        <v>51</v>
      </c>
      <c r="V756" s="16">
        <f t="shared" si="106"/>
        <v>244156</v>
      </c>
      <c r="W756" s="16">
        <f t="shared" si="107"/>
        <v>244163</v>
      </c>
      <c r="X756" s="16">
        <f t="shared" si="108"/>
        <v>244158</v>
      </c>
      <c r="Y756" s="15"/>
      <c r="Z756" s="177"/>
      <c r="AA756" s="170"/>
      <c r="AB756" s="170"/>
      <c r="AC756" s="170"/>
      <c r="AD756" s="170"/>
      <c r="AE756" s="15"/>
      <c r="AF756" s="177"/>
      <c r="AG756" s="177">
        <f t="shared" si="104"/>
        <v>0</v>
      </c>
      <c r="AH756" s="177">
        <f t="shared" si="105"/>
        <v>0</v>
      </c>
      <c r="AK756" s="176"/>
      <c r="AL756" s="176"/>
    </row>
    <row r="757" spans="1:38" ht="36" customHeight="1" x14ac:dyDescent="0.2">
      <c r="A757" s="14" t="s">
        <v>22</v>
      </c>
      <c r="B757" s="212">
        <v>244156</v>
      </c>
      <c r="C757" s="14" t="s">
        <v>547</v>
      </c>
      <c r="D757" s="14" t="s">
        <v>268</v>
      </c>
      <c r="E757" s="14" t="s">
        <v>14</v>
      </c>
      <c r="F757" s="14" t="s">
        <v>324</v>
      </c>
      <c r="G757" s="179">
        <v>680756</v>
      </c>
      <c r="H757" s="176" t="s">
        <v>2773</v>
      </c>
      <c r="I757" s="176" t="s">
        <v>612</v>
      </c>
      <c r="J757" s="176" t="s">
        <v>666</v>
      </c>
      <c r="K757" s="176" t="s">
        <v>2775</v>
      </c>
      <c r="L757" s="40" t="s">
        <v>46</v>
      </c>
      <c r="M757" s="40" t="s">
        <v>341</v>
      </c>
      <c r="N757" s="14" t="s">
        <v>2779</v>
      </c>
      <c r="O757" s="14" t="s">
        <v>2781</v>
      </c>
      <c r="P757" s="14" t="s">
        <v>2784</v>
      </c>
      <c r="Q757" s="14" t="s">
        <v>2786</v>
      </c>
      <c r="R757" s="17">
        <v>1600</v>
      </c>
      <c r="S757" s="172" t="s">
        <v>51</v>
      </c>
      <c r="T757" s="17">
        <v>1820</v>
      </c>
      <c r="U757" s="14" t="s">
        <v>51</v>
      </c>
      <c r="V757" s="16">
        <f t="shared" si="106"/>
        <v>244156</v>
      </c>
      <c r="W757" s="16">
        <f t="shared" si="107"/>
        <v>244163</v>
      </c>
      <c r="X757" s="16">
        <f t="shared" si="108"/>
        <v>244158</v>
      </c>
      <c r="Y757" s="15"/>
      <c r="Z757" s="177"/>
      <c r="AA757" s="170"/>
      <c r="AB757" s="170"/>
      <c r="AC757" s="170"/>
      <c r="AD757" s="170"/>
      <c r="AE757" s="15"/>
      <c r="AF757" s="177"/>
      <c r="AG757" s="177">
        <f t="shared" si="104"/>
        <v>0</v>
      </c>
      <c r="AH757" s="177">
        <f t="shared" si="105"/>
        <v>0</v>
      </c>
      <c r="AK757" s="176"/>
      <c r="AL757" s="176"/>
    </row>
    <row r="758" spans="1:38" ht="36" customHeight="1" x14ac:dyDescent="0.2">
      <c r="A758" s="14" t="s">
        <v>22</v>
      </c>
      <c r="B758" s="212">
        <v>244156</v>
      </c>
      <c r="C758" s="14" t="s">
        <v>547</v>
      </c>
      <c r="D758" s="14" t="s">
        <v>268</v>
      </c>
      <c r="E758" s="14" t="s">
        <v>14</v>
      </c>
      <c r="F758" s="14" t="s">
        <v>324</v>
      </c>
      <c r="G758" s="179">
        <v>680757</v>
      </c>
      <c r="H758" s="176" t="s">
        <v>861</v>
      </c>
      <c r="I758" s="176" t="s">
        <v>551</v>
      </c>
      <c r="J758" s="176" t="s">
        <v>832</v>
      </c>
      <c r="K758" s="176" t="s">
        <v>2776</v>
      </c>
      <c r="L758" s="40" t="s">
        <v>108</v>
      </c>
      <c r="M758" s="40" t="s">
        <v>341</v>
      </c>
      <c r="N758" s="14" t="s">
        <v>733</v>
      </c>
      <c r="O758" s="14" t="s">
        <v>2782</v>
      </c>
      <c r="P758" s="14" t="s">
        <v>517</v>
      </c>
      <c r="Q758" s="14" t="s">
        <v>2787</v>
      </c>
      <c r="R758" s="17">
        <v>300</v>
      </c>
      <c r="S758" s="172" t="s">
        <v>51</v>
      </c>
      <c r="T758" s="17">
        <v>2850</v>
      </c>
      <c r="U758" s="14" t="s">
        <v>51</v>
      </c>
      <c r="V758" s="16">
        <f t="shared" si="106"/>
        <v>244156</v>
      </c>
      <c r="W758" s="16">
        <f t="shared" si="107"/>
        <v>244163</v>
      </c>
      <c r="X758" s="16">
        <f t="shared" si="108"/>
        <v>244158</v>
      </c>
      <c r="Y758" s="15" t="s">
        <v>54</v>
      </c>
      <c r="Z758" s="177">
        <v>244224</v>
      </c>
      <c r="AA758" s="170"/>
      <c r="AB758" s="170"/>
      <c r="AC758" s="170"/>
      <c r="AD758" s="170"/>
      <c r="AE758" s="15" t="s">
        <v>54</v>
      </c>
      <c r="AF758" s="177">
        <v>244225</v>
      </c>
      <c r="AG758" s="177" t="str">
        <f t="shared" si="104"/>
        <v>Pass</v>
      </c>
      <c r="AH758" s="177">
        <f t="shared" si="105"/>
        <v>244225</v>
      </c>
      <c r="AK758" s="176"/>
      <c r="AL758" s="176"/>
    </row>
    <row r="759" spans="1:38" ht="36" customHeight="1" x14ac:dyDescent="0.2">
      <c r="A759" s="14" t="s">
        <v>22</v>
      </c>
      <c r="B759" s="212">
        <v>244158</v>
      </c>
      <c r="C759" s="14" t="s">
        <v>547</v>
      </c>
      <c r="D759" s="14" t="s">
        <v>268</v>
      </c>
      <c r="E759" s="14" t="s">
        <v>14</v>
      </c>
      <c r="F759" s="14" t="s">
        <v>324</v>
      </c>
      <c r="G759" s="179">
        <v>680758</v>
      </c>
      <c r="H759" s="176" t="s">
        <v>1081</v>
      </c>
      <c r="I759" s="176" t="s">
        <v>612</v>
      </c>
      <c r="J759" s="176" t="s">
        <v>865</v>
      </c>
      <c r="K759" s="176" t="s">
        <v>2788</v>
      </c>
      <c r="L759" s="40" t="s">
        <v>46</v>
      </c>
      <c r="M759" s="40" t="s">
        <v>341</v>
      </c>
      <c r="N759" s="14" t="s">
        <v>2790</v>
      </c>
      <c r="O759" s="14" t="s">
        <v>528</v>
      </c>
      <c r="P759" s="14" t="s">
        <v>2796</v>
      </c>
      <c r="Q759" s="14" t="s">
        <v>541</v>
      </c>
      <c r="R759" s="17">
        <v>700</v>
      </c>
      <c r="S759" s="172" t="s">
        <v>51</v>
      </c>
      <c r="T759" s="17">
        <v>1924</v>
      </c>
      <c r="U759" s="14" t="s">
        <v>51</v>
      </c>
      <c r="V759" s="16">
        <f t="shared" si="106"/>
        <v>244158</v>
      </c>
      <c r="W759" s="16">
        <f t="shared" si="107"/>
        <v>244165</v>
      </c>
      <c r="X759" s="16">
        <f t="shared" si="108"/>
        <v>244160</v>
      </c>
      <c r="Y759" s="15"/>
      <c r="Z759" s="177"/>
      <c r="AA759" s="170"/>
      <c r="AB759" s="170"/>
      <c r="AC759" s="170"/>
      <c r="AD759" s="170"/>
      <c r="AE759" s="15"/>
      <c r="AF759" s="177"/>
      <c r="AG759" s="177">
        <f t="shared" si="104"/>
        <v>0</v>
      </c>
      <c r="AH759" s="177">
        <f t="shared" si="105"/>
        <v>0</v>
      </c>
      <c r="AK759" s="176"/>
      <c r="AL759" s="176"/>
    </row>
    <row r="760" spans="1:38" ht="36" customHeight="1" x14ac:dyDescent="0.2">
      <c r="A760" s="14" t="s">
        <v>22</v>
      </c>
      <c r="B760" s="212">
        <v>244158</v>
      </c>
      <c r="C760" s="14" t="s">
        <v>547</v>
      </c>
      <c r="D760" s="14" t="s">
        <v>268</v>
      </c>
      <c r="E760" s="14" t="s">
        <v>14</v>
      </c>
      <c r="F760" s="14" t="s">
        <v>324</v>
      </c>
      <c r="G760" s="179">
        <v>680759</v>
      </c>
      <c r="H760" s="176" t="s">
        <v>2137</v>
      </c>
      <c r="I760" s="176" t="s">
        <v>908</v>
      </c>
      <c r="J760" s="176" t="s">
        <v>133</v>
      </c>
      <c r="K760" s="176" t="s">
        <v>2789</v>
      </c>
      <c r="L760" s="40" t="s">
        <v>45</v>
      </c>
      <c r="M760" s="40" t="s">
        <v>341</v>
      </c>
      <c r="N760" s="14" t="s">
        <v>2795</v>
      </c>
      <c r="O760" s="14" t="s">
        <v>548</v>
      </c>
      <c r="P760" s="14" t="s">
        <v>518</v>
      </c>
      <c r="Q760" s="14" t="s">
        <v>549</v>
      </c>
      <c r="R760" s="17">
        <v>180</v>
      </c>
      <c r="S760" s="172" t="s">
        <v>51</v>
      </c>
      <c r="T760" s="17">
        <v>1450</v>
      </c>
      <c r="U760" s="14" t="s">
        <v>51</v>
      </c>
      <c r="V760" s="16">
        <f t="shared" si="106"/>
        <v>244158</v>
      </c>
      <c r="W760" s="16">
        <f t="shared" si="107"/>
        <v>244165</v>
      </c>
      <c r="X760" s="16">
        <f t="shared" si="108"/>
        <v>244160</v>
      </c>
      <c r="Y760" s="15"/>
      <c r="Z760" s="177"/>
      <c r="AA760" s="170"/>
      <c r="AB760" s="170"/>
      <c r="AC760" s="170"/>
      <c r="AD760" s="170"/>
      <c r="AE760" s="15"/>
      <c r="AF760" s="177"/>
      <c r="AG760" s="177">
        <f t="shared" si="104"/>
        <v>0</v>
      </c>
      <c r="AH760" s="177">
        <f t="shared" si="105"/>
        <v>0</v>
      </c>
      <c r="AK760" s="176"/>
      <c r="AL760" s="176"/>
    </row>
    <row r="761" spans="1:38" ht="36" customHeight="1" x14ac:dyDescent="0.2">
      <c r="A761" s="14" t="s">
        <v>22</v>
      </c>
      <c r="B761" s="212">
        <v>244158</v>
      </c>
      <c r="C761" s="14" t="s">
        <v>547</v>
      </c>
      <c r="D761" s="14" t="s">
        <v>268</v>
      </c>
      <c r="E761" s="14" t="s">
        <v>14</v>
      </c>
      <c r="F761" s="14" t="s">
        <v>324</v>
      </c>
      <c r="G761" s="179">
        <v>680760</v>
      </c>
      <c r="H761" s="176" t="s">
        <v>2538</v>
      </c>
      <c r="I761" s="176" t="s">
        <v>2539</v>
      </c>
      <c r="J761" s="176" t="s">
        <v>1634</v>
      </c>
      <c r="K761" s="176" t="s">
        <v>2544</v>
      </c>
      <c r="L761" s="40" t="s">
        <v>46</v>
      </c>
      <c r="M761" s="40" t="s">
        <v>341</v>
      </c>
      <c r="N761" s="14" t="s">
        <v>2791</v>
      </c>
      <c r="O761" s="14" t="s">
        <v>548</v>
      </c>
      <c r="P761" s="14" t="s">
        <v>518</v>
      </c>
      <c r="Q761" s="14" t="s">
        <v>549</v>
      </c>
      <c r="R761" s="17">
        <v>232</v>
      </c>
      <c r="S761" s="172" t="s">
        <v>51</v>
      </c>
      <c r="T761" s="17">
        <v>1965</v>
      </c>
      <c r="U761" s="14" t="s">
        <v>51</v>
      </c>
      <c r="V761" s="16">
        <f t="shared" si="106"/>
        <v>244158</v>
      </c>
      <c r="W761" s="16">
        <f t="shared" si="107"/>
        <v>244165</v>
      </c>
      <c r="X761" s="16">
        <f t="shared" si="108"/>
        <v>244160</v>
      </c>
      <c r="Y761" s="15"/>
      <c r="Z761" s="177"/>
      <c r="AA761" s="170"/>
      <c r="AB761" s="170"/>
      <c r="AC761" s="170"/>
      <c r="AD761" s="170"/>
      <c r="AE761" s="15"/>
      <c r="AF761" s="177"/>
      <c r="AG761" s="177">
        <f t="shared" si="104"/>
        <v>0</v>
      </c>
      <c r="AH761" s="177">
        <f t="shared" si="105"/>
        <v>0</v>
      </c>
      <c r="AK761" s="176"/>
      <c r="AL761" s="176"/>
    </row>
    <row r="762" spans="1:38" ht="36" customHeight="1" x14ac:dyDescent="0.2">
      <c r="A762" s="14" t="s">
        <v>22</v>
      </c>
      <c r="B762" s="212">
        <v>244158</v>
      </c>
      <c r="C762" s="14" t="s">
        <v>547</v>
      </c>
      <c r="D762" s="14" t="s">
        <v>268</v>
      </c>
      <c r="E762" s="14" t="s">
        <v>14</v>
      </c>
      <c r="F762" s="14" t="s">
        <v>324</v>
      </c>
      <c r="G762" s="179">
        <v>680761</v>
      </c>
      <c r="H762" s="176" t="s">
        <v>2538</v>
      </c>
      <c r="I762" s="176" t="s">
        <v>2539</v>
      </c>
      <c r="J762" s="176" t="s">
        <v>1634</v>
      </c>
      <c r="K762" s="176" t="s">
        <v>2544</v>
      </c>
      <c r="L762" s="40" t="s">
        <v>105</v>
      </c>
      <c r="M762" s="40" t="s">
        <v>341</v>
      </c>
      <c r="N762" s="14" t="s">
        <v>2792</v>
      </c>
      <c r="O762" s="14" t="s">
        <v>527</v>
      </c>
      <c r="P762" s="14" t="s">
        <v>2797</v>
      </c>
      <c r="Q762" s="14" t="s">
        <v>542</v>
      </c>
      <c r="R762" s="17">
        <v>217</v>
      </c>
      <c r="S762" s="172" t="s">
        <v>51</v>
      </c>
      <c r="T762" s="17">
        <v>1390</v>
      </c>
      <c r="U762" s="14" t="s">
        <v>51</v>
      </c>
      <c r="V762" s="16">
        <f t="shared" si="106"/>
        <v>244158</v>
      </c>
      <c r="W762" s="16">
        <f t="shared" si="107"/>
        <v>244165</v>
      </c>
      <c r="X762" s="16">
        <f t="shared" si="108"/>
        <v>244160</v>
      </c>
      <c r="Y762" s="15"/>
      <c r="Z762" s="177"/>
      <c r="AA762" s="170"/>
      <c r="AB762" s="170"/>
      <c r="AC762" s="170"/>
      <c r="AD762" s="170"/>
      <c r="AE762" s="15"/>
      <c r="AF762" s="177"/>
      <c r="AG762" s="177">
        <f t="shared" si="104"/>
        <v>0</v>
      </c>
      <c r="AH762" s="177">
        <f t="shared" si="105"/>
        <v>0</v>
      </c>
      <c r="AK762" s="176"/>
      <c r="AL762" s="176"/>
    </row>
    <row r="763" spans="1:38" ht="36" customHeight="1" x14ac:dyDescent="0.2">
      <c r="A763" s="14" t="s">
        <v>22</v>
      </c>
      <c r="B763" s="212">
        <v>244158</v>
      </c>
      <c r="C763" s="14" t="s">
        <v>547</v>
      </c>
      <c r="D763" s="14" t="s">
        <v>268</v>
      </c>
      <c r="E763" s="14" t="s">
        <v>14</v>
      </c>
      <c r="F763" s="14" t="s">
        <v>324</v>
      </c>
      <c r="G763" s="179">
        <v>680762</v>
      </c>
      <c r="H763" s="176" t="s">
        <v>2538</v>
      </c>
      <c r="I763" s="176" t="s">
        <v>2539</v>
      </c>
      <c r="J763" s="176" t="s">
        <v>1634</v>
      </c>
      <c r="K763" s="176" t="s">
        <v>2544</v>
      </c>
      <c r="L763" s="40" t="s">
        <v>105</v>
      </c>
      <c r="M763" s="40" t="s">
        <v>341</v>
      </c>
      <c r="N763" s="14" t="s">
        <v>2793</v>
      </c>
      <c r="O763" s="14" t="s">
        <v>552</v>
      </c>
      <c r="P763" s="14" t="s">
        <v>1660</v>
      </c>
      <c r="Q763" s="14" t="s">
        <v>553</v>
      </c>
      <c r="R763" s="17">
        <v>1925</v>
      </c>
      <c r="S763" s="172" t="s">
        <v>51</v>
      </c>
      <c r="T763" s="17">
        <v>1390</v>
      </c>
      <c r="U763" s="14" t="s">
        <v>51</v>
      </c>
      <c r="V763" s="16">
        <f t="shared" si="106"/>
        <v>244158</v>
      </c>
      <c r="W763" s="16">
        <f t="shared" si="107"/>
        <v>244165</v>
      </c>
      <c r="X763" s="16">
        <f t="shared" si="108"/>
        <v>244160</v>
      </c>
      <c r="Y763" s="15"/>
      <c r="Z763" s="177"/>
      <c r="AA763" s="170"/>
      <c r="AB763" s="170"/>
      <c r="AC763" s="170"/>
      <c r="AD763" s="170"/>
      <c r="AE763" s="15"/>
      <c r="AF763" s="177"/>
      <c r="AG763" s="177">
        <f t="shared" si="104"/>
        <v>0</v>
      </c>
      <c r="AH763" s="177">
        <f t="shared" si="105"/>
        <v>0</v>
      </c>
      <c r="AK763" s="176"/>
      <c r="AL763" s="176"/>
    </row>
    <row r="764" spans="1:38" ht="36" customHeight="1" x14ac:dyDescent="0.2">
      <c r="A764" s="14" t="s">
        <v>22</v>
      </c>
      <c r="B764" s="212">
        <v>244158</v>
      </c>
      <c r="C764" s="14" t="s">
        <v>547</v>
      </c>
      <c r="D764" s="14" t="s">
        <v>268</v>
      </c>
      <c r="E764" s="14" t="s">
        <v>14</v>
      </c>
      <c r="F764" s="14" t="s">
        <v>324</v>
      </c>
      <c r="G764" s="179">
        <v>680763</v>
      </c>
      <c r="H764" s="176" t="s">
        <v>2538</v>
      </c>
      <c r="I764" s="176" t="s">
        <v>2539</v>
      </c>
      <c r="J764" s="176" t="s">
        <v>1634</v>
      </c>
      <c r="K764" s="176" t="s">
        <v>2544</v>
      </c>
      <c r="L764" s="40" t="s">
        <v>105</v>
      </c>
      <c r="M764" s="40" t="s">
        <v>341</v>
      </c>
      <c r="N764" s="14" t="s">
        <v>2794</v>
      </c>
      <c r="O764" s="14" t="s">
        <v>528</v>
      </c>
      <c r="P764" s="14" t="s">
        <v>517</v>
      </c>
      <c r="Q764" s="14" t="s">
        <v>541</v>
      </c>
      <c r="R764" s="17">
        <v>900</v>
      </c>
      <c r="S764" s="172" t="s">
        <v>51</v>
      </c>
      <c r="T764" s="17">
        <v>1634</v>
      </c>
      <c r="U764" s="14" t="s">
        <v>51</v>
      </c>
      <c r="V764" s="16">
        <f t="shared" si="106"/>
        <v>244158</v>
      </c>
      <c r="W764" s="16">
        <f t="shared" si="107"/>
        <v>244165</v>
      </c>
      <c r="X764" s="16">
        <f t="shared" si="108"/>
        <v>244160</v>
      </c>
      <c r="Y764" s="15"/>
      <c r="Z764" s="177"/>
      <c r="AA764" s="170"/>
      <c r="AB764" s="170"/>
      <c r="AC764" s="170"/>
      <c r="AD764" s="170"/>
      <c r="AE764" s="15"/>
      <c r="AF764" s="177"/>
      <c r="AG764" s="177">
        <f t="shared" si="104"/>
        <v>0</v>
      </c>
      <c r="AH764" s="177">
        <f t="shared" si="105"/>
        <v>0</v>
      </c>
      <c r="AK764" s="176"/>
      <c r="AL764" s="176"/>
    </row>
    <row r="765" spans="1:38" ht="36" customHeight="1" x14ac:dyDescent="0.2">
      <c r="A765" s="14" t="s">
        <v>22</v>
      </c>
      <c r="B765" s="212">
        <v>244160</v>
      </c>
      <c r="C765" s="14" t="s">
        <v>547</v>
      </c>
      <c r="D765" s="14" t="s">
        <v>268</v>
      </c>
      <c r="E765" s="14" t="s">
        <v>14</v>
      </c>
      <c r="F765" s="14" t="s">
        <v>324</v>
      </c>
      <c r="G765" s="179">
        <v>680764</v>
      </c>
      <c r="H765" s="176" t="s">
        <v>1054</v>
      </c>
      <c r="I765" s="176" t="s">
        <v>551</v>
      </c>
      <c r="J765" s="176" t="s">
        <v>596</v>
      </c>
      <c r="K765" s="176" t="s">
        <v>2798</v>
      </c>
      <c r="L765" s="40" t="s">
        <v>108</v>
      </c>
      <c r="M765" s="40" t="s">
        <v>341</v>
      </c>
      <c r="N765" s="14" t="s">
        <v>2802</v>
      </c>
      <c r="O765" s="14" t="s">
        <v>552</v>
      </c>
      <c r="P765" s="14" t="s">
        <v>2811</v>
      </c>
      <c r="Q765" s="14" t="s">
        <v>553</v>
      </c>
      <c r="R765" s="17">
        <v>350</v>
      </c>
      <c r="S765" s="172" t="s">
        <v>51</v>
      </c>
      <c r="T765" s="17">
        <v>3255</v>
      </c>
      <c r="U765" s="14" t="s">
        <v>51</v>
      </c>
      <c r="V765" s="16">
        <f t="shared" si="106"/>
        <v>244160</v>
      </c>
      <c r="W765" s="16">
        <f t="shared" si="107"/>
        <v>244167</v>
      </c>
      <c r="X765" s="16">
        <f t="shared" si="108"/>
        <v>244162</v>
      </c>
      <c r="Y765" s="15" t="s">
        <v>54</v>
      </c>
      <c r="Z765" s="177">
        <v>244224</v>
      </c>
      <c r="AA765" s="170"/>
      <c r="AB765" s="170"/>
      <c r="AC765" s="170"/>
      <c r="AD765" s="170"/>
      <c r="AE765" s="15" t="s">
        <v>54</v>
      </c>
      <c r="AF765" s="177">
        <v>244228</v>
      </c>
      <c r="AG765" s="177" t="str">
        <f t="shared" si="104"/>
        <v>Pass</v>
      </c>
      <c r="AH765" s="177">
        <f t="shared" si="105"/>
        <v>244228</v>
      </c>
      <c r="AK765" s="176"/>
      <c r="AL765" s="176"/>
    </row>
    <row r="766" spans="1:38" ht="36" customHeight="1" x14ac:dyDescent="0.2">
      <c r="A766" s="14" t="s">
        <v>22</v>
      </c>
      <c r="B766" s="212">
        <v>244160</v>
      </c>
      <c r="C766" s="14" t="s">
        <v>547</v>
      </c>
      <c r="D766" s="14" t="s">
        <v>268</v>
      </c>
      <c r="E766" s="14" t="s">
        <v>14</v>
      </c>
      <c r="F766" s="14" t="s">
        <v>324</v>
      </c>
      <c r="G766" s="179">
        <v>680765</v>
      </c>
      <c r="H766" s="176" t="s">
        <v>1054</v>
      </c>
      <c r="I766" s="176" t="s">
        <v>551</v>
      </c>
      <c r="J766" s="176" t="s">
        <v>596</v>
      </c>
      <c r="K766" s="176" t="s">
        <v>2798</v>
      </c>
      <c r="L766" s="40" t="s">
        <v>108</v>
      </c>
      <c r="M766" s="40" t="s">
        <v>341</v>
      </c>
      <c r="N766" s="14" t="s">
        <v>835</v>
      </c>
      <c r="O766" s="14" t="s">
        <v>548</v>
      </c>
      <c r="P766" s="14" t="s">
        <v>717</v>
      </c>
      <c r="Q766" s="14" t="s">
        <v>549</v>
      </c>
      <c r="R766" s="17">
        <v>119</v>
      </c>
      <c r="S766" s="172" t="s">
        <v>51</v>
      </c>
      <c r="T766" s="17">
        <v>3255</v>
      </c>
      <c r="U766" s="14" t="s">
        <v>51</v>
      </c>
      <c r="V766" s="16">
        <f t="shared" si="106"/>
        <v>244160</v>
      </c>
      <c r="W766" s="16">
        <f t="shared" si="107"/>
        <v>244167</v>
      </c>
      <c r="X766" s="16">
        <f t="shared" si="108"/>
        <v>244162</v>
      </c>
      <c r="Y766" s="15" t="s">
        <v>54</v>
      </c>
      <c r="Z766" s="177">
        <v>244224</v>
      </c>
      <c r="AA766" s="170"/>
      <c r="AB766" s="170"/>
      <c r="AC766" s="170"/>
      <c r="AD766" s="170"/>
      <c r="AE766" s="15" t="s">
        <v>54</v>
      </c>
      <c r="AF766" s="177">
        <v>244228</v>
      </c>
      <c r="AG766" s="177" t="str">
        <f t="shared" si="104"/>
        <v>Pass</v>
      </c>
      <c r="AH766" s="177">
        <f t="shared" si="105"/>
        <v>244228</v>
      </c>
      <c r="AK766" s="176"/>
      <c r="AL766" s="176"/>
    </row>
    <row r="767" spans="1:38" ht="36" customHeight="1" x14ac:dyDescent="0.2">
      <c r="A767" s="14" t="s">
        <v>22</v>
      </c>
      <c r="B767" s="212">
        <v>244160</v>
      </c>
      <c r="C767" s="14" t="s">
        <v>547</v>
      </c>
      <c r="D767" s="14" t="s">
        <v>268</v>
      </c>
      <c r="E767" s="14" t="s">
        <v>14</v>
      </c>
      <c r="F767" s="14" t="s">
        <v>324</v>
      </c>
      <c r="G767" s="179">
        <v>680766</v>
      </c>
      <c r="H767" s="176" t="s">
        <v>1054</v>
      </c>
      <c r="I767" s="176" t="s">
        <v>551</v>
      </c>
      <c r="J767" s="176" t="s">
        <v>596</v>
      </c>
      <c r="K767" s="176" t="s">
        <v>2798</v>
      </c>
      <c r="L767" s="40" t="s">
        <v>108</v>
      </c>
      <c r="M767" s="40" t="s">
        <v>341</v>
      </c>
      <c r="N767" s="14" t="s">
        <v>2803</v>
      </c>
      <c r="O767" s="14" t="s">
        <v>1149</v>
      </c>
      <c r="P767" s="14" t="s">
        <v>1049</v>
      </c>
      <c r="Q767" s="14" t="s">
        <v>1155</v>
      </c>
      <c r="R767" s="17">
        <v>350</v>
      </c>
      <c r="S767" s="172" t="s">
        <v>51</v>
      </c>
      <c r="T767" s="17">
        <v>1820</v>
      </c>
      <c r="U767" s="14" t="s">
        <v>51</v>
      </c>
      <c r="V767" s="16">
        <f t="shared" si="106"/>
        <v>244160</v>
      </c>
      <c r="W767" s="16">
        <f t="shared" si="107"/>
        <v>244167</v>
      </c>
      <c r="X767" s="16">
        <f t="shared" si="108"/>
        <v>244162</v>
      </c>
      <c r="Y767" s="15" t="s">
        <v>54</v>
      </c>
      <c r="Z767" s="177">
        <v>244224</v>
      </c>
      <c r="AA767" s="170"/>
      <c r="AB767" s="170"/>
      <c r="AC767" s="170"/>
      <c r="AD767" s="170"/>
      <c r="AE767" s="15" t="s">
        <v>54</v>
      </c>
      <c r="AF767" s="177">
        <v>244228</v>
      </c>
      <c r="AG767" s="177" t="str">
        <f t="shared" si="104"/>
        <v>Pass</v>
      </c>
      <c r="AH767" s="177">
        <f t="shared" si="105"/>
        <v>244228</v>
      </c>
      <c r="AK767" s="176"/>
      <c r="AL767" s="176"/>
    </row>
    <row r="768" spans="1:38" ht="36" customHeight="1" x14ac:dyDescent="0.2">
      <c r="A768" s="14" t="s">
        <v>22</v>
      </c>
      <c r="B768" s="212">
        <v>244160</v>
      </c>
      <c r="C768" s="14" t="s">
        <v>547</v>
      </c>
      <c r="D768" s="14" t="s">
        <v>268</v>
      </c>
      <c r="E768" s="14" t="s">
        <v>14</v>
      </c>
      <c r="F768" s="14" t="s">
        <v>324</v>
      </c>
      <c r="G768" s="179">
        <v>680767</v>
      </c>
      <c r="H768" s="176" t="s">
        <v>1393</v>
      </c>
      <c r="I768" s="176" t="s">
        <v>551</v>
      </c>
      <c r="J768" s="176" t="s">
        <v>1394</v>
      </c>
      <c r="K768" s="176" t="s">
        <v>2799</v>
      </c>
      <c r="L768" s="40" t="s">
        <v>108</v>
      </c>
      <c r="M768" s="40" t="s">
        <v>341</v>
      </c>
      <c r="N768" s="14" t="s">
        <v>2804</v>
      </c>
      <c r="O768" s="14" t="s">
        <v>2808</v>
      </c>
      <c r="P768" s="14" t="s">
        <v>519</v>
      </c>
      <c r="Q768" s="14" t="s">
        <v>2815</v>
      </c>
      <c r="R768" s="17">
        <v>2820</v>
      </c>
      <c r="S768" s="172" t="s">
        <v>51</v>
      </c>
      <c r="T768" s="17"/>
      <c r="U768" s="14"/>
      <c r="V768" s="16">
        <f t="shared" si="106"/>
        <v>244160</v>
      </c>
      <c r="W768" s="16">
        <f t="shared" si="107"/>
        <v>244167</v>
      </c>
      <c r="X768" s="16">
        <f t="shared" si="108"/>
        <v>244162</v>
      </c>
      <c r="Y768" s="15" t="s">
        <v>54</v>
      </c>
      <c r="Z768" s="177">
        <v>244224</v>
      </c>
      <c r="AA768" s="170"/>
      <c r="AB768" s="170"/>
      <c r="AC768" s="170"/>
      <c r="AD768" s="170"/>
      <c r="AE768" s="15" t="s">
        <v>54</v>
      </c>
      <c r="AF768" s="177">
        <v>244228</v>
      </c>
      <c r="AG768" s="177" t="str">
        <f t="shared" si="104"/>
        <v>Pass</v>
      </c>
      <c r="AH768" s="177">
        <f t="shared" si="105"/>
        <v>244228</v>
      </c>
      <c r="AK768" s="176"/>
      <c r="AL768" s="176"/>
    </row>
    <row r="769" spans="1:38" ht="36" customHeight="1" x14ac:dyDescent="0.2">
      <c r="A769" s="14" t="s">
        <v>22</v>
      </c>
      <c r="B769" s="212">
        <v>244160</v>
      </c>
      <c r="C769" s="14" t="s">
        <v>547</v>
      </c>
      <c r="D769" s="14" t="s">
        <v>268</v>
      </c>
      <c r="E769" s="14" t="s">
        <v>14</v>
      </c>
      <c r="F769" s="14" t="s">
        <v>324</v>
      </c>
      <c r="G769" s="179">
        <v>680768</v>
      </c>
      <c r="H769" s="176" t="s">
        <v>861</v>
      </c>
      <c r="I769" s="176" t="s">
        <v>551</v>
      </c>
      <c r="J769" s="176" t="s">
        <v>832</v>
      </c>
      <c r="K769" s="176" t="s">
        <v>2800</v>
      </c>
      <c r="L769" s="40" t="s">
        <v>108</v>
      </c>
      <c r="M769" s="40" t="s">
        <v>341</v>
      </c>
      <c r="N769" s="14" t="s">
        <v>2805</v>
      </c>
      <c r="O769" s="14" t="s">
        <v>2809</v>
      </c>
      <c r="P769" s="14" t="s">
        <v>2812</v>
      </c>
      <c r="Q769" s="14" t="s">
        <v>2816</v>
      </c>
      <c r="R769" s="17" t="s">
        <v>624</v>
      </c>
      <c r="S769" s="172" t="s">
        <v>51</v>
      </c>
      <c r="T769" s="17">
        <v>400</v>
      </c>
      <c r="U769" s="14" t="s">
        <v>51</v>
      </c>
      <c r="V769" s="16">
        <f t="shared" si="106"/>
        <v>244160</v>
      </c>
      <c r="W769" s="16">
        <f t="shared" si="107"/>
        <v>244167</v>
      </c>
      <c r="X769" s="16">
        <f t="shared" si="108"/>
        <v>244162</v>
      </c>
      <c r="Y769" s="15" t="s">
        <v>54</v>
      </c>
      <c r="Z769" s="177">
        <v>244224</v>
      </c>
      <c r="AA769" s="170"/>
      <c r="AB769" s="170"/>
      <c r="AC769" s="170"/>
      <c r="AD769" s="170"/>
      <c r="AE769" s="15" t="s">
        <v>54</v>
      </c>
      <c r="AF769" s="177">
        <v>244225</v>
      </c>
      <c r="AG769" s="177" t="str">
        <f t="shared" si="104"/>
        <v>Pass</v>
      </c>
      <c r="AH769" s="177">
        <f t="shared" si="105"/>
        <v>244225</v>
      </c>
      <c r="AK769" s="176"/>
      <c r="AL769" s="176"/>
    </row>
    <row r="770" spans="1:38" ht="36" customHeight="1" x14ac:dyDescent="0.2">
      <c r="A770" s="14" t="s">
        <v>22</v>
      </c>
      <c r="B770" s="212">
        <v>244160</v>
      </c>
      <c r="C770" s="14" t="s">
        <v>547</v>
      </c>
      <c r="D770" s="14" t="s">
        <v>268</v>
      </c>
      <c r="E770" s="14" t="s">
        <v>14</v>
      </c>
      <c r="F770" s="14" t="s">
        <v>324</v>
      </c>
      <c r="G770" s="179">
        <v>680769</v>
      </c>
      <c r="H770" s="176" t="s">
        <v>824</v>
      </c>
      <c r="I770" s="176" t="s">
        <v>774</v>
      </c>
      <c r="J770" s="176" t="s">
        <v>776</v>
      </c>
      <c r="K770" s="176" t="s">
        <v>2801</v>
      </c>
      <c r="L770" s="40" t="s">
        <v>46</v>
      </c>
      <c r="M770" s="40" t="s">
        <v>341</v>
      </c>
      <c r="N770" s="14" t="s">
        <v>2806</v>
      </c>
      <c r="O770" s="14" t="s">
        <v>528</v>
      </c>
      <c r="P770" s="14" t="s">
        <v>2813</v>
      </c>
      <c r="Q770" s="14" t="s">
        <v>541</v>
      </c>
      <c r="R770" s="17">
        <v>350</v>
      </c>
      <c r="S770" s="172" t="s">
        <v>51</v>
      </c>
      <c r="T770" s="17">
        <v>1330</v>
      </c>
      <c r="U770" s="14" t="s">
        <v>51</v>
      </c>
      <c r="V770" s="16">
        <f t="shared" si="106"/>
        <v>244160</v>
      </c>
      <c r="W770" s="16">
        <f t="shared" si="107"/>
        <v>244167</v>
      </c>
      <c r="X770" s="16">
        <f t="shared" si="108"/>
        <v>244162</v>
      </c>
      <c r="Y770" s="15"/>
      <c r="Z770" s="177"/>
      <c r="AA770" s="170"/>
      <c r="AB770" s="170"/>
      <c r="AC770" s="170"/>
      <c r="AD770" s="170"/>
      <c r="AE770" s="15"/>
      <c r="AF770" s="177"/>
      <c r="AG770" s="177">
        <f t="shared" si="104"/>
        <v>0</v>
      </c>
      <c r="AH770" s="177">
        <f t="shared" si="105"/>
        <v>0</v>
      </c>
      <c r="AK770" s="176"/>
      <c r="AL770" s="176"/>
    </row>
    <row r="771" spans="1:38" ht="36" customHeight="1" x14ac:dyDescent="0.2">
      <c r="A771" s="14" t="s">
        <v>22</v>
      </c>
      <c r="B771" s="212">
        <v>244160</v>
      </c>
      <c r="C771" s="14" t="s">
        <v>547</v>
      </c>
      <c r="D771" s="14" t="s">
        <v>268</v>
      </c>
      <c r="E771" s="14" t="s">
        <v>14</v>
      </c>
      <c r="F771" s="14" t="s">
        <v>324</v>
      </c>
      <c r="G771" s="179">
        <v>680770</v>
      </c>
      <c r="H771" s="176" t="s">
        <v>824</v>
      </c>
      <c r="I771" s="176" t="s">
        <v>774</v>
      </c>
      <c r="J771" s="176" t="s">
        <v>776</v>
      </c>
      <c r="K771" s="176" t="s">
        <v>2801</v>
      </c>
      <c r="L771" s="40" t="s">
        <v>105</v>
      </c>
      <c r="M771" s="40" t="s">
        <v>341</v>
      </c>
      <c r="N771" s="14" t="s">
        <v>2807</v>
      </c>
      <c r="O771" s="14" t="s">
        <v>2810</v>
      </c>
      <c r="P771" s="14" t="s">
        <v>2814</v>
      </c>
      <c r="Q771" s="14" t="s">
        <v>2817</v>
      </c>
      <c r="R771" s="17">
        <v>650</v>
      </c>
      <c r="S771" s="172" t="s">
        <v>51</v>
      </c>
      <c r="T771" s="17">
        <v>1705</v>
      </c>
      <c r="U771" s="14" t="s">
        <v>51</v>
      </c>
      <c r="V771" s="16">
        <f t="shared" si="106"/>
        <v>244160</v>
      </c>
      <c r="W771" s="16">
        <f t="shared" si="107"/>
        <v>244167</v>
      </c>
      <c r="X771" s="16">
        <f t="shared" si="108"/>
        <v>244162</v>
      </c>
      <c r="Y771" s="15"/>
      <c r="Z771" s="177"/>
      <c r="AA771" s="170"/>
      <c r="AB771" s="170"/>
      <c r="AC771" s="170"/>
      <c r="AD771" s="170"/>
      <c r="AE771" s="15"/>
      <c r="AF771" s="177"/>
      <c r="AG771" s="177">
        <f t="shared" si="104"/>
        <v>0</v>
      </c>
      <c r="AH771" s="177">
        <f t="shared" si="105"/>
        <v>0</v>
      </c>
      <c r="AK771" s="176"/>
      <c r="AL771" s="176"/>
    </row>
    <row r="772" spans="1:38" ht="36" customHeight="1" x14ac:dyDescent="0.2">
      <c r="A772" s="14" t="s">
        <v>22</v>
      </c>
      <c r="B772" s="212">
        <v>244160</v>
      </c>
      <c r="C772" s="14" t="s">
        <v>547</v>
      </c>
      <c r="D772" s="14" t="s">
        <v>268</v>
      </c>
      <c r="E772" s="14" t="s">
        <v>14</v>
      </c>
      <c r="F772" s="14" t="s">
        <v>324</v>
      </c>
      <c r="G772" s="179">
        <v>680771</v>
      </c>
      <c r="H772" s="176" t="s">
        <v>824</v>
      </c>
      <c r="I772" s="176" t="s">
        <v>774</v>
      </c>
      <c r="J772" s="176" t="s">
        <v>776</v>
      </c>
      <c r="K772" s="176" t="s">
        <v>2801</v>
      </c>
      <c r="L772" s="40" t="s">
        <v>105</v>
      </c>
      <c r="M772" s="40" t="s">
        <v>341</v>
      </c>
      <c r="N772" s="14" t="s">
        <v>2818</v>
      </c>
      <c r="O772" s="14" t="s">
        <v>548</v>
      </c>
      <c r="P772" s="14" t="s">
        <v>518</v>
      </c>
      <c r="Q772" s="14" t="s">
        <v>549</v>
      </c>
      <c r="R772" s="17">
        <v>326</v>
      </c>
      <c r="S772" s="172" t="s">
        <v>51</v>
      </c>
      <c r="T772" s="17">
        <v>1745</v>
      </c>
      <c r="U772" s="14" t="s">
        <v>51</v>
      </c>
      <c r="V772" s="16">
        <f t="shared" si="106"/>
        <v>244160</v>
      </c>
      <c r="W772" s="16">
        <f t="shared" si="107"/>
        <v>244167</v>
      </c>
      <c r="X772" s="16">
        <f t="shared" si="108"/>
        <v>244162</v>
      </c>
      <c r="Y772" s="15" t="s">
        <v>54</v>
      </c>
      <c r="Z772" s="177">
        <v>244167</v>
      </c>
      <c r="AA772" s="170"/>
      <c r="AB772" s="170"/>
      <c r="AC772" s="170"/>
      <c r="AD772" s="170"/>
      <c r="AE772" s="15" t="s">
        <v>54</v>
      </c>
      <c r="AF772" s="177">
        <v>244168</v>
      </c>
      <c r="AG772" s="177" t="str">
        <f t="shared" si="104"/>
        <v>Pass</v>
      </c>
      <c r="AH772" s="177">
        <f t="shared" si="105"/>
        <v>244168</v>
      </c>
      <c r="AK772" s="176"/>
      <c r="AL772" s="176"/>
    </row>
    <row r="773" spans="1:38" ht="36" customHeight="1" x14ac:dyDescent="0.2">
      <c r="A773" s="14" t="s">
        <v>22</v>
      </c>
      <c r="B773" s="212">
        <v>244130</v>
      </c>
      <c r="C773" s="14" t="s">
        <v>547</v>
      </c>
      <c r="D773" s="14" t="s">
        <v>268</v>
      </c>
      <c r="E773" s="14" t="s">
        <v>14</v>
      </c>
      <c r="F773" s="14" t="s">
        <v>324</v>
      </c>
      <c r="G773" s="179">
        <v>680772</v>
      </c>
      <c r="H773" s="176" t="s">
        <v>2538</v>
      </c>
      <c r="I773" s="176" t="s">
        <v>2539</v>
      </c>
      <c r="J773" s="176" t="s">
        <v>1634</v>
      </c>
      <c r="K773" s="176" t="s">
        <v>2544</v>
      </c>
      <c r="L773" s="40" t="s">
        <v>105</v>
      </c>
      <c r="M773" s="40" t="s">
        <v>341</v>
      </c>
      <c r="N773" s="14" t="s">
        <v>2820</v>
      </c>
      <c r="O773" s="14" t="s">
        <v>548</v>
      </c>
      <c r="P773" s="14" t="s">
        <v>717</v>
      </c>
      <c r="Q773" s="14" t="s">
        <v>549</v>
      </c>
      <c r="R773" s="17">
        <v>434</v>
      </c>
      <c r="S773" s="172" t="s">
        <v>51</v>
      </c>
      <c r="T773" s="17"/>
      <c r="U773" s="14"/>
      <c r="V773" s="16">
        <f t="shared" si="106"/>
        <v>244130</v>
      </c>
      <c r="W773" s="16">
        <f t="shared" si="107"/>
        <v>244137</v>
      </c>
      <c r="X773" s="16">
        <f t="shared" si="108"/>
        <v>244132</v>
      </c>
      <c r="Y773" s="15"/>
      <c r="Z773" s="177"/>
      <c r="AA773" s="170"/>
      <c r="AB773" s="170"/>
      <c r="AC773" s="170"/>
      <c r="AD773" s="170"/>
      <c r="AE773" s="15"/>
      <c r="AF773" s="177"/>
      <c r="AG773" s="177">
        <f t="shared" si="104"/>
        <v>0</v>
      </c>
      <c r="AH773" s="177">
        <f t="shared" si="105"/>
        <v>0</v>
      </c>
      <c r="AK773" s="176"/>
      <c r="AL773" s="176"/>
    </row>
    <row r="774" spans="1:38" ht="36" customHeight="1" x14ac:dyDescent="0.2">
      <c r="A774" s="14" t="s">
        <v>22</v>
      </c>
      <c r="B774" s="212">
        <v>244130</v>
      </c>
      <c r="C774" s="14" t="s">
        <v>547</v>
      </c>
      <c r="D774" s="14" t="s">
        <v>268</v>
      </c>
      <c r="E774" s="14" t="s">
        <v>14</v>
      </c>
      <c r="F774" s="14" t="s">
        <v>324</v>
      </c>
      <c r="G774" s="179">
        <v>680773</v>
      </c>
      <c r="H774" s="176" t="s">
        <v>609</v>
      </c>
      <c r="I774" s="176" t="s">
        <v>514</v>
      </c>
      <c r="J774" s="176" t="s">
        <v>337</v>
      </c>
      <c r="K774" s="176" t="s">
        <v>2819</v>
      </c>
      <c r="L774" s="40" t="s">
        <v>106</v>
      </c>
      <c r="M774" s="40" t="s">
        <v>341</v>
      </c>
      <c r="N774" s="14" t="s">
        <v>2821</v>
      </c>
      <c r="O774" s="14" t="s">
        <v>543</v>
      </c>
      <c r="P774" s="14" t="s">
        <v>860</v>
      </c>
      <c r="Q774" s="14" t="s">
        <v>529</v>
      </c>
      <c r="R774" s="17">
        <v>800</v>
      </c>
      <c r="S774" s="172" t="s">
        <v>51</v>
      </c>
      <c r="T774" s="17">
        <v>895</v>
      </c>
      <c r="U774" s="14" t="s">
        <v>51</v>
      </c>
      <c r="V774" s="16">
        <f t="shared" si="106"/>
        <v>244130</v>
      </c>
      <c r="W774" s="16">
        <f t="shared" si="107"/>
        <v>244137</v>
      </c>
      <c r="X774" s="16">
        <f t="shared" si="108"/>
        <v>244132</v>
      </c>
      <c r="Y774" s="15"/>
      <c r="Z774" s="177"/>
      <c r="AA774" s="170"/>
      <c r="AB774" s="170"/>
      <c r="AC774" s="170"/>
      <c r="AD774" s="170"/>
      <c r="AE774" s="15"/>
      <c r="AF774" s="177"/>
      <c r="AG774" s="177">
        <f t="shared" si="104"/>
        <v>0</v>
      </c>
      <c r="AH774" s="177">
        <f t="shared" si="105"/>
        <v>0</v>
      </c>
      <c r="AK774" s="176"/>
      <c r="AL774" s="176"/>
    </row>
    <row r="775" spans="1:38" ht="36" customHeight="1" x14ac:dyDescent="0.2">
      <c r="A775" s="14" t="s">
        <v>22</v>
      </c>
      <c r="B775" s="212">
        <v>244162</v>
      </c>
      <c r="C775" s="14" t="s">
        <v>547</v>
      </c>
      <c r="D775" s="14" t="s">
        <v>268</v>
      </c>
      <c r="E775" s="14" t="s">
        <v>14</v>
      </c>
      <c r="F775" s="14" t="s">
        <v>324</v>
      </c>
      <c r="G775" s="179">
        <v>680774</v>
      </c>
      <c r="H775" s="176" t="s">
        <v>2822</v>
      </c>
      <c r="I775" s="176" t="s">
        <v>1189</v>
      </c>
      <c r="J775" s="176" t="s">
        <v>1191</v>
      </c>
      <c r="K775" s="176" t="s">
        <v>2823</v>
      </c>
      <c r="L775" s="40" t="s">
        <v>46</v>
      </c>
      <c r="M775" s="40" t="s">
        <v>341</v>
      </c>
      <c r="N775" s="14" t="s">
        <v>733</v>
      </c>
      <c r="O775" s="14" t="s">
        <v>528</v>
      </c>
      <c r="P775" s="14" t="s">
        <v>517</v>
      </c>
      <c r="Q775" s="14" t="s">
        <v>541</v>
      </c>
      <c r="R775" s="17">
        <v>300</v>
      </c>
      <c r="S775" s="172" t="s">
        <v>51</v>
      </c>
      <c r="T775" s="17">
        <v>1960</v>
      </c>
      <c r="U775" s="14" t="s">
        <v>51</v>
      </c>
      <c r="V775" s="16">
        <f t="shared" si="106"/>
        <v>244162</v>
      </c>
      <c r="W775" s="16">
        <f t="shared" si="107"/>
        <v>244169</v>
      </c>
      <c r="X775" s="16">
        <f t="shared" si="108"/>
        <v>244164</v>
      </c>
      <c r="Y775" s="15"/>
      <c r="Z775" s="177"/>
      <c r="AA775" s="170"/>
      <c r="AB775" s="170"/>
      <c r="AC775" s="170"/>
      <c r="AD775" s="170"/>
      <c r="AE775" s="15"/>
      <c r="AF775" s="177"/>
      <c r="AG775" s="177">
        <f t="shared" si="104"/>
        <v>0</v>
      </c>
      <c r="AH775" s="177">
        <f t="shared" si="105"/>
        <v>0</v>
      </c>
      <c r="AK775" s="176"/>
      <c r="AL775" s="176"/>
    </row>
    <row r="776" spans="1:38" ht="36" customHeight="1" x14ac:dyDescent="0.2">
      <c r="A776" s="14" t="s">
        <v>22</v>
      </c>
      <c r="B776" s="212">
        <v>244162</v>
      </c>
      <c r="C776" s="14" t="s">
        <v>547</v>
      </c>
      <c r="D776" s="14" t="s">
        <v>268</v>
      </c>
      <c r="E776" s="14" t="s">
        <v>14</v>
      </c>
      <c r="F776" s="14" t="s">
        <v>324</v>
      </c>
      <c r="G776" s="179">
        <v>680775</v>
      </c>
      <c r="H776" s="176" t="s">
        <v>1209</v>
      </c>
      <c r="I776" s="176" t="s">
        <v>1189</v>
      </c>
      <c r="J776" s="176" t="s">
        <v>1210</v>
      </c>
      <c r="K776" s="176" t="s">
        <v>2824</v>
      </c>
      <c r="L776" s="40" t="s">
        <v>108</v>
      </c>
      <c r="M776" s="40" t="s">
        <v>341</v>
      </c>
      <c r="N776" s="14" t="s">
        <v>2826</v>
      </c>
      <c r="O776" s="14" t="s">
        <v>543</v>
      </c>
      <c r="P776" s="14" t="s">
        <v>2813</v>
      </c>
      <c r="Q776" s="14" t="s">
        <v>529</v>
      </c>
      <c r="R776" s="17">
        <v>700</v>
      </c>
      <c r="S776" s="172" t="s">
        <v>51</v>
      </c>
      <c r="T776" s="17">
        <v>2420</v>
      </c>
      <c r="U776" s="14" t="s">
        <v>51</v>
      </c>
      <c r="V776" s="16">
        <f t="shared" si="106"/>
        <v>244162</v>
      </c>
      <c r="W776" s="16">
        <f t="shared" si="107"/>
        <v>244169</v>
      </c>
      <c r="X776" s="16">
        <f t="shared" si="108"/>
        <v>244164</v>
      </c>
      <c r="Y776" s="15"/>
      <c r="Z776" s="177"/>
      <c r="AA776" s="170"/>
      <c r="AB776" s="170"/>
      <c r="AC776" s="170"/>
      <c r="AD776" s="170"/>
      <c r="AE776" s="15"/>
      <c r="AF776" s="177"/>
      <c r="AG776" s="177">
        <f t="shared" si="104"/>
        <v>0</v>
      </c>
      <c r="AH776" s="177">
        <f t="shared" si="105"/>
        <v>0</v>
      </c>
      <c r="AK776" s="176"/>
      <c r="AL776" s="176"/>
    </row>
    <row r="777" spans="1:38" ht="36" customHeight="1" x14ac:dyDescent="0.2">
      <c r="A777" s="14" t="s">
        <v>22</v>
      </c>
      <c r="B777" s="212">
        <v>244162</v>
      </c>
      <c r="C777" s="14" t="s">
        <v>547</v>
      </c>
      <c r="D777" s="14" t="s">
        <v>268</v>
      </c>
      <c r="E777" s="14" t="s">
        <v>14</v>
      </c>
      <c r="F777" s="14" t="s">
        <v>324</v>
      </c>
      <c r="G777" s="179">
        <v>680776</v>
      </c>
      <c r="H777" s="176" t="s">
        <v>142</v>
      </c>
      <c r="I777" s="176" t="s">
        <v>551</v>
      </c>
      <c r="J777" s="176" t="s">
        <v>596</v>
      </c>
      <c r="K777" s="176" t="s">
        <v>2825</v>
      </c>
      <c r="L777" s="40" t="s">
        <v>108</v>
      </c>
      <c r="M777" s="40" t="s">
        <v>341</v>
      </c>
      <c r="N777" s="14" t="s">
        <v>2077</v>
      </c>
      <c r="O777" s="14" t="s">
        <v>548</v>
      </c>
      <c r="P777" s="14" t="s">
        <v>717</v>
      </c>
      <c r="Q777" s="14" t="s">
        <v>549</v>
      </c>
      <c r="R777" s="17">
        <v>350</v>
      </c>
      <c r="S777" s="172" t="s">
        <v>51</v>
      </c>
      <c r="T777" s="17">
        <v>1320</v>
      </c>
      <c r="U777" s="14" t="s">
        <v>51</v>
      </c>
      <c r="V777" s="16">
        <f t="shared" si="106"/>
        <v>244162</v>
      </c>
      <c r="W777" s="16">
        <f t="shared" si="107"/>
        <v>244169</v>
      </c>
      <c r="X777" s="16">
        <f t="shared" si="108"/>
        <v>244164</v>
      </c>
      <c r="Y777" s="15" t="s">
        <v>54</v>
      </c>
      <c r="Z777" s="177">
        <v>244224</v>
      </c>
      <c r="AA777" s="170"/>
      <c r="AB777" s="170"/>
      <c r="AC777" s="170"/>
      <c r="AD777" s="170"/>
      <c r="AE777" s="15" t="s">
        <v>54</v>
      </c>
      <c r="AF777" s="177">
        <v>244225</v>
      </c>
      <c r="AG777" s="177" t="str">
        <f t="shared" si="104"/>
        <v>Pass</v>
      </c>
      <c r="AH777" s="177">
        <f t="shared" si="105"/>
        <v>244225</v>
      </c>
      <c r="AK777" s="176"/>
      <c r="AL777" s="176"/>
    </row>
    <row r="778" spans="1:38" ht="36" customHeight="1" x14ac:dyDescent="0.2">
      <c r="A778" s="14" t="s">
        <v>22</v>
      </c>
      <c r="B778" s="212">
        <v>244162</v>
      </c>
      <c r="C778" s="14" t="s">
        <v>547</v>
      </c>
      <c r="D778" s="14" t="s">
        <v>268</v>
      </c>
      <c r="E778" s="14" t="s">
        <v>14</v>
      </c>
      <c r="F778" s="14" t="s">
        <v>324</v>
      </c>
      <c r="G778" s="179">
        <v>680777</v>
      </c>
      <c r="H778" s="176" t="s">
        <v>1209</v>
      </c>
      <c r="I778" s="176" t="s">
        <v>1189</v>
      </c>
      <c r="J778" s="176" t="s">
        <v>1210</v>
      </c>
      <c r="K778" s="176" t="s">
        <v>2824</v>
      </c>
      <c r="L778" s="40" t="s">
        <v>108</v>
      </c>
      <c r="M778" s="40" t="s">
        <v>341</v>
      </c>
      <c r="N778" s="14" t="s">
        <v>2827</v>
      </c>
      <c r="O778" s="14" t="s">
        <v>552</v>
      </c>
      <c r="P778" s="14" t="s">
        <v>1660</v>
      </c>
      <c r="Q778" s="14" t="s">
        <v>553</v>
      </c>
      <c r="R778" s="17">
        <v>425</v>
      </c>
      <c r="S778" s="172" t="s">
        <v>51</v>
      </c>
      <c r="T778" s="17">
        <v>2480</v>
      </c>
      <c r="U778" s="14" t="s">
        <v>51</v>
      </c>
      <c r="V778" s="16">
        <f t="shared" si="106"/>
        <v>244162</v>
      </c>
      <c r="W778" s="16">
        <f t="shared" si="107"/>
        <v>244169</v>
      </c>
      <c r="X778" s="16">
        <f t="shared" si="108"/>
        <v>244164</v>
      </c>
      <c r="Y778" s="15"/>
      <c r="Z778" s="177"/>
      <c r="AA778" s="170"/>
      <c r="AB778" s="170"/>
      <c r="AC778" s="170"/>
      <c r="AD778" s="170"/>
      <c r="AE778" s="15"/>
      <c r="AF778" s="177"/>
      <c r="AG778" s="177">
        <f t="shared" si="104"/>
        <v>0</v>
      </c>
      <c r="AH778" s="177">
        <f t="shared" si="105"/>
        <v>0</v>
      </c>
      <c r="AK778" s="176"/>
      <c r="AL778" s="176"/>
    </row>
    <row r="779" spans="1:38" ht="36" customHeight="1" x14ac:dyDescent="0.2">
      <c r="A779" s="14" t="s">
        <v>22</v>
      </c>
      <c r="B779" s="212">
        <v>244163</v>
      </c>
      <c r="C779" s="14" t="s">
        <v>547</v>
      </c>
      <c r="D779" s="14" t="s">
        <v>268</v>
      </c>
      <c r="E779" s="14" t="s">
        <v>14</v>
      </c>
      <c r="F779" s="14" t="s">
        <v>324</v>
      </c>
      <c r="G779" s="179">
        <v>680778</v>
      </c>
      <c r="H779" s="176" t="s">
        <v>1508</v>
      </c>
      <c r="I779" s="176" t="s">
        <v>550</v>
      </c>
      <c r="J779" s="176" t="s">
        <v>128</v>
      </c>
      <c r="K779" s="176" t="s">
        <v>2828</v>
      </c>
      <c r="L779" s="40" t="s">
        <v>106</v>
      </c>
      <c r="M779" s="40" t="s">
        <v>341</v>
      </c>
      <c r="N779" s="14" t="s">
        <v>2830</v>
      </c>
      <c r="O779" s="14" t="s">
        <v>528</v>
      </c>
      <c r="P779" s="14" t="s">
        <v>971</v>
      </c>
      <c r="Q779" s="14" t="s">
        <v>541</v>
      </c>
      <c r="R779" s="17">
        <v>400</v>
      </c>
      <c r="S779" s="172" t="s">
        <v>51</v>
      </c>
      <c r="T779" s="17">
        <v>1195</v>
      </c>
      <c r="U779" s="14" t="s">
        <v>51</v>
      </c>
      <c r="V779" s="16">
        <f t="shared" si="106"/>
        <v>244163</v>
      </c>
      <c r="W779" s="16">
        <f t="shared" si="107"/>
        <v>244170</v>
      </c>
      <c r="X779" s="16">
        <f t="shared" si="108"/>
        <v>244165</v>
      </c>
      <c r="Y779" s="15"/>
      <c r="Z779" s="177"/>
      <c r="AA779" s="170"/>
      <c r="AB779" s="170"/>
      <c r="AC779" s="170"/>
      <c r="AD779" s="170"/>
      <c r="AE779" s="15"/>
      <c r="AF779" s="177"/>
      <c r="AG779" s="177">
        <f t="shared" si="104"/>
        <v>0</v>
      </c>
      <c r="AH779" s="177">
        <f t="shared" si="105"/>
        <v>0</v>
      </c>
      <c r="AK779" s="176"/>
      <c r="AL779" s="176"/>
    </row>
    <row r="780" spans="1:38" ht="36" customHeight="1" x14ac:dyDescent="0.2">
      <c r="A780" s="14" t="s">
        <v>22</v>
      </c>
      <c r="B780" s="212">
        <v>244163</v>
      </c>
      <c r="C780" s="14" t="s">
        <v>547</v>
      </c>
      <c r="D780" s="14" t="s">
        <v>268</v>
      </c>
      <c r="E780" s="14" t="s">
        <v>14</v>
      </c>
      <c r="F780" s="14" t="s">
        <v>324</v>
      </c>
      <c r="G780" s="179">
        <v>680779</v>
      </c>
      <c r="H780" s="176" t="s">
        <v>1508</v>
      </c>
      <c r="I780" s="176" t="s">
        <v>550</v>
      </c>
      <c r="J780" s="176" t="s">
        <v>128</v>
      </c>
      <c r="K780" s="176" t="s">
        <v>2828</v>
      </c>
      <c r="L780" s="40" t="s">
        <v>106</v>
      </c>
      <c r="M780" s="40" t="s">
        <v>341</v>
      </c>
      <c r="N780" s="14" t="s">
        <v>2831</v>
      </c>
      <c r="O780" s="14" t="s">
        <v>528</v>
      </c>
      <c r="P780" s="14" t="s">
        <v>2835</v>
      </c>
      <c r="Q780" s="14" t="s">
        <v>541</v>
      </c>
      <c r="R780" s="17">
        <v>550</v>
      </c>
      <c r="S780" s="172" t="s">
        <v>51</v>
      </c>
      <c r="T780" s="17">
        <v>2460</v>
      </c>
      <c r="U780" s="14" t="s">
        <v>51</v>
      </c>
      <c r="V780" s="16">
        <f t="shared" si="106"/>
        <v>244163</v>
      </c>
      <c r="W780" s="16">
        <f t="shared" si="107"/>
        <v>244170</v>
      </c>
      <c r="X780" s="16">
        <f t="shared" si="108"/>
        <v>244165</v>
      </c>
      <c r="Y780" s="15"/>
      <c r="Z780" s="177"/>
      <c r="AA780" s="170"/>
      <c r="AB780" s="170"/>
      <c r="AC780" s="170"/>
      <c r="AD780" s="170"/>
      <c r="AE780" s="15"/>
      <c r="AF780" s="177"/>
      <c r="AG780" s="177">
        <f t="shared" si="104"/>
        <v>0</v>
      </c>
      <c r="AH780" s="177">
        <f t="shared" si="105"/>
        <v>0</v>
      </c>
      <c r="AK780" s="176"/>
      <c r="AL780" s="176"/>
    </row>
    <row r="781" spans="1:38" ht="36" customHeight="1" x14ac:dyDescent="0.2">
      <c r="A781" s="14" t="s">
        <v>22</v>
      </c>
      <c r="B781" s="212">
        <v>244163</v>
      </c>
      <c r="C781" s="14" t="s">
        <v>547</v>
      </c>
      <c r="D781" s="14" t="s">
        <v>268</v>
      </c>
      <c r="E781" s="14" t="s">
        <v>14</v>
      </c>
      <c r="F781" s="14" t="s">
        <v>324</v>
      </c>
      <c r="G781" s="179">
        <v>680780</v>
      </c>
      <c r="H781" s="176" t="s">
        <v>627</v>
      </c>
      <c r="I781" s="176" t="s">
        <v>630</v>
      </c>
      <c r="J781" s="176" t="s">
        <v>520</v>
      </c>
      <c r="K781" s="176" t="s">
        <v>2829</v>
      </c>
      <c r="L781" s="40" t="s">
        <v>105</v>
      </c>
      <c r="M781" s="40" t="s">
        <v>341</v>
      </c>
      <c r="N781" s="14" t="s">
        <v>2832</v>
      </c>
      <c r="O781" s="14" t="s">
        <v>548</v>
      </c>
      <c r="P781" s="14" t="s">
        <v>518</v>
      </c>
      <c r="Q781" s="14" t="s">
        <v>549</v>
      </c>
      <c r="R781" s="17">
        <v>190</v>
      </c>
      <c r="S781" s="172" t="s">
        <v>51</v>
      </c>
      <c r="T781" s="17">
        <v>2035</v>
      </c>
      <c r="U781" s="14" t="s">
        <v>51</v>
      </c>
      <c r="V781" s="16">
        <f t="shared" si="106"/>
        <v>244163</v>
      </c>
      <c r="W781" s="16">
        <f t="shared" si="107"/>
        <v>244170</v>
      </c>
      <c r="X781" s="16">
        <f t="shared" si="108"/>
        <v>244165</v>
      </c>
      <c r="Y781" s="15" t="s">
        <v>54</v>
      </c>
      <c r="Z781" s="177">
        <v>244167</v>
      </c>
      <c r="AA781" s="170"/>
      <c r="AB781" s="170"/>
      <c r="AC781" s="170"/>
      <c r="AD781" s="170"/>
      <c r="AE781" s="15" t="s">
        <v>54</v>
      </c>
      <c r="AF781" s="177">
        <v>244168</v>
      </c>
      <c r="AG781" s="177" t="str">
        <f t="shared" si="104"/>
        <v>Pass</v>
      </c>
      <c r="AH781" s="177">
        <f t="shared" si="105"/>
        <v>244168</v>
      </c>
      <c r="AK781" s="176"/>
      <c r="AL781" s="176"/>
    </row>
    <row r="782" spans="1:38" ht="36" customHeight="1" x14ac:dyDescent="0.2">
      <c r="A782" s="14" t="s">
        <v>22</v>
      </c>
      <c r="B782" s="212">
        <v>244163</v>
      </c>
      <c r="C782" s="14" t="s">
        <v>547</v>
      </c>
      <c r="D782" s="14" t="s">
        <v>268</v>
      </c>
      <c r="E782" s="14" t="s">
        <v>14</v>
      </c>
      <c r="F782" s="14" t="s">
        <v>324</v>
      </c>
      <c r="G782" s="179">
        <v>680781</v>
      </c>
      <c r="H782" s="176" t="s">
        <v>627</v>
      </c>
      <c r="I782" s="176" t="s">
        <v>630</v>
      </c>
      <c r="J782" s="176" t="s">
        <v>520</v>
      </c>
      <c r="K782" s="176" t="s">
        <v>2829</v>
      </c>
      <c r="L782" s="40" t="s">
        <v>105</v>
      </c>
      <c r="M782" s="40" t="s">
        <v>341</v>
      </c>
      <c r="N782" s="14" t="s">
        <v>2833</v>
      </c>
      <c r="O782" s="14" t="s">
        <v>1909</v>
      </c>
      <c r="P782" s="14" t="s">
        <v>860</v>
      </c>
      <c r="Q782" s="14" t="s">
        <v>1913</v>
      </c>
      <c r="R782" s="17">
        <v>280</v>
      </c>
      <c r="S782" s="172" t="s">
        <v>51</v>
      </c>
      <c r="T782" s="17">
        <v>2034</v>
      </c>
      <c r="U782" s="14" t="s">
        <v>51</v>
      </c>
      <c r="V782" s="16">
        <f t="shared" si="106"/>
        <v>244163</v>
      </c>
      <c r="W782" s="16">
        <f t="shared" si="107"/>
        <v>244170</v>
      </c>
      <c r="X782" s="16">
        <f t="shared" si="108"/>
        <v>244165</v>
      </c>
      <c r="Y782" s="15" t="s">
        <v>54</v>
      </c>
      <c r="Z782" s="177">
        <v>244167</v>
      </c>
      <c r="AA782" s="170"/>
      <c r="AB782" s="170"/>
      <c r="AC782" s="170"/>
      <c r="AD782" s="170"/>
      <c r="AE782" s="15" t="s">
        <v>54</v>
      </c>
      <c r="AF782" s="177">
        <v>244168</v>
      </c>
      <c r="AG782" s="177" t="str">
        <f t="shared" si="104"/>
        <v>Pass</v>
      </c>
      <c r="AH782" s="177">
        <f t="shared" si="105"/>
        <v>244168</v>
      </c>
      <c r="AK782" s="176"/>
      <c r="AL782" s="176"/>
    </row>
    <row r="783" spans="1:38" ht="36" customHeight="1" x14ac:dyDescent="0.2">
      <c r="A783" s="14" t="s">
        <v>22</v>
      </c>
      <c r="B783" s="212">
        <v>244163</v>
      </c>
      <c r="C783" s="14" t="s">
        <v>547</v>
      </c>
      <c r="D783" s="14" t="s">
        <v>268</v>
      </c>
      <c r="E783" s="14" t="s">
        <v>14</v>
      </c>
      <c r="F783" s="14" t="s">
        <v>324</v>
      </c>
      <c r="G783" s="179">
        <v>680782</v>
      </c>
      <c r="H783" s="176" t="s">
        <v>627</v>
      </c>
      <c r="I783" s="176" t="s">
        <v>630</v>
      </c>
      <c r="J783" s="176" t="s">
        <v>520</v>
      </c>
      <c r="K783" s="176" t="s">
        <v>2829</v>
      </c>
      <c r="L783" s="40" t="s">
        <v>105</v>
      </c>
      <c r="M783" s="40" t="s">
        <v>341</v>
      </c>
      <c r="N783" s="14" t="s">
        <v>2834</v>
      </c>
      <c r="O783" s="14" t="s">
        <v>1009</v>
      </c>
      <c r="P783" s="14" t="s">
        <v>2836</v>
      </c>
      <c r="Q783" s="14" t="s">
        <v>323</v>
      </c>
      <c r="R783" s="17">
        <v>180</v>
      </c>
      <c r="S783" s="172" t="s">
        <v>51</v>
      </c>
      <c r="T783" s="17">
        <v>2035</v>
      </c>
      <c r="U783" s="14" t="s">
        <v>51</v>
      </c>
      <c r="V783" s="16">
        <f t="shared" si="106"/>
        <v>244163</v>
      </c>
      <c r="W783" s="16">
        <f t="shared" si="107"/>
        <v>244170</v>
      </c>
      <c r="X783" s="16">
        <f t="shared" si="108"/>
        <v>244165</v>
      </c>
      <c r="Y783" s="15" t="s">
        <v>54</v>
      </c>
      <c r="Z783" s="177">
        <v>244167</v>
      </c>
      <c r="AA783" s="170"/>
      <c r="AB783" s="170"/>
      <c r="AC783" s="170"/>
      <c r="AD783" s="170"/>
      <c r="AE783" s="15" t="s">
        <v>54</v>
      </c>
      <c r="AF783" s="177">
        <v>244168</v>
      </c>
      <c r="AG783" s="177" t="str">
        <f t="shared" si="104"/>
        <v>Pass</v>
      </c>
      <c r="AH783" s="177">
        <f t="shared" si="105"/>
        <v>244168</v>
      </c>
      <c r="AK783" s="176"/>
      <c r="AL783" s="176"/>
    </row>
    <row r="784" spans="1:38" ht="36" customHeight="1" x14ac:dyDescent="0.2">
      <c r="A784" s="14" t="s">
        <v>22</v>
      </c>
      <c r="B784" s="212">
        <v>244165</v>
      </c>
      <c r="C784" s="14" t="s">
        <v>547</v>
      </c>
      <c r="D784" s="14" t="s">
        <v>268</v>
      </c>
      <c r="E784" s="14" t="s">
        <v>14</v>
      </c>
      <c r="F784" s="14" t="s">
        <v>324</v>
      </c>
      <c r="G784" s="179">
        <v>680783</v>
      </c>
      <c r="H784" s="176" t="s">
        <v>1549</v>
      </c>
      <c r="I784" s="176" t="s">
        <v>630</v>
      </c>
      <c r="J784" s="176" t="s">
        <v>520</v>
      </c>
      <c r="K784" s="176" t="s">
        <v>2839</v>
      </c>
      <c r="L784" s="40" t="s">
        <v>105</v>
      </c>
      <c r="M784" s="40" t="s">
        <v>341</v>
      </c>
      <c r="N784" s="14" t="s">
        <v>2841</v>
      </c>
      <c r="O784" s="14" t="s">
        <v>552</v>
      </c>
      <c r="P784" s="14" t="s">
        <v>519</v>
      </c>
      <c r="Q784" s="14" t="s">
        <v>553</v>
      </c>
      <c r="R784" s="17">
        <v>1000</v>
      </c>
      <c r="S784" s="172" t="s">
        <v>51</v>
      </c>
      <c r="T784" s="17">
        <v>1403</v>
      </c>
      <c r="U784" s="14" t="s">
        <v>51</v>
      </c>
      <c r="V784" s="16">
        <f t="shared" si="106"/>
        <v>244165</v>
      </c>
      <c r="W784" s="16">
        <f t="shared" si="107"/>
        <v>244172</v>
      </c>
      <c r="X784" s="16">
        <f t="shared" si="108"/>
        <v>244167</v>
      </c>
      <c r="Y784" s="15" t="s">
        <v>54</v>
      </c>
      <c r="Z784" s="177">
        <v>244167</v>
      </c>
      <c r="AA784" s="170"/>
      <c r="AB784" s="170"/>
      <c r="AC784" s="170"/>
      <c r="AD784" s="170"/>
      <c r="AE784" s="15" t="s">
        <v>54</v>
      </c>
      <c r="AF784" s="177">
        <v>244168</v>
      </c>
      <c r="AG784" s="177" t="str">
        <f t="shared" si="104"/>
        <v>Pass</v>
      </c>
      <c r="AH784" s="177">
        <f t="shared" si="105"/>
        <v>244168</v>
      </c>
      <c r="AK784" s="176"/>
      <c r="AL784" s="176"/>
    </row>
    <row r="785" spans="1:38" ht="36" customHeight="1" x14ac:dyDescent="0.2">
      <c r="A785" s="14" t="s">
        <v>22</v>
      </c>
      <c r="B785" s="212">
        <v>244165</v>
      </c>
      <c r="C785" s="14" t="s">
        <v>547</v>
      </c>
      <c r="D785" s="14" t="s">
        <v>268</v>
      </c>
      <c r="E785" s="14" t="s">
        <v>14</v>
      </c>
      <c r="F785" s="14" t="s">
        <v>324</v>
      </c>
      <c r="G785" s="179">
        <v>680784</v>
      </c>
      <c r="H785" s="176" t="s">
        <v>2837</v>
      </c>
      <c r="I785" s="176" t="s">
        <v>551</v>
      </c>
      <c r="J785" s="176" t="s">
        <v>2838</v>
      </c>
      <c r="K785" s="176" t="s">
        <v>2840</v>
      </c>
      <c r="L785" s="40" t="s">
        <v>106</v>
      </c>
      <c r="M785" s="40" t="s">
        <v>341</v>
      </c>
      <c r="N785" s="14" t="s">
        <v>2842</v>
      </c>
      <c r="O785" s="14" t="s">
        <v>552</v>
      </c>
      <c r="P785" s="14" t="s">
        <v>1205</v>
      </c>
      <c r="Q785" s="14" t="s">
        <v>553</v>
      </c>
      <c r="R785" s="17">
        <v>700</v>
      </c>
      <c r="S785" s="172" t="s">
        <v>51</v>
      </c>
      <c r="T785" s="17"/>
      <c r="U785" s="14"/>
      <c r="V785" s="16">
        <f t="shared" si="106"/>
        <v>244165</v>
      </c>
      <c r="W785" s="16">
        <f t="shared" si="107"/>
        <v>244172</v>
      </c>
      <c r="X785" s="16">
        <f t="shared" si="108"/>
        <v>244167</v>
      </c>
      <c r="Y785" s="15" t="s">
        <v>54</v>
      </c>
      <c r="Z785" s="177">
        <v>244224</v>
      </c>
      <c r="AA785" s="170"/>
      <c r="AB785" s="170"/>
      <c r="AC785" s="170"/>
      <c r="AD785" s="170"/>
      <c r="AE785" s="15" t="s">
        <v>54</v>
      </c>
      <c r="AF785" s="177">
        <v>244225</v>
      </c>
      <c r="AG785" s="177" t="str">
        <f t="shared" si="104"/>
        <v>Pass</v>
      </c>
      <c r="AH785" s="177">
        <f t="shared" si="105"/>
        <v>244225</v>
      </c>
      <c r="AK785" s="176"/>
      <c r="AL785" s="176"/>
    </row>
    <row r="786" spans="1:38" ht="36" customHeight="1" x14ac:dyDescent="0.2">
      <c r="A786" s="14" t="s">
        <v>22</v>
      </c>
      <c r="B786" s="212">
        <v>244165</v>
      </c>
      <c r="C786" s="14" t="s">
        <v>547</v>
      </c>
      <c r="D786" s="14" t="s">
        <v>268</v>
      </c>
      <c r="E786" s="14" t="s">
        <v>14</v>
      </c>
      <c r="F786" s="14" t="s">
        <v>324</v>
      </c>
      <c r="G786" s="179">
        <v>680785</v>
      </c>
      <c r="H786" s="176" t="s">
        <v>2844</v>
      </c>
      <c r="I786" s="176" t="s">
        <v>724</v>
      </c>
      <c r="J786" s="176" t="s">
        <v>707</v>
      </c>
      <c r="K786" s="176" t="s">
        <v>2846</v>
      </c>
      <c r="L786" s="40" t="s">
        <v>108</v>
      </c>
      <c r="M786" s="40" t="s">
        <v>341</v>
      </c>
      <c r="N786" s="14" t="s">
        <v>2843</v>
      </c>
      <c r="O786" s="14" t="s">
        <v>543</v>
      </c>
      <c r="P786" s="14" t="s">
        <v>2855</v>
      </c>
      <c r="Q786" s="14" t="s">
        <v>529</v>
      </c>
      <c r="R786" s="17">
        <v>700</v>
      </c>
      <c r="S786" s="172" t="s">
        <v>51</v>
      </c>
      <c r="T786" s="17">
        <v>3170</v>
      </c>
      <c r="U786" s="14" t="s">
        <v>51</v>
      </c>
      <c r="V786" s="16">
        <f t="shared" si="106"/>
        <v>244165</v>
      </c>
      <c r="W786" s="16">
        <f t="shared" si="107"/>
        <v>244172</v>
      </c>
      <c r="X786" s="16">
        <f t="shared" si="108"/>
        <v>244167</v>
      </c>
      <c r="Y786" s="15" t="s">
        <v>54</v>
      </c>
      <c r="Z786" s="177">
        <v>244224</v>
      </c>
      <c r="AA786" s="170"/>
      <c r="AB786" s="170"/>
      <c r="AC786" s="170"/>
      <c r="AD786" s="170"/>
      <c r="AE786" s="15" t="s">
        <v>54</v>
      </c>
      <c r="AF786" s="177">
        <v>244225</v>
      </c>
      <c r="AG786" s="177" t="str">
        <f t="shared" si="104"/>
        <v>Pass</v>
      </c>
      <c r="AH786" s="177">
        <f t="shared" si="105"/>
        <v>244225</v>
      </c>
      <c r="AK786" s="176"/>
      <c r="AL786" s="176"/>
    </row>
    <row r="787" spans="1:38" ht="36" customHeight="1" x14ac:dyDescent="0.2">
      <c r="A787" s="14" t="s">
        <v>22</v>
      </c>
      <c r="B787" s="212">
        <v>244165</v>
      </c>
      <c r="C787" s="14" t="s">
        <v>547</v>
      </c>
      <c r="D787" s="14" t="s">
        <v>268</v>
      </c>
      <c r="E787" s="14" t="s">
        <v>14</v>
      </c>
      <c r="F787" s="14" t="s">
        <v>324</v>
      </c>
      <c r="G787" s="179">
        <v>680786</v>
      </c>
      <c r="H787" s="176" t="s">
        <v>1958</v>
      </c>
      <c r="I787" s="176" t="s">
        <v>630</v>
      </c>
      <c r="J787" s="176" t="s">
        <v>520</v>
      </c>
      <c r="K787" s="176" t="s">
        <v>2847</v>
      </c>
      <c r="L787" s="40" t="s">
        <v>105</v>
      </c>
      <c r="M787" s="40" t="s">
        <v>341</v>
      </c>
      <c r="N787" s="14" t="s">
        <v>2850</v>
      </c>
      <c r="O787" s="14" t="s">
        <v>543</v>
      </c>
      <c r="P787" s="14" t="s">
        <v>2856</v>
      </c>
      <c r="Q787" s="14" t="s">
        <v>529</v>
      </c>
      <c r="R787" s="17">
        <v>1740</v>
      </c>
      <c r="S787" s="172" t="s">
        <v>51</v>
      </c>
      <c r="T787" s="17">
        <v>2015</v>
      </c>
      <c r="U787" s="14" t="s">
        <v>51</v>
      </c>
      <c r="V787" s="16">
        <f t="shared" si="106"/>
        <v>244165</v>
      </c>
      <c r="W787" s="16">
        <f t="shared" si="107"/>
        <v>244172</v>
      </c>
      <c r="X787" s="16">
        <f t="shared" si="108"/>
        <v>244167</v>
      </c>
      <c r="Y787" s="15"/>
      <c r="Z787" s="177"/>
      <c r="AA787" s="170"/>
      <c r="AB787" s="170"/>
      <c r="AC787" s="170"/>
      <c r="AD787" s="170"/>
      <c r="AE787" s="15"/>
      <c r="AF787" s="177"/>
      <c r="AG787" s="177">
        <f t="shared" si="104"/>
        <v>0</v>
      </c>
      <c r="AH787" s="177">
        <f t="shared" si="105"/>
        <v>0</v>
      </c>
      <c r="AK787" s="176"/>
      <c r="AL787" s="176"/>
    </row>
    <row r="788" spans="1:38" ht="36" customHeight="1" x14ac:dyDescent="0.2">
      <c r="A788" s="14" t="s">
        <v>22</v>
      </c>
      <c r="B788" s="212">
        <v>244165</v>
      </c>
      <c r="C788" s="14" t="s">
        <v>547</v>
      </c>
      <c r="D788" s="14" t="s">
        <v>268</v>
      </c>
      <c r="E788" s="14" t="s">
        <v>14</v>
      </c>
      <c r="F788" s="14" t="s">
        <v>324</v>
      </c>
      <c r="G788" s="179">
        <v>680787</v>
      </c>
      <c r="H788" s="176" t="s">
        <v>826</v>
      </c>
      <c r="I788" s="176" t="s">
        <v>551</v>
      </c>
      <c r="J788" s="176" t="s">
        <v>832</v>
      </c>
      <c r="K788" s="176" t="s">
        <v>2848</v>
      </c>
      <c r="L788" s="40" t="s">
        <v>106</v>
      </c>
      <c r="M788" s="40" t="s">
        <v>341</v>
      </c>
      <c r="N788" s="14" t="s">
        <v>2851</v>
      </c>
      <c r="O788" s="14" t="s">
        <v>552</v>
      </c>
      <c r="P788" s="14" t="s">
        <v>1660</v>
      </c>
      <c r="Q788" s="14" t="s">
        <v>553</v>
      </c>
      <c r="R788" s="17">
        <v>600</v>
      </c>
      <c r="S788" s="172" t="s">
        <v>51</v>
      </c>
      <c r="T788" s="17">
        <v>2990</v>
      </c>
      <c r="U788" s="14" t="s">
        <v>51</v>
      </c>
      <c r="V788" s="16">
        <f t="shared" si="106"/>
        <v>244165</v>
      </c>
      <c r="W788" s="16">
        <f t="shared" si="107"/>
        <v>244172</v>
      </c>
      <c r="X788" s="16">
        <f t="shared" si="108"/>
        <v>244167</v>
      </c>
      <c r="Y788" s="15" t="s">
        <v>54</v>
      </c>
      <c r="Z788" s="177">
        <v>244224</v>
      </c>
      <c r="AA788" s="170"/>
      <c r="AB788" s="170"/>
      <c r="AC788" s="170"/>
      <c r="AD788" s="170"/>
      <c r="AE788" s="15" t="s">
        <v>54</v>
      </c>
      <c r="AF788" s="177">
        <v>244225</v>
      </c>
      <c r="AG788" s="177" t="str">
        <f t="shared" si="104"/>
        <v>Pass</v>
      </c>
      <c r="AH788" s="177">
        <f t="shared" si="105"/>
        <v>244225</v>
      </c>
      <c r="AK788" s="176"/>
      <c r="AL788" s="176"/>
    </row>
    <row r="789" spans="1:38" ht="36" customHeight="1" x14ac:dyDescent="0.2">
      <c r="A789" s="14" t="s">
        <v>22</v>
      </c>
      <c r="B789" s="212">
        <v>244165</v>
      </c>
      <c r="C789" s="14" t="s">
        <v>547</v>
      </c>
      <c r="D789" s="14" t="s">
        <v>268</v>
      </c>
      <c r="E789" s="14" t="s">
        <v>14</v>
      </c>
      <c r="F789" s="14" t="s">
        <v>324</v>
      </c>
      <c r="G789" s="179">
        <v>680788</v>
      </c>
      <c r="H789" s="176" t="s">
        <v>2845</v>
      </c>
      <c r="I789" s="176" t="s">
        <v>551</v>
      </c>
      <c r="J789" s="176" t="s">
        <v>596</v>
      </c>
      <c r="K789" s="176" t="s">
        <v>2849</v>
      </c>
      <c r="L789" s="40" t="s">
        <v>108</v>
      </c>
      <c r="M789" s="40" t="s">
        <v>2870</v>
      </c>
      <c r="N789" s="14" t="s">
        <v>2852</v>
      </c>
      <c r="O789" s="14" t="s">
        <v>2854</v>
      </c>
      <c r="P789" s="14" t="s">
        <v>2857</v>
      </c>
      <c r="Q789" s="14" t="s">
        <v>2859</v>
      </c>
      <c r="R789" s="17">
        <v>2475</v>
      </c>
      <c r="S789" s="172" t="s">
        <v>51</v>
      </c>
      <c r="T789" s="17"/>
      <c r="U789" s="14"/>
      <c r="V789" s="16">
        <f t="shared" si="106"/>
        <v>244165</v>
      </c>
      <c r="W789" s="16">
        <f t="shared" si="107"/>
        <v>244172</v>
      </c>
      <c r="X789" s="16">
        <f t="shared" si="108"/>
        <v>244167</v>
      </c>
      <c r="Y789" s="15" t="s">
        <v>54</v>
      </c>
      <c r="Z789" s="177">
        <v>244168</v>
      </c>
      <c r="AA789" s="170"/>
      <c r="AB789" s="170"/>
      <c r="AC789" s="170"/>
      <c r="AD789" s="170"/>
      <c r="AE789" s="15" t="s">
        <v>54</v>
      </c>
      <c r="AF789" s="177">
        <v>244173</v>
      </c>
      <c r="AG789" s="177" t="str">
        <f t="shared" si="104"/>
        <v>Pass</v>
      </c>
      <c r="AH789" s="177">
        <f t="shared" si="105"/>
        <v>244173</v>
      </c>
      <c r="AK789" s="176"/>
      <c r="AL789" s="176"/>
    </row>
    <row r="790" spans="1:38" ht="36" customHeight="1" x14ac:dyDescent="0.2">
      <c r="A790" s="14" t="s">
        <v>22</v>
      </c>
      <c r="B790" s="212">
        <v>244165</v>
      </c>
      <c r="C790" s="14" t="s">
        <v>547</v>
      </c>
      <c r="D790" s="14" t="s">
        <v>268</v>
      </c>
      <c r="E790" s="14" t="s">
        <v>14</v>
      </c>
      <c r="F790" s="14" t="s">
        <v>324</v>
      </c>
      <c r="G790" s="179">
        <v>680789</v>
      </c>
      <c r="H790" s="176" t="s">
        <v>1958</v>
      </c>
      <c r="I790" s="176" t="s">
        <v>630</v>
      </c>
      <c r="J790" s="176" t="s">
        <v>520</v>
      </c>
      <c r="K790" s="176" t="s">
        <v>2847</v>
      </c>
      <c r="L790" s="40" t="s">
        <v>105</v>
      </c>
      <c r="M790" s="40" t="s">
        <v>341</v>
      </c>
      <c r="N790" s="14" t="s">
        <v>2853</v>
      </c>
      <c r="O790" s="14" t="s">
        <v>527</v>
      </c>
      <c r="P790" s="14" t="s">
        <v>2858</v>
      </c>
      <c r="Q790" s="14" t="s">
        <v>542</v>
      </c>
      <c r="R790" s="17">
        <v>477</v>
      </c>
      <c r="S790" s="172" t="s">
        <v>51</v>
      </c>
      <c r="T790" s="17">
        <v>2015</v>
      </c>
      <c r="U790" s="14" t="s">
        <v>51</v>
      </c>
      <c r="V790" s="16">
        <f t="shared" si="106"/>
        <v>244165</v>
      </c>
      <c r="W790" s="16">
        <f t="shared" si="107"/>
        <v>244172</v>
      </c>
      <c r="X790" s="16">
        <f t="shared" si="108"/>
        <v>244167</v>
      </c>
      <c r="Y790" s="15"/>
      <c r="Z790" s="177"/>
      <c r="AA790" s="170"/>
      <c r="AB790" s="170"/>
      <c r="AC790" s="170"/>
      <c r="AD790" s="170"/>
      <c r="AE790" s="15"/>
      <c r="AF790" s="177"/>
      <c r="AG790" s="177">
        <f t="shared" si="104"/>
        <v>0</v>
      </c>
      <c r="AH790" s="177">
        <f t="shared" si="105"/>
        <v>0</v>
      </c>
      <c r="AK790" s="176"/>
      <c r="AL790" s="176"/>
    </row>
    <row r="791" spans="1:38" ht="36" customHeight="1" x14ac:dyDescent="0.2">
      <c r="A791" s="14" t="s">
        <v>23</v>
      </c>
      <c r="B791" s="212">
        <v>244166</v>
      </c>
      <c r="C791" s="14" t="s">
        <v>547</v>
      </c>
      <c r="D791" s="14" t="s">
        <v>268</v>
      </c>
      <c r="E791" s="14" t="s">
        <v>14</v>
      </c>
      <c r="F791" s="14" t="s">
        <v>324</v>
      </c>
      <c r="G791" s="179">
        <v>680790</v>
      </c>
      <c r="H791" s="176" t="s">
        <v>1364</v>
      </c>
      <c r="I791" s="176" t="s">
        <v>551</v>
      </c>
      <c r="J791" s="176" t="s">
        <v>596</v>
      </c>
      <c r="K791" s="176" t="s">
        <v>2862</v>
      </c>
      <c r="L791" s="40" t="s">
        <v>105</v>
      </c>
      <c r="M791" s="40" t="s">
        <v>341</v>
      </c>
      <c r="N791" s="14" t="s">
        <v>2868</v>
      </c>
      <c r="O791" s="14" t="s">
        <v>738</v>
      </c>
      <c r="P791" s="14" t="s">
        <v>1489</v>
      </c>
      <c r="Q791" s="14" t="s">
        <v>744</v>
      </c>
      <c r="R791" s="17">
        <v>675</v>
      </c>
      <c r="S791" s="172" t="s">
        <v>51</v>
      </c>
      <c r="T791" s="17">
        <v>2510</v>
      </c>
      <c r="U791" s="14" t="s">
        <v>51</v>
      </c>
      <c r="V791" s="16">
        <f t="shared" si="106"/>
        <v>244166</v>
      </c>
      <c r="W791" s="16">
        <f t="shared" si="107"/>
        <v>244173</v>
      </c>
      <c r="X791" s="16">
        <f t="shared" si="108"/>
        <v>244168</v>
      </c>
      <c r="Y791" s="15" t="s">
        <v>54</v>
      </c>
      <c r="Z791" s="177">
        <v>244168</v>
      </c>
      <c r="AA791" s="170"/>
      <c r="AB791" s="170"/>
      <c r="AC791" s="170"/>
      <c r="AD791" s="170"/>
      <c r="AE791" s="15" t="s">
        <v>54</v>
      </c>
      <c r="AF791" s="177">
        <v>244173</v>
      </c>
      <c r="AG791" s="177" t="str">
        <f t="shared" si="104"/>
        <v>Pass</v>
      </c>
      <c r="AH791" s="177">
        <f t="shared" si="105"/>
        <v>244173</v>
      </c>
      <c r="AK791" s="176"/>
      <c r="AL791" s="176"/>
    </row>
    <row r="792" spans="1:38" ht="36" customHeight="1" x14ac:dyDescent="0.2">
      <c r="A792" s="14" t="s">
        <v>23</v>
      </c>
      <c r="B792" s="212">
        <v>244166</v>
      </c>
      <c r="C792" s="14" t="s">
        <v>547</v>
      </c>
      <c r="D792" s="14" t="s">
        <v>268</v>
      </c>
      <c r="E792" s="14" t="s">
        <v>14</v>
      </c>
      <c r="F792" s="14" t="s">
        <v>324</v>
      </c>
      <c r="G792" s="179">
        <v>680791</v>
      </c>
      <c r="H792" s="176" t="s">
        <v>2860</v>
      </c>
      <c r="I792" s="176" t="s">
        <v>630</v>
      </c>
      <c r="J792" s="176" t="s">
        <v>2861</v>
      </c>
      <c r="K792" s="176" t="s">
        <v>2863</v>
      </c>
      <c r="L792" s="40" t="s">
        <v>46</v>
      </c>
      <c r="M792" s="40" t="s">
        <v>341</v>
      </c>
      <c r="N792" s="14" t="s">
        <v>2869</v>
      </c>
      <c r="O792" s="14" t="s">
        <v>548</v>
      </c>
      <c r="P792" s="14" t="s">
        <v>518</v>
      </c>
      <c r="Q792" s="14" t="s">
        <v>549</v>
      </c>
      <c r="R792" s="17">
        <v>335</v>
      </c>
      <c r="S792" s="172" t="s">
        <v>51</v>
      </c>
      <c r="T792" s="17"/>
      <c r="U792" s="14"/>
      <c r="V792" s="16">
        <f t="shared" si="106"/>
        <v>244166</v>
      </c>
      <c r="W792" s="16">
        <f t="shared" si="107"/>
        <v>244173</v>
      </c>
      <c r="X792" s="16">
        <f t="shared" si="108"/>
        <v>244168</v>
      </c>
      <c r="Y792" s="15"/>
      <c r="Z792" s="177"/>
      <c r="AA792" s="170"/>
      <c r="AB792" s="170"/>
      <c r="AC792" s="170"/>
      <c r="AD792" s="170"/>
      <c r="AE792" s="15"/>
      <c r="AF792" s="177"/>
      <c r="AG792" s="177">
        <f t="shared" si="104"/>
        <v>0</v>
      </c>
      <c r="AH792" s="177">
        <f t="shared" si="105"/>
        <v>0</v>
      </c>
      <c r="AK792" s="176"/>
      <c r="AL792" s="176"/>
    </row>
    <row r="793" spans="1:38" ht="36" customHeight="1" x14ac:dyDescent="0.2">
      <c r="A793" s="14" t="s">
        <v>23</v>
      </c>
      <c r="B793" s="212">
        <v>244166</v>
      </c>
      <c r="C793" s="14" t="s">
        <v>547</v>
      </c>
      <c r="D793" s="14" t="s">
        <v>268</v>
      </c>
      <c r="E793" s="14" t="s">
        <v>14</v>
      </c>
      <c r="F793" s="14" t="s">
        <v>324</v>
      </c>
      <c r="G793" s="179">
        <v>680792</v>
      </c>
      <c r="H793" s="176" t="s">
        <v>1457</v>
      </c>
      <c r="I793" s="176" t="s">
        <v>551</v>
      </c>
      <c r="J793" s="176" t="s">
        <v>596</v>
      </c>
      <c r="K793" s="176" t="s">
        <v>2864</v>
      </c>
      <c r="L793" s="40" t="s">
        <v>108</v>
      </c>
      <c r="M793" s="40" t="s">
        <v>341</v>
      </c>
      <c r="N793" s="14" t="s">
        <v>2871</v>
      </c>
      <c r="O793" s="14" t="s">
        <v>1313</v>
      </c>
      <c r="P793" s="14" t="s">
        <v>2875</v>
      </c>
      <c r="Q793" s="14" t="s">
        <v>1315</v>
      </c>
      <c r="R793" s="17">
        <v>110</v>
      </c>
      <c r="S793" s="172" t="s">
        <v>51</v>
      </c>
      <c r="T793" s="17">
        <v>2550</v>
      </c>
      <c r="U793" s="14" t="s">
        <v>51</v>
      </c>
      <c r="V793" s="16">
        <f t="shared" si="106"/>
        <v>244166</v>
      </c>
      <c r="W793" s="16">
        <f t="shared" si="107"/>
        <v>244173</v>
      </c>
      <c r="X793" s="16">
        <f t="shared" si="108"/>
        <v>244168</v>
      </c>
      <c r="Y793" s="15" t="s">
        <v>54</v>
      </c>
      <c r="Z793" s="177">
        <v>244224</v>
      </c>
      <c r="AA793" s="170"/>
      <c r="AB793" s="170"/>
      <c r="AC793" s="170"/>
      <c r="AD793" s="170"/>
      <c r="AE793" s="15" t="s">
        <v>54</v>
      </c>
      <c r="AF793" s="177">
        <v>244225</v>
      </c>
      <c r="AG793" s="177" t="str">
        <f t="shared" si="104"/>
        <v>Pass</v>
      </c>
      <c r="AH793" s="177">
        <f t="shared" si="105"/>
        <v>244225</v>
      </c>
      <c r="AK793" s="176"/>
      <c r="AL793" s="176"/>
    </row>
    <row r="794" spans="1:38" ht="36" customHeight="1" x14ac:dyDescent="0.2">
      <c r="A794" s="14" t="s">
        <v>23</v>
      </c>
      <c r="B794" s="212">
        <v>244166</v>
      </c>
      <c r="C794" s="14" t="s">
        <v>547</v>
      </c>
      <c r="D794" s="14" t="s">
        <v>268</v>
      </c>
      <c r="E794" s="14" t="s">
        <v>14</v>
      </c>
      <c r="F794" s="14" t="s">
        <v>324</v>
      </c>
      <c r="G794" s="179">
        <v>680793</v>
      </c>
      <c r="H794" s="176" t="s">
        <v>1162</v>
      </c>
      <c r="I794" s="176" t="s">
        <v>630</v>
      </c>
      <c r="J794" s="176" t="s">
        <v>1190</v>
      </c>
      <c r="K794" s="176" t="s">
        <v>2865</v>
      </c>
      <c r="L794" s="40" t="s">
        <v>46</v>
      </c>
      <c r="M794" s="40" t="s">
        <v>341</v>
      </c>
      <c r="N794" s="14" t="s">
        <v>2872</v>
      </c>
      <c r="O794" s="14" t="s">
        <v>548</v>
      </c>
      <c r="P794" s="14" t="s">
        <v>518</v>
      </c>
      <c r="Q794" s="14" t="s">
        <v>549</v>
      </c>
      <c r="R794" s="17">
        <v>301</v>
      </c>
      <c r="S794" s="172" t="s">
        <v>51</v>
      </c>
      <c r="T794" s="17">
        <v>1926</v>
      </c>
      <c r="U794" s="14" t="s">
        <v>51</v>
      </c>
      <c r="V794" s="16">
        <f t="shared" si="106"/>
        <v>244166</v>
      </c>
      <c r="W794" s="16">
        <f t="shared" si="107"/>
        <v>244173</v>
      </c>
      <c r="X794" s="16">
        <f t="shared" si="108"/>
        <v>244168</v>
      </c>
      <c r="Y794" s="15"/>
      <c r="Z794" s="177"/>
      <c r="AA794" s="170"/>
      <c r="AB794" s="170"/>
      <c r="AC794" s="170"/>
      <c r="AD794" s="170"/>
      <c r="AE794" s="15"/>
      <c r="AF794" s="177"/>
      <c r="AG794" s="177">
        <f t="shared" si="104"/>
        <v>0</v>
      </c>
      <c r="AH794" s="177">
        <f t="shared" si="105"/>
        <v>0</v>
      </c>
      <c r="AK794" s="176"/>
      <c r="AL794" s="176"/>
    </row>
    <row r="795" spans="1:38" ht="36" customHeight="1" x14ac:dyDescent="0.2">
      <c r="A795" s="14" t="s">
        <v>23</v>
      </c>
      <c r="B795" s="212">
        <v>244166</v>
      </c>
      <c r="C795" s="14" t="s">
        <v>547</v>
      </c>
      <c r="D795" s="14" t="s">
        <v>268</v>
      </c>
      <c r="E795" s="14" t="s">
        <v>14</v>
      </c>
      <c r="F795" s="14" t="s">
        <v>324</v>
      </c>
      <c r="G795" s="179">
        <v>680794</v>
      </c>
      <c r="H795" s="176" t="s">
        <v>886</v>
      </c>
      <c r="I795" s="176" t="s">
        <v>630</v>
      </c>
      <c r="J795" s="176" t="s">
        <v>821</v>
      </c>
      <c r="K795" s="176" t="s">
        <v>2866</v>
      </c>
      <c r="L795" s="40" t="s">
        <v>124</v>
      </c>
      <c r="M795" s="40" t="s">
        <v>341</v>
      </c>
      <c r="N795" s="14" t="s">
        <v>2873</v>
      </c>
      <c r="O795" s="14" t="s">
        <v>1119</v>
      </c>
      <c r="P795" s="14" t="s">
        <v>1124</v>
      </c>
      <c r="Q795" s="14" t="s">
        <v>1126</v>
      </c>
      <c r="R795" s="17">
        <v>1000</v>
      </c>
      <c r="S795" s="172" t="s">
        <v>51</v>
      </c>
      <c r="T795" s="17">
        <v>1169</v>
      </c>
      <c r="U795" s="14" t="s">
        <v>51</v>
      </c>
      <c r="V795" s="16">
        <f t="shared" si="106"/>
        <v>244166</v>
      </c>
      <c r="W795" s="16">
        <f t="shared" si="107"/>
        <v>244173</v>
      </c>
      <c r="X795" s="16">
        <f t="shared" si="108"/>
        <v>244168</v>
      </c>
      <c r="Y795" s="15"/>
      <c r="Z795" s="177"/>
      <c r="AA795" s="170"/>
      <c r="AB795" s="170"/>
      <c r="AC795" s="170"/>
      <c r="AD795" s="170"/>
      <c r="AE795" s="15"/>
      <c r="AF795" s="177"/>
      <c r="AG795" s="177">
        <f t="shared" si="104"/>
        <v>0</v>
      </c>
      <c r="AH795" s="177">
        <f t="shared" si="105"/>
        <v>0</v>
      </c>
      <c r="AK795" s="176"/>
      <c r="AL795" s="176"/>
    </row>
    <row r="796" spans="1:38" ht="36" customHeight="1" x14ac:dyDescent="0.2">
      <c r="A796" s="14" t="s">
        <v>23</v>
      </c>
      <c r="B796" s="212">
        <v>244166</v>
      </c>
      <c r="C796" s="14" t="s">
        <v>547</v>
      </c>
      <c r="D796" s="14" t="s">
        <v>268</v>
      </c>
      <c r="E796" s="14" t="s">
        <v>14</v>
      </c>
      <c r="F796" s="14" t="s">
        <v>324</v>
      </c>
      <c r="G796" s="179">
        <v>680795</v>
      </c>
      <c r="H796" s="176" t="s">
        <v>609</v>
      </c>
      <c r="I796" s="176" t="s">
        <v>514</v>
      </c>
      <c r="J796" s="176" t="s">
        <v>1306</v>
      </c>
      <c r="K796" s="176" t="s">
        <v>2819</v>
      </c>
      <c r="L796" s="40" t="s">
        <v>106</v>
      </c>
      <c r="M796" s="40" t="s">
        <v>341</v>
      </c>
      <c r="N796" s="14" t="s">
        <v>2874</v>
      </c>
      <c r="O796" s="14" t="s">
        <v>527</v>
      </c>
      <c r="P796" s="14" t="s">
        <v>1277</v>
      </c>
      <c r="Q796" s="14" t="s">
        <v>542</v>
      </c>
      <c r="R796" s="17">
        <v>113</v>
      </c>
      <c r="S796" s="172" t="s">
        <v>51</v>
      </c>
      <c r="T796" s="17">
        <v>1480</v>
      </c>
      <c r="U796" s="14" t="s">
        <v>51</v>
      </c>
      <c r="V796" s="16">
        <f t="shared" si="106"/>
        <v>244166</v>
      </c>
      <c r="W796" s="16">
        <f t="shared" si="107"/>
        <v>244173</v>
      </c>
      <c r="X796" s="16">
        <f t="shared" si="108"/>
        <v>244168</v>
      </c>
      <c r="Y796" s="15"/>
      <c r="Z796" s="177"/>
      <c r="AA796" s="170"/>
      <c r="AB796" s="170"/>
      <c r="AC796" s="170"/>
      <c r="AD796" s="170"/>
      <c r="AE796" s="15"/>
      <c r="AF796" s="177"/>
      <c r="AG796" s="177">
        <f t="shared" si="104"/>
        <v>0</v>
      </c>
      <c r="AH796" s="177">
        <f t="shared" si="105"/>
        <v>0</v>
      </c>
      <c r="AK796" s="176"/>
      <c r="AL796" s="176"/>
    </row>
    <row r="797" spans="1:38" ht="36" customHeight="1" x14ac:dyDescent="0.2">
      <c r="A797" s="14" t="s">
        <v>23</v>
      </c>
      <c r="B797" s="212">
        <v>244166</v>
      </c>
      <c r="C797" s="14" t="s">
        <v>547</v>
      </c>
      <c r="D797" s="14" t="s">
        <v>268</v>
      </c>
      <c r="E797" s="14" t="s">
        <v>14</v>
      </c>
      <c r="F797" s="14" t="s">
        <v>324</v>
      </c>
      <c r="G797" s="179">
        <v>680796</v>
      </c>
      <c r="H797" s="176" t="s">
        <v>824</v>
      </c>
      <c r="I797" s="176" t="s">
        <v>774</v>
      </c>
      <c r="J797" s="176" t="s">
        <v>776</v>
      </c>
      <c r="K797" s="176" t="s">
        <v>2867</v>
      </c>
      <c r="L797" s="40" t="s">
        <v>46</v>
      </c>
      <c r="M797" s="40" t="s">
        <v>341</v>
      </c>
      <c r="N797" s="14" t="s">
        <v>765</v>
      </c>
      <c r="O797" s="14" t="s">
        <v>548</v>
      </c>
      <c r="P797" s="14" t="s">
        <v>518</v>
      </c>
      <c r="Q797" s="14" t="s">
        <v>549</v>
      </c>
      <c r="R797" s="17">
        <v>200</v>
      </c>
      <c r="S797" s="172" t="s">
        <v>51</v>
      </c>
      <c r="T797" s="17">
        <v>1315</v>
      </c>
      <c r="U797" s="14" t="s">
        <v>51</v>
      </c>
      <c r="V797" s="16">
        <f t="shared" si="106"/>
        <v>244166</v>
      </c>
      <c r="W797" s="16">
        <f t="shared" si="107"/>
        <v>244173</v>
      </c>
      <c r="X797" s="16">
        <f t="shared" si="108"/>
        <v>244168</v>
      </c>
      <c r="Y797" s="15" t="s">
        <v>54</v>
      </c>
      <c r="Z797" s="177">
        <v>244167</v>
      </c>
      <c r="AA797" s="170"/>
      <c r="AB797" s="170"/>
      <c r="AC797" s="170"/>
      <c r="AD797" s="170"/>
      <c r="AE797" s="15" t="s">
        <v>54</v>
      </c>
      <c r="AF797" s="177">
        <v>244168</v>
      </c>
      <c r="AG797" s="177" t="str">
        <f t="shared" si="104"/>
        <v>Pass</v>
      </c>
      <c r="AH797" s="177">
        <f t="shared" si="105"/>
        <v>244168</v>
      </c>
      <c r="AK797" s="176"/>
      <c r="AL797" s="176"/>
    </row>
    <row r="798" spans="1:38" ht="36" customHeight="1" x14ac:dyDescent="0.2">
      <c r="A798" s="14" t="s">
        <v>23</v>
      </c>
      <c r="B798" s="212">
        <v>244166</v>
      </c>
      <c r="C798" s="14" t="s">
        <v>547</v>
      </c>
      <c r="D798" s="14" t="s">
        <v>268</v>
      </c>
      <c r="E798" s="14" t="s">
        <v>14</v>
      </c>
      <c r="F798" s="14" t="s">
        <v>324</v>
      </c>
      <c r="G798" s="179">
        <v>680797</v>
      </c>
      <c r="H798" s="176" t="s">
        <v>824</v>
      </c>
      <c r="I798" s="176" t="s">
        <v>774</v>
      </c>
      <c r="J798" s="176" t="s">
        <v>776</v>
      </c>
      <c r="K798" s="176" t="s">
        <v>2867</v>
      </c>
      <c r="L798" s="40" t="s">
        <v>46</v>
      </c>
      <c r="M798" s="40" t="s">
        <v>341</v>
      </c>
      <c r="N798" s="14" t="s">
        <v>2876</v>
      </c>
      <c r="O798" s="14" t="s">
        <v>552</v>
      </c>
      <c r="P798" s="14" t="s">
        <v>519</v>
      </c>
      <c r="Q798" s="14" t="s">
        <v>553</v>
      </c>
      <c r="R798" s="17">
        <v>1500</v>
      </c>
      <c r="S798" s="172" t="s">
        <v>51</v>
      </c>
      <c r="T798" s="17">
        <v>1315</v>
      </c>
      <c r="U798" s="14" t="s">
        <v>51</v>
      </c>
      <c r="V798" s="16">
        <f t="shared" si="106"/>
        <v>244166</v>
      </c>
      <c r="W798" s="16">
        <f t="shared" si="107"/>
        <v>244173</v>
      </c>
      <c r="X798" s="16">
        <f t="shared" si="108"/>
        <v>244168</v>
      </c>
      <c r="Y798" s="15" t="s">
        <v>54</v>
      </c>
      <c r="Z798" s="177">
        <v>244167</v>
      </c>
      <c r="AA798" s="170"/>
      <c r="AB798" s="170"/>
      <c r="AC798" s="170"/>
      <c r="AD798" s="170"/>
      <c r="AE798" s="15" t="s">
        <v>54</v>
      </c>
      <c r="AF798" s="177">
        <v>244168</v>
      </c>
      <c r="AG798" s="177" t="str">
        <f t="shared" si="104"/>
        <v>Pass</v>
      </c>
      <c r="AH798" s="177">
        <f t="shared" si="105"/>
        <v>244168</v>
      </c>
      <c r="AK798" s="176"/>
      <c r="AL798" s="176"/>
    </row>
    <row r="799" spans="1:38" ht="36" customHeight="1" x14ac:dyDescent="0.2">
      <c r="A799" s="14" t="s">
        <v>23</v>
      </c>
      <c r="B799" s="212">
        <v>244167</v>
      </c>
      <c r="C799" s="14" t="s">
        <v>547</v>
      </c>
      <c r="D799" s="14" t="s">
        <v>268</v>
      </c>
      <c r="E799" s="14" t="s">
        <v>14</v>
      </c>
      <c r="F799" s="14" t="s">
        <v>324</v>
      </c>
      <c r="G799" s="179">
        <v>680798</v>
      </c>
      <c r="H799" s="176" t="s">
        <v>609</v>
      </c>
      <c r="I799" s="176" t="s">
        <v>514</v>
      </c>
      <c r="J799" s="176" t="s">
        <v>337</v>
      </c>
      <c r="K799" s="176" t="s">
        <v>2877</v>
      </c>
      <c r="L799" s="40" t="s">
        <v>106</v>
      </c>
      <c r="M799" s="40" t="s">
        <v>341</v>
      </c>
      <c r="N799" s="14" t="s">
        <v>2879</v>
      </c>
      <c r="O799" s="14" t="s">
        <v>527</v>
      </c>
      <c r="P799" s="14" t="s">
        <v>1180</v>
      </c>
      <c r="Q799" s="14" t="s">
        <v>553</v>
      </c>
      <c r="R799" s="17">
        <v>220</v>
      </c>
      <c r="S799" s="172" t="s">
        <v>51</v>
      </c>
      <c r="T799" s="17">
        <v>1475</v>
      </c>
      <c r="U799" s="14" t="s">
        <v>51</v>
      </c>
      <c r="V799" s="16">
        <f t="shared" si="106"/>
        <v>244167</v>
      </c>
      <c r="W799" s="16">
        <f t="shared" si="107"/>
        <v>244174</v>
      </c>
      <c r="X799" s="16">
        <f t="shared" si="108"/>
        <v>244169</v>
      </c>
      <c r="Y799" s="15"/>
      <c r="Z799" s="177"/>
      <c r="AA799" s="170"/>
      <c r="AB799" s="170"/>
      <c r="AC799" s="170"/>
      <c r="AD799" s="170"/>
      <c r="AE799" s="15"/>
      <c r="AF799" s="177"/>
      <c r="AG799" s="177">
        <f t="shared" si="104"/>
        <v>0</v>
      </c>
      <c r="AH799" s="177">
        <f t="shared" si="105"/>
        <v>0</v>
      </c>
      <c r="AK799" s="176"/>
      <c r="AL799" s="176"/>
    </row>
    <row r="800" spans="1:38" ht="36" customHeight="1" x14ac:dyDescent="0.2">
      <c r="A800" s="14" t="s">
        <v>23</v>
      </c>
      <c r="B800" s="212">
        <v>244167</v>
      </c>
      <c r="C800" s="14" t="s">
        <v>547</v>
      </c>
      <c r="D800" s="14" t="s">
        <v>268</v>
      </c>
      <c r="E800" s="14" t="s">
        <v>14</v>
      </c>
      <c r="F800" s="14" t="s">
        <v>324</v>
      </c>
      <c r="G800" s="179">
        <v>680799</v>
      </c>
      <c r="H800" s="176" t="s">
        <v>1162</v>
      </c>
      <c r="I800" s="176" t="s">
        <v>630</v>
      </c>
      <c r="J800" s="176" t="s">
        <v>1190</v>
      </c>
      <c r="K800" s="176" t="s">
        <v>2878</v>
      </c>
      <c r="L800" s="40" t="s">
        <v>46</v>
      </c>
      <c r="M800" s="40" t="s">
        <v>341</v>
      </c>
      <c r="N800" s="14" t="s">
        <v>2880</v>
      </c>
      <c r="O800" s="14" t="s">
        <v>548</v>
      </c>
      <c r="P800" s="14" t="s">
        <v>518</v>
      </c>
      <c r="Q800" s="14" t="s">
        <v>549</v>
      </c>
      <c r="R800" s="17">
        <v>510</v>
      </c>
      <c r="S800" s="172" t="s">
        <v>51</v>
      </c>
      <c r="T800" s="17"/>
      <c r="U800" s="14"/>
      <c r="V800" s="16">
        <f t="shared" si="106"/>
        <v>244167</v>
      </c>
      <c r="W800" s="16">
        <f t="shared" si="107"/>
        <v>244174</v>
      </c>
      <c r="X800" s="16">
        <f t="shared" si="108"/>
        <v>244169</v>
      </c>
      <c r="Y800" s="15" t="s">
        <v>54</v>
      </c>
      <c r="Z800" s="177">
        <v>244224</v>
      </c>
      <c r="AA800" s="170"/>
      <c r="AB800" s="170"/>
      <c r="AC800" s="170"/>
      <c r="AD800" s="170"/>
      <c r="AE800" s="15" t="s">
        <v>54</v>
      </c>
      <c r="AF800" s="177">
        <v>244225</v>
      </c>
      <c r="AG800" s="177" t="str">
        <f t="shared" ref="AG800:AG863" si="109">AE800</f>
        <v>Pass</v>
      </c>
      <c r="AH800" s="177">
        <f t="shared" ref="AH800:AH863" si="110">AF800</f>
        <v>244225</v>
      </c>
      <c r="AK800" s="176"/>
      <c r="AL800" s="176"/>
    </row>
    <row r="801" spans="1:38" ht="36" customHeight="1" x14ac:dyDescent="0.2">
      <c r="A801" s="14" t="s">
        <v>23</v>
      </c>
      <c r="B801" s="212">
        <v>244168</v>
      </c>
      <c r="C801" s="14" t="s">
        <v>547</v>
      </c>
      <c r="D801" s="14" t="s">
        <v>268</v>
      </c>
      <c r="E801" s="14" t="s">
        <v>14</v>
      </c>
      <c r="F801" s="14" t="s">
        <v>324</v>
      </c>
      <c r="G801" s="179">
        <v>680800</v>
      </c>
      <c r="H801" s="176" t="s">
        <v>1808</v>
      </c>
      <c r="I801" s="176" t="s">
        <v>1810</v>
      </c>
      <c r="J801" s="176" t="s">
        <v>1812</v>
      </c>
      <c r="K801" s="176" t="s">
        <v>2882</v>
      </c>
      <c r="L801" s="40" t="s">
        <v>46</v>
      </c>
      <c r="M801" s="40" t="s">
        <v>341</v>
      </c>
      <c r="N801" s="14" t="s">
        <v>2888</v>
      </c>
      <c r="O801" s="14" t="s">
        <v>528</v>
      </c>
      <c r="P801" s="14" t="s">
        <v>1246</v>
      </c>
      <c r="Q801" s="14" t="s">
        <v>541</v>
      </c>
      <c r="R801" s="17">
        <v>300</v>
      </c>
      <c r="S801" s="172" t="s">
        <v>51</v>
      </c>
      <c r="T801" s="17">
        <v>1650</v>
      </c>
      <c r="U801" s="14" t="s">
        <v>51</v>
      </c>
      <c r="V801" s="16">
        <f t="shared" si="106"/>
        <v>244168</v>
      </c>
      <c r="W801" s="16">
        <f t="shared" si="107"/>
        <v>244175</v>
      </c>
      <c r="X801" s="16">
        <f t="shared" si="108"/>
        <v>244170</v>
      </c>
      <c r="Y801" s="15"/>
      <c r="Z801" s="177"/>
      <c r="AA801" s="170"/>
      <c r="AB801" s="170"/>
      <c r="AC801" s="170"/>
      <c r="AD801" s="170"/>
      <c r="AE801" s="15"/>
      <c r="AF801" s="177"/>
      <c r="AG801" s="177">
        <f t="shared" si="109"/>
        <v>0</v>
      </c>
      <c r="AH801" s="177">
        <f t="shared" si="110"/>
        <v>0</v>
      </c>
      <c r="AK801" s="176"/>
      <c r="AL801" s="176"/>
    </row>
    <row r="802" spans="1:38" ht="36" customHeight="1" x14ac:dyDescent="0.2">
      <c r="A802" s="14" t="s">
        <v>23</v>
      </c>
      <c r="B802" s="212">
        <v>244168</v>
      </c>
      <c r="C802" s="14" t="s">
        <v>547</v>
      </c>
      <c r="D802" s="14" t="s">
        <v>268</v>
      </c>
      <c r="E802" s="14" t="s">
        <v>14</v>
      </c>
      <c r="F802" s="14" t="s">
        <v>324</v>
      </c>
      <c r="G802" s="179">
        <v>680801</v>
      </c>
      <c r="H802" s="176" t="s">
        <v>2174</v>
      </c>
      <c r="I802" s="176" t="s">
        <v>960</v>
      </c>
      <c r="J802" s="176" t="s">
        <v>127</v>
      </c>
      <c r="K802" s="176" t="s">
        <v>2883</v>
      </c>
      <c r="L802" s="40" t="s">
        <v>108</v>
      </c>
      <c r="M802" s="40" t="s">
        <v>341</v>
      </c>
      <c r="N802" s="14" t="s">
        <v>2806</v>
      </c>
      <c r="O802" s="14" t="s">
        <v>528</v>
      </c>
      <c r="P802" s="14" t="s">
        <v>2813</v>
      </c>
      <c r="Q802" s="14" t="s">
        <v>541</v>
      </c>
      <c r="R802" s="17">
        <v>350</v>
      </c>
      <c r="S802" s="172" t="s">
        <v>51</v>
      </c>
      <c r="T802" s="17">
        <v>2850</v>
      </c>
      <c r="U802" s="14" t="s">
        <v>51</v>
      </c>
      <c r="V802" s="16">
        <f t="shared" si="106"/>
        <v>244168</v>
      </c>
      <c r="W802" s="16">
        <f t="shared" si="107"/>
        <v>244175</v>
      </c>
      <c r="X802" s="16">
        <f t="shared" si="108"/>
        <v>244170</v>
      </c>
      <c r="Y802" s="15" t="s">
        <v>54</v>
      </c>
      <c r="Z802" s="177">
        <v>244224</v>
      </c>
      <c r="AA802" s="170"/>
      <c r="AB802" s="170"/>
      <c r="AC802" s="170"/>
      <c r="AD802" s="170"/>
      <c r="AE802" s="15" t="s">
        <v>54</v>
      </c>
      <c r="AF802" s="177">
        <v>244225</v>
      </c>
      <c r="AG802" s="177" t="str">
        <f t="shared" si="109"/>
        <v>Pass</v>
      </c>
      <c r="AH802" s="177">
        <f t="shared" si="110"/>
        <v>244225</v>
      </c>
      <c r="AK802" s="176"/>
      <c r="AL802" s="176"/>
    </row>
    <row r="803" spans="1:38" ht="36" customHeight="1" x14ac:dyDescent="0.2">
      <c r="A803" s="14" t="s">
        <v>23</v>
      </c>
      <c r="B803" s="212">
        <v>244168</v>
      </c>
      <c r="C803" s="14" t="s">
        <v>547</v>
      </c>
      <c r="D803" s="14" t="s">
        <v>268</v>
      </c>
      <c r="E803" s="14" t="s">
        <v>14</v>
      </c>
      <c r="F803" s="14" t="s">
        <v>324</v>
      </c>
      <c r="G803" s="179">
        <v>680802</v>
      </c>
      <c r="H803" s="176" t="s">
        <v>1808</v>
      </c>
      <c r="I803" s="176" t="s">
        <v>1810</v>
      </c>
      <c r="J803" s="176" t="s">
        <v>1812</v>
      </c>
      <c r="K803" s="176" t="s">
        <v>2882</v>
      </c>
      <c r="L803" s="40" t="s">
        <v>46</v>
      </c>
      <c r="M803" s="40" t="s">
        <v>341</v>
      </c>
      <c r="N803" s="14" t="s">
        <v>2889</v>
      </c>
      <c r="O803" s="14" t="s">
        <v>2892</v>
      </c>
      <c r="P803" s="14" t="s">
        <v>2893</v>
      </c>
      <c r="Q803" s="14" t="s">
        <v>2894</v>
      </c>
      <c r="R803" s="17">
        <v>200</v>
      </c>
      <c r="S803" s="172" t="s">
        <v>51</v>
      </c>
      <c r="T803" s="17">
        <v>1650</v>
      </c>
      <c r="U803" s="14" t="s">
        <v>51</v>
      </c>
      <c r="V803" s="16">
        <f t="shared" si="106"/>
        <v>244168</v>
      </c>
      <c r="W803" s="16">
        <f t="shared" si="107"/>
        <v>244175</v>
      </c>
      <c r="X803" s="16">
        <f t="shared" si="108"/>
        <v>244170</v>
      </c>
      <c r="Y803" s="15"/>
      <c r="Z803" s="177"/>
      <c r="AA803" s="170"/>
      <c r="AB803" s="170"/>
      <c r="AC803" s="170"/>
      <c r="AD803" s="170"/>
      <c r="AE803" s="15"/>
      <c r="AF803" s="177"/>
      <c r="AG803" s="177">
        <f t="shared" si="109"/>
        <v>0</v>
      </c>
      <c r="AH803" s="177">
        <f t="shared" si="110"/>
        <v>0</v>
      </c>
      <c r="AK803" s="176"/>
      <c r="AL803" s="176"/>
    </row>
    <row r="804" spans="1:38" ht="36" customHeight="1" x14ac:dyDescent="0.2">
      <c r="A804" s="14" t="s">
        <v>23</v>
      </c>
      <c r="B804" s="212">
        <v>244168</v>
      </c>
      <c r="C804" s="14" t="s">
        <v>547</v>
      </c>
      <c r="D804" s="14" t="s">
        <v>268</v>
      </c>
      <c r="E804" s="14" t="s">
        <v>14</v>
      </c>
      <c r="F804" s="14" t="s">
        <v>324</v>
      </c>
      <c r="G804" s="179">
        <v>680803</v>
      </c>
      <c r="H804" s="176" t="s">
        <v>1606</v>
      </c>
      <c r="I804" s="176" t="s">
        <v>630</v>
      </c>
      <c r="J804" s="176" t="s">
        <v>520</v>
      </c>
      <c r="K804" s="176" t="s">
        <v>2884</v>
      </c>
      <c r="L804" s="40" t="s">
        <v>105</v>
      </c>
      <c r="M804" s="40" t="s">
        <v>341</v>
      </c>
      <c r="N804" s="14" t="s">
        <v>2890</v>
      </c>
      <c r="O804" s="14" t="s">
        <v>548</v>
      </c>
      <c r="P804" s="14" t="s">
        <v>518</v>
      </c>
      <c r="Q804" s="14" t="s">
        <v>549</v>
      </c>
      <c r="R804" s="17">
        <v>200</v>
      </c>
      <c r="S804" s="172" t="s">
        <v>51</v>
      </c>
      <c r="T804" s="17">
        <v>1680</v>
      </c>
      <c r="U804" s="14" t="s">
        <v>51</v>
      </c>
      <c r="V804" s="16">
        <f t="shared" si="106"/>
        <v>244168</v>
      </c>
      <c r="W804" s="16">
        <f t="shared" si="107"/>
        <v>244175</v>
      </c>
      <c r="X804" s="16">
        <f t="shared" si="108"/>
        <v>244170</v>
      </c>
      <c r="Y804" s="15"/>
      <c r="Z804" s="177"/>
      <c r="AA804" s="170"/>
      <c r="AB804" s="170"/>
      <c r="AC804" s="170"/>
      <c r="AD804" s="170"/>
      <c r="AE804" s="15"/>
      <c r="AF804" s="177"/>
      <c r="AG804" s="177">
        <f t="shared" si="109"/>
        <v>0</v>
      </c>
      <c r="AH804" s="177">
        <f t="shared" si="110"/>
        <v>0</v>
      </c>
      <c r="AK804" s="176"/>
      <c r="AL804" s="176"/>
    </row>
    <row r="805" spans="1:38" ht="36" customHeight="1" x14ac:dyDescent="0.2">
      <c r="A805" s="14" t="s">
        <v>23</v>
      </c>
      <c r="B805" s="212">
        <v>244168</v>
      </c>
      <c r="C805" s="14" t="s">
        <v>547</v>
      </c>
      <c r="D805" s="14" t="s">
        <v>268</v>
      </c>
      <c r="E805" s="14" t="s">
        <v>14</v>
      </c>
      <c r="F805" s="14" t="s">
        <v>324</v>
      </c>
      <c r="G805" s="179">
        <v>680804</v>
      </c>
      <c r="H805" s="176" t="s">
        <v>959</v>
      </c>
      <c r="I805" s="176" t="s">
        <v>960</v>
      </c>
      <c r="J805" s="176" t="s">
        <v>127</v>
      </c>
      <c r="K805" s="176" t="s">
        <v>2885</v>
      </c>
      <c r="L805" s="40" t="s">
        <v>108</v>
      </c>
      <c r="M805" s="40" t="s">
        <v>341</v>
      </c>
      <c r="N805" s="14" t="s">
        <v>2891</v>
      </c>
      <c r="O805" s="14" t="s">
        <v>548</v>
      </c>
      <c r="P805" s="14" t="s">
        <v>518</v>
      </c>
      <c r="Q805" s="14" t="s">
        <v>549</v>
      </c>
      <c r="R805" s="17">
        <v>229</v>
      </c>
      <c r="S805" s="172" t="s">
        <v>51</v>
      </c>
      <c r="T805" s="17">
        <v>3140</v>
      </c>
      <c r="U805" s="14" t="s">
        <v>51</v>
      </c>
      <c r="V805" s="16">
        <f t="shared" si="106"/>
        <v>244168</v>
      </c>
      <c r="W805" s="16">
        <f t="shared" si="107"/>
        <v>244175</v>
      </c>
      <c r="X805" s="16">
        <f t="shared" si="108"/>
        <v>244170</v>
      </c>
      <c r="Y805" s="15" t="s">
        <v>54</v>
      </c>
      <c r="Z805" s="177">
        <v>244224</v>
      </c>
      <c r="AA805" s="170"/>
      <c r="AB805" s="170"/>
      <c r="AC805" s="170"/>
      <c r="AD805" s="170"/>
      <c r="AE805" s="15" t="s">
        <v>54</v>
      </c>
      <c r="AF805" s="177">
        <v>244225</v>
      </c>
      <c r="AG805" s="177" t="str">
        <f t="shared" si="109"/>
        <v>Pass</v>
      </c>
      <c r="AH805" s="177">
        <f t="shared" si="110"/>
        <v>244225</v>
      </c>
      <c r="AK805" s="176"/>
      <c r="AL805" s="176"/>
    </row>
    <row r="806" spans="1:38" ht="36" customHeight="1" x14ac:dyDescent="0.2">
      <c r="A806" s="14" t="s">
        <v>23</v>
      </c>
      <c r="B806" s="212">
        <v>244168</v>
      </c>
      <c r="C806" s="14" t="s">
        <v>547</v>
      </c>
      <c r="D806" s="14" t="s">
        <v>268</v>
      </c>
      <c r="E806" s="14" t="s">
        <v>14</v>
      </c>
      <c r="F806" s="14" t="s">
        <v>324</v>
      </c>
      <c r="G806" s="179">
        <v>680805</v>
      </c>
      <c r="H806" s="176" t="s">
        <v>1873</v>
      </c>
      <c r="I806" s="176" t="s">
        <v>630</v>
      </c>
      <c r="J806" s="176" t="s">
        <v>520</v>
      </c>
      <c r="K806" s="176" t="s">
        <v>2886</v>
      </c>
      <c r="L806" s="40" t="s">
        <v>105</v>
      </c>
      <c r="M806" s="40" t="s">
        <v>341</v>
      </c>
      <c r="N806" s="14" t="s">
        <v>1214</v>
      </c>
      <c r="O806" s="14" t="s">
        <v>548</v>
      </c>
      <c r="P806" s="14" t="s">
        <v>518</v>
      </c>
      <c r="Q806" s="14" t="s">
        <v>549</v>
      </c>
      <c r="R806" s="17">
        <v>150</v>
      </c>
      <c r="S806" s="172" t="s">
        <v>51</v>
      </c>
      <c r="T806" s="17">
        <v>300</v>
      </c>
      <c r="U806" s="14" t="s">
        <v>51</v>
      </c>
      <c r="V806" s="16">
        <f t="shared" si="106"/>
        <v>244168</v>
      </c>
      <c r="W806" s="16">
        <f t="shared" si="107"/>
        <v>244175</v>
      </c>
      <c r="X806" s="16">
        <f t="shared" si="108"/>
        <v>244170</v>
      </c>
      <c r="Y806" s="15" t="s">
        <v>54</v>
      </c>
      <c r="Z806" s="177">
        <v>244181</v>
      </c>
      <c r="AA806" s="170"/>
      <c r="AB806" s="170"/>
      <c r="AC806" s="170"/>
      <c r="AD806" s="170"/>
      <c r="AE806" s="15" t="s">
        <v>54</v>
      </c>
      <c r="AF806" s="177">
        <v>244182</v>
      </c>
      <c r="AG806" s="177" t="str">
        <f t="shared" si="109"/>
        <v>Pass</v>
      </c>
      <c r="AH806" s="177">
        <f t="shared" si="110"/>
        <v>244182</v>
      </c>
      <c r="AK806" s="176"/>
      <c r="AL806" s="176"/>
    </row>
    <row r="807" spans="1:38" ht="36" customHeight="1" x14ac:dyDescent="0.2">
      <c r="A807" s="14" t="s">
        <v>23</v>
      </c>
      <c r="B807" s="212">
        <v>244168</v>
      </c>
      <c r="C807" s="14" t="s">
        <v>547</v>
      </c>
      <c r="D807" s="14" t="s">
        <v>268</v>
      </c>
      <c r="E807" s="14" t="s">
        <v>14</v>
      </c>
      <c r="F807" s="14" t="s">
        <v>324</v>
      </c>
      <c r="G807" s="179">
        <v>680806</v>
      </c>
      <c r="H807" s="176" t="s">
        <v>1548</v>
      </c>
      <c r="I807" s="176" t="s">
        <v>630</v>
      </c>
      <c r="J807" s="176" t="s">
        <v>2881</v>
      </c>
      <c r="K807" s="176" t="s">
        <v>2887</v>
      </c>
      <c r="L807" s="40" t="s">
        <v>105</v>
      </c>
      <c r="M807" s="40" t="s">
        <v>341</v>
      </c>
      <c r="N807" s="14" t="s">
        <v>1938</v>
      </c>
      <c r="O807" s="14" t="s">
        <v>548</v>
      </c>
      <c r="P807" s="14" t="s">
        <v>518</v>
      </c>
      <c r="Q807" s="14" t="s">
        <v>549</v>
      </c>
      <c r="R807" s="17">
        <v>400</v>
      </c>
      <c r="S807" s="172" t="s">
        <v>51</v>
      </c>
      <c r="T807" s="17">
        <v>1410</v>
      </c>
      <c r="U807" s="14" t="s">
        <v>51</v>
      </c>
      <c r="V807" s="16">
        <f t="shared" si="106"/>
        <v>244168</v>
      </c>
      <c r="W807" s="16">
        <f t="shared" si="107"/>
        <v>244175</v>
      </c>
      <c r="X807" s="16">
        <f t="shared" si="108"/>
        <v>244170</v>
      </c>
      <c r="Y807" s="15" t="s">
        <v>54</v>
      </c>
      <c r="Z807" s="177">
        <v>244181</v>
      </c>
      <c r="AA807" s="170"/>
      <c r="AB807" s="170"/>
      <c r="AC807" s="170"/>
      <c r="AD807" s="170"/>
      <c r="AE807" s="15" t="s">
        <v>54</v>
      </c>
      <c r="AF807" s="177">
        <v>244182</v>
      </c>
      <c r="AG807" s="177" t="str">
        <f t="shared" si="109"/>
        <v>Pass</v>
      </c>
      <c r="AH807" s="177">
        <f t="shared" si="110"/>
        <v>244182</v>
      </c>
      <c r="AK807" s="176"/>
      <c r="AL807" s="176"/>
    </row>
    <row r="808" spans="1:38" ht="36" customHeight="1" x14ac:dyDescent="0.2">
      <c r="A808" s="14" t="s">
        <v>23</v>
      </c>
      <c r="B808" s="212">
        <v>244168</v>
      </c>
      <c r="C808" s="14" t="s">
        <v>547</v>
      </c>
      <c r="D808" s="14" t="s">
        <v>268</v>
      </c>
      <c r="E808" s="14" t="s">
        <v>14</v>
      </c>
      <c r="F808" s="14" t="s">
        <v>324</v>
      </c>
      <c r="G808" s="179">
        <v>680807</v>
      </c>
      <c r="H808" s="176" t="s">
        <v>609</v>
      </c>
      <c r="I808" s="176" t="s">
        <v>514</v>
      </c>
      <c r="J808" s="176" t="s">
        <v>337</v>
      </c>
      <c r="K808" s="176" t="s">
        <v>2877</v>
      </c>
      <c r="L808" s="40" t="s">
        <v>106</v>
      </c>
      <c r="M808" s="40" t="s">
        <v>341</v>
      </c>
      <c r="N808" s="14" t="s">
        <v>2421</v>
      </c>
      <c r="O808" s="14" t="s">
        <v>548</v>
      </c>
      <c r="P808" s="14" t="s">
        <v>518</v>
      </c>
      <c r="Q808" s="14" t="s">
        <v>549</v>
      </c>
      <c r="R808" s="17">
        <v>108</v>
      </c>
      <c r="S808" s="172" t="s">
        <v>51</v>
      </c>
      <c r="T808" s="17">
        <v>1510</v>
      </c>
      <c r="U808" s="14" t="s">
        <v>51</v>
      </c>
      <c r="V808" s="16">
        <f t="shared" si="106"/>
        <v>244168</v>
      </c>
      <c r="W808" s="16">
        <f t="shared" si="107"/>
        <v>244175</v>
      </c>
      <c r="X808" s="16">
        <f t="shared" si="108"/>
        <v>244170</v>
      </c>
      <c r="Y808" s="15"/>
      <c r="Z808" s="177"/>
      <c r="AA808" s="170"/>
      <c r="AB808" s="170"/>
      <c r="AC808" s="170"/>
      <c r="AD808" s="170"/>
      <c r="AE808" s="15"/>
      <c r="AF808" s="177"/>
      <c r="AG808" s="177">
        <f t="shared" si="109"/>
        <v>0</v>
      </c>
      <c r="AH808" s="177">
        <f t="shared" si="110"/>
        <v>0</v>
      </c>
      <c r="AK808" s="176"/>
      <c r="AL808" s="176"/>
    </row>
    <row r="809" spans="1:38" ht="36" customHeight="1" x14ac:dyDescent="0.2">
      <c r="A809" s="14" t="s">
        <v>23</v>
      </c>
      <c r="B809" s="212">
        <v>244168</v>
      </c>
      <c r="C809" s="14" t="s">
        <v>547</v>
      </c>
      <c r="D809" s="14" t="s">
        <v>268</v>
      </c>
      <c r="E809" s="14" t="s">
        <v>14</v>
      </c>
      <c r="F809" s="14" t="s">
        <v>324</v>
      </c>
      <c r="G809" s="179">
        <v>680808</v>
      </c>
      <c r="H809" s="176" t="s">
        <v>1873</v>
      </c>
      <c r="I809" s="176" t="s">
        <v>630</v>
      </c>
      <c r="J809" s="176" t="s">
        <v>520</v>
      </c>
      <c r="K809" s="176" t="s">
        <v>2886</v>
      </c>
      <c r="L809" s="40" t="s">
        <v>105</v>
      </c>
      <c r="M809" s="40" t="s">
        <v>341</v>
      </c>
      <c r="N809" s="14" t="s">
        <v>2896</v>
      </c>
      <c r="O809" s="14" t="s">
        <v>2898</v>
      </c>
      <c r="P809" s="14" t="s">
        <v>2899</v>
      </c>
      <c r="Q809" s="14" t="s">
        <v>2900</v>
      </c>
      <c r="R809" s="17">
        <v>540</v>
      </c>
      <c r="S809" s="172" t="s">
        <v>51</v>
      </c>
      <c r="T809" s="17">
        <v>900</v>
      </c>
      <c r="U809" s="14" t="s">
        <v>51</v>
      </c>
      <c r="V809" s="16">
        <f t="shared" si="106"/>
        <v>244168</v>
      </c>
      <c r="W809" s="16">
        <f t="shared" si="107"/>
        <v>244175</v>
      </c>
      <c r="X809" s="16">
        <f t="shared" si="108"/>
        <v>244170</v>
      </c>
      <c r="Y809" s="15" t="s">
        <v>54</v>
      </c>
      <c r="Z809" s="177">
        <v>244181</v>
      </c>
      <c r="AA809" s="170"/>
      <c r="AB809" s="170"/>
      <c r="AC809" s="170"/>
      <c r="AD809" s="170"/>
      <c r="AE809" s="15" t="s">
        <v>54</v>
      </c>
      <c r="AF809" s="177">
        <v>244182</v>
      </c>
      <c r="AG809" s="177" t="str">
        <f t="shared" si="109"/>
        <v>Pass</v>
      </c>
      <c r="AH809" s="177">
        <f t="shared" si="110"/>
        <v>244182</v>
      </c>
      <c r="AK809" s="176"/>
      <c r="AL809" s="176"/>
    </row>
    <row r="810" spans="1:38" ht="36" customHeight="1" x14ac:dyDescent="0.2">
      <c r="A810" s="14" t="s">
        <v>23</v>
      </c>
      <c r="B810" s="212">
        <v>244168</v>
      </c>
      <c r="C810" s="14" t="s">
        <v>547</v>
      </c>
      <c r="D810" s="14" t="s">
        <v>268</v>
      </c>
      <c r="E810" s="14" t="s">
        <v>14</v>
      </c>
      <c r="F810" s="14" t="s">
        <v>324</v>
      </c>
      <c r="G810" s="179">
        <v>680809</v>
      </c>
      <c r="H810" s="176" t="s">
        <v>1873</v>
      </c>
      <c r="I810" s="176" t="s">
        <v>630</v>
      </c>
      <c r="J810" s="176" t="s">
        <v>520</v>
      </c>
      <c r="K810" s="176" t="s">
        <v>2886</v>
      </c>
      <c r="L810" s="40" t="s">
        <v>105</v>
      </c>
      <c r="M810" s="40" t="s">
        <v>341</v>
      </c>
      <c r="N810" s="14" t="s">
        <v>836</v>
      </c>
      <c r="O810" s="14" t="s">
        <v>548</v>
      </c>
      <c r="P810" s="14" t="s">
        <v>717</v>
      </c>
      <c r="Q810" s="14" t="s">
        <v>549</v>
      </c>
      <c r="R810" s="17">
        <v>130</v>
      </c>
      <c r="S810" s="172" t="s">
        <v>51</v>
      </c>
      <c r="T810" s="17">
        <v>900</v>
      </c>
      <c r="U810" s="14" t="s">
        <v>51</v>
      </c>
      <c r="V810" s="16">
        <f t="shared" si="106"/>
        <v>244168</v>
      </c>
      <c r="W810" s="16">
        <f t="shared" si="107"/>
        <v>244175</v>
      </c>
      <c r="X810" s="16">
        <f t="shared" si="108"/>
        <v>244170</v>
      </c>
      <c r="Y810" s="15" t="s">
        <v>54</v>
      </c>
      <c r="Z810" s="177">
        <v>244181</v>
      </c>
      <c r="AA810" s="170"/>
      <c r="AB810" s="170"/>
      <c r="AC810" s="170"/>
      <c r="AD810" s="170"/>
      <c r="AE810" s="15" t="s">
        <v>54</v>
      </c>
      <c r="AF810" s="177">
        <v>244182</v>
      </c>
      <c r="AG810" s="177" t="str">
        <f t="shared" si="109"/>
        <v>Pass</v>
      </c>
      <c r="AH810" s="177">
        <f t="shared" si="110"/>
        <v>244182</v>
      </c>
      <c r="AK810" s="176"/>
      <c r="AL810" s="176"/>
    </row>
    <row r="811" spans="1:38" ht="36" customHeight="1" x14ac:dyDescent="0.2">
      <c r="A811" s="14" t="s">
        <v>23</v>
      </c>
      <c r="B811" s="212">
        <v>244168</v>
      </c>
      <c r="C811" s="14" t="s">
        <v>547</v>
      </c>
      <c r="D811" s="14" t="s">
        <v>268</v>
      </c>
      <c r="E811" s="14" t="s">
        <v>14</v>
      </c>
      <c r="F811" s="14" t="s">
        <v>324</v>
      </c>
      <c r="G811" s="179">
        <v>680810</v>
      </c>
      <c r="H811" s="176" t="s">
        <v>723</v>
      </c>
      <c r="I811" s="176" t="s">
        <v>725</v>
      </c>
      <c r="J811" s="176" t="s">
        <v>123</v>
      </c>
      <c r="K811" s="176" t="s">
        <v>2895</v>
      </c>
      <c r="L811" s="40" t="s">
        <v>124</v>
      </c>
      <c r="M811" s="40" t="s">
        <v>341</v>
      </c>
      <c r="N811" s="14" t="s">
        <v>2897</v>
      </c>
      <c r="O811" s="14" t="s">
        <v>1909</v>
      </c>
      <c r="P811" s="14" t="s">
        <v>1659</v>
      </c>
      <c r="Q811" s="14" t="s">
        <v>1913</v>
      </c>
      <c r="R811" s="17">
        <v>150</v>
      </c>
      <c r="S811" s="172" t="s">
        <v>51</v>
      </c>
      <c r="T811" s="17">
        <v>1935</v>
      </c>
      <c r="U811" s="14" t="s">
        <v>51</v>
      </c>
      <c r="V811" s="16">
        <f t="shared" si="106"/>
        <v>244168</v>
      </c>
      <c r="W811" s="16">
        <f t="shared" si="107"/>
        <v>244175</v>
      </c>
      <c r="X811" s="16">
        <f t="shared" si="108"/>
        <v>244170</v>
      </c>
      <c r="Y811" s="15"/>
      <c r="Z811" s="177"/>
      <c r="AA811" s="170"/>
      <c r="AB811" s="170"/>
      <c r="AC811" s="170"/>
      <c r="AD811" s="170"/>
      <c r="AE811" s="15"/>
      <c r="AF811" s="177"/>
      <c r="AG811" s="177">
        <f t="shared" si="109"/>
        <v>0</v>
      </c>
      <c r="AH811" s="177">
        <f t="shared" si="110"/>
        <v>0</v>
      </c>
      <c r="AK811" s="176"/>
      <c r="AL811" s="176"/>
    </row>
    <row r="812" spans="1:38" ht="36" customHeight="1" x14ac:dyDescent="0.2">
      <c r="A812" s="14" t="s">
        <v>23</v>
      </c>
      <c r="B812" s="212">
        <v>244169</v>
      </c>
      <c r="C812" s="14" t="s">
        <v>547</v>
      </c>
      <c r="D812" s="14" t="s">
        <v>268</v>
      </c>
      <c r="E812" s="14" t="s">
        <v>14</v>
      </c>
      <c r="F812" s="14" t="s">
        <v>324</v>
      </c>
      <c r="G812" s="179">
        <v>680811</v>
      </c>
      <c r="H812" s="176" t="s">
        <v>2901</v>
      </c>
      <c r="I812" s="176" t="s">
        <v>612</v>
      </c>
      <c r="J812" s="176" t="s">
        <v>727</v>
      </c>
      <c r="K812" s="176" t="s">
        <v>2902</v>
      </c>
      <c r="L812" s="40" t="s">
        <v>46</v>
      </c>
      <c r="M812" s="40" t="s">
        <v>341</v>
      </c>
      <c r="N812" s="14" t="s">
        <v>2907</v>
      </c>
      <c r="O812" s="14" t="s">
        <v>552</v>
      </c>
      <c r="P812" s="14" t="s">
        <v>519</v>
      </c>
      <c r="Q812" s="14" t="s">
        <v>553</v>
      </c>
      <c r="R812" s="17">
        <v>750</v>
      </c>
      <c r="S812" s="172" t="s">
        <v>51</v>
      </c>
      <c r="T812" s="17">
        <v>1935</v>
      </c>
      <c r="U812" s="14" t="s">
        <v>51</v>
      </c>
      <c r="V812" s="16">
        <f t="shared" si="106"/>
        <v>244169</v>
      </c>
      <c r="W812" s="16">
        <f t="shared" si="107"/>
        <v>244176</v>
      </c>
      <c r="X812" s="16">
        <f t="shared" si="108"/>
        <v>244171</v>
      </c>
      <c r="Y812" s="15"/>
      <c r="Z812" s="177"/>
      <c r="AA812" s="170"/>
      <c r="AB812" s="170"/>
      <c r="AC812" s="170"/>
      <c r="AD812" s="170"/>
      <c r="AE812" s="15"/>
      <c r="AF812" s="177"/>
      <c r="AG812" s="177">
        <f t="shared" si="109"/>
        <v>0</v>
      </c>
      <c r="AH812" s="177">
        <f t="shared" si="110"/>
        <v>0</v>
      </c>
      <c r="AK812" s="176"/>
      <c r="AL812" s="176"/>
    </row>
    <row r="813" spans="1:38" ht="36" customHeight="1" x14ac:dyDescent="0.2">
      <c r="A813" s="14" t="s">
        <v>23</v>
      </c>
      <c r="B813" s="212">
        <v>244169</v>
      </c>
      <c r="C813" s="14" t="s">
        <v>547</v>
      </c>
      <c r="D813" s="14" t="s">
        <v>268</v>
      </c>
      <c r="E813" s="14" t="s">
        <v>14</v>
      </c>
      <c r="F813" s="14" t="s">
        <v>324</v>
      </c>
      <c r="G813" s="179">
        <v>680812</v>
      </c>
      <c r="H813" s="176" t="s">
        <v>2901</v>
      </c>
      <c r="I813" s="176" t="s">
        <v>612</v>
      </c>
      <c r="J813" s="176" t="s">
        <v>727</v>
      </c>
      <c r="K813" s="176" t="s">
        <v>2902</v>
      </c>
      <c r="L813" s="40" t="s">
        <v>46</v>
      </c>
      <c r="M813" s="40" t="s">
        <v>341</v>
      </c>
      <c r="N813" s="14" t="s">
        <v>1540</v>
      </c>
      <c r="O813" s="14" t="s">
        <v>548</v>
      </c>
      <c r="P813" s="14" t="s">
        <v>518</v>
      </c>
      <c r="Q813" s="14" t="s">
        <v>549</v>
      </c>
      <c r="R813" s="17">
        <v>163</v>
      </c>
      <c r="S813" s="172" t="s">
        <v>51</v>
      </c>
      <c r="T813" s="17">
        <v>1935</v>
      </c>
      <c r="U813" s="14" t="s">
        <v>51</v>
      </c>
      <c r="V813" s="16">
        <f t="shared" ref="V813:V875" si="111">B813</f>
        <v>244169</v>
      </c>
      <c r="W813" s="16">
        <f t="shared" ref="W813:W875" si="112">B813+7</f>
        <v>244176</v>
      </c>
      <c r="X813" s="16">
        <f t="shared" ref="X813:X875" si="113">V813+2</f>
        <v>244171</v>
      </c>
      <c r="Y813" s="15"/>
      <c r="Z813" s="177"/>
      <c r="AA813" s="170"/>
      <c r="AB813" s="170"/>
      <c r="AC813" s="170"/>
      <c r="AD813" s="170"/>
      <c r="AE813" s="15"/>
      <c r="AF813" s="177"/>
      <c r="AG813" s="177">
        <f t="shared" si="109"/>
        <v>0</v>
      </c>
      <c r="AH813" s="177">
        <f t="shared" si="110"/>
        <v>0</v>
      </c>
      <c r="AK813" s="176"/>
      <c r="AL813" s="176"/>
    </row>
    <row r="814" spans="1:38" ht="36" customHeight="1" x14ac:dyDescent="0.2">
      <c r="A814" s="14" t="s">
        <v>23</v>
      </c>
      <c r="B814" s="212">
        <v>244169</v>
      </c>
      <c r="C814" s="14" t="s">
        <v>547</v>
      </c>
      <c r="D814" s="14" t="s">
        <v>268</v>
      </c>
      <c r="E814" s="14" t="s">
        <v>14</v>
      </c>
      <c r="F814" s="14" t="s">
        <v>324</v>
      </c>
      <c r="G814" s="179">
        <v>680813</v>
      </c>
      <c r="H814" s="176" t="s">
        <v>2537</v>
      </c>
      <c r="I814" s="176" t="s">
        <v>612</v>
      </c>
      <c r="J814" s="176" t="s">
        <v>727</v>
      </c>
      <c r="K814" s="176" t="s">
        <v>2903</v>
      </c>
      <c r="L814" s="40" t="s">
        <v>46</v>
      </c>
      <c r="M814" s="40" t="s">
        <v>341</v>
      </c>
      <c r="N814" s="14" t="s">
        <v>765</v>
      </c>
      <c r="O814" s="14" t="s">
        <v>548</v>
      </c>
      <c r="P814" s="14" t="s">
        <v>518</v>
      </c>
      <c r="Q814" s="14" t="s">
        <v>549</v>
      </c>
      <c r="R814" s="17">
        <v>200</v>
      </c>
      <c r="S814" s="172" t="s">
        <v>51</v>
      </c>
      <c r="T814" s="17">
        <v>1930</v>
      </c>
      <c r="U814" s="14" t="s">
        <v>51</v>
      </c>
      <c r="V814" s="16">
        <f>B814</f>
        <v>244169</v>
      </c>
      <c r="W814" s="16">
        <f>B814+7</f>
        <v>244176</v>
      </c>
      <c r="X814" s="16">
        <f t="shared" si="113"/>
        <v>244171</v>
      </c>
      <c r="Y814" s="15"/>
      <c r="Z814" s="177"/>
      <c r="AA814" s="170"/>
      <c r="AB814" s="170"/>
      <c r="AC814" s="170"/>
      <c r="AD814" s="170"/>
      <c r="AE814" s="15"/>
      <c r="AF814" s="177"/>
      <c r="AG814" s="177">
        <f t="shared" si="109"/>
        <v>0</v>
      </c>
      <c r="AH814" s="177">
        <f t="shared" si="110"/>
        <v>0</v>
      </c>
      <c r="AK814" s="176"/>
      <c r="AL814" s="176"/>
    </row>
    <row r="815" spans="1:38" ht="36" customHeight="1" x14ac:dyDescent="0.2">
      <c r="A815" s="14" t="s">
        <v>23</v>
      </c>
      <c r="B815" s="212">
        <v>244169</v>
      </c>
      <c r="C815" s="14" t="s">
        <v>547</v>
      </c>
      <c r="D815" s="14" t="s">
        <v>268</v>
      </c>
      <c r="E815" s="14" t="s">
        <v>14</v>
      </c>
      <c r="F815" s="14" t="s">
        <v>324</v>
      </c>
      <c r="G815" s="179">
        <v>680814</v>
      </c>
      <c r="H815" s="176" t="s">
        <v>663</v>
      </c>
      <c r="I815" s="176" t="s">
        <v>630</v>
      </c>
      <c r="J815" s="176" t="s">
        <v>821</v>
      </c>
      <c r="K815" s="176" t="s">
        <v>2904</v>
      </c>
      <c r="L815" s="40" t="s">
        <v>124</v>
      </c>
      <c r="M815" s="40" t="s">
        <v>341</v>
      </c>
      <c r="N815" s="14" t="s">
        <v>2908</v>
      </c>
      <c r="O815" s="14" t="s">
        <v>543</v>
      </c>
      <c r="P815" s="14" t="s">
        <v>2911</v>
      </c>
      <c r="Q815" s="14" t="s">
        <v>529</v>
      </c>
      <c r="R815" s="17">
        <v>500</v>
      </c>
      <c r="S815" s="172" t="s">
        <v>51</v>
      </c>
      <c r="T815" s="17">
        <v>2585</v>
      </c>
      <c r="U815" s="14" t="s">
        <v>51</v>
      </c>
      <c r="V815" s="16">
        <f t="shared" si="111"/>
        <v>244169</v>
      </c>
      <c r="W815" s="16">
        <f t="shared" si="112"/>
        <v>244176</v>
      </c>
      <c r="X815" s="16">
        <f t="shared" si="113"/>
        <v>244171</v>
      </c>
      <c r="Y815" s="15"/>
      <c r="Z815" s="177"/>
      <c r="AA815" s="170"/>
      <c r="AB815" s="170"/>
      <c r="AC815" s="170"/>
      <c r="AD815" s="170"/>
      <c r="AE815" s="15"/>
      <c r="AF815" s="177"/>
      <c r="AG815" s="177">
        <f t="shared" si="109"/>
        <v>0</v>
      </c>
      <c r="AH815" s="177">
        <f t="shared" si="110"/>
        <v>0</v>
      </c>
      <c r="AK815" s="176"/>
      <c r="AL815" s="176"/>
    </row>
    <row r="816" spans="1:38" ht="36" customHeight="1" x14ac:dyDescent="0.2">
      <c r="A816" s="14" t="s">
        <v>23</v>
      </c>
      <c r="B816" s="212">
        <v>244169</v>
      </c>
      <c r="C816" s="14" t="s">
        <v>547</v>
      </c>
      <c r="D816" s="14" t="s">
        <v>268</v>
      </c>
      <c r="E816" s="14" t="s">
        <v>14</v>
      </c>
      <c r="F816" s="14" t="s">
        <v>324</v>
      </c>
      <c r="G816" s="179">
        <v>680815</v>
      </c>
      <c r="H816" s="176" t="s">
        <v>2366</v>
      </c>
      <c r="I816" s="176" t="s">
        <v>550</v>
      </c>
      <c r="J816" s="176" t="s">
        <v>128</v>
      </c>
      <c r="K816" s="176" t="s">
        <v>2905</v>
      </c>
      <c r="L816" s="40" t="s">
        <v>106</v>
      </c>
      <c r="M816" s="40" t="s">
        <v>341</v>
      </c>
      <c r="N816" s="14" t="s">
        <v>2909</v>
      </c>
      <c r="O816" s="14" t="s">
        <v>548</v>
      </c>
      <c r="P816" s="14" t="s">
        <v>2912</v>
      </c>
      <c r="Q816" s="14" t="s">
        <v>549</v>
      </c>
      <c r="R816" s="17">
        <v>440</v>
      </c>
      <c r="S816" s="172" t="s">
        <v>51</v>
      </c>
      <c r="T816" s="17">
        <v>2400</v>
      </c>
      <c r="U816" s="14" t="s">
        <v>51</v>
      </c>
      <c r="V816" s="16">
        <f t="shared" si="111"/>
        <v>244169</v>
      </c>
      <c r="W816" s="16">
        <f t="shared" si="112"/>
        <v>244176</v>
      </c>
      <c r="X816" s="16">
        <f t="shared" si="113"/>
        <v>244171</v>
      </c>
      <c r="Y816" s="15"/>
      <c r="Z816" s="177"/>
      <c r="AA816" s="170"/>
      <c r="AB816" s="170"/>
      <c r="AC816" s="170"/>
      <c r="AD816" s="170"/>
      <c r="AE816" s="15"/>
      <c r="AF816" s="177"/>
      <c r="AG816" s="177">
        <f t="shared" si="109"/>
        <v>0</v>
      </c>
      <c r="AH816" s="177">
        <f t="shared" si="110"/>
        <v>0</v>
      </c>
      <c r="AK816" s="176"/>
      <c r="AL816" s="176"/>
    </row>
    <row r="817" spans="1:38" ht="36" customHeight="1" x14ac:dyDescent="0.2">
      <c r="A817" s="14" t="s">
        <v>23</v>
      </c>
      <c r="B817" s="212">
        <v>244169</v>
      </c>
      <c r="C817" s="14" t="s">
        <v>547</v>
      </c>
      <c r="D817" s="14" t="s">
        <v>268</v>
      </c>
      <c r="E817" s="14" t="s">
        <v>14</v>
      </c>
      <c r="F817" s="14" t="s">
        <v>324</v>
      </c>
      <c r="G817" s="179">
        <v>680816</v>
      </c>
      <c r="H817" s="176" t="s">
        <v>772</v>
      </c>
      <c r="I817" s="176" t="s">
        <v>774</v>
      </c>
      <c r="J817" s="176" t="s">
        <v>776</v>
      </c>
      <c r="K817" s="176" t="s">
        <v>2906</v>
      </c>
      <c r="L817" s="40" t="s">
        <v>45</v>
      </c>
      <c r="M817" s="40" t="s">
        <v>341</v>
      </c>
      <c r="N817" s="14" t="s">
        <v>2910</v>
      </c>
      <c r="O817" s="14" t="s">
        <v>548</v>
      </c>
      <c r="P817" s="14" t="s">
        <v>518</v>
      </c>
      <c r="Q817" s="14" t="s">
        <v>549</v>
      </c>
      <c r="R817" s="17">
        <v>625</v>
      </c>
      <c r="S817" s="172" t="s">
        <v>51</v>
      </c>
      <c r="T817" s="17">
        <v>1570</v>
      </c>
      <c r="U817" s="14" t="s">
        <v>51</v>
      </c>
      <c r="V817" s="16">
        <f t="shared" si="111"/>
        <v>244169</v>
      </c>
      <c r="W817" s="16">
        <f t="shared" si="112"/>
        <v>244176</v>
      </c>
      <c r="X817" s="16">
        <f t="shared" si="113"/>
        <v>244171</v>
      </c>
      <c r="Y817" s="15" t="s">
        <v>54</v>
      </c>
      <c r="Z817" s="177">
        <v>244181</v>
      </c>
      <c r="AA817" s="170"/>
      <c r="AB817" s="170"/>
      <c r="AC817" s="170"/>
      <c r="AD817" s="170"/>
      <c r="AE817" s="15" t="s">
        <v>54</v>
      </c>
      <c r="AF817" s="177">
        <v>244182</v>
      </c>
      <c r="AG817" s="177" t="str">
        <f t="shared" si="109"/>
        <v>Pass</v>
      </c>
      <c r="AH817" s="177">
        <f t="shared" si="110"/>
        <v>244182</v>
      </c>
      <c r="AK817" s="176"/>
      <c r="AL817" s="176"/>
    </row>
    <row r="818" spans="1:38" ht="36" customHeight="1" x14ac:dyDescent="0.2">
      <c r="A818" s="14" t="s">
        <v>23</v>
      </c>
      <c r="B818" s="212">
        <v>244170</v>
      </c>
      <c r="C818" s="14" t="s">
        <v>547</v>
      </c>
      <c r="D818" s="14" t="s">
        <v>268</v>
      </c>
      <c r="E818" s="14" t="s">
        <v>14</v>
      </c>
      <c r="F818" s="14" t="s">
        <v>324</v>
      </c>
      <c r="G818" s="179">
        <v>680817</v>
      </c>
      <c r="H818" s="176" t="s">
        <v>772</v>
      </c>
      <c r="I818" s="176" t="s">
        <v>774</v>
      </c>
      <c r="J818" s="176" t="s">
        <v>776</v>
      </c>
      <c r="K818" s="176" t="s">
        <v>2906</v>
      </c>
      <c r="L818" s="40" t="s">
        <v>45</v>
      </c>
      <c r="M818" s="40" t="s">
        <v>341</v>
      </c>
      <c r="N818" s="14" t="s">
        <v>2914</v>
      </c>
      <c r="O818" s="14" t="s">
        <v>714</v>
      </c>
      <c r="P818" s="14" t="s">
        <v>2918</v>
      </c>
      <c r="Q818" s="14" t="s">
        <v>716</v>
      </c>
      <c r="R818" s="17">
        <v>950</v>
      </c>
      <c r="S818" s="172" t="s">
        <v>51</v>
      </c>
      <c r="T818" s="17">
        <v>1735</v>
      </c>
      <c r="U818" s="14" t="s">
        <v>51</v>
      </c>
      <c r="V818" s="16">
        <f>B818</f>
        <v>244170</v>
      </c>
      <c r="W818" s="16">
        <f>B818+7</f>
        <v>244177</v>
      </c>
      <c r="X818" s="16">
        <f t="shared" si="113"/>
        <v>244172</v>
      </c>
      <c r="Y818" s="15"/>
      <c r="Z818" s="177"/>
      <c r="AA818" s="170"/>
      <c r="AB818" s="170"/>
      <c r="AC818" s="170"/>
      <c r="AD818" s="170"/>
      <c r="AE818" s="15"/>
      <c r="AF818" s="177"/>
      <c r="AG818" s="177">
        <f t="shared" si="109"/>
        <v>0</v>
      </c>
      <c r="AH818" s="177">
        <f t="shared" si="110"/>
        <v>0</v>
      </c>
      <c r="AK818" s="176"/>
      <c r="AL818" s="176"/>
    </row>
    <row r="819" spans="1:38" ht="36" customHeight="1" x14ac:dyDescent="0.2">
      <c r="A819" s="14" t="s">
        <v>23</v>
      </c>
      <c r="B819" s="212">
        <v>244170</v>
      </c>
      <c r="C819" s="14" t="s">
        <v>547</v>
      </c>
      <c r="D819" s="14" t="s">
        <v>268</v>
      </c>
      <c r="E819" s="14" t="s">
        <v>14</v>
      </c>
      <c r="F819" s="14" t="s">
        <v>324</v>
      </c>
      <c r="G819" s="179">
        <v>680818</v>
      </c>
      <c r="H819" s="176" t="s">
        <v>772</v>
      </c>
      <c r="I819" s="176" t="s">
        <v>774</v>
      </c>
      <c r="J819" s="176" t="s">
        <v>776</v>
      </c>
      <c r="K819" s="176" t="s">
        <v>2906</v>
      </c>
      <c r="L819" s="40" t="s">
        <v>45</v>
      </c>
      <c r="M819" s="40" t="s">
        <v>341</v>
      </c>
      <c r="N819" s="14" t="s">
        <v>2594</v>
      </c>
      <c r="O819" s="14" t="s">
        <v>528</v>
      </c>
      <c r="P819" s="14" t="s">
        <v>1827</v>
      </c>
      <c r="Q819" s="14" t="s">
        <v>541</v>
      </c>
      <c r="R819" s="17">
        <v>500</v>
      </c>
      <c r="S819" s="172" t="s">
        <v>51</v>
      </c>
      <c r="T819" s="17">
        <v>1720</v>
      </c>
      <c r="U819" s="14" t="s">
        <v>51</v>
      </c>
      <c r="V819" s="16">
        <f t="shared" si="111"/>
        <v>244170</v>
      </c>
      <c r="W819" s="16">
        <f t="shared" si="112"/>
        <v>244177</v>
      </c>
      <c r="X819" s="16">
        <f t="shared" si="113"/>
        <v>244172</v>
      </c>
      <c r="Y819" s="15"/>
      <c r="Z819" s="177"/>
      <c r="AA819" s="170"/>
      <c r="AB819" s="170"/>
      <c r="AC819" s="170"/>
      <c r="AD819" s="170"/>
      <c r="AE819" s="15"/>
      <c r="AF819" s="177"/>
      <c r="AG819" s="177">
        <f t="shared" si="109"/>
        <v>0</v>
      </c>
      <c r="AH819" s="177">
        <f t="shared" si="110"/>
        <v>0</v>
      </c>
      <c r="AK819" s="176"/>
      <c r="AL819" s="176"/>
    </row>
    <row r="820" spans="1:38" ht="36" customHeight="1" x14ac:dyDescent="0.2">
      <c r="A820" s="14" t="s">
        <v>23</v>
      </c>
      <c r="B820" s="212">
        <v>244170</v>
      </c>
      <c r="C820" s="14" t="s">
        <v>547</v>
      </c>
      <c r="D820" s="14" t="s">
        <v>268</v>
      </c>
      <c r="E820" s="14" t="s">
        <v>14</v>
      </c>
      <c r="F820" s="14" t="s">
        <v>324</v>
      </c>
      <c r="G820" s="179">
        <v>680819</v>
      </c>
      <c r="H820" s="176" t="s">
        <v>772</v>
      </c>
      <c r="I820" s="176" t="s">
        <v>774</v>
      </c>
      <c r="J820" s="176" t="s">
        <v>776</v>
      </c>
      <c r="K820" s="176" t="s">
        <v>2906</v>
      </c>
      <c r="L820" s="40" t="s">
        <v>45</v>
      </c>
      <c r="M820" s="40" t="s">
        <v>341</v>
      </c>
      <c r="N820" s="14" t="s">
        <v>2915</v>
      </c>
      <c r="O820" s="14" t="s">
        <v>1426</v>
      </c>
      <c r="P820" s="14" t="s">
        <v>2919</v>
      </c>
      <c r="Q820" s="14" t="s">
        <v>1432</v>
      </c>
      <c r="R820" s="17">
        <v>160</v>
      </c>
      <c r="S820" s="172" t="s">
        <v>51</v>
      </c>
      <c r="T820" s="17">
        <v>1735</v>
      </c>
      <c r="U820" s="14" t="s">
        <v>51</v>
      </c>
      <c r="V820" s="16">
        <f t="shared" si="111"/>
        <v>244170</v>
      </c>
      <c r="W820" s="16">
        <f t="shared" si="112"/>
        <v>244177</v>
      </c>
      <c r="X820" s="16">
        <f t="shared" si="113"/>
        <v>244172</v>
      </c>
      <c r="Y820" s="15"/>
      <c r="Z820" s="177"/>
      <c r="AA820" s="170"/>
      <c r="AB820" s="170"/>
      <c r="AC820" s="170"/>
      <c r="AD820" s="170"/>
      <c r="AE820" s="15"/>
      <c r="AF820" s="177"/>
      <c r="AG820" s="177">
        <f t="shared" si="109"/>
        <v>0</v>
      </c>
      <c r="AH820" s="177">
        <f t="shared" si="110"/>
        <v>0</v>
      </c>
      <c r="AK820" s="176"/>
      <c r="AL820" s="176"/>
    </row>
    <row r="821" spans="1:38" ht="36" customHeight="1" x14ac:dyDescent="0.2">
      <c r="A821" s="14" t="s">
        <v>23</v>
      </c>
      <c r="B821" s="212">
        <v>244170</v>
      </c>
      <c r="C821" s="14" t="s">
        <v>547</v>
      </c>
      <c r="D821" s="14" t="s">
        <v>268</v>
      </c>
      <c r="E821" s="14" t="s">
        <v>14</v>
      </c>
      <c r="F821" s="14" t="s">
        <v>324</v>
      </c>
      <c r="G821" s="179">
        <v>680820</v>
      </c>
      <c r="H821" s="176" t="s">
        <v>1281</v>
      </c>
      <c r="I821" s="176" t="s">
        <v>550</v>
      </c>
      <c r="J821" s="176" t="s">
        <v>128</v>
      </c>
      <c r="K821" s="176" t="s">
        <v>2913</v>
      </c>
      <c r="L821" s="40" t="s">
        <v>45</v>
      </c>
      <c r="M821" s="40" t="s">
        <v>341</v>
      </c>
      <c r="N821" s="14" t="s">
        <v>1463</v>
      </c>
      <c r="O821" s="14" t="s">
        <v>548</v>
      </c>
      <c r="P821" s="14" t="s">
        <v>518</v>
      </c>
      <c r="Q821" s="14" t="s">
        <v>549</v>
      </c>
      <c r="R821" s="17">
        <v>121</v>
      </c>
      <c r="S821" s="172" t="s">
        <v>51</v>
      </c>
      <c r="T821" s="17">
        <v>2495</v>
      </c>
      <c r="U821" s="14" t="s">
        <v>51</v>
      </c>
      <c r="V821" s="16">
        <f t="shared" si="111"/>
        <v>244170</v>
      </c>
      <c r="W821" s="16">
        <f t="shared" si="112"/>
        <v>244177</v>
      </c>
      <c r="X821" s="16">
        <f t="shared" si="113"/>
        <v>244172</v>
      </c>
      <c r="Y821" s="15"/>
      <c r="Z821" s="177"/>
      <c r="AA821" s="170"/>
      <c r="AB821" s="170"/>
      <c r="AC821" s="170"/>
      <c r="AD821" s="170"/>
      <c r="AE821" s="15"/>
      <c r="AF821" s="177"/>
      <c r="AG821" s="177">
        <f t="shared" si="109"/>
        <v>0</v>
      </c>
      <c r="AH821" s="177">
        <f t="shared" si="110"/>
        <v>0</v>
      </c>
      <c r="AK821" s="176"/>
      <c r="AL821" s="176"/>
    </row>
    <row r="822" spans="1:38" ht="36" customHeight="1" x14ac:dyDescent="0.2">
      <c r="A822" s="14" t="s">
        <v>23</v>
      </c>
      <c r="B822" s="212">
        <v>244170</v>
      </c>
      <c r="C822" s="14" t="s">
        <v>547</v>
      </c>
      <c r="D822" s="14" t="s">
        <v>268</v>
      </c>
      <c r="E822" s="14" t="s">
        <v>14</v>
      </c>
      <c r="F822" s="14" t="s">
        <v>324</v>
      </c>
      <c r="G822" s="179">
        <v>680821</v>
      </c>
      <c r="H822" s="176" t="s">
        <v>772</v>
      </c>
      <c r="I822" s="176" t="s">
        <v>774</v>
      </c>
      <c r="J822" s="176" t="s">
        <v>776</v>
      </c>
      <c r="K822" s="176" t="s">
        <v>2906</v>
      </c>
      <c r="L822" s="40" t="s">
        <v>45</v>
      </c>
      <c r="M822" s="40" t="s">
        <v>341</v>
      </c>
      <c r="N822" s="14" t="s">
        <v>2916</v>
      </c>
      <c r="O822" s="14" t="s">
        <v>543</v>
      </c>
      <c r="P822" s="14" t="s">
        <v>2920</v>
      </c>
      <c r="Q822" s="14" t="s">
        <v>529</v>
      </c>
      <c r="R822" s="17">
        <v>900</v>
      </c>
      <c r="S822" s="172" t="s">
        <v>51</v>
      </c>
      <c r="T822" s="17">
        <v>1200</v>
      </c>
      <c r="U822" s="14" t="s">
        <v>51</v>
      </c>
      <c r="V822" s="16">
        <f t="shared" si="111"/>
        <v>244170</v>
      </c>
      <c r="W822" s="16">
        <f t="shared" si="112"/>
        <v>244177</v>
      </c>
      <c r="X822" s="16">
        <f t="shared" si="113"/>
        <v>244172</v>
      </c>
      <c r="Y822" s="15"/>
      <c r="Z822" s="177"/>
      <c r="AA822" s="170"/>
      <c r="AB822" s="170"/>
      <c r="AC822" s="170"/>
      <c r="AD822" s="170"/>
      <c r="AE822" s="15"/>
      <c r="AF822" s="177"/>
      <c r="AG822" s="177">
        <f t="shared" si="109"/>
        <v>0</v>
      </c>
      <c r="AH822" s="177">
        <f t="shared" si="110"/>
        <v>0</v>
      </c>
      <c r="AK822" s="176"/>
      <c r="AL822" s="176"/>
    </row>
    <row r="823" spans="1:38" ht="36" customHeight="1" x14ac:dyDescent="0.2">
      <c r="A823" s="14" t="s">
        <v>23</v>
      </c>
      <c r="B823" s="212">
        <v>244170</v>
      </c>
      <c r="C823" s="14" t="s">
        <v>547</v>
      </c>
      <c r="D823" s="14" t="s">
        <v>268</v>
      </c>
      <c r="E823" s="14" t="s">
        <v>14</v>
      </c>
      <c r="F823" s="14" t="s">
        <v>324</v>
      </c>
      <c r="G823" s="179">
        <v>680822</v>
      </c>
      <c r="H823" s="176" t="s">
        <v>772</v>
      </c>
      <c r="I823" s="176" t="s">
        <v>774</v>
      </c>
      <c r="J823" s="176" t="s">
        <v>776</v>
      </c>
      <c r="K823" s="176" t="s">
        <v>2906</v>
      </c>
      <c r="L823" s="40" t="s">
        <v>45</v>
      </c>
      <c r="M823" s="40" t="s">
        <v>341</v>
      </c>
      <c r="N823" s="14" t="s">
        <v>2917</v>
      </c>
      <c r="O823" s="14" t="s">
        <v>1644</v>
      </c>
      <c r="P823" s="14" t="s">
        <v>2921</v>
      </c>
      <c r="Q823" s="14" t="s">
        <v>1652</v>
      </c>
      <c r="R823" s="17">
        <v>1800</v>
      </c>
      <c r="S823" s="172" t="s">
        <v>51</v>
      </c>
      <c r="T823" s="17">
        <v>1470</v>
      </c>
      <c r="U823" s="14" t="s">
        <v>51</v>
      </c>
      <c r="V823" s="16">
        <f t="shared" si="111"/>
        <v>244170</v>
      </c>
      <c r="W823" s="16">
        <f t="shared" si="112"/>
        <v>244177</v>
      </c>
      <c r="X823" s="16">
        <f t="shared" si="113"/>
        <v>244172</v>
      </c>
      <c r="Y823" s="15" t="s">
        <v>54</v>
      </c>
      <c r="Z823" s="177">
        <v>244181</v>
      </c>
      <c r="AA823" s="170"/>
      <c r="AB823" s="170"/>
      <c r="AC823" s="170"/>
      <c r="AD823" s="170"/>
      <c r="AE823" s="15" t="s">
        <v>54</v>
      </c>
      <c r="AF823" s="177">
        <v>244182</v>
      </c>
      <c r="AG823" s="177" t="str">
        <f t="shared" si="109"/>
        <v>Pass</v>
      </c>
      <c r="AH823" s="177">
        <f t="shared" si="110"/>
        <v>244182</v>
      </c>
      <c r="AK823" s="176"/>
      <c r="AL823" s="176"/>
    </row>
    <row r="824" spans="1:38" ht="36" customHeight="1" x14ac:dyDescent="0.2">
      <c r="A824" s="14" t="s">
        <v>23</v>
      </c>
      <c r="B824" s="212">
        <v>244170</v>
      </c>
      <c r="C824" s="14" t="s">
        <v>547</v>
      </c>
      <c r="D824" s="14" t="s">
        <v>268</v>
      </c>
      <c r="E824" s="14" t="s">
        <v>14</v>
      </c>
      <c r="F824" s="14" t="s">
        <v>324</v>
      </c>
      <c r="G824" s="179">
        <v>680823</v>
      </c>
      <c r="H824" s="176" t="s">
        <v>772</v>
      </c>
      <c r="I824" s="176" t="s">
        <v>774</v>
      </c>
      <c r="J824" s="176" t="s">
        <v>776</v>
      </c>
      <c r="K824" s="176" t="s">
        <v>2906</v>
      </c>
      <c r="L824" s="40" t="s">
        <v>45</v>
      </c>
      <c r="M824" s="40" t="s">
        <v>341</v>
      </c>
      <c r="N824" s="14" t="s">
        <v>2594</v>
      </c>
      <c r="O824" s="14" t="s">
        <v>543</v>
      </c>
      <c r="P824" s="14" t="s">
        <v>2927</v>
      </c>
      <c r="Q824" s="14" t="s">
        <v>529</v>
      </c>
      <c r="R824" s="17">
        <v>500</v>
      </c>
      <c r="S824" s="172" t="s">
        <v>51</v>
      </c>
      <c r="T824" s="17">
        <v>1670</v>
      </c>
      <c r="U824" s="14" t="s">
        <v>51</v>
      </c>
      <c r="V824" s="16">
        <f t="shared" si="111"/>
        <v>244170</v>
      </c>
      <c r="W824" s="16">
        <f t="shared" si="112"/>
        <v>244177</v>
      </c>
      <c r="X824" s="16">
        <f t="shared" si="113"/>
        <v>244172</v>
      </c>
      <c r="Y824" s="15"/>
      <c r="Z824" s="177"/>
      <c r="AA824" s="170"/>
      <c r="AB824" s="170"/>
      <c r="AC824" s="170"/>
      <c r="AD824" s="170"/>
      <c r="AE824" s="15"/>
      <c r="AF824" s="177"/>
      <c r="AG824" s="177">
        <f t="shared" si="109"/>
        <v>0</v>
      </c>
      <c r="AH824" s="177">
        <f t="shared" si="110"/>
        <v>0</v>
      </c>
      <c r="AK824" s="176"/>
      <c r="AL824" s="176"/>
    </row>
    <row r="825" spans="1:38" ht="36" customHeight="1" x14ac:dyDescent="0.2">
      <c r="A825" s="14" t="s">
        <v>23</v>
      </c>
      <c r="B825" s="212">
        <v>244170</v>
      </c>
      <c r="C825" s="14" t="s">
        <v>547</v>
      </c>
      <c r="D825" s="14" t="s">
        <v>268</v>
      </c>
      <c r="E825" s="14" t="s">
        <v>14</v>
      </c>
      <c r="F825" s="14" t="s">
        <v>324</v>
      </c>
      <c r="G825" s="179">
        <v>680824</v>
      </c>
      <c r="H825" s="176" t="s">
        <v>772</v>
      </c>
      <c r="I825" s="176" t="s">
        <v>774</v>
      </c>
      <c r="J825" s="176" t="s">
        <v>776</v>
      </c>
      <c r="K825" s="176" t="s">
        <v>2906</v>
      </c>
      <c r="L825" s="40" t="s">
        <v>45</v>
      </c>
      <c r="M825" s="40" t="s">
        <v>341</v>
      </c>
      <c r="N825" s="14" t="s">
        <v>2924</v>
      </c>
      <c r="O825" s="14" t="s">
        <v>527</v>
      </c>
      <c r="P825" s="14" t="s">
        <v>1132</v>
      </c>
      <c r="Q825" s="14" t="s">
        <v>542</v>
      </c>
      <c r="R825" s="17">
        <v>220</v>
      </c>
      <c r="S825" s="172" t="s">
        <v>51</v>
      </c>
      <c r="T825" s="17">
        <v>1740</v>
      </c>
      <c r="U825" s="14" t="s">
        <v>51</v>
      </c>
      <c r="V825" s="16">
        <f t="shared" si="111"/>
        <v>244170</v>
      </c>
      <c r="W825" s="16">
        <f t="shared" si="112"/>
        <v>244177</v>
      </c>
      <c r="X825" s="16">
        <f t="shared" si="113"/>
        <v>244172</v>
      </c>
      <c r="Y825" s="15" t="s">
        <v>54</v>
      </c>
      <c r="Z825" s="177">
        <v>244181</v>
      </c>
      <c r="AA825" s="170"/>
      <c r="AB825" s="170"/>
      <c r="AC825" s="170"/>
      <c r="AD825" s="170"/>
      <c r="AE825" s="15" t="s">
        <v>54</v>
      </c>
      <c r="AF825" s="177">
        <v>244182</v>
      </c>
      <c r="AG825" s="177" t="str">
        <f t="shared" si="109"/>
        <v>Pass</v>
      </c>
      <c r="AH825" s="177">
        <f t="shared" si="110"/>
        <v>244182</v>
      </c>
      <c r="AK825" s="176"/>
      <c r="AL825" s="176"/>
    </row>
    <row r="826" spans="1:38" ht="36" customHeight="1" x14ac:dyDescent="0.2">
      <c r="A826" s="14" t="s">
        <v>23</v>
      </c>
      <c r="B826" s="212">
        <v>244170</v>
      </c>
      <c r="C826" s="14" t="s">
        <v>547</v>
      </c>
      <c r="D826" s="14" t="s">
        <v>268</v>
      </c>
      <c r="E826" s="14" t="s">
        <v>14</v>
      </c>
      <c r="F826" s="14" t="s">
        <v>324</v>
      </c>
      <c r="G826" s="179">
        <v>680825</v>
      </c>
      <c r="H826" s="176" t="s">
        <v>2922</v>
      </c>
      <c r="I826" s="176" t="s">
        <v>551</v>
      </c>
      <c r="J826" s="176" t="s">
        <v>832</v>
      </c>
      <c r="K826" s="176" t="s">
        <v>2923</v>
      </c>
      <c r="L826" s="40" t="s">
        <v>108</v>
      </c>
      <c r="M826" s="40" t="s">
        <v>341</v>
      </c>
      <c r="N826" s="14" t="s">
        <v>2925</v>
      </c>
      <c r="O826" s="14" t="s">
        <v>2926</v>
      </c>
      <c r="P826" s="14" t="s">
        <v>2928</v>
      </c>
      <c r="Q826" s="14" t="s">
        <v>2929</v>
      </c>
      <c r="R826" s="17">
        <v>189</v>
      </c>
      <c r="S826" s="172" t="s">
        <v>51</v>
      </c>
      <c r="T826" s="17">
        <v>2860</v>
      </c>
      <c r="U826" s="14" t="s">
        <v>51</v>
      </c>
      <c r="V826" s="16">
        <f t="shared" si="111"/>
        <v>244170</v>
      </c>
      <c r="W826" s="16">
        <f t="shared" si="112"/>
        <v>244177</v>
      </c>
      <c r="X826" s="16">
        <f t="shared" si="113"/>
        <v>244172</v>
      </c>
      <c r="Y826" s="15" t="s">
        <v>54</v>
      </c>
      <c r="Z826" s="177">
        <v>244224</v>
      </c>
      <c r="AA826" s="170"/>
      <c r="AB826" s="170"/>
      <c r="AC826" s="170"/>
      <c r="AD826" s="170"/>
      <c r="AE826" s="15" t="s">
        <v>54</v>
      </c>
      <c r="AF826" s="177">
        <v>244225</v>
      </c>
      <c r="AG826" s="177" t="str">
        <f t="shared" si="109"/>
        <v>Pass</v>
      </c>
      <c r="AH826" s="177">
        <f t="shared" si="110"/>
        <v>244225</v>
      </c>
      <c r="AK826" s="176"/>
      <c r="AL826" s="176"/>
    </row>
    <row r="827" spans="1:38" ht="36" customHeight="1" x14ac:dyDescent="0.2">
      <c r="A827" s="14" t="s">
        <v>23</v>
      </c>
      <c r="B827" s="212">
        <v>244172</v>
      </c>
      <c r="C827" s="14" t="s">
        <v>547</v>
      </c>
      <c r="D827" s="14" t="s">
        <v>268</v>
      </c>
      <c r="E827" s="14" t="s">
        <v>14</v>
      </c>
      <c r="F827" s="14" t="s">
        <v>324</v>
      </c>
      <c r="G827" s="179">
        <v>680826</v>
      </c>
      <c r="H827" s="176" t="s">
        <v>2930</v>
      </c>
      <c r="I827" s="176" t="s">
        <v>2119</v>
      </c>
      <c r="J827" s="176" t="s">
        <v>1210</v>
      </c>
      <c r="K827" s="176" t="s">
        <v>2933</v>
      </c>
      <c r="L827" s="40" t="s">
        <v>108</v>
      </c>
      <c r="M827" s="40" t="s">
        <v>341</v>
      </c>
      <c r="N827" s="14" t="s">
        <v>2944</v>
      </c>
      <c r="O827" s="14" t="s">
        <v>2942</v>
      </c>
      <c r="P827" s="14" t="s">
        <v>2945</v>
      </c>
      <c r="Q827" s="14" t="s">
        <v>2947</v>
      </c>
      <c r="R827" s="17">
        <v>400</v>
      </c>
      <c r="S827" s="172" t="s">
        <v>51</v>
      </c>
      <c r="T827" s="17">
        <v>1667</v>
      </c>
      <c r="U827" s="14" t="s">
        <v>51</v>
      </c>
      <c r="V827" s="16">
        <f t="shared" si="111"/>
        <v>244172</v>
      </c>
      <c r="W827" s="16">
        <f t="shared" si="112"/>
        <v>244179</v>
      </c>
      <c r="X827" s="16">
        <f t="shared" si="113"/>
        <v>244174</v>
      </c>
      <c r="Y827" s="15" t="s">
        <v>54</v>
      </c>
      <c r="Z827" s="177">
        <v>244224</v>
      </c>
      <c r="AA827" s="170"/>
      <c r="AB827" s="170"/>
      <c r="AC827" s="170"/>
      <c r="AD827" s="170"/>
      <c r="AE827" s="15" t="s">
        <v>54</v>
      </c>
      <c r="AF827" s="177">
        <v>244225</v>
      </c>
      <c r="AG827" s="177" t="str">
        <f t="shared" si="109"/>
        <v>Pass</v>
      </c>
      <c r="AH827" s="177">
        <f t="shared" si="110"/>
        <v>244225</v>
      </c>
      <c r="AK827" s="176"/>
      <c r="AL827" s="176"/>
    </row>
    <row r="828" spans="1:38" ht="36" customHeight="1" x14ac:dyDescent="0.2">
      <c r="A828" s="14" t="s">
        <v>23</v>
      </c>
      <c r="B828" s="212">
        <v>244172</v>
      </c>
      <c r="C828" s="14" t="s">
        <v>547</v>
      </c>
      <c r="D828" s="14" t="s">
        <v>268</v>
      </c>
      <c r="E828" s="14" t="s">
        <v>14</v>
      </c>
      <c r="F828" s="14" t="s">
        <v>324</v>
      </c>
      <c r="G828" s="179">
        <v>680827</v>
      </c>
      <c r="H828" s="176" t="s">
        <v>2930</v>
      </c>
      <c r="I828" s="176" t="s">
        <v>2119</v>
      </c>
      <c r="J828" s="176" t="s">
        <v>1210</v>
      </c>
      <c r="K828" s="176" t="s">
        <v>2933</v>
      </c>
      <c r="L828" s="40" t="s">
        <v>108</v>
      </c>
      <c r="M828" s="40" t="s">
        <v>341</v>
      </c>
      <c r="N828" s="14" t="s">
        <v>2937</v>
      </c>
      <c r="O828" s="14" t="s">
        <v>552</v>
      </c>
      <c r="P828" s="14" t="s">
        <v>793</v>
      </c>
      <c r="Q828" s="14" t="s">
        <v>553</v>
      </c>
      <c r="R828" s="17">
        <v>1775</v>
      </c>
      <c r="S828" s="172" t="s">
        <v>51</v>
      </c>
      <c r="T828" s="17">
        <v>1667</v>
      </c>
      <c r="U828" s="14" t="s">
        <v>51</v>
      </c>
      <c r="V828" s="16">
        <f t="shared" si="111"/>
        <v>244172</v>
      </c>
      <c r="W828" s="16">
        <f t="shared" si="112"/>
        <v>244179</v>
      </c>
      <c r="X828" s="16">
        <f t="shared" si="113"/>
        <v>244174</v>
      </c>
      <c r="Y828" s="15" t="s">
        <v>54</v>
      </c>
      <c r="Z828" s="177">
        <v>244224</v>
      </c>
      <c r="AA828" s="170"/>
      <c r="AB828" s="170"/>
      <c r="AC828" s="170"/>
      <c r="AD828" s="170"/>
      <c r="AE828" s="15" t="s">
        <v>54</v>
      </c>
      <c r="AF828" s="177">
        <v>244225</v>
      </c>
      <c r="AG828" s="177" t="str">
        <f t="shared" si="109"/>
        <v>Pass</v>
      </c>
      <c r="AH828" s="177">
        <f t="shared" si="110"/>
        <v>244225</v>
      </c>
      <c r="AK828" s="176"/>
      <c r="AL828" s="176"/>
    </row>
    <row r="829" spans="1:38" ht="36" customHeight="1" x14ac:dyDescent="0.2">
      <c r="A829" s="14" t="s">
        <v>23</v>
      </c>
      <c r="B829" s="212">
        <v>244172</v>
      </c>
      <c r="C829" s="14" t="s">
        <v>547</v>
      </c>
      <c r="D829" s="14" t="s">
        <v>268</v>
      </c>
      <c r="E829" s="14" t="s">
        <v>14</v>
      </c>
      <c r="F829" s="14" t="s">
        <v>324</v>
      </c>
      <c r="G829" s="179">
        <v>680828</v>
      </c>
      <c r="H829" s="176" t="s">
        <v>1547</v>
      </c>
      <c r="I829" s="176" t="s">
        <v>550</v>
      </c>
      <c r="J829" s="176" t="s">
        <v>128</v>
      </c>
      <c r="K829" s="176" t="s">
        <v>2934</v>
      </c>
      <c r="L829" s="40" t="s">
        <v>106</v>
      </c>
      <c r="M829" s="40" t="s">
        <v>341</v>
      </c>
      <c r="N829" s="14" t="s">
        <v>2938</v>
      </c>
      <c r="O829" s="14" t="s">
        <v>528</v>
      </c>
      <c r="P829" s="14" t="s">
        <v>1827</v>
      </c>
      <c r="Q829" s="14" t="s">
        <v>541</v>
      </c>
      <c r="R829" s="17">
        <v>950</v>
      </c>
      <c r="S829" s="172" t="s">
        <v>51</v>
      </c>
      <c r="T829" s="17">
        <v>2465</v>
      </c>
      <c r="U829" s="14" t="s">
        <v>51</v>
      </c>
      <c r="V829" s="16">
        <f t="shared" si="111"/>
        <v>244172</v>
      </c>
      <c r="W829" s="16">
        <f t="shared" si="112"/>
        <v>244179</v>
      </c>
      <c r="X829" s="16">
        <f t="shared" si="113"/>
        <v>244174</v>
      </c>
      <c r="Y829" s="15"/>
      <c r="Z829" s="177"/>
      <c r="AA829" s="170"/>
      <c r="AB829" s="170"/>
      <c r="AC829" s="170"/>
      <c r="AD829" s="170"/>
      <c r="AE829" s="15"/>
      <c r="AF829" s="177"/>
      <c r="AG829" s="177">
        <f t="shared" si="109"/>
        <v>0</v>
      </c>
      <c r="AH829" s="177">
        <f t="shared" si="110"/>
        <v>0</v>
      </c>
      <c r="AK829" s="176"/>
      <c r="AL829" s="176"/>
    </row>
    <row r="830" spans="1:38" ht="36" customHeight="1" x14ac:dyDescent="0.2">
      <c r="A830" s="14" t="s">
        <v>23</v>
      </c>
      <c r="B830" s="212">
        <v>244172</v>
      </c>
      <c r="C830" s="14" t="s">
        <v>547</v>
      </c>
      <c r="D830" s="14" t="s">
        <v>268</v>
      </c>
      <c r="E830" s="14" t="s">
        <v>14</v>
      </c>
      <c r="F830" s="14" t="s">
        <v>324</v>
      </c>
      <c r="G830" s="179">
        <v>680829</v>
      </c>
      <c r="H830" s="176" t="s">
        <v>2930</v>
      </c>
      <c r="I830" s="176" t="s">
        <v>2119</v>
      </c>
      <c r="J830" s="176" t="s">
        <v>1210</v>
      </c>
      <c r="K830" s="176" t="s">
        <v>2933</v>
      </c>
      <c r="L830" s="40" t="s">
        <v>108</v>
      </c>
      <c r="M830" s="40" t="s">
        <v>341</v>
      </c>
      <c r="N830" s="14" t="s">
        <v>2939</v>
      </c>
      <c r="O830" s="14" t="s">
        <v>2943</v>
      </c>
      <c r="P830" s="14" t="s">
        <v>2946</v>
      </c>
      <c r="Q830" s="14" t="s">
        <v>2948</v>
      </c>
      <c r="R830" s="17">
        <v>1500</v>
      </c>
      <c r="S830" s="172" t="s">
        <v>51</v>
      </c>
      <c r="T830" s="17">
        <v>1527</v>
      </c>
      <c r="U830" s="14" t="s">
        <v>51</v>
      </c>
      <c r="V830" s="16">
        <f t="shared" si="111"/>
        <v>244172</v>
      </c>
      <c r="W830" s="16">
        <f t="shared" si="112"/>
        <v>244179</v>
      </c>
      <c r="X830" s="16">
        <f t="shared" si="113"/>
        <v>244174</v>
      </c>
      <c r="Y830" s="15" t="s">
        <v>54</v>
      </c>
      <c r="Z830" s="177">
        <v>244224</v>
      </c>
      <c r="AA830" s="170"/>
      <c r="AB830" s="170"/>
      <c r="AC830" s="170"/>
      <c r="AD830" s="170"/>
      <c r="AE830" s="15" t="s">
        <v>54</v>
      </c>
      <c r="AF830" s="177">
        <v>244225</v>
      </c>
      <c r="AG830" s="177" t="str">
        <f t="shared" si="109"/>
        <v>Pass</v>
      </c>
      <c r="AH830" s="177">
        <f t="shared" si="110"/>
        <v>244225</v>
      </c>
      <c r="AK830" s="176"/>
      <c r="AL830" s="176"/>
    </row>
    <row r="831" spans="1:38" ht="36" customHeight="1" x14ac:dyDescent="0.2">
      <c r="A831" s="14" t="s">
        <v>23</v>
      </c>
      <c r="B831" s="212">
        <v>244172</v>
      </c>
      <c r="C831" s="14" t="s">
        <v>547</v>
      </c>
      <c r="D831" s="14" t="s">
        <v>268</v>
      </c>
      <c r="E831" s="14" t="s">
        <v>14</v>
      </c>
      <c r="F831" s="14" t="s">
        <v>324</v>
      </c>
      <c r="G831" s="179">
        <v>680830</v>
      </c>
      <c r="H831" s="176" t="s">
        <v>2931</v>
      </c>
      <c r="I831" s="176" t="s">
        <v>725</v>
      </c>
      <c r="J831" s="176" t="s">
        <v>123</v>
      </c>
      <c r="K831" s="176" t="s">
        <v>2935</v>
      </c>
      <c r="L831" s="40" t="s">
        <v>45</v>
      </c>
      <c r="M831" s="40" t="s">
        <v>341</v>
      </c>
      <c r="N831" s="14" t="s">
        <v>986</v>
      </c>
      <c r="O831" s="14" t="s">
        <v>548</v>
      </c>
      <c r="P831" s="14" t="s">
        <v>518</v>
      </c>
      <c r="Q831" s="14" t="s">
        <v>549</v>
      </c>
      <c r="R831" s="17">
        <v>289</v>
      </c>
      <c r="S831" s="172" t="s">
        <v>51</v>
      </c>
      <c r="T831" s="17">
        <v>1650</v>
      </c>
      <c r="U831" s="14" t="s">
        <v>51</v>
      </c>
      <c r="V831" s="16">
        <f t="shared" si="111"/>
        <v>244172</v>
      </c>
      <c r="W831" s="16">
        <f t="shared" si="112"/>
        <v>244179</v>
      </c>
      <c r="X831" s="16">
        <f t="shared" si="113"/>
        <v>244174</v>
      </c>
      <c r="Y831" s="15"/>
      <c r="Z831" s="177"/>
      <c r="AA831" s="170"/>
      <c r="AB831" s="170"/>
      <c r="AC831" s="170"/>
      <c r="AD831" s="170"/>
      <c r="AE831" s="15"/>
      <c r="AF831" s="177"/>
      <c r="AG831" s="177">
        <f t="shared" si="109"/>
        <v>0</v>
      </c>
      <c r="AH831" s="177">
        <f t="shared" si="110"/>
        <v>0</v>
      </c>
      <c r="AK831" s="176"/>
      <c r="AL831" s="176"/>
    </row>
    <row r="832" spans="1:38" ht="36" customHeight="1" x14ac:dyDescent="0.2">
      <c r="A832" s="14" t="s">
        <v>23</v>
      </c>
      <c r="B832" s="212">
        <v>244172</v>
      </c>
      <c r="C832" s="14" t="s">
        <v>547</v>
      </c>
      <c r="D832" s="14" t="s">
        <v>268</v>
      </c>
      <c r="E832" s="14" t="s">
        <v>14</v>
      </c>
      <c r="F832" s="14" t="s">
        <v>324</v>
      </c>
      <c r="G832" s="179">
        <v>680831</v>
      </c>
      <c r="H832" s="176" t="s">
        <v>2930</v>
      </c>
      <c r="I832" s="176" t="s">
        <v>2119</v>
      </c>
      <c r="J832" s="176" t="s">
        <v>1210</v>
      </c>
      <c r="K832" s="176" t="s">
        <v>2933</v>
      </c>
      <c r="L832" s="40" t="s">
        <v>108</v>
      </c>
      <c r="M832" s="40" t="s">
        <v>341</v>
      </c>
      <c r="N832" s="14" t="s">
        <v>2940</v>
      </c>
      <c r="O832" s="14" t="s">
        <v>548</v>
      </c>
      <c r="P832" s="14" t="s">
        <v>518</v>
      </c>
      <c r="Q832" s="14" t="s">
        <v>549</v>
      </c>
      <c r="R832" s="17">
        <v>391</v>
      </c>
      <c r="S832" s="172" t="s">
        <v>51</v>
      </c>
      <c r="T832" s="17">
        <v>2215</v>
      </c>
      <c r="U832" s="14" t="s">
        <v>51</v>
      </c>
      <c r="V832" s="16">
        <f t="shared" si="111"/>
        <v>244172</v>
      </c>
      <c r="W832" s="16">
        <f t="shared" si="112"/>
        <v>244179</v>
      </c>
      <c r="X832" s="16">
        <f t="shared" si="113"/>
        <v>244174</v>
      </c>
      <c r="Y832" s="15" t="s">
        <v>54</v>
      </c>
      <c r="Z832" s="177">
        <v>244224</v>
      </c>
      <c r="AA832" s="170"/>
      <c r="AB832" s="170"/>
      <c r="AC832" s="170"/>
      <c r="AD832" s="170"/>
      <c r="AE832" s="15" t="s">
        <v>54</v>
      </c>
      <c r="AF832" s="177">
        <v>244225</v>
      </c>
      <c r="AG832" s="177" t="str">
        <f t="shared" si="109"/>
        <v>Pass</v>
      </c>
      <c r="AH832" s="177">
        <f t="shared" si="110"/>
        <v>244225</v>
      </c>
      <c r="AK832" s="176"/>
      <c r="AL832" s="176"/>
    </row>
    <row r="833" spans="1:38" ht="36" customHeight="1" x14ac:dyDescent="0.2">
      <c r="A833" s="14" t="s">
        <v>23</v>
      </c>
      <c r="B833" s="212">
        <v>244172</v>
      </c>
      <c r="C833" s="14" t="s">
        <v>547</v>
      </c>
      <c r="D833" s="14" t="s">
        <v>268</v>
      </c>
      <c r="E833" s="14" t="s">
        <v>14</v>
      </c>
      <c r="F833" s="14" t="s">
        <v>324</v>
      </c>
      <c r="G833" s="179">
        <v>680832</v>
      </c>
      <c r="H833" s="176" t="s">
        <v>1548</v>
      </c>
      <c r="I833" s="176" t="s">
        <v>630</v>
      </c>
      <c r="J833" s="176" t="s">
        <v>2932</v>
      </c>
      <c r="K833" s="176" t="s">
        <v>2936</v>
      </c>
      <c r="L833" s="40" t="s">
        <v>105</v>
      </c>
      <c r="M833" s="40" t="s">
        <v>341</v>
      </c>
      <c r="N833" s="14" t="s">
        <v>2941</v>
      </c>
      <c r="O833" s="14" t="s">
        <v>543</v>
      </c>
      <c r="P833" s="14" t="s">
        <v>684</v>
      </c>
      <c r="Q833" s="14" t="s">
        <v>529</v>
      </c>
      <c r="R833" s="17">
        <v>320</v>
      </c>
      <c r="S833" s="172" t="s">
        <v>51</v>
      </c>
      <c r="T833" s="17">
        <v>2040</v>
      </c>
      <c r="U833" s="14" t="s">
        <v>51</v>
      </c>
      <c r="V833" s="16">
        <f t="shared" ref="V833" si="114">B833</f>
        <v>244172</v>
      </c>
      <c r="W833" s="16">
        <f t="shared" ref="W833" si="115">B833+7</f>
        <v>244179</v>
      </c>
      <c r="X833" s="16">
        <f t="shared" ref="X833" si="116">V833+2</f>
        <v>244174</v>
      </c>
      <c r="Y833" s="15"/>
      <c r="Z833" s="177"/>
      <c r="AA833" s="170"/>
      <c r="AB833" s="170"/>
      <c r="AC833" s="170"/>
      <c r="AD833" s="170"/>
      <c r="AE833" s="15"/>
      <c r="AF833" s="177"/>
      <c r="AG833" s="177">
        <f t="shared" si="109"/>
        <v>0</v>
      </c>
      <c r="AH833" s="177">
        <f t="shared" si="110"/>
        <v>0</v>
      </c>
      <c r="AK833" s="176"/>
      <c r="AL833" s="176"/>
    </row>
    <row r="834" spans="1:38" ht="36" customHeight="1" x14ac:dyDescent="0.2">
      <c r="A834" s="14" t="s">
        <v>23</v>
      </c>
      <c r="B834" s="212">
        <v>244173</v>
      </c>
      <c r="C834" s="14" t="s">
        <v>547</v>
      </c>
      <c r="D834" s="14" t="s">
        <v>268</v>
      </c>
      <c r="E834" s="14" t="s">
        <v>14</v>
      </c>
      <c r="F834" s="14" t="s">
        <v>324</v>
      </c>
      <c r="G834" s="179">
        <v>680833</v>
      </c>
      <c r="H834" s="176" t="s">
        <v>959</v>
      </c>
      <c r="I834" s="176" t="s">
        <v>960</v>
      </c>
      <c r="J834" s="176" t="s">
        <v>127</v>
      </c>
      <c r="K834" s="176" t="s">
        <v>2951</v>
      </c>
      <c r="L834" s="40" t="s">
        <v>108</v>
      </c>
      <c r="M834" s="40" t="s">
        <v>341</v>
      </c>
      <c r="N834" s="14" t="s">
        <v>2956</v>
      </c>
      <c r="O834" s="14" t="s">
        <v>2960</v>
      </c>
      <c r="P834" s="14" t="s">
        <v>2811</v>
      </c>
      <c r="Q834" s="14" t="s">
        <v>2964</v>
      </c>
      <c r="R834" s="17">
        <v>3171</v>
      </c>
      <c r="S834" s="172" t="s">
        <v>51</v>
      </c>
      <c r="T834" s="17">
        <v>3080</v>
      </c>
      <c r="U834" s="14" t="s">
        <v>51</v>
      </c>
      <c r="V834" s="16">
        <f t="shared" si="111"/>
        <v>244173</v>
      </c>
      <c r="W834" s="16">
        <f t="shared" si="112"/>
        <v>244180</v>
      </c>
      <c r="X834" s="16">
        <f t="shared" si="113"/>
        <v>244175</v>
      </c>
      <c r="Y834" s="15" t="s">
        <v>54</v>
      </c>
      <c r="Z834" s="177">
        <v>244224</v>
      </c>
      <c r="AA834" s="170"/>
      <c r="AB834" s="170"/>
      <c r="AC834" s="170"/>
      <c r="AD834" s="170"/>
      <c r="AE834" s="15"/>
      <c r="AF834" s="177"/>
      <c r="AG834" s="177">
        <f t="shared" si="109"/>
        <v>0</v>
      </c>
      <c r="AH834" s="177">
        <f t="shared" si="110"/>
        <v>0</v>
      </c>
      <c r="AK834" s="176"/>
      <c r="AL834" s="176"/>
    </row>
    <row r="835" spans="1:38" ht="36" customHeight="1" x14ac:dyDescent="0.2">
      <c r="A835" s="14" t="s">
        <v>23</v>
      </c>
      <c r="B835" s="212">
        <v>244173</v>
      </c>
      <c r="C835" s="14" t="s">
        <v>547</v>
      </c>
      <c r="D835" s="14" t="s">
        <v>268</v>
      </c>
      <c r="E835" s="14" t="s">
        <v>14</v>
      </c>
      <c r="F835" s="14" t="s">
        <v>324</v>
      </c>
      <c r="G835" s="179">
        <v>680834</v>
      </c>
      <c r="H835" s="176" t="s">
        <v>1026</v>
      </c>
      <c r="I835" s="176" t="s">
        <v>908</v>
      </c>
      <c r="J835" s="176" t="s">
        <v>133</v>
      </c>
      <c r="K835" s="176" t="s">
        <v>2952</v>
      </c>
      <c r="L835" s="40" t="s">
        <v>45</v>
      </c>
      <c r="M835" s="40" t="s">
        <v>341</v>
      </c>
      <c r="N835" s="14" t="s">
        <v>2957</v>
      </c>
      <c r="O835" s="14" t="s">
        <v>1008</v>
      </c>
      <c r="P835" s="14" t="s">
        <v>2962</v>
      </c>
      <c r="Q835" s="14" t="s">
        <v>1014</v>
      </c>
      <c r="R835" s="17">
        <v>170</v>
      </c>
      <c r="S835" s="172" t="s">
        <v>51</v>
      </c>
      <c r="T835" s="17">
        <v>1940</v>
      </c>
      <c r="U835" s="14" t="s">
        <v>51</v>
      </c>
      <c r="V835" s="16">
        <f t="shared" si="111"/>
        <v>244173</v>
      </c>
      <c r="W835" s="16">
        <f t="shared" si="112"/>
        <v>244180</v>
      </c>
      <c r="X835" s="16">
        <f t="shared" si="113"/>
        <v>244175</v>
      </c>
      <c r="Y835" s="15" t="s">
        <v>54</v>
      </c>
      <c r="Z835" s="177">
        <v>244181</v>
      </c>
      <c r="AA835" s="170"/>
      <c r="AB835" s="170"/>
      <c r="AC835" s="170"/>
      <c r="AD835" s="170"/>
      <c r="AE835" s="15" t="s">
        <v>54</v>
      </c>
      <c r="AF835" s="177">
        <v>244182</v>
      </c>
      <c r="AG835" s="177" t="str">
        <f t="shared" si="109"/>
        <v>Pass</v>
      </c>
      <c r="AH835" s="177">
        <f t="shared" si="110"/>
        <v>244182</v>
      </c>
      <c r="AK835" s="176"/>
      <c r="AL835" s="176"/>
    </row>
    <row r="836" spans="1:38" ht="36" customHeight="1" x14ac:dyDescent="0.2">
      <c r="A836" s="14" t="s">
        <v>23</v>
      </c>
      <c r="B836" s="212">
        <v>244173</v>
      </c>
      <c r="C836" s="14" t="s">
        <v>547</v>
      </c>
      <c r="D836" s="14" t="s">
        <v>268</v>
      </c>
      <c r="E836" s="14" t="s">
        <v>14</v>
      </c>
      <c r="F836" s="14" t="s">
        <v>324</v>
      </c>
      <c r="G836" s="179">
        <v>680835</v>
      </c>
      <c r="H836" s="176" t="s">
        <v>1223</v>
      </c>
      <c r="I836" s="176" t="s">
        <v>864</v>
      </c>
      <c r="J836" s="176" t="s">
        <v>865</v>
      </c>
      <c r="K836" s="176" t="s">
        <v>2953</v>
      </c>
      <c r="L836" s="40" t="s">
        <v>46</v>
      </c>
      <c r="M836" s="40" t="s">
        <v>341</v>
      </c>
      <c r="N836" s="14" t="s">
        <v>2958</v>
      </c>
      <c r="O836" s="14" t="s">
        <v>548</v>
      </c>
      <c r="P836" s="14" t="s">
        <v>518</v>
      </c>
      <c r="Q836" s="14" t="s">
        <v>549</v>
      </c>
      <c r="R836" s="17">
        <v>153</v>
      </c>
      <c r="S836" s="172" t="s">
        <v>51</v>
      </c>
      <c r="T836" s="17">
        <v>1910</v>
      </c>
      <c r="U836" s="14" t="s">
        <v>51</v>
      </c>
      <c r="V836" s="16">
        <f t="shared" si="111"/>
        <v>244173</v>
      </c>
      <c r="W836" s="16">
        <f t="shared" si="112"/>
        <v>244180</v>
      </c>
      <c r="X836" s="16">
        <f t="shared" si="113"/>
        <v>244175</v>
      </c>
      <c r="Y836" s="15"/>
      <c r="Z836" s="177"/>
      <c r="AA836" s="170"/>
      <c r="AB836" s="170"/>
      <c r="AC836" s="170"/>
      <c r="AD836" s="170"/>
      <c r="AE836" s="15"/>
      <c r="AF836" s="177"/>
      <c r="AG836" s="177">
        <f t="shared" si="109"/>
        <v>0</v>
      </c>
      <c r="AH836" s="177">
        <f t="shared" si="110"/>
        <v>0</v>
      </c>
      <c r="AK836" s="176"/>
      <c r="AL836" s="176"/>
    </row>
    <row r="837" spans="1:38" ht="36" customHeight="1" x14ac:dyDescent="0.2">
      <c r="A837" s="14" t="s">
        <v>23</v>
      </c>
      <c r="B837" s="212">
        <v>244173</v>
      </c>
      <c r="C837" s="14" t="s">
        <v>547</v>
      </c>
      <c r="D837" s="14" t="s">
        <v>268</v>
      </c>
      <c r="E837" s="14" t="s">
        <v>14</v>
      </c>
      <c r="F837" s="14" t="s">
        <v>324</v>
      </c>
      <c r="G837" s="179">
        <v>680836</v>
      </c>
      <c r="H837" s="176" t="s">
        <v>2949</v>
      </c>
      <c r="I837" s="176" t="s">
        <v>864</v>
      </c>
      <c r="J837" s="176" t="s">
        <v>865</v>
      </c>
      <c r="K837" s="176" t="s">
        <v>2954</v>
      </c>
      <c r="L837" s="40" t="s">
        <v>46</v>
      </c>
      <c r="M837" s="40" t="s">
        <v>341</v>
      </c>
      <c r="N837" s="14" t="s">
        <v>2959</v>
      </c>
      <c r="O837" s="14" t="s">
        <v>2961</v>
      </c>
      <c r="P837" s="14" t="s">
        <v>2963</v>
      </c>
      <c r="Q837" s="14" t="s">
        <v>2965</v>
      </c>
      <c r="R837" s="17">
        <v>1200</v>
      </c>
      <c r="S837" s="172" t="s">
        <v>51</v>
      </c>
      <c r="T837" s="17">
        <v>1400</v>
      </c>
      <c r="U837" s="14" t="s">
        <v>51</v>
      </c>
      <c r="V837" s="16">
        <f t="shared" si="111"/>
        <v>244173</v>
      </c>
      <c r="W837" s="16">
        <f t="shared" si="112"/>
        <v>244180</v>
      </c>
      <c r="X837" s="16">
        <f t="shared" si="113"/>
        <v>244175</v>
      </c>
      <c r="Y837" s="15"/>
      <c r="Z837" s="177"/>
      <c r="AA837" s="170"/>
      <c r="AB837" s="170"/>
      <c r="AC837" s="170"/>
      <c r="AD837" s="170"/>
      <c r="AE837" s="15"/>
      <c r="AF837" s="177"/>
      <c r="AG837" s="177">
        <f t="shared" si="109"/>
        <v>0</v>
      </c>
      <c r="AH837" s="177">
        <f t="shared" si="110"/>
        <v>0</v>
      </c>
      <c r="AK837" s="176"/>
      <c r="AL837" s="176"/>
    </row>
    <row r="838" spans="1:38" ht="36" customHeight="1" x14ac:dyDescent="0.2">
      <c r="A838" s="14" t="s">
        <v>23</v>
      </c>
      <c r="B838" s="212">
        <v>244173</v>
      </c>
      <c r="C838" s="14" t="s">
        <v>547</v>
      </c>
      <c r="D838" s="14" t="s">
        <v>268</v>
      </c>
      <c r="E838" s="14" t="s">
        <v>14</v>
      </c>
      <c r="F838" s="14" t="s">
        <v>324</v>
      </c>
      <c r="G838" s="179">
        <v>680837</v>
      </c>
      <c r="H838" s="176" t="s">
        <v>2950</v>
      </c>
      <c r="I838" s="176" t="s">
        <v>612</v>
      </c>
      <c r="J838" s="176" t="s">
        <v>865</v>
      </c>
      <c r="K838" s="176" t="s">
        <v>2955</v>
      </c>
      <c r="L838" s="40" t="s">
        <v>46</v>
      </c>
      <c r="M838" s="40" t="s">
        <v>341</v>
      </c>
      <c r="N838" s="14" t="s">
        <v>1086</v>
      </c>
      <c r="O838" s="14" t="s">
        <v>528</v>
      </c>
      <c r="P838" s="14" t="s">
        <v>517</v>
      </c>
      <c r="Q838" s="14" t="s">
        <v>2965</v>
      </c>
      <c r="R838" s="17">
        <v>200</v>
      </c>
      <c r="S838" s="172" t="s">
        <v>51</v>
      </c>
      <c r="T838" s="17">
        <v>1845</v>
      </c>
      <c r="U838" s="14" t="s">
        <v>51</v>
      </c>
      <c r="V838" s="16">
        <f t="shared" si="111"/>
        <v>244173</v>
      </c>
      <c r="W838" s="16">
        <f t="shared" si="112"/>
        <v>244180</v>
      </c>
      <c r="X838" s="16">
        <f t="shared" si="113"/>
        <v>244175</v>
      </c>
      <c r="Y838" s="15"/>
      <c r="Z838" s="177"/>
      <c r="AA838" s="170"/>
      <c r="AB838" s="170"/>
      <c r="AC838" s="170"/>
      <c r="AD838" s="170"/>
      <c r="AE838" s="15"/>
      <c r="AF838" s="177"/>
      <c r="AG838" s="177">
        <f t="shared" si="109"/>
        <v>0</v>
      </c>
      <c r="AH838" s="177">
        <f t="shared" si="110"/>
        <v>0</v>
      </c>
      <c r="AK838" s="176"/>
      <c r="AL838" s="176"/>
    </row>
    <row r="839" spans="1:38" ht="36" customHeight="1" x14ac:dyDescent="0.2">
      <c r="A839" s="14" t="s">
        <v>23</v>
      </c>
      <c r="B839" s="212">
        <v>244174</v>
      </c>
      <c r="C839" s="14" t="s">
        <v>547</v>
      </c>
      <c r="D839" s="14" t="s">
        <v>268</v>
      </c>
      <c r="E839" s="14" t="s">
        <v>14</v>
      </c>
      <c r="F839" s="14" t="s">
        <v>324</v>
      </c>
      <c r="G839" s="179">
        <v>680838</v>
      </c>
      <c r="H839" s="176" t="s">
        <v>886</v>
      </c>
      <c r="I839" s="176" t="s">
        <v>630</v>
      </c>
      <c r="J839" s="176" t="s">
        <v>821</v>
      </c>
      <c r="K839" s="176" t="s">
        <v>2968</v>
      </c>
      <c r="L839" s="40" t="s">
        <v>124</v>
      </c>
      <c r="M839" s="40" t="s">
        <v>341</v>
      </c>
      <c r="N839" s="14" t="s">
        <v>1144</v>
      </c>
      <c r="O839" s="14" t="s">
        <v>1119</v>
      </c>
      <c r="P839" s="14" t="s">
        <v>971</v>
      </c>
      <c r="Q839" s="14" t="s">
        <v>1126</v>
      </c>
      <c r="R839" s="17">
        <v>400</v>
      </c>
      <c r="S839" s="172" t="s">
        <v>51</v>
      </c>
      <c r="T839" s="17"/>
      <c r="U839" s="14"/>
      <c r="V839" s="16">
        <f t="shared" si="111"/>
        <v>244174</v>
      </c>
      <c r="W839" s="16">
        <f t="shared" si="112"/>
        <v>244181</v>
      </c>
      <c r="X839" s="16">
        <f t="shared" si="113"/>
        <v>244176</v>
      </c>
      <c r="Y839" s="15"/>
      <c r="Z839" s="177"/>
      <c r="AA839" s="170"/>
      <c r="AB839" s="170"/>
      <c r="AC839" s="170"/>
      <c r="AD839" s="170"/>
      <c r="AE839" s="15"/>
      <c r="AF839" s="177"/>
      <c r="AG839" s="177">
        <f t="shared" si="109"/>
        <v>0</v>
      </c>
      <c r="AH839" s="177">
        <f t="shared" si="110"/>
        <v>0</v>
      </c>
      <c r="AK839" s="176"/>
      <c r="AL839" s="176"/>
    </row>
    <row r="840" spans="1:38" ht="36" customHeight="1" x14ac:dyDescent="0.2">
      <c r="A840" s="14" t="s">
        <v>23</v>
      </c>
      <c r="B840" s="212">
        <v>244174</v>
      </c>
      <c r="C840" s="14" t="s">
        <v>547</v>
      </c>
      <c r="D840" s="14" t="s">
        <v>268</v>
      </c>
      <c r="E840" s="14" t="s">
        <v>14</v>
      </c>
      <c r="F840" s="14" t="s">
        <v>324</v>
      </c>
      <c r="G840" s="179">
        <v>680839</v>
      </c>
      <c r="H840" s="176" t="s">
        <v>2966</v>
      </c>
      <c r="I840" s="176" t="s">
        <v>2967</v>
      </c>
      <c r="J840" s="176" t="s">
        <v>286</v>
      </c>
      <c r="K840" s="176" t="s">
        <v>2969</v>
      </c>
      <c r="L840" s="40" t="s">
        <v>45</v>
      </c>
      <c r="M840" s="40" t="s">
        <v>341</v>
      </c>
      <c r="N840" s="14" t="s">
        <v>2970</v>
      </c>
      <c r="O840" s="14" t="s">
        <v>543</v>
      </c>
      <c r="P840" s="14" t="s">
        <v>2974</v>
      </c>
      <c r="Q840" s="14" t="s">
        <v>529</v>
      </c>
      <c r="R840" s="17">
        <v>550</v>
      </c>
      <c r="S840" s="172" t="s">
        <v>51</v>
      </c>
      <c r="T840" s="17">
        <v>1890</v>
      </c>
      <c r="U840" s="14" t="s">
        <v>51</v>
      </c>
      <c r="V840" s="16">
        <f t="shared" si="111"/>
        <v>244174</v>
      </c>
      <c r="W840" s="16">
        <f t="shared" si="112"/>
        <v>244181</v>
      </c>
      <c r="X840" s="16">
        <f t="shared" si="113"/>
        <v>244176</v>
      </c>
      <c r="Y840" s="15"/>
      <c r="Z840" s="177"/>
      <c r="AA840" s="170"/>
      <c r="AB840" s="170"/>
      <c r="AC840" s="170"/>
      <c r="AD840" s="170"/>
      <c r="AE840" s="15"/>
      <c r="AF840" s="177"/>
      <c r="AG840" s="177">
        <f t="shared" si="109"/>
        <v>0</v>
      </c>
      <c r="AH840" s="177">
        <f t="shared" si="110"/>
        <v>0</v>
      </c>
      <c r="AK840" s="176"/>
      <c r="AL840" s="176"/>
    </row>
    <row r="841" spans="1:38" ht="36" customHeight="1" x14ac:dyDescent="0.2">
      <c r="A841" s="14" t="s">
        <v>23</v>
      </c>
      <c r="B841" s="212">
        <v>244174</v>
      </c>
      <c r="C841" s="14" t="s">
        <v>547</v>
      </c>
      <c r="D841" s="14" t="s">
        <v>268</v>
      </c>
      <c r="E841" s="14" t="s">
        <v>14</v>
      </c>
      <c r="F841" s="14" t="s">
        <v>324</v>
      </c>
      <c r="G841" s="179">
        <v>680840</v>
      </c>
      <c r="H841" s="176" t="s">
        <v>1547</v>
      </c>
      <c r="I841" s="176" t="s">
        <v>550</v>
      </c>
      <c r="J841" s="176" t="s">
        <v>128</v>
      </c>
      <c r="K841" s="176" t="s">
        <v>2934</v>
      </c>
      <c r="L841" s="40" t="s">
        <v>106</v>
      </c>
      <c r="M841" s="40" t="s">
        <v>341</v>
      </c>
      <c r="N841" s="14" t="s">
        <v>2971</v>
      </c>
      <c r="O841" s="14" t="s">
        <v>548</v>
      </c>
      <c r="P841" s="14" t="s">
        <v>717</v>
      </c>
      <c r="Q841" s="14" t="s">
        <v>549</v>
      </c>
      <c r="R841" s="17">
        <v>197</v>
      </c>
      <c r="S841" s="172" t="s">
        <v>51</v>
      </c>
      <c r="T841" s="17">
        <v>2450</v>
      </c>
      <c r="U841" s="14" t="s">
        <v>51</v>
      </c>
      <c r="V841" s="16">
        <f t="shared" si="111"/>
        <v>244174</v>
      </c>
      <c r="W841" s="16">
        <f t="shared" si="112"/>
        <v>244181</v>
      </c>
      <c r="X841" s="16">
        <f t="shared" si="113"/>
        <v>244176</v>
      </c>
      <c r="Y841" s="15"/>
      <c r="Z841" s="177"/>
      <c r="AA841" s="170"/>
      <c r="AB841" s="170"/>
      <c r="AC841" s="170"/>
      <c r="AD841" s="170"/>
      <c r="AE841" s="15"/>
      <c r="AF841" s="177"/>
      <c r="AG841" s="177">
        <f t="shared" si="109"/>
        <v>0</v>
      </c>
      <c r="AH841" s="177">
        <f t="shared" si="110"/>
        <v>0</v>
      </c>
      <c r="AK841" s="176"/>
      <c r="AL841" s="176"/>
    </row>
    <row r="842" spans="1:38" ht="36" customHeight="1" x14ac:dyDescent="0.2">
      <c r="A842" s="14" t="s">
        <v>23</v>
      </c>
      <c r="B842" s="212">
        <v>244174</v>
      </c>
      <c r="C842" s="14" t="s">
        <v>547</v>
      </c>
      <c r="D842" s="14" t="s">
        <v>268</v>
      </c>
      <c r="E842" s="14" t="s">
        <v>14</v>
      </c>
      <c r="F842" s="14" t="s">
        <v>324</v>
      </c>
      <c r="G842" s="179">
        <v>680841</v>
      </c>
      <c r="H842" s="176" t="s">
        <v>886</v>
      </c>
      <c r="I842" s="176" t="s">
        <v>630</v>
      </c>
      <c r="J842" s="176" t="s">
        <v>821</v>
      </c>
      <c r="K842" s="176" t="s">
        <v>2968</v>
      </c>
      <c r="L842" s="40" t="s">
        <v>124</v>
      </c>
      <c r="M842" s="40" t="s">
        <v>341</v>
      </c>
      <c r="N842" s="14" t="s">
        <v>2972</v>
      </c>
      <c r="O842" s="14" t="s">
        <v>1009</v>
      </c>
      <c r="P842" s="14" t="s">
        <v>2975</v>
      </c>
      <c r="Q842" s="14" t="s">
        <v>323</v>
      </c>
      <c r="R842" s="17">
        <v>190</v>
      </c>
      <c r="S842" s="172" t="s">
        <v>51</v>
      </c>
      <c r="T842" s="17">
        <v>1248</v>
      </c>
      <c r="U842" s="14" t="s">
        <v>51</v>
      </c>
      <c r="V842" s="16">
        <f t="shared" si="111"/>
        <v>244174</v>
      </c>
      <c r="W842" s="16">
        <f t="shared" si="112"/>
        <v>244181</v>
      </c>
      <c r="X842" s="16">
        <f>V842+2</f>
        <v>244176</v>
      </c>
      <c r="Y842" s="15"/>
      <c r="Z842" s="177"/>
      <c r="AA842" s="170"/>
      <c r="AB842" s="170"/>
      <c r="AC842" s="170"/>
      <c r="AD842" s="170"/>
      <c r="AE842" s="15"/>
      <c r="AF842" s="177"/>
      <c r="AG842" s="177">
        <f t="shared" si="109"/>
        <v>0</v>
      </c>
      <c r="AH842" s="177">
        <f t="shared" si="110"/>
        <v>0</v>
      </c>
      <c r="AK842" s="176"/>
      <c r="AL842" s="176"/>
    </row>
    <row r="843" spans="1:38" ht="36" customHeight="1" x14ac:dyDescent="0.2">
      <c r="A843" s="14" t="s">
        <v>23</v>
      </c>
      <c r="B843" s="212">
        <v>244174</v>
      </c>
      <c r="C843" s="14" t="s">
        <v>547</v>
      </c>
      <c r="D843" s="14" t="s">
        <v>268</v>
      </c>
      <c r="E843" s="14" t="s">
        <v>14</v>
      </c>
      <c r="F843" s="14" t="s">
        <v>324</v>
      </c>
      <c r="G843" s="179">
        <v>680842</v>
      </c>
      <c r="H843" s="176" t="s">
        <v>886</v>
      </c>
      <c r="I843" s="176" t="s">
        <v>630</v>
      </c>
      <c r="J843" s="176" t="s">
        <v>821</v>
      </c>
      <c r="K843" s="176" t="s">
        <v>2968</v>
      </c>
      <c r="L843" s="40" t="s">
        <v>124</v>
      </c>
      <c r="M843" s="40" t="s">
        <v>341</v>
      </c>
      <c r="N843" s="14" t="s">
        <v>2973</v>
      </c>
      <c r="O843" s="14" t="s">
        <v>548</v>
      </c>
      <c r="P843" s="14" t="s">
        <v>518</v>
      </c>
      <c r="Q843" s="14" t="s">
        <v>549</v>
      </c>
      <c r="R843" s="17">
        <v>115</v>
      </c>
      <c r="S843" s="172" t="s">
        <v>51</v>
      </c>
      <c r="T843" s="17">
        <v>1248</v>
      </c>
      <c r="U843" s="14" t="s">
        <v>51</v>
      </c>
      <c r="V843" s="16">
        <f t="shared" si="111"/>
        <v>244174</v>
      </c>
      <c r="W843" s="16">
        <f t="shared" si="112"/>
        <v>244181</v>
      </c>
      <c r="X843" s="16">
        <f t="shared" si="113"/>
        <v>244176</v>
      </c>
      <c r="Y843" s="15"/>
      <c r="Z843" s="177"/>
      <c r="AA843" s="170"/>
      <c r="AB843" s="170"/>
      <c r="AC843" s="170"/>
      <c r="AD843" s="170"/>
      <c r="AE843" s="15"/>
      <c r="AF843" s="177"/>
      <c r="AG843" s="177">
        <f t="shared" si="109"/>
        <v>0</v>
      </c>
      <c r="AH843" s="177">
        <f t="shared" si="110"/>
        <v>0</v>
      </c>
      <c r="AK843" s="176"/>
      <c r="AL843" s="176"/>
    </row>
    <row r="844" spans="1:38" ht="36" customHeight="1" x14ac:dyDescent="0.2">
      <c r="A844" s="14" t="s">
        <v>23</v>
      </c>
      <c r="B844" s="212">
        <v>244176</v>
      </c>
      <c r="C844" s="14" t="s">
        <v>547</v>
      </c>
      <c r="D844" s="14" t="s">
        <v>268</v>
      </c>
      <c r="E844" s="14" t="s">
        <v>14</v>
      </c>
      <c r="F844" s="14" t="s">
        <v>324</v>
      </c>
      <c r="G844" s="179">
        <v>680843</v>
      </c>
      <c r="H844" s="176" t="s">
        <v>2514</v>
      </c>
      <c r="I844" s="176" t="s">
        <v>2515</v>
      </c>
      <c r="J844" s="176" t="s">
        <v>2516</v>
      </c>
      <c r="K844" s="176" t="s">
        <v>2976</v>
      </c>
      <c r="L844" s="40" t="s">
        <v>105</v>
      </c>
      <c r="M844" s="40" t="s">
        <v>341</v>
      </c>
      <c r="N844" s="14" t="s">
        <v>2008</v>
      </c>
      <c r="O844" s="14" t="s">
        <v>548</v>
      </c>
      <c r="P844" s="14" t="s">
        <v>518</v>
      </c>
      <c r="Q844" s="14" t="s">
        <v>549</v>
      </c>
      <c r="R844" s="17">
        <v>210</v>
      </c>
      <c r="S844" s="172" t="s">
        <v>51</v>
      </c>
      <c r="T844" s="17">
        <v>1769</v>
      </c>
      <c r="U844" s="14" t="s">
        <v>51</v>
      </c>
      <c r="V844" s="16">
        <f t="shared" si="111"/>
        <v>244176</v>
      </c>
      <c r="W844" s="16">
        <f t="shared" si="112"/>
        <v>244183</v>
      </c>
      <c r="X844" s="16">
        <f t="shared" si="113"/>
        <v>244178</v>
      </c>
      <c r="Y844" s="15"/>
      <c r="Z844" s="177"/>
      <c r="AA844" s="170"/>
      <c r="AB844" s="170"/>
      <c r="AC844" s="170"/>
      <c r="AD844" s="170"/>
      <c r="AE844" s="15"/>
      <c r="AF844" s="177"/>
      <c r="AG844" s="177">
        <f t="shared" si="109"/>
        <v>0</v>
      </c>
      <c r="AH844" s="177">
        <f t="shared" si="110"/>
        <v>0</v>
      </c>
      <c r="AK844" s="176"/>
      <c r="AL844" s="176"/>
    </row>
    <row r="845" spans="1:38" ht="36" customHeight="1" x14ac:dyDescent="0.2">
      <c r="A845" s="14" t="s">
        <v>23</v>
      </c>
      <c r="B845" s="212">
        <v>244176</v>
      </c>
      <c r="C845" s="14" t="s">
        <v>547</v>
      </c>
      <c r="D845" s="14" t="s">
        <v>268</v>
      </c>
      <c r="E845" s="14" t="s">
        <v>14</v>
      </c>
      <c r="F845" s="14" t="s">
        <v>324</v>
      </c>
      <c r="G845" s="179">
        <v>680844</v>
      </c>
      <c r="H845" s="176" t="s">
        <v>2638</v>
      </c>
      <c r="I845" s="176" t="s">
        <v>773</v>
      </c>
      <c r="J845" s="176" t="s">
        <v>775</v>
      </c>
      <c r="K845" s="176" t="s">
        <v>2977</v>
      </c>
      <c r="L845" s="40" t="s">
        <v>45</v>
      </c>
      <c r="M845" s="40" t="s">
        <v>341</v>
      </c>
      <c r="N845" s="14" t="s">
        <v>2978</v>
      </c>
      <c r="O845" s="14" t="s">
        <v>528</v>
      </c>
      <c r="P845" s="14" t="s">
        <v>2981</v>
      </c>
      <c r="Q845" s="14" t="s">
        <v>541</v>
      </c>
      <c r="R845" s="17">
        <v>300</v>
      </c>
      <c r="S845" s="172" t="s">
        <v>51</v>
      </c>
      <c r="T845" s="17">
        <v>1910</v>
      </c>
      <c r="U845" s="14" t="s">
        <v>51</v>
      </c>
      <c r="V845" s="16">
        <f t="shared" si="111"/>
        <v>244176</v>
      </c>
      <c r="W845" s="16">
        <f t="shared" si="112"/>
        <v>244183</v>
      </c>
      <c r="X845" s="16">
        <f t="shared" si="113"/>
        <v>244178</v>
      </c>
      <c r="Y845" s="15"/>
      <c r="Z845" s="177"/>
      <c r="AA845" s="170"/>
      <c r="AB845" s="170"/>
      <c r="AC845" s="170"/>
      <c r="AD845" s="170"/>
      <c r="AE845" s="15"/>
      <c r="AF845" s="177"/>
      <c r="AG845" s="177">
        <f t="shared" si="109"/>
        <v>0</v>
      </c>
      <c r="AH845" s="177">
        <f t="shared" si="110"/>
        <v>0</v>
      </c>
      <c r="AK845" s="176"/>
      <c r="AL845" s="176"/>
    </row>
    <row r="846" spans="1:38" ht="36" customHeight="1" x14ac:dyDescent="0.2">
      <c r="A846" s="14" t="s">
        <v>23</v>
      </c>
      <c r="B846" s="212">
        <v>244176</v>
      </c>
      <c r="C846" s="14" t="s">
        <v>547</v>
      </c>
      <c r="D846" s="14" t="s">
        <v>268</v>
      </c>
      <c r="E846" s="14" t="s">
        <v>14</v>
      </c>
      <c r="F846" s="14" t="s">
        <v>324</v>
      </c>
      <c r="G846" s="179">
        <v>680845</v>
      </c>
      <c r="H846" s="176" t="s">
        <v>959</v>
      </c>
      <c r="I846" s="176" t="s">
        <v>960</v>
      </c>
      <c r="J846" s="176" t="s">
        <v>127</v>
      </c>
      <c r="K846" s="176" t="s">
        <v>2951</v>
      </c>
      <c r="L846" s="40" t="s">
        <v>108</v>
      </c>
      <c r="M846" s="40" t="s">
        <v>341</v>
      </c>
      <c r="N846" s="14" t="s">
        <v>1933</v>
      </c>
      <c r="O846" s="14" t="s">
        <v>528</v>
      </c>
      <c r="P846" s="14" t="s">
        <v>519</v>
      </c>
      <c r="Q846" s="14" t="s">
        <v>541</v>
      </c>
      <c r="R846" s="17">
        <v>400</v>
      </c>
      <c r="S846" s="172" t="s">
        <v>51</v>
      </c>
      <c r="T846" s="17">
        <v>3185</v>
      </c>
      <c r="U846" s="14" t="s">
        <v>51</v>
      </c>
      <c r="V846" s="16">
        <f t="shared" si="111"/>
        <v>244176</v>
      </c>
      <c r="W846" s="16">
        <f t="shared" si="112"/>
        <v>244183</v>
      </c>
      <c r="X846" s="16">
        <f t="shared" si="113"/>
        <v>244178</v>
      </c>
      <c r="Y846" s="15" t="s">
        <v>54</v>
      </c>
      <c r="Z846" s="177">
        <v>244224</v>
      </c>
      <c r="AA846" s="170"/>
      <c r="AB846" s="170"/>
      <c r="AC846" s="170"/>
      <c r="AD846" s="170"/>
      <c r="AE846" s="15" t="s">
        <v>54</v>
      </c>
      <c r="AF846" s="177">
        <v>244225</v>
      </c>
      <c r="AG846" s="177" t="str">
        <f t="shared" si="109"/>
        <v>Pass</v>
      </c>
      <c r="AH846" s="177">
        <f t="shared" si="110"/>
        <v>244225</v>
      </c>
      <c r="AK846" s="176"/>
      <c r="AL846" s="176"/>
    </row>
    <row r="847" spans="1:38" ht="36" customHeight="1" x14ac:dyDescent="0.2">
      <c r="A847" s="14" t="s">
        <v>23</v>
      </c>
      <c r="B847" s="212">
        <v>244176</v>
      </c>
      <c r="C847" s="14" t="s">
        <v>547</v>
      </c>
      <c r="D847" s="14" t="s">
        <v>268</v>
      </c>
      <c r="E847" s="14" t="s">
        <v>14</v>
      </c>
      <c r="F847" s="14" t="s">
        <v>324</v>
      </c>
      <c r="G847" s="179">
        <v>680846</v>
      </c>
      <c r="H847" s="176" t="s">
        <v>1547</v>
      </c>
      <c r="I847" s="176" t="s">
        <v>550</v>
      </c>
      <c r="J847" s="176" t="s">
        <v>128</v>
      </c>
      <c r="K847" s="176" t="s">
        <v>2934</v>
      </c>
      <c r="L847" s="40" t="s">
        <v>106</v>
      </c>
      <c r="M847" s="40" t="s">
        <v>341</v>
      </c>
      <c r="N847" s="14" t="s">
        <v>2979</v>
      </c>
      <c r="O847" s="14" t="s">
        <v>1722</v>
      </c>
      <c r="P847" s="14" t="s">
        <v>2104</v>
      </c>
      <c r="Q847" s="14" t="s">
        <v>1724</v>
      </c>
      <c r="R847" s="17">
        <v>600</v>
      </c>
      <c r="S847" s="172" t="s">
        <v>51</v>
      </c>
      <c r="T847" s="17">
        <v>2465</v>
      </c>
      <c r="U847" s="14" t="s">
        <v>51</v>
      </c>
      <c r="V847" s="16">
        <f t="shared" si="111"/>
        <v>244176</v>
      </c>
      <c r="W847" s="16">
        <f t="shared" si="112"/>
        <v>244183</v>
      </c>
      <c r="X847" s="16">
        <f t="shared" si="113"/>
        <v>244178</v>
      </c>
      <c r="Y847" s="15"/>
      <c r="Z847" s="177"/>
      <c r="AA847" s="170"/>
      <c r="AB847" s="170"/>
      <c r="AC847" s="170"/>
      <c r="AD847" s="170"/>
      <c r="AE847" s="15"/>
      <c r="AF847" s="177"/>
      <c r="AG847" s="177">
        <f t="shared" si="109"/>
        <v>0</v>
      </c>
      <c r="AH847" s="177">
        <f t="shared" si="110"/>
        <v>0</v>
      </c>
      <c r="AK847" s="176"/>
      <c r="AL847" s="176"/>
    </row>
    <row r="848" spans="1:38" ht="36" customHeight="1" x14ac:dyDescent="0.2">
      <c r="A848" s="14" t="s">
        <v>23</v>
      </c>
      <c r="B848" s="212">
        <v>244176</v>
      </c>
      <c r="C848" s="14" t="s">
        <v>547</v>
      </c>
      <c r="D848" s="14" t="s">
        <v>268</v>
      </c>
      <c r="E848" s="14" t="s">
        <v>14</v>
      </c>
      <c r="F848" s="14" t="s">
        <v>324</v>
      </c>
      <c r="G848" s="179">
        <v>680847</v>
      </c>
      <c r="H848" s="176" t="s">
        <v>1547</v>
      </c>
      <c r="I848" s="176" t="s">
        <v>550</v>
      </c>
      <c r="J848" s="176" t="s">
        <v>128</v>
      </c>
      <c r="K848" s="176" t="s">
        <v>2934</v>
      </c>
      <c r="L848" s="40" t="s">
        <v>106</v>
      </c>
      <c r="M848" s="40" t="s">
        <v>341</v>
      </c>
      <c r="N848" s="14" t="s">
        <v>2980</v>
      </c>
      <c r="O848" s="14" t="s">
        <v>548</v>
      </c>
      <c r="P848" s="14" t="s">
        <v>518</v>
      </c>
      <c r="Q848" s="14" t="s">
        <v>549</v>
      </c>
      <c r="R848" s="17">
        <v>157</v>
      </c>
      <c r="S848" s="172" t="s">
        <v>51</v>
      </c>
      <c r="T848" s="17">
        <v>2420</v>
      </c>
      <c r="U848" s="14" t="s">
        <v>51</v>
      </c>
      <c r="V848" s="16">
        <f t="shared" si="111"/>
        <v>244176</v>
      </c>
      <c r="W848" s="16">
        <f t="shared" si="112"/>
        <v>244183</v>
      </c>
      <c r="X848" s="16">
        <f t="shared" si="113"/>
        <v>244178</v>
      </c>
      <c r="Y848" s="15"/>
      <c r="Z848" s="177"/>
      <c r="AA848" s="170"/>
      <c r="AB848" s="170"/>
      <c r="AC848" s="170"/>
      <c r="AD848" s="170"/>
      <c r="AE848" s="15"/>
      <c r="AF848" s="177"/>
      <c r="AG848" s="177">
        <f t="shared" si="109"/>
        <v>0</v>
      </c>
      <c r="AH848" s="177">
        <f t="shared" si="110"/>
        <v>0</v>
      </c>
      <c r="AK848" s="176"/>
      <c r="AL848" s="176"/>
    </row>
    <row r="849" spans="1:38" ht="36" customHeight="1" x14ac:dyDescent="0.2">
      <c r="A849" s="14" t="s">
        <v>23</v>
      </c>
      <c r="B849" s="212">
        <v>244176</v>
      </c>
      <c r="C849" s="14" t="s">
        <v>547</v>
      </c>
      <c r="D849" s="14" t="s">
        <v>268</v>
      </c>
      <c r="E849" s="14" t="s">
        <v>14</v>
      </c>
      <c r="F849" s="14" t="s">
        <v>324</v>
      </c>
      <c r="G849" s="179">
        <v>680848</v>
      </c>
      <c r="H849" s="176" t="s">
        <v>959</v>
      </c>
      <c r="I849" s="176" t="s">
        <v>960</v>
      </c>
      <c r="J849" s="176" t="s">
        <v>127</v>
      </c>
      <c r="K849" s="176" t="s">
        <v>2951</v>
      </c>
      <c r="L849" s="40" t="s">
        <v>108</v>
      </c>
      <c r="M849" s="40" t="s">
        <v>341</v>
      </c>
      <c r="N849" s="14" t="s">
        <v>1214</v>
      </c>
      <c r="O849" s="14" t="s">
        <v>548</v>
      </c>
      <c r="P849" s="14" t="s">
        <v>518</v>
      </c>
      <c r="Q849" s="14" t="s">
        <v>549</v>
      </c>
      <c r="R849" s="17">
        <v>150</v>
      </c>
      <c r="S849" s="172" t="s">
        <v>51</v>
      </c>
      <c r="T849" s="17">
        <v>1272</v>
      </c>
      <c r="U849" s="14" t="s">
        <v>51</v>
      </c>
      <c r="V849" s="16">
        <f t="shared" si="111"/>
        <v>244176</v>
      </c>
      <c r="W849" s="16">
        <f t="shared" si="112"/>
        <v>244183</v>
      </c>
      <c r="X849" s="16">
        <f t="shared" si="113"/>
        <v>244178</v>
      </c>
      <c r="Y849" s="15" t="s">
        <v>54</v>
      </c>
      <c r="Z849" s="177">
        <v>244224</v>
      </c>
      <c r="AA849" s="170"/>
      <c r="AB849" s="170"/>
      <c r="AC849" s="170"/>
      <c r="AD849" s="170"/>
      <c r="AE849" s="15" t="s">
        <v>54</v>
      </c>
      <c r="AF849" s="177">
        <v>244225</v>
      </c>
      <c r="AG849" s="177" t="str">
        <f t="shared" si="109"/>
        <v>Pass</v>
      </c>
      <c r="AH849" s="177">
        <f t="shared" si="110"/>
        <v>244225</v>
      </c>
      <c r="AK849" s="176"/>
      <c r="AL849" s="176"/>
    </row>
    <row r="850" spans="1:38" ht="36" customHeight="1" x14ac:dyDescent="0.2">
      <c r="A850" s="14" t="s">
        <v>23</v>
      </c>
      <c r="B850" s="212">
        <v>244177</v>
      </c>
      <c r="C850" s="14" t="s">
        <v>547</v>
      </c>
      <c r="D850" s="14" t="s">
        <v>268</v>
      </c>
      <c r="E850" s="14" t="s">
        <v>14</v>
      </c>
      <c r="F850" s="14" t="s">
        <v>324</v>
      </c>
      <c r="G850" s="179">
        <v>680849</v>
      </c>
      <c r="H850" s="176" t="s">
        <v>2982</v>
      </c>
      <c r="I850" s="176" t="s">
        <v>908</v>
      </c>
      <c r="J850" s="176" t="s">
        <v>133</v>
      </c>
      <c r="K850" s="176" t="s">
        <v>2983</v>
      </c>
      <c r="L850" s="40" t="s">
        <v>45</v>
      </c>
      <c r="M850" s="40" t="s">
        <v>341</v>
      </c>
      <c r="N850" s="14" t="s">
        <v>2985</v>
      </c>
      <c r="O850" s="14" t="s">
        <v>2987</v>
      </c>
      <c r="P850" s="14" t="s">
        <v>1659</v>
      </c>
      <c r="Q850" s="14" t="s">
        <v>2989</v>
      </c>
      <c r="R850" s="17">
        <v>350</v>
      </c>
      <c r="S850" s="172" t="s">
        <v>51</v>
      </c>
      <c r="T850" s="17">
        <v>1850</v>
      </c>
      <c r="U850" s="14" t="s">
        <v>51</v>
      </c>
      <c r="V850" s="16">
        <f t="shared" si="111"/>
        <v>244177</v>
      </c>
      <c r="W850" s="16">
        <f t="shared" si="112"/>
        <v>244184</v>
      </c>
      <c r="X850" s="16">
        <f t="shared" si="113"/>
        <v>244179</v>
      </c>
      <c r="Y850" s="15" t="s">
        <v>54</v>
      </c>
      <c r="Z850" s="177">
        <v>244181</v>
      </c>
      <c r="AA850" s="170"/>
      <c r="AB850" s="170"/>
      <c r="AC850" s="170"/>
      <c r="AD850" s="170"/>
      <c r="AE850" s="15" t="s">
        <v>54</v>
      </c>
      <c r="AF850" s="177">
        <v>244182</v>
      </c>
      <c r="AG850" s="177" t="str">
        <f t="shared" si="109"/>
        <v>Pass</v>
      </c>
      <c r="AH850" s="177">
        <f t="shared" si="110"/>
        <v>244182</v>
      </c>
      <c r="AK850" s="176"/>
      <c r="AL850" s="176"/>
    </row>
    <row r="851" spans="1:38" ht="36" customHeight="1" x14ac:dyDescent="0.2">
      <c r="A851" s="14" t="s">
        <v>23</v>
      </c>
      <c r="B851" s="212">
        <v>244177</v>
      </c>
      <c r="C851" s="14" t="s">
        <v>547</v>
      </c>
      <c r="D851" s="14" t="s">
        <v>268</v>
      </c>
      <c r="E851" s="14" t="s">
        <v>14</v>
      </c>
      <c r="F851" s="14" t="s">
        <v>324</v>
      </c>
      <c r="G851" s="179">
        <v>680850</v>
      </c>
      <c r="H851" s="176" t="s">
        <v>663</v>
      </c>
      <c r="I851" s="176" t="s">
        <v>630</v>
      </c>
      <c r="J851" s="176" t="s">
        <v>821</v>
      </c>
      <c r="K851" s="176" t="s">
        <v>2984</v>
      </c>
      <c r="L851" s="40" t="s">
        <v>124</v>
      </c>
      <c r="M851" s="40" t="s">
        <v>341</v>
      </c>
      <c r="N851" s="14" t="s">
        <v>2986</v>
      </c>
      <c r="O851" s="14" t="s">
        <v>543</v>
      </c>
      <c r="P851" s="14" t="s">
        <v>2988</v>
      </c>
      <c r="Q851" s="14" t="s">
        <v>529</v>
      </c>
      <c r="R851" s="17">
        <v>1060</v>
      </c>
      <c r="S851" s="172" t="s">
        <v>51</v>
      </c>
      <c r="T851" s="17">
        <v>2581</v>
      </c>
      <c r="U851" s="14" t="s">
        <v>51</v>
      </c>
      <c r="V851" s="16">
        <f t="shared" si="111"/>
        <v>244177</v>
      </c>
      <c r="W851" s="16">
        <f t="shared" si="112"/>
        <v>244184</v>
      </c>
      <c r="X851" s="16">
        <f t="shared" si="113"/>
        <v>244179</v>
      </c>
      <c r="Y851" s="15"/>
      <c r="Z851" s="177"/>
      <c r="AA851" s="170"/>
      <c r="AB851" s="170"/>
      <c r="AC851" s="170"/>
      <c r="AD851" s="170"/>
      <c r="AE851" s="15"/>
      <c r="AF851" s="177"/>
      <c r="AG851" s="177">
        <f t="shared" si="109"/>
        <v>0</v>
      </c>
      <c r="AH851" s="177">
        <f t="shared" si="110"/>
        <v>0</v>
      </c>
      <c r="AK851" s="176"/>
      <c r="AL851" s="176"/>
    </row>
    <row r="852" spans="1:38" ht="36" customHeight="1" x14ac:dyDescent="0.2">
      <c r="A852" s="14" t="s">
        <v>23</v>
      </c>
      <c r="B852" s="212">
        <v>244179</v>
      </c>
      <c r="C852" s="14" t="s">
        <v>547</v>
      </c>
      <c r="D852" s="14" t="s">
        <v>268</v>
      </c>
      <c r="E852" s="14" t="s">
        <v>14</v>
      </c>
      <c r="F852" s="14" t="s">
        <v>324</v>
      </c>
      <c r="G852" s="179">
        <v>680851</v>
      </c>
      <c r="H852" s="176" t="s">
        <v>2990</v>
      </c>
      <c r="I852" s="176" t="s">
        <v>2991</v>
      </c>
      <c r="J852" s="176" t="s">
        <v>2992</v>
      </c>
      <c r="K852" s="176" t="s">
        <v>2996</v>
      </c>
      <c r="L852" s="40" t="s">
        <v>108</v>
      </c>
      <c r="M852" s="40" t="s">
        <v>341</v>
      </c>
      <c r="N852" s="14" t="s">
        <v>2994</v>
      </c>
      <c r="O852" s="14" t="s">
        <v>552</v>
      </c>
      <c r="P852" s="14" t="s">
        <v>519</v>
      </c>
      <c r="Q852" s="14" t="s">
        <v>553</v>
      </c>
      <c r="R852" s="17">
        <v>1300</v>
      </c>
      <c r="S852" s="172" t="s">
        <v>51</v>
      </c>
      <c r="T852" s="17">
        <v>2080</v>
      </c>
      <c r="U852" s="172" t="s">
        <v>51</v>
      </c>
      <c r="V852" s="16">
        <f t="shared" si="111"/>
        <v>244179</v>
      </c>
      <c r="W852" s="16">
        <f t="shared" si="112"/>
        <v>244186</v>
      </c>
      <c r="X852" s="16">
        <f t="shared" si="113"/>
        <v>244181</v>
      </c>
      <c r="Y852" s="15" t="s">
        <v>54</v>
      </c>
      <c r="Z852" s="177">
        <v>244224</v>
      </c>
      <c r="AA852" s="170"/>
      <c r="AB852" s="170"/>
      <c r="AC852" s="170"/>
      <c r="AD852" s="170"/>
      <c r="AE852" s="15" t="s">
        <v>54</v>
      </c>
      <c r="AF852" s="177">
        <v>244225</v>
      </c>
      <c r="AG852" s="177" t="str">
        <f t="shared" si="109"/>
        <v>Pass</v>
      </c>
      <c r="AH852" s="177">
        <f t="shared" si="110"/>
        <v>244225</v>
      </c>
      <c r="AK852" s="176"/>
      <c r="AL852" s="176"/>
    </row>
    <row r="853" spans="1:38" ht="36" customHeight="1" x14ac:dyDescent="0.2">
      <c r="A853" s="14" t="s">
        <v>23</v>
      </c>
      <c r="B853" s="212">
        <v>244179</v>
      </c>
      <c r="C853" s="14" t="s">
        <v>547</v>
      </c>
      <c r="D853" s="14" t="s">
        <v>268</v>
      </c>
      <c r="E853" s="14" t="s">
        <v>14</v>
      </c>
      <c r="F853" s="14" t="s">
        <v>324</v>
      </c>
      <c r="G853" s="179">
        <v>680852</v>
      </c>
      <c r="H853" s="176" t="s">
        <v>2844</v>
      </c>
      <c r="I853" s="176" t="s">
        <v>724</v>
      </c>
      <c r="J853" s="176" t="s">
        <v>726</v>
      </c>
      <c r="K853" s="176" t="s">
        <v>2993</v>
      </c>
      <c r="L853" s="40" t="s">
        <v>108</v>
      </c>
      <c r="M853" s="40" t="s">
        <v>341</v>
      </c>
      <c r="N853" s="14" t="s">
        <v>1463</v>
      </c>
      <c r="O853" s="14" t="s">
        <v>548</v>
      </c>
      <c r="P853" s="14" t="s">
        <v>518</v>
      </c>
      <c r="Q853" s="14" t="s">
        <v>549</v>
      </c>
      <c r="R853" s="17">
        <v>121</v>
      </c>
      <c r="S853" s="172" t="s">
        <v>51</v>
      </c>
      <c r="T853" s="17">
        <v>3390</v>
      </c>
      <c r="U853" s="172" t="s">
        <v>51</v>
      </c>
      <c r="V853" s="16">
        <f t="shared" si="111"/>
        <v>244179</v>
      </c>
      <c r="W853" s="16">
        <f t="shared" si="112"/>
        <v>244186</v>
      </c>
      <c r="X853" s="16">
        <f t="shared" si="113"/>
        <v>244181</v>
      </c>
      <c r="Y853" s="15" t="s">
        <v>54</v>
      </c>
      <c r="Z853" s="177">
        <v>244224</v>
      </c>
      <c r="AA853" s="170"/>
      <c r="AB853" s="170"/>
      <c r="AC853" s="170"/>
      <c r="AD853" s="170"/>
      <c r="AE853" s="15" t="s">
        <v>54</v>
      </c>
      <c r="AF853" s="177">
        <v>244225</v>
      </c>
      <c r="AG853" s="177" t="str">
        <f t="shared" si="109"/>
        <v>Pass</v>
      </c>
      <c r="AH853" s="177">
        <f t="shared" si="110"/>
        <v>244225</v>
      </c>
      <c r="AK853" s="176"/>
      <c r="AL853" s="176"/>
    </row>
    <row r="854" spans="1:38" ht="36" customHeight="1" x14ac:dyDescent="0.2">
      <c r="A854" s="14" t="s">
        <v>23</v>
      </c>
      <c r="B854" s="212">
        <v>244179</v>
      </c>
      <c r="C854" s="14" t="s">
        <v>547</v>
      </c>
      <c r="D854" s="14" t="s">
        <v>268</v>
      </c>
      <c r="E854" s="14" t="s">
        <v>14</v>
      </c>
      <c r="F854" s="14" t="s">
        <v>324</v>
      </c>
      <c r="G854" s="179">
        <v>680853</v>
      </c>
      <c r="H854" s="176" t="s">
        <v>1547</v>
      </c>
      <c r="I854" s="176" t="s">
        <v>550</v>
      </c>
      <c r="J854" s="176" t="s">
        <v>128</v>
      </c>
      <c r="K854" s="176" t="s">
        <v>2934</v>
      </c>
      <c r="L854" s="40" t="s">
        <v>106</v>
      </c>
      <c r="M854" s="40" t="s">
        <v>341</v>
      </c>
      <c r="N854" s="14" t="s">
        <v>2995</v>
      </c>
      <c r="O854" s="14" t="s">
        <v>548</v>
      </c>
      <c r="P854" s="14" t="s">
        <v>518</v>
      </c>
      <c r="Q854" s="14" t="s">
        <v>549</v>
      </c>
      <c r="R854" s="17">
        <v>136</v>
      </c>
      <c r="S854" s="172" t="s">
        <v>51</v>
      </c>
      <c r="T854" s="17">
        <v>2543</v>
      </c>
      <c r="U854" s="172" t="s">
        <v>51</v>
      </c>
      <c r="V854" s="16">
        <f t="shared" si="111"/>
        <v>244179</v>
      </c>
      <c r="W854" s="16">
        <f t="shared" si="112"/>
        <v>244186</v>
      </c>
      <c r="X854" s="16">
        <f t="shared" si="113"/>
        <v>244181</v>
      </c>
      <c r="Y854" s="15" t="s">
        <v>54</v>
      </c>
      <c r="Z854" s="177">
        <v>244211</v>
      </c>
      <c r="AA854" s="170"/>
      <c r="AB854" s="170"/>
      <c r="AC854" s="170"/>
      <c r="AD854" s="170"/>
      <c r="AE854" s="15" t="s">
        <v>54</v>
      </c>
      <c r="AF854" s="177">
        <v>244211</v>
      </c>
      <c r="AG854" s="177" t="str">
        <f t="shared" si="109"/>
        <v>Pass</v>
      </c>
      <c r="AH854" s="177">
        <f t="shared" si="110"/>
        <v>244211</v>
      </c>
      <c r="AK854" s="176"/>
      <c r="AL854" s="176"/>
    </row>
    <row r="855" spans="1:38" ht="36" customHeight="1" x14ac:dyDescent="0.2">
      <c r="A855" s="14" t="s">
        <v>23</v>
      </c>
      <c r="B855" s="212">
        <v>244181</v>
      </c>
      <c r="C855" s="14" t="s">
        <v>547</v>
      </c>
      <c r="D855" s="14" t="s">
        <v>268</v>
      </c>
      <c r="E855" s="14" t="s">
        <v>14</v>
      </c>
      <c r="F855" s="14" t="s">
        <v>324</v>
      </c>
      <c r="G855" s="179">
        <v>680854</v>
      </c>
      <c r="H855" s="176" t="s">
        <v>1369</v>
      </c>
      <c r="I855" s="176" t="s">
        <v>514</v>
      </c>
      <c r="J855" s="176" t="s">
        <v>337</v>
      </c>
      <c r="K855" s="176" t="s">
        <v>2997</v>
      </c>
      <c r="L855" s="40" t="s">
        <v>106</v>
      </c>
      <c r="M855" s="40" t="s">
        <v>341</v>
      </c>
      <c r="N855" s="14" t="s">
        <v>712</v>
      </c>
      <c r="O855" s="14" t="s">
        <v>548</v>
      </c>
      <c r="P855" s="14" t="s">
        <v>518</v>
      </c>
      <c r="Q855" s="14" t="s">
        <v>549</v>
      </c>
      <c r="R855" s="17">
        <v>151</v>
      </c>
      <c r="S855" s="172" t="s">
        <v>51</v>
      </c>
      <c r="T855" s="17">
        <v>1495</v>
      </c>
      <c r="U855" s="172" t="s">
        <v>51</v>
      </c>
      <c r="V855" s="16">
        <f t="shared" si="111"/>
        <v>244181</v>
      </c>
      <c r="W855" s="16">
        <f t="shared" si="112"/>
        <v>244188</v>
      </c>
      <c r="X855" s="16">
        <f t="shared" si="113"/>
        <v>244183</v>
      </c>
      <c r="Y855" s="15" t="s">
        <v>54</v>
      </c>
      <c r="Z855" s="177">
        <v>244231</v>
      </c>
      <c r="AA855" s="170"/>
      <c r="AB855" s="170"/>
      <c r="AC855" s="170"/>
      <c r="AD855" s="170"/>
      <c r="AE855" s="15" t="s">
        <v>54</v>
      </c>
      <c r="AF855" s="177">
        <v>244235</v>
      </c>
      <c r="AG855" s="177" t="str">
        <f t="shared" si="109"/>
        <v>Pass</v>
      </c>
      <c r="AH855" s="177">
        <f t="shared" si="110"/>
        <v>244235</v>
      </c>
      <c r="AK855" s="176"/>
      <c r="AL855" s="176"/>
    </row>
    <row r="856" spans="1:38" ht="36" customHeight="1" x14ac:dyDescent="0.2">
      <c r="A856" s="14" t="s">
        <v>23</v>
      </c>
      <c r="B856" s="212">
        <v>244181</v>
      </c>
      <c r="C856" s="14" t="s">
        <v>547</v>
      </c>
      <c r="D856" s="14" t="s">
        <v>268</v>
      </c>
      <c r="E856" s="14" t="s">
        <v>14</v>
      </c>
      <c r="F856" s="14" t="s">
        <v>324</v>
      </c>
      <c r="G856" s="179">
        <v>680855</v>
      </c>
      <c r="H856" s="176" t="s">
        <v>772</v>
      </c>
      <c r="I856" s="176" t="s">
        <v>774</v>
      </c>
      <c r="J856" s="176" t="s">
        <v>776</v>
      </c>
      <c r="K856" s="176" t="s">
        <v>2998</v>
      </c>
      <c r="L856" s="40" t="s">
        <v>105</v>
      </c>
      <c r="M856" s="40" t="s">
        <v>341</v>
      </c>
      <c r="N856" s="14" t="s">
        <v>2738</v>
      </c>
      <c r="O856" s="14" t="s">
        <v>548</v>
      </c>
      <c r="P856" s="14" t="s">
        <v>518</v>
      </c>
      <c r="Q856" s="14" t="s">
        <v>549</v>
      </c>
      <c r="R856" s="17">
        <v>113</v>
      </c>
      <c r="S856" s="172" t="s">
        <v>51</v>
      </c>
      <c r="T856" s="17">
        <v>1744</v>
      </c>
      <c r="U856" s="172" t="s">
        <v>51</v>
      </c>
      <c r="V856" s="16">
        <f t="shared" si="111"/>
        <v>244181</v>
      </c>
      <c r="W856" s="16">
        <f t="shared" si="112"/>
        <v>244188</v>
      </c>
      <c r="X856" s="16">
        <f t="shared" si="113"/>
        <v>244183</v>
      </c>
      <c r="Y856" s="15" t="s">
        <v>54</v>
      </c>
      <c r="Z856" s="177">
        <v>244211</v>
      </c>
      <c r="AA856" s="170"/>
      <c r="AB856" s="170"/>
      <c r="AC856" s="170"/>
      <c r="AD856" s="170"/>
      <c r="AE856" s="15" t="s">
        <v>54</v>
      </c>
      <c r="AF856" s="177">
        <v>244211</v>
      </c>
      <c r="AG856" s="177" t="str">
        <f t="shared" si="109"/>
        <v>Pass</v>
      </c>
      <c r="AH856" s="177">
        <f t="shared" si="110"/>
        <v>244211</v>
      </c>
      <c r="AK856" s="176"/>
      <c r="AL856" s="176"/>
    </row>
    <row r="857" spans="1:38" ht="36" customHeight="1" x14ac:dyDescent="0.2">
      <c r="A857" s="14" t="s">
        <v>23</v>
      </c>
      <c r="B857" s="212">
        <v>244181</v>
      </c>
      <c r="C857" s="14" t="s">
        <v>547</v>
      </c>
      <c r="D857" s="14" t="s">
        <v>268</v>
      </c>
      <c r="E857" s="14" t="s">
        <v>14</v>
      </c>
      <c r="F857" s="14" t="s">
        <v>324</v>
      </c>
      <c r="G857" s="179">
        <v>680856</v>
      </c>
      <c r="H857" s="176" t="s">
        <v>772</v>
      </c>
      <c r="I857" s="176" t="s">
        <v>774</v>
      </c>
      <c r="J857" s="176" t="s">
        <v>776</v>
      </c>
      <c r="K857" s="176" t="s">
        <v>2998</v>
      </c>
      <c r="L857" s="40" t="s">
        <v>105</v>
      </c>
      <c r="M857" s="40" t="s">
        <v>341</v>
      </c>
      <c r="N857" s="14" t="s">
        <v>3007</v>
      </c>
      <c r="O857" s="14" t="s">
        <v>552</v>
      </c>
      <c r="P857" s="14" t="s">
        <v>685</v>
      </c>
      <c r="Q857" s="14" t="s">
        <v>553</v>
      </c>
      <c r="R857" s="17">
        <v>10339</v>
      </c>
      <c r="S857" s="172" t="s">
        <v>51</v>
      </c>
      <c r="T857" s="17"/>
      <c r="U857" s="14"/>
      <c r="V857" s="16">
        <f t="shared" si="111"/>
        <v>244181</v>
      </c>
      <c r="W857" s="16">
        <f t="shared" si="112"/>
        <v>244188</v>
      </c>
      <c r="X857" s="16">
        <f t="shared" si="113"/>
        <v>244183</v>
      </c>
      <c r="Y857" s="15"/>
      <c r="Z857" s="177"/>
      <c r="AA857" s="170"/>
      <c r="AB857" s="170"/>
      <c r="AC857" s="170"/>
      <c r="AD857" s="170"/>
      <c r="AE857" s="15"/>
      <c r="AF857" s="177"/>
      <c r="AG857" s="177">
        <f t="shared" si="109"/>
        <v>0</v>
      </c>
      <c r="AH857" s="177">
        <f t="shared" si="110"/>
        <v>0</v>
      </c>
      <c r="AK857" s="176"/>
      <c r="AL857" s="176"/>
    </row>
    <row r="858" spans="1:38" ht="36" customHeight="1" x14ac:dyDescent="0.2">
      <c r="A858" s="14" t="s">
        <v>23</v>
      </c>
      <c r="B858" s="212">
        <v>244181</v>
      </c>
      <c r="C858" s="14" t="s">
        <v>547</v>
      </c>
      <c r="D858" s="14" t="s">
        <v>268</v>
      </c>
      <c r="E858" s="14" t="s">
        <v>14</v>
      </c>
      <c r="F858" s="14" t="s">
        <v>324</v>
      </c>
      <c r="G858" s="179">
        <v>680857</v>
      </c>
      <c r="H858" s="176" t="s">
        <v>772</v>
      </c>
      <c r="I858" s="176" t="s">
        <v>774</v>
      </c>
      <c r="J858" s="176" t="s">
        <v>776</v>
      </c>
      <c r="K858" s="176" t="s">
        <v>2998</v>
      </c>
      <c r="L858" s="40" t="s">
        <v>105</v>
      </c>
      <c r="M858" s="40" t="s">
        <v>341</v>
      </c>
      <c r="N858" s="14" t="s">
        <v>3000</v>
      </c>
      <c r="O858" s="14" t="s">
        <v>527</v>
      </c>
      <c r="P858" s="14" t="s">
        <v>3004</v>
      </c>
      <c r="Q858" s="14" t="s">
        <v>542</v>
      </c>
      <c r="R858" s="17">
        <v>160</v>
      </c>
      <c r="S858" s="172" t="s">
        <v>51</v>
      </c>
      <c r="T858" s="17">
        <v>1725</v>
      </c>
      <c r="U858" s="172" t="s">
        <v>51</v>
      </c>
      <c r="V858" s="16">
        <f t="shared" si="111"/>
        <v>244181</v>
      </c>
      <c r="W858" s="16">
        <f t="shared" si="112"/>
        <v>244188</v>
      </c>
      <c r="X858" s="16">
        <f t="shared" si="113"/>
        <v>244183</v>
      </c>
      <c r="Y858" s="15" t="s">
        <v>54</v>
      </c>
      <c r="Z858" s="177">
        <v>244211</v>
      </c>
      <c r="AA858" s="170"/>
      <c r="AB858" s="170"/>
      <c r="AC858" s="170"/>
      <c r="AD858" s="170"/>
      <c r="AE858" s="15" t="s">
        <v>54</v>
      </c>
      <c r="AF858" s="177">
        <v>244211</v>
      </c>
      <c r="AG858" s="177" t="str">
        <f t="shared" si="109"/>
        <v>Pass</v>
      </c>
      <c r="AH858" s="177">
        <f t="shared" si="110"/>
        <v>244211</v>
      </c>
      <c r="AK858" s="176"/>
      <c r="AL858" s="176"/>
    </row>
    <row r="859" spans="1:38" ht="36" customHeight="1" x14ac:dyDescent="0.2">
      <c r="A859" s="14" t="s">
        <v>23</v>
      </c>
      <c r="B859" s="212">
        <v>244181</v>
      </c>
      <c r="C859" s="14" t="s">
        <v>547</v>
      </c>
      <c r="D859" s="14" t="s">
        <v>268</v>
      </c>
      <c r="E859" s="14" t="s">
        <v>14</v>
      </c>
      <c r="F859" s="14" t="s">
        <v>324</v>
      </c>
      <c r="G859" s="179">
        <v>680858</v>
      </c>
      <c r="H859" s="176" t="s">
        <v>772</v>
      </c>
      <c r="I859" s="176" t="s">
        <v>774</v>
      </c>
      <c r="J859" s="176" t="s">
        <v>776</v>
      </c>
      <c r="K859" s="176" t="s">
        <v>2998</v>
      </c>
      <c r="L859" s="40" t="s">
        <v>105</v>
      </c>
      <c r="M859" s="40" t="s">
        <v>341</v>
      </c>
      <c r="N859" s="14" t="s">
        <v>3001</v>
      </c>
      <c r="O859" s="14" t="s">
        <v>1909</v>
      </c>
      <c r="P859" s="14" t="s">
        <v>3005</v>
      </c>
      <c r="Q859" s="14" t="s">
        <v>1913</v>
      </c>
      <c r="R859" s="17">
        <v>850</v>
      </c>
      <c r="S859" s="172" t="s">
        <v>51</v>
      </c>
      <c r="T859" s="17">
        <v>1730</v>
      </c>
      <c r="U859" s="172" t="s">
        <v>51</v>
      </c>
      <c r="V859" s="16">
        <f t="shared" si="111"/>
        <v>244181</v>
      </c>
      <c r="W859" s="16">
        <f t="shared" si="112"/>
        <v>244188</v>
      </c>
      <c r="X859" s="16">
        <f t="shared" si="113"/>
        <v>244183</v>
      </c>
      <c r="Y859" s="15" t="s">
        <v>54</v>
      </c>
      <c r="Z859" s="177">
        <v>244211</v>
      </c>
      <c r="AA859" s="170"/>
      <c r="AB859" s="170"/>
      <c r="AC859" s="170"/>
      <c r="AD859" s="170"/>
      <c r="AE859" s="15" t="s">
        <v>54</v>
      </c>
      <c r="AF859" s="177">
        <v>244211</v>
      </c>
      <c r="AG859" s="177" t="str">
        <f t="shared" si="109"/>
        <v>Pass</v>
      </c>
      <c r="AH859" s="177">
        <f t="shared" si="110"/>
        <v>244211</v>
      </c>
      <c r="AK859" s="176"/>
      <c r="AL859" s="176"/>
    </row>
    <row r="860" spans="1:38" ht="36" customHeight="1" x14ac:dyDescent="0.2">
      <c r="A860" s="14" t="s">
        <v>23</v>
      </c>
      <c r="B860" s="212">
        <v>244181</v>
      </c>
      <c r="C860" s="14" t="s">
        <v>547</v>
      </c>
      <c r="D860" s="14" t="s">
        <v>268</v>
      </c>
      <c r="E860" s="14" t="s">
        <v>14</v>
      </c>
      <c r="F860" s="14" t="s">
        <v>324</v>
      </c>
      <c r="G860" s="179">
        <v>680859</v>
      </c>
      <c r="H860" s="176" t="s">
        <v>772</v>
      </c>
      <c r="I860" s="176" t="s">
        <v>774</v>
      </c>
      <c r="J860" s="176" t="s">
        <v>776</v>
      </c>
      <c r="K860" s="176" t="s">
        <v>2998</v>
      </c>
      <c r="L860" s="40" t="s">
        <v>105</v>
      </c>
      <c r="M860" s="40" t="s">
        <v>341</v>
      </c>
      <c r="N860" s="14" t="s">
        <v>3002</v>
      </c>
      <c r="O860" s="14" t="s">
        <v>548</v>
      </c>
      <c r="P860" s="14" t="s">
        <v>518</v>
      </c>
      <c r="Q860" s="14" t="s">
        <v>549</v>
      </c>
      <c r="R860" s="17">
        <v>292</v>
      </c>
      <c r="S860" s="172" t="s">
        <v>51</v>
      </c>
      <c r="T860" s="17">
        <v>1725</v>
      </c>
      <c r="U860" s="172" t="s">
        <v>51</v>
      </c>
      <c r="V860" s="16">
        <f t="shared" si="111"/>
        <v>244181</v>
      </c>
      <c r="W860" s="16">
        <f t="shared" si="112"/>
        <v>244188</v>
      </c>
      <c r="X860" s="16">
        <f t="shared" si="113"/>
        <v>244183</v>
      </c>
      <c r="Y860" s="15" t="s">
        <v>54</v>
      </c>
      <c r="Z860" s="177">
        <v>244211</v>
      </c>
      <c r="AA860" s="170"/>
      <c r="AB860" s="170"/>
      <c r="AC860" s="170"/>
      <c r="AD860" s="170"/>
      <c r="AE860" s="15" t="s">
        <v>54</v>
      </c>
      <c r="AF860" s="177">
        <v>244211</v>
      </c>
      <c r="AG860" s="177" t="str">
        <f t="shared" si="109"/>
        <v>Pass</v>
      </c>
      <c r="AH860" s="177">
        <f t="shared" si="110"/>
        <v>244211</v>
      </c>
      <c r="AK860" s="176"/>
      <c r="AL860" s="176"/>
    </row>
    <row r="861" spans="1:38" ht="36" customHeight="1" x14ac:dyDescent="0.2">
      <c r="A861" s="14" t="s">
        <v>23</v>
      </c>
      <c r="B861" s="212">
        <v>244181</v>
      </c>
      <c r="C861" s="14" t="s">
        <v>547</v>
      </c>
      <c r="D861" s="14" t="s">
        <v>268</v>
      </c>
      <c r="E861" s="14" t="s">
        <v>14</v>
      </c>
      <c r="F861" s="14" t="s">
        <v>324</v>
      </c>
      <c r="G861" s="179">
        <v>680860</v>
      </c>
      <c r="H861" s="176" t="s">
        <v>719</v>
      </c>
      <c r="I861" s="176" t="s">
        <v>551</v>
      </c>
      <c r="J861" s="176" t="s">
        <v>832</v>
      </c>
      <c r="K861" s="176" t="s">
        <v>2999</v>
      </c>
      <c r="L861" s="40" t="s">
        <v>108</v>
      </c>
      <c r="M861" s="40" t="s">
        <v>341</v>
      </c>
      <c r="N861" s="14" t="s">
        <v>2512</v>
      </c>
      <c r="O861" s="14" t="s">
        <v>3003</v>
      </c>
      <c r="P861" s="14" t="s">
        <v>1526</v>
      </c>
      <c r="Q861" s="14" t="s">
        <v>3006</v>
      </c>
      <c r="R861" s="17">
        <v>500</v>
      </c>
      <c r="S861" s="172" t="s">
        <v>51</v>
      </c>
      <c r="T861" s="17">
        <v>1760</v>
      </c>
      <c r="U861" s="172" t="s">
        <v>51</v>
      </c>
      <c r="V861" s="16">
        <f t="shared" si="111"/>
        <v>244181</v>
      </c>
      <c r="W861" s="16">
        <f t="shared" si="112"/>
        <v>244188</v>
      </c>
      <c r="X861" s="16">
        <f t="shared" si="113"/>
        <v>244183</v>
      </c>
      <c r="Y861" s="15" t="s">
        <v>54</v>
      </c>
      <c r="Z861" s="177">
        <v>244224</v>
      </c>
      <c r="AA861" s="170"/>
      <c r="AB861" s="170"/>
      <c r="AC861" s="170"/>
      <c r="AD861" s="170"/>
      <c r="AE861" s="15" t="s">
        <v>54</v>
      </c>
      <c r="AF861" s="177">
        <v>244225</v>
      </c>
      <c r="AG861" s="177" t="str">
        <f t="shared" si="109"/>
        <v>Pass</v>
      </c>
      <c r="AH861" s="177">
        <f t="shared" si="110"/>
        <v>244225</v>
      </c>
      <c r="AK861" s="176"/>
      <c r="AL861" s="176"/>
    </row>
    <row r="862" spans="1:38" ht="36" customHeight="1" x14ac:dyDescent="0.2">
      <c r="A862" s="14" t="s">
        <v>23</v>
      </c>
      <c r="B862" s="212">
        <v>244182</v>
      </c>
      <c r="C862" s="14" t="s">
        <v>547</v>
      </c>
      <c r="D862" s="14" t="s">
        <v>268</v>
      </c>
      <c r="E862" s="14" t="s">
        <v>14</v>
      </c>
      <c r="F862" s="14" t="s">
        <v>324</v>
      </c>
      <c r="G862" s="179">
        <v>680861</v>
      </c>
      <c r="H862" s="176" t="s">
        <v>1369</v>
      </c>
      <c r="I862" s="176" t="s">
        <v>514</v>
      </c>
      <c r="J862" s="176" t="s">
        <v>337</v>
      </c>
      <c r="K862" s="176" t="s">
        <v>2997</v>
      </c>
      <c r="L862" s="40" t="s">
        <v>106</v>
      </c>
      <c r="M862" s="40" t="s">
        <v>341</v>
      </c>
      <c r="N862" s="14" t="s">
        <v>840</v>
      </c>
      <c r="O862" s="14" t="s">
        <v>548</v>
      </c>
      <c r="P862" s="14" t="s">
        <v>518</v>
      </c>
      <c r="Q862" s="14" t="s">
        <v>549</v>
      </c>
      <c r="R862" s="17">
        <v>250</v>
      </c>
      <c r="S862" s="172" t="s">
        <v>51</v>
      </c>
      <c r="T862" s="17">
        <v>1510</v>
      </c>
      <c r="U862" s="172" t="s">
        <v>51</v>
      </c>
      <c r="V862" s="16">
        <f t="shared" si="111"/>
        <v>244182</v>
      </c>
      <c r="W862" s="16">
        <f t="shared" si="112"/>
        <v>244189</v>
      </c>
      <c r="X862" s="16">
        <f t="shared" si="113"/>
        <v>244184</v>
      </c>
      <c r="Y862" s="15" t="s">
        <v>54</v>
      </c>
      <c r="Z862" s="177">
        <v>244231</v>
      </c>
      <c r="AA862" s="170"/>
      <c r="AB862" s="170"/>
      <c r="AC862" s="170"/>
      <c r="AD862" s="170"/>
      <c r="AE862" s="15" t="s">
        <v>54</v>
      </c>
      <c r="AF862" s="177">
        <v>244235</v>
      </c>
      <c r="AG862" s="177" t="str">
        <f t="shared" si="109"/>
        <v>Pass</v>
      </c>
      <c r="AH862" s="177">
        <f t="shared" si="110"/>
        <v>244235</v>
      </c>
      <c r="AK862" s="176"/>
      <c r="AL862" s="176"/>
    </row>
    <row r="863" spans="1:38" ht="36" customHeight="1" x14ac:dyDescent="0.2">
      <c r="A863" s="14" t="s">
        <v>23</v>
      </c>
      <c r="B863" s="212">
        <v>244182</v>
      </c>
      <c r="C863" s="14" t="s">
        <v>547</v>
      </c>
      <c r="D863" s="14" t="s">
        <v>268</v>
      </c>
      <c r="E863" s="14" t="s">
        <v>14</v>
      </c>
      <c r="F863" s="14" t="s">
        <v>324</v>
      </c>
      <c r="G863" s="179">
        <v>680862</v>
      </c>
      <c r="H863" s="176" t="s">
        <v>1281</v>
      </c>
      <c r="I863" s="176" t="s">
        <v>550</v>
      </c>
      <c r="J863" s="176" t="s">
        <v>128</v>
      </c>
      <c r="K863" s="176" t="s">
        <v>3008</v>
      </c>
      <c r="L863" s="40" t="s">
        <v>45</v>
      </c>
      <c r="M863" s="40" t="s">
        <v>341</v>
      </c>
      <c r="N863" s="14" t="s">
        <v>3010</v>
      </c>
      <c r="O863" s="14" t="s">
        <v>1585</v>
      </c>
      <c r="P863" s="14" t="s">
        <v>3014</v>
      </c>
      <c r="Q863" s="14" t="s">
        <v>1590</v>
      </c>
      <c r="R863" s="17">
        <v>500</v>
      </c>
      <c r="S863" s="172" t="s">
        <v>51</v>
      </c>
      <c r="T863" s="17">
        <v>2220</v>
      </c>
      <c r="U863" s="172" t="s">
        <v>51</v>
      </c>
      <c r="V863" s="16">
        <f t="shared" si="111"/>
        <v>244182</v>
      </c>
      <c r="W863" s="16">
        <f t="shared" si="112"/>
        <v>244189</v>
      </c>
      <c r="X863" s="16">
        <f t="shared" si="113"/>
        <v>244184</v>
      </c>
      <c r="Y863" s="15" t="s">
        <v>54</v>
      </c>
      <c r="Z863" s="177">
        <v>244211</v>
      </c>
      <c r="AA863" s="170"/>
      <c r="AB863" s="170"/>
      <c r="AC863" s="170"/>
      <c r="AD863" s="170"/>
      <c r="AE863" s="15" t="s">
        <v>54</v>
      </c>
      <c r="AF863" s="177">
        <v>244211</v>
      </c>
      <c r="AG863" s="177" t="str">
        <f t="shared" si="109"/>
        <v>Pass</v>
      </c>
      <c r="AH863" s="177">
        <f t="shared" si="110"/>
        <v>244211</v>
      </c>
      <c r="AK863" s="176"/>
      <c r="AL863" s="176"/>
    </row>
    <row r="864" spans="1:38" ht="36" customHeight="1" x14ac:dyDescent="0.2">
      <c r="A864" s="14" t="s">
        <v>23</v>
      </c>
      <c r="B864" s="212">
        <v>244182</v>
      </c>
      <c r="C864" s="14" t="s">
        <v>547</v>
      </c>
      <c r="D864" s="14" t="s">
        <v>268</v>
      </c>
      <c r="E864" s="14" t="s">
        <v>14</v>
      </c>
      <c r="F864" s="14" t="s">
        <v>324</v>
      </c>
      <c r="G864" s="179">
        <v>680863</v>
      </c>
      <c r="H864" s="176" t="s">
        <v>1562</v>
      </c>
      <c r="I864" s="176" t="s">
        <v>551</v>
      </c>
      <c r="J864" s="176" t="s">
        <v>832</v>
      </c>
      <c r="K864" s="176" t="s">
        <v>3009</v>
      </c>
      <c r="L864" s="40" t="s">
        <v>108</v>
      </c>
      <c r="M864" s="40" t="s">
        <v>341</v>
      </c>
      <c r="N864" s="14" t="s">
        <v>3011</v>
      </c>
      <c r="O864" s="14" t="s">
        <v>528</v>
      </c>
      <c r="P864" s="14" t="s">
        <v>313</v>
      </c>
      <c r="Q864" s="14" t="s">
        <v>541</v>
      </c>
      <c r="R864" s="17">
        <v>250</v>
      </c>
      <c r="S864" s="172" t="s">
        <v>51</v>
      </c>
      <c r="T864" s="17">
        <v>3010</v>
      </c>
      <c r="U864" s="172" t="s">
        <v>51</v>
      </c>
      <c r="V864" s="16">
        <f t="shared" si="111"/>
        <v>244182</v>
      </c>
      <c r="W864" s="16">
        <f t="shared" si="112"/>
        <v>244189</v>
      </c>
      <c r="X864" s="16">
        <f t="shared" si="113"/>
        <v>244184</v>
      </c>
      <c r="Y864" s="15" t="s">
        <v>54</v>
      </c>
      <c r="Z864" s="177">
        <v>244224</v>
      </c>
      <c r="AA864" s="170"/>
      <c r="AB864" s="170"/>
      <c r="AC864" s="170"/>
      <c r="AD864" s="170"/>
      <c r="AE864" s="15" t="s">
        <v>54</v>
      </c>
      <c r="AF864" s="177">
        <v>244225</v>
      </c>
      <c r="AG864" s="177" t="str">
        <f t="shared" ref="AG864:AG927" si="117">AE864</f>
        <v>Pass</v>
      </c>
      <c r="AH864" s="177">
        <f t="shared" ref="AH864:AH927" si="118">AF864</f>
        <v>244225</v>
      </c>
      <c r="AK864" s="176"/>
      <c r="AL864" s="176"/>
    </row>
    <row r="865" spans="1:38" ht="36" customHeight="1" x14ac:dyDescent="0.2">
      <c r="A865" s="14" t="s">
        <v>23</v>
      </c>
      <c r="B865" s="212">
        <v>244182</v>
      </c>
      <c r="C865" s="14" t="s">
        <v>547</v>
      </c>
      <c r="D865" s="14" t="s">
        <v>268</v>
      </c>
      <c r="E865" s="14" t="s">
        <v>14</v>
      </c>
      <c r="F865" s="14" t="s">
        <v>324</v>
      </c>
      <c r="G865" s="179">
        <v>680864</v>
      </c>
      <c r="H865" s="176" t="s">
        <v>1562</v>
      </c>
      <c r="I865" s="176" t="s">
        <v>551</v>
      </c>
      <c r="J865" s="176" t="s">
        <v>832</v>
      </c>
      <c r="K865" s="176" t="s">
        <v>3009</v>
      </c>
      <c r="L865" s="40" t="s">
        <v>108</v>
      </c>
      <c r="M865" s="40" t="s">
        <v>341</v>
      </c>
      <c r="N865" s="14" t="s">
        <v>3012</v>
      </c>
      <c r="O865" s="14" t="s">
        <v>1525</v>
      </c>
      <c r="P865" s="14" t="s">
        <v>3015</v>
      </c>
      <c r="Q865" s="14" t="s">
        <v>1530</v>
      </c>
      <c r="R865" s="17">
        <v>311</v>
      </c>
      <c r="S865" s="172" t="s">
        <v>51</v>
      </c>
      <c r="T865" s="17">
        <v>3010</v>
      </c>
      <c r="U865" s="172" t="s">
        <v>51</v>
      </c>
      <c r="V865" s="16">
        <f t="shared" si="111"/>
        <v>244182</v>
      </c>
      <c r="W865" s="16">
        <f t="shared" si="112"/>
        <v>244189</v>
      </c>
      <c r="X865" s="16">
        <f t="shared" si="113"/>
        <v>244184</v>
      </c>
      <c r="Y865" s="15" t="s">
        <v>54</v>
      </c>
      <c r="Z865" s="177">
        <v>244224</v>
      </c>
      <c r="AA865" s="170"/>
      <c r="AB865" s="170"/>
      <c r="AC865" s="170"/>
      <c r="AD865" s="170"/>
      <c r="AE865" s="15" t="s">
        <v>54</v>
      </c>
      <c r="AF865" s="177">
        <v>244225</v>
      </c>
      <c r="AG865" s="177" t="str">
        <f t="shared" si="117"/>
        <v>Pass</v>
      </c>
      <c r="AH865" s="177">
        <f t="shared" si="118"/>
        <v>244225</v>
      </c>
      <c r="AK865" s="176"/>
      <c r="AL865" s="176"/>
    </row>
    <row r="866" spans="1:38" ht="36" customHeight="1" x14ac:dyDescent="0.2">
      <c r="A866" s="14" t="s">
        <v>23</v>
      </c>
      <c r="B866" s="212">
        <v>244182</v>
      </c>
      <c r="C866" s="14" t="s">
        <v>547</v>
      </c>
      <c r="D866" s="14" t="s">
        <v>268</v>
      </c>
      <c r="E866" s="14" t="s">
        <v>14</v>
      </c>
      <c r="F866" s="14" t="s">
        <v>324</v>
      </c>
      <c r="G866" s="179">
        <v>680865</v>
      </c>
      <c r="H866" s="176" t="s">
        <v>1562</v>
      </c>
      <c r="I866" s="176" t="s">
        <v>551</v>
      </c>
      <c r="J866" s="176" t="s">
        <v>832</v>
      </c>
      <c r="K866" s="176" t="s">
        <v>3009</v>
      </c>
      <c r="L866" s="40" t="s">
        <v>108</v>
      </c>
      <c r="M866" s="40" t="s">
        <v>341</v>
      </c>
      <c r="N866" s="14" t="s">
        <v>3013</v>
      </c>
      <c r="O866" s="14" t="s">
        <v>552</v>
      </c>
      <c r="P866" s="14" t="s">
        <v>3016</v>
      </c>
      <c r="Q866" s="14" t="s">
        <v>553</v>
      </c>
      <c r="R866" s="17">
        <v>2000</v>
      </c>
      <c r="S866" s="172" t="s">
        <v>51</v>
      </c>
      <c r="T866" s="17">
        <v>3010</v>
      </c>
      <c r="U866" s="172" t="s">
        <v>51</v>
      </c>
      <c r="V866" s="16">
        <f t="shared" si="111"/>
        <v>244182</v>
      </c>
      <c r="W866" s="16">
        <f t="shared" si="112"/>
        <v>244189</v>
      </c>
      <c r="X866" s="16">
        <f t="shared" si="113"/>
        <v>244184</v>
      </c>
      <c r="Y866" s="15" t="s">
        <v>54</v>
      </c>
      <c r="Z866" s="177">
        <v>244224</v>
      </c>
      <c r="AA866" s="170"/>
      <c r="AB866" s="170"/>
      <c r="AC866" s="170"/>
      <c r="AD866" s="170"/>
      <c r="AE866" s="15" t="s">
        <v>54</v>
      </c>
      <c r="AF866" s="177">
        <v>244225</v>
      </c>
      <c r="AG866" s="177" t="str">
        <f t="shared" si="117"/>
        <v>Pass</v>
      </c>
      <c r="AH866" s="177">
        <f t="shared" si="118"/>
        <v>244225</v>
      </c>
      <c r="AK866" s="176"/>
      <c r="AL866" s="176"/>
    </row>
    <row r="867" spans="1:38" ht="36" customHeight="1" x14ac:dyDescent="0.2">
      <c r="A867" s="14" t="s">
        <v>23</v>
      </c>
      <c r="B867" s="212">
        <v>244183</v>
      </c>
      <c r="C867" s="14" t="s">
        <v>547</v>
      </c>
      <c r="D867" s="14" t="s">
        <v>268</v>
      </c>
      <c r="E867" s="14" t="s">
        <v>14</v>
      </c>
      <c r="F867" s="14" t="s">
        <v>324</v>
      </c>
      <c r="G867" s="179">
        <v>680866</v>
      </c>
      <c r="H867" s="176" t="s">
        <v>2142</v>
      </c>
      <c r="I867" s="176" t="s">
        <v>550</v>
      </c>
      <c r="J867" s="176" t="s">
        <v>128</v>
      </c>
      <c r="K867" s="176" t="s">
        <v>3017</v>
      </c>
      <c r="L867" s="40" t="s">
        <v>45</v>
      </c>
      <c r="M867" s="40" t="s">
        <v>341</v>
      </c>
      <c r="N867" s="14" t="s">
        <v>3021</v>
      </c>
      <c r="O867" s="14" t="s">
        <v>1722</v>
      </c>
      <c r="P867" s="14" t="s">
        <v>3026</v>
      </c>
      <c r="Q867" s="14" t="s">
        <v>1724</v>
      </c>
      <c r="R867" s="17">
        <v>950</v>
      </c>
      <c r="S867" s="172" t="s">
        <v>51</v>
      </c>
      <c r="T867" s="17">
        <v>2460</v>
      </c>
      <c r="U867" s="172" t="s">
        <v>51</v>
      </c>
      <c r="V867" s="16">
        <f t="shared" si="111"/>
        <v>244183</v>
      </c>
      <c r="W867" s="16">
        <f t="shared" si="112"/>
        <v>244190</v>
      </c>
      <c r="X867" s="16">
        <f t="shared" si="113"/>
        <v>244185</v>
      </c>
      <c r="Y867" s="15"/>
      <c r="Z867" s="177"/>
      <c r="AA867" s="170"/>
      <c r="AB867" s="170"/>
      <c r="AC867" s="170"/>
      <c r="AD867" s="170"/>
      <c r="AE867" s="15"/>
      <c r="AF867" s="177"/>
      <c r="AG867" s="177">
        <f t="shared" si="117"/>
        <v>0</v>
      </c>
      <c r="AH867" s="177">
        <f t="shared" si="118"/>
        <v>0</v>
      </c>
      <c r="AK867" s="176"/>
      <c r="AL867" s="176"/>
    </row>
    <row r="868" spans="1:38" ht="36" customHeight="1" x14ac:dyDescent="0.2">
      <c r="A868" s="14" t="s">
        <v>23</v>
      </c>
      <c r="B868" s="212">
        <v>244183</v>
      </c>
      <c r="C868" s="14" t="s">
        <v>547</v>
      </c>
      <c r="D868" s="14" t="s">
        <v>268</v>
      </c>
      <c r="E868" s="14" t="s">
        <v>14</v>
      </c>
      <c r="F868" s="14" t="s">
        <v>324</v>
      </c>
      <c r="G868" s="179">
        <v>680867</v>
      </c>
      <c r="H868" s="176" t="s">
        <v>1457</v>
      </c>
      <c r="I868" s="176" t="s">
        <v>551</v>
      </c>
      <c r="J868" s="176" t="s">
        <v>832</v>
      </c>
      <c r="K868" s="176" t="s">
        <v>3018</v>
      </c>
      <c r="L868" s="40" t="s">
        <v>108</v>
      </c>
      <c r="M868" s="40" t="s">
        <v>341</v>
      </c>
      <c r="N868" s="14" t="s">
        <v>3022</v>
      </c>
      <c r="O868" s="14" t="s">
        <v>548</v>
      </c>
      <c r="P868" s="14" t="s">
        <v>518</v>
      </c>
      <c r="Q868" s="14" t="s">
        <v>549</v>
      </c>
      <c r="R868" s="17">
        <v>328</v>
      </c>
      <c r="S868" s="172" t="s">
        <v>51</v>
      </c>
      <c r="T868" s="17">
        <v>2538</v>
      </c>
      <c r="U868" s="172" t="s">
        <v>51</v>
      </c>
      <c r="V868" s="16">
        <f t="shared" si="111"/>
        <v>244183</v>
      </c>
      <c r="W868" s="16">
        <f t="shared" si="112"/>
        <v>244190</v>
      </c>
      <c r="X868" s="16">
        <f t="shared" si="113"/>
        <v>244185</v>
      </c>
      <c r="Y868" s="15" t="s">
        <v>54</v>
      </c>
      <c r="Z868" s="177">
        <v>244224</v>
      </c>
      <c r="AA868" s="170"/>
      <c r="AB868" s="170"/>
      <c r="AC868" s="170"/>
      <c r="AD868" s="170"/>
      <c r="AE868" s="15" t="s">
        <v>54</v>
      </c>
      <c r="AF868" s="177">
        <v>244225</v>
      </c>
      <c r="AG868" s="177" t="str">
        <f t="shared" si="117"/>
        <v>Pass</v>
      </c>
      <c r="AH868" s="177">
        <f t="shared" si="118"/>
        <v>244225</v>
      </c>
      <c r="AK868" s="176"/>
      <c r="AL868" s="176"/>
    </row>
    <row r="869" spans="1:38" ht="36" customHeight="1" x14ac:dyDescent="0.2">
      <c r="A869" s="14" t="s">
        <v>23</v>
      </c>
      <c r="B869" s="212">
        <v>244183</v>
      </c>
      <c r="C869" s="14" t="s">
        <v>547</v>
      </c>
      <c r="D869" s="14" t="s">
        <v>268</v>
      </c>
      <c r="E869" s="14" t="s">
        <v>14</v>
      </c>
      <c r="F869" s="14" t="s">
        <v>324</v>
      </c>
      <c r="G869" s="179">
        <v>680868</v>
      </c>
      <c r="H869" s="176" t="s">
        <v>824</v>
      </c>
      <c r="I869" s="176" t="s">
        <v>774</v>
      </c>
      <c r="J869" s="176" t="s">
        <v>776</v>
      </c>
      <c r="K869" s="176" t="s">
        <v>3019</v>
      </c>
      <c r="L869" s="40" t="s">
        <v>105</v>
      </c>
      <c r="M869" s="40" t="s">
        <v>341</v>
      </c>
      <c r="N869" s="14" t="s">
        <v>3023</v>
      </c>
      <c r="O869" s="14" t="s">
        <v>552</v>
      </c>
      <c r="P869" s="14" t="s">
        <v>518</v>
      </c>
      <c r="Q869" s="14" t="s">
        <v>553</v>
      </c>
      <c r="R869" s="17">
        <v>675</v>
      </c>
      <c r="S869" s="172" t="s">
        <v>51</v>
      </c>
      <c r="T869" s="17">
        <v>1256</v>
      </c>
      <c r="U869" s="172" t="s">
        <v>51</v>
      </c>
      <c r="V869" s="16">
        <f t="shared" si="111"/>
        <v>244183</v>
      </c>
      <c r="W869" s="16">
        <f t="shared" si="112"/>
        <v>244190</v>
      </c>
      <c r="X869" s="16">
        <f t="shared" si="113"/>
        <v>244185</v>
      </c>
      <c r="Y869" s="15"/>
      <c r="Z869" s="177"/>
      <c r="AA869" s="170"/>
      <c r="AB869" s="170"/>
      <c r="AC869" s="170"/>
      <c r="AD869" s="170"/>
      <c r="AE869" s="15"/>
      <c r="AF869" s="177"/>
      <c r="AG869" s="177">
        <f t="shared" si="117"/>
        <v>0</v>
      </c>
      <c r="AH869" s="177">
        <f t="shared" si="118"/>
        <v>0</v>
      </c>
      <c r="AK869" s="176"/>
      <c r="AL869" s="176"/>
    </row>
    <row r="870" spans="1:38" ht="36" customHeight="1" x14ac:dyDescent="0.2">
      <c r="A870" s="14" t="s">
        <v>23</v>
      </c>
      <c r="B870" s="212">
        <v>244183</v>
      </c>
      <c r="C870" s="14" t="s">
        <v>547</v>
      </c>
      <c r="D870" s="14" t="s">
        <v>268</v>
      </c>
      <c r="E870" s="14" t="s">
        <v>14</v>
      </c>
      <c r="F870" s="14" t="s">
        <v>324</v>
      </c>
      <c r="G870" s="179">
        <v>680869</v>
      </c>
      <c r="H870" s="176" t="s">
        <v>824</v>
      </c>
      <c r="I870" s="176" t="s">
        <v>774</v>
      </c>
      <c r="J870" s="176" t="s">
        <v>776</v>
      </c>
      <c r="K870" s="176" t="s">
        <v>3019</v>
      </c>
      <c r="L870" s="40" t="s">
        <v>105</v>
      </c>
      <c r="M870" s="40" t="s">
        <v>341</v>
      </c>
      <c r="N870" s="14" t="s">
        <v>1767</v>
      </c>
      <c r="O870" s="14" t="s">
        <v>548</v>
      </c>
      <c r="P870" s="14" t="s">
        <v>518</v>
      </c>
      <c r="Q870" s="14" t="s">
        <v>549</v>
      </c>
      <c r="R870" s="17">
        <v>152</v>
      </c>
      <c r="S870" s="172" t="s">
        <v>51</v>
      </c>
      <c r="T870" s="17">
        <v>1324</v>
      </c>
      <c r="U870" s="172" t="s">
        <v>51</v>
      </c>
      <c r="V870" s="16">
        <f t="shared" si="111"/>
        <v>244183</v>
      </c>
      <c r="W870" s="16">
        <f t="shared" si="112"/>
        <v>244190</v>
      </c>
      <c r="X870" s="16">
        <f t="shared" si="113"/>
        <v>244185</v>
      </c>
      <c r="Y870" s="15"/>
      <c r="Z870" s="177"/>
      <c r="AA870" s="170"/>
      <c r="AB870" s="170"/>
      <c r="AC870" s="170"/>
      <c r="AD870" s="170"/>
      <c r="AE870" s="15"/>
      <c r="AF870" s="177"/>
      <c r="AG870" s="177">
        <f t="shared" si="117"/>
        <v>0</v>
      </c>
      <c r="AH870" s="177">
        <f t="shared" si="118"/>
        <v>0</v>
      </c>
      <c r="AK870" s="176"/>
      <c r="AL870" s="176"/>
    </row>
    <row r="871" spans="1:38" ht="36" customHeight="1" x14ac:dyDescent="0.2">
      <c r="A871" s="14" t="s">
        <v>23</v>
      </c>
      <c r="B871" s="212">
        <v>244183</v>
      </c>
      <c r="C871" s="14" t="s">
        <v>547</v>
      </c>
      <c r="D871" s="14" t="s">
        <v>268</v>
      </c>
      <c r="E871" s="14" t="s">
        <v>14</v>
      </c>
      <c r="F871" s="14" t="s">
        <v>324</v>
      </c>
      <c r="G871" s="179">
        <v>680870</v>
      </c>
      <c r="H871" s="176" t="s">
        <v>2901</v>
      </c>
      <c r="I871" s="176" t="s">
        <v>612</v>
      </c>
      <c r="J871" s="176" t="s">
        <v>727</v>
      </c>
      <c r="K871" s="176" t="s">
        <v>3020</v>
      </c>
      <c r="L871" s="40" t="s">
        <v>46</v>
      </c>
      <c r="M871" s="40" t="s">
        <v>341</v>
      </c>
      <c r="N871" s="14" t="s">
        <v>1384</v>
      </c>
      <c r="O871" s="14" t="s">
        <v>548</v>
      </c>
      <c r="P871" s="14" t="s">
        <v>518</v>
      </c>
      <c r="Q871" s="14" t="s">
        <v>549</v>
      </c>
      <c r="R871" s="17">
        <v>225</v>
      </c>
      <c r="S871" s="172" t="s">
        <v>51</v>
      </c>
      <c r="T871" s="17">
        <v>1820</v>
      </c>
      <c r="U871" s="172" t="s">
        <v>51</v>
      </c>
      <c r="V871" s="16">
        <f t="shared" si="111"/>
        <v>244183</v>
      </c>
      <c r="W871" s="16">
        <f t="shared" si="112"/>
        <v>244190</v>
      </c>
      <c r="X871" s="16">
        <f t="shared" si="113"/>
        <v>244185</v>
      </c>
      <c r="Y871" s="15"/>
      <c r="Z871" s="177"/>
      <c r="AA871" s="170"/>
      <c r="AB871" s="170"/>
      <c r="AC871" s="170"/>
      <c r="AD871" s="170"/>
      <c r="AE871" s="15"/>
      <c r="AF871" s="177"/>
      <c r="AG871" s="177">
        <f t="shared" si="117"/>
        <v>0</v>
      </c>
      <c r="AH871" s="177">
        <f t="shared" si="118"/>
        <v>0</v>
      </c>
      <c r="AK871" s="176"/>
      <c r="AL871" s="176"/>
    </row>
    <row r="872" spans="1:38" ht="36" customHeight="1" x14ac:dyDescent="0.2">
      <c r="A872" s="14" t="s">
        <v>23</v>
      </c>
      <c r="B872" s="212">
        <v>244183</v>
      </c>
      <c r="C872" s="14" t="s">
        <v>547</v>
      </c>
      <c r="D872" s="14" t="s">
        <v>268</v>
      </c>
      <c r="E872" s="14" t="s">
        <v>14</v>
      </c>
      <c r="F872" s="14" t="s">
        <v>324</v>
      </c>
      <c r="G872" s="179">
        <v>680871</v>
      </c>
      <c r="H872" s="176" t="s">
        <v>2901</v>
      </c>
      <c r="I872" s="176" t="s">
        <v>612</v>
      </c>
      <c r="J872" s="176" t="s">
        <v>727</v>
      </c>
      <c r="K872" s="176" t="s">
        <v>3020</v>
      </c>
      <c r="L872" s="40" t="s">
        <v>46</v>
      </c>
      <c r="M872" s="40" t="s">
        <v>341</v>
      </c>
      <c r="N872" s="14" t="s">
        <v>3024</v>
      </c>
      <c r="O872" s="14" t="s">
        <v>543</v>
      </c>
      <c r="P872" s="14" t="s">
        <v>517</v>
      </c>
      <c r="Q872" s="14" t="s">
        <v>529</v>
      </c>
      <c r="R872" s="17">
        <v>400</v>
      </c>
      <c r="S872" s="172" t="s">
        <v>51</v>
      </c>
      <c r="T872" s="17">
        <v>1500</v>
      </c>
      <c r="U872" s="172" t="s">
        <v>51</v>
      </c>
      <c r="V872" s="16">
        <f t="shared" si="111"/>
        <v>244183</v>
      </c>
      <c r="W872" s="16">
        <f t="shared" si="112"/>
        <v>244190</v>
      </c>
      <c r="X872" s="16">
        <f t="shared" si="113"/>
        <v>244185</v>
      </c>
      <c r="Y872" s="15"/>
      <c r="Z872" s="177"/>
      <c r="AA872" s="170"/>
      <c r="AB872" s="170"/>
      <c r="AC872" s="170"/>
      <c r="AD872" s="170"/>
      <c r="AE872" s="15"/>
      <c r="AF872" s="177"/>
      <c r="AG872" s="177">
        <f t="shared" si="117"/>
        <v>0</v>
      </c>
      <c r="AH872" s="177">
        <f t="shared" si="118"/>
        <v>0</v>
      </c>
      <c r="AK872" s="176"/>
      <c r="AL872" s="176"/>
    </row>
    <row r="873" spans="1:38" ht="36" customHeight="1" x14ac:dyDescent="0.2">
      <c r="A873" s="14" t="s">
        <v>23</v>
      </c>
      <c r="B873" s="212">
        <v>244183</v>
      </c>
      <c r="C873" s="14" t="s">
        <v>547</v>
      </c>
      <c r="D873" s="14" t="s">
        <v>268</v>
      </c>
      <c r="E873" s="14" t="s">
        <v>14</v>
      </c>
      <c r="F873" s="14" t="s">
        <v>324</v>
      </c>
      <c r="G873" s="179">
        <v>680872</v>
      </c>
      <c r="H873" s="176" t="s">
        <v>2901</v>
      </c>
      <c r="I873" s="176" t="s">
        <v>612</v>
      </c>
      <c r="J873" s="176" t="s">
        <v>727</v>
      </c>
      <c r="K873" s="176" t="s">
        <v>3020</v>
      </c>
      <c r="L873" s="40" t="s">
        <v>46</v>
      </c>
      <c r="M873" s="40" t="s">
        <v>341</v>
      </c>
      <c r="N873" s="14" t="s">
        <v>3025</v>
      </c>
      <c r="O873" s="14" t="s">
        <v>552</v>
      </c>
      <c r="P873" s="14" t="s">
        <v>519</v>
      </c>
      <c r="Q873" s="14" t="s">
        <v>553</v>
      </c>
      <c r="R873" s="17">
        <v>275</v>
      </c>
      <c r="S873" s="172" t="s">
        <v>51</v>
      </c>
      <c r="T873" s="17">
        <v>1500</v>
      </c>
      <c r="U873" s="172" t="s">
        <v>51</v>
      </c>
      <c r="V873" s="16">
        <f t="shared" si="111"/>
        <v>244183</v>
      </c>
      <c r="W873" s="16">
        <f t="shared" si="112"/>
        <v>244190</v>
      </c>
      <c r="X873" s="16">
        <f t="shared" si="113"/>
        <v>244185</v>
      </c>
      <c r="Y873" s="15"/>
      <c r="Z873" s="177"/>
      <c r="AA873" s="170"/>
      <c r="AB873" s="170"/>
      <c r="AC873" s="170"/>
      <c r="AD873" s="170"/>
      <c r="AE873" s="15"/>
      <c r="AF873" s="177"/>
      <c r="AG873" s="177">
        <f t="shared" si="117"/>
        <v>0</v>
      </c>
      <c r="AH873" s="177">
        <f t="shared" si="118"/>
        <v>0</v>
      </c>
      <c r="AK873" s="176"/>
      <c r="AL873" s="176"/>
    </row>
    <row r="874" spans="1:38" ht="36" customHeight="1" x14ac:dyDescent="0.2">
      <c r="A874" s="14" t="s">
        <v>23</v>
      </c>
      <c r="B874" s="212">
        <v>244184</v>
      </c>
      <c r="C874" s="14" t="s">
        <v>547</v>
      </c>
      <c r="D874" s="14" t="s">
        <v>268</v>
      </c>
      <c r="E874" s="14" t="s">
        <v>14</v>
      </c>
      <c r="F874" s="14" t="s">
        <v>324</v>
      </c>
      <c r="G874" s="179">
        <v>680873</v>
      </c>
      <c r="H874" s="176" t="s">
        <v>3027</v>
      </c>
      <c r="I874" s="176" t="s">
        <v>3028</v>
      </c>
      <c r="J874" s="176" t="s">
        <v>290</v>
      </c>
      <c r="K874" s="176" t="s">
        <v>3029</v>
      </c>
      <c r="L874" s="40" t="s">
        <v>46</v>
      </c>
      <c r="M874" s="40" t="s">
        <v>341</v>
      </c>
      <c r="N874" s="14" t="s">
        <v>3036</v>
      </c>
      <c r="O874" s="14" t="s">
        <v>1909</v>
      </c>
      <c r="P874" s="14" t="s">
        <v>3037</v>
      </c>
      <c r="Q874" s="14" t="s">
        <v>1913</v>
      </c>
      <c r="R874" s="17">
        <v>175</v>
      </c>
      <c r="S874" s="172" t="s">
        <v>51</v>
      </c>
      <c r="T874" s="17"/>
      <c r="U874" s="14"/>
      <c r="V874" s="16">
        <f t="shared" si="111"/>
        <v>244184</v>
      </c>
      <c r="W874" s="16">
        <f t="shared" si="112"/>
        <v>244191</v>
      </c>
      <c r="X874" s="16">
        <f t="shared" si="113"/>
        <v>244186</v>
      </c>
      <c r="Y874" s="15"/>
      <c r="Z874" s="177"/>
      <c r="AA874" s="170"/>
      <c r="AB874" s="170"/>
      <c r="AC874" s="170"/>
      <c r="AD874" s="170"/>
      <c r="AE874" s="15"/>
      <c r="AF874" s="177"/>
      <c r="AG874" s="177">
        <f t="shared" si="117"/>
        <v>0</v>
      </c>
      <c r="AH874" s="177">
        <f t="shared" si="118"/>
        <v>0</v>
      </c>
      <c r="AK874" s="176"/>
      <c r="AL874" s="176"/>
    </row>
    <row r="875" spans="1:38" ht="36" customHeight="1" x14ac:dyDescent="0.2">
      <c r="A875" s="14" t="s">
        <v>23</v>
      </c>
      <c r="B875" s="212">
        <v>244184</v>
      </c>
      <c r="C875" s="14" t="s">
        <v>547</v>
      </c>
      <c r="D875" s="14" t="s">
        <v>268</v>
      </c>
      <c r="E875" s="14" t="s">
        <v>14</v>
      </c>
      <c r="F875" s="14" t="s">
        <v>324</v>
      </c>
      <c r="G875" s="179">
        <v>680874</v>
      </c>
      <c r="H875" s="176" t="s">
        <v>3027</v>
      </c>
      <c r="I875" s="176" t="s">
        <v>3028</v>
      </c>
      <c r="J875" s="176" t="s">
        <v>290</v>
      </c>
      <c r="K875" s="176" t="s">
        <v>3029</v>
      </c>
      <c r="L875" s="40" t="s">
        <v>46</v>
      </c>
      <c r="M875" s="40" t="s">
        <v>341</v>
      </c>
      <c r="N875" s="14" t="s">
        <v>3038</v>
      </c>
      <c r="O875" s="14" t="s">
        <v>543</v>
      </c>
      <c r="P875" s="14" t="s">
        <v>3039</v>
      </c>
      <c r="Q875" s="14" t="s">
        <v>529</v>
      </c>
      <c r="R875" s="17">
        <v>700</v>
      </c>
      <c r="S875" s="172" t="s">
        <v>51</v>
      </c>
      <c r="T875" s="17">
        <v>2550</v>
      </c>
      <c r="U875" s="14" t="s">
        <v>51</v>
      </c>
      <c r="V875" s="16">
        <f t="shared" si="111"/>
        <v>244184</v>
      </c>
      <c r="W875" s="16">
        <f t="shared" si="112"/>
        <v>244191</v>
      </c>
      <c r="X875" s="16">
        <f t="shared" si="113"/>
        <v>244186</v>
      </c>
      <c r="Y875" s="15"/>
      <c r="Z875" s="177"/>
      <c r="AA875" s="170"/>
      <c r="AB875" s="170"/>
      <c r="AC875" s="170"/>
      <c r="AD875" s="170"/>
      <c r="AE875" s="15"/>
      <c r="AF875" s="177"/>
      <c r="AG875" s="177">
        <f t="shared" si="117"/>
        <v>0</v>
      </c>
      <c r="AH875" s="177">
        <f t="shared" si="118"/>
        <v>0</v>
      </c>
      <c r="AK875" s="176"/>
      <c r="AL875" s="176"/>
    </row>
    <row r="876" spans="1:38" ht="36" customHeight="1" x14ac:dyDescent="0.2">
      <c r="A876" s="14" t="s">
        <v>23</v>
      </c>
      <c r="B876" s="212">
        <v>244184</v>
      </c>
      <c r="C876" s="14" t="s">
        <v>547</v>
      </c>
      <c r="D876" s="14" t="s">
        <v>268</v>
      </c>
      <c r="E876" s="14" t="s">
        <v>14</v>
      </c>
      <c r="F876" s="14" t="s">
        <v>324</v>
      </c>
      <c r="G876" s="179">
        <v>680875</v>
      </c>
      <c r="H876" s="176" t="s">
        <v>3027</v>
      </c>
      <c r="I876" s="176" t="s">
        <v>3028</v>
      </c>
      <c r="J876" s="176" t="s">
        <v>290</v>
      </c>
      <c r="K876" s="176" t="s">
        <v>3029</v>
      </c>
      <c r="L876" s="40" t="s">
        <v>46</v>
      </c>
      <c r="M876" s="40" t="s">
        <v>341</v>
      </c>
      <c r="N876" s="14" t="s">
        <v>3032</v>
      </c>
      <c r="O876" s="14" t="s">
        <v>548</v>
      </c>
      <c r="P876" s="14" t="s">
        <v>518</v>
      </c>
      <c r="Q876" s="14" t="s">
        <v>549</v>
      </c>
      <c r="R876" s="17">
        <v>500</v>
      </c>
      <c r="S876" s="172" t="s">
        <v>51</v>
      </c>
      <c r="T876" s="17"/>
      <c r="U876" s="14"/>
      <c r="V876" s="16">
        <f t="shared" ref="V876:V939" si="119">B876</f>
        <v>244184</v>
      </c>
      <c r="W876" s="16">
        <f t="shared" ref="W876:W939" si="120">B876+7</f>
        <v>244191</v>
      </c>
      <c r="X876" s="16">
        <f t="shared" ref="X876:X939" si="121">V876+2</f>
        <v>244186</v>
      </c>
      <c r="Y876" s="15"/>
      <c r="Z876" s="177"/>
      <c r="AA876" s="170"/>
      <c r="AB876" s="170"/>
      <c r="AC876" s="170"/>
      <c r="AD876" s="170"/>
      <c r="AE876" s="15"/>
      <c r="AF876" s="177"/>
      <c r="AG876" s="177">
        <f t="shared" si="117"/>
        <v>0</v>
      </c>
      <c r="AH876" s="177">
        <f t="shared" si="118"/>
        <v>0</v>
      </c>
      <c r="AK876" s="176"/>
      <c r="AL876" s="176"/>
    </row>
    <row r="877" spans="1:38" ht="36" customHeight="1" x14ac:dyDescent="0.2">
      <c r="A877" s="14" t="s">
        <v>23</v>
      </c>
      <c r="B877" s="212">
        <v>244184</v>
      </c>
      <c r="C877" s="14" t="s">
        <v>547</v>
      </c>
      <c r="D877" s="14" t="s">
        <v>268</v>
      </c>
      <c r="E877" s="14" t="s">
        <v>14</v>
      </c>
      <c r="F877" s="14" t="s">
        <v>324</v>
      </c>
      <c r="G877" s="179">
        <v>680876</v>
      </c>
      <c r="H877" s="176" t="s">
        <v>1041</v>
      </c>
      <c r="I877" s="176" t="s">
        <v>908</v>
      </c>
      <c r="J877" s="176" t="s">
        <v>133</v>
      </c>
      <c r="K877" s="176" t="s">
        <v>3030</v>
      </c>
      <c r="L877" s="40" t="s">
        <v>45</v>
      </c>
      <c r="M877" s="40" t="s">
        <v>341</v>
      </c>
      <c r="N877" s="14" t="s">
        <v>2806</v>
      </c>
      <c r="O877" s="14" t="s">
        <v>528</v>
      </c>
      <c r="P877" s="14" t="s">
        <v>2813</v>
      </c>
      <c r="Q877" s="14" t="s">
        <v>541</v>
      </c>
      <c r="R877" s="17">
        <v>350</v>
      </c>
      <c r="S877" s="172" t="s">
        <v>51</v>
      </c>
      <c r="T877" s="17">
        <v>1970</v>
      </c>
      <c r="U877" s="14" t="s">
        <v>51</v>
      </c>
      <c r="V877" s="16">
        <f t="shared" si="119"/>
        <v>244184</v>
      </c>
      <c r="W877" s="16">
        <f t="shared" si="120"/>
        <v>244191</v>
      </c>
      <c r="X877" s="16">
        <f t="shared" si="121"/>
        <v>244186</v>
      </c>
      <c r="Y877" s="15"/>
      <c r="Z877" s="177"/>
      <c r="AA877" s="170"/>
      <c r="AB877" s="170"/>
      <c r="AC877" s="170"/>
      <c r="AD877" s="170"/>
      <c r="AE877" s="15"/>
      <c r="AF877" s="177"/>
      <c r="AG877" s="177">
        <f t="shared" si="117"/>
        <v>0</v>
      </c>
      <c r="AH877" s="177">
        <f t="shared" si="118"/>
        <v>0</v>
      </c>
      <c r="AK877" s="176"/>
      <c r="AL877" s="176"/>
    </row>
    <row r="878" spans="1:38" ht="36" customHeight="1" x14ac:dyDescent="0.2">
      <c r="A878" s="14" t="s">
        <v>23</v>
      </c>
      <c r="B878" s="212">
        <v>244184</v>
      </c>
      <c r="C878" s="14" t="s">
        <v>547</v>
      </c>
      <c r="D878" s="14" t="s">
        <v>268</v>
      </c>
      <c r="E878" s="14" t="s">
        <v>14</v>
      </c>
      <c r="F878" s="14" t="s">
        <v>324</v>
      </c>
      <c r="G878" s="179">
        <v>680877</v>
      </c>
      <c r="H878" s="176" t="s">
        <v>3027</v>
      </c>
      <c r="I878" s="176" t="s">
        <v>3028</v>
      </c>
      <c r="J878" s="176" t="s">
        <v>290</v>
      </c>
      <c r="K878" s="176" t="s">
        <v>3029</v>
      </c>
      <c r="L878" s="40" t="s">
        <v>46</v>
      </c>
      <c r="M878" s="40" t="s">
        <v>341</v>
      </c>
      <c r="N878" s="14" t="s">
        <v>3033</v>
      </c>
      <c r="O878" s="14" t="s">
        <v>552</v>
      </c>
      <c r="P878" s="14" t="s">
        <v>1660</v>
      </c>
      <c r="Q878" s="14" t="s">
        <v>553</v>
      </c>
      <c r="R878" s="17">
        <v>175</v>
      </c>
      <c r="S878" s="172" t="s">
        <v>51</v>
      </c>
      <c r="T878" s="17">
        <v>2610</v>
      </c>
      <c r="U878" s="14" t="s">
        <v>51</v>
      </c>
      <c r="V878" s="16">
        <f t="shared" si="119"/>
        <v>244184</v>
      </c>
      <c r="W878" s="16">
        <f t="shared" si="120"/>
        <v>244191</v>
      </c>
      <c r="X878" s="16">
        <f t="shared" si="121"/>
        <v>244186</v>
      </c>
      <c r="Y878" s="15"/>
      <c r="Z878" s="177"/>
      <c r="AA878" s="170"/>
      <c r="AB878" s="170"/>
      <c r="AC878" s="170"/>
      <c r="AD878" s="170"/>
      <c r="AE878" s="15"/>
      <c r="AF878" s="177"/>
      <c r="AG878" s="177">
        <f t="shared" si="117"/>
        <v>0</v>
      </c>
      <c r="AH878" s="177">
        <f t="shared" si="118"/>
        <v>0</v>
      </c>
      <c r="AK878" s="176"/>
      <c r="AL878" s="176"/>
    </row>
    <row r="879" spans="1:38" ht="36" customHeight="1" x14ac:dyDescent="0.2">
      <c r="A879" s="14" t="s">
        <v>23</v>
      </c>
      <c r="B879" s="212">
        <v>244184</v>
      </c>
      <c r="C879" s="14" t="s">
        <v>547</v>
      </c>
      <c r="D879" s="14" t="s">
        <v>268</v>
      </c>
      <c r="E879" s="14" t="s">
        <v>14</v>
      </c>
      <c r="F879" s="14" t="s">
        <v>324</v>
      </c>
      <c r="G879" s="179">
        <v>680878</v>
      </c>
      <c r="H879" s="176" t="s">
        <v>904</v>
      </c>
      <c r="I879" s="176" t="s">
        <v>908</v>
      </c>
      <c r="J879" s="176" t="s">
        <v>133</v>
      </c>
      <c r="K879" s="176" t="s">
        <v>3031</v>
      </c>
      <c r="L879" s="40" t="s">
        <v>45</v>
      </c>
      <c r="M879" s="40" t="s">
        <v>341</v>
      </c>
      <c r="N879" s="14" t="s">
        <v>3034</v>
      </c>
      <c r="O879" s="14" t="s">
        <v>528</v>
      </c>
      <c r="P879" s="14" t="s">
        <v>2104</v>
      </c>
      <c r="Q879" s="14" t="s">
        <v>541</v>
      </c>
      <c r="R879" s="17">
        <v>700</v>
      </c>
      <c r="S879" s="172" t="s">
        <v>51</v>
      </c>
      <c r="T879" s="17">
        <v>1970</v>
      </c>
      <c r="U879" s="14" t="s">
        <v>51</v>
      </c>
      <c r="V879" s="16">
        <f t="shared" si="119"/>
        <v>244184</v>
      </c>
      <c r="W879" s="16">
        <f t="shared" si="120"/>
        <v>244191</v>
      </c>
      <c r="X879" s="16">
        <f t="shared" si="121"/>
        <v>244186</v>
      </c>
      <c r="Y879" s="15"/>
      <c r="Z879" s="177"/>
      <c r="AA879" s="170"/>
      <c r="AB879" s="170"/>
      <c r="AC879" s="170"/>
      <c r="AD879" s="170"/>
      <c r="AE879" s="15"/>
      <c r="AF879" s="177"/>
      <c r="AG879" s="177">
        <f t="shared" si="117"/>
        <v>0</v>
      </c>
      <c r="AH879" s="177">
        <f t="shared" si="118"/>
        <v>0</v>
      </c>
      <c r="AK879" s="176"/>
      <c r="AL879" s="176"/>
    </row>
    <row r="880" spans="1:38" ht="36" customHeight="1" x14ac:dyDescent="0.2">
      <c r="A880" s="14" t="s">
        <v>23</v>
      </c>
      <c r="B880" s="212">
        <v>244184</v>
      </c>
      <c r="C880" s="14" t="s">
        <v>547</v>
      </c>
      <c r="D880" s="14" t="s">
        <v>268</v>
      </c>
      <c r="E880" s="14" t="s">
        <v>14</v>
      </c>
      <c r="F880" s="14" t="s">
        <v>324</v>
      </c>
      <c r="G880" s="179">
        <v>680879</v>
      </c>
      <c r="H880" s="176" t="s">
        <v>3027</v>
      </c>
      <c r="I880" s="176" t="s">
        <v>3028</v>
      </c>
      <c r="J880" s="176" t="s">
        <v>290</v>
      </c>
      <c r="K880" s="176" t="s">
        <v>3029</v>
      </c>
      <c r="L880" s="40" t="s">
        <v>46</v>
      </c>
      <c r="M880" s="40" t="s">
        <v>341</v>
      </c>
      <c r="N880" s="14" t="s">
        <v>3035</v>
      </c>
      <c r="O880" s="14" t="s">
        <v>548</v>
      </c>
      <c r="P880" s="14" t="s">
        <v>518</v>
      </c>
      <c r="Q880" s="14" t="s">
        <v>549</v>
      </c>
      <c r="R880" s="17">
        <v>215</v>
      </c>
      <c r="S880" s="172" t="s">
        <v>51</v>
      </c>
      <c r="T880" s="17">
        <v>1550</v>
      </c>
      <c r="U880" s="14" t="s">
        <v>51</v>
      </c>
      <c r="V880" s="16">
        <f t="shared" si="119"/>
        <v>244184</v>
      </c>
      <c r="W880" s="16">
        <f t="shared" si="120"/>
        <v>244191</v>
      </c>
      <c r="X880" s="16">
        <f t="shared" si="121"/>
        <v>244186</v>
      </c>
      <c r="Y880" s="15"/>
      <c r="Z880" s="177"/>
      <c r="AA880" s="170"/>
      <c r="AB880" s="170"/>
      <c r="AC880" s="170"/>
      <c r="AD880" s="170"/>
      <c r="AE880" s="15"/>
      <c r="AF880" s="177"/>
      <c r="AG880" s="177">
        <f t="shared" si="117"/>
        <v>0</v>
      </c>
      <c r="AH880" s="177">
        <f t="shared" si="118"/>
        <v>0</v>
      </c>
      <c r="AK880" s="176"/>
      <c r="AL880" s="176"/>
    </row>
    <row r="881" spans="1:38" ht="36" customHeight="1" x14ac:dyDescent="0.2">
      <c r="A881" s="14" t="s">
        <v>23</v>
      </c>
      <c r="B881" s="212">
        <v>244186</v>
      </c>
      <c r="C881" s="14" t="s">
        <v>547</v>
      </c>
      <c r="D881" s="14" t="s">
        <v>268</v>
      </c>
      <c r="E881" s="14" t="s">
        <v>14</v>
      </c>
      <c r="F881" s="14" t="s">
        <v>324</v>
      </c>
      <c r="G881" s="179">
        <v>680880</v>
      </c>
      <c r="H881" s="176" t="s">
        <v>142</v>
      </c>
      <c r="I881" s="176" t="s">
        <v>551</v>
      </c>
      <c r="J881" s="176" t="s">
        <v>832</v>
      </c>
      <c r="K881" s="176" t="s">
        <v>3040</v>
      </c>
      <c r="L881" s="40" t="s">
        <v>108</v>
      </c>
      <c r="M881" s="40" t="s">
        <v>341</v>
      </c>
      <c r="N881" s="14" t="s">
        <v>3042</v>
      </c>
      <c r="O881" s="14" t="s">
        <v>528</v>
      </c>
      <c r="P881" s="14" t="s">
        <v>517</v>
      </c>
      <c r="Q881" s="14" t="s">
        <v>541</v>
      </c>
      <c r="R881" s="17">
        <v>500</v>
      </c>
      <c r="S881" s="172" t="s">
        <v>51</v>
      </c>
      <c r="T881" s="17">
        <v>2800</v>
      </c>
      <c r="U881" s="14" t="s">
        <v>51</v>
      </c>
      <c r="V881" s="16">
        <f t="shared" si="119"/>
        <v>244186</v>
      </c>
      <c r="W881" s="16">
        <f t="shared" si="120"/>
        <v>244193</v>
      </c>
      <c r="X881" s="16">
        <f t="shared" si="121"/>
        <v>244188</v>
      </c>
      <c r="Y881" s="15" t="s">
        <v>54</v>
      </c>
      <c r="Z881" s="177">
        <v>244224</v>
      </c>
      <c r="AA881" s="170"/>
      <c r="AB881" s="170"/>
      <c r="AC881" s="170"/>
      <c r="AD881" s="170"/>
      <c r="AE881" s="15" t="s">
        <v>54</v>
      </c>
      <c r="AF881" s="177">
        <v>244225</v>
      </c>
      <c r="AG881" s="177" t="str">
        <f t="shared" si="117"/>
        <v>Pass</v>
      </c>
      <c r="AH881" s="177">
        <f t="shared" si="118"/>
        <v>244225</v>
      </c>
      <c r="AK881" s="176"/>
      <c r="AL881" s="176"/>
    </row>
    <row r="882" spans="1:38" ht="36" customHeight="1" x14ac:dyDescent="0.2">
      <c r="A882" s="14" t="s">
        <v>23</v>
      </c>
      <c r="B882" s="212">
        <v>244186</v>
      </c>
      <c r="C882" s="14" t="s">
        <v>547</v>
      </c>
      <c r="D882" s="14" t="s">
        <v>268</v>
      </c>
      <c r="E882" s="14" t="s">
        <v>14</v>
      </c>
      <c r="F882" s="14" t="s">
        <v>324</v>
      </c>
      <c r="G882" s="179">
        <v>680881</v>
      </c>
      <c r="H882" s="176" t="s">
        <v>1663</v>
      </c>
      <c r="I882" s="176" t="s">
        <v>550</v>
      </c>
      <c r="J882" s="176" t="s">
        <v>128</v>
      </c>
      <c r="K882" s="176" t="s">
        <v>3041</v>
      </c>
      <c r="L882" s="40" t="s">
        <v>106</v>
      </c>
      <c r="M882" s="40" t="s">
        <v>341</v>
      </c>
      <c r="N882" s="14" t="s">
        <v>3043</v>
      </c>
      <c r="O882" s="14" t="s">
        <v>528</v>
      </c>
      <c r="P882" s="14" t="s">
        <v>684</v>
      </c>
      <c r="Q882" s="14" t="s">
        <v>541</v>
      </c>
      <c r="R882" s="17">
        <v>875</v>
      </c>
      <c r="S882" s="172" t="s">
        <v>51</v>
      </c>
      <c r="T882" s="17">
        <v>2490</v>
      </c>
      <c r="U882" s="14" t="s">
        <v>51</v>
      </c>
      <c r="V882" s="16">
        <f t="shared" si="119"/>
        <v>244186</v>
      </c>
      <c r="W882" s="16">
        <f t="shared" si="120"/>
        <v>244193</v>
      </c>
      <c r="X882" s="16">
        <f t="shared" si="121"/>
        <v>244188</v>
      </c>
      <c r="Y882" s="15"/>
      <c r="Z882" s="177"/>
      <c r="AA882" s="170"/>
      <c r="AB882" s="170"/>
      <c r="AC882" s="170"/>
      <c r="AD882" s="170"/>
      <c r="AE882" s="15"/>
      <c r="AF882" s="177"/>
      <c r="AG882" s="177">
        <f t="shared" si="117"/>
        <v>0</v>
      </c>
      <c r="AH882" s="177">
        <f t="shared" si="118"/>
        <v>0</v>
      </c>
      <c r="AK882" s="176"/>
      <c r="AL882" s="176"/>
    </row>
    <row r="883" spans="1:38" ht="36" customHeight="1" x14ac:dyDescent="0.2">
      <c r="A883" s="14" t="s">
        <v>23</v>
      </c>
      <c r="B883" s="212">
        <v>244186</v>
      </c>
      <c r="C883" s="14" t="s">
        <v>547</v>
      </c>
      <c r="D883" s="14" t="s">
        <v>268</v>
      </c>
      <c r="E883" s="14" t="s">
        <v>14</v>
      </c>
      <c r="F883" s="14" t="s">
        <v>324</v>
      </c>
      <c r="G883" s="179">
        <v>680882</v>
      </c>
      <c r="H883" s="176" t="s">
        <v>142</v>
      </c>
      <c r="I883" s="176" t="s">
        <v>551</v>
      </c>
      <c r="J883" s="176" t="s">
        <v>832</v>
      </c>
      <c r="K883" s="176" t="s">
        <v>3040</v>
      </c>
      <c r="L883" s="40" t="s">
        <v>108</v>
      </c>
      <c r="M883" s="40" t="s">
        <v>341</v>
      </c>
      <c r="N883" s="14" t="s">
        <v>3044</v>
      </c>
      <c r="O883" s="14" t="s">
        <v>528</v>
      </c>
      <c r="P883" s="14" t="s">
        <v>1911</v>
      </c>
      <c r="Q883" s="14" t="s">
        <v>541</v>
      </c>
      <c r="R883" s="17">
        <v>1050</v>
      </c>
      <c r="S883" s="172" t="s">
        <v>51</v>
      </c>
      <c r="T883" s="17">
        <v>2965</v>
      </c>
      <c r="U883" s="14" t="s">
        <v>51</v>
      </c>
      <c r="V883" s="16">
        <f t="shared" si="119"/>
        <v>244186</v>
      </c>
      <c r="W883" s="16">
        <f t="shared" si="120"/>
        <v>244193</v>
      </c>
      <c r="X883" s="16">
        <f t="shared" si="121"/>
        <v>244188</v>
      </c>
      <c r="Y883" s="15" t="s">
        <v>54</v>
      </c>
      <c r="Z883" s="177">
        <v>244224</v>
      </c>
      <c r="AA883" s="170"/>
      <c r="AB883" s="170"/>
      <c r="AC883" s="170"/>
      <c r="AD883" s="170"/>
      <c r="AE883" s="15" t="s">
        <v>54</v>
      </c>
      <c r="AF883" s="177">
        <v>244225</v>
      </c>
      <c r="AG883" s="177" t="str">
        <f t="shared" si="117"/>
        <v>Pass</v>
      </c>
      <c r="AH883" s="177">
        <f t="shared" si="118"/>
        <v>244225</v>
      </c>
      <c r="AK883" s="176"/>
      <c r="AL883" s="176"/>
    </row>
    <row r="884" spans="1:38" ht="36" customHeight="1" x14ac:dyDescent="0.2">
      <c r="A884" s="14" t="s">
        <v>23</v>
      </c>
      <c r="B884" s="212">
        <v>244186</v>
      </c>
      <c r="C884" s="14" t="s">
        <v>547</v>
      </c>
      <c r="D884" s="14" t="s">
        <v>268</v>
      </c>
      <c r="E884" s="14" t="s">
        <v>14</v>
      </c>
      <c r="F884" s="14" t="s">
        <v>324</v>
      </c>
      <c r="G884" s="179">
        <v>680883</v>
      </c>
      <c r="H884" s="176" t="s">
        <v>142</v>
      </c>
      <c r="I884" s="176" t="s">
        <v>551</v>
      </c>
      <c r="J884" s="176" t="s">
        <v>832</v>
      </c>
      <c r="K884" s="176" t="s">
        <v>3040</v>
      </c>
      <c r="L884" s="40" t="s">
        <v>108</v>
      </c>
      <c r="M884" s="40" t="s">
        <v>341</v>
      </c>
      <c r="N884" s="14" t="s">
        <v>3045</v>
      </c>
      <c r="O884" s="14" t="s">
        <v>548</v>
      </c>
      <c r="P884" s="14" t="s">
        <v>518</v>
      </c>
      <c r="Q884" s="14" t="s">
        <v>549</v>
      </c>
      <c r="R884" s="17">
        <v>229</v>
      </c>
      <c r="S884" s="172" t="s">
        <v>51</v>
      </c>
      <c r="T884" s="17">
        <v>2810</v>
      </c>
      <c r="U884" s="14" t="s">
        <v>51</v>
      </c>
      <c r="V884" s="16">
        <f t="shared" si="119"/>
        <v>244186</v>
      </c>
      <c r="W884" s="16">
        <f t="shared" si="120"/>
        <v>244193</v>
      </c>
      <c r="X884" s="16">
        <f t="shared" si="121"/>
        <v>244188</v>
      </c>
      <c r="Y884" s="15" t="s">
        <v>54</v>
      </c>
      <c r="Z884" s="177">
        <v>244224</v>
      </c>
      <c r="AA884" s="170"/>
      <c r="AB884" s="170"/>
      <c r="AC884" s="170"/>
      <c r="AD884" s="170"/>
      <c r="AE884" s="15" t="s">
        <v>54</v>
      </c>
      <c r="AF884" s="177">
        <v>244225</v>
      </c>
      <c r="AG884" s="177" t="str">
        <f t="shared" si="117"/>
        <v>Pass</v>
      </c>
      <c r="AH884" s="177">
        <f t="shared" si="118"/>
        <v>244225</v>
      </c>
      <c r="AK884" s="176"/>
      <c r="AL884" s="176"/>
    </row>
    <row r="885" spans="1:38" ht="36" customHeight="1" x14ac:dyDescent="0.2">
      <c r="A885" s="14" t="s">
        <v>23</v>
      </c>
      <c r="B885" s="212">
        <v>244186</v>
      </c>
      <c r="C885" s="14" t="s">
        <v>547</v>
      </c>
      <c r="D885" s="14" t="s">
        <v>268</v>
      </c>
      <c r="E885" s="14" t="s">
        <v>14</v>
      </c>
      <c r="F885" s="14" t="s">
        <v>324</v>
      </c>
      <c r="G885" s="179">
        <v>680884</v>
      </c>
      <c r="H885" s="176" t="s">
        <v>1663</v>
      </c>
      <c r="I885" s="176" t="s">
        <v>550</v>
      </c>
      <c r="J885" s="176" t="s">
        <v>128</v>
      </c>
      <c r="K885" s="176" t="s">
        <v>3041</v>
      </c>
      <c r="L885" s="40" t="s">
        <v>106</v>
      </c>
      <c r="M885" s="40" t="s">
        <v>341</v>
      </c>
      <c r="N885" s="14" t="s">
        <v>3046</v>
      </c>
      <c r="O885" s="14" t="s">
        <v>548</v>
      </c>
      <c r="P885" s="14" t="s">
        <v>518</v>
      </c>
      <c r="Q885" s="14" t="s">
        <v>549</v>
      </c>
      <c r="R885" s="17">
        <v>170</v>
      </c>
      <c r="S885" s="172" t="s">
        <v>51</v>
      </c>
      <c r="T885" s="17">
        <v>2440</v>
      </c>
      <c r="U885" s="14" t="s">
        <v>51</v>
      </c>
      <c r="V885" s="16">
        <f t="shared" si="119"/>
        <v>244186</v>
      </c>
      <c r="W885" s="16">
        <f t="shared" si="120"/>
        <v>244193</v>
      </c>
      <c r="X885" s="16">
        <f t="shared" si="121"/>
        <v>244188</v>
      </c>
      <c r="Y885" s="15"/>
      <c r="Z885" s="177"/>
      <c r="AA885" s="170"/>
      <c r="AB885" s="170"/>
      <c r="AC885" s="170"/>
      <c r="AD885" s="170"/>
      <c r="AE885" s="15"/>
      <c r="AF885" s="177"/>
      <c r="AG885" s="177">
        <f t="shared" si="117"/>
        <v>0</v>
      </c>
      <c r="AH885" s="177">
        <f t="shared" si="118"/>
        <v>0</v>
      </c>
      <c r="AK885" s="176"/>
      <c r="AL885" s="176"/>
    </row>
    <row r="886" spans="1:38" ht="36" customHeight="1" x14ac:dyDescent="0.2">
      <c r="A886" s="14" t="s">
        <v>23</v>
      </c>
      <c r="B886" s="212">
        <v>244186</v>
      </c>
      <c r="C886" s="14" t="s">
        <v>547</v>
      </c>
      <c r="D886" s="14" t="s">
        <v>268</v>
      </c>
      <c r="E886" s="14" t="s">
        <v>14</v>
      </c>
      <c r="F886" s="14" t="s">
        <v>324</v>
      </c>
      <c r="G886" s="179">
        <v>680885</v>
      </c>
      <c r="H886" s="176" t="s">
        <v>142</v>
      </c>
      <c r="I886" s="176" t="s">
        <v>551</v>
      </c>
      <c r="J886" s="176" t="s">
        <v>832</v>
      </c>
      <c r="K886" s="176" t="s">
        <v>3040</v>
      </c>
      <c r="L886" s="40" t="s">
        <v>108</v>
      </c>
      <c r="M886" s="40" t="s">
        <v>341</v>
      </c>
      <c r="N886" s="14" t="s">
        <v>3047</v>
      </c>
      <c r="O886" s="14" t="s">
        <v>548</v>
      </c>
      <c r="P886" s="14" t="s">
        <v>518</v>
      </c>
      <c r="Q886" s="14" t="s">
        <v>549</v>
      </c>
      <c r="R886" s="17">
        <v>249</v>
      </c>
      <c r="S886" s="172" t="s">
        <v>51</v>
      </c>
      <c r="T886" s="17">
        <v>2800</v>
      </c>
      <c r="U886" s="14" t="s">
        <v>51</v>
      </c>
      <c r="V886" s="16">
        <f t="shared" si="119"/>
        <v>244186</v>
      </c>
      <c r="W886" s="16">
        <f t="shared" si="120"/>
        <v>244193</v>
      </c>
      <c r="X886" s="16">
        <f t="shared" si="121"/>
        <v>244188</v>
      </c>
      <c r="Y886" s="15" t="s">
        <v>54</v>
      </c>
      <c r="Z886" s="177">
        <v>244224</v>
      </c>
      <c r="AA886" s="170"/>
      <c r="AB886" s="170"/>
      <c r="AC886" s="170"/>
      <c r="AD886" s="170"/>
      <c r="AE886" s="15" t="s">
        <v>54</v>
      </c>
      <c r="AF886" s="177">
        <v>244225</v>
      </c>
      <c r="AG886" s="177" t="str">
        <f t="shared" si="117"/>
        <v>Pass</v>
      </c>
      <c r="AH886" s="177">
        <f t="shared" si="118"/>
        <v>244225</v>
      </c>
      <c r="AK886" s="176"/>
      <c r="AL886" s="176"/>
    </row>
    <row r="887" spans="1:38" ht="36" customHeight="1" x14ac:dyDescent="0.2">
      <c r="A887" s="14" t="s">
        <v>23</v>
      </c>
      <c r="B887" s="212">
        <v>244186</v>
      </c>
      <c r="C887" s="14" t="s">
        <v>547</v>
      </c>
      <c r="D887" s="14" t="s">
        <v>268</v>
      </c>
      <c r="E887" s="14" t="s">
        <v>14</v>
      </c>
      <c r="F887" s="14" t="s">
        <v>324</v>
      </c>
      <c r="G887" s="179">
        <v>680886</v>
      </c>
      <c r="H887" s="176" t="s">
        <v>1663</v>
      </c>
      <c r="I887" s="176" t="s">
        <v>550</v>
      </c>
      <c r="J887" s="176" t="s">
        <v>128</v>
      </c>
      <c r="K887" s="176" t="s">
        <v>3041</v>
      </c>
      <c r="L887" s="40" t="s">
        <v>106</v>
      </c>
      <c r="M887" s="40" t="s">
        <v>341</v>
      </c>
      <c r="N887" s="14" t="s">
        <v>3048</v>
      </c>
      <c r="O887" s="14" t="s">
        <v>548</v>
      </c>
      <c r="P887" s="14" t="s">
        <v>518</v>
      </c>
      <c r="Q887" s="14" t="s">
        <v>549</v>
      </c>
      <c r="R887" s="17">
        <v>222</v>
      </c>
      <c r="S887" s="172" t="s">
        <v>51</v>
      </c>
      <c r="T887" s="17">
        <v>2100</v>
      </c>
      <c r="U887" s="14" t="s">
        <v>51</v>
      </c>
      <c r="V887" s="16">
        <f t="shared" si="119"/>
        <v>244186</v>
      </c>
      <c r="W887" s="16">
        <f t="shared" si="120"/>
        <v>244193</v>
      </c>
      <c r="X887" s="16">
        <f t="shared" si="121"/>
        <v>244188</v>
      </c>
      <c r="Y887" s="15"/>
      <c r="Z887" s="177"/>
      <c r="AA887" s="170"/>
      <c r="AB887" s="170"/>
      <c r="AC887" s="170"/>
      <c r="AD887" s="170"/>
      <c r="AE887" s="15"/>
      <c r="AF887" s="177"/>
      <c r="AG887" s="177">
        <f t="shared" si="117"/>
        <v>0</v>
      </c>
      <c r="AH887" s="177">
        <f t="shared" si="118"/>
        <v>0</v>
      </c>
      <c r="AK887" s="176"/>
      <c r="AL887" s="176"/>
    </row>
    <row r="888" spans="1:38" ht="36" customHeight="1" x14ac:dyDescent="0.2">
      <c r="A888" s="14" t="s">
        <v>23</v>
      </c>
      <c r="B888" s="212">
        <v>244186</v>
      </c>
      <c r="C888" s="14" t="s">
        <v>547</v>
      </c>
      <c r="D888" s="14" t="s">
        <v>268</v>
      </c>
      <c r="E888" s="14" t="s">
        <v>14</v>
      </c>
      <c r="F888" s="14" t="s">
        <v>324</v>
      </c>
      <c r="G888" s="179">
        <v>680887</v>
      </c>
      <c r="H888" s="176" t="s">
        <v>628</v>
      </c>
      <c r="I888" s="176" t="s">
        <v>551</v>
      </c>
      <c r="J888" s="176" t="s">
        <v>832</v>
      </c>
      <c r="K888" s="176" t="s">
        <v>3049</v>
      </c>
      <c r="L888" s="40" t="s">
        <v>108</v>
      </c>
      <c r="M888" s="40" t="s">
        <v>341</v>
      </c>
      <c r="N888" s="14" t="s">
        <v>3050</v>
      </c>
      <c r="O888" s="14" t="s">
        <v>528</v>
      </c>
      <c r="P888" s="14" t="s">
        <v>517</v>
      </c>
      <c r="Q888" s="14" t="s">
        <v>541</v>
      </c>
      <c r="R888" s="17">
        <v>500</v>
      </c>
      <c r="S888" s="172" t="s">
        <v>51</v>
      </c>
      <c r="T888" s="17"/>
      <c r="U888" s="14"/>
      <c r="V888" s="16">
        <f t="shared" si="119"/>
        <v>244186</v>
      </c>
      <c r="W888" s="16">
        <f t="shared" si="120"/>
        <v>244193</v>
      </c>
      <c r="X888" s="16">
        <f t="shared" si="121"/>
        <v>244188</v>
      </c>
      <c r="Y888" s="15" t="s">
        <v>54</v>
      </c>
      <c r="Z888" s="177">
        <v>244224</v>
      </c>
      <c r="AA888" s="170"/>
      <c r="AB888" s="170"/>
      <c r="AC888" s="170"/>
      <c r="AD888" s="170"/>
      <c r="AE888" s="15" t="s">
        <v>54</v>
      </c>
      <c r="AF888" s="177">
        <v>244225</v>
      </c>
      <c r="AG888" s="177" t="str">
        <f t="shared" si="117"/>
        <v>Pass</v>
      </c>
      <c r="AH888" s="177">
        <f t="shared" si="118"/>
        <v>244225</v>
      </c>
      <c r="AK888" s="176"/>
      <c r="AL888" s="176"/>
    </row>
    <row r="889" spans="1:38" ht="36" customHeight="1" x14ac:dyDescent="0.2">
      <c r="A889" s="14" t="s">
        <v>23</v>
      </c>
      <c r="B889" s="212">
        <v>244186</v>
      </c>
      <c r="C889" s="14" t="s">
        <v>547</v>
      </c>
      <c r="D889" s="14" t="s">
        <v>268</v>
      </c>
      <c r="E889" s="14" t="s">
        <v>14</v>
      </c>
      <c r="F889" s="14" t="s">
        <v>324</v>
      </c>
      <c r="G889" s="179">
        <v>680888</v>
      </c>
      <c r="H889" s="176" t="s">
        <v>628</v>
      </c>
      <c r="I889" s="176" t="s">
        <v>551</v>
      </c>
      <c r="J889" s="176" t="s">
        <v>832</v>
      </c>
      <c r="K889" s="176" t="s">
        <v>3049</v>
      </c>
      <c r="L889" s="40" t="s">
        <v>108</v>
      </c>
      <c r="M889" s="40" t="s">
        <v>341</v>
      </c>
      <c r="N889" s="14" t="s">
        <v>3051</v>
      </c>
      <c r="O889" s="14" t="s">
        <v>3053</v>
      </c>
      <c r="P889" s="14" t="s">
        <v>3052</v>
      </c>
      <c r="Q889" s="14" t="s">
        <v>3054</v>
      </c>
      <c r="R889" s="17">
        <v>900</v>
      </c>
      <c r="S889" s="172" t="s">
        <v>51</v>
      </c>
      <c r="T889" s="17">
        <v>2970</v>
      </c>
      <c r="U889" s="14" t="s">
        <v>51</v>
      </c>
      <c r="V889" s="16">
        <f t="shared" si="119"/>
        <v>244186</v>
      </c>
      <c r="W889" s="16">
        <f t="shared" si="120"/>
        <v>244193</v>
      </c>
      <c r="X889" s="16">
        <f t="shared" si="121"/>
        <v>244188</v>
      </c>
      <c r="Y889" s="15" t="s">
        <v>54</v>
      </c>
      <c r="Z889" s="177">
        <v>244224</v>
      </c>
      <c r="AA889" s="170"/>
      <c r="AB889" s="170"/>
      <c r="AC889" s="170"/>
      <c r="AD889" s="170"/>
      <c r="AE889" s="15" t="s">
        <v>54</v>
      </c>
      <c r="AF889" s="177">
        <v>244225</v>
      </c>
      <c r="AG889" s="177" t="str">
        <f t="shared" si="117"/>
        <v>Pass</v>
      </c>
      <c r="AH889" s="177">
        <f t="shared" si="118"/>
        <v>244225</v>
      </c>
      <c r="AK889" s="176"/>
      <c r="AL889" s="176"/>
    </row>
    <row r="890" spans="1:38" ht="36" customHeight="1" x14ac:dyDescent="0.2">
      <c r="A890" s="14" t="s">
        <v>23</v>
      </c>
      <c r="B890" s="212">
        <v>244188</v>
      </c>
      <c r="C890" s="14" t="s">
        <v>547</v>
      </c>
      <c r="D890" s="14" t="s">
        <v>268</v>
      </c>
      <c r="E890" s="14" t="s">
        <v>14</v>
      </c>
      <c r="F890" s="14" t="s">
        <v>324</v>
      </c>
      <c r="G890" s="179">
        <v>680889</v>
      </c>
      <c r="H890" s="176" t="s">
        <v>628</v>
      </c>
      <c r="I890" s="176" t="s">
        <v>551</v>
      </c>
      <c r="J890" s="176" t="s">
        <v>832</v>
      </c>
      <c r="K890" s="176" t="s">
        <v>3055</v>
      </c>
      <c r="L890" s="40" t="s">
        <v>108</v>
      </c>
      <c r="M890" s="40" t="s">
        <v>341</v>
      </c>
      <c r="N890" s="14" t="s">
        <v>3056</v>
      </c>
      <c r="O890" s="14" t="s">
        <v>3057</v>
      </c>
      <c r="P890" s="14" t="s">
        <v>517</v>
      </c>
      <c r="Q890" s="14" t="s">
        <v>3058</v>
      </c>
      <c r="R890" s="17">
        <v>950</v>
      </c>
      <c r="S890" s="172" t="s">
        <v>51</v>
      </c>
      <c r="T890" s="17">
        <v>2700</v>
      </c>
      <c r="U890" s="14" t="s">
        <v>51</v>
      </c>
      <c r="V890" s="16">
        <f t="shared" si="119"/>
        <v>244188</v>
      </c>
      <c r="W890" s="16">
        <f t="shared" si="120"/>
        <v>244195</v>
      </c>
      <c r="X890" s="16">
        <f t="shared" si="121"/>
        <v>244190</v>
      </c>
      <c r="Y890" s="15" t="s">
        <v>54</v>
      </c>
      <c r="Z890" s="177">
        <v>244224</v>
      </c>
      <c r="AA890" s="170"/>
      <c r="AB890" s="170"/>
      <c r="AC890" s="170"/>
      <c r="AD890" s="170"/>
      <c r="AE890" s="15" t="s">
        <v>54</v>
      </c>
      <c r="AF890" s="177">
        <v>244225</v>
      </c>
      <c r="AG890" s="177" t="str">
        <f t="shared" si="117"/>
        <v>Pass</v>
      </c>
      <c r="AH890" s="177">
        <f t="shared" si="118"/>
        <v>244225</v>
      </c>
      <c r="AK890" s="176"/>
      <c r="AL890" s="176"/>
    </row>
    <row r="891" spans="1:38" ht="36" customHeight="1" x14ac:dyDescent="0.2">
      <c r="A891" s="14" t="s">
        <v>23</v>
      </c>
      <c r="B891" s="212">
        <v>244188</v>
      </c>
      <c r="C891" s="14" t="s">
        <v>547</v>
      </c>
      <c r="D891" s="14" t="s">
        <v>268</v>
      </c>
      <c r="E891" s="14" t="s">
        <v>14</v>
      </c>
      <c r="F891" s="14" t="s">
        <v>324</v>
      </c>
      <c r="G891" s="179">
        <v>680890</v>
      </c>
      <c r="H891" s="176" t="s">
        <v>3059</v>
      </c>
      <c r="I891" s="176" t="s">
        <v>551</v>
      </c>
      <c r="J891" s="176" t="s">
        <v>1394</v>
      </c>
      <c r="K891" s="176" t="s">
        <v>3061</v>
      </c>
      <c r="L891" s="40" t="s">
        <v>108</v>
      </c>
      <c r="M891" s="40" t="s">
        <v>341</v>
      </c>
      <c r="N891" s="14" t="s">
        <v>3065</v>
      </c>
      <c r="O891" s="14" t="s">
        <v>552</v>
      </c>
      <c r="P891" s="14" t="s">
        <v>519</v>
      </c>
      <c r="Q891" s="14" t="s">
        <v>553</v>
      </c>
      <c r="R891" s="17">
        <v>1875</v>
      </c>
      <c r="S891" s="172" t="s">
        <v>51</v>
      </c>
      <c r="T891" s="17">
        <v>2850</v>
      </c>
      <c r="U891" s="14" t="s">
        <v>51</v>
      </c>
      <c r="V891" s="16">
        <f t="shared" si="119"/>
        <v>244188</v>
      </c>
      <c r="W891" s="16">
        <f t="shared" si="120"/>
        <v>244195</v>
      </c>
      <c r="X891" s="16">
        <f t="shared" si="121"/>
        <v>244190</v>
      </c>
      <c r="Y891" s="15" t="s">
        <v>54</v>
      </c>
      <c r="Z891" s="177">
        <v>244224</v>
      </c>
      <c r="AA891" s="170"/>
      <c r="AB891" s="170"/>
      <c r="AC891" s="170"/>
      <c r="AD891" s="170"/>
      <c r="AE891" s="15" t="s">
        <v>54</v>
      </c>
      <c r="AF891" s="177">
        <v>244225</v>
      </c>
      <c r="AG891" s="177" t="str">
        <f t="shared" si="117"/>
        <v>Pass</v>
      </c>
      <c r="AH891" s="177">
        <f t="shared" si="118"/>
        <v>244225</v>
      </c>
      <c r="AK891" s="176"/>
      <c r="AL891" s="176"/>
    </row>
    <row r="892" spans="1:38" ht="36" customHeight="1" x14ac:dyDescent="0.2">
      <c r="A892" s="14" t="s">
        <v>23</v>
      </c>
      <c r="B892" s="212">
        <v>244188</v>
      </c>
      <c r="C892" s="14" t="s">
        <v>547</v>
      </c>
      <c r="D892" s="14" t="s">
        <v>268</v>
      </c>
      <c r="E892" s="14" t="s">
        <v>14</v>
      </c>
      <c r="F892" s="14" t="s">
        <v>324</v>
      </c>
      <c r="G892" s="179">
        <v>680891</v>
      </c>
      <c r="H892" s="176" t="s">
        <v>663</v>
      </c>
      <c r="I892" s="176" t="s">
        <v>630</v>
      </c>
      <c r="J892" s="176" t="s">
        <v>821</v>
      </c>
      <c r="K892" s="176" t="s">
        <v>3062</v>
      </c>
      <c r="L892" s="40" t="s">
        <v>124</v>
      </c>
      <c r="M892" s="40" t="s">
        <v>341</v>
      </c>
      <c r="N892" s="14" t="s">
        <v>3066</v>
      </c>
      <c r="O892" s="14" t="s">
        <v>543</v>
      </c>
      <c r="P892" s="14" t="s">
        <v>3071</v>
      </c>
      <c r="Q892" s="14" t="s">
        <v>529</v>
      </c>
      <c r="R892" s="17">
        <v>200</v>
      </c>
      <c r="S892" s="172" t="s">
        <v>51</v>
      </c>
      <c r="T892" s="17">
        <v>2576</v>
      </c>
      <c r="U892" s="14" t="s">
        <v>51</v>
      </c>
      <c r="V892" s="16">
        <f t="shared" si="119"/>
        <v>244188</v>
      </c>
      <c r="W892" s="16">
        <f t="shared" si="120"/>
        <v>244195</v>
      </c>
      <c r="X892" s="16">
        <f t="shared" si="121"/>
        <v>244190</v>
      </c>
      <c r="Y892" s="15"/>
      <c r="Z892" s="177"/>
      <c r="AA892" s="170"/>
      <c r="AB892" s="170"/>
      <c r="AC892" s="170"/>
      <c r="AD892" s="170"/>
      <c r="AE892" s="15"/>
      <c r="AF892" s="177"/>
      <c r="AG892" s="177">
        <f t="shared" si="117"/>
        <v>0</v>
      </c>
      <c r="AH892" s="177">
        <f t="shared" si="118"/>
        <v>0</v>
      </c>
      <c r="AK892" s="176"/>
      <c r="AL892" s="176"/>
    </row>
    <row r="893" spans="1:38" ht="36" customHeight="1" x14ac:dyDescent="0.2">
      <c r="A893" s="14" t="s">
        <v>23</v>
      </c>
      <c r="B893" s="212">
        <v>244188</v>
      </c>
      <c r="C893" s="14" t="s">
        <v>547</v>
      </c>
      <c r="D893" s="14" t="s">
        <v>268</v>
      </c>
      <c r="E893" s="14" t="s">
        <v>14</v>
      </c>
      <c r="F893" s="14" t="s">
        <v>324</v>
      </c>
      <c r="G893" s="179">
        <v>680892</v>
      </c>
      <c r="H893" s="176" t="s">
        <v>663</v>
      </c>
      <c r="I893" s="176" t="s">
        <v>630</v>
      </c>
      <c r="J893" s="176" t="s">
        <v>821</v>
      </c>
      <c r="K893" s="176" t="s">
        <v>3062</v>
      </c>
      <c r="L893" s="40" t="s">
        <v>124</v>
      </c>
      <c r="M893" s="40" t="s">
        <v>341</v>
      </c>
      <c r="N893" s="14" t="s">
        <v>3067</v>
      </c>
      <c r="O893" s="14" t="s">
        <v>3070</v>
      </c>
      <c r="P893" s="14" t="s">
        <v>3072</v>
      </c>
      <c r="Q893" s="14" t="s">
        <v>3075</v>
      </c>
      <c r="R893" s="17">
        <v>2500</v>
      </c>
      <c r="S893" s="172" t="s">
        <v>51</v>
      </c>
      <c r="T893" s="17">
        <v>2609</v>
      </c>
      <c r="U893" s="14" t="s">
        <v>51</v>
      </c>
      <c r="V893" s="16">
        <f t="shared" si="119"/>
        <v>244188</v>
      </c>
      <c r="W893" s="16">
        <f t="shared" si="120"/>
        <v>244195</v>
      </c>
      <c r="X893" s="16">
        <f t="shared" si="121"/>
        <v>244190</v>
      </c>
      <c r="Y893" s="15"/>
      <c r="Z893" s="177"/>
      <c r="AA893" s="170"/>
      <c r="AB893" s="170"/>
      <c r="AC893" s="170"/>
      <c r="AD893" s="170"/>
      <c r="AE893" s="15"/>
      <c r="AF893" s="177"/>
      <c r="AG893" s="177">
        <f t="shared" si="117"/>
        <v>0</v>
      </c>
      <c r="AH893" s="177">
        <f t="shared" si="118"/>
        <v>0</v>
      </c>
      <c r="AK893" s="176"/>
      <c r="AL893" s="176"/>
    </row>
    <row r="894" spans="1:38" ht="36" customHeight="1" x14ac:dyDescent="0.2">
      <c r="A894" s="14" t="s">
        <v>23</v>
      </c>
      <c r="B894" s="212">
        <v>244188</v>
      </c>
      <c r="C894" s="14" t="s">
        <v>547</v>
      </c>
      <c r="D894" s="14" t="s">
        <v>268</v>
      </c>
      <c r="E894" s="14" t="s">
        <v>14</v>
      </c>
      <c r="F894" s="14" t="s">
        <v>324</v>
      </c>
      <c r="G894" s="179">
        <v>680893</v>
      </c>
      <c r="H894" s="176" t="s">
        <v>3060</v>
      </c>
      <c r="I894" s="176" t="s">
        <v>551</v>
      </c>
      <c r="J894" s="176" t="s">
        <v>832</v>
      </c>
      <c r="K894" s="176" t="s">
        <v>3063</v>
      </c>
      <c r="L894" s="40" t="s">
        <v>108</v>
      </c>
      <c r="M894" s="40" t="s">
        <v>341</v>
      </c>
      <c r="N894" s="14" t="s">
        <v>765</v>
      </c>
      <c r="O894" s="14" t="s">
        <v>548</v>
      </c>
      <c r="P894" s="14" t="s">
        <v>518</v>
      </c>
      <c r="Q894" s="14" t="s">
        <v>549</v>
      </c>
      <c r="R894" s="17">
        <v>200</v>
      </c>
      <c r="S894" s="172" t="s">
        <v>51</v>
      </c>
      <c r="T894" s="17">
        <v>1200</v>
      </c>
      <c r="U894" s="14" t="s">
        <v>51</v>
      </c>
      <c r="V894" s="16">
        <f t="shared" si="119"/>
        <v>244188</v>
      </c>
      <c r="W894" s="16">
        <f t="shared" si="120"/>
        <v>244195</v>
      </c>
      <c r="X894" s="16">
        <f t="shared" si="121"/>
        <v>244190</v>
      </c>
      <c r="Y894" s="15" t="s">
        <v>54</v>
      </c>
      <c r="Z894" s="177">
        <v>244224</v>
      </c>
      <c r="AA894" s="170"/>
      <c r="AB894" s="170"/>
      <c r="AC894" s="170"/>
      <c r="AD894" s="170"/>
      <c r="AE894" s="15" t="s">
        <v>54</v>
      </c>
      <c r="AF894" s="177">
        <v>244225</v>
      </c>
      <c r="AG894" s="177" t="str">
        <f t="shared" si="117"/>
        <v>Pass</v>
      </c>
      <c r="AH894" s="177">
        <f t="shared" si="118"/>
        <v>244225</v>
      </c>
      <c r="AK894" s="176"/>
      <c r="AL894" s="176"/>
    </row>
    <row r="895" spans="1:38" ht="36" customHeight="1" x14ac:dyDescent="0.2">
      <c r="A895" s="14" t="s">
        <v>23</v>
      </c>
      <c r="B895" s="212">
        <v>244188</v>
      </c>
      <c r="C895" s="14" t="s">
        <v>547</v>
      </c>
      <c r="D895" s="14" t="s">
        <v>268</v>
      </c>
      <c r="E895" s="14" t="s">
        <v>14</v>
      </c>
      <c r="F895" s="14" t="s">
        <v>324</v>
      </c>
      <c r="G895" s="179">
        <v>680894</v>
      </c>
      <c r="H895" s="176" t="s">
        <v>222</v>
      </c>
      <c r="I895" s="176" t="s">
        <v>1874</v>
      </c>
      <c r="J895" s="176" t="s">
        <v>127</v>
      </c>
      <c r="K895" s="176" t="s">
        <v>3064</v>
      </c>
      <c r="L895" s="40" t="s">
        <v>106</v>
      </c>
      <c r="M895" s="40" t="s">
        <v>341</v>
      </c>
      <c r="N895" s="14" t="s">
        <v>3068</v>
      </c>
      <c r="O895" s="14" t="s">
        <v>543</v>
      </c>
      <c r="P895" s="14" t="s">
        <v>3073</v>
      </c>
      <c r="Q895" s="14" t="s">
        <v>529</v>
      </c>
      <c r="R895" s="17">
        <v>300</v>
      </c>
      <c r="S895" s="172" t="s">
        <v>51</v>
      </c>
      <c r="T895" s="17">
        <v>2860</v>
      </c>
      <c r="U895" s="14" t="s">
        <v>51</v>
      </c>
      <c r="V895" s="16">
        <f t="shared" si="119"/>
        <v>244188</v>
      </c>
      <c r="W895" s="16">
        <f t="shared" si="120"/>
        <v>244195</v>
      </c>
      <c r="X895" s="16">
        <f t="shared" si="121"/>
        <v>244190</v>
      </c>
      <c r="Y895" s="15"/>
      <c r="Z895" s="177"/>
      <c r="AA895" s="170"/>
      <c r="AB895" s="170"/>
      <c r="AC895" s="170"/>
      <c r="AD895" s="170"/>
      <c r="AE895" s="15"/>
      <c r="AF895" s="177"/>
      <c r="AG895" s="177">
        <f t="shared" si="117"/>
        <v>0</v>
      </c>
      <c r="AH895" s="177">
        <f t="shared" si="118"/>
        <v>0</v>
      </c>
      <c r="AK895" s="176"/>
      <c r="AL895" s="176"/>
    </row>
    <row r="896" spans="1:38" ht="36" customHeight="1" x14ac:dyDescent="0.2">
      <c r="A896" s="14" t="s">
        <v>23</v>
      </c>
      <c r="B896" s="212">
        <v>244188</v>
      </c>
      <c r="C896" s="14" t="s">
        <v>547</v>
      </c>
      <c r="D896" s="14" t="s">
        <v>268</v>
      </c>
      <c r="E896" s="14" t="s">
        <v>14</v>
      </c>
      <c r="F896" s="14" t="s">
        <v>324</v>
      </c>
      <c r="G896" s="179">
        <v>680895</v>
      </c>
      <c r="H896" s="176" t="s">
        <v>222</v>
      </c>
      <c r="I896" s="176" t="s">
        <v>1874</v>
      </c>
      <c r="J896" s="176" t="s">
        <v>127</v>
      </c>
      <c r="K896" s="176" t="s">
        <v>3064</v>
      </c>
      <c r="L896" s="40" t="s">
        <v>106</v>
      </c>
      <c r="M896" s="40" t="s">
        <v>341</v>
      </c>
      <c r="N896" s="14" t="s">
        <v>2869</v>
      </c>
      <c r="O896" s="14" t="s">
        <v>548</v>
      </c>
      <c r="P896" s="14" t="s">
        <v>717</v>
      </c>
      <c r="Q896" s="14" t="s">
        <v>549</v>
      </c>
      <c r="R896" s="17">
        <v>335</v>
      </c>
      <c r="S896" s="172" t="s">
        <v>51</v>
      </c>
      <c r="T896" s="17">
        <v>2860</v>
      </c>
      <c r="U896" s="14" t="s">
        <v>51</v>
      </c>
      <c r="V896" s="16">
        <f t="shared" si="119"/>
        <v>244188</v>
      </c>
      <c r="W896" s="16">
        <f t="shared" si="120"/>
        <v>244195</v>
      </c>
      <c r="X896" s="16">
        <f t="shared" si="121"/>
        <v>244190</v>
      </c>
      <c r="Y896" s="15"/>
      <c r="Z896" s="177"/>
      <c r="AA896" s="170"/>
      <c r="AB896" s="170"/>
      <c r="AC896" s="170"/>
      <c r="AD896" s="170"/>
      <c r="AE896" s="15"/>
      <c r="AF896" s="177"/>
      <c r="AG896" s="177">
        <f t="shared" si="117"/>
        <v>0</v>
      </c>
      <c r="AH896" s="177">
        <f t="shared" si="118"/>
        <v>0</v>
      </c>
      <c r="AK896" s="176"/>
      <c r="AL896" s="176"/>
    </row>
    <row r="897" spans="1:38" ht="36" customHeight="1" x14ac:dyDescent="0.2">
      <c r="A897" s="14" t="s">
        <v>23</v>
      </c>
      <c r="B897" s="212">
        <v>244188</v>
      </c>
      <c r="C897" s="14" t="s">
        <v>547</v>
      </c>
      <c r="D897" s="14" t="s">
        <v>268</v>
      </c>
      <c r="E897" s="14" t="s">
        <v>14</v>
      </c>
      <c r="F897" s="14" t="s">
        <v>324</v>
      </c>
      <c r="G897" s="179">
        <v>680896</v>
      </c>
      <c r="H897" s="176" t="s">
        <v>222</v>
      </c>
      <c r="I897" s="176" t="s">
        <v>1874</v>
      </c>
      <c r="J897" s="176" t="s">
        <v>127</v>
      </c>
      <c r="K897" s="176" t="s">
        <v>3064</v>
      </c>
      <c r="L897" s="40" t="s">
        <v>106</v>
      </c>
      <c r="M897" s="40" t="s">
        <v>341</v>
      </c>
      <c r="N897" s="14" t="s">
        <v>3069</v>
      </c>
      <c r="O897" s="14" t="s">
        <v>543</v>
      </c>
      <c r="P897" s="14" t="s">
        <v>3074</v>
      </c>
      <c r="Q897" s="14" t="s">
        <v>529</v>
      </c>
      <c r="R897" s="17">
        <v>225</v>
      </c>
      <c r="S897" s="172" t="s">
        <v>51</v>
      </c>
      <c r="T897" s="17">
        <v>3150</v>
      </c>
      <c r="U897" s="14" t="s">
        <v>51</v>
      </c>
      <c r="V897" s="16">
        <f t="shared" si="119"/>
        <v>244188</v>
      </c>
      <c r="W897" s="16">
        <f t="shared" si="120"/>
        <v>244195</v>
      </c>
      <c r="X897" s="16">
        <f t="shared" si="121"/>
        <v>244190</v>
      </c>
      <c r="Y897" s="15"/>
      <c r="Z897" s="177"/>
      <c r="AA897" s="170"/>
      <c r="AB897" s="170"/>
      <c r="AC897" s="170"/>
      <c r="AD897" s="170"/>
      <c r="AE897" s="15"/>
      <c r="AF897" s="177"/>
      <c r="AG897" s="177">
        <f t="shared" si="117"/>
        <v>0</v>
      </c>
      <c r="AH897" s="177">
        <f t="shared" si="118"/>
        <v>0</v>
      </c>
      <c r="AK897" s="176"/>
      <c r="AL897" s="176"/>
    </row>
    <row r="898" spans="1:38" ht="36" customHeight="1" x14ac:dyDescent="0.2">
      <c r="A898" s="14" t="s">
        <v>23</v>
      </c>
      <c r="B898" s="212">
        <v>244188</v>
      </c>
      <c r="C898" s="14" t="s">
        <v>547</v>
      </c>
      <c r="D898" s="14" t="s">
        <v>268</v>
      </c>
      <c r="E898" s="14" t="s">
        <v>14</v>
      </c>
      <c r="F898" s="14" t="s">
        <v>324</v>
      </c>
      <c r="G898" s="179">
        <v>680897</v>
      </c>
      <c r="H898" s="176" t="s">
        <v>222</v>
      </c>
      <c r="I898" s="176" t="s">
        <v>1874</v>
      </c>
      <c r="J898" s="176" t="s">
        <v>127</v>
      </c>
      <c r="K898" s="176" t="s">
        <v>3064</v>
      </c>
      <c r="L898" s="40" t="s">
        <v>106</v>
      </c>
      <c r="M898" s="40" t="s">
        <v>341</v>
      </c>
      <c r="N898" s="14" t="s">
        <v>3076</v>
      </c>
      <c r="O898" s="14" t="s">
        <v>543</v>
      </c>
      <c r="P898" s="14" t="s">
        <v>3077</v>
      </c>
      <c r="Q898" s="14" t="s">
        <v>529</v>
      </c>
      <c r="R898" s="17">
        <v>400</v>
      </c>
      <c r="S898" s="172" t="s">
        <v>51</v>
      </c>
      <c r="T898" s="17">
        <v>2015</v>
      </c>
      <c r="U898" s="14" t="s">
        <v>51</v>
      </c>
      <c r="V898" s="16">
        <f t="shared" si="119"/>
        <v>244188</v>
      </c>
      <c r="W898" s="16">
        <f t="shared" si="120"/>
        <v>244195</v>
      </c>
      <c r="X898" s="16">
        <f t="shared" si="121"/>
        <v>244190</v>
      </c>
      <c r="Y898" s="15"/>
      <c r="Z898" s="177"/>
      <c r="AA898" s="170"/>
      <c r="AB898" s="170"/>
      <c r="AC898" s="170"/>
      <c r="AD898" s="170"/>
      <c r="AE898" s="15"/>
      <c r="AF898" s="177"/>
      <c r="AG898" s="177">
        <f t="shared" si="117"/>
        <v>0</v>
      </c>
      <c r="AH898" s="177">
        <f t="shared" si="118"/>
        <v>0</v>
      </c>
      <c r="AK898" s="176"/>
      <c r="AL898" s="176"/>
    </row>
    <row r="899" spans="1:38" ht="36" customHeight="1" x14ac:dyDescent="0.2">
      <c r="A899" s="14" t="s">
        <v>23</v>
      </c>
      <c r="B899" s="212">
        <v>244189</v>
      </c>
      <c r="C899" s="14" t="s">
        <v>547</v>
      </c>
      <c r="D899" s="14" t="s">
        <v>268</v>
      </c>
      <c r="E899" s="14" t="s">
        <v>14</v>
      </c>
      <c r="F899" s="14" t="s">
        <v>324</v>
      </c>
      <c r="G899" s="179">
        <v>680898</v>
      </c>
      <c r="H899" s="176" t="s">
        <v>3078</v>
      </c>
      <c r="I899" s="176" t="s">
        <v>1874</v>
      </c>
      <c r="J899" s="176" t="s">
        <v>127</v>
      </c>
      <c r="K899" s="176" t="s">
        <v>3082</v>
      </c>
      <c r="L899" s="40" t="s">
        <v>106</v>
      </c>
      <c r="M899" s="40" t="s">
        <v>341</v>
      </c>
      <c r="N899" s="14" t="s">
        <v>3087</v>
      </c>
      <c r="O899" s="14" t="s">
        <v>548</v>
      </c>
      <c r="P899" s="14" t="s">
        <v>518</v>
      </c>
      <c r="Q899" s="14" t="s">
        <v>549</v>
      </c>
      <c r="R899" s="17">
        <v>370</v>
      </c>
      <c r="S899" s="172" t="s">
        <v>51</v>
      </c>
      <c r="T899" s="17"/>
      <c r="U899" s="14"/>
      <c r="V899" s="16">
        <f t="shared" si="119"/>
        <v>244189</v>
      </c>
      <c r="W899" s="16">
        <f t="shared" si="120"/>
        <v>244196</v>
      </c>
      <c r="X899" s="16">
        <f t="shared" si="121"/>
        <v>244191</v>
      </c>
      <c r="Y899" s="15" t="s">
        <v>54</v>
      </c>
      <c r="Z899" s="177">
        <v>244224</v>
      </c>
      <c r="AA899" s="170"/>
      <c r="AB899" s="170"/>
      <c r="AC899" s="170"/>
      <c r="AD899" s="170"/>
      <c r="AE899" s="15" t="s">
        <v>54</v>
      </c>
      <c r="AF899" s="177">
        <v>244225</v>
      </c>
      <c r="AG899" s="177" t="str">
        <f t="shared" si="117"/>
        <v>Pass</v>
      </c>
      <c r="AH899" s="177">
        <f t="shared" si="118"/>
        <v>244225</v>
      </c>
      <c r="AK899" s="176"/>
      <c r="AL899" s="176"/>
    </row>
    <row r="900" spans="1:38" ht="36" customHeight="1" x14ac:dyDescent="0.2">
      <c r="A900" s="14" t="s">
        <v>23</v>
      </c>
      <c r="B900" s="212">
        <v>244189</v>
      </c>
      <c r="C900" s="14" t="s">
        <v>547</v>
      </c>
      <c r="D900" s="14" t="s">
        <v>268</v>
      </c>
      <c r="E900" s="14" t="s">
        <v>14</v>
      </c>
      <c r="F900" s="14" t="s">
        <v>324</v>
      </c>
      <c r="G900" s="179">
        <v>680899</v>
      </c>
      <c r="H900" s="176" t="s">
        <v>2514</v>
      </c>
      <c r="I900" s="176" t="s">
        <v>2515</v>
      </c>
      <c r="J900" s="176" t="s">
        <v>2516</v>
      </c>
      <c r="K900" s="176" t="s">
        <v>3083</v>
      </c>
      <c r="L900" s="40" t="s">
        <v>45</v>
      </c>
      <c r="M900" s="40" t="s">
        <v>341</v>
      </c>
      <c r="N900" s="14" t="s">
        <v>1086</v>
      </c>
      <c r="O900" s="14" t="s">
        <v>557</v>
      </c>
      <c r="P900" s="14" t="s">
        <v>517</v>
      </c>
      <c r="Q900" s="14" t="s">
        <v>558</v>
      </c>
      <c r="R900" s="17">
        <v>200</v>
      </c>
      <c r="S900" s="172" t="s">
        <v>51</v>
      </c>
      <c r="T900" s="17">
        <v>2465</v>
      </c>
      <c r="U900" s="14" t="s">
        <v>51</v>
      </c>
      <c r="V900" s="16">
        <f t="shared" si="119"/>
        <v>244189</v>
      </c>
      <c r="W900" s="16">
        <f t="shared" si="120"/>
        <v>244196</v>
      </c>
      <c r="X900" s="16">
        <f t="shared" si="121"/>
        <v>244191</v>
      </c>
      <c r="Y900" s="15" t="s">
        <v>54</v>
      </c>
      <c r="Z900" s="177">
        <v>244211</v>
      </c>
      <c r="AA900" s="170"/>
      <c r="AB900" s="170"/>
      <c r="AC900" s="170"/>
      <c r="AD900" s="170"/>
      <c r="AE900" s="15" t="s">
        <v>54</v>
      </c>
      <c r="AF900" s="177">
        <v>244211</v>
      </c>
      <c r="AG900" s="177" t="str">
        <f t="shared" si="117"/>
        <v>Pass</v>
      </c>
      <c r="AH900" s="177">
        <f t="shared" si="118"/>
        <v>244211</v>
      </c>
      <c r="AK900" s="176"/>
      <c r="AL900" s="176"/>
    </row>
    <row r="901" spans="1:38" ht="36" customHeight="1" x14ac:dyDescent="0.2">
      <c r="A901" s="14" t="s">
        <v>23</v>
      </c>
      <c r="B901" s="212">
        <v>244189</v>
      </c>
      <c r="C901" s="14" t="s">
        <v>547</v>
      </c>
      <c r="D901" s="14" t="s">
        <v>268</v>
      </c>
      <c r="E901" s="14" t="s">
        <v>14</v>
      </c>
      <c r="F901" s="14" t="s">
        <v>324</v>
      </c>
      <c r="G901" s="179">
        <v>680900</v>
      </c>
      <c r="H901" s="176" t="s">
        <v>772</v>
      </c>
      <c r="I901" s="176" t="s">
        <v>774</v>
      </c>
      <c r="J901" s="176" t="s">
        <v>776</v>
      </c>
      <c r="K901" s="176" t="s">
        <v>3084</v>
      </c>
      <c r="L901" s="40" t="s">
        <v>105</v>
      </c>
      <c r="M901" s="40" t="s">
        <v>341</v>
      </c>
      <c r="N901" s="14" t="s">
        <v>3088</v>
      </c>
      <c r="O901" s="14" t="s">
        <v>548</v>
      </c>
      <c r="P901" s="14" t="s">
        <v>518</v>
      </c>
      <c r="Q901" s="14" t="s">
        <v>549</v>
      </c>
      <c r="R901" s="17">
        <v>240</v>
      </c>
      <c r="S901" s="172" t="s">
        <v>51</v>
      </c>
      <c r="T901" s="17">
        <v>1677</v>
      </c>
      <c r="U901" s="14" t="s">
        <v>51</v>
      </c>
      <c r="V901" s="16">
        <f t="shared" si="119"/>
        <v>244189</v>
      </c>
      <c r="W901" s="16">
        <f t="shared" si="120"/>
        <v>244196</v>
      </c>
      <c r="X901" s="16">
        <f t="shared" si="121"/>
        <v>244191</v>
      </c>
      <c r="Y901" s="15" t="s">
        <v>54</v>
      </c>
      <c r="Z901" s="177">
        <v>244211</v>
      </c>
      <c r="AA901" s="170"/>
      <c r="AB901" s="170"/>
      <c r="AC901" s="170"/>
      <c r="AD901" s="170"/>
      <c r="AE901" s="15" t="s">
        <v>54</v>
      </c>
      <c r="AF901" s="177">
        <v>244211</v>
      </c>
      <c r="AG901" s="177" t="str">
        <f t="shared" si="117"/>
        <v>Pass</v>
      </c>
      <c r="AH901" s="177">
        <f t="shared" si="118"/>
        <v>244211</v>
      </c>
      <c r="AK901" s="176"/>
      <c r="AL901" s="176"/>
    </row>
    <row r="902" spans="1:38" ht="36" customHeight="1" x14ac:dyDescent="0.2">
      <c r="A902" s="14" t="s">
        <v>23</v>
      </c>
      <c r="B902" s="212">
        <v>244189</v>
      </c>
      <c r="C902" s="14" t="s">
        <v>547</v>
      </c>
      <c r="D902" s="14" t="s">
        <v>268</v>
      </c>
      <c r="E902" s="14" t="s">
        <v>14</v>
      </c>
      <c r="F902" s="14" t="s">
        <v>324</v>
      </c>
      <c r="G902" s="179">
        <v>680901</v>
      </c>
      <c r="H902" s="176" t="s">
        <v>2514</v>
      </c>
      <c r="I902" s="176" t="s">
        <v>2515</v>
      </c>
      <c r="J902" s="176" t="s">
        <v>2516</v>
      </c>
      <c r="K902" s="176" t="s">
        <v>3083</v>
      </c>
      <c r="L902" s="40" t="s">
        <v>45</v>
      </c>
      <c r="M902" s="40" t="s">
        <v>341</v>
      </c>
      <c r="N902" s="14" t="s">
        <v>3089</v>
      </c>
      <c r="O902" s="14" t="s">
        <v>543</v>
      </c>
      <c r="P902" s="14" t="s">
        <v>684</v>
      </c>
      <c r="Q902" s="14" t="s">
        <v>529</v>
      </c>
      <c r="R902" s="17">
        <v>600</v>
      </c>
      <c r="S902" s="172" t="s">
        <v>51</v>
      </c>
      <c r="T902" s="17">
        <v>1450</v>
      </c>
      <c r="U902" s="14" t="s">
        <v>51</v>
      </c>
      <c r="V902" s="16">
        <f t="shared" si="119"/>
        <v>244189</v>
      </c>
      <c r="W902" s="16">
        <f t="shared" si="120"/>
        <v>244196</v>
      </c>
      <c r="X902" s="16">
        <f t="shared" si="121"/>
        <v>244191</v>
      </c>
      <c r="Y902" s="15" t="s">
        <v>54</v>
      </c>
      <c r="Z902" s="177">
        <v>244211</v>
      </c>
      <c r="AA902" s="170"/>
      <c r="AB902" s="170"/>
      <c r="AC902" s="170"/>
      <c r="AD902" s="170"/>
      <c r="AE902" s="15" t="s">
        <v>54</v>
      </c>
      <c r="AF902" s="177">
        <v>244211</v>
      </c>
      <c r="AG902" s="177" t="str">
        <f t="shared" si="117"/>
        <v>Pass</v>
      </c>
      <c r="AH902" s="177">
        <f t="shared" si="118"/>
        <v>244211</v>
      </c>
      <c r="AK902" s="176"/>
      <c r="AL902" s="176"/>
    </row>
    <row r="903" spans="1:38" ht="36" customHeight="1" x14ac:dyDescent="0.2">
      <c r="A903" s="14" t="s">
        <v>23</v>
      </c>
      <c r="B903" s="212">
        <v>244189</v>
      </c>
      <c r="C903" s="14" t="s">
        <v>547</v>
      </c>
      <c r="D903" s="14" t="s">
        <v>268</v>
      </c>
      <c r="E903" s="14" t="s">
        <v>14</v>
      </c>
      <c r="F903" s="14" t="s">
        <v>324</v>
      </c>
      <c r="G903" s="179">
        <v>680902</v>
      </c>
      <c r="H903" s="176" t="s">
        <v>3079</v>
      </c>
      <c r="I903" s="176" t="s">
        <v>3080</v>
      </c>
      <c r="J903" s="176" t="s">
        <v>3081</v>
      </c>
      <c r="K903" s="176" t="s">
        <v>3085</v>
      </c>
      <c r="L903" s="40" t="s">
        <v>45</v>
      </c>
      <c r="M903" s="40" t="s">
        <v>341</v>
      </c>
      <c r="N903" s="14" t="s">
        <v>3090</v>
      </c>
      <c r="O903" s="14" t="s">
        <v>557</v>
      </c>
      <c r="P903" s="14" t="s">
        <v>1487</v>
      </c>
      <c r="Q903" s="14" t="s">
        <v>558</v>
      </c>
      <c r="R903" s="17">
        <v>200</v>
      </c>
      <c r="S903" s="172" t="s">
        <v>51</v>
      </c>
      <c r="T903" s="17">
        <v>2395</v>
      </c>
      <c r="U903" s="14" t="s">
        <v>51</v>
      </c>
      <c r="V903" s="16">
        <f t="shared" si="119"/>
        <v>244189</v>
      </c>
      <c r="W903" s="16">
        <f t="shared" si="120"/>
        <v>244196</v>
      </c>
      <c r="X903" s="16">
        <f t="shared" si="121"/>
        <v>244191</v>
      </c>
      <c r="Y903" s="15" t="s">
        <v>54</v>
      </c>
      <c r="Z903" s="177">
        <v>244211</v>
      </c>
      <c r="AA903" s="170"/>
      <c r="AB903" s="170"/>
      <c r="AC903" s="170"/>
      <c r="AD903" s="170"/>
      <c r="AE903" s="15" t="s">
        <v>54</v>
      </c>
      <c r="AF903" s="177">
        <v>244211</v>
      </c>
      <c r="AG903" s="177" t="str">
        <f t="shared" si="117"/>
        <v>Pass</v>
      </c>
      <c r="AH903" s="177">
        <f t="shared" si="118"/>
        <v>244211</v>
      </c>
      <c r="AK903" s="176"/>
      <c r="AL903" s="176"/>
    </row>
    <row r="904" spans="1:38" ht="36" customHeight="1" x14ac:dyDescent="0.2">
      <c r="A904" s="14" t="s">
        <v>23</v>
      </c>
      <c r="B904" s="212">
        <v>244189</v>
      </c>
      <c r="C904" s="14" t="s">
        <v>547</v>
      </c>
      <c r="D904" s="14" t="s">
        <v>268</v>
      </c>
      <c r="E904" s="14" t="s">
        <v>14</v>
      </c>
      <c r="F904" s="14" t="s">
        <v>324</v>
      </c>
      <c r="G904" s="179">
        <v>680903</v>
      </c>
      <c r="H904" s="176" t="s">
        <v>772</v>
      </c>
      <c r="I904" s="176" t="s">
        <v>774</v>
      </c>
      <c r="J904" s="176" t="s">
        <v>776</v>
      </c>
      <c r="K904" s="176" t="s">
        <v>3084</v>
      </c>
      <c r="L904" s="40" t="s">
        <v>105</v>
      </c>
      <c r="M904" s="40" t="s">
        <v>341</v>
      </c>
      <c r="N904" s="14" t="s">
        <v>3091</v>
      </c>
      <c r="O904" s="14" t="s">
        <v>552</v>
      </c>
      <c r="P904" s="14" t="s">
        <v>519</v>
      </c>
      <c r="Q904" s="14" t="s">
        <v>553</v>
      </c>
      <c r="R904" s="17">
        <v>1425</v>
      </c>
      <c r="S904" s="172" t="s">
        <v>51</v>
      </c>
      <c r="T904" s="17">
        <v>1752</v>
      </c>
      <c r="U904" s="14" t="s">
        <v>51</v>
      </c>
      <c r="V904" s="16">
        <f t="shared" si="119"/>
        <v>244189</v>
      </c>
      <c r="W904" s="16">
        <f t="shared" si="120"/>
        <v>244196</v>
      </c>
      <c r="X904" s="16">
        <f t="shared" si="121"/>
        <v>244191</v>
      </c>
      <c r="Y904" s="15" t="s">
        <v>54</v>
      </c>
      <c r="Z904" s="177">
        <v>244211</v>
      </c>
      <c r="AA904" s="170"/>
      <c r="AB904" s="170"/>
      <c r="AC904" s="170"/>
      <c r="AD904" s="170"/>
      <c r="AE904" s="15" t="s">
        <v>54</v>
      </c>
      <c r="AF904" s="177">
        <v>244211</v>
      </c>
      <c r="AG904" s="177" t="str">
        <f t="shared" si="117"/>
        <v>Pass</v>
      </c>
      <c r="AH904" s="177">
        <f t="shared" si="118"/>
        <v>244211</v>
      </c>
      <c r="AK904" s="176"/>
      <c r="AL904" s="176"/>
    </row>
    <row r="905" spans="1:38" ht="36" customHeight="1" x14ac:dyDescent="0.2">
      <c r="A905" s="14" t="s">
        <v>23</v>
      </c>
      <c r="B905" s="212">
        <v>244189</v>
      </c>
      <c r="C905" s="14" t="s">
        <v>547</v>
      </c>
      <c r="D905" s="14" t="s">
        <v>268</v>
      </c>
      <c r="E905" s="14" t="s">
        <v>14</v>
      </c>
      <c r="F905" s="14" t="s">
        <v>324</v>
      </c>
      <c r="G905" s="179">
        <v>680904</v>
      </c>
      <c r="H905" s="176" t="s">
        <v>2922</v>
      </c>
      <c r="I905" s="176" t="s">
        <v>551</v>
      </c>
      <c r="J905" s="176" t="s">
        <v>832</v>
      </c>
      <c r="K905" s="176" t="s">
        <v>3086</v>
      </c>
      <c r="L905" s="40" t="s">
        <v>108</v>
      </c>
      <c r="M905" s="40" t="s">
        <v>341</v>
      </c>
      <c r="N905" s="14" t="s">
        <v>1032</v>
      </c>
      <c r="O905" s="14" t="s">
        <v>548</v>
      </c>
      <c r="P905" s="14" t="s">
        <v>518</v>
      </c>
      <c r="Q905" s="14" t="s">
        <v>549</v>
      </c>
      <c r="R905" s="17">
        <v>116</v>
      </c>
      <c r="S905" s="172" t="s">
        <v>51</v>
      </c>
      <c r="T905" s="17">
        <v>1365</v>
      </c>
      <c r="U905" s="14" t="s">
        <v>51</v>
      </c>
      <c r="V905" s="16">
        <f t="shared" si="119"/>
        <v>244189</v>
      </c>
      <c r="W905" s="16">
        <f t="shared" si="120"/>
        <v>244196</v>
      </c>
      <c r="X905" s="16">
        <f t="shared" si="121"/>
        <v>244191</v>
      </c>
      <c r="Y905" s="15" t="s">
        <v>54</v>
      </c>
      <c r="Z905" s="177">
        <v>244224</v>
      </c>
      <c r="AA905" s="170"/>
      <c r="AB905" s="170"/>
      <c r="AC905" s="170"/>
      <c r="AD905" s="170"/>
      <c r="AE905" s="15" t="s">
        <v>54</v>
      </c>
      <c r="AF905" s="177">
        <v>244225</v>
      </c>
      <c r="AG905" s="177" t="str">
        <f t="shared" si="117"/>
        <v>Pass</v>
      </c>
      <c r="AH905" s="177">
        <f t="shared" si="118"/>
        <v>244225</v>
      </c>
      <c r="AK905" s="176"/>
      <c r="AL905" s="176"/>
    </row>
    <row r="906" spans="1:38" ht="36" customHeight="1" x14ac:dyDescent="0.2">
      <c r="A906" s="14" t="s">
        <v>23</v>
      </c>
      <c r="B906" s="212">
        <v>244190</v>
      </c>
      <c r="C906" s="14" t="s">
        <v>547</v>
      </c>
      <c r="D906" s="14" t="s">
        <v>268</v>
      </c>
      <c r="E906" s="14" t="s">
        <v>14</v>
      </c>
      <c r="F906" s="14" t="s">
        <v>324</v>
      </c>
      <c r="G906" s="179">
        <v>680905</v>
      </c>
      <c r="H906" s="176" t="s">
        <v>1872</v>
      </c>
      <c r="I906" s="176" t="s">
        <v>1874</v>
      </c>
      <c r="J906" s="176" t="s">
        <v>127</v>
      </c>
      <c r="K906" s="176" t="s">
        <v>3093</v>
      </c>
      <c r="L906" s="40" t="s">
        <v>106</v>
      </c>
      <c r="M906" s="40" t="s">
        <v>341</v>
      </c>
      <c r="N906" s="14" t="s">
        <v>3095</v>
      </c>
      <c r="O906" s="14" t="s">
        <v>3102</v>
      </c>
      <c r="P906" s="14" t="s">
        <v>3104</v>
      </c>
      <c r="Q906" s="14" t="s">
        <v>3107</v>
      </c>
      <c r="R906" s="17">
        <v>100</v>
      </c>
      <c r="S906" s="172" t="s">
        <v>51</v>
      </c>
      <c r="T906" s="17">
        <v>3020</v>
      </c>
      <c r="U906" s="172" t="s">
        <v>51</v>
      </c>
      <c r="V906" s="16">
        <f t="shared" si="119"/>
        <v>244190</v>
      </c>
      <c r="W906" s="16">
        <f t="shared" si="120"/>
        <v>244197</v>
      </c>
      <c r="X906" s="16">
        <f t="shared" si="121"/>
        <v>244192</v>
      </c>
      <c r="Y906" s="15"/>
      <c r="Z906" s="177"/>
      <c r="AA906" s="170"/>
      <c r="AB906" s="170"/>
      <c r="AC906" s="170"/>
      <c r="AD906" s="170"/>
      <c r="AE906" s="15"/>
      <c r="AF906" s="177"/>
      <c r="AG906" s="177">
        <f t="shared" si="117"/>
        <v>0</v>
      </c>
      <c r="AH906" s="177">
        <f t="shared" si="118"/>
        <v>0</v>
      </c>
      <c r="AK906" s="176"/>
      <c r="AL906" s="176"/>
    </row>
    <row r="907" spans="1:38" ht="36" customHeight="1" x14ac:dyDescent="0.2">
      <c r="A907" s="14" t="s">
        <v>23</v>
      </c>
      <c r="B907" s="212">
        <v>244190</v>
      </c>
      <c r="C907" s="14" t="s">
        <v>547</v>
      </c>
      <c r="D907" s="14" t="s">
        <v>268</v>
      </c>
      <c r="E907" s="14" t="s">
        <v>14</v>
      </c>
      <c r="F907" s="14" t="s">
        <v>324</v>
      </c>
      <c r="G907" s="179">
        <v>680906</v>
      </c>
      <c r="H907" s="176" t="s">
        <v>772</v>
      </c>
      <c r="I907" s="176" t="s">
        <v>774</v>
      </c>
      <c r="J907" s="176" t="s">
        <v>776</v>
      </c>
      <c r="K907" s="176" t="s">
        <v>3084</v>
      </c>
      <c r="L907" s="40" t="s">
        <v>105</v>
      </c>
      <c r="M907" s="40" t="s">
        <v>341</v>
      </c>
      <c r="N907" s="14" t="s">
        <v>3096</v>
      </c>
      <c r="O907" s="14" t="s">
        <v>528</v>
      </c>
      <c r="P907" s="14" t="s">
        <v>1246</v>
      </c>
      <c r="Q907" s="14" t="s">
        <v>541</v>
      </c>
      <c r="R907" s="17">
        <v>400</v>
      </c>
      <c r="S907" s="172" t="s">
        <v>51</v>
      </c>
      <c r="T907" s="17">
        <v>1730</v>
      </c>
      <c r="U907" s="172" t="s">
        <v>51</v>
      </c>
      <c r="V907" s="16">
        <f t="shared" si="119"/>
        <v>244190</v>
      </c>
      <c r="W907" s="16">
        <f t="shared" si="120"/>
        <v>244197</v>
      </c>
      <c r="X907" s="16">
        <f t="shared" si="121"/>
        <v>244192</v>
      </c>
      <c r="Y907" s="15" t="s">
        <v>54</v>
      </c>
      <c r="Z907" s="177">
        <v>244224</v>
      </c>
      <c r="AA907" s="170"/>
      <c r="AB907" s="170"/>
      <c r="AC907" s="170"/>
      <c r="AD907" s="170"/>
      <c r="AE907" s="15" t="s">
        <v>54</v>
      </c>
      <c r="AF907" s="177">
        <v>244225</v>
      </c>
      <c r="AG907" s="177" t="str">
        <f t="shared" si="117"/>
        <v>Pass</v>
      </c>
      <c r="AH907" s="177">
        <f t="shared" si="118"/>
        <v>244225</v>
      </c>
      <c r="AK907" s="176"/>
      <c r="AL907" s="176"/>
    </row>
    <row r="908" spans="1:38" ht="36" customHeight="1" x14ac:dyDescent="0.2">
      <c r="A908" s="14" t="s">
        <v>23</v>
      </c>
      <c r="B908" s="212">
        <v>244190</v>
      </c>
      <c r="C908" s="14" t="s">
        <v>547</v>
      </c>
      <c r="D908" s="14" t="s">
        <v>268</v>
      </c>
      <c r="E908" s="14" t="s">
        <v>14</v>
      </c>
      <c r="F908" s="14" t="s">
        <v>324</v>
      </c>
      <c r="G908" s="179">
        <v>680907</v>
      </c>
      <c r="H908" s="176" t="s">
        <v>1872</v>
      </c>
      <c r="I908" s="176" t="s">
        <v>1874</v>
      </c>
      <c r="J908" s="176" t="s">
        <v>127</v>
      </c>
      <c r="K908" s="176" t="s">
        <v>3093</v>
      </c>
      <c r="L908" s="40" t="s">
        <v>106</v>
      </c>
      <c r="M908" s="40" t="s">
        <v>341</v>
      </c>
      <c r="N908" s="14" t="s">
        <v>3097</v>
      </c>
      <c r="O908" s="14" t="s">
        <v>528</v>
      </c>
      <c r="P908" s="14" t="s">
        <v>2813</v>
      </c>
      <c r="Q908" s="14" t="s">
        <v>541</v>
      </c>
      <c r="R908" s="17">
        <v>300</v>
      </c>
      <c r="S908" s="172" t="s">
        <v>51</v>
      </c>
      <c r="T908" s="17">
        <v>2590</v>
      </c>
      <c r="U908" s="172" t="s">
        <v>51</v>
      </c>
      <c r="V908" s="16">
        <f t="shared" si="119"/>
        <v>244190</v>
      </c>
      <c r="W908" s="16">
        <f t="shared" si="120"/>
        <v>244197</v>
      </c>
      <c r="X908" s="16">
        <f t="shared" si="121"/>
        <v>244192</v>
      </c>
      <c r="Y908" s="15"/>
      <c r="Z908" s="177"/>
      <c r="AA908" s="170"/>
      <c r="AB908" s="170"/>
      <c r="AC908" s="170"/>
      <c r="AD908" s="170"/>
      <c r="AE908" s="15"/>
      <c r="AF908" s="177"/>
      <c r="AG908" s="177">
        <f t="shared" si="117"/>
        <v>0</v>
      </c>
      <c r="AH908" s="177">
        <f t="shared" si="118"/>
        <v>0</v>
      </c>
      <c r="AK908" s="176"/>
      <c r="AL908" s="176"/>
    </row>
    <row r="909" spans="1:38" ht="36" customHeight="1" x14ac:dyDescent="0.2">
      <c r="A909" s="14" t="s">
        <v>23</v>
      </c>
      <c r="B909" s="212">
        <v>244190</v>
      </c>
      <c r="C909" s="14" t="s">
        <v>547</v>
      </c>
      <c r="D909" s="14" t="s">
        <v>268</v>
      </c>
      <c r="E909" s="14" t="s">
        <v>14</v>
      </c>
      <c r="F909" s="14" t="s">
        <v>324</v>
      </c>
      <c r="G909" s="179">
        <v>680908</v>
      </c>
      <c r="H909" s="176" t="s">
        <v>772</v>
      </c>
      <c r="I909" s="176" t="s">
        <v>774</v>
      </c>
      <c r="J909" s="176" t="s">
        <v>776</v>
      </c>
      <c r="K909" s="176" t="s">
        <v>3084</v>
      </c>
      <c r="L909" s="40" t="s">
        <v>105</v>
      </c>
      <c r="M909" s="40" t="s">
        <v>341</v>
      </c>
      <c r="N909" s="14" t="s">
        <v>3098</v>
      </c>
      <c r="O909" s="14" t="s">
        <v>2810</v>
      </c>
      <c r="P909" s="14" t="s">
        <v>3105</v>
      </c>
      <c r="Q909" s="14" t="s">
        <v>2817</v>
      </c>
      <c r="R909" s="17">
        <v>350</v>
      </c>
      <c r="S909" s="172" t="s">
        <v>51</v>
      </c>
      <c r="T909" s="17">
        <v>1730</v>
      </c>
      <c r="U909" s="172" t="s">
        <v>51</v>
      </c>
      <c r="V909" s="16">
        <f t="shared" si="119"/>
        <v>244190</v>
      </c>
      <c r="W909" s="16">
        <f t="shared" si="120"/>
        <v>244197</v>
      </c>
      <c r="X909" s="16">
        <f t="shared" si="121"/>
        <v>244192</v>
      </c>
      <c r="Y909" s="15" t="s">
        <v>54</v>
      </c>
      <c r="Z909" s="177">
        <v>244211</v>
      </c>
      <c r="AA909" s="170"/>
      <c r="AB909" s="170"/>
      <c r="AC909" s="170"/>
      <c r="AD909" s="170"/>
      <c r="AE909" s="15" t="s">
        <v>54</v>
      </c>
      <c r="AF909" s="177">
        <v>244211</v>
      </c>
      <c r="AG909" s="177" t="str">
        <f t="shared" si="117"/>
        <v>Pass</v>
      </c>
      <c r="AH909" s="177">
        <f t="shared" si="118"/>
        <v>244211</v>
      </c>
      <c r="AK909" s="176"/>
      <c r="AL909" s="176"/>
    </row>
    <row r="910" spans="1:38" ht="36" customHeight="1" x14ac:dyDescent="0.2">
      <c r="A910" s="14" t="s">
        <v>23</v>
      </c>
      <c r="B910" s="212">
        <v>244190</v>
      </c>
      <c r="C910" s="14" t="s">
        <v>547</v>
      </c>
      <c r="D910" s="14" t="s">
        <v>268</v>
      </c>
      <c r="E910" s="14" t="s">
        <v>14</v>
      </c>
      <c r="F910" s="14" t="s">
        <v>324</v>
      </c>
      <c r="G910" s="179">
        <v>680909</v>
      </c>
      <c r="H910" s="176" t="s">
        <v>663</v>
      </c>
      <c r="I910" s="176" t="s">
        <v>630</v>
      </c>
      <c r="J910" s="176" t="s">
        <v>821</v>
      </c>
      <c r="K910" s="176" t="s">
        <v>3062</v>
      </c>
      <c r="L910" s="40" t="s">
        <v>124</v>
      </c>
      <c r="M910" s="40" t="s">
        <v>341</v>
      </c>
      <c r="N910" s="14" t="s">
        <v>3099</v>
      </c>
      <c r="O910" s="14" t="s">
        <v>3103</v>
      </c>
      <c r="P910" s="14" t="s">
        <v>1124</v>
      </c>
      <c r="Q910" s="14" t="s">
        <v>3108</v>
      </c>
      <c r="R910" s="17">
        <v>2500</v>
      </c>
      <c r="S910" s="172" t="s">
        <v>51</v>
      </c>
      <c r="T910" s="17">
        <v>2565</v>
      </c>
      <c r="U910" s="172" t="s">
        <v>51</v>
      </c>
      <c r="V910" s="16">
        <f t="shared" si="119"/>
        <v>244190</v>
      </c>
      <c r="W910" s="16">
        <f t="shared" si="120"/>
        <v>244197</v>
      </c>
      <c r="X910" s="16">
        <f t="shared" si="121"/>
        <v>244192</v>
      </c>
      <c r="Y910" s="15" t="s">
        <v>54</v>
      </c>
      <c r="Z910" s="177">
        <v>244211</v>
      </c>
      <c r="AA910" s="170"/>
      <c r="AB910" s="170"/>
      <c r="AC910" s="170"/>
      <c r="AD910" s="170"/>
      <c r="AE910" s="15" t="s">
        <v>54</v>
      </c>
      <c r="AF910" s="177">
        <v>244211</v>
      </c>
      <c r="AG910" s="177" t="str">
        <f t="shared" si="117"/>
        <v>Pass</v>
      </c>
      <c r="AH910" s="177">
        <f t="shared" si="118"/>
        <v>244211</v>
      </c>
      <c r="AK910" s="176"/>
      <c r="AL910" s="176"/>
    </row>
    <row r="911" spans="1:38" ht="36" customHeight="1" x14ac:dyDescent="0.2">
      <c r="A911" s="14" t="s">
        <v>23</v>
      </c>
      <c r="B911" s="212">
        <v>244190</v>
      </c>
      <c r="C911" s="14" t="s">
        <v>547</v>
      </c>
      <c r="D911" s="14" t="s">
        <v>268</v>
      </c>
      <c r="E911" s="14" t="s">
        <v>14</v>
      </c>
      <c r="F911" s="14" t="s">
        <v>324</v>
      </c>
      <c r="G911" s="179">
        <v>680910</v>
      </c>
      <c r="H911" s="176" t="s">
        <v>759</v>
      </c>
      <c r="I911" s="176" t="s">
        <v>3092</v>
      </c>
      <c r="J911" s="176" t="s">
        <v>123</v>
      </c>
      <c r="K911" s="176" t="s">
        <v>3094</v>
      </c>
      <c r="L911" s="40" t="s">
        <v>45</v>
      </c>
      <c r="M911" s="40" t="s">
        <v>341</v>
      </c>
      <c r="N911" s="14" t="s">
        <v>3100</v>
      </c>
      <c r="O911" s="14" t="s">
        <v>543</v>
      </c>
      <c r="P911" s="14" t="s">
        <v>3106</v>
      </c>
      <c r="Q911" s="14" t="s">
        <v>529</v>
      </c>
      <c r="R911" s="17">
        <v>700</v>
      </c>
      <c r="S911" s="172" t="s">
        <v>51</v>
      </c>
      <c r="T911" s="17">
        <v>1200</v>
      </c>
      <c r="U911" s="172" t="s">
        <v>51</v>
      </c>
      <c r="V911" s="16">
        <f t="shared" si="119"/>
        <v>244190</v>
      </c>
      <c r="W911" s="16">
        <f t="shared" si="120"/>
        <v>244197</v>
      </c>
      <c r="X911" s="16">
        <f t="shared" si="121"/>
        <v>244192</v>
      </c>
      <c r="Y911" s="15" t="s">
        <v>54</v>
      </c>
      <c r="Z911" s="177">
        <v>244211</v>
      </c>
      <c r="AA911" s="170"/>
      <c r="AB911" s="170"/>
      <c r="AC911" s="170"/>
      <c r="AD911" s="170"/>
      <c r="AE911" s="15" t="s">
        <v>54</v>
      </c>
      <c r="AF911" s="177">
        <v>244211</v>
      </c>
      <c r="AG911" s="177" t="str">
        <f t="shared" si="117"/>
        <v>Pass</v>
      </c>
      <c r="AH911" s="177">
        <f t="shared" si="118"/>
        <v>244211</v>
      </c>
      <c r="AK911" s="176"/>
      <c r="AL911" s="176"/>
    </row>
    <row r="912" spans="1:38" ht="36" customHeight="1" x14ac:dyDescent="0.2">
      <c r="A912" s="14" t="s">
        <v>23</v>
      </c>
      <c r="B912" s="212">
        <v>244190</v>
      </c>
      <c r="C912" s="14" t="s">
        <v>547</v>
      </c>
      <c r="D912" s="14" t="s">
        <v>268</v>
      </c>
      <c r="E912" s="14" t="s">
        <v>14</v>
      </c>
      <c r="F912" s="14" t="s">
        <v>324</v>
      </c>
      <c r="G912" s="179">
        <v>680911</v>
      </c>
      <c r="H912" s="176" t="s">
        <v>772</v>
      </c>
      <c r="I912" s="176" t="s">
        <v>774</v>
      </c>
      <c r="J912" s="176" t="s">
        <v>776</v>
      </c>
      <c r="K912" s="176" t="s">
        <v>3084</v>
      </c>
      <c r="L912" s="40" t="s">
        <v>105</v>
      </c>
      <c r="M912" s="40" t="s">
        <v>341</v>
      </c>
      <c r="N912" s="14" t="s">
        <v>3101</v>
      </c>
      <c r="O912" s="14" t="s">
        <v>552</v>
      </c>
      <c r="P912" s="14" t="s">
        <v>519</v>
      </c>
      <c r="Q912" s="14" t="s">
        <v>553</v>
      </c>
      <c r="R912" s="17">
        <v>7053</v>
      </c>
      <c r="S912" s="172" t="s">
        <v>51</v>
      </c>
      <c r="T912" s="17">
        <v>1745</v>
      </c>
      <c r="U912" s="172" t="s">
        <v>51</v>
      </c>
      <c r="V912" s="16">
        <f t="shared" si="119"/>
        <v>244190</v>
      </c>
      <c r="W912" s="16">
        <f t="shared" si="120"/>
        <v>244197</v>
      </c>
      <c r="X912" s="16">
        <f t="shared" si="121"/>
        <v>244192</v>
      </c>
      <c r="Y912" s="15" t="s">
        <v>54</v>
      </c>
      <c r="Z912" s="177">
        <v>244224</v>
      </c>
      <c r="AA912" s="170"/>
      <c r="AB912" s="170"/>
      <c r="AC912" s="170"/>
      <c r="AD912" s="170"/>
      <c r="AE912" s="15" t="s">
        <v>54</v>
      </c>
      <c r="AF912" s="177">
        <v>244229</v>
      </c>
      <c r="AG912" s="177" t="str">
        <f t="shared" si="117"/>
        <v>Pass</v>
      </c>
      <c r="AH912" s="177">
        <f t="shared" si="118"/>
        <v>244229</v>
      </c>
      <c r="AK912" s="176"/>
      <c r="AL912" s="176"/>
    </row>
    <row r="913" spans="1:38" ht="36" customHeight="1" x14ac:dyDescent="0.2">
      <c r="A913" s="14" t="s">
        <v>23</v>
      </c>
      <c r="B913" s="212">
        <v>244190</v>
      </c>
      <c r="C913" s="14" t="s">
        <v>547</v>
      </c>
      <c r="D913" s="14" t="s">
        <v>268</v>
      </c>
      <c r="E913" s="14" t="s">
        <v>14</v>
      </c>
      <c r="F913" s="14" t="s">
        <v>324</v>
      </c>
      <c r="G913" s="179">
        <v>680912</v>
      </c>
      <c r="H913" s="176" t="s">
        <v>759</v>
      </c>
      <c r="I913" s="176" t="s">
        <v>3092</v>
      </c>
      <c r="J913" s="176" t="s">
        <v>123</v>
      </c>
      <c r="K913" s="176" t="s">
        <v>3094</v>
      </c>
      <c r="L913" s="40" t="s">
        <v>45</v>
      </c>
      <c r="M913" s="40" t="s">
        <v>341</v>
      </c>
      <c r="N913" s="14" t="s">
        <v>2458</v>
      </c>
      <c r="O913" s="14" t="s">
        <v>548</v>
      </c>
      <c r="P913" s="14" t="s">
        <v>518</v>
      </c>
      <c r="Q913" s="14" t="s">
        <v>549</v>
      </c>
      <c r="R913" s="17">
        <v>241</v>
      </c>
      <c r="S913" s="172" t="s">
        <v>51</v>
      </c>
      <c r="T913" s="17">
        <v>1900</v>
      </c>
      <c r="U913" s="172" t="s">
        <v>51</v>
      </c>
      <c r="V913" s="16">
        <f t="shared" si="119"/>
        <v>244190</v>
      </c>
      <c r="W913" s="16">
        <f t="shared" si="120"/>
        <v>244197</v>
      </c>
      <c r="X913" s="16">
        <f t="shared" si="121"/>
        <v>244192</v>
      </c>
      <c r="Y913" s="15" t="s">
        <v>54</v>
      </c>
      <c r="Z913" s="177">
        <v>244211</v>
      </c>
      <c r="AA913" s="170"/>
      <c r="AB913" s="170"/>
      <c r="AC913" s="170"/>
      <c r="AD913" s="170"/>
      <c r="AE913" s="15" t="s">
        <v>54</v>
      </c>
      <c r="AF913" s="177">
        <v>244211</v>
      </c>
      <c r="AG913" s="177" t="str">
        <f t="shared" si="117"/>
        <v>Pass</v>
      </c>
      <c r="AH913" s="177">
        <f t="shared" si="118"/>
        <v>244211</v>
      </c>
      <c r="AK913" s="176"/>
      <c r="AL913" s="176"/>
    </row>
    <row r="914" spans="1:38" ht="36" customHeight="1" x14ac:dyDescent="0.2">
      <c r="A914" s="14" t="s">
        <v>23</v>
      </c>
      <c r="B914" s="212">
        <v>244190</v>
      </c>
      <c r="C914" s="14" t="s">
        <v>547</v>
      </c>
      <c r="D914" s="14" t="s">
        <v>268</v>
      </c>
      <c r="E914" s="14" t="s">
        <v>14</v>
      </c>
      <c r="F914" s="14" t="s">
        <v>324</v>
      </c>
      <c r="G914" s="179">
        <v>680913</v>
      </c>
      <c r="H914" s="176" t="s">
        <v>772</v>
      </c>
      <c r="I914" s="176" t="s">
        <v>774</v>
      </c>
      <c r="J914" s="176" t="s">
        <v>776</v>
      </c>
      <c r="K914" s="176" t="s">
        <v>3084</v>
      </c>
      <c r="L914" s="40" t="s">
        <v>105</v>
      </c>
      <c r="M914" s="40" t="s">
        <v>341</v>
      </c>
      <c r="N914" s="14" t="s">
        <v>3109</v>
      </c>
      <c r="O914" s="14" t="s">
        <v>2854</v>
      </c>
      <c r="P914" s="14" t="s">
        <v>3110</v>
      </c>
      <c r="Q914" s="14" t="s">
        <v>2859</v>
      </c>
      <c r="R914" s="17">
        <v>150</v>
      </c>
      <c r="S914" s="172" t="s">
        <v>51</v>
      </c>
      <c r="T914" s="17">
        <v>1730</v>
      </c>
      <c r="U914" s="172" t="s">
        <v>51</v>
      </c>
      <c r="V914" s="16">
        <f t="shared" si="119"/>
        <v>244190</v>
      </c>
      <c r="W914" s="16">
        <f t="shared" si="120"/>
        <v>244197</v>
      </c>
      <c r="X914" s="16">
        <f t="shared" si="121"/>
        <v>244192</v>
      </c>
      <c r="Y914" s="15" t="s">
        <v>54</v>
      </c>
      <c r="Z914" s="177">
        <v>244211</v>
      </c>
      <c r="AA914" s="170"/>
      <c r="AB914" s="170"/>
      <c r="AC914" s="170"/>
      <c r="AD914" s="170"/>
      <c r="AE914" s="15" t="s">
        <v>54</v>
      </c>
      <c r="AF914" s="177">
        <v>244211</v>
      </c>
      <c r="AG914" s="177" t="str">
        <f t="shared" si="117"/>
        <v>Pass</v>
      </c>
      <c r="AH914" s="177">
        <f t="shared" si="118"/>
        <v>244211</v>
      </c>
      <c r="AK914" s="176"/>
      <c r="AL914" s="176"/>
    </row>
    <row r="915" spans="1:38" ht="36" customHeight="1" x14ac:dyDescent="0.2">
      <c r="A915" s="14" t="s">
        <v>23</v>
      </c>
      <c r="B915" s="212">
        <v>244191</v>
      </c>
      <c r="C915" s="14" t="s">
        <v>547</v>
      </c>
      <c r="D915" s="14" t="s">
        <v>268</v>
      </c>
      <c r="E915" s="14" t="s">
        <v>14</v>
      </c>
      <c r="F915" s="14" t="s">
        <v>324</v>
      </c>
      <c r="G915" s="179">
        <v>680914</v>
      </c>
      <c r="H915" s="176" t="s">
        <v>996</v>
      </c>
      <c r="I915" s="176" t="s">
        <v>630</v>
      </c>
      <c r="J915" s="176" t="s">
        <v>520</v>
      </c>
      <c r="K915" s="176" t="s">
        <v>3111</v>
      </c>
      <c r="L915" s="40" t="s">
        <v>46</v>
      </c>
      <c r="M915" s="40" t="s">
        <v>341</v>
      </c>
      <c r="N915" s="14" t="s">
        <v>1353</v>
      </c>
      <c r="O915" s="14" t="s">
        <v>543</v>
      </c>
      <c r="P915" s="14" t="s">
        <v>971</v>
      </c>
      <c r="Q915" s="14" t="s">
        <v>529</v>
      </c>
      <c r="R915" s="17">
        <v>1500</v>
      </c>
      <c r="S915" s="172" t="s">
        <v>51</v>
      </c>
      <c r="T915" s="17">
        <v>2060</v>
      </c>
      <c r="U915" s="172" t="s">
        <v>51</v>
      </c>
      <c r="V915" s="16">
        <f t="shared" si="119"/>
        <v>244191</v>
      </c>
      <c r="W915" s="16">
        <f t="shared" si="120"/>
        <v>244198</v>
      </c>
      <c r="X915" s="16">
        <f t="shared" si="121"/>
        <v>244193</v>
      </c>
      <c r="Y915" s="15" t="s">
        <v>54</v>
      </c>
      <c r="Z915" s="177">
        <v>244224</v>
      </c>
      <c r="AA915" s="170"/>
      <c r="AB915" s="170"/>
      <c r="AC915" s="170"/>
      <c r="AD915" s="170"/>
      <c r="AE915" s="15" t="s">
        <v>54</v>
      </c>
      <c r="AF915" s="177">
        <v>244229</v>
      </c>
      <c r="AG915" s="177" t="str">
        <f t="shared" si="117"/>
        <v>Pass</v>
      </c>
      <c r="AH915" s="177">
        <f t="shared" si="118"/>
        <v>244229</v>
      </c>
      <c r="AK915" s="176"/>
      <c r="AL915" s="176"/>
    </row>
    <row r="916" spans="1:38" ht="36" customHeight="1" x14ac:dyDescent="0.2">
      <c r="A916" s="14" t="s">
        <v>23</v>
      </c>
      <c r="B916" s="212">
        <v>244191</v>
      </c>
      <c r="C916" s="14" t="s">
        <v>547</v>
      </c>
      <c r="D916" s="14" t="s">
        <v>268</v>
      </c>
      <c r="E916" s="14" t="s">
        <v>14</v>
      </c>
      <c r="F916" s="14" t="s">
        <v>324</v>
      </c>
      <c r="G916" s="179">
        <v>680915</v>
      </c>
      <c r="H916" s="176" t="s">
        <v>861</v>
      </c>
      <c r="I916" s="176" t="s">
        <v>551</v>
      </c>
      <c r="J916" s="176" t="s">
        <v>832</v>
      </c>
      <c r="K916" s="176" t="s">
        <v>3112</v>
      </c>
      <c r="L916" s="40" t="s">
        <v>108</v>
      </c>
      <c r="M916" s="40" t="s">
        <v>341</v>
      </c>
      <c r="N916" s="14" t="s">
        <v>2979</v>
      </c>
      <c r="O916" s="14" t="s">
        <v>3119</v>
      </c>
      <c r="P916" s="14" t="s">
        <v>2104</v>
      </c>
      <c r="Q916" s="14" t="s">
        <v>3121</v>
      </c>
      <c r="R916" s="17">
        <v>600</v>
      </c>
      <c r="S916" s="172" t="s">
        <v>51</v>
      </c>
      <c r="T916" s="17">
        <v>2886</v>
      </c>
      <c r="U916" s="172" t="s">
        <v>51</v>
      </c>
      <c r="V916" s="16">
        <f t="shared" si="119"/>
        <v>244191</v>
      </c>
      <c r="W916" s="16">
        <f t="shared" si="120"/>
        <v>244198</v>
      </c>
      <c r="X916" s="16">
        <f t="shared" si="121"/>
        <v>244193</v>
      </c>
      <c r="Y916" s="15" t="s">
        <v>54</v>
      </c>
      <c r="Z916" s="177">
        <v>244224</v>
      </c>
      <c r="AA916" s="170"/>
      <c r="AB916" s="170"/>
      <c r="AC916" s="170"/>
      <c r="AD916" s="170"/>
      <c r="AE916" s="15" t="s">
        <v>54</v>
      </c>
      <c r="AF916" s="177">
        <v>244229</v>
      </c>
      <c r="AG916" s="177" t="str">
        <f t="shared" si="117"/>
        <v>Pass</v>
      </c>
      <c r="AH916" s="177">
        <f t="shared" si="118"/>
        <v>244229</v>
      </c>
      <c r="AK916" s="176"/>
      <c r="AL916" s="176"/>
    </row>
    <row r="917" spans="1:38" ht="36" customHeight="1" x14ac:dyDescent="0.2">
      <c r="A917" s="14" t="s">
        <v>23</v>
      </c>
      <c r="B917" s="212">
        <v>244191</v>
      </c>
      <c r="C917" s="14" t="s">
        <v>547</v>
      </c>
      <c r="D917" s="14" t="s">
        <v>268</v>
      </c>
      <c r="E917" s="14" t="s">
        <v>14</v>
      </c>
      <c r="F917" s="14" t="s">
        <v>324</v>
      </c>
      <c r="G917" s="179">
        <v>680916</v>
      </c>
      <c r="H917" s="176" t="s">
        <v>759</v>
      </c>
      <c r="I917" s="176" t="s">
        <v>3092</v>
      </c>
      <c r="J917" s="176" t="s">
        <v>123</v>
      </c>
      <c r="K917" s="176" t="s">
        <v>3094</v>
      </c>
      <c r="L917" s="40" t="s">
        <v>45</v>
      </c>
      <c r="M917" s="40" t="s">
        <v>341</v>
      </c>
      <c r="N917" s="14" t="s">
        <v>1767</v>
      </c>
      <c r="O917" s="14" t="s">
        <v>548</v>
      </c>
      <c r="P917" s="14" t="s">
        <v>717</v>
      </c>
      <c r="Q917" s="14" t="s">
        <v>549</v>
      </c>
      <c r="R917" s="17">
        <v>152</v>
      </c>
      <c r="S917" s="172" t="s">
        <v>51</v>
      </c>
      <c r="T917" s="17">
        <v>1980</v>
      </c>
      <c r="U917" s="172" t="s">
        <v>51</v>
      </c>
      <c r="V917" s="16">
        <f t="shared" si="119"/>
        <v>244191</v>
      </c>
      <c r="W917" s="16">
        <f t="shared" si="120"/>
        <v>244198</v>
      </c>
      <c r="X917" s="16">
        <f t="shared" si="121"/>
        <v>244193</v>
      </c>
      <c r="Y917" s="15" t="s">
        <v>54</v>
      </c>
      <c r="Z917" s="177">
        <v>244211</v>
      </c>
      <c r="AA917" s="170"/>
      <c r="AB917" s="170"/>
      <c r="AC917" s="170"/>
      <c r="AD917" s="170"/>
      <c r="AE917" s="15" t="s">
        <v>54</v>
      </c>
      <c r="AF917" s="177">
        <v>244211</v>
      </c>
      <c r="AG917" s="177" t="str">
        <f t="shared" si="117"/>
        <v>Pass</v>
      </c>
      <c r="AH917" s="177">
        <f t="shared" si="118"/>
        <v>244211</v>
      </c>
      <c r="AK917" s="176"/>
      <c r="AL917" s="176"/>
    </row>
    <row r="918" spans="1:38" ht="36" customHeight="1" x14ac:dyDescent="0.2">
      <c r="A918" s="14" t="s">
        <v>23</v>
      </c>
      <c r="B918" s="212">
        <v>244191</v>
      </c>
      <c r="C918" s="14" t="s">
        <v>547</v>
      </c>
      <c r="D918" s="14" t="s">
        <v>268</v>
      </c>
      <c r="E918" s="14" t="s">
        <v>14</v>
      </c>
      <c r="F918" s="14" t="s">
        <v>324</v>
      </c>
      <c r="G918" s="179">
        <v>680917</v>
      </c>
      <c r="H918" s="176" t="s">
        <v>996</v>
      </c>
      <c r="I918" s="176" t="s">
        <v>630</v>
      </c>
      <c r="J918" s="176" t="s">
        <v>520</v>
      </c>
      <c r="K918" s="176" t="s">
        <v>3111</v>
      </c>
      <c r="L918" s="40" t="s">
        <v>46</v>
      </c>
      <c r="M918" s="40" t="s">
        <v>341</v>
      </c>
      <c r="N918" s="14" t="s">
        <v>3114</v>
      </c>
      <c r="O918" s="14" t="s">
        <v>527</v>
      </c>
      <c r="P918" s="14" t="s">
        <v>3120</v>
      </c>
      <c r="Q918" s="14" t="s">
        <v>542</v>
      </c>
      <c r="R918" s="17">
        <v>150</v>
      </c>
      <c r="S918" s="172" t="s">
        <v>51</v>
      </c>
      <c r="T918" s="17">
        <v>2045</v>
      </c>
      <c r="U918" s="172" t="s">
        <v>51</v>
      </c>
      <c r="V918" s="16">
        <f t="shared" si="119"/>
        <v>244191</v>
      </c>
      <c r="W918" s="16">
        <f t="shared" si="120"/>
        <v>244198</v>
      </c>
      <c r="X918" s="16">
        <f t="shared" si="121"/>
        <v>244193</v>
      </c>
      <c r="Y918" s="15" t="s">
        <v>54</v>
      </c>
      <c r="Z918" s="177">
        <v>244224</v>
      </c>
      <c r="AA918" s="170"/>
      <c r="AB918" s="170"/>
      <c r="AC918" s="170"/>
      <c r="AD918" s="170"/>
      <c r="AE918" s="15" t="s">
        <v>54</v>
      </c>
      <c r="AF918" s="177">
        <v>244229</v>
      </c>
      <c r="AG918" s="177" t="str">
        <f t="shared" si="117"/>
        <v>Pass</v>
      </c>
      <c r="AH918" s="177">
        <f t="shared" si="118"/>
        <v>244229</v>
      </c>
      <c r="AK918" s="176"/>
      <c r="AL918" s="176"/>
    </row>
    <row r="919" spans="1:38" ht="36" customHeight="1" x14ac:dyDescent="0.2">
      <c r="A919" s="14" t="s">
        <v>23</v>
      </c>
      <c r="B919" s="212">
        <v>244191</v>
      </c>
      <c r="C919" s="14" t="s">
        <v>547</v>
      </c>
      <c r="D919" s="14" t="s">
        <v>268</v>
      </c>
      <c r="E919" s="14" t="s">
        <v>14</v>
      </c>
      <c r="F919" s="14" t="s">
        <v>324</v>
      </c>
      <c r="G919" s="179">
        <v>680918</v>
      </c>
      <c r="H919" s="176" t="s">
        <v>996</v>
      </c>
      <c r="I919" s="176" t="s">
        <v>630</v>
      </c>
      <c r="J919" s="176" t="s">
        <v>520</v>
      </c>
      <c r="K919" s="176" t="s">
        <v>3111</v>
      </c>
      <c r="L919" s="40" t="s">
        <v>46</v>
      </c>
      <c r="M919" s="40" t="s">
        <v>341</v>
      </c>
      <c r="N919" s="14" t="s">
        <v>3115</v>
      </c>
      <c r="O919" s="14" t="s">
        <v>2521</v>
      </c>
      <c r="P919" s="14" t="s">
        <v>517</v>
      </c>
      <c r="Q919" s="14" t="s">
        <v>2523</v>
      </c>
      <c r="R919" s="17">
        <v>480</v>
      </c>
      <c r="S919" s="172" t="s">
        <v>51</v>
      </c>
      <c r="T919" s="17">
        <v>2065</v>
      </c>
      <c r="U919" s="172" t="s">
        <v>51</v>
      </c>
      <c r="V919" s="16">
        <f t="shared" si="119"/>
        <v>244191</v>
      </c>
      <c r="W919" s="16">
        <f t="shared" si="120"/>
        <v>244198</v>
      </c>
      <c r="X919" s="16">
        <f t="shared" si="121"/>
        <v>244193</v>
      </c>
      <c r="Y919" s="15" t="s">
        <v>54</v>
      </c>
      <c r="Z919" s="177">
        <v>244211</v>
      </c>
      <c r="AA919" s="170"/>
      <c r="AB919" s="170"/>
      <c r="AC919" s="170"/>
      <c r="AD919" s="170"/>
      <c r="AE919" s="15" t="s">
        <v>54</v>
      </c>
      <c r="AF919" s="177">
        <v>244211</v>
      </c>
      <c r="AG919" s="177" t="str">
        <f t="shared" si="117"/>
        <v>Pass</v>
      </c>
      <c r="AH919" s="177">
        <f t="shared" si="118"/>
        <v>244211</v>
      </c>
      <c r="AK919" s="176"/>
      <c r="AL919" s="176"/>
    </row>
    <row r="920" spans="1:38" ht="36" customHeight="1" x14ac:dyDescent="0.2">
      <c r="A920" s="14" t="s">
        <v>23</v>
      </c>
      <c r="B920" s="212">
        <v>244191</v>
      </c>
      <c r="C920" s="14" t="s">
        <v>547</v>
      </c>
      <c r="D920" s="14" t="s">
        <v>268</v>
      </c>
      <c r="E920" s="14" t="s">
        <v>14</v>
      </c>
      <c r="F920" s="14" t="s">
        <v>324</v>
      </c>
      <c r="G920" s="179">
        <v>680919</v>
      </c>
      <c r="H920" s="176" t="s">
        <v>996</v>
      </c>
      <c r="I920" s="176" t="s">
        <v>630</v>
      </c>
      <c r="J920" s="176" t="s">
        <v>520</v>
      </c>
      <c r="K920" s="176" t="s">
        <v>3111</v>
      </c>
      <c r="L920" s="40" t="s">
        <v>46</v>
      </c>
      <c r="M920" s="40" t="s">
        <v>341</v>
      </c>
      <c r="N920" s="14" t="s">
        <v>3116</v>
      </c>
      <c r="O920" s="14" t="s">
        <v>953</v>
      </c>
      <c r="P920" s="14" t="s">
        <v>2203</v>
      </c>
      <c r="Q920" s="14" t="s">
        <v>956</v>
      </c>
      <c r="R920" s="17">
        <v>940</v>
      </c>
      <c r="S920" s="172" t="s">
        <v>51</v>
      </c>
      <c r="T920" s="17">
        <v>2040</v>
      </c>
      <c r="U920" s="172" t="s">
        <v>51</v>
      </c>
      <c r="V920" s="16">
        <f t="shared" si="119"/>
        <v>244191</v>
      </c>
      <c r="W920" s="16">
        <f t="shared" si="120"/>
        <v>244198</v>
      </c>
      <c r="X920" s="16">
        <f t="shared" si="121"/>
        <v>244193</v>
      </c>
      <c r="Y920" s="15" t="s">
        <v>54</v>
      </c>
      <c r="Z920" s="177">
        <v>244224</v>
      </c>
      <c r="AA920" s="170"/>
      <c r="AB920" s="170"/>
      <c r="AC920" s="170"/>
      <c r="AD920" s="170"/>
      <c r="AE920" s="15" t="s">
        <v>54</v>
      </c>
      <c r="AF920" s="177">
        <v>244229</v>
      </c>
      <c r="AG920" s="177" t="str">
        <f t="shared" si="117"/>
        <v>Pass</v>
      </c>
      <c r="AH920" s="177">
        <f t="shared" si="118"/>
        <v>244229</v>
      </c>
      <c r="AK920" s="176"/>
      <c r="AL920" s="176"/>
    </row>
    <row r="921" spans="1:38" ht="36" customHeight="1" x14ac:dyDescent="0.2">
      <c r="A921" s="14" t="s">
        <v>23</v>
      </c>
      <c r="B921" s="212">
        <v>244191</v>
      </c>
      <c r="C921" s="14" t="s">
        <v>547</v>
      </c>
      <c r="D921" s="14" t="s">
        <v>268</v>
      </c>
      <c r="E921" s="14" t="s">
        <v>14</v>
      </c>
      <c r="F921" s="14" t="s">
        <v>324</v>
      </c>
      <c r="G921" s="179">
        <v>680920</v>
      </c>
      <c r="H921" s="176" t="s">
        <v>996</v>
      </c>
      <c r="I921" s="176" t="s">
        <v>630</v>
      </c>
      <c r="J921" s="176" t="s">
        <v>520</v>
      </c>
      <c r="K921" s="176" t="s">
        <v>3111</v>
      </c>
      <c r="L921" s="40" t="s">
        <v>46</v>
      </c>
      <c r="M921" s="40" t="s">
        <v>341</v>
      </c>
      <c r="N921" s="14" t="s">
        <v>3117</v>
      </c>
      <c r="O921" s="14" t="s">
        <v>548</v>
      </c>
      <c r="P921" s="14" t="s">
        <v>717</v>
      </c>
      <c r="Q921" s="14" t="s">
        <v>549</v>
      </c>
      <c r="R921" s="17">
        <v>502</v>
      </c>
      <c r="S921" s="172" t="s">
        <v>51</v>
      </c>
      <c r="T921" s="17">
        <v>2040</v>
      </c>
      <c r="U921" s="172" t="s">
        <v>51</v>
      </c>
      <c r="V921" s="16">
        <f t="shared" si="119"/>
        <v>244191</v>
      </c>
      <c r="W921" s="16">
        <f t="shared" si="120"/>
        <v>244198</v>
      </c>
      <c r="X921" s="16">
        <f t="shared" si="121"/>
        <v>244193</v>
      </c>
      <c r="Y921" s="15" t="s">
        <v>54</v>
      </c>
      <c r="Z921" s="177">
        <v>244224</v>
      </c>
      <c r="AA921" s="170"/>
      <c r="AB921" s="170"/>
      <c r="AC921" s="170"/>
      <c r="AD921" s="170"/>
      <c r="AE921" s="15" t="s">
        <v>54</v>
      </c>
      <c r="AF921" s="177">
        <v>244229</v>
      </c>
      <c r="AG921" s="177" t="str">
        <f t="shared" si="117"/>
        <v>Pass</v>
      </c>
      <c r="AH921" s="177">
        <f t="shared" si="118"/>
        <v>244229</v>
      </c>
      <c r="AK921" s="176"/>
      <c r="AL921" s="176"/>
    </row>
    <row r="922" spans="1:38" ht="36" customHeight="1" x14ac:dyDescent="0.2">
      <c r="A922" s="14" t="s">
        <v>23</v>
      </c>
      <c r="B922" s="212">
        <v>244191</v>
      </c>
      <c r="C922" s="14" t="s">
        <v>547</v>
      </c>
      <c r="D922" s="14" t="s">
        <v>268</v>
      </c>
      <c r="E922" s="14" t="s">
        <v>14</v>
      </c>
      <c r="F922" s="14" t="s">
        <v>324</v>
      </c>
      <c r="G922" s="179">
        <v>680921</v>
      </c>
      <c r="H922" s="176" t="s">
        <v>886</v>
      </c>
      <c r="I922" s="176" t="s">
        <v>630</v>
      </c>
      <c r="J922" s="176" t="s">
        <v>821</v>
      </c>
      <c r="K922" s="176" t="s">
        <v>3113</v>
      </c>
      <c r="L922" s="40" t="s">
        <v>124</v>
      </c>
      <c r="M922" s="40" t="s">
        <v>341</v>
      </c>
      <c r="N922" s="14" t="s">
        <v>3118</v>
      </c>
      <c r="O922" s="14" t="s">
        <v>548</v>
      </c>
      <c r="P922" s="14" t="s">
        <v>717</v>
      </c>
      <c r="Q922" s="14" t="s">
        <v>549</v>
      </c>
      <c r="R922" s="17">
        <v>317</v>
      </c>
      <c r="S922" s="172" t="s">
        <v>51</v>
      </c>
      <c r="T922" s="17">
        <v>2564</v>
      </c>
      <c r="U922" s="172" t="s">
        <v>51</v>
      </c>
      <c r="V922" s="16">
        <f t="shared" si="119"/>
        <v>244191</v>
      </c>
      <c r="W922" s="16">
        <f t="shared" si="120"/>
        <v>244198</v>
      </c>
      <c r="X922" s="16">
        <f t="shared" si="121"/>
        <v>244193</v>
      </c>
      <c r="Y922" s="15" t="s">
        <v>54</v>
      </c>
      <c r="Z922" s="177">
        <v>244224</v>
      </c>
      <c r="AA922" s="170"/>
      <c r="AB922" s="170"/>
      <c r="AC922" s="170"/>
      <c r="AD922" s="170"/>
      <c r="AE922" s="15" t="s">
        <v>54</v>
      </c>
      <c r="AF922" s="177">
        <v>244229</v>
      </c>
      <c r="AG922" s="177" t="str">
        <f t="shared" si="117"/>
        <v>Pass</v>
      </c>
      <c r="AH922" s="177">
        <f t="shared" si="118"/>
        <v>244229</v>
      </c>
      <c r="AK922" s="176"/>
      <c r="AL922" s="176"/>
    </row>
    <row r="923" spans="1:38" ht="36" customHeight="1" x14ac:dyDescent="0.2">
      <c r="A923" s="14" t="s">
        <v>23</v>
      </c>
      <c r="B923" s="212">
        <v>244191</v>
      </c>
      <c r="C923" s="14" t="s">
        <v>547</v>
      </c>
      <c r="D923" s="14" t="s">
        <v>268</v>
      </c>
      <c r="E923" s="14" t="s">
        <v>14</v>
      </c>
      <c r="F923" s="14" t="s">
        <v>324</v>
      </c>
      <c r="G923" s="179">
        <v>680922</v>
      </c>
      <c r="H923" s="176" t="s">
        <v>958</v>
      </c>
      <c r="I923" s="176" t="s">
        <v>3092</v>
      </c>
      <c r="J923" s="176" t="s">
        <v>123</v>
      </c>
      <c r="K923" s="176" t="s">
        <v>3122</v>
      </c>
      <c r="L923" s="40" t="s">
        <v>45</v>
      </c>
      <c r="M923" s="40" t="s">
        <v>341</v>
      </c>
      <c r="N923" s="14" t="s">
        <v>2618</v>
      </c>
      <c r="O923" s="14" t="s">
        <v>548</v>
      </c>
      <c r="P923" s="14" t="s">
        <v>717</v>
      </c>
      <c r="Q923" s="14" t="s">
        <v>549</v>
      </c>
      <c r="R923" s="17">
        <v>112</v>
      </c>
      <c r="S923" s="172" t="s">
        <v>51</v>
      </c>
      <c r="T923" s="17">
        <v>1200</v>
      </c>
      <c r="U923" s="172" t="s">
        <v>51</v>
      </c>
      <c r="V923" s="16">
        <f t="shared" si="119"/>
        <v>244191</v>
      </c>
      <c r="W923" s="16">
        <f t="shared" si="120"/>
        <v>244198</v>
      </c>
      <c r="X923" s="16">
        <f t="shared" si="121"/>
        <v>244193</v>
      </c>
      <c r="Y923" s="15" t="s">
        <v>54</v>
      </c>
      <c r="Z923" s="177">
        <v>244211</v>
      </c>
      <c r="AA923" s="170"/>
      <c r="AB923" s="170"/>
      <c r="AC923" s="170"/>
      <c r="AD923" s="170"/>
      <c r="AE923" s="15" t="s">
        <v>54</v>
      </c>
      <c r="AF923" s="177">
        <v>244211</v>
      </c>
      <c r="AG923" s="177" t="str">
        <f t="shared" si="117"/>
        <v>Pass</v>
      </c>
      <c r="AH923" s="177">
        <f t="shared" si="118"/>
        <v>244211</v>
      </c>
      <c r="AK923" s="176"/>
      <c r="AL923" s="176"/>
    </row>
    <row r="924" spans="1:38" ht="36" customHeight="1" x14ac:dyDescent="0.2">
      <c r="A924" s="14" t="s">
        <v>23</v>
      </c>
      <c r="B924" s="212">
        <v>244191</v>
      </c>
      <c r="C924" s="14" t="s">
        <v>547</v>
      </c>
      <c r="D924" s="14" t="s">
        <v>268</v>
      </c>
      <c r="E924" s="14" t="s">
        <v>14</v>
      </c>
      <c r="F924" s="14" t="s">
        <v>324</v>
      </c>
      <c r="G924" s="179">
        <v>680923</v>
      </c>
      <c r="H924" s="176" t="s">
        <v>958</v>
      </c>
      <c r="I924" s="176" t="s">
        <v>3092</v>
      </c>
      <c r="J924" s="176" t="s">
        <v>123</v>
      </c>
      <c r="K924" s="176" t="s">
        <v>3122</v>
      </c>
      <c r="L924" s="40" t="s">
        <v>45</v>
      </c>
      <c r="M924" s="40" t="s">
        <v>341</v>
      </c>
      <c r="N924" s="14" t="s">
        <v>3124</v>
      </c>
      <c r="O924" s="14" t="s">
        <v>3123</v>
      </c>
      <c r="P924" s="14" t="s">
        <v>3125</v>
      </c>
      <c r="Q924" s="14" t="s">
        <v>529</v>
      </c>
      <c r="R924" s="17">
        <v>400</v>
      </c>
      <c r="S924" s="172" t="s">
        <v>51</v>
      </c>
      <c r="T924" s="17">
        <v>1660</v>
      </c>
      <c r="U924" s="172" t="s">
        <v>51</v>
      </c>
      <c r="V924" s="16">
        <f t="shared" si="119"/>
        <v>244191</v>
      </c>
      <c r="W924" s="16">
        <f t="shared" si="120"/>
        <v>244198</v>
      </c>
      <c r="X924" s="16">
        <f t="shared" si="121"/>
        <v>244193</v>
      </c>
      <c r="Y924" s="15" t="s">
        <v>54</v>
      </c>
      <c r="Z924" s="177">
        <v>244211</v>
      </c>
      <c r="AA924" s="170"/>
      <c r="AB924" s="170"/>
      <c r="AC924" s="170"/>
      <c r="AD924" s="170"/>
      <c r="AE924" s="15" t="s">
        <v>54</v>
      </c>
      <c r="AF924" s="177">
        <v>244211</v>
      </c>
      <c r="AG924" s="177" t="str">
        <f t="shared" si="117"/>
        <v>Pass</v>
      </c>
      <c r="AH924" s="177">
        <f t="shared" si="118"/>
        <v>244211</v>
      </c>
      <c r="AK924" s="176"/>
      <c r="AL924" s="176"/>
    </row>
    <row r="925" spans="1:38" ht="36" customHeight="1" x14ac:dyDescent="0.2">
      <c r="A925" s="14" t="s">
        <v>23</v>
      </c>
      <c r="B925" s="212">
        <v>244194</v>
      </c>
      <c r="C925" s="14" t="s">
        <v>547</v>
      </c>
      <c r="D925" s="14" t="s">
        <v>268</v>
      </c>
      <c r="E925" s="14" t="s">
        <v>14</v>
      </c>
      <c r="F925" s="14" t="s">
        <v>324</v>
      </c>
      <c r="G925" s="179">
        <v>680924</v>
      </c>
      <c r="H925" s="176" t="s">
        <v>719</v>
      </c>
      <c r="I925" s="176" t="s">
        <v>551</v>
      </c>
      <c r="J925" s="176" t="s">
        <v>832</v>
      </c>
      <c r="K925" s="176" t="s">
        <v>3127</v>
      </c>
      <c r="L925" s="40" t="s">
        <v>108</v>
      </c>
      <c r="M925" s="40" t="s">
        <v>341</v>
      </c>
      <c r="N925" s="14" t="s">
        <v>3131</v>
      </c>
      <c r="O925" s="14" t="s">
        <v>552</v>
      </c>
      <c r="P925" s="14" t="s">
        <v>3136</v>
      </c>
      <c r="Q925" s="14" t="s">
        <v>553</v>
      </c>
      <c r="R925" s="17">
        <v>500</v>
      </c>
      <c r="S925" s="172" t="s">
        <v>51</v>
      </c>
      <c r="T925" s="17">
        <v>2835</v>
      </c>
      <c r="U925" s="172" t="s">
        <v>51</v>
      </c>
      <c r="V925" s="16">
        <f t="shared" si="119"/>
        <v>244194</v>
      </c>
      <c r="W925" s="16">
        <f t="shared" si="120"/>
        <v>244201</v>
      </c>
      <c r="X925" s="16">
        <f t="shared" si="121"/>
        <v>244196</v>
      </c>
      <c r="Y925" s="15" t="s">
        <v>54</v>
      </c>
      <c r="Z925" s="177">
        <v>244224</v>
      </c>
      <c r="AA925" s="170"/>
      <c r="AB925" s="170"/>
      <c r="AC925" s="170"/>
      <c r="AD925" s="170"/>
      <c r="AE925" s="15" t="s">
        <v>54</v>
      </c>
      <c r="AF925" s="177">
        <v>244229</v>
      </c>
      <c r="AG925" s="177" t="str">
        <f t="shared" si="117"/>
        <v>Pass</v>
      </c>
      <c r="AH925" s="177">
        <f t="shared" si="118"/>
        <v>244229</v>
      </c>
      <c r="AK925" s="176"/>
      <c r="AL925" s="176"/>
    </row>
    <row r="926" spans="1:38" ht="36" customHeight="1" x14ac:dyDescent="0.2">
      <c r="A926" s="14" t="s">
        <v>23</v>
      </c>
      <c r="B926" s="212">
        <v>244194</v>
      </c>
      <c r="C926" s="14" t="s">
        <v>547</v>
      </c>
      <c r="D926" s="14" t="s">
        <v>268</v>
      </c>
      <c r="E926" s="14" t="s">
        <v>14</v>
      </c>
      <c r="F926" s="14" t="s">
        <v>324</v>
      </c>
      <c r="G926" s="179">
        <v>680925</v>
      </c>
      <c r="H926" s="176" t="s">
        <v>1548</v>
      </c>
      <c r="I926" s="176" t="s">
        <v>630</v>
      </c>
      <c r="J926" s="176" t="s">
        <v>520</v>
      </c>
      <c r="K926" s="176" t="s">
        <v>3128</v>
      </c>
      <c r="L926" s="40" t="s">
        <v>46</v>
      </c>
      <c r="M926" s="40" t="s">
        <v>341</v>
      </c>
      <c r="N926" s="14" t="s">
        <v>3132</v>
      </c>
      <c r="O926" s="14" t="s">
        <v>527</v>
      </c>
      <c r="P926" s="14" t="s">
        <v>3137</v>
      </c>
      <c r="Q926" s="14" t="s">
        <v>542</v>
      </c>
      <c r="R926" s="17">
        <v>230</v>
      </c>
      <c r="S926" s="172" t="s">
        <v>51</v>
      </c>
      <c r="T926" s="17">
        <v>2030</v>
      </c>
      <c r="U926" s="172" t="s">
        <v>51</v>
      </c>
      <c r="V926" s="16">
        <f t="shared" si="119"/>
        <v>244194</v>
      </c>
      <c r="W926" s="16">
        <f t="shared" si="120"/>
        <v>244201</v>
      </c>
      <c r="X926" s="16">
        <f t="shared" si="121"/>
        <v>244196</v>
      </c>
      <c r="Y926" s="15" t="s">
        <v>54</v>
      </c>
      <c r="Z926" s="177">
        <v>244224</v>
      </c>
      <c r="AA926" s="170"/>
      <c r="AB926" s="170"/>
      <c r="AC926" s="170"/>
      <c r="AD926" s="170"/>
      <c r="AE926" s="15" t="s">
        <v>54</v>
      </c>
      <c r="AF926" s="177">
        <v>244229</v>
      </c>
      <c r="AG926" s="177" t="str">
        <f t="shared" si="117"/>
        <v>Pass</v>
      </c>
      <c r="AH926" s="177">
        <f t="shared" si="118"/>
        <v>244229</v>
      </c>
      <c r="AK926" s="176"/>
      <c r="AL926" s="176"/>
    </row>
    <row r="927" spans="1:38" ht="36" customHeight="1" x14ac:dyDescent="0.2">
      <c r="A927" s="14" t="s">
        <v>23</v>
      </c>
      <c r="B927" s="212">
        <v>244194</v>
      </c>
      <c r="C927" s="14" t="s">
        <v>547</v>
      </c>
      <c r="D927" s="14" t="s">
        <v>268</v>
      </c>
      <c r="E927" s="14" t="s">
        <v>14</v>
      </c>
      <c r="F927" s="14" t="s">
        <v>324</v>
      </c>
      <c r="G927" s="179">
        <v>680926</v>
      </c>
      <c r="H927" s="176" t="s">
        <v>886</v>
      </c>
      <c r="I927" s="176" t="s">
        <v>630</v>
      </c>
      <c r="J927" s="176" t="s">
        <v>821</v>
      </c>
      <c r="K927" s="176" t="s">
        <v>3113</v>
      </c>
      <c r="L927" s="40" t="s">
        <v>124</v>
      </c>
      <c r="M927" s="40" t="s">
        <v>341</v>
      </c>
      <c r="N927" s="14" t="s">
        <v>3133</v>
      </c>
      <c r="O927" s="14" t="s">
        <v>548</v>
      </c>
      <c r="P927" s="14" t="s">
        <v>717</v>
      </c>
      <c r="Q927" s="14" t="s">
        <v>549</v>
      </c>
      <c r="R927" s="17">
        <v>255</v>
      </c>
      <c r="S927" s="172" t="s">
        <v>51</v>
      </c>
      <c r="T927" s="17">
        <v>2592</v>
      </c>
      <c r="U927" s="172" t="s">
        <v>51</v>
      </c>
      <c r="V927" s="16">
        <f t="shared" si="119"/>
        <v>244194</v>
      </c>
      <c r="W927" s="16">
        <f t="shared" si="120"/>
        <v>244201</v>
      </c>
      <c r="X927" s="16">
        <f t="shared" si="121"/>
        <v>244196</v>
      </c>
      <c r="Y927" s="15" t="s">
        <v>54</v>
      </c>
      <c r="Z927" s="177">
        <v>244211</v>
      </c>
      <c r="AA927" s="170"/>
      <c r="AB927" s="170"/>
      <c r="AC927" s="170"/>
      <c r="AD927" s="170"/>
      <c r="AE927" s="15" t="s">
        <v>54</v>
      </c>
      <c r="AF927" s="177">
        <v>244211</v>
      </c>
      <c r="AG927" s="177" t="str">
        <f t="shared" si="117"/>
        <v>Pass</v>
      </c>
      <c r="AH927" s="177">
        <f t="shared" si="118"/>
        <v>244211</v>
      </c>
      <c r="AK927" s="176"/>
      <c r="AL927" s="176"/>
    </row>
    <row r="928" spans="1:38" ht="36" customHeight="1" x14ac:dyDescent="0.2">
      <c r="A928" s="14" t="s">
        <v>23</v>
      </c>
      <c r="B928" s="212">
        <v>244194</v>
      </c>
      <c r="C928" s="14" t="s">
        <v>547</v>
      </c>
      <c r="D928" s="14" t="s">
        <v>268</v>
      </c>
      <c r="E928" s="14" t="s">
        <v>14</v>
      </c>
      <c r="F928" s="14" t="s">
        <v>324</v>
      </c>
      <c r="G928" s="179">
        <v>680927</v>
      </c>
      <c r="H928" s="176" t="s">
        <v>3126</v>
      </c>
      <c r="I928" s="176" t="s">
        <v>551</v>
      </c>
      <c r="J928" s="176" t="s">
        <v>832</v>
      </c>
      <c r="K928" s="176" t="s">
        <v>3129</v>
      </c>
      <c r="L928" s="40" t="s">
        <v>124</v>
      </c>
      <c r="M928" s="40" t="s">
        <v>341</v>
      </c>
      <c r="N928" s="14" t="s">
        <v>3134</v>
      </c>
      <c r="O928" s="14" t="s">
        <v>3139</v>
      </c>
      <c r="P928" s="14" t="s">
        <v>3138</v>
      </c>
      <c r="Q928" s="14" t="s">
        <v>3140</v>
      </c>
      <c r="R928" s="17">
        <v>150</v>
      </c>
      <c r="S928" s="172" t="s">
        <v>51</v>
      </c>
      <c r="T928" s="17">
        <v>2855</v>
      </c>
      <c r="U928" s="172" t="s">
        <v>51</v>
      </c>
      <c r="V928" s="16">
        <f t="shared" si="119"/>
        <v>244194</v>
      </c>
      <c r="W928" s="16">
        <f t="shared" si="120"/>
        <v>244201</v>
      </c>
      <c r="X928" s="16">
        <f t="shared" si="121"/>
        <v>244196</v>
      </c>
      <c r="Y928" s="15"/>
      <c r="Z928" s="177"/>
      <c r="AA928" s="170"/>
      <c r="AB928" s="170"/>
      <c r="AC928" s="170"/>
      <c r="AD928" s="170"/>
      <c r="AE928" s="15"/>
      <c r="AF928" s="177"/>
      <c r="AG928" s="177">
        <f t="shared" ref="AG928:AG991" si="122">AE928</f>
        <v>0</v>
      </c>
      <c r="AH928" s="177">
        <f t="shared" ref="AH928:AH991" si="123">AF928</f>
        <v>0</v>
      </c>
      <c r="AK928" s="176"/>
      <c r="AL928" s="176"/>
    </row>
    <row r="929" spans="1:38" ht="36" customHeight="1" x14ac:dyDescent="0.2">
      <c r="A929" s="14" t="s">
        <v>23</v>
      </c>
      <c r="B929" s="212">
        <v>244194</v>
      </c>
      <c r="C929" s="14" t="s">
        <v>547</v>
      </c>
      <c r="D929" s="14" t="s">
        <v>268</v>
      </c>
      <c r="E929" s="14" t="s">
        <v>14</v>
      </c>
      <c r="F929" s="14" t="s">
        <v>324</v>
      </c>
      <c r="G929" s="179">
        <v>680928</v>
      </c>
      <c r="H929" s="176" t="s">
        <v>1871</v>
      </c>
      <c r="I929" s="176" t="s">
        <v>630</v>
      </c>
      <c r="J929" s="176" t="s">
        <v>520</v>
      </c>
      <c r="K929" s="176" t="s">
        <v>3130</v>
      </c>
      <c r="L929" s="40" t="s">
        <v>105</v>
      </c>
      <c r="M929" s="40" t="s">
        <v>341</v>
      </c>
      <c r="N929" s="14" t="s">
        <v>3135</v>
      </c>
      <c r="O929" s="14" t="s">
        <v>548</v>
      </c>
      <c r="P929" s="14" t="s">
        <v>518</v>
      </c>
      <c r="Q929" s="14" t="s">
        <v>549</v>
      </c>
      <c r="R929" s="17">
        <v>705</v>
      </c>
      <c r="S929" s="172" t="s">
        <v>51</v>
      </c>
      <c r="T929" s="17">
        <v>2030</v>
      </c>
      <c r="U929" s="172" t="s">
        <v>51</v>
      </c>
      <c r="V929" s="16">
        <f t="shared" si="119"/>
        <v>244194</v>
      </c>
      <c r="W929" s="16">
        <f t="shared" si="120"/>
        <v>244201</v>
      </c>
      <c r="X929" s="16">
        <f t="shared" si="121"/>
        <v>244196</v>
      </c>
      <c r="Y929" s="15" t="s">
        <v>54</v>
      </c>
      <c r="Z929" s="177">
        <v>244211</v>
      </c>
      <c r="AA929" s="170"/>
      <c r="AB929" s="170"/>
      <c r="AC929" s="170"/>
      <c r="AD929" s="170"/>
      <c r="AE929" s="15" t="s">
        <v>54</v>
      </c>
      <c r="AF929" s="177">
        <v>244211</v>
      </c>
      <c r="AG929" s="177" t="str">
        <f t="shared" si="122"/>
        <v>Pass</v>
      </c>
      <c r="AH929" s="177">
        <f t="shared" si="123"/>
        <v>244211</v>
      </c>
      <c r="AK929" s="176"/>
      <c r="AL929" s="176"/>
    </row>
    <row r="930" spans="1:38" ht="36" customHeight="1" x14ac:dyDescent="0.2">
      <c r="A930" s="14" t="s">
        <v>23</v>
      </c>
      <c r="B930" s="212">
        <v>244195</v>
      </c>
      <c r="C930" s="14" t="s">
        <v>547</v>
      </c>
      <c r="D930" s="14" t="s">
        <v>268</v>
      </c>
      <c r="E930" s="14" t="s">
        <v>14</v>
      </c>
      <c r="F930" s="14" t="s">
        <v>324</v>
      </c>
      <c r="G930" s="179">
        <v>680929</v>
      </c>
      <c r="H930" s="176" t="s">
        <v>1726</v>
      </c>
      <c r="I930" s="176" t="s">
        <v>1729</v>
      </c>
      <c r="J930" s="176" t="s">
        <v>3141</v>
      </c>
      <c r="K930" s="176" t="s">
        <v>3142</v>
      </c>
      <c r="L930" s="40" t="s">
        <v>106</v>
      </c>
      <c r="M930" s="40" t="s">
        <v>341</v>
      </c>
      <c r="N930" s="14" t="s">
        <v>3143</v>
      </c>
      <c r="O930" s="14" t="s">
        <v>552</v>
      </c>
      <c r="P930" s="14" t="s">
        <v>1205</v>
      </c>
      <c r="Q930" s="14" t="s">
        <v>553</v>
      </c>
      <c r="R930" s="17">
        <v>6088</v>
      </c>
      <c r="S930" s="172" t="s">
        <v>51</v>
      </c>
      <c r="T930" s="17"/>
      <c r="U930" s="172" t="s">
        <v>51</v>
      </c>
      <c r="V930" s="16">
        <f>B930</f>
        <v>244195</v>
      </c>
      <c r="W930" s="16">
        <f>B930+7</f>
        <v>244202</v>
      </c>
      <c r="X930" s="16">
        <f t="shared" si="121"/>
        <v>244197</v>
      </c>
      <c r="Y930" s="15" t="s">
        <v>54</v>
      </c>
      <c r="Z930" s="177">
        <v>244224</v>
      </c>
      <c r="AA930" s="170"/>
      <c r="AB930" s="170"/>
      <c r="AC930" s="170"/>
      <c r="AD930" s="170"/>
      <c r="AE930" s="15" t="s">
        <v>54</v>
      </c>
      <c r="AF930" s="177">
        <v>244229</v>
      </c>
      <c r="AG930" s="177" t="str">
        <f t="shared" si="122"/>
        <v>Pass</v>
      </c>
      <c r="AH930" s="177">
        <f t="shared" si="123"/>
        <v>244229</v>
      </c>
      <c r="AK930" s="176"/>
      <c r="AL930" s="176"/>
    </row>
    <row r="931" spans="1:38" ht="36" customHeight="1" x14ac:dyDescent="0.2">
      <c r="A931" s="14" t="s">
        <v>23</v>
      </c>
      <c r="B931" s="212">
        <v>244195</v>
      </c>
      <c r="C931" s="14" t="s">
        <v>547</v>
      </c>
      <c r="D931" s="14" t="s">
        <v>268</v>
      </c>
      <c r="E931" s="14" t="s">
        <v>14</v>
      </c>
      <c r="F931" s="14" t="s">
        <v>324</v>
      </c>
      <c r="G931" s="179">
        <v>680930</v>
      </c>
      <c r="H931" s="176" t="s">
        <v>1726</v>
      </c>
      <c r="I931" s="176" t="s">
        <v>1729</v>
      </c>
      <c r="J931" s="176" t="s">
        <v>3141</v>
      </c>
      <c r="K931" s="176" t="s">
        <v>3142</v>
      </c>
      <c r="L931" s="40" t="s">
        <v>106</v>
      </c>
      <c r="M931" s="40" t="s">
        <v>341</v>
      </c>
      <c r="N931" s="14" t="s">
        <v>3144</v>
      </c>
      <c r="O931" s="14" t="s">
        <v>527</v>
      </c>
      <c r="P931" s="14" t="s">
        <v>1277</v>
      </c>
      <c r="Q931" s="14" t="s">
        <v>542</v>
      </c>
      <c r="R931" s="17">
        <v>259</v>
      </c>
      <c r="S931" s="172" t="s">
        <v>51</v>
      </c>
      <c r="T931" s="17">
        <v>2745</v>
      </c>
      <c r="U931" s="172" t="s">
        <v>51</v>
      </c>
      <c r="V931" s="16">
        <f>B931</f>
        <v>244195</v>
      </c>
      <c r="W931" s="16">
        <f>B931+7</f>
        <v>244202</v>
      </c>
      <c r="X931" s="16">
        <f t="shared" si="121"/>
        <v>244197</v>
      </c>
      <c r="Y931" s="15" t="s">
        <v>54</v>
      </c>
      <c r="Z931" s="177">
        <v>244224</v>
      </c>
      <c r="AA931" s="170"/>
      <c r="AB931" s="170"/>
      <c r="AC931" s="170"/>
      <c r="AD931" s="170"/>
      <c r="AE931" s="15" t="s">
        <v>54</v>
      </c>
      <c r="AF931" s="177">
        <v>244229</v>
      </c>
      <c r="AG931" s="177" t="str">
        <f t="shared" si="122"/>
        <v>Pass</v>
      </c>
      <c r="AH931" s="177">
        <f t="shared" si="123"/>
        <v>244229</v>
      </c>
      <c r="AK931" s="176"/>
      <c r="AL931" s="176"/>
    </row>
    <row r="932" spans="1:38" ht="36" customHeight="1" x14ac:dyDescent="0.2">
      <c r="A932" s="14" t="s">
        <v>23</v>
      </c>
      <c r="B932" s="212">
        <v>244195</v>
      </c>
      <c r="C932" s="14" t="s">
        <v>547</v>
      </c>
      <c r="D932" s="14" t="s">
        <v>268</v>
      </c>
      <c r="E932" s="14" t="s">
        <v>14</v>
      </c>
      <c r="F932" s="14" t="s">
        <v>324</v>
      </c>
      <c r="G932" s="179">
        <v>680931</v>
      </c>
      <c r="H932" s="176" t="s">
        <v>886</v>
      </c>
      <c r="I932" s="176" t="s">
        <v>630</v>
      </c>
      <c r="J932" s="176" t="s">
        <v>821</v>
      </c>
      <c r="K932" s="176" t="s">
        <v>3113</v>
      </c>
      <c r="L932" s="40" t="s">
        <v>124</v>
      </c>
      <c r="M932" s="40" t="s">
        <v>341</v>
      </c>
      <c r="N932" s="14" t="s">
        <v>3145</v>
      </c>
      <c r="O932" s="14" t="s">
        <v>543</v>
      </c>
      <c r="P932" s="14" t="s">
        <v>971</v>
      </c>
      <c r="Q932" s="14" t="s">
        <v>529</v>
      </c>
      <c r="R932" s="17">
        <v>1000</v>
      </c>
      <c r="S932" s="172" t="s">
        <v>51</v>
      </c>
      <c r="T932" s="17">
        <v>2553</v>
      </c>
      <c r="U932" s="172" t="s">
        <v>51</v>
      </c>
      <c r="V932" s="16">
        <f t="shared" si="119"/>
        <v>244195</v>
      </c>
      <c r="W932" s="16">
        <f t="shared" si="120"/>
        <v>244202</v>
      </c>
      <c r="X932" s="16">
        <f t="shared" si="121"/>
        <v>244197</v>
      </c>
      <c r="Y932" s="15" t="s">
        <v>54</v>
      </c>
      <c r="Z932" s="177">
        <v>244211</v>
      </c>
      <c r="AA932" s="170"/>
      <c r="AB932" s="170"/>
      <c r="AC932" s="170"/>
      <c r="AD932" s="170"/>
      <c r="AE932" s="15" t="s">
        <v>54</v>
      </c>
      <c r="AF932" s="177">
        <v>244211</v>
      </c>
      <c r="AG932" s="177" t="str">
        <f t="shared" si="122"/>
        <v>Pass</v>
      </c>
      <c r="AH932" s="177">
        <f t="shared" si="123"/>
        <v>244211</v>
      </c>
      <c r="AK932" s="176"/>
      <c r="AL932" s="176"/>
    </row>
    <row r="933" spans="1:38" ht="36" customHeight="1" x14ac:dyDescent="0.2">
      <c r="A933" s="14" t="s">
        <v>23</v>
      </c>
      <c r="B933" s="212">
        <v>244195</v>
      </c>
      <c r="C933" s="14" t="s">
        <v>547</v>
      </c>
      <c r="D933" s="14" t="s">
        <v>268</v>
      </c>
      <c r="E933" s="14" t="s">
        <v>14</v>
      </c>
      <c r="F933" s="14" t="s">
        <v>324</v>
      </c>
      <c r="G933" s="179">
        <v>680932</v>
      </c>
      <c r="H933" s="176" t="s">
        <v>1726</v>
      </c>
      <c r="I933" s="176" t="s">
        <v>1729</v>
      </c>
      <c r="J933" s="176" t="s">
        <v>3141</v>
      </c>
      <c r="K933" s="176" t="s">
        <v>3142</v>
      </c>
      <c r="L933" s="40" t="s">
        <v>106</v>
      </c>
      <c r="M933" s="40" t="s">
        <v>341</v>
      </c>
      <c r="N933" s="14" t="s">
        <v>917</v>
      </c>
      <c r="O933" s="14" t="s">
        <v>548</v>
      </c>
      <c r="P933" s="14" t="s">
        <v>518</v>
      </c>
      <c r="Q933" s="14" t="s">
        <v>549</v>
      </c>
      <c r="R933" s="17">
        <v>300</v>
      </c>
      <c r="S933" s="172" t="s">
        <v>51</v>
      </c>
      <c r="T933" s="17">
        <v>2675</v>
      </c>
      <c r="U933" s="172" t="s">
        <v>51</v>
      </c>
      <c r="V933" s="16">
        <f t="shared" si="119"/>
        <v>244195</v>
      </c>
      <c r="W933" s="16">
        <f t="shared" si="120"/>
        <v>244202</v>
      </c>
      <c r="X933" s="16">
        <f t="shared" si="121"/>
        <v>244197</v>
      </c>
      <c r="Y933" s="15" t="s">
        <v>54</v>
      </c>
      <c r="Z933" s="177">
        <v>244224</v>
      </c>
      <c r="AA933" s="170"/>
      <c r="AB933" s="170"/>
      <c r="AC933" s="170"/>
      <c r="AD933" s="170"/>
      <c r="AE933" s="15" t="s">
        <v>54</v>
      </c>
      <c r="AF933" s="177">
        <v>244229</v>
      </c>
      <c r="AG933" s="177" t="str">
        <f t="shared" si="122"/>
        <v>Pass</v>
      </c>
      <c r="AH933" s="177">
        <f t="shared" si="123"/>
        <v>244229</v>
      </c>
      <c r="AK933" s="176"/>
      <c r="AL933" s="176"/>
    </row>
    <row r="934" spans="1:38" ht="36" customHeight="1" x14ac:dyDescent="0.2">
      <c r="A934" s="14" t="s">
        <v>23</v>
      </c>
      <c r="B934" s="212">
        <v>244195</v>
      </c>
      <c r="C934" s="14" t="s">
        <v>547</v>
      </c>
      <c r="D934" s="14" t="s">
        <v>268</v>
      </c>
      <c r="E934" s="14" t="s">
        <v>14</v>
      </c>
      <c r="F934" s="14" t="s">
        <v>324</v>
      </c>
      <c r="G934" s="179">
        <v>680933</v>
      </c>
      <c r="H934" s="176" t="s">
        <v>886</v>
      </c>
      <c r="I934" s="176" t="s">
        <v>630</v>
      </c>
      <c r="J934" s="176" t="s">
        <v>821</v>
      </c>
      <c r="K934" s="176" t="s">
        <v>3113</v>
      </c>
      <c r="L934" s="40" t="s">
        <v>124</v>
      </c>
      <c r="M934" s="40" t="s">
        <v>341</v>
      </c>
      <c r="N934" s="14" t="s">
        <v>2795</v>
      </c>
      <c r="O934" s="14" t="s">
        <v>548</v>
      </c>
      <c r="P934" s="14" t="s">
        <v>518</v>
      </c>
      <c r="Q934" s="14" t="s">
        <v>549</v>
      </c>
      <c r="R934" s="17">
        <v>180</v>
      </c>
      <c r="S934" s="172" t="s">
        <v>51</v>
      </c>
      <c r="T934" s="17">
        <v>2576</v>
      </c>
      <c r="U934" s="172" t="s">
        <v>51</v>
      </c>
      <c r="V934" s="16">
        <f t="shared" si="119"/>
        <v>244195</v>
      </c>
      <c r="W934" s="16">
        <f t="shared" si="120"/>
        <v>244202</v>
      </c>
      <c r="X934" s="16">
        <f t="shared" si="121"/>
        <v>244197</v>
      </c>
      <c r="Y934" s="15" t="s">
        <v>54</v>
      </c>
      <c r="Z934" s="177">
        <v>244211</v>
      </c>
      <c r="AA934" s="170"/>
      <c r="AB934" s="170"/>
      <c r="AC934" s="170"/>
      <c r="AD934" s="170"/>
      <c r="AE934" s="15" t="s">
        <v>54</v>
      </c>
      <c r="AF934" s="177">
        <v>244211</v>
      </c>
      <c r="AG934" s="177" t="str">
        <f t="shared" si="122"/>
        <v>Pass</v>
      </c>
      <c r="AH934" s="177">
        <f t="shared" si="123"/>
        <v>244211</v>
      </c>
      <c r="AK934" s="176"/>
      <c r="AL934" s="176"/>
    </row>
    <row r="935" spans="1:38" ht="36" customHeight="1" x14ac:dyDescent="0.2">
      <c r="A935" s="14" t="s">
        <v>23</v>
      </c>
      <c r="B935" s="212">
        <v>244195</v>
      </c>
      <c r="C935" s="14" t="s">
        <v>547</v>
      </c>
      <c r="D935" s="14" t="s">
        <v>268</v>
      </c>
      <c r="E935" s="14" t="s">
        <v>14</v>
      </c>
      <c r="F935" s="14" t="s">
        <v>324</v>
      </c>
      <c r="G935" s="179">
        <v>680934</v>
      </c>
      <c r="H935" s="176" t="s">
        <v>719</v>
      </c>
      <c r="I935" s="176" t="s">
        <v>551</v>
      </c>
      <c r="J935" s="176" t="s">
        <v>832</v>
      </c>
      <c r="K935" s="176" t="s">
        <v>3127</v>
      </c>
      <c r="L935" s="40" t="s">
        <v>108</v>
      </c>
      <c r="M935" s="40" t="s">
        <v>341</v>
      </c>
      <c r="N935" s="14" t="s">
        <v>3146</v>
      </c>
      <c r="O935" s="14" t="s">
        <v>552</v>
      </c>
      <c r="P935" s="14" t="s">
        <v>3149</v>
      </c>
      <c r="Q935" s="14" t="s">
        <v>553</v>
      </c>
      <c r="R935" s="17">
        <v>1225</v>
      </c>
      <c r="S935" s="172" t="s">
        <v>51</v>
      </c>
      <c r="T935" s="17">
        <v>2890</v>
      </c>
      <c r="U935" s="172" t="s">
        <v>51</v>
      </c>
      <c r="V935" s="16">
        <f t="shared" si="119"/>
        <v>244195</v>
      </c>
      <c r="W935" s="16">
        <f t="shared" si="120"/>
        <v>244202</v>
      </c>
      <c r="X935" s="16">
        <f t="shared" si="121"/>
        <v>244197</v>
      </c>
      <c r="Y935" s="15" t="s">
        <v>54</v>
      </c>
      <c r="Z935" s="177">
        <v>244224</v>
      </c>
      <c r="AA935" s="170"/>
      <c r="AB935" s="170"/>
      <c r="AC935" s="170"/>
      <c r="AD935" s="170"/>
      <c r="AE935" s="15" t="s">
        <v>54</v>
      </c>
      <c r="AF935" s="177">
        <v>244229</v>
      </c>
      <c r="AG935" s="177" t="str">
        <f t="shared" si="122"/>
        <v>Pass</v>
      </c>
      <c r="AH935" s="177">
        <f t="shared" si="123"/>
        <v>244229</v>
      </c>
      <c r="AK935" s="176"/>
      <c r="AL935" s="176"/>
    </row>
    <row r="936" spans="1:38" ht="36" customHeight="1" x14ac:dyDescent="0.2">
      <c r="A936" s="14" t="s">
        <v>23</v>
      </c>
      <c r="B936" s="212">
        <v>244195</v>
      </c>
      <c r="C936" s="14" t="s">
        <v>547</v>
      </c>
      <c r="D936" s="14" t="s">
        <v>268</v>
      </c>
      <c r="E936" s="14" t="s">
        <v>14</v>
      </c>
      <c r="F936" s="14" t="s">
        <v>324</v>
      </c>
      <c r="G936" s="179">
        <v>680935</v>
      </c>
      <c r="H936" s="176" t="s">
        <v>886</v>
      </c>
      <c r="I936" s="176" t="s">
        <v>630</v>
      </c>
      <c r="J936" s="176" t="s">
        <v>821</v>
      </c>
      <c r="K936" s="176" t="s">
        <v>3113</v>
      </c>
      <c r="L936" s="40" t="s">
        <v>124</v>
      </c>
      <c r="M936" s="40" t="s">
        <v>341</v>
      </c>
      <c r="N936" s="14" t="s">
        <v>3147</v>
      </c>
      <c r="O936" s="14" t="s">
        <v>3148</v>
      </c>
      <c r="P936" s="14" t="s">
        <v>3150</v>
      </c>
      <c r="Q936" s="14" t="s">
        <v>3151</v>
      </c>
      <c r="R936" s="17">
        <v>2160</v>
      </c>
      <c r="S936" s="172" t="s">
        <v>51</v>
      </c>
      <c r="T936" s="17">
        <v>2553</v>
      </c>
      <c r="U936" s="172" t="s">
        <v>51</v>
      </c>
      <c r="V936" s="16">
        <f t="shared" si="119"/>
        <v>244195</v>
      </c>
      <c r="W936" s="16">
        <f t="shared" si="120"/>
        <v>244202</v>
      </c>
      <c r="X936" s="16">
        <f t="shared" si="121"/>
        <v>244197</v>
      </c>
      <c r="Y936" s="15" t="s">
        <v>54</v>
      </c>
      <c r="Z936" s="177">
        <v>244211</v>
      </c>
      <c r="AA936" s="170"/>
      <c r="AB936" s="170"/>
      <c r="AC936" s="170"/>
      <c r="AD936" s="170"/>
      <c r="AE936" s="15" t="s">
        <v>54</v>
      </c>
      <c r="AF936" s="177">
        <v>244211</v>
      </c>
      <c r="AG936" s="177" t="str">
        <f t="shared" si="122"/>
        <v>Pass</v>
      </c>
      <c r="AH936" s="177">
        <f t="shared" si="123"/>
        <v>244211</v>
      </c>
      <c r="AK936" s="176"/>
      <c r="AL936" s="176"/>
    </row>
    <row r="937" spans="1:38" ht="36" customHeight="1" x14ac:dyDescent="0.2">
      <c r="A937" s="14" t="s">
        <v>23</v>
      </c>
      <c r="B937" s="212">
        <v>244195</v>
      </c>
      <c r="C937" s="14" t="s">
        <v>547</v>
      </c>
      <c r="D937" s="14" t="s">
        <v>268</v>
      </c>
      <c r="E937" s="14" t="s">
        <v>14</v>
      </c>
      <c r="F937" s="14" t="s">
        <v>324</v>
      </c>
      <c r="G937" s="179">
        <v>680936</v>
      </c>
      <c r="H937" s="176" t="s">
        <v>886</v>
      </c>
      <c r="I937" s="176" t="s">
        <v>630</v>
      </c>
      <c r="J937" s="176" t="s">
        <v>821</v>
      </c>
      <c r="K937" s="176" t="s">
        <v>3113</v>
      </c>
      <c r="L937" s="40" t="s">
        <v>124</v>
      </c>
      <c r="M937" s="40" t="s">
        <v>341</v>
      </c>
      <c r="N937" s="14" t="s">
        <v>3156</v>
      </c>
      <c r="O937" s="14" t="s">
        <v>1178</v>
      </c>
      <c r="P937" s="14" t="s">
        <v>3150</v>
      </c>
      <c r="Q937" s="14" t="s">
        <v>1182</v>
      </c>
      <c r="R937" s="17">
        <v>240</v>
      </c>
      <c r="S937" s="172" t="s">
        <v>51</v>
      </c>
      <c r="T937" s="17">
        <v>2466</v>
      </c>
      <c r="U937" s="172" t="s">
        <v>51</v>
      </c>
      <c r="V937" s="16">
        <f t="shared" si="119"/>
        <v>244195</v>
      </c>
      <c r="W937" s="16">
        <f t="shared" si="120"/>
        <v>244202</v>
      </c>
      <c r="X937" s="16">
        <f t="shared" si="121"/>
        <v>244197</v>
      </c>
      <c r="Y937" s="15" t="s">
        <v>54</v>
      </c>
      <c r="Z937" s="177">
        <v>244231</v>
      </c>
      <c r="AA937" s="170"/>
      <c r="AB937" s="170"/>
      <c r="AC937" s="170"/>
      <c r="AD937" s="170"/>
      <c r="AE937" s="15" t="s">
        <v>54</v>
      </c>
      <c r="AF937" s="177">
        <v>244235</v>
      </c>
      <c r="AG937" s="177" t="str">
        <f t="shared" si="122"/>
        <v>Pass</v>
      </c>
      <c r="AH937" s="177">
        <f t="shared" si="123"/>
        <v>244235</v>
      </c>
      <c r="AK937" s="176"/>
      <c r="AL937" s="176"/>
    </row>
    <row r="938" spans="1:38" ht="36" customHeight="1" x14ac:dyDescent="0.2">
      <c r="A938" s="14" t="s">
        <v>23</v>
      </c>
      <c r="B938" s="212">
        <v>244195</v>
      </c>
      <c r="C938" s="14" t="s">
        <v>547</v>
      </c>
      <c r="D938" s="14" t="s">
        <v>268</v>
      </c>
      <c r="E938" s="14" t="s">
        <v>14</v>
      </c>
      <c r="F938" s="14" t="s">
        <v>324</v>
      </c>
      <c r="G938" s="179">
        <v>680937</v>
      </c>
      <c r="H938" s="176" t="s">
        <v>1549</v>
      </c>
      <c r="I938" s="176" t="s">
        <v>630</v>
      </c>
      <c r="J938" s="176" t="s">
        <v>520</v>
      </c>
      <c r="K938" s="176" t="s">
        <v>3154</v>
      </c>
      <c r="L938" s="40" t="s">
        <v>46</v>
      </c>
      <c r="M938" s="40" t="s">
        <v>341</v>
      </c>
      <c r="N938" s="14" t="s">
        <v>3157</v>
      </c>
      <c r="O938" s="14" t="s">
        <v>527</v>
      </c>
      <c r="P938" s="14" t="s">
        <v>1693</v>
      </c>
      <c r="Q938" s="14" t="s">
        <v>542</v>
      </c>
      <c r="R938" s="17">
        <v>290</v>
      </c>
      <c r="S938" s="172" t="s">
        <v>51</v>
      </c>
      <c r="T938" s="17">
        <v>930</v>
      </c>
      <c r="U938" s="172" t="s">
        <v>51</v>
      </c>
      <c r="V938" s="16">
        <f t="shared" si="119"/>
        <v>244195</v>
      </c>
      <c r="W938" s="16">
        <f t="shared" si="120"/>
        <v>244202</v>
      </c>
      <c r="X938" s="16">
        <f t="shared" si="121"/>
        <v>244197</v>
      </c>
      <c r="Y938" s="15"/>
      <c r="Z938" s="177"/>
      <c r="AA938" s="170"/>
      <c r="AB938" s="170"/>
      <c r="AC938" s="170"/>
      <c r="AD938" s="170"/>
      <c r="AE938" s="15"/>
      <c r="AF938" s="177"/>
      <c r="AG938" s="177">
        <f t="shared" si="122"/>
        <v>0</v>
      </c>
      <c r="AH938" s="177">
        <f t="shared" si="123"/>
        <v>0</v>
      </c>
      <c r="AK938" s="176"/>
      <c r="AL938" s="176"/>
    </row>
    <row r="939" spans="1:38" ht="36" customHeight="1" x14ac:dyDescent="0.2">
      <c r="A939" s="14" t="s">
        <v>23</v>
      </c>
      <c r="B939" s="212">
        <v>244195</v>
      </c>
      <c r="C939" s="14" t="s">
        <v>547</v>
      </c>
      <c r="D939" s="14" t="s">
        <v>268</v>
      </c>
      <c r="E939" s="14" t="s">
        <v>14</v>
      </c>
      <c r="F939" s="14" t="s">
        <v>324</v>
      </c>
      <c r="G939" s="179">
        <v>680938</v>
      </c>
      <c r="H939" s="176" t="s">
        <v>3152</v>
      </c>
      <c r="I939" s="176" t="s">
        <v>3153</v>
      </c>
      <c r="J939" s="176" t="s">
        <v>750</v>
      </c>
      <c r="K939" s="176" t="s">
        <v>3155</v>
      </c>
      <c r="L939" s="40" t="s">
        <v>106</v>
      </c>
      <c r="M939" s="40" t="s">
        <v>341</v>
      </c>
      <c r="N939" s="14" t="s">
        <v>3158</v>
      </c>
      <c r="O939" s="14" t="s">
        <v>953</v>
      </c>
      <c r="P939" s="14" t="s">
        <v>3159</v>
      </c>
      <c r="Q939" s="14" t="s">
        <v>956</v>
      </c>
      <c r="R939" s="17">
        <v>1000</v>
      </c>
      <c r="S939" s="172" t="s">
        <v>51</v>
      </c>
      <c r="T939" s="17">
        <v>3600</v>
      </c>
      <c r="U939" s="172" t="s">
        <v>51</v>
      </c>
      <c r="V939" s="16">
        <f t="shared" si="119"/>
        <v>244195</v>
      </c>
      <c r="W939" s="16">
        <f t="shared" si="120"/>
        <v>244202</v>
      </c>
      <c r="X939" s="16">
        <f t="shared" si="121"/>
        <v>244197</v>
      </c>
      <c r="Y939" s="15" t="s">
        <v>54</v>
      </c>
      <c r="Z939" s="177">
        <v>244224</v>
      </c>
      <c r="AA939" s="170"/>
      <c r="AB939" s="170"/>
      <c r="AC939" s="170"/>
      <c r="AD939" s="170"/>
      <c r="AE939" s="15" t="s">
        <v>54</v>
      </c>
      <c r="AF939" s="177">
        <v>244229</v>
      </c>
      <c r="AG939" s="177" t="str">
        <f t="shared" si="122"/>
        <v>Pass</v>
      </c>
      <c r="AH939" s="177">
        <f t="shared" si="123"/>
        <v>244229</v>
      </c>
      <c r="AK939" s="176"/>
      <c r="AL939" s="176"/>
    </row>
    <row r="940" spans="1:38" ht="36" customHeight="1" x14ac:dyDescent="0.2">
      <c r="A940" s="14" t="s">
        <v>23</v>
      </c>
      <c r="B940" s="212">
        <v>244196</v>
      </c>
      <c r="C940" s="14" t="s">
        <v>547</v>
      </c>
      <c r="D940" s="14" t="s">
        <v>268</v>
      </c>
      <c r="E940" s="14" t="s">
        <v>14</v>
      </c>
      <c r="F940" s="14" t="s">
        <v>324</v>
      </c>
      <c r="G940" s="179">
        <v>680939</v>
      </c>
      <c r="H940" s="176" t="s">
        <v>3152</v>
      </c>
      <c r="I940" s="176" t="s">
        <v>3153</v>
      </c>
      <c r="J940" s="176" t="s">
        <v>750</v>
      </c>
      <c r="K940" s="176" t="s">
        <v>3155</v>
      </c>
      <c r="L940" s="40" t="s">
        <v>106</v>
      </c>
      <c r="M940" s="40" t="s">
        <v>341</v>
      </c>
      <c r="N940" s="14" t="s">
        <v>3024</v>
      </c>
      <c r="O940" s="14" t="s">
        <v>528</v>
      </c>
      <c r="P940" s="14" t="s">
        <v>517</v>
      </c>
      <c r="Q940" s="14" t="s">
        <v>541</v>
      </c>
      <c r="R940" s="17">
        <v>400</v>
      </c>
      <c r="S940" s="172" t="s">
        <v>51</v>
      </c>
      <c r="T940" s="17">
        <v>3700</v>
      </c>
      <c r="U940" s="172" t="s">
        <v>51</v>
      </c>
      <c r="V940" s="16">
        <f t="shared" ref="V940:V999" si="124">B940</f>
        <v>244196</v>
      </c>
      <c r="W940" s="16">
        <f t="shared" ref="W940:W999" si="125">B940+7</f>
        <v>244203</v>
      </c>
      <c r="X940" s="16">
        <f t="shared" ref="X940:X999" si="126">V940+2</f>
        <v>244198</v>
      </c>
      <c r="Y940" s="15" t="s">
        <v>54</v>
      </c>
      <c r="Z940" s="177">
        <v>244224</v>
      </c>
      <c r="AA940" s="170"/>
      <c r="AB940" s="170"/>
      <c r="AC940" s="170"/>
      <c r="AD940" s="170"/>
      <c r="AE940" s="15" t="s">
        <v>54</v>
      </c>
      <c r="AF940" s="177">
        <v>244229</v>
      </c>
      <c r="AG940" s="177" t="str">
        <f t="shared" si="122"/>
        <v>Pass</v>
      </c>
      <c r="AH940" s="177">
        <f t="shared" si="123"/>
        <v>244229</v>
      </c>
      <c r="AK940" s="176"/>
      <c r="AL940" s="176"/>
    </row>
    <row r="941" spans="1:38" ht="36" customHeight="1" x14ac:dyDescent="0.2">
      <c r="A941" s="14" t="s">
        <v>23</v>
      </c>
      <c r="B941" s="212">
        <v>244196</v>
      </c>
      <c r="C941" s="14" t="s">
        <v>547</v>
      </c>
      <c r="D941" s="14" t="s">
        <v>268</v>
      </c>
      <c r="E941" s="14" t="s">
        <v>14</v>
      </c>
      <c r="F941" s="14" t="s">
        <v>324</v>
      </c>
      <c r="G941" s="179">
        <v>680940</v>
      </c>
      <c r="H941" s="176" t="s">
        <v>3160</v>
      </c>
      <c r="I941" s="176" t="s">
        <v>551</v>
      </c>
      <c r="J941" s="176" t="s">
        <v>832</v>
      </c>
      <c r="K941" s="176" t="s">
        <v>3161</v>
      </c>
      <c r="L941" s="40" t="s">
        <v>108</v>
      </c>
      <c r="M941" s="40" t="s">
        <v>341</v>
      </c>
      <c r="N941" s="14" t="s">
        <v>3162</v>
      </c>
      <c r="O941" s="14" t="s">
        <v>543</v>
      </c>
      <c r="P941" s="14" t="s">
        <v>3165</v>
      </c>
      <c r="Q941" s="14" t="s">
        <v>529</v>
      </c>
      <c r="R941" s="17">
        <v>100</v>
      </c>
      <c r="S941" s="172" t="s">
        <v>51</v>
      </c>
      <c r="T941" s="17">
        <v>1472</v>
      </c>
      <c r="U941" s="172" t="s">
        <v>51</v>
      </c>
      <c r="V941" s="16">
        <f t="shared" si="124"/>
        <v>244196</v>
      </c>
      <c r="W941" s="16">
        <f t="shared" si="125"/>
        <v>244203</v>
      </c>
      <c r="X941" s="16">
        <f t="shared" si="126"/>
        <v>244198</v>
      </c>
      <c r="Y941" s="15" t="s">
        <v>54</v>
      </c>
      <c r="Z941" s="177">
        <v>244211</v>
      </c>
      <c r="AA941" s="170"/>
      <c r="AB941" s="170"/>
      <c r="AC941" s="170"/>
      <c r="AD941" s="170"/>
      <c r="AE941" s="15" t="s">
        <v>54</v>
      </c>
      <c r="AF941" s="177">
        <v>244211</v>
      </c>
      <c r="AG941" s="177" t="str">
        <f t="shared" si="122"/>
        <v>Pass</v>
      </c>
      <c r="AH941" s="177">
        <f t="shared" si="123"/>
        <v>244211</v>
      </c>
      <c r="AK941" s="176"/>
      <c r="AL941" s="176"/>
    </row>
    <row r="942" spans="1:38" ht="36" customHeight="1" x14ac:dyDescent="0.2">
      <c r="A942" s="14" t="s">
        <v>23</v>
      </c>
      <c r="B942" s="212">
        <v>244196</v>
      </c>
      <c r="C942" s="14" t="s">
        <v>547</v>
      </c>
      <c r="D942" s="14" t="s">
        <v>268</v>
      </c>
      <c r="E942" s="14" t="s">
        <v>14</v>
      </c>
      <c r="F942" s="14" t="s">
        <v>324</v>
      </c>
      <c r="G942" s="179">
        <v>680941</v>
      </c>
      <c r="H942" s="176" t="s">
        <v>886</v>
      </c>
      <c r="I942" s="176" t="s">
        <v>630</v>
      </c>
      <c r="J942" s="176" t="s">
        <v>821</v>
      </c>
      <c r="K942" s="176" t="s">
        <v>3113</v>
      </c>
      <c r="L942" s="40" t="s">
        <v>124</v>
      </c>
      <c r="M942" s="40" t="s">
        <v>341</v>
      </c>
      <c r="N942" s="14" t="s">
        <v>2458</v>
      </c>
      <c r="O942" s="14" t="s">
        <v>548</v>
      </c>
      <c r="P942" s="14" t="s">
        <v>717</v>
      </c>
      <c r="Q942" s="14" t="s">
        <v>549</v>
      </c>
      <c r="R942" s="17">
        <v>241</v>
      </c>
      <c r="S942" s="172" t="s">
        <v>51</v>
      </c>
      <c r="T942" s="17">
        <v>2583</v>
      </c>
      <c r="U942" s="172" t="s">
        <v>51</v>
      </c>
      <c r="V942" s="16">
        <f t="shared" si="124"/>
        <v>244196</v>
      </c>
      <c r="W942" s="16">
        <f t="shared" si="125"/>
        <v>244203</v>
      </c>
      <c r="X942" s="16">
        <f t="shared" si="126"/>
        <v>244198</v>
      </c>
      <c r="Y942" s="15" t="s">
        <v>54</v>
      </c>
      <c r="Z942" s="177">
        <v>244211</v>
      </c>
      <c r="AA942" s="170"/>
      <c r="AB942" s="170"/>
      <c r="AC942" s="170"/>
      <c r="AD942" s="170"/>
      <c r="AE942" s="15" t="s">
        <v>54</v>
      </c>
      <c r="AF942" s="177">
        <v>244211</v>
      </c>
      <c r="AG942" s="177" t="str">
        <f t="shared" si="122"/>
        <v>Pass</v>
      </c>
      <c r="AH942" s="177">
        <f t="shared" si="123"/>
        <v>244211</v>
      </c>
      <c r="AK942" s="176"/>
      <c r="AL942" s="176"/>
    </row>
    <row r="943" spans="1:38" ht="36" customHeight="1" x14ac:dyDescent="0.2">
      <c r="A943" s="14" t="s">
        <v>23</v>
      </c>
      <c r="B943" s="212">
        <v>244196</v>
      </c>
      <c r="C943" s="14" t="s">
        <v>547</v>
      </c>
      <c r="D943" s="14" t="s">
        <v>268</v>
      </c>
      <c r="E943" s="14" t="s">
        <v>14</v>
      </c>
      <c r="F943" s="14" t="s">
        <v>324</v>
      </c>
      <c r="G943" s="179">
        <v>680942</v>
      </c>
      <c r="H943" s="176" t="s">
        <v>886</v>
      </c>
      <c r="I943" s="176" t="s">
        <v>630</v>
      </c>
      <c r="J943" s="176" t="s">
        <v>821</v>
      </c>
      <c r="K943" s="176" t="s">
        <v>3113</v>
      </c>
      <c r="L943" s="40" t="s">
        <v>124</v>
      </c>
      <c r="M943" s="40" t="s">
        <v>341</v>
      </c>
      <c r="N943" s="14" t="s">
        <v>3046</v>
      </c>
      <c r="O943" s="14" t="s">
        <v>548</v>
      </c>
      <c r="P943" s="14" t="s">
        <v>717</v>
      </c>
      <c r="Q943" s="14" t="s">
        <v>549</v>
      </c>
      <c r="R943" s="17">
        <v>170</v>
      </c>
      <c r="S943" s="172" t="s">
        <v>51</v>
      </c>
      <c r="T943" s="17"/>
      <c r="U943" s="14"/>
      <c r="V943" s="16">
        <f t="shared" si="124"/>
        <v>244196</v>
      </c>
      <c r="W943" s="16">
        <f t="shared" si="125"/>
        <v>244203</v>
      </c>
      <c r="X943" s="16">
        <f t="shared" si="126"/>
        <v>244198</v>
      </c>
      <c r="Y943" s="15" t="s">
        <v>54</v>
      </c>
      <c r="Z943" s="177">
        <v>244211</v>
      </c>
      <c r="AA943" s="170"/>
      <c r="AB943" s="170"/>
      <c r="AC943" s="170"/>
      <c r="AD943" s="170"/>
      <c r="AE943" s="15" t="s">
        <v>54</v>
      </c>
      <c r="AF943" s="177">
        <v>244211</v>
      </c>
      <c r="AG943" s="177" t="str">
        <f t="shared" si="122"/>
        <v>Pass</v>
      </c>
      <c r="AH943" s="177">
        <f t="shared" si="123"/>
        <v>244211</v>
      </c>
      <c r="AK943" s="176"/>
      <c r="AL943" s="176"/>
    </row>
    <row r="944" spans="1:38" ht="36" customHeight="1" x14ac:dyDescent="0.2">
      <c r="A944" s="14" t="s">
        <v>23</v>
      </c>
      <c r="B944" s="212">
        <v>244196</v>
      </c>
      <c r="C944" s="14" t="s">
        <v>547</v>
      </c>
      <c r="D944" s="14" t="s">
        <v>268</v>
      </c>
      <c r="E944" s="14" t="s">
        <v>14</v>
      </c>
      <c r="F944" s="14" t="s">
        <v>324</v>
      </c>
      <c r="G944" s="179">
        <v>680943</v>
      </c>
      <c r="H944" s="176" t="s">
        <v>886</v>
      </c>
      <c r="I944" s="176" t="s">
        <v>630</v>
      </c>
      <c r="J944" s="176" t="s">
        <v>821</v>
      </c>
      <c r="K944" s="176" t="s">
        <v>3113</v>
      </c>
      <c r="L944" s="40" t="s">
        <v>124</v>
      </c>
      <c r="M944" s="40" t="s">
        <v>341</v>
      </c>
      <c r="N944" s="14" t="s">
        <v>3163</v>
      </c>
      <c r="O944" s="14" t="s">
        <v>3164</v>
      </c>
      <c r="P944" s="14" t="s">
        <v>684</v>
      </c>
      <c r="Q944" s="14" t="s">
        <v>3166</v>
      </c>
      <c r="R944" s="17">
        <v>200</v>
      </c>
      <c r="S944" s="172" t="s">
        <v>51</v>
      </c>
      <c r="T944" s="17">
        <v>2564</v>
      </c>
      <c r="U944" s="14" t="s">
        <v>51</v>
      </c>
      <c r="V944" s="16">
        <f t="shared" si="124"/>
        <v>244196</v>
      </c>
      <c r="W944" s="16">
        <f t="shared" si="125"/>
        <v>244203</v>
      </c>
      <c r="X944" s="16">
        <f t="shared" si="126"/>
        <v>244198</v>
      </c>
      <c r="Y944" s="15" t="s">
        <v>54</v>
      </c>
      <c r="Z944" s="177">
        <v>244231</v>
      </c>
      <c r="AA944" s="170"/>
      <c r="AB944" s="170"/>
      <c r="AC944" s="170"/>
      <c r="AD944" s="170"/>
      <c r="AE944" s="15" t="s">
        <v>54</v>
      </c>
      <c r="AF944" s="177">
        <v>244235</v>
      </c>
      <c r="AG944" s="177" t="str">
        <f t="shared" si="122"/>
        <v>Pass</v>
      </c>
      <c r="AH944" s="177">
        <f t="shared" si="123"/>
        <v>244235</v>
      </c>
      <c r="AK944" s="176"/>
      <c r="AL944" s="176"/>
    </row>
    <row r="945" spans="1:38" ht="36" customHeight="1" x14ac:dyDescent="0.2">
      <c r="A945" s="14" t="s">
        <v>24</v>
      </c>
      <c r="B945" s="212">
        <v>244201</v>
      </c>
      <c r="C945" s="14" t="s">
        <v>547</v>
      </c>
      <c r="D945" s="14" t="s">
        <v>268</v>
      </c>
      <c r="E945" s="14" t="s">
        <v>14</v>
      </c>
      <c r="F945" s="14" t="s">
        <v>324</v>
      </c>
      <c r="G945" s="179">
        <v>680944</v>
      </c>
      <c r="H945" s="176" t="s">
        <v>142</v>
      </c>
      <c r="I945" s="176" t="s">
        <v>551</v>
      </c>
      <c r="J945" s="176" t="s">
        <v>832</v>
      </c>
      <c r="K945" s="176" t="s">
        <v>3167</v>
      </c>
      <c r="L945" s="40" t="s">
        <v>108</v>
      </c>
      <c r="M945" s="40" t="s">
        <v>341</v>
      </c>
      <c r="N945" s="14" t="s">
        <v>3169</v>
      </c>
      <c r="O945" s="14" t="s">
        <v>527</v>
      </c>
      <c r="P945" s="14" t="s">
        <v>818</v>
      </c>
      <c r="Q945" s="14" t="s">
        <v>542</v>
      </c>
      <c r="R945" s="17">
        <v>110</v>
      </c>
      <c r="S945" s="172" t="s">
        <v>51</v>
      </c>
      <c r="T945" s="17">
        <v>2835</v>
      </c>
      <c r="U945" s="172" t="s">
        <v>51</v>
      </c>
      <c r="V945" s="16">
        <f t="shared" si="124"/>
        <v>244201</v>
      </c>
      <c r="W945" s="16">
        <f t="shared" si="125"/>
        <v>244208</v>
      </c>
      <c r="X945" s="16">
        <f t="shared" si="126"/>
        <v>244203</v>
      </c>
      <c r="Y945" s="15" t="s">
        <v>54</v>
      </c>
      <c r="Z945" s="177">
        <v>244224</v>
      </c>
      <c r="AA945" s="170"/>
      <c r="AB945" s="170"/>
      <c r="AC945" s="170"/>
      <c r="AD945" s="170"/>
      <c r="AE945" s="15" t="s">
        <v>54</v>
      </c>
      <c r="AF945" s="177">
        <v>244229</v>
      </c>
      <c r="AG945" s="177" t="str">
        <f t="shared" si="122"/>
        <v>Pass</v>
      </c>
      <c r="AH945" s="177">
        <f t="shared" si="123"/>
        <v>244229</v>
      </c>
      <c r="AK945" s="176"/>
      <c r="AL945" s="176"/>
    </row>
    <row r="946" spans="1:38" ht="36" customHeight="1" x14ac:dyDescent="0.2">
      <c r="A946" s="14" t="s">
        <v>24</v>
      </c>
      <c r="B946" s="212">
        <v>244201</v>
      </c>
      <c r="C946" s="14" t="s">
        <v>547</v>
      </c>
      <c r="D946" s="14" t="s">
        <v>268</v>
      </c>
      <c r="E946" s="14" t="s">
        <v>14</v>
      </c>
      <c r="F946" s="14" t="s">
        <v>324</v>
      </c>
      <c r="G946" s="179">
        <v>680945</v>
      </c>
      <c r="H946" s="176" t="s">
        <v>142</v>
      </c>
      <c r="I946" s="176" t="s">
        <v>551</v>
      </c>
      <c r="J946" s="176" t="s">
        <v>832</v>
      </c>
      <c r="K946" s="176" t="s">
        <v>3167</v>
      </c>
      <c r="L946" s="40" t="s">
        <v>108</v>
      </c>
      <c r="M946" s="40" t="s">
        <v>341</v>
      </c>
      <c r="N946" s="14" t="s">
        <v>3170</v>
      </c>
      <c r="O946" s="14" t="s">
        <v>543</v>
      </c>
      <c r="P946" s="14" t="s">
        <v>1049</v>
      </c>
      <c r="Q946" s="14" t="s">
        <v>529</v>
      </c>
      <c r="R946" s="17">
        <v>175</v>
      </c>
      <c r="S946" s="172" t="s">
        <v>51</v>
      </c>
      <c r="T946" s="17">
        <v>2510</v>
      </c>
      <c r="U946" s="172" t="s">
        <v>51</v>
      </c>
      <c r="V946" s="16">
        <f t="shared" si="124"/>
        <v>244201</v>
      </c>
      <c r="W946" s="16">
        <f t="shared" si="125"/>
        <v>244208</v>
      </c>
      <c r="X946" s="16">
        <f t="shared" si="126"/>
        <v>244203</v>
      </c>
      <c r="Y946" s="15" t="s">
        <v>54</v>
      </c>
      <c r="Z946" s="177">
        <v>244224</v>
      </c>
      <c r="AA946" s="170"/>
      <c r="AB946" s="170"/>
      <c r="AC946" s="170"/>
      <c r="AD946" s="170"/>
      <c r="AE946" s="15" t="s">
        <v>54</v>
      </c>
      <c r="AF946" s="177">
        <v>244229</v>
      </c>
      <c r="AG946" s="177" t="str">
        <f t="shared" si="122"/>
        <v>Pass</v>
      </c>
      <c r="AH946" s="177">
        <f t="shared" si="123"/>
        <v>244229</v>
      </c>
      <c r="AK946" s="176"/>
      <c r="AL946" s="176"/>
    </row>
    <row r="947" spans="1:38" ht="36" customHeight="1" x14ac:dyDescent="0.2">
      <c r="A947" s="14" t="s">
        <v>24</v>
      </c>
      <c r="B947" s="212">
        <v>244201</v>
      </c>
      <c r="C947" s="14" t="s">
        <v>547</v>
      </c>
      <c r="D947" s="14" t="s">
        <v>268</v>
      </c>
      <c r="E947" s="14" t="s">
        <v>14</v>
      </c>
      <c r="F947" s="14" t="s">
        <v>324</v>
      </c>
      <c r="G947" s="179">
        <v>680946</v>
      </c>
      <c r="H947" s="176" t="s">
        <v>663</v>
      </c>
      <c r="I947" s="176" t="s">
        <v>630</v>
      </c>
      <c r="J947" s="176" t="s">
        <v>821</v>
      </c>
      <c r="K947" s="176" t="s">
        <v>3168</v>
      </c>
      <c r="L947" s="40" t="s">
        <v>124</v>
      </c>
      <c r="M947" s="40" t="s">
        <v>341</v>
      </c>
      <c r="N947" s="14" t="s">
        <v>3171</v>
      </c>
      <c r="O947" s="14" t="s">
        <v>543</v>
      </c>
      <c r="P947" s="14" t="s">
        <v>517</v>
      </c>
      <c r="Q947" s="14" t="s">
        <v>529</v>
      </c>
      <c r="R947" s="17">
        <v>300</v>
      </c>
      <c r="S947" s="172" t="s">
        <v>51</v>
      </c>
      <c r="T947" s="17">
        <v>2550</v>
      </c>
      <c r="U947" s="172" t="s">
        <v>51</v>
      </c>
      <c r="V947" s="16">
        <f t="shared" si="124"/>
        <v>244201</v>
      </c>
      <c r="W947" s="16">
        <f t="shared" si="125"/>
        <v>244208</v>
      </c>
      <c r="X947" s="16">
        <f t="shared" si="126"/>
        <v>244203</v>
      </c>
      <c r="Y947" s="15"/>
      <c r="Z947" s="177"/>
      <c r="AA947" s="170"/>
      <c r="AB947" s="170"/>
      <c r="AC947" s="170"/>
      <c r="AD947" s="170"/>
      <c r="AE947" s="15"/>
      <c r="AF947" s="177"/>
      <c r="AG947" s="177">
        <f t="shared" si="122"/>
        <v>0</v>
      </c>
      <c r="AH947" s="177">
        <f t="shared" si="123"/>
        <v>0</v>
      </c>
      <c r="AK947" s="176"/>
      <c r="AL947" s="176"/>
    </row>
    <row r="948" spans="1:38" ht="36" customHeight="1" x14ac:dyDescent="0.2">
      <c r="A948" s="14" t="s">
        <v>24</v>
      </c>
      <c r="B948" s="212">
        <v>244201</v>
      </c>
      <c r="C948" s="14" t="s">
        <v>547</v>
      </c>
      <c r="D948" s="14" t="s">
        <v>268</v>
      </c>
      <c r="E948" s="14" t="s">
        <v>14</v>
      </c>
      <c r="F948" s="14" t="s">
        <v>324</v>
      </c>
      <c r="G948" s="179">
        <v>680947</v>
      </c>
      <c r="H948" s="176" t="s">
        <v>663</v>
      </c>
      <c r="I948" s="176" t="s">
        <v>630</v>
      </c>
      <c r="J948" s="176" t="s">
        <v>821</v>
      </c>
      <c r="K948" s="176" t="s">
        <v>3168</v>
      </c>
      <c r="L948" s="40" t="s">
        <v>124</v>
      </c>
      <c r="M948" s="40" t="s">
        <v>341</v>
      </c>
      <c r="N948" s="14" t="s">
        <v>3172</v>
      </c>
      <c r="O948" s="14" t="s">
        <v>548</v>
      </c>
      <c r="P948" s="14" t="s">
        <v>717</v>
      </c>
      <c r="Q948" s="14" t="s">
        <v>549</v>
      </c>
      <c r="R948" s="17">
        <v>102</v>
      </c>
      <c r="S948" s="172" t="s">
        <v>51</v>
      </c>
      <c r="T948" s="17">
        <v>2519</v>
      </c>
      <c r="U948" s="172" t="s">
        <v>51</v>
      </c>
      <c r="V948" s="16">
        <f t="shared" si="124"/>
        <v>244201</v>
      </c>
      <c r="W948" s="16">
        <f t="shared" si="125"/>
        <v>244208</v>
      </c>
      <c r="X948" s="16">
        <f t="shared" si="126"/>
        <v>244203</v>
      </c>
      <c r="Y948" s="15" t="s">
        <v>54</v>
      </c>
      <c r="Z948" s="177">
        <v>244231</v>
      </c>
      <c r="AA948" s="170"/>
      <c r="AB948" s="170"/>
      <c r="AC948" s="170"/>
      <c r="AD948" s="170"/>
      <c r="AE948" s="15" t="s">
        <v>54</v>
      </c>
      <c r="AF948" s="177">
        <v>244235</v>
      </c>
      <c r="AG948" s="177" t="str">
        <f t="shared" si="122"/>
        <v>Pass</v>
      </c>
      <c r="AH948" s="177">
        <f t="shared" si="123"/>
        <v>244235</v>
      </c>
      <c r="AK948" s="176"/>
      <c r="AL948" s="176"/>
    </row>
    <row r="949" spans="1:38" ht="36" customHeight="1" x14ac:dyDescent="0.2">
      <c r="A949" s="14" t="s">
        <v>24</v>
      </c>
      <c r="B949" s="212">
        <v>244201</v>
      </c>
      <c r="C949" s="14" t="s">
        <v>547</v>
      </c>
      <c r="D949" s="14" t="s">
        <v>268</v>
      </c>
      <c r="E949" s="14" t="s">
        <v>14</v>
      </c>
      <c r="F949" s="14" t="s">
        <v>324</v>
      </c>
      <c r="G949" s="179">
        <v>680948</v>
      </c>
      <c r="H949" s="176" t="s">
        <v>3173</v>
      </c>
      <c r="I949" s="176" t="s">
        <v>3175</v>
      </c>
      <c r="J949" s="176" t="s">
        <v>123</v>
      </c>
      <c r="K949" s="176" t="s">
        <v>3176</v>
      </c>
      <c r="L949" s="40" t="s">
        <v>45</v>
      </c>
      <c r="M949" s="40" t="s">
        <v>341</v>
      </c>
      <c r="N949" s="14" t="s">
        <v>3179</v>
      </c>
      <c r="O949" s="14" t="s">
        <v>543</v>
      </c>
      <c r="P949" s="14" t="s">
        <v>684</v>
      </c>
      <c r="Q949" s="14" t="s">
        <v>529</v>
      </c>
      <c r="R949" s="17">
        <v>500</v>
      </c>
      <c r="S949" s="172" t="s">
        <v>51</v>
      </c>
      <c r="T949" s="17">
        <v>1965</v>
      </c>
      <c r="U949" s="172" t="s">
        <v>51</v>
      </c>
      <c r="V949" s="16">
        <f t="shared" si="124"/>
        <v>244201</v>
      </c>
      <c r="W949" s="16">
        <f t="shared" si="125"/>
        <v>244208</v>
      </c>
      <c r="X949" s="16">
        <f t="shared" si="126"/>
        <v>244203</v>
      </c>
      <c r="Y949" s="15"/>
      <c r="Z949" s="177"/>
      <c r="AA949" s="170"/>
      <c r="AB949" s="170"/>
      <c r="AC949" s="170"/>
      <c r="AD949" s="170"/>
      <c r="AE949" s="15"/>
      <c r="AF949" s="177"/>
      <c r="AG949" s="177">
        <f t="shared" si="122"/>
        <v>0</v>
      </c>
      <c r="AH949" s="177">
        <f t="shared" si="123"/>
        <v>0</v>
      </c>
      <c r="AK949" s="176"/>
      <c r="AL949" s="176"/>
    </row>
    <row r="950" spans="1:38" ht="36" customHeight="1" x14ac:dyDescent="0.2">
      <c r="A950" s="14" t="s">
        <v>24</v>
      </c>
      <c r="B950" s="212">
        <v>244201</v>
      </c>
      <c r="C950" s="14" t="s">
        <v>547</v>
      </c>
      <c r="D950" s="14" t="s">
        <v>268</v>
      </c>
      <c r="E950" s="14" t="s">
        <v>14</v>
      </c>
      <c r="F950" s="14" t="s">
        <v>324</v>
      </c>
      <c r="G950" s="179">
        <v>680949</v>
      </c>
      <c r="H950" s="176" t="s">
        <v>142</v>
      </c>
      <c r="I950" s="176" t="s">
        <v>551</v>
      </c>
      <c r="J950" s="176" t="s">
        <v>832</v>
      </c>
      <c r="K950" s="176" t="s">
        <v>3167</v>
      </c>
      <c r="L950" s="40" t="s">
        <v>108</v>
      </c>
      <c r="M950" s="40" t="s">
        <v>341</v>
      </c>
      <c r="N950" s="14" t="s">
        <v>3180</v>
      </c>
      <c r="O950" s="14" t="s">
        <v>714</v>
      </c>
      <c r="P950" s="14" t="s">
        <v>519</v>
      </c>
      <c r="Q950" s="14" t="s">
        <v>716</v>
      </c>
      <c r="R950" s="17">
        <v>1200</v>
      </c>
      <c r="S950" s="172" t="s">
        <v>51</v>
      </c>
      <c r="T950" s="17">
        <v>1355</v>
      </c>
      <c r="U950" s="172" t="s">
        <v>51</v>
      </c>
      <c r="V950" s="16">
        <f t="shared" si="124"/>
        <v>244201</v>
      </c>
      <c r="W950" s="16">
        <f t="shared" si="125"/>
        <v>244208</v>
      </c>
      <c r="X950" s="16">
        <f t="shared" si="126"/>
        <v>244203</v>
      </c>
      <c r="Y950" s="15" t="s">
        <v>54</v>
      </c>
      <c r="Z950" s="177">
        <v>244224</v>
      </c>
      <c r="AA950" s="170"/>
      <c r="AB950" s="170"/>
      <c r="AC950" s="170"/>
      <c r="AD950" s="170"/>
      <c r="AE950" s="15" t="s">
        <v>54</v>
      </c>
      <c r="AF950" s="177">
        <v>244229</v>
      </c>
      <c r="AG950" s="177" t="str">
        <f t="shared" si="122"/>
        <v>Pass</v>
      </c>
      <c r="AH950" s="177">
        <f t="shared" si="123"/>
        <v>244229</v>
      </c>
      <c r="AK950" s="176"/>
      <c r="AL950" s="176"/>
    </row>
    <row r="951" spans="1:38" ht="36" customHeight="1" x14ac:dyDescent="0.2">
      <c r="A951" s="14" t="s">
        <v>24</v>
      </c>
      <c r="B951" s="212">
        <v>244201</v>
      </c>
      <c r="C951" s="14" t="s">
        <v>547</v>
      </c>
      <c r="D951" s="14" t="s">
        <v>268</v>
      </c>
      <c r="E951" s="14" t="s">
        <v>14</v>
      </c>
      <c r="F951" s="14" t="s">
        <v>324</v>
      </c>
      <c r="G951" s="179">
        <v>680950</v>
      </c>
      <c r="H951" s="176" t="s">
        <v>824</v>
      </c>
      <c r="I951" s="176" t="s">
        <v>774</v>
      </c>
      <c r="J951" s="176" t="s">
        <v>776</v>
      </c>
      <c r="K951" s="176" t="s">
        <v>3177</v>
      </c>
      <c r="L951" s="40" t="s">
        <v>105</v>
      </c>
      <c r="M951" s="40" t="s">
        <v>341</v>
      </c>
      <c r="N951" s="14" t="s">
        <v>3181</v>
      </c>
      <c r="O951" s="14" t="s">
        <v>552</v>
      </c>
      <c r="P951" s="14" t="s">
        <v>519</v>
      </c>
      <c r="Q951" s="14" t="s">
        <v>553</v>
      </c>
      <c r="R951" s="17">
        <v>1200</v>
      </c>
      <c r="S951" s="172" t="s">
        <v>51</v>
      </c>
      <c r="T951" s="17">
        <v>1740</v>
      </c>
      <c r="U951" s="172" t="s">
        <v>51</v>
      </c>
      <c r="V951" s="16">
        <f t="shared" si="124"/>
        <v>244201</v>
      </c>
      <c r="W951" s="16">
        <f t="shared" si="125"/>
        <v>244208</v>
      </c>
      <c r="X951" s="16">
        <f t="shared" si="126"/>
        <v>244203</v>
      </c>
      <c r="Y951" s="15" t="s">
        <v>54</v>
      </c>
      <c r="Z951" s="177">
        <v>244211</v>
      </c>
      <c r="AA951" s="170"/>
      <c r="AB951" s="170"/>
      <c r="AC951" s="170"/>
      <c r="AD951" s="170"/>
      <c r="AE951" s="15" t="s">
        <v>54</v>
      </c>
      <c r="AF951" s="177">
        <v>244211</v>
      </c>
      <c r="AG951" s="177" t="str">
        <f t="shared" si="122"/>
        <v>Pass</v>
      </c>
      <c r="AH951" s="177">
        <f t="shared" si="123"/>
        <v>244211</v>
      </c>
      <c r="AK951" s="176"/>
      <c r="AL951" s="176"/>
    </row>
    <row r="952" spans="1:38" ht="36" customHeight="1" x14ac:dyDescent="0.2">
      <c r="A952" s="14" t="s">
        <v>24</v>
      </c>
      <c r="B952" s="212">
        <v>244201</v>
      </c>
      <c r="C952" s="14" t="s">
        <v>547</v>
      </c>
      <c r="D952" s="14" t="s">
        <v>268</v>
      </c>
      <c r="E952" s="14" t="s">
        <v>14</v>
      </c>
      <c r="F952" s="14" t="s">
        <v>324</v>
      </c>
      <c r="G952" s="179">
        <v>680951</v>
      </c>
      <c r="H952" s="176" t="s">
        <v>824</v>
      </c>
      <c r="I952" s="176" t="s">
        <v>774</v>
      </c>
      <c r="J952" s="176" t="s">
        <v>776</v>
      </c>
      <c r="K952" s="176" t="s">
        <v>3177</v>
      </c>
      <c r="L952" s="40" t="s">
        <v>105</v>
      </c>
      <c r="M952" s="40" t="s">
        <v>341</v>
      </c>
      <c r="N952" s="14" t="s">
        <v>2378</v>
      </c>
      <c r="O952" s="14" t="s">
        <v>548</v>
      </c>
      <c r="P952" s="14" t="s">
        <v>518</v>
      </c>
      <c r="Q952" s="14" t="s">
        <v>549</v>
      </c>
      <c r="R952" s="17">
        <v>141</v>
      </c>
      <c r="S952" s="172" t="s">
        <v>51</v>
      </c>
      <c r="T952" s="17">
        <v>1740</v>
      </c>
      <c r="U952" s="172" t="s">
        <v>51</v>
      </c>
      <c r="V952" s="16">
        <f t="shared" si="124"/>
        <v>244201</v>
      </c>
      <c r="W952" s="16">
        <f t="shared" si="125"/>
        <v>244208</v>
      </c>
      <c r="X952" s="16">
        <f t="shared" si="126"/>
        <v>244203</v>
      </c>
      <c r="Y952" s="15" t="s">
        <v>54</v>
      </c>
      <c r="Z952" s="177">
        <v>244211</v>
      </c>
      <c r="AA952" s="170"/>
      <c r="AB952" s="170"/>
      <c r="AC952" s="170"/>
      <c r="AD952" s="170"/>
      <c r="AE952" s="15" t="s">
        <v>54</v>
      </c>
      <c r="AF952" s="177">
        <v>244211</v>
      </c>
      <c r="AG952" s="177" t="str">
        <f t="shared" si="122"/>
        <v>Pass</v>
      </c>
      <c r="AH952" s="177">
        <f t="shared" si="123"/>
        <v>244211</v>
      </c>
      <c r="AK952" s="176"/>
      <c r="AL952" s="176"/>
    </row>
    <row r="953" spans="1:38" ht="36" customHeight="1" x14ac:dyDescent="0.2">
      <c r="A953" s="14" t="s">
        <v>24</v>
      </c>
      <c r="B953" s="212">
        <v>244201</v>
      </c>
      <c r="C953" s="14" t="s">
        <v>547</v>
      </c>
      <c r="D953" s="14" t="s">
        <v>268</v>
      </c>
      <c r="E953" s="14" t="s">
        <v>14</v>
      </c>
      <c r="F953" s="14" t="s">
        <v>324</v>
      </c>
      <c r="G953" s="179">
        <v>680952</v>
      </c>
      <c r="H953" s="176" t="s">
        <v>3174</v>
      </c>
      <c r="I953" s="176" t="s">
        <v>551</v>
      </c>
      <c r="J953" s="176" t="s">
        <v>832</v>
      </c>
      <c r="K953" s="176" t="s">
        <v>3178</v>
      </c>
      <c r="L953" s="40" t="s">
        <v>108</v>
      </c>
      <c r="M953" s="40" t="s">
        <v>341</v>
      </c>
      <c r="N953" s="14" t="s">
        <v>3182</v>
      </c>
      <c r="O953" s="14" t="s">
        <v>528</v>
      </c>
      <c r="P953" s="14" t="s">
        <v>1152</v>
      </c>
      <c r="Q953" s="14" t="s">
        <v>541</v>
      </c>
      <c r="R953" s="17">
        <v>500</v>
      </c>
      <c r="S953" s="172" t="s">
        <v>51</v>
      </c>
      <c r="T953" s="17">
        <v>1700</v>
      </c>
      <c r="U953" s="172" t="s">
        <v>51</v>
      </c>
      <c r="V953" s="16">
        <f t="shared" si="124"/>
        <v>244201</v>
      </c>
      <c r="W953" s="16">
        <f t="shared" si="125"/>
        <v>244208</v>
      </c>
      <c r="X953" s="16">
        <f t="shared" si="126"/>
        <v>244203</v>
      </c>
      <c r="Y953" s="15" t="s">
        <v>54</v>
      </c>
      <c r="Z953" s="177">
        <v>244224</v>
      </c>
      <c r="AA953" s="170"/>
      <c r="AB953" s="170"/>
      <c r="AC953" s="170"/>
      <c r="AD953" s="170"/>
      <c r="AE953" s="15" t="s">
        <v>54</v>
      </c>
      <c r="AF953" s="177">
        <v>244229</v>
      </c>
      <c r="AG953" s="177" t="str">
        <f t="shared" si="122"/>
        <v>Pass</v>
      </c>
      <c r="AH953" s="177">
        <f t="shared" si="123"/>
        <v>244229</v>
      </c>
      <c r="AK953" s="176"/>
      <c r="AL953" s="176"/>
    </row>
    <row r="954" spans="1:38" ht="36" customHeight="1" x14ac:dyDescent="0.2">
      <c r="A954" s="14" t="s">
        <v>24</v>
      </c>
      <c r="B954" s="212">
        <v>244202</v>
      </c>
      <c r="C954" s="14" t="s">
        <v>547</v>
      </c>
      <c r="D954" s="14" t="s">
        <v>268</v>
      </c>
      <c r="E954" s="14" t="s">
        <v>14</v>
      </c>
      <c r="F954" s="14" t="s">
        <v>324</v>
      </c>
      <c r="G954" s="179">
        <v>680953</v>
      </c>
      <c r="H954" s="176" t="s">
        <v>826</v>
      </c>
      <c r="I954" s="176" t="s">
        <v>551</v>
      </c>
      <c r="J954" s="176" t="s">
        <v>832</v>
      </c>
      <c r="K954" s="176" t="s">
        <v>3184</v>
      </c>
      <c r="L954" s="40" t="s">
        <v>108</v>
      </c>
      <c r="M954" s="40" t="s">
        <v>341</v>
      </c>
      <c r="N954" s="14" t="s">
        <v>3189</v>
      </c>
      <c r="O954" s="14" t="s">
        <v>528</v>
      </c>
      <c r="P954" s="14" t="s">
        <v>517</v>
      </c>
      <c r="Q954" s="14" t="s">
        <v>541</v>
      </c>
      <c r="R954" s="17">
        <v>1500</v>
      </c>
      <c r="S954" s="172" t="s">
        <v>51</v>
      </c>
      <c r="T954" s="17">
        <v>2810</v>
      </c>
      <c r="U954" s="172" t="s">
        <v>51</v>
      </c>
      <c r="V954" s="16">
        <f t="shared" si="124"/>
        <v>244202</v>
      </c>
      <c r="W954" s="16">
        <f t="shared" si="125"/>
        <v>244209</v>
      </c>
      <c r="X954" s="16">
        <f t="shared" si="126"/>
        <v>244204</v>
      </c>
      <c r="Y954" s="15" t="s">
        <v>54</v>
      </c>
      <c r="Z954" s="177">
        <v>244224</v>
      </c>
      <c r="AA954" s="170"/>
      <c r="AB954" s="170"/>
      <c r="AC954" s="170"/>
      <c r="AD954" s="170"/>
      <c r="AE954" s="15" t="s">
        <v>54</v>
      </c>
      <c r="AF954" s="177">
        <v>244229</v>
      </c>
      <c r="AG954" s="177" t="str">
        <f t="shared" si="122"/>
        <v>Pass</v>
      </c>
      <c r="AH954" s="177">
        <f t="shared" si="123"/>
        <v>244229</v>
      </c>
      <c r="AK954" s="176"/>
      <c r="AL954" s="176"/>
    </row>
    <row r="955" spans="1:38" ht="36" customHeight="1" x14ac:dyDescent="0.2">
      <c r="A955" s="14" t="s">
        <v>24</v>
      </c>
      <c r="B955" s="212">
        <v>244202</v>
      </c>
      <c r="C955" s="14" t="s">
        <v>547</v>
      </c>
      <c r="D955" s="14" t="s">
        <v>268</v>
      </c>
      <c r="E955" s="14" t="s">
        <v>14</v>
      </c>
      <c r="F955" s="14" t="s">
        <v>324</v>
      </c>
      <c r="G955" s="179">
        <v>680954</v>
      </c>
      <c r="H955" s="176" t="s">
        <v>826</v>
      </c>
      <c r="I955" s="176" t="s">
        <v>551</v>
      </c>
      <c r="J955" s="176" t="s">
        <v>832</v>
      </c>
      <c r="K955" s="176" t="s">
        <v>3184</v>
      </c>
      <c r="L955" s="40" t="s">
        <v>108</v>
      </c>
      <c r="M955" s="40" t="s">
        <v>341</v>
      </c>
      <c r="N955" s="14" t="s">
        <v>3190</v>
      </c>
      <c r="O955" s="14" t="s">
        <v>543</v>
      </c>
      <c r="P955" s="14" t="s">
        <v>3195</v>
      </c>
      <c r="Q955" s="14" t="s">
        <v>529</v>
      </c>
      <c r="R955" s="17">
        <v>775</v>
      </c>
      <c r="S955" s="172" t="s">
        <v>51</v>
      </c>
      <c r="T955" s="17">
        <v>2160</v>
      </c>
      <c r="U955" s="172" t="s">
        <v>51</v>
      </c>
      <c r="V955" s="16">
        <f t="shared" si="124"/>
        <v>244202</v>
      </c>
      <c r="W955" s="16">
        <f t="shared" si="125"/>
        <v>244209</v>
      </c>
      <c r="X955" s="16">
        <f t="shared" si="126"/>
        <v>244204</v>
      </c>
      <c r="Y955" s="15" t="s">
        <v>54</v>
      </c>
      <c r="Z955" s="177">
        <v>244224</v>
      </c>
      <c r="AA955" s="170"/>
      <c r="AB955" s="170"/>
      <c r="AC955" s="170"/>
      <c r="AD955" s="170"/>
      <c r="AE955" s="15" t="s">
        <v>54</v>
      </c>
      <c r="AF955" s="177">
        <v>244229</v>
      </c>
      <c r="AG955" s="177" t="str">
        <f t="shared" si="122"/>
        <v>Pass</v>
      </c>
      <c r="AH955" s="177">
        <f t="shared" si="123"/>
        <v>244229</v>
      </c>
      <c r="AK955" s="176"/>
      <c r="AL955" s="176"/>
    </row>
    <row r="956" spans="1:38" ht="36" customHeight="1" x14ac:dyDescent="0.2">
      <c r="A956" s="14" t="s">
        <v>24</v>
      </c>
      <c r="B956" s="212">
        <v>244202</v>
      </c>
      <c r="C956" s="14" t="s">
        <v>547</v>
      </c>
      <c r="D956" s="14" t="s">
        <v>268</v>
      </c>
      <c r="E956" s="14" t="s">
        <v>14</v>
      </c>
      <c r="F956" s="14" t="s">
        <v>324</v>
      </c>
      <c r="G956" s="179">
        <v>680955</v>
      </c>
      <c r="H956" s="176" t="s">
        <v>1853</v>
      </c>
      <c r="I956" s="176" t="s">
        <v>864</v>
      </c>
      <c r="J956" s="176" t="s">
        <v>289</v>
      </c>
      <c r="K956" s="176" t="s">
        <v>3185</v>
      </c>
      <c r="L956" s="40" t="s">
        <v>46</v>
      </c>
      <c r="M956" s="40" t="s">
        <v>341</v>
      </c>
      <c r="N956" s="14" t="s">
        <v>3196</v>
      </c>
      <c r="O956" s="14" t="s">
        <v>756</v>
      </c>
      <c r="P956" s="14" t="s">
        <v>3197</v>
      </c>
      <c r="Q956" s="14" t="s">
        <v>758</v>
      </c>
      <c r="R956" s="17">
        <v>200</v>
      </c>
      <c r="S956" s="172" t="s">
        <v>51</v>
      </c>
      <c r="T956" s="17">
        <v>670</v>
      </c>
      <c r="U956" s="172" t="s">
        <v>51</v>
      </c>
      <c r="V956" s="16">
        <f t="shared" si="124"/>
        <v>244202</v>
      </c>
      <c r="W956" s="16">
        <f t="shared" si="125"/>
        <v>244209</v>
      </c>
      <c r="X956" s="16">
        <f t="shared" si="126"/>
        <v>244204</v>
      </c>
      <c r="Y956" s="15"/>
      <c r="Z956" s="177"/>
      <c r="AA956" s="170"/>
      <c r="AB956" s="170"/>
      <c r="AC956" s="170"/>
      <c r="AD956" s="170"/>
      <c r="AE956" s="15"/>
      <c r="AF956" s="177"/>
      <c r="AG956" s="177">
        <f t="shared" si="122"/>
        <v>0</v>
      </c>
      <c r="AH956" s="177">
        <f t="shared" si="123"/>
        <v>0</v>
      </c>
      <c r="AK956" s="176"/>
      <c r="AL956" s="176"/>
    </row>
    <row r="957" spans="1:38" ht="36" customHeight="1" x14ac:dyDescent="0.2">
      <c r="A957" s="14" t="s">
        <v>24</v>
      </c>
      <c r="B957" s="212">
        <v>244202</v>
      </c>
      <c r="C957" s="14" t="s">
        <v>547</v>
      </c>
      <c r="D957" s="14" t="s">
        <v>268</v>
      </c>
      <c r="E957" s="14" t="s">
        <v>14</v>
      </c>
      <c r="F957" s="14" t="s">
        <v>324</v>
      </c>
      <c r="G957" s="179">
        <v>680956</v>
      </c>
      <c r="H957" s="176" t="s">
        <v>1234</v>
      </c>
      <c r="I957" s="176" t="s">
        <v>864</v>
      </c>
      <c r="J957" s="176" t="s">
        <v>289</v>
      </c>
      <c r="K957" s="176" t="s">
        <v>3186</v>
      </c>
      <c r="L957" s="40" t="s">
        <v>46</v>
      </c>
      <c r="M957" s="40" t="s">
        <v>341</v>
      </c>
      <c r="N957" s="14" t="s">
        <v>2112</v>
      </c>
      <c r="O957" s="14" t="s">
        <v>552</v>
      </c>
      <c r="P957" s="14" t="s">
        <v>793</v>
      </c>
      <c r="Q957" s="14" t="s">
        <v>553</v>
      </c>
      <c r="R957" s="17">
        <v>200</v>
      </c>
      <c r="S957" s="172" t="s">
        <v>51</v>
      </c>
      <c r="T957" s="17">
        <v>1795</v>
      </c>
      <c r="U957" s="172" t="s">
        <v>51</v>
      </c>
      <c r="V957" s="16">
        <f t="shared" si="124"/>
        <v>244202</v>
      </c>
      <c r="W957" s="16">
        <f t="shared" si="125"/>
        <v>244209</v>
      </c>
      <c r="X957" s="16">
        <f t="shared" si="126"/>
        <v>244204</v>
      </c>
      <c r="Y957" s="15"/>
      <c r="Z957" s="177"/>
      <c r="AA957" s="170"/>
      <c r="AB957" s="170"/>
      <c r="AC957" s="170"/>
      <c r="AD957" s="170"/>
      <c r="AE957" s="15"/>
      <c r="AF957" s="177"/>
      <c r="AG957" s="177">
        <f t="shared" si="122"/>
        <v>0</v>
      </c>
      <c r="AH957" s="177">
        <f t="shared" si="123"/>
        <v>0</v>
      </c>
      <c r="AK957" s="176"/>
      <c r="AL957" s="176"/>
    </row>
    <row r="958" spans="1:38" ht="36" customHeight="1" x14ac:dyDescent="0.2">
      <c r="A958" s="14" t="s">
        <v>24</v>
      </c>
      <c r="B958" s="212">
        <v>244202</v>
      </c>
      <c r="C958" s="14" t="s">
        <v>547</v>
      </c>
      <c r="D958" s="14" t="s">
        <v>268</v>
      </c>
      <c r="E958" s="14" t="s">
        <v>14</v>
      </c>
      <c r="F958" s="14" t="s">
        <v>324</v>
      </c>
      <c r="G958" s="179">
        <v>680957</v>
      </c>
      <c r="H958" s="176" t="s">
        <v>904</v>
      </c>
      <c r="I958" s="176" t="s">
        <v>908</v>
      </c>
      <c r="J958" s="176" t="s">
        <v>133</v>
      </c>
      <c r="K958" s="176" t="s">
        <v>3187</v>
      </c>
      <c r="L958" s="40" t="s">
        <v>45</v>
      </c>
      <c r="M958" s="40" t="s">
        <v>341</v>
      </c>
      <c r="N958" s="14" t="s">
        <v>3191</v>
      </c>
      <c r="O958" s="14" t="s">
        <v>543</v>
      </c>
      <c r="P958" s="14" t="s">
        <v>3198</v>
      </c>
      <c r="Q958" s="14" t="s">
        <v>529</v>
      </c>
      <c r="R958" s="17">
        <v>600</v>
      </c>
      <c r="S958" s="172" t="s">
        <v>51</v>
      </c>
      <c r="T958" s="17">
        <v>1990</v>
      </c>
      <c r="U958" s="172" t="s">
        <v>51</v>
      </c>
      <c r="V958" s="16">
        <f t="shared" si="124"/>
        <v>244202</v>
      </c>
      <c r="W958" s="16">
        <f t="shared" si="125"/>
        <v>244209</v>
      </c>
      <c r="X958" s="16">
        <f t="shared" si="126"/>
        <v>244204</v>
      </c>
      <c r="Y958" s="15"/>
      <c r="Z958" s="177"/>
      <c r="AA958" s="170"/>
      <c r="AB958" s="170"/>
      <c r="AC958" s="170"/>
      <c r="AD958" s="170"/>
      <c r="AE958" s="15"/>
      <c r="AF958" s="177"/>
      <c r="AG958" s="177">
        <f t="shared" si="122"/>
        <v>0</v>
      </c>
      <c r="AH958" s="177">
        <f t="shared" si="123"/>
        <v>0</v>
      </c>
      <c r="AK958" s="176"/>
      <c r="AL958" s="176"/>
    </row>
    <row r="959" spans="1:38" ht="36" customHeight="1" x14ac:dyDescent="0.2">
      <c r="A959" s="14" t="s">
        <v>24</v>
      </c>
      <c r="B959" s="212">
        <v>244202</v>
      </c>
      <c r="C959" s="14" t="s">
        <v>547</v>
      </c>
      <c r="D959" s="14" t="s">
        <v>268</v>
      </c>
      <c r="E959" s="14" t="s">
        <v>14</v>
      </c>
      <c r="F959" s="14" t="s">
        <v>324</v>
      </c>
      <c r="G959" s="179">
        <v>680958</v>
      </c>
      <c r="H959" s="176" t="s">
        <v>904</v>
      </c>
      <c r="I959" s="176" t="s">
        <v>908</v>
      </c>
      <c r="J959" s="176" t="s">
        <v>133</v>
      </c>
      <c r="K959" s="176" t="s">
        <v>3187</v>
      </c>
      <c r="L959" s="40" t="s">
        <v>45</v>
      </c>
      <c r="M959" s="40" t="s">
        <v>341</v>
      </c>
      <c r="N959" s="14" t="s">
        <v>3192</v>
      </c>
      <c r="O959" s="14" t="s">
        <v>756</v>
      </c>
      <c r="P959" s="14" t="s">
        <v>2813</v>
      </c>
      <c r="Q959" s="14" t="s">
        <v>758</v>
      </c>
      <c r="R959" s="17">
        <v>1800</v>
      </c>
      <c r="S959" s="172" t="s">
        <v>51</v>
      </c>
      <c r="T959" s="17">
        <v>1960</v>
      </c>
      <c r="U959" s="172" t="s">
        <v>51</v>
      </c>
      <c r="V959" s="16">
        <f t="shared" si="124"/>
        <v>244202</v>
      </c>
      <c r="W959" s="16">
        <f t="shared" si="125"/>
        <v>244209</v>
      </c>
      <c r="X959" s="16">
        <f t="shared" si="126"/>
        <v>244204</v>
      </c>
      <c r="Y959" s="15"/>
      <c r="Z959" s="177"/>
      <c r="AA959" s="170"/>
      <c r="AB959" s="170"/>
      <c r="AC959" s="170"/>
      <c r="AD959" s="170"/>
      <c r="AE959" s="15"/>
      <c r="AF959" s="177"/>
      <c r="AG959" s="177">
        <f t="shared" si="122"/>
        <v>0</v>
      </c>
      <c r="AH959" s="177">
        <f t="shared" si="123"/>
        <v>0</v>
      </c>
      <c r="AK959" s="176"/>
      <c r="AL959" s="176"/>
    </row>
    <row r="960" spans="1:38" ht="36" customHeight="1" x14ac:dyDescent="0.2">
      <c r="A960" s="14" t="s">
        <v>24</v>
      </c>
      <c r="B960" s="212">
        <v>244202</v>
      </c>
      <c r="C960" s="14" t="s">
        <v>547</v>
      </c>
      <c r="D960" s="14" t="s">
        <v>268</v>
      </c>
      <c r="E960" s="14" t="s">
        <v>14</v>
      </c>
      <c r="F960" s="14" t="s">
        <v>324</v>
      </c>
      <c r="G960" s="179">
        <v>680959</v>
      </c>
      <c r="H960" s="176" t="s">
        <v>3183</v>
      </c>
      <c r="I960" s="176" t="s">
        <v>864</v>
      </c>
      <c r="J960" s="176" t="s">
        <v>131</v>
      </c>
      <c r="K960" s="176" t="s">
        <v>3188</v>
      </c>
      <c r="L960" s="40" t="s">
        <v>46</v>
      </c>
      <c r="M960" s="40" t="s">
        <v>341</v>
      </c>
      <c r="N960" s="14" t="s">
        <v>3193</v>
      </c>
      <c r="O960" s="14" t="s">
        <v>548</v>
      </c>
      <c r="P960" s="14" t="s">
        <v>518</v>
      </c>
      <c r="Q960" s="14" t="s">
        <v>549</v>
      </c>
      <c r="R960" s="17">
        <v>424</v>
      </c>
      <c r="S960" s="172" t="s">
        <v>51</v>
      </c>
      <c r="T960" s="17">
        <v>1940</v>
      </c>
      <c r="U960" s="172" t="s">
        <v>51</v>
      </c>
      <c r="V960" s="16">
        <f t="shared" si="124"/>
        <v>244202</v>
      </c>
      <c r="W960" s="16">
        <f t="shared" si="125"/>
        <v>244209</v>
      </c>
      <c r="X960" s="16">
        <f t="shared" si="126"/>
        <v>244204</v>
      </c>
      <c r="Y960" s="15" t="s">
        <v>54</v>
      </c>
      <c r="Z960" s="177">
        <v>244224</v>
      </c>
      <c r="AA960" s="170"/>
      <c r="AB960" s="170"/>
      <c r="AC960" s="170"/>
      <c r="AD960" s="170"/>
      <c r="AE960" s="15" t="s">
        <v>54</v>
      </c>
      <c r="AF960" s="177">
        <v>244229</v>
      </c>
      <c r="AG960" s="177" t="str">
        <f t="shared" si="122"/>
        <v>Pass</v>
      </c>
      <c r="AH960" s="177">
        <f t="shared" si="123"/>
        <v>244229</v>
      </c>
      <c r="AK960" s="176"/>
      <c r="AL960" s="176"/>
    </row>
    <row r="961" spans="1:38" ht="36" customHeight="1" x14ac:dyDescent="0.2">
      <c r="A961" s="14" t="s">
        <v>24</v>
      </c>
      <c r="B961" s="212">
        <v>244202</v>
      </c>
      <c r="C961" s="14" t="s">
        <v>547</v>
      </c>
      <c r="D961" s="14" t="s">
        <v>268</v>
      </c>
      <c r="E961" s="14" t="s">
        <v>14</v>
      </c>
      <c r="F961" s="14" t="s">
        <v>324</v>
      </c>
      <c r="G961" s="179">
        <v>680960</v>
      </c>
      <c r="H961" s="176" t="s">
        <v>3183</v>
      </c>
      <c r="I961" s="176" t="s">
        <v>864</v>
      </c>
      <c r="J961" s="176" t="s">
        <v>131</v>
      </c>
      <c r="K961" s="176" t="s">
        <v>3188</v>
      </c>
      <c r="L961" s="40" t="s">
        <v>46</v>
      </c>
      <c r="M961" s="40" t="s">
        <v>341</v>
      </c>
      <c r="N961" s="14" t="s">
        <v>3194</v>
      </c>
      <c r="O961" s="14" t="s">
        <v>552</v>
      </c>
      <c r="P961" s="14" t="s">
        <v>1205</v>
      </c>
      <c r="Q961" s="14" t="s">
        <v>553</v>
      </c>
      <c r="R961" s="17">
        <v>150</v>
      </c>
      <c r="S961" s="172" t="s">
        <v>51</v>
      </c>
      <c r="T961" s="17">
        <v>1010</v>
      </c>
      <c r="U961" s="172" t="s">
        <v>51</v>
      </c>
      <c r="V961" s="16">
        <f t="shared" si="124"/>
        <v>244202</v>
      </c>
      <c r="W961" s="16">
        <f t="shared" si="125"/>
        <v>244209</v>
      </c>
      <c r="X961" s="16">
        <f t="shared" si="126"/>
        <v>244204</v>
      </c>
      <c r="Y961" s="15" t="s">
        <v>54</v>
      </c>
      <c r="Z961" s="177">
        <v>244224</v>
      </c>
      <c r="AA961" s="170"/>
      <c r="AB961" s="170"/>
      <c r="AC961" s="170"/>
      <c r="AD961" s="170"/>
      <c r="AE961" s="15" t="s">
        <v>54</v>
      </c>
      <c r="AF961" s="177">
        <v>244229</v>
      </c>
      <c r="AG961" s="177" t="str">
        <f t="shared" si="122"/>
        <v>Pass</v>
      </c>
      <c r="AH961" s="177">
        <f t="shared" si="123"/>
        <v>244229</v>
      </c>
      <c r="AK961" s="176"/>
      <c r="AL961" s="176"/>
    </row>
    <row r="962" spans="1:38" ht="36" customHeight="1" x14ac:dyDescent="0.2">
      <c r="A962" s="14" t="s">
        <v>24</v>
      </c>
      <c r="B962" s="212">
        <v>244202</v>
      </c>
      <c r="C962" s="14" t="s">
        <v>547</v>
      </c>
      <c r="D962" s="14" t="s">
        <v>268</v>
      </c>
      <c r="E962" s="14" t="s">
        <v>14</v>
      </c>
      <c r="F962" s="14" t="s">
        <v>324</v>
      </c>
      <c r="G962" s="179">
        <v>680961</v>
      </c>
      <c r="H962" s="176" t="s">
        <v>904</v>
      </c>
      <c r="I962" s="176" t="s">
        <v>908</v>
      </c>
      <c r="J962" s="176" t="s">
        <v>133</v>
      </c>
      <c r="K962" s="176" t="s">
        <v>3187</v>
      </c>
      <c r="L962" s="40" t="s">
        <v>45</v>
      </c>
      <c r="M962" s="40" t="s">
        <v>341</v>
      </c>
      <c r="N962" s="14" t="s">
        <v>3199</v>
      </c>
      <c r="O962" s="14" t="s">
        <v>3200</v>
      </c>
      <c r="P962" s="14" t="s">
        <v>3202</v>
      </c>
      <c r="Q962" s="14" t="s">
        <v>3205</v>
      </c>
      <c r="R962" s="17">
        <v>600</v>
      </c>
      <c r="S962" s="172" t="s">
        <v>51</v>
      </c>
      <c r="T962" s="17">
        <v>1955</v>
      </c>
      <c r="U962" s="172" t="s">
        <v>51</v>
      </c>
      <c r="V962" s="16">
        <f t="shared" si="124"/>
        <v>244202</v>
      </c>
      <c r="W962" s="16">
        <f t="shared" si="125"/>
        <v>244209</v>
      </c>
      <c r="X962" s="16">
        <f t="shared" si="126"/>
        <v>244204</v>
      </c>
      <c r="Y962" s="15"/>
      <c r="Z962" s="177"/>
      <c r="AA962" s="170"/>
      <c r="AB962" s="170"/>
      <c r="AC962" s="170"/>
      <c r="AD962" s="170"/>
      <c r="AE962" s="15"/>
      <c r="AF962" s="177"/>
      <c r="AG962" s="177">
        <f t="shared" si="122"/>
        <v>0</v>
      </c>
      <c r="AH962" s="177">
        <f t="shared" si="123"/>
        <v>0</v>
      </c>
      <c r="AK962" s="176"/>
      <c r="AL962" s="176"/>
    </row>
    <row r="963" spans="1:38" ht="36" customHeight="1" x14ac:dyDescent="0.2">
      <c r="A963" s="14" t="s">
        <v>24</v>
      </c>
      <c r="B963" s="212">
        <v>244202</v>
      </c>
      <c r="C963" s="14" t="s">
        <v>547</v>
      </c>
      <c r="D963" s="14" t="s">
        <v>268</v>
      </c>
      <c r="E963" s="14" t="s">
        <v>14</v>
      </c>
      <c r="F963" s="14" t="s">
        <v>324</v>
      </c>
      <c r="G963" s="179">
        <v>680962</v>
      </c>
      <c r="H963" s="176" t="s">
        <v>904</v>
      </c>
      <c r="I963" s="176" t="s">
        <v>908</v>
      </c>
      <c r="J963" s="176" t="s">
        <v>133</v>
      </c>
      <c r="K963" s="176" t="s">
        <v>3187</v>
      </c>
      <c r="L963" s="40" t="s">
        <v>45</v>
      </c>
      <c r="M963" s="40" t="s">
        <v>341</v>
      </c>
      <c r="N963" s="14" t="s">
        <v>3203</v>
      </c>
      <c r="O963" s="14" t="s">
        <v>3201</v>
      </c>
      <c r="P963" s="14" t="s">
        <v>3204</v>
      </c>
      <c r="Q963" s="14" t="s">
        <v>3206</v>
      </c>
      <c r="R963" s="17">
        <v>1150</v>
      </c>
      <c r="S963" s="172" t="s">
        <v>51</v>
      </c>
      <c r="T963" s="17">
        <v>1990</v>
      </c>
      <c r="U963" s="172" t="s">
        <v>51</v>
      </c>
      <c r="V963" s="16">
        <f t="shared" si="124"/>
        <v>244202</v>
      </c>
      <c r="W963" s="16">
        <f t="shared" si="125"/>
        <v>244209</v>
      </c>
      <c r="X963" s="16">
        <f t="shared" si="126"/>
        <v>244204</v>
      </c>
      <c r="Y963" s="15"/>
      <c r="Z963" s="177"/>
      <c r="AA963" s="170"/>
      <c r="AB963" s="170"/>
      <c r="AC963" s="170"/>
      <c r="AD963" s="170"/>
      <c r="AE963" s="15"/>
      <c r="AF963" s="177"/>
      <c r="AG963" s="177">
        <f t="shared" si="122"/>
        <v>0</v>
      </c>
      <c r="AH963" s="177">
        <f t="shared" si="123"/>
        <v>0</v>
      </c>
      <c r="AK963" s="176"/>
      <c r="AL963" s="176"/>
    </row>
    <row r="964" spans="1:38" ht="36" customHeight="1" x14ac:dyDescent="0.2">
      <c r="A964" s="14" t="s">
        <v>24</v>
      </c>
      <c r="B964" s="212">
        <v>244203</v>
      </c>
      <c r="C964" s="14" t="s">
        <v>547</v>
      </c>
      <c r="D964" s="14" t="s">
        <v>268</v>
      </c>
      <c r="E964" s="14" t="s">
        <v>14</v>
      </c>
      <c r="F964" s="14" t="s">
        <v>324</v>
      </c>
      <c r="G964" s="179">
        <v>680963</v>
      </c>
      <c r="H964" s="176" t="s">
        <v>1834</v>
      </c>
      <c r="I964" s="176" t="s">
        <v>864</v>
      </c>
      <c r="J964" s="176" t="s">
        <v>131</v>
      </c>
      <c r="K964" s="176" t="s">
        <v>3207</v>
      </c>
      <c r="L964" s="40" t="s">
        <v>46</v>
      </c>
      <c r="M964" s="40" t="s">
        <v>341</v>
      </c>
      <c r="N964" s="14" t="s">
        <v>3211</v>
      </c>
      <c r="O964" s="14" t="s">
        <v>528</v>
      </c>
      <c r="P964" s="14" t="s">
        <v>3219</v>
      </c>
      <c r="Q964" s="14" t="s">
        <v>541</v>
      </c>
      <c r="R964" s="17">
        <v>300</v>
      </c>
      <c r="S964" s="172" t="s">
        <v>51</v>
      </c>
      <c r="T964" s="17">
        <v>1480</v>
      </c>
      <c r="U964" s="172" t="s">
        <v>51</v>
      </c>
      <c r="V964" s="16">
        <f t="shared" si="124"/>
        <v>244203</v>
      </c>
      <c r="W964" s="16">
        <f t="shared" si="125"/>
        <v>244210</v>
      </c>
      <c r="X964" s="16">
        <f t="shared" si="126"/>
        <v>244205</v>
      </c>
      <c r="Y964" s="15" t="s">
        <v>54</v>
      </c>
      <c r="Z964" s="177">
        <v>244211</v>
      </c>
      <c r="AA964" s="170"/>
      <c r="AB964" s="170"/>
      <c r="AC964" s="170"/>
      <c r="AD964" s="170"/>
      <c r="AE964" s="15" t="s">
        <v>54</v>
      </c>
      <c r="AF964" s="177">
        <v>244211</v>
      </c>
      <c r="AG964" s="177" t="str">
        <f t="shared" si="122"/>
        <v>Pass</v>
      </c>
      <c r="AH964" s="177">
        <f t="shared" si="123"/>
        <v>244211</v>
      </c>
      <c r="AK964" s="176"/>
      <c r="AL964" s="176"/>
    </row>
    <row r="965" spans="1:38" ht="36" customHeight="1" x14ac:dyDescent="0.2">
      <c r="A965" s="14" t="s">
        <v>24</v>
      </c>
      <c r="B965" s="212">
        <v>244203</v>
      </c>
      <c r="C965" s="14" t="s">
        <v>547</v>
      </c>
      <c r="D965" s="14" t="s">
        <v>268</v>
      </c>
      <c r="E965" s="14" t="s">
        <v>14</v>
      </c>
      <c r="F965" s="14" t="s">
        <v>324</v>
      </c>
      <c r="G965" s="179">
        <v>680964</v>
      </c>
      <c r="H965" s="176" t="s">
        <v>772</v>
      </c>
      <c r="I965" s="176" t="s">
        <v>774</v>
      </c>
      <c r="J965" s="176" t="s">
        <v>776</v>
      </c>
      <c r="K965" s="176" t="s">
        <v>3208</v>
      </c>
      <c r="L965" s="40" t="s">
        <v>105</v>
      </c>
      <c r="M965" s="40" t="s">
        <v>341</v>
      </c>
      <c r="N965" s="14" t="s">
        <v>3212</v>
      </c>
      <c r="O965" s="14" t="s">
        <v>755</v>
      </c>
      <c r="P965" s="14" t="s">
        <v>517</v>
      </c>
      <c r="Q965" s="14" t="s">
        <v>136</v>
      </c>
      <c r="R965" s="17">
        <v>100</v>
      </c>
      <c r="S965" s="172" t="s">
        <v>51</v>
      </c>
      <c r="T965" s="17">
        <v>1710</v>
      </c>
      <c r="U965" s="172" t="s">
        <v>51</v>
      </c>
      <c r="V965" s="16">
        <f t="shared" si="124"/>
        <v>244203</v>
      </c>
      <c r="W965" s="16">
        <f t="shared" si="125"/>
        <v>244210</v>
      </c>
      <c r="X965" s="16">
        <f t="shared" si="126"/>
        <v>244205</v>
      </c>
      <c r="Y965" s="15" t="s">
        <v>54</v>
      </c>
      <c r="Z965" s="177">
        <v>244211</v>
      </c>
      <c r="AA965" s="170"/>
      <c r="AB965" s="170"/>
      <c r="AC965" s="170"/>
      <c r="AD965" s="170"/>
      <c r="AE965" s="15" t="s">
        <v>54</v>
      </c>
      <c r="AF965" s="177">
        <v>244211</v>
      </c>
      <c r="AG965" s="177" t="str">
        <f t="shared" si="122"/>
        <v>Pass</v>
      </c>
      <c r="AH965" s="177">
        <f t="shared" si="123"/>
        <v>244211</v>
      </c>
      <c r="AK965" s="176"/>
      <c r="AL965" s="176"/>
    </row>
    <row r="966" spans="1:38" ht="36" customHeight="1" x14ac:dyDescent="0.2">
      <c r="A966" s="14" t="s">
        <v>24</v>
      </c>
      <c r="B966" s="212">
        <v>244203</v>
      </c>
      <c r="C966" s="14" t="s">
        <v>547</v>
      </c>
      <c r="D966" s="14" t="s">
        <v>268</v>
      </c>
      <c r="E966" s="14" t="s">
        <v>14</v>
      </c>
      <c r="F966" s="14" t="s">
        <v>324</v>
      </c>
      <c r="G966" s="179">
        <v>680965</v>
      </c>
      <c r="H966" s="176" t="s">
        <v>1365</v>
      </c>
      <c r="I966" s="176" t="s">
        <v>864</v>
      </c>
      <c r="J966" s="176" t="s">
        <v>131</v>
      </c>
      <c r="K966" s="176" t="s">
        <v>3209</v>
      </c>
      <c r="L966" s="40" t="s">
        <v>46</v>
      </c>
      <c r="M966" s="40" t="s">
        <v>341</v>
      </c>
      <c r="N966" s="14" t="s">
        <v>3213</v>
      </c>
      <c r="O966" s="14" t="s">
        <v>543</v>
      </c>
      <c r="P966" s="14" t="s">
        <v>3220</v>
      </c>
      <c r="Q966" s="14" t="s">
        <v>529</v>
      </c>
      <c r="R966" s="17">
        <v>175</v>
      </c>
      <c r="S966" s="172" t="s">
        <v>51</v>
      </c>
      <c r="T966" s="17">
        <v>500</v>
      </c>
      <c r="U966" s="172" t="s">
        <v>51</v>
      </c>
      <c r="V966" s="16">
        <f t="shared" si="124"/>
        <v>244203</v>
      </c>
      <c r="W966" s="16">
        <f t="shared" si="125"/>
        <v>244210</v>
      </c>
      <c r="X966" s="16">
        <f t="shared" si="126"/>
        <v>244205</v>
      </c>
      <c r="Y966" s="15" t="s">
        <v>54</v>
      </c>
      <c r="Z966" s="177">
        <v>244224</v>
      </c>
      <c r="AA966" s="170"/>
      <c r="AB966" s="170"/>
      <c r="AC966" s="170"/>
      <c r="AD966" s="170"/>
      <c r="AE966" s="15" t="s">
        <v>54</v>
      </c>
      <c r="AF966" s="177">
        <v>244229</v>
      </c>
      <c r="AG966" s="177" t="str">
        <f t="shared" si="122"/>
        <v>Pass</v>
      </c>
      <c r="AH966" s="177">
        <f t="shared" si="123"/>
        <v>244229</v>
      </c>
      <c r="AK966" s="176"/>
      <c r="AL966" s="176"/>
    </row>
    <row r="967" spans="1:38" ht="36" customHeight="1" x14ac:dyDescent="0.2">
      <c r="A967" s="14" t="s">
        <v>24</v>
      </c>
      <c r="B967" s="212">
        <v>244203</v>
      </c>
      <c r="C967" s="14" t="s">
        <v>547</v>
      </c>
      <c r="D967" s="14" t="s">
        <v>268</v>
      </c>
      <c r="E967" s="14" t="s">
        <v>14</v>
      </c>
      <c r="F967" s="14" t="s">
        <v>324</v>
      </c>
      <c r="G967" s="179">
        <v>680966</v>
      </c>
      <c r="H967" s="176" t="s">
        <v>772</v>
      </c>
      <c r="I967" s="176" t="s">
        <v>774</v>
      </c>
      <c r="J967" s="176" t="s">
        <v>776</v>
      </c>
      <c r="K967" s="176" t="s">
        <v>3208</v>
      </c>
      <c r="L967" s="40" t="s">
        <v>105</v>
      </c>
      <c r="M967" s="40" t="s">
        <v>341</v>
      </c>
      <c r="N967" s="14" t="s">
        <v>3214</v>
      </c>
      <c r="O967" s="14" t="s">
        <v>548</v>
      </c>
      <c r="P967" s="14" t="s">
        <v>518</v>
      </c>
      <c r="Q967" s="14" t="s">
        <v>549</v>
      </c>
      <c r="R967" s="17">
        <v>557</v>
      </c>
      <c r="S967" s="172" t="s">
        <v>51</v>
      </c>
      <c r="T967" s="17">
        <v>1730</v>
      </c>
      <c r="U967" s="172" t="s">
        <v>51</v>
      </c>
      <c r="V967" s="16">
        <f t="shared" si="124"/>
        <v>244203</v>
      </c>
      <c r="W967" s="16">
        <f t="shared" si="125"/>
        <v>244210</v>
      </c>
      <c r="X967" s="16">
        <f t="shared" si="126"/>
        <v>244205</v>
      </c>
      <c r="Y967" s="15" t="s">
        <v>54</v>
      </c>
      <c r="Z967" s="177">
        <v>244211</v>
      </c>
      <c r="AA967" s="170"/>
      <c r="AB967" s="170"/>
      <c r="AC967" s="170"/>
      <c r="AD967" s="170"/>
      <c r="AE967" s="15" t="s">
        <v>54</v>
      </c>
      <c r="AF967" s="177">
        <v>244211</v>
      </c>
      <c r="AG967" s="177" t="str">
        <f t="shared" si="122"/>
        <v>Pass</v>
      </c>
      <c r="AH967" s="177">
        <f t="shared" si="123"/>
        <v>244211</v>
      </c>
      <c r="AK967" s="176"/>
      <c r="AL967" s="176"/>
    </row>
    <row r="968" spans="1:38" ht="36" customHeight="1" x14ac:dyDescent="0.2">
      <c r="A968" s="14" t="s">
        <v>24</v>
      </c>
      <c r="B968" s="212">
        <v>244203</v>
      </c>
      <c r="C968" s="14" t="s">
        <v>547</v>
      </c>
      <c r="D968" s="14" t="s">
        <v>268</v>
      </c>
      <c r="E968" s="14" t="s">
        <v>14</v>
      </c>
      <c r="F968" s="14" t="s">
        <v>324</v>
      </c>
      <c r="G968" s="179">
        <v>680967</v>
      </c>
      <c r="H968" s="176" t="s">
        <v>1365</v>
      </c>
      <c r="I968" s="176" t="s">
        <v>864</v>
      </c>
      <c r="J968" s="176" t="s">
        <v>131</v>
      </c>
      <c r="K968" s="176" t="s">
        <v>3209</v>
      </c>
      <c r="L968" s="40" t="s">
        <v>46</v>
      </c>
      <c r="M968" s="40" t="s">
        <v>341</v>
      </c>
      <c r="N968" s="14" t="s">
        <v>3215</v>
      </c>
      <c r="O968" s="14" t="s">
        <v>528</v>
      </c>
      <c r="P968" s="14" t="s">
        <v>3221</v>
      </c>
      <c r="Q968" s="14" t="s">
        <v>541</v>
      </c>
      <c r="R968" s="17">
        <v>250</v>
      </c>
      <c r="S968" s="172" t="s">
        <v>51</v>
      </c>
      <c r="T968" s="17">
        <v>970</v>
      </c>
      <c r="U968" s="172" t="s">
        <v>51</v>
      </c>
      <c r="V968" s="16">
        <f t="shared" si="124"/>
        <v>244203</v>
      </c>
      <c r="W968" s="16">
        <f t="shared" si="125"/>
        <v>244210</v>
      </c>
      <c r="X968" s="16">
        <f t="shared" si="126"/>
        <v>244205</v>
      </c>
      <c r="Y968" s="15" t="s">
        <v>54</v>
      </c>
      <c r="Z968" s="177">
        <v>244224</v>
      </c>
      <c r="AA968" s="170"/>
      <c r="AB968" s="170"/>
      <c r="AC968" s="170"/>
      <c r="AD968" s="170"/>
      <c r="AE968" s="15" t="s">
        <v>54</v>
      </c>
      <c r="AF968" s="177">
        <v>244229</v>
      </c>
      <c r="AG968" s="177" t="str">
        <f t="shared" si="122"/>
        <v>Pass</v>
      </c>
      <c r="AH968" s="177">
        <f t="shared" si="123"/>
        <v>244229</v>
      </c>
      <c r="AK968" s="176"/>
      <c r="AL968" s="176"/>
    </row>
    <row r="969" spans="1:38" ht="36" customHeight="1" x14ac:dyDescent="0.2">
      <c r="A969" s="14" t="s">
        <v>24</v>
      </c>
      <c r="B969" s="212">
        <v>244203</v>
      </c>
      <c r="C969" s="14" t="s">
        <v>547</v>
      </c>
      <c r="D969" s="14" t="s">
        <v>268</v>
      </c>
      <c r="E969" s="14" t="s">
        <v>14</v>
      </c>
      <c r="F969" s="14" t="s">
        <v>324</v>
      </c>
      <c r="G969" s="179">
        <v>680968</v>
      </c>
      <c r="H969" s="176" t="s">
        <v>1365</v>
      </c>
      <c r="I969" s="176" t="s">
        <v>864</v>
      </c>
      <c r="J969" s="176" t="s">
        <v>131</v>
      </c>
      <c r="K969" s="176" t="s">
        <v>3209</v>
      </c>
      <c r="L969" s="40" t="s">
        <v>46</v>
      </c>
      <c r="M969" s="40" t="s">
        <v>341</v>
      </c>
      <c r="N969" s="14" t="s">
        <v>3216</v>
      </c>
      <c r="O969" s="14" t="s">
        <v>3218</v>
      </c>
      <c r="P969" s="14" t="s">
        <v>1124</v>
      </c>
      <c r="Q969" s="14" t="s">
        <v>3222</v>
      </c>
      <c r="R969" s="17" t="s">
        <v>624</v>
      </c>
      <c r="S969" s="172" t="s">
        <v>51</v>
      </c>
      <c r="T969" s="17">
        <v>970</v>
      </c>
      <c r="U969" s="172" t="s">
        <v>51</v>
      </c>
      <c r="V969" s="16">
        <f t="shared" si="124"/>
        <v>244203</v>
      </c>
      <c r="W969" s="16">
        <f t="shared" si="125"/>
        <v>244210</v>
      </c>
      <c r="X969" s="16">
        <f t="shared" si="126"/>
        <v>244205</v>
      </c>
      <c r="Y969" s="15" t="s">
        <v>54</v>
      </c>
      <c r="Z969" s="177">
        <v>244224</v>
      </c>
      <c r="AA969" s="170"/>
      <c r="AB969" s="170"/>
      <c r="AC969" s="170"/>
      <c r="AD969" s="170"/>
      <c r="AE969" s="15" t="s">
        <v>54</v>
      </c>
      <c r="AF969" s="177">
        <v>244229</v>
      </c>
      <c r="AG969" s="177" t="str">
        <f t="shared" si="122"/>
        <v>Pass</v>
      </c>
      <c r="AH969" s="177">
        <f t="shared" si="123"/>
        <v>244229</v>
      </c>
      <c r="AK969" s="176"/>
      <c r="AL969" s="176"/>
    </row>
    <row r="970" spans="1:38" ht="36" customHeight="1" x14ac:dyDescent="0.2">
      <c r="A970" s="14" t="s">
        <v>24</v>
      </c>
      <c r="B970" s="212">
        <v>244203</v>
      </c>
      <c r="C970" s="14" t="s">
        <v>547</v>
      </c>
      <c r="D970" s="14" t="s">
        <v>268</v>
      </c>
      <c r="E970" s="14" t="s">
        <v>14</v>
      </c>
      <c r="F970" s="14" t="s">
        <v>324</v>
      </c>
      <c r="G970" s="179">
        <v>680969</v>
      </c>
      <c r="H970" s="176" t="s">
        <v>1364</v>
      </c>
      <c r="I970" s="176" t="s">
        <v>551</v>
      </c>
      <c r="J970" s="176" t="s">
        <v>832</v>
      </c>
      <c r="K970" s="176" t="s">
        <v>3210</v>
      </c>
      <c r="L970" s="40" t="s">
        <v>108</v>
      </c>
      <c r="M970" s="40" t="s">
        <v>341</v>
      </c>
      <c r="N970" s="14" t="s">
        <v>3217</v>
      </c>
      <c r="O970" s="14" t="s">
        <v>528</v>
      </c>
      <c r="P970" s="14" t="s">
        <v>517</v>
      </c>
      <c r="Q970" s="14" t="s">
        <v>541</v>
      </c>
      <c r="R970" s="17">
        <v>800</v>
      </c>
      <c r="S970" s="172" t="s">
        <v>51</v>
      </c>
      <c r="T970" s="17">
        <v>2860</v>
      </c>
      <c r="U970" s="172" t="s">
        <v>51</v>
      </c>
      <c r="V970" s="16">
        <f t="shared" si="124"/>
        <v>244203</v>
      </c>
      <c r="W970" s="16">
        <f t="shared" si="125"/>
        <v>244210</v>
      </c>
      <c r="X970" s="16">
        <f t="shared" si="126"/>
        <v>244205</v>
      </c>
      <c r="Y970" s="15" t="s">
        <v>54</v>
      </c>
      <c r="Z970" s="177">
        <v>244224</v>
      </c>
      <c r="AA970" s="170"/>
      <c r="AB970" s="170"/>
      <c r="AC970" s="170"/>
      <c r="AD970" s="170"/>
      <c r="AE970" s="15" t="s">
        <v>54</v>
      </c>
      <c r="AF970" s="177">
        <v>244229</v>
      </c>
      <c r="AG970" s="177" t="str">
        <f t="shared" si="122"/>
        <v>Pass</v>
      </c>
      <c r="AH970" s="177">
        <f t="shared" si="123"/>
        <v>244229</v>
      </c>
      <c r="AK970" s="176"/>
      <c r="AL970" s="176"/>
    </row>
    <row r="971" spans="1:38" ht="36" customHeight="1" x14ac:dyDescent="0.2">
      <c r="A971" s="14" t="s">
        <v>24</v>
      </c>
      <c r="B971" s="212">
        <v>244203</v>
      </c>
      <c r="C971" s="14" t="s">
        <v>547</v>
      </c>
      <c r="D971" s="14" t="s">
        <v>268</v>
      </c>
      <c r="E971" s="14" t="s">
        <v>14</v>
      </c>
      <c r="F971" s="14" t="s">
        <v>324</v>
      </c>
      <c r="G971" s="179">
        <v>680970</v>
      </c>
      <c r="H971" s="176" t="s">
        <v>3223</v>
      </c>
      <c r="I971" s="176" t="s">
        <v>612</v>
      </c>
      <c r="J971" s="176" t="s">
        <v>865</v>
      </c>
      <c r="K971" s="176" t="s">
        <v>3224</v>
      </c>
      <c r="L971" s="40" t="s">
        <v>46</v>
      </c>
      <c r="M971" s="40" t="s">
        <v>341</v>
      </c>
      <c r="N971" s="14" t="s">
        <v>765</v>
      </c>
      <c r="O971" s="14" t="s">
        <v>548</v>
      </c>
      <c r="P971" s="14" t="s">
        <v>717</v>
      </c>
      <c r="Q971" s="14" t="s">
        <v>549</v>
      </c>
      <c r="R971" s="17">
        <v>200</v>
      </c>
      <c r="S971" s="172" t="s">
        <v>51</v>
      </c>
      <c r="T971" s="17">
        <v>1900</v>
      </c>
      <c r="U971" s="172" t="s">
        <v>51</v>
      </c>
      <c r="V971" s="16">
        <f t="shared" si="124"/>
        <v>244203</v>
      </c>
      <c r="W971" s="16">
        <f t="shared" si="125"/>
        <v>244210</v>
      </c>
      <c r="X971" s="16">
        <f t="shared" si="126"/>
        <v>244205</v>
      </c>
      <c r="Y971" s="15" t="s">
        <v>54</v>
      </c>
      <c r="Z971" s="177">
        <v>244211</v>
      </c>
      <c r="AA971" s="170"/>
      <c r="AB971" s="170"/>
      <c r="AC971" s="170"/>
      <c r="AD971" s="170"/>
      <c r="AE971" s="15" t="s">
        <v>54</v>
      </c>
      <c r="AF971" s="177">
        <v>244211</v>
      </c>
      <c r="AG971" s="177" t="str">
        <f t="shared" si="122"/>
        <v>Pass</v>
      </c>
      <c r="AH971" s="177">
        <f t="shared" si="123"/>
        <v>244211</v>
      </c>
      <c r="AK971" s="176"/>
      <c r="AL971" s="176"/>
    </row>
    <row r="972" spans="1:38" ht="36" customHeight="1" x14ac:dyDescent="0.2">
      <c r="A972" s="14" t="s">
        <v>24</v>
      </c>
      <c r="B972" s="212">
        <v>244204</v>
      </c>
      <c r="C972" s="14" t="s">
        <v>547</v>
      </c>
      <c r="D972" s="14" t="s">
        <v>268</v>
      </c>
      <c r="E972" s="14" t="s">
        <v>14</v>
      </c>
      <c r="F972" s="14" t="s">
        <v>324</v>
      </c>
      <c r="G972" s="179">
        <v>680971</v>
      </c>
      <c r="H972" s="176" t="s">
        <v>3225</v>
      </c>
      <c r="I972" s="176" t="s">
        <v>908</v>
      </c>
      <c r="J972" s="176" t="s">
        <v>133</v>
      </c>
      <c r="K972" s="176" t="s">
        <v>3228</v>
      </c>
      <c r="L972" s="40" t="s">
        <v>45</v>
      </c>
      <c r="M972" s="40" t="s">
        <v>341</v>
      </c>
      <c r="N972" s="14" t="s">
        <v>3232</v>
      </c>
      <c r="O972" s="14" t="s">
        <v>528</v>
      </c>
      <c r="P972" s="14" t="s">
        <v>3235</v>
      </c>
      <c r="Q972" s="14" t="s">
        <v>541</v>
      </c>
      <c r="R972" s="17">
        <v>550</v>
      </c>
      <c r="S972" s="172" t="s">
        <v>51</v>
      </c>
      <c r="T972" s="17">
        <v>950</v>
      </c>
      <c r="U972" s="14" t="s">
        <v>51</v>
      </c>
      <c r="V972" s="16">
        <f t="shared" si="124"/>
        <v>244204</v>
      </c>
      <c r="W972" s="16">
        <f t="shared" si="125"/>
        <v>244211</v>
      </c>
      <c r="X972" s="16">
        <f t="shared" si="126"/>
        <v>244206</v>
      </c>
      <c r="Y972" s="15" t="s">
        <v>54</v>
      </c>
      <c r="Z972" s="177">
        <v>244211</v>
      </c>
      <c r="AA972" s="170"/>
      <c r="AB972" s="170"/>
      <c r="AC972" s="170"/>
      <c r="AD972" s="170"/>
      <c r="AE972" s="15" t="s">
        <v>54</v>
      </c>
      <c r="AF972" s="177">
        <v>244211</v>
      </c>
      <c r="AG972" s="177" t="str">
        <f t="shared" si="122"/>
        <v>Pass</v>
      </c>
      <c r="AH972" s="177">
        <f t="shared" si="123"/>
        <v>244211</v>
      </c>
      <c r="AK972" s="176"/>
      <c r="AL972" s="176"/>
    </row>
    <row r="973" spans="1:38" ht="36" customHeight="1" x14ac:dyDescent="0.2">
      <c r="A973" s="14" t="s">
        <v>24</v>
      </c>
      <c r="B973" s="212">
        <v>244204</v>
      </c>
      <c r="C973" s="14" t="s">
        <v>547</v>
      </c>
      <c r="D973" s="14" t="s">
        <v>268</v>
      </c>
      <c r="E973" s="14" t="s">
        <v>14</v>
      </c>
      <c r="F973" s="14" t="s">
        <v>324</v>
      </c>
      <c r="G973" s="179">
        <v>680972</v>
      </c>
      <c r="H973" s="176" t="s">
        <v>3226</v>
      </c>
      <c r="I973" s="176" t="s">
        <v>612</v>
      </c>
      <c r="J973" s="176" t="s">
        <v>727</v>
      </c>
      <c r="K973" s="176" t="s">
        <v>3229</v>
      </c>
      <c r="L973" s="40" t="s">
        <v>46</v>
      </c>
      <c r="M973" s="40" t="s">
        <v>341</v>
      </c>
      <c r="N973" s="14" t="s">
        <v>3233</v>
      </c>
      <c r="O973" s="14" t="s">
        <v>543</v>
      </c>
      <c r="P973" s="14" t="s">
        <v>3236</v>
      </c>
      <c r="Q973" s="14" t="s">
        <v>529</v>
      </c>
      <c r="R973" s="17"/>
      <c r="S973" s="172"/>
      <c r="T973" s="17"/>
      <c r="U973" s="14"/>
      <c r="V973" s="16">
        <f t="shared" si="124"/>
        <v>244204</v>
      </c>
      <c r="W973" s="16">
        <f t="shared" si="125"/>
        <v>244211</v>
      </c>
      <c r="X973" s="16">
        <f t="shared" si="126"/>
        <v>244206</v>
      </c>
      <c r="Y973" s="15"/>
      <c r="Z973" s="177"/>
      <c r="AA973" s="170"/>
      <c r="AB973" s="170"/>
      <c r="AC973" s="170"/>
      <c r="AD973" s="170"/>
      <c r="AE973" s="15"/>
      <c r="AF973" s="177"/>
      <c r="AG973" s="177">
        <f t="shared" si="122"/>
        <v>0</v>
      </c>
      <c r="AH973" s="177">
        <f t="shared" si="123"/>
        <v>0</v>
      </c>
      <c r="AK973" s="176"/>
      <c r="AL973" s="176"/>
    </row>
    <row r="974" spans="1:38" ht="36" customHeight="1" x14ac:dyDescent="0.2">
      <c r="A974" s="14" t="s">
        <v>24</v>
      </c>
      <c r="B974" s="212">
        <v>244204</v>
      </c>
      <c r="C974" s="14" t="s">
        <v>547</v>
      </c>
      <c r="D974" s="14" t="s">
        <v>268</v>
      </c>
      <c r="E974" s="14" t="s">
        <v>14</v>
      </c>
      <c r="F974" s="14" t="s">
        <v>324</v>
      </c>
      <c r="G974" s="179">
        <v>680973</v>
      </c>
      <c r="H974" s="176" t="s">
        <v>3226</v>
      </c>
      <c r="I974" s="176" t="s">
        <v>612</v>
      </c>
      <c r="J974" s="176" t="s">
        <v>727</v>
      </c>
      <c r="K974" s="176" t="s">
        <v>3229</v>
      </c>
      <c r="L974" s="40" t="s">
        <v>46</v>
      </c>
      <c r="M974" s="40" t="s">
        <v>341</v>
      </c>
      <c r="N974" s="14" t="s">
        <v>1214</v>
      </c>
      <c r="O974" s="14" t="s">
        <v>548</v>
      </c>
      <c r="P974" s="14" t="s">
        <v>717</v>
      </c>
      <c r="Q974" s="14" t="s">
        <v>549</v>
      </c>
      <c r="R974" s="17">
        <v>150</v>
      </c>
      <c r="S974" s="172" t="s">
        <v>51</v>
      </c>
      <c r="T974" s="17">
        <v>1320</v>
      </c>
      <c r="U974" s="14" t="s">
        <v>51</v>
      </c>
      <c r="V974" s="16">
        <f t="shared" si="124"/>
        <v>244204</v>
      </c>
      <c r="W974" s="16">
        <f t="shared" si="125"/>
        <v>244211</v>
      </c>
      <c r="X974" s="16">
        <f t="shared" si="126"/>
        <v>244206</v>
      </c>
      <c r="Y974" s="15" t="s">
        <v>54</v>
      </c>
      <c r="Z974" s="177">
        <v>244224</v>
      </c>
      <c r="AA974" s="170"/>
      <c r="AB974" s="170"/>
      <c r="AC974" s="170"/>
      <c r="AD974" s="170"/>
      <c r="AE974" s="15" t="s">
        <v>54</v>
      </c>
      <c r="AF974" s="177">
        <v>244229</v>
      </c>
      <c r="AG974" s="177" t="str">
        <f t="shared" si="122"/>
        <v>Pass</v>
      </c>
      <c r="AH974" s="177">
        <f t="shared" si="123"/>
        <v>244229</v>
      </c>
      <c r="AK974" s="176"/>
      <c r="AL974" s="176"/>
    </row>
    <row r="975" spans="1:38" ht="36" customHeight="1" x14ac:dyDescent="0.2">
      <c r="A975" s="14" t="s">
        <v>24</v>
      </c>
      <c r="B975" s="212">
        <v>244204</v>
      </c>
      <c r="C975" s="14" t="s">
        <v>547</v>
      </c>
      <c r="D975" s="14" t="s">
        <v>268</v>
      </c>
      <c r="E975" s="14" t="s">
        <v>14</v>
      </c>
      <c r="F975" s="14" t="s">
        <v>324</v>
      </c>
      <c r="G975" s="179">
        <v>680974</v>
      </c>
      <c r="H975" s="176" t="s">
        <v>3227</v>
      </c>
      <c r="I975" s="176" t="s">
        <v>550</v>
      </c>
      <c r="J975" s="176" t="s">
        <v>128</v>
      </c>
      <c r="K975" s="176" t="s">
        <v>3230</v>
      </c>
      <c r="L975" s="40" t="s">
        <v>106</v>
      </c>
      <c r="M975" s="40" t="s">
        <v>341</v>
      </c>
      <c r="N975" s="14" t="s">
        <v>984</v>
      </c>
      <c r="O975" s="14" t="s">
        <v>548</v>
      </c>
      <c r="P975" s="14" t="s">
        <v>717</v>
      </c>
      <c r="Q975" s="14" t="s">
        <v>549</v>
      </c>
      <c r="R975" s="17">
        <v>120</v>
      </c>
      <c r="S975" s="172" t="s">
        <v>51</v>
      </c>
      <c r="T975" s="17">
        <v>2490</v>
      </c>
      <c r="U975" s="14" t="s">
        <v>51</v>
      </c>
      <c r="V975" s="16">
        <f t="shared" si="124"/>
        <v>244204</v>
      </c>
      <c r="W975" s="16">
        <f t="shared" si="125"/>
        <v>244211</v>
      </c>
      <c r="X975" s="16">
        <f t="shared" si="126"/>
        <v>244206</v>
      </c>
      <c r="Y975" s="15" t="s">
        <v>54</v>
      </c>
      <c r="Z975" s="177">
        <v>244231</v>
      </c>
      <c r="AA975" s="170"/>
      <c r="AB975" s="170"/>
      <c r="AC975" s="170"/>
      <c r="AD975" s="170"/>
      <c r="AE975" s="15" t="s">
        <v>54</v>
      </c>
      <c r="AF975" s="177">
        <v>244235</v>
      </c>
      <c r="AG975" s="177" t="str">
        <f t="shared" si="122"/>
        <v>Pass</v>
      </c>
      <c r="AH975" s="177">
        <f t="shared" si="123"/>
        <v>244235</v>
      </c>
      <c r="AK975" s="176"/>
      <c r="AL975" s="176"/>
    </row>
    <row r="976" spans="1:38" ht="36" customHeight="1" x14ac:dyDescent="0.2">
      <c r="A976" s="14" t="s">
        <v>24</v>
      </c>
      <c r="B976" s="212">
        <v>244204</v>
      </c>
      <c r="C976" s="14" t="s">
        <v>547</v>
      </c>
      <c r="D976" s="14" t="s">
        <v>268</v>
      </c>
      <c r="E976" s="14" t="s">
        <v>14</v>
      </c>
      <c r="F976" s="14" t="s">
        <v>324</v>
      </c>
      <c r="G976" s="179">
        <v>680975</v>
      </c>
      <c r="H976" s="176" t="s">
        <v>1369</v>
      </c>
      <c r="I976" s="176" t="s">
        <v>514</v>
      </c>
      <c r="J976" s="176" t="s">
        <v>337</v>
      </c>
      <c r="K976" s="176" t="s">
        <v>3231</v>
      </c>
      <c r="L976" s="40" t="s">
        <v>106</v>
      </c>
      <c r="M976" s="40" t="s">
        <v>341</v>
      </c>
      <c r="N976" s="14" t="s">
        <v>3234</v>
      </c>
      <c r="O976" s="14" t="s">
        <v>548</v>
      </c>
      <c r="P976" s="14" t="s">
        <v>717</v>
      </c>
      <c r="Q976" s="14" t="s">
        <v>549</v>
      </c>
      <c r="R976" s="17">
        <v>304</v>
      </c>
      <c r="S976" s="172" t="s">
        <v>51</v>
      </c>
      <c r="T976" s="17">
        <v>1405</v>
      </c>
      <c r="U976" s="14" t="s">
        <v>51</v>
      </c>
      <c r="V976" s="16">
        <f t="shared" si="124"/>
        <v>244204</v>
      </c>
      <c r="W976" s="16">
        <f t="shared" si="125"/>
        <v>244211</v>
      </c>
      <c r="X976" s="16">
        <f t="shared" si="126"/>
        <v>244206</v>
      </c>
      <c r="Y976" s="15" t="s">
        <v>54</v>
      </c>
      <c r="Z976" s="177">
        <v>244231</v>
      </c>
      <c r="AA976" s="170"/>
      <c r="AB976" s="170"/>
      <c r="AC976" s="170"/>
      <c r="AD976" s="170"/>
      <c r="AE976" s="15" t="s">
        <v>54</v>
      </c>
      <c r="AF976" s="177">
        <v>244235</v>
      </c>
      <c r="AG976" s="177" t="str">
        <f t="shared" si="122"/>
        <v>Pass</v>
      </c>
      <c r="AH976" s="177">
        <f t="shared" si="123"/>
        <v>244235</v>
      </c>
      <c r="AK976" s="176"/>
      <c r="AL976" s="176"/>
    </row>
    <row r="977" spans="1:38" ht="36" customHeight="1" x14ac:dyDescent="0.2">
      <c r="A977" s="14" t="s">
        <v>24</v>
      </c>
      <c r="B977" s="212">
        <v>244205</v>
      </c>
      <c r="C977" s="14" t="s">
        <v>547</v>
      </c>
      <c r="D977" s="14" t="s">
        <v>268</v>
      </c>
      <c r="E977" s="14" t="s">
        <v>14</v>
      </c>
      <c r="F977" s="14" t="s">
        <v>324</v>
      </c>
      <c r="G977" s="179">
        <v>680976</v>
      </c>
      <c r="H977" s="176" t="s">
        <v>772</v>
      </c>
      <c r="I977" s="176" t="s">
        <v>774</v>
      </c>
      <c r="J977" s="176" t="s">
        <v>776</v>
      </c>
      <c r="K977" s="176" t="s">
        <v>3237</v>
      </c>
      <c r="L977" s="40" t="s">
        <v>105</v>
      </c>
      <c r="M977" s="40" t="s">
        <v>341</v>
      </c>
      <c r="N977" s="14" t="s">
        <v>3238</v>
      </c>
      <c r="O977" s="14" t="s">
        <v>3239</v>
      </c>
      <c r="P977" s="14" t="s">
        <v>3240</v>
      </c>
      <c r="Q977" s="14" t="s">
        <v>238</v>
      </c>
      <c r="R977" s="17">
        <v>100</v>
      </c>
      <c r="S977" s="172" t="s">
        <v>51</v>
      </c>
      <c r="T977" s="17">
        <v>1735</v>
      </c>
      <c r="U977" s="14" t="s">
        <v>51</v>
      </c>
      <c r="V977" s="16">
        <f t="shared" si="124"/>
        <v>244205</v>
      </c>
      <c r="W977" s="16">
        <f t="shared" si="125"/>
        <v>244212</v>
      </c>
      <c r="X977" s="16">
        <f t="shared" si="126"/>
        <v>244207</v>
      </c>
      <c r="Y977" s="15" t="s">
        <v>54</v>
      </c>
      <c r="Z977" s="177">
        <v>244224</v>
      </c>
      <c r="AA977" s="170"/>
      <c r="AB977" s="170"/>
      <c r="AC977" s="170"/>
      <c r="AD977" s="170"/>
      <c r="AE977" s="15" t="s">
        <v>54</v>
      </c>
      <c r="AF977" s="177">
        <v>244229</v>
      </c>
      <c r="AG977" s="177" t="str">
        <f t="shared" si="122"/>
        <v>Pass</v>
      </c>
      <c r="AH977" s="177">
        <f t="shared" si="123"/>
        <v>244229</v>
      </c>
      <c r="AK977" s="176"/>
      <c r="AL977" s="176"/>
    </row>
    <row r="978" spans="1:38" ht="36" customHeight="1" x14ac:dyDescent="0.2">
      <c r="A978" s="14" t="s">
        <v>24</v>
      </c>
      <c r="B978" s="212">
        <v>244209</v>
      </c>
      <c r="C978" s="14" t="s">
        <v>547</v>
      </c>
      <c r="D978" s="14" t="s">
        <v>268</v>
      </c>
      <c r="E978" s="14" t="s">
        <v>14</v>
      </c>
      <c r="F978" s="14" t="s">
        <v>324</v>
      </c>
      <c r="G978" s="179">
        <v>680977</v>
      </c>
      <c r="H978" s="176" t="s">
        <v>3241</v>
      </c>
      <c r="I978" s="176" t="s">
        <v>664</v>
      </c>
      <c r="J978" s="176" t="s">
        <v>3244</v>
      </c>
      <c r="K978" s="176" t="s">
        <v>3245</v>
      </c>
      <c r="L978" s="40" t="s">
        <v>45</v>
      </c>
      <c r="M978" s="40" t="s">
        <v>341</v>
      </c>
      <c r="N978" s="14" t="s">
        <v>3249</v>
      </c>
      <c r="O978" s="14" t="s">
        <v>548</v>
      </c>
      <c r="P978" s="14" t="s">
        <v>717</v>
      </c>
      <c r="Q978" s="14" t="s">
        <v>549</v>
      </c>
      <c r="R978" s="17">
        <v>378</v>
      </c>
      <c r="S978" s="172" t="s">
        <v>51</v>
      </c>
      <c r="T978" s="17">
        <v>1710</v>
      </c>
      <c r="U978" s="14" t="s">
        <v>51</v>
      </c>
      <c r="V978" s="16">
        <f t="shared" si="124"/>
        <v>244209</v>
      </c>
      <c r="W978" s="16">
        <f t="shared" si="125"/>
        <v>244216</v>
      </c>
      <c r="X978" s="16">
        <f t="shared" si="126"/>
        <v>244211</v>
      </c>
      <c r="Y978" s="15" t="s">
        <v>54</v>
      </c>
      <c r="Z978" s="177">
        <v>244224</v>
      </c>
      <c r="AA978" s="170"/>
      <c r="AB978" s="170"/>
      <c r="AC978" s="170"/>
      <c r="AD978" s="170"/>
      <c r="AE978" s="15" t="s">
        <v>54</v>
      </c>
      <c r="AF978" s="177">
        <v>244225</v>
      </c>
      <c r="AG978" s="177" t="str">
        <f t="shared" si="122"/>
        <v>Pass</v>
      </c>
      <c r="AH978" s="177">
        <f t="shared" si="123"/>
        <v>244225</v>
      </c>
      <c r="AK978" s="176"/>
      <c r="AL978" s="176"/>
    </row>
    <row r="979" spans="1:38" ht="36" customHeight="1" x14ac:dyDescent="0.2">
      <c r="A979" s="14" t="s">
        <v>24</v>
      </c>
      <c r="B979" s="212">
        <v>244209</v>
      </c>
      <c r="C979" s="14" t="s">
        <v>547</v>
      </c>
      <c r="D979" s="14" t="s">
        <v>268</v>
      </c>
      <c r="E979" s="14" t="s">
        <v>14</v>
      </c>
      <c r="F979" s="14" t="s">
        <v>324</v>
      </c>
      <c r="G979" s="179">
        <v>680978</v>
      </c>
      <c r="H979" s="176" t="s">
        <v>772</v>
      </c>
      <c r="I979" s="176" t="s">
        <v>774</v>
      </c>
      <c r="J979" s="176" t="s">
        <v>776</v>
      </c>
      <c r="K979" s="176" t="s">
        <v>3237</v>
      </c>
      <c r="L979" s="40" t="s">
        <v>105</v>
      </c>
      <c r="M979" s="40" t="s">
        <v>341</v>
      </c>
      <c r="N979" s="14" t="s">
        <v>3250</v>
      </c>
      <c r="O979" s="14" t="s">
        <v>3256</v>
      </c>
      <c r="P979" s="14" t="s">
        <v>3258</v>
      </c>
      <c r="Q979" s="14" t="s">
        <v>3261</v>
      </c>
      <c r="R979" s="17">
        <v>575</v>
      </c>
      <c r="S979" s="172" t="s">
        <v>51</v>
      </c>
      <c r="T979" s="17">
        <v>1735</v>
      </c>
      <c r="U979" s="14" t="s">
        <v>51</v>
      </c>
      <c r="V979" s="16">
        <f t="shared" si="124"/>
        <v>244209</v>
      </c>
      <c r="W979" s="16">
        <f t="shared" si="125"/>
        <v>244216</v>
      </c>
      <c r="X979" s="16">
        <f t="shared" si="126"/>
        <v>244211</v>
      </c>
      <c r="Y979" s="15" t="s">
        <v>54</v>
      </c>
      <c r="Z979" s="177">
        <v>244224</v>
      </c>
      <c r="AA979" s="170"/>
      <c r="AB979" s="170"/>
      <c r="AC979" s="170"/>
      <c r="AD979" s="170"/>
      <c r="AE979" s="15" t="s">
        <v>54</v>
      </c>
      <c r="AF979" s="177">
        <v>244225</v>
      </c>
      <c r="AG979" s="177" t="str">
        <f t="shared" si="122"/>
        <v>Pass</v>
      </c>
      <c r="AH979" s="177">
        <f t="shared" si="123"/>
        <v>244225</v>
      </c>
      <c r="AK979" s="176"/>
      <c r="AL979" s="176"/>
    </row>
    <row r="980" spans="1:38" ht="36" customHeight="1" x14ac:dyDescent="0.2">
      <c r="A980" s="14" t="s">
        <v>24</v>
      </c>
      <c r="B980" s="212">
        <v>244209</v>
      </c>
      <c r="C980" s="14" t="s">
        <v>547</v>
      </c>
      <c r="D980" s="14" t="s">
        <v>268</v>
      </c>
      <c r="E980" s="14" t="s">
        <v>14</v>
      </c>
      <c r="F980" s="14" t="s">
        <v>324</v>
      </c>
      <c r="G980" s="179">
        <v>680979</v>
      </c>
      <c r="H980" s="176" t="s">
        <v>3242</v>
      </c>
      <c r="I980" s="176" t="s">
        <v>664</v>
      </c>
      <c r="J980" s="176" t="s">
        <v>3244</v>
      </c>
      <c r="K980" s="176" t="s">
        <v>3246</v>
      </c>
      <c r="L980" s="40" t="s">
        <v>45</v>
      </c>
      <c r="M980" s="40" t="s">
        <v>341</v>
      </c>
      <c r="N980" s="14" t="s">
        <v>3251</v>
      </c>
      <c r="O980" s="14" t="s">
        <v>548</v>
      </c>
      <c r="P980" s="14" t="s">
        <v>717</v>
      </c>
      <c r="Q980" s="14" t="s">
        <v>549</v>
      </c>
      <c r="R980" s="17">
        <v>396</v>
      </c>
      <c r="S980" s="172" t="s">
        <v>51</v>
      </c>
      <c r="T980" s="17">
        <v>1990</v>
      </c>
      <c r="U980" s="14" t="s">
        <v>51</v>
      </c>
      <c r="V980" s="16">
        <f t="shared" si="124"/>
        <v>244209</v>
      </c>
      <c r="W980" s="16">
        <f t="shared" si="125"/>
        <v>244216</v>
      </c>
      <c r="X980" s="16">
        <f t="shared" si="126"/>
        <v>244211</v>
      </c>
      <c r="Y980" s="15" t="s">
        <v>54</v>
      </c>
      <c r="Z980" s="177">
        <v>244224</v>
      </c>
      <c r="AA980" s="170"/>
      <c r="AB980" s="170"/>
      <c r="AC980" s="170"/>
      <c r="AD980" s="170"/>
      <c r="AE980" s="15" t="s">
        <v>54</v>
      </c>
      <c r="AF980" s="177">
        <v>244225</v>
      </c>
      <c r="AG980" s="177" t="str">
        <f t="shared" si="122"/>
        <v>Pass</v>
      </c>
      <c r="AH980" s="177">
        <f t="shared" si="123"/>
        <v>244225</v>
      </c>
      <c r="AK980" s="176"/>
      <c r="AL980" s="176"/>
    </row>
    <row r="981" spans="1:38" ht="36" customHeight="1" x14ac:dyDescent="0.2">
      <c r="A981" s="14" t="s">
        <v>24</v>
      </c>
      <c r="B981" s="212">
        <v>244209</v>
      </c>
      <c r="C981" s="14" t="s">
        <v>547</v>
      </c>
      <c r="D981" s="14" t="s">
        <v>268</v>
      </c>
      <c r="E981" s="14" t="s">
        <v>14</v>
      </c>
      <c r="F981" s="14" t="s">
        <v>324</v>
      </c>
      <c r="G981" s="179">
        <v>680980</v>
      </c>
      <c r="H981" s="176" t="s">
        <v>3242</v>
      </c>
      <c r="I981" s="176" t="s">
        <v>664</v>
      </c>
      <c r="J981" s="176" t="s">
        <v>3244</v>
      </c>
      <c r="K981" s="176" t="s">
        <v>3246</v>
      </c>
      <c r="L981" s="40" t="s">
        <v>45</v>
      </c>
      <c r="M981" s="40" t="s">
        <v>341</v>
      </c>
      <c r="N981" s="14" t="s">
        <v>3252</v>
      </c>
      <c r="O981" s="14" t="s">
        <v>3257</v>
      </c>
      <c r="P981" s="14" t="s">
        <v>3259</v>
      </c>
      <c r="Q981" s="14" t="s">
        <v>3262</v>
      </c>
      <c r="R981" s="17">
        <v>1575</v>
      </c>
      <c r="S981" s="172" t="s">
        <v>51</v>
      </c>
      <c r="T981" s="17">
        <v>1990</v>
      </c>
      <c r="U981" s="14" t="s">
        <v>51</v>
      </c>
      <c r="V981" s="16">
        <f t="shared" si="124"/>
        <v>244209</v>
      </c>
      <c r="W981" s="16">
        <f t="shared" si="125"/>
        <v>244216</v>
      </c>
      <c r="X981" s="16">
        <f t="shared" si="126"/>
        <v>244211</v>
      </c>
      <c r="Y981" s="15" t="s">
        <v>54</v>
      </c>
      <c r="Z981" s="177">
        <v>244224</v>
      </c>
      <c r="AA981" s="170"/>
      <c r="AB981" s="170"/>
      <c r="AC981" s="170"/>
      <c r="AD981" s="170"/>
      <c r="AE981" s="15" t="s">
        <v>54</v>
      </c>
      <c r="AF981" s="177">
        <v>244225</v>
      </c>
      <c r="AG981" s="177" t="str">
        <f t="shared" si="122"/>
        <v>Pass</v>
      </c>
      <c r="AH981" s="177">
        <f t="shared" si="123"/>
        <v>244225</v>
      </c>
      <c r="AK981" s="176"/>
      <c r="AL981" s="176"/>
    </row>
    <row r="982" spans="1:38" ht="36" customHeight="1" x14ac:dyDescent="0.2">
      <c r="A982" s="14" t="s">
        <v>24</v>
      </c>
      <c r="B982" s="212">
        <v>244209</v>
      </c>
      <c r="C982" s="14" t="s">
        <v>547</v>
      </c>
      <c r="D982" s="14" t="s">
        <v>268</v>
      </c>
      <c r="E982" s="14" t="s">
        <v>14</v>
      </c>
      <c r="F982" s="14" t="s">
        <v>324</v>
      </c>
      <c r="G982" s="179">
        <v>680981</v>
      </c>
      <c r="H982" s="176" t="s">
        <v>3243</v>
      </c>
      <c r="I982" s="176" t="s">
        <v>664</v>
      </c>
      <c r="J982" s="176" t="s">
        <v>3244</v>
      </c>
      <c r="K982" s="176" t="s">
        <v>3247</v>
      </c>
      <c r="L982" s="40" t="s">
        <v>45</v>
      </c>
      <c r="M982" s="40" t="s">
        <v>341</v>
      </c>
      <c r="N982" s="14" t="s">
        <v>3253</v>
      </c>
      <c r="O982" s="14" t="s">
        <v>548</v>
      </c>
      <c r="P982" s="14" t="s">
        <v>717</v>
      </c>
      <c r="Q982" s="14" t="s">
        <v>549</v>
      </c>
      <c r="R982" s="17">
        <v>100</v>
      </c>
      <c r="S982" s="172" t="s">
        <v>51</v>
      </c>
      <c r="T982" s="17">
        <v>2005</v>
      </c>
      <c r="U982" s="14" t="s">
        <v>51</v>
      </c>
      <c r="V982" s="16">
        <f t="shared" si="124"/>
        <v>244209</v>
      </c>
      <c r="W982" s="16">
        <f t="shared" si="125"/>
        <v>244216</v>
      </c>
      <c r="X982" s="16">
        <f t="shared" si="126"/>
        <v>244211</v>
      </c>
      <c r="Y982" s="15" t="s">
        <v>54</v>
      </c>
      <c r="Z982" s="177">
        <v>244224</v>
      </c>
      <c r="AA982" s="170"/>
      <c r="AB982" s="170"/>
      <c r="AC982" s="170"/>
      <c r="AD982" s="170"/>
      <c r="AE982" s="15" t="s">
        <v>54</v>
      </c>
      <c r="AF982" s="177">
        <v>244225</v>
      </c>
      <c r="AG982" s="177" t="str">
        <f t="shared" si="122"/>
        <v>Pass</v>
      </c>
      <c r="AH982" s="177">
        <f t="shared" si="123"/>
        <v>244225</v>
      </c>
      <c r="AK982" s="176"/>
      <c r="AL982" s="176"/>
    </row>
    <row r="983" spans="1:38" ht="36" customHeight="1" x14ac:dyDescent="0.2">
      <c r="A983" s="14" t="s">
        <v>24</v>
      </c>
      <c r="B983" s="212">
        <v>244209</v>
      </c>
      <c r="C983" s="14" t="s">
        <v>547</v>
      </c>
      <c r="D983" s="14" t="s">
        <v>268</v>
      </c>
      <c r="E983" s="14" t="s">
        <v>14</v>
      </c>
      <c r="F983" s="14" t="s">
        <v>324</v>
      </c>
      <c r="G983" s="179">
        <v>680982</v>
      </c>
      <c r="H983" s="176" t="s">
        <v>3243</v>
      </c>
      <c r="I983" s="176" t="s">
        <v>664</v>
      </c>
      <c r="J983" s="176" t="s">
        <v>3244</v>
      </c>
      <c r="K983" s="176" t="s">
        <v>3247</v>
      </c>
      <c r="L983" s="40" t="s">
        <v>45</v>
      </c>
      <c r="M983" s="40" t="s">
        <v>341</v>
      </c>
      <c r="N983" s="14" t="s">
        <v>3254</v>
      </c>
      <c r="O983" s="14" t="s">
        <v>552</v>
      </c>
      <c r="P983" s="14" t="s">
        <v>793</v>
      </c>
      <c r="Q983" s="14" t="s">
        <v>553</v>
      </c>
      <c r="R983" s="17">
        <v>4451</v>
      </c>
      <c r="S983" s="172" t="s">
        <v>51</v>
      </c>
      <c r="T983" s="17"/>
      <c r="U983" s="14"/>
      <c r="V983" s="16">
        <f t="shared" si="124"/>
        <v>244209</v>
      </c>
      <c r="W983" s="16">
        <f t="shared" si="125"/>
        <v>244216</v>
      </c>
      <c r="X983" s="16">
        <f t="shared" si="126"/>
        <v>244211</v>
      </c>
      <c r="Y983" s="15" t="s">
        <v>54</v>
      </c>
      <c r="Z983" s="177">
        <v>244224</v>
      </c>
      <c r="AA983" s="170"/>
      <c r="AB983" s="170"/>
      <c r="AC983" s="170"/>
      <c r="AD983" s="170"/>
      <c r="AE983" s="15" t="s">
        <v>54</v>
      </c>
      <c r="AF983" s="177">
        <v>244225</v>
      </c>
      <c r="AG983" s="177" t="str">
        <f t="shared" si="122"/>
        <v>Pass</v>
      </c>
      <c r="AH983" s="177">
        <f t="shared" si="123"/>
        <v>244225</v>
      </c>
      <c r="AK983" s="176"/>
      <c r="AL983" s="176"/>
    </row>
    <row r="984" spans="1:38" ht="36" customHeight="1" x14ac:dyDescent="0.2">
      <c r="A984" s="14" t="s">
        <v>24</v>
      </c>
      <c r="B984" s="212">
        <v>244209</v>
      </c>
      <c r="C984" s="14" t="s">
        <v>547</v>
      </c>
      <c r="D984" s="14" t="s">
        <v>268</v>
      </c>
      <c r="E984" s="14" t="s">
        <v>14</v>
      </c>
      <c r="F984" s="14" t="s">
        <v>324</v>
      </c>
      <c r="G984" s="179">
        <v>680983</v>
      </c>
      <c r="H984" s="176" t="s">
        <v>2901</v>
      </c>
      <c r="I984" s="176" t="s">
        <v>612</v>
      </c>
      <c r="J984" s="176" t="s">
        <v>727</v>
      </c>
      <c r="K984" s="176" t="s">
        <v>3248</v>
      </c>
      <c r="L984" s="40" t="s">
        <v>46</v>
      </c>
      <c r="M984" s="40" t="s">
        <v>341</v>
      </c>
      <c r="N984" s="14" t="s">
        <v>3255</v>
      </c>
      <c r="O984" s="14" t="s">
        <v>2439</v>
      </c>
      <c r="P984" s="14" t="s">
        <v>3260</v>
      </c>
      <c r="Q984" s="14" t="s">
        <v>2443</v>
      </c>
      <c r="R984" s="17">
        <v>1000</v>
      </c>
      <c r="S984" s="172" t="s">
        <v>51</v>
      </c>
      <c r="T984" s="17"/>
      <c r="U984" s="14"/>
      <c r="V984" s="16">
        <f t="shared" si="124"/>
        <v>244209</v>
      </c>
      <c r="W984" s="16">
        <f t="shared" si="125"/>
        <v>244216</v>
      </c>
      <c r="X984" s="16">
        <f t="shared" si="126"/>
        <v>244211</v>
      </c>
      <c r="Y984" s="15" t="s">
        <v>54</v>
      </c>
      <c r="Z984" s="177">
        <v>244224</v>
      </c>
      <c r="AA984" s="170"/>
      <c r="AB984" s="170"/>
      <c r="AC984" s="170"/>
      <c r="AD984" s="170"/>
      <c r="AE984" s="15" t="s">
        <v>54</v>
      </c>
      <c r="AF984" s="177">
        <v>244225</v>
      </c>
      <c r="AG984" s="177" t="str">
        <f t="shared" si="122"/>
        <v>Pass</v>
      </c>
      <c r="AH984" s="177">
        <f t="shared" si="123"/>
        <v>244225</v>
      </c>
      <c r="AK984" s="176"/>
      <c r="AL984" s="176"/>
    </row>
    <row r="985" spans="1:38" ht="36" customHeight="1" x14ac:dyDescent="0.2">
      <c r="A985" s="14" t="s">
        <v>24</v>
      </c>
      <c r="B985" s="212">
        <v>244209</v>
      </c>
      <c r="C985" s="14" t="s">
        <v>547</v>
      </c>
      <c r="D985" s="14" t="s">
        <v>268</v>
      </c>
      <c r="E985" s="14" t="s">
        <v>14</v>
      </c>
      <c r="F985" s="14" t="s">
        <v>324</v>
      </c>
      <c r="G985" s="179">
        <v>680984</v>
      </c>
      <c r="H985" s="176" t="s">
        <v>2901</v>
      </c>
      <c r="I985" s="176" t="s">
        <v>612</v>
      </c>
      <c r="J985" s="176" t="s">
        <v>727</v>
      </c>
      <c r="K985" s="176" t="s">
        <v>3248</v>
      </c>
      <c r="L985" s="40" t="s">
        <v>46</v>
      </c>
      <c r="M985" s="40" t="s">
        <v>341</v>
      </c>
      <c r="N985" s="14" t="s">
        <v>3263</v>
      </c>
      <c r="O985" s="14" t="s">
        <v>548</v>
      </c>
      <c r="P985" s="14" t="s">
        <v>717</v>
      </c>
      <c r="Q985" s="14" t="s">
        <v>549</v>
      </c>
      <c r="R985" s="17">
        <v>231</v>
      </c>
      <c r="S985" s="172" t="s">
        <v>51</v>
      </c>
      <c r="T985" s="17"/>
      <c r="U985" s="14"/>
      <c r="V985" s="16">
        <f t="shared" si="124"/>
        <v>244209</v>
      </c>
      <c r="W985" s="16">
        <f t="shared" si="125"/>
        <v>244216</v>
      </c>
      <c r="X985" s="16">
        <f t="shared" si="126"/>
        <v>244211</v>
      </c>
      <c r="Y985" s="15" t="s">
        <v>54</v>
      </c>
      <c r="Z985" s="177">
        <v>244224</v>
      </c>
      <c r="AA985" s="170"/>
      <c r="AB985" s="170"/>
      <c r="AC985" s="170"/>
      <c r="AD985" s="170"/>
      <c r="AE985" s="15" t="s">
        <v>54</v>
      </c>
      <c r="AF985" s="177">
        <v>244225</v>
      </c>
      <c r="AG985" s="177" t="str">
        <f t="shared" si="122"/>
        <v>Pass</v>
      </c>
      <c r="AH985" s="177">
        <f t="shared" si="123"/>
        <v>244225</v>
      </c>
      <c r="AK985" s="176"/>
      <c r="AL985" s="176"/>
    </row>
    <row r="986" spans="1:38" ht="36" customHeight="1" x14ac:dyDescent="0.2">
      <c r="A986" s="14" t="s">
        <v>24</v>
      </c>
      <c r="B986" s="212">
        <v>244210</v>
      </c>
      <c r="C986" s="14" t="s">
        <v>547</v>
      </c>
      <c r="D986" s="14" t="s">
        <v>268</v>
      </c>
      <c r="E986" s="14" t="s">
        <v>14</v>
      </c>
      <c r="F986" s="14" t="s">
        <v>324</v>
      </c>
      <c r="G986" s="179">
        <v>680985</v>
      </c>
      <c r="H986" s="176" t="s">
        <v>625</v>
      </c>
      <c r="I986" s="176" t="s">
        <v>629</v>
      </c>
      <c r="J986" s="176" t="s">
        <v>631</v>
      </c>
      <c r="K986" s="176" t="s">
        <v>3266</v>
      </c>
      <c r="L986" s="40" t="s">
        <v>106</v>
      </c>
      <c r="M986" s="40" t="s">
        <v>341</v>
      </c>
      <c r="N986" s="14" t="s">
        <v>3272</v>
      </c>
      <c r="O986" s="14" t="s">
        <v>552</v>
      </c>
      <c r="P986" s="14" t="s">
        <v>519</v>
      </c>
      <c r="Q986" s="14" t="s">
        <v>553</v>
      </c>
      <c r="R986" s="17">
        <v>5550</v>
      </c>
      <c r="S986" s="172" t="s">
        <v>51</v>
      </c>
      <c r="T986" s="17">
        <v>4160</v>
      </c>
      <c r="U986" s="14" t="s">
        <v>51</v>
      </c>
      <c r="V986" s="16">
        <f t="shared" si="124"/>
        <v>244210</v>
      </c>
      <c r="W986" s="16">
        <f t="shared" si="125"/>
        <v>244217</v>
      </c>
      <c r="X986" s="16">
        <f t="shared" si="126"/>
        <v>244212</v>
      </c>
      <c r="Y986" s="15" t="s">
        <v>54</v>
      </c>
      <c r="Z986" s="177">
        <v>244224</v>
      </c>
      <c r="AA986" s="170"/>
      <c r="AB986" s="170"/>
      <c r="AC986" s="170"/>
      <c r="AD986" s="170"/>
      <c r="AE986" s="15" t="s">
        <v>54</v>
      </c>
      <c r="AF986" s="177">
        <v>244225</v>
      </c>
      <c r="AG986" s="177" t="str">
        <f t="shared" si="122"/>
        <v>Pass</v>
      </c>
      <c r="AH986" s="177">
        <f t="shared" si="123"/>
        <v>244225</v>
      </c>
      <c r="AK986" s="176"/>
      <c r="AL986" s="176"/>
    </row>
    <row r="987" spans="1:38" ht="36" customHeight="1" x14ac:dyDescent="0.2">
      <c r="A987" s="14" t="s">
        <v>24</v>
      </c>
      <c r="B987" s="212">
        <v>244210</v>
      </c>
      <c r="C987" s="14" t="s">
        <v>547</v>
      </c>
      <c r="D987" s="14" t="s">
        <v>268</v>
      </c>
      <c r="E987" s="14" t="s">
        <v>14</v>
      </c>
      <c r="F987" s="14" t="s">
        <v>324</v>
      </c>
      <c r="G987" s="179">
        <v>680986</v>
      </c>
      <c r="H987" s="176" t="s">
        <v>2242</v>
      </c>
      <c r="I987" s="176" t="s">
        <v>664</v>
      </c>
      <c r="J987" s="176" t="s">
        <v>123</v>
      </c>
      <c r="K987" s="176" t="s">
        <v>3267</v>
      </c>
      <c r="L987" s="40" t="s">
        <v>45</v>
      </c>
      <c r="M987" s="40" t="s">
        <v>341</v>
      </c>
      <c r="N987" s="14" t="s">
        <v>3273</v>
      </c>
      <c r="O987" s="14" t="s">
        <v>528</v>
      </c>
      <c r="P987" s="14" t="s">
        <v>517</v>
      </c>
      <c r="Q987" s="14" t="s">
        <v>541</v>
      </c>
      <c r="R987" s="17">
        <v>150</v>
      </c>
      <c r="S987" s="172" t="s">
        <v>51</v>
      </c>
      <c r="T987" s="17">
        <v>540</v>
      </c>
      <c r="U987" s="14" t="s">
        <v>51</v>
      </c>
      <c r="V987" s="16">
        <f t="shared" si="124"/>
        <v>244210</v>
      </c>
      <c r="W987" s="16">
        <f t="shared" si="125"/>
        <v>244217</v>
      </c>
      <c r="X987" s="16">
        <f t="shared" si="126"/>
        <v>244212</v>
      </c>
      <c r="Y987" s="15" t="s">
        <v>54</v>
      </c>
      <c r="Z987" s="177">
        <v>244224</v>
      </c>
      <c r="AA987" s="170"/>
      <c r="AB987" s="170"/>
      <c r="AC987" s="170"/>
      <c r="AD987" s="170"/>
      <c r="AE987" s="15" t="s">
        <v>54</v>
      </c>
      <c r="AF987" s="177">
        <v>244225</v>
      </c>
      <c r="AG987" s="177" t="str">
        <f t="shared" si="122"/>
        <v>Pass</v>
      </c>
      <c r="AH987" s="177">
        <f t="shared" si="123"/>
        <v>244225</v>
      </c>
      <c r="AK987" s="176"/>
      <c r="AL987" s="176"/>
    </row>
    <row r="988" spans="1:38" ht="36" customHeight="1" x14ac:dyDescent="0.2">
      <c r="A988" s="14" t="s">
        <v>24</v>
      </c>
      <c r="B988" s="212">
        <v>244210</v>
      </c>
      <c r="C988" s="14" t="s">
        <v>547</v>
      </c>
      <c r="D988" s="14" t="s">
        <v>268</v>
      </c>
      <c r="E988" s="14" t="s">
        <v>14</v>
      </c>
      <c r="F988" s="14" t="s">
        <v>324</v>
      </c>
      <c r="G988" s="179">
        <v>680987</v>
      </c>
      <c r="H988" s="176" t="s">
        <v>1793</v>
      </c>
      <c r="I988" s="176" t="s">
        <v>664</v>
      </c>
      <c r="J988" s="176" t="s">
        <v>123</v>
      </c>
      <c r="K988" s="176" t="s">
        <v>3268</v>
      </c>
      <c r="L988" s="40" t="s">
        <v>45</v>
      </c>
      <c r="M988" s="40" t="s">
        <v>341</v>
      </c>
      <c r="N988" s="14" t="s">
        <v>3274</v>
      </c>
      <c r="O988" s="14" t="s">
        <v>528</v>
      </c>
      <c r="P988" s="14" t="s">
        <v>1709</v>
      </c>
      <c r="Q988" s="14" t="s">
        <v>541</v>
      </c>
      <c r="R988" s="17">
        <v>506</v>
      </c>
      <c r="S988" s="172" t="s">
        <v>51</v>
      </c>
      <c r="T988" s="17">
        <v>810</v>
      </c>
      <c r="U988" s="14" t="s">
        <v>51</v>
      </c>
      <c r="V988" s="16">
        <f t="shared" si="124"/>
        <v>244210</v>
      </c>
      <c r="W988" s="16">
        <f t="shared" si="125"/>
        <v>244217</v>
      </c>
      <c r="X988" s="16">
        <f t="shared" si="126"/>
        <v>244212</v>
      </c>
      <c r="Y988" s="15" t="s">
        <v>54</v>
      </c>
      <c r="Z988" s="177">
        <v>244224</v>
      </c>
      <c r="AA988" s="170"/>
      <c r="AB988" s="170"/>
      <c r="AC988" s="170"/>
      <c r="AD988" s="170"/>
      <c r="AE988" s="15" t="s">
        <v>54</v>
      </c>
      <c r="AF988" s="177">
        <v>244225</v>
      </c>
      <c r="AG988" s="177" t="str">
        <f t="shared" si="122"/>
        <v>Pass</v>
      </c>
      <c r="AH988" s="177">
        <f t="shared" si="123"/>
        <v>244225</v>
      </c>
      <c r="AK988" s="176"/>
      <c r="AL988" s="176"/>
    </row>
    <row r="989" spans="1:38" ht="36" customHeight="1" x14ac:dyDescent="0.2">
      <c r="A989" s="14" t="s">
        <v>24</v>
      </c>
      <c r="B989" s="212">
        <v>244210</v>
      </c>
      <c r="C989" s="14" t="s">
        <v>547</v>
      </c>
      <c r="D989" s="14" t="s">
        <v>268</v>
      </c>
      <c r="E989" s="14" t="s">
        <v>14</v>
      </c>
      <c r="F989" s="14" t="s">
        <v>324</v>
      </c>
      <c r="G989" s="179">
        <v>680988</v>
      </c>
      <c r="H989" s="176" t="s">
        <v>3264</v>
      </c>
      <c r="I989" s="176" t="s">
        <v>1189</v>
      </c>
      <c r="J989" s="176" t="s">
        <v>1210</v>
      </c>
      <c r="K989" s="176" t="s">
        <v>3269</v>
      </c>
      <c r="L989" s="40" t="s">
        <v>108</v>
      </c>
      <c r="M989" s="40" t="s">
        <v>341</v>
      </c>
      <c r="N989" s="14" t="s">
        <v>3275</v>
      </c>
      <c r="O989" s="14" t="s">
        <v>681</v>
      </c>
      <c r="P989" s="14" t="s">
        <v>3279</v>
      </c>
      <c r="Q989" s="14" t="s">
        <v>689</v>
      </c>
      <c r="R989" s="17">
        <v>750</v>
      </c>
      <c r="S989" s="172" t="s">
        <v>51</v>
      </c>
      <c r="T989" s="17">
        <v>2300</v>
      </c>
      <c r="U989" s="14" t="s">
        <v>51</v>
      </c>
      <c r="V989" s="16">
        <f t="shared" si="124"/>
        <v>244210</v>
      </c>
      <c r="W989" s="16">
        <f t="shared" si="125"/>
        <v>244217</v>
      </c>
      <c r="X989" s="16">
        <f t="shared" si="126"/>
        <v>244212</v>
      </c>
      <c r="Y989" s="15" t="s">
        <v>54</v>
      </c>
      <c r="Z989" s="177">
        <v>244224</v>
      </c>
      <c r="AA989" s="170"/>
      <c r="AB989" s="170"/>
      <c r="AC989" s="170"/>
      <c r="AD989" s="170"/>
      <c r="AE989" s="15" t="s">
        <v>54</v>
      </c>
      <c r="AF989" s="177">
        <v>244225</v>
      </c>
      <c r="AG989" s="177" t="str">
        <f t="shared" si="122"/>
        <v>Pass</v>
      </c>
      <c r="AH989" s="177">
        <f t="shared" si="123"/>
        <v>244225</v>
      </c>
      <c r="AK989" s="176"/>
      <c r="AL989" s="176"/>
    </row>
    <row r="990" spans="1:38" ht="36" customHeight="1" x14ac:dyDescent="0.2">
      <c r="A990" s="14" t="s">
        <v>24</v>
      </c>
      <c r="B990" s="212">
        <v>244210</v>
      </c>
      <c r="C990" s="14" t="s">
        <v>547</v>
      </c>
      <c r="D990" s="14" t="s">
        <v>268</v>
      </c>
      <c r="E990" s="14" t="s">
        <v>14</v>
      </c>
      <c r="F990" s="14" t="s">
        <v>324</v>
      </c>
      <c r="G990" s="179">
        <v>680989</v>
      </c>
      <c r="H990" s="176" t="s">
        <v>3265</v>
      </c>
      <c r="I990" s="176" t="s">
        <v>612</v>
      </c>
      <c r="J990" s="176" t="s">
        <v>865</v>
      </c>
      <c r="K990" s="176" t="s">
        <v>3270</v>
      </c>
      <c r="L990" s="40" t="s">
        <v>46</v>
      </c>
      <c r="M990" s="40" t="s">
        <v>341</v>
      </c>
      <c r="N990" s="14" t="s">
        <v>3276</v>
      </c>
      <c r="O990" s="14" t="s">
        <v>548</v>
      </c>
      <c r="P990" s="14" t="s">
        <v>717</v>
      </c>
      <c r="Q990" s="14" t="s">
        <v>549</v>
      </c>
      <c r="R990" s="17">
        <v>161</v>
      </c>
      <c r="S990" s="172" t="s">
        <v>51</v>
      </c>
      <c r="T990" s="17">
        <v>1370</v>
      </c>
      <c r="U990" s="14" t="s">
        <v>51</v>
      </c>
      <c r="V990" s="16">
        <f t="shared" si="124"/>
        <v>244210</v>
      </c>
      <c r="W990" s="16">
        <f t="shared" si="125"/>
        <v>244217</v>
      </c>
      <c r="X990" s="16">
        <f t="shared" si="126"/>
        <v>244212</v>
      </c>
      <c r="Y990" s="15" t="s">
        <v>54</v>
      </c>
      <c r="Z990" s="177">
        <v>244224</v>
      </c>
      <c r="AA990" s="170"/>
      <c r="AB990" s="170"/>
      <c r="AC990" s="170"/>
      <c r="AD990" s="170"/>
      <c r="AE990" s="15" t="s">
        <v>54</v>
      </c>
      <c r="AF990" s="177">
        <v>244228</v>
      </c>
      <c r="AG990" s="177" t="str">
        <f t="shared" si="122"/>
        <v>Pass</v>
      </c>
      <c r="AH990" s="177">
        <f t="shared" si="123"/>
        <v>244228</v>
      </c>
      <c r="AK990" s="176"/>
      <c r="AL990" s="176"/>
    </row>
    <row r="991" spans="1:38" ht="36" customHeight="1" x14ac:dyDescent="0.2">
      <c r="A991" s="14" t="s">
        <v>24</v>
      </c>
      <c r="B991" s="212">
        <v>244210</v>
      </c>
      <c r="C991" s="14" t="s">
        <v>547</v>
      </c>
      <c r="D991" s="14" t="s">
        <v>268</v>
      </c>
      <c r="E991" s="14" t="s">
        <v>14</v>
      </c>
      <c r="F991" s="14" t="s">
        <v>324</v>
      </c>
      <c r="G991" s="179">
        <v>680990</v>
      </c>
      <c r="H991" s="176" t="s">
        <v>222</v>
      </c>
      <c r="I991" s="176" t="s">
        <v>1874</v>
      </c>
      <c r="J991" s="176" t="s">
        <v>127</v>
      </c>
      <c r="K991" s="176" t="s">
        <v>3271</v>
      </c>
      <c r="L991" s="40" t="s">
        <v>108</v>
      </c>
      <c r="M991" s="40" t="s">
        <v>341</v>
      </c>
      <c r="N991" s="14" t="s">
        <v>3278</v>
      </c>
      <c r="O991" s="14" t="s">
        <v>543</v>
      </c>
      <c r="P991" s="14" t="s">
        <v>3280</v>
      </c>
      <c r="Q991" s="14" t="s">
        <v>529</v>
      </c>
      <c r="R991" s="17">
        <v>300</v>
      </c>
      <c r="S991" s="172" t="s">
        <v>51</v>
      </c>
      <c r="T991" s="17">
        <v>3290</v>
      </c>
      <c r="U991" s="14" t="s">
        <v>51</v>
      </c>
      <c r="V991" s="16">
        <f t="shared" si="124"/>
        <v>244210</v>
      </c>
      <c r="W991" s="16">
        <f t="shared" si="125"/>
        <v>244217</v>
      </c>
      <c r="X991" s="16">
        <f t="shared" si="126"/>
        <v>244212</v>
      </c>
      <c r="Y991" s="15" t="s">
        <v>54</v>
      </c>
      <c r="Z991" s="177">
        <v>244224</v>
      </c>
      <c r="AA991" s="170"/>
      <c r="AB991" s="170"/>
      <c r="AC991" s="170"/>
      <c r="AD991" s="170"/>
      <c r="AE991" s="15" t="s">
        <v>54</v>
      </c>
      <c r="AF991" s="177">
        <v>244228</v>
      </c>
      <c r="AG991" s="177" t="str">
        <f t="shared" si="122"/>
        <v>Pass</v>
      </c>
      <c r="AH991" s="177">
        <f t="shared" si="123"/>
        <v>244228</v>
      </c>
      <c r="AK991" s="176"/>
      <c r="AL991" s="176"/>
    </row>
    <row r="992" spans="1:38" ht="36" customHeight="1" x14ac:dyDescent="0.2">
      <c r="A992" s="14" t="s">
        <v>24</v>
      </c>
      <c r="B992" s="212">
        <v>244210</v>
      </c>
      <c r="C992" s="14" t="s">
        <v>547</v>
      </c>
      <c r="D992" s="14" t="s">
        <v>268</v>
      </c>
      <c r="E992" s="14" t="s">
        <v>14</v>
      </c>
      <c r="F992" s="14" t="s">
        <v>324</v>
      </c>
      <c r="G992" s="179">
        <v>680991</v>
      </c>
      <c r="H992" s="176" t="s">
        <v>3265</v>
      </c>
      <c r="I992" s="176" t="s">
        <v>612</v>
      </c>
      <c r="J992" s="176" t="s">
        <v>865</v>
      </c>
      <c r="K992" s="176" t="s">
        <v>3270</v>
      </c>
      <c r="L992" s="40" t="s">
        <v>46</v>
      </c>
      <c r="M992" s="40" t="s">
        <v>341</v>
      </c>
      <c r="N992" s="14" t="s">
        <v>3277</v>
      </c>
      <c r="O992" s="14" t="s">
        <v>548</v>
      </c>
      <c r="P992" s="14" t="s">
        <v>717</v>
      </c>
      <c r="Q992" s="14" t="s">
        <v>549</v>
      </c>
      <c r="R992" s="17">
        <v>272</v>
      </c>
      <c r="S992" s="172" t="s">
        <v>51</v>
      </c>
      <c r="T992" s="17">
        <v>1920</v>
      </c>
      <c r="U992" s="14" t="s">
        <v>51</v>
      </c>
      <c r="V992" s="16">
        <f t="shared" si="124"/>
        <v>244210</v>
      </c>
      <c r="W992" s="16">
        <f t="shared" si="125"/>
        <v>244217</v>
      </c>
      <c r="X992" s="16">
        <f t="shared" si="126"/>
        <v>244212</v>
      </c>
      <c r="Y992" s="15" t="s">
        <v>54</v>
      </c>
      <c r="Z992" s="177">
        <v>244224</v>
      </c>
      <c r="AA992" s="170"/>
      <c r="AB992" s="170"/>
      <c r="AC992" s="170"/>
      <c r="AD992" s="170"/>
      <c r="AE992" s="15" t="s">
        <v>54</v>
      </c>
      <c r="AF992" s="177">
        <v>244228</v>
      </c>
      <c r="AG992" s="177" t="str">
        <f t="shared" ref="AG992:AG1001" si="127">AE992</f>
        <v>Pass</v>
      </c>
      <c r="AH992" s="177">
        <f t="shared" ref="AH992:AH1001" si="128">AF992</f>
        <v>244228</v>
      </c>
      <c r="AK992" s="176"/>
      <c r="AL992" s="176"/>
    </row>
    <row r="993" spans="1:38" ht="36" customHeight="1" x14ac:dyDescent="0.2">
      <c r="A993" s="14" t="s">
        <v>24</v>
      </c>
      <c r="B993" s="212">
        <v>244210</v>
      </c>
      <c r="C993" s="14" t="s">
        <v>547</v>
      </c>
      <c r="D993" s="14" t="s">
        <v>268</v>
      </c>
      <c r="E993" s="14" t="s">
        <v>14</v>
      </c>
      <c r="F993" s="14" t="s">
        <v>324</v>
      </c>
      <c r="G993" s="179">
        <v>680992</v>
      </c>
      <c r="H993" s="176" t="s">
        <v>3265</v>
      </c>
      <c r="I993" s="176" t="s">
        <v>612</v>
      </c>
      <c r="J993" s="176" t="s">
        <v>865</v>
      </c>
      <c r="K993" s="176" t="s">
        <v>3270</v>
      </c>
      <c r="L993" s="40" t="s">
        <v>46</v>
      </c>
      <c r="M993" s="40" t="s">
        <v>341</v>
      </c>
      <c r="N993" s="14" t="s">
        <v>1569</v>
      </c>
      <c r="O993" s="14" t="s">
        <v>528</v>
      </c>
      <c r="P993" s="14" t="s">
        <v>1124</v>
      </c>
      <c r="Q993" s="14" t="s">
        <v>541</v>
      </c>
      <c r="R993" s="17">
        <v>400</v>
      </c>
      <c r="S993" s="172" t="s">
        <v>51</v>
      </c>
      <c r="T993" s="17">
        <v>1920</v>
      </c>
      <c r="U993" s="14" t="s">
        <v>51</v>
      </c>
      <c r="V993" s="16">
        <f t="shared" si="124"/>
        <v>244210</v>
      </c>
      <c r="W993" s="16">
        <f t="shared" si="125"/>
        <v>244217</v>
      </c>
      <c r="X993" s="16">
        <f t="shared" si="126"/>
        <v>244212</v>
      </c>
      <c r="Y993" s="15" t="s">
        <v>54</v>
      </c>
      <c r="Z993" s="177">
        <v>244224</v>
      </c>
      <c r="AA993" s="170"/>
      <c r="AB993" s="170"/>
      <c r="AC993" s="170"/>
      <c r="AD993" s="170"/>
      <c r="AE993" s="15" t="s">
        <v>54</v>
      </c>
      <c r="AF993" s="177">
        <v>244228</v>
      </c>
      <c r="AG993" s="177" t="str">
        <f t="shared" si="127"/>
        <v>Pass</v>
      </c>
      <c r="AH993" s="177">
        <f t="shared" si="128"/>
        <v>244228</v>
      </c>
      <c r="AK993" s="176"/>
      <c r="AL993" s="176"/>
    </row>
    <row r="994" spans="1:38" ht="36" customHeight="1" x14ac:dyDescent="0.2">
      <c r="A994" s="14" t="s">
        <v>24</v>
      </c>
      <c r="B994" s="212">
        <v>244210</v>
      </c>
      <c r="C994" s="14" t="s">
        <v>547</v>
      </c>
      <c r="D994" s="14" t="s">
        <v>268</v>
      </c>
      <c r="E994" s="14" t="s">
        <v>14</v>
      </c>
      <c r="F994" s="14" t="s">
        <v>324</v>
      </c>
      <c r="G994" s="179">
        <v>680993</v>
      </c>
      <c r="H994" s="176" t="s">
        <v>3281</v>
      </c>
      <c r="I994" s="176" t="s">
        <v>864</v>
      </c>
      <c r="J994" s="176" t="s">
        <v>2729</v>
      </c>
      <c r="K994" s="176" t="s">
        <v>3283</v>
      </c>
      <c r="L994" s="40" t="s">
        <v>105</v>
      </c>
      <c r="M994" s="40" t="s">
        <v>341</v>
      </c>
      <c r="N994" s="14" t="s">
        <v>2832</v>
      </c>
      <c r="O994" s="14" t="s">
        <v>548</v>
      </c>
      <c r="P994" s="14" t="s">
        <v>717</v>
      </c>
      <c r="Q994" s="14" t="s">
        <v>549</v>
      </c>
      <c r="R994" s="17">
        <v>190</v>
      </c>
      <c r="S994" s="172" t="s">
        <v>51</v>
      </c>
      <c r="T994" s="17">
        <v>1500</v>
      </c>
      <c r="U994" s="14" t="s">
        <v>51</v>
      </c>
      <c r="V994" s="16">
        <f t="shared" si="124"/>
        <v>244210</v>
      </c>
      <c r="W994" s="16">
        <f t="shared" si="125"/>
        <v>244217</v>
      </c>
      <c r="X994" s="16">
        <f t="shared" si="126"/>
        <v>244212</v>
      </c>
      <c r="Y994" s="15" t="s">
        <v>54</v>
      </c>
      <c r="Z994" s="177">
        <v>244224</v>
      </c>
      <c r="AA994" s="170"/>
      <c r="AB994" s="170"/>
      <c r="AC994" s="170"/>
      <c r="AD994" s="170"/>
      <c r="AE994" s="15" t="s">
        <v>54</v>
      </c>
      <c r="AF994" s="177">
        <v>244228</v>
      </c>
      <c r="AG994" s="177" t="str">
        <f t="shared" si="127"/>
        <v>Pass</v>
      </c>
      <c r="AH994" s="177">
        <f t="shared" si="128"/>
        <v>244228</v>
      </c>
      <c r="AK994" s="176"/>
      <c r="AL994" s="176"/>
    </row>
    <row r="995" spans="1:38" ht="36" customHeight="1" x14ac:dyDescent="0.2">
      <c r="A995" s="14" t="s">
        <v>24</v>
      </c>
      <c r="B995" s="212">
        <v>244210</v>
      </c>
      <c r="C995" s="14" t="s">
        <v>547</v>
      </c>
      <c r="D995" s="14" t="s">
        <v>268</v>
      </c>
      <c r="E995" s="14" t="s">
        <v>14</v>
      </c>
      <c r="F995" s="14" t="s">
        <v>324</v>
      </c>
      <c r="G995" s="179">
        <v>680994</v>
      </c>
      <c r="H995" s="176" t="s">
        <v>3282</v>
      </c>
      <c r="I995" s="176" t="s">
        <v>1810</v>
      </c>
      <c r="J995" s="176" t="s">
        <v>1812</v>
      </c>
      <c r="K995" s="176" t="s">
        <v>3284</v>
      </c>
      <c r="L995" s="40" t="s">
        <v>105</v>
      </c>
      <c r="M995" s="40" t="s">
        <v>341</v>
      </c>
      <c r="N995" s="14" t="s">
        <v>3286</v>
      </c>
      <c r="O995" s="14" t="s">
        <v>528</v>
      </c>
      <c r="P995" s="14" t="s">
        <v>517</v>
      </c>
      <c r="Q995" s="14" t="s">
        <v>541</v>
      </c>
      <c r="R995" s="17">
        <v>400</v>
      </c>
      <c r="S995" s="172" t="s">
        <v>51</v>
      </c>
      <c r="T995" s="17">
        <v>1727</v>
      </c>
      <c r="U995" s="14" t="s">
        <v>51</v>
      </c>
      <c r="V995" s="16">
        <f t="shared" si="124"/>
        <v>244210</v>
      </c>
      <c r="W995" s="16">
        <f t="shared" si="125"/>
        <v>244217</v>
      </c>
      <c r="X995" s="16">
        <f t="shared" si="126"/>
        <v>244212</v>
      </c>
      <c r="Y995" s="15" t="s">
        <v>54</v>
      </c>
      <c r="Z995" s="177">
        <v>244224</v>
      </c>
      <c r="AA995" s="170"/>
      <c r="AB995" s="170"/>
      <c r="AC995" s="170"/>
      <c r="AD995" s="170"/>
      <c r="AE995" s="15" t="s">
        <v>54</v>
      </c>
      <c r="AF995" s="177">
        <v>244228</v>
      </c>
      <c r="AG995" s="177" t="str">
        <f t="shared" si="127"/>
        <v>Pass</v>
      </c>
      <c r="AH995" s="177">
        <f t="shared" si="128"/>
        <v>244228</v>
      </c>
      <c r="AK995" s="176"/>
      <c r="AL995" s="176"/>
    </row>
    <row r="996" spans="1:38" ht="36" customHeight="1" x14ac:dyDescent="0.2">
      <c r="A996" s="14" t="s">
        <v>24</v>
      </c>
      <c r="B996" s="212">
        <v>244210</v>
      </c>
      <c r="C996" s="14" t="s">
        <v>547</v>
      </c>
      <c r="D996" s="14" t="s">
        <v>268</v>
      </c>
      <c r="E996" s="14" t="s">
        <v>14</v>
      </c>
      <c r="F996" s="14" t="s">
        <v>324</v>
      </c>
      <c r="G996" s="179">
        <v>680995</v>
      </c>
      <c r="H996" s="176" t="s">
        <v>1369</v>
      </c>
      <c r="I996" s="176" t="s">
        <v>514</v>
      </c>
      <c r="J996" s="176" t="s">
        <v>337</v>
      </c>
      <c r="K996" s="176" t="s">
        <v>3285</v>
      </c>
      <c r="L996" s="40" t="s">
        <v>106</v>
      </c>
      <c r="M996" s="40" t="s">
        <v>341</v>
      </c>
      <c r="N996" s="14" t="s">
        <v>2832</v>
      </c>
      <c r="O996" s="14" t="s">
        <v>548</v>
      </c>
      <c r="P996" s="14" t="s">
        <v>717</v>
      </c>
      <c r="Q996" s="14" t="s">
        <v>549</v>
      </c>
      <c r="R996" s="17">
        <v>190</v>
      </c>
      <c r="S996" s="172" t="s">
        <v>51</v>
      </c>
      <c r="T996" s="17">
        <v>1526</v>
      </c>
      <c r="U996" s="14" t="s">
        <v>51</v>
      </c>
      <c r="V996" s="16">
        <f t="shared" si="124"/>
        <v>244210</v>
      </c>
      <c r="W996" s="16">
        <f t="shared" si="125"/>
        <v>244217</v>
      </c>
      <c r="X996" s="16">
        <f t="shared" si="126"/>
        <v>244212</v>
      </c>
      <c r="Y996" s="15" t="s">
        <v>54</v>
      </c>
      <c r="Z996" s="177">
        <v>244224</v>
      </c>
      <c r="AA996" s="170"/>
      <c r="AB996" s="170"/>
      <c r="AC996" s="170"/>
      <c r="AD996" s="170"/>
      <c r="AE996" s="15" t="s">
        <v>54</v>
      </c>
      <c r="AF996" s="177">
        <v>244228</v>
      </c>
      <c r="AG996" s="177" t="str">
        <f t="shared" si="127"/>
        <v>Pass</v>
      </c>
      <c r="AH996" s="177">
        <f t="shared" si="128"/>
        <v>244228</v>
      </c>
      <c r="AK996" s="176"/>
      <c r="AL996" s="176"/>
    </row>
    <row r="997" spans="1:38" ht="36" customHeight="1" x14ac:dyDescent="0.2">
      <c r="A997" s="14" t="s">
        <v>24</v>
      </c>
      <c r="B997" s="212">
        <v>244211</v>
      </c>
      <c r="C997" s="14" t="s">
        <v>547</v>
      </c>
      <c r="D997" s="14" t="s">
        <v>268</v>
      </c>
      <c r="E997" s="14" t="s">
        <v>14</v>
      </c>
      <c r="F997" s="14" t="s">
        <v>324</v>
      </c>
      <c r="G997" s="179">
        <v>680996</v>
      </c>
      <c r="H997" s="176" t="s">
        <v>663</v>
      </c>
      <c r="I997" s="176" t="s">
        <v>630</v>
      </c>
      <c r="J997" s="176" t="s">
        <v>821</v>
      </c>
      <c r="K997" s="176" t="s">
        <v>3289</v>
      </c>
      <c r="L997" s="40" t="s">
        <v>124</v>
      </c>
      <c r="M997" s="40" t="s">
        <v>341</v>
      </c>
      <c r="N997" s="14" t="s">
        <v>3291</v>
      </c>
      <c r="O997" s="14" t="s">
        <v>543</v>
      </c>
      <c r="P997" s="14" t="s">
        <v>1573</v>
      </c>
      <c r="Q997" s="14" t="s">
        <v>529</v>
      </c>
      <c r="R997" s="17">
        <v>320</v>
      </c>
      <c r="S997" s="172" t="s">
        <v>51</v>
      </c>
      <c r="T997" s="17"/>
      <c r="U997" s="14"/>
      <c r="V997" s="16">
        <f t="shared" si="124"/>
        <v>244211</v>
      </c>
      <c r="W997" s="16">
        <f t="shared" si="125"/>
        <v>244218</v>
      </c>
      <c r="X997" s="16">
        <f t="shared" si="126"/>
        <v>244213</v>
      </c>
      <c r="Y997" s="15" t="s">
        <v>54</v>
      </c>
      <c r="Z997" s="177">
        <v>244224</v>
      </c>
      <c r="AA997" s="170"/>
      <c r="AB997" s="170"/>
      <c r="AC997" s="170"/>
      <c r="AD997" s="170"/>
      <c r="AE997" s="15" t="s">
        <v>54</v>
      </c>
      <c r="AF997" s="177">
        <v>244228</v>
      </c>
      <c r="AG997" s="177" t="str">
        <f t="shared" si="127"/>
        <v>Pass</v>
      </c>
      <c r="AH997" s="177">
        <f t="shared" si="128"/>
        <v>244228</v>
      </c>
      <c r="AK997" s="176"/>
      <c r="AL997" s="176"/>
    </row>
    <row r="998" spans="1:38" ht="36" customHeight="1" x14ac:dyDescent="0.2">
      <c r="A998" s="14" t="s">
        <v>24</v>
      </c>
      <c r="B998" s="212">
        <v>244211</v>
      </c>
      <c r="C998" s="14" t="s">
        <v>547</v>
      </c>
      <c r="D998" s="14" t="s">
        <v>268</v>
      </c>
      <c r="E998" s="14" t="s">
        <v>14</v>
      </c>
      <c r="F998" s="14" t="s">
        <v>324</v>
      </c>
      <c r="G998" s="179">
        <v>680997</v>
      </c>
      <c r="H998" s="176" t="s">
        <v>663</v>
      </c>
      <c r="I998" s="176" t="s">
        <v>630</v>
      </c>
      <c r="J998" s="176" t="s">
        <v>821</v>
      </c>
      <c r="K998" s="176" t="s">
        <v>3289</v>
      </c>
      <c r="L998" s="40" t="s">
        <v>124</v>
      </c>
      <c r="M998" s="40" t="s">
        <v>341</v>
      </c>
      <c r="N998" s="14" t="s">
        <v>3292</v>
      </c>
      <c r="O998" s="14" t="s">
        <v>3294</v>
      </c>
      <c r="P998" s="14" t="s">
        <v>3295</v>
      </c>
      <c r="Q998" s="14" t="s">
        <v>3296</v>
      </c>
      <c r="R998" s="17">
        <v>2450</v>
      </c>
      <c r="S998" s="172" t="s">
        <v>51</v>
      </c>
      <c r="T998" s="17">
        <v>2593</v>
      </c>
      <c r="U998" s="14" t="s">
        <v>51</v>
      </c>
      <c r="V998" s="16">
        <f t="shared" si="124"/>
        <v>244211</v>
      </c>
      <c r="W998" s="16">
        <f t="shared" si="125"/>
        <v>244218</v>
      </c>
      <c r="X998" s="16">
        <f t="shared" si="126"/>
        <v>244213</v>
      </c>
      <c r="Y998" s="15" t="s">
        <v>54</v>
      </c>
      <c r="Z998" s="177">
        <v>244224</v>
      </c>
      <c r="AA998" s="170"/>
      <c r="AB998" s="170"/>
      <c r="AC998" s="170"/>
      <c r="AD998" s="170"/>
      <c r="AE998" s="15" t="s">
        <v>54</v>
      </c>
      <c r="AF998" s="177">
        <v>244228</v>
      </c>
      <c r="AG998" s="177" t="str">
        <f t="shared" si="127"/>
        <v>Pass</v>
      </c>
      <c r="AH998" s="177">
        <f t="shared" si="128"/>
        <v>244228</v>
      </c>
      <c r="AK998" s="176"/>
      <c r="AL998" s="176"/>
    </row>
    <row r="999" spans="1:38" ht="36" customHeight="1" x14ac:dyDescent="0.2">
      <c r="A999" s="14" t="s">
        <v>24</v>
      </c>
      <c r="B999" s="212">
        <v>244211</v>
      </c>
      <c r="C999" s="14" t="s">
        <v>547</v>
      </c>
      <c r="D999" s="14" t="s">
        <v>268</v>
      </c>
      <c r="E999" s="14" t="s">
        <v>14</v>
      </c>
      <c r="F999" s="14" t="s">
        <v>324</v>
      </c>
      <c r="G999" s="179">
        <v>680998</v>
      </c>
      <c r="H999" s="176" t="s">
        <v>3287</v>
      </c>
      <c r="I999" s="176" t="s">
        <v>3288</v>
      </c>
      <c r="J999" s="176" t="s">
        <v>1412</v>
      </c>
      <c r="K999" s="176" t="s">
        <v>3290</v>
      </c>
      <c r="L999" s="40" t="s">
        <v>45</v>
      </c>
      <c r="M999" s="40" t="s">
        <v>341</v>
      </c>
      <c r="N999" s="14" t="s">
        <v>3293</v>
      </c>
      <c r="O999" s="14" t="s">
        <v>543</v>
      </c>
      <c r="P999" s="14" t="s">
        <v>517</v>
      </c>
      <c r="Q999" s="14" t="s">
        <v>529</v>
      </c>
      <c r="R999" s="17">
        <v>500</v>
      </c>
      <c r="S999" s="172" t="s">
        <v>51</v>
      </c>
      <c r="T999" s="17">
        <v>2180</v>
      </c>
      <c r="U999" s="14" t="s">
        <v>51</v>
      </c>
      <c r="V999" s="16">
        <f t="shared" si="124"/>
        <v>244211</v>
      </c>
      <c r="W999" s="16">
        <f t="shared" si="125"/>
        <v>244218</v>
      </c>
      <c r="X999" s="16">
        <f t="shared" si="126"/>
        <v>244213</v>
      </c>
      <c r="Y999" s="15" t="s">
        <v>54</v>
      </c>
      <c r="Z999" s="177">
        <v>244224</v>
      </c>
      <c r="AA999" s="170"/>
      <c r="AB999" s="170"/>
      <c r="AC999" s="170"/>
      <c r="AD999" s="170"/>
      <c r="AE999" s="15" t="s">
        <v>54</v>
      </c>
      <c r="AF999" s="177">
        <v>244228</v>
      </c>
      <c r="AG999" s="177" t="str">
        <f t="shared" si="127"/>
        <v>Pass</v>
      </c>
      <c r="AH999" s="177">
        <f t="shared" si="128"/>
        <v>244228</v>
      </c>
      <c r="AK999" s="176"/>
      <c r="AL999" s="176"/>
    </row>
    <row r="1000" spans="1:38" ht="36" customHeight="1" x14ac:dyDescent="0.2">
      <c r="A1000" s="14" t="s">
        <v>24</v>
      </c>
      <c r="B1000" s="212">
        <v>244212</v>
      </c>
      <c r="C1000" s="14" t="s">
        <v>547</v>
      </c>
      <c r="D1000" s="14" t="s">
        <v>268</v>
      </c>
      <c r="E1000" s="14" t="s">
        <v>14</v>
      </c>
      <c r="F1000" s="14" t="s">
        <v>324</v>
      </c>
      <c r="G1000" s="179">
        <v>680999</v>
      </c>
      <c r="H1000" s="176" t="s">
        <v>3227</v>
      </c>
      <c r="I1000" s="176" t="s">
        <v>550</v>
      </c>
      <c r="J1000" s="176" t="s">
        <v>128</v>
      </c>
      <c r="K1000" s="176" t="s">
        <v>3297</v>
      </c>
      <c r="L1000" s="40" t="s">
        <v>106</v>
      </c>
      <c r="M1000" s="40" t="s">
        <v>341</v>
      </c>
      <c r="N1000" s="14" t="s">
        <v>3253</v>
      </c>
      <c r="O1000" s="14" t="s">
        <v>548</v>
      </c>
      <c r="P1000" s="14" t="s">
        <v>518</v>
      </c>
      <c r="Q1000" s="14" t="s">
        <v>549</v>
      </c>
      <c r="R1000" s="17">
        <v>100</v>
      </c>
      <c r="S1000" s="172" t="s">
        <v>51</v>
      </c>
      <c r="T1000" s="17"/>
      <c r="U1000" s="14"/>
      <c r="V1000" s="16">
        <f t="shared" ref="V1000:V1063" si="129">B1000</f>
        <v>244212</v>
      </c>
      <c r="W1000" s="16">
        <f t="shared" ref="W1000:W1063" si="130">B1000+7</f>
        <v>244219</v>
      </c>
      <c r="X1000" s="16">
        <f t="shared" ref="X1000:X1063" si="131">V1000+2</f>
        <v>244214</v>
      </c>
      <c r="Y1000" s="15" t="s">
        <v>54</v>
      </c>
      <c r="Z1000" s="177">
        <v>244224</v>
      </c>
      <c r="AA1000" s="170"/>
      <c r="AB1000" s="170"/>
      <c r="AC1000" s="170"/>
      <c r="AD1000" s="170"/>
      <c r="AE1000" s="15" t="s">
        <v>54</v>
      </c>
      <c r="AF1000" s="177">
        <v>244228</v>
      </c>
      <c r="AG1000" s="177" t="str">
        <f t="shared" si="127"/>
        <v>Pass</v>
      </c>
      <c r="AH1000" s="177">
        <f t="shared" si="128"/>
        <v>244228</v>
      </c>
      <c r="AK1000" s="176"/>
      <c r="AL1000" s="176"/>
    </row>
    <row r="1001" spans="1:38" ht="36" customHeight="1" x14ac:dyDescent="0.2">
      <c r="A1001" s="14" t="s">
        <v>24</v>
      </c>
      <c r="B1001" s="212">
        <v>244212</v>
      </c>
      <c r="C1001" s="14" t="s">
        <v>547</v>
      </c>
      <c r="D1001" s="14" t="s">
        <v>268</v>
      </c>
      <c r="E1001" s="14" t="s">
        <v>14</v>
      </c>
      <c r="F1001" s="14" t="s">
        <v>324</v>
      </c>
      <c r="G1001" s="179">
        <v>681000</v>
      </c>
      <c r="H1001" s="176" t="s">
        <v>3227</v>
      </c>
      <c r="I1001" s="176" t="s">
        <v>550</v>
      </c>
      <c r="J1001" s="176" t="s">
        <v>128</v>
      </c>
      <c r="K1001" s="176" t="s">
        <v>3297</v>
      </c>
      <c r="L1001" s="40" t="s">
        <v>106</v>
      </c>
      <c r="M1001" s="40" t="s">
        <v>341</v>
      </c>
      <c r="N1001" s="14" t="s">
        <v>3299</v>
      </c>
      <c r="O1001" s="14" t="s">
        <v>548</v>
      </c>
      <c r="P1001" s="14" t="s">
        <v>518</v>
      </c>
      <c r="Q1001" s="14" t="s">
        <v>549</v>
      </c>
      <c r="R1001" s="17">
        <v>451</v>
      </c>
      <c r="S1001" s="172" t="s">
        <v>51</v>
      </c>
      <c r="T1001" s="17">
        <v>2300</v>
      </c>
      <c r="U1001" s="14" t="s">
        <v>51</v>
      </c>
      <c r="V1001" s="16">
        <f t="shared" si="129"/>
        <v>244212</v>
      </c>
      <c r="W1001" s="16">
        <f t="shared" si="130"/>
        <v>244219</v>
      </c>
      <c r="X1001" s="16">
        <f t="shared" si="131"/>
        <v>244214</v>
      </c>
      <c r="Y1001" s="15" t="s">
        <v>54</v>
      </c>
      <c r="Z1001" s="177">
        <v>244224</v>
      </c>
      <c r="AA1001" s="170"/>
      <c r="AB1001" s="170"/>
      <c r="AC1001" s="170"/>
      <c r="AD1001" s="170"/>
      <c r="AE1001" s="15" t="s">
        <v>54</v>
      </c>
      <c r="AF1001" s="177">
        <v>244228</v>
      </c>
      <c r="AG1001" s="177" t="str">
        <f t="shared" si="127"/>
        <v>Pass</v>
      </c>
      <c r="AH1001" s="177">
        <f t="shared" si="128"/>
        <v>244228</v>
      </c>
      <c r="AK1001" s="176"/>
      <c r="AL1001" s="176"/>
    </row>
    <row r="1002" spans="1:38" ht="36" customHeight="1" x14ac:dyDescent="0.2">
      <c r="A1002" s="14" t="s">
        <v>24</v>
      </c>
      <c r="B1002" s="212">
        <v>244212</v>
      </c>
      <c r="C1002" s="14" t="s">
        <v>547</v>
      </c>
      <c r="D1002" s="14" t="s">
        <v>268</v>
      </c>
      <c r="E1002" s="14" t="s">
        <v>14</v>
      </c>
      <c r="F1002" s="14" t="s">
        <v>324</v>
      </c>
      <c r="G1002" s="179">
        <v>681001</v>
      </c>
      <c r="H1002" s="176" t="s">
        <v>720</v>
      </c>
      <c r="I1002" s="176" t="s">
        <v>724</v>
      </c>
      <c r="J1002" s="176" t="s">
        <v>726</v>
      </c>
      <c r="K1002" s="176" t="s">
        <v>3298</v>
      </c>
      <c r="L1002" s="40" t="s">
        <v>108</v>
      </c>
      <c r="M1002" s="40" t="s">
        <v>341</v>
      </c>
      <c r="N1002" s="14" t="s">
        <v>3300</v>
      </c>
      <c r="O1002" s="14" t="s">
        <v>543</v>
      </c>
      <c r="P1002" s="14" t="s">
        <v>3301</v>
      </c>
      <c r="Q1002" s="14" t="s">
        <v>529</v>
      </c>
      <c r="R1002" s="17">
        <v>400</v>
      </c>
      <c r="S1002" s="172" t="s">
        <v>51</v>
      </c>
      <c r="T1002" s="17">
        <v>3260</v>
      </c>
      <c r="U1002" s="14" t="s">
        <v>51</v>
      </c>
      <c r="V1002" s="16">
        <f t="shared" si="129"/>
        <v>244212</v>
      </c>
      <c r="W1002" s="16">
        <f t="shared" si="130"/>
        <v>244219</v>
      </c>
      <c r="X1002" s="16">
        <f t="shared" si="131"/>
        <v>244214</v>
      </c>
      <c r="Y1002" s="15" t="s">
        <v>54</v>
      </c>
      <c r="Z1002" s="177">
        <v>244224</v>
      </c>
      <c r="AA1002" s="170"/>
      <c r="AB1002" s="170"/>
      <c r="AC1002" s="170"/>
      <c r="AD1002" s="170"/>
      <c r="AE1002" s="15" t="s">
        <v>54</v>
      </c>
      <c r="AF1002" s="177">
        <v>244228</v>
      </c>
      <c r="AG1002" s="177" t="str">
        <f t="shared" ref="AG1002:AG1007" si="132">AE1002</f>
        <v>Pass</v>
      </c>
      <c r="AH1002" s="177">
        <f t="shared" ref="AH1002:AH1007" si="133">AF1002</f>
        <v>244228</v>
      </c>
      <c r="AK1002" s="176"/>
      <c r="AL1002" s="176"/>
    </row>
    <row r="1003" spans="1:38" ht="36" customHeight="1" x14ac:dyDescent="0.2">
      <c r="A1003" s="14" t="s">
        <v>24</v>
      </c>
      <c r="B1003" s="212">
        <v>244214</v>
      </c>
      <c r="C1003" s="14" t="s">
        <v>547</v>
      </c>
      <c r="D1003" s="14" t="s">
        <v>268</v>
      </c>
      <c r="E1003" s="14" t="s">
        <v>14</v>
      </c>
      <c r="F1003" s="14" t="s">
        <v>324</v>
      </c>
      <c r="G1003" s="179">
        <v>681002</v>
      </c>
      <c r="H1003" s="176" t="s">
        <v>277</v>
      </c>
      <c r="I1003" s="176" t="s">
        <v>1874</v>
      </c>
      <c r="J1003" s="176" t="s">
        <v>127</v>
      </c>
      <c r="K1003" s="176" t="s">
        <v>3303</v>
      </c>
      <c r="L1003" s="40" t="s">
        <v>108</v>
      </c>
      <c r="M1003" s="40" t="s">
        <v>341</v>
      </c>
      <c r="N1003" s="14" t="s">
        <v>3307</v>
      </c>
      <c r="O1003" s="14" t="s">
        <v>1909</v>
      </c>
      <c r="P1003" s="14" t="s">
        <v>3314</v>
      </c>
      <c r="Q1003" s="14" t="s">
        <v>1913</v>
      </c>
      <c r="R1003" s="17">
        <v>350</v>
      </c>
      <c r="S1003" s="172" t="s">
        <v>51</v>
      </c>
      <c r="T1003" s="17">
        <v>2120</v>
      </c>
      <c r="U1003" s="14" t="s">
        <v>51</v>
      </c>
      <c r="V1003" s="16">
        <f t="shared" si="129"/>
        <v>244214</v>
      </c>
      <c r="W1003" s="16">
        <f t="shared" si="130"/>
        <v>244221</v>
      </c>
      <c r="X1003" s="16">
        <f t="shared" si="131"/>
        <v>244216</v>
      </c>
      <c r="Y1003" s="15" t="s">
        <v>54</v>
      </c>
      <c r="Z1003" s="177">
        <v>244224</v>
      </c>
      <c r="AA1003" s="170"/>
      <c r="AB1003" s="170"/>
      <c r="AC1003" s="170"/>
      <c r="AD1003" s="170"/>
      <c r="AE1003" s="15" t="s">
        <v>54</v>
      </c>
      <c r="AF1003" s="177">
        <v>244228</v>
      </c>
      <c r="AG1003" s="177" t="str">
        <f t="shared" si="132"/>
        <v>Pass</v>
      </c>
      <c r="AH1003" s="177">
        <f t="shared" si="133"/>
        <v>244228</v>
      </c>
      <c r="AK1003" s="176"/>
      <c r="AL1003" s="176"/>
    </row>
    <row r="1004" spans="1:38" ht="36" customHeight="1" x14ac:dyDescent="0.2">
      <c r="A1004" s="14" t="s">
        <v>24</v>
      </c>
      <c r="B1004" s="212">
        <v>244214</v>
      </c>
      <c r="C1004" s="14" t="s">
        <v>547</v>
      </c>
      <c r="D1004" s="14" t="s">
        <v>268</v>
      </c>
      <c r="E1004" s="14" t="s">
        <v>14</v>
      </c>
      <c r="F1004" s="14" t="s">
        <v>324</v>
      </c>
      <c r="G1004" s="179">
        <v>681003</v>
      </c>
      <c r="H1004" s="176" t="s">
        <v>2750</v>
      </c>
      <c r="I1004" s="176" t="s">
        <v>3175</v>
      </c>
      <c r="J1004" s="176" t="s">
        <v>123</v>
      </c>
      <c r="K1004" s="176" t="s">
        <v>3304</v>
      </c>
      <c r="L1004" s="40" t="s">
        <v>45</v>
      </c>
      <c r="M1004" s="40" t="s">
        <v>341</v>
      </c>
      <c r="N1004" s="14" t="s">
        <v>3308</v>
      </c>
      <c r="O1004" s="14" t="s">
        <v>543</v>
      </c>
      <c r="P1004" s="14" t="s">
        <v>517</v>
      </c>
      <c r="Q1004" s="14" t="s">
        <v>529</v>
      </c>
      <c r="R1004" s="17">
        <v>525</v>
      </c>
      <c r="S1004" s="172" t="s">
        <v>51</v>
      </c>
      <c r="T1004" s="17">
        <v>2010</v>
      </c>
      <c r="U1004" s="14" t="s">
        <v>51</v>
      </c>
      <c r="V1004" s="16">
        <f t="shared" si="129"/>
        <v>244214</v>
      </c>
      <c r="W1004" s="16">
        <f t="shared" si="130"/>
        <v>244221</v>
      </c>
      <c r="X1004" s="16">
        <f t="shared" si="131"/>
        <v>244216</v>
      </c>
      <c r="Y1004" s="15" t="s">
        <v>54</v>
      </c>
      <c r="Z1004" s="177">
        <v>244224</v>
      </c>
      <c r="AA1004" s="170"/>
      <c r="AB1004" s="170"/>
      <c r="AC1004" s="170"/>
      <c r="AD1004" s="170"/>
      <c r="AE1004" s="15" t="s">
        <v>54</v>
      </c>
      <c r="AF1004" s="177">
        <v>244228</v>
      </c>
      <c r="AG1004" s="177" t="str">
        <f t="shared" si="132"/>
        <v>Pass</v>
      </c>
      <c r="AH1004" s="177">
        <f t="shared" si="133"/>
        <v>244228</v>
      </c>
      <c r="AK1004" s="176"/>
      <c r="AL1004" s="176"/>
    </row>
    <row r="1005" spans="1:38" ht="36" customHeight="1" x14ac:dyDescent="0.2">
      <c r="A1005" s="14" t="s">
        <v>24</v>
      </c>
      <c r="B1005" s="212">
        <v>244214</v>
      </c>
      <c r="C1005" s="14" t="s">
        <v>547</v>
      </c>
      <c r="D1005" s="14" t="s">
        <v>268</v>
      </c>
      <c r="E1005" s="14" t="s">
        <v>14</v>
      </c>
      <c r="F1005" s="14" t="s">
        <v>324</v>
      </c>
      <c r="G1005" s="179">
        <v>681004</v>
      </c>
      <c r="H1005" s="176" t="s">
        <v>277</v>
      </c>
      <c r="I1005" s="176" t="s">
        <v>1874</v>
      </c>
      <c r="J1005" s="176" t="s">
        <v>127</v>
      </c>
      <c r="K1005" s="176" t="s">
        <v>3303</v>
      </c>
      <c r="L1005" s="40" t="s">
        <v>108</v>
      </c>
      <c r="M1005" s="40" t="s">
        <v>341</v>
      </c>
      <c r="N1005" s="14" t="s">
        <v>3309</v>
      </c>
      <c r="O1005" s="14" t="s">
        <v>548</v>
      </c>
      <c r="P1005" s="14" t="s">
        <v>717</v>
      </c>
      <c r="Q1005" s="14" t="s">
        <v>549</v>
      </c>
      <c r="R1005" s="17">
        <v>217</v>
      </c>
      <c r="S1005" s="172" t="s">
        <v>51</v>
      </c>
      <c r="T1005" s="17">
        <v>2120</v>
      </c>
      <c r="U1005" s="14" t="s">
        <v>51</v>
      </c>
      <c r="V1005" s="16">
        <f t="shared" si="129"/>
        <v>244214</v>
      </c>
      <c r="W1005" s="16">
        <f t="shared" si="130"/>
        <v>244221</v>
      </c>
      <c r="X1005" s="16">
        <f t="shared" si="131"/>
        <v>244216</v>
      </c>
      <c r="Y1005" s="15" t="s">
        <v>54</v>
      </c>
      <c r="Z1005" s="177">
        <v>244224</v>
      </c>
      <c r="AA1005" s="170"/>
      <c r="AB1005" s="170"/>
      <c r="AC1005" s="170"/>
      <c r="AD1005" s="170"/>
      <c r="AE1005" s="15" t="s">
        <v>54</v>
      </c>
      <c r="AF1005" s="177">
        <v>244228</v>
      </c>
      <c r="AG1005" s="177" t="str">
        <f t="shared" si="132"/>
        <v>Pass</v>
      </c>
      <c r="AH1005" s="177">
        <f t="shared" si="133"/>
        <v>244228</v>
      </c>
      <c r="AK1005" s="176"/>
      <c r="AL1005" s="176"/>
    </row>
    <row r="1006" spans="1:38" ht="36" customHeight="1" x14ac:dyDescent="0.2">
      <c r="A1006" s="14" t="s">
        <v>24</v>
      </c>
      <c r="B1006" s="212">
        <v>244214</v>
      </c>
      <c r="C1006" s="14" t="s">
        <v>547</v>
      </c>
      <c r="D1006" s="14" t="s">
        <v>268</v>
      </c>
      <c r="E1006" s="14" t="s">
        <v>14</v>
      </c>
      <c r="F1006" s="14" t="s">
        <v>324</v>
      </c>
      <c r="G1006" s="179">
        <v>681005</v>
      </c>
      <c r="H1006" s="176" t="s">
        <v>2750</v>
      </c>
      <c r="I1006" s="176" t="s">
        <v>3175</v>
      </c>
      <c r="J1006" s="176" t="s">
        <v>123</v>
      </c>
      <c r="K1006" s="176" t="s">
        <v>3304</v>
      </c>
      <c r="L1006" s="40" t="s">
        <v>45</v>
      </c>
      <c r="M1006" s="40" t="s">
        <v>341</v>
      </c>
      <c r="N1006" s="14" t="s">
        <v>3310</v>
      </c>
      <c r="O1006" s="14" t="s">
        <v>552</v>
      </c>
      <c r="P1006" s="14" t="s">
        <v>793</v>
      </c>
      <c r="Q1006" s="14" t="s">
        <v>553</v>
      </c>
      <c r="R1006" s="17">
        <v>717</v>
      </c>
      <c r="S1006" s="172" t="s">
        <v>51</v>
      </c>
      <c r="T1006" s="17">
        <v>2000</v>
      </c>
      <c r="U1006" s="14" t="s">
        <v>51</v>
      </c>
      <c r="V1006" s="16">
        <f t="shared" si="129"/>
        <v>244214</v>
      </c>
      <c r="W1006" s="16">
        <f t="shared" si="130"/>
        <v>244221</v>
      </c>
      <c r="X1006" s="16">
        <f t="shared" si="131"/>
        <v>244216</v>
      </c>
      <c r="Y1006" s="15" t="s">
        <v>54</v>
      </c>
      <c r="Z1006" s="177">
        <v>244224</v>
      </c>
      <c r="AA1006" s="170"/>
      <c r="AB1006" s="170"/>
      <c r="AC1006" s="170"/>
      <c r="AD1006" s="170"/>
      <c r="AE1006" s="15" t="s">
        <v>54</v>
      </c>
      <c r="AF1006" s="177">
        <v>244228</v>
      </c>
      <c r="AG1006" s="177" t="str">
        <f t="shared" si="132"/>
        <v>Pass</v>
      </c>
      <c r="AH1006" s="177">
        <f t="shared" si="133"/>
        <v>244228</v>
      </c>
      <c r="AK1006" s="176"/>
      <c r="AL1006" s="176"/>
    </row>
    <row r="1007" spans="1:38" ht="36" customHeight="1" x14ac:dyDescent="0.2">
      <c r="A1007" s="14" t="s">
        <v>24</v>
      </c>
      <c r="B1007" s="212">
        <v>244214</v>
      </c>
      <c r="C1007" s="14" t="s">
        <v>547</v>
      </c>
      <c r="D1007" s="14" t="s">
        <v>268</v>
      </c>
      <c r="E1007" s="14" t="s">
        <v>14</v>
      </c>
      <c r="F1007" s="14" t="s">
        <v>324</v>
      </c>
      <c r="G1007" s="179">
        <v>681006</v>
      </c>
      <c r="H1007" s="176" t="s">
        <v>2750</v>
      </c>
      <c r="I1007" s="176" t="s">
        <v>3175</v>
      </c>
      <c r="J1007" s="176" t="s">
        <v>123</v>
      </c>
      <c r="K1007" s="176" t="s">
        <v>3304</v>
      </c>
      <c r="L1007" s="40" t="s">
        <v>45</v>
      </c>
      <c r="M1007" s="40" t="s">
        <v>341</v>
      </c>
      <c r="N1007" s="14" t="s">
        <v>3311</v>
      </c>
      <c r="O1007" s="14" t="s">
        <v>543</v>
      </c>
      <c r="P1007" s="14" t="s">
        <v>3315</v>
      </c>
      <c r="Q1007" s="14" t="s">
        <v>529</v>
      </c>
      <c r="R1007" s="17">
        <v>600</v>
      </c>
      <c r="S1007" s="172" t="s">
        <v>51</v>
      </c>
      <c r="T1007" s="17">
        <v>1990</v>
      </c>
      <c r="U1007" s="14" t="s">
        <v>51</v>
      </c>
      <c r="V1007" s="16">
        <f t="shared" si="129"/>
        <v>244214</v>
      </c>
      <c r="W1007" s="16">
        <f t="shared" si="130"/>
        <v>244221</v>
      </c>
      <c r="X1007" s="16">
        <f t="shared" si="131"/>
        <v>244216</v>
      </c>
      <c r="Y1007" s="15" t="s">
        <v>54</v>
      </c>
      <c r="Z1007" s="177">
        <v>244224</v>
      </c>
      <c r="AA1007" s="170"/>
      <c r="AB1007" s="170"/>
      <c r="AC1007" s="170"/>
      <c r="AD1007" s="170"/>
      <c r="AE1007" s="15" t="s">
        <v>54</v>
      </c>
      <c r="AF1007" s="177">
        <v>244228</v>
      </c>
      <c r="AG1007" s="177" t="str">
        <f t="shared" si="132"/>
        <v>Pass</v>
      </c>
      <c r="AH1007" s="177">
        <f t="shared" si="133"/>
        <v>244228</v>
      </c>
      <c r="AK1007" s="176"/>
      <c r="AL1007" s="176"/>
    </row>
    <row r="1008" spans="1:38" ht="36" customHeight="1" x14ac:dyDescent="0.2">
      <c r="A1008" s="14" t="s">
        <v>24</v>
      </c>
      <c r="B1008" s="212">
        <v>244214</v>
      </c>
      <c r="C1008" s="14" t="s">
        <v>547</v>
      </c>
      <c r="D1008" s="14" t="s">
        <v>268</v>
      </c>
      <c r="E1008" s="14" t="s">
        <v>14</v>
      </c>
      <c r="F1008" s="14" t="s">
        <v>324</v>
      </c>
      <c r="G1008" s="179">
        <v>681007</v>
      </c>
      <c r="H1008" s="176" t="s">
        <v>1726</v>
      </c>
      <c r="I1008" s="176" t="s">
        <v>1729</v>
      </c>
      <c r="J1008" s="176" t="s">
        <v>1730</v>
      </c>
      <c r="K1008" s="176" t="s">
        <v>3305</v>
      </c>
      <c r="L1008" s="40" t="s">
        <v>108</v>
      </c>
      <c r="M1008" s="40" t="s">
        <v>341</v>
      </c>
      <c r="N1008" s="14" t="s">
        <v>3312</v>
      </c>
      <c r="O1008" s="14" t="s">
        <v>552</v>
      </c>
      <c r="P1008" s="14" t="s">
        <v>1489</v>
      </c>
      <c r="Q1008" s="14" t="s">
        <v>553</v>
      </c>
      <c r="R1008" s="17">
        <v>4475</v>
      </c>
      <c r="S1008" s="172" t="s">
        <v>51</v>
      </c>
      <c r="T1008" s="17">
        <v>2770</v>
      </c>
      <c r="U1008" s="14" t="s">
        <v>51</v>
      </c>
      <c r="V1008" s="16">
        <f t="shared" si="129"/>
        <v>244214</v>
      </c>
      <c r="W1008" s="16">
        <f t="shared" si="130"/>
        <v>244221</v>
      </c>
      <c r="X1008" s="16">
        <f t="shared" si="131"/>
        <v>244216</v>
      </c>
      <c r="Y1008" s="15" t="s">
        <v>54</v>
      </c>
      <c r="Z1008" s="177">
        <v>244224</v>
      </c>
      <c r="AA1008" s="170"/>
      <c r="AB1008" s="170"/>
      <c r="AC1008" s="170"/>
      <c r="AD1008" s="170"/>
      <c r="AE1008" s="15" t="s">
        <v>54</v>
      </c>
      <c r="AF1008" s="177">
        <v>244228</v>
      </c>
      <c r="AG1008" s="177" t="str">
        <f t="shared" ref="AG1008:AG1071" si="134">AE1008</f>
        <v>Pass</v>
      </c>
      <c r="AH1008" s="177">
        <f t="shared" ref="AH1008:AH1071" si="135">AF1008</f>
        <v>244228</v>
      </c>
      <c r="AK1008" s="176"/>
      <c r="AL1008" s="176"/>
    </row>
    <row r="1009" spans="1:38" ht="36" customHeight="1" x14ac:dyDescent="0.2">
      <c r="A1009" s="14" t="s">
        <v>24</v>
      </c>
      <c r="B1009" s="212">
        <v>244214</v>
      </c>
      <c r="C1009" s="14" t="s">
        <v>547</v>
      </c>
      <c r="D1009" s="14" t="s">
        <v>268</v>
      </c>
      <c r="E1009" s="14" t="s">
        <v>14</v>
      </c>
      <c r="F1009" s="14" t="s">
        <v>324</v>
      </c>
      <c r="G1009" s="179">
        <v>681008</v>
      </c>
      <c r="H1009" s="176" t="s">
        <v>3302</v>
      </c>
      <c r="I1009" s="176" t="s">
        <v>630</v>
      </c>
      <c r="J1009" s="176" t="s">
        <v>520</v>
      </c>
      <c r="K1009" s="176" t="s">
        <v>3306</v>
      </c>
      <c r="L1009" s="40" t="s">
        <v>124</v>
      </c>
      <c r="M1009" s="40" t="s">
        <v>341</v>
      </c>
      <c r="N1009" s="14" t="s">
        <v>3313</v>
      </c>
      <c r="O1009" s="14" t="s">
        <v>552</v>
      </c>
      <c r="P1009" s="14" t="s">
        <v>1205</v>
      </c>
      <c r="Q1009" s="14" t="s">
        <v>553</v>
      </c>
      <c r="R1009" s="17">
        <v>480</v>
      </c>
      <c r="S1009" s="172" t="s">
        <v>51</v>
      </c>
      <c r="T1009" s="17">
        <v>1991</v>
      </c>
      <c r="U1009" s="14" t="s">
        <v>51</v>
      </c>
      <c r="V1009" s="16">
        <f t="shared" si="129"/>
        <v>244214</v>
      </c>
      <c r="W1009" s="16">
        <f t="shared" si="130"/>
        <v>244221</v>
      </c>
      <c r="X1009" s="16">
        <f t="shared" si="131"/>
        <v>244216</v>
      </c>
      <c r="Y1009" s="15" t="s">
        <v>54</v>
      </c>
      <c r="Z1009" s="177">
        <v>244224</v>
      </c>
      <c r="AA1009" s="170"/>
      <c r="AB1009" s="170"/>
      <c r="AC1009" s="170"/>
      <c r="AD1009" s="170"/>
      <c r="AE1009" s="15" t="s">
        <v>54</v>
      </c>
      <c r="AF1009" s="177">
        <v>244228</v>
      </c>
      <c r="AG1009" s="177" t="str">
        <f t="shared" si="134"/>
        <v>Pass</v>
      </c>
      <c r="AH1009" s="177">
        <f t="shared" si="135"/>
        <v>244228</v>
      </c>
      <c r="AK1009" s="176"/>
      <c r="AL1009" s="176"/>
    </row>
    <row r="1010" spans="1:38" ht="36" customHeight="1" x14ac:dyDescent="0.2">
      <c r="A1010" s="14" t="s">
        <v>24</v>
      </c>
      <c r="B1010" s="212">
        <v>244215</v>
      </c>
      <c r="C1010" s="14" t="s">
        <v>547</v>
      </c>
      <c r="D1010" s="14" t="s">
        <v>268</v>
      </c>
      <c r="E1010" s="14" t="s">
        <v>14</v>
      </c>
      <c r="F1010" s="14" t="s">
        <v>324</v>
      </c>
      <c r="G1010" s="179">
        <v>681009</v>
      </c>
      <c r="H1010" s="176" t="s">
        <v>663</v>
      </c>
      <c r="I1010" s="176" t="s">
        <v>630</v>
      </c>
      <c r="J1010" s="176" t="s">
        <v>821</v>
      </c>
      <c r="K1010" s="176" t="s">
        <v>3289</v>
      </c>
      <c r="L1010" s="40" t="s">
        <v>124</v>
      </c>
      <c r="M1010" s="40" t="s">
        <v>341</v>
      </c>
      <c r="N1010" s="14" t="s">
        <v>3291</v>
      </c>
      <c r="O1010" s="14" t="s">
        <v>543</v>
      </c>
      <c r="P1010" s="14" t="s">
        <v>1573</v>
      </c>
      <c r="Q1010" s="14" t="s">
        <v>529</v>
      </c>
      <c r="R1010" s="17">
        <v>320</v>
      </c>
      <c r="S1010" s="172" t="s">
        <v>51</v>
      </c>
      <c r="T1010" s="17">
        <v>2539</v>
      </c>
      <c r="U1010" s="14" t="s">
        <v>51</v>
      </c>
      <c r="V1010" s="16">
        <f t="shared" si="129"/>
        <v>244215</v>
      </c>
      <c r="W1010" s="16">
        <f t="shared" si="130"/>
        <v>244222</v>
      </c>
      <c r="X1010" s="16">
        <f t="shared" si="131"/>
        <v>244217</v>
      </c>
      <c r="Y1010" s="15" t="s">
        <v>54</v>
      </c>
      <c r="Z1010" s="177">
        <v>244224</v>
      </c>
      <c r="AA1010" s="170"/>
      <c r="AB1010" s="170"/>
      <c r="AC1010" s="170"/>
      <c r="AD1010" s="170"/>
      <c r="AE1010" s="15" t="s">
        <v>54</v>
      </c>
      <c r="AF1010" s="177">
        <v>244228</v>
      </c>
      <c r="AG1010" s="177" t="str">
        <f t="shared" si="134"/>
        <v>Pass</v>
      </c>
      <c r="AH1010" s="177">
        <f t="shared" si="135"/>
        <v>244228</v>
      </c>
      <c r="AK1010" s="176"/>
      <c r="AL1010" s="176"/>
    </row>
    <row r="1011" spans="1:38" ht="36" customHeight="1" x14ac:dyDescent="0.2">
      <c r="A1011" s="14" t="s">
        <v>24</v>
      </c>
      <c r="B1011" s="212">
        <v>244215</v>
      </c>
      <c r="C1011" s="14" t="s">
        <v>547</v>
      </c>
      <c r="D1011" s="14" t="s">
        <v>268</v>
      </c>
      <c r="E1011" s="14" t="s">
        <v>14</v>
      </c>
      <c r="F1011" s="14" t="s">
        <v>324</v>
      </c>
      <c r="G1011" s="179">
        <v>681010</v>
      </c>
      <c r="H1011" s="176" t="s">
        <v>3316</v>
      </c>
      <c r="I1011" s="176" t="s">
        <v>3318</v>
      </c>
      <c r="J1011" s="176" t="s">
        <v>123</v>
      </c>
      <c r="K1011" s="176" t="s">
        <v>3304</v>
      </c>
      <c r="L1011" s="40" t="s">
        <v>45</v>
      </c>
      <c r="M1011" s="40" t="s">
        <v>341</v>
      </c>
      <c r="N1011" s="14" t="s">
        <v>3322</v>
      </c>
      <c r="O1011" s="14" t="s">
        <v>3325</v>
      </c>
      <c r="P1011" s="14" t="s">
        <v>1330</v>
      </c>
      <c r="Q1011" s="14" t="s">
        <v>3329</v>
      </c>
      <c r="R1011" s="17">
        <v>600</v>
      </c>
      <c r="S1011" s="172" t="s">
        <v>51</v>
      </c>
      <c r="T1011" s="17">
        <v>2005</v>
      </c>
      <c r="U1011" s="14" t="s">
        <v>51</v>
      </c>
      <c r="V1011" s="16">
        <f t="shared" si="129"/>
        <v>244215</v>
      </c>
      <c r="W1011" s="16">
        <f t="shared" si="130"/>
        <v>244222</v>
      </c>
      <c r="X1011" s="16">
        <f t="shared" si="131"/>
        <v>244217</v>
      </c>
      <c r="Y1011" s="15" t="s">
        <v>54</v>
      </c>
      <c r="Z1011" s="177">
        <v>244224</v>
      </c>
      <c r="AA1011" s="170"/>
      <c r="AB1011" s="170"/>
      <c r="AC1011" s="170"/>
      <c r="AD1011" s="170"/>
      <c r="AE1011" s="15" t="s">
        <v>54</v>
      </c>
      <c r="AF1011" s="177">
        <v>244228</v>
      </c>
      <c r="AG1011" s="177" t="str">
        <f t="shared" si="134"/>
        <v>Pass</v>
      </c>
      <c r="AH1011" s="177">
        <f t="shared" si="135"/>
        <v>244228</v>
      </c>
      <c r="AK1011" s="176"/>
      <c r="AL1011" s="176"/>
    </row>
    <row r="1012" spans="1:38" ht="36" customHeight="1" x14ac:dyDescent="0.2">
      <c r="A1012" s="14" t="s">
        <v>24</v>
      </c>
      <c r="B1012" s="212">
        <v>244215</v>
      </c>
      <c r="C1012" s="14" t="s">
        <v>547</v>
      </c>
      <c r="D1012" s="14" t="s">
        <v>268</v>
      </c>
      <c r="E1012" s="14" t="s">
        <v>14</v>
      </c>
      <c r="F1012" s="14" t="s">
        <v>324</v>
      </c>
      <c r="G1012" s="179">
        <v>681011</v>
      </c>
      <c r="H1012" s="176" t="s">
        <v>3302</v>
      </c>
      <c r="I1012" s="176" t="s">
        <v>630</v>
      </c>
      <c r="J1012" s="176" t="s">
        <v>520</v>
      </c>
      <c r="K1012" s="176" t="s">
        <v>3306</v>
      </c>
      <c r="L1012" s="40" t="s">
        <v>124</v>
      </c>
      <c r="M1012" s="40" t="s">
        <v>341</v>
      </c>
      <c r="N1012" s="14" t="s">
        <v>3323</v>
      </c>
      <c r="O1012" s="14" t="s">
        <v>552</v>
      </c>
      <c r="P1012" s="14" t="s">
        <v>1492</v>
      </c>
      <c r="Q1012" s="14" t="s">
        <v>553</v>
      </c>
      <c r="R1012" s="17">
        <v>740</v>
      </c>
      <c r="S1012" s="172" t="s">
        <v>51</v>
      </c>
      <c r="T1012" s="17">
        <v>2060</v>
      </c>
      <c r="U1012" s="14" t="s">
        <v>51</v>
      </c>
      <c r="V1012" s="16">
        <f t="shared" si="129"/>
        <v>244215</v>
      </c>
      <c r="W1012" s="16">
        <f t="shared" si="130"/>
        <v>244222</v>
      </c>
      <c r="X1012" s="16">
        <f t="shared" si="131"/>
        <v>244217</v>
      </c>
      <c r="Y1012" s="15" t="s">
        <v>54</v>
      </c>
      <c r="Z1012" s="177">
        <v>244224</v>
      </c>
      <c r="AA1012" s="170"/>
      <c r="AB1012" s="170"/>
      <c r="AC1012" s="170"/>
      <c r="AD1012" s="170"/>
      <c r="AE1012" s="15" t="s">
        <v>54</v>
      </c>
      <c r="AF1012" s="177">
        <v>244228</v>
      </c>
      <c r="AG1012" s="177" t="str">
        <f t="shared" si="134"/>
        <v>Pass</v>
      </c>
      <c r="AH1012" s="177">
        <f t="shared" si="135"/>
        <v>244228</v>
      </c>
      <c r="AK1012" s="176"/>
      <c r="AL1012" s="176"/>
    </row>
    <row r="1013" spans="1:38" ht="36" customHeight="1" x14ac:dyDescent="0.2">
      <c r="A1013" s="14" t="s">
        <v>24</v>
      </c>
      <c r="B1013" s="212">
        <v>244215</v>
      </c>
      <c r="C1013" s="14" t="s">
        <v>547</v>
      </c>
      <c r="D1013" s="14" t="s">
        <v>268</v>
      </c>
      <c r="E1013" s="14" t="s">
        <v>14</v>
      </c>
      <c r="F1013" s="14" t="s">
        <v>324</v>
      </c>
      <c r="G1013" s="179">
        <v>681012</v>
      </c>
      <c r="H1013" s="176" t="s">
        <v>3317</v>
      </c>
      <c r="I1013" s="176" t="s">
        <v>909</v>
      </c>
      <c r="J1013" s="176" t="s">
        <v>131</v>
      </c>
      <c r="K1013" s="176" t="s">
        <v>3319</v>
      </c>
      <c r="L1013" s="40" t="s">
        <v>46</v>
      </c>
      <c r="M1013" s="40" t="s">
        <v>341</v>
      </c>
      <c r="N1013" s="14" t="s">
        <v>3326</v>
      </c>
      <c r="O1013" s="14" t="s">
        <v>1909</v>
      </c>
      <c r="P1013" s="14" t="s">
        <v>3327</v>
      </c>
      <c r="Q1013" s="14" t="s">
        <v>1913</v>
      </c>
      <c r="R1013" s="17">
        <v>600</v>
      </c>
      <c r="S1013" s="172" t="s">
        <v>51</v>
      </c>
      <c r="T1013" s="17">
        <v>1770</v>
      </c>
      <c r="U1013" s="14" t="s">
        <v>51</v>
      </c>
      <c r="V1013" s="16">
        <f t="shared" si="129"/>
        <v>244215</v>
      </c>
      <c r="W1013" s="16">
        <f t="shared" si="130"/>
        <v>244222</v>
      </c>
      <c r="X1013" s="16">
        <f t="shared" si="131"/>
        <v>244217</v>
      </c>
      <c r="Y1013" s="15" t="s">
        <v>54</v>
      </c>
      <c r="Z1013" s="177">
        <v>244224</v>
      </c>
      <c r="AA1013" s="170"/>
      <c r="AB1013" s="170"/>
      <c r="AC1013" s="170"/>
      <c r="AD1013" s="170"/>
      <c r="AE1013" s="15" t="s">
        <v>54</v>
      </c>
      <c r="AF1013" s="177">
        <v>244228</v>
      </c>
      <c r="AG1013" s="177" t="str">
        <f t="shared" si="134"/>
        <v>Pass</v>
      </c>
      <c r="AH1013" s="177">
        <f t="shared" si="135"/>
        <v>244228</v>
      </c>
      <c r="AK1013" s="176"/>
      <c r="AL1013" s="176"/>
    </row>
    <row r="1014" spans="1:38" ht="36" customHeight="1" x14ac:dyDescent="0.2">
      <c r="A1014" s="14" t="s">
        <v>24</v>
      </c>
      <c r="B1014" s="212">
        <v>244215</v>
      </c>
      <c r="C1014" s="14" t="s">
        <v>547</v>
      </c>
      <c r="D1014" s="14" t="s">
        <v>268</v>
      </c>
      <c r="E1014" s="14" t="s">
        <v>14</v>
      </c>
      <c r="F1014" s="14" t="s">
        <v>324</v>
      </c>
      <c r="G1014" s="179">
        <v>681013</v>
      </c>
      <c r="H1014" s="176" t="s">
        <v>3317</v>
      </c>
      <c r="I1014" s="176" t="s">
        <v>909</v>
      </c>
      <c r="J1014" s="176" t="s">
        <v>131</v>
      </c>
      <c r="K1014" s="176" t="s">
        <v>3319</v>
      </c>
      <c r="L1014" s="40" t="s">
        <v>46</v>
      </c>
      <c r="M1014" s="40" t="s">
        <v>341</v>
      </c>
      <c r="N1014" s="14" t="s">
        <v>1465</v>
      </c>
      <c r="O1014" s="14" t="s">
        <v>548</v>
      </c>
      <c r="P1014" s="14" t="s">
        <v>518</v>
      </c>
      <c r="Q1014" s="14" t="s">
        <v>549</v>
      </c>
      <c r="R1014" s="17">
        <v>205</v>
      </c>
      <c r="S1014" s="172" t="s">
        <v>51</v>
      </c>
      <c r="T1014" s="17">
        <v>1393</v>
      </c>
      <c r="U1014" s="14" t="s">
        <v>51</v>
      </c>
      <c r="V1014" s="16">
        <f t="shared" si="129"/>
        <v>244215</v>
      </c>
      <c r="W1014" s="16">
        <f t="shared" si="130"/>
        <v>244222</v>
      </c>
      <c r="X1014" s="16">
        <f t="shared" si="131"/>
        <v>244217</v>
      </c>
      <c r="Y1014" s="15" t="s">
        <v>54</v>
      </c>
      <c r="Z1014" s="177">
        <v>244224</v>
      </c>
      <c r="AA1014" s="170"/>
      <c r="AB1014" s="170"/>
      <c r="AC1014" s="170"/>
      <c r="AD1014" s="170"/>
      <c r="AE1014" s="15" t="s">
        <v>54</v>
      </c>
      <c r="AF1014" s="177">
        <v>244228</v>
      </c>
      <c r="AG1014" s="177" t="str">
        <f t="shared" si="134"/>
        <v>Pass</v>
      </c>
      <c r="AH1014" s="177">
        <f t="shared" si="135"/>
        <v>244228</v>
      </c>
      <c r="AK1014" s="176"/>
      <c r="AL1014" s="176"/>
    </row>
    <row r="1015" spans="1:38" ht="36" customHeight="1" x14ac:dyDescent="0.2">
      <c r="A1015" s="14" t="s">
        <v>24</v>
      </c>
      <c r="B1015" s="212">
        <v>244215</v>
      </c>
      <c r="C1015" s="14" t="s">
        <v>547</v>
      </c>
      <c r="D1015" s="14" t="s">
        <v>268</v>
      </c>
      <c r="E1015" s="14" t="s">
        <v>14</v>
      </c>
      <c r="F1015" s="14" t="s">
        <v>324</v>
      </c>
      <c r="G1015" s="179">
        <v>681014</v>
      </c>
      <c r="H1015" s="176" t="s">
        <v>1092</v>
      </c>
      <c r="I1015" s="176" t="s">
        <v>630</v>
      </c>
      <c r="J1015" s="176" t="s">
        <v>520</v>
      </c>
      <c r="K1015" s="176" t="s">
        <v>3320</v>
      </c>
      <c r="L1015" s="40" t="s">
        <v>124</v>
      </c>
      <c r="M1015" s="40" t="s">
        <v>341</v>
      </c>
      <c r="N1015" s="14" t="s">
        <v>3324</v>
      </c>
      <c r="O1015" s="14" t="s">
        <v>543</v>
      </c>
      <c r="P1015" s="14" t="s">
        <v>3328</v>
      </c>
      <c r="Q1015" s="14" t="s">
        <v>529</v>
      </c>
      <c r="R1015" s="17">
        <v>280</v>
      </c>
      <c r="S1015" s="172" t="s">
        <v>51</v>
      </c>
      <c r="T1015" s="17">
        <v>2021</v>
      </c>
      <c r="U1015" s="14" t="s">
        <v>51</v>
      </c>
      <c r="V1015" s="16">
        <f t="shared" si="129"/>
        <v>244215</v>
      </c>
      <c r="W1015" s="16">
        <f t="shared" si="130"/>
        <v>244222</v>
      </c>
      <c r="X1015" s="16">
        <f t="shared" si="131"/>
        <v>244217</v>
      </c>
      <c r="Y1015" s="15" t="s">
        <v>54</v>
      </c>
      <c r="Z1015" s="177">
        <v>244224</v>
      </c>
      <c r="AA1015" s="170"/>
      <c r="AB1015" s="170"/>
      <c r="AC1015" s="170"/>
      <c r="AD1015" s="170"/>
      <c r="AE1015" s="15" t="s">
        <v>54</v>
      </c>
      <c r="AF1015" s="177">
        <v>244228</v>
      </c>
      <c r="AG1015" s="177" t="str">
        <f t="shared" si="134"/>
        <v>Pass</v>
      </c>
      <c r="AH1015" s="177">
        <f t="shared" si="135"/>
        <v>244228</v>
      </c>
      <c r="AK1015" s="176"/>
      <c r="AL1015" s="176"/>
    </row>
    <row r="1016" spans="1:38" ht="36" customHeight="1" x14ac:dyDescent="0.2">
      <c r="A1016" s="14" t="s">
        <v>24</v>
      </c>
      <c r="B1016" s="212">
        <v>244215</v>
      </c>
      <c r="C1016" s="14" t="s">
        <v>547</v>
      </c>
      <c r="D1016" s="14" t="s">
        <v>268</v>
      </c>
      <c r="E1016" s="14" t="s">
        <v>14</v>
      </c>
      <c r="F1016" s="14" t="s">
        <v>324</v>
      </c>
      <c r="G1016" s="179">
        <v>681015</v>
      </c>
      <c r="H1016" s="176" t="s">
        <v>2822</v>
      </c>
      <c r="I1016" s="176" t="s">
        <v>1189</v>
      </c>
      <c r="J1016" s="176" t="s">
        <v>1191</v>
      </c>
      <c r="K1016" s="176" t="s">
        <v>3321</v>
      </c>
      <c r="L1016" s="40" t="s">
        <v>46</v>
      </c>
      <c r="M1016" s="40" t="s">
        <v>341</v>
      </c>
      <c r="N1016" s="14" t="s">
        <v>3179</v>
      </c>
      <c r="O1016" s="14" t="s">
        <v>756</v>
      </c>
      <c r="P1016" s="14" t="s">
        <v>684</v>
      </c>
      <c r="Q1016" s="14" t="s">
        <v>758</v>
      </c>
      <c r="R1016" s="17">
        <v>500</v>
      </c>
      <c r="S1016" s="172" t="s">
        <v>51</v>
      </c>
      <c r="T1016" s="17">
        <v>2425</v>
      </c>
      <c r="U1016" s="14" t="s">
        <v>51</v>
      </c>
      <c r="V1016" s="16">
        <f t="shared" si="129"/>
        <v>244215</v>
      </c>
      <c r="W1016" s="16">
        <f t="shared" si="130"/>
        <v>244222</v>
      </c>
      <c r="X1016" s="16">
        <f t="shared" si="131"/>
        <v>244217</v>
      </c>
      <c r="Y1016" s="15" t="s">
        <v>54</v>
      </c>
      <c r="Z1016" s="177">
        <v>244224</v>
      </c>
      <c r="AA1016" s="170"/>
      <c r="AB1016" s="170"/>
      <c r="AC1016" s="170"/>
      <c r="AD1016" s="170"/>
      <c r="AE1016" s="15" t="s">
        <v>54</v>
      </c>
      <c r="AF1016" s="177">
        <v>244228</v>
      </c>
      <c r="AG1016" s="177" t="str">
        <f t="shared" si="134"/>
        <v>Pass</v>
      </c>
      <c r="AH1016" s="177">
        <f t="shared" si="135"/>
        <v>244228</v>
      </c>
      <c r="AK1016" s="176"/>
      <c r="AL1016" s="176"/>
    </row>
    <row r="1017" spans="1:38" ht="36" customHeight="1" x14ac:dyDescent="0.2">
      <c r="A1017" s="14" t="s">
        <v>24</v>
      </c>
      <c r="B1017" s="212">
        <v>244216</v>
      </c>
      <c r="C1017" s="14" t="s">
        <v>547</v>
      </c>
      <c r="D1017" s="14" t="s">
        <v>268</v>
      </c>
      <c r="E1017" s="14" t="s">
        <v>14</v>
      </c>
      <c r="F1017" s="14" t="s">
        <v>324</v>
      </c>
      <c r="G1017" s="179">
        <v>681016</v>
      </c>
      <c r="H1017" s="176" t="s">
        <v>1162</v>
      </c>
      <c r="I1017" s="176" t="s">
        <v>630</v>
      </c>
      <c r="J1017" s="176" t="s">
        <v>1190</v>
      </c>
      <c r="K1017" s="176" t="s">
        <v>3334</v>
      </c>
      <c r="L1017" s="40" t="s">
        <v>105</v>
      </c>
      <c r="M1017" s="40" t="s">
        <v>341</v>
      </c>
      <c r="N1017" s="14" t="s">
        <v>1336</v>
      </c>
      <c r="O1017" s="14" t="s">
        <v>548</v>
      </c>
      <c r="P1017" s="14" t="s">
        <v>518</v>
      </c>
      <c r="Q1017" s="14" t="s">
        <v>549</v>
      </c>
      <c r="R1017" s="17">
        <v>149</v>
      </c>
      <c r="S1017" s="172" t="s">
        <v>51</v>
      </c>
      <c r="T1017" s="17">
        <v>2100</v>
      </c>
      <c r="U1017" s="14" t="s">
        <v>51</v>
      </c>
      <c r="V1017" s="16">
        <f t="shared" si="129"/>
        <v>244216</v>
      </c>
      <c r="W1017" s="16">
        <f t="shared" si="130"/>
        <v>244223</v>
      </c>
      <c r="X1017" s="16">
        <f t="shared" si="131"/>
        <v>244218</v>
      </c>
      <c r="Y1017" s="15" t="s">
        <v>54</v>
      </c>
      <c r="Z1017" s="177">
        <v>244224</v>
      </c>
      <c r="AA1017" s="170"/>
      <c r="AB1017" s="170"/>
      <c r="AC1017" s="170"/>
      <c r="AD1017" s="170"/>
      <c r="AE1017" s="15" t="s">
        <v>54</v>
      </c>
      <c r="AF1017" s="177">
        <v>244228</v>
      </c>
      <c r="AG1017" s="177" t="str">
        <f t="shared" si="134"/>
        <v>Pass</v>
      </c>
      <c r="AH1017" s="177">
        <f t="shared" si="135"/>
        <v>244228</v>
      </c>
      <c r="AK1017" s="176"/>
      <c r="AL1017" s="176"/>
    </row>
    <row r="1018" spans="1:38" ht="36" customHeight="1" x14ac:dyDescent="0.2">
      <c r="A1018" s="14" t="s">
        <v>24</v>
      </c>
      <c r="B1018" s="212">
        <v>244216</v>
      </c>
      <c r="C1018" s="14" t="s">
        <v>547</v>
      </c>
      <c r="D1018" s="14" t="s">
        <v>268</v>
      </c>
      <c r="E1018" s="14" t="s">
        <v>14</v>
      </c>
      <c r="F1018" s="14" t="s">
        <v>324</v>
      </c>
      <c r="G1018" s="179">
        <v>681017</v>
      </c>
      <c r="H1018" s="176" t="s">
        <v>2535</v>
      </c>
      <c r="I1018" s="176" t="s">
        <v>630</v>
      </c>
      <c r="J1018" s="176" t="s">
        <v>2525</v>
      </c>
      <c r="K1018" s="176" t="s">
        <v>3335</v>
      </c>
      <c r="L1018" s="40" t="s">
        <v>105</v>
      </c>
      <c r="M1018" s="40" t="s">
        <v>341</v>
      </c>
      <c r="N1018" s="14" t="s">
        <v>3343</v>
      </c>
      <c r="O1018" s="14" t="s">
        <v>527</v>
      </c>
      <c r="P1018" s="14" t="s">
        <v>3344</v>
      </c>
      <c r="Q1018" s="14" t="s">
        <v>542</v>
      </c>
      <c r="R1018" s="17">
        <v>229</v>
      </c>
      <c r="S1018" s="172" t="s">
        <v>51</v>
      </c>
      <c r="T1018" s="17">
        <v>2160</v>
      </c>
      <c r="U1018" s="14" t="s">
        <v>51</v>
      </c>
      <c r="V1018" s="16">
        <f t="shared" si="129"/>
        <v>244216</v>
      </c>
      <c r="W1018" s="16">
        <f t="shared" si="130"/>
        <v>244223</v>
      </c>
      <c r="X1018" s="16">
        <f t="shared" si="131"/>
        <v>244218</v>
      </c>
      <c r="Y1018" s="15" t="s">
        <v>54</v>
      </c>
      <c r="Z1018" s="177">
        <v>244224</v>
      </c>
      <c r="AA1018" s="170"/>
      <c r="AB1018" s="170"/>
      <c r="AC1018" s="170"/>
      <c r="AD1018" s="170"/>
      <c r="AE1018" s="15" t="s">
        <v>54</v>
      </c>
      <c r="AF1018" s="177">
        <v>244228</v>
      </c>
      <c r="AG1018" s="177" t="str">
        <f t="shared" si="134"/>
        <v>Pass</v>
      </c>
      <c r="AH1018" s="177">
        <f t="shared" si="135"/>
        <v>244228</v>
      </c>
      <c r="AK1018" s="176"/>
      <c r="AL1018" s="176"/>
    </row>
    <row r="1019" spans="1:38" ht="36" customHeight="1" x14ac:dyDescent="0.2">
      <c r="A1019" s="14" t="s">
        <v>24</v>
      </c>
      <c r="B1019" s="212">
        <v>244216</v>
      </c>
      <c r="C1019" s="14" t="s">
        <v>547</v>
      </c>
      <c r="D1019" s="14" t="s">
        <v>268</v>
      </c>
      <c r="E1019" s="14" t="s">
        <v>14</v>
      </c>
      <c r="F1019" s="14" t="s">
        <v>324</v>
      </c>
      <c r="G1019" s="179">
        <v>681018</v>
      </c>
      <c r="H1019" s="176" t="s">
        <v>3227</v>
      </c>
      <c r="I1019" s="176" t="s">
        <v>550</v>
      </c>
      <c r="J1019" s="176" t="s">
        <v>128</v>
      </c>
      <c r="K1019" s="176" t="s">
        <v>3297</v>
      </c>
      <c r="L1019" s="40" t="s">
        <v>45</v>
      </c>
      <c r="M1019" s="40" t="s">
        <v>341</v>
      </c>
      <c r="N1019" s="14" t="s">
        <v>733</v>
      </c>
      <c r="O1019" s="14" t="s">
        <v>528</v>
      </c>
      <c r="P1019" s="14" t="s">
        <v>517</v>
      </c>
      <c r="Q1019" s="14" t="s">
        <v>541</v>
      </c>
      <c r="R1019" s="17">
        <v>300</v>
      </c>
      <c r="S1019" s="172" t="s">
        <v>51</v>
      </c>
      <c r="T1019" s="17">
        <v>2580</v>
      </c>
      <c r="U1019" s="14" t="s">
        <v>51</v>
      </c>
      <c r="V1019" s="16">
        <f t="shared" si="129"/>
        <v>244216</v>
      </c>
      <c r="W1019" s="16">
        <f t="shared" si="130"/>
        <v>244223</v>
      </c>
      <c r="X1019" s="16">
        <f t="shared" si="131"/>
        <v>244218</v>
      </c>
      <c r="Y1019" s="15" t="s">
        <v>54</v>
      </c>
      <c r="Z1019" s="177">
        <v>244224</v>
      </c>
      <c r="AA1019" s="170"/>
      <c r="AB1019" s="170"/>
      <c r="AC1019" s="170"/>
      <c r="AD1019" s="170"/>
      <c r="AE1019" s="15" t="s">
        <v>54</v>
      </c>
      <c r="AF1019" s="177">
        <v>244228</v>
      </c>
      <c r="AG1019" s="177" t="str">
        <f t="shared" si="134"/>
        <v>Pass</v>
      </c>
      <c r="AH1019" s="177">
        <f t="shared" si="135"/>
        <v>244228</v>
      </c>
      <c r="AK1019" s="176"/>
      <c r="AL1019" s="176"/>
    </row>
    <row r="1020" spans="1:38" ht="36" customHeight="1" x14ac:dyDescent="0.2">
      <c r="A1020" s="14" t="s">
        <v>24</v>
      </c>
      <c r="B1020" s="212">
        <v>244216</v>
      </c>
      <c r="C1020" s="14" t="s">
        <v>547</v>
      </c>
      <c r="D1020" s="14" t="s">
        <v>268</v>
      </c>
      <c r="E1020" s="14" t="s">
        <v>14</v>
      </c>
      <c r="F1020" s="14" t="s">
        <v>324</v>
      </c>
      <c r="G1020" s="179">
        <v>681019</v>
      </c>
      <c r="H1020" s="176" t="s">
        <v>3330</v>
      </c>
      <c r="I1020" s="176" t="s">
        <v>550</v>
      </c>
      <c r="J1020" s="176" t="s">
        <v>128</v>
      </c>
      <c r="K1020" s="176" t="s">
        <v>3336</v>
      </c>
      <c r="L1020" s="40" t="s">
        <v>106</v>
      </c>
      <c r="M1020" s="40" t="s">
        <v>341</v>
      </c>
      <c r="N1020" s="14" t="s">
        <v>3339</v>
      </c>
      <c r="O1020" s="14" t="s">
        <v>528</v>
      </c>
      <c r="P1020" s="14" t="s">
        <v>3345</v>
      </c>
      <c r="Q1020" s="14" t="s">
        <v>541</v>
      </c>
      <c r="R1020" s="17">
        <v>500</v>
      </c>
      <c r="S1020" s="172" t="s">
        <v>51</v>
      </c>
      <c r="T1020" s="17">
        <v>2425</v>
      </c>
      <c r="U1020" s="14" t="s">
        <v>51</v>
      </c>
      <c r="V1020" s="16">
        <f t="shared" si="129"/>
        <v>244216</v>
      </c>
      <c r="W1020" s="16">
        <f t="shared" si="130"/>
        <v>244223</v>
      </c>
      <c r="X1020" s="16">
        <f t="shared" si="131"/>
        <v>244218</v>
      </c>
      <c r="Y1020" s="15" t="s">
        <v>54</v>
      </c>
      <c r="Z1020" s="177">
        <v>244224</v>
      </c>
      <c r="AA1020" s="170"/>
      <c r="AB1020" s="170"/>
      <c r="AC1020" s="170"/>
      <c r="AD1020" s="170"/>
      <c r="AE1020" s="15" t="s">
        <v>54</v>
      </c>
      <c r="AF1020" s="177">
        <v>244228</v>
      </c>
      <c r="AG1020" s="177" t="str">
        <f t="shared" si="134"/>
        <v>Pass</v>
      </c>
      <c r="AH1020" s="177">
        <f t="shared" si="135"/>
        <v>244228</v>
      </c>
      <c r="AK1020" s="176"/>
      <c r="AL1020" s="176"/>
    </row>
    <row r="1021" spans="1:38" ht="36" customHeight="1" x14ac:dyDescent="0.2">
      <c r="A1021" s="14" t="s">
        <v>24</v>
      </c>
      <c r="B1021" s="212">
        <v>244216</v>
      </c>
      <c r="C1021" s="14" t="s">
        <v>547</v>
      </c>
      <c r="D1021" s="14" t="s">
        <v>268</v>
      </c>
      <c r="E1021" s="14" t="s">
        <v>14</v>
      </c>
      <c r="F1021" s="14" t="s">
        <v>324</v>
      </c>
      <c r="G1021" s="179">
        <v>681020</v>
      </c>
      <c r="H1021" s="176" t="s">
        <v>3331</v>
      </c>
      <c r="I1021" s="176" t="s">
        <v>3332</v>
      </c>
      <c r="J1021" s="176" t="s">
        <v>3333</v>
      </c>
      <c r="K1021" s="176" t="s">
        <v>3337</v>
      </c>
      <c r="L1021" s="40" t="s">
        <v>105</v>
      </c>
      <c r="M1021" s="40" t="s">
        <v>341</v>
      </c>
      <c r="N1021" s="14" t="s">
        <v>3340</v>
      </c>
      <c r="O1021" s="14" t="s">
        <v>1178</v>
      </c>
      <c r="P1021" s="14" t="s">
        <v>3346</v>
      </c>
      <c r="Q1021" s="14" t="s">
        <v>1182</v>
      </c>
      <c r="R1021" s="17">
        <v>125</v>
      </c>
      <c r="S1021" s="172" t="s">
        <v>51</v>
      </c>
      <c r="T1021" s="17">
        <v>2170</v>
      </c>
      <c r="U1021" s="14" t="s">
        <v>51</v>
      </c>
      <c r="V1021" s="16">
        <f t="shared" si="129"/>
        <v>244216</v>
      </c>
      <c r="W1021" s="16">
        <f t="shared" si="130"/>
        <v>244223</v>
      </c>
      <c r="X1021" s="16">
        <f t="shared" si="131"/>
        <v>244218</v>
      </c>
      <c r="Y1021" s="15" t="s">
        <v>54</v>
      </c>
      <c r="Z1021" s="177">
        <v>244224</v>
      </c>
      <c r="AA1021" s="170"/>
      <c r="AB1021" s="170"/>
      <c r="AC1021" s="170"/>
      <c r="AD1021" s="170"/>
      <c r="AE1021" s="15" t="s">
        <v>54</v>
      </c>
      <c r="AF1021" s="177">
        <v>244228</v>
      </c>
      <c r="AG1021" s="177" t="str">
        <f t="shared" si="134"/>
        <v>Pass</v>
      </c>
      <c r="AH1021" s="177">
        <f t="shared" si="135"/>
        <v>244228</v>
      </c>
      <c r="AK1021" s="176"/>
      <c r="AL1021" s="176"/>
    </row>
    <row r="1022" spans="1:38" ht="36" customHeight="1" x14ac:dyDescent="0.2">
      <c r="A1022" s="14" t="s">
        <v>24</v>
      </c>
      <c r="B1022" s="212">
        <v>244216</v>
      </c>
      <c r="C1022" s="14" t="s">
        <v>547</v>
      </c>
      <c r="D1022" s="14" t="s">
        <v>268</v>
      </c>
      <c r="E1022" s="14" t="s">
        <v>14</v>
      </c>
      <c r="F1022" s="14" t="s">
        <v>324</v>
      </c>
      <c r="G1022" s="179">
        <v>681021</v>
      </c>
      <c r="H1022" s="176" t="s">
        <v>3330</v>
      </c>
      <c r="I1022" s="176" t="s">
        <v>550</v>
      </c>
      <c r="J1022" s="176" t="s">
        <v>128</v>
      </c>
      <c r="K1022" s="176" t="s">
        <v>3336</v>
      </c>
      <c r="L1022" s="40" t="s">
        <v>106</v>
      </c>
      <c r="M1022" s="40" t="s">
        <v>341</v>
      </c>
      <c r="N1022" s="14" t="s">
        <v>3341</v>
      </c>
      <c r="O1022" s="14" t="s">
        <v>548</v>
      </c>
      <c r="P1022" s="14" t="s">
        <v>717</v>
      </c>
      <c r="Q1022" s="14" t="s">
        <v>549</v>
      </c>
      <c r="R1022" s="17">
        <v>167</v>
      </c>
      <c r="S1022" s="172" t="s">
        <v>51</v>
      </c>
      <c r="T1022" s="17">
        <v>2825</v>
      </c>
      <c r="U1022" s="14" t="s">
        <v>51</v>
      </c>
      <c r="V1022" s="16">
        <f t="shared" si="129"/>
        <v>244216</v>
      </c>
      <c r="W1022" s="16">
        <f t="shared" si="130"/>
        <v>244223</v>
      </c>
      <c r="X1022" s="16">
        <f t="shared" si="131"/>
        <v>244218</v>
      </c>
      <c r="Y1022" s="15" t="s">
        <v>54</v>
      </c>
      <c r="Z1022" s="177">
        <v>244224</v>
      </c>
      <c r="AA1022" s="170"/>
      <c r="AB1022" s="170"/>
      <c r="AC1022" s="170"/>
      <c r="AD1022" s="170"/>
      <c r="AE1022" s="15" t="s">
        <v>54</v>
      </c>
      <c r="AF1022" s="177">
        <v>244228</v>
      </c>
      <c r="AG1022" s="177" t="str">
        <f t="shared" si="134"/>
        <v>Pass</v>
      </c>
      <c r="AH1022" s="177">
        <f t="shared" si="135"/>
        <v>244228</v>
      </c>
      <c r="AK1022" s="176"/>
      <c r="AL1022" s="176"/>
    </row>
    <row r="1023" spans="1:38" ht="36" customHeight="1" x14ac:dyDescent="0.2">
      <c r="A1023" s="14" t="s">
        <v>24</v>
      </c>
      <c r="B1023" s="212">
        <v>244216</v>
      </c>
      <c r="C1023" s="14" t="s">
        <v>547</v>
      </c>
      <c r="D1023" s="14" t="s">
        <v>268</v>
      </c>
      <c r="E1023" s="14" t="s">
        <v>14</v>
      </c>
      <c r="F1023" s="14" t="s">
        <v>324</v>
      </c>
      <c r="G1023" s="179">
        <v>681022</v>
      </c>
      <c r="H1023" s="176" t="s">
        <v>1208</v>
      </c>
      <c r="I1023" s="176" t="s">
        <v>1189</v>
      </c>
      <c r="J1023" s="176" t="s">
        <v>130</v>
      </c>
      <c r="K1023" s="176" t="s">
        <v>3338</v>
      </c>
      <c r="L1023" s="40" t="s">
        <v>105</v>
      </c>
      <c r="M1023" s="40" t="s">
        <v>341</v>
      </c>
      <c r="N1023" s="14" t="s">
        <v>3342</v>
      </c>
      <c r="O1023" s="14" t="s">
        <v>543</v>
      </c>
      <c r="P1023" s="14" t="s">
        <v>3347</v>
      </c>
      <c r="Q1023" s="14" t="s">
        <v>529</v>
      </c>
      <c r="R1023" s="17">
        <v>750</v>
      </c>
      <c r="S1023" s="172" t="s">
        <v>51</v>
      </c>
      <c r="T1023" s="17">
        <v>2890</v>
      </c>
      <c r="U1023" s="14" t="s">
        <v>51</v>
      </c>
      <c r="V1023" s="16">
        <f t="shared" si="129"/>
        <v>244216</v>
      </c>
      <c r="W1023" s="16">
        <f t="shared" si="130"/>
        <v>244223</v>
      </c>
      <c r="X1023" s="16">
        <f t="shared" si="131"/>
        <v>244218</v>
      </c>
      <c r="Y1023" s="15" t="s">
        <v>54</v>
      </c>
      <c r="Z1023" s="177">
        <v>244224</v>
      </c>
      <c r="AA1023" s="170"/>
      <c r="AB1023" s="170"/>
      <c r="AC1023" s="170"/>
      <c r="AD1023" s="170"/>
      <c r="AE1023" s="15" t="s">
        <v>54</v>
      </c>
      <c r="AF1023" s="177">
        <v>244228</v>
      </c>
      <c r="AG1023" s="177" t="str">
        <f t="shared" si="134"/>
        <v>Pass</v>
      </c>
      <c r="AH1023" s="177">
        <f t="shared" si="135"/>
        <v>244228</v>
      </c>
      <c r="AK1023" s="176"/>
      <c r="AL1023" s="176"/>
    </row>
    <row r="1024" spans="1:38" ht="36" customHeight="1" x14ac:dyDescent="0.2">
      <c r="A1024" s="14" t="s">
        <v>24</v>
      </c>
      <c r="B1024" s="212">
        <v>244217</v>
      </c>
      <c r="C1024" s="14" t="s">
        <v>547</v>
      </c>
      <c r="D1024" s="14" t="s">
        <v>268</v>
      </c>
      <c r="E1024" s="14" t="s">
        <v>14</v>
      </c>
      <c r="F1024" s="14" t="s">
        <v>324</v>
      </c>
      <c r="G1024" s="179">
        <v>681023</v>
      </c>
      <c r="H1024" s="176" t="s">
        <v>826</v>
      </c>
      <c r="I1024" s="176" t="s">
        <v>551</v>
      </c>
      <c r="J1024" s="176" t="s">
        <v>832</v>
      </c>
      <c r="K1024" s="176" t="s">
        <v>3348</v>
      </c>
      <c r="L1024" s="40" t="s">
        <v>108</v>
      </c>
      <c r="M1024" s="40" t="s">
        <v>341</v>
      </c>
      <c r="N1024" s="14" t="s">
        <v>3350</v>
      </c>
      <c r="O1024" s="14" t="s">
        <v>552</v>
      </c>
      <c r="P1024" s="14" t="s">
        <v>3355</v>
      </c>
      <c r="Q1024" s="14" t="s">
        <v>553</v>
      </c>
      <c r="R1024" s="17">
        <v>100</v>
      </c>
      <c r="S1024" s="172" t="s">
        <v>51</v>
      </c>
      <c r="T1024" s="17">
        <v>2835</v>
      </c>
      <c r="U1024" s="14" t="s">
        <v>51</v>
      </c>
      <c r="V1024" s="16">
        <f t="shared" si="129"/>
        <v>244217</v>
      </c>
      <c r="W1024" s="16">
        <f t="shared" si="130"/>
        <v>244224</v>
      </c>
      <c r="X1024" s="16">
        <f t="shared" si="131"/>
        <v>244219</v>
      </c>
      <c r="Y1024" s="15" t="s">
        <v>54</v>
      </c>
      <c r="Z1024" s="177">
        <v>244224</v>
      </c>
      <c r="AA1024" s="170"/>
      <c r="AB1024" s="170"/>
      <c r="AC1024" s="170"/>
      <c r="AD1024" s="170"/>
      <c r="AE1024" s="15" t="s">
        <v>54</v>
      </c>
      <c r="AF1024" s="177">
        <v>244228</v>
      </c>
      <c r="AG1024" s="177" t="str">
        <f t="shared" si="134"/>
        <v>Pass</v>
      </c>
      <c r="AH1024" s="177">
        <f t="shared" si="135"/>
        <v>244228</v>
      </c>
      <c r="AK1024" s="176"/>
      <c r="AL1024" s="176"/>
    </row>
    <row r="1025" spans="1:38" ht="36" customHeight="1" x14ac:dyDescent="0.2">
      <c r="A1025" s="14" t="s">
        <v>24</v>
      </c>
      <c r="B1025" s="212">
        <v>244217</v>
      </c>
      <c r="C1025" s="14" t="s">
        <v>547</v>
      </c>
      <c r="D1025" s="14" t="s">
        <v>268</v>
      </c>
      <c r="E1025" s="14" t="s">
        <v>14</v>
      </c>
      <c r="F1025" s="14" t="s">
        <v>324</v>
      </c>
      <c r="G1025" s="179">
        <v>681024</v>
      </c>
      <c r="H1025" s="176" t="s">
        <v>2727</v>
      </c>
      <c r="I1025" s="176" t="s">
        <v>2260</v>
      </c>
      <c r="J1025" s="176" t="s">
        <v>2728</v>
      </c>
      <c r="K1025" s="176" t="s">
        <v>3349</v>
      </c>
      <c r="L1025" s="40" t="s">
        <v>46</v>
      </c>
      <c r="M1025" s="40" t="s">
        <v>341</v>
      </c>
      <c r="N1025" s="14" t="s">
        <v>3351</v>
      </c>
      <c r="O1025" s="14" t="s">
        <v>543</v>
      </c>
      <c r="P1025" s="14" t="s">
        <v>846</v>
      </c>
      <c r="Q1025" s="14" t="s">
        <v>529</v>
      </c>
      <c r="R1025" s="17">
        <v>460</v>
      </c>
      <c r="S1025" s="172" t="s">
        <v>51</v>
      </c>
      <c r="T1025" s="17">
        <v>1690</v>
      </c>
      <c r="U1025" s="14" t="s">
        <v>51</v>
      </c>
      <c r="V1025" s="16">
        <f t="shared" si="129"/>
        <v>244217</v>
      </c>
      <c r="W1025" s="16">
        <f t="shared" si="130"/>
        <v>244224</v>
      </c>
      <c r="X1025" s="16">
        <f t="shared" si="131"/>
        <v>244219</v>
      </c>
      <c r="Y1025" s="15" t="s">
        <v>54</v>
      </c>
      <c r="Z1025" s="177">
        <v>244224</v>
      </c>
      <c r="AA1025" s="170"/>
      <c r="AB1025" s="170"/>
      <c r="AC1025" s="170"/>
      <c r="AD1025" s="170"/>
      <c r="AE1025" s="15" t="s">
        <v>54</v>
      </c>
      <c r="AF1025" s="177">
        <v>244228</v>
      </c>
      <c r="AG1025" s="177" t="str">
        <f t="shared" si="134"/>
        <v>Pass</v>
      </c>
      <c r="AH1025" s="177">
        <f t="shared" si="135"/>
        <v>244228</v>
      </c>
      <c r="AK1025" s="176"/>
      <c r="AL1025" s="176"/>
    </row>
    <row r="1026" spans="1:38" ht="36" customHeight="1" x14ac:dyDescent="0.2">
      <c r="A1026" s="14" t="s">
        <v>24</v>
      </c>
      <c r="B1026" s="212">
        <v>244217</v>
      </c>
      <c r="C1026" s="14" t="s">
        <v>547</v>
      </c>
      <c r="D1026" s="14" t="s">
        <v>268</v>
      </c>
      <c r="E1026" s="14" t="s">
        <v>14</v>
      </c>
      <c r="F1026" s="14" t="s">
        <v>324</v>
      </c>
      <c r="G1026" s="179">
        <v>681025</v>
      </c>
      <c r="H1026" s="176" t="s">
        <v>2727</v>
      </c>
      <c r="I1026" s="176" t="s">
        <v>2260</v>
      </c>
      <c r="J1026" s="176" t="s">
        <v>2728</v>
      </c>
      <c r="K1026" s="176" t="s">
        <v>3349</v>
      </c>
      <c r="L1026" s="40" t="s">
        <v>46</v>
      </c>
      <c r="M1026" s="40" t="s">
        <v>341</v>
      </c>
      <c r="N1026" s="14" t="s">
        <v>3352</v>
      </c>
      <c r="O1026" s="14" t="s">
        <v>548</v>
      </c>
      <c r="P1026" s="14" t="s">
        <v>717</v>
      </c>
      <c r="Q1026" s="14" t="s">
        <v>549</v>
      </c>
      <c r="R1026" s="17">
        <v>281</v>
      </c>
      <c r="S1026" s="172" t="s">
        <v>51</v>
      </c>
      <c r="T1026" s="17">
        <v>1690</v>
      </c>
      <c r="U1026" s="14" t="s">
        <v>51</v>
      </c>
      <c r="V1026" s="16">
        <f t="shared" si="129"/>
        <v>244217</v>
      </c>
      <c r="W1026" s="16">
        <f t="shared" si="130"/>
        <v>244224</v>
      </c>
      <c r="X1026" s="16">
        <f t="shared" si="131"/>
        <v>244219</v>
      </c>
      <c r="Y1026" s="15" t="s">
        <v>54</v>
      </c>
      <c r="Z1026" s="177">
        <v>244224</v>
      </c>
      <c r="AA1026" s="170"/>
      <c r="AB1026" s="170"/>
      <c r="AC1026" s="170"/>
      <c r="AD1026" s="170"/>
      <c r="AE1026" s="15" t="s">
        <v>54</v>
      </c>
      <c r="AF1026" s="177">
        <v>244228</v>
      </c>
      <c r="AG1026" s="177" t="str">
        <f t="shared" si="134"/>
        <v>Pass</v>
      </c>
      <c r="AH1026" s="177">
        <f t="shared" si="135"/>
        <v>244228</v>
      </c>
      <c r="AK1026" s="176"/>
      <c r="AL1026" s="176"/>
    </row>
    <row r="1027" spans="1:38" ht="36" customHeight="1" x14ac:dyDescent="0.2">
      <c r="A1027" s="14" t="s">
        <v>24</v>
      </c>
      <c r="B1027" s="212">
        <v>244217</v>
      </c>
      <c r="C1027" s="14" t="s">
        <v>547</v>
      </c>
      <c r="D1027" s="14" t="s">
        <v>268</v>
      </c>
      <c r="E1027" s="14" t="s">
        <v>14</v>
      </c>
      <c r="F1027" s="14" t="s">
        <v>324</v>
      </c>
      <c r="G1027" s="179">
        <v>681026</v>
      </c>
      <c r="H1027" s="176" t="s">
        <v>2727</v>
      </c>
      <c r="I1027" s="176" t="s">
        <v>2260</v>
      </c>
      <c r="J1027" s="176" t="s">
        <v>2728</v>
      </c>
      <c r="K1027" s="176" t="s">
        <v>3349</v>
      </c>
      <c r="L1027" s="40" t="s">
        <v>46</v>
      </c>
      <c r="M1027" s="40" t="s">
        <v>341</v>
      </c>
      <c r="N1027" s="14" t="s">
        <v>3353</v>
      </c>
      <c r="O1027" s="14" t="s">
        <v>543</v>
      </c>
      <c r="P1027" s="14" t="s">
        <v>793</v>
      </c>
      <c r="Q1027" s="14" t="s">
        <v>529</v>
      </c>
      <c r="R1027" s="17">
        <v>1580</v>
      </c>
      <c r="S1027" s="172" t="s">
        <v>51</v>
      </c>
      <c r="T1027" s="17">
        <v>1000</v>
      </c>
      <c r="U1027" s="14" t="s">
        <v>51</v>
      </c>
      <c r="V1027" s="16">
        <f t="shared" si="129"/>
        <v>244217</v>
      </c>
      <c r="W1027" s="16">
        <f t="shared" si="130"/>
        <v>244224</v>
      </c>
      <c r="X1027" s="16">
        <f t="shared" si="131"/>
        <v>244219</v>
      </c>
      <c r="Y1027" s="15" t="s">
        <v>54</v>
      </c>
      <c r="Z1027" s="177">
        <v>244224</v>
      </c>
      <c r="AA1027" s="170"/>
      <c r="AB1027" s="170"/>
      <c r="AC1027" s="170"/>
      <c r="AD1027" s="170"/>
      <c r="AE1027" s="15" t="s">
        <v>54</v>
      </c>
      <c r="AF1027" s="177">
        <v>244228</v>
      </c>
      <c r="AG1027" s="177" t="str">
        <f t="shared" si="134"/>
        <v>Pass</v>
      </c>
      <c r="AH1027" s="177">
        <f t="shared" si="135"/>
        <v>244228</v>
      </c>
      <c r="AK1027" s="176"/>
      <c r="AL1027" s="176"/>
    </row>
    <row r="1028" spans="1:38" ht="36" customHeight="1" x14ac:dyDescent="0.2">
      <c r="A1028" s="14" t="s">
        <v>24</v>
      </c>
      <c r="B1028" s="212">
        <v>244217</v>
      </c>
      <c r="C1028" s="14" t="s">
        <v>547</v>
      </c>
      <c r="D1028" s="14" t="s">
        <v>268</v>
      </c>
      <c r="E1028" s="14" t="s">
        <v>14</v>
      </c>
      <c r="F1028" s="14" t="s">
        <v>324</v>
      </c>
      <c r="G1028" s="179">
        <v>681027</v>
      </c>
      <c r="H1028" s="176" t="s">
        <v>3227</v>
      </c>
      <c r="I1028" s="176" t="s">
        <v>550</v>
      </c>
      <c r="J1028" s="176" t="s">
        <v>128</v>
      </c>
      <c r="K1028" s="176" t="s">
        <v>3297</v>
      </c>
      <c r="L1028" s="40" t="s">
        <v>106</v>
      </c>
      <c r="M1028" s="40" t="s">
        <v>341</v>
      </c>
      <c r="N1028" s="14" t="s">
        <v>3022</v>
      </c>
      <c r="O1028" s="14" t="s">
        <v>548</v>
      </c>
      <c r="P1028" s="14" t="s">
        <v>717</v>
      </c>
      <c r="Q1028" s="14" t="s">
        <v>549</v>
      </c>
      <c r="R1028" s="17">
        <v>328</v>
      </c>
      <c r="S1028" s="172" t="s">
        <v>51</v>
      </c>
      <c r="T1028" s="17">
        <v>2470</v>
      </c>
      <c r="U1028" s="14" t="s">
        <v>51</v>
      </c>
      <c r="V1028" s="16">
        <f t="shared" si="129"/>
        <v>244217</v>
      </c>
      <c r="W1028" s="16">
        <f t="shared" si="130"/>
        <v>244224</v>
      </c>
      <c r="X1028" s="16">
        <f t="shared" si="131"/>
        <v>244219</v>
      </c>
      <c r="Y1028" s="15" t="s">
        <v>54</v>
      </c>
      <c r="Z1028" s="177">
        <v>244224</v>
      </c>
      <c r="AA1028" s="170"/>
      <c r="AB1028" s="170"/>
      <c r="AC1028" s="170"/>
      <c r="AD1028" s="170"/>
      <c r="AE1028" s="15" t="s">
        <v>54</v>
      </c>
      <c r="AF1028" s="177">
        <v>244228</v>
      </c>
      <c r="AG1028" s="177" t="str">
        <f t="shared" si="134"/>
        <v>Pass</v>
      </c>
      <c r="AH1028" s="177">
        <f t="shared" si="135"/>
        <v>244228</v>
      </c>
      <c r="AK1028" s="176"/>
      <c r="AL1028" s="176"/>
    </row>
    <row r="1029" spans="1:38" ht="36" customHeight="1" x14ac:dyDescent="0.2">
      <c r="A1029" s="14" t="s">
        <v>24</v>
      </c>
      <c r="B1029" s="212">
        <v>244217</v>
      </c>
      <c r="C1029" s="14" t="s">
        <v>547</v>
      </c>
      <c r="D1029" s="14" t="s">
        <v>268</v>
      </c>
      <c r="E1029" s="14" t="s">
        <v>14</v>
      </c>
      <c r="F1029" s="14" t="s">
        <v>324</v>
      </c>
      <c r="G1029" s="179">
        <v>681028</v>
      </c>
      <c r="H1029" s="176" t="s">
        <v>3227</v>
      </c>
      <c r="I1029" s="176" t="s">
        <v>550</v>
      </c>
      <c r="J1029" s="176" t="s">
        <v>128</v>
      </c>
      <c r="K1029" s="176" t="s">
        <v>3297</v>
      </c>
      <c r="L1029" s="40" t="s">
        <v>106</v>
      </c>
      <c r="M1029" s="40" t="s">
        <v>341</v>
      </c>
      <c r="N1029" s="14" t="s">
        <v>3354</v>
      </c>
      <c r="O1029" s="14" t="s">
        <v>528</v>
      </c>
      <c r="P1029" s="14" t="s">
        <v>3356</v>
      </c>
      <c r="Q1029" s="14" t="s">
        <v>3357</v>
      </c>
      <c r="R1029" s="17">
        <v>400</v>
      </c>
      <c r="S1029" s="172" t="s">
        <v>51</v>
      </c>
      <c r="T1029" s="17">
        <v>2470</v>
      </c>
      <c r="U1029" s="14" t="s">
        <v>51</v>
      </c>
      <c r="V1029" s="16">
        <f t="shared" si="129"/>
        <v>244217</v>
      </c>
      <c r="W1029" s="16">
        <f t="shared" si="130"/>
        <v>244224</v>
      </c>
      <c r="X1029" s="16">
        <f t="shared" si="131"/>
        <v>244219</v>
      </c>
      <c r="Y1029" s="15" t="s">
        <v>54</v>
      </c>
      <c r="Z1029" s="177">
        <v>244224</v>
      </c>
      <c r="AA1029" s="170"/>
      <c r="AB1029" s="170"/>
      <c r="AC1029" s="170"/>
      <c r="AD1029" s="170"/>
      <c r="AE1029" s="15" t="s">
        <v>54</v>
      </c>
      <c r="AF1029" s="177">
        <v>244228</v>
      </c>
      <c r="AG1029" s="177" t="str">
        <f t="shared" si="134"/>
        <v>Pass</v>
      </c>
      <c r="AH1029" s="177">
        <f t="shared" si="135"/>
        <v>244228</v>
      </c>
      <c r="AK1029" s="176"/>
      <c r="AL1029" s="176"/>
    </row>
    <row r="1030" spans="1:38" ht="36" customHeight="1" x14ac:dyDescent="0.2">
      <c r="A1030" s="14" t="s">
        <v>24</v>
      </c>
      <c r="B1030" s="212">
        <v>244218</v>
      </c>
      <c r="C1030" s="14" t="s">
        <v>547</v>
      </c>
      <c r="D1030" s="14" t="s">
        <v>268</v>
      </c>
      <c r="E1030" s="14" t="s">
        <v>14</v>
      </c>
      <c r="F1030" s="14" t="s">
        <v>324</v>
      </c>
      <c r="G1030" s="179">
        <v>681029</v>
      </c>
      <c r="H1030" s="176" t="s">
        <v>2293</v>
      </c>
      <c r="I1030" s="176" t="s">
        <v>1189</v>
      </c>
      <c r="J1030" s="176" t="s">
        <v>1191</v>
      </c>
      <c r="K1030" s="176" t="s">
        <v>3361</v>
      </c>
      <c r="L1030" s="40" t="s">
        <v>46</v>
      </c>
      <c r="M1030" s="40" t="s">
        <v>341</v>
      </c>
      <c r="N1030" s="14" t="s">
        <v>3366</v>
      </c>
      <c r="O1030" s="14" t="s">
        <v>557</v>
      </c>
      <c r="P1030" s="14" t="s">
        <v>2927</v>
      </c>
      <c r="Q1030" s="14" t="s">
        <v>558</v>
      </c>
      <c r="R1030" s="17">
        <v>400</v>
      </c>
      <c r="S1030" s="172" t="s">
        <v>51</v>
      </c>
      <c r="T1030" s="17">
        <v>2375</v>
      </c>
      <c r="U1030" s="14" t="s">
        <v>51</v>
      </c>
      <c r="V1030" s="16">
        <f t="shared" si="129"/>
        <v>244218</v>
      </c>
      <c r="W1030" s="16">
        <f t="shared" si="130"/>
        <v>244225</v>
      </c>
      <c r="X1030" s="16">
        <f t="shared" si="131"/>
        <v>244220</v>
      </c>
      <c r="Y1030" s="15" t="s">
        <v>54</v>
      </c>
      <c r="Z1030" s="177">
        <v>244224</v>
      </c>
      <c r="AA1030" s="170"/>
      <c r="AB1030" s="170"/>
      <c r="AC1030" s="170"/>
      <c r="AD1030" s="170"/>
      <c r="AE1030" s="15" t="s">
        <v>54</v>
      </c>
      <c r="AF1030" s="177">
        <v>244228</v>
      </c>
      <c r="AG1030" s="177" t="str">
        <f t="shared" si="134"/>
        <v>Pass</v>
      </c>
      <c r="AH1030" s="177">
        <f t="shared" si="135"/>
        <v>244228</v>
      </c>
      <c r="AK1030" s="176"/>
      <c r="AL1030" s="176"/>
    </row>
    <row r="1031" spans="1:38" ht="36" customHeight="1" x14ac:dyDescent="0.2">
      <c r="A1031" s="14" t="s">
        <v>24</v>
      </c>
      <c r="B1031" s="212">
        <v>244218</v>
      </c>
      <c r="C1031" s="14" t="s">
        <v>547</v>
      </c>
      <c r="D1031" s="14" t="s">
        <v>268</v>
      </c>
      <c r="E1031" s="14" t="s">
        <v>14</v>
      </c>
      <c r="F1031" s="14" t="s">
        <v>324</v>
      </c>
      <c r="G1031" s="179">
        <v>681030</v>
      </c>
      <c r="H1031" s="176" t="s">
        <v>3358</v>
      </c>
      <c r="I1031" s="176" t="s">
        <v>550</v>
      </c>
      <c r="J1031" s="176" t="s">
        <v>128</v>
      </c>
      <c r="K1031" s="176" t="s">
        <v>3362</v>
      </c>
      <c r="L1031" s="40" t="s">
        <v>106</v>
      </c>
      <c r="M1031" s="40" t="s">
        <v>341</v>
      </c>
      <c r="N1031" s="14" t="s">
        <v>3367</v>
      </c>
      <c r="O1031" s="14" t="s">
        <v>528</v>
      </c>
      <c r="P1031" s="14" t="s">
        <v>3368</v>
      </c>
      <c r="Q1031" s="14" t="s">
        <v>541</v>
      </c>
      <c r="R1031" s="17">
        <v>2000</v>
      </c>
      <c r="S1031" s="172" t="s">
        <v>51</v>
      </c>
      <c r="T1031" s="17">
        <v>2460</v>
      </c>
      <c r="U1031" s="14" t="s">
        <v>51</v>
      </c>
      <c r="V1031" s="16">
        <f t="shared" si="129"/>
        <v>244218</v>
      </c>
      <c r="W1031" s="16">
        <f t="shared" si="130"/>
        <v>244225</v>
      </c>
      <c r="X1031" s="16">
        <f t="shared" si="131"/>
        <v>244220</v>
      </c>
      <c r="Y1031" s="15" t="s">
        <v>54</v>
      </c>
      <c r="Z1031" s="177">
        <v>244224</v>
      </c>
      <c r="AA1031" s="170"/>
      <c r="AB1031" s="170"/>
      <c r="AC1031" s="170"/>
      <c r="AD1031" s="170"/>
      <c r="AE1031" s="15" t="s">
        <v>54</v>
      </c>
      <c r="AF1031" s="177">
        <v>244228</v>
      </c>
      <c r="AG1031" s="177" t="str">
        <f t="shared" si="134"/>
        <v>Pass</v>
      </c>
      <c r="AH1031" s="177">
        <f t="shared" si="135"/>
        <v>244228</v>
      </c>
      <c r="AK1031" s="176"/>
      <c r="AL1031" s="176"/>
    </row>
    <row r="1032" spans="1:38" ht="36" customHeight="1" x14ac:dyDescent="0.2">
      <c r="A1032" s="14" t="s">
        <v>24</v>
      </c>
      <c r="B1032" s="212">
        <v>244218</v>
      </c>
      <c r="C1032" s="14" t="s">
        <v>547</v>
      </c>
      <c r="D1032" s="14" t="s">
        <v>268</v>
      </c>
      <c r="E1032" s="14" t="s">
        <v>14</v>
      </c>
      <c r="F1032" s="14" t="s">
        <v>324</v>
      </c>
      <c r="G1032" s="179">
        <v>681031</v>
      </c>
      <c r="H1032" s="176" t="s">
        <v>3359</v>
      </c>
      <c r="I1032" s="176" t="s">
        <v>550</v>
      </c>
      <c r="J1032" s="176" t="s">
        <v>128</v>
      </c>
      <c r="K1032" s="176" t="s">
        <v>3363</v>
      </c>
      <c r="L1032" s="40" t="s">
        <v>106</v>
      </c>
      <c r="M1032" s="40" t="s">
        <v>341</v>
      </c>
      <c r="N1032" s="14" t="s">
        <v>1423</v>
      </c>
      <c r="O1032" s="14" t="s">
        <v>548</v>
      </c>
      <c r="P1032" s="14" t="s">
        <v>518</v>
      </c>
      <c r="Q1032" s="14" t="s">
        <v>549</v>
      </c>
      <c r="R1032" s="17">
        <v>196</v>
      </c>
      <c r="S1032" s="172" t="s">
        <v>51</v>
      </c>
      <c r="T1032" s="17">
        <v>1695</v>
      </c>
      <c r="U1032" s="14" t="s">
        <v>51</v>
      </c>
      <c r="V1032" s="16">
        <f t="shared" si="129"/>
        <v>244218</v>
      </c>
      <c r="W1032" s="16">
        <f t="shared" si="130"/>
        <v>244225</v>
      </c>
      <c r="X1032" s="16">
        <f t="shared" si="131"/>
        <v>244220</v>
      </c>
      <c r="Y1032" s="15" t="s">
        <v>54</v>
      </c>
      <c r="Z1032" s="177">
        <v>244224</v>
      </c>
      <c r="AA1032" s="170"/>
      <c r="AB1032" s="170"/>
      <c r="AC1032" s="170"/>
      <c r="AD1032" s="170"/>
      <c r="AE1032" s="15" t="s">
        <v>54</v>
      </c>
      <c r="AF1032" s="177">
        <v>244228</v>
      </c>
      <c r="AG1032" s="177" t="str">
        <f t="shared" si="134"/>
        <v>Pass</v>
      </c>
      <c r="AH1032" s="177">
        <f t="shared" si="135"/>
        <v>244228</v>
      </c>
      <c r="AK1032" s="176"/>
      <c r="AL1032" s="176"/>
    </row>
    <row r="1033" spans="1:38" ht="36" customHeight="1" x14ac:dyDescent="0.2">
      <c r="A1033" s="14" t="s">
        <v>24</v>
      </c>
      <c r="B1033" s="212">
        <v>244218</v>
      </c>
      <c r="C1033" s="14" t="s">
        <v>547</v>
      </c>
      <c r="D1033" s="14" t="s">
        <v>268</v>
      </c>
      <c r="E1033" s="14" t="s">
        <v>14</v>
      </c>
      <c r="F1033" s="14" t="s">
        <v>324</v>
      </c>
      <c r="G1033" s="179">
        <v>681032</v>
      </c>
      <c r="H1033" s="176" t="s">
        <v>3360</v>
      </c>
      <c r="I1033" s="176" t="s">
        <v>550</v>
      </c>
      <c r="J1033" s="176" t="s">
        <v>128</v>
      </c>
      <c r="K1033" s="176" t="s">
        <v>3364</v>
      </c>
      <c r="L1033" s="40" t="s">
        <v>45</v>
      </c>
      <c r="M1033" s="40" t="s">
        <v>341</v>
      </c>
      <c r="N1033" s="14" t="s">
        <v>2036</v>
      </c>
      <c r="O1033" s="14" t="s">
        <v>548</v>
      </c>
      <c r="P1033" s="14" t="s">
        <v>518</v>
      </c>
      <c r="Q1033" s="14" t="s">
        <v>549</v>
      </c>
      <c r="R1033" s="17">
        <v>140</v>
      </c>
      <c r="S1033" s="172" t="s">
        <v>51</v>
      </c>
      <c r="T1033" s="17">
        <v>1100</v>
      </c>
      <c r="U1033" s="14" t="s">
        <v>51</v>
      </c>
      <c r="V1033" s="16">
        <f t="shared" si="129"/>
        <v>244218</v>
      </c>
      <c r="W1033" s="16">
        <f t="shared" si="130"/>
        <v>244225</v>
      </c>
      <c r="X1033" s="16">
        <f t="shared" si="131"/>
        <v>244220</v>
      </c>
      <c r="Y1033" s="15" t="s">
        <v>54</v>
      </c>
      <c r="Z1033" s="177">
        <v>244224</v>
      </c>
      <c r="AA1033" s="170"/>
      <c r="AB1033" s="170"/>
      <c r="AC1033" s="170"/>
      <c r="AD1033" s="170"/>
      <c r="AE1033" s="15" t="s">
        <v>54</v>
      </c>
      <c r="AF1033" s="177">
        <v>244228</v>
      </c>
      <c r="AG1033" s="177" t="str">
        <f t="shared" si="134"/>
        <v>Pass</v>
      </c>
      <c r="AH1033" s="177">
        <f t="shared" si="135"/>
        <v>244228</v>
      </c>
      <c r="AK1033" s="176"/>
      <c r="AL1033" s="176"/>
    </row>
    <row r="1034" spans="1:38" ht="36" customHeight="1" x14ac:dyDescent="0.2">
      <c r="A1034" s="14" t="s">
        <v>24</v>
      </c>
      <c r="B1034" s="212">
        <v>244218</v>
      </c>
      <c r="C1034" s="14" t="s">
        <v>547</v>
      </c>
      <c r="D1034" s="14" t="s">
        <v>268</v>
      </c>
      <c r="E1034" s="14" t="s">
        <v>14</v>
      </c>
      <c r="F1034" s="14" t="s">
        <v>324</v>
      </c>
      <c r="G1034" s="179">
        <v>681033</v>
      </c>
      <c r="H1034" s="176" t="s">
        <v>760</v>
      </c>
      <c r="I1034" s="176" t="s">
        <v>551</v>
      </c>
      <c r="J1034" s="176" t="s">
        <v>832</v>
      </c>
      <c r="K1034" s="176" t="s">
        <v>3365</v>
      </c>
      <c r="L1034" s="40" t="s">
        <v>108</v>
      </c>
      <c r="M1034" s="40" t="s">
        <v>341</v>
      </c>
      <c r="N1034" s="14" t="s">
        <v>840</v>
      </c>
      <c r="O1034" s="14" t="s">
        <v>548</v>
      </c>
      <c r="P1034" s="14" t="s">
        <v>518</v>
      </c>
      <c r="Q1034" s="14" t="s">
        <v>549</v>
      </c>
      <c r="R1034" s="17">
        <v>250</v>
      </c>
      <c r="S1034" s="172" t="s">
        <v>51</v>
      </c>
      <c r="T1034" s="17">
        <v>2847</v>
      </c>
      <c r="U1034" s="14" t="s">
        <v>51</v>
      </c>
      <c r="V1034" s="16">
        <f t="shared" si="129"/>
        <v>244218</v>
      </c>
      <c r="W1034" s="16">
        <f t="shared" si="130"/>
        <v>244225</v>
      </c>
      <c r="X1034" s="16">
        <f t="shared" si="131"/>
        <v>244220</v>
      </c>
      <c r="Y1034" s="15" t="s">
        <v>54</v>
      </c>
      <c r="Z1034" s="177">
        <v>244224</v>
      </c>
      <c r="AA1034" s="170"/>
      <c r="AB1034" s="170"/>
      <c r="AC1034" s="170"/>
      <c r="AD1034" s="170"/>
      <c r="AE1034" s="15" t="s">
        <v>54</v>
      </c>
      <c r="AF1034" s="177">
        <v>244228</v>
      </c>
      <c r="AG1034" s="177" t="str">
        <f t="shared" si="134"/>
        <v>Pass</v>
      </c>
      <c r="AH1034" s="177">
        <f t="shared" si="135"/>
        <v>244228</v>
      </c>
      <c r="AK1034" s="176"/>
      <c r="AL1034" s="176"/>
    </row>
    <row r="1035" spans="1:38" ht="36" customHeight="1" x14ac:dyDescent="0.2">
      <c r="A1035" s="14" t="s">
        <v>24</v>
      </c>
      <c r="B1035" s="212">
        <v>244219</v>
      </c>
      <c r="C1035" s="14" t="s">
        <v>547</v>
      </c>
      <c r="D1035" s="14" t="s">
        <v>268</v>
      </c>
      <c r="E1035" s="14" t="s">
        <v>14</v>
      </c>
      <c r="F1035" s="14" t="s">
        <v>324</v>
      </c>
      <c r="G1035" s="179">
        <v>681034</v>
      </c>
      <c r="H1035" s="176" t="s">
        <v>3369</v>
      </c>
      <c r="I1035" s="176" t="s">
        <v>612</v>
      </c>
      <c r="J1035" s="176" t="s">
        <v>865</v>
      </c>
      <c r="K1035" s="176" t="s">
        <v>3371</v>
      </c>
      <c r="L1035" s="40" t="s">
        <v>46</v>
      </c>
      <c r="M1035" s="40" t="s">
        <v>341</v>
      </c>
      <c r="N1035" s="14" t="s">
        <v>3376</v>
      </c>
      <c r="O1035" s="14" t="s">
        <v>543</v>
      </c>
      <c r="P1035" s="14" t="s">
        <v>684</v>
      </c>
      <c r="Q1035" s="14" t="s">
        <v>529</v>
      </c>
      <c r="R1035" s="17">
        <v>100</v>
      </c>
      <c r="S1035" s="172" t="s">
        <v>51</v>
      </c>
      <c r="T1035" s="17"/>
      <c r="U1035" s="14"/>
      <c r="V1035" s="16">
        <f t="shared" si="129"/>
        <v>244219</v>
      </c>
      <c r="W1035" s="16">
        <f t="shared" si="130"/>
        <v>244226</v>
      </c>
      <c r="X1035" s="16">
        <f t="shared" si="131"/>
        <v>244221</v>
      </c>
      <c r="Y1035" s="15" t="s">
        <v>54</v>
      </c>
      <c r="Z1035" s="177">
        <v>244224</v>
      </c>
      <c r="AA1035" s="170"/>
      <c r="AB1035" s="170"/>
      <c r="AC1035" s="170"/>
      <c r="AD1035" s="170"/>
      <c r="AE1035" s="15" t="s">
        <v>54</v>
      </c>
      <c r="AF1035" s="177">
        <v>244228</v>
      </c>
      <c r="AG1035" s="177" t="str">
        <f t="shared" si="134"/>
        <v>Pass</v>
      </c>
      <c r="AH1035" s="177">
        <f t="shared" si="135"/>
        <v>244228</v>
      </c>
      <c r="AK1035" s="176"/>
      <c r="AL1035" s="176"/>
    </row>
    <row r="1036" spans="1:38" ht="36" customHeight="1" x14ac:dyDescent="0.2">
      <c r="A1036" s="14" t="s">
        <v>24</v>
      </c>
      <c r="B1036" s="212">
        <v>244219</v>
      </c>
      <c r="C1036" s="14" t="s">
        <v>547</v>
      </c>
      <c r="D1036" s="14" t="s">
        <v>268</v>
      </c>
      <c r="E1036" s="14" t="s">
        <v>14</v>
      </c>
      <c r="F1036" s="14" t="s">
        <v>324</v>
      </c>
      <c r="G1036" s="179">
        <v>681035</v>
      </c>
      <c r="H1036" s="176" t="s">
        <v>719</v>
      </c>
      <c r="I1036" s="176" t="s">
        <v>551</v>
      </c>
      <c r="J1036" s="176" t="s">
        <v>832</v>
      </c>
      <c r="K1036" s="176" t="s">
        <v>3372</v>
      </c>
      <c r="L1036" s="40" t="s">
        <v>108</v>
      </c>
      <c r="M1036" s="40" t="s">
        <v>341</v>
      </c>
      <c r="N1036" s="14" t="s">
        <v>3377</v>
      </c>
      <c r="O1036" s="14" t="s">
        <v>693</v>
      </c>
      <c r="P1036" s="14" t="s">
        <v>901</v>
      </c>
      <c r="Q1036" s="14" t="s">
        <v>696</v>
      </c>
      <c r="R1036" s="17">
        <v>1000</v>
      </c>
      <c r="S1036" s="172" t="s">
        <v>51</v>
      </c>
      <c r="T1036" s="17">
        <v>2765</v>
      </c>
      <c r="U1036" s="14" t="s">
        <v>51</v>
      </c>
      <c r="V1036" s="16">
        <f t="shared" si="129"/>
        <v>244219</v>
      </c>
      <c r="W1036" s="16">
        <f t="shared" si="130"/>
        <v>244226</v>
      </c>
      <c r="X1036" s="16">
        <f t="shared" si="131"/>
        <v>244221</v>
      </c>
      <c r="Y1036" s="15" t="s">
        <v>54</v>
      </c>
      <c r="Z1036" s="177">
        <v>244224</v>
      </c>
      <c r="AA1036" s="170"/>
      <c r="AB1036" s="170"/>
      <c r="AC1036" s="170"/>
      <c r="AD1036" s="170"/>
      <c r="AE1036" s="15" t="s">
        <v>54</v>
      </c>
      <c r="AF1036" s="177">
        <v>244228</v>
      </c>
      <c r="AG1036" s="177" t="str">
        <f t="shared" si="134"/>
        <v>Pass</v>
      </c>
      <c r="AH1036" s="177">
        <f t="shared" si="135"/>
        <v>244228</v>
      </c>
      <c r="AK1036" s="176"/>
      <c r="AL1036" s="176"/>
    </row>
    <row r="1037" spans="1:38" ht="36" customHeight="1" x14ac:dyDescent="0.2">
      <c r="A1037" s="14" t="s">
        <v>24</v>
      </c>
      <c r="B1037" s="212">
        <v>244219</v>
      </c>
      <c r="C1037" s="14" t="s">
        <v>547</v>
      </c>
      <c r="D1037" s="14" t="s">
        <v>268</v>
      </c>
      <c r="E1037" s="14" t="s">
        <v>14</v>
      </c>
      <c r="F1037" s="14" t="s">
        <v>324</v>
      </c>
      <c r="G1037" s="179">
        <v>681036</v>
      </c>
      <c r="H1037" s="176" t="s">
        <v>3370</v>
      </c>
      <c r="I1037" s="176" t="s">
        <v>551</v>
      </c>
      <c r="J1037" s="176" t="s">
        <v>832</v>
      </c>
      <c r="K1037" s="176" t="s">
        <v>3373</v>
      </c>
      <c r="L1037" s="40" t="s">
        <v>108</v>
      </c>
      <c r="M1037" s="40" t="s">
        <v>341</v>
      </c>
      <c r="N1037" s="14" t="s">
        <v>3378</v>
      </c>
      <c r="O1037" s="14" t="s">
        <v>3382</v>
      </c>
      <c r="P1037" s="14" t="s">
        <v>3384</v>
      </c>
      <c r="Q1037" s="14" t="s">
        <v>3386</v>
      </c>
      <c r="R1037" s="17">
        <v>1500</v>
      </c>
      <c r="S1037" s="172" t="s">
        <v>51</v>
      </c>
      <c r="T1037" s="17">
        <v>2730</v>
      </c>
      <c r="U1037" s="14" t="s">
        <v>51</v>
      </c>
      <c r="V1037" s="16">
        <f t="shared" si="129"/>
        <v>244219</v>
      </c>
      <c r="W1037" s="16">
        <f t="shared" si="130"/>
        <v>244226</v>
      </c>
      <c r="X1037" s="16">
        <f t="shared" si="131"/>
        <v>244221</v>
      </c>
      <c r="Y1037" s="15" t="s">
        <v>54</v>
      </c>
      <c r="Z1037" s="177">
        <v>244224</v>
      </c>
      <c r="AA1037" s="170"/>
      <c r="AB1037" s="170"/>
      <c r="AC1037" s="170"/>
      <c r="AD1037" s="170"/>
      <c r="AE1037" s="15" t="s">
        <v>54</v>
      </c>
      <c r="AF1037" s="177">
        <v>244228</v>
      </c>
      <c r="AG1037" s="177" t="str">
        <f t="shared" si="134"/>
        <v>Pass</v>
      </c>
      <c r="AH1037" s="177">
        <f t="shared" si="135"/>
        <v>244228</v>
      </c>
      <c r="AK1037" s="176"/>
      <c r="AL1037" s="176"/>
    </row>
    <row r="1038" spans="1:38" ht="36" customHeight="1" x14ac:dyDescent="0.2">
      <c r="A1038" s="14" t="s">
        <v>24</v>
      </c>
      <c r="B1038" s="212">
        <v>244219</v>
      </c>
      <c r="C1038" s="14" t="s">
        <v>547</v>
      </c>
      <c r="D1038" s="14" t="s">
        <v>268</v>
      </c>
      <c r="E1038" s="14" t="s">
        <v>14</v>
      </c>
      <c r="F1038" s="14" t="s">
        <v>324</v>
      </c>
      <c r="G1038" s="179">
        <v>681037</v>
      </c>
      <c r="H1038" s="176" t="s">
        <v>886</v>
      </c>
      <c r="I1038" s="176" t="s">
        <v>630</v>
      </c>
      <c r="J1038" s="176" t="s">
        <v>821</v>
      </c>
      <c r="K1038" s="176" t="s">
        <v>3374</v>
      </c>
      <c r="L1038" s="40" t="s">
        <v>124</v>
      </c>
      <c r="M1038" s="40" t="s">
        <v>341</v>
      </c>
      <c r="N1038" s="14" t="s">
        <v>3379</v>
      </c>
      <c r="O1038" s="14" t="s">
        <v>3383</v>
      </c>
      <c r="P1038" s="14" t="s">
        <v>3385</v>
      </c>
      <c r="Q1038" s="14" t="s">
        <v>3387</v>
      </c>
      <c r="R1038" s="17">
        <v>240</v>
      </c>
      <c r="S1038" s="172" t="s">
        <v>51</v>
      </c>
      <c r="T1038" s="17">
        <v>2487</v>
      </c>
      <c r="U1038" s="14" t="s">
        <v>51</v>
      </c>
      <c r="V1038" s="16">
        <f t="shared" si="129"/>
        <v>244219</v>
      </c>
      <c r="W1038" s="16">
        <f t="shared" si="130"/>
        <v>244226</v>
      </c>
      <c r="X1038" s="16">
        <f t="shared" si="131"/>
        <v>244221</v>
      </c>
      <c r="Y1038" s="15" t="s">
        <v>54</v>
      </c>
      <c r="Z1038" s="177">
        <v>244224</v>
      </c>
      <c r="AA1038" s="170"/>
      <c r="AB1038" s="170"/>
      <c r="AC1038" s="170"/>
      <c r="AD1038" s="170"/>
      <c r="AE1038" s="15" t="s">
        <v>54</v>
      </c>
      <c r="AF1038" s="177">
        <v>244228</v>
      </c>
      <c r="AG1038" s="177" t="str">
        <f t="shared" si="134"/>
        <v>Pass</v>
      </c>
      <c r="AH1038" s="177">
        <f t="shared" si="135"/>
        <v>244228</v>
      </c>
      <c r="AK1038" s="176"/>
      <c r="AL1038" s="176"/>
    </row>
    <row r="1039" spans="1:38" ht="36" customHeight="1" x14ac:dyDescent="0.2">
      <c r="A1039" s="14" t="s">
        <v>24</v>
      </c>
      <c r="B1039" s="212">
        <v>244219</v>
      </c>
      <c r="C1039" s="14" t="s">
        <v>547</v>
      </c>
      <c r="D1039" s="14" t="s">
        <v>268</v>
      </c>
      <c r="E1039" s="14" t="s">
        <v>14</v>
      </c>
      <c r="F1039" s="14" t="s">
        <v>324</v>
      </c>
      <c r="G1039" s="179">
        <v>681038</v>
      </c>
      <c r="H1039" s="176" t="s">
        <v>886</v>
      </c>
      <c r="I1039" s="176" t="s">
        <v>630</v>
      </c>
      <c r="J1039" s="176" t="s">
        <v>821</v>
      </c>
      <c r="K1039" s="176" t="s">
        <v>3374</v>
      </c>
      <c r="L1039" s="40" t="s">
        <v>124</v>
      </c>
      <c r="M1039" s="40" t="s">
        <v>341</v>
      </c>
      <c r="N1039" s="14" t="s">
        <v>3380</v>
      </c>
      <c r="O1039" s="14" t="s">
        <v>543</v>
      </c>
      <c r="P1039" s="14" t="s">
        <v>1573</v>
      </c>
      <c r="Q1039" s="14" t="s">
        <v>529</v>
      </c>
      <c r="R1039" s="17">
        <v>1160</v>
      </c>
      <c r="S1039" s="172" t="s">
        <v>51</v>
      </c>
      <c r="T1039" s="17">
        <v>2528</v>
      </c>
      <c r="U1039" s="14" t="s">
        <v>51</v>
      </c>
      <c r="V1039" s="16">
        <f t="shared" si="129"/>
        <v>244219</v>
      </c>
      <c r="W1039" s="16">
        <f t="shared" si="130"/>
        <v>244226</v>
      </c>
      <c r="X1039" s="16">
        <f t="shared" si="131"/>
        <v>244221</v>
      </c>
      <c r="Y1039" s="15" t="s">
        <v>54</v>
      </c>
      <c r="Z1039" s="177">
        <v>244224</v>
      </c>
      <c r="AA1039" s="170"/>
      <c r="AB1039" s="170"/>
      <c r="AC1039" s="170"/>
      <c r="AD1039" s="170"/>
      <c r="AE1039" s="15" t="s">
        <v>54</v>
      </c>
      <c r="AF1039" s="177">
        <v>244228</v>
      </c>
      <c r="AG1039" s="177" t="str">
        <f t="shared" si="134"/>
        <v>Pass</v>
      </c>
      <c r="AH1039" s="177">
        <f t="shared" si="135"/>
        <v>244228</v>
      </c>
      <c r="AK1039" s="176"/>
      <c r="AL1039" s="176"/>
    </row>
    <row r="1040" spans="1:38" ht="36" customHeight="1" x14ac:dyDescent="0.2">
      <c r="A1040" s="14" t="s">
        <v>24</v>
      </c>
      <c r="B1040" s="212">
        <v>244219</v>
      </c>
      <c r="C1040" s="14" t="s">
        <v>547</v>
      </c>
      <c r="D1040" s="14" t="s">
        <v>268</v>
      </c>
      <c r="E1040" s="14" t="s">
        <v>14</v>
      </c>
      <c r="F1040" s="14" t="s">
        <v>324</v>
      </c>
      <c r="G1040" s="179">
        <v>681039</v>
      </c>
      <c r="H1040" s="176" t="s">
        <v>886</v>
      </c>
      <c r="I1040" s="176" t="s">
        <v>630</v>
      </c>
      <c r="J1040" s="176" t="s">
        <v>821</v>
      </c>
      <c r="K1040" s="176" t="s">
        <v>3374</v>
      </c>
      <c r="L1040" s="40" t="s">
        <v>124</v>
      </c>
      <c r="M1040" s="40" t="s">
        <v>341</v>
      </c>
      <c r="N1040" s="14" t="s">
        <v>3381</v>
      </c>
      <c r="O1040" s="14" t="s">
        <v>543</v>
      </c>
      <c r="P1040" s="14" t="s">
        <v>684</v>
      </c>
      <c r="Q1040" s="14" t="s">
        <v>529</v>
      </c>
      <c r="R1040" s="17">
        <v>600</v>
      </c>
      <c r="S1040" s="172" t="s">
        <v>51</v>
      </c>
      <c r="T1040" s="17">
        <v>2545</v>
      </c>
      <c r="U1040" s="14" t="s">
        <v>51</v>
      </c>
      <c r="V1040" s="16">
        <f t="shared" si="129"/>
        <v>244219</v>
      </c>
      <c r="W1040" s="16">
        <f t="shared" si="130"/>
        <v>244226</v>
      </c>
      <c r="X1040" s="16">
        <f t="shared" si="131"/>
        <v>244221</v>
      </c>
      <c r="Y1040" s="15" t="s">
        <v>54</v>
      </c>
      <c r="Z1040" s="177">
        <v>244224</v>
      </c>
      <c r="AA1040" s="170"/>
      <c r="AB1040" s="170"/>
      <c r="AC1040" s="170"/>
      <c r="AD1040" s="170"/>
      <c r="AE1040" s="15" t="s">
        <v>54</v>
      </c>
      <c r="AF1040" s="177">
        <v>244228</v>
      </c>
      <c r="AG1040" s="177" t="str">
        <f t="shared" si="134"/>
        <v>Pass</v>
      </c>
      <c r="AH1040" s="177">
        <f t="shared" si="135"/>
        <v>244228</v>
      </c>
      <c r="AK1040" s="176"/>
      <c r="AL1040" s="176"/>
    </row>
    <row r="1041" spans="1:38" ht="36" customHeight="1" x14ac:dyDescent="0.2">
      <c r="A1041" s="14" t="s">
        <v>24</v>
      </c>
      <c r="B1041" s="212">
        <v>244219</v>
      </c>
      <c r="C1041" s="14" t="s">
        <v>547</v>
      </c>
      <c r="D1041" s="14" t="s">
        <v>268</v>
      </c>
      <c r="E1041" s="14" t="s">
        <v>14</v>
      </c>
      <c r="F1041" s="14" t="s">
        <v>324</v>
      </c>
      <c r="G1041" s="179">
        <v>681040</v>
      </c>
      <c r="H1041" s="176" t="s">
        <v>861</v>
      </c>
      <c r="I1041" s="176" t="s">
        <v>551</v>
      </c>
      <c r="J1041" s="176" t="s">
        <v>832</v>
      </c>
      <c r="K1041" s="176" t="s">
        <v>3375</v>
      </c>
      <c r="L1041" s="40" t="s">
        <v>108</v>
      </c>
      <c r="M1041" s="40" t="s">
        <v>341</v>
      </c>
      <c r="N1041" s="14" t="s">
        <v>2355</v>
      </c>
      <c r="O1041" s="14" t="s">
        <v>548</v>
      </c>
      <c r="P1041" s="14" t="s">
        <v>717</v>
      </c>
      <c r="Q1041" s="14" t="s">
        <v>549</v>
      </c>
      <c r="R1041" s="17">
        <v>186</v>
      </c>
      <c r="S1041" s="172" t="s">
        <v>51</v>
      </c>
      <c r="T1041" s="17">
        <v>3315</v>
      </c>
      <c r="U1041" s="14" t="s">
        <v>51</v>
      </c>
      <c r="V1041" s="16">
        <f t="shared" si="129"/>
        <v>244219</v>
      </c>
      <c r="W1041" s="16">
        <f t="shared" si="130"/>
        <v>244226</v>
      </c>
      <c r="X1041" s="16">
        <f t="shared" si="131"/>
        <v>244221</v>
      </c>
      <c r="Y1041" s="15" t="s">
        <v>54</v>
      </c>
      <c r="Z1041" s="177">
        <v>244224</v>
      </c>
      <c r="AA1041" s="170"/>
      <c r="AB1041" s="170"/>
      <c r="AC1041" s="170"/>
      <c r="AD1041" s="170"/>
      <c r="AE1041" s="15" t="s">
        <v>54</v>
      </c>
      <c r="AF1041" s="177">
        <v>244228</v>
      </c>
      <c r="AG1041" s="177" t="str">
        <f t="shared" si="134"/>
        <v>Pass</v>
      </c>
      <c r="AH1041" s="177">
        <f t="shared" si="135"/>
        <v>244228</v>
      </c>
      <c r="AK1041" s="176"/>
      <c r="AL1041" s="176"/>
    </row>
    <row r="1042" spans="1:38" ht="36" customHeight="1" x14ac:dyDescent="0.2">
      <c r="A1042" s="14" t="s">
        <v>24</v>
      </c>
      <c r="B1042" s="212">
        <v>244222</v>
      </c>
      <c r="C1042" s="14" t="s">
        <v>547</v>
      </c>
      <c r="D1042" s="14" t="s">
        <v>268</v>
      </c>
      <c r="E1042" s="14" t="s">
        <v>14</v>
      </c>
      <c r="F1042" s="14" t="s">
        <v>324</v>
      </c>
      <c r="G1042" s="179">
        <v>681041</v>
      </c>
      <c r="H1042" s="176" t="s">
        <v>996</v>
      </c>
      <c r="I1042" s="176" t="s">
        <v>630</v>
      </c>
      <c r="J1042" s="176" t="s">
        <v>520</v>
      </c>
      <c r="K1042" s="176" t="s">
        <v>3389</v>
      </c>
      <c r="L1042" s="40" t="s">
        <v>105</v>
      </c>
      <c r="M1042" s="40" t="s">
        <v>341</v>
      </c>
      <c r="N1042" s="14" t="s">
        <v>3410</v>
      </c>
      <c r="O1042" s="14" t="s">
        <v>548</v>
      </c>
      <c r="P1042" s="14" t="s">
        <v>518</v>
      </c>
      <c r="Q1042" s="14" t="s">
        <v>549</v>
      </c>
      <c r="R1042" s="17">
        <v>320</v>
      </c>
      <c r="S1042" s="172" t="s">
        <v>51</v>
      </c>
      <c r="T1042" s="17">
        <v>1973</v>
      </c>
      <c r="U1042" s="14" t="s">
        <v>51</v>
      </c>
      <c r="V1042" s="16">
        <f t="shared" si="129"/>
        <v>244222</v>
      </c>
      <c r="W1042" s="16">
        <f t="shared" si="130"/>
        <v>244229</v>
      </c>
      <c r="X1042" s="16">
        <f t="shared" si="131"/>
        <v>244224</v>
      </c>
      <c r="Y1042" s="15" t="s">
        <v>54</v>
      </c>
      <c r="Z1042" s="177">
        <v>244230</v>
      </c>
      <c r="AA1042" s="170"/>
      <c r="AB1042" s="170"/>
      <c r="AC1042" s="170"/>
      <c r="AD1042" s="170"/>
      <c r="AE1042" s="15" t="s">
        <v>54</v>
      </c>
      <c r="AF1042" s="177">
        <v>244231</v>
      </c>
      <c r="AG1042" s="177" t="str">
        <f t="shared" si="134"/>
        <v>Pass</v>
      </c>
      <c r="AH1042" s="177">
        <f t="shared" si="135"/>
        <v>244231</v>
      </c>
      <c r="AK1042" s="176"/>
      <c r="AL1042" s="176"/>
    </row>
    <row r="1043" spans="1:38" ht="36" customHeight="1" x14ac:dyDescent="0.2">
      <c r="A1043" s="14" t="s">
        <v>24</v>
      </c>
      <c r="B1043" s="212">
        <v>244222</v>
      </c>
      <c r="C1043" s="14" t="s">
        <v>547</v>
      </c>
      <c r="D1043" s="14" t="s">
        <v>268</v>
      </c>
      <c r="E1043" s="14" t="s">
        <v>14</v>
      </c>
      <c r="F1043" s="14" t="s">
        <v>324</v>
      </c>
      <c r="G1043" s="179">
        <v>681042</v>
      </c>
      <c r="H1043" s="176" t="s">
        <v>1364</v>
      </c>
      <c r="I1043" s="176" t="s">
        <v>551</v>
      </c>
      <c r="J1043" s="176" t="s">
        <v>832</v>
      </c>
      <c r="K1043" s="176" t="s">
        <v>3390</v>
      </c>
      <c r="L1043" s="40" t="s">
        <v>108</v>
      </c>
      <c r="M1043" s="40" t="s">
        <v>341</v>
      </c>
      <c r="N1043" s="14" t="s">
        <v>3394</v>
      </c>
      <c r="O1043" s="14" t="s">
        <v>552</v>
      </c>
      <c r="P1043" s="14" t="s">
        <v>793</v>
      </c>
      <c r="Q1043" s="14" t="s">
        <v>553</v>
      </c>
      <c r="R1043" s="17">
        <v>696</v>
      </c>
      <c r="S1043" s="172" t="s">
        <v>51</v>
      </c>
      <c r="T1043" s="17">
        <v>2860</v>
      </c>
      <c r="U1043" s="14" t="s">
        <v>51</v>
      </c>
      <c r="V1043" s="16">
        <f t="shared" si="129"/>
        <v>244222</v>
      </c>
      <c r="W1043" s="16">
        <f t="shared" si="130"/>
        <v>244229</v>
      </c>
      <c r="X1043" s="16">
        <f t="shared" si="131"/>
        <v>244224</v>
      </c>
      <c r="Y1043" s="15" t="s">
        <v>54</v>
      </c>
      <c r="Z1043" s="177">
        <v>244230</v>
      </c>
      <c r="AA1043" s="170"/>
      <c r="AB1043" s="170"/>
      <c r="AC1043" s="170"/>
      <c r="AD1043" s="170"/>
      <c r="AE1043" s="15" t="s">
        <v>54</v>
      </c>
      <c r="AF1043" s="177">
        <v>244231</v>
      </c>
      <c r="AG1043" s="177" t="str">
        <f t="shared" si="134"/>
        <v>Pass</v>
      </c>
      <c r="AH1043" s="177">
        <f t="shared" si="135"/>
        <v>244231</v>
      </c>
      <c r="AK1043" s="176"/>
      <c r="AL1043" s="176"/>
    </row>
    <row r="1044" spans="1:38" ht="36" customHeight="1" x14ac:dyDescent="0.2">
      <c r="A1044" s="14" t="s">
        <v>24</v>
      </c>
      <c r="B1044" s="212">
        <v>244222</v>
      </c>
      <c r="C1044" s="14" t="s">
        <v>547</v>
      </c>
      <c r="D1044" s="14" t="s">
        <v>268</v>
      </c>
      <c r="E1044" s="14" t="s">
        <v>14</v>
      </c>
      <c r="F1044" s="14" t="s">
        <v>324</v>
      </c>
      <c r="G1044" s="179">
        <v>681043</v>
      </c>
      <c r="H1044" s="176" t="s">
        <v>1457</v>
      </c>
      <c r="I1044" s="176" t="s">
        <v>551</v>
      </c>
      <c r="J1044" s="176" t="s">
        <v>832</v>
      </c>
      <c r="K1044" s="176" t="s">
        <v>3391</v>
      </c>
      <c r="L1044" s="40" t="s">
        <v>108</v>
      </c>
      <c r="M1044" s="40" t="s">
        <v>341</v>
      </c>
      <c r="N1044" s="14" t="s">
        <v>3395</v>
      </c>
      <c r="O1044" s="14" t="s">
        <v>552</v>
      </c>
      <c r="P1044" s="14" t="s">
        <v>3400</v>
      </c>
      <c r="Q1044" s="14" t="s">
        <v>553</v>
      </c>
      <c r="R1044" s="17">
        <v>200</v>
      </c>
      <c r="S1044" s="172" t="s">
        <v>51</v>
      </c>
      <c r="T1044" s="17">
        <v>1780</v>
      </c>
      <c r="U1044" s="14" t="s">
        <v>51</v>
      </c>
      <c r="V1044" s="16">
        <f t="shared" si="129"/>
        <v>244222</v>
      </c>
      <c r="W1044" s="16">
        <f t="shared" si="130"/>
        <v>244229</v>
      </c>
      <c r="X1044" s="16">
        <f t="shared" si="131"/>
        <v>244224</v>
      </c>
      <c r="Y1044" s="15" t="s">
        <v>54</v>
      </c>
      <c r="Z1044" s="177">
        <v>244230</v>
      </c>
      <c r="AA1044" s="170"/>
      <c r="AB1044" s="170"/>
      <c r="AC1044" s="170"/>
      <c r="AD1044" s="170"/>
      <c r="AE1044" s="15" t="s">
        <v>54</v>
      </c>
      <c r="AF1044" s="177">
        <v>244231</v>
      </c>
      <c r="AG1044" s="177" t="str">
        <f t="shared" si="134"/>
        <v>Pass</v>
      </c>
      <c r="AH1044" s="177">
        <f t="shared" si="135"/>
        <v>244231</v>
      </c>
      <c r="AK1044" s="176"/>
      <c r="AL1044" s="176"/>
    </row>
    <row r="1045" spans="1:38" ht="36" customHeight="1" x14ac:dyDescent="0.2">
      <c r="A1045" s="14" t="s">
        <v>24</v>
      </c>
      <c r="B1045" s="212">
        <v>244222</v>
      </c>
      <c r="C1045" s="14" t="s">
        <v>547</v>
      </c>
      <c r="D1045" s="14" t="s">
        <v>268</v>
      </c>
      <c r="E1045" s="14" t="s">
        <v>14</v>
      </c>
      <c r="F1045" s="14" t="s">
        <v>324</v>
      </c>
      <c r="G1045" s="179">
        <v>681044</v>
      </c>
      <c r="H1045" s="176" t="s">
        <v>996</v>
      </c>
      <c r="I1045" s="176" t="s">
        <v>630</v>
      </c>
      <c r="J1045" s="176" t="s">
        <v>520</v>
      </c>
      <c r="K1045" s="176" t="s">
        <v>3389</v>
      </c>
      <c r="L1045" s="40" t="s">
        <v>105</v>
      </c>
      <c r="M1045" s="40" t="s">
        <v>341</v>
      </c>
      <c r="N1045" s="14" t="s">
        <v>3396</v>
      </c>
      <c r="O1045" s="14" t="s">
        <v>527</v>
      </c>
      <c r="P1045" s="14" t="s">
        <v>3400</v>
      </c>
      <c r="Q1045" s="14" t="s">
        <v>542</v>
      </c>
      <c r="R1045" s="17">
        <v>285</v>
      </c>
      <c r="S1045" s="172" t="s">
        <v>51</v>
      </c>
      <c r="T1045" s="17"/>
      <c r="U1045" s="14" t="s">
        <v>51</v>
      </c>
      <c r="V1045" s="16">
        <f t="shared" si="129"/>
        <v>244222</v>
      </c>
      <c r="W1045" s="16">
        <f t="shared" si="130"/>
        <v>244229</v>
      </c>
      <c r="X1045" s="16">
        <f t="shared" si="131"/>
        <v>244224</v>
      </c>
      <c r="Y1045" s="15" t="s">
        <v>54</v>
      </c>
      <c r="Z1045" s="177">
        <v>244230</v>
      </c>
      <c r="AA1045" s="170"/>
      <c r="AB1045" s="170"/>
      <c r="AC1045" s="170"/>
      <c r="AD1045" s="170"/>
      <c r="AE1045" s="15" t="s">
        <v>54</v>
      </c>
      <c r="AF1045" s="177">
        <v>244231</v>
      </c>
      <c r="AG1045" s="177" t="str">
        <f t="shared" si="134"/>
        <v>Pass</v>
      </c>
      <c r="AH1045" s="177">
        <f t="shared" si="135"/>
        <v>244231</v>
      </c>
      <c r="AK1045" s="176"/>
      <c r="AL1045" s="176"/>
    </row>
    <row r="1046" spans="1:38" ht="36" customHeight="1" x14ac:dyDescent="0.2">
      <c r="A1046" s="14" t="s">
        <v>24</v>
      </c>
      <c r="B1046" s="212">
        <v>244222</v>
      </c>
      <c r="C1046" s="14" t="s">
        <v>547</v>
      </c>
      <c r="D1046" s="14" t="s">
        <v>268</v>
      </c>
      <c r="E1046" s="14" t="s">
        <v>14</v>
      </c>
      <c r="F1046" s="14" t="s">
        <v>324</v>
      </c>
      <c r="G1046" s="179">
        <v>681045</v>
      </c>
      <c r="H1046" s="176" t="s">
        <v>142</v>
      </c>
      <c r="I1046" s="176" t="s">
        <v>551</v>
      </c>
      <c r="J1046" s="176" t="s">
        <v>832</v>
      </c>
      <c r="K1046" s="176" t="s">
        <v>3392</v>
      </c>
      <c r="L1046" s="40" t="s">
        <v>108</v>
      </c>
      <c r="M1046" s="40" t="s">
        <v>341</v>
      </c>
      <c r="N1046" s="14" t="s">
        <v>3397</v>
      </c>
      <c r="O1046" s="14" t="s">
        <v>552</v>
      </c>
      <c r="P1046" s="14" t="s">
        <v>519</v>
      </c>
      <c r="Q1046" s="14" t="s">
        <v>553</v>
      </c>
      <c r="R1046" s="17">
        <v>250</v>
      </c>
      <c r="S1046" s="172" t="s">
        <v>51</v>
      </c>
      <c r="T1046" s="17">
        <v>2785</v>
      </c>
      <c r="U1046" s="14" t="s">
        <v>51</v>
      </c>
      <c r="V1046" s="16">
        <f t="shared" si="129"/>
        <v>244222</v>
      </c>
      <c r="W1046" s="16">
        <f t="shared" si="130"/>
        <v>244229</v>
      </c>
      <c r="X1046" s="16">
        <f t="shared" si="131"/>
        <v>244224</v>
      </c>
      <c r="Y1046" s="15" t="s">
        <v>54</v>
      </c>
      <c r="Z1046" s="177">
        <v>244230</v>
      </c>
      <c r="AA1046" s="170"/>
      <c r="AB1046" s="170"/>
      <c r="AC1046" s="170"/>
      <c r="AD1046" s="170"/>
      <c r="AE1046" s="15" t="s">
        <v>54</v>
      </c>
      <c r="AF1046" s="177">
        <v>244231</v>
      </c>
      <c r="AG1046" s="177" t="str">
        <f t="shared" si="134"/>
        <v>Pass</v>
      </c>
      <c r="AH1046" s="177">
        <f t="shared" si="135"/>
        <v>244231</v>
      </c>
      <c r="AK1046" s="176"/>
      <c r="AL1046" s="176"/>
    </row>
    <row r="1047" spans="1:38" ht="36" customHeight="1" x14ac:dyDescent="0.2">
      <c r="A1047" s="14" t="s">
        <v>24</v>
      </c>
      <c r="B1047" s="212">
        <v>244222</v>
      </c>
      <c r="C1047" s="14" t="s">
        <v>547</v>
      </c>
      <c r="D1047" s="14" t="s">
        <v>268</v>
      </c>
      <c r="E1047" s="14" t="s">
        <v>14</v>
      </c>
      <c r="F1047" s="14" t="s">
        <v>324</v>
      </c>
      <c r="G1047" s="179">
        <v>681046</v>
      </c>
      <c r="H1047" s="176" t="s">
        <v>885</v>
      </c>
      <c r="I1047" s="176" t="s">
        <v>630</v>
      </c>
      <c r="J1047" s="176" t="s">
        <v>821</v>
      </c>
      <c r="K1047" s="176" t="s">
        <v>3374</v>
      </c>
      <c r="L1047" s="40" t="s">
        <v>124</v>
      </c>
      <c r="M1047" s="40" t="s">
        <v>341</v>
      </c>
      <c r="N1047" s="14" t="s">
        <v>1738</v>
      </c>
      <c r="O1047" s="14" t="s">
        <v>548</v>
      </c>
      <c r="P1047" s="14" t="s">
        <v>518</v>
      </c>
      <c r="Q1047" s="14" t="s">
        <v>549</v>
      </c>
      <c r="R1047" s="17">
        <v>125</v>
      </c>
      <c r="S1047" s="172" t="s">
        <v>51</v>
      </c>
      <c r="T1047" s="17">
        <v>2531</v>
      </c>
      <c r="U1047" s="14" t="s">
        <v>51</v>
      </c>
      <c r="V1047" s="16">
        <f t="shared" si="129"/>
        <v>244222</v>
      </c>
      <c r="W1047" s="16">
        <f t="shared" si="130"/>
        <v>244229</v>
      </c>
      <c r="X1047" s="16">
        <f t="shared" si="131"/>
        <v>244224</v>
      </c>
      <c r="Y1047" s="15" t="s">
        <v>54</v>
      </c>
      <c r="Z1047" s="177">
        <v>244230</v>
      </c>
      <c r="AA1047" s="170"/>
      <c r="AB1047" s="170"/>
      <c r="AC1047" s="170"/>
      <c r="AD1047" s="170"/>
      <c r="AE1047" s="15" t="s">
        <v>54</v>
      </c>
      <c r="AF1047" s="177">
        <v>244231</v>
      </c>
      <c r="AG1047" s="177" t="str">
        <f t="shared" si="134"/>
        <v>Pass</v>
      </c>
      <c r="AH1047" s="177">
        <f t="shared" si="135"/>
        <v>244231</v>
      </c>
      <c r="AK1047" s="176"/>
      <c r="AL1047" s="176"/>
    </row>
    <row r="1048" spans="1:38" ht="36" customHeight="1" x14ac:dyDescent="0.2">
      <c r="A1048" s="14" t="s">
        <v>24</v>
      </c>
      <c r="B1048" s="212">
        <v>244222</v>
      </c>
      <c r="C1048" s="14" t="s">
        <v>547</v>
      </c>
      <c r="D1048" s="14" t="s">
        <v>268</v>
      </c>
      <c r="E1048" s="14" t="s">
        <v>14</v>
      </c>
      <c r="F1048" s="14" t="s">
        <v>324</v>
      </c>
      <c r="G1048" s="179">
        <v>681047</v>
      </c>
      <c r="H1048" s="176" t="s">
        <v>996</v>
      </c>
      <c r="I1048" s="176" t="s">
        <v>630</v>
      </c>
      <c r="J1048" s="176" t="s">
        <v>3388</v>
      </c>
      <c r="K1048" s="176" t="s">
        <v>3389</v>
      </c>
      <c r="L1048" s="40" t="s">
        <v>105</v>
      </c>
      <c r="M1048" s="40" t="s">
        <v>341</v>
      </c>
      <c r="N1048" s="14" t="s">
        <v>3398</v>
      </c>
      <c r="O1048" s="14" t="s">
        <v>548</v>
      </c>
      <c r="P1048" s="14" t="s">
        <v>518</v>
      </c>
      <c r="Q1048" s="14" t="s">
        <v>549</v>
      </c>
      <c r="R1048" s="17">
        <v>258</v>
      </c>
      <c r="S1048" s="172" t="s">
        <v>51</v>
      </c>
      <c r="T1048" s="17">
        <v>2051</v>
      </c>
      <c r="U1048" s="14" t="s">
        <v>51</v>
      </c>
      <c r="V1048" s="16">
        <f t="shared" si="129"/>
        <v>244222</v>
      </c>
      <c r="W1048" s="16">
        <f t="shared" si="130"/>
        <v>244229</v>
      </c>
      <c r="X1048" s="16">
        <f t="shared" si="131"/>
        <v>244224</v>
      </c>
      <c r="Y1048" s="15" t="s">
        <v>54</v>
      </c>
      <c r="Z1048" s="177">
        <v>244230</v>
      </c>
      <c r="AA1048" s="170"/>
      <c r="AB1048" s="170"/>
      <c r="AC1048" s="170"/>
      <c r="AD1048" s="170"/>
      <c r="AE1048" s="15" t="s">
        <v>54</v>
      </c>
      <c r="AF1048" s="177">
        <v>244231</v>
      </c>
      <c r="AG1048" s="177" t="str">
        <f t="shared" si="134"/>
        <v>Pass</v>
      </c>
      <c r="AH1048" s="177">
        <f t="shared" si="135"/>
        <v>244231</v>
      </c>
      <c r="AK1048" s="176"/>
      <c r="AL1048" s="176"/>
    </row>
    <row r="1049" spans="1:38" ht="36" customHeight="1" x14ac:dyDescent="0.2">
      <c r="A1049" s="14" t="s">
        <v>24</v>
      </c>
      <c r="B1049" s="212">
        <v>244222</v>
      </c>
      <c r="C1049" s="14" t="s">
        <v>547</v>
      </c>
      <c r="D1049" s="14" t="s">
        <v>268</v>
      </c>
      <c r="E1049" s="14" t="s">
        <v>14</v>
      </c>
      <c r="F1049" s="14" t="s">
        <v>324</v>
      </c>
      <c r="G1049" s="179">
        <v>681048</v>
      </c>
      <c r="H1049" s="176" t="s">
        <v>663</v>
      </c>
      <c r="I1049" s="176" t="s">
        <v>630</v>
      </c>
      <c r="J1049" s="176" t="s">
        <v>821</v>
      </c>
      <c r="K1049" s="176" t="s">
        <v>3393</v>
      </c>
      <c r="L1049" s="40" t="s">
        <v>124</v>
      </c>
      <c r="M1049" s="40" t="s">
        <v>341</v>
      </c>
      <c r="N1049" s="14" t="s">
        <v>3399</v>
      </c>
      <c r="O1049" s="14" t="s">
        <v>548</v>
      </c>
      <c r="P1049" s="14" t="s">
        <v>518</v>
      </c>
      <c r="Q1049" s="14" t="s">
        <v>549</v>
      </c>
      <c r="R1049" s="17">
        <v>220</v>
      </c>
      <c r="S1049" s="172" t="s">
        <v>51</v>
      </c>
      <c r="T1049" s="17">
        <v>2284</v>
      </c>
      <c r="U1049" s="14" t="s">
        <v>51</v>
      </c>
      <c r="V1049" s="16">
        <f t="shared" si="129"/>
        <v>244222</v>
      </c>
      <c r="W1049" s="16">
        <f t="shared" si="130"/>
        <v>244229</v>
      </c>
      <c r="X1049" s="16">
        <f t="shared" si="131"/>
        <v>244224</v>
      </c>
      <c r="Y1049" s="15" t="s">
        <v>54</v>
      </c>
      <c r="Z1049" s="177">
        <v>244230</v>
      </c>
      <c r="AA1049" s="170"/>
      <c r="AB1049" s="170"/>
      <c r="AC1049" s="170"/>
      <c r="AD1049" s="170"/>
      <c r="AE1049" s="15" t="s">
        <v>54</v>
      </c>
      <c r="AF1049" s="177">
        <v>244231</v>
      </c>
      <c r="AG1049" s="177" t="str">
        <f t="shared" si="134"/>
        <v>Pass</v>
      </c>
      <c r="AH1049" s="177">
        <f t="shared" si="135"/>
        <v>244231</v>
      </c>
      <c r="AK1049" s="176"/>
      <c r="AL1049" s="176"/>
    </row>
    <row r="1050" spans="1:38" ht="36" customHeight="1" x14ac:dyDescent="0.2">
      <c r="A1050" s="14" t="s">
        <v>24</v>
      </c>
      <c r="B1050" s="212">
        <v>244222</v>
      </c>
      <c r="C1050" s="14" t="s">
        <v>547</v>
      </c>
      <c r="D1050" s="14" t="s">
        <v>268</v>
      </c>
      <c r="E1050" s="14" t="s">
        <v>14</v>
      </c>
      <c r="F1050" s="14" t="s">
        <v>324</v>
      </c>
      <c r="G1050" s="179">
        <v>681049</v>
      </c>
      <c r="H1050" s="176" t="s">
        <v>996</v>
      </c>
      <c r="I1050" s="176" t="s">
        <v>630</v>
      </c>
      <c r="J1050" s="176" t="s">
        <v>520</v>
      </c>
      <c r="K1050" s="176" t="s">
        <v>3389</v>
      </c>
      <c r="L1050" s="40" t="s">
        <v>105</v>
      </c>
      <c r="M1050" s="40" t="s">
        <v>341</v>
      </c>
      <c r="N1050" s="14" t="s">
        <v>3403</v>
      </c>
      <c r="O1050" s="14" t="s">
        <v>3405</v>
      </c>
      <c r="P1050" s="14" t="s">
        <v>3406</v>
      </c>
      <c r="Q1050" s="14" t="s">
        <v>3409</v>
      </c>
      <c r="R1050" s="17">
        <v>500</v>
      </c>
      <c r="S1050" s="172" t="s">
        <v>51</v>
      </c>
      <c r="T1050" s="17">
        <v>2053</v>
      </c>
      <c r="U1050" s="14" t="s">
        <v>51</v>
      </c>
      <c r="V1050" s="16">
        <f t="shared" si="129"/>
        <v>244222</v>
      </c>
      <c r="W1050" s="16">
        <f t="shared" si="130"/>
        <v>244229</v>
      </c>
      <c r="X1050" s="16">
        <f t="shared" si="131"/>
        <v>244224</v>
      </c>
      <c r="Y1050" s="15" t="s">
        <v>54</v>
      </c>
      <c r="Z1050" s="177">
        <v>244230</v>
      </c>
      <c r="AA1050" s="170"/>
      <c r="AB1050" s="170"/>
      <c r="AC1050" s="170"/>
      <c r="AD1050" s="170"/>
      <c r="AE1050" s="15" t="s">
        <v>54</v>
      </c>
      <c r="AF1050" s="177">
        <v>244231</v>
      </c>
      <c r="AG1050" s="177" t="str">
        <f t="shared" si="134"/>
        <v>Pass</v>
      </c>
      <c r="AH1050" s="177">
        <f t="shared" si="135"/>
        <v>244231</v>
      </c>
      <c r="AK1050" s="176"/>
      <c r="AL1050" s="176"/>
    </row>
    <row r="1051" spans="1:38" ht="36" customHeight="1" x14ac:dyDescent="0.2">
      <c r="A1051" s="14" t="s">
        <v>24</v>
      </c>
      <c r="B1051" s="212">
        <v>244222</v>
      </c>
      <c r="C1051" s="14" t="s">
        <v>547</v>
      </c>
      <c r="D1051" s="14" t="s">
        <v>268</v>
      </c>
      <c r="E1051" s="14" t="s">
        <v>14</v>
      </c>
      <c r="F1051" s="14" t="s">
        <v>324</v>
      </c>
      <c r="G1051" s="179">
        <v>681050</v>
      </c>
      <c r="H1051" s="176" t="s">
        <v>663</v>
      </c>
      <c r="I1051" s="176" t="s">
        <v>630</v>
      </c>
      <c r="J1051" s="176" t="s">
        <v>821</v>
      </c>
      <c r="K1051" s="176" t="s">
        <v>3393</v>
      </c>
      <c r="L1051" s="40" t="s">
        <v>124</v>
      </c>
      <c r="M1051" s="40" t="s">
        <v>341</v>
      </c>
      <c r="N1051" s="14" t="s">
        <v>3407</v>
      </c>
      <c r="O1051" s="14" t="s">
        <v>1909</v>
      </c>
      <c r="P1051" s="14" t="s">
        <v>3408</v>
      </c>
      <c r="Q1051" s="14" t="s">
        <v>1913</v>
      </c>
      <c r="R1051" s="17">
        <v>1440</v>
      </c>
      <c r="S1051" s="172" t="s">
        <v>51</v>
      </c>
      <c r="T1051" s="17">
        <v>2537</v>
      </c>
      <c r="U1051" s="14" t="s">
        <v>51</v>
      </c>
      <c r="V1051" s="16">
        <f t="shared" si="129"/>
        <v>244222</v>
      </c>
      <c r="W1051" s="16">
        <f t="shared" si="130"/>
        <v>244229</v>
      </c>
      <c r="X1051" s="16">
        <f t="shared" si="131"/>
        <v>244224</v>
      </c>
      <c r="Y1051" s="15" t="s">
        <v>54</v>
      </c>
      <c r="Z1051" s="177">
        <v>244230</v>
      </c>
      <c r="AA1051" s="170"/>
      <c r="AB1051" s="170"/>
      <c r="AC1051" s="170"/>
      <c r="AD1051" s="170"/>
      <c r="AE1051" s="15" t="s">
        <v>54</v>
      </c>
      <c r="AF1051" s="177">
        <v>244231</v>
      </c>
      <c r="AG1051" s="177" t="str">
        <f t="shared" si="134"/>
        <v>Pass</v>
      </c>
      <c r="AH1051" s="177">
        <f t="shared" si="135"/>
        <v>244231</v>
      </c>
      <c r="AK1051" s="176"/>
      <c r="AL1051" s="176"/>
    </row>
    <row r="1052" spans="1:38" ht="36" customHeight="1" x14ac:dyDescent="0.2">
      <c r="A1052" s="14" t="s">
        <v>24</v>
      </c>
      <c r="B1052" s="212">
        <v>244222</v>
      </c>
      <c r="C1052" s="14" t="s">
        <v>547</v>
      </c>
      <c r="D1052" s="14" t="s">
        <v>268</v>
      </c>
      <c r="E1052" s="14" t="s">
        <v>14</v>
      </c>
      <c r="F1052" s="14" t="s">
        <v>324</v>
      </c>
      <c r="G1052" s="179">
        <v>681051</v>
      </c>
      <c r="H1052" s="176" t="s">
        <v>3401</v>
      </c>
      <c r="I1052" s="176" t="s">
        <v>551</v>
      </c>
      <c r="J1052" s="176" t="s">
        <v>832</v>
      </c>
      <c r="K1052" s="176" t="s">
        <v>3402</v>
      </c>
      <c r="L1052" s="40" t="s">
        <v>108</v>
      </c>
      <c r="M1052" s="40" t="s">
        <v>341</v>
      </c>
      <c r="N1052" s="14" t="s">
        <v>3404</v>
      </c>
      <c r="O1052" s="14" t="s">
        <v>552</v>
      </c>
      <c r="P1052" s="14" t="s">
        <v>1205</v>
      </c>
      <c r="Q1052" s="14" t="s">
        <v>553</v>
      </c>
      <c r="R1052" s="17">
        <v>944</v>
      </c>
      <c r="S1052" s="172" t="s">
        <v>51</v>
      </c>
      <c r="T1052" s="17">
        <v>2905</v>
      </c>
      <c r="U1052" s="14" t="s">
        <v>51</v>
      </c>
      <c r="V1052" s="16">
        <f t="shared" si="129"/>
        <v>244222</v>
      </c>
      <c r="W1052" s="16">
        <f t="shared" si="130"/>
        <v>244229</v>
      </c>
      <c r="X1052" s="16">
        <f t="shared" si="131"/>
        <v>244224</v>
      </c>
      <c r="Y1052" s="15" t="s">
        <v>54</v>
      </c>
      <c r="Z1052" s="177">
        <v>244230</v>
      </c>
      <c r="AA1052" s="170"/>
      <c r="AB1052" s="170"/>
      <c r="AC1052" s="170"/>
      <c r="AD1052" s="170"/>
      <c r="AE1052" s="15" t="s">
        <v>54</v>
      </c>
      <c r="AF1052" s="177">
        <v>244231</v>
      </c>
      <c r="AG1052" s="177" t="str">
        <f t="shared" si="134"/>
        <v>Pass</v>
      </c>
      <c r="AH1052" s="177">
        <f t="shared" si="135"/>
        <v>244231</v>
      </c>
      <c r="AK1052" s="176"/>
      <c r="AL1052" s="176"/>
    </row>
    <row r="1053" spans="1:38" ht="36" customHeight="1" x14ac:dyDescent="0.2">
      <c r="A1053" s="14" t="s">
        <v>24</v>
      </c>
      <c r="B1053" s="212">
        <v>244223</v>
      </c>
      <c r="C1053" s="14" t="s">
        <v>547</v>
      </c>
      <c r="D1053" s="14" t="s">
        <v>268</v>
      </c>
      <c r="E1053" s="14" t="s">
        <v>14</v>
      </c>
      <c r="F1053" s="14" t="s">
        <v>324</v>
      </c>
      <c r="G1053" s="179">
        <v>681052</v>
      </c>
      <c r="H1053" s="176" t="s">
        <v>772</v>
      </c>
      <c r="I1053" s="176" t="s">
        <v>774</v>
      </c>
      <c r="J1053" s="176" t="s">
        <v>123</v>
      </c>
      <c r="K1053" s="176" t="s">
        <v>3412</v>
      </c>
      <c r="L1053" s="40" t="s">
        <v>45</v>
      </c>
      <c r="M1053" s="40" t="s">
        <v>341</v>
      </c>
      <c r="N1053" s="14" t="s">
        <v>3417</v>
      </c>
      <c r="O1053" s="14" t="s">
        <v>3423</v>
      </c>
      <c r="P1053" s="14" t="s">
        <v>3005</v>
      </c>
      <c r="Q1053" s="14" t="s">
        <v>3427</v>
      </c>
      <c r="R1053" s="17">
        <v>1025</v>
      </c>
      <c r="S1053" s="172" t="s">
        <v>51</v>
      </c>
      <c r="T1053" s="17">
        <v>1900</v>
      </c>
      <c r="U1053" s="14" t="s">
        <v>51</v>
      </c>
      <c r="V1053" s="16">
        <f t="shared" si="129"/>
        <v>244223</v>
      </c>
      <c r="W1053" s="16">
        <f t="shared" si="130"/>
        <v>244230</v>
      </c>
      <c r="X1053" s="16">
        <f t="shared" si="131"/>
        <v>244225</v>
      </c>
      <c r="Y1053" s="15" t="s">
        <v>54</v>
      </c>
      <c r="Z1053" s="177">
        <v>244230</v>
      </c>
      <c r="AA1053" s="170"/>
      <c r="AB1053" s="170"/>
      <c r="AC1053" s="170"/>
      <c r="AD1053" s="170"/>
      <c r="AE1053" s="15" t="s">
        <v>54</v>
      </c>
      <c r="AF1053" s="177">
        <v>244231</v>
      </c>
      <c r="AG1053" s="177" t="str">
        <f t="shared" si="134"/>
        <v>Pass</v>
      </c>
      <c r="AH1053" s="177">
        <f t="shared" si="135"/>
        <v>244231</v>
      </c>
      <c r="AK1053" s="176"/>
      <c r="AL1053" s="176"/>
    </row>
    <row r="1054" spans="1:38" ht="36" customHeight="1" x14ac:dyDescent="0.2">
      <c r="A1054" s="14" t="s">
        <v>24</v>
      </c>
      <c r="B1054" s="212">
        <v>244223</v>
      </c>
      <c r="C1054" s="14" t="s">
        <v>547</v>
      </c>
      <c r="D1054" s="14" t="s">
        <v>268</v>
      </c>
      <c r="E1054" s="14" t="s">
        <v>14</v>
      </c>
      <c r="F1054" s="14" t="s">
        <v>324</v>
      </c>
      <c r="G1054" s="179">
        <v>681053</v>
      </c>
      <c r="H1054" s="176" t="s">
        <v>628</v>
      </c>
      <c r="I1054" s="176" t="s">
        <v>551</v>
      </c>
      <c r="J1054" s="176" t="s">
        <v>832</v>
      </c>
      <c r="K1054" s="176" t="s">
        <v>3413</v>
      </c>
      <c r="L1054" s="40" t="s">
        <v>108</v>
      </c>
      <c r="M1054" s="40" t="s">
        <v>341</v>
      </c>
      <c r="N1054" s="14" t="s">
        <v>3418</v>
      </c>
      <c r="O1054" s="14" t="s">
        <v>552</v>
      </c>
      <c r="P1054" s="14" t="s">
        <v>3424</v>
      </c>
      <c r="Q1054" s="14" t="s">
        <v>553</v>
      </c>
      <c r="R1054" s="17">
        <v>2100</v>
      </c>
      <c r="S1054" s="172" t="s">
        <v>51</v>
      </c>
      <c r="T1054" s="17">
        <v>3010</v>
      </c>
      <c r="U1054" s="14" t="s">
        <v>51</v>
      </c>
      <c r="V1054" s="16">
        <f t="shared" si="129"/>
        <v>244223</v>
      </c>
      <c r="W1054" s="16">
        <f t="shared" si="130"/>
        <v>244230</v>
      </c>
      <c r="X1054" s="16">
        <f t="shared" si="131"/>
        <v>244225</v>
      </c>
      <c r="Y1054" s="15" t="s">
        <v>54</v>
      </c>
      <c r="Z1054" s="177">
        <v>244230</v>
      </c>
      <c r="AA1054" s="170"/>
      <c r="AB1054" s="170"/>
      <c r="AC1054" s="170"/>
      <c r="AD1054" s="170"/>
      <c r="AE1054" s="15" t="s">
        <v>54</v>
      </c>
      <c r="AF1054" s="177">
        <v>244231</v>
      </c>
      <c r="AG1054" s="177" t="str">
        <f t="shared" si="134"/>
        <v>Pass</v>
      </c>
      <c r="AH1054" s="177">
        <f t="shared" si="135"/>
        <v>244231</v>
      </c>
      <c r="AK1054" s="176"/>
      <c r="AL1054" s="176"/>
    </row>
    <row r="1055" spans="1:38" ht="36" customHeight="1" x14ac:dyDescent="0.2">
      <c r="A1055" s="14" t="s">
        <v>24</v>
      </c>
      <c r="B1055" s="212">
        <v>244223</v>
      </c>
      <c r="C1055" s="14" t="s">
        <v>547</v>
      </c>
      <c r="D1055" s="14" t="s">
        <v>268</v>
      </c>
      <c r="E1055" s="14" t="s">
        <v>14</v>
      </c>
      <c r="F1055" s="14" t="s">
        <v>324</v>
      </c>
      <c r="G1055" s="179">
        <v>681054</v>
      </c>
      <c r="H1055" s="176" t="s">
        <v>663</v>
      </c>
      <c r="I1055" s="176" t="s">
        <v>630</v>
      </c>
      <c r="J1055" s="176" t="s">
        <v>821</v>
      </c>
      <c r="K1055" s="176" t="s">
        <v>3414</v>
      </c>
      <c r="L1055" s="40" t="s">
        <v>124</v>
      </c>
      <c r="M1055" s="40" t="s">
        <v>341</v>
      </c>
      <c r="N1055" s="14" t="s">
        <v>1704</v>
      </c>
      <c r="O1055" s="14" t="s">
        <v>548</v>
      </c>
      <c r="P1055" s="14" t="s">
        <v>518</v>
      </c>
      <c r="Q1055" s="14" t="s">
        <v>549</v>
      </c>
      <c r="R1055" s="17">
        <v>134</v>
      </c>
      <c r="S1055" s="172" t="s">
        <v>51</v>
      </c>
      <c r="T1055" s="17">
        <v>2568</v>
      </c>
      <c r="U1055" s="14" t="s">
        <v>51</v>
      </c>
      <c r="V1055" s="16">
        <f t="shared" si="129"/>
        <v>244223</v>
      </c>
      <c r="W1055" s="16">
        <f t="shared" si="130"/>
        <v>244230</v>
      </c>
      <c r="X1055" s="16">
        <f t="shared" si="131"/>
        <v>244225</v>
      </c>
      <c r="Y1055" s="15" t="s">
        <v>54</v>
      </c>
      <c r="Z1055" s="177">
        <v>244230</v>
      </c>
      <c r="AA1055" s="170"/>
      <c r="AB1055" s="170"/>
      <c r="AC1055" s="170"/>
      <c r="AD1055" s="170"/>
      <c r="AE1055" s="15" t="s">
        <v>54</v>
      </c>
      <c r="AF1055" s="177">
        <v>244231</v>
      </c>
      <c r="AG1055" s="177" t="str">
        <f t="shared" si="134"/>
        <v>Pass</v>
      </c>
      <c r="AH1055" s="177">
        <f t="shared" si="135"/>
        <v>244231</v>
      </c>
      <c r="AK1055" s="176"/>
      <c r="AL1055" s="176"/>
    </row>
    <row r="1056" spans="1:38" ht="36" customHeight="1" x14ac:dyDescent="0.2">
      <c r="A1056" s="14" t="s">
        <v>24</v>
      </c>
      <c r="B1056" s="212">
        <v>244223</v>
      </c>
      <c r="C1056" s="14" t="s">
        <v>547</v>
      </c>
      <c r="D1056" s="14" t="s">
        <v>268</v>
      </c>
      <c r="E1056" s="14" t="s">
        <v>14</v>
      </c>
      <c r="F1056" s="14" t="s">
        <v>324</v>
      </c>
      <c r="G1056" s="179">
        <v>681055</v>
      </c>
      <c r="H1056" s="176" t="s">
        <v>3411</v>
      </c>
      <c r="I1056" s="176" t="s">
        <v>630</v>
      </c>
      <c r="J1056" s="176" t="s">
        <v>520</v>
      </c>
      <c r="K1056" s="176" t="s">
        <v>3415</v>
      </c>
      <c r="L1056" s="40" t="s">
        <v>105</v>
      </c>
      <c r="M1056" s="40" t="s">
        <v>341</v>
      </c>
      <c r="N1056" s="14" t="s">
        <v>3419</v>
      </c>
      <c r="O1056" s="14" t="s">
        <v>548</v>
      </c>
      <c r="P1056" s="14" t="s">
        <v>518</v>
      </c>
      <c r="Q1056" s="14" t="s">
        <v>549</v>
      </c>
      <c r="R1056" s="17">
        <v>164</v>
      </c>
      <c r="S1056" s="172" t="s">
        <v>51</v>
      </c>
      <c r="T1056" s="17">
        <v>2020</v>
      </c>
      <c r="U1056" s="14" t="s">
        <v>51</v>
      </c>
      <c r="V1056" s="16">
        <f t="shared" si="129"/>
        <v>244223</v>
      </c>
      <c r="W1056" s="16">
        <f t="shared" si="130"/>
        <v>244230</v>
      </c>
      <c r="X1056" s="16">
        <f t="shared" si="131"/>
        <v>244225</v>
      </c>
      <c r="Y1056" s="15" t="s">
        <v>54</v>
      </c>
      <c r="Z1056" s="177">
        <v>244230</v>
      </c>
      <c r="AA1056" s="170"/>
      <c r="AB1056" s="170"/>
      <c r="AC1056" s="170"/>
      <c r="AD1056" s="170"/>
      <c r="AE1056" s="15" t="s">
        <v>54</v>
      </c>
      <c r="AF1056" s="177">
        <v>244231</v>
      </c>
      <c r="AG1056" s="177" t="str">
        <f t="shared" si="134"/>
        <v>Pass</v>
      </c>
      <c r="AH1056" s="177">
        <f t="shared" si="135"/>
        <v>244231</v>
      </c>
      <c r="AK1056" s="176"/>
      <c r="AL1056" s="176"/>
    </row>
    <row r="1057" spans="1:38" ht="36" customHeight="1" x14ac:dyDescent="0.2">
      <c r="A1057" s="14" t="s">
        <v>24</v>
      </c>
      <c r="B1057" s="212">
        <v>244223</v>
      </c>
      <c r="C1057" s="14" t="s">
        <v>547</v>
      </c>
      <c r="D1057" s="14" t="s">
        <v>268</v>
      </c>
      <c r="E1057" s="14" t="s">
        <v>14</v>
      </c>
      <c r="F1057" s="14" t="s">
        <v>324</v>
      </c>
      <c r="G1057" s="179">
        <v>681056</v>
      </c>
      <c r="H1057" s="176" t="s">
        <v>3411</v>
      </c>
      <c r="I1057" s="176" t="s">
        <v>630</v>
      </c>
      <c r="J1057" s="176" t="s">
        <v>520</v>
      </c>
      <c r="K1057" s="176" t="s">
        <v>3415</v>
      </c>
      <c r="L1057" s="40" t="s">
        <v>105</v>
      </c>
      <c r="M1057" s="40" t="s">
        <v>341</v>
      </c>
      <c r="N1057" s="14" t="s">
        <v>3420</v>
      </c>
      <c r="O1057" s="14" t="s">
        <v>527</v>
      </c>
      <c r="P1057" s="14" t="s">
        <v>3425</v>
      </c>
      <c r="Q1057" s="14" t="s">
        <v>542</v>
      </c>
      <c r="R1057" s="17">
        <v>183</v>
      </c>
      <c r="S1057" s="172" t="s">
        <v>51</v>
      </c>
      <c r="T1057" s="17">
        <v>2021</v>
      </c>
      <c r="U1057" s="14" t="s">
        <v>51</v>
      </c>
      <c r="V1057" s="16">
        <f t="shared" si="129"/>
        <v>244223</v>
      </c>
      <c r="W1057" s="16">
        <f t="shared" si="130"/>
        <v>244230</v>
      </c>
      <c r="X1057" s="16">
        <f t="shared" si="131"/>
        <v>244225</v>
      </c>
      <c r="Y1057" s="15" t="s">
        <v>54</v>
      </c>
      <c r="Z1057" s="177">
        <v>244230</v>
      </c>
      <c r="AA1057" s="170"/>
      <c r="AB1057" s="170"/>
      <c r="AC1057" s="170"/>
      <c r="AD1057" s="170"/>
      <c r="AE1057" s="15" t="s">
        <v>54</v>
      </c>
      <c r="AF1057" s="177">
        <v>244231</v>
      </c>
      <c r="AG1057" s="177" t="str">
        <f t="shared" si="134"/>
        <v>Pass</v>
      </c>
      <c r="AH1057" s="177">
        <f t="shared" si="135"/>
        <v>244231</v>
      </c>
      <c r="AK1057" s="176"/>
      <c r="AL1057" s="176"/>
    </row>
    <row r="1058" spans="1:38" ht="36" customHeight="1" x14ac:dyDescent="0.2">
      <c r="A1058" s="14" t="s">
        <v>24</v>
      </c>
      <c r="B1058" s="212">
        <v>244223</v>
      </c>
      <c r="C1058" s="14" t="s">
        <v>547</v>
      </c>
      <c r="D1058" s="14" t="s">
        <v>268</v>
      </c>
      <c r="E1058" s="14" t="s">
        <v>14</v>
      </c>
      <c r="F1058" s="14" t="s">
        <v>324</v>
      </c>
      <c r="G1058" s="179">
        <v>681057</v>
      </c>
      <c r="H1058" s="176" t="s">
        <v>663</v>
      </c>
      <c r="I1058" s="176" t="s">
        <v>630</v>
      </c>
      <c r="J1058" s="176" t="s">
        <v>821</v>
      </c>
      <c r="K1058" s="176" t="s">
        <v>3414</v>
      </c>
      <c r="L1058" s="40" t="s">
        <v>124</v>
      </c>
      <c r="M1058" s="40" t="s">
        <v>341</v>
      </c>
      <c r="N1058" s="14" t="s">
        <v>2973</v>
      </c>
      <c r="O1058" s="14" t="s">
        <v>548</v>
      </c>
      <c r="P1058" s="14" t="s">
        <v>518</v>
      </c>
      <c r="Q1058" s="14" t="s">
        <v>549</v>
      </c>
      <c r="R1058" s="17">
        <v>115</v>
      </c>
      <c r="S1058" s="172" t="s">
        <v>51</v>
      </c>
      <c r="T1058" s="17">
        <v>2608</v>
      </c>
      <c r="U1058" s="14" t="s">
        <v>51</v>
      </c>
      <c r="V1058" s="16">
        <f t="shared" si="129"/>
        <v>244223</v>
      </c>
      <c r="W1058" s="16">
        <f t="shared" si="130"/>
        <v>244230</v>
      </c>
      <c r="X1058" s="16">
        <f t="shared" si="131"/>
        <v>244225</v>
      </c>
      <c r="Y1058" s="15" t="s">
        <v>54</v>
      </c>
      <c r="Z1058" s="177">
        <v>244230</v>
      </c>
      <c r="AA1058" s="170"/>
      <c r="AB1058" s="170"/>
      <c r="AC1058" s="170"/>
      <c r="AD1058" s="170"/>
      <c r="AE1058" s="15" t="s">
        <v>54</v>
      </c>
      <c r="AF1058" s="177">
        <v>244231</v>
      </c>
      <c r="AG1058" s="177" t="str">
        <f t="shared" si="134"/>
        <v>Pass</v>
      </c>
      <c r="AH1058" s="177">
        <f t="shared" si="135"/>
        <v>244231</v>
      </c>
      <c r="AK1058" s="176"/>
      <c r="AL1058" s="176"/>
    </row>
    <row r="1059" spans="1:38" ht="36" customHeight="1" x14ac:dyDescent="0.2">
      <c r="A1059" s="14" t="s">
        <v>24</v>
      </c>
      <c r="B1059" s="212">
        <v>244223</v>
      </c>
      <c r="C1059" s="14" t="s">
        <v>547</v>
      </c>
      <c r="D1059" s="14" t="s">
        <v>268</v>
      </c>
      <c r="E1059" s="14" t="s">
        <v>14</v>
      </c>
      <c r="F1059" s="14" t="s">
        <v>324</v>
      </c>
      <c r="G1059" s="179">
        <v>681058</v>
      </c>
      <c r="H1059" s="176" t="s">
        <v>1603</v>
      </c>
      <c r="I1059" s="176" t="s">
        <v>551</v>
      </c>
      <c r="J1059" s="176" t="s">
        <v>832</v>
      </c>
      <c r="K1059" s="176" t="s">
        <v>3416</v>
      </c>
      <c r="L1059" s="40" t="s">
        <v>108</v>
      </c>
      <c r="M1059" s="40" t="s">
        <v>341</v>
      </c>
      <c r="N1059" s="14" t="s">
        <v>3421</v>
      </c>
      <c r="O1059" s="14" t="s">
        <v>552</v>
      </c>
      <c r="P1059" s="14" t="s">
        <v>3426</v>
      </c>
      <c r="Q1059" s="14" t="s">
        <v>553</v>
      </c>
      <c r="R1059" s="17">
        <v>1547</v>
      </c>
      <c r="S1059" s="172" t="s">
        <v>51</v>
      </c>
      <c r="T1059" s="17">
        <v>2980</v>
      </c>
      <c r="U1059" s="14" t="s">
        <v>51</v>
      </c>
      <c r="V1059" s="16">
        <f t="shared" si="129"/>
        <v>244223</v>
      </c>
      <c r="W1059" s="16">
        <f t="shared" si="130"/>
        <v>244230</v>
      </c>
      <c r="X1059" s="16">
        <f t="shared" si="131"/>
        <v>244225</v>
      </c>
      <c r="Y1059" s="15" t="s">
        <v>54</v>
      </c>
      <c r="Z1059" s="177">
        <v>244230</v>
      </c>
      <c r="AA1059" s="170"/>
      <c r="AB1059" s="170"/>
      <c r="AC1059" s="170"/>
      <c r="AD1059" s="170"/>
      <c r="AE1059" s="15" t="s">
        <v>54</v>
      </c>
      <c r="AF1059" s="177">
        <v>244231</v>
      </c>
      <c r="AG1059" s="177" t="str">
        <f t="shared" si="134"/>
        <v>Pass</v>
      </c>
      <c r="AH1059" s="177">
        <f t="shared" si="135"/>
        <v>244231</v>
      </c>
      <c r="AK1059" s="176"/>
      <c r="AL1059" s="176"/>
    </row>
    <row r="1060" spans="1:38" ht="36" customHeight="1" x14ac:dyDescent="0.2">
      <c r="A1060" s="14" t="s">
        <v>24</v>
      </c>
      <c r="B1060" s="212">
        <v>244223</v>
      </c>
      <c r="C1060" s="14" t="s">
        <v>547</v>
      </c>
      <c r="D1060" s="14" t="s">
        <v>268</v>
      </c>
      <c r="E1060" s="14" t="s">
        <v>14</v>
      </c>
      <c r="F1060" s="14" t="s">
        <v>324</v>
      </c>
      <c r="G1060" s="179">
        <v>681059</v>
      </c>
      <c r="H1060" s="176" t="s">
        <v>772</v>
      </c>
      <c r="I1060" s="176" t="s">
        <v>774</v>
      </c>
      <c r="J1060" s="176" t="s">
        <v>123</v>
      </c>
      <c r="K1060" s="176" t="s">
        <v>3412</v>
      </c>
      <c r="L1060" s="40" t="s">
        <v>45</v>
      </c>
      <c r="M1060" s="40" t="s">
        <v>341</v>
      </c>
      <c r="N1060" s="14" t="s">
        <v>3422</v>
      </c>
      <c r="O1060" s="14" t="s">
        <v>528</v>
      </c>
      <c r="P1060" s="14" t="s">
        <v>1246</v>
      </c>
      <c r="Q1060" s="14" t="s">
        <v>541</v>
      </c>
      <c r="R1060" s="17">
        <v>250</v>
      </c>
      <c r="S1060" s="172" t="s">
        <v>51</v>
      </c>
      <c r="T1060" s="17">
        <v>1070</v>
      </c>
      <c r="U1060" s="14" t="s">
        <v>51</v>
      </c>
      <c r="V1060" s="16">
        <f t="shared" si="129"/>
        <v>244223</v>
      </c>
      <c r="W1060" s="16">
        <f t="shared" si="130"/>
        <v>244230</v>
      </c>
      <c r="X1060" s="16">
        <f t="shared" si="131"/>
        <v>244225</v>
      </c>
      <c r="Y1060" s="15" t="s">
        <v>54</v>
      </c>
      <c r="Z1060" s="177">
        <v>244230</v>
      </c>
      <c r="AA1060" s="170"/>
      <c r="AB1060" s="170"/>
      <c r="AC1060" s="170"/>
      <c r="AD1060" s="170"/>
      <c r="AE1060" s="15" t="s">
        <v>54</v>
      </c>
      <c r="AF1060" s="177">
        <v>244231</v>
      </c>
      <c r="AG1060" s="177" t="str">
        <f t="shared" si="134"/>
        <v>Pass</v>
      </c>
      <c r="AH1060" s="177">
        <f t="shared" si="135"/>
        <v>244231</v>
      </c>
      <c r="AK1060" s="176"/>
      <c r="AL1060" s="176"/>
    </row>
    <row r="1061" spans="1:38" ht="36" customHeight="1" x14ac:dyDescent="0.2">
      <c r="A1061" s="14" t="s">
        <v>24</v>
      </c>
      <c r="B1061" s="212">
        <v>244224</v>
      </c>
      <c r="C1061" s="14" t="s">
        <v>547</v>
      </c>
      <c r="D1061" s="14" t="s">
        <v>268</v>
      </c>
      <c r="E1061" s="14" t="s">
        <v>14</v>
      </c>
      <c r="F1061" s="14" t="s">
        <v>324</v>
      </c>
      <c r="G1061" s="179">
        <v>681060</v>
      </c>
      <c r="H1061" s="176" t="s">
        <v>772</v>
      </c>
      <c r="I1061" s="176" t="s">
        <v>774</v>
      </c>
      <c r="J1061" s="176" t="s">
        <v>123</v>
      </c>
      <c r="K1061" s="176" t="s">
        <v>3412</v>
      </c>
      <c r="L1061" s="40" t="s">
        <v>45</v>
      </c>
      <c r="M1061" s="40" t="s">
        <v>341</v>
      </c>
      <c r="N1061" s="14" t="s">
        <v>3436</v>
      </c>
      <c r="O1061" s="14" t="s">
        <v>548</v>
      </c>
      <c r="P1061" s="14" t="s">
        <v>518</v>
      </c>
      <c r="Q1061" s="14" t="s">
        <v>549</v>
      </c>
      <c r="R1061" s="17">
        <v>415</v>
      </c>
      <c r="S1061" s="172" t="s">
        <v>51</v>
      </c>
      <c r="T1061" s="17">
        <v>1950</v>
      </c>
      <c r="U1061" s="14" t="s">
        <v>51</v>
      </c>
      <c r="V1061" s="16">
        <f t="shared" si="129"/>
        <v>244224</v>
      </c>
      <c r="W1061" s="16">
        <f t="shared" si="130"/>
        <v>244231</v>
      </c>
      <c r="X1061" s="16">
        <f t="shared" si="131"/>
        <v>244226</v>
      </c>
      <c r="Y1061" s="15" t="s">
        <v>54</v>
      </c>
      <c r="Z1061" s="177">
        <v>244230</v>
      </c>
      <c r="AA1061" s="170"/>
      <c r="AB1061" s="170"/>
      <c r="AC1061" s="170"/>
      <c r="AD1061" s="170"/>
      <c r="AE1061" s="15" t="s">
        <v>54</v>
      </c>
      <c r="AF1061" s="177">
        <v>244231</v>
      </c>
      <c r="AG1061" s="177" t="str">
        <f t="shared" si="134"/>
        <v>Pass</v>
      </c>
      <c r="AH1061" s="177">
        <f t="shared" si="135"/>
        <v>244231</v>
      </c>
      <c r="AK1061" s="176"/>
      <c r="AL1061" s="176"/>
    </row>
    <row r="1062" spans="1:38" ht="36" customHeight="1" x14ac:dyDescent="0.2">
      <c r="A1062" s="14" t="s">
        <v>24</v>
      </c>
      <c r="B1062" s="212">
        <v>244224</v>
      </c>
      <c r="C1062" s="14" t="s">
        <v>547</v>
      </c>
      <c r="D1062" s="14" t="s">
        <v>268</v>
      </c>
      <c r="E1062" s="14" t="s">
        <v>14</v>
      </c>
      <c r="F1062" s="14" t="s">
        <v>324</v>
      </c>
      <c r="G1062" s="179">
        <v>681061</v>
      </c>
      <c r="H1062" s="176" t="s">
        <v>3428</v>
      </c>
      <c r="I1062" s="176" t="s">
        <v>630</v>
      </c>
      <c r="J1062" s="176" t="s">
        <v>3430</v>
      </c>
      <c r="K1062" s="176" t="s">
        <v>3431</v>
      </c>
      <c r="L1062" s="40" t="s">
        <v>46</v>
      </c>
      <c r="M1062" s="40" t="s">
        <v>341</v>
      </c>
      <c r="N1062" s="14" t="s">
        <v>3437</v>
      </c>
      <c r="O1062" s="14" t="s">
        <v>548</v>
      </c>
      <c r="P1062" s="14" t="s">
        <v>518</v>
      </c>
      <c r="Q1062" s="14" t="s">
        <v>549</v>
      </c>
      <c r="R1062" s="17">
        <v>440</v>
      </c>
      <c r="S1062" s="172" t="s">
        <v>51</v>
      </c>
      <c r="T1062" s="17">
        <v>2100</v>
      </c>
      <c r="U1062" s="14" t="s">
        <v>51</v>
      </c>
      <c r="V1062" s="16">
        <f t="shared" si="129"/>
        <v>244224</v>
      </c>
      <c r="W1062" s="16">
        <f t="shared" si="130"/>
        <v>244231</v>
      </c>
      <c r="X1062" s="16">
        <f t="shared" si="131"/>
        <v>244226</v>
      </c>
      <c r="Y1062" s="15" t="s">
        <v>54</v>
      </c>
      <c r="Z1062" s="177">
        <v>244230</v>
      </c>
      <c r="AA1062" s="170"/>
      <c r="AB1062" s="170"/>
      <c r="AC1062" s="170"/>
      <c r="AD1062" s="170"/>
      <c r="AE1062" s="15" t="s">
        <v>54</v>
      </c>
      <c r="AF1062" s="177">
        <v>244231</v>
      </c>
      <c r="AG1062" s="177" t="str">
        <f t="shared" si="134"/>
        <v>Pass</v>
      </c>
      <c r="AH1062" s="177">
        <f t="shared" si="135"/>
        <v>244231</v>
      </c>
      <c r="AK1062" s="176"/>
      <c r="AL1062" s="176"/>
    </row>
    <row r="1063" spans="1:38" ht="36" customHeight="1" x14ac:dyDescent="0.2">
      <c r="A1063" s="14" t="s">
        <v>24</v>
      </c>
      <c r="B1063" s="212">
        <v>244224</v>
      </c>
      <c r="C1063" s="14" t="s">
        <v>547</v>
      </c>
      <c r="D1063" s="14" t="s">
        <v>268</v>
      </c>
      <c r="E1063" s="14" t="s">
        <v>14</v>
      </c>
      <c r="F1063" s="14" t="s">
        <v>324</v>
      </c>
      <c r="G1063" s="179">
        <v>681062</v>
      </c>
      <c r="H1063" s="176" t="s">
        <v>611</v>
      </c>
      <c r="I1063" s="176" t="s">
        <v>612</v>
      </c>
      <c r="J1063" s="176" t="s">
        <v>865</v>
      </c>
      <c r="K1063" s="176" t="s">
        <v>3432</v>
      </c>
      <c r="L1063" s="40" t="s">
        <v>46</v>
      </c>
      <c r="M1063" s="40" t="s">
        <v>341</v>
      </c>
      <c r="N1063" s="14" t="s">
        <v>3438</v>
      </c>
      <c r="O1063" s="14" t="s">
        <v>528</v>
      </c>
      <c r="P1063" s="14" t="s">
        <v>3443</v>
      </c>
      <c r="Q1063" s="14" t="s">
        <v>541</v>
      </c>
      <c r="R1063" s="17">
        <v>400</v>
      </c>
      <c r="S1063" s="172" t="s">
        <v>51</v>
      </c>
      <c r="T1063" s="17">
        <v>1490</v>
      </c>
      <c r="U1063" s="14" t="s">
        <v>51</v>
      </c>
      <c r="V1063" s="16">
        <f t="shared" si="129"/>
        <v>244224</v>
      </c>
      <c r="W1063" s="16">
        <f t="shared" si="130"/>
        <v>244231</v>
      </c>
      <c r="X1063" s="16">
        <f t="shared" si="131"/>
        <v>244226</v>
      </c>
      <c r="Y1063" s="15" t="s">
        <v>54</v>
      </c>
      <c r="Z1063" s="177">
        <v>244230</v>
      </c>
      <c r="AA1063" s="170"/>
      <c r="AB1063" s="170"/>
      <c r="AC1063" s="170"/>
      <c r="AD1063" s="170"/>
      <c r="AE1063" s="15" t="s">
        <v>54</v>
      </c>
      <c r="AF1063" s="177">
        <v>244231</v>
      </c>
      <c r="AG1063" s="177" t="str">
        <f t="shared" si="134"/>
        <v>Pass</v>
      </c>
      <c r="AH1063" s="177">
        <f t="shared" si="135"/>
        <v>244231</v>
      </c>
      <c r="AK1063" s="176"/>
      <c r="AL1063" s="176"/>
    </row>
    <row r="1064" spans="1:38" ht="36" customHeight="1" x14ac:dyDescent="0.2">
      <c r="A1064" s="14" t="s">
        <v>24</v>
      </c>
      <c r="B1064" s="212">
        <v>244224</v>
      </c>
      <c r="C1064" s="14" t="s">
        <v>547</v>
      </c>
      <c r="D1064" s="14" t="s">
        <v>268</v>
      </c>
      <c r="E1064" s="14" t="s">
        <v>14</v>
      </c>
      <c r="F1064" s="14" t="s">
        <v>324</v>
      </c>
      <c r="G1064" s="179">
        <v>681063</v>
      </c>
      <c r="H1064" s="176" t="s">
        <v>3429</v>
      </c>
      <c r="I1064" s="176" t="s">
        <v>1794</v>
      </c>
      <c r="J1064" s="176" t="s">
        <v>130</v>
      </c>
      <c r="K1064" s="176" t="s">
        <v>3433</v>
      </c>
      <c r="L1064" s="40" t="s">
        <v>106</v>
      </c>
      <c r="M1064" s="40" t="s">
        <v>341</v>
      </c>
      <c r="N1064" s="14" t="s">
        <v>3439</v>
      </c>
      <c r="O1064" s="14" t="s">
        <v>527</v>
      </c>
      <c r="P1064" s="14" t="s">
        <v>1180</v>
      </c>
      <c r="Q1064" s="14" t="s">
        <v>542</v>
      </c>
      <c r="R1064" s="17">
        <v>210</v>
      </c>
      <c r="S1064" s="172" t="s">
        <v>51</v>
      </c>
      <c r="T1064" s="17"/>
      <c r="U1064" s="14"/>
      <c r="V1064" s="16">
        <f t="shared" ref="V1064:V1100" si="136">B1064</f>
        <v>244224</v>
      </c>
      <c r="W1064" s="16">
        <f t="shared" ref="W1064:W1100" si="137">B1064+7</f>
        <v>244231</v>
      </c>
      <c r="X1064" s="16">
        <f t="shared" ref="X1064:X1100" si="138">V1064+2</f>
        <v>244226</v>
      </c>
      <c r="Y1064" s="15" t="s">
        <v>54</v>
      </c>
      <c r="Z1064" s="177">
        <v>244230</v>
      </c>
      <c r="AA1064" s="170"/>
      <c r="AB1064" s="170"/>
      <c r="AC1064" s="170"/>
      <c r="AD1064" s="170"/>
      <c r="AE1064" s="15" t="s">
        <v>54</v>
      </c>
      <c r="AF1064" s="177">
        <v>244231</v>
      </c>
      <c r="AG1064" s="177" t="str">
        <f t="shared" si="134"/>
        <v>Pass</v>
      </c>
      <c r="AH1064" s="177">
        <f t="shared" si="135"/>
        <v>244231</v>
      </c>
      <c r="AK1064" s="176"/>
      <c r="AL1064" s="176"/>
    </row>
    <row r="1065" spans="1:38" ht="36" customHeight="1" x14ac:dyDescent="0.2">
      <c r="A1065" s="14" t="s">
        <v>24</v>
      </c>
      <c r="B1065" s="212">
        <v>244224</v>
      </c>
      <c r="C1065" s="14" t="s">
        <v>547</v>
      </c>
      <c r="D1065" s="14" t="s">
        <v>268</v>
      </c>
      <c r="E1065" s="14" t="s">
        <v>14</v>
      </c>
      <c r="F1065" s="14" t="s">
        <v>324</v>
      </c>
      <c r="G1065" s="179">
        <v>681064</v>
      </c>
      <c r="H1065" s="176" t="s">
        <v>611</v>
      </c>
      <c r="I1065" s="176" t="s">
        <v>612</v>
      </c>
      <c r="J1065" s="176" t="s">
        <v>865</v>
      </c>
      <c r="K1065" s="176" t="s">
        <v>3432</v>
      </c>
      <c r="L1065" s="40" t="s">
        <v>46</v>
      </c>
      <c r="M1065" s="40" t="s">
        <v>341</v>
      </c>
      <c r="N1065" s="14" t="s">
        <v>765</v>
      </c>
      <c r="O1065" s="14" t="s">
        <v>548</v>
      </c>
      <c r="P1065" s="14" t="s">
        <v>518</v>
      </c>
      <c r="Q1065" s="14" t="s">
        <v>549</v>
      </c>
      <c r="R1065" s="17">
        <v>200</v>
      </c>
      <c r="S1065" s="172" t="s">
        <v>51</v>
      </c>
      <c r="T1065" s="17">
        <v>1490</v>
      </c>
      <c r="U1065" s="14" t="s">
        <v>51</v>
      </c>
      <c r="V1065" s="16">
        <f t="shared" si="136"/>
        <v>244224</v>
      </c>
      <c r="W1065" s="16">
        <f t="shared" si="137"/>
        <v>244231</v>
      </c>
      <c r="X1065" s="16">
        <f t="shared" si="138"/>
        <v>244226</v>
      </c>
      <c r="Y1065" s="15" t="s">
        <v>54</v>
      </c>
      <c r="Z1065" s="177">
        <v>244230</v>
      </c>
      <c r="AA1065" s="170"/>
      <c r="AB1065" s="170"/>
      <c r="AC1065" s="170"/>
      <c r="AD1065" s="170"/>
      <c r="AE1065" s="15" t="s">
        <v>54</v>
      </c>
      <c r="AF1065" s="177">
        <v>244231</v>
      </c>
      <c r="AG1065" s="177" t="str">
        <f t="shared" si="134"/>
        <v>Pass</v>
      </c>
      <c r="AH1065" s="177">
        <f t="shared" si="135"/>
        <v>244231</v>
      </c>
      <c r="AK1065" s="176"/>
      <c r="AL1065" s="176"/>
    </row>
    <row r="1066" spans="1:38" ht="36" customHeight="1" x14ac:dyDescent="0.2">
      <c r="A1066" s="14" t="s">
        <v>24</v>
      </c>
      <c r="B1066" s="212">
        <v>244224</v>
      </c>
      <c r="C1066" s="14" t="s">
        <v>547</v>
      </c>
      <c r="D1066" s="14" t="s">
        <v>268</v>
      </c>
      <c r="E1066" s="14" t="s">
        <v>14</v>
      </c>
      <c r="F1066" s="14" t="s">
        <v>324</v>
      </c>
      <c r="G1066" s="179">
        <v>681065</v>
      </c>
      <c r="H1066" s="176" t="s">
        <v>1925</v>
      </c>
      <c r="I1066" s="176" t="s">
        <v>630</v>
      </c>
      <c r="J1066" s="176" t="s">
        <v>520</v>
      </c>
      <c r="K1066" s="176" t="s">
        <v>3434</v>
      </c>
      <c r="L1066" s="40" t="s">
        <v>105</v>
      </c>
      <c r="M1066" s="40" t="s">
        <v>341</v>
      </c>
      <c r="N1066" s="14" t="s">
        <v>3440</v>
      </c>
      <c r="O1066" s="14" t="s">
        <v>1178</v>
      </c>
      <c r="P1066" s="14" t="s">
        <v>684</v>
      </c>
      <c r="Q1066" s="14" t="s">
        <v>1182</v>
      </c>
      <c r="R1066" s="17">
        <v>160</v>
      </c>
      <c r="S1066" s="172" t="s">
        <v>51</v>
      </c>
      <c r="T1066" s="17">
        <v>1700</v>
      </c>
      <c r="U1066" s="14" t="s">
        <v>51</v>
      </c>
      <c r="V1066" s="16">
        <f t="shared" si="136"/>
        <v>244224</v>
      </c>
      <c r="W1066" s="16">
        <f t="shared" si="137"/>
        <v>244231</v>
      </c>
      <c r="X1066" s="16">
        <f t="shared" si="138"/>
        <v>244226</v>
      </c>
      <c r="Y1066" s="15" t="s">
        <v>54</v>
      </c>
      <c r="Z1066" s="177">
        <v>244230</v>
      </c>
      <c r="AA1066" s="170"/>
      <c r="AB1066" s="170"/>
      <c r="AC1066" s="170"/>
      <c r="AD1066" s="170"/>
      <c r="AE1066" s="15" t="s">
        <v>54</v>
      </c>
      <c r="AF1066" s="177">
        <v>244231</v>
      </c>
      <c r="AG1066" s="177" t="str">
        <f t="shared" si="134"/>
        <v>Pass</v>
      </c>
      <c r="AH1066" s="177">
        <f t="shared" si="135"/>
        <v>244231</v>
      </c>
      <c r="AK1066" s="176"/>
      <c r="AL1066" s="176"/>
    </row>
    <row r="1067" spans="1:38" ht="36" customHeight="1" x14ac:dyDescent="0.2">
      <c r="A1067" s="14" t="s">
        <v>24</v>
      </c>
      <c r="B1067" s="212">
        <v>244224</v>
      </c>
      <c r="C1067" s="14" t="s">
        <v>547</v>
      </c>
      <c r="D1067" s="14" t="s">
        <v>268</v>
      </c>
      <c r="E1067" s="14" t="s">
        <v>14</v>
      </c>
      <c r="F1067" s="14" t="s">
        <v>324</v>
      </c>
      <c r="G1067" s="179">
        <v>681066</v>
      </c>
      <c r="H1067" s="176" t="s">
        <v>1925</v>
      </c>
      <c r="I1067" s="176" t="s">
        <v>630</v>
      </c>
      <c r="J1067" s="176" t="s">
        <v>520</v>
      </c>
      <c r="K1067" s="176" t="s">
        <v>3434</v>
      </c>
      <c r="L1067" s="40" t="s">
        <v>105</v>
      </c>
      <c r="M1067" s="40" t="s">
        <v>341</v>
      </c>
      <c r="N1067" s="14" t="s">
        <v>2343</v>
      </c>
      <c r="O1067" s="14" t="s">
        <v>548</v>
      </c>
      <c r="P1067" s="14" t="s">
        <v>518</v>
      </c>
      <c r="Q1067" s="14" t="s">
        <v>549</v>
      </c>
      <c r="R1067" s="17">
        <v>236</v>
      </c>
      <c r="S1067" s="172" t="s">
        <v>51</v>
      </c>
      <c r="T1067" s="17">
        <v>1700</v>
      </c>
      <c r="U1067" s="14" t="s">
        <v>51</v>
      </c>
      <c r="V1067" s="16">
        <f t="shared" si="136"/>
        <v>244224</v>
      </c>
      <c r="W1067" s="16">
        <f t="shared" si="137"/>
        <v>244231</v>
      </c>
      <c r="X1067" s="16">
        <f t="shared" si="138"/>
        <v>244226</v>
      </c>
      <c r="Y1067" s="15" t="s">
        <v>54</v>
      </c>
      <c r="Z1067" s="177">
        <v>244230</v>
      </c>
      <c r="AA1067" s="170"/>
      <c r="AB1067" s="170"/>
      <c r="AC1067" s="170"/>
      <c r="AD1067" s="170"/>
      <c r="AE1067" s="15" t="s">
        <v>54</v>
      </c>
      <c r="AF1067" s="177">
        <v>244231</v>
      </c>
      <c r="AG1067" s="177" t="str">
        <f t="shared" si="134"/>
        <v>Pass</v>
      </c>
      <c r="AH1067" s="177">
        <f t="shared" si="135"/>
        <v>244231</v>
      </c>
      <c r="AK1067" s="176"/>
      <c r="AL1067" s="176"/>
    </row>
    <row r="1068" spans="1:38" ht="36" customHeight="1" x14ac:dyDescent="0.2">
      <c r="A1068" s="14" t="s">
        <v>24</v>
      </c>
      <c r="B1068" s="212">
        <v>244224</v>
      </c>
      <c r="C1068" s="14" t="s">
        <v>547</v>
      </c>
      <c r="D1068" s="14" t="s">
        <v>268</v>
      </c>
      <c r="E1068" s="14" t="s">
        <v>14</v>
      </c>
      <c r="F1068" s="14" t="s">
        <v>324</v>
      </c>
      <c r="G1068" s="179">
        <v>681067</v>
      </c>
      <c r="H1068" s="176" t="s">
        <v>1162</v>
      </c>
      <c r="I1068" s="176" t="s">
        <v>630</v>
      </c>
      <c r="J1068" s="176" t="s">
        <v>1190</v>
      </c>
      <c r="K1068" s="176" t="s">
        <v>3435</v>
      </c>
      <c r="L1068" s="40" t="s">
        <v>46</v>
      </c>
      <c r="M1068" s="40" t="s">
        <v>341</v>
      </c>
      <c r="N1068" s="14" t="s">
        <v>3441</v>
      </c>
      <c r="O1068" s="14" t="s">
        <v>3442</v>
      </c>
      <c r="P1068" s="14" t="s">
        <v>3444</v>
      </c>
      <c r="Q1068" s="14" t="s">
        <v>3445</v>
      </c>
      <c r="R1068" s="17">
        <v>1970</v>
      </c>
      <c r="S1068" s="172" t="s">
        <v>51</v>
      </c>
      <c r="T1068" s="17">
        <v>1825</v>
      </c>
      <c r="U1068" s="14" t="s">
        <v>51</v>
      </c>
      <c r="V1068" s="16">
        <f t="shared" si="136"/>
        <v>244224</v>
      </c>
      <c r="W1068" s="16">
        <f t="shared" si="137"/>
        <v>244231</v>
      </c>
      <c r="X1068" s="16">
        <f t="shared" si="138"/>
        <v>244226</v>
      </c>
      <c r="Y1068" s="15" t="s">
        <v>54</v>
      </c>
      <c r="Z1068" s="177">
        <v>244230</v>
      </c>
      <c r="AA1068" s="170"/>
      <c r="AB1068" s="170"/>
      <c r="AC1068" s="170"/>
      <c r="AD1068" s="170"/>
      <c r="AE1068" s="15" t="s">
        <v>54</v>
      </c>
      <c r="AF1068" s="177">
        <v>244231</v>
      </c>
      <c r="AG1068" s="177" t="str">
        <f t="shared" si="134"/>
        <v>Pass</v>
      </c>
      <c r="AH1068" s="177">
        <f t="shared" si="135"/>
        <v>244231</v>
      </c>
      <c r="AK1068" s="176"/>
      <c r="AL1068" s="176"/>
    </row>
    <row r="1069" spans="1:38" ht="36" customHeight="1" x14ac:dyDescent="0.2">
      <c r="A1069" s="14" t="s">
        <v>24</v>
      </c>
      <c r="B1069" s="212">
        <v>244224</v>
      </c>
      <c r="C1069" s="14" t="s">
        <v>547</v>
      </c>
      <c r="D1069" s="14" t="s">
        <v>268</v>
      </c>
      <c r="E1069" s="14" t="s">
        <v>14</v>
      </c>
      <c r="F1069" s="14" t="s">
        <v>324</v>
      </c>
      <c r="G1069" s="179">
        <v>681068</v>
      </c>
      <c r="H1069" s="176" t="s">
        <v>1162</v>
      </c>
      <c r="I1069" s="176" t="s">
        <v>630</v>
      </c>
      <c r="J1069" s="176" t="s">
        <v>1190</v>
      </c>
      <c r="K1069" s="176" t="s">
        <v>3435</v>
      </c>
      <c r="L1069" s="40" t="s">
        <v>46</v>
      </c>
      <c r="M1069" s="40" t="s">
        <v>341</v>
      </c>
      <c r="N1069" s="14" t="s">
        <v>3447</v>
      </c>
      <c r="O1069" s="14" t="s">
        <v>3450</v>
      </c>
      <c r="P1069" s="14" t="s">
        <v>3451</v>
      </c>
      <c r="Q1069" s="14" t="s">
        <v>3453</v>
      </c>
      <c r="R1069" s="17">
        <v>740</v>
      </c>
      <c r="S1069" s="172" t="s">
        <v>51</v>
      </c>
      <c r="T1069" s="17">
        <v>2095</v>
      </c>
      <c r="U1069" s="14" t="s">
        <v>51</v>
      </c>
      <c r="V1069" s="16">
        <f t="shared" si="136"/>
        <v>244224</v>
      </c>
      <c r="W1069" s="16">
        <f t="shared" si="137"/>
        <v>244231</v>
      </c>
      <c r="X1069" s="16">
        <f t="shared" si="138"/>
        <v>244226</v>
      </c>
      <c r="Y1069" s="15" t="s">
        <v>54</v>
      </c>
      <c r="Z1069" s="177">
        <v>244230</v>
      </c>
      <c r="AA1069" s="170"/>
      <c r="AB1069" s="170"/>
      <c r="AC1069" s="170"/>
      <c r="AD1069" s="170"/>
      <c r="AE1069" s="15" t="s">
        <v>54</v>
      </c>
      <c r="AF1069" s="177">
        <v>244231</v>
      </c>
      <c r="AG1069" s="177" t="str">
        <f t="shared" si="134"/>
        <v>Pass</v>
      </c>
      <c r="AH1069" s="177">
        <f t="shared" si="135"/>
        <v>244231</v>
      </c>
      <c r="AK1069" s="176"/>
      <c r="AL1069" s="176"/>
    </row>
    <row r="1070" spans="1:38" ht="36" customHeight="1" x14ac:dyDescent="0.2">
      <c r="A1070" s="14" t="s">
        <v>24</v>
      </c>
      <c r="B1070" s="212">
        <v>244224</v>
      </c>
      <c r="C1070" s="14" t="s">
        <v>547</v>
      </c>
      <c r="D1070" s="14" t="s">
        <v>268</v>
      </c>
      <c r="E1070" s="14" t="s">
        <v>14</v>
      </c>
      <c r="F1070" s="14" t="s">
        <v>324</v>
      </c>
      <c r="G1070" s="179">
        <v>681069</v>
      </c>
      <c r="H1070" s="176" t="s">
        <v>772</v>
      </c>
      <c r="I1070" s="176" t="s">
        <v>774</v>
      </c>
      <c r="J1070" s="176" t="s">
        <v>123</v>
      </c>
      <c r="K1070" s="176" t="s">
        <v>3412</v>
      </c>
      <c r="L1070" s="40" t="s">
        <v>45</v>
      </c>
      <c r="M1070" s="40" t="s">
        <v>341</v>
      </c>
      <c r="N1070" s="14" t="s">
        <v>3448</v>
      </c>
      <c r="O1070" s="14" t="s">
        <v>548</v>
      </c>
      <c r="P1070" s="14" t="s">
        <v>518</v>
      </c>
      <c r="Q1070" s="14" t="s">
        <v>549</v>
      </c>
      <c r="R1070" s="17">
        <v>295</v>
      </c>
      <c r="S1070" s="172" t="s">
        <v>51</v>
      </c>
      <c r="T1070" s="17">
        <v>700</v>
      </c>
      <c r="U1070" s="14" t="s">
        <v>51</v>
      </c>
      <c r="V1070" s="16">
        <f t="shared" si="136"/>
        <v>244224</v>
      </c>
      <c r="W1070" s="16">
        <f t="shared" si="137"/>
        <v>244231</v>
      </c>
      <c r="X1070" s="16">
        <f t="shared" si="138"/>
        <v>244226</v>
      </c>
      <c r="Y1070" s="15" t="s">
        <v>54</v>
      </c>
      <c r="Z1070" s="177">
        <v>244230</v>
      </c>
      <c r="AA1070" s="170"/>
      <c r="AB1070" s="170"/>
      <c r="AC1070" s="170"/>
      <c r="AD1070" s="170"/>
      <c r="AE1070" s="15" t="s">
        <v>54</v>
      </c>
      <c r="AF1070" s="177">
        <v>244231</v>
      </c>
      <c r="AG1070" s="177" t="str">
        <f t="shared" si="134"/>
        <v>Pass</v>
      </c>
      <c r="AH1070" s="177">
        <f t="shared" si="135"/>
        <v>244231</v>
      </c>
      <c r="AK1070" s="176"/>
      <c r="AL1070" s="176"/>
    </row>
    <row r="1071" spans="1:38" ht="36" customHeight="1" x14ac:dyDescent="0.2">
      <c r="A1071" s="14" t="s">
        <v>24</v>
      </c>
      <c r="B1071" s="212">
        <v>244224</v>
      </c>
      <c r="C1071" s="14" t="s">
        <v>547</v>
      </c>
      <c r="D1071" s="14" t="s">
        <v>268</v>
      </c>
      <c r="E1071" s="14" t="s">
        <v>14</v>
      </c>
      <c r="F1071" s="14" t="s">
        <v>324</v>
      </c>
      <c r="G1071" s="179">
        <v>681070</v>
      </c>
      <c r="H1071" s="176" t="s">
        <v>2428</v>
      </c>
      <c r="I1071" s="176" t="s">
        <v>2431</v>
      </c>
      <c r="J1071" s="176" t="s">
        <v>1813</v>
      </c>
      <c r="K1071" s="176" t="s">
        <v>3446</v>
      </c>
      <c r="L1071" s="40" t="s">
        <v>108</v>
      </c>
      <c r="M1071" s="40" t="s">
        <v>341</v>
      </c>
      <c r="N1071" s="14" t="s">
        <v>3449</v>
      </c>
      <c r="O1071" s="14" t="s">
        <v>543</v>
      </c>
      <c r="P1071" s="14" t="s">
        <v>3452</v>
      </c>
      <c r="Q1071" s="14" t="s">
        <v>529</v>
      </c>
      <c r="R1071" s="17">
        <v>400</v>
      </c>
      <c r="S1071" s="172" t="s">
        <v>51</v>
      </c>
      <c r="T1071" s="17">
        <v>2424</v>
      </c>
      <c r="U1071" s="14" t="s">
        <v>51</v>
      </c>
      <c r="V1071" s="16">
        <f t="shared" si="136"/>
        <v>244224</v>
      </c>
      <c r="W1071" s="16">
        <f t="shared" si="137"/>
        <v>244231</v>
      </c>
      <c r="X1071" s="16">
        <f t="shared" si="138"/>
        <v>244226</v>
      </c>
      <c r="Y1071" s="15" t="s">
        <v>54</v>
      </c>
      <c r="Z1071" s="177">
        <v>244230</v>
      </c>
      <c r="AA1071" s="170"/>
      <c r="AB1071" s="170"/>
      <c r="AC1071" s="170"/>
      <c r="AD1071" s="170"/>
      <c r="AE1071" s="15" t="s">
        <v>54</v>
      </c>
      <c r="AF1071" s="177">
        <v>244231</v>
      </c>
      <c r="AG1071" s="177" t="str">
        <f t="shared" si="134"/>
        <v>Pass</v>
      </c>
      <c r="AH1071" s="177">
        <f t="shared" si="135"/>
        <v>244231</v>
      </c>
      <c r="AK1071" s="176"/>
      <c r="AL1071" s="176"/>
    </row>
    <row r="1072" spans="1:38" ht="36" customHeight="1" x14ac:dyDescent="0.2">
      <c r="A1072" s="14" t="s">
        <v>24</v>
      </c>
      <c r="B1072" s="212">
        <v>244225</v>
      </c>
      <c r="C1072" s="14" t="s">
        <v>547</v>
      </c>
      <c r="D1072" s="14" t="s">
        <v>268</v>
      </c>
      <c r="E1072" s="14" t="s">
        <v>14</v>
      </c>
      <c r="F1072" s="14" t="s">
        <v>324</v>
      </c>
      <c r="G1072" s="179">
        <v>681071</v>
      </c>
      <c r="H1072" s="176" t="s">
        <v>3454</v>
      </c>
      <c r="I1072" s="176" t="s">
        <v>1794</v>
      </c>
      <c r="J1072" s="176" t="s">
        <v>130</v>
      </c>
      <c r="K1072" s="176" t="s">
        <v>3455</v>
      </c>
      <c r="L1072" s="40" t="s">
        <v>106</v>
      </c>
      <c r="M1072" s="40" t="s">
        <v>341</v>
      </c>
      <c r="N1072" s="14" t="s">
        <v>3459</v>
      </c>
      <c r="O1072" s="14" t="s">
        <v>3463</v>
      </c>
      <c r="P1072" s="14" t="s">
        <v>3464</v>
      </c>
      <c r="Q1072" s="14" t="s">
        <v>3468</v>
      </c>
      <c r="R1072" s="17" t="s">
        <v>624</v>
      </c>
      <c r="S1072" s="172" t="s">
        <v>51</v>
      </c>
      <c r="T1072" s="17"/>
      <c r="U1072" s="14"/>
      <c r="V1072" s="16">
        <f t="shared" si="136"/>
        <v>244225</v>
      </c>
      <c r="W1072" s="16">
        <f t="shared" si="137"/>
        <v>244232</v>
      </c>
      <c r="X1072" s="16">
        <f t="shared" si="138"/>
        <v>244227</v>
      </c>
      <c r="Y1072" s="15" t="s">
        <v>54</v>
      </c>
      <c r="Z1072" s="177">
        <v>244230</v>
      </c>
      <c r="AA1072" s="170"/>
      <c r="AB1072" s="170"/>
      <c r="AC1072" s="170"/>
      <c r="AD1072" s="170"/>
      <c r="AE1072" s="15" t="s">
        <v>54</v>
      </c>
      <c r="AF1072" s="177">
        <v>244231</v>
      </c>
      <c r="AG1072" s="177" t="str">
        <f t="shared" ref="AG1072:AG1135" si="139">AE1072</f>
        <v>Pass</v>
      </c>
      <c r="AH1072" s="177">
        <f t="shared" ref="AH1072:AH1135" si="140">AF1072</f>
        <v>244231</v>
      </c>
      <c r="AK1072" s="176"/>
      <c r="AL1072" s="176"/>
    </row>
    <row r="1073" spans="1:38" ht="36" customHeight="1" x14ac:dyDescent="0.2">
      <c r="A1073" s="14" t="s">
        <v>24</v>
      </c>
      <c r="B1073" s="212">
        <v>244225</v>
      </c>
      <c r="C1073" s="14" t="s">
        <v>547</v>
      </c>
      <c r="D1073" s="14" t="s">
        <v>268</v>
      </c>
      <c r="E1073" s="14" t="s">
        <v>14</v>
      </c>
      <c r="F1073" s="14" t="s">
        <v>324</v>
      </c>
      <c r="G1073" s="179">
        <v>681072</v>
      </c>
      <c r="H1073" s="176" t="s">
        <v>1092</v>
      </c>
      <c r="I1073" s="176" t="s">
        <v>630</v>
      </c>
      <c r="J1073" s="176" t="s">
        <v>520</v>
      </c>
      <c r="K1073" s="176" t="s">
        <v>3456</v>
      </c>
      <c r="L1073" s="40" t="s">
        <v>124</v>
      </c>
      <c r="M1073" s="40" t="s">
        <v>341</v>
      </c>
      <c r="N1073" s="14" t="s">
        <v>3460</v>
      </c>
      <c r="O1073" s="14" t="s">
        <v>527</v>
      </c>
      <c r="P1073" s="14" t="s">
        <v>2856</v>
      </c>
      <c r="Q1073" s="14" t="s">
        <v>542</v>
      </c>
      <c r="R1073" s="17">
        <v>137</v>
      </c>
      <c r="S1073" s="172" t="s">
        <v>51</v>
      </c>
      <c r="T1073" s="17">
        <v>2071</v>
      </c>
      <c r="U1073" s="14" t="s">
        <v>51</v>
      </c>
      <c r="V1073" s="16">
        <f t="shared" si="136"/>
        <v>244225</v>
      </c>
      <c r="W1073" s="16">
        <f t="shared" si="137"/>
        <v>244232</v>
      </c>
      <c r="X1073" s="16">
        <f t="shared" si="138"/>
        <v>244227</v>
      </c>
      <c r="Y1073" s="15" t="s">
        <v>54</v>
      </c>
      <c r="Z1073" s="177">
        <v>244230</v>
      </c>
      <c r="AA1073" s="170"/>
      <c r="AB1073" s="170"/>
      <c r="AC1073" s="170"/>
      <c r="AD1073" s="170"/>
      <c r="AE1073" s="15" t="s">
        <v>54</v>
      </c>
      <c r="AF1073" s="177">
        <v>244231</v>
      </c>
      <c r="AG1073" s="177" t="str">
        <f t="shared" si="139"/>
        <v>Pass</v>
      </c>
      <c r="AH1073" s="177">
        <f t="shared" si="140"/>
        <v>244231</v>
      </c>
      <c r="AK1073" s="176"/>
      <c r="AL1073" s="176"/>
    </row>
    <row r="1074" spans="1:38" ht="36" customHeight="1" x14ac:dyDescent="0.2">
      <c r="A1074" s="14" t="s">
        <v>24</v>
      </c>
      <c r="B1074" s="212">
        <v>244225</v>
      </c>
      <c r="C1074" s="14" t="s">
        <v>547</v>
      </c>
      <c r="D1074" s="14" t="s">
        <v>268</v>
      </c>
      <c r="E1074" s="14" t="s">
        <v>14</v>
      </c>
      <c r="F1074" s="14" t="s">
        <v>324</v>
      </c>
      <c r="G1074" s="179">
        <v>681073</v>
      </c>
      <c r="H1074" s="176" t="s">
        <v>3078</v>
      </c>
      <c r="I1074" s="176" t="s">
        <v>1874</v>
      </c>
      <c r="J1074" s="176" t="s">
        <v>127</v>
      </c>
      <c r="K1074" s="176" t="s">
        <v>3457</v>
      </c>
      <c r="L1074" s="40" t="s">
        <v>108</v>
      </c>
      <c r="M1074" s="40" t="s">
        <v>341</v>
      </c>
      <c r="N1074" s="14" t="s">
        <v>3461</v>
      </c>
      <c r="O1074" s="14" t="s">
        <v>543</v>
      </c>
      <c r="P1074" s="14" t="s">
        <v>3465</v>
      </c>
      <c r="Q1074" s="14" t="s">
        <v>529</v>
      </c>
      <c r="R1074" s="17">
        <v>1050</v>
      </c>
      <c r="S1074" s="172" t="s">
        <v>51</v>
      </c>
      <c r="T1074" s="17">
        <v>3045</v>
      </c>
      <c r="U1074" s="14" t="s">
        <v>51</v>
      </c>
      <c r="V1074" s="16">
        <f t="shared" si="136"/>
        <v>244225</v>
      </c>
      <c r="W1074" s="16">
        <f t="shared" si="137"/>
        <v>244232</v>
      </c>
      <c r="X1074" s="16">
        <f t="shared" si="138"/>
        <v>244227</v>
      </c>
      <c r="Y1074" s="15" t="s">
        <v>54</v>
      </c>
      <c r="Z1074" s="177">
        <v>244230</v>
      </c>
      <c r="AA1074" s="170"/>
      <c r="AB1074" s="170"/>
      <c r="AC1074" s="170"/>
      <c r="AD1074" s="170"/>
      <c r="AE1074" s="15" t="s">
        <v>54</v>
      </c>
      <c r="AF1074" s="177">
        <v>244231</v>
      </c>
      <c r="AG1074" s="177" t="str">
        <f t="shared" si="139"/>
        <v>Pass</v>
      </c>
      <c r="AH1074" s="177">
        <f t="shared" si="140"/>
        <v>244231</v>
      </c>
      <c r="AK1074" s="176"/>
      <c r="AL1074" s="176"/>
    </row>
    <row r="1075" spans="1:38" ht="36" customHeight="1" x14ac:dyDescent="0.2">
      <c r="A1075" s="14" t="s">
        <v>24</v>
      </c>
      <c r="B1075" s="212">
        <v>244225</v>
      </c>
      <c r="C1075" s="14" t="s">
        <v>547</v>
      </c>
      <c r="D1075" s="14" t="s">
        <v>268</v>
      </c>
      <c r="E1075" s="14" t="s">
        <v>14</v>
      </c>
      <c r="F1075" s="14" t="s">
        <v>324</v>
      </c>
      <c r="G1075" s="179">
        <v>681074</v>
      </c>
      <c r="H1075" s="176" t="s">
        <v>1925</v>
      </c>
      <c r="I1075" s="176" t="s">
        <v>630</v>
      </c>
      <c r="J1075" s="176" t="s">
        <v>520</v>
      </c>
      <c r="K1075" s="176" t="s">
        <v>3458</v>
      </c>
      <c r="L1075" s="40" t="s">
        <v>105</v>
      </c>
      <c r="M1075" s="40" t="s">
        <v>341</v>
      </c>
      <c r="N1075" s="14" t="s">
        <v>3466</v>
      </c>
      <c r="O1075" s="14" t="s">
        <v>543</v>
      </c>
      <c r="P1075" s="14" t="s">
        <v>686</v>
      </c>
      <c r="Q1075" s="14" t="s">
        <v>529</v>
      </c>
      <c r="R1075" s="17">
        <v>800</v>
      </c>
      <c r="S1075" s="172" t="s">
        <v>51</v>
      </c>
      <c r="T1075" s="17"/>
      <c r="U1075" s="14"/>
      <c r="V1075" s="16">
        <f t="shared" si="136"/>
        <v>244225</v>
      </c>
      <c r="W1075" s="16">
        <f t="shared" si="137"/>
        <v>244232</v>
      </c>
      <c r="X1075" s="16">
        <f t="shared" si="138"/>
        <v>244227</v>
      </c>
      <c r="Y1075" s="15" t="s">
        <v>54</v>
      </c>
      <c r="Z1075" s="177">
        <v>244230</v>
      </c>
      <c r="AA1075" s="170"/>
      <c r="AB1075" s="170"/>
      <c r="AC1075" s="170"/>
      <c r="AD1075" s="170"/>
      <c r="AE1075" s="15" t="s">
        <v>54</v>
      </c>
      <c r="AF1075" s="177">
        <v>244231</v>
      </c>
      <c r="AG1075" s="177" t="str">
        <f t="shared" si="139"/>
        <v>Pass</v>
      </c>
      <c r="AH1075" s="177">
        <f t="shared" si="140"/>
        <v>244231</v>
      </c>
      <c r="AK1075" s="176"/>
      <c r="AL1075" s="176"/>
    </row>
    <row r="1076" spans="1:38" ht="36" customHeight="1" x14ac:dyDescent="0.2">
      <c r="A1076" s="14" t="s">
        <v>24</v>
      </c>
      <c r="B1076" s="212">
        <v>244225</v>
      </c>
      <c r="C1076" s="14" t="s">
        <v>547</v>
      </c>
      <c r="D1076" s="14" t="s">
        <v>268</v>
      </c>
      <c r="E1076" s="14" t="s">
        <v>14</v>
      </c>
      <c r="F1076" s="14" t="s">
        <v>324</v>
      </c>
      <c r="G1076" s="179">
        <v>681075</v>
      </c>
      <c r="H1076" s="176" t="s">
        <v>1925</v>
      </c>
      <c r="I1076" s="176" t="s">
        <v>630</v>
      </c>
      <c r="J1076" s="176" t="s">
        <v>520</v>
      </c>
      <c r="K1076" s="176" t="s">
        <v>3458</v>
      </c>
      <c r="L1076" s="40" t="s">
        <v>105</v>
      </c>
      <c r="M1076" s="40" t="s">
        <v>341</v>
      </c>
      <c r="N1076" s="14" t="s">
        <v>3462</v>
      </c>
      <c r="O1076" s="14" t="s">
        <v>953</v>
      </c>
      <c r="P1076" s="14" t="s">
        <v>3467</v>
      </c>
      <c r="Q1076" s="14" t="s">
        <v>956</v>
      </c>
      <c r="R1076" s="17">
        <v>560</v>
      </c>
      <c r="S1076" s="172" t="s">
        <v>51</v>
      </c>
      <c r="T1076" s="17">
        <v>2000</v>
      </c>
      <c r="U1076" s="14" t="s">
        <v>51</v>
      </c>
      <c r="V1076" s="16">
        <f t="shared" si="136"/>
        <v>244225</v>
      </c>
      <c r="W1076" s="16">
        <f t="shared" si="137"/>
        <v>244232</v>
      </c>
      <c r="X1076" s="16">
        <f t="shared" si="138"/>
        <v>244227</v>
      </c>
      <c r="Y1076" s="15" t="s">
        <v>54</v>
      </c>
      <c r="Z1076" s="177">
        <v>244230</v>
      </c>
      <c r="AA1076" s="170"/>
      <c r="AB1076" s="170"/>
      <c r="AC1076" s="170"/>
      <c r="AD1076" s="170"/>
      <c r="AE1076" s="15" t="s">
        <v>54</v>
      </c>
      <c r="AF1076" s="177">
        <v>244231</v>
      </c>
      <c r="AG1076" s="177" t="str">
        <f t="shared" si="139"/>
        <v>Pass</v>
      </c>
      <c r="AH1076" s="177">
        <f t="shared" si="140"/>
        <v>244231</v>
      </c>
      <c r="AK1076" s="176"/>
      <c r="AL1076" s="176"/>
    </row>
    <row r="1077" spans="1:38" ht="36" customHeight="1" x14ac:dyDescent="0.2">
      <c r="A1077" s="14" t="s">
        <v>24</v>
      </c>
      <c r="B1077" s="212">
        <v>244225</v>
      </c>
      <c r="C1077" s="14" t="s">
        <v>547</v>
      </c>
      <c r="D1077" s="14" t="s">
        <v>268</v>
      </c>
      <c r="E1077" s="14" t="s">
        <v>14</v>
      </c>
      <c r="F1077" s="14" t="s">
        <v>324</v>
      </c>
      <c r="G1077" s="179">
        <v>681076</v>
      </c>
      <c r="H1077" s="176" t="s">
        <v>1162</v>
      </c>
      <c r="I1077" s="176" t="s">
        <v>630</v>
      </c>
      <c r="J1077" s="176" t="s">
        <v>1190</v>
      </c>
      <c r="K1077" s="176" t="s">
        <v>3469</v>
      </c>
      <c r="L1077" s="40" t="s">
        <v>46</v>
      </c>
      <c r="M1077" s="40" t="s">
        <v>341</v>
      </c>
      <c r="N1077" s="14" t="s">
        <v>3470</v>
      </c>
      <c r="O1077" s="14" t="s">
        <v>649</v>
      </c>
      <c r="P1077" s="14" t="s">
        <v>3471</v>
      </c>
      <c r="Q1077" s="14" t="s">
        <v>657</v>
      </c>
      <c r="R1077" s="17">
        <v>460</v>
      </c>
      <c r="S1077" s="172" t="s">
        <v>51</v>
      </c>
      <c r="T1077" s="17"/>
      <c r="U1077" s="14"/>
      <c r="V1077" s="16">
        <f t="shared" si="136"/>
        <v>244225</v>
      </c>
      <c r="W1077" s="16">
        <f t="shared" si="137"/>
        <v>244232</v>
      </c>
      <c r="X1077" s="16">
        <f t="shared" si="138"/>
        <v>244227</v>
      </c>
      <c r="Y1077" s="15" t="s">
        <v>54</v>
      </c>
      <c r="Z1077" s="177">
        <v>244230</v>
      </c>
      <c r="AA1077" s="170"/>
      <c r="AB1077" s="170"/>
      <c r="AC1077" s="170"/>
      <c r="AD1077" s="170"/>
      <c r="AE1077" s="15" t="s">
        <v>54</v>
      </c>
      <c r="AF1077" s="177">
        <v>244231</v>
      </c>
      <c r="AG1077" s="177" t="str">
        <f t="shared" si="139"/>
        <v>Pass</v>
      </c>
      <c r="AH1077" s="177">
        <f t="shared" si="140"/>
        <v>244231</v>
      </c>
      <c r="AK1077" s="176"/>
      <c r="AL1077" s="176"/>
    </row>
    <row r="1078" spans="1:38" ht="36" customHeight="1" x14ac:dyDescent="0.2">
      <c r="A1078" s="14" t="s">
        <v>24</v>
      </c>
      <c r="B1078" s="212">
        <v>244226</v>
      </c>
      <c r="C1078" s="14" t="s">
        <v>547</v>
      </c>
      <c r="D1078" s="14" t="s">
        <v>268</v>
      </c>
      <c r="E1078" s="14" t="s">
        <v>14</v>
      </c>
      <c r="F1078" s="14" t="s">
        <v>324</v>
      </c>
      <c r="G1078" s="179">
        <v>681077</v>
      </c>
      <c r="H1078" s="176" t="s">
        <v>1925</v>
      </c>
      <c r="I1078" s="176" t="s">
        <v>630</v>
      </c>
      <c r="J1078" s="176" t="s">
        <v>520</v>
      </c>
      <c r="K1078" s="176" t="s">
        <v>3458</v>
      </c>
      <c r="L1078" s="40" t="s">
        <v>105</v>
      </c>
      <c r="M1078" s="40" t="s">
        <v>341</v>
      </c>
      <c r="N1078" s="14" t="s">
        <v>3474</v>
      </c>
      <c r="O1078" s="14" t="s">
        <v>3481</v>
      </c>
      <c r="P1078" s="14" t="s">
        <v>3484</v>
      </c>
      <c r="Q1078" s="14" t="s">
        <v>3490</v>
      </c>
      <c r="R1078" s="17">
        <v>170</v>
      </c>
      <c r="S1078" s="172" t="s">
        <v>51</v>
      </c>
      <c r="T1078" s="17">
        <v>1575</v>
      </c>
      <c r="U1078" s="14" t="s">
        <v>51</v>
      </c>
      <c r="V1078" s="16">
        <f t="shared" si="136"/>
        <v>244226</v>
      </c>
      <c r="W1078" s="16">
        <f t="shared" si="137"/>
        <v>244233</v>
      </c>
      <c r="X1078" s="16">
        <f t="shared" si="138"/>
        <v>244228</v>
      </c>
      <c r="Y1078" s="15" t="s">
        <v>54</v>
      </c>
      <c r="Z1078" s="177">
        <v>244230</v>
      </c>
      <c r="AA1078" s="170"/>
      <c r="AB1078" s="170"/>
      <c r="AC1078" s="170"/>
      <c r="AD1078" s="170"/>
      <c r="AE1078" s="15" t="s">
        <v>54</v>
      </c>
      <c r="AF1078" s="177">
        <v>244231</v>
      </c>
      <c r="AG1078" s="177" t="str">
        <f t="shared" si="139"/>
        <v>Pass</v>
      </c>
      <c r="AH1078" s="177">
        <f t="shared" si="140"/>
        <v>244231</v>
      </c>
      <c r="AK1078" s="176"/>
      <c r="AL1078" s="176"/>
    </row>
    <row r="1079" spans="1:38" ht="36" customHeight="1" x14ac:dyDescent="0.2">
      <c r="A1079" s="14" t="s">
        <v>24</v>
      </c>
      <c r="B1079" s="212">
        <v>244226</v>
      </c>
      <c r="C1079" s="14" t="s">
        <v>547</v>
      </c>
      <c r="D1079" s="14" t="s">
        <v>268</v>
      </c>
      <c r="E1079" s="14" t="s">
        <v>14</v>
      </c>
      <c r="F1079" s="14" t="s">
        <v>324</v>
      </c>
      <c r="G1079" s="179">
        <v>681078</v>
      </c>
      <c r="H1079" s="176" t="s">
        <v>1925</v>
      </c>
      <c r="I1079" s="176" t="s">
        <v>630</v>
      </c>
      <c r="J1079" s="176" t="s">
        <v>520</v>
      </c>
      <c r="K1079" s="176" t="s">
        <v>3458</v>
      </c>
      <c r="L1079" s="40" t="s">
        <v>105</v>
      </c>
      <c r="M1079" s="40" t="s">
        <v>341</v>
      </c>
      <c r="N1079" s="14" t="s">
        <v>3475</v>
      </c>
      <c r="O1079" s="14" t="s">
        <v>527</v>
      </c>
      <c r="P1079" s="14" t="s">
        <v>3485</v>
      </c>
      <c r="Q1079" s="14" t="s">
        <v>542</v>
      </c>
      <c r="R1079" s="17">
        <v>215</v>
      </c>
      <c r="S1079" s="172" t="s">
        <v>51</v>
      </c>
      <c r="T1079" s="17">
        <v>2495</v>
      </c>
      <c r="U1079" s="14" t="s">
        <v>51</v>
      </c>
      <c r="V1079" s="16">
        <f t="shared" si="136"/>
        <v>244226</v>
      </c>
      <c r="W1079" s="16">
        <f t="shared" si="137"/>
        <v>244233</v>
      </c>
      <c r="X1079" s="16">
        <f t="shared" si="138"/>
        <v>244228</v>
      </c>
      <c r="Y1079" s="15" t="s">
        <v>54</v>
      </c>
      <c r="Z1079" s="177">
        <v>244230</v>
      </c>
      <c r="AA1079" s="170"/>
      <c r="AB1079" s="170"/>
      <c r="AC1079" s="170"/>
      <c r="AD1079" s="170"/>
      <c r="AE1079" s="15" t="s">
        <v>54</v>
      </c>
      <c r="AF1079" s="177">
        <v>244231</v>
      </c>
      <c r="AG1079" s="177" t="str">
        <f t="shared" si="139"/>
        <v>Pass</v>
      </c>
      <c r="AH1079" s="177">
        <f t="shared" si="140"/>
        <v>244231</v>
      </c>
      <c r="AK1079" s="176"/>
      <c r="AL1079" s="176"/>
    </row>
    <row r="1080" spans="1:38" ht="36" customHeight="1" x14ac:dyDescent="0.2">
      <c r="A1080" s="14" t="s">
        <v>24</v>
      </c>
      <c r="B1080" s="212">
        <v>244226</v>
      </c>
      <c r="C1080" s="14" t="s">
        <v>547</v>
      </c>
      <c r="D1080" s="14" t="s">
        <v>268</v>
      </c>
      <c r="E1080" s="14" t="s">
        <v>14</v>
      </c>
      <c r="F1080" s="14" t="s">
        <v>324</v>
      </c>
      <c r="G1080" s="179">
        <v>681079</v>
      </c>
      <c r="H1080" s="176" t="s">
        <v>2327</v>
      </c>
      <c r="I1080" s="176" t="s">
        <v>1874</v>
      </c>
      <c r="J1080" s="176" t="s">
        <v>1412</v>
      </c>
      <c r="K1080" s="176" t="s">
        <v>3472</v>
      </c>
      <c r="L1080" s="40" t="s">
        <v>108</v>
      </c>
      <c r="M1080" s="40" t="s">
        <v>341</v>
      </c>
      <c r="N1080" s="14" t="s">
        <v>1933</v>
      </c>
      <c r="O1080" s="14" t="s">
        <v>543</v>
      </c>
      <c r="P1080" s="14" t="s">
        <v>1205</v>
      </c>
      <c r="Q1080" s="14" t="s">
        <v>529</v>
      </c>
      <c r="R1080" s="17">
        <v>400</v>
      </c>
      <c r="S1080" s="172" t="s">
        <v>51</v>
      </c>
      <c r="T1080" s="17">
        <v>2476</v>
      </c>
      <c r="U1080" s="14" t="s">
        <v>51</v>
      </c>
      <c r="V1080" s="16">
        <f t="shared" si="136"/>
        <v>244226</v>
      </c>
      <c r="W1080" s="16">
        <f t="shared" si="137"/>
        <v>244233</v>
      </c>
      <c r="X1080" s="16">
        <f t="shared" si="138"/>
        <v>244228</v>
      </c>
      <c r="Y1080" s="15" t="s">
        <v>54</v>
      </c>
      <c r="Z1080" s="177">
        <v>244230</v>
      </c>
      <c r="AA1080" s="170"/>
      <c r="AB1080" s="170"/>
      <c r="AC1080" s="170"/>
      <c r="AD1080" s="170"/>
      <c r="AE1080" s="15" t="s">
        <v>54</v>
      </c>
      <c r="AF1080" s="177">
        <v>244231</v>
      </c>
      <c r="AG1080" s="177" t="str">
        <f t="shared" si="139"/>
        <v>Pass</v>
      </c>
      <c r="AH1080" s="177">
        <f t="shared" si="140"/>
        <v>244231</v>
      </c>
      <c r="AK1080" s="176"/>
      <c r="AL1080" s="176"/>
    </row>
    <row r="1081" spans="1:38" ht="36" customHeight="1" x14ac:dyDescent="0.2">
      <c r="A1081" s="14" t="s">
        <v>24</v>
      </c>
      <c r="B1081" s="212">
        <v>244226</v>
      </c>
      <c r="C1081" s="14" t="s">
        <v>547</v>
      </c>
      <c r="D1081" s="14" t="s">
        <v>268</v>
      </c>
      <c r="E1081" s="14" t="s">
        <v>14</v>
      </c>
      <c r="F1081" s="14" t="s">
        <v>324</v>
      </c>
      <c r="G1081" s="179">
        <v>681080</v>
      </c>
      <c r="H1081" s="176" t="s">
        <v>1186</v>
      </c>
      <c r="I1081" s="176" t="s">
        <v>1189</v>
      </c>
      <c r="J1081" s="176" t="s">
        <v>1191</v>
      </c>
      <c r="K1081" s="176" t="s">
        <v>3473</v>
      </c>
      <c r="L1081" s="40" t="s">
        <v>46</v>
      </c>
      <c r="M1081" s="40" t="s">
        <v>341</v>
      </c>
      <c r="N1081" s="14" t="s">
        <v>3476</v>
      </c>
      <c r="O1081" s="14" t="s">
        <v>1909</v>
      </c>
      <c r="P1081" s="14" t="s">
        <v>3486</v>
      </c>
      <c r="Q1081" s="14" t="s">
        <v>1913</v>
      </c>
      <c r="R1081" s="17">
        <v>150</v>
      </c>
      <c r="S1081" s="172" t="s">
        <v>51</v>
      </c>
      <c r="T1081" s="17">
        <v>1000</v>
      </c>
      <c r="U1081" s="14" t="s">
        <v>51</v>
      </c>
      <c r="V1081" s="16">
        <f t="shared" si="136"/>
        <v>244226</v>
      </c>
      <c r="W1081" s="16">
        <f t="shared" si="137"/>
        <v>244233</v>
      </c>
      <c r="X1081" s="16">
        <f t="shared" si="138"/>
        <v>244228</v>
      </c>
      <c r="Y1081" s="15" t="s">
        <v>54</v>
      </c>
      <c r="Z1081" s="177">
        <v>244230</v>
      </c>
      <c r="AA1081" s="170"/>
      <c r="AB1081" s="170"/>
      <c r="AC1081" s="170"/>
      <c r="AD1081" s="170"/>
      <c r="AE1081" s="15" t="s">
        <v>54</v>
      </c>
      <c r="AF1081" s="177">
        <v>244231</v>
      </c>
      <c r="AG1081" s="177" t="str">
        <f t="shared" si="139"/>
        <v>Pass</v>
      </c>
      <c r="AH1081" s="177">
        <f t="shared" si="140"/>
        <v>244231</v>
      </c>
      <c r="AK1081" s="176"/>
      <c r="AL1081" s="176"/>
    </row>
    <row r="1082" spans="1:38" ht="36" customHeight="1" x14ac:dyDescent="0.2">
      <c r="A1082" s="14" t="s">
        <v>24</v>
      </c>
      <c r="B1082" s="212">
        <v>244226</v>
      </c>
      <c r="C1082" s="14" t="s">
        <v>547</v>
      </c>
      <c r="D1082" s="14" t="s">
        <v>268</v>
      </c>
      <c r="E1082" s="14" t="s">
        <v>14</v>
      </c>
      <c r="F1082" s="14" t="s">
        <v>324</v>
      </c>
      <c r="G1082" s="179">
        <v>681081</v>
      </c>
      <c r="H1082" s="176" t="s">
        <v>1186</v>
      </c>
      <c r="I1082" s="176" t="s">
        <v>1189</v>
      </c>
      <c r="J1082" s="176" t="s">
        <v>1191</v>
      </c>
      <c r="K1082" s="176" t="s">
        <v>3473</v>
      </c>
      <c r="L1082" s="40" t="s">
        <v>46</v>
      </c>
      <c r="M1082" s="40" t="s">
        <v>341</v>
      </c>
      <c r="N1082" s="14" t="s">
        <v>3477</v>
      </c>
      <c r="O1082" s="14" t="s">
        <v>3482</v>
      </c>
      <c r="P1082" s="14" t="s">
        <v>3487</v>
      </c>
      <c r="Q1082" s="14" t="s">
        <v>3491</v>
      </c>
      <c r="R1082" s="17">
        <v>335</v>
      </c>
      <c r="S1082" s="172" t="s">
        <v>51</v>
      </c>
      <c r="T1082" s="17">
        <v>1000</v>
      </c>
      <c r="U1082" s="14" t="s">
        <v>51</v>
      </c>
      <c r="V1082" s="16">
        <f t="shared" si="136"/>
        <v>244226</v>
      </c>
      <c r="W1082" s="16">
        <f t="shared" si="137"/>
        <v>244233</v>
      </c>
      <c r="X1082" s="16">
        <f t="shared" si="138"/>
        <v>244228</v>
      </c>
      <c r="Y1082" s="15" t="s">
        <v>54</v>
      </c>
      <c r="Z1082" s="177">
        <v>244230</v>
      </c>
      <c r="AA1082" s="170"/>
      <c r="AB1082" s="170"/>
      <c r="AC1082" s="170"/>
      <c r="AD1082" s="170"/>
      <c r="AE1082" s="15" t="s">
        <v>54</v>
      </c>
      <c r="AF1082" s="177">
        <v>244231</v>
      </c>
      <c r="AG1082" s="177" t="str">
        <f t="shared" si="139"/>
        <v>Pass</v>
      </c>
      <c r="AH1082" s="177">
        <f t="shared" si="140"/>
        <v>244231</v>
      </c>
      <c r="AK1082" s="176"/>
      <c r="AL1082" s="176"/>
    </row>
    <row r="1083" spans="1:38" ht="36" customHeight="1" x14ac:dyDescent="0.2">
      <c r="A1083" s="14" t="s">
        <v>24</v>
      </c>
      <c r="B1083" s="212">
        <v>244226</v>
      </c>
      <c r="C1083" s="14" t="s">
        <v>547</v>
      </c>
      <c r="D1083" s="14" t="s">
        <v>268</v>
      </c>
      <c r="E1083" s="14" t="s">
        <v>14</v>
      </c>
      <c r="F1083" s="14" t="s">
        <v>324</v>
      </c>
      <c r="G1083" s="179">
        <v>681082</v>
      </c>
      <c r="H1083" s="176" t="s">
        <v>2327</v>
      </c>
      <c r="I1083" s="176" t="s">
        <v>1874</v>
      </c>
      <c r="J1083" s="176" t="s">
        <v>1412</v>
      </c>
      <c r="K1083" s="176" t="s">
        <v>3472</v>
      </c>
      <c r="L1083" s="40" t="s">
        <v>108</v>
      </c>
      <c r="M1083" s="40" t="s">
        <v>341</v>
      </c>
      <c r="N1083" s="14" t="s">
        <v>3478</v>
      </c>
      <c r="O1083" s="14" t="s">
        <v>552</v>
      </c>
      <c r="P1083" s="14" t="s">
        <v>941</v>
      </c>
      <c r="Q1083" s="14" t="s">
        <v>553</v>
      </c>
      <c r="R1083" s="17">
        <v>100</v>
      </c>
      <c r="S1083" s="172" t="s">
        <v>51</v>
      </c>
      <c r="T1083" s="17">
        <v>1225</v>
      </c>
      <c r="U1083" s="14" t="s">
        <v>51</v>
      </c>
      <c r="V1083" s="16">
        <f t="shared" si="136"/>
        <v>244226</v>
      </c>
      <c r="W1083" s="16">
        <f t="shared" si="137"/>
        <v>244233</v>
      </c>
      <c r="X1083" s="16">
        <f t="shared" si="138"/>
        <v>244228</v>
      </c>
      <c r="Y1083" s="15" t="s">
        <v>54</v>
      </c>
      <c r="Z1083" s="177">
        <v>244230</v>
      </c>
      <c r="AA1083" s="170"/>
      <c r="AB1083" s="170"/>
      <c r="AC1083" s="170"/>
      <c r="AD1083" s="170"/>
      <c r="AE1083" s="15" t="s">
        <v>54</v>
      </c>
      <c r="AF1083" s="177">
        <v>244231</v>
      </c>
      <c r="AG1083" s="177" t="str">
        <f t="shared" si="139"/>
        <v>Pass</v>
      </c>
      <c r="AH1083" s="177">
        <f t="shared" si="140"/>
        <v>244231</v>
      </c>
      <c r="AK1083" s="176"/>
      <c r="AL1083" s="176"/>
    </row>
    <row r="1084" spans="1:38" ht="36" customHeight="1" x14ac:dyDescent="0.2">
      <c r="A1084" s="14" t="s">
        <v>24</v>
      </c>
      <c r="B1084" s="212">
        <v>244226</v>
      </c>
      <c r="C1084" s="14" t="s">
        <v>547</v>
      </c>
      <c r="D1084" s="14" t="s">
        <v>268</v>
      </c>
      <c r="E1084" s="14" t="s">
        <v>14</v>
      </c>
      <c r="F1084" s="14" t="s">
        <v>324</v>
      </c>
      <c r="G1084" s="179">
        <v>681083</v>
      </c>
      <c r="H1084" s="176" t="s">
        <v>1162</v>
      </c>
      <c r="I1084" s="176" t="s">
        <v>630</v>
      </c>
      <c r="J1084" s="176" t="s">
        <v>1190</v>
      </c>
      <c r="K1084" s="176" t="s">
        <v>3469</v>
      </c>
      <c r="L1084" s="40" t="s">
        <v>46</v>
      </c>
      <c r="M1084" s="40" t="s">
        <v>341</v>
      </c>
      <c r="N1084" s="14" t="s">
        <v>3479</v>
      </c>
      <c r="O1084" s="14" t="s">
        <v>3483</v>
      </c>
      <c r="P1084" s="14" t="s">
        <v>3488</v>
      </c>
      <c r="Q1084" s="14" t="s">
        <v>3492</v>
      </c>
      <c r="R1084" s="17">
        <v>624</v>
      </c>
      <c r="S1084" s="172" t="s">
        <v>51</v>
      </c>
      <c r="T1084" s="17">
        <v>1975</v>
      </c>
      <c r="U1084" s="14" t="s">
        <v>51</v>
      </c>
      <c r="V1084" s="16">
        <f t="shared" si="136"/>
        <v>244226</v>
      </c>
      <c r="W1084" s="16">
        <f t="shared" si="137"/>
        <v>244233</v>
      </c>
      <c r="X1084" s="16">
        <f t="shared" si="138"/>
        <v>244228</v>
      </c>
      <c r="Y1084" s="15" t="s">
        <v>54</v>
      </c>
      <c r="Z1084" s="177">
        <v>244230</v>
      </c>
      <c r="AA1084" s="170"/>
      <c r="AB1084" s="170"/>
      <c r="AC1084" s="170"/>
      <c r="AD1084" s="170"/>
      <c r="AE1084" s="15" t="s">
        <v>54</v>
      </c>
      <c r="AF1084" s="177">
        <v>244231</v>
      </c>
      <c r="AG1084" s="177" t="str">
        <f t="shared" si="139"/>
        <v>Pass</v>
      </c>
      <c r="AH1084" s="177">
        <f t="shared" si="140"/>
        <v>244231</v>
      </c>
      <c r="AK1084" s="176"/>
      <c r="AL1084" s="176"/>
    </row>
    <row r="1085" spans="1:38" ht="36" customHeight="1" x14ac:dyDescent="0.2">
      <c r="A1085" s="14" t="s">
        <v>24</v>
      </c>
      <c r="B1085" s="212">
        <v>244226</v>
      </c>
      <c r="C1085" s="14" t="s">
        <v>547</v>
      </c>
      <c r="D1085" s="14" t="s">
        <v>268</v>
      </c>
      <c r="E1085" s="14" t="s">
        <v>14</v>
      </c>
      <c r="F1085" s="14" t="s">
        <v>324</v>
      </c>
      <c r="G1085" s="179">
        <v>681084</v>
      </c>
      <c r="H1085" s="176" t="s">
        <v>1162</v>
      </c>
      <c r="I1085" s="176" t="s">
        <v>630</v>
      </c>
      <c r="J1085" s="176" t="s">
        <v>1190</v>
      </c>
      <c r="K1085" s="176" t="s">
        <v>3469</v>
      </c>
      <c r="L1085" s="40" t="s">
        <v>46</v>
      </c>
      <c r="M1085" s="40" t="s">
        <v>341</v>
      </c>
      <c r="N1085" s="14" t="s">
        <v>3480</v>
      </c>
      <c r="O1085" s="14" t="s">
        <v>527</v>
      </c>
      <c r="P1085" s="14" t="s">
        <v>3489</v>
      </c>
      <c r="Q1085" s="14" t="s">
        <v>542</v>
      </c>
      <c r="R1085" s="17">
        <v>130</v>
      </c>
      <c r="S1085" s="172" t="s">
        <v>51</v>
      </c>
      <c r="T1085" s="17">
        <v>2025</v>
      </c>
      <c r="U1085" s="14" t="s">
        <v>51</v>
      </c>
      <c r="V1085" s="16">
        <f t="shared" si="136"/>
        <v>244226</v>
      </c>
      <c r="W1085" s="16">
        <f t="shared" si="137"/>
        <v>244233</v>
      </c>
      <c r="X1085" s="16">
        <f t="shared" si="138"/>
        <v>244228</v>
      </c>
      <c r="Y1085" s="15" t="s">
        <v>54</v>
      </c>
      <c r="Z1085" s="177">
        <v>244230</v>
      </c>
      <c r="AA1085" s="170"/>
      <c r="AB1085" s="170"/>
      <c r="AC1085" s="170"/>
      <c r="AD1085" s="170"/>
      <c r="AE1085" s="15" t="s">
        <v>54</v>
      </c>
      <c r="AF1085" s="177">
        <v>244231</v>
      </c>
      <c r="AG1085" s="177" t="str">
        <f t="shared" si="139"/>
        <v>Pass</v>
      </c>
      <c r="AH1085" s="177">
        <f t="shared" si="140"/>
        <v>244231</v>
      </c>
      <c r="AK1085" s="176"/>
      <c r="AL1085" s="176"/>
    </row>
    <row r="1086" spans="1:38" ht="36" customHeight="1" x14ac:dyDescent="0.2">
      <c r="A1086" s="14" t="s">
        <v>24</v>
      </c>
      <c r="B1086" s="212">
        <v>244226</v>
      </c>
      <c r="C1086" s="14" t="s">
        <v>547</v>
      </c>
      <c r="D1086" s="14" t="s">
        <v>268</v>
      </c>
      <c r="E1086" s="14" t="s">
        <v>14</v>
      </c>
      <c r="F1086" s="14" t="s">
        <v>324</v>
      </c>
      <c r="G1086" s="179">
        <v>681085</v>
      </c>
      <c r="H1086" s="176" t="s">
        <v>1162</v>
      </c>
      <c r="I1086" s="176" t="s">
        <v>630</v>
      </c>
      <c r="J1086" s="176" t="s">
        <v>1190</v>
      </c>
      <c r="K1086" s="176" t="s">
        <v>3469</v>
      </c>
      <c r="L1086" s="40" t="s">
        <v>46</v>
      </c>
      <c r="M1086" s="40" t="s">
        <v>341</v>
      </c>
      <c r="N1086" s="14" t="s">
        <v>3497</v>
      </c>
      <c r="O1086" s="14" t="s">
        <v>552</v>
      </c>
      <c r="P1086" s="14" t="s">
        <v>3504</v>
      </c>
      <c r="Q1086" s="14" t="s">
        <v>553</v>
      </c>
      <c r="R1086" s="17">
        <v>1000</v>
      </c>
      <c r="S1086" s="172" t="s">
        <v>51</v>
      </c>
      <c r="T1086" s="17">
        <v>2025</v>
      </c>
      <c r="U1086" s="14" t="s">
        <v>51</v>
      </c>
      <c r="V1086" s="16">
        <f t="shared" si="136"/>
        <v>244226</v>
      </c>
      <c r="W1086" s="16">
        <f t="shared" si="137"/>
        <v>244233</v>
      </c>
      <c r="X1086" s="16">
        <f t="shared" si="138"/>
        <v>244228</v>
      </c>
      <c r="Y1086" s="15" t="s">
        <v>54</v>
      </c>
      <c r="Z1086" s="177">
        <v>244230</v>
      </c>
      <c r="AA1086" s="170"/>
      <c r="AB1086" s="170"/>
      <c r="AC1086" s="170"/>
      <c r="AD1086" s="170"/>
      <c r="AE1086" s="15" t="s">
        <v>54</v>
      </c>
      <c r="AF1086" s="177">
        <v>244231</v>
      </c>
      <c r="AG1086" s="177" t="str">
        <f t="shared" si="139"/>
        <v>Pass</v>
      </c>
      <c r="AH1086" s="177">
        <f t="shared" si="140"/>
        <v>244231</v>
      </c>
      <c r="AK1086" s="176"/>
      <c r="AL1086" s="176"/>
    </row>
    <row r="1087" spans="1:38" ht="36" customHeight="1" x14ac:dyDescent="0.2">
      <c r="A1087" s="14" t="s">
        <v>24</v>
      </c>
      <c r="B1087" s="212">
        <v>244226</v>
      </c>
      <c r="C1087" s="14" t="s">
        <v>547</v>
      </c>
      <c r="D1087" s="14" t="s">
        <v>268</v>
      </c>
      <c r="E1087" s="14" t="s">
        <v>14</v>
      </c>
      <c r="F1087" s="14" t="s">
        <v>324</v>
      </c>
      <c r="G1087" s="179">
        <v>681086</v>
      </c>
      <c r="H1087" s="176" t="s">
        <v>1871</v>
      </c>
      <c r="I1087" s="176" t="s">
        <v>630</v>
      </c>
      <c r="J1087" s="176" t="s">
        <v>520</v>
      </c>
      <c r="K1087" s="176" t="s">
        <v>3494</v>
      </c>
      <c r="L1087" s="40" t="s">
        <v>124</v>
      </c>
      <c r="M1087" s="40" t="s">
        <v>341</v>
      </c>
      <c r="N1087" s="14" t="s">
        <v>3498</v>
      </c>
      <c r="O1087" s="14" t="s">
        <v>552</v>
      </c>
      <c r="P1087" s="14" t="s">
        <v>519</v>
      </c>
      <c r="Q1087" s="14" t="s">
        <v>553</v>
      </c>
      <c r="R1087" s="17">
        <v>5780</v>
      </c>
      <c r="S1087" s="172" t="s">
        <v>51</v>
      </c>
      <c r="T1087" s="17">
        <v>2143</v>
      </c>
      <c r="U1087" s="14" t="s">
        <v>51</v>
      </c>
      <c r="V1087" s="16">
        <f t="shared" si="136"/>
        <v>244226</v>
      </c>
      <c r="W1087" s="16">
        <f t="shared" si="137"/>
        <v>244233</v>
      </c>
      <c r="X1087" s="16">
        <f t="shared" si="138"/>
        <v>244228</v>
      </c>
      <c r="Y1087" s="15" t="s">
        <v>54</v>
      </c>
      <c r="Z1087" s="177">
        <v>244230</v>
      </c>
      <c r="AA1087" s="170"/>
      <c r="AB1087" s="170"/>
      <c r="AC1087" s="170"/>
      <c r="AD1087" s="170"/>
      <c r="AE1087" s="15" t="s">
        <v>54</v>
      </c>
      <c r="AF1087" s="177">
        <v>244231</v>
      </c>
      <c r="AG1087" s="177" t="str">
        <f t="shared" si="139"/>
        <v>Pass</v>
      </c>
      <c r="AH1087" s="177">
        <f t="shared" si="140"/>
        <v>244231</v>
      </c>
      <c r="AK1087" s="176"/>
      <c r="AL1087" s="176"/>
    </row>
    <row r="1088" spans="1:38" ht="36" customHeight="1" x14ac:dyDescent="0.2">
      <c r="A1088" s="14" t="s">
        <v>24</v>
      </c>
      <c r="B1088" s="212">
        <v>244226</v>
      </c>
      <c r="C1088" s="14" t="s">
        <v>547</v>
      </c>
      <c r="D1088" s="14" t="s">
        <v>268</v>
      </c>
      <c r="E1088" s="14" t="s">
        <v>14</v>
      </c>
      <c r="F1088" s="14" t="s">
        <v>324</v>
      </c>
      <c r="G1088" s="179">
        <v>681087</v>
      </c>
      <c r="H1088" s="176" t="s">
        <v>1162</v>
      </c>
      <c r="I1088" s="176" t="s">
        <v>630</v>
      </c>
      <c r="J1088" s="176" t="s">
        <v>1190</v>
      </c>
      <c r="K1088" s="176" t="s">
        <v>3469</v>
      </c>
      <c r="L1088" s="40" t="s">
        <v>46</v>
      </c>
      <c r="M1088" s="40" t="s">
        <v>341</v>
      </c>
      <c r="N1088" s="14" t="s">
        <v>3499</v>
      </c>
      <c r="O1088" s="14" t="s">
        <v>548</v>
      </c>
      <c r="P1088" s="14" t="s">
        <v>518</v>
      </c>
      <c r="Q1088" s="14" t="s">
        <v>549</v>
      </c>
      <c r="R1088" s="17">
        <v>590</v>
      </c>
      <c r="S1088" s="172" t="s">
        <v>51</v>
      </c>
      <c r="T1088" s="17">
        <v>1975</v>
      </c>
      <c r="U1088" s="14" t="s">
        <v>51</v>
      </c>
      <c r="V1088" s="16">
        <f t="shared" si="136"/>
        <v>244226</v>
      </c>
      <c r="W1088" s="16">
        <f t="shared" si="137"/>
        <v>244233</v>
      </c>
      <c r="X1088" s="16">
        <f t="shared" si="138"/>
        <v>244228</v>
      </c>
      <c r="Y1088" s="15" t="s">
        <v>54</v>
      </c>
      <c r="Z1088" s="177">
        <v>244230</v>
      </c>
      <c r="AA1088" s="170"/>
      <c r="AB1088" s="170"/>
      <c r="AC1088" s="170"/>
      <c r="AD1088" s="170"/>
      <c r="AE1088" s="15" t="s">
        <v>54</v>
      </c>
      <c r="AF1088" s="177">
        <v>244231</v>
      </c>
      <c r="AG1088" s="177" t="str">
        <f t="shared" si="139"/>
        <v>Pass</v>
      </c>
      <c r="AH1088" s="177">
        <f t="shared" si="140"/>
        <v>244231</v>
      </c>
      <c r="AK1088" s="176"/>
      <c r="AL1088" s="176"/>
    </row>
    <row r="1089" spans="1:38" ht="36" customHeight="1" x14ac:dyDescent="0.2">
      <c r="A1089" s="14" t="s">
        <v>24</v>
      </c>
      <c r="B1089" s="212">
        <v>244226</v>
      </c>
      <c r="C1089" s="14" t="s">
        <v>547</v>
      </c>
      <c r="D1089" s="14" t="s">
        <v>268</v>
      </c>
      <c r="E1089" s="14" t="s">
        <v>14</v>
      </c>
      <c r="F1089" s="14" t="s">
        <v>324</v>
      </c>
      <c r="G1089" s="179">
        <v>681088</v>
      </c>
      <c r="H1089" s="176" t="s">
        <v>3493</v>
      </c>
      <c r="I1089" s="176" t="s">
        <v>630</v>
      </c>
      <c r="J1089" s="176" t="s">
        <v>2861</v>
      </c>
      <c r="K1089" s="176" t="s">
        <v>3495</v>
      </c>
      <c r="L1089" s="40" t="s">
        <v>46</v>
      </c>
      <c r="M1089" s="40" t="s">
        <v>341</v>
      </c>
      <c r="N1089" s="14" t="s">
        <v>780</v>
      </c>
      <c r="O1089" s="14" t="s">
        <v>548</v>
      </c>
      <c r="P1089" s="14" t="s">
        <v>518</v>
      </c>
      <c r="Q1089" s="14" t="s">
        <v>549</v>
      </c>
      <c r="R1089" s="17">
        <v>175</v>
      </c>
      <c r="S1089" s="172" t="s">
        <v>51</v>
      </c>
      <c r="T1089" s="17">
        <v>1675</v>
      </c>
      <c r="U1089" s="14" t="s">
        <v>51</v>
      </c>
      <c r="V1089" s="16">
        <f t="shared" si="136"/>
        <v>244226</v>
      </c>
      <c r="W1089" s="16">
        <f t="shared" si="137"/>
        <v>244233</v>
      </c>
      <c r="X1089" s="16">
        <f t="shared" si="138"/>
        <v>244228</v>
      </c>
      <c r="Y1089" s="15" t="s">
        <v>54</v>
      </c>
      <c r="Z1089" s="177">
        <v>244230</v>
      </c>
      <c r="AA1089" s="170"/>
      <c r="AB1089" s="170"/>
      <c r="AC1089" s="170"/>
      <c r="AD1089" s="170"/>
      <c r="AE1089" s="15" t="s">
        <v>54</v>
      </c>
      <c r="AF1089" s="177">
        <v>244231</v>
      </c>
      <c r="AG1089" s="177" t="str">
        <f t="shared" si="139"/>
        <v>Pass</v>
      </c>
      <c r="AH1089" s="177">
        <f t="shared" si="140"/>
        <v>244231</v>
      </c>
      <c r="AK1089" s="176"/>
      <c r="AL1089" s="176"/>
    </row>
    <row r="1090" spans="1:38" ht="36" customHeight="1" x14ac:dyDescent="0.2">
      <c r="A1090" s="14" t="s">
        <v>24</v>
      </c>
      <c r="B1090" s="212">
        <v>244226</v>
      </c>
      <c r="C1090" s="14" t="s">
        <v>547</v>
      </c>
      <c r="D1090" s="14" t="s">
        <v>268</v>
      </c>
      <c r="E1090" s="14" t="s">
        <v>14</v>
      </c>
      <c r="F1090" s="14" t="s">
        <v>324</v>
      </c>
      <c r="G1090" s="179">
        <v>681089</v>
      </c>
      <c r="H1090" s="176" t="s">
        <v>3493</v>
      </c>
      <c r="I1090" s="176" t="s">
        <v>630</v>
      </c>
      <c r="J1090" s="176" t="s">
        <v>2861</v>
      </c>
      <c r="K1090" s="176" t="s">
        <v>3495</v>
      </c>
      <c r="L1090" s="40" t="s">
        <v>46</v>
      </c>
      <c r="M1090" s="40" t="s">
        <v>341</v>
      </c>
      <c r="N1090" s="14" t="s">
        <v>3500</v>
      </c>
      <c r="O1090" s="14" t="s">
        <v>548</v>
      </c>
      <c r="P1090" s="14" t="s">
        <v>3505</v>
      </c>
      <c r="Q1090" s="14" t="s">
        <v>549</v>
      </c>
      <c r="R1090" s="17">
        <v>375</v>
      </c>
      <c r="S1090" s="172" t="s">
        <v>51</v>
      </c>
      <c r="T1090" s="17">
        <v>1675</v>
      </c>
      <c r="U1090" s="14" t="s">
        <v>51</v>
      </c>
      <c r="V1090" s="16">
        <f t="shared" si="136"/>
        <v>244226</v>
      </c>
      <c r="W1090" s="16">
        <f t="shared" si="137"/>
        <v>244233</v>
      </c>
      <c r="X1090" s="16">
        <f t="shared" si="138"/>
        <v>244228</v>
      </c>
      <c r="Y1090" s="15" t="s">
        <v>54</v>
      </c>
      <c r="Z1090" s="177">
        <v>244230</v>
      </c>
      <c r="AA1090" s="170"/>
      <c r="AB1090" s="170"/>
      <c r="AC1090" s="170"/>
      <c r="AD1090" s="170"/>
      <c r="AE1090" s="15" t="s">
        <v>54</v>
      </c>
      <c r="AF1090" s="177">
        <v>244231</v>
      </c>
      <c r="AG1090" s="177" t="str">
        <f t="shared" si="139"/>
        <v>Pass</v>
      </c>
      <c r="AH1090" s="177">
        <f t="shared" si="140"/>
        <v>244231</v>
      </c>
      <c r="AK1090" s="176"/>
      <c r="AL1090" s="176"/>
    </row>
    <row r="1091" spans="1:38" ht="36" customHeight="1" x14ac:dyDescent="0.2">
      <c r="A1091" s="14" t="s">
        <v>24</v>
      </c>
      <c r="B1091" s="212">
        <v>244226</v>
      </c>
      <c r="C1091" s="14" t="s">
        <v>547</v>
      </c>
      <c r="D1091" s="14" t="s">
        <v>268</v>
      </c>
      <c r="E1091" s="14" t="s">
        <v>14</v>
      </c>
      <c r="F1091" s="14" t="s">
        <v>324</v>
      </c>
      <c r="G1091" s="179">
        <v>681090</v>
      </c>
      <c r="H1091" s="176" t="s">
        <v>1871</v>
      </c>
      <c r="I1091" s="176" t="s">
        <v>630</v>
      </c>
      <c r="J1091" s="176" t="s">
        <v>520</v>
      </c>
      <c r="K1091" s="176" t="s">
        <v>3494</v>
      </c>
      <c r="L1091" s="40" t="s">
        <v>124</v>
      </c>
      <c r="M1091" s="40" t="s">
        <v>341</v>
      </c>
      <c r="N1091" s="14" t="s">
        <v>3501</v>
      </c>
      <c r="O1091" s="14" t="s">
        <v>3503</v>
      </c>
      <c r="P1091" s="14" t="s">
        <v>684</v>
      </c>
      <c r="Q1091" s="14" t="s">
        <v>3507</v>
      </c>
      <c r="R1091" s="17">
        <v>1994</v>
      </c>
      <c r="S1091" s="172" t="s">
        <v>51</v>
      </c>
      <c r="T1091" s="17">
        <v>2102</v>
      </c>
      <c r="U1091" s="14" t="s">
        <v>51</v>
      </c>
      <c r="V1091" s="16">
        <f t="shared" si="136"/>
        <v>244226</v>
      </c>
      <c r="W1091" s="16">
        <f t="shared" si="137"/>
        <v>244233</v>
      </c>
      <c r="X1091" s="16">
        <f t="shared" si="138"/>
        <v>244228</v>
      </c>
      <c r="Y1091" s="15" t="s">
        <v>54</v>
      </c>
      <c r="Z1091" s="177">
        <v>244230</v>
      </c>
      <c r="AA1091" s="170"/>
      <c r="AB1091" s="170"/>
      <c r="AC1091" s="170"/>
      <c r="AD1091" s="170"/>
      <c r="AE1091" s="15" t="s">
        <v>54</v>
      </c>
      <c r="AF1091" s="177">
        <v>244231</v>
      </c>
      <c r="AG1091" s="177" t="str">
        <f t="shared" si="139"/>
        <v>Pass</v>
      </c>
      <c r="AH1091" s="177">
        <f t="shared" si="140"/>
        <v>244231</v>
      </c>
      <c r="AK1091" s="176"/>
      <c r="AL1091" s="176"/>
    </row>
    <row r="1092" spans="1:38" ht="36" customHeight="1" x14ac:dyDescent="0.2">
      <c r="A1092" s="14" t="s">
        <v>24</v>
      </c>
      <c r="B1092" s="212">
        <v>244226</v>
      </c>
      <c r="C1092" s="14" t="s">
        <v>547</v>
      </c>
      <c r="D1092" s="14" t="s">
        <v>268</v>
      </c>
      <c r="E1092" s="14" t="s">
        <v>14</v>
      </c>
      <c r="F1092" s="14" t="s">
        <v>324</v>
      </c>
      <c r="G1092" s="179">
        <v>681091</v>
      </c>
      <c r="H1092" s="176" t="s">
        <v>886</v>
      </c>
      <c r="I1092" s="176" t="s">
        <v>630</v>
      </c>
      <c r="J1092" s="176" t="s">
        <v>821</v>
      </c>
      <c r="K1092" s="176" t="s">
        <v>3496</v>
      </c>
      <c r="L1092" s="40" t="s">
        <v>105</v>
      </c>
      <c r="M1092" s="40" t="s">
        <v>341</v>
      </c>
      <c r="N1092" s="14" t="s">
        <v>3502</v>
      </c>
      <c r="O1092" s="14" t="s">
        <v>1150</v>
      </c>
      <c r="P1092" s="14" t="s">
        <v>3506</v>
      </c>
      <c r="Q1092" s="14" t="s">
        <v>1156</v>
      </c>
      <c r="R1092" s="17">
        <v>1100</v>
      </c>
      <c r="S1092" s="172" t="s">
        <v>51</v>
      </c>
      <c r="T1092" s="17">
        <v>2543</v>
      </c>
      <c r="U1092" s="14" t="s">
        <v>51</v>
      </c>
      <c r="V1092" s="16">
        <f t="shared" si="136"/>
        <v>244226</v>
      </c>
      <c r="W1092" s="16">
        <f t="shared" si="137"/>
        <v>244233</v>
      </c>
      <c r="X1092" s="16">
        <f t="shared" si="138"/>
        <v>244228</v>
      </c>
      <c r="Y1092" s="15" t="s">
        <v>54</v>
      </c>
      <c r="Z1092" s="177">
        <v>244230</v>
      </c>
      <c r="AA1092" s="170"/>
      <c r="AB1092" s="170"/>
      <c r="AC1092" s="170"/>
      <c r="AD1092" s="170"/>
      <c r="AE1092" s="15" t="s">
        <v>54</v>
      </c>
      <c r="AF1092" s="177">
        <v>244231</v>
      </c>
      <c r="AG1092" s="177" t="str">
        <f t="shared" si="139"/>
        <v>Pass</v>
      </c>
      <c r="AH1092" s="177">
        <f t="shared" si="140"/>
        <v>244231</v>
      </c>
      <c r="AK1092" s="176"/>
      <c r="AL1092" s="176"/>
    </row>
    <row r="1093" spans="1:38" ht="36" customHeight="1" x14ac:dyDescent="0.2">
      <c r="A1093" s="14" t="s">
        <v>25</v>
      </c>
      <c r="B1093" s="212">
        <v>244228</v>
      </c>
      <c r="C1093" s="14" t="s">
        <v>547</v>
      </c>
      <c r="D1093" s="14" t="s">
        <v>268</v>
      </c>
      <c r="E1093" s="14" t="s">
        <v>14</v>
      </c>
      <c r="F1093" s="14" t="s">
        <v>324</v>
      </c>
      <c r="G1093" s="179">
        <v>681092</v>
      </c>
      <c r="H1093" s="176" t="s">
        <v>1873</v>
      </c>
      <c r="I1093" s="176" t="s">
        <v>630</v>
      </c>
      <c r="J1093" s="176" t="s">
        <v>520</v>
      </c>
      <c r="K1093" s="176" t="s">
        <v>3509</v>
      </c>
      <c r="L1093" s="40" t="s">
        <v>124</v>
      </c>
      <c r="M1093" s="40" t="s">
        <v>341</v>
      </c>
      <c r="N1093" s="14" t="s">
        <v>3513</v>
      </c>
      <c r="O1093" s="14" t="s">
        <v>543</v>
      </c>
      <c r="P1093" s="14" t="s">
        <v>3517</v>
      </c>
      <c r="Q1093" s="14" t="s">
        <v>529</v>
      </c>
      <c r="R1093" s="17">
        <v>380</v>
      </c>
      <c r="S1093" s="172" t="s">
        <v>51</v>
      </c>
      <c r="T1093" s="17">
        <v>2050</v>
      </c>
      <c r="U1093" s="14" t="s">
        <v>51</v>
      </c>
      <c r="V1093" s="16">
        <f t="shared" si="136"/>
        <v>244228</v>
      </c>
      <c r="W1093" s="16">
        <f t="shared" si="137"/>
        <v>244235</v>
      </c>
      <c r="X1093" s="16">
        <f t="shared" si="138"/>
        <v>244230</v>
      </c>
      <c r="Y1093" s="15" t="s">
        <v>54</v>
      </c>
      <c r="Z1093" s="177">
        <v>244230</v>
      </c>
      <c r="AA1093" s="170"/>
      <c r="AB1093" s="170"/>
      <c r="AC1093" s="170"/>
      <c r="AD1093" s="170"/>
      <c r="AE1093" s="15" t="s">
        <v>54</v>
      </c>
      <c r="AF1093" s="177">
        <v>244231</v>
      </c>
      <c r="AG1093" s="177" t="str">
        <f t="shared" si="139"/>
        <v>Pass</v>
      </c>
      <c r="AH1093" s="177">
        <f t="shared" si="140"/>
        <v>244231</v>
      </c>
      <c r="AK1093" s="176"/>
      <c r="AL1093" s="176"/>
    </row>
    <row r="1094" spans="1:38" ht="36" customHeight="1" x14ac:dyDescent="0.2">
      <c r="A1094" s="14" t="s">
        <v>25</v>
      </c>
      <c r="B1094" s="212">
        <v>244228</v>
      </c>
      <c r="C1094" s="14" t="s">
        <v>547</v>
      </c>
      <c r="D1094" s="14" t="s">
        <v>268</v>
      </c>
      <c r="E1094" s="14" t="s">
        <v>14</v>
      </c>
      <c r="F1094" s="14" t="s">
        <v>324</v>
      </c>
      <c r="G1094" s="179">
        <v>681093</v>
      </c>
      <c r="H1094" s="176" t="s">
        <v>3508</v>
      </c>
      <c r="I1094" s="176" t="s">
        <v>864</v>
      </c>
      <c r="J1094" s="176" t="s">
        <v>2729</v>
      </c>
      <c r="K1094" s="176" t="s">
        <v>3510</v>
      </c>
      <c r="L1094" s="40" t="s">
        <v>45</v>
      </c>
      <c r="M1094" s="40" t="s">
        <v>341</v>
      </c>
      <c r="N1094" s="14" t="s">
        <v>1640</v>
      </c>
      <c r="O1094" s="14" t="s">
        <v>2439</v>
      </c>
      <c r="P1094" s="14" t="s">
        <v>955</v>
      </c>
      <c r="Q1094" s="14" t="s">
        <v>2443</v>
      </c>
      <c r="R1094" s="17">
        <v>300</v>
      </c>
      <c r="S1094" s="172" t="s">
        <v>51</v>
      </c>
      <c r="T1094" s="17">
        <v>1710</v>
      </c>
      <c r="U1094" s="14" t="s">
        <v>51</v>
      </c>
      <c r="V1094" s="16">
        <f t="shared" si="136"/>
        <v>244228</v>
      </c>
      <c r="W1094" s="16">
        <f t="shared" si="137"/>
        <v>244235</v>
      </c>
      <c r="X1094" s="16">
        <f t="shared" si="138"/>
        <v>244230</v>
      </c>
      <c r="Y1094" s="15" t="s">
        <v>54</v>
      </c>
      <c r="Z1094" s="177">
        <v>244230</v>
      </c>
      <c r="AA1094" s="170"/>
      <c r="AB1094" s="170"/>
      <c r="AC1094" s="170"/>
      <c r="AD1094" s="170"/>
      <c r="AE1094" s="15" t="s">
        <v>54</v>
      </c>
      <c r="AF1094" s="177">
        <v>244231</v>
      </c>
      <c r="AG1094" s="177" t="str">
        <f t="shared" si="139"/>
        <v>Pass</v>
      </c>
      <c r="AH1094" s="177">
        <f t="shared" si="140"/>
        <v>244231</v>
      </c>
      <c r="AK1094" s="176"/>
      <c r="AL1094" s="176"/>
    </row>
    <row r="1095" spans="1:38" ht="36" customHeight="1" x14ac:dyDescent="0.2">
      <c r="A1095" s="14" t="s">
        <v>25</v>
      </c>
      <c r="B1095" s="212">
        <v>244228</v>
      </c>
      <c r="C1095" s="14" t="s">
        <v>547</v>
      </c>
      <c r="D1095" s="14" t="s">
        <v>268</v>
      </c>
      <c r="E1095" s="14" t="s">
        <v>14</v>
      </c>
      <c r="F1095" s="14" t="s">
        <v>324</v>
      </c>
      <c r="G1095" s="179">
        <v>681094</v>
      </c>
      <c r="H1095" s="176" t="s">
        <v>3302</v>
      </c>
      <c r="I1095" s="176" t="s">
        <v>630</v>
      </c>
      <c r="J1095" s="176" t="s">
        <v>520</v>
      </c>
      <c r="K1095" s="176" t="s">
        <v>3511</v>
      </c>
      <c r="L1095" s="40" t="s">
        <v>124</v>
      </c>
      <c r="M1095" s="40" t="s">
        <v>341</v>
      </c>
      <c r="N1095" s="14" t="s">
        <v>3514</v>
      </c>
      <c r="O1095" s="14" t="s">
        <v>552</v>
      </c>
      <c r="P1095" s="14" t="s">
        <v>846</v>
      </c>
      <c r="Q1095" s="14" t="s">
        <v>553</v>
      </c>
      <c r="R1095" s="17">
        <v>849</v>
      </c>
      <c r="S1095" s="172" t="s">
        <v>51</v>
      </c>
      <c r="T1095" s="17">
        <v>2009</v>
      </c>
      <c r="U1095" s="14" t="s">
        <v>51</v>
      </c>
      <c r="V1095" s="16">
        <f t="shared" si="136"/>
        <v>244228</v>
      </c>
      <c r="W1095" s="16">
        <f t="shared" si="137"/>
        <v>244235</v>
      </c>
      <c r="X1095" s="16">
        <f t="shared" si="138"/>
        <v>244230</v>
      </c>
      <c r="Y1095" s="15" t="s">
        <v>54</v>
      </c>
      <c r="Z1095" s="177">
        <v>244230</v>
      </c>
      <c r="AA1095" s="170"/>
      <c r="AB1095" s="170"/>
      <c r="AC1095" s="170"/>
      <c r="AD1095" s="170"/>
      <c r="AE1095" s="15" t="s">
        <v>54</v>
      </c>
      <c r="AF1095" s="177">
        <v>244231</v>
      </c>
      <c r="AG1095" s="177" t="str">
        <f t="shared" si="139"/>
        <v>Pass</v>
      </c>
      <c r="AH1095" s="177">
        <f t="shared" si="140"/>
        <v>244231</v>
      </c>
      <c r="AK1095" s="176"/>
      <c r="AL1095" s="176"/>
    </row>
    <row r="1096" spans="1:38" ht="36" customHeight="1" x14ac:dyDescent="0.2">
      <c r="A1096" s="14" t="s">
        <v>25</v>
      </c>
      <c r="B1096" s="212">
        <v>244228</v>
      </c>
      <c r="C1096" s="14" t="s">
        <v>547</v>
      </c>
      <c r="D1096" s="14" t="s">
        <v>268</v>
      </c>
      <c r="E1096" s="14" t="s">
        <v>14</v>
      </c>
      <c r="F1096" s="14" t="s">
        <v>324</v>
      </c>
      <c r="G1096" s="179">
        <v>681095</v>
      </c>
      <c r="H1096" s="176" t="s">
        <v>886</v>
      </c>
      <c r="I1096" s="176" t="s">
        <v>630</v>
      </c>
      <c r="J1096" s="176" t="s">
        <v>821</v>
      </c>
      <c r="K1096" s="176" t="s">
        <v>3496</v>
      </c>
      <c r="L1096" s="40" t="s">
        <v>105</v>
      </c>
      <c r="M1096" s="40" t="s">
        <v>341</v>
      </c>
      <c r="N1096" s="14" t="s">
        <v>712</v>
      </c>
      <c r="O1096" s="14" t="s">
        <v>548</v>
      </c>
      <c r="P1096" s="14" t="s">
        <v>518</v>
      </c>
      <c r="Q1096" s="14" t="s">
        <v>549</v>
      </c>
      <c r="R1096" s="17">
        <v>151</v>
      </c>
      <c r="S1096" s="172" t="s">
        <v>51</v>
      </c>
      <c r="T1096" s="17">
        <v>2543</v>
      </c>
      <c r="U1096" s="14" t="s">
        <v>51</v>
      </c>
      <c r="V1096" s="16">
        <f t="shared" si="136"/>
        <v>244228</v>
      </c>
      <c r="W1096" s="16">
        <f t="shared" si="137"/>
        <v>244235</v>
      </c>
      <c r="X1096" s="16">
        <f t="shared" si="138"/>
        <v>244230</v>
      </c>
      <c r="Y1096" s="15" t="s">
        <v>54</v>
      </c>
      <c r="Z1096" s="177">
        <v>244230</v>
      </c>
      <c r="AA1096" s="170"/>
      <c r="AB1096" s="170"/>
      <c r="AC1096" s="170"/>
      <c r="AD1096" s="170"/>
      <c r="AE1096" s="15" t="s">
        <v>54</v>
      </c>
      <c r="AF1096" s="177">
        <v>244231</v>
      </c>
      <c r="AG1096" s="177" t="str">
        <f t="shared" si="139"/>
        <v>Pass</v>
      </c>
      <c r="AH1096" s="177">
        <f t="shared" si="140"/>
        <v>244231</v>
      </c>
      <c r="AK1096" s="176"/>
      <c r="AL1096" s="176"/>
    </row>
    <row r="1097" spans="1:38" ht="36" customHeight="1" x14ac:dyDescent="0.2">
      <c r="A1097" s="14" t="s">
        <v>25</v>
      </c>
      <c r="B1097" s="212">
        <v>244228</v>
      </c>
      <c r="C1097" s="14" t="s">
        <v>547</v>
      </c>
      <c r="D1097" s="14" t="s">
        <v>268</v>
      </c>
      <c r="E1097" s="14" t="s">
        <v>14</v>
      </c>
      <c r="F1097" s="14" t="s">
        <v>324</v>
      </c>
      <c r="G1097" s="179">
        <v>681096</v>
      </c>
      <c r="H1097" s="176" t="s">
        <v>1364</v>
      </c>
      <c r="I1097" s="176" t="s">
        <v>551</v>
      </c>
      <c r="J1097" s="176" t="s">
        <v>832</v>
      </c>
      <c r="K1097" s="176" t="s">
        <v>3512</v>
      </c>
      <c r="L1097" s="40" t="s">
        <v>108</v>
      </c>
      <c r="M1097" s="40" t="s">
        <v>341</v>
      </c>
      <c r="N1097" s="14" t="s">
        <v>3515</v>
      </c>
      <c r="O1097" s="14" t="s">
        <v>552</v>
      </c>
      <c r="P1097" s="14" t="s">
        <v>1205</v>
      </c>
      <c r="Q1097" s="14" t="s">
        <v>553</v>
      </c>
      <c r="R1097" s="17">
        <v>1169</v>
      </c>
      <c r="S1097" s="172" t="s">
        <v>51</v>
      </c>
      <c r="T1097" s="17"/>
      <c r="U1097" s="14"/>
      <c r="V1097" s="16">
        <f t="shared" si="136"/>
        <v>244228</v>
      </c>
      <c r="W1097" s="16">
        <f t="shared" si="137"/>
        <v>244235</v>
      </c>
      <c r="X1097" s="16">
        <f t="shared" si="138"/>
        <v>244230</v>
      </c>
      <c r="Y1097" s="15" t="s">
        <v>54</v>
      </c>
      <c r="Z1097" s="177">
        <v>244230</v>
      </c>
      <c r="AA1097" s="170"/>
      <c r="AB1097" s="170"/>
      <c r="AC1097" s="170"/>
      <c r="AD1097" s="170"/>
      <c r="AE1097" s="15" t="s">
        <v>54</v>
      </c>
      <c r="AF1097" s="177">
        <v>244231</v>
      </c>
      <c r="AG1097" s="177" t="str">
        <f t="shared" si="139"/>
        <v>Pass</v>
      </c>
      <c r="AH1097" s="177">
        <f t="shared" si="140"/>
        <v>244231</v>
      </c>
      <c r="AK1097" s="176"/>
      <c r="AL1097" s="176"/>
    </row>
    <row r="1098" spans="1:38" ht="36" customHeight="1" x14ac:dyDescent="0.2">
      <c r="A1098" s="14" t="s">
        <v>25</v>
      </c>
      <c r="B1098" s="212">
        <v>244228</v>
      </c>
      <c r="C1098" s="14" t="s">
        <v>547</v>
      </c>
      <c r="D1098" s="14" t="s">
        <v>268</v>
      </c>
      <c r="E1098" s="14" t="s">
        <v>14</v>
      </c>
      <c r="F1098" s="14" t="s">
        <v>324</v>
      </c>
      <c r="G1098" s="179">
        <v>681097</v>
      </c>
      <c r="H1098" s="176" t="s">
        <v>1364</v>
      </c>
      <c r="I1098" s="176" t="s">
        <v>551</v>
      </c>
      <c r="J1098" s="176" t="s">
        <v>832</v>
      </c>
      <c r="K1098" s="176" t="s">
        <v>3512</v>
      </c>
      <c r="L1098" s="40" t="s">
        <v>108</v>
      </c>
      <c r="M1098" s="40" t="s">
        <v>341</v>
      </c>
      <c r="N1098" s="14" t="s">
        <v>3516</v>
      </c>
      <c r="O1098" s="14" t="s">
        <v>528</v>
      </c>
      <c r="P1098" s="14" t="s">
        <v>3518</v>
      </c>
      <c r="Q1098" s="14" t="s">
        <v>541</v>
      </c>
      <c r="R1098" s="17">
        <v>900</v>
      </c>
      <c r="S1098" s="172" t="s">
        <v>51</v>
      </c>
      <c r="T1098" s="17">
        <v>2544</v>
      </c>
      <c r="U1098" s="14" t="s">
        <v>51</v>
      </c>
      <c r="V1098" s="16">
        <f t="shared" si="136"/>
        <v>244228</v>
      </c>
      <c r="W1098" s="16">
        <f t="shared" si="137"/>
        <v>244235</v>
      </c>
      <c r="X1098" s="16">
        <f t="shared" si="138"/>
        <v>244230</v>
      </c>
      <c r="Y1098" s="15" t="s">
        <v>54</v>
      </c>
      <c r="Z1098" s="177">
        <v>244230</v>
      </c>
      <c r="AA1098" s="170"/>
      <c r="AB1098" s="170"/>
      <c r="AC1098" s="170"/>
      <c r="AD1098" s="170"/>
      <c r="AE1098" s="15" t="s">
        <v>54</v>
      </c>
      <c r="AF1098" s="177">
        <v>244231</v>
      </c>
      <c r="AG1098" s="177" t="str">
        <f t="shared" si="139"/>
        <v>Pass</v>
      </c>
      <c r="AH1098" s="177">
        <f t="shared" si="140"/>
        <v>244231</v>
      </c>
      <c r="AK1098" s="176"/>
      <c r="AL1098" s="176"/>
    </row>
    <row r="1099" spans="1:38" ht="36" customHeight="1" x14ac:dyDescent="0.2">
      <c r="A1099" s="14" t="s">
        <v>25</v>
      </c>
      <c r="B1099" s="212">
        <v>244230</v>
      </c>
      <c r="C1099" s="14" t="s">
        <v>547</v>
      </c>
      <c r="D1099" s="14" t="s">
        <v>268</v>
      </c>
      <c r="E1099" s="14" t="s">
        <v>14</v>
      </c>
      <c r="F1099" s="14" t="s">
        <v>324</v>
      </c>
      <c r="G1099" s="179">
        <v>681098</v>
      </c>
      <c r="H1099" s="176" t="s">
        <v>627</v>
      </c>
      <c r="I1099" s="176" t="s">
        <v>630</v>
      </c>
      <c r="J1099" s="176" t="s">
        <v>520</v>
      </c>
      <c r="K1099" s="176" t="s">
        <v>3520</v>
      </c>
      <c r="L1099" s="40" t="s">
        <v>105</v>
      </c>
      <c r="M1099" s="40" t="s">
        <v>341</v>
      </c>
      <c r="N1099" s="14" t="s">
        <v>3526</v>
      </c>
      <c r="O1099" s="14" t="s">
        <v>527</v>
      </c>
      <c r="P1099" s="14" t="s">
        <v>3531</v>
      </c>
      <c r="Q1099" s="14" t="s">
        <v>542</v>
      </c>
      <c r="R1099" s="17">
        <v>300</v>
      </c>
      <c r="S1099" s="172" t="s">
        <v>51</v>
      </c>
      <c r="T1099" s="17">
        <v>1815</v>
      </c>
      <c r="U1099" s="14" t="s">
        <v>51</v>
      </c>
      <c r="V1099" s="16">
        <f t="shared" si="136"/>
        <v>244230</v>
      </c>
      <c r="W1099" s="16">
        <f t="shared" si="137"/>
        <v>244237</v>
      </c>
      <c r="X1099" s="16">
        <f t="shared" si="138"/>
        <v>244232</v>
      </c>
      <c r="Y1099" s="15" t="s">
        <v>54</v>
      </c>
      <c r="Z1099" s="177">
        <v>244231</v>
      </c>
      <c r="AA1099" s="170"/>
      <c r="AB1099" s="170"/>
      <c r="AC1099" s="170"/>
      <c r="AD1099" s="170"/>
      <c r="AE1099" s="15" t="s">
        <v>54</v>
      </c>
      <c r="AF1099" s="177">
        <v>244235</v>
      </c>
      <c r="AG1099" s="177" t="str">
        <f t="shared" si="139"/>
        <v>Pass</v>
      </c>
      <c r="AH1099" s="177">
        <f t="shared" si="140"/>
        <v>244235</v>
      </c>
      <c r="AK1099" s="176"/>
      <c r="AL1099" s="176"/>
    </row>
    <row r="1100" spans="1:38" ht="36" customHeight="1" x14ac:dyDescent="0.2">
      <c r="A1100" s="14" t="s">
        <v>25</v>
      </c>
      <c r="B1100" s="212">
        <v>244230</v>
      </c>
      <c r="C1100" s="14" t="s">
        <v>547</v>
      </c>
      <c r="D1100" s="14" t="s">
        <v>268</v>
      </c>
      <c r="E1100" s="14" t="s">
        <v>14</v>
      </c>
      <c r="F1100" s="14" t="s">
        <v>324</v>
      </c>
      <c r="G1100" s="179">
        <v>681099</v>
      </c>
      <c r="H1100" s="176" t="s">
        <v>142</v>
      </c>
      <c r="I1100" s="176" t="s">
        <v>551</v>
      </c>
      <c r="J1100" s="176" t="s">
        <v>832</v>
      </c>
      <c r="K1100" s="176" t="s">
        <v>3521</v>
      </c>
      <c r="L1100" s="40" t="s">
        <v>108</v>
      </c>
      <c r="M1100" s="40" t="s">
        <v>341</v>
      </c>
      <c r="N1100" s="14" t="s">
        <v>3527</v>
      </c>
      <c r="O1100" s="14" t="s">
        <v>693</v>
      </c>
      <c r="P1100" s="14" t="s">
        <v>3532</v>
      </c>
      <c r="Q1100" s="14" t="s">
        <v>696</v>
      </c>
      <c r="R1100" s="17">
        <v>575</v>
      </c>
      <c r="S1100" s="172" t="s">
        <v>51</v>
      </c>
      <c r="T1100" s="17">
        <v>2090</v>
      </c>
      <c r="U1100" s="14" t="s">
        <v>51</v>
      </c>
      <c r="V1100" s="16">
        <f t="shared" si="136"/>
        <v>244230</v>
      </c>
      <c r="W1100" s="16">
        <f t="shared" si="137"/>
        <v>244237</v>
      </c>
      <c r="X1100" s="16">
        <f t="shared" si="138"/>
        <v>244232</v>
      </c>
      <c r="Y1100" s="15" t="s">
        <v>54</v>
      </c>
      <c r="Z1100" s="177">
        <v>244231</v>
      </c>
      <c r="AA1100" s="170"/>
      <c r="AB1100" s="170"/>
      <c r="AC1100" s="170"/>
      <c r="AD1100" s="170"/>
      <c r="AE1100" s="15" t="s">
        <v>54</v>
      </c>
      <c r="AF1100" s="177">
        <v>244235</v>
      </c>
      <c r="AG1100" s="177" t="str">
        <f t="shared" si="139"/>
        <v>Pass</v>
      </c>
      <c r="AH1100" s="177">
        <f t="shared" si="140"/>
        <v>244235</v>
      </c>
      <c r="AK1100" s="176"/>
      <c r="AL1100" s="176"/>
    </row>
    <row r="1101" spans="1:38" ht="36" customHeight="1" x14ac:dyDescent="0.2">
      <c r="A1101" s="14" t="s">
        <v>25</v>
      </c>
      <c r="B1101" s="212">
        <v>244230</v>
      </c>
      <c r="C1101" s="14" t="s">
        <v>547</v>
      </c>
      <c r="D1101" s="14" t="s">
        <v>268</v>
      </c>
      <c r="E1101" s="14" t="s">
        <v>14</v>
      </c>
      <c r="F1101" s="14" t="s">
        <v>324</v>
      </c>
      <c r="G1101" s="179">
        <v>681100</v>
      </c>
      <c r="H1101" s="176" t="s">
        <v>663</v>
      </c>
      <c r="I1101" s="176" t="s">
        <v>630</v>
      </c>
      <c r="J1101" s="176" t="s">
        <v>821</v>
      </c>
      <c r="K1101" s="176" t="s">
        <v>3522</v>
      </c>
      <c r="L1101" s="40" t="s">
        <v>124</v>
      </c>
      <c r="M1101" s="40" t="s">
        <v>341</v>
      </c>
      <c r="N1101" s="14" t="s">
        <v>3528</v>
      </c>
      <c r="O1101" s="14" t="s">
        <v>543</v>
      </c>
      <c r="P1101" s="14" t="s">
        <v>517</v>
      </c>
      <c r="Q1101" s="14" t="s">
        <v>529</v>
      </c>
      <c r="R1101" s="17">
        <v>320</v>
      </c>
      <c r="S1101" s="172" t="s">
        <v>51</v>
      </c>
      <c r="T1101" s="17">
        <v>1407</v>
      </c>
      <c r="U1101" s="14" t="s">
        <v>51</v>
      </c>
      <c r="V1101" s="16">
        <f t="shared" ref="V1101:V1132" si="141">B1101</f>
        <v>244230</v>
      </c>
      <c r="W1101" s="16">
        <f t="shared" ref="W1101:W1132" si="142">B1101+7</f>
        <v>244237</v>
      </c>
      <c r="X1101" s="16">
        <f t="shared" ref="X1101:X1132" si="143">V1101+2</f>
        <v>244232</v>
      </c>
      <c r="Y1101" s="15" t="s">
        <v>54</v>
      </c>
      <c r="Z1101" s="177">
        <v>244231</v>
      </c>
      <c r="AA1101" s="170"/>
      <c r="AB1101" s="170"/>
      <c r="AC1101" s="170"/>
      <c r="AD1101" s="170"/>
      <c r="AE1101" s="15" t="s">
        <v>54</v>
      </c>
      <c r="AF1101" s="177">
        <v>244235</v>
      </c>
      <c r="AG1101" s="177" t="str">
        <f t="shared" si="139"/>
        <v>Pass</v>
      </c>
      <c r="AH1101" s="177">
        <f t="shared" si="140"/>
        <v>244235</v>
      </c>
      <c r="AK1101" s="176"/>
      <c r="AL1101" s="176"/>
    </row>
    <row r="1102" spans="1:38" ht="36" customHeight="1" x14ac:dyDescent="0.2">
      <c r="A1102" s="14" t="s">
        <v>25</v>
      </c>
      <c r="B1102" s="212">
        <v>244230</v>
      </c>
      <c r="C1102" s="14" t="s">
        <v>547</v>
      </c>
      <c r="D1102" s="14" t="s">
        <v>268</v>
      </c>
      <c r="E1102" s="14" t="s">
        <v>14</v>
      </c>
      <c r="F1102" s="14" t="s">
        <v>324</v>
      </c>
      <c r="G1102" s="179">
        <v>681101</v>
      </c>
      <c r="H1102" s="176" t="s">
        <v>1223</v>
      </c>
      <c r="I1102" s="176" t="s">
        <v>864</v>
      </c>
      <c r="J1102" s="176" t="s">
        <v>865</v>
      </c>
      <c r="K1102" s="176" t="s">
        <v>3523</v>
      </c>
      <c r="L1102" s="40" t="s">
        <v>46</v>
      </c>
      <c r="M1102" s="40" t="s">
        <v>341</v>
      </c>
      <c r="N1102" s="14" t="s">
        <v>2979</v>
      </c>
      <c r="O1102" s="14" t="s">
        <v>756</v>
      </c>
      <c r="P1102" s="14" t="s">
        <v>1049</v>
      </c>
      <c r="Q1102" s="14" t="s">
        <v>758</v>
      </c>
      <c r="R1102" s="17">
        <v>600</v>
      </c>
      <c r="S1102" s="172" t="s">
        <v>51</v>
      </c>
      <c r="T1102" s="17">
        <v>1565</v>
      </c>
      <c r="U1102" s="14" t="s">
        <v>51</v>
      </c>
      <c r="V1102" s="16">
        <f t="shared" si="141"/>
        <v>244230</v>
      </c>
      <c r="W1102" s="16">
        <f t="shared" si="142"/>
        <v>244237</v>
      </c>
      <c r="X1102" s="16">
        <f t="shared" si="143"/>
        <v>244232</v>
      </c>
      <c r="Y1102" s="15" t="s">
        <v>54</v>
      </c>
      <c r="Z1102" s="177">
        <v>244231</v>
      </c>
      <c r="AA1102" s="170"/>
      <c r="AB1102" s="170"/>
      <c r="AC1102" s="170"/>
      <c r="AD1102" s="170"/>
      <c r="AE1102" s="15" t="s">
        <v>54</v>
      </c>
      <c r="AF1102" s="177">
        <v>244235</v>
      </c>
      <c r="AG1102" s="177" t="str">
        <f t="shared" si="139"/>
        <v>Pass</v>
      </c>
      <c r="AH1102" s="177">
        <f t="shared" si="140"/>
        <v>244235</v>
      </c>
      <c r="AK1102" s="176"/>
      <c r="AL1102" s="176"/>
    </row>
    <row r="1103" spans="1:38" ht="36" customHeight="1" x14ac:dyDescent="0.2">
      <c r="A1103" s="14" t="s">
        <v>25</v>
      </c>
      <c r="B1103" s="212">
        <v>244230</v>
      </c>
      <c r="C1103" s="14" t="s">
        <v>547</v>
      </c>
      <c r="D1103" s="14" t="s">
        <v>268</v>
      </c>
      <c r="E1103" s="14" t="s">
        <v>14</v>
      </c>
      <c r="F1103" s="14" t="s">
        <v>324</v>
      </c>
      <c r="G1103" s="179">
        <v>681102</v>
      </c>
      <c r="H1103" s="176">
        <v>997</v>
      </c>
      <c r="I1103" s="176" t="s">
        <v>551</v>
      </c>
      <c r="J1103" s="176" t="s">
        <v>832</v>
      </c>
      <c r="K1103" s="176" t="s">
        <v>3524</v>
      </c>
      <c r="L1103" s="40" t="s">
        <v>106</v>
      </c>
      <c r="M1103" s="40" t="s">
        <v>341</v>
      </c>
      <c r="N1103" s="14" t="s">
        <v>1214</v>
      </c>
      <c r="O1103" s="14" t="s">
        <v>548</v>
      </c>
      <c r="P1103" s="14" t="s">
        <v>717</v>
      </c>
      <c r="Q1103" s="14" t="s">
        <v>549</v>
      </c>
      <c r="R1103" s="17">
        <v>150</v>
      </c>
      <c r="S1103" s="172" t="s">
        <v>51</v>
      </c>
      <c r="T1103" s="17">
        <v>2960</v>
      </c>
      <c r="U1103" s="14" t="s">
        <v>51</v>
      </c>
      <c r="V1103" s="16">
        <f t="shared" si="141"/>
        <v>244230</v>
      </c>
      <c r="W1103" s="16">
        <f t="shared" si="142"/>
        <v>244237</v>
      </c>
      <c r="X1103" s="16">
        <f t="shared" si="143"/>
        <v>244232</v>
      </c>
      <c r="Y1103" s="15" t="s">
        <v>54</v>
      </c>
      <c r="Z1103" s="177">
        <v>244231</v>
      </c>
      <c r="AA1103" s="170"/>
      <c r="AB1103" s="170"/>
      <c r="AC1103" s="170"/>
      <c r="AD1103" s="170"/>
      <c r="AE1103" s="15" t="s">
        <v>54</v>
      </c>
      <c r="AF1103" s="177">
        <v>244235</v>
      </c>
      <c r="AG1103" s="177" t="str">
        <f t="shared" si="139"/>
        <v>Pass</v>
      </c>
      <c r="AH1103" s="177">
        <f t="shared" si="140"/>
        <v>244235</v>
      </c>
      <c r="AK1103" s="176"/>
      <c r="AL1103" s="176"/>
    </row>
    <row r="1104" spans="1:38" ht="36" customHeight="1" x14ac:dyDescent="0.2">
      <c r="A1104" s="14" t="s">
        <v>25</v>
      </c>
      <c r="B1104" s="212">
        <v>244230</v>
      </c>
      <c r="C1104" s="14" t="s">
        <v>547</v>
      </c>
      <c r="D1104" s="14" t="s">
        <v>268</v>
      </c>
      <c r="E1104" s="14" t="s">
        <v>14</v>
      </c>
      <c r="F1104" s="14" t="s">
        <v>324</v>
      </c>
      <c r="G1104" s="179">
        <v>681103</v>
      </c>
      <c r="H1104" s="176" t="s">
        <v>661</v>
      </c>
      <c r="I1104" s="176" t="s">
        <v>630</v>
      </c>
      <c r="J1104" s="176" t="s">
        <v>520</v>
      </c>
      <c r="K1104" s="176" t="s">
        <v>3525</v>
      </c>
      <c r="L1104" s="40" t="s">
        <v>105</v>
      </c>
      <c r="M1104" s="40" t="s">
        <v>341</v>
      </c>
      <c r="N1104" s="14" t="s">
        <v>3529</v>
      </c>
      <c r="O1104" s="14" t="s">
        <v>527</v>
      </c>
      <c r="P1104" s="14" t="s">
        <v>1693</v>
      </c>
      <c r="Q1104" s="14" t="s">
        <v>542</v>
      </c>
      <c r="R1104" s="17">
        <v>181</v>
      </c>
      <c r="S1104" s="172" t="s">
        <v>51</v>
      </c>
      <c r="T1104" s="17">
        <v>830</v>
      </c>
      <c r="U1104" s="14" t="s">
        <v>51</v>
      </c>
      <c r="V1104" s="16">
        <f t="shared" si="141"/>
        <v>244230</v>
      </c>
      <c r="W1104" s="16">
        <f t="shared" si="142"/>
        <v>244237</v>
      </c>
      <c r="X1104" s="16">
        <f t="shared" si="143"/>
        <v>244232</v>
      </c>
      <c r="Y1104" s="15" t="s">
        <v>54</v>
      </c>
      <c r="Z1104" s="177">
        <v>244231</v>
      </c>
      <c r="AA1104" s="170"/>
      <c r="AB1104" s="170"/>
      <c r="AC1104" s="170"/>
      <c r="AD1104" s="170"/>
      <c r="AE1104" s="15" t="s">
        <v>54</v>
      </c>
      <c r="AF1104" s="177">
        <v>244235</v>
      </c>
      <c r="AG1104" s="177" t="str">
        <f t="shared" si="139"/>
        <v>Pass</v>
      </c>
      <c r="AH1104" s="177">
        <f t="shared" si="140"/>
        <v>244235</v>
      </c>
      <c r="AK1104" s="176"/>
      <c r="AL1104" s="176"/>
    </row>
    <row r="1105" spans="1:38" ht="36" customHeight="1" x14ac:dyDescent="0.2">
      <c r="A1105" s="14" t="s">
        <v>25</v>
      </c>
      <c r="B1105" s="212">
        <v>244230</v>
      </c>
      <c r="C1105" s="14" t="s">
        <v>547</v>
      </c>
      <c r="D1105" s="14" t="s">
        <v>268</v>
      </c>
      <c r="E1105" s="14" t="s">
        <v>14</v>
      </c>
      <c r="F1105" s="14" t="s">
        <v>324</v>
      </c>
      <c r="G1105" s="179">
        <v>681104</v>
      </c>
      <c r="H1105" s="176" t="s">
        <v>1777</v>
      </c>
      <c r="I1105" s="176" t="s">
        <v>551</v>
      </c>
      <c r="J1105" s="176" t="s">
        <v>832</v>
      </c>
      <c r="K1105" s="176" t="s">
        <v>3521</v>
      </c>
      <c r="L1105" s="40" t="s">
        <v>108</v>
      </c>
      <c r="M1105" s="40" t="s">
        <v>341</v>
      </c>
      <c r="N1105" s="14" t="s">
        <v>765</v>
      </c>
      <c r="O1105" s="14" t="s">
        <v>548</v>
      </c>
      <c r="P1105" s="14" t="s">
        <v>717</v>
      </c>
      <c r="Q1105" s="14" t="s">
        <v>549</v>
      </c>
      <c r="R1105" s="17">
        <v>200</v>
      </c>
      <c r="S1105" s="172" t="s">
        <v>51</v>
      </c>
      <c r="T1105" s="17">
        <v>1255</v>
      </c>
      <c r="U1105" s="14" t="s">
        <v>51</v>
      </c>
      <c r="V1105" s="16">
        <f t="shared" si="141"/>
        <v>244230</v>
      </c>
      <c r="W1105" s="16">
        <f t="shared" si="142"/>
        <v>244237</v>
      </c>
      <c r="X1105" s="16">
        <f t="shared" si="143"/>
        <v>244232</v>
      </c>
      <c r="Y1105" s="15" t="s">
        <v>54</v>
      </c>
      <c r="Z1105" s="177">
        <v>244231</v>
      </c>
      <c r="AA1105" s="170"/>
      <c r="AB1105" s="170"/>
      <c r="AC1105" s="170"/>
      <c r="AD1105" s="170"/>
      <c r="AE1105" s="15" t="s">
        <v>54</v>
      </c>
      <c r="AF1105" s="177">
        <v>244235</v>
      </c>
      <c r="AG1105" s="177" t="str">
        <f t="shared" si="139"/>
        <v>Pass</v>
      </c>
      <c r="AH1105" s="177">
        <f t="shared" si="140"/>
        <v>244235</v>
      </c>
      <c r="AK1105" s="176"/>
      <c r="AL1105" s="176"/>
    </row>
    <row r="1106" spans="1:38" ht="36" customHeight="1" x14ac:dyDescent="0.2">
      <c r="A1106" s="14" t="s">
        <v>25</v>
      </c>
      <c r="B1106" s="212">
        <v>244230</v>
      </c>
      <c r="C1106" s="14" t="s">
        <v>547</v>
      </c>
      <c r="D1106" s="14" t="s">
        <v>268</v>
      </c>
      <c r="E1106" s="14" t="s">
        <v>14</v>
      </c>
      <c r="F1106" s="14" t="s">
        <v>324</v>
      </c>
      <c r="G1106" s="179">
        <v>681105</v>
      </c>
      <c r="H1106" s="176" t="s">
        <v>661</v>
      </c>
      <c r="I1106" s="176" t="s">
        <v>630</v>
      </c>
      <c r="J1106" s="176" t="s">
        <v>3519</v>
      </c>
      <c r="K1106" s="176" t="s">
        <v>3525</v>
      </c>
      <c r="L1106" s="40" t="s">
        <v>105</v>
      </c>
      <c r="M1106" s="40" t="s">
        <v>341</v>
      </c>
      <c r="N1106" s="14" t="s">
        <v>3530</v>
      </c>
      <c r="O1106" s="14" t="s">
        <v>527</v>
      </c>
      <c r="P1106" s="14" t="s">
        <v>3533</v>
      </c>
      <c r="Q1106" s="14" t="s">
        <v>542</v>
      </c>
      <c r="R1106" s="17">
        <v>121</v>
      </c>
      <c r="S1106" s="172" t="s">
        <v>51</v>
      </c>
      <c r="T1106" s="17">
        <v>1580</v>
      </c>
      <c r="U1106" s="14" t="s">
        <v>51</v>
      </c>
      <c r="V1106" s="16">
        <f t="shared" si="141"/>
        <v>244230</v>
      </c>
      <c r="W1106" s="16">
        <f t="shared" si="142"/>
        <v>244237</v>
      </c>
      <c r="X1106" s="16">
        <f t="shared" si="143"/>
        <v>244232</v>
      </c>
      <c r="Y1106" s="15" t="s">
        <v>54</v>
      </c>
      <c r="Z1106" s="177">
        <v>244231</v>
      </c>
      <c r="AA1106" s="170"/>
      <c r="AB1106" s="170"/>
      <c r="AC1106" s="170"/>
      <c r="AD1106" s="170"/>
      <c r="AE1106" s="15" t="s">
        <v>54</v>
      </c>
      <c r="AF1106" s="177">
        <v>244235</v>
      </c>
      <c r="AG1106" s="177" t="str">
        <f t="shared" si="139"/>
        <v>Pass</v>
      </c>
      <c r="AH1106" s="177">
        <f t="shared" si="140"/>
        <v>244235</v>
      </c>
      <c r="AK1106" s="176"/>
      <c r="AL1106" s="176"/>
    </row>
    <row r="1107" spans="1:38" ht="36" customHeight="1" x14ac:dyDescent="0.2">
      <c r="A1107" s="14" t="s">
        <v>25</v>
      </c>
      <c r="B1107" s="212">
        <v>244230</v>
      </c>
      <c r="C1107" s="14" t="s">
        <v>547</v>
      </c>
      <c r="D1107" s="14" t="s">
        <v>268</v>
      </c>
      <c r="E1107" s="14" t="s">
        <v>14</v>
      </c>
      <c r="F1107" s="14" t="s">
        <v>324</v>
      </c>
      <c r="G1107" s="179">
        <v>681106</v>
      </c>
      <c r="H1107" s="176" t="s">
        <v>1402</v>
      </c>
      <c r="I1107" s="176" t="s">
        <v>1407</v>
      </c>
      <c r="J1107" s="176" t="s">
        <v>1410</v>
      </c>
      <c r="K1107" s="176" t="s">
        <v>3534</v>
      </c>
      <c r="L1107" s="40" t="s">
        <v>45</v>
      </c>
      <c r="M1107" s="40" t="s">
        <v>341</v>
      </c>
      <c r="N1107" s="14" t="s">
        <v>3536</v>
      </c>
      <c r="O1107" s="14" t="s">
        <v>527</v>
      </c>
      <c r="P1107" s="14" t="s">
        <v>3537</v>
      </c>
      <c r="Q1107" s="14" t="s">
        <v>542</v>
      </c>
      <c r="R1107" s="17">
        <v>217</v>
      </c>
      <c r="S1107" s="172" t="s">
        <v>51</v>
      </c>
      <c r="T1107" s="17">
        <v>1360</v>
      </c>
      <c r="U1107" s="14" t="s">
        <v>51</v>
      </c>
      <c r="V1107" s="16">
        <f t="shared" si="141"/>
        <v>244230</v>
      </c>
      <c r="W1107" s="16">
        <f t="shared" si="142"/>
        <v>244237</v>
      </c>
      <c r="X1107" s="16">
        <f t="shared" si="143"/>
        <v>244232</v>
      </c>
      <c r="Y1107" s="15" t="s">
        <v>54</v>
      </c>
      <c r="Z1107" s="177">
        <v>244231</v>
      </c>
      <c r="AA1107" s="170"/>
      <c r="AB1107" s="170"/>
      <c r="AC1107" s="170"/>
      <c r="AD1107" s="170"/>
      <c r="AE1107" s="15" t="s">
        <v>54</v>
      </c>
      <c r="AF1107" s="177">
        <v>244235</v>
      </c>
      <c r="AG1107" s="177" t="str">
        <f t="shared" si="139"/>
        <v>Pass</v>
      </c>
      <c r="AH1107" s="177">
        <f t="shared" si="140"/>
        <v>244235</v>
      </c>
      <c r="AK1107" s="176"/>
      <c r="AL1107" s="176"/>
    </row>
    <row r="1108" spans="1:38" ht="36" customHeight="1" x14ac:dyDescent="0.2">
      <c r="A1108" s="14" t="s">
        <v>25</v>
      </c>
      <c r="B1108" s="212">
        <v>244230</v>
      </c>
      <c r="C1108" s="14" t="s">
        <v>547</v>
      </c>
      <c r="D1108" s="14" t="s">
        <v>268</v>
      </c>
      <c r="E1108" s="14" t="s">
        <v>14</v>
      </c>
      <c r="F1108" s="14" t="s">
        <v>324</v>
      </c>
      <c r="G1108" s="179">
        <v>681107</v>
      </c>
      <c r="H1108" s="176" t="s">
        <v>1606</v>
      </c>
      <c r="I1108" s="176" t="s">
        <v>630</v>
      </c>
      <c r="J1108" s="176" t="s">
        <v>520</v>
      </c>
      <c r="K1108" s="176" t="s">
        <v>3535</v>
      </c>
      <c r="L1108" s="40" t="s">
        <v>105</v>
      </c>
      <c r="M1108" s="40" t="s">
        <v>341</v>
      </c>
      <c r="N1108" s="14" t="s">
        <v>2980</v>
      </c>
      <c r="O1108" s="14" t="s">
        <v>548</v>
      </c>
      <c r="P1108" s="14" t="s">
        <v>518</v>
      </c>
      <c r="Q1108" s="14" t="s">
        <v>549</v>
      </c>
      <c r="R1108" s="17">
        <v>157</v>
      </c>
      <c r="S1108" s="172" t="s">
        <v>51</v>
      </c>
      <c r="T1108" s="17">
        <v>220</v>
      </c>
      <c r="U1108" s="14" t="s">
        <v>51</v>
      </c>
      <c r="V1108" s="16">
        <f t="shared" si="141"/>
        <v>244230</v>
      </c>
      <c r="W1108" s="16">
        <f t="shared" si="142"/>
        <v>244237</v>
      </c>
      <c r="X1108" s="16">
        <f t="shared" si="143"/>
        <v>244232</v>
      </c>
      <c r="Y1108" s="15" t="s">
        <v>54</v>
      </c>
      <c r="Z1108" s="177">
        <v>244231</v>
      </c>
      <c r="AA1108" s="170"/>
      <c r="AB1108" s="170"/>
      <c r="AC1108" s="170"/>
      <c r="AD1108" s="170"/>
      <c r="AE1108" s="15" t="s">
        <v>54</v>
      </c>
      <c r="AF1108" s="177">
        <v>244235</v>
      </c>
      <c r="AG1108" s="177" t="str">
        <f t="shared" si="139"/>
        <v>Pass</v>
      </c>
      <c r="AH1108" s="177">
        <f t="shared" si="140"/>
        <v>244235</v>
      </c>
      <c r="AK1108" s="176"/>
      <c r="AL1108" s="176"/>
    </row>
    <row r="1109" spans="1:38" ht="36" customHeight="1" x14ac:dyDescent="0.2">
      <c r="A1109" s="14" t="s">
        <v>25</v>
      </c>
      <c r="B1109" s="212">
        <v>244231</v>
      </c>
      <c r="C1109" s="14" t="s">
        <v>547</v>
      </c>
      <c r="D1109" s="14" t="s">
        <v>268</v>
      </c>
      <c r="E1109" s="14" t="s">
        <v>14</v>
      </c>
      <c r="F1109" s="14" t="s">
        <v>324</v>
      </c>
      <c r="G1109" s="179">
        <v>681108</v>
      </c>
      <c r="H1109" s="176" t="s">
        <v>760</v>
      </c>
      <c r="I1109" s="176" t="s">
        <v>551</v>
      </c>
      <c r="J1109" s="176" t="s">
        <v>832</v>
      </c>
      <c r="K1109" s="176" t="s">
        <v>3538</v>
      </c>
      <c r="L1109" s="40" t="s">
        <v>108</v>
      </c>
      <c r="M1109" s="40" t="s">
        <v>341</v>
      </c>
      <c r="N1109" s="14" t="s">
        <v>3543</v>
      </c>
      <c r="O1109" s="14" t="s">
        <v>552</v>
      </c>
      <c r="P1109" s="14" t="s">
        <v>3426</v>
      </c>
      <c r="Q1109" s="14" t="s">
        <v>553</v>
      </c>
      <c r="R1109" s="17">
        <v>925</v>
      </c>
      <c r="S1109" s="172" t="s">
        <v>51</v>
      </c>
      <c r="T1109" s="17">
        <v>2846</v>
      </c>
      <c r="U1109" s="14" t="s">
        <v>51</v>
      </c>
      <c r="V1109" s="16">
        <f t="shared" si="141"/>
        <v>244231</v>
      </c>
      <c r="W1109" s="16">
        <f t="shared" si="142"/>
        <v>244238</v>
      </c>
      <c r="X1109" s="16">
        <f t="shared" si="143"/>
        <v>244233</v>
      </c>
      <c r="Y1109" s="15" t="s">
        <v>54</v>
      </c>
      <c r="Z1109" s="177">
        <v>244239</v>
      </c>
      <c r="AA1109" s="170"/>
      <c r="AB1109" s="170"/>
      <c r="AC1109" s="170"/>
      <c r="AD1109" s="170"/>
      <c r="AE1109" s="15" t="s">
        <v>54</v>
      </c>
      <c r="AF1109" s="177">
        <v>244239</v>
      </c>
      <c r="AG1109" s="177" t="str">
        <f t="shared" si="139"/>
        <v>Pass</v>
      </c>
      <c r="AH1109" s="177">
        <f t="shared" si="140"/>
        <v>244239</v>
      </c>
      <c r="AK1109" s="176"/>
      <c r="AL1109" s="176"/>
    </row>
    <row r="1110" spans="1:38" ht="36" customHeight="1" x14ac:dyDescent="0.2">
      <c r="A1110" s="14" t="s">
        <v>25</v>
      </c>
      <c r="B1110" s="212">
        <v>244231</v>
      </c>
      <c r="C1110" s="14" t="s">
        <v>547</v>
      </c>
      <c r="D1110" s="14" t="s">
        <v>268</v>
      </c>
      <c r="E1110" s="14" t="s">
        <v>14</v>
      </c>
      <c r="F1110" s="14" t="s">
        <v>324</v>
      </c>
      <c r="G1110" s="179">
        <v>681109</v>
      </c>
      <c r="H1110" s="176" t="s">
        <v>663</v>
      </c>
      <c r="I1110" s="176" t="s">
        <v>630</v>
      </c>
      <c r="J1110" s="176" t="s">
        <v>821</v>
      </c>
      <c r="K1110" s="176" t="s">
        <v>3539</v>
      </c>
      <c r="L1110" s="40" t="s">
        <v>124</v>
      </c>
      <c r="M1110" s="40" t="s">
        <v>341</v>
      </c>
      <c r="N1110" s="14" t="s">
        <v>1905</v>
      </c>
      <c r="O1110" s="14" t="s">
        <v>548</v>
      </c>
      <c r="P1110" s="14" t="s">
        <v>717</v>
      </c>
      <c r="Q1110" s="14" t="s">
        <v>549</v>
      </c>
      <c r="R1110" s="17">
        <v>165</v>
      </c>
      <c r="S1110" s="172" t="s">
        <v>51</v>
      </c>
      <c r="T1110" s="17">
        <v>2523</v>
      </c>
      <c r="U1110" s="14" t="s">
        <v>51</v>
      </c>
      <c r="V1110" s="16">
        <f t="shared" si="141"/>
        <v>244231</v>
      </c>
      <c r="W1110" s="16">
        <f t="shared" si="142"/>
        <v>244238</v>
      </c>
      <c r="X1110" s="16">
        <f t="shared" si="143"/>
        <v>244233</v>
      </c>
      <c r="Y1110" s="15" t="s">
        <v>54</v>
      </c>
      <c r="Z1110" s="177">
        <v>244239</v>
      </c>
      <c r="AA1110" s="170"/>
      <c r="AB1110" s="170"/>
      <c r="AC1110" s="170"/>
      <c r="AD1110" s="170"/>
      <c r="AE1110" s="15" t="s">
        <v>54</v>
      </c>
      <c r="AF1110" s="177">
        <v>244239</v>
      </c>
      <c r="AG1110" s="177" t="str">
        <f t="shared" si="139"/>
        <v>Pass</v>
      </c>
      <c r="AH1110" s="177">
        <f t="shared" si="140"/>
        <v>244239</v>
      </c>
      <c r="AK1110" s="176"/>
      <c r="AL1110" s="176"/>
    </row>
    <row r="1111" spans="1:38" ht="36" customHeight="1" x14ac:dyDescent="0.2">
      <c r="A1111" s="14" t="s">
        <v>25</v>
      </c>
      <c r="B1111" s="212">
        <v>244231</v>
      </c>
      <c r="C1111" s="14" t="s">
        <v>547</v>
      </c>
      <c r="D1111" s="14" t="s">
        <v>268</v>
      </c>
      <c r="E1111" s="14" t="s">
        <v>14</v>
      </c>
      <c r="F1111" s="14" t="s">
        <v>324</v>
      </c>
      <c r="G1111" s="179">
        <v>681110</v>
      </c>
      <c r="H1111" s="176" t="s">
        <v>3493</v>
      </c>
      <c r="I1111" s="176" t="s">
        <v>630</v>
      </c>
      <c r="J1111" s="176" t="s">
        <v>2861</v>
      </c>
      <c r="K1111" s="176" t="s">
        <v>3540</v>
      </c>
      <c r="L1111" s="40" t="s">
        <v>105</v>
      </c>
      <c r="M1111" s="40" t="s">
        <v>341</v>
      </c>
      <c r="N1111" s="14" t="s">
        <v>3544</v>
      </c>
      <c r="O1111" s="14" t="s">
        <v>3549</v>
      </c>
      <c r="P1111" s="14" t="s">
        <v>3484</v>
      </c>
      <c r="Q1111" s="14" t="s">
        <v>3551</v>
      </c>
      <c r="R1111" s="17">
        <v>200</v>
      </c>
      <c r="S1111" s="172" t="s">
        <v>51</v>
      </c>
      <c r="T1111" s="17">
        <v>340</v>
      </c>
      <c r="U1111" s="14" t="s">
        <v>51</v>
      </c>
      <c r="V1111" s="16">
        <f t="shared" si="141"/>
        <v>244231</v>
      </c>
      <c r="W1111" s="16">
        <f t="shared" si="142"/>
        <v>244238</v>
      </c>
      <c r="X1111" s="16">
        <f t="shared" si="143"/>
        <v>244233</v>
      </c>
      <c r="Y1111" s="15" t="s">
        <v>54</v>
      </c>
      <c r="Z1111" s="177">
        <v>244239</v>
      </c>
      <c r="AA1111" s="170"/>
      <c r="AB1111" s="170"/>
      <c r="AC1111" s="170"/>
      <c r="AD1111" s="170"/>
      <c r="AE1111" s="15" t="s">
        <v>54</v>
      </c>
      <c r="AF1111" s="177">
        <v>244239</v>
      </c>
      <c r="AG1111" s="177" t="str">
        <f t="shared" si="139"/>
        <v>Pass</v>
      </c>
      <c r="AH1111" s="177">
        <f t="shared" si="140"/>
        <v>244239</v>
      </c>
      <c r="AK1111" s="176"/>
      <c r="AL1111" s="176"/>
    </row>
    <row r="1112" spans="1:38" ht="36" customHeight="1" x14ac:dyDescent="0.2">
      <c r="A1112" s="14" t="s">
        <v>25</v>
      </c>
      <c r="B1112" s="212">
        <v>244231</v>
      </c>
      <c r="C1112" s="14" t="s">
        <v>547</v>
      </c>
      <c r="D1112" s="14" t="s">
        <v>268</v>
      </c>
      <c r="E1112" s="14" t="s">
        <v>14</v>
      </c>
      <c r="F1112" s="14" t="s">
        <v>324</v>
      </c>
      <c r="G1112" s="179">
        <v>681111</v>
      </c>
      <c r="H1112" s="176" t="s">
        <v>663</v>
      </c>
      <c r="I1112" s="176" t="s">
        <v>630</v>
      </c>
      <c r="J1112" s="176" t="s">
        <v>821</v>
      </c>
      <c r="K1112" s="176" t="s">
        <v>3539</v>
      </c>
      <c r="L1112" s="40" t="s">
        <v>124</v>
      </c>
      <c r="M1112" s="40" t="s">
        <v>341</v>
      </c>
      <c r="N1112" s="14" t="s">
        <v>616</v>
      </c>
      <c r="O1112" s="14" t="s">
        <v>548</v>
      </c>
      <c r="P1112" s="14" t="s">
        <v>717</v>
      </c>
      <c r="Q1112" s="14" t="s">
        <v>549</v>
      </c>
      <c r="R1112" s="17">
        <v>160</v>
      </c>
      <c r="S1112" s="172" t="s">
        <v>51</v>
      </c>
      <c r="T1112" s="17">
        <v>2528</v>
      </c>
      <c r="U1112" s="14" t="s">
        <v>51</v>
      </c>
      <c r="V1112" s="16">
        <f t="shared" si="141"/>
        <v>244231</v>
      </c>
      <c r="W1112" s="16">
        <f t="shared" si="142"/>
        <v>244238</v>
      </c>
      <c r="X1112" s="16">
        <f t="shared" si="143"/>
        <v>244233</v>
      </c>
      <c r="Y1112" s="15" t="s">
        <v>54</v>
      </c>
      <c r="Z1112" s="177">
        <v>244239</v>
      </c>
      <c r="AA1112" s="170"/>
      <c r="AB1112" s="170"/>
      <c r="AC1112" s="170"/>
      <c r="AD1112" s="170"/>
      <c r="AE1112" s="15" t="s">
        <v>54</v>
      </c>
      <c r="AF1112" s="177">
        <v>244239</v>
      </c>
      <c r="AG1112" s="177" t="str">
        <f t="shared" si="139"/>
        <v>Pass</v>
      </c>
      <c r="AH1112" s="177">
        <f t="shared" si="140"/>
        <v>244239</v>
      </c>
      <c r="AK1112" s="176"/>
      <c r="AL1112" s="176"/>
    </row>
    <row r="1113" spans="1:38" ht="36" customHeight="1" x14ac:dyDescent="0.2">
      <c r="A1113" s="14" t="s">
        <v>25</v>
      </c>
      <c r="B1113" s="212">
        <v>244231</v>
      </c>
      <c r="C1113" s="14" t="s">
        <v>547</v>
      </c>
      <c r="D1113" s="14" t="s">
        <v>268</v>
      </c>
      <c r="E1113" s="14" t="s">
        <v>14</v>
      </c>
      <c r="F1113" s="14" t="s">
        <v>324</v>
      </c>
      <c r="G1113" s="179">
        <v>681112</v>
      </c>
      <c r="H1113" s="176" t="s">
        <v>1402</v>
      </c>
      <c r="I1113" s="176" t="s">
        <v>1407</v>
      </c>
      <c r="J1113" s="176" t="s">
        <v>1410</v>
      </c>
      <c r="K1113" s="176" t="s">
        <v>3534</v>
      </c>
      <c r="L1113" s="40" t="s">
        <v>45</v>
      </c>
      <c r="M1113" s="40" t="s">
        <v>341</v>
      </c>
      <c r="N1113" s="14" t="s">
        <v>3545</v>
      </c>
      <c r="O1113" s="14" t="s">
        <v>527</v>
      </c>
      <c r="P1113" s="14" t="s">
        <v>1072</v>
      </c>
      <c r="Q1113" s="14" t="s">
        <v>542</v>
      </c>
      <c r="R1113" s="17">
        <v>120</v>
      </c>
      <c r="S1113" s="172" t="s">
        <v>51</v>
      </c>
      <c r="T1113" s="17">
        <v>1850</v>
      </c>
      <c r="U1113" s="14" t="s">
        <v>51</v>
      </c>
      <c r="V1113" s="16">
        <f t="shared" si="141"/>
        <v>244231</v>
      </c>
      <c r="W1113" s="16">
        <f t="shared" si="142"/>
        <v>244238</v>
      </c>
      <c r="X1113" s="16">
        <f t="shared" si="143"/>
        <v>244233</v>
      </c>
      <c r="Y1113" s="15" t="s">
        <v>54</v>
      </c>
      <c r="Z1113" s="177">
        <v>244239</v>
      </c>
      <c r="AA1113" s="170"/>
      <c r="AB1113" s="170"/>
      <c r="AC1113" s="170"/>
      <c r="AD1113" s="170"/>
      <c r="AE1113" s="15" t="s">
        <v>54</v>
      </c>
      <c r="AF1113" s="177">
        <v>244239</v>
      </c>
      <c r="AG1113" s="177" t="str">
        <f t="shared" si="139"/>
        <v>Pass</v>
      </c>
      <c r="AH1113" s="177">
        <f t="shared" si="140"/>
        <v>244239</v>
      </c>
      <c r="AK1113" s="176"/>
      <c r="AL1113" s="176"/>
    </row>
    <row r="1114" spans="1:38" ht="36" customHeight="1" x14ac:dyDescent="0.2">
      <c r="A1114" s="14" t="s">
        <v>25</v>
      </c>
      <c r="B1114" s="212">
        <v>244231</v>
      </c>
      <c r="C1114" s="14" t="s">
        <v>547</v>
      </c>
      <c r="D1114" s="14" t="s">
        <v>268</v>
      </c>
      <c r="E1114" s="14" t="s">
        <v>14</v>
      </c>
      <c r="F1114" s="14" t="s">
        <v>324</v>
      </c>
      <c r="G1114" s="179">
        <v>681113</v>
      </c>
      <c r="H1114" s="176" t="s">
        <v>2837</v>
      </c>
      <c r="I1114" s="176" t="s">
        <v>551</v>
      </c>
      <c r="J1114" s="176" t="s">
        <v>2838</v>
      </c>
      <c r="K1114" s="176" t="s">
        <v>3541</v>
      </c>
      <c r="L1114" s="40" t="s">
        <v>106</v>
      </c>
      <c r="M1114" s="40" t="s">
        <v>341</v>
      </c>
      <c r="N1114" s="14" t="s">
        <v>3546</v>
      </c>
      <c r="O1114" s="14" t="s">
        <v>552</v>
      </c>
      <c r="P1114" s="14" t="s">
        <v>1660</v>
      </c>
      <c r="Q1114" s="14" t="s">
        <v>553</v>
      </c>
      <c r="R1114" s="17">
        <v>675</v>
      </c>
      <c r="S1114" s="172" t="s">
        <v>51</v>
      </c>
      <c r="T1114" s="17">
        <v>1960</v>
      </c>
      <c r="U1114" s="14" t="s">
        <v>51</v>
      </c>
      <c r="V1114" s="16">
        <f t="shared" si="141"/>
        <v>244231</v>
      </c>
      <c r="W1114" s="16">
        <f t="shared" si="142"/>
        <v>244238</v>
      </c>
      <c r="X1114" s="16">
        <f t="shared" si="143"/>
        <v>244233</v>
      </c>
      <c r="Y1114" s="15" t="s">
        <v>54</v>
      </c>
      <c r="Z1114" s="177">
        <v>244239</v>
      </c>
      <c r="AA1114" s="170"/>
      <c r="AB1114" s="170"/>
      <c r="AC1114" s="170"/>
      <c r="AD1114" s="170"/>
      <c r="AE1114" s="15" t="s">
        <v>54</v>
      </c>
      <c r="AF1114" s="177">
        <v>244239</v>
      </c>
      <c r="AG1114" s="177" t="str">
        <f t="shared" si="139"/>
        <v>Pass</v>
      </c>
      <c r="AH1114" s="177">
        <f t="shared" si="140"/>
        <v>244239</v>
      </c>
      <c r="AK1114" s="176"/>
      <c r="AL1114" s="176"/>
    </row>
    <row r="1115" spans="1:38" ht="36" customHeight="1" x14ac:dyDescent="0.2">
      <c r="A1115" s="14" t="s">
        <v>25</v>
      </c>
      <c r="B1115" s="212">
        <v>244231</v>
      </c>
      <c r="C1115" s="14" t="s">
        <v>547</v>
      </c>
      <c r="D1115" s="14" t="s">
        <v>268</v>
      </c>
      <c r="E1115" s="14" t="s">
        <v>14</v>
      </c>
      <c r="F1115" s="14" t="s">
        <v>324</v>
      </c>
      <c r="G1115" s="179">
        <v>681114</v>
      </c>
      <c r="H1115" s="176" t="s">
        <v>1081</v>
      </c>
      <c r="I1115" s="176" t="s">
        <v>612</v>
      </c>
      <c r="J1115" s="176" t="s">
        <v>865</v>
      </c>
      <c r="K1115" s="176" t="s">
        <v>3542</v>
      </c>
      <c r="L1115" s="40" t="s">
        <v>46</v>
      </c>
      <c r="M1115" s="40" t="s">
        <v>341</v>
      </c>
      <c r="N1115" s="14" t="s">
        <v>3547</v>
      </c>
      <c r="O1115" s="14" t="s">
        <v>528</v>
      </c>
      <c r="P1115" s="14" t="s">
        <v>3550</v>
      </c>
      <c r="Q1115" s="14" t="s">
        <v>541</v>
      </c>
      <c r="R1115" s="17">
        <v>500</v>
      </c>
      <c r="S1115" s="172" t="s">
        <v>51</v>
      </c>
      <c r="T1115" s="17">
        <v>1900</v>
      </c>
      <c r="U1115" s="14" t="s">
        <v>51</v>
      </c>
      <c r="V1115" s="16">
        <f t="shared" si="141"/>
        <v>244231</v>
      </c>
      <c r="W1115" s="16">
        <f t="shared" si="142"/>
        <v>244238</v>
      </c>
      <c r="X1115" s="16">
        <f t="shared" si="143"/>
        <v>244233</v>
      </c>
      <c r="Y1115" s="15" t="s">
        <v>54</v>
      </c>
      <c r="Z1115" s="177">
        <v>244239</v>
      </c>
      <c r="AA1115" s="170"/>
      <c r="AB1115" s="170"/>
      <c r="AC1115" s="170"/>
      <c r="AD1115" s="170"/>
      <c r="AE1115" s="15" t="s">
        <v>54</v>
      </c>
      <c r="AF1115" s="177">
        <v>244239</v>
      </c>
      <c r="AG1115" s="177" t="str">
        <f t="shared" si="139"/>
        <v>Pass</v>
      </c>
      <c r="AH1115" s="177">
        <f t="shared" si="140"/>
        <v>244239</v>
      </c>
      <c r="AK1115" s="176"/>
      <c r="AL1115" s="176"/>
    </row>
    <row r="1116" spans="1:38" ht="36" customHeight="1" x14ac:dyDescent="0.2">
      <c r="A1116" s="14" t="s">
        <v>25</v>
      </c>
      <c r="B1116" s="212">
        <v>244231</v>
      </c>
      <c r="C1116" s="14" t="s">
        <v>547</v>
      </c>
      <c r="D1116" s="14" t="s">
        <v>268</v>
      </c>
      <c r="E1116" s="14" t="s">
        <v>14</v>
      </c>
      <c r="F1116" s="14" t="s">
        <v>324</v>
      </c>
      <c r="G1116" s="179">
        <v>681115</v>
      </c>
      <c r="H1116" s="176" t="s">
        <v>663</v>
      </c>
      <c r="I1116" s="176" t="s">
        <v>630</v>
      </c>
      <c r="J1116" s="176" t="s">
        <v>821</v>
      </c>
      <c r="K1116" s="176" t="s">
        <v>3539</v>
      </c>
      <c r="L1116" s="40" t="s">
        <v>124</v>
      </c>
      <c r="M1116" s="40" t="s">
        <v>341</v>
      </c>
      <c r="N1116" s="14" t="s">
        <v>3548</v>
      </c>
      <c r="O1116" s="14" t="s">
        <v>543</v>
      </c>
      <c r="P1116" s="14" t="s">
        <v>1573</v>
      </c>
      <c r="Q1116" s="14" t="s">
        <v>529</v>
      </c>
      <c r="R1116" s="17">
        <v>1120</v>
      </c>
      <c r="S1116" s="172" t="s">
        <v>51</v>
      </c>
      <c r="T1116" s="17">
        <v>2612</v>
      </c>
      <c r="U1116" s="14" t="s">
        <v>51</v>
      </c>
      <c r="V1116" s="16">
        <f t="shared" si="141"/>
        <v>244231</v>
      </c>
      <c r="W1116" s="16">
        <f t="shared" si="142"/>
        <v>244238</v>
      </c>
      <c r="X1116" s="16">
        <f t="shared" si="143"/>
        <v>244233</v>
      </c>
      <c r="Y1116" s="15" t="s">
        <v>54</v>
      </c>
      <c r="Z1116" s="177">
        <v>244239</v>
      </c>
      <c r="AA1116" s="170"/>
      <c r="AB1116" s="170"/>
      <c r="AC1116" s="170"/>
      <c r="AD1116" s="170"/>
      <c r="AE1116" s="15" t="s">
        <v>54</v>
      </c>
      <c r="AF1116" s="177">
        <v>244239</v>
      </c>
      <c r="AG1116" s="177" t="str">
        <f t="shared" si="139"/>
        <v>Pass</v>
      </c>
      <c r="AH1116" s="177">
        <f t="shared" si="140"/>
        <v>244239</v>
      </c>
      <c r="AK1116" s="176"/>
      <c r="AL1116" s="176"/>
    </row>
    <row r="1117" spans="1:38" ht="36" customHeight="1" x14ac:dyDescent="0.2">
      <c r="A1117" s="14" t="s">
        <v>25</v>
      </c>
      <c r="B1117" s="212">
        <v>244231</v>
      </c>
      <c r="C1117" s="14" t="s">
        <v>547</v>
      </c>
      <c r="D1117" s="14" t="s">
        <v>268</v>
      </c>
      <c r="E1117" s="14" t="s">
        <v>14</v>
      </c>
      <c r="F1117" s="14" t="s">
        <v>324</v>
      </c>
      <c r="G1117" s="179">
        <v>681116</v>
      </c>
      <c r="H1117" s="176" t="s">
        <v>1081</v>
      </c>
      <c r="I1117" s="176" t="s">
        <v>612</v>
      </c>
      <c r="J1117" s="176" t="s">
        <v>865</v>
      </c>
      <c r="K1117" s="176" t="s">
        <v>3542</v>
      </c>
      <c r="L1117" s="40" t="s">
        <v>46</v>
      </c>
      <c r="M1117" s="40" t="s">
        <v>341</v>
      </c>
      <c r="N1117" s="14" t="s">
        <v>1670</v>
      </c>
      <c r="O1117" s="14" t="s">
        <v>548</v>
      </c>
      <c r="P1117" s="14" t="s">
        <v>717</v>
      </c>
      <c r="Q1117" s="14" t="s">
        <v>549</v>
      </c>
      <c r="R1117" s="17">
        <v>155</v>
      </c>
      <c r="S1117" s="172" t="s">
        <v>51</v>
      </c>
      <c r="T1117" s="17">
        <v>500</v>
      </c>
      <c r="U1117" s="14" t="s">
        <v>51</v>
      </c>
      <c r="V1117" s="16">
        <f t="shared" si="141"/>
        <v>244231</v>
      </c>
      <c r="W1117" s="16">
        <f t="shared" si="142"/>
        <v>244238</v>
      </c>
      <c r="X1117" s="16">
        <f t="shared" si="143"/>
        <v>244233</v>
      </c>
      <c r="Y1117" s="15" t="s">
        <v>54</v>
      </c>
      <c r="Z1117" s="177">
        <v>244239</v>
      </c>
      <c r="AA1117" s="170"/>
      <c r="AB1117" s="170"/>
      <c r="AC1117" s="170"/>
      <c r="AD1117" s="170"/>
      <c r="AE1117" s="15" t="s">
        <v>54</v>
      </c>
      <c r="AF1117" s="177">
        <v>244239</v>
      </c>
      <c r="AG1117" s="177" t="str">
        <f t="shared" si="139"/>
        <v>Pass</v>
      </c>
      <c r="AH1117" s="177">
        <f t="shared" si="140"/>
        <v>244239</v>
      </c>
      <c r="AK1117" s="176"/>
      <c r="AL1117" s="176"/>
    </row>
    <row r="1118" spans="1:38" ht="36" customHeight="1" x14ac:dyDescent="0.2">
      <c r="A1118" s="14" t="s">
        <v>25</v>
      </c>
      <c r="B1118" s="212">
        <v>244232</v>
      </c>
      <c r="C1118" s="14" t="s">
        <v>547</v>
      </c>
      <c r="D1118" s="14" t="s">
        <v>268</v>
      </c>
      <c r="E1118" s="14" t="s">
        <v>14</v>
      </c>
      <c r="F1118" s="14" t="s">
        <v>324</v>
      </c>
      <c r="G1118" s="179">
        <v>681117</v>
      </c>
      <c r="H1118" s="176" t="s">
        <v>772</v>
      </c>
      <c r="I1118" s="176" t="s">
        <v>774</v>
      </c>
      <c r="J1118" s="176" t="s">
        <v>776</v>
      </c>
      <c r="K1118" s="176" t="s">
        <v>3552</v>
      </c>
      <c r="L1118" s="40" t="s">
        <v>45</v>
      </c>
      <c r="M1118" s="40" t="s">
        <v>341</v>
      </c>
      <c r="N1118" s="14" t="s">
        <v>3567</v>
      </c>
      <c r="O1118" s="14" t="s">
        <v>3558</v>
      </c>
      <c r="P1118" s="14" t="s">
        <v>3561</v>
      </c>
      <c r="Q1118" s="14" t="s">
        <v>3564</v>
      </c>
      <c r="R1118" s="17">
        <v>362</v>
      </c>
      <c r="S1118" s="172" t="s">
        <v>51</v>
      </c>
      <c r="T1118" s="17">
        <v>1530</v>
      </c>
      <c r="U1118" s="14" t="s">
        <v>51</v>
      </c>
      <c r="V1118" s="16">
        <f t="shared" si="141"/>
        <v>244232</v>
      </c>
      <c r="W1118" s="16">
        <f t="shared" si="142"/>
        <v>244239</v>
      </c>
      <c r="X1118" s="16">
        <f t="shared" si="143"/>
        <v>244234</v>
      </c>
      <c r="Y1118" s="15" t="s">
        <v>54</v>
      </c>
      <c r="Z1118" s="177">
        <v>244239</v>
      </c>
      <c r="AA1118" s="170"/>
      <c r="AB1118" s="170"/>
      <c r="AC1118" s="170"/>
      <c r="AD1118" s="170"/>
      <c r="AE1118" s="15" t="s">
        <v>54</v>
      </c>
      <c r="AF1118" s="177">
        <v>244239</v>
      </c>
      <c r="AG1118" s="177" t="str">
        <f t="shared" si="139"/>
        <v>Pass</v>
      </c>
      <c r="AH1118" s="177">
        <f t="shared" si="140"/>
        <v>244239</v>
      </c>
      <c r="AK1118" s="176"/>
      <c r="AL1118" s="176"/>
    </row>
    <row r="1119" spans="1:38" ht="36" customHeight="1" x14ac:dyDescent="0.2">
      <c r="A1119" s="14" t="s">
        <v>25</v>
      </c>
      <c r="B1119" s="212">
        <v>244232</v>
      </c>
      <c r="C1119" s="14" t="s">
        <v>547</v>
      </c>
      <c r="D1119" s="14" t="s">
        <v>268</v>
      </c>
      <c r="E1119" s="14" t="s">
        <v>14</v>
      </c>
      <c r="F1119" s="14" t="s">
        <v>324</v>
      </c>
      <c r="G1119" s="179">
        <v>681118</v>
      </c>
      <c r="H1119" s="176" t="s">
        <v>1402</v>
      </c>
      <c r="I1119" s="176" t="s">
        <v>1407</v>
      </c>
      <c r="J1119" s="176" t="s">
        <v>1410</v>
      </c>
      <c r="K1119" s="176" t="s">
        <v>3534</v>
      </c>
      <c r="L1119" s="40" t="s">
        <v>45</v>
      </c>
      <c r="M1119" s="40" t="s">
        <v>341</v>
      </c>
      <c r="N1119" s="14" t="s">
        <v>3554</v>
      </c>
      <c r="O1119" s="14" t="s">
        <v>3559</v>
      </c>
      <c r="P1119" s="14" t="s">
        <v>1487</v>
      </c>
      <c r="Q1119" s="14" t="s">
        <v>3565</v>
      </c>
      <c r="R1119" s="17">
        <v>270</v>
      </c>
      <c r="S1119" s="172" t="s">
        <v>51</v>
      </c>
      <c r="T1119" s="17">
        <v>1389</v>
      </c>
      <c r="U1119" s="14" t="s">
        <v>51</v>
      </c>
      <c r="V1119" s="16">
        <f t="shared" si="141"/>
        <v>244232</v>
      </c>
      <c r="W1119" s="16">
        <f t="shared" si="142"/>
        <v>244239</v>
      </c>
      <c r="X1119" s="16">
        <f t="shared" si="143"/>
        <v>244234</v>
      </c>
      <c r="Y1119" s="15" t="s">
        <v>54</v>
      </c>
      <c r="Z1119" s="177">
        <v>244239</v>
      </c>
      <c r="AA1119" s="170"/>
      <c r="AB1119" s="170"/>
      <c r="AC1119" s="170"/>
      <c r="AD1119" s="170"/>
      <c r="AE1119" s="15" t="s">
        <v>54</v>
      </c>
      <c r="AF1119" s="177">
        <v>244239</v>
      </c>
      <c r="AG1119" s="177" t="str">
        <f t="shared" si="139"/>
        <v>Pass</v>
      </c>
      <c r="AH1119" s="177">
        <f t="shared" si="140"/>
        <v>244239</v>
      </c>
      <c r="AK1119" s="176"/>
      <c r="AL1119" s="176"/>
    </row>
    <row r="1120" spans="1:38" ht="36" customHeight="1" x14ac:dyDescent="0.2">
      <c r="A1120" s="14" t="s">
        <v>25</v>
      </c>
      <c r="B1120" s="212">
        <v>244232</v>
      </c>
      <c r="C1120" s="14" t="s">
        <v>547</v>
      </c>
      <c r="D1120" s="14" t="s">
        <v>268</v>
      </c>
      <c r="E1120" s="14" t="s">
        <v>14</v>
      </c>
      <c r="F1120" s="14" t="s">
        <v>324</v>
      </c>
      <c r="G1120" s="179">
        <v>681119</v>
      </c>
      <c r="H1120" s="176" t="s">
        <v>1603</v>
      </c>
      <c r="I1120" s="176" t="s">
        <v>551</v>
      </c>
      <c r="J1120" s="176" t="s">
        <v>832</v>
      </c>
      <c r="K1120" s="176" t="s">
        <v>3553</v>
      </c>
      <c r="L1120" s="40" t="s">
        <v>108</v>
      </c>
      <c r="M1120" s="40" t="s">
        <v>341</v>
      </c>
      <c r="N1120" s="14" t="s">
        <v>3555</v>
      </c>
      <c r="O1120" s="14" t="s">
        <v>552</v>
      </c>
      <c r="P1120" s="14" t="s">
        <v>3562</v>
      </c>
      <c r="Q1120" s="14" t="s">
        <v>553</v>
      </c>
      <c r="R1120" s="17">
        <v>175</v>
      </c>
      <c r="S1120" s="172" t="s">
        <v>51</v>
      </c>
      <c r="T1120" s="17">
        <v>755</v>
      </c>
      <c r="U1120" s="14" t="s">
        <v>51</v>
      </c>
      <c r="V1120" s="16">
        <f t="shared" si="141"/>
        <v>244232</v>
      </c>
      <c r="W1120" s="16">
        <f t="shared" si="142"/>
        <v>244239</v>
      </c>
      <c r="X1120" s="16">
        <f t="shared" si="143"/>
        <v>244234</v>
      </c>
      <c r="Y1120" s="15" t="s">
        <v>54</v>
      </c>
      <c r="Z1120" s="177">
        <v>244239</v>
      </c>
      <c r="AA1120" s="170"/>
      <c r="AB1120" s="170"/>
      <c r="AC1120" s="170"/>
      <c r="AD1120" s="170"/>
      <c r="AE1120" s="15" t="s">
        <v>54</v>
      </c>
      <c r="AF1120" s="177">
        <v>244239</v>
      </c>
      <c r="AG1120" s="177" t="str">
        <f t="shared" si="139"/>
        <v>Pass</v>
      </c>
      <c r="AH1120" s="177">
        <f t="shared" si="140"/>
        <v>244239</v>
      </c>
      <c r="AK1120" s="176"/>
      <c r="AL1120" s="176"/>
    </row>
    <row r="1121" spans="1:38" ht="36" customHeight="1" x14ac:dyDescent="0.2">
      <c r="A1121" s="14" t="s">
        <v>25</v>
      </c>
      <c r="B1121" s="212">
        <v>244232</v>
      </c>
      <c r="C1121" s="14" t="s">
        <v>547</v>
      </c>
      <c r="D1121" s="14" t="s">
        <v>268</v>
      </c>
      <c r="E1121" s="14" t="s">
        <v>14</v>
      </c>
      <c r="F1121" s="14" t="s">
        <v>324</v>
      </c>
      <c r="G1121" s="179">
        <v>681120</v>
      </c>
      <c r="H1121" s="176" t="s">
        <v>772</v>
      </c>
      <c r="I1121" s="176" t="s">
        <v>774</v>
      </c>
      <c r="J1121" s="176" t="s">
        <v>776</v>
      </c>
      <c r="K1121" s="176" t="s">
        <v>3552</v>
      </c>
      <c r="L1121" s="40" t="s">
        <v>45</v>
      </c>
      <c r="M1121" s="40" t="s">
        <v>341</v>
      </c>
      <c r="N1121" s="14" t="s">
        <v>675</v>
      </c>
      <c r="O1121" s="14" t="s">
        <v>552</v>
      </c>
      <c r="P1121" s="14" t="s">
        <v>685</v>
      </c>
      <c r="Q1121" s="14" t="s">
        <v>553</v>
      </c>
      <c r="R1121" s="17">
        <v>675</v>
      </c>
      <c r="S1121" s="172" t="s">
        <v>51</v>
      </c>
      <c r="T1121" s="17">
        <v>1720</v>
      </c>
      <c r="U1121" s="14" t="s">
        <v>51</v>
      </c>
      <c r="V1121" s="16">
        <f t="shared" si="141"/>
        <v>244232</v>
      </c>
      <c r="W1121" s="16">
        <f t="shared" si="142"/>
        <v>244239</v>
      </c>
      <c r="X1121" s="16">
        <f t="shared" si="143"/>
        <v>244234</v>
      </c>
      <c r="Y1121" s="15" t="s">
        <v>54</v>
      </c>
      <c r="Z1121" s="177">
        <v>244239</v>
      </c>
      <c r="AA1121" s="170"/>
      <c r="AB1121" s="170"/>
      <c r="AC1121" s="170"/>
      <c r="AD1121" s="170"/>
      <c r="AE1121" s="15" t="s">
        <v>54</v>
      </c>
      <c r="AF1121" s="177">
        <v>244239</v>
      </c>
      <c r="AG1121" s="177" t="str">
        <f t="shared" si="139"/>
        <v>Pass</v>
      </c>
      <c r="AH1121" s="177">
        <f t="shared" si="140"/>
        <v>244239</v>
      </c>
      <c r="AK1121" s="176"/>
      <c r="AL1121" s="176"/>
    </row>
    <row r="1122" spans="1:38" ht="36" customHeight="1" x14ac:dyDescent="0.2">
      <c r="A1122" s="14" t="s">
        <v>25</v>
      </c>
      <c r="B1122" s="212">
        <v>244232</v>
      </c>
      <c r="C1122" s="14" t="s">
        <v>547</v>
      </c>
      <c r="D1122" s="14" t="s">
        <v>268</v>
      </c>
      <c r="E1122" s="14" t="s">
        <v>14</v>
      </c>
      <c r="F1122" s="14" t="s">
        <v>324</v>
      </c>
      <c r="G1122" s="179">
        <v>681121</v>
      </c>
      <c r="H1122" s="176" t="s">
        <v>1393</v>
      </c>
      <c r="I1122" s="176" t="s">
        <v>551</v>
      </c>
      <c r="J1122" s="176" t="s">
        <v>1394</v>
      </c>
      <c r="K1122" s="176" t="s">
        <v>3552</v>
      </c>
      <c r="L1122" s="40" t="s">
        <v>108</v>
      </c>
      <c r="M1122" s="40" t="s">
        <v>341</v>
      </c>
      <c r="N1122" s="14" t="s">
        <v>3556</v>
      </c>
      <c r="O1122" s="14" t="s">
        <v>552</v>
      </c>
      <c r="P1122" s="14" t="s">
        <v>685</v>
      </c>
      <c r="Q1122" s="14" t="s">
        <v>553</v>
      </c>
      <c r="R1122" s="17">
        <v>3125</v>
      </c>
      <c r="S1122" s="172" t="s">
        <v>51</v>
      </c>
      <c r="T1122" s="17">
        <v>2230</v>
      </c>
      <c r="U1122" s="14" t="s">
        <v>51</v>
      </c>
      <c r="V1122" s="16">
        <f t="shared" si="141"/>
        <v>244232</v>
      </c>
      <c r="W1122" s="16">
        <f t="shared" si="142"/>
        <v>244239</v>
      </c>
      <c r="X1122" s="16">
        <f t="shared" si="143"/>
        <v>244234</v>
      </c>
      <c r="Y1122" s="15" t="s">
        <v>54</v>
      </c>
      <c r="Z1122" s="177">
        <v>244239</v>
      </c>
      <c r="AA1122" s="170"/>
      <c r="AB1122" s="170"/>
      <c r="AC1122" s="170"/>
      <c r="AD1122" s="170"/>
      <c r="AE1122" s="15" t="s">
        <v>54</v>
      </c>
      <c r="AF1122" s="177">
        <v>244239</v>
      </c>
      <c r="AG1122" s="177" t="str">
        <f t="shared" si="139"/>
        <v>Pass</v>
      </c>
      <c r="AH1122" s="177">
        <f t="shared" si="140"/>
        <v>244239</v>
      </c>
      <c r="AK1122" s="176"/>
      <c r="AL1122" s="176"/>
    </row>
    <row r="1123" spans="1:38" ht="36" customHeight="1" x14ac:dyDescent="0.2">
      <c r="A1123" s="14" t="s">
        <v>25</v>
      </c>
      <c r="B1123" s="212">
        <v>244232</v>
      </c>
      <c r="C1123" s="14" t="s">
        <v>547</v>
      </c>
      <c r="D1123" s="14" t="s">
        <v>268</v>
      </c>
      <c r="E1123" s="14" t="s">
        <v>14</v>
      </c>
      <c r="F1123" s="14" t="s">
        <v>324</v>
      </c>
      <c r="G1123" s="179">
        <v>681122</v>
      </c>
      <c r="H1123" s="176" t="s">
        <v>772</v>
      </c>
      <c r="I1123" s="176" t="s">
        <v>774</v>
      </c>
      <c r="J1123" s="176" t="s">
        <v>776</v>
      </c>
      <c r="K1123" s="176" t="s">
        <v>3552</v>
      </c>
      <c r="L1123" s="40" t="s">
        <v>45</v>
      </c>
      <c r="M1123" s="40" t="s">
        <v>341</v>
      </c>
      <c r="N1123" s="14" t="s">
        <v>1214</v>
      </c>
      <c r="O1123" s="14" t="s">
        <v>548</v>
      </c>
      <c r="P1123" s="14" t="s">
        <v>518</v>
      </c>
      <c r="Q1123" s="14" t="s">
        <v>549</v>
      </c>
      <c r="R1123" s="17">
        <v>150</v>
      </c>
      <c r="S1123" s="172" t="s">
        <v>51</v>
      </c>
      <c r="T1123" s="17">
        <v>1740</v>
      </c>
      <c r="U1123" s="14" t="s">
        <v>51</v>
      </c>
      <c r="V1123" s="16">
        <f t="shared" si="141"/>
        <v>244232</v>
      </c>
      <c r="W1123" s="16">
        <f t="shared" si="142"/>
        <v>244239</v>
      </c>
      <c r="X1123" s="16">
        <f t="shared" si="143"/>
        <v>244234</v>
      </c>
      <c r="Y1123" s="15" t="s">
        <v>54</v>
      </c>
      <c r="Z1123" s="177">
        <v>244239</v>
      </c>
      <c r="AA1123" s="170"/>
      <c r="AB1123" s="170"/>
      <c r="AC1123" s="170"/>
      <c r="AD1123" s="170"/>
      <c r="AE1123" s="15" t="s">
        <v>54</v>
      </c>
      <c r="AF1123" s="177">
        <v>244239</v>
      </c>
      <c r="AG1123" s="177" t="str">
        <f t="shared" si="139"/>
        <v>Pass</v>
      </c>
      <c r="AH1123" s="177">
        <f t="shared" si="140"/>
        <v>244239</v>
      </c>
      <c r="AK1123" s="176"/>
      <c r="AL1123" s="176"/>
    </row>
    <row r="1124" spans="1:38" ht="36" customHeight="1" x14ac:dyDescent="0.2">
      <c r="A1124" s="14" t="s">
        <v>25</v>
      </c>
      <c r="B1124" s="212">
        <v>244232</v>
      </c>
      <c r="C1124" s="14" t="s">
        <v>547</v>
      </c>
      <c r="D1124" s="14" t="s">
        <v>268</v>
      </c>
      <c r="E1124" s="14" t="s">
        <v>14</v>
      </c>
      <c r="F1124" s="14" t="s">
        <v>324</v>
      </c>
      <c r="G1124" s="179">
        <v>681123</v>
      </c>
      <c r="H1124" s="176" t="s">
        <v>1402</v>
      </c>
      <c r="I1124" s="176" t="s">
        <v>1407</v>
      </c>
      <c r="J1124" s="176" t="s">
        <v>1410</v>
      </c>
      <c r="K1124" s="176" t="s">
        <v>3534</v>
      </c>
      <c r="L1124" s="40" t="s">
        <v>45</v>
      </c>
      <c r="M1124" s="40" t="s">
        <v>341</v>
      </c>
      <c r="N1124" s="14" t="s">
        <v>3563</v>
      </c>
      <c r="O1124" s="14" t="s">
        <v>527</v>
      </c>
      <c r="P1124" s="14" t="s">
        <v>3004</v>
      </c>
      <c r="Q1124" s="14" t="s">
        <v>542</v>
      </c>
      <c r="R1124" s="17">
        <v>168</v>
      </c>
      <c r="S1124" s="172" t="s">
        <v>51</v>
      </c>
      <c r="T1124" s="17">
        <v>1350</v>
      </c>
      <c r="U1124" s="14" t="s">
        <v>51</v>
      </c>
      <c r="V1124" s="16">
        <f t="shared" si="141"/>
        <v>244232</v>
      </c>
      <c r="W1124" s="16">
        <f t="shared" si="142"/>
        <v>244239</v>
      </c>
      <c r="X1124" s="16">
        <f t="shared" si="143"/>
        <v>244234</v>
      </c>
      <c r="Y1124" s="15" t="s">
        <v>54</v>
      </c>
      <c r="Z1124" s="177">
        <v>244239</v>
      </c>
      <c r="AA1124" s="170"/>
      <c r="AB1124" s="170"/>
      <c r="AC1124" s="170"/>
      <c r="AD1124" s="170"/>
      <c r="AE1124" s="15" t="s">
        <v>54</v>
      </c>
      <c r="AF1124" s="177">
        <v>244239</v>
      </c>
      <c r="AG1124" s="177" t="str">
        <f t="shared" si="139"/>
        <v>Pass</v>
      </c>
      <c r="AH1124" s="177">
        <f t="shared" si="140"/>
        <v>244239</v>
      </c>
      <c r="AK1124" s="176"/>
      <c r="AL1124" s="176"/>
    </row>
    <row r="1125" spans="1:38" ht="36" customHeight="1" x14ac:dyDescent="0.2">
      <c r="A1125" s="14" t="s">
        <v>25</v>
      </c>
      <c r="B1125" s="212">
        <v>244232</v>
      </c>
      <c r="C1125" s="14" t="s">
        <v>547</v>
      </c>
      <c r="D1125" s="14" t="s">
        <v>268</v>
      </c>
      <c r="E1125" s="14" t="s">
        <v>14</v>
      </c>
      <c r="F1125" s="14" t="s">
        <v>324</v>
      </c>
      <c r="G1125" s="179">
        <v>681124</v>
      </c>
      <c r="H1125" s="176" t="s">
        <v>1402</v>
      </c>
      <c r="I1125" s="176" t="s">
        <v>1407</v>
      </c>
      <c r="J1125" s="176" t="s">
        <v>1410</v>
      </c>
      <c r="K1125" s="176" t="s">
        <v>3534</v>
      </c>
      <c r="L1125" s="40" t="s">
        <v>45</v>
      </c>
      <c r="M1125" s="40" t="s">
        <v>341</v>
      </c>
      <c r="N1125" s="14" t="s">
        <v>3557</v>
      </c>
      <c r="O1125" s="14" t="s">
        <v>3560</v>
      </c>
      <c r="P1125" s="14" t="s">
        <v>1180</v>
      </c>
      <c r="Q1125" s="14" t="s">
        <v>3566</v>
      </c>
      <c r="R1125" s="17">
        <v>133</v>
      </c>
      <c r="S1125" s="172" t="s">
        <v>51</v>
      </c>
      <c r="T1125" s="17"/>
      <c r="U1125" s="14"/>
      <c r="V1125" s="16">
        <f t="shared" si="141"/>
        <v>244232</v>
      </c>
      <c r="W1125" s="16">
        <f t="shared" si="142"/>
        <v>244239</v>
      </c>
      <c r="X1125" s="16">
        <f t="shared" si="143"/>
        <v>244234</v>
      </c>
      <c r="Y1125" s="15" t="s">
        <v>54</v>
      </c>
      <c r="Z1125" s="177">
        <v>244239</v>
      </c>
      <c r="AA1125" s="170"/>
      <c r="AB1125" s="170"/>
      <c r="AC1125" s="170"/>
      <c r="AD1125" s="170"/>
      <c r="AE1125" s="15" t="s">
        <v>54</v>
      </c>
      <c r="AF1125" s="177">
        <v>244239</v>
      </c>
      <c r="AG1125" s="177" t="str">
        <f t="shared" si="139"/>
        <v>Pass</v>
      </c>
      <c r="AH1125" s="177">
        <f t="shared" si="140"/>
        <v>244239</v>
      </c>
      <c r="AK1125" s="176"/>
      <c r="AL1125" s="176"/>
    </row>
    <row r="1126" spans="1:38" ht="36" customHeight="1" x14ac:dyDescent="0.2">
      <c r="A1126" s="14" t="s">
        <v>25</v>
      </c>
      <c r="B1126" s="212">
        <v>244233</v>
      </c>
      <c r="C1126" s="14" t="s">
        <v>547</v>
      </c>
      <c r="D1126" s="14" t="s">
        <v>268</v>
      </c>
      <c r="E1126" s="14" t="s">
        <v>14</v>
      </c>
      <c r="F1126" s="14" t="s">
        <v>324</v>
      </c>
      <c r="G1126" s="179">
        <v>681125</v>
      </c>
      <c r="H1126" s="176" t="s">
        <v>3174</v>
      </c>
      <c r="I1126" s="176" t="s">
        <v>551</v>
      </c>
      <c r="J1126" s="176" t="s">
        <v>832</v>
      </c>
      <c r="K1126" s="176" t="s">
        <v>3568</v>
      </c>
      <c r="L1126" s="40" t="s">
        <v>108</v>
      </c>
      <c r="M1126" s="40" t="s">
        <v>341</v>
      </c>
      <c r="N1126" s="14" t="s">
        <v>3570</v>
      </c>
      <c r="O1126" s="14" t="s">
        <v>552</v>
      </c>
      <c r="P1126" s="14" t="s">
        <v>3574</v>
      </c>
      <c r="Q1126" s="14" t="s">
        <v>553</v>
      </c>
      <c r="R1126" s="17">
        <v>1783</v>
      </c>
      <c r="S1126" s="172" t="s">
        <v>51</v>
      </c>
      <c r="T1126" s="17">
        <v>2840</v>
      </c>
      <c r="U1126" s="14" t="s">
        <v>51</v>
      </c>
      <c r="V1126" s="16">
        <f t="shared" si="141"/>
        <v>244233</v>
      </c>
      <c r="W1126" s="16">
        <f t="shared" si="142"/>
        <v>244240</v>
      </c>
      <c r="X1126" s="16">
        <f t="shared" si="143"/>
        <v>244235</v>
      </c>
      <c r="Y1126" s="15" t="s">
        <v>54</v>
      </c>
      <c r="Z1126" s="177">
        <v>244239</v>
      </c>
      <c r="AA1126" s="170"/>
      <c r="AB1126" s="170"/>
      <c r="AC1126" s="170"/>
      <c r="AD1126" s="170"/>
      <c r="AE1126" s="15" t="s">
        <v>54</v>
      </c>
      <c r="AF1126" s="177">
        <v>244239</v>
      </c>
      <c r="AG1126" s="177" t="str">
        <f t="shared" si="139"/>
        <v>Pass</v>
      </c>
      <c r="AH1126" s="177">
        <f t="shared" si="140"/>
        <v>244239</v>
      </c>
      <c r="AK1126" s="176"/>
      <c r="AL1126" s="176"/>
    </row>
    <row r="1127" spans="1:38" ht="36" customHeight="1" x14ac:dyDescent="0.2">
      <c r="A1127" s="14" t="s">
        <v>25</v>
      </c>
      <c r="B1127" s="212">
        <v>244233</v>
      </c>
      <c r="C1127" s="14" t="s">
        <v>547</v>
      </c>
      <c r="D1127" s="14" t="s">
        <v>268</v>
      </c>
      <c r="E1127" s="14" t="s">
        <v>14</v>
      </c>
      <c r="F1127" s="14" t="s">
        <v>324</v>
      </c>
      <c r="G1127" s="179">
        <v>681126</v>
      </c>
      <c r="H1127" s="176" t="s">
        <v>772</v>
      </c>
      <c r="I1127" s="176" t="s">
        <v>774</v>
      </c>
      <c r="J1127" s="176" t="s">
        <v>776</v>
      </c>
      <c r="K1127" s="176" t="s">
        <v>3552</v>
      </c>
      <c r="L1127" s="40" t="s">
        <v>45</v>
      </c>
      <c r="M1127" s="40" t="s">
        <v>341</v>
      </c>
      <c r="N1127" s="14" t="s">
        <v>3571</v>
      </c>
      <c r="O1127" s="14" t="s">
        <v>1722</v>
      </c>
      <c r="P1127" s="14" t="s">
        <v>3575</v>
      </c>
      <c r="Q1127" s="14" t="s">
        <v>1724</v>
      </c>
      <c r="R1127" s="17">
        <v>1400</v>
      </c>
      <c r="S1127" s="172" t="s">
        <v>51</v>
      </c>
      <c r="T1127" s="17">
        <v>1740</v>
      </c>
      <c r="U1127" s="14" t="s">
        <v>51</v>
      </c>
      <c r="V1127" s="16">
        <f t="shared" si="141"/>
        <v>244233</v>
      </c>
      <c r="W1127" s="16">
        <f t="shared" si="142"/>
        <v>244240</v>
      </c>
      <c r="X1127" s="16">
        <f t="shared" si="143"/>
        <v>244235</v>
      </c>
      <c r="Y1127" s="15" t="s">
        <v>54</v>
      </c>
      <c r="Z1127" s="177">
        <v>244239</v>
      </c>
      <c r="AA1127" s="170"/>
      <c r="AB1127" s="170"/>
      <c r="AC1127" s="170"/>
      <c r="AD1127" s="170"/>
      <c r="AE1127" s="15" t="s">
        <v>54</v>
      </c>
      <c r="AF1127" s="177">
        <v>244239</v>
      </c>
      <c r="AG1127" s="177" t="str">
        <f t="shared" si="139"/>
        <v>Pass</v>
      </c>
      <c r="AH1127" s="177">
        <f t="shared" si="140"/>
        <v>244239</v>
      </c>
      <c r="AK1127" s="176"/>
      <c r="AL1127" s="176"/>
    </row>
    <row r="1128" spans="1:38" ht="36" customHeight="1" x14ac:dyDescent="0.2">
      <c r="A1128" s="14" t="s">
        <v>25</v>
      </c>
      <c r="B1128" s="212">
        <v>244233</v>
      </c>
      <c r="C1128" s="14" t="s">
        <v>547</v>
      </c>
      <c r="D1128" s="14" t="s">
        <v>268</v>
      </c>
      <c r="E1128" s="14" t="s">
        <v>14</v>
      </c>
      <c r="F1128" s="14" t="s">
        <v>324</v>
      </c>
      <c r="G1128" s="179">
        <v>681127</v>
      </c>
      <c r="H1128" s="176" t="s">
        <v>1041</v>
      </c>
      <c r="I1128" s="176" t="s">
        <v>908</v>
      </c>
      <c r="J1128" s="176" t="s">
        <v>133</v>
      </c>
      <c r="K1128" s="176" t="s">
        <v>3569</v>
      </c>
      <c r="L1128" s="40" t="s">
        <v>105</v>
      </c>
      <c r="M1128" s="40" t="s">
        <v>341</v>
      </c>
      <c r="N1128" s="14" t="s">
        <v>3576</v>
      </c>
      <c r="O1128" s="14" t="s">
        <v>528</v>
      </c>
      <c r="P1128" s="14" t="s">
        <v>3577</v>
      </c>
      <c r="Q1128" s="14" t="s">
        <v>541</v>
      </c>
      <c r="R1128" s="17">
        <v>350</v>
      </c>
      <c r="S1128" s="172" t="s">
        <v>51</v>
      </c>
      <c r="T1128" s="17">
        <v>1965</v>
      </c>
      <c r="U1128" s="14" t="s">
        <v>51</v>
      </c>
      <c r="V1128" s="16">
        <f t="shared" si="141"/>
        <v>244233</v>
      </c>
      <c r="W1128" s="16">
        <f t="shared" si="142"/>
        <v>244240</v>
      </c>
      <c r="X1128" s="16">
        <f t="shared" si="143"/>
        <v>244235</v>
      </c>
      <c r="Y1128" s="15" t="s">
        <v>54</v>
      </c>
      <c r="Z1128" s="177">
        <v>244239</v>
      </c>
      <c r="AA1128" s="170"/>
      <c r="AB1128" s="170"/>
      <c r="AC1128" s="170"/>
      <c r="AD1128" s="170"/>
      <c r="AE1128" s="15" t="s">
        <v>54</v>
      </c>
      <c r="AF1128" s="177">
        <v>244239</v>
      </c>
      <c r="AG1128" s="177" t="str">
        <f t="shared" si="139"/>
        <v>Pass</v>
      </c>
      <c r="AH1128" s="177">
        <f t="shared" si="140"/>
        <v>244239</v>
      </c>
      <c r="AK1128" s="176"/>
      <c r="AL1128" s="176"/>
    </row>
    <row r="1129" spans="1:38" ht="36" customHeight="1" x14ac:dyDescent="0.2">
      <c r="A1129" s="14" t="s">
        <v>25</v>
      </c>
      <c r="B1129" s="212">
        <v>244233</v>
      </c>
      <c r="C1129" s="14" t="s">
        <v>547</v>
      </c>
      <c r="D1129" s="14" t="s">
        <v>268</v>
      </c>
      <c r="E1129" s="14" t="s">
        <v>14</v>
      </c>
      <c r="F1129" s="14" t="s">
        <v>324</v>
      </c>
      <c r="G1129" s="179">
        <v>681128</v>
      </c>
      <c r="H1129" s="176" t="s">
        <v>1041</v>
      </c>
      <c r="I1129" s="176" t="s">
        <v>908</v>
      </c>
      <c r="J1129" s="176" t="s">
        <v>133</v>
      </c>
      <c r="K1129" s="176" t="s">
        <v>3569</v>
      </c>
      <c r="L1129" s="40" t="s">
        <v>105</v>
      </c>
      <c r="M1129" s="40" t="s">
        <v>341</v>
      </c>
      <c r="N1129" s="14" t="s">
        <v>1032</v>
      </c>
      <c r="O1129" s="14" t="s">
        <v>548</v>
      </c>
      <c r="P1129" s="14" t="s">
        <v>518</v>
      </c>
      <c r="Q1129" s="14" t="s">
        <v>549</v>
      </c>
      <c r="R1129" s="17">
        <v>116</v>
      </c>
      <c r="S1129" s="172" t="s">
        <v>51</v>
      </c>
      <c r="T1129" s="17">
        <v>1973</v>
      </c>
      <c r="U1129" s="14" t="s">
        <v>51</v>
      </c>
      <c r="V1129" s="16">
        <f t="shared" si="141"/>
        <v>244233</v>
      </c>
      <c r="W1129" s="16">
        <f t="shared" si="142"/>
        <v>244240</v>
      </c>
      <c r="X1129" s="16">
        <f t="shared" si="143"/>
        <v>244235</v>
      </c>
      <c r="Y1129" s="15" t="s">
        <v>54</v>
      </c>
      <c r="Z1129" s="177">
        <v>244239</v>
      </c>
      <c r="AA1129" s="170"/>
      <c r="AB1129" s="170"/>
      <c r="AC1129" s="170"/>
      <c r="AD1129" s="170"/>
      <c r="AE1129" s="15" t="s">
        <v>54</v>
      </c>
      <c r="AF1129" s="177">
        <v>244239</v>
      </c>
      <c r="AG1129" s="177" t="str">
        <f t="shared" si="139"/>
        <v>Pass</v>
      </c>
      <c r="AH1129" s="177">
        <f t="shared" si="140"/>
        <v>244239</v>
      </c>
      <c r="AK1129" s="176"/>
      <c r="AL1129" s="176"/>
    </row>
    <row r="1130" spans="1:38" ht="36" customHeight="1" x14ac:dyDescent="0.2">
      <c r="A1130" s="14" t="s">
        <v>25</v>
      </c>
      <c r="B1130" s="212">
        <v>244233</v>
      </c>
      <c r="C1130" s="14" t="s">
        <v>547</v>
      </c>
      <c r="D1130" s="14" t="s">
        <v>268</v>
      </c>
      <c r="E1130" s="14" t="s">
        <v>14</v>
      </c>
      <c r="F1130" s="14" t="s">
        <v>324</v>
      </c>
      <c r="G1130" s="179">
        <v>681129</v>
      </c>
      <c r="H1130" s="176" t="s">
        <v>1041</v>
      </c>
      <c r="I1130" s="176" t="s">
        <v>908</v>
      </c>
      <c r="J1130" s="176" t="s">
        <v>133</v>
      </c>
      <c r="K1130" s="176" t="s">
        <v>3569</v>
      </c>
      <c r="L1130" s="40" t="s">
        <v>105</v>
      </c>
      <c r="M1130" s="40" t="s">
        <v>341</v>
      </c>
      <c r="N1130" s="14" t="s">
        <v>3572</v>
      </c>
      <c r="O1130" s="14" t="s">
        <v>528</v>
      </c>
      <c r="P1130" s="14" t="s">
        <v>715</v>
      </c>
      <c r="Q1130" s="14" t="s">
        <v>541</v>
      </c>
      <c r="R1130" s="17">
        <v>350</v>
      </c>
      <c r="S1130" s="172" t="s">
        <v>51</v>
      </c>
      <c r="T1130" s="17">
        <v>1980</v>
      </c>
      <c r="U1130" s="14" t="s">
        <v>51</v>
      </c>
      <c r="V1130" s="16">
        <f t="shared" si="141"/>
        <v>244233</v>
      </c>
      <c r="W1130" s="16">
        <f t="shared" si="142"/>
        <v>244240</v>
      </c>
      <c r="X1130" s="16">
        <f t="shared" si="143"/>
        <v>244235</v>
      </c>
      <c r="Y1130" s="15" t="s">
        <v>54</v>
      </c>
      <c r="Z1130" s="177">
        <v>244239</v>
      </c>
      <c r="AA1130" s="170"/>
      <c r="AB1130" s="170"/>
      <c r="AC1130" s="170"/>
      <c r="AD1130" s="170"/>
      <c r="AE1130" s="15" t="s">
        <v>54</v>
      </c>
      <c r="AF1130" s="177">
        <v>244239</v>
      </c>
      <c r="AG1130" s="177" t="str">
        <f t="shared" si="139"/>
        <v>Pass</v>
      </c>
      <c r="AH1130" s="177">
        <f t="shared" si="140"/>
        <v>244239</v>
      </c>
      <c r="AK1130" s="176"/>
      <c r="AL1130" s="176"/>
    </row>
    <row r="1131" spans="1:38" ht="36" customHeight="1" x14ac:dyDescent="0.2">
      <c r="A1131" s="14" t="s">
        <v>25</v>
      </c>
      <c r="B1131" s="212">
        <v>244233</v>
      </c>
      <c r="C1131" s="14" t="s">
        <v>547</v>
      </c>
      <c r="D1131" s="14" t="s">
        <v>268</v>
      </c>
      <c r="E1131" s="14" t="s">
        <v>14</v>
      </c>
      <c r="F1131" s="14" t="s">
        <v>324</v>
      </c>
      <c r="G1131" s="179">
        <v>681130</v>
      </c>
      <c r="H1131" s="176" t="s">
        <v>772</v>
      </c>
      <c r="I1131" s="176" t="s">
        <v>774</v>
      </c>
      <c r="J1131" s="176" t="s">
        <v>776</v>
      </c>
      <c r="K1131" s="176" t="s">
        <v>3552</v>
      </c>
      <c r="L1131" s="40" t="s">
        <v>45</v>
      </c>
      <c r="M1131" s="40" t="s">
        <v>341</v>
      </c>
      <c r="N1131" s="14" t="s">
        <v>3573</v>
      </c>
      <c r="O1131" s="14" t="s">
        <v>552</v>
      </c>
      <c r="P1131" s="14" t="s">
        <v>519</v>
      </c>
      <c r="Q1131" s="14" t="s">
        <v>553</v>
      </c>
      <c r="R1131" s="17">
        <v>220</v>
      </c>
      <c r="S1131" s="172" t="s">
        <v>51</v>
      </c>
      <c r="T1131" s="17">
        <v>1720</v>
      </c>
      <c r="U1131" s="14" t="s">
        <v>51</v>
      </c>
      <c r="V1131" s="16">
        <f t="shared" si="141"/>
        <v>244233</v>
      </c>
      <c r="W1131" s="16">
        <f t="shared" si="142"/>
        <v>244240</v>
      </c>
      <c r="X1131" s="16">
        <f t="shared" si="143"/>
        <v>244235</v>
      </c>
      <c r="Y1131" s="15" t="s">
        <v>54</v>
      </c>
      <c r="Z1131" s="177">
        <v>244239</v>
      </c>
      <c r="AA1131" s="170"/>
      <c r="AB1131" s="170"/>
      <c r="AC1131" s="170"/>
      <c r="AD1131" s="170"/>
      <c r="AE1131" s="15" t="s">
        <v>54</v>
      </c>
      <c r="AF1131" s="177">
        <v>244239</v>
      </c>
      <c r="AG1131" s="177" t="str">
        <f t="shared" si="139"/>
        <v>Pass</v>
      </c>
      <c r="AH1131" s="177">
        <f t="shared" si="140"/>
        <v>244239</v>
      </c>
      <c r="AK1131" s="176"/>
      <c r="AL1131" s="176"/>
    </row>
    <row r="1132" spans="1:38" ht="36" customHeight="1" x14ac:dyDescent="0.2">
      <c r="A1132" s="14" t="s">
        <v>25</v>
      </c>
      <c r="B1132" s="212">
        <v>244236</v>
      </c>
      <c r="C1132" s="14" t="s">
        <v>547</v>
      </c>
      <c r="D1132" s="14" t="s">
        <v>268</v>
      </c>
      <c r="E1132" s="14" t="s">
        <v>14</v>
      </c>
      <c r="F1132" s="14" t="s">
        <v>324</v>
      </c>
      <c r="G1132" s="179">
        <v>681131</v>
      </c>
      <c r="H1132" s="176" t="s">
        <v>663</v>
      </c>
      <c r="I1132" s="176" t="s">
        <v>630</v>
      </c>
      <c r="J1132" s="176" t="s">
        <v>821</v>
      </c>
      <c r="K1132" s="176" t="s">
        <v>3539</v>
      </c>
      <c r="L1132" s="40" t="s">
        <v>124</v>
      </c>
      <c r="M1132" s="40" t="s">
        <v>341</v>
      </c>
      <c r="N1132" s="14" t="s">
        <v>1079</v>
      </c>
      <c r="O1132" s="14" t="s">
        <v>1008</v>
      </c>
      <c r="P1132" s="14" t="s">
        <v>971</v>
      </c>
      <c r="Q1132" s="14" t="s">
        <v>1014</v>
      </c>
      <c r="R1132" s="17">
        <v>300</v>
      </c>
      <c r="S1132" s="172" t="s">
        <v>51</v>
      </c>
      <c r="T1132" s="17">
        <v>2686</v>
      </c>
      <c r="U1132" s="14" t="s">
        <v>51</v>
      </c>
      <c r="V1132" s="16">
        <f t="shared" si="141"/>
        <v>244236</v>
      </c>
      <c r="W1132" s="16">
        <f t="shared" si="142"/>
        <v>244243</v>
      </c>
      <c r="X1132" s="16">
        <f t="shared" si="143"/>
        <v>244238</v>
      </c>
      <c r="Y1132" s="15" t="s">
        <v>54</v>
      </c>
      <c r="Z1132" s="177">
        <v>244239</v>
      </c>
      <c r="AA1132" s="170"/>
      <c r="AB1132" s="170"/>
      <c r="AC1132" s="170"/>
      <c r="AD1132" s="170"/>
      <c r="AE1132" s="15" t="s">
        <v>54</v>
      </c>
      <c r="AF1132" s="177">
        <v>244239</v>
      </c>
      <c r="AG1132" s="177" t="str">
        <f t="shared" si="139"/>
        <v>Pass</v>
      </c>
      <c r="AH1132" s="177">
        <f t="shared" si="140"/>
        <v>244239</v>
      </c>
      <c r="AK1132" s="176"/>
      <c r="AL1132" s="176"/>
    </row>
    <row r="1133" spans="1:38" ht="36" customHeight="1" x14ac:dyDescent="0.2">
      <c r="A1133" s="14" t="s">
        <v>25</v>
      </c>
      <c r="B1133" s="212">
        <v>244236</v>
      </c>
      <c r="C1133" s="14" t="s">
        <v>547</v>
      </c>
      <c r="D1133" s="14" t="s">
        <v>268</v>
      </c>
      <c r="E1133" s="14" t="s">
        <v>14</v>
      </c>
      <c r="F1133" s="14" t="s">
        <v>324</v>
      </c>
      <c r="G1133" s="179">
        <v>681132</v>
      </c>
      <c r="H1133" s="176" t="s">
        <v>1041</v>
      </c>
      <c r="I1133" s="176" t="s">
        <v>908</v>
      </c>
      <c r="J1133" s="176" t="s">
        <v>133</v>
      </c>
      <c r="K1133" s="176" t="s">
        <v>3569</v>
      </c>
      <c r="L1133" s="40" t="s">
        <v>105</v>
      </c>
      <c r="M1133" s="40" t="s">
        <v>341</v>
      </c>
      <c r="N1133" s="14" t="s">
        <v>3589</v>
      </c>
      <c r="O1133" s="14" t="s">
        <v>552</v>
      </c>
      <c r="P1133" s="14" t="s">
        <v>1489</v>
      </c>
      <c r="Q1133" s="14" t="s">
        <v>553</v>
      </c>
      <c r="R1133" s="17">
        <v>250</v>
      </c>
      <c r="S1133" s="172" t="s">
        <v>51</v>
      </c>
      <c r="T1133" s="17">
        <v>1005</v>
      </c>
      <c r="U1133" s="14" t="s">
        <v>51</v>
      </c>
      <c r="V1133" s="16">
        <f t="shared" ref="V1133:V1164" si="144">B1133</f>
        <v>244236</v>
      </c>
      <c r="W1133" s="16">
        <f t="shared" ref="W1133:W1164" si="145">B1133+7</f>
        <v>244243</v>
      </c>
      <c r="X1133" s="16">
        <f t="shared" ref="X1133:X1164" si="146">V1133+2</f>
        <v>244238</v>
      </c>
      <c r="Y1133" s="15" t="s">
        <v>54</v>
      </c>
      <c r="Z1133" s="177">
        <v>244239</v>
      </c>
      <c r="AA1133" s="170"/>
      <c r="AB1133" s="170"/>
      <c r="AC1133" s="170"/>
      <c r="AD1133" s="170"/>
      <c r="AE1133" s="15" t="s">
        <v>54</v>
      </c>
      <c r="AF1133" s="177">
        <v>244239</v>
      </c>
      <c r="AG1133" s="177" t="str">
        <f t="shared" si="139"/>
        <v>Pass</v>
      </c>
      <c r="AH1133" s="177">
        <f t="shared" si="140"/>
        <v>244239</v>
      </c>
      <c r="AK1133" s="176"/>
      <c r="AL1133" s="176"/>
    </row>
    <row r="1134" spans="1:38" ht="36" customHeight="1" x14ac:dyDescent="0.2">
      <c r="A1134" s="14" t="s">
        <v>25</v>
      </c>
      <c r="B1134" s="212">
        <v>244236</v>
      </c>
      <c r="C1134" s="14" t="s">
        <v>547</v>
      </c>
      <c r="D1134" s="14" t="s">
        <v>268</v>
      </c>
      <c r="E1134" s="14" t="s">
        <v>14</v>
      </c>
      <c r="F1134" s="14" t="s">
        <v>324</v>
      </c>
      <c r="G1134" s="179">
        <v>681133</v>
      </c>
      <c r="H1134" s="176" t="s">
        <v>3578</v>
      </c>
      <c r="I1134" s="176" t="s">
        <v>551</v>
      </c>
      <c r="J1134" s="176" t="s">
        <v>832</v>
      </c>
      <c r="K1134" s="176" t="s">
        <v>3585</v>
      </c>
      <c r="L1134" s="40" t="s">
        <v>108</v>
      </c>
      <c r="M1134" s="40" t="s">
        <v>341</v>
      </c>
      <c r="N1134" s="14" t="s">
        <v>3590</v>
      </c>
      <c r="O1134" s="14" t="s">
        <v>552</v>
      </c>
      <c r="P1134" s="14" t="s">
        <v>1341</v>
      </c>
      <c r="Q1134" s="14" t="s">
        <v>553</v>
      </c>
      <c r="R1134" s="17">
        <v>475</v>
      </c>
      <c r="S1134" s="172" t="s">
        <v>51</v>
      </c>
      <c r="T1134" s="17">
        <v>2280</v>
      </c>
      <c r="U1134" s="14" t="s">
        <v>51</v>
      </c>
      <c r="V1134" s="16">
        <f t="shared" si="144"/>
        <v>244236</v>
      </c>
      <c r="W1134" s="16">
        <f t="shared" si="145"/>
        <v>244243</v>
      </c>
      <c r="X1134" s="16">
        <f t="shared" si="146"/>
        <v>244238</v>
      </c>
      <c r="Y1134" s="15" t="s">
        <v>54</v>
      </c>
      <c r="Z1134" s="177">
        <v>244239</v>
      </c>
      <c r="AA1134" s="170"/>
      <c r="AB1134" s="170"/>
      <c r="AC1134" s="170"/>
      <c r="AD1134" s="170"/>
      <c r="AE1134" s="15" t="s">
        <v>54</v>
      </c>
      <c r="AF1134" s="177">
        <v>244239</v>
      </c>
      <c r="AG1134" s="177" t="str">
        <f t="shared" si="139"/>
        <v>Pass</v>
      </c>
      <c r="AH1134" s="177">
        <f t="shared" si="140"/>
        <v>244239</v>
      </c>
      <c r="AK1134" s="176"/>
      <c r="AL1134" s="176"/>
    </row>
    <row r="1135" spans="1:38" ht="36" customHeight="1" x14ac:dyDescent="0.2">
      <c r="A1135" s="14" t="s">
        <v>25</v>
      </c>
      <c r="B1135" s="212">
        <v>244236</v>
      </c>
      <c r="C1135" s="14" t="s">
        <v>547</v>
      </c>
      <c r="D1135" s="14" t="s">
        <v>268</v>
      </c>
      <c r="E1135" s="14" t="s">
        <v>14</v>
      </c>
      <c r="F1135" s="14" t="s">
        <v>324</v>
      </c>
      <c r="G1135" s="179">
        <v>681134</v>
      </c>
      <c r="H1135" s="176" t="s">
        <v>772</v>
      </c>
      <c r="I1135" s="176" t="s">
        <v>774</v>
      </c>
      <c r="J1135" s="176" t="s">
        <v>776</v>
      </c>
      <c r="K1135" s="176" t="s">
        <v>3552</v>
      </c>
      <c r="L1135" s="40" t="s">
        <v>45</v>
      </c>
      <c r="M1135" s="40" t="s">
        <v>341</v>
      </c>
      <c r="N1135" s="14" t="s">
        <v>3591</v>
      </c>
      <c r="O1135" s="14" t="s">
        <v>2607</v>
      </c>
      <c r="P1135" s="14" t="s">
        <v>3596</v>
      </c>
      <c r="Q1135" s="14" t="s">
        <v>2611</v>
      </c>
      <c r="R1135" s="17">
        <v>975</v>
      </c>
      <c r="S1135" s="172" t="s">
        <v>51</v>
      </c>
      <c r="T1135" s="17">
        <v>1725</v>
      </c>
      <c r="U1135" s="14" t="s">
        <v>51</v>
      </c>
      <c r="V1135" s="16">
        <f t="shared" si="144"/>
        <v>244236</v>
      </c>
      <c r="W1135" s="16">
        <f t="shared" si="145"/>
        <v>244243</v>
      </c>
      <c r="X1135" s="16">
        <f t="shared" si="146"/>
        <v>244238</v>
      </c>
      <c r="Y1135" s="15" t="s">
        <v>54</v>
      </c>
      <c r="Z1135" s="177">
        <v>244239</v>
      </c>
      <c r="AA1135" s="170"/>
      <c r="AB1135" s="170"/>
      <c r="AC1135" s="170"/>
      <c r="AD1135" s="170"/>
      <c r="AE1135" s="15" t="s">
        <v>54</v>
      </c>
      <c r="AF1135" s="177">
        <v>244239</v>
      </c>
      <c r="AG1135" s="177" t="str">
        <f t="shared" si="139"/>
        <v>Pass</v>
      </c>
      <c r="AH1135" s="177">
        <f t="shared" si="140"/>
        <v>244239</v>
      </c>
      <c r="AK1135" s="176"/>
      <c r="AL1135" s="176"/>
    </row>
    <row r="1136" spans="1:38" ht="36" customHeight="1" x14ac:dyDescent="0.2">
      <c r="A1136" s="14" t="s">
        <v>25</v>
      </c>
      <c r="B1136" s="212">
        <v>244236</v>
      </c>
      <c r="C1136" s="14" t="s">
        <v>547</v>
      </c>
      <c r="D1136" s="14" t="s">
        <v>268</v>
      </c>
      <c r="E1136" s="14" t="s">
        <v>14</v>
      </c>
      <c r="F1136" s="14" t="s">
        <v>324</v>
      </c>
      <c r="G1136" s="179">
        <v>681135</v>
      </c>
      <c r="H1136" s="176" t="s">
        <v>3579</v>
      </c>
      <c r="I1136" s="176" t="s">
        <v>612</v>
      </c>
      <c r="J1136" s="176" t="s">
        <v>865</v>
      </c>
      <c r="K1136" s="176" t="s">
        <v>3586</v>
      </c>
      <c r="L1136" s="40" t="s">
        <v>46</v>
      </c>
      <c r="M1136" s="40" t="s">
        <v>341</v>
      </c>
      <c r="N1136" s="14" t="s">
        <v>3592</v>
      </c>
      <c r="O1136" s="14" t="s">
        <v>552</v>
      </c>
      <c r="P1136" s="14" t="s">
        <v>793</v>
      </c>
      <c r="Q1136" s="14" t="s">
        <v>553</v>
      </c>
      <c r="R1136" s="17">
        <v>850</v>
      </c>
      <c r="S1136" s="172" t="s">
        <v>51</v>
      </c>
      <c r="T1136" s="17">
        <v>1785</v>
      </c>
      <c r="U1136" s="14" t="s">
        <v>51</v>
      </c>
      <c r="V1136" s="16">
        <f t="shared" si="144"/>
        <v>244236</v>
      </c>
      <c r="W1136" s="16">
        <f t="shared" si="145"/>
        <v>244243</v>
      </c>
      <c r="X1136" s="16">
        <f t="shared" si="146"/>
        <v>244238</v>
      </c>
      <c r="Y1136" s="15" t="s">
        <v>54</v>
      </c>
      <c r="Z1136" s="177">
        <v>244239</v>
      </c>
      <c r="AA1136" s="170"/>
      <c r="AB1136" s="170"/>
      <c r="AC1136" s="170"/>
      <c r="AD1136" s="170"/>
      <c r="AE1136" s="15" t="s">
        <v>54</v>
      </c>
      <c r="AF1136" s="177">
        <v>244239</v>
      </c>
      <c r="AG1136" s="177" t="str">
        <f t="shared" ref="AG1136:AG1199" si="147">AE1136</f>
        <v>Pass</v>
      </c>
      <c r="AH1136" s="177">
        <f t="shared" ref="AH1136:AH1199" si="148">AF1136</f>
        <v>244239</v>
      </c>
      <c r="AK1136" s="176"/>
      <c r="AL1136" s="176"/>
    </row>
    <row r="1137" spans="1:38" ht="36" customHeight="1" x14ac:dyDescent="0.2">
      <c r="A1137" s="14" t="s">
        <v>25</v>
      </c>
      <c r="B1137" s="212">
        <v>244236</v>
      </c>
      <c r="C1137" s="14" t="s">
        <v>547</v>
      </c>
      <c r="D1137" s="14" t="s">
        <v>268</v>
      </c>
      <c r="E1137" s="14" t="s">
        <v>14</v>
      </c>
      <c r="F1137" s="14" t="s">
        <v>324</v>
      </c>
      <c r="G1137" s="179">
        <v>681136</v>
      </c>
      <c r="H1137" s="176" t="s">
        <v>3580</v>
      </c>
      <c r="I1137" s="176" t="s">
        <v>908</v>
      </c>
      <c r="J1137" s="176" t="s">
        <v>3583</v>
      </c>
      <c r="K1137" s="176" t="s">
        <v>3587</v>
      </c>
      <c r="L1137" s="40" t="s">
        <v>105</v>
      </c>
      <c r="M1137" s="40" t="s">
        <v>341</v>
      </c>
      <c r="N1137" s="14" t="s">
        <v>3593</v>
      </c>
      <c r="O1137" s="14" t="s">
        <v>528</v>
      </c>
      <c r="P1137" s="14" t="s">
        <v>3597</v>
      </c>
      <c r="Q1137" s="14" t="s">
        <v>541</v>
      </c>
      <c r="R1137" s="17">
        <v>450</v>
      </c>
      <c r="S1137" s="172" t="s">
        <v>51</v>
      </c>
      <c r="T1137" s="17"/>
      <c r="U1137" s="14"/>
      <c r="V1137" s="16">
        <f t="shared" si="144"/>
        <v>244236</v>
      </c>
      <c r="W1137" s="16">
        <f t="shared" si="145"/>
        <v>244243</v>
      </c>
      <c r="X1137" s="16">
        <f t="shared" si="146"/>
        <v>244238</v>
      </c>
      <c r="Y1137" s="15" t="s">
        <v>54</v>
      </c>
      <c r="Z1137" s="177">
        <v>244239</v>
      </c>
      <c r="AA1137" s="170"/>
      <c r="AB1137" s="170"/>
      <c r="AC1137" s="170"/>
      <c r="AD1137" s="170"/>
      <c r="AE1137" s="15" t="s">
        <v>54</v>
      </c>
      <c r="AF1137" s="177">
        <v>244239</v>
      </c>
      <c r="AG1137" s="177" t="str">
        <f t="shared" si="147"/>
        <v>Pass</v>
      </c>
      <c r="AH1137" s="177">
        <f t="shared" si="148"/>
        <v>244239</v>
      </c>
      <c r="AK1137" s="176"/>
      <c r="AL1137" s="176"/>
    </row>
    <row r="1138" spans="1:38" ht="36" customHeight="1" x14ac:dyDescent="0.2">
      <c r="A1138" s="14" t="s">
        <v>25</v>
      </c>
      <c r="B1138" s="212">
        <v>244236</v>
      </c>
      <c r="C1138" s="14" t="s">
        <v>547</v>
      </c>
      <c r="D1138" s="14" t="s">
        <v>268</v>
      </c>
      <c r="E1138" s="14" t="s">
        <v>14</v>
      </c>
      <c r="F1138" s="14" t="s">
        <v>324</v>
      </c>
      <c r="G1138" s="179">
        <v>681137</v>
      </c>
      <c r="H1138" s="176" t="s">
        <v>3581</v>
      </c>
      <c r="I1138" s="176" t="s">
        <v>3582</v>
      </c>
      <c r="J1138" s="176" t="s">
        <v>3584</v>
      </c>
      <c r="K1138" s="176" t="s">
        <v>3588</v>
      </c>
      <c r="L1138" s="40" t="s">
        <v>106</v>
      </c>
      <c r="M1138" s="40" t="s">
        <v>341</v>
      </c>
      <c r="N1138" s="14" t="s">
        <v>3594</v>
      </c>
      <c r="O1138" s="14" t="s">
        <v>527</v>
      </c>
      <c r="P1138" s="14" t="s">
        <v>1277</v>
      </c>
      <c r="Q1138" s="14" t="s">
        <v>542</v>
      </c>
      <c r="R1138" s="17">
        <v>189</v>
      </c>
      <c r="S1138" s="172" t="s">
        <v>51</v>
      </c>
      <c r="T1138" s="17">
        <v>3910</v>
      </c>
      <c r="U1138" s="14" t="s">
        <v>51</v>
      </c>
      <c r="V1138" s="16">
        <f t="shared" si="144"/>
        <v>244236</v>
      </c>
      <c r="W1138" s="16">
        <f t="shared" si="145"/>
        <v>244243</v>
      </c>
      <c r="X1138" s="16">
        <f t="shared" si="146"/>
        <v>244238</v>
      </c>
      <c r="Y1138" s="15" t="s">
        <v>54</v>
      </c>
      <c r="Z1138" s="177">
        <v>244239</v>
      </c>
      <c r="AA1138" s="170"/>
      <c r="AB1138" s="170"/>
      <c r="AC1138" s="170"/>
      <c r="AD1138" s="170"/>
      <c r="AE1138" s="15" t="s">
        <v>54</v>
      </c>
      <c r="AF1138" s="177">
        <v>244239</v>
      </c>
      <c r="AG1138" s="177" t="str">
        <f t="shared" si="147"/>
        <v>Pass</v>
      </c>
      <c r="AH1138" s="177">
        <f t="shared" si="148"/>
        <v>244239</v>
      </c>
      <c r="AK1138" s="176"/>
      <c r="AL1138" s="176"/>
    </row>
    <row r="1139" spans="1:38" ht="36" customHeight="1" x14ac:dyDescent="0.2">
      <c r="A1139" s="14" t="s">
        <v>25</v>
      </c>
      <c r="B1139" s="212">
        <v>244236</v>
      </c>
      <c r="C1139" s="14" t="s">
        <v>547</v>
      </c>
      <c r="D1139" s="14" t="s">
        <v>268</v>
      </c>
      <c r="E1139" s="14" t="s">
        <v>14</v>
      </c>
      <c r="F1139" s="14" t="s">
        <v>324</v>
      </c>
      <c r="G1139" s="179">
        <v>681138</v>
      </c>
      <c r="H1139" s="176" t="s">
        <v>3581</v>
      </c>
      <c r="I1139" s="176" t="s">
        <v>3582</v>
      </c>
      <c r="J1139" s="176" t="s">
        <v>3584</v>
      </c>
      <c r="K1139" s="176" t="s">
        <v>3588</v>
      </c>
      <c r="L1139" s="40" t="s">
        <v>106</v>
      </c>
      <c r="M1139" s="40" t="s">
        <v>341</v>
      </c>
      <c r="N1139" s="14" t="s">
        <v>3595</v>
      </c>
      <c r="O1139" s="14" t="s">
        <v>552</v>
      </c>
      <c r="P1139" s="14" t="s">
        <v>685</v>
      </c>
      <c r="Q1139" s="14" t="s">
        <v>553</v>
      </c>
      <c r="R1139" s="17">
        <v>800</v>
      </c>
      <c r="S1139" s="172" t="s">
        <v>51</v>
      </c>
      <c r="T1139" s="17">
        <v>3910</v>
      </c>
      <c r="U1139" s="14" t="s">
        <v>51</v>
      </c>
      <c r="V1139" s="16">
        <f t="shared" si="144"/>
        <v>244236</v>
      </c>
      <c r="W1139" s="16">
        <f t="shared" si="145"/>
        <v>244243</v>
      </c>
      <c r="X1139" s="16">
        <f t="shared" si="146"/>
        <v>244238</v>
      </c>
      <c r="Y1139" s="15" t="s">
        <v>54</v>
      </c>
      <c r="Z1139" s="177">
        <v>244239</v>
      </c>
      <c r="AA1139" s="170"/>
      <c r="AB1139" s="170"/>
      <c r="AC1139" s="170"/>
      <c r="AD1139" s="170"/>
      <c r="AE1139" s="15" t="s">
        <v>54</v>
      </c>
      <c r="AF1139" s="177">
        <v>244239</v>
      </c>
      <c r="AG1139" s="177" t="str">
        <f t="shared" si="147"/>
        <v>Pass</v>
      </c>
      <c r="AH1139" s="177">
        <f t="shared" si="148"/>
        <v>244239</v>
      </c>
      <c r="AK1139" s="176"/>
      <c r="AL1139" s="176"/>
    </row>
    <row r="1140" spans="1:38" ht="36" customHeight="1" x14ac:dyDescent="0.2">
      <c r="A1140" s="14" t="s">
        <v>25</v>
      </c>
      <c r="B1140" s="212">
        <v>244237</v>
      </c>
      <c r="C1140" s="14" t="s">
        <v>547</v>
      </c>
      <c r="D1140" s="14" t="s">
        <v>268</v>
      </c>
      <c r="E1140" s="14" t="s">
        <v>14</v>
      </c>
      <c r="F1140" s="14" t="s">
        <v>324</v>
      </c>
      <c r="G1140" s="179">
        <v>681139</v>
      </c>
      <c r="H1140" s="176" t="s">
        <v>3580</v>
      </c>
      <c r="I1140" s="176" t="s">
        <v>908</v>
      </c>
      <c r="J1140" s="176" t="s">
        <v>133</v>
      </c>
      <c r="K1140" s="176" t="s">
        <v>3587</v>
      </c>
      <c r="L1140" s="40" t="s">
        <v>105</v>
      </c>
      <c r="M1140" s="40" t="s">
        <v>341</v>
      </c>
      <c r="N1140" s="14" t="s">
        <v>3602</v>
      </c>
      <c r="O1140" s="14" t="s">
        <v>649</v>
      </c>
      <c r="P1140" s="14" t="s">
        <v>3608</v>
      </c>
      <c r="Q1140" s="14" t="s">
        <v>657</v>
      </c>
      <c r="R1140" s="17">
        <v>150</v>
      </c>
      <c r="S1140" s="172" t="s">
        <v>51</v>
      </c>
      <c r="T1140" s="17">
        <v>1971</v>
      </c>
      <c r="U1140" s="14" t="s">
        <v>51</v>
      </c>
      <c r="V1140" s="16">
        <f t="shared" si="144"/>
        <v>244237</v>
      </c>
      <c r="W1140" s="16">
        <f t="shared" si="145"/>
        <v>244244</v>
      </c>
      <c r="X1140" s="16">
        <f t="shared" si="146"/>
        <v>244239</v>
      </c>
      <c r="Y1140" s="15" t="s">
        <v>54</v>
      </c>
      <c r="Z1140" s="177">
        <v>244239</v>
      </c>
      <c r="AA1140" s="170"/>
      <c r="AB1140" s="170"/>
      <c r="AC1140" s="170"/>
      <c r="AD1140" s="170"/>
      <c r="AE1140" s="15" t="s">
        <v>54</v>
      </c>
      <c r="AF1140" s="177">
        <v>244239</v>
      </c>
      <c r="AG1140" s="177" t="str">
        <f t="shared" si="147"/>
        <v>Pass</v>
      </c>
      <c r="AH1140" s="177">
        <f t="shared" si="148"/>
        <v>244239</v>
      </c>
      <c r="AK1140" s="176"/>
      <c r="AL1140" s="176"/>
    </row>
    <row r="1141" spans="1:38" ht="36" customHeight="1" x14ac:dyDescent="0.2">
      <c r="A1141" s="14" t="s">
        <v>25</v>
      </c>
      <c r="B1141" s="212">
        <v>244237</v>
      </c>
      <c r="C1141" s="14" t="s">
        <v>547</v>
      </c>
      <c r="D1141" s="14" t="s">
        <v>268</v>
      </c>
      <c r="E1141" s="14" t="s">
        <v>14</v>
      </c>
      <c r="F1141" s="14" t="s">
        <v>324</v>
      </c>
      <c r="G1141" s="179">
        <v>681140</v>
      </c>
      <c r="H1141" s="176" t="s">
        <v>3598</v>
      </c>
      <c r="I1141" s="176" t="s">
        <v>630</v>
      </c>
      <c r="J1141" s="176" t="s">
        <v>821</v>
      </c>
      <c r="K1141" s="176" t="s">
        <v>3599</v>
      </c>
      <c r="L1141" s="40" t="s">
        <v>105</v>
      </c>
      <c r="M1141" s="40" t="s">
        <v>341</v>
      </c>
      <c r="N1141" s="14" t="s">
        <v>3603</v>
      </c>
      <c r="O1141" s="14" t="s">
        <v>543</v>
      </c>
      <c r="P1141" s="14" t="s">
        <v>3609</v>
      </c>
      <c r="Q1141" s="14" t="s">
        <v>529</v>
      </c>
      <c r="R1141" s="17">
        <v>1200</v>
      </c>
      <c r="S1141" s="172" t="s">
        <v>51</v>
      </c>
      <c r="T1141" s="17">
        <v>2572</v>
      </c>
      <c r="U1141" s="14" t="s">
        <v>51</v>
      </c>
      <c r="V1141" s="16">
        <f t="shared" si="144"/>
        <v>244237</v>
      </c>
      <c r="W1141" s="16">
        <f t="shared" si="145"/>
        <v>244244</v>
      </c>
      <c r="X1141" s="16">
        <f t="shared" si="146"/>
        <v>244239</v>
      </c>
      <c r="Y1141" s="15" t="s">
        <v>54</v>
      </c>
      <c r="Z1141" s="177">
        <v>244239</v>
      </c>
      <c r="AA1141" s="170"/>
      <c r="AB1141" s="170"/>
      <c r="AC1141" s="170"/>
      <c r="AD1141" s="170"/>
      <c r="AE1141" s="15" t="s">
        <v>54</v>
      </c>
      <c r="AF1141" s="177">
        <v>244239</v>
      </c>
      <c r="AG1141" s="177" t="str">
        <f t="shared" si="147"/>
        <v>Pass</v>
      </c>
      <c r="AH1141" s="177">
        <f t="shared" si="148"/>
        <v>244239</v>
      </c>
      <c r="AK1141" s="176"/>
      <c r="AL1141" s="176"/>
    </row>
    <row r="1142" spans="1:38" ht="36" customHeight="1" x14ac:dyDescent="0.2">
      <c r="A1142" s="14" t="s">
        <v>25</v>
      </c>
      <c r="B1142" s="212">
        <v>244237</v>
      </c>
      <c r="C1142" s="14" t="s">
        <v>547</v>
      </c>
      <c r="D1142" s="14" t="s">
        <v>268</v>
      </c>
      <c r="E1142" s="14" t="s">
        <v>14</v>
      </c>
      <c r="F1142" s="14" t="s">
        <v>324</v>
      </c>
      <c r="G1142" s="179">
        <v>681141</v>
      </c>
      <c r="H1142" s="176" t="s">
        <v>772</v>
      </c>
      <c r="I1142" s="176" t="s">
        <v>774</v>
      </c>
      <c r="J1142" s="176" t="s">
        <v>776</v>
      </c>
      <c r="K1142" s="176" t="s">
        <v>3600</v>
      </c>
      <c r="L1142" s="40" t="s">
        <v>45</v>
      </c>
      <c r="M1142" s="40" t="s">
        <v>341</v>
      </c>
      <c r="N1142" s="14" t="s">
        <v>3604</v>
      </c>
      <c r="O1142" s="14" t="s">
        <v>552</v>
      </c>
      <c r="P1142" s="14" t="s">
        <v>519</v>
      </c>
      <c r="Q1142" s="14" t="s">
        <v>553</v>
      </c>
      <c r="R1142" s="17">
        <v>3257</v>
      </c>
      <c r="S1142" s="172" t="s">
        <v>51</v>
      </c>
      <c r="T1142" s="17">
        <v>1415</v>
      </c>
      <c r="U1142" s="14" t="s">
        <v>51</v>
      </c>
      <c r="V1142" s="16">
        <f t="shared" si="144"/>
        <v>244237</v>
      </c>
      <c r="W1142" s="16">
        <f t="shared" si="145"/>
        <v>244244</v>
      </c>
      <c r="X1142" s="16">
        <f t="shared" si="146"/>
        <v>244239</v>
      </c>
      <c r="Y1142" s="15" t="s">
        <v>54</v>
      </c>
      <c r="Z1142" s="177">
        <v>244239</v>
      </c>
      <c r="AA1142" s="170"/>
      <c r="AB1142" s="170"/>
      <c r="AC1142" s="170"/>
      <c r="AD1142" s="170"/>
      <c r="AE1142" s="15" t="s">
        <v>54</v>
      </c>
      <c r="AF1142" s="177">
        <v>244239</v>
      </c>
      <c r="AG1142" s="177" t="str">
        <f t="shared" si="147"/>
        <v>Pass</v>
      </c>
      <c r="AH1142" s="177">
        <f t="shared" si="148"/>
        <v>244239</v>
      </c>
      <c r="AK1142" s="176"/>
      <c r="AL1142" s="176"/>
    </row>
    <row r="1143" spans="1:38" ht="36" customHeight="1" x14ac:dyDescent="0.2">
      <c r="A1143" s="14" t="s">
        <v>25</v>
      </c>
      <c r="B1143" s="212">
        <v>244237</v>
      </c>
      <c r="C1143" s="14" t="s">
        <v>547</v>
      </c>
      <c r="D1143" s="14" t="s">
        <v>268</v>
      </c>
      <c r="E1143" s="14" t="s">
        <v>14</v>
      </c>
      <c r="F1143" s="14" t="s">
        <v>324</v>
      </c>
      <c r="G1143" s="179">
        <v>681142</v>
      </c>
      <c r="H1143" s="176" t="s">
        <v>1026</v>
      </c>
      <c r="I1143" s="176" t="s">
        <v>908</v>
      </c>
      <c r="J1143" s="176" t="s">
        <v>133</v>
      </c>
      <c r="K1143" s="176" t="s">
        <v>3601</v>
      </c>
      <c r="L1143" s="40" t="s">
        <v>105</v>
      </c>
      <c r="M1143" s="40" t="s">
        <v>341</v>
      </c>
      <c r="N1143" s="14" t="s">
        <v>3605</v>
      </c>
      <c r="O1143" s="14" t="s">
        <v>528</v>
      </c>
      <c r="P1143" s="14" t="s">
        <v>940</v>
      </c>
      <c r="Q1143" s="14" t="s">
        <v>541</v>
      </c>
      <c r="R1143" s="17">
        <v>500</v>
      </c>
      <c r="S1143" s="172" t="s">
        <v>51</v>
      </c>
      <c r="T1143" s="17">
        <v>1967</v>
      </c>
      <c r="U1143" s="14" t="s">
        <v>51</v>
      </c>
      <c r="V1143" s="16">
        <f t="shared" si="144"/>
        <v>244237</v>
      </c>
      <c r="W1143" s="16">
        <f t="shared" si="145"/>
        <v>244244</v>
      </c>
      <c r="X1143" s="16">
        <f t="shared" si="146"/>
        <v>244239</v>
      </c>
      <c r="Y1143" s="15" t="s">
        <v>54</v>
      </c>
      <c r="Z1143" s="177">
        <v>244239</v>
      </c>
      <c r="AA1143" s="170"/>
      <c r="AB1143" s="170"/>
      <c r="AC1143" s="170"/>
      <c r="AD1143" s="170"/>
      <c r="AE1143" s="15" t="s">
        <v>54</v>
      </c>
      <c r="AF1143" s="177">
        <v>244239</v>
      </c>
      <c r="AG1143" s="177" t="str">
        <f t="shared" si="147"/>
        <v>Pass</v>
      </c>
      <c r="AH1143" s="177">
        <f t="shared" si="148"/>
        <v>244239</v>
      </c>
      <c r="AK1143" s="176"/>
      <c r="AL1143" s="176"/>
    </row>
    <row r="1144" spans="1:38" ht="36" customHeight="1" x14ac:dyDescent="0.2">
      <c r="A1144" s="14" t="s">
        <v>25</v>
      </c>
      <c r="B1144" s="212">
        <v>244237</v>
      </c>
      <c r="C1144" s="14" t="s">
        <v>547</v>
      </c>
      <c r="D1144" s="14" t="s">
        <v>268</v>
      </c>
      <c r="E1144" s="14" t="s">
        <v>14</v>
      </c>
      <c r="F1144" s="14" t="s">
        <v>324</v>
      </c>
      <c r="G1144" s="179">
        <v>681143</v>
      </c>
      <c r="H1144" s="176" t="s">
        <v>1026</v>
      </c>
      <c r="I1144" s="176" t="s">
        <v>908</v>
      </c>
      <c r="J1144" s="176" t="s">
        <v>133</v>
      </c>
      <c r="K1144" s="176" t="s">
        <v>3601</v>
      </c>
      <c r="L1144" s="40" t="s">
        <v>105</v>
      </c>
      <c r="M1144" s="40" t="s">
        <v>341</v>
      </c>
      <c r="N1144" s="14" t="s">
        <v>3606</v>
      </c>
      <c r="O1144" s="14" t="s">
        <v>1008</v>
      </c>
      <c r="P1144" s="14" t="s">
        <v>1246</v>
      </c>
      <c r="Q1144" s="14" t="s">
        <v>1014</v>
      </c>
      <c r="R1144" s="17">
        <v>150</v>
      </c>
      <c r="S1144" s="172" t="s">
        <v>51</v>
      </c>
      <c r="T1144" s="17">
        <v>1956</v>
      </c>
      <c r="U1144" s="14" t="s">
        <v>51</v>
      </c>
      <c r="V1144" s="16">
        <f t="shared" si="144"/>
        <v>244237</v>
      </c>
      <c r="W1144" s="16">
        <f t="shared" si="145"/>
        <v>244244</v>
      </c>
      <c r="X1144" s="16">
        <f t="shared" si="146"/>
        <v>244239</v>
      </c>
      <c r="Y1144" s="15" t="s">
        <v>54</v>
      </c>
      <c r="Z1144" s="177">
        <v>244239</v>
      </c>
      <c r="AA1144" s="170"/>
      <c r="AB1144" s="170"/>
      <c r="AC1144" s="170"/>
      <c r="AD1144" s="170"/>
      <c r="AE1144" s="15" t="s">
        <v>54</v>
      </c>
      <c r="AF1144" s="177">
        <v>244239</v>
      </c>
      <c r="AG1144" s="177" t="str">
        <f t="shared" si="147"/>
        <v>Pass</v>
      </c>
      <c r="AH1144" s="177">
        <f t="shared" si="148"/>
        <v>244239</v>
      </c>
      <c r="AK1144" s="176"/>
      <c r="AL1144" s="176"/>
    </row>
    <row r="1145" spans="1:38" ht="36" customHeight="1" x14ac:dyDescent="0.2">
      <c r="A1145" s="14" t="s">
        <v>25</v>
      </c>
      <c r="B1145" s="212">
        <v>244237</v>
      </c>
      <c r="C1145" s="14" t="s">
        <v>547</v>
      </c>
      <c r="D1145" s="14" t="s">
        <v>268</v>
      </c>
      <c r="E1145" s="14" t="s">
        <v>14</v>
      </c>
      <c r="F1145" s="14" t="s">
        <v>324</v>
      </c>
      <c r="G1145" s="179">
        <v>681144</v>
      </c>
      <c r="H1145" s="176" t="s">
        <v>663</v>
      </c>
      <c r="I1145" s="176" t="s">
        <v>630</v>
      </c>
      <c r="J1145" s="176" t="s">
        <v>821</v>
      </c>
      <c r="K1145" s="176" t="s">
        <v>3539</v>
      </c>
      <c r="L1145" s="40" t="s">
        <v>124</v>
      </c>
      <c r="M1145" s="40" t="s">
        <v>341</v>
      </c>
      <c r="N1145" s="14" t="s">
        <v>3607</v>
      </c>
      <c r="O1145" s="14" t="s">
        <v>543</v>
      </c>
      <c r="P1145" s="14" t="s">
        <v>517</v>
      </c>
      <c r="Q1145" s="14" t="s">
        <v>529</v>
      </c>
      <c r="R1145" s="17">
        <v>1700</v>
      </c>
      <c r="S1145" s="172" t="s">
        <v>51</v>
      </c>
      <c r="T1145" s="17">
        <v>2606</v>
      </c>
      <c r="U1145" s="14" t="s">
        <v>51</v>
      </c>
      <c r="V1145" s="16">
        <f t="shared" si="144"/>
        <v>244237</v>
      </c>
      <c r="W1145" s="16">
        <f t="shared" si="145"/>
        <v>244244</v>
      </c>
      <c r="X1145" s="16">
        <f t="shared" si="146"/>
        <v>244239</v>
      </c>
      <c r="Y1145" s="15" t="s">
        <v>54</v>
      </c>
      <c r="Z1145" s="177">
        <v>244239</v>
      </c>
      <c r="AA1145" s="170"/>
      <c r="AB1145" s="170"/>
      <c r="AC1145" s="170"/>
      <c r="AD1145" s="170"/>
      <c r="AE1145" s="15" t="s">
        <v>54</v>
      </c>
      <c r="AF1145" s="177">
        <v>244239</v>
      </c>
      <c r="AG1145" s="177" t="str">
        <f t="shared" si="147"/>
        <v>Pass</v>
      </c>
      <c r="AH1145" s="177">
        <f t="shared" si="148"/>
        <v>244239</v>
      </c>
      <c r="AK1145" s="176"/>
      <c r="AL1145" s="176"/>
    </row>
    <row r="1146" spans="1:38" ht="36" customHeight="1" x14ac:dyDescent="0.2">
      <c r="A1146" s="14" t="s">
        <v>25</v>
      </c>
      <c r="B1146" s="212">
        <v>244238</v>
      </c>
      <c r="C1146" s="14" t="s">
        <v>547</v>
      </c>
      <c r="D1146" s="14" t="s">
        <v>268</v>
      </c>
      <c r="E1146" s="14" t="s">
        <v>14</v>
      </c>
      <c r="F1146" s="14" t="s">
        <v>324</v>
      </c>
      <c r="G1146" s="179">
        <v>681145</v>
      </c>
      <c r="H1146" s="176" t="s">
        <v>3610</v>
      </c>
      <c r="I1146" s="176" t="s">
        <v>3614</v>
      </c>
      <c r="J1146" s="176" t="s">
        <v>3616</v>
      </c>
      <c r="K1146" s="176" t="s">
        <v>3618</v>
      </c>
      <c r="L1146" s="40" t="s">
        <v>45</v>
      </c>
      <c r="M1146" s="40" t="s">
        <v>341</v>
      </c>
      <c r="N1146" s="14" t="s">
        <v>3623</v>
      </c>
      <c r="O1146" s="14" t="s">
        <v>1150</v>
      </c>
      <c r="P1146" s="14" t="s">
        <v>3628</v>
      </c>
      <c r="Q1146" s="14" t="s">
        <v>1156</v>
      </c>
      <c r="R1146" s="17">
        <v>300</v>
      </c>
      <c r="S1146" s="172" t="s">
        <v>51</v>
      </c>
      <c r="T1146" s="17">
        <v>1000</v>
      </c>
      <c r="U1146" s="14" t="s">
        <v>51</v>
      </c>
      <c r="V1146" s="16">
        <f t="shared" si="144"/>
        <v>244238</v>
      </c>
      <c r="W1146" s="16">
        <f t="shared" si="145"/>
        <v>244245</v>
      </c>
      <c r="X1146" s="16">
        <f t="shared" si="146"/>
        <v>244240</v>
      </c>
      <c r="Y1146" s="15" t="s">
        <v>54</v>
      </c>
      <c r="Z1146" s="177">
        <v>244242</v>
      </c>
      <c r="AA1146" s="170"/>
      <c r="AB1146" s="170"/>
      <c r="AC1146" s="170"/>
      <c r="AD1146" s="170"/>
      <c r="AE1146" s="15" t="s">
        <v>54</v>
      </c>
      <c r="AF1146" s="177">
        <v>244242</v>
      </c>
      <c r="AG1146" s="177" t="str">
        <f t="shared" si="147"/>
        <v>Pass</v>
      </c>
      <c r="AH1146" s="177">
        <f t="shared" si="148"/>
        <v>244242</v>
      </c>
      <c r="AK1146" s="176"/>
      <c r="AL1146" s="176"/>
    </row>
    <row r="1147" spans="1:38" ht="36" customHeight="1" x14ac:dyDescent="0.2">
      <c r="A1147" s="14" t="s">
        <v>25</v>
      </c>
      <c r="B1147" s="212">
        <v>244238</v>
      </c>
      <c r="C1147" s="14" t="s">
        <v>547</v>
      </c>
      <c r="D1147" s="14" t="s">
        <v>268</v>
      </c>
      <c r="E1147" s="14" t="s">
        <v>14</v>
      </c>
      <c r="F1147" s="14" t="s">
        <v>324</v>
      </c>
      <c r="G1147" s="179">
        <v>681146</v>
      </c>
      <c r="H1147" s="176" t="s">
        <v>3611</v>
      </c>
      <c r="I1147" s="176" t="s">
        <v>551</v>
      </c>
      <c r="J1147" s="176" t="s">
        <v>832</v>
      </c>
      <c r="K1147" s="176" t="s">
        <v>3619</v>
      </c>
      <c r="L1147" s="40" t="s">
        <v>106</v>
      </c>
      <c r="M1147" s="40" t="s">
        <v>341</v>
      </c>
      <c r="N1147" s="14" t="s">
        <v>3624</v>
      </c>
      <c r="O1147" s="14" t="s">
        <v>528</v>
      </c>
      <c r="P1147" s="14" t="s">
        <v>3629</v>
      </c>
      <c r="Q1147" s="14" t="s">
        <v>541</v>
      </c>
      <c r="R1147" s="17">
        <v>300</v>
      </c>
      <c r="S1147" s="172" t="s">
        <v>51</v>
      </c>
      <c r="T1147" s="17">
        <v>2310</v>
      </c>
      <c r="U1147" s="14" t="s">
        <v>51</v>
      </c>
      <c r="V1147" s="16">
        <f t="shared" si="144"/>
        <v>244238</v>
      </c>
      <c r="W1147" s="16">
        <f t="shared" si="145"/>
        <v>244245</v>
      </c>
      <c r="X1147" s="16">
        <f t="shared" si="146"/>
        <v>244240</v>
      </c>
      <c r="Y1147" s="15" t="s">
        <v>54</v>
      </c>
      <c r="Z1147" s="177">
        <v>244242</v>
      </c>
      <c r="AA1147" s="170"/>
      <c r="AB1147" s="170"/>
      <c r="AC1147" s="170"/>
      <c r="AD1147" s="170"/>
      <c r="AE1147" s="15" t="s">
        <v>54</v>
      </c>
      <c r="AF1147" s="177">
        <v>244242</v>
      </c>
      <c r="AG1147" s="177" t="str">
        <f t="shared" si="147"/>
        <v>Pass</v>
      </c>
      <c r="AH1147" s="177">
        <f t="shared" si="148"/>
        <v>244242</v>
      </c>
      <c r="AK1147" s="176"/>
      <c r="AL1147" s="176"/>
    </row>
    <row r="1148" spans="1:38" ht="36" customHeight="1" x14ac:dyDescent="0.2">
      <c r="A1148" s="14" t="s">
        <v>25</v>
      </c>
      <c r="B1148" s="212">
        <v>244238</v>
      </c>
      <c r="C1148" s="14" t="s">
        <v>547</v>
      </c>
      <c r="D1148" s="14" t="s">
        <v>268</v>
      </c>
      <c r="E1148" s="14" t="s">
        <v>14</v>
      </c>
      <c r="F1148" s="14" t="s">
        <v>324</v>
      </c>
      <c r="G1148" s="179">
        <v>681147</v>
      </c>
      <c r="H1148" s="176" t="s">
        <v>904</v>
      </c>
      <c r="I1148" s="176" t="s">
        <v>908</v>
      </c>
      <c r="J1148" s="176" t="s">
        <v>133</v>
      </c>
      <c r="K1148" s="176" t="s">
        <v>3620</v>
      </c>
      <c r="L1148" s="40" t="s">
        <v>105</v>
      </c>
      <c r="M1148" s="40" t="s">
        <v>341</v>
      </c>
      <c r="N1148" s="14" t="s">
        <v>3625</v>
      </c>
      <c r="O1148" s="14" t="s">
        <v>543</v>
      </c>
      <c r="P1148" s="14" t="s">
        <v>3630</v>
      </c>
      <c r="Q1148" s="14" t="s">
        <v>529</v>
      </c>
      <c r="R1148" s="17">
        <v>250</v>
      </c>
      <c r="S1148" s="172" t="s">
        <v>51</v>
      </c>
      <c r="T1148" s="17">
        <v>2014</v>
      </c>
      <c r="U1148" s="14" t="s">
        <v>51</v>
      </c>
      <c r="V1148" s="16">
        <f t="shared" si="144"/>
        <v>244238</v>
      </c>
      <c r="W1148" s="16">
        <f t="shared" si="145"/>
        <v>244245</v>
      </c>
      <c r="X1148" s="16">
        <f t="shared" si="146"/>
        <v>244240</v>
      </c>
      <c r="Y1148" s="15" t="s">
        <v>54</v>
      </c>
      <c r="Z1148" s="177">
        <v>244242</v>
      </c>
      <c r="AA1148" s="170"/>
      <c r="AB1148" s="170"/>
      <c r="AC1148" s="170"/>
      <c r="AD1148" s="170"/>
      <c r="AE1148" s="15" t="s">
        <v>54</v>
      </c>
      <c r="AF1148" s="177">
        <v>244242</v>
      </c>
      <c r="AG1148" s="177" t="str">
        <f t="shared" si="147"/>
        <v>Pass</v>
      </c>
      <c r="AH1148" s="177">
        <f t="shared" si="148"/>
        <v>244242</v>
      </c>
      <c r="AK1148" s="176"/>
      <c r="AL1148" s="176"/>
    </row>
    <row r="1149" spans="1:38" ht="36" customHeight="1" x14ac:dyDescent="0.2">
      <c r="A1149" s="14" t="s">
        <v>25</v>
      </c>
      <c r="B1149" s="212">
        <v>244238</v>
      </c>
      <c r="C1149" s="14" t="s">
        <v>547</v>
      </c>
      <c r="D1149" s="14" t="s">
        <v>268</v>
      </c>
      <c r="E1149" s="14" t="s">
        <v>14</v>
      </c>
      <c r="F1149" s="14" t="s">
        <v>324</v>
      </c>
      <c r="G1149" s="179">
        <v>681148</v>
      </c>
      <c r="H1149" s="176" t="s">
        <v>663</v>
      </c>
      <c r="I1149" s="176" t="s">
        <v>630</v>
      </c>
      <c r="J1149" s="176" t="s">
        <v>821</v>
      </c>
      <c r="K1149" s="176" t="s">
        <v>3539</v>
      </c>
      <c r="L1149" s="40" t="s">
        <v>124</v>
      </c>
      <c r="M1149" s="40" t="s">
        <v>341</v>
      </c>
      <c r="N1149" s="14" t="s">
        <v>2504</v>
      </c>
      <c r="O1149" s="14" t="s">
        <v>548</v>
      </c>
      <c r="P1149" s="14" t="s">
        <v>717</v>
      </c>
      <c r="Q1149" s="14" t="s">
        <v>549</v>
      </c>
      <c r="R1149" s="17">
        <v>131</v>
      </c>
      <c r="S1149" s="172" t="s">
        <v>51</v>
      </c>
      <c r="T1149" s="17">
        <v>2530</v>
      </c>
      <c r="U1149" s="14" t="s">
        <v>51</v>
      </c>
      <c r="V1149" s="16">
        <f t="shared" si="144"/>
        <v>244238</v>
      </c>
      <c r="W1149" s="16">
        <f t="shared" si="145"/>
        <v>244245</v>
      </c>
      <c r="X1149" s="16">
        <f t="shared" si="146"/>
        <v>244240</v>
      </c>
      <c r="Y1149" s="15" t="s">
        <v>54</v>
      </c>
      <c r="Z1149" s="177">
        <v>244242</v>
      </c>
      <c r="AA1149" s="170"/>
      <c r="AB1149" s="170"/>
      <c r="AC1149" s="170"/>
      <c r="AD1149" s="170"/>
      <c r="AE1149" s="15" t="s">
        <v>54</v>
      </c>
      <c r="AF1149" s="177">
        <v>244242</v>
      </c>
      <c r="AG1149" s="177" t="str">
        <f t="shared" si="147"/>
        <v>Pass</v>
      </c>
      <c r="AH1149" s="177">
        <f t="shared" si="148"/>
        <v>244242</v>
      </c>
      <c r="AK1149" s="176"/>
      <c r="AL1149" s="176"/>
    </row>
    <row r="1150" spans="1:38" ht="36" customHeight="1" x14ac:dyDescent="0.2">
      <c r="A1150" s="14" t="s">
        <v>25</v>
      </c>
      <c r="B1150" s="212">
        <v>244238</v>
      </c>
      <c r="C1150" s="14" t="s">
        <v>547</v>
      </c>
      <c r="D1150" s="14" t="s">
        <v>268</v>
      </c>
      <c r="E1150" s="14" t="s">
        <v>14</v>
      </c>
      <c r="F1150" s="14" t="s">
        <v>324</v>
      </c>
      <c r="G1150" s="179">
        <v>681149</v>
      </c>
      <c r="H1150" s="176" t="s">
        <v>3612</v>
      </c>
      <c r="I1150" s="176" t="s">
        <v>864</v>
      </c>
      <c r="J1150" s="176" t="s">
        <v>131</v>
      </c>
      <c r="K1150" s="176" t="s">
        <v>3621</v>
      </c>
      <c r="L1150" s="40" t="s">
        <v>46</v>
      </c>
      <c r="M1150" s="40" t="s">
        <v>341</v>
      </c>
      <c r="N1150" s="14" t="s">
        <v>2402</v>
      </c>
      <c r="O1150" s="14" t="s">
        <v>548</v>
      </c>
      <c r="P1150" s="14" t="s">
        <v>717</v>
      </c>
      <c r="Q1150" s="14" t="s">
        <v>549</v>
      </c>
      <c r="R1150" s="17">
        <v>109</v>
      </c>
      <c r="S1150" s="172" t="s">
        <v>51</v>
      </c>
      <c r="T1150" s="17">
        <v>1845</v>
      </c>
      <c r="U1150" s="14" t="s">
        <v>51</v>
      </c>
      <c r="V1150" s="16">
        <f t="shared" si="144"/>
        <v>244238</v>
      </c>
      <c r="W1150" s="16">
        <f t="shared" si="145"/>
        <v>244245</v>
      </c>
      <c r="X1150" s="16">
        <f t="shared" si="146"/>
        <v>244240</v>
      </c>
      <c r="Y1150" s="15" t="s">
        <v>54</v>
      </c>
      <c r="Z1150" s="177">
        <v>244242</v>
      </c>
      <c r="AA1150" s="170"/>
      <c r="AB1150" s="170"/>
      <c r="AC1150" s="170"/>
      <c r="AD1150" s="170"/>
      <c r="AE1150" s="15" t="s">
        <v>54</v>
      </c>
      <c r="AF1150" s="177">
        <v>244242</v>
      </c>
      <c r="AG1150" s="177" t="str">
        <f t="shared" si="147"/>
        <v>Pass</v>
      </c>
      <c r="AH1150" s="177">
        <f t="shared" si="148"/>
        <v>244242</v>
      </c>
      <c r="AK1150" s="176"/>
      <c r="AL1150" s="176"/>
    </row>
    <row r="1151" spans="1:38" ht="36" customHeight="1" x14ac:dyDescent="0.2">
      <c r="A1151" s="14" t="s">
        <v>25</v>
      </c>
      <c r="B1151" s="212">
        <v>244238</v>
      </c>
      <c r="C1151" s="14" t="s">
        <v>547</v>
      </c>
      <c r="D1151" s="14" t="s">
        <v>268</v>
      </c>
      <c r="E1151" s="14" t="s">
        <v>14</v>
      </c>
      <c r="F1151" s="14" t="s">
        <v>324</v>
      </c>
      <c r="G1151" s="179">
        <v>681150</v>
      </c>
      <c r="H1151" s="176" t="s">
        <v>3613</v>
      </c>
      <c r="I1151" s="176" t="s">
        <v>3615</v>
      </c>
      <c r="J1151" s="176" t="s">
        <v>3617</v>
      </c>
      <c r="K1151" s="176" t="s">
        <v>3622</v>
      </c>
      <c r="L1151" s="40" t="s">
        <v>106</v>
      </c>
      <c r="M1151" s="40" t="s">
        <v>341</v>
      </c>
      <c r="N1151" s="14" t="s">
        <v>3626</v>
      </c>
      <c r="O1151" s="14" t="s">
        <v>3627</v>
      </c>
      <c r="P1151" s="14" t="s">
        <v>3631</v>
      </c>
      <c r="Q1151" s="14" t="s">
        <v>3632</v>
      </c>
      <c r="R1151" s="17">
        <v>2580</v>
      </c>
      <c r="S1151" s="172" t="s">
        <v>51</v>
      </c>
      <c r="T1151" s="17">
        <v>2800</v>
      </c>
      <c r="U1151" s="14" t="s">
        <v>51</v>
      </c>
      <c r="V1151" s="16">
        <f t="shared" si="144"/>
        <v>244238</v>
      </c>
      <c r="W1151" s="16">
        <f t="shared" si="145"/>
        <v>244245</v>
      </c>
      <c r="X1151" s="16">
        <f t="shared" si="146"/>
        <v>244240</v>
      </c>
      <c r="Y1151" s="15" t="s">
        <v>54</v>
      </c>
      <c r="Z1151" s="177">
        <v>244242</v>
      </c>
      <c r="AA1151" s="170"/>
      <c r="AB1151" s="170"/>
      <c r="AC1151" s="170"/>
      <c r="AD1151" s="170"/>
      <c r="AE1151" s="15" t="s">
        <v>54</v>
      </c>
      <c r="AF1151" s="177">
        <v>244242</v>
      </c>
      <c r="AG1151" s="177" t="str">
        <f t="shared" si="147"/>
        <v>Pass</v>
      </c>
      <c r="AH1151" s="177">
        <f t="shared" si="148"/>
        <v>244242</v>
      </c>
      <c r="AK1151" s="176"/>
      <c r="AL1151" s="176"/>
    </row>
    <row r="1152" spans="1:38" ht="36" customHeight="1" x14ac:dyDescent="0.2">
      <c r="A1152" s="14" t="s">
        <v>25</v>
      </c>
      <c r="B1152" s="212">
        <v>244239</v>
      </c>
      <c r="C1152" s="14" t="s">
        <v>547</v>
      </c>
      <c r="D1152" s="14" t="s">
        <v>268</v>
      </c>
      <c r="E1152" s="14" t="s">
        <v>14</v>
      </c>
      <c r="F1152" s="14" t="s">
        <v>324</v>
      </c>
      <c r="G1152" s="179">
        <v>681151</v>
      </c>
      <c r="H1152" s="176" t="s">
        <v>3633</v>
      </c>
      <c r="I1152" s="176" t="s">
        <v>864</v>
      </c>
      <c r="J1152" s="176" t="s">
        <v>131</v>
      </c>
      <c r="K1152" s="176" t="s">
        <v>3635</v>
      </c>
      <c r="L1152" s="40" t="s">
        <v>46</v>
      </c>
      <c r="M1152" s="40" t="s">
        <v>341</v>
      </c>
      <c r="N1152" s="14" t="s">
        <v>3638</v>
      </c>
      <c r="O1152" s="14" t="s">
        <v>528</v>
      </c>
      <c r="P1152" s="14" t="s">
        <v>3644</v>
      </c>
      <c r="Q1152" s="14" t="s">
        <v>541</v>
      </c>
      <c r="R1152" s="17">
        <v>450</v>
      </c>
      <c r="S1152" s="172" t="s">
        <v>51</v>
      </c>
      <c r="T1152" s="17">
        <v>1920</v>
      </c>
      <c r="U1152" s="14" t="s">
        <v>51</v>
      </c>
      <c r="V1152" s="16">
        <f t="shared" si="144"/>
        <v>244239</v>
      </c>
      <c r="W1152" s="16">
        <f t="shared" si="145"/>
        <v>244246</v>
      </c>
      <c r="X1152" s="16">
        <f t="shared" si="146"/>
        <v>244241</v>
      </c>
      <c r="Y1152" s="15" t="s">
        <v>54</v>
      </c>
      <c r="Z1152" s="177">
        <v>244245</v>
      </c>
      <c r="AA1152" s="170"/>
      <c r="AB1152" s="170"/>
      <c r="AC1152" s="170"/>
      <c r="AD1152" s="170"/>
      <c r="AE1152" s="15" t="s">
        <v>54</v>
      </c>
      <c r="AF1152" s="177">
        <v>244249</v>
      </c>
      <c r="AG1152" s="177" t="str">
        <f t="shared" si="147"/>
        <v>Pass</v>
      </c>
      <c r="AH1152" s="177">
        <f t="shared" si="148"/>
        <v>244249</v>
      </c>
      <c r="AK1152" s="176"/>
      <c r="AL1152" s="176"/>
    </row>
    <row r="1153" spans="1:38" ht="36" customHeight="1" x14ac:dyDescent="0.2">
      <c r="A1153" s="14" t="s">
        <v>25</v>
      </c>
      <c r="B1153" s="212">
        <v>244239</v>
      </c>
      <c r="C1153" s="14" t="s">
        <v>547</v>
      </c>
      <c r="D1153" s="14" t="s">
        <v>268</v>
      </c>
      <c r="E1153" s="14" t="s">
        <v>14</v>
      </c>
      <c r="F1153" s="14" t="s">
        <v>324</v>
      </c>
      <c r="G1153" s="179">
        <v>681152</v>
      </c>
      <c r="H1153" s="176" t="s">
        <v>3633</v>
      </c>
      <c r="I1153" s="176" t="s">
        <v>864</v>
      </c>
      <c r="J1153" s="176" t="s">
        <v>131</v>
      </c>
      <c r="K1153" s="176" t="s">
        <v>3635</v>
      </c>
      <c r="L1153" s="40" t="s">
        <v>46</v>
      </c>
      <c r="M1153" s="40" t="s">
        <v>341</v>
      </c>
      <c r="N1153" s="14" t="s">
        <v>3639</v>
      </c>
      <c r="O1153" s="14" t="s">
        <v>3645</v>
      </c>
      <c r="P1153" s="14" t="s">
        <v>1693</v>
      </c>
      <c r="Q1153" s="14" t="s">
        <v>3646</v>
      </c>
      <c r="R1153" s="17">
        <v>100</v>
      </c>
      <c r="S1153" s="172" t="s">
        <v>51</v>
      </c>
      <c r="T1153" s="17">
        <v>1890</v>
      </c>
      <c r="U1153" s="14" t="s">
        <v>51</v>
      </c>
      <c r="V1153" s="16">
        <f t="shared" si="144"/>
        <v>244239</v>
      </c>
      <c r="W1153" s="16">
        <f t="shared" si="145"/>
        <v>244246</v>
      </c>
      <c r="X1153" s="16">
        <f t="shared" si="146"/>
        <v>244241</v>
      </c>
      <c r="Y1153" s="15" t="s">
        <v>54</v>
      </c>
      <c r="Z1153" s="177">
        <v>244245</v>
      </c>
      <c r="AA1153" s="170"/>
      <c r="AB1153" s="170"/>
      <c r="AC1153" s="170"/>
      <c r="AD1153" s="170"/>
      <c r="AE1153" s="15" t="s">
        <v>54</v>
      </c>
      <c r="AF1153" s="177">
        <v>244249</v>
      </c>
      <c r="AG1153" s="177" t="str">
        <f t="shared" si="147"/>
        <v>Pass</v>
      </c>
      <c r="AH1153" s="177">
        <f t="shared" si="148"/>
        <v>244249</v>
      </c>
      <c r="AK1153" s="176"/>
      <c r="AL1153" s="176"/>
    </row>
    <row r="1154" spans="1:38" ht="36" customHeight="1" x14ac:dyDescent="0.2">
      <c r="A1154" s="14" t="s">
        <v>25</v>
      </c>
      <c r="B1154" s="212">
        <v>244239</v>
      </c>
      <c r="C1154" s="14" t="s">
        <v>547</v>
      </c>
      <c r="D1154" s="14" t="s">
        <v>268</v>
      </c>
      <c r="E1154" s="14" t="s">
        <v>14</v>
      </c>
      <c r="F1154" s="14" t="s">
        <v>324</v>
      </c>
      <c r="G1154" s="179">
        <v>681153</v>
      </c>
      <c r="H1154" s="176" t="s">
        <v>719</v>
      </c>
      <c r="I1154" s="176" t="s">
        <v>551</v>
      </c>
      <c r="J1154" s="176" t="s">
        <v>832</v>
      </c>
      <c r="K1154" s="176" t="s">
        <v>3636</v>
      </c>
      <c r="L1154" s="40" t="s">
        <v>106</v>
      </c>
      <c r="M1154" s="40" t="s">
        <v>341</v>
      </c>
      <c r="N1154" s="14" t="s">
        <v>3640</v>
      </c>
      <c r="O1154" s="14" t="s">
        <v>543</v>
      </c>
      <c r="P1154" s="14" t="s">
        <v>279</v>
      </c>
      <c r="Q1154" s="14" t="s">
        <v>529</v>
      </c>
      <c r="R1154" s="17">
        <v>1550</v>
      </c>
      <c r="S1154" s="172" t="s">
        <v>51</v>
      </c>
      <c r="T1154" s="17">
        <v>2885</v>
      </c>
      <c r="U1154" s="14" t="s">
        <v>51</v>
      </c>
      <c r="V1154" s="16">
        <f t="shared" si="144"/>
        <v>244239</v>
      </c>
      <c r="W1154" s="16">
        <f t="shared" si="145"/>
        <v>244246</v>
      </c>
      <c r="X1154" s="16">
        <f t="shared" si="146"/>
        <v>244241</v>
      </c>
      <c r="Y1154" s="15" t="s">
        <v>54</v>
      </c>
      <c r="Z1154" s="177">
        <v>244245</v>
      </c>
      <c r="AA1154" s="170"/>
      <c r="AB1154" s="170"/>
      <c r="AC1154" s="170"/>
      <c r="AD1154" s="170"/>
      <c r="AE1154" s="15" t="s">
        <v>54</v>
      </c>
      <c r="AF1154" s="177">
        <v>244249</v>
      </c>
      <c r="AG1154" s="177" t="str">
        <f t="shared" si="147"/>
        <v>Pass</v>
      </c>
      <c r="AH1154" s="177">
        <f t="shared" si="148"/>
        <v>244249</v>
      </c>
      <c r="AK1154" s="176"/>
      <c r="AL1154" s="176"/>
    </row>
    <row r="1155" spans="1:38" ht="36" customHeight="1" x14ac:dyDescent="0.2">
      <c r="A1155" s="14" t="s">
        <v>25</v>
      </c>
      <c r="B1155" s="212">
        <v>244239</v>
      </c>
      <c r="C1155" s="14" t="s">
        <v>547</v>
      </c>
      <c r="D1155" s="14" t="s">
        <v>268</v>
      </c>
      <c r="E1155" s="14" t="s">
        <v>14</v>
      </c>
      <c r="F1155" s="14" t="s">
        <v>324</v>
      </c>
      <c r="G1155" s="179">
        <v>681154</v>
      </c>
      <c r="H1155" s="176" t="s">
        <v>663</v>
      </c>
      <c r="I1155" s="176" t="s">
        <v>630</v>
      </c>
      <c r="J1155" s="176" t="s">
        <v>821</v>
      </c>
      <c r="K1155" s="176" t="s">
        <v>3539</v>
      </c>
      <c r="L1155" s="40" t="s">
        <v>124</v>
      </c>
      <c r="M1155" s="40" t="s">
        <v>341</v>
      </c>
      <c r="N1155" s="14" t="s">
        <v>3641</v>
      </c>
      <c r="O1155" s="14" t="s">
        <v>3643</v>
      </c>
      <c r="P1155" s="14" t="s">
        <v>684</v>
      </c>
      <c r="Q1155" s="14" t="s">
        <v>3647</v>
      </c>
      <c r="R1155" s="17">
        <v>240</v>
      </c>
      <c r="S1155" s="172" t="s">
        <v>51</v>
      </c>
      <c r="T1155" s="17">
        <v>2549</v>
      </c>
      <c r="U1155" s="14" t="s">
        <v>51</v>
      </c>
      <c r="V1155" s="16">
        <f t="shared" si="144"/>
        <v>244239</v>
      </c>
      <c r="W1155" s="16">
        <f t="shared" si="145"/>
        <v>244246</v>
      </c>
      <c r="X1155" s="16">
        <f t="shared" si="146"/>
        <v>244241</v>
      </c>
      <c r="Y1155" s="15" t="s">
        <v>54</v>
      </c>
      <c r="Z1155" s="177">
        <v>244245</v>
      </c>
      <c r="AA1155" s="170"/>
      <c r="AB1155" s="170"/>
      <c r="AC1155" s="170"/>
      <c r="AD1155" s="170"/>
      <c r="AE1155" s="15" t="s">
        <v>54</v>
      </c>
      <c r="AF1155" s="177">
        <v>244249</v>
      </c>
      <c r="AG1155" s="177" t="str">
        <f t="shared" si="147"/>
        <v>Pass</v>
      </c>
      <c r="AH1155" s="177">
        <f t="shared" si="148"/>
        <v>244249</v>
      </c>
      <c r="AK1155" s="176"/>
      <c r="AL1155" s="176"/>
    </row>
    <row r="1156" spans="1:38" ht="36" customHeight="1" x14ac:dyDescent="0.2">
      <c r="A1156" s="14" t="s">
        <v>25</v>
      </c>
      <c r="B1156" s="212">
        <v>244239</v>
      </c>
      <c r="C1156" s="14" t="s">
        <v>547</v>
      </c>
      <c r="D1156" s="14" t="s">
        <v>268</v>
      </c>
      <c r="E1156" s="14" t="s">
        <v>14</v>
      </c>
      <c r="F1156" s="14" t="s">
        <v>324</v>
      </c>
      <c r="G1156" s="179">
        <v>681155</v>
      </c>
      <c r="H1156" s="176" t="s">
        <v>3634</v>
      </c>
      <c r="I1156" s="176" t="s">
        <v>551</v>
      </c>
      <c r="J1156" s="176" t="s">
        <v>832</v>
      </c>
      <c r="K1156" s="176" t="s">
        <v>3637</v>
      </c>
      <c r="L1156" s="40" t="s">
        <v>106</v>
      </c>
      <c r="M1156" s="40" t="s">
        <v>341</v>
      </c>
      <c r="N1156" s="14" t="s">
        <v>3642</v>
      </c>
      <c r="O1156" s="14" t="s">
        <v>548</v>
      </c>
      <c r="P1156" s="14" t="s">
        <v>717</v>
      </c>
      <c r="Q1156" s="14" t="s">
        <v>549</v>
      </c>
      <c r="R1156" s="17">
        <v>443</v>
      </c>
      <c r="S1156" s="172" t="s">
        <v>51</v>
      </c>
      <c r="T1156" s="17">
        <v>670</v>
      </c>
      <c r="U1156" s="14" t="s">
        <v>51</v>
      </c>
      <c r="V1156" s="16">
        <f t="shared" si="144"/>
        <v>244239</v>
      </c>
      <c r="W1156" s="16">
        <f t="shared" si="145"/>
        <v>244246</v>
      </c>
      <c r="X1156" s="16">
        <f t="shared" si="146"/>
        <v>244241</v>
      </c>
      <c r="Y1156" s="15" t="s">
        <v>54</v>
      </c>
      <c r="Z1156" s="177">
        <v>244245</v>
      </c>
      <c r="AA1156" s="170"/>
      <c r="AB1156" s="170"/>
      <c r="AC1156" s="170"/>
      <c r="AD1156" s="170"/>
      <c r="AE1156" s="15" t="s">
        <v>54</v>
      </c>
      <c r="AF1156" s="177">
        <v>244249</v>
      </c>
      <c r="AG1156" s="177" t="str">
        <f t="shared" si="147"/>
        <v>Pass</v>
      </c>
      <c r="AH1156" s="177">
        <f t="shared" si="148"/>
        <v>244249</v>
      </c>
      <c r="AK1156" s="176"/>
      <c r="AL1156" s="176"/>
    </row>
    <row r="1157" spans="1:38" ht="36" customHeight="1" x14ac:dyDescent="0.2">
      <c r="A1157" s="14" t="s">
        <v>25</v>
      </c>
      <c r="B1157" s="212">
        <v>244239</v>
      </c>
      <c r="C1157" s="14" t="s">
        <v>547</v>
      </c>
      <c r="D1157" s="14" t="s">
        <v>268</v>
      </c>
      <c r="E1157" s="14" t="s">
        <v>14</v>
      </c>
      <c r="F1157" s="14" t="s">
        <v>324</v>
      </c>
      <c r="G1157" s="179">
        <v>681156</v>
      </c>
      <c r="H1157" s="176" t="s">
        <v>719</v>
      </c>
      <c r="I1157" s="176" t="s">
        <v>551</v>
      </c>
      <c r="J1157" s="176" t="s">
        <v>832</v>
      </c>
      <c r="K1157" s="176" t="s">
        <v>3636</v>
      </c>
      <c r="L1157" s="40" t="s">
        <v>106</v>
      </c>
      <c r="M1157" s="40" t="s">
        <v>341</v>
      </c>
      <c r="N1157" s="14" t="s">
        <v>1336</v>
      </c>
      <c r="O1157" s="14" t="s">
        <v>548</v>
      </c>
      <c r="P1157" s="14" t="s">
        <v>717</v>
      </c>
      <c r="Q1157" s="14" t="s">
        <v>549</v>
      </c>
      <c r="R1157" s="17">
        <v>149</v>
      </c>
      <c r="S1157" s="172" t="s">
        <v>51</v>
      </c>
      <c r="T1157" s="17">
        <v>2885</v>
      </c>
      <c r="U1157" s="14" t="s">
        <v>51</v>
      </c>
      <c r="V1157" s="16">
        <f t="shared" si="144"/>
        <v>244239</v>
      </c>
      <c r="W1157" s="16">
        <f t="shared" si="145"/>
        <v>244246</v>
      </c>
      <c r="X1157" s="16">
        <f t="shared" si="146"/>
        <v>244241</v>
      </c>
      <c r="Y1157" s="15" t="s">
        <v>54</v>
      </c>
      <c r="Z1157" s="177">
        <v>244245</v>
      </c>
      <c r="AA1157" s="170"/>
      <c r="AB1157" s="170"/>
      <c r="AC1157" s="170"/>
      <c r="AD1157" s="170"/>
      <c r="AE1157" s="15" t="s">
        <v>54</v>
      </c>
      <c r="AF1157" s="177">
        <v>244249</v>
      </c>
      <c r="AG1157" s="177" t="str">
        <f t="shared" si="147"/>
        <v>Pass</v>
      </c>
      <c r="AH1157" s="177">
        <f t="shared" si="148"/>
        <v>244249</v>
      </c>
      <c r="AK1157" s="176"/>
      <c r="AL1157" s="176"/>
    </row>
    <row r="1158" spans="1:38" ht="36" customHeight="1" x14ac:dyDescent="0.2">
      <c r="A1158" s="14" t="s">
        <v>25</v>
      </c>
      <c r="B1158" s="212">
        <v>244240</v>
      </c>
      <c r="C1158" s="14" t="s">
        <v>547</v>
      </c>
      <c r="D1158" s="14" t="s">
        <v>268</v>
      </c>
      <c r="E1158" s="14" t="s">
        <v>14</v>
      </c>
      <c r="F1158" s="14" t="s">
        <v>324</v>
      </c>
      <c r="G1158" s="179">
        <v>681157</v>
      </c>
      <c r="H1158" s="176" t="s">
        <v>1041</v>
      </c>
      <c r="I1158" s="176" t="s">
        <v>908</v>
      </c>
      <c r="J1158" s="176" t="s">
        <v>133</v>
      </c>
      <c r="K1158" s="176" t="s">
        <v>3648</v>
      </c>
      <c r="L1158" s="40" t="s">
        <v>105</v>
      </c>
      <c r="M1158" s="40" t="s">
        <v>341</v>
      </c>
      <c r="N1158" s="14" t="s">
        <v>3652</v>
      </c>
      <c r="O1158" s="14" t="s">
        <v>528</v>
      </c>
      <c r="P1158" s="14" t="s">
        <v>3660</v>
      </c>
      <c r="Q1158" s="14" t="s">
        <v>541</v>
      </c>
      <c r="R1158" s="17">
        <v>1900</v>
      </c>
      <c r="S1158" s="172" t="s">
        <v>51</v>
      </c>
      <c r="T1158" s="17">
        <v>1980</v>
      </c>
      <c r="U1158" s="14" t="s">
        <v>51</v>
      </c>
      <c r="V1158" s="16">
        <f t="shared" si="144"/>
        <v>244240</v>
      </c>
      <c r="W1158" s="16">
        <f t="shared" si="145"/>
        <v>244247</v>
      </c>
      <c r="X1158" s="16">
        <f t="shared" si="146"/>
        <v>244242</v>
      </c>
      <c r="Y1158" s="15" t="s">
        <v>54</v>
      </c>
      <c r="Z1158" s="177">
        <v>244245</v>
      </c>
      <c r="AA1158" s="170"/>
      <c r="AB1158" s="170"/>
      <c r="AC1158" s="170"/>
      <c r="AD1158" s="170"/>
      <c r="AE1158" s="15" t="s">
        <v>54</v>
      </c>
      <c r="AF1158" s="177">
        <v>244249</v>
      </c>
      <c r="AG1158" s="177" t="str">
        <f t="shared" si="147"/>
        <v>Pass</v>
      </c>
      <c r="AH1158" s="177">
        <f t="shared" si="148"/>
        <v>244249</v>
      </c>
      <c r="AK1158" s="176"/>
      <c r="AL1158" s="176"/>
    </row>
    <row r="1159" spans="1:38" ht="36" customHeight="1" x14ac:dyDescent="0.2">
      <c r="A1159" s="14" t="s">
        <v>25</v>
      </c>
      <c r="B1159" s="212">
        <v>244240</v>
      </c>
      <c r="C1159" s="14" t="s">
        <v>547</v>
      </c>
      <c r="D1159" s="14" t="s">
        <v>268</v>
      </c>
      <c r="E1159" s="14" t="s">
        <v>14</v>
      </c>
      <c r="F1159" s="14" t="s">
        <v>324</v>
      </c>
      <c r="G1159" s="179">
        <v>681158</v>
      </c>
      <c r="H1159" s="176" t="s">
        <v>1457</v>
      </c>
      <c r="I1159" s="176" t="s">
        <v>551</v>
      </c>
      <c r="J1159" s="176" t="s">
        <v>832</v>
      </c>
      <c r="K1159" s="176" t="s">
        <v>3649</v>
      </c>
      <c r="L1159" s="40" t="s">
        <v>106</v>
      </c>
      <c r="M1159" s="40" t="s">
        <v>341</v>
      </c>
      <c r="N1159" s="14" t="s">
        <v>3653</v>
      </c>
      <c r="O1159" s="14" t="s">
        <v>681</v>
      </c>
      <c r="P1159" s="14" t="s">
        <v>519</v>
      </c>
      <c r="Q1159" s="14" t="s">
        <v>689</v>
      </c>
      <c r="R1159" s="17">
        <v>3200</v>
      </c>
      <c r="S1159" s="172" t="s">
        <v>51</v>
      </c>
      <c r="T1159" s="17">
        <v>1740</v>
      </c>
      <c r="U1159" s="14" t="s">
        <v>51</v>
      </c>
      <c r="V1159" s="16">
        <f t="shared" si="144"/>
        <v>244240</v>
      </c>
      <c r="W1159" s="16">
        <f t="shared" si="145"/>
        <v>244247</v>
      </c>
      <c r="X1159" s="16">
        <f t="shared" si="146"/>
        <v>244242</v>
      </c>
      <c r="Y1159" s="15" t="s">
        <v>54</v>
      </c>
      <c r="Z1159" s="177">
        <v>244245</v>
      </c>
      <c r="AA1159" s="170"/>
      <c r="AB1159" s="170"/>
      <c r="AC1159" s="170"/>
      <c r="AD1159" s="170"/>
      <c r="AE1159" s="15" t="s">
        <v>54</v>
      </c>
      <c r="AF1159" s="177">
        <v>244249</v>
      </c>
      <c r="AG1159" s="177" t="str">
        <f t="shared" si="147"/>
        <v>Pass</v>
      </c>
      <c r="AH1159" s="177">
        <f t="shared" si="148"/>
        <v>244249</v>
      </c>
      <c r="AK1159" s="176"/>
      <c r="AL1159" s="176"/>
    </row>
    <row r="1160" spans="1:38" ht="36" customHeight="1" x14ac:dyDescent="0.2">
      <c r="A1160" s="14" t="s">
        <v>25</v>
      </c>
      <c r="B1160" s="212">
        <v>244240</v>
      </c>
      <c r="C1160" s="14" t="s">
        <v>547</v>
      </c>
      <c r="D1160" s="14" t="s">
        <v>268</v>
      </c>
      <c r="E1160" s="14" t="s">
        <v>14</v>
      </c>
      <c r="F1160" s="14" t="s">
        <v>324</v>
      </c>
      <c r="G1160" s="179">
        <v>681159</v>
      </c>
      <c r="H1160" s="176" t="s">
        <v>1041</v>
      </c>
      <c r="I1160" s="176" t="s">
        <v>908</v>
      </c>
      <c r="J1160" s="176" t="s">
        <v>133</v>
      </c>
      <c r="K1160" s="176" t="s">
        <v>3648</v>
      </c>
      <c r="L1160" s="40" t="s">
        <v>105</v>
      </c>
      <c r="M1160" s="40" t="s">
        <v>341</v>
      </c>
      <c r="N1160" s="14" t="s">
        <v>3654</v>
      </c>
      <c r="O1160" s="14" t="s">
        <v>3659</v>
      </c>
      <c r="P1160" s="14" t="s">
        <v>3661</v>
      </c>
      <c r="Q1160" s="14" t="s">
        <v>3664</v>
      </c>
      <c r="R1160" s="17">
        <v>225</v>
      </c>
      <c r="S1160" s="172" t="s">
        <v>51</v>
      </c>
      <c r="T1160" s="17">
        <v>1985</v>
      </c>
      <c r="U1160" s="14" t="s">
        <v>51</v>
      </c>
      <c r="V1160" s="16">
        <f t="shared" si="144"/>
        <v>244240</v>
      </c>
      <c r="W1160" s="16">
        <f t="shared" si="145"/>
        <v>244247</v>
      </c>
      <c r="X1160" s="16">
        <f t="shared" si="146"/>
        <v>244242</v>
      </c>
      <c r="Y1160" s="15" t="s">
        <v>54</v>
      </c>
      <c r="Z1160" s="177">
        <v>244245</v>
      </c>
      <c r="AA1160" s="170"/>
      <c r="AB1160" s="170"/>
      <c r="AC1160" s="170"/>
      <c r="AD1160" s="170"/>
      <c r="AE1160" s="15" t="s">
        <v>54</v>
      </c>
      <c r="AF1160" s="177">
        <v>244249</v>
      </c>
      <c r="AG1160" s="177" t="str">
        <f t="shared" si="147"/>
        <v>Pass</v>
      </c>
      <c r="AH1160" s="177">
        <f t="shared" si="148"/>
        <v>244249</v>
      </c>
      <c r="AK1160" s="176"/>
      <c r="AL1160" s="176"/>
    </row>
    <row r="1161" spans="1:38" ht="36" customHeight="1" x14ac:dyDescent="0.2">
      <c r="A1161" s="14" t="s">
        <v>25</v>
      </c>
      <c r="B1161" s="212">
        <v>244240</v>
      </c>
      <c r="C1161" s="14" t="s">
        <v>547</v>
      </c>
      <c r="D1161" s="14" t="s">
        <v>268</v>
      </c>
      <c r="E1161" s="14" t="s">
        <v>14</v>
      </c>
      <c r="F1161" s="14" t="s">
        <v>324</v>
      </c>
      <c r="G1161" s="179">
        <v>681160</v>
      </c>
      <c r="H1161" s="176" t="s">
        <v>959</v>
      </c>
      <c r="I1161" s="176" t="s">
        <v>960</v>
      </c>
      <c r="J1161" s="176" t="s">
        <v>127</v>
      </c>
      <c r="K1161" s="176" t="s">
        <v>3650</v>
      </c>
      <c r="L1161" s="40" t="s">
        <v>108</v>
      </c>
      <c r="M1161" s="40" t="s">
        <v>341</v>
      </c>
      <c r="N1161" s="14" t="s">
        <v>2421</v>
      </c>
      <c r="O1161" s="14" t="s">
        <v>548</v>
      </c>
      <c r="P1161" s="14" t="s">
        <v>518</v>
      </c>
      <c r="Q1161" s="14" t="s">
        <v>549</v>
      </c>
      <c r="R1161" s="17">
        <v>108</v>
      </c>
      <c r="S1161" s="172" t="s">
        <v>51</v>
      </c>
      <c r="T1161" s="17">
        <v>2990</v>
      </c>
      <c r="U1161" s="14" t="s">
        <v>51</v>
      </c>
      <c r="V1161" s="16">
        <f t="shared" si="144"/>
        <v>244240</v>
      </c>
      <c r="W1161" s="16">
        <f t="shared" si="145"/>
        <v>244247</v>
      </c>
      <c r="X1161" s="16">
        <f t="shared" si="146"/>
        <v>244242</v>
      </c>
      <c r="Y1161" s="15" t="s">
        <v>54</v>
      </c>
      <c r="Z1161" s="177">
        <v>244245</v>
      </c>
      <c r="AA1161" s="170"/>
      <c r="AB1161" s="170"/>
      <c r="AC1161" s="170"/>
      <c r="AD1161" s="170"/>
      <c r="AE1161" s="15" t="s">
        <v>54</v>
      </c>
      <c r="AF1161" s="177">
        <v>244249</v>
      </c>
      <c r="AG1161" s="177" t="str">
        <f t="shared" si="147"/>
        <v>Pass</v>
      </c>
      <c r="AH1161" s="177">
        <f t="shared" si="148"/>
        <v>244249</v>
      </c>
      <c r="AK1161" s="176"/>
      <c r="AL1161" s="176"/>
    </row>
    <row r="1162" spans="1:38" ht="36" customHeight="1" x14ac:dyDescent="0.2">
      <c r="A1162" s="14" t="s">
        <v>25</v>
      </c>
      <c r="B1162" s="212">
        <v>244240</v>
      </c>
      <c r="C1162" s="14" t="s">
        <v>547</v>
      </c>
      <c r="D1162" s="14" t="s">
        <v>268</v>
      </c>
      <c r="E1162" s="14" t="s">
        <v>14</v>
      </c>
      <c r="F1162" s="14" t="s">
        <v>324</v>
      </c>
      <c r="G1162" s="179">
        <v>681161</v>
      </c>
      <c r="H1162" s="176" t="s">
        <v>1041</v>
      </c>
      <c r="I1162" s="176" t="s">
        <v>908</v>
      </c>
      <c r="J1162" s="176" t="s">
        <v>133</v>
      </c>
      <c r="K1162" s="176" t="s">
        <v>3648</v>
      </c>
      <c r="L1162" s="40" t="s">
        <v>105</v>
      </c>
      <c r="M1162" s="40" t="s">
        <v>341</v>
      </c>
      <c r="N1162" s="14" t="s">
        <v>3655</v>
      </c>
      <c r="O1162" s="14" t="s">
        <v>1909</v>
      </c>
      <c r="P1162" s="14" t="s">
        <v>3662</v>
      </c>
      <c r="Q1162" s="14" t="s">
        <v>1913</v>
      </c>
      <c r="R1162" s="17">
        <v>175</v>
      </c>
      <c r="S1162" s="172" t="s">
        <v>51</v>
      </c>
      <c r="T1162" s="17">
        <v>830</v>
      </c>
      <c r="U1162" s="14" t="s">
        <v>51</v>
      </c>
      <c r="V1162" s="16">
        <f t="shared" si="144"/>
        <v>244240</v>
      </c>
      <c r="W1162" s="16">
        <f t="shared" si="145"/>
        <v>244247</v>
      </c>
      <c r="X1162" s="16">
        <f t="shared" si="146"/>
        <v>244242</v>
      </c>
      <c r="Y1162" s="15" t="s">
        <v>54</v>
      </c>
      <c r="Z1162" s="177">
        <v>244245</v>
      </c>
      <c r="AA1162" s="170"/>
      <c r="AB1162" s="170"/>
      <c r="AC1162" s="170"/>
      <c r="AD1162" s="170"/>
      <c r="AE1162" s="15" t="s">
        <v>54</v>
      </c>
      <c r="AF1162" s="177">
        <v>244249</v>
      </c>
      <c r="AG1162" s="177" t="str">
        <f t="shared" si="147"/>
        <v>Pass</v>
      </c>
      <c r="AH1162" s="177">
        <f t="shared" si="148"/>
        <v>244249</v>
      </c>
      <c r="AK1162" s="176"/>
      <c r="AL1162" s="176"/>
    </row>
    <row r="1163" spans="1:38" ht="36" customHeight="1" x14ac:dyDescent="0.2">
      <c r="A1163" s="14" t="s">
        <v>25</v>
      </c>
      <c r="B1163" s="212">
        <v>244240</v>
      </c>
      <c r="C1163" s="14" t="s">
        <v>547</v>
      </c>
      <c r="D1163" s="14" t="s">
        <v>268</v>
      </c>
      <c r="E1163" s="14" t="s">
        <v>14</v>
      </c>
      <c r="F1163" s="14" t="s">
        <v>324</v>
      </c>
      <c r="G1163" s="179">
        <v>681162</v>
      </c>
      <c r="H1163" s="14" t="s">
        <v>1457</v>
      </c>
      <c r="I1163" s="176" t="s">
        <v>551</v>
      </c>
      <c r="J1163" s="176" t="s">
        <v>832</v>
      </c>
      <c r="K1163" s="176" t="s">
        <v>3649</v>
      </c>
      <c r="L1163" s="40" t="s">
        <v>106</v>
      </c>
      <c r="M1163" s="40" t="s">
        <v>341</v>
      </c>
      <c r="N1163" s="14" t="s">
        <v>3656</v>
      </c>
      <c r="O1163" s="14" t="s">
        <v>548</v>
      </c>
      <c r="P1163" s="14" t="s">
        <v>518</v>
      </c>
      <c r="Q1163" s="14" t="s">
        <v>549</v>
      </c>
      <c r="R1163" s="17">
        <v>336</v>
      </c>
      <c r="S1163" s="172" t="s">
        <v>51</v>
      </c>
      <c r="T1163" s="17">
        <v>1740</v>
      </c>
      <c r="U1163" s="14" t="s">
        <v>51</v>
      </c>
      <c r="V1163" s="16">
        <f t="shared" si="144"/>
        <v>244240</v>
      </c>
      <c r="W1163" s="16">
        <f t="shared" si="145"/>
        <v>244247</v>
      </c>
      <c r="X1163" s="16">
        <f t="shared" si="146"/>
        <v>244242</v>
      </c>
      <c r="Y1163" s="15" t="s">
        <v>54</v>
      </c>
      <c r="Z1163" s="177">
        <v>244245</v>
      </c>
      <c r="AA1163" s="170"/>
      <c r="AB1163" s="170"/>
      <c r="AC1163" s="170"/>
      <c r="AD1163" s="170"/>
      <c r="AE1163" s="15" t="s">
        <v>54</v>
      </c>
      <c r="AF1163" s="177">
        <v>244249</v>
      </c>
      <c r="AG1163" s="177" t="str">
        <f t="shared" si="147"/>
        <v>Pass</v>
      </c>
      <c r="AH1163" s="177">
        <f t="shared" si="148"/>
        <v>244249</v>
      </c>
      <c r="AK1163" s="176"/>
      <c r="AL1163" s="176"/>
    </row>
    <row r="1164" spans="1:38" ht="36" customHeight="1" x14ac:dyDescent="0.2">
      <c r="A1164" s="14" t="s">
        <v>25</v>
      </c>
      <c r="B1164" s="212">
        <v>244240</v>
      </c>
      <c r="C1164" s="14" t="s">
        <v>547</v>
      </c>
      <c r="D1164" s="14" t="s">
        <v>268</v>
      </c>
      <c r="E1164" s="14" t="s">
        <v>14</v>
      </c>
      <c r="F1164" s="14" t="s">
        <v>324</v>
      </c>
      <c r="G1164" s="179">
        <v>681163</v>
      </c>
      <c r="H1164" s="14" t="s">
        <v>142</v>
      </c>
      <c r="I1164" s="176" t="s">
        <v>551</v>
      </c>
      <c r="J1164" s="176" t="s">
        <v>832</v>
      </c>
      <c r="K1164" s="176" t="s">
        <v>3651</v>
      </c>
      <c r="L1164" s="40" t="s">
        <v>106</v>
      </c>
      <c r="M1164" s="40" t="s">
        <v>341</v>
      </c>
      <c r="N1164" s="14" t="s">
        <v>3657</v>
      </c>
      <c r="O1164" s="14" t="s">
        <v>1909</v>
      </c>
      <c r="P1164" s="14" t="s">
        <v>3663</v>
      </c>
      <c r="Q1164" s="14" t="s">
        <v>1913</v>
      </c>
      <c r="R1164" s="17">
        <v>350</v>
      </c>
      <c r="S1164" s="172" t="s">
        <v>51</v>
      </c>
      <c r="T1164" s="17">
        <v>2880</v>
      </c>
      <c r="U1164" s="14" t="s">
        <v>51</v>
      </c>
      <c r="V1164" s="16">
        <f t="shared" si="144"/>
        <v>244240</v>
      </c>
      <c r="W1164" s="16">
        <f t="shared" si="145"/>
        <v>244247</v>
      </c>
      <c r="X1164" s="16">
        <f t="shared" si="146"/>
        <v>244242</v>
      </c>
      <c r="Y1164" s="15" t="s">
        <v>54</v>
      </c>
      <c r="Z1164" s="177">
        <v>244245</v>
      </c>
      <c r="AA1164" s="170"/>
      <c r="AB1164" s="170"/>
      <c r="AC1164" s="170"/>
      <c r="AD1164" s="170"/>
      <c r="AE1164" s="15" t="s">
        <v>54</v>
      </c>
      <c r="AF1164" s="177">
        <v>244249</v>
      </c>
      <c r="AG1164" s="177" t="str">
        <f t="shared" si="147"/>
        <v>Pass</v>
      </c>
      <c r="AH1164" s="177">
        <f t="shared" si="148"/>
        <v>244249</v>
      </c>
      <c r="AK1164" s="176"/>
      <c r="AL1164" s="176"/>
    </row>
    <row r="1165" spans="1:38" ht="36" customHeight="1" x14ac:dyDescent="0.2">
      <c r="A1165" s="14" t="s">
        <v>25</v>
      </c>
      <c r="B1165" s="212">
        <v>244240</v>
      </c>
      <c r="C1165" s="14" t="s">
        <v>547</v>
      </c>
      <c r="D1165" s="14" t="s">
        <v>268</v>
      </c>
      <c r="E1165" s="14" t="s">
        <v>14</v>
      </c>
      <c r="F1165" s="14" t="s">
        <v>324</v>
      </c>
      <c r="G1165" s="179">
        <v>681164</v>
      </c>
      <c r="H1165" s="14" t="s">
        <v>959</v>
      </c>
      <c r="I1165" s="176" t="s">
        <v>960</v>
      </c>
      <c r="J1165" s="176" t="s">
        <v>127</v>
      </c>
      <c r="K1165" s="176" t="s">
        <v>3650</v>
      </c>
      <c r="L1165" s="40" t="s">
        <v>108</v>
      </c>
      <c r="M1165" s="40" t="s">
        <v>341</v>
      </c>
      <c r="N1165" s="14" t="s">
        <v>3658</v>
      </c>
      <c r="O1165" s="14" t="s">
        <v>528</v>
      </c>
      <c r="P1165" s="14" t="s">
        <v>2813</v>
      </c>
      <c r="Q1165" s="14" t="s">
        <v>541</v>
      </c>
      <c r="R1165" s="17">
        <v>500</v>
      </c>
      <c r="S1165" s="172" t="s">
        <v>51</v>
      </c>
      <c r="T1165" s="17">
        <v>3095</v>
      </c>
      <c r="U1165" s="14" t="s">
        <v>51</v>
      </c>
      <c r="V1165" s="16">
        <f t="shared" ref="V1165:V1228" si="149">B1165</f>
        <v>244240</v>
      </c>
      <c r="W1165" s="16">
        <f t="shared" ref="W1165:W1228" si="150">B1165+7</f>
        <v>244247</v>
      </c>
      <c r="X1165" s="16">
        <f t="shared" ref="X1165:X1228" si="151">V1165+2</f>
        <v>244242</v>
      </c>
      <c r="Y1165" s="15" t="s">
        <v>54</v>
      </c>
      <c r="Z1165" s="177">
        <v>244245</v>
      </c>
      <c r="AA1165" s="170"/>
      <c r="AB1165" s="170"/>
      <c r="AC1165" s="170"/>
      <c r="AD1165" s="170"/>
      <c r="AE1165" s="15" t="s">
        <v>54</v>
      </c>
      <c r="AF1165" s="177">
        <v>244249</v>
      </c>
      <c r="AG1165" s="177" t="str">
        <f t="shared" si="147"/>
        <v>Pass</v>
      </c>
      <c r="AH1165" s="177">
        <f t="shared" si="148"/>
        <v>244249</v>
      </c>
      <c r="AK1165" s="176"/>
      <c r="AL1165" s="176"/>
    </row>
    <row r="1166" spans="1:38" ht="36" customHeight="1" x14ac:dyDescent="0.2">
      <c r="A1166" s="14" t="s">
        <v>25</v>
      </c>
      <c r="B1166" s="212">
        <v>244240</v>
      </c>
      <c r="C1166" s="14" t="s">
        <v>547</v>
      </c>
      <c r="D1166" s="14" t="s">
        <v>268</v>
      </c>
      <c r="E1166" s="14" t="s">
        <v>14</v>
      </c>
      <c r="F1166" s="14" t="s">
        <v>324</v>
      </c>
      <c r="G1166" s="179">
        <v>681165</v>
      </c>
      <c r="H1166" s="14" t="s">
        <v>3665</v>
      </c>
      <c r="I1166" s="176" t="s">
        <v>725</v>
      </c>
      <c r="J1166" s="176" t="s">
        <v>123</v>
      </c>
      <c r="K1166" s="176" t="s">
        <v>3666</v>
      </c>
      <c r="L1166" s="40" t="s">
        <v>108</v>
      </c>
      <c r="M1166" s="40" t="s">
        <v>341</v>
      </c>
      <c r="N1166" s="14" t="s">
        <v>3668</v>
      </c>
      <c r="O1166" s="14" t="s">
        <v>543</v>
      </c>
      <c r="P1166" s="14" t="s">
        <v>3669</v>
      </c>
      <c r="Q1166" s="14" t="s">
        <v>529</v>
      </c>
      <c r="R1166" s="17">
        <v>400</v>
      </c>
      <c r="S1166" s="172" t="s">
        <v>51</v>
      </c>
      <c r="T1166" s="17">
        <v>2025</v>
      </c>
      <c r="U1166" s="14" t="s">
        <v>51</v>
      </c>
      <c r="V1166" s="16">
        <f t="shared" si="149"/>
        <v>244240</v>
      </c>
      <c r="W1166" s="16">
        <f t="shared" si="150"/>
        <v>244247</v>
      </c>
      <c r="X1166" s="16">
        <f t="shared" si="151"/>
        <v>244242</v>
      </c>
      <c r="Y1166" s="15" t="s">
        <v>54</v>
      </c>
      <c r="Z1166" s="177">
        <v>244245</v>
      </c>
      <c r="AA1166" s="170"/>
      <c r="AB1166" s="170"/>
      <c r="AC1166" s="170"/>
      <c r="AD1166" s="170"/>
      <c r="AE1166" s="15" t="s">
        <v>54</v>
      </c>
      <c r="AF1166" s="177">
        <v>244249</v>
      </c>
      <c r="AG1166" s="177" t="str">
        <f t="shared" si="147"/>
        <v>Pass</v>
      </c>
      <c r="AH1166" s="177">
        <f t="shared" si="148"/>
        <v>244249</v>
      </c>
      <c r="AK1166" s="176"/>
      <c r="AL1166" s="176"/>
    </row>
    <row r="1167" spans="1:38" ht="36" customHeight="1" x14ac:dyDescent="0.2">
      <c r="A1167" s="14" t="s">
        <v>25</v>
      </c>
      <c r="B1167" s="212">
        <v>244240</v>
      </c>
      <c r="C1167" s="14" t="s">
        <v>547</v>
      </c>
      <c r="D1167" s="14" t="s">
        <v>268</v>
      </c>
      <c r="E1167" s="14" t="s">
        <v>14</v>
      </c>
      <c r="F1167" s="14" t="s">
        <v>324</v>
      </c>
      <c r="G1167" s="179">
        <v>681166</v>
      </c>
      <c r="H1167" s="14" t="s">
        <v>959</v>
      </c>
      <c r="I1167" s="176" t="s">
        <v>960</v>
      </c>
      <c r="J1167" s="176" t="s">
        <v>127</v>
      </c>
      <c r="K1167" s="176" t="s">
        <v>3650</v>
      </c>
      <c r="L1167" s="40" t="s">
        <v>108</v>
      </c>
      <c r="M1167" s="40" t="s">
        <v>341</v>
      </c>
      <c r="N1167" s="14" t="s">
        <v>3670</v>
      </c>
      <c r="O1167" s="14" t="s">
        <v>552</v>
      </c>
      <c r="P1167" s="14" t="s">
        <v>3355</v>
      </c>
      <c r="Q1167" s="14" t="s">
        <v>553</v>
      </c>
      <c r="R1167" s="17">
        <v>1400</v>
      </c>
      <c r="S1167" s="172" t="s">
        <v>51</v>
      </c>
      <c r="T1167" s="17">
        <v>2720</v>
      </c>
      <c r="U1167" s="14" t="s">
        <v>51</v>
      </c>
      <c r="V1167" s="16">
        <f t="shared" si="149"/>
        <v>244240</v>
      </c>
      <c r="W1167" s="16">
        <f t="shared" si="150"/>
        <v>244247</v>
      </c>
      <c r="X1167" s="16">
        <f t="shared" si="151"/>
        <v>244242</v>
      </c>
      <c r="Y1167" s="15" t="s">
        <v>54</v>
      </c>
      <c r="Z1167" s="177">
        <v>244245</v>
      </c>
      <c r="AA1167" s="170"/>
      <c r="AB1167" s="170"/>
      <c r="AC1167" s="170"/>
      <c r="AD1167" s="170"/>
      <c r="AE1167" s="15" t="s">
        <v>54</v>
      </c>
      <c r="AF1167" s="177">
        <v>244249</v>
      </c>
      <c r="AG1167" s="177" t="str">
        <f t="shared" si="147"/>
        <v>Pass</v>
      </c>
      <c r="AH1167" s="177">
        <f t="shared" si="148"/>
        <v>244249</v>
      </c>
      <c r="AK1167" s="176"/>
      <c r="AL1167" s="176"/>
    </row>
    <row r="1168" spans="1:38" ht="36" customHeight="1" x14ac:dyDescent="0.2">
      <c r="A1168" s="14" t="s">
        <v>25</v>
      </c>
      <c r="B1168" s="212">
        <v>244240</v>
      </c>
      <c r="C1168" s="14" t="s">
        <v>547</v>
      </c>
      <c r="D1168" s="14" t="s">
        <v>268</v>
      </c>
      <c r="E1168" s="14" t="s">
        <v>14</v>
      </c>
      <c r="F1168" s="14" t="s">
        <v>324</v>
      </c>
      <c r="G1168" s="179">
        <v>681167</v>
      </c>
      <c r="H1168" s="14" t="s">
        <v>959</v>
      </c>
      <c r="I1168" s="176" t="s">
        <v>960</v>
      </c>
      <c r="J1168" s="176" t="s">
        <v>127</v>
      </c>
      <c r="K1168" s="176" t="s">
        <v>3650</v>
      </c>
      <c r="L1168" s="40" t="s">
        <v>108</v>
      </c>
      <c r="M1168" s="40" t="s">
        <v>341</v>
      </c>
      <c r="N1168" s="14" t="s">
        <v>3667</v>
      </c>
      <c r="O1168" s="14" t="s">
        <v>548</v>
      </c>
      <c r="P1168" s="14" t="s">
        <v>518</v>
      </c>
      <c r="Q1168" s="14" t="s">
        <v>549</v>
      </c>
      <c r="R1168" s="17">
        <v>184</v>
      </c>
      <c r="S1168" s="172" t="s">
        <v>51</v>
      </c>
      <c r="T1168" s="17">
        <v>2911</v>
      </c>
      <c r="U1168" s="14" t="s">
        <v>51</v>
      </c>
      <c r="V1168" s="16">
        <f t="shared" si="149"/>
        <v>244240</v>
      </c>
      <c r="W1168" s="16">
        <f t="shared" si="150"/>
        <v>244247</v>
      </c>
      <c r="X1168" s="16">
        <f t="shared" si="151"/>
        <v>244242</v>
      </c>
      <c r="Y1168" s="15" t="s">
        <v>54</v>
      </c>
      <c r="Z1168" s="177">
        <v>244245</v>
      </c>
      <c r="AA1168" s="170"/>
      <c r="AB1168" s="170"/>
      <c r="AC1168" s="170"/>
      <c r="AD1168" s="170"/>
      <c r="AE1168" s="15" t="s">
        <v>54</v>
      </c>
      <c r="AF1168" s="177">
        <v>244249</v>
      </c>
      <c r="AG1168" s="177" t="str">
        <f t="shared" si="147"/>
        <v>Pass</v>
      </c>
      <c r="AH1168" s="177">
        <f t="shared" si="148"/>
        <v>244249</v>
      </c>
      <c r="AK1168" s="176"/>
      <c r="AL1168" s="176"/>
    </row>
    <row r="1169" spans="1:38" ht="36" customHeight="1" x14ac:dyDescent="0.2">
      <c r="A1169" s="14" t="s">
        <v>25</v>
      </c>
      <c r="B1169" s="212">
        <v>244242</v>
      </c>
      <c r="C1169" s="14" t="s">
        <v>547</v>
      </c>
      <c r="D1169" s="14" t="s">
        <v>268</v>
      </c>
      <c r="E1169" s="14" t="s">
        <v>14</v>
      </c>
      <c r="F1169" s="14" t="s">
        <v>324</v>
      </c>
      <c r="G1169" s="179">
        <v>681168</v>
      </c>
      <c r="H1169" s="14" t="s">
        <v>2041</v>
      </c>
      <c r="I1169" s="176" t="s">
        <v>612</v>
      </c>
      <c r="J1169" s="176" t="s">
        <v>865</v>
      </c>
      <c r="K1169" s="176" t="s">
        <v>3672</v>
      </c>
      <c r="L1169" s="40" t="s">
        <v>46</v>
      </c>
      <c r="M1169" s="40" t="s">
        <v>341</v>
      </c>
      <c r="N1169" s="14" t="s">
        <v>3676</v>
      </c>
      <c r="O1169" s="14" t="s">
        <v>528</v>
      </c>
      <c r="P1169" s="14" t="s">
        <v>3681</v>
      </c>
      <c r="Q1169" s="14" t="s">
        <v>541</v>
      </c>
      <c r="R1169" s="17">
        <v>750</v>
      </c>
      <c r="S1169" s="172" t="s">
        <v>51</v>
      </c>
      <c r="T1169" s="17">
        <v>1735</v>
      </c>
      <c r="U1169" s="14" t="s">
        <v>51</v>
      </c>
      <c r="V1169" s="16">
        <f t="shared" si="149"/>
        <v>244242</v>
      </c>
      <c r="W1169" s="16">
        <f t="shared" si="150"/>
        <v>244249</v>
      </c>
      <c r="X1169" s="16">
        <f t="shared" si="151"/>
        <v>244244</v>
      </c>
      <c r="Y1169" s="15" t="s">
        <v>54</v>
      </c>
      <c r="Z1169" s="177">
        <v>244245</v>
      </c>
      <c r="AA1169" s="170"/>
      <c r="AB1169" s="170"/>
      <c r="AC1169" s="170"/>
      <c r="AD1169" s="170"/>
      <c r="AE1169" s="15" t="s">
        <v>54</v>
      </c>
      <c r="AF1169" s="177">
        <v>244249</v>
      </c>
      <c r="AG1169" s="177" t="str">
        <f t="shared" si="147"/>
        <v>Pass</v>
      </c>
      <c r="AH1169" s="177">
        <f t="shared" si="148"/>
        <v>244249</v>
      </c>
      <c r="AK1169" s="176"/>
      <c r="AL1169" s="176"/>
    </row>
    <row r="1170" spans="1:38" ht="36" customHeight="1" x14ac:dyDescent="0.2">
      <c r="A1170" s="14" t="s">
        <v>25</v>
      </c>
      <c r="B1170" s="212">
        <v>244242</v>
      </c>
      <c r="C1170" s="14" t="s">
        <v>547</v>
      </c>
      <c r="D1170" s="14" t="s">
        <v>268</v>
      </c>
      <c r="E1170" s="14" t="s">
        <v>14</v>
      </c>
      <c r="F1170" s="14" t="s">
        <v>324</v>
      </c>
      <c r="G1170" s="179">
        <v>681169</v>
      </c>
      <c r="H1170" s="176" t="s">
        <v>2117</v>
      </c>
      <c r="I1170" s="176" t="s">
        <v>612</v>
      </c>
      <c r="J1170" s="176" t="s">
        <v>727</v>
      </c>
      <c r="K1170" s="176" t="s">
        <v>3673</v>
      </c>
      <c r="L1170" s="40" t="s">
        <v>46</v>
      </c>
      <c r="M1170" s="40" t="s">
        <v>341</v>
      </c>
      <c r="N1170" s="14" t="s">
        <v>3682</v>
      </c>
      <c r="O1170" s="14" t="s">
        <v>543</v>
      </c>
      <c r="P1170" s="14" t="s">
        <v>3683</v>
      </c>
      <c r="Q1170" s="14" t="s">
        <v>529</v>
      </c>
      <c r="R1170" s="17">
        <v>450</v>
      </c>
      <c r="S1170" s="172" t="s">
        <v>51</v>
      </c>
      <c r="T1170" s="17">
        <v>1080</v>
      </c>
      <c r="U1170" s="14" t="s">
        <v>51</v>
      </c>
      <c r="V1170" s="16">
        <f t="shared" si="149"/>
        <v>244242</v>
      </c>
      <c r="W1170" s="16">
        <f t="shared" si="150"/>
        <v>244249</v>
      </c>
      <c r="X1170" s="16">
        <f t="shared" si="151"/>
        <v>244244</v>
      </c>
      <c r="Y1170" s="15" t="s">
        <v>54</v>
      </c>
      <c r="Z1170" s="177">
        <v>244245</v>
      </c>
      <c r="AA1170" s="170"/>
      <c r="AB1170" s="170"/>
      <c r="AC1170" s="170"/>
      <c r="AD1170" s="170"/>
      <c r="AE1170" s="15" t="s">
        <v>54</v>
      </c>
      <c r="AF1170" s="177">
        <v>244249</v>
      </c>
      <c r="AG1170" s="177" t="str">
        <f t="shared" si="147"/>
        <v>Pass</v>
      </c>
      <c r="AH1170" s="177">
        <f t="shared" si="148"/>
        <v>244249</v>
      </c>
      <c r="AK1170" s="176"/>
      <c r="AL1170" s="176"/>
    </row>
    <row r="1171" spans="1:38" ht="36" customHeight="1" x14ac:dyDescent="0.2">
      <c r="A1171" s="14" t="s">
        <v>25</v>
      </c>
      <c r="B1171" s="212">
        <v>244242</v>
      </c>
      <c r="C1171" s="14" t="s">
        <v>547</v>
      </c>
      <c r="D1171" s="14" t="s">
        <v>268</v>
      </c>
      <c r="E1171" s="14" t="s">
        <v>14</v>
      </c>
      <c r="F1171" s="14" t="s">
        <v>324</v>
      </c>
      <c r="G1171" s="179">
        <v>681170</v>
      </c>
      <c r="H1171" s="14" t="s">
        <v>959</v>
      </c>
      <c r="I1171" s="176" t="s">
        <v>960</v>
      </c>
      <c r="J1171" s="176" t="s">
        <v>127</v>
      </c>
      <c r="K1171" s="176" t="s">
        <v>3650</v>
      </c>
      <c r="L1171" s="40" t="s">
        <v>108</v>
      </c>
      <c r="M1171" s="40" t="s">
        <v>341</v>
      </c>
      <c r="N1171" s="14" t="s">
        <v>3677</v>
      </c>
      <c r="O1171" s="14" t="s">
        <v>552</v>
      </c>
      <c r="P1171" s="14" t="s">
        <v>685</v>
      </c>
      <c r="Q1171" s="14" t="s">
        <v>553</v>
      </c>
      <c r="R1171" s="17">
        <v>2275</v>
      </c>
      <c r="S1171" s="172" t="s">
        <v>51</v>
      </c>
      <c r="T1171" s="17">
        <v>2700</v>
      </c>
      <c r="U1171" s="14" t="s">
        <v>51</v>
      </c>
      <c r="V1171" s="16">
        <f t="shared" si="149"/>
        <v>244242</v>
      </c>
      <c r="W1171" s="16">
        <f t="shared" si="150"/>
        <v>244249</v>
      </c>
      <c r="X1171" s="16">
        <f t="shared" si="151"/>
        <v>244244</v>
      </c>
      <c r="Y1171" s="15" t="s">
        <v>54</v>
      </c>
      <c r="Z1171" s="177">
        <v>244245</v>
      </c>
      <c r="AA1171" s="170"/>
      <c r="AB1171" s="170"/>
      <c r="AC1171" s="170"/>
      <c r="AD1171" s="170"/>
      <c r="AE1171" s="15" t="s">
        <v>54</v>
      </c>
      <c r="AF1171" s="177">
        <v>244249</v>
      </c>
      <c r="AG1171" s="177" t="str">
        <f t="shared" si="147"/>
        <v>Pass</v>
      </c>
      <c r="AH1171" s="177">
        <f t="shared" si="148"/>
        <v>244249</v>
      </c>
      <c r="AK1171" s="176"/>
      <c r="AL1171" s="176"/>
    </row>
    <row r="1172" spans="1:38" ht="36" customHeight="1" x14ac:dyDescent="0.2">
      <c r="A1172" s="14" t="s">
        <v>25</v>
      </c>
      <c r="B1172" s="212">
        <v>244242</v>
      </c>
      <c r="C1172" s="14" t="s">
        <v>547</v>
      </c>
      <c r="D1172" s="14" t="s">
        <v>268</v>
      </c>
      <c r="E1172" s="14" t="s">
        <v>14</v>
      </c>
      <c r="F1172" s="14" t="s">
        <v>324</v>
      </c>
      <c r="G1172" s="179">
        <v>681171</v>
      </c>
      <c r="H1172" s="176" t="s">
        <v>861</v>
      </c>
      <c r="I1172" s="176" t="s">
        <v>551</v>
      </c>
      <c r="J1172" s="176" t="s">
        <v>832</v>
      </c>
      <c r="K1172" s="176" t="s">
        <v>3674</v>
      </c>
      <c r="L1172" s="40" t="s">
        <v>108</v>
      </c>
      <c r="M1172" s="40" t="s">
        <v>341</v>
      </c>
      <c r="N1172" s="14" t="s">
        <v>3678</v>
      </c>
      <c r="O1172" s="14" t="s">
        <v>552</v>
      </c>
      <c r="P1172" s="14" t="s">
        <v>793</v>
      </c>
      <c r="Q1172" s="14" t="s">
        <v>553</v>
      </c>
      <c r="R1172" s="17">
        <v>1214</v>
      </c>
      <c r="S1172" s="172" t="s">
        <v>51</v>
      </c>
      <c r="T1172" s="17">
        <v>2820</v>
      </c>
      <c r="U1172" s="14" t="s">
        <v>51</v>
      </c>
      <c r="V1172" s="16">
        <f t="shared" si="149"/>
        <v>244242</v>
      </c>
      <c r="W1172" s="16">
        <f t="shared" si="150"/>
        <v>244249</v>
      </c>
      <c r="X1172" s="16">
        <f t="shared" si="151"/>
        <v>244244</v>
      </c>
      <c r="Y1172" s="15" t="s">
        <v>54</v>
      </c>
      <c r="Z1172" s="177">
        <v>244245</v>
      </c>
      <c r="AA1172" s="170"/>
      <c r="AB1172" s="170"/>
      <c r="AC1172" s="170"/>
      <c r="AD1172" s="170"/>
      <c r="AE1172" s="15" t="s">
        <v>54</v>
      </c>
      <c r="AF1172" s="177">
        <v>244249</v>
      </c>
      <c r="AG1172" s="177" t="str">
        <f t="shared" si="147"/>
        <v>Pass</v>
      </c>
      <c r="AH1172" s="177">
        <f t="shared" si="148"/>
        <v>244249</v>
      </c>
      <c r="AK1172" s="176"/>
      <c r="AL1172" s="176"/>
    </row>
    <row r="1173" spans="1:38" ht="36" customHeight="1" x14ac:dyDescent="0.2">
      <c r="A1173" s="14" t="s">
        <v>25</v>
      </c>
      <c r="B1173" s="212">
        <v>244242</v>
      </c>
      <c r="C1173" s="14" t="s">
        <v>547</v>
      </c>
      <c r="D1173" s="14" t="s">
        <v>268</v>
      </c>
      <c r="E1173" s="14" t="s">
        <v>14</v>
      </c>
      <c r="F1173" s="14" t="s">
        <v>324</v>
      </c>
      <c r="G1173" s="179">
        <v>681172</v>
      </c>
      <c r="H1173" s="14" t="s">
        <v>2041</v>
      </c>
      <c r="I1173" s="176" t="s">
        <v>612</v>
      </c>
      <c r="J1173" s="176" t="s">
        <v>865</v>
      </c>
      <c r="K1173" s="176" t="s">
        <v>3672</v>
      </c>
      <c r="L1173" s="40" t="s">
        <v>46</v>
      </c>
      <c r="M1173" s="40" t="s">
        <v>341</v>
      </c>
      <c r="N1173" s="14" t="s">
        <v>3679</v>
      </c>
      <c r="O1173" s="14" t="s">
        <v>552</v>
      </c>
      <c r="P1173" s="14" t="s">
        <v>3684</v>
      </c>
      <c r="Q1173" s="14" t="s">
        <v>553</v>
      </c>
      <c r="R1173" s="17">
        <v>400</v>
      </c>
      <c r="S1173" s="172" t="s">
        <v>51</v>
      </c>
      <c r="T1173" s="17">
        <v>600</v>
      </c>
      <c r="U1173" s="14" t="s">
        <v>51</v>
      </c>
      <c r="V1173" s="16">
        <f t="shared" si="149"/>
        <v>244242</v>
      </c>
      <c r="W1173" s="16">
        <f t="shared" si="150"/>
        <v>244249</v>
      </c>
      <c r="X1173" s="16">
        <f t="shared" si="151"/>
        <v>244244</v>
      </c>
      <c r="Y1173" s="15" t="s">
        <v>54</v>
      </c>
      <c r="Z1173" s="177">
        <v>244245</v>
      </c>
      <c r="AA1173" s="170"/>
      <c r="AB1173" s="170"/>
      <c r="AC1173" s="170"/>
      <c r="AD1173" s="170"/>
      <c r="AE1173" s="15" t="s">
        <v>54</v>
      </c>
      <c r="AF1173" s="177">
        <v>244249</v>
      </c>
      <c r="AG1173" s="177" t="str">
        <f t="shared" si="147"/>
        <v>Pass</v>
      </c>
      <c r="AH1173" s="177">
        <f t="shared" si="148"/>
        <v>244249</v>
      </c>
      <c r="AK1173" s="176"/>
      <c r="AL1173" s="176"/>
    </row>
    <row r="1174" spans="1:38" ht="36" customHeight="1" x14ac:dyDescent="0.2">
      <c r="A1174" s="14" t="s">
        <v>25</v>
      </c>
      <c r="B1174" s="212">
        <v>244242</v>
      </c>
      <c r="C1174" s="14" t="s">
        <v>547</v>
      </c>
      <c r="D1174" s="14" t="s">
        <v>268</v>
      </c>
      <c r="E1174" s="14" t="s">
        <v>14</v>
      </c>
      <c r="F1174" s="14" t="s">
        <v>324</v>
      </c>
      <c r="G1174" s="179">
        <v>681173</v>
      </c>
      <c r="H1174" s="176" t="s">
        <v>3671</v>
      </c>
      <c r="I1174" s="176" t="s">
        <v>725</v>
      </c>
      <c r="J1174" s="176" t="s">
        <v>123</v>
      </c>
      <c r="K1174" s="176" t="s">
        <v>3675</v>
      </c>
      <c r="L1174" s="40" t="s">
        <v>105</v>
      </c>
      <c r="M1174" s="40" t="s">
        <v>341</v>
      </c>
      <c r="N1174" s="14" t="s">
        <v>1670</v>
      </c>
      <c r="O1174" s="14" t="s">
        <v>548</v>
      </c>
      <c r="P1174" s="14" t="s">
        <v>518</v>
      </c>
      <c r="Q1174" s="14" t="s">
        <v>549</v>
      </c>
      <c r="R1174" s="17">
        <v>155</v>
      </c>
      <c r="S1174" s="172" t="s">
        <v>51</v>
      </c>
      <c r="T1174" s="17">
        <v>1800</v>
      </c>
      <c r="U1174" s="14" t="s">
        <v>51</v>
      </c>
      <c r="V1174" s="16">
        <f t="shared" si="149"/>
        <v>244242</v>
      </c>
      <c r="W1174" s="16">
        <f t="shared" si="150"/>
        <v>244249</v>
      </c>
      <c r="X1174" s="16">
        <f t="shared" si="151"/>
        <v>244244</v>
      </c>
      <c r="Y1174" s="15" t="s">
        <v>54</v>
      </c>
      <c r="Z1174" s="177">
        <v>244245</v>
      </c>
      <c r="AA1174" s="170"/>
      <c r="AB1174" s="170"/>
      <c r="AC1174" s="170"/>
      <c r="AD1174" s="170"/>
      <c r="AE1174" s="15" t="s">
        <v>54</v>
      </c>
      <c r="AF1174" s="177">
        <v>244249</v>
      </c>
      <c r="AG1174" s="177" t="str">
        <f t="shared" si="147"/>
        <v>Pass</v>
      </c>
      <c r="AH1174" s="177">
        <f t="shared" si="148"/>
        <v>244249</v>
      </c>
      <c r="AK1174" s="176"/>
      <c r="AL1174" s="176"/>
    </row>
    <row r="1175" spans="1:38" ht="36" customHeight="1" x14ac:dyDescent="0.2">
      <c r="A1175" s="14" t="s">
        <v>25</v>
      </c>
      <c r="B1175" s="212">
        <v>244242</v>
      </c>
      <c r="C1175" s="14" t="s">
        <v>547</v>
      </c>
      <c r="D1175" s="14" t="s">
        <v>268</v>
      </c>
      <c r="E1175" s="14" t="s">
        <v>14</v>
      </c>
      <c r="F1175" s="14" t="s">
        <v>324</v>
      </c>
      <c r="G1175" s="179">
        <v>681174</v>
      </c>
      <c r="H1175" s="176" t="s">
        <v>3671</v>
      </c>
      <c r="I1175" s="176" t="s">
        <v>725</v>
      </c>
      <c r="J1175" s="176" t="s">
        <v>865</v>
      </c>
      <c r="K1175" s="176" t="s">
        <v>3672</v>
      </c>
      <c r="L1175" s="40" t="s">
        <v>46</v>
      </c>
      <c r="M1175" s="40" t="s">
        <v>341</v>
      </c>
      <c r="N1175" s="14" t="s">
        <v>3680</v>
      </c>
      <c r="O1175" s="14" t="s">
        <v>1909</v>
      </c>
      <c r="P1175" s="14" t="s">
        <v>3685</v>
      </c>
      <c r="Q1175" s="14" t="s">
        <v>1913</v>
      </c>
      <c r="R1175" s="17">
        <v>700</v>
      </c>
      <c r="S1175" s="172" t="s">
        <v>51</v>
      </c>
      <c r="T1175" s="17">
        <v>1060</v>
      </c>
      <c r="U1175" s="14" t="s">
        <v>51</v>
      </c>
      <c r="V1175" s="16">
        <f t="shared" si="149"/>
        <v>244242</v>
      </c>
      <c r="W1175" s="16">
        <f t="shared" si="150"/>
        <v>244249</v>
      </c>
      <c r="X1175" s="16">
        <f t="shared" si="151"/>
        <v>244244</v>
      </c>
      <c r="Y1175" s="15" t="s">
        <v>54</v>
      </c>
      <c r="Z1175" s="177">
        <v>244245</v>
      </c>
      <c r="AA1175" s="170"/>
      <c r="AB1175" s="170"/>
      <c r="AC1175" s="170"/>
      <c r="AD1175" s="170"/>
      <c r="AE1175" s="15" t="s">
        <v>54</v>
      </c>
      <c r="AF1175" s="177">
        <v>244249</v>
      </c>
      <c r="AG1175" s="177" t="str">
        <f t="shared" si="147"/>
        <v>Pass</v>
      </c>
      <c r="AH1175" s="177">
        <f t="shared" si="148"/>
        <v>244249</v>
      </c>
      <c r="AK1175" s="176"/>
      <c r="AL1175" s="176"/>
    </row>
    <row r="1176" spans="1:38" ht="36" customHeight="1" x14ac:dyDescent="0.2">
      <c r="A1176" s="14" t="s">
        <v>25</v>
      </c>
      <c r="B1176" s="212">
        <v>244242</v>
      </c>
      <c r="C1176" s="14" t="s">
        <v>547</v>
      </c>
      <c r="D1176" s="14" t="s">
        <v>268</v>
      </c>
      <c r="E1176" s="14" t="s">
        <v>14</v>
      </c>
      <c r="F1176" s="14" t="s">
        <v>324</v>
      </c>
      <c r="G1176" s="179">
        <v>681175</v>
      </c>
      <c r="H1176" s="176" t="s">
        <v>3686</v>
      </c>
      <c r="I1176" s="176" t="s">
        <v>551</v>
      </c>
      <c r="J1176" s="176" t="s">
        <v>2838</v>
      </c>
      <c r="K1176" s="176" t="s">
        <v>3687</v>
      </c>
      <c r="L1176" s="40" t="s">
        <v>108</v>
      </c>
      <c r="M1176" s="40" t="s">
        <v>341</v>
      </c>
      <c r="N1176" s="14" t="s">
        <v>3688</v>
      </c>
      <c r="O1176" s="14" t="s">
        <v>552</v>
      </c>
      <c r="P1176" s="14" t="s">
        <v>1489</v>
      </c>
      <c r="Q1176" s="14" t="s">
        <v>553</v>
      </c>
      <c r="R1176" s="17">
        <v>389</v>
      </c>
      <c r="S1176" s="172" t="s">
        <v>51</v>
      </c>
      <c r="T1176" s="17">
        <v>2860</v>
      </c>
      <c r="U1176" s="14" t="s">
        <v>51</v>
      </c>
      <c r="V1176" s="16">
        <f t="shared" si="149"/>
        <v>244242</v>
      </c>
      <c r="W1176" s="16">
        <f t="shared" si="150"/>
        <v>244249</v>
      </c>
      <c r="X1176" s="16">
        <f t="shared" si="151"/>
        <v>244244</v>
      </c>
      <c r="Y1176" s="15" t="s">
        <v>54</v>
      </c>
      <c r="Z1176" s="177">
        <v>244245</v>
      </c>
      <c r="AA1176" s="170"/>
      <c r="AB1176" s="170"/>
      <c r="AC1176" s="170"/>
      <c r="AD1176" s="170"/>
      <c r="AE1176" s="15" t="s">
        <v>54</v>
      </c>
      <c r="AF1176" s="177">
        <v>244249</v>
      </c>
      <c r="AG1176" s="177" t="str">
        <f t="shared" si="147"/>
        <v>Pass</v>
      </c>
      <c r="AH1176" s="177">
        <f t="shared" si="148"/>
        <v>244249</v>
      </c>
      <c r="AK1176" s="176"/>
      <c r="AL1176" s="176"/>
    </row>
    <row r="1177" spans="1:38" ht="36" customHeight="1" x14ac:dyDescent="0.2">
      <c r="A1177" s="14" t="s">
        <v>25</v>
      </c>
      <c r="B1177" s="212">
        <v>244242</v>
      </c>
      <c r="C1177" s="14" t="s">
        <v>547</v>
      </c>
      <c r="D1177" s="14" t="s">
        <v>268</v>
      </c>
      <c r="E1177" s="14" t="s">
        <v>14</v>
      </c>
      <c r="F1177" s="14" t="s">
        <v>324</v>
      </c>
      <c r="G1177" s="179">
        <v>681176</v>
      </c>
      <c r="H1177" s="176" t="s">
        <v>959</v>
      </c>
      <c r="I1177" s="176" t="s">
        <v>960</v>
      </c>
      <c r="J1177" s="176" t="s">
        <v>127</v>
      </c>
      <c r="K1177" s="176" t="s">
        <v>3650</v>
      </c>
      <c r="L1177" s="40" t="s">
        <v>108</v>
      </c>
      <c r="M1177" s="40" t="s">
        <v>341</v>
      </c>
      <c r="N1177" s="14" t="s">
        <v>3689</v>
      </c>
      <c r="O1177" s="14" t="s">
        <v>552</v>
      </c>
      <c r="P1177" s="14" t="s">
        <v>2811</v>
      </c>
      <c r="Q1177" s="14" t="s">
        <v>553</v>
      </c>
      <c r="R1177" s="17">
        <v>3425</v>
      </c>
      <c r="S1177" s="172" t="s">
        <v>51</v>
      </c>
      <c r="T1177" s="17">
        <v>3060</v>
      </c>
      <c r="U1177" s="14" t="s">
        <v>51</v>
      </c>
      <c r="V1177" s="16">
        <f t="shared" si="149"/>
        <v>244242</v>
      </c>
      <c r="W1177" s="16">
        <f t="shared" si="150"/>
        <v>244249</v>
      </c>
      <c r="X1177" s="16">
        <f t="shared" si="151"/>
        <v>244244</v>
      </c>
      <c r="Y1177" s="15" t="s">
        <v>54</v>
      </c>
      <c r="Z1177" s="177">
        <v>244245</v>
      </c>
      <c r="AA1177" s="170"/>
      <c r="AB1177" s="170"/>
      <c r="AC1177" s="170"/>
      <c r="AD1177" s="170"/>
      <c r="AE1177" s="15" t="s">
        <v>54</v>
      </c>
      <c r="AF1177" s="177">
        <v>244249</v>
      </c>
      <c r="AG1177" s="177" t="str">
        <f t="shared" si="147"/>
        <v>Pass</v>
      </c>
      <c r="AH1177" s="177">
        <f t="shared" si="148"/>
        <v>244249</v>
      </c>
      <c r="AK1177" s="176"/>
      <c r="AL1177" s="176"/>
    </row>
    <row r="1178" spans="1:38" ht="36" customHeight="1" x14ac:dyDescent="0.2">
      <c r="A1178" s="14" t="s">
        <v>25</v>
      </c>
      <c r="B1178" s="212">
        <v>244242</v>
      </c>
      <c r="C1178" s="14" t="s">
        <v>547</v>
      </c>
      <c r="D1178" s="14" t="s">
        <v>268</v>
      </c>
      <c r="E1178" s="14" t="s">
        <v>14</v>
      </c>
      <c r="F1178" s="14" t="s">
        <v>324</v>
      </c>
      <c r="G1178" s="179">
        <v>681177</v>
      </c>
      <c r="H1178" s="176" t="s">
        <v>3671</v>
      </c>
      <c r="I1178" s="176" t="s">
        <v>725</v>
      </c>
      <c r="J1178" s="176" t="s">
        <v>865</v>
      </c>
      <c r="K1178" s="176" t="s">
        <v>3672</v>
      </c>
      <c r="L1178" s="40" t="s">
        <v>46</v>
      </c>
      <c r="M1178" s="40" t="s">
        <v>341</v>
      </c>
      <c r="N1178" s="14" t="s">
        <v>949</v>
      </c>
      <c r="O1178" s="14" t="s">
        <v>756</v>
      </c>
      <c r="P1178" s="14" t="s">
        <v>313</v>
      </c>
      <c r="Q1178" s="14" t="s">
        <v>758</v>
      </c>
      <c r="R1178" s="17">
        <v>300</v>
      </c>
      <c r="S1178" s="172" t="s">
        <v>51</v>
      </c>
      <c r="T1178" s="17">
        <v>1440</v>
      </c>
      <c r="U1178" s="14" t="s">
        <v>51</v>
      </c>
      <c r="V1178" s="16">
        <f t="shared" si="149"/>
        <v>244242</v>
      </c>
      <c r="W1178" s="16">
        <f t="shared" si="150"/>
        <v>244249</v>
      </c>
      <c r="X1178" s="16">
        <f t="shared" si="151"/>
        <v>244244</v>
      </c>
      <c r="Y1178" s="15" t="s">
        <v>54</v>
      </c>
      <c r="Z1178" s="177">
        <v>244245</v>
      </c>
      <c r="AA1178" s="170"/>
      <c r="AB1178" s="170"/>
      <c r="AC1178" s="170"/>
      <c r="AD1178" s="170"/>
      <c r="AE1178" s="15" t="s">
        <v>54</v>
      </c>
      <c r="AF1178" s="177">
        <v>244249</v>
      </c>
      <c r="AG1178" s="177" t="str">
        <f t="shared" si="147"/>
        <v>Pass</v>
      </c>
      <c r="AH1178" s="177">
        <f t="shared" si="148"/>
        <v>244249</v>
      </c>
      <c r="AK1178" s="176"/>
      <c r="AL1178" s="176"/>
    </row>
    <row r="1179" spans="1:38" ht="36" customHeight="1" x14ac:dyDescent="0.2">
      <c r="A1179" s="14" t="s">
        <v>25</v>
      </c>
      <c r="B1179" s="212">
        <v>244243</v>
      </c>
      <c r="C1179" s="14" t="s">
        <v>547</v>
      </c>
      <c r="D1179" s="14" t="s">
        <v>268</v>
      </c>
      <c r="E1179" s="14" t="s">
        <v>14</v>
      </c>
      <c r="F1179" s="14" t="s">
        <v>324</v>
      </c>
      <c r="G1179" s="179">
        <v>681178</v>
      </c>
      <c r="H1179" s="176" t="s">
        <v>3690</v>
      </c>
      <c r="I1179" s="176" t="s">
        <v>630</v>
      </c>
      <c r="J1179" s="176" t="s">
        <v>520</v>
      </c>
      <c r="K1179" s="176" t="s">
        <v>3692</v>
      </c>
      <c r="L1179" s="40" t="s">
        <v>45</v>
      </c>
      <c r="M1179" s="40" t="s">
        <v>341</v>
      </c>
      <c r="N1179" s="14" t="s">
        <v>3698</v>
      </c>
      <c r="O1179" s="14" t="s">
        <v>2987</v>
      </c>
      <c r="P1179" s="14" t="s">
        <v>3704</v>
      </c>
      <c r="Q1179" s="14" t="s">
        <v>2989</v>
      </c>
      <c r="R1179" s="17">
        <v>960</v>
      </c>
      <c r="S1179" s="172" t="s">
        <v>51</v>
      </c>
      <c r="T1179" s="17">
        <v>520</v>
      </c>
      <c r="U1179" s="14" t="s">
        <v>51</v>
      </c>
      <c r="V1179" s="16">
        <f t="shared" si="149"/>
        <v>244243</v>
      </c>
      <c r="W1179" s="16">
        <f t="shared" si="150"/>
        <v>244250</v>
      </c>
      <c r="X1179" s="16">
        <f t="shared" si="151"/>
        <v>244245</v>
      </c>
      <c r="Y1179" s="15" t="s">
        <v>54</v>
      </c>
      <c r="Z1179" s="177">
        <v>244249</v>
      </c>
      <c r="AA1179" s="170"/>
      <c r="AB1179" s="170"/>
      <c r="AC1179" s="170"/>
      <c r="AD1179" s="170"/>
      <c r="AE1179" s="15" t="s">
        <v>54</v>
      </c>
      <c r="AF1179" s="177">
        <v>244250</v>
      </c>
      <c r="AG1179" s="177" t="str">
        <f t="shared" si="147"/>
        <v>Pass</v>
      </c>
      <c r="AH1179" s="177">
        <f t="shared" si="148"/>
        <v>244250</v>
      </c>
      <c r="AK1179" s="176"/>
      <c r="AL1179" s="176"/>
    </row>
    <row r="1180" spans="1:38" ht="36" customHeight="1" x14ac:dyDescent="0.2">
      <c r="A1180" s="14" t="s">
        <v>25</v>
      </c>
      <c r="B1180" s="212">
        <v>244243</v>
      </c>
      <c r="C1180" s="14" t="s">
        <v>547</v>
      </c>
      <c r="D1180" s="14" t="s">
        <v>268</v>
      </c>
      <c r="E1180" s="14" t="s">
        <v>14</v>
      </c>
      <c r="F1180" s="14" t="s">
        <v>324</v>
      </c>
      <c r="G1180" s="179">
        <v>681179</v>
      </c>
      <c r="H1180" s="176" t="s">
        <v>3578</v>
      </c>
      <c r="I1180" s="176" t="s">
        <v>551</v>
      </c>
      <c r="J1180" s="176" t="s">
        <v>832</v>
      </c>
      <c r="K1180" s="176" t="s">
        <v>3693</v>
      </c>
      <c r="L1180" s="40" t="s">
        <v>108</v>
      </c>
      <c r="M1180" s="40" t="s">
        <v>341</v>
      </c>
      <c r="N1180" s="14" t="s">
        <v>3699</v>
      </c>
      <c r="O1180" s="14" t="s">
        <v>552</v>
      </c>
      <c r="P1180" s="14" t="s">
        <v>793</v>
      </c>
      <c r="Q1180" s="14" t="s">
        <v>553</v>
      </c>
      <c r="R1180" s="17">
        <v>893</v>
      </c>
      <c r="S1180" s="172" t="s">
        <v>51</v>
      </c>
      <c r="T1180" s="17">
        <v>2850</v>
      </c>
      <c r="U1180" s="14" t="s">
        <v>51</v>
      </c>
      <c r="V1180" s="16">
        <f t="shared" si="149"/>
        <v>244243</v>
      </c>
      <c r="W1180" s="16">
        <f t="shared" si="150"/>
        <v>244250</v>
      </c>
      <c r="X1180" s="16">
        <f t="shared" si="151"/>
        <v>244245</v>
      </c>
      <c r="Y1180" s="15" t="s">
        <v>54</v>
      </c>
      <c r="Z1180" s="177">
        <v>244249</v>
      </c>
      <c r="AA1180" s="170"/>
      <c r="AB1180" s="170"/>
      <c r="AC1180" s="170"/>
      <c r="AD1180" s="170"/>
      <c r="AE1180" s="15" t="s">
        <v>54</v>
      </c>
      <c r="AF1180" s="177">
        <v>244250</v>
      </c>
      <c r="AG1180" s="177" t="str">
        <f t="shared" si="147"/>
        <v>Pass</v>
      </c>
      <c r="AH1180" s="177">
        <f t="shared" si="148"/>
        <v>244250</v>
      </c>
      <c r="AK1180" s="176"/>
      <c r="AL1180" s="176"/>
    </row>
    <row r="1181" spans="1:38" ht="36" customHeight="1" x14ac:dyDescent="0.2">
      <c r="A1181" s="14" t="s">
        <v>25</v>
      </c>
      <c r="B1181" s="212">
        <v>244243</v>
      </c>
      <c r="C1181" s="14" t="s">
        <v>547</v>
      </c>
      <c r="D1181" s="14" t="s">
        <v>268</v>
      </c>
      <c r="E1181" s="14" t="s">
        <v>14</v>
      </c>
      <c r="F1181" s="14" t="s">
        <v>324</v>
      </c>
      <c r="G1181" s="179">
        <v>681180</v>
      </c>
      <c r="H1181" s="176" t="s">
        <v>628</v>
      </c>
      <c r="I1181" s="176" t="s">
        <v>551</v>
      </c>
      <c r="J1181" s="176" t="s">
        <v>832</v>
      </c>
      <c r="K1181" s="176" t="s">
        <v>3694</v>
      </c>
      <c r="L1181" s="40" t="s">
        <v>108</v>
      </c>
      <c r="M1181" s="40" t="s">
        <v>341</v>
      </c>
      <c r="N1181" s="14" t="s">
        <v>3700</v>
      </c>
      <c r="O1181" s="14" t="s">
        <v>3703</v>
      </c>
      <c r="P1181" s="14" t="s">
        <v>1049</v>
      </c>
      <c r="Q1181" s="14" t="s">
        <v>3706</v>
      </c>
      <c r="R1181" s="17">
        <v>500</v>
      </c>
      <c r="S1181" s="172" t="s">
        <v>51</v>
      </c>
      <c r="T1181" s="17">
        <v>1410</v>
      </c>
      <c r="U1181" s="14" t="s">
        <v>51</v>
      </c>
      <c r="V1181" s="16">
        <f t="shared" si="149"/>
        <v>244243</v>
      </c>
      <c r="W1181" s="16">
        <f t="shared" si="150"/>
        <v>244250</v>
      </c>
      <c r="X1181" s="16">
        <f t="shared" si="151"/>
        <v>244245</v>
      </c>
      <c r="Y1181" s="15" t="s">
        <v>54</v>
      </c>
      <c r="Z1181" s="177">
        <v>244249</v>
      </c>
      <c r="AA1181" s="170"/>
      <c r="AB1181" s="170"/>
      <c r="AC1181" s="170"/>
      <c r="AD1181" s="170"/>
      <c r="AE1181" s="15" t="s">
        <v>54</v>
      </c>
      <c r="AF1181" s="177">
        <v>244250</v>
      </c>
      <c r="AG1181" s="177" t="str">
        <f t="shared" si="147"/>
        <v>Pass</v>
      </c>
      <c r="AH1181" s="177">
        <f t="shared" si="148"/>
        <v>244250</v>
      </c>
      <c r="AK1181" s="176"/>
      <c r="AL1181" s="176"/>
    </row>
    <row r="1182" spans="1:38" ht="36" customHeight="1" x14ac:dyDescent="0.2">
      <c r="A1182" s="14" t="s">
        <v>25</v>
      </c>
      <c r="B1182" s="212">
        <v>244243</v>
      </c>
      <c r="C1182" s="14" t="s">
        <v>547</v>
      </c>
      <c r="D1182" s="14" t="s">
        <v>268</v>
      </c>
      <c r="E1182" s="14" t="s">
        <v>14</v>
      </c>
      <c r="F1182" s="14" t="s">
        <v>324</v>
      </c>
      <c r="G1182" s="179">
        <v>681181</v>
      </c>
      <c r="H1182" s="176" t="s">
        <v>3690</v>
      </c>
      <c r="I1182" s="176" t="s">
        <v>630</v>
      </c>
      <c r="J1182" s="176" t="s">
        <v>520</v>
      </c>
      <c r="K1182" s="176" t="s">
        <v>3692</v>
      </c>
      <c r="L1182" s="40" t="s">
        <v>45</v>
      </c>
      <c r="M1182" s="40" t="s">
        <v>341</v>
      </c>
      <c r="N1182" s="14" t="s">
        <v>3701</v>
      </c>
      <c r="O1182" s="14" t="s">
        <v>1909</v>
      </c>
      <c r="P1182" s="14" t="s">
        <v>3705</v>
      </c>
      <c r="Q1182" s="14" t="s">
        <v>1913</v>
      </c>
      <c r="R1182" s="17">
        <v>700</v>
      </c>
      <c r="S1182" s="172" t="s">
        <v>51</v>
      </c>
      <c r="T1182" s="17">
        <v>2060</v>
      </c>
      <c r="U1182" s="14" t="s">
        <v>51</v>
      </c>
      <c r="V1182" s="16">
        <f t="shared" si="149"/>
        <v>244243</v>
      </c>
      <c r="W1182" s="16">
        <f t="shared" si="150"/>
        <v>244250</v>
      </c>
      <c r="X1182" s="16">
        <f t="shared" si="151"/>
        <v>244245</v>
      </c>
      <c r="Y1182" s="15" t="s">
        <v>54</v>
      </c>
      <c r="Z1182" s="177">
        <v>244249</v>
      </c>
      <c r="AA1182" s="170"/>
      <c r="AB1182" s="170"/>
      <c r="AC1182" s="170"/>
      <c r="AD1182" s="170"/>
      <c r="AE1182" s="15" t="s">
        <v>54</v>
      </c>
      <c r="AF1182" s="177">
        <v>244250</v>
      </c>
      <c r="AG1182" s="177" t="str">
        <f t="shared" si="147"/>
        <v>Pass</v>
      </c>
      <c r="AH1182" s="177">
        <f t="shared" si="148"/>
        <v>244250</v>
      </c>
      <c r="AK1182" s="176"/>
      <c r="AL1182" s="176"/>
    </row>
    <row r="1183" spans="1:38" ht="36" customHeight="1" x14ac:dyDescent="0.2">
      <c r="A1183" s="14" t="s">
        <v>25</v>
      </c>
      <c r="B1183" s="212">
        <v>244243</v>
      </c>
      <c r="C1183" s="14" t="s">
        <v>547</v>
      </c>
      <c r="D1183" s="14" t="s">
        <v>268</v>
      </c>
      <c r="E1183" s="14" t="s">
        <v>14</v>
      </c>
      <c r="F1183" s="14" t="s">
        <v>324</v>
      </c>
      <c r="G1183" s="179">
        <v>681182</v>
      </c>
      <c r="H1183" s="176" t="s">
        <v>3691</v>
      </c>
      <c r="I1183" s="176" t="s">
        <v>2639</v>
      </c>
      <c r="J1183" s="176" t="s">
        <v>2640</v>
      </c>
      <c r="K1183" s="176" t="s">
        <v>3695</v>
      </c>
      <c r="L1183" s="40" t="s">
        <v>46</v>
      </c>
      <c r="M1183" s="40" t="s">
        <v>341</v>
      </c>
      <c r="N1183" s="14" t="s">
        <v>3253</v>
      </c>
      <c r="O1183" s="14" t="s">
        <v>548</v>
      </c>
      <c r="P1183" s="14" t="s">
        <v>518</v>
      </c>
      <c r="Q1183" s="14" t="s">
        <v>549</v>
      </c>
      <c r="R1183" s="17">
        <v>100</v>
      </c>
      <c r="S1183" s="172" t="s">
        <v>51</v>
      </c>
      <c r="T1183" s="17">
        <v>1750</v>
      </c>
      <c r="U1183" s="14" t="s">
        <v>51</v>
      </c>
      <c r="V1183" s="16">
        <f t="shared" si="149"/>
        <v>244243</v>
      </c>
      <c r="W1183" s="16">
        <f t="shared" si="150"/>
        <v>244250</v>
      </c>
      <c r="X1183" s="16">
        <f t="shared" si="151"/>
        <v>244245</v>
      </c>
      <c r="Y1183" s="15" t="s">
        <v>54</v>
      </c>
      <c r="Z1183" s="177">
        <v>244249</v>
      </c>
      <c r="AA1183" s="170"/>
      <c r="AB1183" s="170"/>
      <c r="AC1183" s="170"/>
      <c r="AD1183" s="170"/>
      <c r="AE1183" s="15" t="s">
        <v>54</v>
      </c>
      <c r="AF1183" s="177">
        <v>244250</v>
      </c>
      <c r="AG1183" s="177" t="str">
        <f t="shared" si="147"/>
        <v>Pass</v>
      </c>
      <c r="AH1183" s="177">
        <f t="shared" si="148"/>
        <v>244250</v>
      </c>
      <c r="AK1183" s="176"/>
      <c r="AL1183" s="176"/>
    </row>
    <row r="1184" spans="1:38" ht="36" customHeight="1" x14ac:dyDescent="0.2">
      <c r="A1184" s="14" t="s">
        <v>25</v>
      </c>
      <c r="B1184" s="212">
        <v>244243</v>
      </c>
      <c r="C1184" s="14" t="s">
        <v>547</v>
      </c>
      <c r="D1184" s="14" t="s">
        <v>268</v>
      </c>
      <c r="E1184" s="14" t="s">
        <v>14</v>
      </c>
      <c r="F1184" s="14" t="s">
        <v>324</v>
      </c>
      <c r="G1184" s="179">
        <v>681183</v>
      </c>
      <c r="H1184" s="176" t="s">
        <v>996</v>
      </c>
      <c r="I1184" s="176" t="s">
        <v>630</v>
      </c>
      <c r="J1184" s="176" t="s">
        <v>520</v>
      </c>
      <c r="K1184" s="176" t="s">
        <v>3696</v>
      </c>
      <c r="L1184" s="40" t="s">
        <v>45</v>
      </c>
      <c r="M1184" s="40" t="s">
        <v>341</v>
      </c>
      <c r="N1184" s="14" t="s">
        <v>3702</v>
      </c>
      <c r="O1184" s="14" t="s">
        <v>543</v>
      </c>
      <c r="P1184" s="14" t="s">
        <v>517</v>
      </c>
      <c r="Q1184" s="14" t="s">
        <v>529</v>
      </c>
      <c r="R1184" s="17">
        <v>200</v>
      </c>
      <c r="S1184" s="172" t="s">
        <v>51</v>
      </c>
      <c r="T1184" s="17">
        <v>200</v>
      </c>
      <c r="U1184" s="14" t="s">
        <v>51</v>
      </c>
      <c r="V1184" s="16">
        <f t="shared" si="149"/>
        <v>244243</v>
      </c>
      <c r="W1184" s="16">
        <f t="shared" si="150"/>
        <v>244250</v>
      </c>
      <c r="X1184" s="16">
        <f t="shared" si="151"/>
        <v>244245</v>
      </c>
      <c r="Y1184" s="15" t="s">
        <v>54</v>
      </c>
      <c r="Z1184" s="177">
        <v>244249</v>
      </c>
      <c r="AA1184" s="170"/>
      <c r="AB1184" s="170"/>
      <c r="AC1184" s="170"/>
      <c r="AD1184" s="170"/>
      <c r="AE1184" s="15" t="s">
        <v>54</v>
      </c>
      <c r="AF1184" s="177">
        <v>244250</v>
      </c>
      <c r="AG1184" s="177" t="str">
        <f t="shared" si="147"/>
        <v>Pass</v>
      </c>
      <c r="AH1184" s="177">
        <f t="shared" si="148"/>
        <v>244250</v>
      </c>
      <c r="AK1184" s="176"/>
      <c r="AL1184" s="176"/>
    </row>
    <row r="1185" spans="1:38" ht="36" customHeight="1" x14ac:dyDescent="0.2">
      <c r="A1185" s="14" t="s">
        <v>25</v>
      </c>
      <c r="B1185" s="212">
        <v>244243</v>
      </c>
      <c r="C1185" s="14" t="s">
        <v>547</v>
      </c>
      <c r="D1185" s="14" t="s">
        <v>268</v>
      </c>
      <c r="E1185" s="14" t="s">
        <v>14</v>
      </c>
      <c r="F1185" s="14" t="s">
        <v>324</v>
      </c>
      <c r="G1185" s="179">
        <v>681184</v>
      </c>
      <c r="H1185" s="176" t="s">
        <v>2749</v>
      </c>
      <c r="I1185" s="176" t="s">
        <v>2639</v>
      </c>
      <c r="J1185" s="176" t="s">
        <v>2640</v>
      </c>
      <c r="K1185" s="176" t="s">
        <v>3697</v>
      </c>
      <c r="L1185" s="40" t="s">
        <v>46</v>
      </c>
      <c r="M1185" s="40" t="s">
        <v>341</v>
      </c>
      <c r="N1185" s="14" t="s">
        <v>2832</v>
      </c>
      <c r="O1185" s="14" t="s">
        <v>548</v>
      </c>
      <c r="P1185" s="14" t="s">
        <v>518</v>
      </c>
      <c r="Q1185" s="14" t="s">
        <v>549</v>
      </c>
      <c r="R1185" s="17">
        <v>190</v>
      </c>
      <c r="S1185" s="172" t="s">
        <v>51</v>
      </c>
      <c r="T1185" s="17">
        <v>960</v>
      </c>
      <c r="U1185" s="14" t="s">
        <v>51</v>
      </c>
      <c r="V1185" s="16">
        <f t="shared" si="149"/>
        <v>244243</v>
      </c>
      <c r="W1185" s="16">
        <f t="shared" si="150"/>
        <v>244250</v>
      </c>
      <c r="X1185" s="16">
        <f t="shared" si="151"/>
        <v>244245</v>
      </c>
      <c r="Y1185" s="15" t="s">
        <v>54</v>
      </c>
      <c r="Z1185" s="177">
        <v>244249</v>
      </c>
      <c r="AA1185" s="170"/>
      <c r="AB1185" s="170"/>
      <c r="AC1185" s="170"/>
      <c r="AD1185" s="170"/>
      <c r="AE1185" s="15" t="s">
        <v>54</v>
      </c>
      <c r="AF1185" s="177">
        <v>244250</v>
      </c>
      <c r="AG1185" s="177" t="str">
        <f t="shared" si="147"/>
        <v>Pass</v>
      </c>
      <c r="AH1185" s="177">
        <f t="shared" si="148"/>
        <v>244250</v>
      </c>
      <c r="AK1185" s="176"/>
      <c r="AL1185" s="176"/>
    </row>
    <row r="1186" spans="1:38" ht="36" customHeight="1" x14ac:dyDescent="0.2">
      <c r="A1186" s="14" t="s">
        <v>25</v>
      </c>
      <c r="B1186" s="212">
        <v>244244</v>
      </c>
      <c r="C1186" s="14" t="s">
        <v>547</v>
      </c>
      <c r="D1186" s="14" t="s">
        <v>268</v>
      </c>
      <c r="E1186" s="14" t="s">
        <v>14</v>
      </c>
      <c r="F1186" s="14" t="s">
        <v>324</v>
      </c>
      <c r="G1186" s="179">
        <v>681185</v>
      </c>
      <c r="H1186" s="176" t="s">
        <v>3707</v>
      </c>
      <c r="I1186" s="176" t="s">
        <v>551</v>
      </c>
      <c r="J1186" s="176" t="s">
        <v>832</v>
      </c>
      <c r="K1186" s="176" t="s">
        <v>3709</v>
      </c>
      <c r="L1186" s="40" t="s">
        <v>108</v>
      </c>
      <c r="M1186" s="40" t="s">
        <v>341</v>
      </c>
      <c r="N1186" s="14" t="s">
        <v>3716</v>
      </c>
      <c r="O1186" s="14" t="s">
        <v>552</v>
      </c>
      <c r="P1186" s="14" t="s">
        <v>519</v>
      </c>
      <c r="Q1186" s="14" t="s">
        <v>553</v>
      </c>
      <c r="R1186" s="17">
        <v>900</v>
      </c>
      <c r="S1186" s="172" t="s">
        <v>51</v>
      </c>
      <c r="T1186" s="17">
        <v>2845</v>
      </c>
      <c r="U1186" s="14" t="s">
        <v>51</v>
      </c>
      <c r="V1186" s="16">
        <f t="shared" si="149"/>
        <v>244244</v>
      </c>
      <c r="W1186" s="16">
        <f t="shared" si="150"/>
        <v>244251</v>
      </c>
      <c r="X1186" s="16">
        <f t="shared" si="151"/>
        <v>244246</v>
      </c>
      <c r="Y1186" s="15" t="s">
        <v>54</v>
      </c>
      <c r="Z1186" s="177">
        <v>244249</v>
      </c>
      <c r="AA1186" s="170"/>
      <c r="AB1186" s="170"/>
      <c r="AC1186" s="170"/>
      <c r="AD1186" s="170"/>
      <c r="AE1186" s="15" t="s">
        <v>54</v>
      </c>
      <c r="AF1186" s="177">
        <v>244250</v>
      </c>
      <c r="AG1186" s="177" t="str">
        <f t="shared" si="147"/>
        <v>Pass</v>
      </c>
      <c r="AH1186" s="177">
        <f t="shared" si="148"/>
        <v>244250</v>
      </c>
      <c r="AK1186" s="176"/>
      <c r="AL1186" s="176"/>
    </row>
    <row r="1187" spans="1:38" ht="36" customHeight="1" x14ac:dyDescent="0.2">
      <c r="A1187" s="14" t="s">
        <v>25</v>
      </c>
      <c r="B1187" s="212">
        <v>244244</v>
      </c>
      <c r="C1187" s="14" t="s">
        <v>547</v>
      </c>
      <c r="D1187" s="14" t="s">
        <v>268</v>
      </c>
      <c r="E1187" s="14" t="s">
        <v>14</v>
      </c>
      <c r="F1187" s="14" t="s">
        <v>324</v>
      </c>
      <c r="G1187" s="179">
        <v>681186</v>
      </c>
      <c r="H1187" s="176" t="s">
        <v>2536</v>
      </c>
      <c r="I1187" s="176" t="s">
        <v>630</v>
      </c>
      <c r="J1187" s="176" t="s">
        <v>2525</v>
      </c>
      <c r="K1187" s="176" t="s">
        <v>3710</v>
      </c>
      <c r="L1187" s="40" t="s">
        <v>45</v>
      </c>
      <c r="M1187" s="40" t="s">
        <v>341</v>
      </c>
      <c r="N1187" s="14" t="s">
        <v>3724</v>
      </c>
      <c r="O1187" s="14" t="s">
        <v>1909</v>
      </c>
      <c r="P1187" s="14" t="s">
        <v>3484</v>
      </c>
      <c r="Q1187" s="14" t="s">
        <v>1913</v>
      </c>
      <c r="R1187" s="17">
        <v>160</v>
      </c>
      <c r="S1187" s="172" t="s">
        <v>51</v>
      </c>
      <c r="T1187" s="17">
        <v>2010</v>
      </c>
      <c r="U1187" s="14" t="s">
        <v>51</v>
      </c>
      <c r="V1187" s="16">
        <f t="shared" si="149"/>
        <v>244244</v>
      </c>
      <c r="W1187" s="16">
        <f t="shared" si="150"/>
        <v>244251</v>
      </c>
      <c r="X1187" s="16">
        <f t="shared" si="151"/>
        <v>244246</v>
      </c>
      <c r="Y1187" s="15" t="s">
        <v>54</v>
      </c>
      <c r="Z1187" s="177">
        <v>244249</v>
      </c>
      <c r="AA1187" s="170"/>
      <c r="AB1187" s="170"/>
      <c r="AC1187" s="170"/>
      <c r="AD1187" s="170"/>
      <c r="AE1187" s="15" t="s">
        <v>54</v>
      </c>
      <c r="AF1187" s="177">
        <v>244250</v>
      </c>
      <c r="AG1187" s="177" t="str">
        <f t="shared" si="147"/>
        <v>Pass</v>
      </c>
      <c r="AH1187" s="177">
        <f t="shared" si="148"/>
        <v>244250</v>
      </c>
      <c r="AK1187" s="176"/>
      <c r="AL1187" s="176"/>
    </row>
    <row r="1188" spans="1:38" ht="36" customHeight="1" x14ac:dyDescent="0.2">
      <c r="A1188" s="14" t="s">
        <v>25</v>
      </c>
      <c r="B1188" s="212">
        <v>244244</v>
      </c>
      <c r="C1188" s="14" t="s">
        <v>547</v>
      </c>
      <c r="D1188" s="14" t="s">
        <v>268</v>
      </c>
      <c r="E1188" s="14" t="s">
        <v>14</v>
      </c>
      <c r="F1188" s="14" t="s">
        <v>324</v>
      </c>
      <c r="G1188" s="179">
        <v>681187</v>
      </c>
      <c r="H1188" s="176" t="s">
        <v>2922</v>
      </c>
      <c r="I1188" s="176" t="s">
        <v>551</v>
      </c>
      <c r="J1188" s="176" t="s">
        <v>832</v>
      </c>
      <c r="K1188" s="176" t="s">
        <v>3711</v>
      </c>
      <c r="L1188" s="40" t="s">
        <v>108</v>
      </c>
      <c r="M1188" s="40" t="s">
        <v>341</v>
      </c>
      <c r="N1188" s="14" t="s">
        <v>3717</v>
      </c>
      <c r="O1188" s="14" t="s">
        <v>552</v>
      </c>
      <c r="P1188" s="14" t="s">
        <v>1660</v>
      </c>
      <c r="Q1188" s="14" t="s">
        <v>553</v>
      </c>
      <c r="R1188" s="17">
        <v>900</v>
      </c>
      <c r="S1188" s="172" t="s">
        <v>51</v>
      </c>
      <c r="T1188" s="17">
        <v>2790</v>
      </c>
      <c r="U1188" s="14" t="s">
        <v>51</v>
      </c>
      <c r="V1188" s="16">
        <f t="shared" si="149"/>
        <v>244244</v>
      </c>
      <c r="W1188" s="16">
        <f t="shared" si="150"/>
        <v>244251</v>
      </c>
      <c r="X1188" s="16">
        <f t="shared" si="151"/>
        <v>244246</v>
      </c>
      <c r="Y1188" s="15" t="s">
        <v>54</v>
      </c>
      <c r="Z1188" s="177">
        <v>244249</v>
      </c>
      <c r="AA1188" s="170"/>
      <c r="AB1188" s="170"/>
      <c r="AC1188" s="170"/>
      <c r="AD1188" s="170"/>
      <c r="AE1188" s="15" t="s">
        <v>54</v>
      </c>
      <c r="AF1188" s="177">
        <v>244250</v>
      </c>
      <c r="AG1188" s="177" t="str">
        <f t="shared" si="147"/>
        <v>Pass</v>
      </c>
      <c r="AH1188" s="177">
        <f t="shared" si="148"/>
        <v>244250</v>
      </c>
      <c r="AK1188" s="176"/>
      <c r="AL1188" s="176"/>
    </row>
    <row r="1189" spans="1:38" ht="36" customHeight="1" x14ac:dyDescent="0.2">
      <c r="A1189" s="14" t="s">
        <v>25</v>
      </c>
      <c r="B1189" s="212">
        <v>244244</v>
      </c>
      <c r="C1189" s="14" t="s">
        <v>547</v>
      </c>
      <c r="D1189" s="14" t="s">
        <v>268</v>
      </c>
      <c r="E1189" s="14" t="s">
        <v>14</v>
      </c>
      <c r="F1189" s="14" t="s">
        <v>324</v>
      </c>
      <c r="G1189" s="179">
        <v>681188</v>
      </c>
      <c r="H1189" s="176" t="s">
        <v>2481</v>
      </c>
      <c r="I1189" s="176" t="s">
        <v>630</v>
      </c>
      <c r="J1189" s="176" t="s">
        <v>520</v>
      </c>
      <c r="K1189" s="176" t="s">
        <v>3712</v>
      </c>
      <c r="L1189" s="40" t="s">
        <v>45</v>
      </c>
      <c r="M1189" s="40" t="s">
        <v>341</v>
      </c>
      <c r="N1189" s="14" t="s">
        <v>3718</v>
      </c>
      <c r="O1189" s="14" t="s">
        <v>552</v>
      </c>
      <c r="P1189" s="14" t="s">
        <v>1489</v>
      </c>
      <c r="Q1189" s="14" t="s">
        <v>553</v>
      </c>
      <c r="R1189" s="17">
        <v>320</v>
      </c>
      <c r="S1189" s="172" t="s">
        <v>51</v>
      </c>
      <c r="T1189" s="17">
        <v>2130</v>
      </c>
      <c r="U1189" s="14" t="s">
        <v>51</v>
      </c>
      <c r="V1189" s="16">
        <f t="shared" si="149"/>
        <v>244244</v>
      </c>
      <c r="W1189" s="16">
        <f t="shared" si="150"/>
        <v>244251</v>
      </c>
      <c r="X1189" s="16">
        <f t="shared" si="151"/>
        <v>244246</v>
      </c>
      <c r="Y1189" s="15" t="s">
        <v>54</v>
      </c>
      <c r="Z1189" s="177">
        <v>244249</v>
      </c>
      <c r="AA1189" s="170"/>
      <c r="AB1189" s="170"/>
      <c r="AC1189" s="170"/>
      <c r="AD1189" s="170"/>
      <c r="AE1189" s="15" t="s">
        <v>54</v>
      </c>
      <c r="AF1189" s="177">
        <v>244250</v>
      </c>
      <c r="AG1189" s="177" t="str">
        <f t="shared" si="147"/>
        <v>Pass</v>
      </c>
      <c r="AH1189" s="177">
        <f t="shared" si="148"/>
        <v>244250</v>
      </c>
      <c r="AK1189" s="176"/>
      <c r="AL1189" s="176"/>
    </row>
    <row r="1190" spans="1:38" ht="36" customHeight="1" x14ac:dyDescent="0.2">
      <c r="A1190" s="14" t="s">
        <v>25</v>
      </c>
      <c r="B1190" s="212">
        <v>244244</v>
      </c>
      <c r="C1190" s="14" t="s">
        <v>547</v>
      </c>
      <c r="D1190" s="14" t="s">
        <v>268</v>
      </c>
      <c r="E1190" s="14" t="s">
        <v>14</v>
      </c>
      <c r="F1190" s="14" t="s">
        <v>324</v>
      </c>
      <c r="G1190" s="179">
        <v>681189</v>
      </c>
      <c r="H1190" s="176" t="s">
        <v>1532</v>
      </c>
      <c r="I1190" s="176" t="s">
        <v>864</v>
      </c>
      <c r="J1190" s="176" t="s">
        <v>554</v>
      </c>
      <c r="K1190" s="176" t="s">
        <v>3713</v>
      </c>
      <c r="L1190" s="40" t="s">
        <v>105</v>
      </c>
      <c r="M1190" s="40" t="s">
        <v>341</v>
      </c>
      <c r="N1190" s="14" t="s">
        <v>3719</v>
      </c>
      <c r="O1190" s="14" t="s">
        <v>528</v>
      </c>
      <c r="P1190" s="14" t="s">
        <v>3725</v>
      </c>
      <c r="Q1190" s="14" t="s">
        <v>541</v>
      </c>
      <c r="R1190" s="17">
        <v>200</v>
      </c>
      <c r="S1190" s="172" t="s">
        <v>51</v>
      </c>
      <c r="T1190" s="17">
        <v>939</v>
      </c>
      <c r="U1190" s="14" t="s">
        <v>51</v>
      </c>
      <c r="V1190" s="16">
        <f t="shared" si="149"/>
        <v>244244</v>
      </c>
      <c r="W1190" s="16">
        <f t="shared" si="150"/>
        <v>244251</v>
      </c>
      <c r="X1190" s="16">
        <f t="shared" si="151"/>
        <v>244246</v>
      </c>
      <c r="Y1190" s="15" t="s">
        <v>54</v>
      </c>
      <c r="Z1190" s="177">
        <v>244249</v>
      </c>
      <c r="AA1190" s="170"/>
      <c r="AB1190" s="170"/>
      <c r="AC1190" s="170"/>
      <c r="AD1190" s="170"/>
      <c r="AE1190" s="15" t="s">
        <v>54</v>
      </c>
      <c r="AF1190" s="177">
        <v>244250</v>
      </c>
      <c r="AG1190" s="177" t="str">
        <f t="shared" si="147"/>
        <v>Pass</v>
      </c>
      <c r="AH1190" s="177">
        <f t="shared" si="148"/>
        <v>244250</v>
      </c>
      <c r="AK1190" s="176"/>
      <c r="AL1190" s="176"/>
    </row>
    <row r="1191" spans="1:38" ht="36" customHeight="1" x14ac:dyDescent="0.2">
      <c r="A1191" s="14" t="s">
        <v>25</v>
      </c>
      <c r="B1191" s="212">
        <v>244244</v>
      </c>
      <c r="C1191" s="14" t="s">
        <v>547</v>
      </c>
      <c r="D1191" s="14" t="s">
        <v>268</v>
      </c>
      <c r="E1191" s="14" t="s">
        <v>14</v>
      </c>
      <c r="F1191" s="14" t="s">
        <v>324</v>
      </c>
      <c r="G1191" s="179">
        <v>681190</v>
      </c>
      <c r="H1191" s="176" t="s">
        <v>3708</v>
      </c>
      <c r="I1191" s="176" t="s">
        <v>2639</v>
      </c>
      <c r="J1191" s="176" t="s">
        <v>2640</v>
      </c>
      <c r="K1191" s="176" t="s">
        <v>3714</v>
      </c>
      <c r="L1191" s="40" t="s">
        <v>46</v>
      </c>
      <c r="M1191" s="40" t="s">
        <v>341</v>
      </c>
      <c r="N1191" s="14" t="s">
        <v>3720</v>
      </c>
      <c r="O1191" s="14" t="s">
        <v>548</v>
      </c>
      <c r="P1191" s="14" t="s">
        <v>3726</v>
      </c>
      <c r="Q1191" s="14" t="s">
        <v>549</v>
      </c>
      <c r="R1191" s="17">
        <v>292</v>
      </c>
      <c r="S1191" s="172" t="s">
        <v>51</v>
      </c>
      <c r="T1191" s="17">
        <v>2030</v>
      </c>
      <c r="U1191" s="14" t="s">
        <v>51</v>
      </c>
      <c r="V1191" s="16">
        <f t="shared" si="149"/>
        <v>244244</v>
      </c>
      <c r="W1191" s="16">
        <f t="shared" si="150"/>
        <v>244251</v>
      </c>
      <c r="X1191" s="16">
        <f t="shared" si="151"/>
        <v>244246</v>
      </c>
      <c r="Y1191" s="15" t="s">
        <v>54</v>
      </c>
      <c r="Z1191" s="177">
        <v>244249</v>
      </c>
      <c r="AA1191" s="170"/>
      <c r="AB1191" s="170"/>
      <c r="AC1191" s="170"/>
      <c r="AD1191" s="170"/>
      <c r="AE1191" s="15" t="s">
        <v>54</v>
      </c>
      <c r="AF1191" s="177">
        <v>244250</v>
      </c>
      <c r="AG1191" s="177" t="str">
        <f t="shared" si="147"/>
        <v>Pass</v>
      </c>
      <c r="AH1191" s="177">
        <f t="shared" si="148"/>
        <v>244250</v>
      </c>
      <c r="AK1191" s="176"/>
      <c r="AL1191" s="176"/>
    </row>
    <row r="1192" spans="1:38" ht="36" customHeight="1" x14ac:dyDescent="0.2">
      <c r="A1192" s="14" t="s">
        <v>25</v>
      </c>
      <c r="B1192" s="212">
        <v>244244</v>
      </c>
      <c r="C1192" s="14" t="s">
        <v>547</v>
      </c>
      <c r="D1192" s="14" t="s">
        <v>268</v>
      </c>
      <c r="E1192" s="14" t="s">
        <v>14</v>
      </c>
      <c r="F1192" s="14" t="s">
        <v>324</v>
      </c>
      <c r="G1192" s="179">
        <v>681191</v>
      </c>
      <c r="H1192" s="176" t="s">
        <v>3428</v>
      </c>
      <c r="I1192" s="176" t="s">
        <v>630</v>
      </c>
      <c r="J1192" s="176" t="s">
        <v>2525</v>
      </c>
      <c r="K1192" s="176" t="s">
        <v>3715</v>
      </c>
      <c r="L1192" s="40" t="s">
        <v>46</v>
      </c>
      <c r="M1192" s="40" t="s">
        <v>341</v>
      </c>
      <c r="N1192" s="14" t="s">
        <v>3721</v>
      </c>
      <c r="O1192" s="14" t="s">
        <v>548</v>
      </c>
      <c r="P1192" s="14" t="s">
        <v>518</v>
      </c>
      <c r="Q1192" s="14" t="s">
        <v>549</v>
      </c>
      <c r="R1192" s="17">
        <v>244</v>
      </c>
      <c r="S1192" s="172" t="s">
        <v>51</v>
      </c>
      <c r="T1192" s="17">
        <v>1190</v>
      </c>
      <c r="U1192" s="14" t="s">
        <v>51</v>
      </c>
      <c r="V1192" s="16">
        <f t="shared" si="149"/>
        <v>244244</v>
      </c>
      <c r="W1192" s="16">
        <f t="shared" si="150"/>
        <v>244251</v>
      </c>
      <c r="X1192" s="16">
        <f t="shared" si="151"/>
        <v>244246</v>
      </c>
      <c r="Y1192" s="15" t="s">
        <v>54</v>
      </c>
      <c r="Z1192" s="177">
        <v>244249</v>
      </c>
      <c r="AA1192" s="170"/>
      <c r="AB1192" s="170"/>
      <c r="AC1192" s="170"/>
      <c r="AD1192" s="170"/>
      <c r="AE1192" s="15" t="s">
        <v>54</v>
      </c>
      <c r="AF1192" s="177">
        <v>244250</v>
      </c>
      <c r="AG1192" s="177" t="str">
        <f t="shared" si="147"/>
        <v>Pass</v>
      </c>
      <c r="AH1192" s="177">
        <f t="shared" si="148"/>
        <v>244250</v>
      </c>
      <c r="AK1192" s="176"/>
      <c r="AL1192" s="176"/>
    </row>
    <row r="1193" spans="1:38" ht="36" customHeight="1" x14ac:dyDescent="0.2">
      <c r="A1193" s="14" t="s">
        <v>25</v>
      </c>
      <c r="B1193" s="212">
        <v>244244</v>
      </c>
      <c r="C1193" s="14" t="s">
        <v>547</v>
      </c>
      <c r="D1193" s="14" t="s">
        <v>268</v>
      </c>
      <c r="E1193" s="14" t="s">
        <v>14</v>
      </c>
      <c r="F1193" s="14" t="s">
        <v>324</v>
      </c>
      <c r="G1193" s="179">
        <v>681192</v>
      </c>
      <c r="H1193" s="176" t="s">
        <v>3708</v>
      </c>
      <c r="I1193" s="176" t="s">
        <v>2639</v>
      </c>
      <c r="J1193" s="176" t="s">
        <v>2640</v>
      </c>
      <c r="K1193" s="176" t="s">
        <v>3714</v>
      </c>
      <c r="L1193" s="40" t="s">
        <v>46</v>
      </c>
      <c r="M1193" s="40" t="s">
        <v>341</v>
      </c>
      <c r="N1193" s="14" t="s">
        <v>3722</v>
      </c>
      <c r="O1193" s="14" t="s">
        <v>3723</v>
      </c>
      <c r="P1193" s="14" t="s">
        <v>3727</v>
      </c>
      <c r="Q1193" s="14" t="s">
        <v>3728</v>
      </c>
      <c r="R1193" s="17">
        <v>100</v>
      </c>
      <c r="S1193" s="172" t="s">
        <v>51</v>
      </c>
      <c r="T1193" s="17">
        <v>500</v>
      </c>
      <c r="U1193" s="14" t="s">
        <v>51</v>
      </c>
      <c r="V1193" s="16">
        <f t="shared" si="149"/>
        <v>244244</v>
      </c>
      <c r="W1193" s="16">
        <f t="shared" si="150"/>
        <v>244251</v>
      </c>
      <c r="X1193" s="16">
        <f t="shared" si="151"/>
        <v>244246</v>
      </c>
      <c r="Y1193" s="15" t="s">
        <v>54</v>
      </c>
      <c r="Z1193" s="177">
        <v>244249</v>
      </c>
      <c r="AA1193" s="170"/>
      <c r="AB1193" s="170"/>
      <c r="AC1193" s="170"/>
      <c r="AD1193" s="170"/>
      <c r="AE1193" s="15" t="s">
        <v>54</v>
      </c>
      <c r="AF1193" s="177">
        <v>244250</v>
      </c>
      <c r="AG1193" s="177" t="str">
        <f t="shared" si="147"/>
        <v>Pass</v>
      </c>
      <c r="AH1193" s="177">
        <f t="shared" si="148"/>
        <v>244250</v>
      </c>
      <c r="AK1193" s="176"/>
      <c r="AL1193" s="176"/>
    </row>
    <row r="1194" spans="1:38" ht="36" customHeight="1" x14ac:dyDescent="0.2">
      <c r="A1194" s="14" t="s">
        <v>25</v>
      </c>
      <c r="B1194" s="212">
        <v>244244</v>
      </c>
      <c r="C1194" s="14" t="s">
        <v>547</v>
      </c>
      <c r="D1194" s="14" t="s">
        <v>268</v>
      </c>
      <c r="E1194" s="14" t="s">
        <v>14</v>
      </c>
      <c r="F1194" s="14" t="s">
        <v>324</v>
      </c>
      <c r="G1194" s="179">
        <v>681193</v>
      </c>
      <c r="H1194" s="176" t="s">
        <v>1532</v>
      </c>
      <c r="I1194" s="176" t="s">
        <v>864</v>
      </c>
      <c r="J1194" s="176" t="s">
        <v>554</v>
      </c>
      <c r="K1194" s="176" t="s">
        <v>3713</v>
      </c>
      <c r="L1194" s="40" t="s">
        <v>105</v>
      </c>
      <c r="M1194" s="40" t="s">
        <v>341</v>
      </c>
      <c r="N1194" s="14" t="s">
        <v>3730</v>
      </c>
      <c r="O1194" s="14" t="s">
        <v>756</v>
      </c>
      <c r="P1194" s="14" t="s">
        <v>3735</v>
      </c>
      <c r="Q1194" s="14" t="s">
        <v>758</v>
      </c>
      <c r="R1194" s="17">
        <v>900</v>
      </c>
      <c r="S1194" s="172" t="s">
        <v>51</v>
      </c>
      <c r="T1194" s="17">
        <v>939</v>
      </c>
      <c r="U1194" s="14" t="s">
        <v>51</v>
      </c>
      <c r="V1194" s="16">
        <f t="shared" si="149"/>
        <v>244244</v>
      </c>
      <c r="W1194" s="16">
        <f t="shared" si="150"/>
        <v>244251</v>
      </c>
      <c r="X1194" s="16">
        <f t="shared" si="151"/>
        <v>244246</v>
      </c>
      <c r="Y1194" s="15" t="s">
        <v>54</v>
      </c>
      <c r="Z1194" s="177">
        <v>244249</v>
      </c>
      <c r="AA1194" s="170"/>
      <c r="AB1194" s="170"/>
      <c r="AC1194" s="170"/>
      <c r="AD1194" s="170"/>
      <c r="AE1194" s="15" t="s">
        <v>54</v>
      </c>
      <c r="AF1194" s="177">
        <v>244250</v>
      </c>
      <c r="AG1194" s="177" t="str">
        <f t="shared" si="147"/>
        <v>Pass</v>
      </c>
      <c r="AH1194" s="177">
        <f t="shared" si="148"/>
        <v>244250</v>
      </c>
      <c r="AK1194" s="176"/>
      <c r="AL1194" s="176"/>
    </row>
    <row r="1195" spans="1:38" ht="36" customHeight="1" x14ac:dyDescent="0.2">
      <c r="A1195" s="14" t="s">
        <v>25</v>
      </c>
      <c r="B1195" s="212">
        <v>244244</v>
      </c>
      <c r="C1195" s="14" t="s">
        <v>547</v>
      </c>
      <c r="D1195" s="14" t="s">
        <v>268</v>
      </c>
      <c r="E1195" s="14" t="s">
        <v>14</v>
      </c>
      <c r="F1195" s="14" t="s">
        <v>324</v>
      </c>
      <c r="G1195" s="179">
        <v>681194</v>
      </c>
      <c r="H1195" s="176" t="s">
        <v>1532</v>
      </c>
      <c r="I1195" s="176" t="s">
        <v>864</v>
      </c>
      <c r="J1195" s="176" t="s">
        <v>554</v>
      </c>
      <c r="K1195" s="176" t="s">
        <v>3713</v>
      </c>
      <c r="L1195" s="40" t="s">
        <v>105</v>
      </c>
      <c r="M1195" s="40" t="s">
        <v>341</v>
      </c>
      <c r="N1195" s="14" t="s">
        <v>3731</v>
      </c>
      <c r="O1195" s="14" t="s">
        <v>548</v>
      </c>
      <c r="P1195" s="14" t="s">
        <v>518</v>
      </c>
      <c r="Q1195" s="14" t="s">
        <v>549</v>
      </c>
      <c r="R1195" s="17">
        <v>328</v>
      </c>
      <c r="S1195" s="172" t="s">
        <v>51</v>
      </c>
      <c r="T1195" s="17"/>
      <c r="U1195" s="14"/>
      <c r="V1195" s="16">
        <f t="shared" si="149"/>
        <v>244244</v>
      </c>
      <c r="W1195" s="16">
        <f t="shared" si="150"/>
        <v>244251</v>
      </c>
      <c r="X1195" s="16">
        <f t="shared" si="151"/>
        <v>244246</v>
      </c>
      <c r="Y1195" s="15" t="s">
        <v>54</v>
      </c>
      <c r="Z1195" s="177">
        <v>244249</v>
      </c>
      <c r="AA1195" s="170"/>
      <c r="AB1195" s="170"/>
      <c r="AC1195" s="170"/>
      <c r="AD1195" s="170"/>
      <c r="AE1195" s="15" t="s">
        <v>54</v>
      </c>
      <c r="AF1195" s="177">
        <v>244250</v>
      </c>
      <c r="AG1195" s="177" t="str">
        <f t="shared" si="147"/>
        <v>Pass</v>
      </c>
      <c r="AH1195" s="177">
        <f t="shared" si="148"/>
        <v>244250</v>
      </c>
      <c r="AK1195" s="176"/>
      <c r="AL1195" s="176"/>
    </row>
    <row r="1196" spans="1:38" ht="36" customHeight="1" x14ac:dyDescent="0.2">
      <c r="A1196" s="14" t="s">
        <v>25</v>
      </c>
      <c r="B1196" s="212">
        <v>244244</v>
      </c>
      <c r="C1196" s="14" t="s">
        <v>547</v>
      </c>
      <c r="D1196" s="14" t="s">
        <v>268</v>
      </c>
      <c r="E1196" s="14" t="s">
        <v>14</v>
      </c>
      <c r="F1196" s="14" t="s">
        <v>324</v>
      </c>
      <c r="G1196" s="179">
        <v>681195</v>
      </c>
      <c r="H1196" s="176" t="s">
        <v>3428</v>
      </c>
      <c r="I1196" s="176" t="s">
        <v>630</v>
      </c>
      <c r="J1196" s="176" t="s">
        <v>2525</v>
      </c>
      <c r="K1196" s="176" t="s">
        <v>3715</v>
      </c>
      <c r="L1196" s="40" t="s">
        <v>46</v>
      </c>
      <c r="M1196" s="40" t="s">
        <v>341</v>
      </c>
      <c r="N1196" s="14" t="s">
        <v>3732</v>
      </c>
      <c r="O1196" s="14" t="s">
        <v>527</v>
      </c>
      <c r="P1196" s="14" t="s">
        <v>3736</v>
      </c>
      <c r="Q1196" s="14" t="s">
        <v>542</v>
      </c>
      <c r="R1196" s="17">
        <v>129</v>
      </c>
      <c r="S1196" s="172" t="s">
        <v>51</v>
      </c>
      <c r="T1196" s="17">
        <v>1630</v>
      </c>
      <c r="U1196" s="14" t="s">
        <v>51</v>
      </c>
      <c r="V1196" s="16">
        <f t="shared" si="149"/>
        <v>244244</v>
      </c>
      <c r="W1196" s="16">
        <f t="shared" si="150"/>
        <v>244251</v>
      </c>
      <c r="X1196" s="16">
        <f t="shared" si="151"/>
        <v>244246</v>
      </c>
      <c r="Y1196" s="15" t="s">
        <v>54</v>
      </c>
      <c r="Z1196" s="177">
        <v>244249</v>
      </c>
      <c r="AA1196" s="170"/>
      <c r="AB1196" s="170"/>
      <c r="AC1196" s="170"/>
      <c r="AD1196" s="170"/>
      <c r="AE1196" s="15" t="s">
        <v>54</v>
      </c>
      <c r="AF1196" s="177">
        <v>244250</v>
      </c>
      <c r="AG1196" s="177" t="str">
        <f t="shared" si="147"/>
        <v>Pass</v>
      </c>
      <c r="AH1196" s="177">
        <f t="shared" si="148"/>
        <v>244250</v>
      </c>
      <c r="AK1196" s="176"/>
      <c r="AL1196" s="176"/>
    </row>
    <row r="1197" spans="1:38" ht="36" customHeight="1" x14ac:dyDescent="0.2">
      <c r="A1197" s="14" t="s">
        <v>25</v>
      </c>
      <c r="B1197" s="212">
        <v>244244</v>
      </c>
      <c r="C1197" s="14" t="s">
        <v>547</v>
      </c>
      <c r="D1197" s="14" t="s">
        <v>268</v>
      </c>
      <c r="E1197" s="14" t="s">
        <v>14</v>
      </c>
      <c r="F1197" s="14" t="s">
        <v>324</v>
      </c>
      <c r="G1197" s="179">
        <v>681196</v>
      </c>
      <c r="H1197" s="176" t="s">
        <v>1793</v>
      </c>
      <c r="I1197" s="176" t="s">
        <v>664</v>
      </c>
      <c r="J1197" s="176" t="s">
        <v>123</v>
      </c>
      <c r="K1197" s="176" t="s">
        <v>3729</v>
      </c>
      <c r="L1197" s="40" t="s">
        <v>105</v>
      </c>
      <c r="M1197" s="40" t="s">
        <v>341</v>
      </c>
      <c r="N1197" s="14" t="s">
        <v>3733</v>
      </c>
      <c r="O1197" s="14" t="s">
        <v>552</v>
      </c>
      <c r="P1197" s="14" t="s">
        <v>1660</v>
      </c>
      <c r="Q1197" s="14" t="s">
        <v>553</v>
      </c>
      <c r="R1197" s="17">
        <v>350</v>
      </c>
      <c r="S1197" s="172" t="s">
        <v>51</v>
      </c>
      <c r="T1197" s="17">
        <v>2010</v>
      </c>
      <c r="U1197" s="14" t="s">
        <v>51</v>
      </c>
      <c r="V1197" s="16">
        <f t="shared" si="149"/>
        <v>244244</v>
      </c>
      <c r="W1197" s="16">
        <f t="shared" si="150"/>
        <v>244251</v>
      </c>
      <c r="X1197" s="16">
        <f t="shared" si="151"/>
        <v>244246</v>
      </c>
      <c r="Y1197" s="15" t="s">
        <v>54</v>
      </c>
      <c r="Z1197" s="177">
        <v>244249</v>
      </c>
      <c r="AA1197" s="170"/>
      <c r="AB1197" s="170"/>
      <c r="AC1197" s="170"/>
      <c r="AD1197" s="170"/>
      <c r="AE1197" s="15" t="s">
        <v>54</v>
      </c>
      <c r="AF1197" s="177">
        <v>244250</v>
      </c>
      <c r="AG1197" s="177" t="str">
        <f t="shared" si="147"/>
        <v>Pass</v>
      </c>
      <c r="AH1197" s="177">
        <f t="shared" si="148"/>
        <v>244250</v>
      </c>
      <c r="AK1197" s="176"/>
      <c r="AL1197" s="176"/>
    </row>
    <row r="1198" spans="1:38" ht="36" customHeight="1" x14ac:dyDescent="0.2">
      <c r="A1198" s="14" t="s">
        <v>25</v>
      </c>
      <c r="B1198" s="212">
        <v>244244</v>
      </c>
      <c r="C1198" s="14" t="s">
        <v>547</v>
      </c>
      <c r="D1198" s="14" t="s">
        <v>268</v>
      </c>
      <c r="E1198" s="14" t="s">
        <v>14</v>
      </c>
      <c r="F1198" s="14" t="s">
        <v>324</v>
      </c>
      <c r="G1198" s="179">
        <v>681197</v>
      </c>
      <c r="H1198" s="176" t="s">
        <v>3428</v>
      </c>
      <c r="I1198" s="176" t="s">
        <v>630</v>
      </c>
      <c r="J1198" s="176" t="s">
        <v>2525</v>
      </c>
      <c r="K1198" s="176" t="s">
        <v>3715</v>
      </c>
      <c r="L1198" s="40" t="s">
        <v>46</v>
      </c>
      <c r="M1198" s="40" t="s">
        <v>341</v>
      </c>
      <c r="N1198" s="14" t="s">
        <v>3734</v>
      </c>
      <c r="O1198" s="14" t="s">
        <v>527</v>
      </c>
      <c r="P1198" s="14" t="s">
        <v>2281</v>
      </c>
      <c r="Q1198" s="14" t="s">
        <v>542</v>
      </c>
      <c r="R1198" s="17">
        <v>341</v>
      </c>
      <c r="S1198" s="172" t="s">
        <v>51</v>
      </c>
      <c r="T1198" s="17">
        <v>2130</v>
      </c>
      <c r="U1198" s="14" t="s">
        <v>51</v>
      </c>
      <c r="V1198" s="16">
        <f t="shared" si="149"/>
        <v>244244</v>
      </c>
      <c r="W1198" s="16">
        <f t="shared" si="150"/>
        <v>244251</v>
      </c>
      <c r="X1198" s="16">
        <f t="shared" si="151"/>
        <v>244246</v>
      </c>
      <c r="Y1198" s="15" t="s">
        <v>54</v>
      </c>
      <c r="Z1198" s="177">
        <v>244249</v>
      </c>
      <c r="AA1198" s="170"/>
      <c r="AB1198" s="170"/>
      <c r="AC1198" s="170"/>
      <c r="AD1198" s="170"/>
      <c r="AE1198" s="15" t="s">
        <v>54</v>
      </c>
      <c r="AF1198" s="177">
        <v>244250</v>
      </c>
      <c r="AG1198" s="177" t="str">
        <f t="shared" si="147"/>
        <v>Pass</v>
      </c>
      <c r="AH1198" s="177">
        <f t="shared" si="148"/>
        <v>244250</v>
      </c>
      <c r="AK1198" s="176"/>
      <c r="AL1198" s="176"/>
    </row>
    <row r="1199" spans="1:38" ht="36" customHeight="1" x14ac:dyDescent="0.2">
      <c r="A1199" s="14" t="s">
        <v>25</v>
      </c>
      <c r="B1199" s="212">
        <v>244245</v>
      </c>
      <c r="C1199" s="14" t="s">
        <v>547</v>
      </c>
      <c r="D1199" s="14" t="s">
        <v>268</v>
      </c>
      <c r="E1199" s="14" t="s">
        <v>14</v>
      </c>
      <c r="F1199" s="14" t="s">
        <v>324</v>
      </c>
      <c r="G1199" s="179">
        <v>681198</v>
      </c>
      <c r="H1199" s="176" t="s">
        <v>1507</v>
      </c>
      <c r="I1199" s="176" t="s">
        <v>1407</v>
      </c>
      <c r="J1199" s="176" t="s">
        <v>1410</v>
      </c>
      <c r="K1199" s="176" t="s">
        <v>3738</v>
      </c>
      <c r="L1199" s="40" t="s">
        <v>46</v>
      </c>
      <c r="M1199" s="40" t="s">
        <v>341</v>
      </c>
      <c r="N1199" s="14" t="s">
        <v>3253</v>
      </c>
      <c r="O1199" s="14" t="s">
        <v>548</v>
      </c>
      <c r="P1199" s="14" t="s">
        <v>518</v>
      </c>
      <c r="Q1199" s="14" t="s">
        <v>549</v>
      </c>
      <c r="R1199" s="17">
        <v>100</v>
      </c>
      <c r="S1199" s="172" t="s">
        <v>51</v>
      </c>
      <c r="T1199" s="17">
        <v>1340</v>
      </c>
      <c r="U1199" s="14" t="s">
        <v>51</v>
      </c>
      <c r="V1199" s="16">
        <f t="shared" si="149"/>
        <v>244245</v>
      </c>
      <c r="W1199" s="16">
        <f t="shared" si="150"/>
        <v>244252</v>
      </c>
      <c r="X1199" s="16">
        <f t="shared" si="151"/>
        <v>244247</v>
      </c>
      <c r="Y1199" s="15" t="s">
        <v>54</v>
      </c>
      <c r="Z1199" s="177">
        <v>244254</v>
      </c>
      <c r="AA1199" s="170"/>
      <c r="AB1199" s="170"/>
      <c r="AC1199" s="170"/>
      <c r="AD1199" s="170"/>
      <c r="AE1199" s="15" t="s">
        <v>54</v>
      </c>
      <c r="AF1199" s="177">
        <v>244254</v>
      </c>
      <c r="AG1199" s="177" t="str">
        <f t="shared" si="147"/>
        <v>Pass</v>
      </c>
      <c r="AH1199" s="177">
        <f t="shared" si="148"/>
        <v>244254</v>
      </c>
      <c r="AK1199" s="176"/>
      <c r="AL1199" s="176"/>
    </row>
    <row r="1200" spans="1:38" ht="36" customHeight="1" x14ac:dyDescent="0.2">
      <c r="A1200" s="14" t="s">
        <v>25</v>
      </c>
      <c r="B1200" s="212">
        <v>244245</v>
      </c>
      <c r="C1200" s="14" t="s">
        <v>547</v>
      </c>
      <c r="D1200" s="14" t="s">
        <v>268</v>
      </c>
      <c r="E1200" s="14" t="s">
        <v>14</v>
      </c>
      <c r="F1200" s="14" t="s">
        <v>324</v>
      </c>
      <c r="G1200" s="179">
        <v>681199</v>
      </c>
      <c r="H1200" s="176" t="s">
        <v>3737</v>
      </c>
      <c r="I1200" s="176" t="s">
        <v>725</v>
      </c>
      <c r="J1200" s="176" t="s">
        <v>123</v>
      </c>
      <c r="K1200" s="176" t="s">
        <v>3739</v>
      </c>
      <c r="L1200" s="40" t="s">
        <v>105</v>
      </c>
      <c r="M1200" s="40" t="s">
        <v>341</v>
      </c>
      <c r="N1200" s="14" t="s">
        <v>3741</v>
      </c>
      <c r="O1200" s="14" t="s">
        <v>548</v>
      </c>
      <c r="P1200" s="14" t="s">
        <v>518</v>
      </c>
      <c r="Q1200" s="14" t="s">
        <v>549</v>
      </c>
      <c r="R1200" s="17">
        <v>600</v>
      </c>
      <c r="S1200" s="172" t="s">
        <v>51</v>
      </c>
      <c r="T1200" s="17">
        <v>600</v>
      </c>
      <c r="U1200" s="14" t="s">
        <v>51</v>
      </c>
      <c r="V1200" s="16">
        <f t="shared" si="149"/>
        <v>244245</v>
      </c>
      <c r="W1200" s="16">
        <f t="shared" si="150"/>
        <v>244252</v>
      </c>
      <c r="X1200" s="16">
        <f t="shared" si="151"/>
        <v>244247</v>
      </c>
      <c r="Y1200" s="15"/>
      <c r="Z1200" s="177"/>
      <c r="AA1200" s="170"/>
      <c r="AB1200" s="170"/>
      <c r="AC1200" s="170"/>
      <c r="AD1200" s="170"/>
      <c r="AE1200" s="15"/>
      <c r="AF1200" s="177"/>
      <c r="AG1200" s="177">
        <f t="shared" ref="AG1200:AG1263" si="152">AE1200</f>
        <v>0</v>
      </c>
      <c r="AH1200" s="177">
        <f t="shared" ref="AH1200:AH1263" si="153">AF1200</f>
        <v>0</v>
      </c>
      <c r="AK1200" s="176"/>
      <c r="AL1200" s="176"/>
    </row>
    <row r="1201" spans="1:38" ht="36" customHeight="1" x14ac:dyDescent="0.2">
      <c r="A1201" s="14" t="s">
        <v>25</v>
      </c>
      <c r="B1201" s="212">
        <v>244245</v>
      </c>
      <c r="C1201" s="14" t="s">
        <v>547</v>
      </c>
      <c r="D1201" s="14" t="s">
        <v>268</v>
      </c>
      <c r="E1201" s="14" t="s">
        <v>14</v>
      </c>
      <c r="F1201" s="14" t="s">
        <v>324</v>
      </c>
      <c r="G1201" s="179">
        <v>681200</v>
      </c>
      <c r="H1201" s="176" t="s">
        <v>2394</v>
      </c>
      <c r="I1201" s="176" t="s">
        <v>551</v>
      </c>
      <c r="J1201" s="176" t="s">
        <v>832</v>
      </c>
      <c r="K1201" s="176" t="s">
        <v>3740</v>
      </c>
      <c r="L1201" s="40" t="s">
        <v>106</v>
      </c>
      <c r="M1201" s="40" t="s">
        <v>341</v>
      </c>
      <c r="N1201" s="14" t="s">
        <v>3742</v>
      </c>
      <c r="O1201" s="14" t="s">
        <v>548</v>
      </c>
      <c r="P1201" s="14" t="s">
        <v>518</v>
      </c>
      <c r="Q1201" s="14" t="s">
        <v>549</v>
      </c>
      <c r="R1201" s="17">
        <v>300</v>
      </c>
      <c r="S1201" s="172" t="s">
        <v>51</v>
      </c>
      <c r="T1201" s="17">
        <v>1985</v>
      </c>
      <c r="U1201" s="14" t="s">
        <v>51</v>
      </c>
      <c r="V1201" s="16">
        <f t="shared" si="149"/>
        <v>244245</v>
      </c>
      <c r="W1201" s="16">
        <f t="shared" si="150"/>
        <v>244252</v>
      </c>
      <c r="X1201" s="16">
        <f t="shared" si="151"/>
        <v>244247</v>
      </c>
      <c r="Y1201" s="15" t="s">
        <v>54</v>
      </c>
      <c r="Z1201" s="177">
        <v>244254</v>
      </c>
      <c r="AA1201" s="170"/>
      <c r="AB1201" s="170"/>
      <c r="AC1201" s="170"/>
      <c r="AD1201" s="170"/>
      <c r="AE1201" s="15" t="s">
        <v>54</v>
      </c>
      <c r="AF1201" s="177">
        <v>244254</v>
      </c>
      <c r="AG1201" s="177" t="str">
        <f t="shared" si="152"/>
        <v>Pass</v>
      </c>
      <c r="AH1201" s="177">
        <f t="shared" si="153"/>
        <v>244254</v>
      </c>
      <c r="AK1201" s="176"/>
      <c r="AL1201" s="176"/>
    </row>
    <row r="1202" spans="1:38" ht="36" customHeight="1" x14ac:dyDescent="0.2">
      <c r="A1202" s="14" t="s">
        <v>25</v>
      </c>
      <c r="B1202" s="212">
        <v>244246</v>
      </c>
      <c r="C1202" s="14" t="s">
        <v>547</v>
      </c>
      <c r="D1202" s="14" t="s">
        <v>268</v>
      </c>
      <c r="E1202" s="14" t="s">
        <v>14</v>
      </c>
      <c r="F1202" s="14" t="s">
        <v>324</v>
      </c>
      <c r="G1202" s="179">
        <v>681201</v>
      </c>
      <c r="H1202" s="176" t="s">
        <v>2394</v>
      </c>
      <c r="I1202" s="176" t="s">
        <v>551</v>
      </c>
      <c r="J1202" s="176" t="s">
        <v>832</v>
      </c>
      <c r="K1202" s="176" t="s">
        <v>3740</v>
      </c>
      <c r="L1202" s="40" t="s">
        <v>106</v>
      </c>
      <c r="M1202" s="40" t="s">
        <v>341</v>
      </c>
      <c r="N1202" s="14" t="s">
        <v>3745</v>
      </c>
      <c r="O1202" s="14" t="s">
        <v>543</v>
      </c>
      <c r="P1202" s="14" t="s">
        <v>2919</v>
      </c>
      <c r="Q1202" s="14" t="s">
        <v>529</v>
      </c>
      <c r="R1202" s="17">
        <v>250</v>
      </c>
      <c r="S1202" s="172" t="s">
        <v>51</v>
      </c>
      <c r="T1202" s="17">
        <v>2770</v>
      </c>
      <c r="U1202" s="14" t="s">
        <v>51</v>
      </c>
      <c r="V1202" s="16">
        <f t="shared" si="149"/>
        <v>244246</v>
      </c>
      <c r="W1202" s="16">
        <f t="shared" si="150"/>
        <v>244253</v>
      </c>
      <c r="X1202" s="16">
        <f t="shared" si="151"/>
        <v>244248</v>
      </c>
      <c r="Y1202" s="15" t="s">
        <v>54</v>
      </c>
      <c r="Z1202" s="177">
        <v>244252</v>
      </c>
      <c r="AA1202" s="170"/>
      <c r="AB1202" s="170"/>
      <c r="AC1202" s="170"/>
      <c r="AD1202" s="170"/>
      <c r="AE1202" s="15" t="s">
        <v>54</v>
      </c>
      <c r="AF1202" s="177">
        <v>244253</v>
      </c>
      <c r="AG1202" s="177" t="str">
        <f t="shared" si="152"/>
        <v>Pass</v>
      </c>
      <c r="AH1202" s="177">
        <f t="shared" si="153"/>
        <v>244253</v>
      </c>
      <c r="AK1202" s="176"/>
      <c r="AL1202" s="176"/>
    </row>
    <row r="1203" spans="1:38" ht="36" customHeight="1" x14ac:dyDescent="0.2">
      <c r="A1203" s="14" t="s">
        <v>25</v>
      </c>
      <c r="B1203" s="212">
        <v>244246</v>
      </c>
      <c r="C1203" s="14" t="s">
        <v>547</v>
      </c>
      <c r="D1203" s="14" t="s">
        <v>268</v>
      </c>
      <c r="E1203" s="14" t="s">
        <v>14</v>
      </c>
      <c r="F1203" s="14" t="s">
        <v>324</v>
      </c>
      <c r="G1203" s="179">
        <v>681202</v>
      </c>
      <c r="H1203" s="176" t="s">
        <v>2573</v>
      </c>
      <c r="I1203" s="176" t="s">
        <v>725</v>
      </c>
      <c r="J1203" s="176" t="s">
        <v>123</v>
      </c>
      <c r="K1203" s="176" t="s">
        <v>3743</v>
      </c>
      <c r="L1203" s="40" t="s">
        <v>105</v>
      </c>
      <c r="M1203" s="40" t="s">
        <v>341</v>
      </c>
      <c r="N1203" s="14" t="s">
        <v>3746</v>
      </c>
      <c r="O1203" s="14" t="s">
        <v>543</v>
      </c>
      <c r="P1203" s="14" t="s">
        <v>3749</v>
      </c>
      <c r="Q1203" s="14" t="s">
        <v>529</v>
      </c>
      <c r="R1203" s="17">
        <v>600</v>
      </c>
      <c r="S1203" s="172" t="s">
        <v>51</v>
      </c>
      <c r="T1203" s="17">
        <v>2003</v>
      </c>
      <c r="U1203" s="14" t="s">
        <v>51</v>
      </c>
      <c r="V1203" s="16">
        <f t="shared" si="149"/>
        <v>244246</v>
      </c>
      <c r="W1203" s="16">
        <f t="shared" si="150"/>
        <v>244253</v>
      </c>
      <c r="X1203" s="16">
        <f t="shared" si="151"/>
        <v>244248</v>
      </c>
      <c r="Y1203" s="15"/>
      <c r="Z1203" s="177"/>
      <c r="AA1203" s="170"/>
      <c r="AB1203" s="170"/>
      <c r="AC1203" s="170"/>
      <c r="AD1203" s="170"/>
      <c r="AE1203" s="15"/>
      <c r="AF1203" s="177"/>
      <c r="AG1203" s="177">
        <f t="shared" si="152"/>
        <v>0</v>
      </c>
      <c r="AH1203" s="177">
        <f t="shared" si="153"/>
        <v>0</v>
      </c>
      <c r="AK1203" s="176"/>
      <c r="AL1203" s="176"/>
    </row>
    <row r="1204" spans="1:38" ht="36" customHeight="1" x14ac:dyDescent="0.2">
      <c r="A1204" s="14" t="s">
        <v>25</v>
      </c>
      <c r="B1204" s="212">
        <v>244246</v>
      </c>
      <c r="C1204" s="14" t="s">
        <v>547</v>
      </c>
      <c r="D1204" s="14" t="s">
        <v>268</v>
      </c>
      <c r="E1204" s="14" t="s">
        <v>14</v>
      </c>
      <c r="F1204" s="14" t="s">
        <v>324</v>
      </c>
      <c r="G1204" s="179">
        <v>681203</v>
      </c>
      <c r="H1204" s="176" t="s">
        <v>861</v>
      </c>
      <c r="I1204" s="176" t="s">
        <v>551</v>
      </c>
      <c r="J1204" s="176" t="s">
        <v>832</v>
      </c>
      <c r="K1204" s="176" t="s">
        <v>3744</v>
      </c>
      <c r="L1204" s="40" t="s">
        <v>106</v>
      </c>
      <c r="M1204" s="40" t="s">
        <v>341</v>
      </c>
      <c r="N1204" s="14" t="s">
        <v>3747</v>
      </c>
      <c r="O1204" s="14" t="s">
        <v>527</v>
      </c>
      <c r="P1204" s="14" t="s">
        <v>1180</v>
      </c>
      <c r="Q1204" s="14" t="s">
        <v>542</v>
      </c>
      <c r="R1204" s="17">
        <v>251</v>
      </c>
      <c r="S1204" s="172" t="s">
        <v>51</v>
      </c>
      <c r="T1204" s="17">
        <v>3420</v>
      </c>
      <c r="U1204" s="14" t="s">
        <v>51</v>
      </c>
      <c r="V1204" s="16">
        <f t="shared" si="149"/>
        <v>244246</v>
      </c>
      <c r="W1204" s="16">
        <f t="shared" si="150"/>
        <v>244253</v>
      </c>
      <c r="X1204" s="16">
        <f t="shared" si="151"/>
        <v>244248</v>
      </c>
      <c r="Y1204" s="15" t="s">
        <v>54</v>
      </c>
      <c r="Z1204" s="177">
        <v>244254</v>
      </c>
      <c r="AA1204" s="170"/>
      <c r="AB1204" s="170"/>
      <c r="AC1204" s="170"/>
      <c r="AD1204" s="170"/>
      <c r="AE1204" s="15" t="s">
        <v>54</v>
      </c>
      <c r="AF1204" s="177">
        <v>244254</v>
      </c>
      <c r="AG1204" s="177" t="str">
        <f t="shared" si="152"/>
        <v>Pass</v>
      </c>
      <c r="AH1204" s="177">
        <f t="shared" si="153"/>
        <v>244254</v>
      </c>
      <c r="AK1204" s="176"/>
      <c r="AL1204" s="176"/>
    </row>
    <row r="1205" spans="1:38" ht="36" customHeight="1" x14ac:dyDescent="0.2">
      <c r="A1205" s="14" t="s">
        <v>25</v>
      </c>
      <c r="B1205" s="212">
        <v>244246</v>
      </c>
      <c r="C1205" s="14" t="s">
        <v>547</v>
      </c>
      <c r="D1205" s="14" t="s">
        <v>268</v>
      </c>
      <c r="E1205" s="14" t="s">
        <v>14</v>
      </c>
      <c r="F1205" s="14" t="s">
        <v>324</v>
      </c>
      <c r="G1205" s="179">
        <v>681204</v>
      </c>
      <c r="H1205" s="176" t="s">
        <v>861</v>
      </c>
      <c r="I1205" s="176" t="s">
        <v>551</v>
      </c>
      <c r="J1205" s="176" t="s">
        <v>832</v>
      </c>
      <c r="K1205" s="176" t="s">
        <v>3744</v>
      </c>
      <c r="L1205" s="40" t="s">
        <v>106</v>
      </c>
      <c r="M1205" s="40" t="s">
        <v>341</v>
      </c>
      <c r="N1205" s="14" t="s">
        <v>3748</v>
      </c>
      <c r="O1205" s="14" t="s">
        <v>552</v>
      </c>
      <c r="P1205" s="14" t="s">
        <v>1660</v>
      </c>
      <c r="Q1205" s="14" t="s">
        <v>553</v>
      </c>
      <c r="R1205" s="17">
        <v>850</v>
      </c>
      <c r="S1205" s="172" t="s">
        <v>51</v>
      </c>
      <c r="T1205" s="17">
        <v>3420</v>
      </c>
      <c r="U1205" s="14" t="s">
        <v>51</v>
      </c>
      <c r="V1205" s="16">
        <f t="shared" si="149"/>
        <v>244246</v>
      </c>
      <c r="W1205" s="16">
        <f t="shared" si="150"/>
        <v>244253</v>
      </c>
      <c r="X1205" s="16">
        <f t="shared" si="151"/>
        <v>244248</v>
      </c>
      <c r="Y1205" s="15" t="s">
        <v>54</v>
      </c>
      <c r="Z1205" s="177">
        <v>244254</v>
      </c>
      <c r="AA1205" s="170"/>
      <c r="AB1205" s="170"/>
      <c r="AC1205" s="170"/>
      <c r="AD1205" s="170"/>
      <c r="AE1205" s="15" t="s">
        <v>54</v>
      </c>
      <c r="AF1205" s="177">
        <v>244254</v>
      </c>
      <c r="AG1205" s="177" t="str">
        <f t="shared" si="152"/>
        <v>Pass</v>
      </c>
      <c r="AH1205" s="177">
        <f t="shared" si="153"/>
        <v>244254</v>
      </c>
      <c r="AK1205" s="176"/>
      <c r="AL1205" s="176"/>
    </row>
    <row r="1206" spans="1:38" ht="36" customHeight="1" x14ac:dyDescent="0.2">
      <c r="A1206" s="14" t="s">
        <v>25</v>
      </c>
      <c r="B1206" s="212">
        <v>244246</v>
      </c>
      <c r="C1206" s="14" t="s">
        <v>547</v>
      </c>
      <c r="D1206" s="14" t="s">
        <v>268</v>
      </c>
      <c r="E1206" s="14" t="s">
        <v>14</v>
      </c>
      <c r="F1206" s="14" t="s">
        <v>324</v>
      </c>
      <c r="G1206" s="179">
        <v>681205</v>
      </c>
      <c r="H1206" s="176" t="s">
        <v>3686</v>
      </c>
      <c r="I1206" s="176" t="s">
        <v>551</v>
      </c>
      <c r="J1206" s="176" t="s">
        <v>2838</v>
      </c>
      <c r="K1206" s="176" t="s">
        <v>3687</v>
      </c>
      <c r="L1206" s="40" t="s">
        <v>108</v>
      </c>
      <c r="M1206" s="40" t="s">
        <v>341</v>
      </c>
      <c r="N1206" s="14" t="s">
        <v>3750</v>
      </c>
      <c r="O1206" s="14" t="s">
        <v>3751</v>
      </c>
      <c r="P1206" s="14" t="s">
        <v>3752</v>
      </c>
      <c r="Q1206" s="14" t="s">
        <v>3753</v>
      </c>
      <c r="R1206" s="17">
        <v>4605</v>
      </c>
      <c r="S1206" s="172" t="s">
        <v>51</v>
      </c>
      <c r="T1206" s="17"/>
      <c r="U1206" s="14"/>
      <c r="V1206" s="16">
        <f t="shared" si="149"/>
        <v>244246</v>
      </c>
      <c r="W1206" s="16">
        <f t="shared" si="150"/>
        <v>244253</v>
      </c>
      <c r="X1206" s="16">
        <f t="shared" si="151"/>
        <v>244248</v>
      </c>
      <c r="Y1206" s="15" t="s">
        <v>54</v>
      </c>
      <c r="Z1206" s="177">
        <v>244252</v>
      </c>
      <c r="AA1206" s="170"/>
      <c r="AB1206" s="170"/>
      <c r="AC1206" s="170"/>
      <c r="AD1206" s="170"/>
      <c r="AE1206" s="15" t="s">
        <v>54</v>
      </c>
      <c r="AF1206" s="177">
        <v>244253</v>
      </c>
      <c r="AG1206" s="177" t="str">
        <f t="shared" si="152"/>
        <v>Pass</v>
      </c>
      <c r="AH1206" s="177">
        <f t="shared" si="153"/>
        <v>244253</v>
      </c>
      <c r="AK1206" s="176"/>
      <c r="AL1206" s="176"/>
    </row>
    <row r="1207" spans="1:38" ht="36" customHeight="1" x14ac:dyDescent="0.2">
      <c r="A1207" s="14" t="s">
        <v>25</v>
      </c>
      <c r="B1207" s="212">
        <v>244247</v>
      </c>
      <c r="C1207" s="14" t="s">
        <v>547</v>
      </c>
      <c r="D1207" s="14" t="s">
        <v>268</v>
      </c>
      <c r="E1207" s="14" t="s">
        <v>14</v>
      </c>
      <c r="F1207" s="14" t="s">
        <v>324</v>
      </c>
      <c r="G1207" s="179">
        <v>681206</v>
      </c>
      <c r="H1207" s="176" t="s">
        <v>3754</v>
      </c>
      <c r="I1207" s="176" t="s">
        <v>864</v>
      </c>
      <c r="J1207" s="176" t="s">
        <v>131</v>
      </c>
      <c r="K1207" s="176" t="s">
        <v>3757</v>
      </c>
      <c r="L1207" s="40" t="s">
        <v>45</v>
      </c>
      <c r="M1207" s="40" t="s">
        <v>341</v>
      </c>
      <c r="N1207" s="14" t="s">
        <v>984</v>
      </c>
      <c r="O1207" s="14" t="s">
        <v>548</v>
      </c>
      <c r="P1207" s="14" t="s">
        <v>518</v>
      </c>
      <c r="Q1207" s="14" t="s">
        <v>549</v>
      </c>
      <c r="R1207" s="17">
        <v>120</v>
      </c>
      <c r="S1207" s="172" t="s">
        <v>51</v>
      </c>
      <c r="T1207" s="17">
        <v>1640</v>
      </c>
      <c r="U1207" s="14" t="s">
        <v>51</v>
      </c>
      <c r="V1207" s="16">
        <f t="shared" si="149"/>
        <v>244247</v>
      </c>
      <c r="W1207" s="16">
        <f t="shared" si="150"/>
        <v>244254</v>
      </c>
      <c r="X1207" s="16">
        <f t="shared" si="151"/>
        <v>244249</v>
      </c>
      <c r="Y1207" s="15" t="s">
        <v>54</v>
      </c>
      <c r="Z1207" s="177">
        <v>244254</v>
      </c>
      <c r="AA1207" s="170"/>
      <c r="AB1207" s="170"/>
      <c r="AC1207" s="170"/>
      <c r="AD1207" s="170"/>
      <c r="AE1207" s="15" t="s">
        <v>54</v>
      </c>
      <c r="AF1207" s="177">
        <v>244254</v>
      </c>
      <c r="AG1207" s="177" t="str">
        <f t="shared" si="152"/>
        <v>Pass</v>
      </c>
      <c r="AH1207" s="177">
        <f t="shared" si="153"/>
        <v>244254</v>
      </c>
      <c r="AK1207" s="176"/>
      <c r="AL1207" s="176"/>
    </row>
    <row r="1208" spans="1:38" ht="36" customHeight="1" x14ac:dyDescent="0.2">
      <c r="A1208" s="14" t="s">
        <v>25</v>
      </c>
      <c r="B1208" s="212">
        <v>244247</v>
      </c>
      <c r="C1208" s="14" t="s">
        <v>547</v>
      </c>
      <c r="D1208" s="14" t="s">
        <v>268</v>
      </c>
      <c r="E1208" s="14" t="s">
        <v>14</v>
      </c>
      <c r="F1208" s="14" t="s">
        <v>324</v>
      </c>
      <c r="G1208" s="179">
        <v>681207</v>
      </c>
      <c r="H1208" s="176" t="s">
        <v>2573</v>
      </c>
      <c r="I1208" s="176" t="s">
        <v>725</v>
      </c>
      <c r="J1208" s="176" t="s">
        <v>123</v>
      </c>
      <c r="K1208" s="176" t="s">
        <v>3743</v>
      </c>
      <c r="L1208" s="40" t="s">
        <v>105</v>
      </c>
      <c r="M1208" s="40" t="s">
        <v>341</v>
      </c>
      <c r="N1208" s="14" t="s">
        <v>3762</v>
      </c>
      <c r="O1208" s="14" t="s">
        <v>548</v>
      </c>
      <c r="P1208" s="14" t="s">
        <v>518</v>
      </c>
      <c r="Q1208" s="14" t="s">
        <v>549</v>
      </c>
      <c r="R1208" s="17">
        <v>128</v>
      </c>
      <c r="S1208" s="172" t="s">
        <v>51</v>
      </c>
      <c r="T1208" s="17">
        <v>1999</v>
      </c>
      <c r="U1208" s="14" t="s">
        <v>51</v>
      </c>
      <c r="V1208" s="16">
        <f t="shared" si="149"/>
        <v>244247</v>
      </c>
      <c r="W1208" s="16">
        <f t="shared" si="150"/>
        <v>244254</v>
      </c>
      <c r="X1208" s="16">
        <f t="shared" si="151"/>
        <v>244249</v>
      </c>
      <c r="Y1208" s="15"/>
      <c r="Z1208" s="177"/>
      <c r="AA1208" s="170"/>
      <c r="AB1208" s="170"/>
      <c r="AC1208" s="170"/>
      <c r="AD1208" s="170"/>
      <c r="AE1208" s="15"/>
      <c r="AF1208" s="177"/>
      <c r="AG1208" s="177">
        <f t="shared" si="152"/>
        <v>0</v>
      </c>
      <c r="AH1208" s="177">
        <f t="shared" si="153"/>
        <v>0</v>
      </c>
      <c r="AK1208" s="176"/>
      <c r="AL1208" s="176"/>
    </row>
    <row r="1209" spans="1:38" ht="36" customHeight="1" x14ac:dyDescent="0.2">
      <c r="A1209" s="14" t="s">
        <v>25</v>
      </c>
      <c r="B1209" s="212">
        <v>244247</v>
      </c>
      <c r="C1209" s="14" t="s">
        <v>547</v>
      </c>
      <c r="D1209" s="14" t="s">
        <v>268</v>
      </c>
      <c r="E1209" s="14" t="s">
        <v>14</v>
      </c>
      <c r="F1209" s="14" t="s">
        <v>324</v>
      </c>
      <c r="G1209" s="179">
        <v>681208</v>
      </c>
      <c r="H1209" s="176" t="s">
        <v>2573</v>
      </c>
      <c r="I1209" s="176" t="s">
        <v>725</v>
      </c>
      <c r="J1209" s="176" t="s">
        <v>123</v>
      </c>
      <c r="K1209" s="176" t="s">
        <v>3743</v>
      </c>
      <c r="L1209" s="40" t="s">
        <v>105</v>
      </c>
      <c r="M1209" s="40" t="s">
        <v>341</v>
      </c>
      <c r="N1209" s="14" t="s">
        <v>3763</v>
      </c>
      <c r="O1209" s="14" t="s">
        <v>543</v>
      </c>
      <c r="P1209" s="14" t="s">
        <v>3770</v>
      </c>
      <c r="Q1209" s="14" t="s">
        <v>529</v>
      </c>
      <c r="R1209" s="17">
        <v>275</v>
      </c>
      <c r="S1209" s="172" t="s">
        <v>51</v>
      </c>
      <c r="T1209" s="17">
        <v>1999</v>
      </c>
      <c r="U1209" s="14" t="s">
        <v>51</v>
      </c>
      <c r="V1209" s="16">
        <f t="shared" si="149"/>
        <v>244247</v>
      </c>
      <c r="W1209" s="16">
        <f t="shared" si="150"/>
        <v>244254</v>
      </c>
      <c r="X1209" s="16">
        <f t="shared" si="151"/>
        <v>244249</v>
      </c>
      <c r="Y1209" s="15"/>
      <c r="Z1209" s="177"/>
      <c r="AA1209" s="170"/>
      <c r="AB1209" s="170"/>
      <c r="AC1209" s="170"/>
      <c r="AD1209" s="170"/>
      <c r="AE1209" s="15"/>
      <c r="AF1209" s="177"/>
      <c r="AG1209" s="177">
        <f t="shared" si="152"/>
        <v>0</v>
      </c>
      <c r="AH1209" s="177">
        <f t="shared" si="153"/>
        <v>0</v>
      </c>
      <c r="AK1209" s="176"/>
      <c r="AL1209" s="176"/>
    </row>
    <row r="1210" spans="1:38" ht="36" customHeight="1" x14ac:dyDescent="0.2">
      <c r="A1210" s="14" t="s">
        <v>25</v>
      </c>
      <c r="B1210" s="212">
        <v>244247</v>
      </c>
      <c r="C1210" s="14" t="s">
        <v>547</v>
      </c>
      <c r="D1210" s="14" t="s">
        <v>268</v>
      </c>
      <c r="E1210" s="14" t="s">
        <v>14</v>
      </c>
      <c r="F1210" s="14" t="s">
        <v>324</v>
      </c>
      <c r="G1210" s="179">
        <v>681209</v>
      </c>
      <c r="H1210" s="176" t="s">
        <v>3755</v>
      </c>
      <c r="I1210" s="176" t="s">
        <v>864</v>
      </c>
      <c r="J1210" s="176" t="s">
        <v>131</v>
      </c>
      <c r="K1210" s="176" t="s">
        <v>3758</v>
      </c>
      <c r="L1210" s="40" t="s">
        <v>45</v>
      </c>
      <c r="M1210" s="40" t="s">
        <v>341</v>
      </c>
      <c r="N1210" s="14" t="s">
        <v>3764</v>
      </c>
      <c r="O1210" s="14" t="s">
        <v>528</v>
      </c>
      <c r="P1210" s="14" t="s">
        <v>3771</v>
      </c>
      <c r="Q1210" s="14" t="s">
        <v>541</v>
      </c>
      <c r="R1210" s="17">
        <v>450</v>
      </c>
      <c r="S1210" s="172" t="s">
        <v>51</v>
      </c>
      <c r="T1210" s="17">
        <v>1930</v>
      </c>
      <c r="U1210" s="14" t="s">
        <v>51</v>
      </c>
      <c r="V1210" s="16">
        <f t="shared" si="149"/>
        <v>244247</v>
      </c>
      <c r="W1210" s="16">
        <f t="shared" si="150"/>
        <v>244254</v>
      </c>
      <c r="X1210" s="16">
        <f t="shared" si="151"/>
        <v>244249</v>
      </c>
      <c r="Y1210" s="15" t="s">
        <v>54</v>
      </c>
      <c r="Z1210" s="177">
        <v>244272</v>
      </c>
      <c r="AA1210" s="170"/>
      <c r="AB1210" s="170"/>
      <c r="AC1210" s="170"/>
      <c r="AD1210" s="170"/>
      <c r="AE1210" s="15" t="s">
        <v>54</v>
      </c>
      <c r="AF1210" s="177">
        <v>244272</v>
      </c>
      <c r="AG1210" s="177" t="str">
        <f t="shared" si="152"/>
        <v>Pass</v>
      </c>
      <c r="AH1210" s="177">
        <f t="shared" si="153"/>
        <v>244272</v>
      </c>
      <c r="AK1210" s="176"/>
      <c r="AL1210" s="176"/>
    </row>
    <row r="1211" spans="1:38" ht="36" customHeight="1" x14ac:dyDescent="0.2">
      <c r="A1211" s="14" t="s">
        <v>25</v>
      </c>
      <c r="B1211" s="212">
        <v>244247</v>
      </c>
      <c r="C1211" s="14" t="s">
        <v>547</v>
      </c>
      <c r="D1211" s="14" t="s">
        <v>268</v>
      </c>
      <c r="E1211" s="14" t="s">
        <v>14</v>
      </c>
      <c r="F1211" s="14" t="s">
        <v>324</v>
      </c>
      <c r="G1211" s="179">
        <v>681210</v>
      </c>
      <c r="H1211" s="176" t="s">
        <v>1054</v>
      </c>
      <c r="I1211" s="176" t="s">
        <v>551</v>
      </c>
      <c r="J1211" s="176" t="s">
        <v>832</v>
      </c>
      <c r="K1211" s="176" t="s">
        <v>3759</v>
      </c>
      <c r="L1211" s="40" t="s">
        <v>106</v>
      </c>
      <c r="M1211" s="40" t="s">
        <v>341</v>
      </c>
      <c r="N1211" s="14" t="s">
        <v>3765</v>
      </c>
      <c r="O1211" s="14" t="s">
        <v>552</v>
      </c>
      <c r="P1211" s="14" t="s">
        <v>1205</v>
      </c>
      <c r="Q1211" s="14" t="s">
        <v>553</v>
      </c>
      <c r="R1211" s="17">
        <v>550</v>
      </c>
      <c r="S1211" s="172" t="s">
        <v>51</v>
      </c>
      <c r="T1211" s="17">
        <v>3435</v>
      </c>
      <c r="U1211" s="14" t="s">
        <v>51</v>
      </c>
      <c r="V1211" s="16">
        <f t="shared" si="149"/>
        <v>244247</v>
      </c>
      <c r="W1211" s="16">
        <f t="shared" si="150"/>
        <v>244254</v>
      </c>
      <c r="X1211" s="16">
        <f t="shared" si="151"/>
        <v>244249</v>
      </c>
      <c r="Y1211" s="15" t="s">
        <v>54</v>
      </c>
      <c r="Z1211" s="177">
        <v>244254</v>
      </c>
      <c r="AA1211" s="170"/>
      <c r="AB1211" s="170"/>
      <c r="AC1211" s="170"/>
      <c r="AD1211" s="170"/>
      <c r="AE1211" s="15" t="s">
        <v>54</v>
      </c>
      <c r="AF1211" s="177">
        <v>244254</v>
      </c>
      <c r="AG1211" s="177" t="str">
        <f t="shared" si="152"/>
        <v>Pass</v>
      </c>
      <c r="AH1211" s="177">
        <f t="shared" si="153"/>
        <v>244254</v>
      </c>
      <c r="AK1211" s="176"/>
      <c r="AL1211" s="176"/>
    </row>
    <row r="1212" spans="1:38" ht="36" customHeight="1" x14ac:dyDescent="0.2">
      <c r="A1212" s="14" t="s">
        <v>25</v>
      </c>
      <c r="B1212" s="212">
        <v>244247</v>
      </c>
      <c r="C1212" s="14" t="s">
        <v>547</v>
      </c>
      <c r="D1212" s="14" t="s">
        <v>268</v>
      </c>
      <c r="E1212" s="14" t="s">
        <v>14</v>
      </c>
      <c r="F1212" s="14" t="s">
        <v>324</v>
      </c>
      <c r="G1212" s="179">
        <v>681211</v>
      </c>
      <c r="H1212" s="176" t="s">
        <v>1393</v>
      </c>
      <c r="I1212" s="176" t="s">
        <v>551</v>
      </c>
      <c r="J1212" s="176" t="s">
        <v>1394</v>
      </c>
      <c r="K1212" s="176" t="s">
        <v>3760</v>
      </c>
      <c r="L1212" s="40" t="s">
        <v>108</v>
      </c>
      <c r="M1212" s="40" t="s">
        <v>341</v>
      </c>
      <c r="N1212" s="14" t="s">
        <v>3766</v>
      </c>
      <c r="O1212" s="14" t="s">
        <v>3768</v>
      </c>
      <c r="P1212" s="14" t="s">
        <v>3772</v>
      </c>
      <c r="Q1212" s="14" t="s">
        <v>3774</v>
      </c>
      <c r="R1212" s="17">
        <v>1600</v>
      </c>
      <c r="S1212" s="172" t="s">
        <v>51</v>
      </c>
      <c r="T1212" s="17">
        <v>2750</v>
      </c>
      <c r="U1212" s="14" t="s">
        <v>51</v>
      </c>
      <c r="V1212" s="16">
        <f t="shared" si="149"/>
        <v>244247</v>
      </c>
      <c r="W1212" s="16">
        <f t="shared" si="150"/>
        <v>244254</v>
      </c>
      <c r="X1212" s="16">
        <f t="shared" si="151"/>
        <v>244249</v>
      </c>
      <c r="Y1212" s="15" t="s">
        <v>54</v>
      </c>
      <c r="Z1212" s="177">
        <v>244252</v>
      </c>
      <c r="AA1212" s="170"/>
      <c r="AB1212" s="170"/>
      <c r="AC1212" s="170"/>
      <c r="AD1212" s="170"/>
      <c r="AE1212" s="15" t="s">
        <v>54</v>
      </c>
      <c r="AF1212" s="177">
        <v>244253</v>
      </c>
      <c r="AG1212" s="177" t="str">
        <f t="shared" si="152"/>
        <v>Pass</v>
      </c>
      <c r="AH1212" s="177">
        <f t="shared" si="153"/>
        <v>244253</v>
      </c>
      <c r="AK1212" s="176"/>
      <c r="AL1212" s="176"/>
    </row>
    <row r="1213" spans="1:38" ht="36" customHeight="1" x14ac:dyDescent="0.2">
      <c r="A1213" s="14" t="s">
        <v>25</v>
      </c>
      <c r="B1213" s="212">
        <v>244247</v>
      </c>
      <c r="C1213" s="14" t="s">
        <v>547</v>
      </c>
      <c r="D1213" s="14" t="s">
        <v>268</v>
      </c>
      <c r="E1213" s="14" t="s">
        <v>14</v>
      </c>
      <c r="F1213" s="14" t="s">
        <v>324</v>
      </c>
      <c r="G1213" s="179">
        <v>681212</v>
      </c>
      <c r="H1213" s="176" t="s">
        <v>3756</v>
      </c>
      <c r="I1213" s="176" t="s">
        <v>725</v>
      </c>
      <c r="J1213" s="176" t="s">
        <v>123</v>
      </c>
      <c r="K1213" s="176" t="s">
        <v>3761</v>
      </c>
      <c r="L1213" s="40" t="s">
        <v>105</v>
      </c>
      <c r="M1213" s="40" t="s">
        <v>341</v>
      </c>
      <c r="N1213" s="14" t="s">
        <v>3767</v>
      </c>
      <c r="O1213" s="14" t="s">
        <v>3769</v>
      </c>
      <c r="P1213" s="14" t="s">
        <v>3773</v>
      </c>
      <c r="Q1213" s="14" t="s">
        <v>3775</v>
      </c>
      <c r="R1213" s="17">
        <v>800</v>
      </c>
      <c r="S1213" s="172" t="s">
        <v>51</v>
      </c>
      <c r="T1213" s="17">
        <v>1283</v>
      </c>
      <c r="U1213" s="14" t="s">
        <v>51</v>
      </c>
      <c r="V1213" s="16">
        <f t="shared" si="149"/>
        <v>244247</v>
      </c>
      <c r="W1213" s="16">
        <f t="shared" si="150"/>
        <v>244254</v>
      </c>
      <c r="X1213" s="16">
        <f t="shared" si="151"/>
        <v>244249</v>
      </c>
      <c r="Y1213" s="15"/>
      <c r="Z1213" s="177"/>
      <c r="AA1213" s="170"/>
      <c r="AB1213" s="170"/>
      <c r="AC1213" s="170"/>
      <c r="AD1213" s="170"/>
      <c r="AE1213" s="15"/>
      <c r="AF1213" s="177"/>
      <c r="AG1213" s="177">
        <f t="shared" si="152"/>
        <v>0</v>
      </c>
      <c r="AH1213" s="177">
        <f t="shared" si="153"/>
        <v>0</v>
      </c>
      <c r="AK1213" s="176"/>
      <c r="AL1213" s="176"/>
    </row>
    <row r="1214" spans="1:38" ht="36" customHeight="1" x14ac:dyDescent="0.2">
      <c r="A1214" s="14" t="s">
        <v>25</v>
      </c>
      <c r="B1214" s="212">
        <v>244247</v>
      </c>
      <c r="C1214" s="14" t="s">
        <v>547</v>
      </c>
      <c r="D1214" s="14" t="s">
        <v>268</v>
      </c>
      <c r="E1214" s="14" t="s">
        <v>14</v>
      </c>
      <c r="F1214" s="14" t="s">
        <v>324</v>
      </c>
      <c r="G1214" s="179">
        <v>681213</v>
      </c>
      <c r="H1214" s="176" t="s">
        <v>3756</v>
      </c>
      <c r="I1214" s="176" t="s">
        <v>725</v>
      </c>
      <c r="J1214" s="176" t="s">
        <v>123</v>
      </c>
      <c r="K1214" s="176" t="s">
        <v>3761</v>
      </c>
      <c r="L1214" s="40" t="s">
        <v>105</v>
      </c>
      <c r="M1214" s="40" t="s">
        <v>341</v>
      </c>
      <c r="N1214" s="14" t="s">
        <v>2851</v>
      </c>
      <c r="O1214" s="14" t="s">
        <v>552</v>
      </c>
      <c r="P1214" s="14" t="s">
        <v>1314</v>
      </c>
      <c r="Q1214" s="14" t="s">
        <v>553</v>
      </c>
      <c r="R1214" s="17">
        <v>600</v>
      </c>
      <c r="S1214" s="172" t="s">
        <v>51</v>
      </c>
      <c r="T1214" s="17">
        <v>1990</v>
      </c>
      <c r="U1214" s="14" t="s">
        <v>51</v>
      </c>
      <c r="V1214" s="16">
        <f t="shared" si="149"/>
        <v>244247</v>
      </c>
      <c r="W1214" s="16">
        <f t="shared" si="150"/>
        <v>244254</v>
      </c>
      <c r="X1214" s="16">
        <f t="shared" si="151"/>
        <v>244249</v>
      </c>
      <c r="Y1214" s="15"/>
      <c r="Z1214" s="177"/>
      <c r="AA1214" s="170"/>
      <c r="AB1214" s="170"/>
      <c r="AC1214" s="170"/>
      <c r="AD1214" s="170"/>
      <c r="AE1214" s="15"/>
      <c r="AF1214" s="177"/>
      <c r="AG1214" s="177">
        <f t="shared" si="152"/>
        <v>0</v>
      </c>
      <c r="AH1214" s="177">
        <f t="shared" si="153"/>
        <v>0</v>
      </c>
      <c r="AK1214" s="176"/>
      <c r="AL1214" s="176"/>
    </row>
    <row r="1215" spans="1:38" ht="36" customHeight="1" x14ac:dyDescent="0.2">
      <c r="A1215" s="14" t="s">
        <v>25</v>
      </c>
      <c r="B1215" s="212">
        <v>244249</v>
      </c>
      <c r="C1215" s="14" t="s">
        <v>547</v>
      </c>
      <c r="D1215" s="14" t="s">
        <v>268</v>
      </c>
      <c r="E1215" s="14" t="s">
        <v>14</v>
      </c>
      <c r="F1215" s="14" t="s">
        <v>324</v>
      </c>
      <c r="G1215" s="179">
        <v>681214</v>
      </c>
      <c r="H1215" s="176" t="s">
        <v>826</v>
      </c>
      <c r="I1215" s="176" t="s">
        <v>551</v>
      </c>
      <c r="J1215" s="176" t="s">
        <v>832</v>
      </c>
      <c r="K1215" s="176" t="s">
        <v>3778</v>
      </c>
      <c r="L1215" s="40" t="s">
        <v>108</v>
      </c>
      <c r="M1215" s="40" t="s">
        <v>341</v>
      </c>
      <c r="N1215" s="14" t="s">
        <v>3782</v>
      </c>
      <c r="O1215" s="14" t="s">
        <v>552</v>
      </c>
      <c r="P1215" s="14" t="s">
        <v>793</v>
      </c>
      <c r="Q1215" s="14" t="s">
        <v>553</v>
      </c>
      <c r="R1215" s="17">
        <v>1284</v>
      </c>
      <c r="S1215" s="172" t="s">
        <v>51</v>
      </c>
      <c r="T1215" s="17">
        <v>2690</v>
      </c>
      <c r="U1215" s="14" t="s">
        <v>51</v>
      </c>
      <c r="V1215" s="16">
        <f t="shared" si="149"/>
        <v>244249</v>
      </c>
      <c r="W1215" s="16">
        <f t="shared" si="150"/>
        <v>244256</v>
      </c>
      <c r="X1215" s="16">
        <f t="shared" si="151"/>
        <v>244251</v>
      </c>
      <c r="Y1215" s="15" t="s">
        <v>54</v>
      </c>
      <c r="Z1215" s="177">
        <v>244254</v>
      </c>
      <c r="AA1215" s="170"/>
      <c r="AB1215" s="170"/>
      <c r="AC1215" s="170"/>
      <c r="AD1215" s="170"/>
      <c r="AE1215" s="15" t="s">
        <v>54</v>
      </c>
      <c r="AF1215" s="177">
        <v>244254</v>
      </c>
      <c r="AG1215" s="177" t="str">
        <f t="shared" si="152"/>
        <v>Pass</v>
      </c>
      <c r="AH1215" s="177">
        <f t="shared" si="153"/>
        <v>244254</v>
      </c>
      <c r="AK1215" s="176"/>
      <c r="AL1215" s="176"/>
    </row>
    <row r="1216" spans="1:38" ht="36" customHeight="1" x14ac:dyDescent="0.2">
      <c r="A1216" s="14" t="s">
        <v>25</v>
      </c>
      <c r="B1216" s="212">
        <v>244249</v>
      </c>
      <c r="C1216" s="14" t="s">
        <v>547</v>
      </c>
      <c r="D1216" s="14" t="s">
        <v>268</v>
      </c>
      <c r="E1216" s="14" t="s">
        <v>14</v>
      </c>
      <c r="F1216" s="14" t="s">
        <v>324</v>
      </c>
      <c r="G1216" s="179">
        <v>681215</v>
      </c>
      <c r="H1216" s="176" t="s">
        <v>3776</v>
      </c>
      <c r="I1216" s="176" t="s">
        <v>864</v>
      </c>
      <c r="J1216" s="176" t="s">
        <v>131</v>
      </c>
      <c r="K1216" s="176" t="s">
        <v>3779</v>
      </c>
      <c r="L1216" s="40" t="s">
        <v>45</v>
      </c>
      <c r="M1216" s="40" t="s">
        <v>341</v>
      </c>
      <c r="N1216" s="14" t="s">
        <v>3118</v>
      </c>
      <c r="O1216" s="14" t="s">
        <v>548</v>
      </c>
      <c r="P1216" s="14" t="s">
        <v>717</v>
      </c>
      <c r="Q1216" s="14" t="s">
        <v>549</v>
      </c>
      <c r="R1216" s="17">
        <v>117</v>
      </c>
      <c r="S1216" s="172" t="s">
        <v>51</v>
      </c>
      <c r="T1216" s="17">
        <v>1775</v>
      </c>
      <c r="U1216" s="14" t="s">
        <v>51</v>
      </c>
      <c r="V1216" s="16">
        <f t="shared" si="149"/>
        <v>244249</v>
      </c>
      <c r="W1216" s="16">
        <f t="shared" si="150"/>
        <v>244256</v>
      </c>
      <c r="X1216" s="16">
        <f t="shared" si="151"/>
        <v>244251</v>
      </c>
      <c r="Y1216" s="15"/>
      <c r="Z1216" s="177"/>
      <c r="AA1216" s="170"/>
      <c r="AB1216" s="170"/>
      <c r="AC1216" s="170"/>
      <c r="AD1216" s="170"/>
      <c r="AE1216" s="15"/>
      <c r="AF1216" s="177"/>
      <c r="AG1216" s="177">
        <f t="shared" si="152"/>
        <v>0</v>
      </c>
      <c r="AH1216" s="177">
        <f t="shared" si="153"/>
        <v>0</v>
      </c>
      <c r="AK1216" s="176"/>
      <c r="AL1216" s="176"/>
    </row>
    <row r="1217" spans="1:38" ht="36" customHeight="1" x14ac:dyDescent="0.2">
      <c r="A1217" s="14" t="s">
        <v>25</v>
      </c>
      <c r="B1217" s="212">
        <v>244249</v>
      </c>
      <c r="C1217" s="14" t="s">
        <v>547</v>
      </c>
      <c r="D1217" s="14" t="s">
        <v>268</v>
      </c>
      <c r="E1217" s="14" t="s">
        <v>14</v>
      </c>
      <c r="F1217" s="14" t="s">
        <v>324</v>
      </c>
      <c r="G1217" s="179">
        <v>681216</v>
      </c>
      <c r="H1217" s="176" t="s">
        <v>3756</v>
      </c>
      <c r="I1217" s="176" t="s">
        <v>725</v>
      </c>
      <c r="J1217" s="176" t="s">
        <v>123</v>
      </c>
      <c r="K1217" s="176" t="s">
        <v>3761</v>
      </c>
      <c r="L1217" s="40" t="s">
        <v>105</v>
      </c>
      <c r="M1217" s="40" t="s">
        <v>341</v>
      </c>
      <c r="N1217" s="14" t="s">
        <v>3783</v>
      </c>
      <c r="O1217" s="14" t="s">
        <v>552</v>
      </c>
      <c r="P1217" s="14" t="s">
        <v>2811</v>
      </c>
      <c r="Q1217" s="14" t="s">
        <v>553</v>
      </c>
      <c r="R1217" s="17">
        <v>1100</v>
      </c>
      <c r="S1217" s="172" t="s">
        <v>51</v>
      </c>
      <c r="T1217" s="17">
        <v>1990</v>
      </c>
      <c r="U1217" s="14" t="s">
        <v>51</v>
      </c>
      <c r="V1217" s="16">
        <f t="shared" si="149"/>
        <v>244249</v>
      </c>
      <c r="W1217" s="16">
        <f t="shared" si="150"/>
        <v>244256</v>
      </c>
      <c r="X1217" s="16">
        <f t="shared" si="151"/>
        <v>244251</v>
      </c>
      <c r="Y1217" s="15"/>
      <c r="Z1217" s="177"/>
      <c r="AA1217" s="170"/>
      <c r="AB1217" s="170"/>
      <c r="AC1217" s="170"/>
      <c r="AD1217" s="170"/>
      <c r="AE1217" s="15"/>
      <c r="AF1217" s="177"/>
      <c r="AG1217" s="177">
        <f t="shared" si="152"/>
        <v>0</v>
      </c>
      <c r="AH1217" s="177">
        <f t="shared" si="153"/>
        <v>0</v>
      </c>
      <c r="AK1217" s="176"/>
      <c r="AL1217" s="176"/>
    </row>
    <row r="1218" spans="1:38" ht="36" customHeight="1" x14ac:dyDescent="0.2">
      <c r="A1218" s="14" t="s">
        <v>25</v>
      </c>
      <c r="B1218" s="212">
        <v>244249</v>
      </c>
      <c r="C1218" s="14" t="s">
        <v>547</v>
      </c>
      <c r="D1218" s="14" t="s">
        <v>268</v>
      </c>
      <c r="E1218" s="14" t="s">
        <v>14</v>
      </c>
      <c r="F1218" s="14" t="s">
        <v>324</v>
      </c>
      <c r="G1218" s="179">
        <v>681217</v>
      </c>
      <c r="H1218" s="176" t="s">
        <v>3777</v>
      </c>
      <c r="I1218" s="176" t="s">
        <v>612</v>
      </c>
      <c r="J1218" s="176" t="s">
        <v>3616</v>
      </c>
      <c r="K1218" s="176" t="s">
        <v>3780</v>
      </c>
      <c r="L1218" s="40" t="s">
        <v>46</v>
      </c>
      <c r="M1218" s="40" t="s">
        <v>341</v>
      </c>
      <c r="N1218" s="14" t="s">
        <v>3721</v>
      </c>
      <c r="O1218" s="14" t="s">
        <v>548</v>
      </c>
      <c r="P1218" s="14" t="s">
        <v>717</v>
      </c>
      <c r="Q1218" s="14" t="s">
        <v>549</v>
      </c>
      <c r="R1218" s="17">
        <v>244</v>
      </c>
      <c r="S1218" s="172" t="s">
        <v>51</v>
      </c>
      <c r="T1218" s="17">
        <v>1770</v>
      </c>
      <c r="U1218" s="14" t="s">
        <v>51</v>
      </c>
      <c r="V1218" s="16">
        <f t="shared" si="149"/>
        <v>244249</v>
      </c>
      <c r="W1218" s="16">
        <f t="shared" si="150"/>
        <v>244256</v>
      </c>
      <c r="X1218" s="16">
        <f t="shared" si="151"/>
        <v>244251</v>
      </c>
      <c r="Y1218" s="15" t="s">
        <v>54</v>
      </c>
      <c r="Z1218" s="177">
        <v>244254</v>
      </c>
      <c r="AA1218" s="170"/>
      <c r="AB1218" s="170"/>
      <c r="AC1218" s="170"/>
      <c r="AD1218" s="170"/>
      <c r="AE1218" s="15" t="s">
        <v>54</v>
      </c>
      <c r="AF1218" s="177">
        <v>244254</v>
      </c>
      <c r="AG1218" s="177" t="str">
        <f t="shared" si="152"/>
        <v>Pass</v>
      </c>
      <c r="AH1218" s="177">
        <f t="shared" si="153"/>
        <v>244254</v>
      </c>
      <c r="AK1218" s="176"/>
      <c r="AL1218" s="176"/>
    </row>
    <row r="1219" spans="1:38" ht="36" customHeight="1" x14ac:dyDescent="0.2">
      <c r="A1219" s="14" t="s">
        <v>25</v>
      </c>
      <c r="B1219" s="212">
        <v>244249</v>
      </c>
      <c r="C1219" s="14" t="s">
        <v>547</v>
      </c>
      <c r="D1219" s="14" t="s">
        <v>268</v>
      </c>
      <c r="E1219" s="14" t="s">
        <v>14</v>
      </c>
      <c r="F1219" s="14" t="s">
        <v>324</v>
      </c>
      <c r="G1219" s="179">
        <v>681218</v>
      </c>
      <c r="H1219" s="176" t="s">
        <v>903</v>
      </c>
      <c r="I1219" s="176" t="s">
        <v>551</v>
      </c>
      <c r="J1219" s="176" t="s">
        <v>832</v>
      </c>
      <c r="K1219" s="176" t="s">
        <v>3781</v>
      </c>
      <c r="L1219" s="40" t="s">
        <v>108</v>
      </c>
      <c r="M1219" s="40" t="s">
        <v>341</v>
      </c>
      <c r="N1219" s="14" t="s">
        <v>2826</v>
      </c>
      <c r="O1219" s="14" t="s">
        <v>528</v>
      </c>
      <c r="P1219" s="14" t="s">
        <v>2813</v>
      </c>
      <c r="Q1219" s="14" t="s">
        <v>541</v>
      </c>
      <c r="R1219" s="17">
        <v>700</v>
      </c>
      <c r="S1219" s="172" t="s">
        <v>51</v>
      </c>
      <c r="T1219" s="17">
        <v>1560</v>
      </c>
      <c r="U1219" s="14" t="s">
        <v>51</v>
      </c>
      <c r="V1219" s="16">
        <f t="shared" si="149"/>
        <v>244249</v>
      </c>
      <c r="W1219" s="16">
        <f t="shared" si="150"/>
        <v>244256</v>
      </c>
      <c r="X1219" s="16">
        <f t="shared" si="151"/>
        <v>244251</v>
      </c>
      <c r="Y1219" s="15" t="s">
        <v>54</v>
      </c>
      <c r="Z1219" s="177">
        <v>244254</v>
      </c>
      <c r="AA1219" s="170"/>
      <c r="AB1219" s="170"/>
      <c r="AC1219" s="170"/>
      <c r="AD1219" s="170"/>
      <c r="AE1219" s="15" t="s">
        <v>54</v>
      </c>
      <c r="AF1219" s="177">
        <v>244254</v>
      </c>
      <c r="AG1219" s="177" t="str">
        <f t="shared" si="152"/>
        <v>Pass</v>
      </c>
      <c r="AH1219" s="177">
        <f t="shared" si="153"/>
        <v>244254</v>
      </c>
      <c r="AK1219" s="176"/>
      <c r="AL1219" s="176"/>
    </row>
    <row r="1220" spans="1:38" ht="36" customHeight="1" x14ac:dyDescent="0.2">
      <c r="A1220" s="14" t="s">
        <v>25</v>
      </c>
      <c r="B1220" s="212">
        <v>244249</v>
      </c>
      <c r="C1220" s="14" t="s">
        <v>547</v>
      </c>
      <c r="D1220" s="14" t="s">
        <v>268</v>
      </c>
      <c r="E1220" s="14" t="s">
        <v>14</v>
      </c>
      <c r="F1220" s="14" t="s">
        <v>324</v>
      </c>
      <c r="G1220" s="179">
        <v>681219</v>
      </c>
      <c r="H1220" s="176" t="s">
        <v>903</v>
      </c>
      <c r="I1220" s="176" t="s">
        <v>551</v>
      </c>
      <c r="J1220" s="176" t="s">
        <v>832</v>
      </c>
      <c r="K1220" s="176" t="s">
        <v>3781</v>
      </c>
      <c r="L1220" s="40" t="s">
        <v>108</v>
      </c>
      <c r="M1220" s="40" t="s">
        <v>341</v>
      </c>
      <c r="N1220" s="14" t="s">
        <v>3784</v>
      </c>
      <c r="O1220" s="14" t="s">
        <v>552</v>
      </c>
      <c r="P1220" s="14" t="s">
        <v>2813</v>
      </c>
      <c r="Q1220" s="14" t="s">
        <v>553</v>
      </c>
      <c r="R1220" s="17">
        <v>925</v>
      </c>
      <c r="S1220" s="172" t="s">
        <v>51</v>
      </c>
      <c r="T1220" s="17">
        <v>1560</v>
      </c>
      <c r="U1220" s="14" t="s">
        <v>51</v>
      </c>
      <c r="V1220" s="16">
        <f t="shared" si="149"/>
        <v>244249</v>
      </c>
      <c r="W1220" s="16">
        <f t="shared" si="150"/>
        <v>244256</v>
      </c>
      <c r="X1220" s="16">
        <f t="shared" si="151"/>
        <v>244251</v>
      </c>
      <c r="Y1220" s="15" t="s">
        <v>54</v>
      </c>
      <c r="Z1220" s="177">
        <v>244254</v>
      </c>
      <c r="AA1220" s="170"/>
      <c r="AB1220" s="170"/>
      <c r="AC1220" s="170"/>
      <c r="AD1220" s="170"/>
      <c r="AE1220" s="15" t="s">
        <v>54</v>
      </c>
      <c r="AF1220" s="177">
        <v>244254</v>
      </c>
      <c r="AG1220" s="177" t="str">
        <f t="shared" si="152"/>
        <v>Pass</v>
      </c>
      <c r="AH1220" s="177">
        <f t="shared" si="153"/>
        <v>244254</v>
      </c>
      <c r="AK1220" s="176"/>
      <c r="AL1220" s="176"/>
    </row>
    <row r="1221" spans="1:38" ht="36" customHeight="1" x14ac:dyDescent="0.2">
      <c r="A1221" s="14" t="s">
        <v>25</v>
      </c>
      <c r="B1221" s="212">
        <v>244250</v>
      </c>
      <c r="C1221" s="14" t="s">
        <v>547</v>
      </c>
      <c r="D1221" s="14" t="s">
        <v>268</v>
      </c>
      <c r="E1221" s="14" t="s">
        <v>14</v>
      </c>
      <c r="F1221" s="14" t="s">
        <v>324</v>
      </c>
      <c r="G1221" s="179">
        <v>681220</v>
      </c>
      <c r="H1221" s="176" t="s">
        <v>3785</v>
      </c>
      <c r="I1221" s="176" t="s">
        <v>864</v>
      </c>
      <c r="J1221" s="176" t="s">
        <v>131</v>
      </c>
      <c r="K1221" s="176" t="s">
        <v>3788</v>
      </c>
      <c r="L1221" s="40" t="s">
        <v>45</v>
      </c>
      <c r="M1221" s="40" t="s">
        <v>341</v>
      </c>
      <c r="N1221" s="14" t="s">
        <v>3793</v>
      </c>
      <c r="O1221" s="14" t="s">
        <v>3799</v>
      </c>
      <c r="P1221" s="14" t="s">
        <v>3800</v>
      </c>
      <c r="Q1221" s="14" t="s">
        <v>3803</v>
      </c>
      <c r="R1221" s="17">
        <v>900</v>
      </c>
      <c r="S1221" s="172" t="s">
        <v>51</v>
      </c>
      <c r="T1221" s="17">
        <v>1930</v>
      </c>
      <c r="U1221" s="14" t="s">
        <v>51</v>
      </c>
      <c r="V1221" s="16">
        <f t="shared" si="149"/>
        <v>244250</v>
      </c>
      <c r="W1221" s="16">
        <f t="shared" si="150"/>
        <v>244257</v>
      </c>
      <c r="X1221" s="16">
        <f t="shared" si="151"/>
        <v>244252</v>
      </c>
      <c r="Y1221" s="15" t="s">
        <v>54</v>
      </c>
      <c r="Z1221" s="177">
        <v>244254</v>
      </c>
      <c r="AA1221" s="170"/>
      <c r="AB1221" s="170"/>
      <c r="AC1221" s="170"/>
      <c r="AD1221" s="170"/>
      <c r="AE1221" s="15" t="s">
        <v>54</v>
      </c>
      <c r="AF1221" s="177">
        <v>244254</v>
      </c>
      <c r="AG1221" s="177" t="str">
        <f t="shared" si="152"/>
        <v>Pass</v>
      </c>
      <c r="AH1221" s="177">
        <f t="shared" si="153"/>
        <v>244254</v>
      </c>
      <c r="AK1221" s="176"/>
      <c r="AL1221" s="176"/>
    </row>
    <row r="1222" spans="1:38" ht="36" customHeight="1" x14ac:dyDescent="0.2">
      <c r="A1222" s="14" t="s">
        <v>25</v>
      </c>
      <c r="B1222" s="212">
        <v>244250</v>
      </c>
      <c r="C1222" s="14" t="s">
        <v>547</v>
      </c>
      <c r="D1222" s="14" t="s">
        <v>268</v>
      </c>
      <c r="E1222" s="14" t="s">
        <v>14</v>
      </c>
      <c r="F1222" s="14" t="s">
        <v>324</v>
      </c>
      <c r="G1222" s="179">
        <v>681221</v>
      </c>
      <c r="H1222" s="176" t="s">
        <v>861</v>
      </c>
      <c r="I1222" s="176" t="s">
        <v>551</v>
      </c>
      <c r="J1222" s="176" t="s">
        <v>832</v>
      </c>
      <c r="K1222" s="176" t="s">
        <v>3744</v>
      </c>
      <c r="L1222" s="40" t="s">
        <v>108</v>
      </c>
      <c r="M1222" s="40" t="s">
        <v>341</v>
      </c>
      <c r="N1222" s="14" t="s">
        <v>3794</v>
      </c>
      <c r="O1222" s="14" t="s">
        <v>552</v>
      </c>
      <c r="P1222" s="14" t="s">
        <v>793</v>
      </c>
      <c r="Q1222" s="14" t="s">
        <v>549</v>
      </c>
      <c r="R1222" s="17">
        <v>2025</v>
      </c>
      <c r="S1222" s="172" t="s">
        <v>51</v>
      </c>
      <c r="T1222" s="17">
        <v>3420</v>
      </c>
      <c r="U1222" s="14" t="s">
        <v>51</v>
      </c>
      <c r="V1222" s="16">
        <f t="shared" si="149"/>
        <v>244250</v>
      </c>
      <c r="W1222" s="16">
        <f t="shared" si="150"/>
        <v>244257</v>
      </c>
      <c r="X1222" s="16">
        <f t="shared" si="151"/>
        <v>244252</v>
      </c>
      <c r="Y1222" s="15" t="s">
        <v>54</v>
      </c>
      <c r="Z1222" s="177">
        <v>244254</v>
      </c>
      <c r="AA1222" s="170"/>
      <c r="AB1222" s="170"/>
      <c r="AC1222" s="170"/>
      <c r="AD1222" s="170"/>
      <c r="AE1222" s="15" t="s">
        <v>54</v>
      </c>
      <c r="AF1222" s="177">
        <v>244254</v>
      </c>
      <c r="AG1222" s="177" t="str">
        <f t="shared" si="152"/>
        <v>Pass</v>
      </c>
      <c r="AH1222" s="177">
        <f t="shared" si="153"/>
        <v>244254</v>
      </c>
      <c r="AK1222" s="176"/>
      <c r="AL1222" s="176"/>
    </row>
    <row r="1223" spans="1:38" ht="36" customHeight="1" x14ac:dyDescent="0.2">
      <c r="A1223" s="14" t="s">
        <v>25</v>
      </c>
      <c r="B1223" s="212">
        <v>244250</v>
      </c>
      <c r="C1223" s="14" t="s">
        <v>547</v>
      </c>
      <c r="D1223" s="14" t="s">
        <v>268</v>
      </c>
      <c r="E1223" s="14" t="s">
        <v>14</v>
      </c>
      <c r="F1223" s="14" t="s">
        <v>324</v>
      </c>
      <c r="G1223" s="179">
        <v>681222</v>
      </c>
      <c r="H1223" s="176" t="s">
        <v>3786</v>
      </c>
      <c r="I1223" s="176" t="s">
        <v>864</v>
      </c>
      <c r="J1223" s="176" t="s">
        <v>865</v>
      </c>
      <c r="K1223" s="176" t="s">
        <v>3789</v>
      </c>
      <c r="L1223" s="40" t="s">
        <v>45</v>
      </c>
      <c r="M1223" s="40" t="s">
        <v>341</v>
      </c>
      <c r="N1223" s="14" t="s">
        <v>3795</v>
      </c>
      <c r="O1223" s="14" t="s">
        <v>528</v>
      </c>
      <c r="P1223" s="14" t="s">
        <v>3801</v>
      </c>
      <c r="Q1223" s="14" t="s">
        <v>541</v>
      </c>
      <c r="R1223" s="17">
        <v>450</v>
      </c>
      <c r="S1223" s="172" t="s">
        <v>51</v>
      </c>
      <c r="T1223" s="17">
        <v>395</v>
      </c>
      <c r="U1223" s="14" t="s">
        <v>51</v>
      </c>
      <c r="V1223" s="16">
        <f t="shared" si="149"/>
        <v>244250</v>
      </c>
      <c r="W1223" s="16">
        <f t="shared" si="150"/>
        <v>244257</v>
      </c>
      <c r="X1223" s="16">
        <f t="shared" si="151"/>
        <v>244252</v>
      </c>
      <c r="Y1223" s="15" t="s">
        <v>54</v>
      </c>
      <c r="Z1223" s="177">
        <v>244254</v>
      </c>
      <c r="AA1223" s="170"/>
      <c r="AB1223" s="170"/>
      <c r="AC1223" s="170"/>
      <c r="AD1223" s="170"/>
      <c r="AE1223" s="15" t="s">
        <v>54</v>
      </c>
      <c r="AF1223" s="177">
        <v>244254</v>
      </c>
      <c r="AG1223" s="177" t="str">
        <f t="shared" si="152"/>
        <v>Pass</v>
      </c>
      <c r="AH1223" s="177">
        <f t="shared" si="153"/>
        <v>244254</v>
      </c>
      <c r="AK1223" s="176"/>
      <c r="AL1223" s="176"/>
    </row>
    <row r="1224" spans="1:38" ht="36" customHeight="1" x14ac:dyDescent="0.2">
      <c r="A1224" s="14" t="s">
        <v>25</v>
      </c>
      <c r="B1224" s="212">
        <v>244250</v>
      </c>
      <c r="C1224" s="14" t="s">
        <v>547</v>
      </c>
      <c r="D1224" s="14" t="s">
        <v>268</v>
      </c>
      <c r="E1224" s="14" t="s">
        <v>14</v>
      </c>
      <c r="F1224" s="14" t="s">
        <v>324</v>
      </c>
      <c r="G1224" s="179">
        <v>681223</v>
      </c>
      <c r="H1224" s="176" t="s">
        <v>3598</v>
      </c>
      <c r="I1224" s="176" t="s">
        <v>630</v>
      </c>
      <c r="J1224" s="176" t="s">
        <v>821</v>
      </c>
      <c r="K1224" s="176" t="s">
        <v>3790</v>
      </c>
      <c r="L1224" s="40" t="s">
        <v>124</v>
      </c>
      <c r="M1224" s="40" t="s">
        <v>341</v>
      </c>
      <c r="N1224" s="14" t="s">
        <v>3796</v>
      </c>
      <c r="O1224" s="14" t="s">
        <v>548</v>
      </c>
      <c r="P1224" s="14" t="s">
        <v>518</v>
      </c>
      <c r="Q1224" s="14" t="s">
        <v>549</v>
      </c>
      <c r="R1224" s="17">
        <v>276</v>
      </c>
      <c r="S1224" s="172" t="s">
        <v>51</v>
      </c>
      <c r="T1224" s="17"/>
      <c r="U1224" s="14"/>
      <c r="V1224" s="16">
        <f t="shared" si="149"/>
        <v>244250</v>
      </c>
      <c r="W1224" s="16">
        <f t="shared" si="150"/>
        <v>244257</v>
      </c>
      <c r="X1224" s="16">
        <f t="shared" si="151"/>
        <v>244252</v>
      </c>
      <c r="Y1224" s="15" t="s">
        <v>54</v>
      </c>
      <c r="Z1224" s="177">
        <v>244254</v>
      </c>
      <c r="AA1224" s="170"/>
      <c r="AB1224" s="170"/>
      <c r="AC1224" s="170"/>
      <c r="AD1224" s="170"/>
      <c r="AE1224" s="15" t="s">
        <v>54</v>
      </c>
      <c r="AF1224" s="177">
        <v>244254</v>
      </c>
      <c r="AG1224" s="177" t="str">
        <f t="shared" si="152"/>
        <v>Pass</v>
      </c>
      <c r="AH1224" s="177">
        <f t="shared" si="153"/>
        <v>244254</v>
      </c>
      <c r="AK1224" s="176"/>
      <c r="AL1224" s="176"/>
    </row>
    <row r="1225" spans="1:38" ht="36" customHeight="1" x14ac:dyDescent="0.2">
      <c r="A1225" s="14" t="s">
        <v>25</v>
      </c>
      <c r="B1225" s="212">
        <v>244250</v>
      </c>
      <c r="C1225" s="14" t="s">
        <v>547</v>
      </c>
      <c r="D1225" s="14" t="s">
        <v>268</v>
      </c>
      <c r="E1225" s="14" t="s">
        <v>14</v>
      </c>
      <c r="F1225" s="14" t="s">
        <v>324</v>
      </c>
      <c r="G1225" s="179">
        <v>681224</v>
      </c>
      <c r="H1225" s="176" t="s">
        <v>3152</v>
      </c>
      <c r="I1225" s="176" t="s">
        <v>3153</v>
      </c>
      <c r="J1225" s="176" t="s">
        <v>750</v>
      </c>
      <c r="K1225" s="176" t="s">
        <v>3791</v>
      </c>
      <c r="L1225" s="40" t="s">
        <v>108</v>
      </c>
      <c r="M1225" s="40" t="s">
        <v>341</v>
      </c>
      <c r="N1225" s="14" t="s">
        <v>3797</v>
      </c>
      <c r="O1225" s="14" t="s">
        <v>2565</v>
      </c>
      <c r="P1225" s="14" t="s">
        <v>3802</v>
      </c>
      <c r="Q1225" s="14" t="s">
        <v>2571</v>
      </c>
      <c r="R1225" s="17">
        <v>423</v>
      </c>
      <c r="S1225" s="172" t="s">
        <v>51</v>
      </c>
      <c r="T1225" s="17">
        <v>3100</v>
      </c>
      <c r="U1225" s="14" t="s">
        <v>51</v>
      </c>
      <c r="V1225" s="16">
        <f t="shared" si="149"/>
        <v>244250</v>
      </c>
      <c r="W1225" s="16">
        <f t="shared" si="150"/>
        <v>244257</v>
      </c>
      <c r="X1225" s="16">
        <f t="shared" si="151"/>
        <v>244252</v>
      </c>
      <c r="Y1225" s="15" t="s">
        <v>54</v>
      </c>
      <c r="Z1225" s="177">
        <v>244254</v>
      </c>
      <c r="AA1225" s="170"/>
      <c r="AB1225" s="170"/>
      <c r="AC1225" s="170"/>
      <c r="AD1225" s="170"/>
      <c r="AE1225" s="15" t="s">
        <v>54</v>
      </c>
      <c r="AF1225" s="177">
        <v>244254</v>
      </c>
      <c r="AG1225" s="177" t="str">
        <f t="shared" si="152"/>
        <v>Pass</v>
      </c>
      <c r="AH1225" s="177">
        <f t="shared" si="153"/>
        <v>244254</v>
      </c>
      <c r="AK1225" s="176"/>
      <c r="AL1225" s="176"/>
    </row>
    <row r="1226" spans="1:38" ht="36" customHeight="1" x14ac:dyDescent="0.2">
      <c r="A1226" s="14" t="s">
        <v>25</v>
      </c>
      <c r="B1226" s="212">
        <v>244250</v>
      </c>
      <c r="C1226" s="14" t="s">
        <v>547</v>
      </c>
      <c r="D1226" s="14" t="s">
        <v>268</v>
      </c>
      <c r="E1226" s="14" t="s">
        <v>14</v>
      </c>
      <c r="F1226" s="14" t="s">
        <v>324</v>
      </c>
      <c r="G1226" s="179">
        <v>681225</v>
      </c>
      <c r="H1226" s="176" t="s">
        <v>3787</v>
      </c>
      <c r="I1226" s="176" t="s">
        <v>864</v>
      </c>
      <c r="J1226" s="176" t="s">
        <v>159</v>
      </c>
      <c r="K1226" s="176" t="s">
        <v>3792</v>
      </c>
      <c r="L1226" s="40" t="s">
        <v>45</v>
      </c>
      <c r="M1226" s="40" t="s">
        <v>341</v>
      </c>
      <c r="N1226" s="14" t="s">
        <v>3798</v>
      </c>
      <c r="O1226" s="14" t="s">
        <v>548</v>
      </c>
      <c r="P1226" s="14" t="s">
        <v>518</v>
      </c>
      <c r="Q1226" s="14" t="s">
        <v>549</v>
      </c>
      <c r="R1226" s="17">
        <v>228</v>
      </c>
      <c r="S1226" s="172" t="s">
        <v>51</v>
      </c>
      <c r="T1226" s="17">
        <v>1780</v>
      </c>
      <c r="U1226" s="14" t="s">
        <v>51</v>
      </c>
      <c r="V1226" s="16">
        <f t="shared" si="149"/>
        <v>244250</v>
      </c>
      <c r="W1226" s="16">
        <f t="shared" si="150"/>
        <v>244257</v>
      </c>
      <c r="X1226" s="16">
        <f t="shared" si="151"/>
        <v>244252</v>
      </c>
      <c r="Y1226" s="15" t="s">
        <v>54</v>
      </c>
      <c r="Z1226" s="177">
        <v>244254</v>
      </c>
      <c r="AA1226" s="170"/>
      <c r="AB1226" s="170"/>
      <c r="AC1226" s="170"/>
      <c r="AD1226" s="170"/>
      <c r="AE1226" s="15" t="s">
        <v>54</v>
      </c>
      <c r="AF1226" s="177">
        <v>244254</v>
      </c>
      <c r="AG1226" s="177" t="str">
        <f t="shared" si="152"/>
        <v>Pass</v>
      </c>
      <c r="AH1226" s="177">
        <f t="shared" si="153"/>
        <v>244254</v>
      </c>
      <c r="AK1226" s="176"/>
      <c r="AL1226" s="176"/>
    </row>
    <row r="1227" spans="1:38" ht="36" customHeight="1" x14ac:dyDescent="0.2">
      <c r="A1227" s="14" t="s">
        <v>25</v>
      </c>
      <c r="B1227" s="212">
        <v>244251</v>
      </c>
      <c r="C1227" s="14" t="s">
        <v>547</v>
      </c>
      <c r="D1227" s="14" t="s">
        <v>268</v>
      </c>
      <c r="E1227" s="14" t="s">
        <v>14</v>
      </c>
      <c r="F1227" s="14" t="s">
        <v>324</v>
      </c>
      <c r="G1227" s="179">
        <v>681226</v>
      </c>
      <c r="H1227" s="176" t="s">
        <v>3598</v>
      </c>
      <c r="I1227" s="176" t="s">
        <v>630</v>
      </c>
      <c r="J1227" s="176" t="s">
        <v>821</v>
      </c>
      <c r="K1227" s="176" t="s">
        <v>3790</v>
      </c>
      <c r="L1227" s="40" t="s">
        <v>124</v>
      </c>
      <c r="M1227" s="40" t="s">
        <v>341</v>
      </c>
      <c r="N1227" s="14" t="s">
        <v>3808</v>
      </c>
      <c r="O1227" s="14" t="s">
        <v>1585</v>
      </c>
      <c r="P1227" s="14" t="s">
        <v>3811</v>
      </c>
      <c r="Q1227" s="14" t="s">
        <v>1590</v>
      </c>
      <c r="R1227" s="17">
        <v>450</v>
      </c>
      <c r="S1227" s="172" t="s">
        <v>51</v>
      </c>
      <c r="T1227" s="17">
        <v>2526</v>
      </c>
      <c r="U1227" s="14" t="s">
        <v>51</v>
      </c>
      <c r="V1227" s="16">
        <f t="shared" si="149"/>
        <v>244251</v>
      </c>
      <c r="W1227" s="16">
        <f t="shared" si="150"/>
        <v>244258</v>
      </c>
      <c r="X1227" s="16">
        <f t="shared" si="151"/>
        <v>244253</v>
      </c>
      <c r="Y1227" s="15" t="s">
        <v>54</v>
      </c>
      <c r="Z1227" s="177">
        <v>244254</v>
      </c>
      <c r="AA1227" s="170"/>
      <c r="AB1227" s="170"/>
      <c r="AC1227" s="170"/>
      <c r="AD1227" s="170"/>
      <c r="AE1227" s="15" t="s">
        <v>54</v>
      </c>
      <c r="AF1227" s="177">
        <v>244254</v>
      </c>
      <c r="AG1227" s="177" t="str">
        <f t="shared" si="152"/>
        <v>Pass</v>
      </c>
      <c r="AH1227" s="177">
        <f t="shared" si="153"/>
        <v>244254</v>
      </c>
      <c r="AK1227" s="176"/>
      <c r="AL1227" s="176"/>
    </row>
    <row r="1228" spans="1:38" ht="36" customHeight="1" x14ac:dyDescent="0.2">
      <c r="A1228" s="14" t="s">
        <v>25</v>
      </c>
      <c r="B1228" s="212">
        <v>244251</v>
      </c>
      <c r="C1228" s="14" t="s">
        <v>547</v>
      </c>
      <c r="D1228" s="14" t="s">
        <v>268</v>
      </c>
      <c r="E1228" s="14" t="s">
        <v>14</v>
      </c>
      <c r="F1228" s="14" t="s">
        <v>324</v>
      </c>
      <c r="G1228" s="179">
        <v>681227</v>
      </c>
      <c r="H1228" s="176" t="s">
        <v>3598</v>
      </c>
      <c r="I1228" s="176" t="s">
        <v>630</v>
      </c>
      <c r="J1228" s="176" t="s">
        <v>821</v>
      </c>
      <c r="K1228" s="176" t="s">
        <v>3790</v>
      </c>
      <c r="L1228" s="40" t="s">
        <v>124</v>
      </c>
      <c r="M1228" s="40" t="s">
        <v>341</v>
      </c>
      <c r="N1228" s="14" t="s">
        <v>1425</v>
      </c>
      <c r="O1228" s="14" t="s">
        <v>548</v>
      </c>
      <c r="P1228" s="14" t="s">
        <v>717</v>
      </c>
      <c r="Q1228" s="14" t="s">
        <v>549</v>
      </c>
      <c r="R1228" s="17">
        <v>302</v>
      </c>
      <c r="S1228" s="172" t="s">
        <v>51</v>
      </c>
      <c r="T1228" s="17">
        <v>2526</v>
      </c>
      <c r="U1228" s="14" t="s">
        <v>51</v>
      </c>
      <c r="V1228" s="16">
        <f t="shared" si="149"/>
        <v>244251</v>
      </c>
      <c r="W1228" s="16">
        <f t="shared" si="150"/>
        <v>244258</v>
      </c>
      <c r="X1228" s="16">
        <f t="shared" si="151"/>
        <v>244253</v>
      </c>
      <c r="Y1228" s="15" t="s">
        <v>54</v>
      </c>
      <c r="Z1228" s="177">
        <v>244254</v>
      </c>
      <c r="AA1228" s="170"/>
      <c r="AB1228" s="170"/>
      <c r="AC1228" s="170"/>
      <c r="AD1228" s="170"/>
      <c r="AE1228" s="15" t="s">
        <v>54</v>
      </c>
      <c r="AF1228" s="177">
        <v>244254</v>
      </c>
      <c r="AG1228" s="177" t="str">
        <f t="shared" si="152"/>
        <v>Pass</v>
      </c>
      <c r="AH1228" s="177">
        <f t="shared" si="153"/>
        <v>244254</v>
      </c>
      <c r="AK1228" s="176"/>
      <c r="AL1228" s="176"/>
    </row>
    <row r="1229" spans="1:38" ht="36" customHeight="1" x14ac:dyDescent="0.2">
      <c r="A1229" s="14" t="s">
        <v>25</v>
      </c>
      <c r="B1229" s="212">
        <v>244251</v>
      </c>
      <c r="C1229" s="14" t="s">
        <v>547</v>
      </c>
      <c r="D1229" s="14" t="s">
        <v>268</v>
      </c>
      <c r="E1229" s="14" t="s">
        <v>14</v>
      </c>
      <c r="F1229" s="14" t="s">
        <v>324</v>
      </c>
      <c r="G1229" s="179">
        <v>681228</v>
      </c>
      <c r="H1229" s="176" t="s">
        <v>759</v>
      </c>
      <c r="I1229" s="176" t="s">
        <v>3804</v>
      </c>
      <c r="J1229" s="176" t="s">
        <v>123</v>
      </c>
      <c r="K1229" s="176" t="s">
        <v>3806</v>
      </c>
      <c r="L1229" s="40" t="s">
        <v>105</v>
      </c>
      <c r="M1229" s="40" t="s">
        <v>341</v>
      </c>
      <c r="N1229" s="14" t="s">
        <v>3809</v>
      </c>
      <c r="O1229" s="14" t="s">
        <v>552</v>
      </c>
      <c r="P1229" s="14" t="s">
        <v>2811</v>
      </c>
      <c r="Q1229" s="14" t="s">
        <v>549</v>
      </c>
      <c r="R1229" s="17">
        <v>3150</v>
      </c>
      <c r="S1229" s="172" t="s">
        <v>51</v>
      </c>
      <c r="T1229" s="17">
        <v>1900</v>
      </c>
      <c r="U1229" s="14" t="s">
        <v>51</v>
      </c>
      <c r="V1229" s="16">
        <f t="shared" ref="V1229:V1292" si="154">B1229</f>
        <v>244251</v>
      </c>
      <c r="W1229" s="16">
        <f t="shared" ref="W1229:W1292" si="155">B1229+7</f>
        <v>244258</v>
      </c>
      <c r="X1229" s="16">
        <f t="shared" ref="X1229:X1292" si="156">V1229+2</f>
        <v>244253</v>
      </c>
      <c r="Y1229" s="15" t="s">
        <v>54</v>
      </c>
      <c r="Z1229" s="177">
        <v>244254</v>
      </c>
      <c r="AA1229" s="170"/>
      <c r="AB1229" s="170"/>
      <c r="AC1229" s="170"/>
      <c r="AD1229" s="170"/>
      <c r="AE1229" s="15" t="s">
        <v>54</v>
      </c>
      <c r="AF1229" s="177">
        <v>244254</v>
      </c>
      <c r="AG1229" s="177" t="str">
        <f t="shared" si="152"/>
        <v>Pass</v>
      </c>
      <c r="AH1229" s="177">
        <f t="shared" si="153"/>
        <v>244254</v>
      </c>
      <c r="AK1229" s="176"/>
      <c r="AL1229" s="176"/>
    </row>
    <row r="1230" spans="1:38" ht="36" customHeight="1" x14ac:dyDescent="0.2">
      <c r="A1230" s="14" t="s">
        <v>25</v>
      </c>
      <c r="B1230" s="212">
        <v>244251</v>
      </c>
      <c r="C1230" s="14" t="s">
        <v>547</v>
      </c>
      <c r="D1230" s="14" t="s">
        <v>268</v>
      </c>
      <c r="E1230" s="14" t="s">
        <v>14</v>
      </c>
      <c r="F1230" s="14" t="s">
        <v>324</v>
      </c>
      <c r="G1230" s="179">
        <v>681229</v>
      </c>
      <c r="H1230" s="176" t="s">
        <v>848</v>
      </c>
      <c r="I1230" s="176" t="s">
        <v>3805</v>
      </c>
      <c r="J1230" s="176" t="s">
        <v>131</v>
      </c>
      <c r="K1230" s="176" t="s">
        <v>3807</v>
      </c>
      <c r="L1230" s="40" t="s">
        <v>45</v>
      </c>
      <c r="M1230" s="40" t="s">
        <v>341</v>
      </c>
      <c r="N1230" s="14" t="s">
        <v>3810</v>
      </c>
      <c r="O1230" s="14" t="s">
        <v>528</v>
      </c>
      <c r="P1230" s="14" t="s">
        <v>3812</v>
      </c>
      <c r="Q1230" s="14" t="s">
        <v>541</v>
      </c>
      <c r="R1230" s="17">
        <v>300</v>
      </c>
      <c r="S1230" s="172" t="s">
        <v>51</v>
      </c>
      <c r="T1230" s="17">
        <v>2031</v>
      </c>
      <c r="U1230" s="14" t="s">
        <v>51</v>
      </c>
      <c r="V1230" s="16">
        <f t="shared" si="154"/>
        <v>244251</v>
      </c>
      <c r="W1230" s="16">
        <f t="shared" si="155"/>
        <v>244258</v>
      </c>
      <c r="X1230" s="16">
        <f t="shared" si="156"/>
        <v>244253</v>
      </c>
      <c r="Y1230" s="15" t="s">
        <v>54</v>
      </c>
      <c r="Z1230" s="177">
        <v>244254</v>
      </c>
      <c r="AA1230" s="170"/>
      <c r="AB1230" s="170"/>
      <c r="AC1230" s="170"/>
      <c r="AD1230" s="170"/>
      <c r="AE1230" s="15" t="s">
        <v>54</v>
      </c>
      <c r="AF1230" s="177">
        <v>244254</v>
      </c>
      <c r="AG1230" s="177" t="str">
        <f t="shared" si="152"/>
        <v>Pass</v>
      </c>
      <c r="AH1230" s="177">
        <f t="shared" si="153"/>
        <v>244254</v>
      </c>
      <c r="AK1230" s="176"/>
      <c r="AL1230" s="176"/>
    </row>
    <row r="1231" spans="1:38" ht="36" customHeight="1" x14ac:dyDescent="0.2">
      <c r="A1231" s="14" t="s">
        <v>25</v>
      </c>
      <c r="B1231" s="212">
        <v>244252</v>
      </c>
      <c r="C1231" s="14" t="s">
        <v>547</v>
      </c>
      <c r="D1231" s="14" t="s">
        <v>268</v>
      </c>
      <c r="E1231" s="14" t="s">
        <v>14</v>
      </c>
      <c r="F1231" s="14" t="s">
        <v>324</v>
      </c>
      <c r="G1231" s="179">
        <v>681230</v>
      </c>
      <c r="H1231" s="176" t="s">
        <v>1493</v>
      </c>
      <c r="I1231" s="176" t="s">
        <v>830</v>
      </c>
      <c r="J1231" s="176" t="s">
        <v>123</v>
      </c>
      <c r="K1231" s="176" t="s">
        <v>3813</v>
      </c>
      <c r="L1231" s="40" t="s">
        <v>105</v>
      </c>
      <c r="M1231" s="40" t="s">
        <v>341</v>
      </c>
      <c r="N1231" s="14" t="s">
        <v>3815</v>
      </c>
      <c r="O1231" s="14" t="s">
        <v>543</v>
      </c>
      <c r="P1231" s="14" t="s">
        <v>2104</v>
      </c>
      <c r="Q1231" s="14" t="s">
        <v>529</v>
      </c>
      <c r="R1231" s="17">
        <v>300</v>
      </c>
      <c r="S1231" s="172" t="s">
        <v>51</v>
      </c>
      <c r="T1231" s="17">
        <v>2000</v>
      </c>
      <c r="U1231" s="14" t="s">
        <v>51</v>
      </c>
      <c r="V1231" s="16">
        <f t="shared" si="154"/>
        <v>244252</v>
      </c>
      <c r="W1231" s="16">
        <f t="shared" si="155"/>
        <v>244259</v>
      </c>
      <c r="X1231" s="16">
        <f t="shared" si="156"/>
        <v>244254</v>
      </c>
      <c r="Y1231" s="15" t="s">
        <v>54</v>
      </c>
      <c r="Z1231" s="177">
        <v>244261</v>
      </c>
      <c r="AA1231" s="170"/>
      <c r="AB1231" s="170"/>
      <c r="AC1231" s="170"/>
      <c r="AD1231" s="170"/>
      <c r="AE1231" s="15" t="s">
        <v>54</v>
      </c>
      <c r="AF1231" s="177">
        <v>244264</v>
      </c>
      <c r="AG1231" s="177" t="str">
        <f t="shared" si="152"/>
        <v>Pass</v>
      </c>
      <c r="AH1231" s="177">
        <f t="shared" si="153"/>
        <v>244264</v>
      </c>
      <c r="AK1231" s="176"/>
      <c r="AL1231" s="176"/>
    </row>
    <row r="1232" spans="1:38" ht="36" customHeight="1" x14ac:dyDescent="0.2">
      <c r="A1232" s="14" t="s">
        <v>25</v>
      </c>
      <c r="B1232" s="212">
        <v>244252</v>
      </c>
      <c r="C1232" s="14" t="s">
        <v>547</v>
      </c>
      <c r="D1232" s="14" t="s">
        <v>268</v>
      </c>
      <c r="E1232" s="14" t="s">
        <v>14</v>
      </c>
      <c r="F1232" s="14" t="s">
        <v>324</v>
      </c>
      <c r="G1232" s="179">
        <v>681231</v>
      </c>
      <c r="H1232" s="176" t="s">
        <v>222</v>
      </c>
      <c r="I1232" s="176" t="s">
        <v>1874</v>
      </c>
      <c r="J1232" s="176" t="s">
        <v>127</v>
      </c>
      <c r="K1232" s="176" t="s">
        <v>3814</v>
      </c>
      <c r="L1232" s="40" t="s">
        <v>108</v>
      </c>
      <c r="M1232" s="40" t="s">
        <v>341</v>
      </c>
      <c r="N1232" s="14" t="s">
        <v>3816</v>
      </c>
      <c r="O1232" s="14" t="s">
        <v>543</v>
      </c>
      <c r="P1232" s="14" t="s">
        <v>2813</v>
      </c>
      <c r="Q1232" s="14" t="s">
        <v>529</v>
      </c>
      <c r="R1232" s="17">
        <v>400</v>
      </c>
      <c r="S1232" s="172" t="s">
        <v>51</v>
      </c>
      <c r="T1232" s="17">
        <v>3060</v>
      </c>
      <c r="U1232" s="14" t="s">
        <v>51</v>
      </c>
      <c r="V1232" s="16">
        <f t="shared" si="154"/>
        <v>244252</v>
      </c>
      <c r="W1232" s="16">
        <f t="shared" si="155"/>
        <v>244259</v>
      </c>
      <c r="X1232" s="16">
        <f t="shared" si="156"/>
        <v>244254</v>
      </c>
      <c r="Y1232" s="15" t="s">
        <v>54</v>
      </c>
      <c r="Z1232" s="177">
        <v>244261</v>
      </c>
      <c r="AA1232" s="170"/>
      <c r="AB1232" s="170"/>
      <c r="AC1232" s="170"/>
      <c r="AD1232" s="170"/>
      <c r="AE1232" s="15" t="s">
        <v>54</v>
      </c>
      <c r="AF1232" s="177">
        <v>244264</v>
      </c>
      <c r="AG1232" s="177" t="str">
        <f t="shared" si="152"/>
        <v>Pass</v>
      </c>
      <c r="AH1232" s="177">
        <f t="shared" si="153"/>
        <v>244264</v>
      </c>
      <c r="AK1232" s="176"/>
      <c r="AL1232" s="176"/>
    </row>
    <row r="1233" spans="1:38" ht="36" customHeight="1" x14ac:dyDescent="0.2">
      <c r="A1233" s="14" t="s">
        <v>25</v>
      </c>
      <c r="B1233" s="212">
        <v>244252</v>
      </c>
      <c r="C1233" s="14" t="s">
        <v>547</v>
      </c>
      <c r="D1233" s="14" t="s">
        <v>268</v>
      </c>
      <c r="E1233" s="14" t="s">
        <v>14</v>
      </c>
      <c r="F1233" s="14" t="s">
        <v>324</v>
      </c>
      <c r="G1233" s="179">
        <v>681232</v>
      </c>
      <c r="H1233" s="176" t="s">
        <v>848</v>
      </c>
      <c r="I1233" s="176" t="s">
        <v>3805</v>
      </c>
      <c r="J1233" s="176" t="s">
        <v>131</v>
      </c>
      <c r="K1233" s="176" t="s">
        <v>3807</v>
      </c>
      <c r="L1233" s="40" t="s">
        <v>45</v>
      </c>
      <c r="M1233" s="40" t="s">
        <v>341</v>
      </c>
      <c r="N1233" s="14" t="s">
        <v>3817</v>
      </c>
      <c r="O1233" s="14" t="s">
        <v>3818</v>
      </c>
      <c r="P1233" s="14" t="s">
        <v>3819</v>
      </c>
      <c r="Q1233" s="14" t="s">
        <v>3820</v>
      </c>
      <c r="R1233" s="17">
        <v>373</v>
      </c>
      <c r="S1233" s="172" t="s">
        <v>51</v>
      </c>
      <c r="T1233" s="17">
        <v>1910</v>
      </c>
      <c r="U1233" s="14" t="s">
        <v>51</v>
      </c>
      <c r="V1233" s="16">
        <f t="shared" si="154"/>
        <v>244252</v>
      </c>
      <c r="W1233" s="16">
        <f t="shared" si="155"/>
        <v>244259</v>
      </c>
      <c r="X1233" s="16">
        <f t="shared" si="156"/>
        <v>244254</v>
      </c>
      <c r="Y1233" s="15" t="s">
        <v>54</v>
      </c>
      <c r="Z1233" s="177">
        <v>244261</v>
      </c>
      <c r="AA1233" s="170"/>
      <c r="AB1233" s="170"/>
      <c r="AC1233" s="170"/>
      <c r="AD1233" s="170"/>
      <c r="AE1233" s="15" t="s">
        <v>54</v>
      </c>
      <c r="AF1233" s="177">
        <v>244264</v>
      </c>
      <c r="AG1233" s="177" t="str">
        <f t="shared" si="152"/>
        <v>Pass</v>
      </c>
      <c r="AH1233" s="177">
        <f t="shared" si="153"/>
        <v>244264</v>
      </c>
      <c r="AK1233" s="176"/>
      <c r="AL1233" s="176"/>
    </row>
    <row r="1234" spans="1:38" ht="36" customHeight="1" x14ac:dyDescent="0.2">
      <c r="A1234" s="14" t="s">
        <v>25</v>
      </c>
      <c r="B1234" s="212">
        <v>244253</v>
      </c>
      <c r="C1234" s="14" t="s">
        <v>547</v>
      </c>
      <c r="D1234" s="14" t="s">
        <v>268</v>
      </c>
      <c r="E1234" s="14" t="s">
        <v>14</v>
      </c>
      <c r="F1234" s="14" t="s">
        <v>324</v>
      </c>
      <c r="G1234" s="179">
        <v>681233</v>
      </c>
      <c r="H1234" s="176" t="s">
        <v>1233</v>
      </c>
      <c r="I1234" s="176" t="s">
        <v>3805</v>
      </c>
      <c r="J1234" s="176" t="s">
        <v>143</v>
      </c>
      <c r="K1234" s="176" t="s">
        <v>3821</v>
      </c>
      <c r="L1234" s="40" t="s">
        <v>46</v>
      </c>
      <c r="M1234" s="40" t="s">
        <v>341</v>
      </c>
      <c r="N1234" s="14" t="s">
        <v>3829</v>
      </c>
      <c r="O1234" s="14" t="s">
        <v>3830</v>
      </c>
      <c r="P1234" s="14" t="s">
        <v>684</v>
      </c>
      <c r="Q1234" s="14" t="s">
        <v>3831</v>
      </c>
      <c r="R1234" s="17">
        <v>310</v>
      </c>
      <c r="S1234" s="172" t="s">
        <v>51</v>
      </c>
      <c r="T1234" s="17">
        <v>500</v>
      </c>
      <c r="U1234" s="14" t="s">
        <v>51</v>
      </c>
      <c r="V1234" s="16">
        <f t="shared" si="154"/>
        <v>244253</v>
      </c>
      <c r="W1234" s="16">
        <f t="shared" si="155"/>
        <v>244260</v>
      </c>
      <c r="X1234" s="16">
        <f t="shared" si="156"/>
        <v>244255</v>
      </c>
      <c r="Y1234" s="15" t="s">
        <v>54</v>
      </c>
      <c r="Z1234" s="177">
        <v>244261</v>
      </c>
      <c r="AA1234" s="170"/>
      <c r="AB1234" s="170"/>
      <c r="AC1234" s="170"/>
      <c r="AD1234" s="170"/>
      <c r="AE1234" s="15" t="s">
        <v>54</v>
      </c>
      <c r="AF1234" s="177">
        <v>244264</v>
      </c>
      <c r="AG1234" s="177" t="str">
        <f t="shared" si="152"/>
        <v>Pass</v>
      </c>
      <c r="AH1234" s="177">
        <f t="shared" si="153"/>
        <v>244264</v>
      </c>
      <c r="AK1234" s="176"/>
      <c r="AL1234" s="176"/>
    </row>
    <row r="1235" spans="1:38" ht="36" customHeight="1" x14ac:dyDescent="0.2">
      <c r="A1235" s="14" t="s">
        <v>25</v>
      </c>
      <c r="B1235" s="212">
        <v>244253</v>
      </c>
      <c r="C1235" s="14" t="s">
        <v>547</v>
      </c>
      <c r="D1235" s="14" t="s">
        <v>268</v>
      </c>
      <c r="E1235" s="14" t="s">
        <v>14</v>
      </c>
      <c r="F1235" s="14" t="s">
        <v>324</v>
      </c>
      <c r="G1235" s="179">
        <v>681234</v>
      </c>
      <c r="H1235" s="176" t="s">
        <v>1695</v>
      </c>
      <c r="I1235" s="176" t="s">
        <v>664</v>
      </c>
      <c r="J1235" s="176" t="s">
        <v>123</v>
      </c>
      <c r="K1235" s="176" t="s">
        <v>3822</v>
      </c>
      <c r="L1235" s="40" t="s">
        <v>105</v>
      </c>
      <c r="M1235" s="40" t="s">
        <v>341</v>
      </c>
      <c r="N1235" s="14" t="s">
        <v>3824</v>
      </c>
      <c r="O1235" s="14" t="s">
        <v>548</v>
      </c>
      <c r="P1235" s="14" t="s">
        <v>717</v>
      </c>
      <c r="Q1235" s="14" t="s">
        <v>549</v>
      </c>
      <c r="R1235" s="17">
        <v>393</v>
      </c>
      <c r="S1235" s="172" t="s">
        <v>51</v>
      </c>
      <c r="T1235" s="17">
        <v>2008</v>
      </c>
      <c r="U1235" s="14" t="s">
        <v>51</v>
      </c>
      <c r="V1235" s="16">
        <f t="shared" si="154"/>
        <v>244253</v>
      </c>
      <c r="W1235" s="16">
        <f t="shared" si="155"/>
        <v>244260</v>
      </c>
      <c r="X1235" s="16">
        <f t="shared" si="156"/>
        <v>244255</v>
      </c>
      <c r="Y1235" s="15" t="s">
        <v>54</v>
      </c>
      <c r="Z1235" s="177">
        <v>244261</v>
      </c>
      <c r="AA1235" s="170"/>
      <c r="AB1235" s="170"/>
      <c r="AC1235" s="170"/>
      <c r="AD1235" s="170"/>
      <c r="AE1235" s="15" t="s">
        <v>54</v>
      </c>
      <c r="AF1235" s="177">
        <v>244264</v>
      </c>
      <c r="AG1235" s="177" t="str">
        <f t="shared" si="152"/>
        <v>Pass</v>
      </c>
      <c r="AH1235" s="177">
        <f t="shared" si="153"/>
        <v>244264</v>
      </c>
      <c r="AK1235" s="176"/>
      <c r="AL1235" s="176"/>
    </row>
    <row r="1236" spans="1:38" ht="36" customHeight="1" x14ac:dyDescent="0.2">
      <c r="A1236" s="14" t="s">
        <v>25</v>
      </c>
      <c r="B1236" s="212">
        <v>244253</v>
      </c>
      <c r="C1236" s="14" t="s">
        <v>547</v>
      </c>
      <c r="D1236" s="14" t="s">
        <v>268</v>
      </c>
      <c r="E1236" s="14" t="s">
        <v>14</v>
      </c>
      <c r="F1236" s="14" t="s">
        <v>324</v>
      </c>
      <c r="G1236" s="179">
        <v>681235</v>
      </c>
      <c r="H1236" s="176" t="s">
        <v>885</v>
      </c>
      <c r="I1236" s="176" t="s">
        <v>630</v>
      </c>
      <c r="J1236" s="176" t="s">
        <v>821</v>
      </c>
      <c r="K1236" s="176" t="s">
        <v>3823</v>
      </c>
      <c r="L1236" s="40" t="s">
        <v>124</v>
      </c>
      <c r="M1236" s="40" t="s">
        <v>341</v>
      </c>
      <c r="N1236" s="14" t="s">
        <v>3825</v>
      </c>
      <c r="O1236" s="14" t="s">
        <v>953</v>
      </c>
      <c r="P1236" s="14" t="s">
        <v>3828</v>
      </c>
      <c r="Q1236" s="14" t="s">
        <v>956</v>
      </c>
      <c r="R1236" s="17">
        <v>500</v>
      </c>
      <c r="S1236" s="172" t="s">
        <v>51</v>
      </c>
      <c r="T1236" s="17">
        <v>2729</v>
      </c>
      <c r="U1236" s="14" t="s">
        <v>51</v>
      </c>
      <c r="V1236" s="16">
        <f t="shared" si="154"/>
        <v>244253</v>
      </c>
      <c r="W1236" s="16">
        <f t="shared" si="155"/>
        <v>244260</v>
      </c>
      <c r="X1236" s="16">
        <f t="shared" si="156"/>
        <v>244255</v>
      </c>
      <c r="Y1236" s="15" t="s">
        <v>54</v>
      </c>
      <c r="Z1236" s="177">
        <v>244261</v>
      </c>
      <c r="AA1236" s="170"/>
      <c r="AB1236" s="170"/>
      <c r="AC1236" s="170"/>
      <c r="AD1236" s="170"/>
      <c r="AE1236" s="15" t="s">
        <v>54</v>
      </c>
      <c r="AF1236" s="177">
        <v>244264</v>
      </c>
      <c r="AG1236" s="177" t="str">
        <f t="shared" si="152"/>
        <v>Pass</v>
      </c>
      <c r="AH1236" s="177">
        <f t="shared" si="153"/>
        <v>244264</v>
      </c>
      <c r="AK1236" s="176"/>
      <c r="AL1236" s="176"/>
    </row>
    <row r="1237" spans="1:38" ht="36" customHeight="1" x14ac:dyDescent="0.2">
      <c r="A1237" s="14" t="s">
        <v>25</v>
      </c>
      <c r="B1237" s="212">
        <v>244253</v>
      </c>
      <c r="C1237" s="14" t="s">
        <v>547</v>
      </c>
      <c r="D1237" s="14" t="s">
        <v>268</v>
      </c>
      <c r="E1237" s="14" t="s">
        <v>14</v>
      </c>
      <c r="F1237" s="14" t="s">
        <v>324</v>
      </c>
      <c r="G1237" s="179">
        <v>681236</v>
      </c>
      <c r="H1237" s="176" t="s">
        <v>1233</v>
      </c>
      <c r="I1237" s="176" t="s">
        <v>3805</v>
      </c>
      <c r="J1237" s="176" t="s">
        <v>143</v>
      </c>
      <c r="K1237" s="176" t="s">
        <v>3821</v>
      </c>
      <c r="L1237" s="40" t="s">
        <v>46</v>
      </c>
      <c r="M1237" s="40" t="s">
        <v>341</v>
      </c>
      <c r="N1237" s="14" t="s">
        <v>2748</v>
      </c>
      <c r="O1237" s="14" t="s">
        <v>548</v>
      </c>
      <c r="P1237" s="14" t="s">
        <v>717</v>
      </c>
      <c r="Q1237" s="14" t="s">
        <v>549</v>
      </c>
      <c r="R1237" s="17">
        <v>148</v>
      </c>
      <c r="S1237" s="172" t="s">
        <v>51</v>
      </c>
      <c r="T1237" s="17">
        <v>2300</v>
      </c>
      <c r="U1237" s="14" t="s">
        <v>51</v>
      </c>
      <c r="V1237" s="16">
        <f t="shared" si="154"/>
        <v>244253</v>
      </c>
      <c r="W1237" s="16">
        <f t="shared" si="155"/>
        <v>244260</v>
      </c>
      <c r="X1237" s="16">
        <f t="shared" si="156"/>
        <v>244255</v>
      </c>
      <c r="Y1237" s="15" t="s">
        <v>54</v>
      </c>
      <c r="Z1237" s="177">
        <v>244261</v>
      </c>
      <c r="AA1237" s="170"/>
      <c r="AB1237" s="170"/>
      <c r="AC1237" s="170"/>
      <c r="AD1237" s="170"/>
      <c r="AE1237" s="15" t="s">
        <v>54</v>
      </c>
      <c r="AF1237" s="177">
        <v>244264</v>
      </c>
      <c r="AG1237" s="177" t="str">
        <f t="shared" si="152"/>
        <v>Pass</v>
      </c>
      <c r="AH1237" s="177">
        <f t="shared" si="153"/>
        <v>244264</v>
      </c>
      <c r="AK1237" s="176"/>
      <c r="AL1237" s="176"/>
    </row>
    <row r="1238" spans="1:38" ht="36" customHeight="1" x14ac:dyDescent="0.2">
      <c r="A1238" s="14" t="s">
        <v>25</v>
      </c>
      <c r="B1238" s="212">
        <v>244253</v>
      </c>
      <c r="C1238" s="14" t="s">
        <v>547</v>
      </c>
      <c r="D1238" s="14" t="s">
        <v>268</v>
      </c>
      <c r="E1238" s="14" t="s">
        <v>14</v>
      </c>
      <c r="F1238" s="14" t="s">
        <v>324</v>
      </c>
      <c r="G1238" s="179">
        <v>681237</v>
      </c>
      <c r="H1238" s="176" t="s">
        <v>885</v>
      </c>
      <c r="I1238" s="176" t="s">
        <v>630</v>
      </c>
      <c r="J1238" s="176" t="s">
        <v>821</v>
      </c>
      <c r="K1238" s="176" t="s">
        <v>3823</v>
      </c>
      <c r="L1238" s="40" t="s">
        <v>124</v>
      </c>
      <c r="M1238" s="40" t="s">
        <v>341</v>
      </c>
      <c r="N1238" s="14" t="s">
        <v>3826</v>
      </c>
      <c r="O1238" s="14" t="s">
        <v>548</v>
      </c>
      <c r="P1238" s="14" t="s">
        <v>717</v>
      </c>
      <c r="Q1238" s="14" t="s">
        <v>549</v>
      </c>
      <c r="R1238" s="17">
        <v>104</v>
      </c>
      <c r="S1238" s="172" t="s">
        <v>51</v>
      </c>
      <c r="T1238" s="17">
        <v>2729</v>
      </c>
      <c r="U1238" s="14" t="s">
        <v>51</v>
      </c>
      <c r="V1238" s="16">
        <f t="shared" si="154"/>
        <v>244253</v>
      </c>
      <c r="W1238" s="16">
        <f t="shared" si="155"/>
        <v>244260</v>
      </c>
      <c r="X1238" s="16">
        <f t="shared" si="156"/>
        <v>244255</v>
      </c>
      <c r="Y1238" s="15" t="s">
        <v>54</v>
      </c>
      <c r="Z1238" s="177">
        <v>244261</v>
      </c>
      <c r="AA1238" s="170"/>
      <c r="AB1238" s="170"/>
      <c r="AC1238" s="170"/>
      <c r="AD1238" s="170"/>
      <c r="AE1238" s="15" t="s">
        <v>54</v>
      </c>
      <c r="AF1238" s="177">
        <v>244264</v>
      </c>
      <c r="AG1238" s="177" t="str">
        <f t="shared" si="152"/>
        <v>Pass</v>
      </c>
      <c r="AH1238" s="177">
        <f t="shared" si="153"/>
        <v>244264</v>
      </c>
      <c r="AK1238" s="176"/>
      <c r="AL1238" s="176"/>
    </row>
    <row r="1239" spans="1:38" ht="36" customHeight="1" x14ac:dyDescent="0.2">
      <c r="A1239" s="14" t="s">
        <v>25</v>
      </c>
      <c r="B1239" s="212">
        <v>244253</v>
      </c>
      <c r="C1239" s="14" t="s">
        <v>547</v>
      </c>
      <c r="D1239" s="14" t="s">
        <v>268</v>
      </c>
      <c r="E1239" s="14" t="s">
        <v>14</v>
      </c>
      <c r="F1239" s="14" t="s">
        <v>324</v>
      </c>
      <c r="G1239" s="179">
        <v>681238</v>
      </c>
      <c r="H1239" s="176" t="s">
        <v>848</v>
      </c>
      <c r="I1239" s="176" t="s">
        <v>3805</v>
      </c>
      <c r="J1239" s="176" t="s">
        <v>131</v>
      </c>
      <c r="K1239" s="176" t="s">
        <v>3807</v>
      </c>
      <c r="L1239" s="40" t="s">
        <v>45</v>
      </c>
      <c r="M1239" s="40" t="s">
        <v>341</v>
      </c>
      <c r="N1239" s="14" t="s">
        <v>3827</v>
      </c>
      <c r="O1239" s="14" t="s">
        <v>548</v>
      </c>
      <c r="P1239" s="14" t="s">
        <v>717</v>
      </c>
      <c r="Q1239" s="14" t="s">
        <v>549</v>
      </c>
      <c r="R1239" s="17">
        <v>276</v>
      </c>
      <c r="S1239" s="172" t="s">
        <v>51</v>
      </c>
      <c r="T1239" s="17">
        <v>1960</v>
      </c>
      <c r="U1239" s="14" t="s">
        <v>51</v>
      </c>
      <c r="V1239" s="16">
        <f t="shared" si="154"/>
        <v>244253</v>
      </c>
      <c r="W1239" s="16">
        <f t="shared" si="155"/>
        <v>244260</v>
      </c>
      <c r="X1239" s="16">
        <f t="shared" si="156"/>
        <v>244255</v>
      </c>
      <c r="Y1239" s="15" t="s">
        <v>54</v>
      </c>
      <c r="Z1239" s="177">
        <v>244261</v>
      </c>
      <c r="AA1239" s="170"/>
      <c r="AB1239" s="170"/>
      <c r="AC1239" s="170"/>
      <c r="AD1239" s="170"/>
      <c r="AE1239" s="15" t="s">
        <v>54</v>
      </c>
      <c r="AF1239" s="177">
        <v>244264</v>
      </c>
      <c r="AG1239" s="177" t="str">
        <f t="shared" si="152"/>
        <v>Pass</v>
      </c>
      <c r="AH1239" s="177">
        <f t="shared" si="153"/>
        <v>244264</v>
      </c>
      <c r="AK1239" s="176"/>
      <c r="AL1239" s="176"/>
    </row>
    <row r="1240" spans="1:38" ht="36" customHeight="1" x14ac:dyDescent="0.2">
      <c r="A1240" s="14" t="s">
        <v>25</v>
      </c>
      <c r="B1240" s="212">
        <v>244254</v>
      </c>
      <c r="C1240" s="14" t="s">
        <v>547</v>
      </c>
      <c r="D1240" s="14" t="s">
        <v>268</v>
      </c>
      <c r="E1240" s="14" t="s">
        <v>14</v>
      </c>
      <c r="F1240" s="14" t="s">
        <v>324</v>
      </c>
      <c r="G1240" s="179">
        <v>681239</v>
      </c>
      <c r="H1240" s="176" t="s">
        <v>3173</v>
      </c>
      <c r="I1240" s="176" t="s">
        <v>830</v>
      </c>
      <c r="J1240" s="176" t="s">
        <v>123</v>
      </c>
      <c r="K1240" s="176" t="s">
        <v>3834</v>
      </c>
      <c r="L1240" s="40" t="s">
        <v>105</v>
      </c>
      <c r="M1240" s="40" t="s">
        <v>341</v>
      </c>
      <c r="N1240" s="14" t="s">
        <v>3839</v>
      </c>
      <c r="O1240" s="14" t="s">
        <v>543</v>
      </c>
      <c r="P1240" s="14" t="s">
        <v>3845</v>
      </c>
      <c r="Q1240" s="14" t="s">
        <v>529</v>
      </c>
      <c r="R1240" s="17">
        <v>1100</v>
      </c>
      <c r="S1240" s="172" t="s">
        <v>51</v>
      </c>
      <c r="T1240" s="17">
        <v>1625</v>
      </c>
      <c r="U1240" s="14" t="s">
        <v>51</v>
      </c>
      <c r="V1240" s="16">
        <f t="shared" si="154"/>
        <v>244254</v>
      </c>
      <c r="W1240" s="16">
        <f t="shared" si="155"/>
        <v>244261</v>
      </c>
      <c r="X1240" s="16">
        <f t="shared" si="156"/>
        <v>244256</v>
      </c>
      <c r="Y1240" s="15" t="s">
        <v>54</v>
      </c>
      <c r="Z1240" s="177">
        <v>244261</v>
      </c>
      <c r="AA1240" s="170"/>
      <c r="AB1240" s="170"/>
      <c r="AC1240" s="170"/>
      <c r="AD1240" s="170"/>
      <c r="AE1240" s="15" t="s">
        <v>54</v>
      </c>
      <c r="AF1240" s="177">
        <v>244264</v>
      </c>
      <c r="AG1240" s="177" t="str">
        <f t="shared" si="152"/>
        <v>Pass</v>
      </c>
      <c r="AH1240" s="177">
        <f t="shared" si="153"/>
        <v>244264</v>
      </c>
      <c r="AK1240" s="176"/>
      <c r="AL1240" s="176"/>
    </row>
    <row r="1241" spans="1:38" ht="36" customHeight="1" x14ac:dyDescent="0.2">
      <c r="A1241" s="14" t="s">
        <v>25</v>
      </c>
      <c r="B1241" s="212">
        <v>244254</v>
      </c>
      <c r="C1241" s="14" t="s">
        <v>547</v>
      </c>
      <c r="D1241" s="14" t="s">
        <v>268</v>
      </c>
      <c r="E1241" s="14" t="s">
        <v>14</v>
      </c>
      <c r="F1241" s="14" t="s">
        <v>324</v>
      </c>
      <c r="G1241" s="179">
        <v>681240</v>
      </c>
      <c r="H1241" s="176" t="s">
        <v>1754</v>
      </c>
      <c r="I1241" s="176" t="s">
        <v>3805</v>
      </c>
      <c r="J1241" s="176" t="s">
        <v>131</v>
      </c>
      <c r="K1241" s="176" t="s">
        <v>3835</v>
      </c>
      <c r="L1241" s="40" t="s">
        <v>45</v>
      </c>
      <c r="M1241" s="40" t="s">
        <v>341</v>
      </c>
      <c r="N1241" s="14" t="s">
        <v>3840</v>
      </c>
      <c r="O1241" s="14" t="s">
        <v>528</v>
      </c>
      <c r="P1241" s="14" t="s">
        <v>3846</v>
      </c>
      <c r="Q1241" s="14" t="s">
        <v>541</v>
      </c>
      <c r="R1241" s="17">
        <v>400</v>
      </c>
      <c r="S1241" s="172" t="s">
        <v>51</v>
      </c>
      <c r="T1241" s="17">
        <v>2020</v>
      </c>
      <c r="U1241" s="14" t="s">
        <v>51</v>
      </c>
      <c r="V1241" s="16">
        <f t="shared" si="154"/>
        <v>244254</v>
      </c>
      <c r="W1241" s="16">
        <f t="shared" si="155"/>
        <v>244261</v>
      </c>
      <c r="X1241" s="16">
        <f t="shared" si="156"/>
        <v>244256</v>
      </c>
      <c r="Y1241" s="15" t="s">
        <v>54</v>
      </c>
      <c r="Z1241" s="177">
        <v>244261</v>
      </c>
      <c r="AA1241" s="170"/>
      <c r="AB1241" s="170"/>
      <c r="AC1241" s="170"/>
      <c r="AD1241" s="170"/>
      <c r="AE1241" s="15" t="s">
        <v>54</v>
      </c>
      <c r="AF1241" s="177">
        <v>244264</v>
      </c>
      <c r="AG1241" s="177" t="str">
        <f t="shared" si="152"/>
        <v>Pass</v>
      </c>
      <c r="AH1241" s="177">
        <f t="shared" si="153"/>
        <v>244264</v>
      </c>
      <c r="AK1241" s="176"/>
      <c r="AL1241" s="176"/>
    </row>
    <row r="1242" spans="1:38" ht="36" customHeight="1" x14ac:dyDescent="0.2">
      <c r="A1242" s="14" t="s">
        <v>25</v>
      </c>
      <c r="B1242" s="212">
        <v>244254</v>
      </c>
      <c r="C1242" s="14" t="s">
        <v>547</v>
      </c>
      <c r="D1242" s="14" t="s">
        <v>268</v>
      </c>
      <c r="E1242" s="14" t="s">
        <v>14</v>
      </c>
      <c r="F1242" s="14" t="s">
        <v>324</v>
      </c>
      <c r="G1242" s="179">
        <v>681241</v>
      </c>
      <c r="H1242" s="176" t="s">
        <v>3832</v>
      </c>
      <c r="I1242" s="176" t="s">
        <v>3805</v>
      </c>
      <c r="J1242" s="176" t="s">
        <v>131</v>
      </c>
      <c r="K1242" s="176" t="s">
        <v>3836</v>
      </c>
      <c r="L1242" s="40" t="s">
        <v>45</v>
      </c>
      <c r="M1242" s="40" t="s">
        <v>341</v>
      </c>
      <c r="N1242" s="14" t="s">
        <v>780</v>
      </c>
      <c r="O1242" s="14" t="s">
        <v>548</v>
      </c>
      <c r="P1242" s="14" t="s">
        <v>717</v>
      </c>
      <c r="Q1242" s="14" t="s">
        <v>549</v>
      </c>
      <c r="R1242" s="17">
        <v>175</v>
      </c>
      <c r="S1242" s="172" t="s">
        <v>51</v>
      </c>
      <c r="T1242" s="17">
        <v>1920</v>
      </c>
      <c r="U1242" s="14" t="s">
        <v>51</v>
      </c>
      <c r="V1242" s="16">
        <f t="shared" si="154"/>
        <v>244254</v>
      </c>
      <c r="W1242" s="16">
        <f t="shared" si="155"/>
        <v>244261</v>
      </c>
      <c r="X1242" s="16">
        <f t="shared" si="156"/>
        <v>244256</v>
      </c>
      <c r="Y1242" s="15" t="s">
        <v>54</v>
      </c>
      <c r="Z1242" s="177">
        <v>244261</v>
      </c>
      <c r="AA1242" s="170"/>
      <c r="AB1242" s="170"/>
      <c r="AC1242" s="170"/>
      <c r="AD1242" s="170"/>
      <c r="AE1242" s="15" t="s">
        <v>54</v>
      </c>
      <c r="AF1242" s="177">
        <v>244264</v>
      </c>
      <c r="AG1242" s="177" t="str">
        <f t="shared" si="152"/>
        <v>Pass</v>
      </c>
      <c r="AH1242" s="177">
        <f t="shared" si="153"/>
        <v>244264</v>
      </c>
      <c r="AK1242" s="176"/>
      <c r="AL1242" s="176"/>
    </row>
    <row r="1243" spans="1:38" ht="36" customHeight="1" x14ac:dyDescent="0.2">
      <c r="A1243" s="14" t="s">
        <v>25</v>
      </c>
      <c r="B1243" s="212">
        <v>244254</v>
      </c>
      <c r="C1243" s="14" t="s">
        <v>547</v>
      </c>
      <c r="D1243" s="14" t="s">
        <v>268</v>
      </c>
      <c r="E1243" s="14" t="s">
        <v>14</v>
      </c>
      <c r="F1243" s="14" t="s">
        <v>324</v>
      </c>
      <c r="G1243" s="179">
        <v>681242</v>
      </c>
      <c r="H1243" s="176" t="s">
        <v>2535</v>
      </c>
      <c r="I1243" s="176" t="s">
        <v>630</v>
      </c>
      <c r="J1243" s="176" t="s">
        <v>2525</v>
      </c>
      <c r="K1243" s="176" t="s">
        <v>3837</v>
      </c>
      <c r="L1243" s="40" t="s">
        <v>45</v>
      </c>
      <c r="M1243" s="40" t="s">
        <v>341</v>
      </c>
      <c r="N1243" s="14" t="s">
        <v>3841</v>
      </c>
      <c r="O1243" s="14" t="s">
        <v>543</v>
      </c>
      <c r="P1243" s="14" t="s">
        <v>3847</v>
      </c>
      <c r="Q1243" s="14" t="s">
        <v>529</v>
      </c>
      <c r="R1243" s="17">
        <v>360</v>
      </c>
      <c r="S1243" s="172" t="s">
        <v>51</v>
      </c>
      <c r="T1243" s="17">
        <v>2120</v>
      </c>
      <c r="U1243" s="14" t="s">
        <v>51</v>
      </c>
      <c r="V1243" s="16">
        <f t="shared" si="154"/>
        <v>244254</v>
      </c>
      <c r="W1243" s="16">
        <f t="shared" si="155"/>
        <v>244261</v>
      </c>
      <c r="X1243" s="16">
        <f t="shared" si="156"/>
        <v>244256</v>
      </c>
      <c r="Y1243" s="15" t="s">
        <v>54</v>
      </c>
      <c r="Z1243" s="177">
        <v>244261</v>
      </c>
      <c r="AA1243" s="170"/>
      <c r="AB1243" s="170"/>
      <c r="AC1243" s="170"/>
      <c r="AD1243" s="170"/>
      <c r="AE1243" s="15" t="s">
        <v>54</v>
      </c>
      <c r="AF1243" s="177">
        <v>244264</v>
      </c>
      <c r="AG1243" s="177" t="str">
        <f t="shared" si="152"/>
        <v>Pass</v>
      </c>
      <c r="AH1243" s="177">
        <f t="shared" si="153"/>
        <v>244264</v>
      </c>
      <c r="AK1243" s="176"/>
      <c r="AL1243" s="176"/>
    </row>
    <row r="1244" spans="1:38" ht="36" customHeight="1" x14ac:dyDescent="0.2">
      <c r="A1244" s="14" t="s">
        <v>25</v>
      </c>
      <c r="B1244" s="212">
        <v>244254</v>
      </c>
      <c r="C1244" s="14" t="s">
        <v>547</v>
      </c>
      <c r="D1244" s="14" t="s">
        <v>268</v>
      </c>
      <c r="E1244" s="14" t="s">
        <v>14</v>
      </c>
      <c r="F1244" s="14" t="s">
        <v>324</v>
      </c>
      <c r="G1244" s="179">
        <v>681243</v>
      </c>
      <c r="H1244" s="176" t="s">
        <v>2535</v>
      </c>
      <c r="I1244" s="176" t="s">
        <v>630</v>
      </c>
      <c r="J1244" s="176" t="s">
        <v>2525</v>
      </c>
      <c r="K1244" s="176" t="s">
        <v>3837</v>
      </c>
      <c r="L1244" s="40" t="s">
        <v>45</v>
      </c>
      <c r="M1244" s="40" t="s">
        <v>341</v>
      </c>
      <c r="N1244" s="14" t="s">
        <v>3842</v>
      </c>
      <c r="O1244" s="14" t="s">
        <v>548</v>
      </c>
      <c r="P1244" s="14" t="s">
        <v>717</v>
      </c>
      <c r="Q1244" s="14" t="s">
        <v>549</v>
      </c>
      <c r="R1244" s="17">
        <v>380</v>
      </c>
      <c r="S1244" s="172" t="s">
        <v>51</v>
      </c>
      <c r="T1244" s="17">
        <v>2120</v>
      </c>
      <c r="U1244" s="14" t="s">
        <v>51</v>
      </c>
      <c r="V1244" s="16">
        <f t="shared" si="154"/>
        <v>244254</v>
      </c>
      <c r="W1244" s="16">
        <f t="shared" si="155"/>
        <v>244261</v>
      </c>
      <c r="X1244" s="16">
        <f t="shared" si="156"/>
        <v>244256</v>
      </c>
      <c r="Y1244" s="15" t="s">
        <v>54</v>
      </c>
      <c r="Z1244" s="177">
        <v>244261</v>
      </c>
      <c r="AA1244" s="170"/>
      <c r="AB1244" s="170"/>
      <c r="AC1244" s="170"/>
      <c r="AD1244" s="170"/>
      <c r="AE1244" s="15" t="s">
        <v>54</v>
      </c>
      <c r="AF1244" s="177">
        <v>244264</v>
      </c>
      <c r="AG1244" s="177" t="str">
        <f t="shared" si="152"/>
        <v>Pass</v>
      </c>
      <c r="AH1244" s="177">
        <f t="shared" si="153"/>
        <v>244264</v>
      </c>
      <c r="AK1244" s="176"/>
      <c r="AL1244" s="176"/>
    </row>
    <row r="1245" spans="1:38" ht="36" customHeight="1" x14ac:dyDescent="0.2">
      <c r="A1245" s="14" t="s">
        <v>25</v>
      </c>
      <c r="B1245" s="212">
        <v>244254</v>
      </c>
      <c r="C1245" s="14" t="s">
        <v>547</v>
      </c>
      <c r="D1245" s="14" t="s">
        <v>268</v>
      </c>
      <c r="E1245" s="14" t="s">
        <v>14</v>
      </c>
      <c r="F1245" s="14" t="s">
        <v>324</v>
      </c>
      <c r="G1245" s="179">
        <v>681244</v>
      </c>
      <c r="H1245" s="176" t="s">
        <v>3833</v>
      </c>
      <c r="I1245" s="176" t="s">
        <v>3614</v>
      </c>
      <c r="J1245" s="176" t="s">
        <v>3616</v>
      </c>
      <c r="K1245" s="176" t="s">
        <v>3838</v>
      </c>
      <c r="L1245" s="40" t="s">
        <v>105</v>
      </c>
      <c r="M1245" s="40" t="s">
        <v>341</v>
      </c>
      <c r="N1245" s="14" t="s">
        <v>3843</v>
      </c>
      <c r="O1245" s="14" t="s">
        <v>528</v>
      </c>
      <c r="P1245" s="14" t="s">
        <v>517</v>
      </c>
      <c r="Q1245" s="14" t="s">
        <v>541</v>
      </c>
      <c r="R1245" s="17">
        <v>500</v>
      </c>
      <c r="S1245" s="172" t="s">
        <v>51</v>
      </c>
      <c r="T1245" s="17">
        <v>1820</v>
      </c>
      <c r="U1245" s="14" t="s">
        <v>51</v>
      </c>
      <c r="V1245" s="16">
        <f t="shared" si="154"/>
        <v>244254</v>
      </c>
      <c r="W1245" s="16">
        <f t="shared" si="155"/>
        <v>244261</v>
      </c>
      <c r="X1245" s="16">
        <f t="shared" si="156"/>
        <v>244256</v>
      </c>
      <c r="Y1245" s="15" t="s">
        <v>54</v>
      </c>
      <c r="Z1245" s="177">
        <v>244261</v>
      </c>
      <c r="AA1245" s="170"/>
      <c r="AB1245" s="170"/>
      <c r="AC1245" s="170"/>
      <c r="AD1245" s="170"/>
      <c r="AE1245" s="15" t="s">
        <v>54</v>
      </c>
      <c r="AF1245" s="177">
        <v>244264</v>
      </c>
      <c r="AG1245" s="177" t="str">
        <f t="shared" si="152"/>
        <v>Pass</v>
      </c>
      <c r="AH1245" s="177">
        <f t="shared" si="153"/>
        <v>244264</v>
      </c>
      <c r="AK1245" s="176"/>
      <c r="AL1245" s="176"/>
    </row>
    <row r="1246" spans="1:38" ht="36" customHeight="1" x14ac:dyDescent="0.2">
      <c r="A1246" s="14" t="s">
        <v>25</v>
      </c>
      <c r="B1246" s="212">
        <v>244254</v>
      </c>
      <c r="C1246" s="14" t="s">
        <v>547</v>
      </c>
      <c r="D1246" s="14" t="s">
        <v>268</v>
      </c>
      <c r="E1246" s="14" t="s">
        <v>14</v>
      </c>
      <c r="F1246" s="14" t="s">
        <v>324</v>
      </c>
      <c r="G1246" s="179">
        <v>681245</v>
      </c>
      <c r="H1246" s="176" t="s">
        <v>2535</v>
      </c>
      <c r="I1246" s="176" t="s">
        <v>630</v>
      </c>
      <c r="J1246" s="176" t="s">
        <v>2525</v>
      </c>
      <c r="K1246" s="176" t="s">
        <v>3837</v>
      </c>
      <c r="L1246" s="40" t="s">
        <v>45</v>
      </c>
      <c r="M1246" s="40" t="s">
        <v>341</v>
      </c>
      <c r="N1246" s="14" t="s">
        <v>3844</v>
      </c>
      <c r="O1246" s="14" t="s">
        <v>3951</v>
      </c>
      <c r="P1246" s="14" t="s">
        <v>717</v>
      </c>
      <c r="Q1246" s="14" t="s">
        <v>3952</v>
      </c>
      <c r="R1246" s="17">
        <v>650</v>
      </c>
      <c r="S1246" s="172" t="s">
        <v>51</v>
      </c>
      <c r="T1246" s="17">
        <v>2115</v>
      </c>
      <c r="U1246" s="14" t="s">
        <v>51</v>
      </c>
      <c r="V1246" s="16">
        <f t="shared" si="154"/>
        <v>244254</v>
      </c>
      <c r="W1246" s="16">
        <f t="shared" si="155"/>
        <v>244261</v>
      </c>
      <c r="X1246" s="16">
        <f t="shared" si="156"/>
        <v>244256</v>
      </c>
      <c r="Y1246" s="15" t="s">
        <v>54</v>
      </c>
      <c r="Z1246" s="177">
        <v>244261</v>
      </c>
      <c r="AA1246" s="170"/>
      <c r="AB1246" s="170"/>
      <c r="AC1246" s="170"/>
      <c r="AD1246" s="170"/>
      <c r="AE1246" s="15" t="s">
        <v>54</v>
      </c>
      <c r="AF1246" s="177">
        <v>244264</v>
      </c>
      <c r="AG1246" s="177" t="str">
        <f t="shared" si="152"/>
        <v>Pass</v>
      </c>
      <c r="AH1246" s="177">
        <f t="shared" si="153"/>
        <v>244264</v>
      </c>
      <c r="AK1246" s="176"/>
      <c r="AL1246" s="176"/>
    </row>
    <row r="1247" spans="1:38" ht="36" customHeight="1" x14ac:dyDescent="0.2">
      <c r="A1247" s="14" t="s">
        <v>25</v>
      </c>
      <c r="B1247" s="212">
        <v>244254</v>
      </c>
      <c r="C1247" s="14" t="s">
        <v>547</v>
      </c>
      <c r="D1247" s="14" t="s">
        <v>268</v>
      </c>
      <c r="E1247" s="14" t="s">
        <v>14</v>
      </c>
      <c r="F1247" s="14" t="s">
        <v>324</v>
      </c>
      <c r="G1247" s="179">
        <v>681246</v>
      </c>
      <c r="H1247" s="176" t="s">
        <v>627</v>
      </c>
      <c r="I1247" s="176" t="s">
        <v>630</v>
      </c>
      <c r="J1247" s="176" t="s">
        <v>520</v>
      </c>
      <c r="K1247" s="176" t="s">
        <v>3848</v>
      </c>
      <c r="L1247" s="40" t="s">
        <v>46</v>
      </c>
      <c r="M1247" s="40" t="s">
        <v>341</v>
      </c>
      <c r="N1247" s="14" t="s">
        <v>733</v>
      </c>
      <c r="O1247" s="14" t="s">
        <v>557</v>
      </c>
      <c r="P1247" s="14" t="s">
        <v>517</v>
      </c>
      <c r="Q1247" s="14" t="s">
        <v>558</v>
      </c>
      <c r="R1247" s="17">
        <v>300</v>
      </c>
      <c r="S1247" s="172" t="s">
        <v>51</v>
      </c>
      <c r="T1247" s="17">
        <v>1975</v>
      </c>
      <c r="U1247" s="14" t="s">
        <v>51</v>
      </c>
      <c r="V1247" s="16">
        <f t="shared" si="154"/>
        <v>244254</v>
      </c>
      <c r="W1247" s="16">
        <f t="shared" si="155"/>
        <v>244261</v>
      </c>
      <c r="X1247" s="16">
        <f t="shared" si="156"/>
        <v>244256</v>
      </c>
      <c r="Y1247" s="15" t="s">
        <v>54</v>
      </c>
      <c r="Z1247" s="177">
        <v>244261</v>
      </c>
      <c r="AA1247" s="170"/>
      <c r="AB1247" s="170"/>
      <c r="AC1247" s="170"/>
      <c r="AD1247" s="170"/>
      <c r="AE1247" s="15" t="s">
        <v>54</v>
      </c>
      <c r="AF1247" s="177">
        <v>244264</v>
      </c>
      <c r="AG1247" s="177" t="str">
        <f t="shared" si="152"/>
        <v>Pass</v>
      </c>
      <c r="AH1247" s="177">
        <f t="shared" si="153"/>
        <v>244264</v>
      </c>
      <c r="AK1247" s="176"/>
      <c r="AL1247" s="176"/>
    </row>
    <row r="1248" spans="1:38" ht="36" customHeight="1" x14ac:dyDescent="0.2">
      <c r="A1248" s="14" t="s">
        <v>25</v>
      </c>
      <c r="B1248" s="212">
        <v>244256</v>
      </c>
      <c r="C1248" s="14" t="s">
        <v>547</v>
      </c>
      <c r="D1248" s="14" t="s">
        <v>268</v>
      </c>
      <c r="E1248" s="14" t="s">
        <v>14</v>
      </c>
      <c r="F1248" s="14" t="s">
        <v>324</v>
      </c>
      <c r="G1248" s="179">
        <v>681247</v>
      </c>
      <c r="H1248" s="176" t="s">
        <v>1054</v>
      </c>
      <c r="I1248" s="176" t="s">
        <v>551</v>
      </c>
      <c r="J1248" s="176" t="s">
        <v>832</v>
      </c>
      <c r="K1248" s="176" t="s">
        <v>3851</v>
      </c>
      <c r="L1248" s="40" t="s">
        <v>108</v>
      </c>
      <c r="M1248" s="40" t="s">
        <v>341</v>
      </c>
      <c r="N1248" s="14" t="s">
        <v>1938</v>
      </c>
      <c r="O1248" s="14" t="s">
        <v>548</v>
      </c>
      <c r="P1248" s="14" t="s">
        <v>717</v>
      </c>
      <c r="Q1248" s="14" t="s">
        <v>549</v>
      </c>
      <c r="R1248" s="17">
        <v>400</v>
      </c>
      <c r="S1248" s="172" t="s">
        <v>51</v>
      </c>
      <c r="T1248" s="17">
        <v>420</v>
      </c>
      <c r="U1248" s="14" t="s">
        <v>51</v>
      </c>
      <c r="V1248" s="16">
        <f t="shared" si="154"/>
        <v>244256</v>
      </c>
      <c r="W1248" s="16">
        <f t="shared" si="155"/>
        <v>244263</v>
      </c>
      <c r="X1248" s="16">
        <f t="shared" si="156"/>
        <v>244258</v>
      </c>
      <c r="Y1248" s="15" t="s">
        <v>54</v>
      </c>
      <c r="Z1248" s="177">
        <v>244261</v>
      </c>
      <c r="AA1248" s="170"/>
      <c r="AB1248" s="170"/>
      <c r="AC1248" s="170"/>
      <c r="AD1248" s="170"/>
      <c r="AE1248" s="15" t="s">
        <v>54</v>
      </c>
      <c r="AF1248" s="177">
        <v>244264</v>
      </c>
      <c r="AG1248" s="177" t="str">
        <f t="shared" si="152"/>
        <v>Pass</v>
      </c>
      <c r="AH1248" s="177">
        <f t="shared" si="153"/>
        <v>244264</v>
      </c>
      <c r="AK1248" s="176"/>
      <c r="AL1248" s="176"/>
    </row>
    <row r="1249" spans="1:38" ht="36" customHeight="1" x14ac:dyDescent="0.2">
      <c r="A1249" s="14" t="s">
        <v>25</v>
      </c>
      <c r="B1249" s="212">
        <v>244256</v>
      </c>
      <c r="C1249" s="14" t="s">
        <v>547</v>
      </c>
      <c r="D1249" s="14" t="s">
        <v>268</v>
      </c>
      <c r="E1249" s="14" t="s">
        <v>14</v>
      </c>
      <c r="F1249" s="14" t="s">
        <v>324</v>
      </c>
      <c r="G1249" s="179">
        <v>681248</v>
      </c>
      <c r="H1249" s="176" t="s">
        <v>1549</v>
      </c>
      <c r="I1249" s="176" t="s">
        <v>630</v>
      </c>
      <c r="J1249" s="176" t="s">
        <v>520</v>
      </c>
      <c r="K1249" s="176" t="s">
        <v>3852</v>
      </c>
      <c r="L1249" s="40" t="s">
        <v>46</v>
      </c>
      <c r="M1249" s="40" t="s">
        <v>341</v>
      </c>
      <c r="N1249" s="14" t="s">
        <v>3857</v>
      </c>
      <c r="O1249" s="14" t="s">
        <v>3643</v>
      </c>
      <c r="P1249" s="14" t="s">
        <v>3862</v>
      </c>
      <c r="Q1249" s="14" t="s">
        <v>3647</v>
      </c>
      <c r="R1249" s="17">
        <v>960</v>
      </c>
      <c r="S1249" s="172" t="s">
        <v>51</v>
      </c>
      <c r="T1249" s="17">
        <v>1670</v>
      </c>
      <c r="U1249" s="14" t="s">
        <v>51</v>
      </c>
      <c r="V1249" s="16">
        <f t="shared" si="154"/>
        <v>244256</v>
      </c>
      <c r="W1249" s="16">
        <f t="shared" si="155"/>
        <v>244263</v>
      </c>
      <c r="X1249" s="16">
        <f t="shared" si="156"/>
        <v>244258</v>
      </c>
      <c r="Y1249" s="15" t="s">
        <v>54</v>
      </c>
      <c r="Z1249" s="177">
        <v>244261</v>
      </c>
      <c r="AA1249" s="170"/>
      <c r="AB1249" s="170"/>
      <c r="AC1249" s="170"/>
      <c r="AD1249" s="170"/>
      <c r="AE1249" s="15" t="s">
        <v>54</v>
      </c>
      <c r="AF1249" s="177">
        <v>244264</v>
      </c>
      <c r="AG1249" s="177" t="str">
        <f t="shared" si="152"/>
        <v>Pass</v>
      </c>
      <c r="AH1249" s="177">
        <f t="shared" si="153"/>
        <v>244264</v>
      </c>
      <c r="AK1249" s="176"/>
      <c r="AL1249" s="176"/>
    </row>
    <row r="1250" spans="1:38" ht="36" customHeight="1" x14ac:dyDescent="0.2">
      <c r="A1250" s="14" t="s">
        <v>25</v>
      </c>
      <c r="B1250" s="212">
        <v>244256</v>
      </c>
      <c r="C1250" s="14" t="s">
        <v>547</v>
      </c>
      <c r="D1250" s="14" t="s">
        <v>268</v>
      </c>
      <c r="E1250" s="14" t="s">
        <v>14</v>
      </c>
      <c r="F1250" s="14" t="s">
        <v>324</v>
      </c>
      <c r="G1250" s="179">
        <v>681249</v>
      </c>
      <c r="H1250" s="176" t="s">
        <v>1549</v>
      </c>
      <c r="I1250" s="176" t="s">
        <v>630</v>
      </c>
      <c r="J1250" s="176" t="s">
        <v>520</v>
      </c>
      <c r="K1250" s="176" t="s">
        <v>3852</v>
      </c>
      <c r="L1250" s="40" t="s">
        <v>46</v>
      </c>
      <c r="M1250" s="40" t="s">
        <v>341</v>
      </c>
      <c r="N1250" s="14" t="s">
        <v>3858</v>
      </c>
      <c r="O1250" s="14" t="s">
        <v>548</v>
      </c>
      <c r="P1250" s="14" t="s">
        <v>717</v>
      </c>
      <c r="Q1250" s="14" t="s">
        <v>549</v>
      </c>
      <c r="R1250" s="17">
        <v>941</v>
      </c>
      <c r="S1250" s="172" t="s">
        <v>51</v>
      </c>
      <c r="T1250" s="17">
        <v>1670</v>
      </c>
      <c r="U1250" s="14" t="s">
        <v>51</v>
      </c>
      <c r="V1250" s="16">
        <f t="shared" si="154"/>
        <v>244256</v>
      </c>
      <c r="W1250" s="16">
        <f t="shared" si="155"/>
        <v>244263</v>
      </c>
      <c r="X1250" s="16">
        <f t="shared" si="156"/>
        <v>244258</v>
      </c>
      <c r="Y1250" s="15" t="s">
        <v>54</v>
      </c>
      <c r="Z1250" s="177">
        <v>244261</v>
      </c>
      <c r="AA1250" s="170"/>
      <c r="AB1250" s="170"/>
      <c r="AC1250" s="170"/>
      <c r="AD1250" s="170"/>
      <c r="AE1250" s="15" t="s">
        <v>54</v>
      </c>
      <c r="AF1250" s="177">
        <v>244264</v>
      </c>
      <c r="AG1250" s="177" t="str">
        <f t="shared" si="152"/>
        <v>Pass</v>
      </c>
      <c r="AH1250" s="177">
        <f t="shared" si="153"/>
        <v>244264</v>
      </c>
      <c r="AK1250" s="176"/>
      <c r="AL1250" s="176"/>
    </row>
    <row r="1251" spans="1:38" ht="36" customHeight="1" x14ac:dyDescent="0.2">
      <c r="A1251" s="14" t="s">
        <v>25</v>
      </c>
      <c r="B1251" s="212">
        <v>244256</v>
      </c>
      <c r="C1251" s="14" t="s">
        <v>547</v>
      </c>
      <c r="D1251" s="14" t="s">
        <v>268</v>
      </c>
      <c r="E1251" s="14" t="s">
        <v>14</v>
      </c>
      <c r="F1251" s="14" t="s">
        <v>324</v>
      </c>
      <c r="G1251" s="179">
        <v>681250</v>
      </c>
      <c r="H1251" s="176" t="s">
        <v>1871</v>
      </c>
      <c r="I1251" s="176" t="s">
        <v>630</v>
      </c>
      <c r="J1251" s="176" t="s">
        <v>520</v>
      </c>
      <c r="K1251" s="176" t="s">
        <v>3853</v>
      </c>
      <c r="L1251" s="40" t="s">
        <v>46</v>
      </c>
      <c r="M1251" s="40" t="s">
        <v>341</v>
      </c>
      <c r="N1251" s="14" t="s">
        <v>3398</v>
      </c>
      <c r="O1251" s="14" t="s">
        <v>548</v>
      </c>
      <c r="P1251" s="14" t="s">
        <v>717</v>
      </c>
      <c r="Q1251" s="14" t="s">
        <v>549</v>
      </c>
      <c r="R1251" s="17">
        <v>258</v>
      </c>
      <c r="S1251" s="172" t="s">
        <v>51</v>
      </c>
      <c r="T1251" s="17">
        <v>950</v>
      </c>
      <c r="U1251" s="14" t="s">
        <v>51</v>
      </c>
      <c r="V1251" s="16">
        <f t="shared" si="154"/>
        <v>244256</v>
      </c>
      <c r="W1251" s="16">
        <f t="shared" si="155"/>
        <v>244263</v>
      </c>
      <c r="X1251" s="16">
        <f t="shared" si="156"/>
        <v>244258</v>
      </c>
      <c r="Y1251" s="15" t="s">
        <v>54</v>
      </c>
      <c r="Z1251" s="177">
        <v>244261</v>
      </c>
      <c r="AA1251" s="170"/>
      <c r="AB1251" s="170"/>
      <c r="AC1251" s="170"/>
      <c r="AD1251" s="170"/>
      <c r="AE1251" s="15" t="s">
        <v>54</v>
      </c>
      <c r="AF1251" s="177">
        <v>244264</v>
      </c>
      <c r="AG1251" s="177" t="str">
        <f t="shared" si="152"/>
        <v>Pass</v>
      </c>
      <c r="AH1251" s="177">
        <f t="shared" si="153"/>
        <v>244264</v>
      </c>
      <c r="AK1251" s="176"/>
      <c r="AL1251" s="176"/>
    </row>
    <row r="1252" spans="1:38" ht="36" customHeight="1" x14ac:dyDescent="0.2">
      <c r="A1252" s="14" t="s">
        <v>25</v>
      </c>
      <c r="B1252" s="212">
        <v>244256</v>
      </c>
      <c r="C1252" s="14" t="s">
        <v>547</v>
      </c>
      <c r="D1252" s="14" t="s">
        <v>268</v>
      </c>
      <c r="E1252" s="14" t="s">
        <v>14</v>
      </c>
      <c r="F1252" s="14" t="s">
        <v>324</v>
      </c>
      <c r="G1252" s="179">
        <v>681251</v>
      </c>
      <c r="H1252" s="176" t="s">
        <v>772</v>
      </c>
      <c r="I1252" s="176" t="s">
        <v>774</v>
      </c>
      <c r="J1252" s="176" t="s">
        <v>776</v>
      </c>
      <c r="K1252" s="176" t="s">
        <v>3854</v>
      </c>
      <c r="L1252" s="40" t="s">
        <v>45</v>
      </c>
      <c r="M1252" s="40" t="s">
        <v>341</v>
      </c>
      <c r="N1252" s="14" t="s">
        <v>1738</v>
      </c>
      <c r="O1252" s="14" t="s">
        <v>548</v>
      </c>
      <c r="P1252" s="14" t="s">
        <v>717</v>
      </c>
      <c r="Q1252" s="14" t="s">
        <v>549</v>
      </c>
      <c r="R1252" s="17">
        <v>125</v>
      </c>
      <c r="S1252" s="172" t="s">
        <v>51</v>
      </c>
      <c r="T1252" s="17">
        <v>1740</v>
      </c>
      <c r="U1252" s="14" t="s">
        <v>51</v>
      </c>
      <c r="V1252" s="16">
        <f t="shared" si="154"/>
        <v>244256</v>
      </c>
      <c r="W1252" s="16">
        <f t="shared" si="155"/>
        <v>244263</v>
      </c>
      <c r="X1252" s="16">
        <f t="shared" si="156"/>
        <v>244258</v>
      </c>
      <c r="Y1252" s="15" t="s">
        <v>54</v>
      </c>
      <c r="Z1252" s="177">
        <v>244261</v>
      </c>
      <c r="AA1252" s="170"/>
      <c r="AB1252" s="170"/>
      <c r="AC1252" s="170"/>
      <c r="AD1252" s="170"/>
      <c r="AE1252" s="15" t="s">
        <v>54</v>
      </c>
      <c r="AF1252" s="177">
        <v>244264</v>
      </c>
      <c r="AG1252" s="177" t="str">
        <f t="shared" si="152"/>
        <v>Pass</v>
      </c>
      <c r="AH1252" s="177">
        <f t="shared" si="153"/>
        <v>244264</v>
      </c>
      <c r="AK1252" s="176"/>
      <c r="AL1252" s="176"/>
    </row>
    <row r="1253" spans="1:38" ht="36" customHeight="1" x14ac:dyDescent="0.2">
      <c r="A1253" s="14" t="s">
        <v>25</v>
      </c>
      <c r="B1253" s="212">
        <v>244256</v>
      </c>
      <c r="C1253" s="14" t="s">
        <v>547</v>
      </c>
      <c r="D1253" s="14" t="s">
        <v>268</v>
      </c>
      <c r="E1253" s="14" t="s">
        <v>14</v>
      </c>
      <c r="F1253" s="14" t="s">
        <v>324</v>
      </c>
      <c r="G1253" s="179">
        <v>681252</v>
      </c>
      <c r="H1253" s="176" t="s">
        <v>3849</v>
      </c>
      <c r="I1253" s="176" t="s">
        <v>3153</v>
      </c>
      <c r="J1253" s="176" t="s">
        <v>3850</v>
      </c>
      <c r="K1253" s="176" t="s">
        <v>3855</v>
      </c>
      <c r="L1253" s="40" t="s">
        <v>108</v>
      </c>
      <c r="M1253" s="40" t="s">
        <v>341</v>
      </c>
      <c r="N1253" s="14" t="s">
        <v>3859</v>
      </c>
      <c r="O1253" s="14" t="s">
        <v>2167</v>
      </c>
      <c r="P1253" s="14" t="s">
        <v>3863</v>
      </c>
      <c r="Q1253" s="14" t="s">
        <v>2172</v>
      </c>
      <c r="R1253" s="17">
        <v>200</v>
      </c>
      <c r="S1253" s="172" t="s">
        <v>51</v>
      </c>
      <c r="T1253" s="17">
        <v>2740</v>
      </c>
      <c r="U1253" s="14" t="s">
        <v>51</v>
      </c>
      <c r="V1253" s="16">
        <f t="shared" si="154"/>
        <v>244256</v>
      </c>
      <c r="W1253" s="16">
        <f t="shared" si="155"/>
        <v>244263</v>
      </c>
      <c r="X1253" s="16">
        <f t="shared" si="156"/>
        <v>244258</v>
      </c>
      <c r="Y1253" s="15" t="s">
        <v>54</v>
      </c>
      <c r="Z1253" s="177">
        <v>244261</v>
      </c>
      <c r="AA1253" s="170"/>
      <c r="AB1253" s="170"/>
      <c r="AC1253" s="170"/>
      <c r="AD1253" s="170"/>
      <c r="AE1253" s="15" t="s">
        <v>54</v>
      </c>
      <c r="AF1253" s="177">
        <v>244264</v>
      </c>
      <c r="AG1253" s="177" t="str">
        <f t="shared" si="152"/>
        <v>Pass</v>
      </c>
      <c r="AH1253" s="177">
        <f t="shared" si="153"/>
        <v>244264</v>
      </c>
      <c r="AK1253" s="176"/>
      <c r="AL1253" s="176"/>
    </row>
    <row r="1254" spans="1:38" ht="36" customHeight="1" x14ac:dyDescent="0.2">
      <c r="A1254" s="14" t="s">
        <v>25</v>
      </c>
      <c r="B1254" s="212">
        <v>244256</v>
      </c>
      <c r="C1254" s="14" t="s">
        <v>547</v>
      </c>
      <c r="D1254" s="14" t="s">
        <v>268</v>
      </c>
      <c r="E1254" s="14" t="s">
        <v>14</v>
      </c>
      <c r="F1254" s="14" t="s">
        <v>324</v>
      </c>
      <c r="G1254" s="179">
        <v>681253</v>
      </c>
      <c r="H1254" s="176" t="s">
        <v>663</v>
      </c>
      <c r="I1254" s="176" t="s">
        <v>630</v>
      </c>
      <c r="J1254" s="176" t="s">
        <v>821</v>
      </c>
      <c r="K1254" s="176" t="s">
        <v>3856</v>
      </c>
      <c r="L1254" s="40" t="s">
        <v>124</v>
      </c>
      <c r="M1254" s="40" t="s">
        <v>341</v>
      </c>
      <c r="N1254" s="14" t="s">
        <v>3860</v>
      </c>
      <c r="O1254" s="14" t="s">
        <v>543</v>
      </c>
      <c r="P1254" s="14" t="s">
        <v>517</v>
      </c>
      <c r="Q1254" s="14" t="s">
        <v>529</v>
      </c>
      <c r="R1254" s="17">
        <v>1400</v>
      </c>
      <c r="S1254" s="172" t="s">
        <v>51</v>
      </c>
      <c r="T1254" s="17">
        <v>2526</v>
      </c>
      <c r="U1254" s="14" t="s">
        <v>51</v>
      </c>
      <c r="V1254" s="16">
        <f t="shared" si="154"/>
        <v>244256</v>
      </c>
      <c r="W1254" s="16">
        <f t="shared" si="155"/>
        <v>244263</v>
      </c>
      <c r="X1254" s="16">
        <f t="shared" si="156"/>
        <v>244258</v>
      </c>
      <c r="Y1254" s="15" t="s">
        <v>54</v>
      </c>
      <c r="Z1254" s="177">
        <v>244261</v>
      </c>
      <c r="AA1254" s="170"/>
      <c r="AB1254" s="170"/>
      <c r="AC1254" s="170"/>
      <c r="AD1254" s="170"/>
      <c r="AE1254" s="15" t="s">
        <v>54</v>
      </c>
      <c r="AF1254" s="177">
        <v>244264</v>
      </c>
      <c r="AG1254" s="177" t="str">
        <f t="shared" si="152"/>
        <v>Pass</v>
      </c>
      <c r="AH1254" s="177">
        <f t="shared" si="153"/>
        <v>244264</v>
      </c>
      <c r="AK1254" s="176"/>
      <c r="AL1254" s="176"/>
    </row>
    <row r="1255" spans="1:38" ht="36" customHeight="1" x14ac:dyDescent="0.2">
      <c r="A1255" s="14" t="s">
        <v>25</v>
      </c>
      <c r="B1255" s="212">
        <v>244256</v>
      </c>
      <c r="C1255" s="14" t="s">
        <v>547</v>
      </c>
      <c r="D1255" s="14" t="s">
        <v>268</v>
      </c>
      <c r="E1255" s="14" t="s">
        <v>14</v>
      </c>
      <c r="F1255" s="14" t="s">
        <v>324</v>
      </c>
      <c r="G1255" s="179">
        <v>681254</v>
      </c>
      <c r="H1255" s="176" t="s">
        <v>1871</v>
      </c>
      <c r="I1255" s="176" t="s">
        <v>630</v>
      </c>
      <c r="J1255" s="176" t="s">
        <v>520</v>
      </c>
      <c r="K1255" s="176" t="s">
        <v>3853</v>
      </c>
      <c r="L1255" s="40" t="s">
        <v>46</v>
      </c>
      <c r="M1255" s="40" t="s">
        <v>341</v>
      </c>
      <c r="N1255" s="14" t="s">
        <v>3861</v>
      </c>
      <c r="O1255" s="14" t="s">
        <v>543</v>
      </c>
      <c r="P1255" s="14" t="s">
        <v>1152</v>
      </c>
      <c r="Q1255" s="14" t="s">
        <v>529</v>
      </c>
      <c r="R1255" s="17">
        <v>380</v>
      </c>
      <c r="S1255" s="172" t="s">
        <v>51</v>
      </c>
      <c r="T1255" s="17">
        <v>800</v>
      </c>
      <c r="U1255" s="14" t="s">
        <v>51</v>
      </c>
      <c r="V1255" s="16">
        <f t="shared" si="154"/>
        <v>244256</v>
      </c>
      <c r="W1255" s="16">
        <f t="shared" si="155"/>
        <v>244263</v>
      </c>
      <c r="X1255" s="16">
        <f t="shared" si="156"/>
        <v>244258</v>
      </c>
      <c r="Y1255" s="15" t="s">
        <v>54</v>
      </c>
      <c r="Z1255" s="177">
        <v>244261</v>
      </c>
      <c r="AA1255" s="170"/>
      <c r="AB1255" s="170"/>
      <c r="AC1255" s="170"/>
      <c r="AD1255" s="170"/>
      <c r="AE1255" s="15" t="s">
        <v>54</v>
      </c>
      <c r="AF1255" s="177">
        <v>244264</v>
      </c>
      <c r="AG1255" s="177" t="str">
        <f t="shared" si="152"/>
        <v>Pass</v>
      </c>
      <c r="AH1255" s="177">
        <f t="shared" si="153"/>
        <v>244264</v>
      </c>
      <c r="AK1255" s="176"/>
      <c r="AL1255" s="176"/>
    </row>
    <row r="1256" spans="1:38" ht="36" customHeight="1" x14ac:dyDescent="0.2">
      <c r="A1256" s="14" t="s">
        <v>26</v>
      </c>
      <c r="B1256" s="212">
        <v>244258</v>
      </c>
      <c r="C1256" s="14" t="s">
        <v>547</v>
      </c>
      <c r="D1256" s="14" t="s">
        <v>268</v>
      </c>
      <c r="E1256" s="14" t="s">
        <v>14</v>
      </c>
      <c r="F1256" s="14" t="s">
        <v>324</v>
      </c>
      <c r="G1256" s="179">
        <v>681255</v>
      </c>
      <c r="H1256" s="176" t="s">
        <v>663</v>
      </c>
      <c r="I1256" s="176" t="s">
        <v>630</v>
      </c>
      <c r="J1256" s="176" t="s">
        <v>821</v>
      </c>
      <c r="K1256" s="176" t="s">
        <v>3856</v>
      </c>
      <c r="L1256" s="40" t="s">
        <v>124</v>
      </c>
      <c r="M1256" s="40" t="s">
        <v>341</v>
      </c>
      <c r="N1256" s="14" t="s">
        <v>2980</v>
      </c>
      <c r="O1256" s="14" t="s">
        <v>548</v>
      </c>
      <c r="P1256" s="14" t="s">
        <v>717</v>
      </c>
      <c r="Q1256" s="14" t="s">
        <v>549</v>
      </c>
      <c r="R1256" s="17">
        <v>157</v>
      </c>
      <c r="S1256" s="172" t="s">
        <v>51</v>
      </c>
      <c r="T1256" s="17">
        <v>1697</v>
      </c>
      <c r="U1256" s="14" t="s">
        <v>51</v>
      </c>
      <c r="V1256" s="16">
        <f t="shared" si="154"/>
        <v>244258</v>
      </c>
      <c r="W1256" s="16">
        <f t="shared" si="155"/>
        <v>244265</v>
      </c>
      <c r="X1256" s="16">
        <f t="shared" si="156"/>
        <v>244260</v>
      </c>
      <c r="Y1256" s="15" t="s">
        <v>54</v>
      </c>
      <c r="Z1256" s="177">
        <v>244261</v>
      </c>
      <c r="AA1256" s="170"/>
      <c r="AB1256" s="170"/>
      <c r="AC1256" s="170"/>
      <c r="AD1256" s="170"/>
      <c r="AE1256" s="15" t="s">
        <v>54</v>
      </c>
      <c r="AF1256" s="177">
        <v>244264</v>
      </c>
      <c r="AG1256" s="177" t="str">
        <f t="shared" si="152"/>
        <v>Pass</v>
      </c>
      <c r="AH1256" s="177">
        <f t="shared" si="153"/>
        <v>244264</v>
      </c>
      <c r="AK1256" s="176"/>
      <c r="AL1256" s="176"/>
    </row>
    <row r="1257" spans="1:38" ht="36" customHeight="1" x14ac:dyDescent="0.2">
      <c r="A1257" s="14" t="s">
        <v>26</v>
      </c>
      <c r="B1257" s="212">
        <v>244258</v>
      </c>
      <c r="C1257" s="14" t="s">
        <v>547</v>
      </c>
      <c r="D1257" s="14" t="s">
        <v>268</v>
      </c>
      <c r="E1257" s="14" t="s">
        <v>14</v>
      </c>
      <c r="F1257" s="14" t="s">
        <v>324</v>
      </c>
      <c r="G1257" s="179">
        <v>681256</v>
      </c>
      <c r="H1257" s="176" t="s">
        <v>3864</v>
      </c>
      <c r="I1257" s="176" t="s">
        <v>1794</v>
      </c>
      <c r="J1257" s="176" t="s">
        <v>130</v>
      </c>
      <c r="K1257" s="176" t="s">
        <v>3866</v>
      </c>
      <c r="L1257" s="40" t="s">
        <v>106</v>
      </c>
      <c r="M1257" s="40" t="s">
        <v>341</v>
      </c>
      <c r="N1257" s="14" t="s">
        <v>3869</v>
      </c>
      <c r="O1257" s="14" t="s">
        <v>543</v>
      </c>
      <c r="P1257" s="14" t="s">
        <v>3875</v>
      </c>
      <c r="Q1257" s="14" t="s">
        <v>529</v>
      </c>
      <c r="R1257" s="17">
        <v>100</v>
      </c>
      <c r="S1257" s="172" t="s">
        <v>51</v>
      </c>
      <c r="T1257" s="17">
        <v>2625</v>
      </c>
      <c r="U1257" s="14" t="s">
        <v>51</v>
      </c>
      <c r="V1257" s="16">
        <f t="shared" si="154"/>
        <v>244258</v>
      </c>
      <c r="W1257" s="16">
        <f t="shared" si="155"/>
        <v>244265</v>
      </c>
      <c r="X1257" s="16">
        <f t="shared" si="156"/>
        <v>244260</v>
      </c>
      <c r="Y1257" s="15" t="s">
        <v>54</v>
      </c>
      <c r="Z1257" s="177">
        <v>244261</v>
      </c>
      <c r="AA1257" s="170"/>
      <c r="AB1257" s="170"/>
      <c r="AC1257" s="170"/>
      <c r="AD1257" s="170"/>
      <c r="AE1257" s="15" t="s">
        <v>54</v>
      </c>
      <c r="AF1257" s="177">
        <v>244264</v>
      </c>
      <c r="AG1257" s="177" t="str">
        <f t="shared" si="152"/>
        <v>Pass</v>
      </c>
      <c r="AH1257" s="177">
        <f t="shared" si="153"/>
        <v>244264</v>
      </c>
      <c r="AK1257" s="176"/>
      <c r="AL1257" s="176"/>
    </row>
    <row r="1258" spans="1:38" ht="36" customHeight="1" x14ac:dyDescent="0.2">
      <c r="A1258" s="14" t="s">
        <v>26</v>
      </c>
      <c r="B1258" s="212">
        <v>244258</v>
      </c>
      <c r="C1258" s="14" t="s">
        <v>547</v>
      </c>
      <c r="D1258" s="14" t="s">
        <v>268</v>
      </c>
      <c r="E1258" s="14" t="s">
        <v>14</v>
      </c>
      <c r="F1258" s="14" t="s">
        <v>324</v>
      </c>
      <c r="G1258" s="179">
        <v>681257</v>
      </c>
      <c r="H1258" s="176" t="s">
        <v>1092</v>
      </c>
      <c r="I1258" s="176" t="s">
        <v>630</v>
      </c>
      <c r="J1258" s="176" t="s">
        <v>520</v>
      </c>
      <c r="K1258" s="176" t="s">
        <v>3867</v>
      </c>
      <c r="L1258" s="40" t="s">
        <v>46</v>
      </c>
      <c r="M1258" s="40" t="s">
        <v>341</v>
      </c>
      <c r="N1258" s="14" t="s">
        <v>3874</v>
      </c>
      <c r="O1258" s="14" t="s">
        <v>527</v>
      </c>
      <c r="P1258" s="14" t="s">
        <v>3876</v>
      </c>
      <c r="Q1258" s="14" t="s">
        <v>542</v>
      </c>
      <c r="R1258" s="17">
        <v>309</v>
      </c>
      <c r="S1258" s="172" t="s">
        <v>51</v>
      </c>
      <c r="T1258" s="17">
        <v>2065</v>
      </c>
      <c r="U1258" s="14" t="s">
        <v>51</v>
      </c>
      <c r="V1258" s="16">
        <f t="shared" si="154"/>
        <v>244258</v>
      </c>
      <c r="W1258" s="16">
        <f t="shared" si="155"/>
        <v>244265</v>
      </c>
      <c r="X1258" s="16">
        <f t="shared" si="156"/>
        <v>244260</v>
      </c>
      <c r="Y1258" s="15" t="s">
        <v>54</v>
      </c>
      <c r="Z1258" s="177">
        <v>244261</v>
      </c>
      <c r="AA1258" s="170"/>
      <c r="AB1258" s="170"/>
      <c r="AC1258" s="170"/>
      <c r="AD1258" s="170"/>
      <c r="AE1258" s="15" t="s">
        <v>54</v>
      </c>
      <c r="AF1258" s="177">
        <v>244264</v>
      </c>
      <c r="AG1258" s="177" t="str">
        <f t="shared" si="152"/>
        <v>Pass</v>
      </c>
      <c r="AH1258" s="177">
        <f t="shared" si="153"/>
        <v>244264</v>
      </c>
      <c r="AK1258" s="176"/>
      <c r="AL1258" s="176"/>
    </row>
    <row r="1259" spans="1:38" ht="36" customHeight="1" x14ac:dyDescent="0.2">
      <c r="A1259" s="14" t="s">
        <v>26</v>
      </c>
      <c r="B1259" s="212">
        <v>244258</v>
      </c>
      <c r="C1259" s="14" t="s">
        <v>547</v>
      </c>
      <c r="D1259" s="14" t="s">
        <v>268</v>
      </c>
      <c r="E1259" s="14" t="s">
        <v>14</v>
      </c>
      <c r="F1259" s="14" t="s">
        <v>324</v>
      </c>
      <c r="G1259" s="179">
        <v>681258</v>
      </c>
      <c r="H1259" s="176" t="s">
        <v>772</v>
      </c>
      <c r="I1259" s="176" t="s">
        <v>774</v>
      </c>
      <c r="J1259" s="176" t="s">
        <v>776</v>
      </c>
      <c r="K1259" s="176" t="s">
        <v>3854</v>
      </c>
      <c r="L1259" s="40" t="s">
        <v>45</v>
      </c>
      <c r="M1259" s="40" t="s">
        <v>341</v>
      </c>
      <c r="N1259" s="14" t="s">
        <v>3870</v>
      </c>
      <c r="O1259" s="14" t="s">
        <v>3873</v>
      </c>
      <c r="P1259" s="14" t="s">
        <v>3877</v>
      </c>
      <c r="Q1259" s="14" t="s">
        <v>3878</v>
      </c>
      <c r="R1259" s="17">
        <v>2225</v>
      </c>
      <c r="S1259" s="172" t="s">
        <v>51</v>
      </c>
      <c r="T1259" s="17"/>
      <c r="U1259" s="14"/>
      <c r="V1259" s="16">
        <f t="shared" si="154"/>
        <v>244258</v>
      </c>
      <c r="W1259" s="16">
        <f t="shared" si="155"/>
        <v>244265</v>
      </c>
      <c r="X1259" s="16">
        <f t="shared" si="156"/>
        <v>244260</v>
      </c>
      <c r="Y1259" s="15" t="s">
        <v>54</v>
      </c>
      <c r="Z1259" s="177">
        <v>244261</v>
      </c>
      <c r="AA1259" s="170"/>
      <c r="AB1259" s="170"/>
      <c r="AC1259" s="170"/>
      <c r="AD1259" s="170"/>
      <c r="AE1259" s="15" t="s">
        <v>54</v>
      </c>
      <c r="AF1259" s="177">
        <v>244264</v>
      </c>
      <c r="AG1259" s="177" t="str">
        <f t="shared" si="152"/>
        <v>Pass</v>
      </c>
      <c r="AH1259" s="177">
        <f t="shared" si="153"/>
        <v>244264</v>
      </c>
      <c r="AK1259" s="176"/>
      <c r="AL1259" s="176"/>
    </row>
    <row r="1260" spans="1:38" ht="36" customHeight="1" x14ac:dyDescent="0.2">
      <c r="A1260" s="14" t="s">
        <v>26</v>
      </c>
      <c r="B1260" s="212">
        <v>244258</v>
      </c>
      <c r="C1260" s="14" t="s">
        <v>547</v>
      </c>
      <c r="D1260" s="14" t="s">
        <v>268</v>
      </c>
      <c r="E1260" s="14" t="s">
        <v>14</v>
      </c>
      <c r="F1260" s="14" t="s">
        <v>324</v>
      </c>
      <c r="G1260" s="179">
        <v>681259</v>
      </c>
      <c r="H1260" s="176" t="s">
        <v>3865</v>
      </c>
      <c r="I1260" s="176" t="s">
        <v>725</v>
      </c>
      <c r="J1260" s="176" t="s">
        <v>123</v>
      </c>
      <c r="K1260" s="176" t="s">
        <v>3868</v>
      </c>
      <c r="L1260" s="40" t="s">
        <v>105</v>
      </c>
      <c r="M1260" s="40" t="s">
        <v>341</v>
      </c>
      <c r="N1260" s="14" t="s">
        <v>3871</v>
      </c>
      <c r="O1260" s="14" t="s">
        <v>548</v>
      </c>
      <c r="P1260" s="14" t="s">
        <v>518</v>
      </c>
      <c r="Q1260" s="14" t="s">
        <v>549</v>
      </c>
      <c r="R1260" s="17">
        <v>172</v>
      </c>
      <c r="S1260" s="172" t="s">
        <v>51</v>
      </c>
      <c r="T1260" s="17">
        <v>2009</v>
      </c>
      <c r="U1260" s="14" t="s">
        <v>51</v>
      </c>
      <c r="V1260" s="16">
        <f t="shared" si="154"/>
        <v>244258</v>
      </c>
      <c r="W1260" s="16">
        <f t="shared" si="155"/>
        <v>244265</v>
      </c>
      <c r="X1260" s="16">
        <f t="shared" si="156"/>
        <v>244260</v>
      </c>
      <c r="Y1260" s="15" t="s">
        <v>54</v>
      </c>
      <c r="Z1260" s="177">
        <v>244261</v>
      </c>
      <c r="AA1260" s="170"/>
      <c r="AB1260" s="170"/>
      <c r="AC1260" s="170"/>
      <c r="AD1260" s="170"/>
      <c r="AE1260" s="15" t="s">
        <v>54</v>
      </c>
      <c r="AF1260" s="177">
        <v>244264</v>
      </c>
      <c r="AG1260" s="177" t="str">
        <f t="shared" si="152"/>
        <v>Pass</v>
      </c>
      <c r="AH1260" s="177">
        <f t="shared" si="153"/>
        <v>244264</v>
      </c>
      <c r="AK1260" s="176"/>
      <c r="AL1260" s="176"/>
    </row>
    <row r="1261" spans="1:38" ht="36" customHeight="1" x14ac:dyDescent="0.2">
      <c r="A1261" s="14" t="s">
        <v>26</v>
      </c>
      <c r="B1261" s="212">
        <v>244258</v>
      </c>
      <c r="C1261" s="14" t="s">
        <v>547</v>
      </c>
      <c r="D1261" s="14" t="s">
        <v>268</v>
      </c>
      <c r="E1261" s="14" t="s">
        <v>14</v>
      </c>
      <c r="F1261" s="14" t="s">
        <v>324</v>
      </c>
      <c r="G1261" s="179">
        <v>681260</v>
      </c>
      <c r="H1261" s="176" t="s">
        <v>772</v>
      </c>
      <c r="I1261" s="176" t="s">
        <v>774</v>
      </c>
      <c r="J1261" s="176" t="s">
        <v>776</v>
      </c>
      <c r="K1261" s="176" t="s">
        <v>3854</v>
      </c>
      <c r="L1261" s="40" t="s">
        <v>45</v>
      </c>
      <c r="M1261" s="40" t="s">
        <v>341</v>
      </c>
      <c r="N1261" s="14" t="s">
        <v>3872</v>
      </c>
      <c r="O1261" s="14" t="s">
        <v>552</v>
      </c>
      <c r="P1261" s="14" t="s">
        <v>685</v>
      </c>
      <c r="Q1261" s="14" t="s">
        <v>553</v>
      </c>
      <c r="R1261" s="17">
        <v>2550</v>
      </c>
      <c r="S1261" s="172" t="s">
        <v>51</v>
      </c>
      <c r="T1261" s="17"/>
      <c r="U1261" s="14"/>
      <c r="V1261" s="16">
        <f t="shared" si="154"/>
        <v>244258</v>
      </c>
      <c r="W1261" s="16">
        <f t="shared" si="155"/>
        <v>244265</v>
      </c>
      <c r="X1261" s="16">
        <f t="shared" si="156"/>
        <v>244260</v>
      </c>
      <c r="Y1261" s="15" t="s">
        <v>54</v>
      </c>
      <c r="Z1261" s="177">
        <v>244261</v>
      </c>
      <c r="AA1261" s="170"/>
      <c r="AB1261" s="170"/>
      <c r="AC1261" s="170"/>
      <c r="AD1261" s="170"/>
      <c r="AE1261" s="15" t="s">
        <v>54</v>
      </c>
      <c r="AF1261" s="177">
        <v>244264</v>
      </c>
      <c r="AG1261" s="177" t="str">
        <f t="shared" si="152"/>
        <v>Pass</v>
      </c>
      <c r="AH1261" s="177">
        <f t="shared" si="153"/>
        <v>244264</v>
      </c>
      <c r="AK1261" s="176"/>
      <c r="AL1261" s="176"/>
    </row>
    <row r="1262" spans="1:38" ht="36" customHeight="1" x14ac:dyDescent="0.2">
      <c r="A1262" s="14" t="s">
        <v>26</v>
      </c>
      <c r="B1262" s="212">
        <v>244258</v>
      </c>
      <c r="C1262" s="14" t="s">
        <v>547</v>
      </c>
      <c r="D1262" s="14" t="s">
        <v>268</v>
      </c>
      <c r="E1262" s="14" t="s">
        <v>14</v>
      </c>
      <c r="F1262" s="14" t="s">
        <v>324</v>
      </c>
      <c r="G1262" s="179">
        <v>681261</v>
      </c>
      <c r="H1262" s="176" t="s">
        <v>772</v>
      </c>
      <c r="I1262" s="176" t="s">
        <v>774</v>
      </c>
      <c r="J1262" s="176" t="s">
        <v>776</v>
      </c>
      <c r="K1262" s="176" t="s">
        <v>3854</v>
      </c>
      <c r="L1262" s="40" t="s">
        <v>45</v>
      </c>
      <c r="M1262" s="40" t="s">
        <v>341</v>
      </c>
      <c r="N1262" s="14" t="s">
        <v>3399</v>
      </c>
      <c r="O1262" s="14" t="s">
        <v>548</v>
      </c>
      <c r="P1262" s="14" t="s">
        <v>717</v>
      </c>
      <c r="Q1262" s="14" t="s">
        <v>549</v>
      </c>
      <c r="R1262" s="17">
        <v>220</v>
      </c>
      <c r="S1262" s="172" t="s">
        <v>51</v>
      </c>
      <c r="T1262" s="17">
        <v>2090</v>
      </c>
      <c r="U1262" s="14" t="s">
        <v>51</v>
      </c>
      <c r="V1262" s="16">
        <f t="shared" si="154"/>
        <v>244258</v>
      </c>
      <c r="W1262" s="16">
        <f t="shared" si="155"/>
        <v>244265</v>
      </c>
      <c r="X1262" s="16">
        <f t="shared" si="156"/>
        <v>244260</v>
      </c>
      <c r="Y1262" s="15" t="s">
        <v>54</v>
      </c>
      <c r="Z1262" s="177">
        <v>244261</v>
      </c>
      <c r="AA1262" s="170"/>
      <c r="AB1262" s="170"/>
      <c r="AC1262" s="170"/>
      <c r="AD1262" s="170"/>
      <c r="AE1262" s="15" t="s">
        <v>54</v>
      </c>
      <c r="AF1262" s="177">
        <v>244264</v>
      </c>
      <c r="AG1262" s="177" t="str">
        <f t="shared" si="152"/>
        <v>Pass</v>
      </c>
      <c r="AH1262" s="177">
        <f t="shared" si="153"/>
        <v>244264</v>
      </c>
      <c r="AK1262" s="176"/>
      <c r="AL1262" s="176"/>
    </row>
    <row r="1263" spans="1:38" ht="36" customHeight="1" x14ac:dyDescent="0.2">
      <c r="A1263" s="14" t="s">
        <v>26</v>
      </c>
      <c r="B1263" s="212">
        <v>244258</v>
      </c>
      <c r="C1263" s="14" t="s">
        <v>547</v>
      </c>
      <c r="D1263" s="14" t="s">
        <v>268</v>
      </c>
      <c r="E1263" s="14" t="s">
        <v>14</v>
      </c>
      <c r="F1263" s="14" t="s">
        <v>324</v>
      </c>
      <c r="G1263" s="179">
        <v>681262</v>
      </c>
      <c r="H1263" s="176" t="s">
        <v>772</v>
      </c>
      <c r="I1263" s="176" t="s">
        <v>774</v>
      </c>
      <c r="J1263" s="176" t="s">
        <v>776</v>
      </c>
      <c r="K1263" s="176" t="s">
        <v>3854</v>
      </c>
      <c r="L1263" s="40" t="s">
        <v>45</v>
      </c>
      <c r="M1263" s="40" t="s">
        <v>341</v>
      </c>
      <c r="N1263" s="14" t="s">
        <v>1240</v>
      </c>
      <c r="O1263" s="14" t="s">
        <v>528</v>
      </c>
      <c r="P1263" s="14" t="s">
        <v>3663</v>
      </c>
      <c r="Q1263" s="14" t="s">
        <v>541</v>
      </c>
      <c r="R1263" s="17">
        <v>600</v>
      </c>
      <c r="S1263" s="172" t="s">
        <v>51</v>
      </c>
      <c r="T1263" s="17">
        <v>1745</v>
      </c>
      <c r="U1263" s="14" t="s">
        <v>51</v>
      </c>
      <c r="V1263" s="16">
        <f t="shared" si="154"/>
        <v>244258</v>
      </c>
      <c r="W1263" s="16">
        <f t="shared" si="155"/>
        <v>244265</v>
      </c>
      <c r="X1263" s="16">
        <f t="shared" si="156"/>
        <v>244260</v>
      </c>
      <c r="Y1263" s="15" t="s">
        <v>54</v>
      </c>
      <c r="Z1263" s="177">
        <v>244261</v>
      </c>
      <c r="AA1263" s="170"/>
      <c r="AB1263" s="170"/>
      <c r="AC1263" s="170"/>
      <c r="AD1263" s="170"/>
      <c r="AE1263" s="15" t="s">
        <v>54</v>
      </c>
      <c r="AF1263" s="177">
        <v>244264</v>
      </c>
      <c r="AG1263" s="177" t="str">
        <f t="shared" si="152"/>
        <v>Pass</v>
      </c>
      <c r="AH1263" s="177">
        <f t="shared" si="153"/>
        <v>244264</v>
      </c>
      <c r="AK1263" s="176"/>
      <c r="AL1263" s="176"/>
    </row>
    <row r="1264" spans="1:38" ht="36" customHeight="1" x14ac:dyDescent="0.2">
      <c r="A1264" s="14" t="s">
        <v>26</v>
      </c>
      <c r="B1264" s="212">
        <v>244258</v>
      </c>
      <c r="C1264" s="14" t="s">
        <v>547</v>
      </c>
      <c r="D1264" s="14" t="s">
        <v>268</v>
      </c>
      <c r="E1264" s="14" t="s">
        <v>14</v>
      </c>
      <c r="F1264" s="14" t="s">
        <v>324</v>
      </c>
      <c r="G1264" s="179">
        <v>681263</v>
      </c>
      <c r="H1264" s="176" t="s">
        <v>824</v>
      </c>
      <c r="I1264" s="176" t="s">
        <v>774</v>
      </c>
      <c r="J1264" s="176" t="s">
        <v>776</v>
      </c>
      <c r="K1264" s="176" t="s">
        <v>3881</v>
      </c>
      <c r="L1264" s="40" t="s">
        <v>45</v>
      </c>
      <c r="M1264" s="40" t="s">
        <v>341</v>
      </c>
      <c r="N1264" s="14" t="s">
        <v>3884</v>
      </c>
      <c r="O1264" s="14" t="s">
        <v>3463</v>
      </c>
      <c r="P1264" s="14" t="s">
        <v>3886</v>
      </c>
      <c r="Q1264" s="14" t="s">
        <v>3468</v>
      </c>
      <c r="R1264" s="17"/>
      <c r="S1264" s="172"/>
      <c r="T1264" s="17">
        <v>1460</v>
      </c>
      <c r="U1264" s="14" t="s">
        <v>51</v>
      </c>
      <c r="V1264" s="16">
        <f t="shared" si="154"/>
        <v>244258</v>
      </c>
      <c r="W1264" s="16">
        <f t="shared" si="155"/>
        <v>244265</v>
      </c>
      <c r="X1264" s="16">
        <f t="shared" si="156"/>
        <v>244260</v>
      </c>
      <c r="Y1264" s="15" t="s">
        <v>54</v>
      </c>
      <c r="Z1264" s="177">
        <v>244261</v>
      </c>
      <c r="AA1264" s="170"/>
      <c r="AB1264" s="170"/>
      <c r="AC1264" s="170"/>
      <c r="AD1264" s="170"/>
      <c r="AE1264" s="15" t="s">
        <v>54</v>
      </c>
      <c r="AF1264" s="177">
        <v>244264</v>
      </c>
      <c r="AG1264" s="177" t="str">
        <f t="shared" ref="AG1264:AG1327" si="157">AE1264</f>
        <v>Pass</v>
      </c>
      <c r="AH1264" s="177">
        <f t="shared" ref="AH1264:AH1279" si="158">AF1264</f>
        <v>244264</v>
      </c>
      <c r="AK1264" s="176"/>
      <c r="AL1264" s="176"/>
    </row>
    <row r="1265" spans="1:38" ht="36" customHeight="1" x14ac:dyDescent="0.2">
      <c r="A1265" s="14" t="s">
        <v>26</v>
      </c>
      <c r="B1265" s="212">
        <v>244258</v>
      </c>
      <c r="C1265" s="14" t="s">
        <v>547</v>
      </c>
      <c r="D1265" s="14" t="s">
        <v>268</v>
      </c>
      <c r="E1265" s="14" t="s">
        <v>14</v>
      </c>
      <c r="F1265" s="14" t="s">
        <v>324</v>
      </c>
      <c r="G1265" s="179">
        <v>681264</v>
      </c>
      <c r="H1265" s="176" t="s">
        <v>3879</v>
      </c>
      <c r="I1265" s="176" t="s">
        <v>908</v>
      </c>
      <c r="J1265" s="176" t="s">
        <v>133</v>
      </c>
      <c r="K1265" s="176" t="s">
        <v>3882</v>
      </c>
      <c r="L1265" s="40" t="s">
        <v>105</v>
      </c>
      <c r="M1265" s="40" t="s">
        <v>341</v>
      </c>
      <c r="N1265" s="14" t="s">
        <v>733</v>
      </c>
      <c r="O1265" s="14" t="s">
        <v>528</v>
      </c>
      <c r="P1265" s="14" t="s">
        <v>517</v>
      </c>
      <c r="Q1265" s="14" t="s">
        <v>541</v>
      </c>
      <c r="R1265" s="17">
        <v>300</v>
      </c>
      <c r="S1265" s="172" t="s">
        <v>51</v>
      </c>
      <c r="T1265" s="17">
        <v>1944</v>
      </c>
      <c r="U1265" s="14" t="s">
        <v>51</v>
      </c>
      <c r="V1265" s="16">
        <f t="shared" si="154"/>
        <v>244258</v>
      </c>
      <c r="W1265" s="16">
        <f t="shared" si="155"/>
        <v>244265</v>
      </c>
      <c r="X1265" s="16">
        <f t="shared" si="156"/>
        <v>244260</v>
      </c>
      <c r="Y1265" s="15" t="s">
        <v>54</v>
      </c>
      <c r="Z1265" s="177">
        <v>244261</v>
      </c>
      <c r="AA1265" s="170"/>
      <c r="AB1265" s="170"/>
      <c r="AC1265" s="170"/>
      <c r="AD1265" s="170"/>
      <c r="AE1265" s="15" t="s">
        <v>54</v>
      </c>
      <c r="AF1265" s="177">
        <v>244264</v>
      </c>
      <c r="AG1265" s="177" t="str">
        <f t="shared" si="157"/>
        <v>Pass</v>
      </c>
      <c r="AH1265" s="177">
        <f t="shared" si="158"/>
        <v>244264</v>
      </c>
      <c r="AK1265" s="176"/>
      <c r="AL1265" s="176"/>
    </row>
    <row r="1266" spans="1:38" ht="36" customHeight="1" x14ac:dyDescent="0.2">
      <c r="A1266" s="14" t="s">
        <v>26</v>
      </c>
      <c r="B1266" s="212">
        <v>244258</v>
      </c>
      <c r="C1266" s="14" t="s">
        <v>547</v>
      </c>
      <c r="D1266" s="14" t="s">
        <v>268</v>
      </c>
      <c r="E1266" s="14" t="s">
        <v>14</v>
      </c>
      <c r="F1266" s="14" t="s">
        <v>324</v>
      </c>
      <c r="G1266" s="179">
        <v>681265</v>
      </c>
      <c r="H1266" s="176" t="s">
        <v>3880</v>
      </c>
      <c r="I1266" s="176" t="s">
        <v>802</v>
      </c>
      <c r="J1266" s="176" t="s">
        <v>128</v>
      </c>
      <c r="K1266" s="176" t="s">
        <v>3883</v>
      </c>
      <c r="L1266" s="40" t="s">
        <v>105</v>
      </c>
      <c r="M1266" s="40" t="s">
        <v>341</v>
      </c>
      <c r="N1266" s="14" t="s">
        <v>3885</v>
      </c>
      <c r="O1266" s="14" t="s">
        <v>528</v>
      </c>
      <c r="P1266" s="14" t="s">
        <v>2104</v>
      </c>
      <c r="Q1266" s="14" t="s">
        <v>541</v>
      </c>
      <c r="R1266" s="17">
        <v>1900</v>
      </c>
      <c r="S1266" s="172" t="s">
        <v>51</v>
      </c>
      <c r="T1266" s="17">
        <v>2482</v>
      </c>
      <c r="U1266" s="14" t="s">
        <v>51</v>
      </c>
      <c r="V1266" s="16">
        <f t="shared" si="154"/>
        <v>244258</v>
      </c>
      <c r="W1266" s="16">
        <f t="shared" si="155"/>
        <v>244265</v>
      </c>
      <c r="X1266" s="16">
        <f t="shared" si="156"/>
        <v>244260</v>
      </c>
      <c r="Y1266" s="15" t="s">
        <v>54</v>
      </c>
      <c r="Z1266" s="177">
        <v>244261</v>
      </c>
      <c r="AA1266" s="170"/>
      <c r="AB1266" s="170"/>
      <c r="AC1266" s="170"/>
      <c r="AD1266" s="170"/>
      <c r="AE1266" s="15" t="s">
        <v>54</v>
      </c>
      <c r="AF1266" s="177">
        <v>244264</v>
      </c>
      <c r="AG1266" s="177" t="str">
        <f t="shared" si="157"/>
        <v>Pass</v>
      </c>
      <c r="AH1266" s="177">
        <f t="shared" si="158"/>
        <v>244264</v>
      </c>
      <c r="AK1266" s="176"/>
      <c r="AL1266" s="176"/>
    </row>
    <row r="1267" spans="1:38" ht="36" customHeight="1" x14ac:dyDescent="0.2">
      <c r="A1267" s="14" t="s">
        <v>26</v>
      </c>
      <c r="B1267" s="212">
        <v>244259</v>
      </c>
      <c r="C1267" s="14" t="s">
        <v>547</v>
      </c>
      <c r="D1267" s="14" t="s">
        <v>268</v>
      </c>
      <c r="E1267" s="14" t="s">
        <v>14</v>
      </c>
      <c r="F1267" s="14" t="s">
        <v>324</v>
      </c>
      <c r="G1267" s="179">
        <v>681266</v>
      </c>
      <c r="H1267" s="176" t="s">
        <v>3887</v>
      </c>
      <c r="I1267" s="176" t="s">
        <v>1794</v>
      </c>
      <c r="J1267" s="176" t="s">
        <v>130</v>
      </c>
      <c r="K1267" s="176" t="s">
        <v>3889</v>
      </c>
      <c r="L1267" s="40" t="s">
        <v>106</v>
      </c>
      <c r="M1267" s="40" t="s">
        <v>341</v>
      </c>
      <c r="N1267" s="14" t="s">
        <v>3891</v>
      </c>
      <c r="O1267" s="14" t="s">
        <v>548</v>
      </c>
      <c r="P1267" s="14" t="s">
        <v>518</v>
      </c>
      <c r="Q1267" s="14" t="s">
        <v>549</v>
      </c>
      <c r="R1267" s="17">
        <v>284</v>
      </c>
      <c r="S1267" s="172" t="s">
        <v>51</v>
      </c>
      <c r="T1267" s="17">
        <v>2700</v>
      </c>
      <c r="U1267" s="14" t="s">
        <v>51</v>
      </c>
      <c r="V1267" s="16">
        <f t="shared" si="154"/>
        <v>244259</v>
      </c>
      <c r="W1267" s="16">
        <f t="shared" si="155"/>
        <v>244266</v>
      </c>
      <c r="X1267" s="16">
        <f t="shared" si="156"/>
        <v>244261</v>
      </c>
      <c r="Y1267" s="15" t="s">
        <v>54</v>
      </c>
      <c r="Z1267" s="177">
        <v>244261</v>
      </c>
      <c r="AA1267" s="170"/>
      <c r="AB1267" s="170"/>
      <c r="AC1267" s="170"/>
      <c r="AD1267" s="170"/>
      <c r="AE1267" s="15" t="s">
        <v>54</v>
      </c>
      <c r="AF1267" s="177">
        <v>244264</v>
      </c>
      <c r="AG1267" s="177" t="str">
        <f t="shared" si="157"/>
        <v>Pass</v>
      </c>
      <c r="AH1267" s="177">
        <f t="shared" si="158"/>
        <v>244264</v>
      </c>
      <c r="AK1267" s="176"/>
      <c r="AL1267" s="176"/>
    </row>
    <row r="1268" spans="1:38" ht="36" customHeight="1" x14ac:dyDescent="0.2">
      <c r="A1268" s="14" t="s">
        <v>26</v>
      </c>
      <c r="B1268" s="212">
        <v>244259</v>
      </c>
      <c r="C1268" s="14" t="s">
        <v>547</v>
      </c>
      <c r="D1268" s="14" t="s">
        <v>268</v>
      </c>
      <c r="E1268" s="14" t="s">
        <v>14</v>
      </c>
      <c r="F1268" s="14" t="s">
        <v>324</v>
      </c>
      <c r="G1268" s="179">
        <v>681267</v>
      </c>
      <c r="H1268" s="176" t="s">
        <v>3880</v>
      </c>
      <c r="I1268" s="176" t="s">
        <v>802</v>
      </c>
      <c r="J1268" s="176" t="s">
        <v>128</v>
      </c>
      <c r="K1268" s="176" t="s">
        <v>3883</v>
      </c>
      <c r="L1268" s="40" t="s">
        <v>105</v>
      </c>
      <c r="M1268" s="40" t="s">
        <v>341</v>
      </c>
      <c r="N1268" s="14" t="s">
        <v>3892</v>
      </c>
      <c r="O1268" s="14" t="s">
        <v>528</v>
      </c>
      <c r="P1268" s="14" t="s">
        <v>3894</v>
      </c>
      <c r="Q1268" s="14" t="s">
        <v>541</v>
      </c>
      <c r="R1268" s="17">
        <v>800</v>
      </c>
      <c r="S1268" s="172" t="s">
        <v>51</v>
      </c>
      <c r="T1268" s="17">
        <v>2510</v>
      </c>
      <c r="U1268" s="14" t="s">
        <v>51</v>
      </c>
      <c r="V1268" s="16">
        <f t="shared" si="154"/>
        <v>244259</v>
      </c>
      <c r="W1268" s="16">
        <f t="shared" si="155"/>
        <v>244266</v>
      </c>
      <c r="X1268" s="16">
        <f t="shared" si="156"/>
        <v>244261</v>
      </c>
      <c r="Y1268" s="15" t="s">
        <v>54</v>
      </c>
      <c r="Z1268" s="177">
        <v>244261</v>
      </c>
      <c r="AA1268" s="170"/>
      <c r="AB1268" s="170"/>
      <c r="AC1268" s="170"/>
      <c r="AD1268" s="170"/>
      <c r="AE1268" s="15" t="s">
        <v>54</v>
      </c>
      <c r="AF1268" s="177">
        <v>244264</v>
      </c>
      <c r="AG1268" s="177" t="str">
        <f t="shared" si="157"/>
        <v>Pass</v>
      </c>
      <c r="AH1268" s="177">
        <f t="shared" si="158"/>
        <v>244264</v>
      </c>
      <c r="AK1268" s="176"/>
      <c r="AL1268" s="176"/>
    </row>
    <row r="1269" spans="1:38" ht="36" customHeight="1" x14ac:dyDescent="0.2">
      <c r="A1269" s="14" t="s">
        <v>26</v>
      </c>
      <c r="B1269" s="212">
        <v>244259</v>
      </c>
      <c r="C1269" s="14" t="s">
        <v>547</v>
      </c>
      <c r="D1269" s="14" t="s">
        <v>268</v>
      </c>
      <c r="E1269" s="14" t="s">
        <v>14</v>
      </c>
      <c r="F1269" s="14" t="s">
        <v>324</v>
      </c>
      <c r="G1269" s="179">
        <v>681268</v>
      </c>
      <c r="H1269" s="176" t="s">
        <v>3888</v>
      </c>
      <c r="I1269" s="176" t="s">
        <v>1189</v>
      </c>
      <c r="J1269" s="176" t="s">
        <v>130</v>
      </c>
      <c r="K1269" s="176" t="s">
        <v>3890</v>
      </c>
      <c r="L1269" s="40" t="s">
        <v>106</v>
      </c>
      <c r="M1269" s="40" t="s">
        <v>341</v>
      </c>
      <c r="N1269" s="14" t="s">
        <v>3893</v>
      </c>
      <c r="O1269" s="14" t="s">
        <v>1009</v>
      </c>
      <c r="P1269" s="14" t="s">
        <v>793</v>
      </c>
      <c r="Q1269" s="14" t="s">
        <v>323</v>
      </c>
      <c r="R1269" s="17">
        <v>2100</v>
      </c>
      <c r="S1269" s="172" t="s">
        <v>51</v>
      </c>
      <c r="T1269" s="17"/>
      <c r="U1269" s="14"/>
      <c r="V1269" s="16">
        <f t="shared" si="154"/>
        <v>244259</v>
      </c>
      <c r="W1269" s="16">
        <f t="shared" si="155"/>
        <v>244266</v>
      </c>
      <c r="X1269" s="16">
        <f t="shared" si="156"/>
        <v>244261</v>
      </c>
      <c r="Y1269" s="15" t="s">
        <v>54</v>
      </c>
      <c r="Z1269" s="177">
        <v>244261</v>
      </c>
      <c r="AA1269" s="170"/>
      <c r="AB1269" s="170"/>
      <c r="AC1269" s="170"/>
      <c r="AD1269" s="170"/>
      <c r="AE1269" s="15" t="s">
        <v>54</v>
      </c>
      <c r="AF1269" s="177">
        <v>244264</v>
      </c>
      <c r="AG1269" s="177" t="str">
        <f t="shared" si="157"/>
        <v>Pass</v>
      </c>
      <c r="AH1269" s="177">
        <f t="shared" si="158"/>
        <v>244264</v>
      </c>
      <c r="AK1269" s="176"/>
      <c r="AL1269" s="176"/>
    </row>
    <row r="1270" spans="1:38" ht="36" customHeight="1" x14ac:dyDescent="0.2">
      <c r="A1270" s="14" t="s">
        <v>26</v>
      </c>
      <c r="B1270" s="212">
        <v>244259</v>
      </c>
      <c r="C1270" s="14" t="s">
        <v>547</v>
      </c>
      <c r="D1270" s="14" t="s">
        <v>268</v>
      </c>
      <c r="E1270" s="14" t="s">
        <v>14</v>
      </c>
      <c r="F1270" s="14" t="s">
        <v>324</v>
      </c>
      <c r="G1270" s="179">
        <v>681269</v>
      </c>
      <c r="H1270" s="176" t="s">
        <v>760</v>
      </c>
      <c r="I1270" s="176" t="s">
        <v>551</v>
      </c>
      <c r="J1270" s="176" t="s">
        <v>832</v>
      </c>
      <c r="K1270" s="176" t="s">
        <v>3898</v>
      </c>
      <c r="L1270" s="40" t="s">
        <v>108</v>
      </c>
      <c r="M1270" s="40" t="s">
        <v>341</v>
      </c>
      <c r="N1270" s="14" t="s">
        <v>3902</v>
      </c>
      <c r="O1270" s="14" t="s">
        <v>528</v>
      </c>
      <c r="P1270" s="14" t="s">
        <v>2919</v>
      </c>
      <c r="Q1270" s="14" t="s">
        <v>541</v>
      </c>
      <c r="R1270" s="17">
        <v>450</v>
      </c>
      <c r="S1270" s="172" t="s">
        <v>51</v>
      </c>
      <c r="T1270" s="17">
        <v>1840</v>
      </c>
      <c r="U1270" s="14" t="s">
        <v>51</v>
      </c>
      <c r="V1270" s="16">
        <f t="shared" si="154"/>
        <v>244259</v>
      </c>
      <c r="W1270" s="16">
        <f t="shared" si="155"/>
        <v>244266</v>
      </c>
      <c r="X1270" s="16">
        <f t="shared" si="156"/>
        <v>244261</v>
      </c>
      <c r="Y1270" s="15" t="s">
        <v>54</v>
      </c>
      <c r="Z1270" s="177">
        <v>244261</v>
      </c>
      <c r="AA1270" s="170"/>
      <c r="AB1270" s="170"/>
      <c r="AC1270" s="170"/>
      <c r="AD1270" s="170"/>
      <c r="AE1270" s="15" t="s">
        <v>54</v>
      </c>
      <c r="AF1270" s="177">
        <v>244264</v>
      </c>
      <c r="AG1270" s="177" t="str">
        <f t="shared" si="157"/>
        <v>Pass</v>
      </c>
      <c r="AH1270" s="177">
        <f t="shared" si="158"/>
        <v>244264</v>
      </c>
      <c r="AK1270" s="176"/>
      <c r="AL1270" s="176"/>
    </row>
    <row r="1271" spans="1:38" ht="36" customHeight="1" x14ac:dyDescent="0.2">
      <c r="A1271" s="14" t="s">
        <v>26</v>
      </c>
      <c r="B1271" s="212">
        <v>244259</v>
      </c>
      <c r="C1271" s="14" t="s">
        <v>547</v>
      </c>
      <c r="D1271" s="14" t="s">
        <v>268</v>
      </c>
      <c r="E1271" s="14" t="s">
        <v>14</v>
      </c>
      <c r="F1271" s="14" t="s">
        <v>324</v>
      </c>
      <c r="G1271" s="179">
        <v>681270</v>
      </c>
      <c r="H1271" s="176" t="s">
        <v>3895</v>
      </c>
      <c r="I1271" s="176" t="s">
        <v>1189</v>
      </c>
      <c r="J1271" s="176" t="s">
        <v>3897</v>
      </c>
      <c r="K1271" s="176" t="s">
        <v>3899</v>
      </c>
      <c r="L1271" s="40" t="s">
        <v>106</v>
      </c>
      <c r="M1271" s="40" t="s">
        <v>341</v>
      </c>
      <c r="N1271" s="14" t="s">
        <v>3903</v>
      </c>
      <c r="O1271" s="14" t="s">
        <v>552</v>
      </c>
      <c r="P1271" s="14" t="s">
        <v>769</v>
      </c>
      <c r="Q1271" s="14" t="s">
        <v>553</v>
      </c>
      <c r="R1271" s="17">
        <v>1133</v>
      </c>
      <c r="S1271" s="172" t="s">
        <v>51</v>
      </c>
      <c r="T1271" s="17">
        <v>2600</v>
      </c>
      <c r="U1271" s="14" t="s">
        <v>51</v>
      </c>
      <c r="V1271" s="16">
        <f t="shared" si="154"/>
        <v>244259</v>
      </c>
      <c r="W1271" s="16">
        <f t="shared" si="155"/>
        <v>244266</v>
      </c>
      <c r="X1271" s="16">
        <f t="shared" si="156"/>
        <v>244261</v>
      </c>
      <c r="Y1271" s="15" t="s">
        <v>54</v>
      </c>
      <c r="Z1271" s="177">
        <v>244261</v>
      </c>
      <c r="AA1271" s="170"/>
      <c r="AB1271" s="170"/>
      <c r="AC1271" s="170"/>
      <c r="AD1271" s="170"/>
      <c r="AE1271" s="15" t="s">
        <v>54</v>
      </c>
      <c r="AF1271" s="177">
        <v>244264</v>
      </c>
      <c r="AG1271" s="177" t="str">
        <f t="shared" si="157"/>
        <v>Pass</v>
      </c>
      <c r="AH1271" s="177">
        <f t="shared" si="158"/>
        <v>244264</v>
      </c>
      <c r="AK1271" s="176"/>
      <c r="AL1271" s="176"/>
    </row>
    <row r="1272" spans="1:38" ht="36" customHeight="1" x14ac:dyDescent="0.2">
      <c r="A1272" s="14" t="s">
        <v>26</v>
      </c>
      <c r="B1272" s="212">
        <v>244259</v>
      </c>
      <c r="C1272" s="14" t="s">
        <v>547</v>
      </c>
      <c r="D1272" s="14" t="s">
        <v>268</v>
      </c>
      <c r="E1272" s="14" t="s">
        <v>14</v>
      </c>
      <c r="F1272" s="14" t="s">
        <v>324</v>
      </c>
      <c r="G1272" s="179">
        <v>681271</v>
      </c>
      <c r="H1272" s="176" t="s">
        <v>3895</v>
      </c>
      <c r="I1272" s="176" t="s">
        <v>1189</v>
      </c>
      <c r="J1272" s="176" t="s">
        <v>3897</v>
      </c>
      <c r="K1272" s="176" t="s">
        <v>3899</v>
      </c>
      <c r="L1272" s="40" t="s">
        <v>106</v>
      </c>
      <c r="M1272" s="40" t="s">
        <v>341</v>
      </c>
      <c r="N1272" s="14" t="s">
        <v>3904</v>
      </c>
      <c r="O1272" s="14" t="s">
        <v>543</v>
      </c>
      <c r="P1272" s="14" t="s">
        <v>3907</v>
      </c>
      <c r="Q1272" s="14" t="s">
        <v>529</v>
      </c>
      <c r="R1272" s="17">
        <v>100</v>
      </c>
      <c r="S1272" s="172" t="s">
        <v>51</v>
      </c>
      <c r="T1272" s="17">
        <v>2600</v>
      </c>
      <c r="U1272" s="14" t="s">
        <v>51</v>
      </c>
      <c r="V1272" s="16">
        <f t="shared" si="154"/>
        <v>244259</v>
      </c>
      <c r="W1272" s="16">
        <f t="shared" si="155"/>
        <v>244266</v>
      </c>
      <c r="X1272" s="16">
        <f t="shared" si="156"/>
        <v>244261</v>
      </c>
      <c r="Y1272" s="15" t="s">
        <v>54</v>
      </c>
      <c r="Z1272" s="177">
        <v>244261</v>
      </c>
      <c r="AA1272" s="170"/>
      <c r="AB1272" s="170"/>
      <c r="AC1272" s="170"/>
      <c r="AD1272" s="170"/>
      <c r="AE1272" s="15" t="s">
        <v>54</v>
      </c>
      <c r="AF1272" s="177">
        <v>244264</v>
      </c>
      <c r="AG1272" s="177" t="str">
        <f t="shared" si="157"/>
        <v>Pass</v>
      </c>
      <c r="AH1272" s="177">
        <f t="shared" si="158"/>
        <v>244264</v>
      </c>
      <c r="AK1272" s="176"/>
      <c r="AL1272" s="176"/>
    </row>
    <row r="1273" spans="1:38" ht="36" customHeight="1" x14ac:dyDescent="0.2">
      <c r="A1273" s="14" t="s">
        <v>26</v>
      </c>
      <c r="B1273" s="212">
        <v>244259</v>
      </c>
      <c r="C1273" s="14" t="s">
        <v>547</v>
      </c>
      <c r="D1273" s="14" t="s">
        <v>268</v>
      </c>
      <c r="E1273" s="14" t="s">
        <v>14</v>
      </c>
      <c r="F1273" s="14" t="s">
        <v>324</v>
      </c>
      <c r="G1273" s="179">
        <v>681272</v>
      </c>
      <c r="H1273" s="176" t="s">
        <v>3302</v>
      </c>
      <c r="I1273" s="176" t="s">
        <v>630</v>
      </c>
      <c r="J1273" s="176" t="s">
        <v>520</v>
      </c>
      <c r="K1273" s="176" t="s">
        <v>3900</v>
      </c>
      <c r="L1273" s="40" t="s">
        <v>46</v>
      </c>
      <c r="M1273" s="40" t="s">
        <v>341</v>
      </c>
      <c r="N1273" s="14" t="s">
        <v>3905</v>
      </c>
      <c r="O1273" s="14" t="s">
        <v>548</v>
      </c>
      <c r="P1273" s="14" t="s">
        <v>518</v>
      </c>
      <c r="Q1273" s="14" t="s">
        <v>549</v>
      </c>
      <c r="R1273" s="17">
        <v>406</v>
      </c>
      <c r="S1273" s="172" t="s">
        <v>51</v>
      </c>
      <c r="T1273" s="17">
        <v>2040</v>
      </c>
      <c r="U1273" s="14" t="s">
        <v>51</v>
      </c>
      <c r="V1273" s="16">
        <f t="shared" si="154"/>
        <v>244259</v>
      </c>
      <c r="W1273" s="16">
        <f t="shared" si="155"/>
        <v>244266</v>
      </c>
      <c r="X1273" s="16">
        <f t="shared" si="156"/>
        <v>244261</v>
      </c>
      <c r="Y1273" s="15" t="s">
        <v>54</v>
      </c>
      <c r="Z1273" s="177">
        <v>244261</v>
      </c>
      <c r="AA1273" s="170"/>
      <c r="AB1273" s="170"/>
      <c r="AC1273" s="170"/>
      <c r="AD1273" s="170"/>
      <c r="AE1273" s="15" t="s">
        <v>54</v>
      </c>
      <c r="AF1273" s="177">
        <v>244264</v>
      </c>
      <c r="AG1273" s="177" t="str">
        <f t="shared" si="157"/>
        <v>Pass</v>
      </c>
      <c r="AH1273" s="177">
        <f t="shared" si="158"/>
        <v>244264</v>
      </c>
      <c r="AK1273" s="176"/>
      <c r="AL1273" s="176"/>
    </row>
    <row r="1274" spans="1:38" ht="36" customHeight="1" x14ac:dyDescent="0.2">
      <c r="A1274" s="14" t="s">
        <v>26</v>
      </c>
      <c r="B1274" s="212">
        <v>244259</v>
      </c>
      <c r="C1274" s="14" t="s">
        <v>547</v>
      </c>
      <c r="D1274" s="14" t="s">
        <v>268</v>
      </c>
      <c r="E1274" s="14" t="s">
        <v>14</v>
      </c>
      <c r="F1274" s="14" t="s">
        <v>324</v>
      </c>
      <c r="G1274" s="179">
        <v>681273</v>
      </c>
      <c r="H1274" s="176" t="s">
        <v>3896</v>
      </c>
      <c r="I1274" s="176" t="s">
        <v>802</v>
      </c>
      <c r="J1274" s="176" t="s">
        <v>128</v>
      </c>
      <c r="K1274" s="176" t="s">
        <v>3901</v>
      </c>
      <c r="L1274" s="40" t="s">
        <v>105</v>
      </c>
      <c r="M1274" s="40" t="s">
        <v>341</v>
      </c>
      <c r="N1274" s="14" t="s">
        <v>1046</v>
      </c>
      <c r="O1274" s="14" t="s">
        <v>528</v>
      </c>
      <c r="P1274" s="14" t="s">
        <v>1049</v>
      </c>
      <c r="Q1274" s="14" t="s">
        <v>541</v>
      </c>
      <c r="R1274" s="17">
        <v>300</v>
      </c>
      <c r="S1274" s="172" t="s">
        <v>51</v>
      </c>
      <c r="T1274" s="17">
        <v>1190</v>
      </c>
      <c r="U1274" s="14" t="s">
        <v>51</v>
      </c>
      <c r="V1274" s="16">
        <f t="shared" si="154"/>
        <v>244259</v>
      </c>
      <c r="W1274" s="16">
        <f t="shared" si="155"/>
        <v>244266</v>
      </c>
      <c r="X1274" s="16">
        <f t="shared" si="156"/>
        <v>244261</v>
      </c>
      <c r="Y1274" s="15" t="s">
        <v>54</v>
      </c>
      <c r="Z1274" s="177">
        <v>244261</v>
      </c>
      <c r="AA1274" s="170"/>
      <c r="AB1274" s="170"/>
      <c r="AC1274" s="170"/>
      <c r="AD1274" s="170"/>
      <c r="AE1274" s="15" t="s">
        <v>54</v>
      </c>
      <c r="AF1274" s="177">
        <v>244264</v>
      </c>
      <c r="AG1274" s="177" t="str">
        <f t="shared" si="157"/>
        <v>Pass</v>
      </c>
      <c r="AH1274" s="177">
        <f t="shared" si="158"/>
        <v>244264</v>
      </c>
      <c r="AK1274" s="176"/>
      <c r="AL1274" s="176"/>
    </row>
    <row r="1275" spans="1:38" ht="36" customHeight="1" x14ac:dyDescent="0.2">
      <c r="A1275" s="14" t="s">
        <v>26</v>
      </c>
      <c r="B1275" s="212">
        <v>244259</v>
      </c>
      <c r="C1275" s="14" t="s">
        <v>547</v>
      </c>
      <c r="D1275" s="14" t="s">
        <v>268</v>
      </c>
      <c r="E1275" s="14" t="s">
        <v>14</v>
      </c>
      <c r="F1275" s="14" t="s">
        <v>324</v>
      </c>
      <c r="G1275" s="179">
        <v>681274</v>
      </c>
      <c r="H1275" s="176" t="s">
        <v>3880</v>
      </c>
      <c r="I1275" s="176" t="s">
        <v>802</v>
      </c>
      <c r="J1275" s="176" t="s">
        <v>128</v>
      </c>
      <c r="K1275" s="176" t="s">
        <v>3883</v>
      </c>
      <c r="L1275" s="40" t="s">
        <v>105</v>
      </c>
      <c r="M1275" s="40" t="s">
        <v>341</v>
      </c>
      <c r="N1275" s="14" t="s">
        <v>3906</v>
      </c>
      <c r="O1275" s="14" t="s">
        <v>528</v>
      </c>
      <c r="P1275" s="14" t="s">
        <v>2856</v>
      </c>
      <c r="Q1275" s="14" t="s">
        <v>541</v>
      </c>
      <c r="R1275" s="17">
        <v>650</v>
      </c>
      <c r="S1275" s="172" t="s">
        <v>51</v>
      </c>
      <c r="T1275" s="17">
        <v>2140</v>
      </c>
      <c r="U1275" s="14" t="s">
        <v>51</v>
      </c>
      <c r="V1275" s="16">
        <f t="shared" si="154"/>
        <v>244259</v>
      </c>
      <c r="W1275" s="16">
        <f t="shared" si="155"/>
        <v>244266</v>
      </c>
      <c r="X1275" s="16">
        <f t="shared" si="156"/>
        <v>244261</v>
      </c>
      <c r="Y1275" s="15" t="s">
        <v>54</v>
      </c>
      <c r="Z1275" s="177">
        <v>244261</v>
      </c>
      <c r="AA1275" s="170"/>
      <c r="AB1275" s="170"/>
      <c r="AC1275" s="170"/>
      <c r="AD1275" s="170"/>
      <c r="AE1275" s="15" t="s">
        <v>54</v>
      </c>
      <c r="AF1275" s="177">
        <v>244264</v>
      </c>
      <c r="AG1275" s="177" t="str">
        <f t="shared" si="157"/>
        <v>Pass</v>
      </c>
      <c r="AH1275" s="177">
        <f t="shared" si="158"/>
        <v>244264</v>
      </c>
      <c r="AK1275" s="176"/>
      <c r="AL1275" s="176"/>
    </row>
    <row r="1276" spans="1:38" ht="36" customHeight="1" x14ac:dyDescent="0.2">
      <c r="A1276" s="14" t="s">
        <v>26</v>
      </c>
      <c r="B1276" s="212">
        <v>244259</v>
      </c>
      <c r="C1276" s="14" t="s">
        <v>547</v>
      </c>
      <c r="D1276" s="14" t="s">
        <v>268</v>
      </c>
      <c r="E1276" s="14" t="s">
        <v>14</v>
      </c>
      <c r="F1276" s="14" t="s">
        <v>324</v>
      </c>
      <c r="G1276" s="179">
        <v>681275</v>
      </c>
      <c r="H1276" s="176" t="s">
        <v>663</v>
      </c>
      <c r="I1276" s="176" t="s">
        <v>630</v>
      </c>
      <c r="J1276" s="176" t="s">
        <v>821</v>
      </c>
      <c r="K1276" s="176" t="s">
        <v>3856</v>
      </c>
      <c r="L1276" s="40" t="s">
        <v>124</v>
      </c>
      <c r="M1276" s="40" t="s">
        <v>341</v>
      </c>
      <c r="N1276" s="14" t="s">
        <v>3908</v>
      </c>
      <c r="O1276" s="14" t="s">
        <v>552</v>
      </c>
      <c r="P1276" s="14" t="s">
        <v>3909</v>
      </c>
      <c r="Q1276" s="14" t="s">
        <v>553</v>
      </c>
      <c r="R1276" s="17">
        <v>1860</v>
      </c>
      <c r="S1276" s="172" t="s">
        <v>51</v>
      </c>
      <c r="T1276" s="17">
        <v>2020</v>
      </c>
      <c r="U1276" s="14" t="s">
        <v>51</v>
      </c>
      <c r="V1276" s="16">
        <f t="shared" si="154"/>
        <v>244259</v>
      </c>
      <c r="W1276" s="16">
        <f t="shared" si="155"/>
        <v>244266</v>
      </c>
      <c r="X1276" s="16">
        <f t="shared" si="156"/>
        <v>244261</v>
      </c>
      <c r="Y1276" s="15" t="s">
        <v>54</v>
      </c>
      <c r="Z1276" s="177">
        <v>244261</v>
      </c>
      <c r="AA1276" s="170"/>
      <c r="AB1276" s="170"/>
      <c r="AC1276" s="170"/>
      <c r="AD1276" s="170"/>
      <c r="AE1276" s="15" t="s">
        <v>54</v>
      </c>
      <c r="AF1276" s="177">
        <v>244264</v>
      </c>
      <c r="AG1276" s="177" t="str">
        <f t="shared" si="157"/>
        <v>Pass</v>
      </c>
      <c r="AH1276" s="177">
        <f t="shared" si="158"/>
        <v>244264</v>
      </c>
      <c r="AK1276" s="176"/>
      <c r="AL1276" s="176"/>
    </row>
    <row r="1277" spans="1:38" ht="36" customHeight="1" x14ac:dyDescent="0.2">
      <c r="A1277" s="14" t="s">
        <v>26</v>
      </c>
      <c r="B1277" s="212">
        <v>244259</v>
      </c>
      <c r="C1277" s="14" t="s">
        <v>547</v>
      </c>
      <c r="D1277" s="14" t="s">
        <v>268</v>
      </c>
      <c r="E1277" s="14" t="s">
        <v>14</v>
      </c>
      <c r="F1277" s="14" t="s">
        <v>324</v>
      </c>
      <c r="G1277" s="179">
        <v>681276</v>
      </c>
      <c r="H1277" s="176" t="s">
        <v>3302</v>
      </c>
      <c r="I1277" s="176" t="s">
        <v>630</v>
      </c>
      <c r="J1277" s="176" t="s">
        <v>520</v>
      </c>
      <c r="K1277" s="176" t="s">
        <v>3900</v>
      </c>
      <c r="L1277" s="40" t="s">
        <v>46</v>
      </c>
      <c r="M1277" s="40" t="s">
        <v>341</v>
      </c>
      <c r="N1277" s="14" t="s">
        <v>3910</v>
      </c>
      <c r="O1277" s="14" t="s">
        <v>548</v>
      </c>
      <c r="P1277" s="14" t="s">
        <v>518</v>
      </c>
      <c r="Q1277" s="14" t="s">
        <v>549</v>
      </c>
      <c r="R1277" s="17">
        <v>450</v>
      </c>
      <c r="S1277" s="172" t="s">
        <v>51</v>
      </c>
      <c r="T1277" s="17">
        <v>1940</v>
      </c>
      <c r="U1277" s="14" t="s">
        <v>51</v>
      </c>
      <c r="V1277" s="16">
        <f t="shared" si="154"/>
        <v>244259</v>
      </c>
      <c r="W1277" s="16">
        <f t="shared" si="155"/>
        <v>244266</v>
      </c>
      <c r="X1277" s="16">
        <f t="shared" si="156"/>
        <v>244261</v>
      </c>
      <c r="Y1277" s="15" t="s">
        <v>54</v>
      </c>
      <c r="Z1277" s="177">
        <v>244261</v>
      </c>
      <c r="AA1277" s="170"/>
      <c r="AB1277" s="170"/>
      <c r="AC1277" s="170"/>
      <c r="AD1277" s="170"/>
      <c r="AE1277" s="15" t="s">
        <v>54</v>
      </c>
      <c r="AF1277" s="177">
        <v>244264</v>
      </c>
      <c r="AG1277" s="177" t="str">
        <f t="shared" si="157"/>
        <v>Pass</v>
      </c>
      <c r="AH1277" s="177">
        <f t="shared" si="158"/>
        <v>244264</v>
      </c>
      <c r="AK1277" s="176"/>
      <c r="AL1277" s="176"/>
    </row>
    <row r="1278" spans="1:38" ht="36" customHeight="1" x14ac:dyDescent="0.2">
      <c r="A1278" s="14" t="s">
        <v>26</v>
      </c>
      <c r="B1278" s="212">
        <v>244259</v>
      </c>
      <c r="C1278" s="14" t="s">
        <v>547</v>
      </c>
      <c r="D1278" s="14" t="s">
        <v>268</v>
      </c>
      <c r="E1278" s="14" t="s">
        <v>14</v>
      </c>
      <c r="F1278" s="14" t="s">
        <v>324</v>
      </c>
      <c r="G1278" s="179">
        <v>681277</v>
      </c>
      <c r="H1278" s="176" t="s">
        <v>3302</v>
      </c>
      <c r="I1278" s="176" t="s">
        <v>630</v>
      </c>
      <c r="J1278" s="176" t="s">
        <v>520</v>
      </c>
      <c r="K1278" s="176" t="s">
        <v>3900</v>
      </c>
      <c r="L1278" s="40" t="s">
        <v>46</v>
      </c>
      <c r="M1278" s="40" t="s">
        <v>341</v>
      </c>
      <c r="N1278" s="14" t="s">
        <v>3911</v>
      </c>
      <c r="O1278" s="14" t="s">
        <v>548</v>
      </c>
      <c r="P1278" s="14" t="s">
        <v>518</v>
      </c>
      <c r="Q1278" s="14" t="s">
        <v>549</v>
      </c>
      <c r="R1278" s="17">
        <v>166</v>
      </c>
      <c r="S1278" s="172" t="s">
        <v>51</v>
      </c>
      <c r="T1278" s="17">
        <v>2045</v>
      </c>
      <c r="U1278" s="14" t="s">
        <v>51</v>
      </c>
      <c r="V1278" s="16">
        <f t="shared" si="154"/>
        <v>244259</v>
      </c>
      <c r="W1278" s="16">
        <f t="shared" si="155"/>
        <v>244266</v>
      </c>
      <c r="X1278" s="16">
        <f t="shared" si="156"/>
        <v>244261</v>
      </c>
      <c r="Y1278" s="15" t="s">
        <v>54</v>
      </c>
      <c r="Z1278" s="177">
        <v>244261</v>
      </c>
      <c r="AA1278" s="170"/>
      <c r="AB1278" s="170"/>
      <c r="AC1278" s="170"/>
      <c r="AD1278" s="170"/>
      <c r="AE1278" s="15" t="s">
        <v>54</v>
      </c>
      <c r="AF1278" s="177">
        <v>244264</v>
      </c>
      <c r="AG1278" s="177" t="str">
        <f t="shared" si="157"/>
        <v>Pass</v>
      </c>
      <c r="AH1278" s="177">
        <f t="shared" si="158"/>
        <v>244264</v>
      </c>
      <c r="AK1278" s="176"/>
      <c r="AL1278" s="176"/>
    </row>
    <row r="1279" spans="1:38" ht="36" customHeight="1" x14ac:dyDescent="0.2">
      <c r="A1279" s="14" t="s">
        <v>26</v>
      </c>
      <c r="B1279" s="212">
        <v>244260</v>
      </c>
      <c r="C1279" s="14" t="s">
        <v>547</v>
      </c>
      <c r="D1279" s="14" t="s">
        <v>268</v>
      </c>
      <c r="E1279" s="14" t="s">
        <v>14</v>
      </c>
      <c r="F1279" s="14" t="s">
        <v>324</v>
      </c>
      <c r="G1279" s="179">
        <v>681278</v>
      </c>
      <c r="H1279" s="176" t="s">
        <v>3302</v>
      </c>
      <c r="I1279" s="176" t="s">
        <v>630</v>
      </c>
      <c r="J1279" s="176" t="s">
        <v>520</v>
      </c>
      <c r="K1279" s="176" t="s">
        <v>3900</v>
      </c>
      <c r="L1279" s="40" t="s">
        <v>46</v>
      </c>
      <c r="M1279" s="40" t="s">
        <v>341</v>
      </c>
      <c r="N1279" s="14" t="s">
        <v>616</v>
      </c>
      <c r="O1279" s="14" t="s">
        <v>548</v>
      </c>
      <c r="P1279" s="14" t="s">
        <v>518</v>
      </c>
      <c r="Q1279" s="14" t="s">
        <v>549</v>
      </c>
      <c r="R1279" s="17">
        <v>160</v>
      </c>
      <c r="S1279" s="172" t="s">
        <v>51</v>
      </c>
      <c r="T1279" s="17">
        <v>2045</v>
      </c>
      <c r="U1279" s="14" t="s">
        <v>51</v>
      </c>
      <c r="V1279" s="16">
        <f t="shared" si="154"/>
        <v>244260</v>
      </c>
      <c r="W1279" s="16">
        <f t="shared" si="155"/>
        <v>244267</v>
      </c>
      <c r="X1279" s="16">
        <f t="shared" si="156"/>
        <v>244262</v>
      </c>
      <c r="Y1279" s="15" t="s">
        <v>54</v>
      </c>
      <c r="Z1279" s="177">
        <v>244263</v>
      </c>
      <c r="AA1279" s="170"/>
      <c r="AB1279" s="170"/>
      <c r="AC1279" s="170"/>
      <c r="AD1279" s="170"/>
      <c r="AE1279" s="15" t="s">
        <v>54</v>
      </c>
      <c r="AF1279" s="177">
        <v>244264</v>
      </c>
      <c r="AG1279" s="177" t="str">
        <f t="shared" si="157"/>
        <v>Pass</v>
      </c>
      <c r="AH1279" s="177">
        <f t="shared" si="158"/>
        <v>244264</v>
      </c>
      <c r="AK1279" s="176"/>
      <c r="AL1279" s="176"/>
    </row>
    <row r="1280" spans="1:38" ht="36" customHeight="1" x14ac:dyDescent="0.2">
      <c r="A1280" s="14" t="s">
        <v>26</v>
      </c>
      <c r="B1280" s="212">
        <v>244260</v>
      </c>
      <c r="C1280" s="14" t="s">
        <v>547</v>
      </c>
      <c r="D1280" s="14" t="s">
        <v>268</v>
      </c>
      <c r="E1280" s="14" t="s">
        <v>14</v>
      </c>
      <c r="F1280" s="14" t="s">
        <v>324</v>
      </c>
      <c r="G1280" s="179">
        <v>681279</v>
      </c>
      <c r="H1280" s="176" t="s">
        <v>663</v>
      </c>
      <c r="I1280" s="176" t="s">
        <v>630</v>
      </c>
      <c r="J1280" s="176" t="s">
        <v>821</v>
      </c>
      <c r="K1280" s="176" t="s">
        <v>3856</v>
      </c>
      <c r="L1280" s="40" t="s">
        <v>124</v>
      </c>
      <c r="M1280" s="40" t="s">
        <v>341</v>
      </c>
      <c r="N1280" s="14" t="s">
        <v>3917</v>
      </c>
      <c r="O1280" s="14" t="s">
        <v>543</v>
      </c>
      <c r="P1280" s="14" t="s">
        <v>517</v>
      </c>
      <c r="Q1280" s="14" t="s">
        <v>529</v>
      </c>
      <c r="R1280" s="17">
        <v>900</v>
      </c>
      <c r="S1280" s="172" t="s">
        <v>51</v>
      </c>
      <c r="T1280" s="17"/>
      <c r="U1280" s="14"/>
      <c r="V1280" s="16">
        <f t="shared" si="154"/>
        <v>244260</v>
      </c>
      <c r="W1280" s="16">
        <f t="shared" si="155"/>
        <v>244267</v>
      </c>
      <c r="X1280" s="16">
        <f t="shared" si="156"/>
        <v>244262</v>
      </c>
      <c r="Y1280" s="15" t="s">
        <v>54</v>
      </c>
      <c r="Z1280" s="177">
        <v>244263</v>
      </c>
      <c r="AA1280" s="170"/>
      <c r="AB1280" s="170"/>
      <c r="AC1280" s="170"/>
      <c r="AD1280" s="170"/>
      <c r="AE1280" s="15" t="s">
        <v>54</v>
      </c>
      <c r="AF1280" s="177">
        <v>244264</v>
      </c>
      <c r="AG1280" s="177" t="str">
        <f t="shared" si="157"/>
        <v>Pass</v>
      </c>
      <c r="AH1280" s="177">
        <f t="shared" ref="AH1280:AH1343" si="159">AF1280</f>
        <v>244264</v>
      </c>
      <c r="AK1280" s="176"/>
      <c r="AL1280" s="176"/>
    </row>
    <row r="1281" spans="1:38" ht="36" customHeight="1" x14ac:dyDescent="0.2">
      <c r="A1281" s="14" t="s">
        <v>26</v>
      </c>
      <c r="B1281" s="212">
        <v>244260</v>
      </c>
      <c r="C1281" s="14" t="s">
        <v>547</v>
      </c>
      <c r="D1281" s="14" t="s">
        <v>268</v>
      </c>
      <c r="E1281" s="14" t="s">
        <v>14</v>
      </c>
      <c r="F1281" s="14" t="s">
        <v>324</v>
      </c>
      <c r="G1281" s="179">
        <v>681280</v>
      </c>
      <c r="H1281" s="176" t="s">
        <v>142</v>
      </c>
      <c r="I1281" s="176" t="s">
        <v>551</v>
      </c>
      <c r="J1281" s="176" t="s">
        <v>832</v>
      </c>
      <c r="K1281" s="176" t="s">
        <v>3913</v>
      </c>
      <c r="L1281" s="40" t="s">
        <v>108</v>
      </c>
      <c r="M1281" s="40" t="s">
        <v>341</v>
      </c>
      <c r="N1281" s="14" t="s">
        <v>3918</v>
      </c>
      <c r="O1281" s="14" t="s">
        <v>543</v>
      </c>
      <c r="P1281" s="14" t="s">
        <v>3922</v>
      </c>
      <c r="Q1281" s="14" t="s">
        <v>529</v>
      </c>
      <c r="R1281" s="17">
        <v>550</v>
      </c>
      <c r="S1281" s="172" t="s">
        <v>51</v>
      </c>
      <c r="T1281" s="17">
        <v>1050</v>
      </c>
      <c r="U1281" s="14" t="s">
        <v>51</v>
      </c>
      <c r="V1281" s="16">
        <f t="shared" si="154"/>
        <v>244260</v>
      </c>
      <c r="W1281" s="16">
        <f t="shared" si="155"/>
        <v>244267</v>
      </c>
      <c r="X1281" s="16">
        <f t="shared" si="156"/>
        <v>244262</v>
      </c>
      <c r="Y1281" s="15" t="s">
        <v>54</v>
      </c>
      <c r="Z1281" s="177">
        <v>244263</v>
      </c>
      <c r="AA1281" s="170"/>
      <c r="AB1281" s="170"/>
      <c r="AC1281" s="170"/>
      <c r="AD1281" s="170"/>
      <c r="AE1281" s="15" t="s">
        <v>54</v>
      </c>
      <c r="AF1281" s="177">
        <v>244264</v>
      </c>
      <c r="AG1281" s="177" t="str">
        <f t="shared" si="157"/>
        <v>Pass</v>
      </c>
      <c r="AH1281" s="177">
        <f t="shared" si="159"/>
        <v>244264</v>
      </c>
      <c r="AK1281" s="176"/>
      <c r="AL1281" s="176"/>
    </row>
    <row r="1282" spans="1:38" ht="36" customHeight="1" x14ac:dyDescent="0.2">
      <c r="A1282" s="14" t="s">
        <v>26</v>
      </c>
      <c r="B1282" s="212">
        <v>244260</v>
      </c>
      <c r="C1282" s="14" t="s">
        <v>547</v>
      </c>
      <c r="D1282" s="14" t="s">
        <v>268</v>
      </c>
      <c r="E1282" s="14" t="s">
        <v>14</v>
      </c>
      <c r="F1282" s="14" t="s">
        <v>324</v>
      </c>
      <c r="G1282" s="179">
        <v>681281</v>
      </c>
      <c r="H1282" s="176" t="s">
        <v>3912</v>
      </c>
      <c r="I1282" s="176" t="s">
        <v>612</v>
      </c>
      <c r="J1282" s="176" t="s">
        <v>3616</v>
      </c>
      <c r="K1282" s="176" t="s">
        <v>3914</v>
      </c>
      <c r="L1282" s="40" t="s">
        <v>45</v>
      </c>
      <c r="M1282" s="40" t="s">
        <v>341</v>
      </c>
      <c r="N1282" s="14" t="s">
        <v>1175</v>
      </c>
      <c r="O1282" s="14" t="s">
        <v>548</v>
      </c>
      <c r="P1282" s="14" t="s">
        <v>518</v>
      </c>
      <c r="Q1282" s="14" t="s">
        <v>549</v>
      </c>
      <c r="R1282" s="17">
        <v>156</v>
      </c>
      <c r="S1282" s="172" t="s">
        <v>51</v>
      </c>
      <c r="T1282" s="17">
        <v>1730</v>
      </c>
      <c r="U1282" s="14" t="s">
        <v>51</v>
      </c>
      <c r="V1282" s="16">
        <f t="shared" si="154"/>
        <v>244260</v>
      </c>
      <c r="W1282" s="16">
        <f t="shared" si="155"/>
        <v>244267</v>
      </c>
      <c r="X1282" s="16">
        <f t="shared" si="156"/>
        <v>244262</v>
      </c>
      <c r="Y1282" s="15" t="s">
        <v>54</v>
      </c>
      <c r="Z1282" s="177">
        <v>244263</v>
      </c>
      <c r="AA1282" s="170"/>
      <c r="AB1282" s="170"/>
      <c r="AC1282" s="170"/>
      <c r="AD1282" s="170"/>
      <c r="AE1282" s="15" t="s">
        <v>54</v>
      </c>
      <c r="AF1282" s="177">
        <v>244264</v>
      </c>
      <c r="AG1282" s="177" t="str">
        <f t="shared" si="157"/>
        <v>Pass</v>
      </c>
      <c r="AH1282" s="177">
        <f t="shared" si="159"/>
        <v>244264</v>
      </c>
      <c r="AK1282" s="176"/>
      <c r="AL1282" s="176"/>
    </row>
    <row r="1283" spans="1:38" ht="36" customHeight="1" x14ac:dyDescent="0.2">
      <c r="A1283" s="14" t="s">
        <v>26</v>
      </c>
      <c r="B1283" s="212">
        <v>244260</v>
      </c>
      <c r="C1283" s="14" t="s">
        <v>547</v>
      </c>
      <c r="D1283" s="14" t="s">
        <v>268</v>
      </c>
      <c r="E1283" s="14" t="s">
        <v>14</v>
      </c>
      <c r="F1283" s="14" t="s">
        <v>324</v>
      </c>
      <c r="G1283" s="179">
        <v>681282</v>
      </c>
      <c r="H1283" s="176" t="s">
        <v>142</v>
      </c>
      <c r="I1283" s="176" t="s">
        <v>551</v>
      </c>
      <c r="J1283" s="176" t="s">
        <v>832</v>
      </c>
      <c r="K1283" s="176" t="s">
        <v>3913</v>
      </c>
      <c r="L1283" s="40" t="s">
        <v>108</v>
      </c>
      <c r="M1283" s="40" t="s">
        <v>341</v>
      </c>
      <c r="N1283" s="14" t="s">
        <v>2973</v>
      </c>
      <c r="O1283" s="14" t="s">
        <v>548</v>
      </c>
      <c r="P1283" s="14" t="s">
        <v>518</v>
      </c>
      <c r="Q1283" s="14" t="s">
        <v>549</v>
      </c>
      <c r="R1283" s="17">
        <v>115</v>
      </c>
      <c r="S1283" s="172" t="s">
        <v>51</v>
      </c>
      <c r="T1283" s="17">
        <v>1050</v>
      </c>
      <c r="U1283" s="14" t="s">
        <v>51</v>
      </c>
      <c r="V1283" s="16">
        <f t="shared" si="154"/>
        <v>244260</v>
      </c>
      <c r="W1283" s="16">
        <f t="shared" si="155"/>
        <v>244267</v>
      </c>
      <c r="X1283" s="16">
        <f t="shared" si="156"/>
        <v>244262</v>
      </c>
      <c r="Y1283" s="15" t="s">
        <v>54</v>
      </c>
      <c r="Z1283" s="177">
        <v>244263</v>
      </c>
      <c r="AA1283" s="170"/>
      <c r="AB1283" s="170"/>
      <c r="AC1283" s="170"/>
      <c r="AD1283" s="170"/>
      <c r="AE1283" s="15" t="s">
        <v>54</v>
      </c>
      <c r="AF1283" s="177">
        <v>244264</v>
      </c>
      <c r="AG1283" s="177" t="str">
        <f t="shared" si="157"/>
        <v>Pass</v>
      </c>
      <c r="AH1283" s="177">
        <f t="shared" si="159"/>
        <v>244264</v>
      </c>
      <c r="AK1283" s="176"/>
      <c r="AL1283" s="176"/>
    </row>
    <row r="1284" spans="1:38" ht="36" customHeight="1" x14ac:dyDescent="0.2">
      <c r="A1284" s="14" t="s">
        <v>26</v>
      </c>
      <c r="B1284" s="212">
        <v>244260</v>
      </c>
      <c r="C1284" s="14" t="s">
        <v>547</v>
      </c>
      <c r="D1284" s="14" t="s">
        <v>268</v>
      </c>
      <c r="E1284" s="14" t="s">
        <v>14</v>
      </c>
      <c r="F1284" s="14" t="s">
        <v>324</v>
      </c>
      <c r="G1284" s="179">
        <v>681283</v>
      </c>
      <c r="H1284" s="176" t="s">
        <v>1054</v>
      </c>
      <c r="I1284" s="176" t="s">
        <v>551</v>
      </c>
      <c r="J1284" s="176" t="s">
        <v>832</v>
      </c>
      <c r="K1284" s="176" t="s">
        <v>3915</v>
      </c>
      <c r="L1284" s="40" t="s">
        <v>108</v>
      </c>
      <c r="M1284" s="40" t="s">
        <v>341</v>
      </c>
      <c r="N1284" s="14" t="s">
        <v>2754</v>
      </c>
      <c r="O1284" s="14" t="s">
        <v>548</v>
      </c>
      <c r="P1284" s="14" t="s">
        <v>518</v>
      </c>
      <c r="Q1284" s="14" t="s">
        <v>549</v>
      </c>
      <c r="R1284" s="17">
        <v>221</v>
      </c>
      <c r="S1284" s="172" t="s">
        <v>51</v>
      </c>
      <c r="T1284" s="17">
        <v>2240</v>
      </c>
      <c r="U1284" s="14" t="s">
        <v>51</v>
      </c>
      <c r="V1284" s="16">
        <f t="shared" si="154"/>
        <v>244260</v>
      </c>
      <c r="W1284" s="16">
        <f t="shared" si="155"/>
        <v>244267</v>
      </c>
      <c r="X1284" s="16">
        <f t="shared" si="156"/>
        <v>244262</v>
      </c>
      <c r="Y1284" s="15" t="s">
        <v>54</v>
      </c>
      <c r="Z1284" s="177">
        <v>244263</v>
      </c>
      <c r="AA1284" s="170"/>
      <c r="AB1284" s="170"/>
      <c r="AC1284" s="170"/>
      <c r="AD1284" s="170"/>
      <c r="AE1284" s="15" t="s">
        <v>54</v>
      </c>
      <c r="AF1284" s="177">
        <v>244264</v>
      </c>
      <c r="AG1284" s="177" t="str">
        <f t="shared" si="157"/>
        <v>Pass</v>
      </c>
      <c r="AH1284" s="177">
        <f t="shared" si="159"/>
        <v>244264</v>
      </c>
      <c r="AK1284" s="176"/>
      <c r="AL1284" s="176"/>
    </row>
    <row r="1285" spans="1:38" ht="36" customHeight="1" x14ac:dyDescent="0.2">
      <c r="A1285" s="14" t="s">
        <v>26</v>
      </c>
      <c r="B1285" s="212">
        <v>244260</v>
      </c>
      <c r="C1285" s="14" t="s">
        <v>547</v>
      </c>
      <c r="D1285" s="14" t="s">
        <v>268</v>
      </c>
      <c r="E1285" s="14" t="s">
        <v>14</v>
      </c>
      <c r="F1285" s="14" t="s">
        <v>324</v>
      </c>
      <c r="G1285" s="179">
        <v>681284</v>
      </c>
      <c r="H1285" s="176" t="s">
        <v>1925</v>
      </c>
      <c r="I1285" s="176" t="s">
        <v>630</v>
      </c>
      <c r="J1285" s="176" t="s">
        <v>520</v>
      </c>
      <c r="K1285" s="176" t="s">
        <v>3916</v>
      </c>
      <c r="L1285" s="40" t="s">
        <v>46</v>
      </c>
      <c r="M1285" s="40" t="s">
        <v>341</v>
      </c>
      <c r="N1285" s="14" t="s">
        <v>3919</v>
      </c>
      <c r="O1285" s="14" t="s">
        <v>527</v>
      </c>
      <c r="P1285" s="14" t="s">
        <v>3923</v>
      </c>
      <c r="Q1285" s="14" t="s">
        <v>542</v>
      </c>
      <c r="R1285" s="17">
        <v>232</v>
      </c>
      <c r="S1285" s="172" t="s">
        <v>51</v>
      </c>
      <c r="T1285" s="17">
        <v>2029</v>
      </c>
      <c r="U1285" s="14" t="s">
        <v>51</v>
      </c>
      <c r="V1285" s="16">
        <f t="shared" si="154"/>
        <v>244260</v>
      </c>
      <c r="W1285" s="16">
        <f t="shared" si="155"/>
        <v>244267</v>
      </c>
      <c r="X1285" s="16">
        <f t="shared" si="156"/>
        <v>244262</v>
      </c>
      <c r="Y1285" s="15" t="s">
        <v>54</v>
      </c>
      <c r="Z1285" s="177">
        <v>244263</v>
      </c>
      <c r="AA1285" s="170"/>
      <c r="AB1285" s="170"/>
      <c r="AC1285" s="170"/>
      <c r="AD1285" s="170"/>
      <c r="AE1285" s="15" t="s">
        <v>54</v>
      </c>
      <c r="AF1285" s="177">
        <v>244264</v>
      </c>
      <c r="AG1285" s="177" t="str">
        <f t="shared" si="157"/>
        <v>Pass</v>
      </c>
      <c r="AH1285" s="177">
        <f t="shared" si="159"/>
        <v>244264</v>
      </c>
      <c r="AK1285" s="176"/>
      <c r="AL1285" s="176"/>
    </row>
    <row r="1286" spans="1:38" ht="36" customHeight="1" x14ac:dyDescent="0.2">
      <c r="A1286" s="14" t="s">
        <v>26</v>
      </c>
      <c r="B1286" s="212">
        <v>244260</v>
      </c>
      <c r="C1286" s="14" t="s">
        <v>547</v>
      </c>
      <c r="D1286" s="14" t="s">
        <v>268</v>
      </c>
      <c r="E1286" s="14" t="s">
        <v>14</v>
      </c>
      <c r="F1286" s="14" t="s">
        <v>324</v>
      </c>
      <c r="G1286" s="179">
        <v>681285</v>
      </c>
      <c r="H1286" s="176" t="s">
        <v>1925</v>
      </c>
      <c r="I1286" s="176" t="s">
        <v>630</v>
      </c>
      <c r="J1286" s="176" t="s">
        <v>520</v>
      </c>
      <c r="K1286" s="176" t="s">
        <v>3916</v>
      </c>
      <c r="L1286" s="40" t="s">
        <v>46</v>
      </c>
      <c r="M1286" s="40" t="s">
        <v>341</v>
      </c>
      <c r="N1286" s="14" t="s">
        <v>3920</v>
      </c>
      <c r="O1286" s="14" t="s">
        <v>3921</v>
      </c>
      <c r="P1286" s="14" t="s">
        <v>3924</v>
      </c>
      <c r="Q1286" s="14" t="s">
        <v>3925</v>
      </c>
      <c r="R1286" s="17"/>
      <c r="S1286" s="172"/>
      <c r="T1286" s="17">
        <v>2029</v>
      </c>
      <c r="U1286" s="14" t="s">
        <v>51</v>
      </c>
      <c r="V1286" s="16">
        <f t="shared" si="154"/>
        <v>244260</v>
      </c>
      <c r="W1286" s="16">
        <f t="shared" si="155"/>
        <v>244267</v>
      </c>
      <c r="X1286" s="16">
        <f t="shared" si="156"/>
        <v>244262</v>
      </c>
      <c r="Y1286" s="15" t="s">
        <v>54</v>
      </c>
      <c r="Z1286" s="177">
        <v>244263</v>
      </c>
      <c r="AA1286" s="170"/>
      <c r="AB1286" s="170"/>
      <c r="AC1286" s="170"/>
      <c r="AD1286" s="170"/>
      <c r="AE1286" s="15" t="s">
        <v>54</v>
      </c>
      <c r="AF1286" s="177">
        <v>244264</v>
      </c>
      <c r="AG1286" s="177" t="str">
        <f t="shared" si="157"/>
        <v>Pass</v>
      </c>
      <c r="AH1286" s="177">
        <f t="shared" si="159"/>
        <v>244264</v>
      </c>
      <c r="AK1286" s="176"/>
      <c r="AL1286" s="176"/>
    </row>
    <row r="1287" spans="1:38" ht="36" customHeight="1" x14ac:dyDescent="0.2">
      <c r="A1287" s="14" t="s">
        <v>26</v>
      </c>
      <c r="B1287" s="212">
        <v>244260</v>
      </c>
      <c r="C1287" s="14" t="s">
        <v>547</v>
      </c>
      <c r="D1287" s="14" t="s">
        <v>268</v>
      </c>
      <c r="E1287" s="14" t="s">
        <v>14</v>
      </c>
      <c r="F1287" s="14" t="s">
        <v>324</v>
      </c>
      <c r="G1287" s="179">
        <v>681286</v>
      </c>
      <c r="H1287" s="176" t="s">
        <v>142</v>
      </c>
      <c r="I1287" s="176" t="s">
        <v>551</v>
      </c>
      <c r="J1287" s="176" t="s">
        <v>832</v>
      </c>
      <c r="K1287" s="176" t="s">
        <v>3913</v>
      </c>
      <c r="L1287" s="40" t="s">
        <v>108</v>
      </c>
      <c r="M1287" s="40" t="s">
        <v>341</v>
      </c>
      <c r="N1287" s="14" t="s">
        <v>3928</v>
      </c>
      <c r="O1287" s="14" t="s">
        <v>552</v>
      </c>
      <c r="P1287" s="14" t="s">
        <v>519</v>
      </c>
      <c r="Q1287" s="14" t="s">
        <v>553</v>
      </c>
      <c r="R1287" s="17">
        <v>575</v>
      </c>
      <c r="S1287" s="172" t="s">
        <v>51</v>
      </c>
      <c r="T1287" s="17">
        <v>2840</v>
      </c>
      <c r="U1287" s="14" t="s">
        <v>51</v>
      </c>
      <c r="V1287" s="16">
        <f t="shared" si="154"/>
        <v>244260</v>
      </c>
      <c r="W1287" s="16">
        <f t="shared" si="155"/>
        <v>244267</v>
      </c>
      <c r="X1287" s="16">
        <f t="shared" si="156"/>
        <v>244262</v>
      </c>
      <c r="Y1287" s="15" t="s">
        <v>54</v>
      </c>
      <c r="Z1287" s="177">
        <v>244263</v>
      </c>
      <c r="AA1287" s="170"/>
      <c r="AB1287" s="170"/>
      <c r="AC1287" s="170"/>
      <c r="AD1287" s="170"/>
      <c r="AE1287" s="15" t="s">
        <v>54</v>
      </c>
      <c r="AF1287" s="177">
        <v>244264</v>
      </c>
      <c r="AG1287" s="177" t="str">
        <f t="shared" si="157"/>
        <v>Pass</v>
      </c>
      <c r="AH1287" s="177">
        <f t="shared" si="159"/>
        <v>244264</v>
      </c>
      <c r="AK1287" s="176"/>
      <c r="AL1287" s="176"/>
    </row>
    <row r="1288" spans="1:38" ht="36" customHeight="1" x14ac:dyDescent="0.2">
      <c r="A1288" s="14" t="s">
        <v>26</v>
      </c>
      <c r="B1288" s="212">
        <v>244260</v>
      </c>
      <c r="C1288" s="14" t="s">
        <v>547</v>
      </c>
      <c r="D1288" s="14" t="s">
        <v>268</v>
      </c>
      <c r="E1288" s="14" t="s">
        <v>14</v>
      </c>
      <c r="F1288" s="14" t="s">
        <v>324</v>
      </c>
      <c r="G1288" s="179">
        <v>681287</v>
      </c>
      <c r="H1288" s="176" t="s">
        <v>3912</v>
      </c>
      <c r="I1288" s="176" t="s">
        <v>612</v>
      </c>
      <c r="J1288" s="176" t="s">
        <v>3616</v>
      </c>
      <c r="K1288" s="176" t="s">
        <v>3914</v>
      </c>
      <c r="L1288" s="40" t="s">
        <v>45</v>
      </c>
      <c r="M1288" s="40" t="s">
        <v>341</v>
      </c>
      <c r="N1288" s="14" t="s">
        <v>1033</v>
      </c>
      <c r="O1288" s="14" t="s">
        <v>552</v>
      </c>
      <c r="P1288" s="14" t="s">
        <v>519</v>
      </c>
      <c r="Q1288" s="14" t="s">
        <v>553</v>
      </c>
      <c r="R1288" s="17">
        <v>300</v>
      </c>
      <c r="S1288" s="172" t="s">
        <v>51</v>
      </c>
      <c r="T1288" s="17">
        <v>1570</v>
      </c>
      <c r="U1288" s="14" t="s">
        <v>51</v>
      </c>
      <c r="V1288" s="16">
        <f t="shared" si="154"/>
        <v>244260</v>
      </c>
      <c r="W1288" s="16">
        <f t="shared" si="155"/>
        <v>244267</v>
      </c>
      <c r="X1288" s="16">
        <f t="shared" si="156"/>
        <v>244262</v>
      </c>
      <c r="Y1288" s="15" t="s">
        <v>54</v>
      </c>
      <c r="Z1288" s="177">
        <v>244263</v>
      </c>
      <c r="AA1288" s="170"/>
      <c r="AB1288" s="170"/>
      <c r="AC1288" s="170"/>
      <c r="AD1288" s="170"/>
      <c r="AE1288" s="15" t="s">
        <v>54</v>
      </c>
      <c r="AF1288" s="177">
        <v>244264</v>
      </c>
      <c r="AG1288" s="177" t="str">
        <f t="shared" si="157"/>
        <v>Pass</v>
      </c>
      <c r="AH1288" s="177">
        <f t="shared" si="159"/>
        <v>244264</v>
      </c>
      <c r="AK1288" s="176"/>
      <c r="AL1288" s="176"/>
    </row>
    <row r="1289" spans="1:38" ht="36" customHeight="1" x14ac:dyDescent="0.2">
      <c r="A1289" s="14" t="s">
        <v>26</v>
      </c>
      <c r="B1289" s="212">
        <v>244260</v>
      </c>
      <c r="C1289" s="14" t="s">
        <v>547</v>
      </c>
      <c r="D1289" s="14" t="s">
        <v>268</v>
      </c>
      <c r="E1289" s="14" t="s">
        <v>14</v>
      </c>
      <c r="F1289" s="14" t="s">
        <v>324</v>
      </c>
      <c r="G1289" s="179">
        <v>681288</v>
      </c>
      <c r="H1289" s="176" t="s">
        <v>3926</v>
      </c>
      <c r="I1289" s="176" t="s">
        <v>612</v>
      </c>
      <c r="J1289" s="176" t="s">
        <v>3616</v>
      </c>
      <c r="K1289" s="176" t="s">
        <v>3927</v>
      </c>
      <c r="L1289" s="40" t="s">
        <v>45</v>
      </c>
      <c r="M1289" s="40" t="s">
        <v>341</v>
      </c>
      <c r="N1289" s="14" t="s">
        <v>3929</v>
      </c>
      <c r="O1289" s="14" t="s">
        <v>756</v>
      </c>
      <c r="P1289" s="14" t="s">
        <v>3328</v>
      </c>
      <c r="Q1289" s="14" t="s">
        <v>758</v>
      </c>
      <c r="R1289" s="17">
        <v>600</v>
      </c>
      <c r="S1289" s="172" t="s">
        <v>51</v>
      </c>
      <c r="T1289" s="17">
        <v>1300</v>
      </c>
      <c r="U1289" s="14" t="s">
        <v>51</v>
      </c>
      <c r="V1289" s="16">
        <f t="shared" si="154"/>
        <v>244260</v>
      </c>
      <c r="W1289" s="16">
        <f t="shared" si="155"/>
        <v>244267</v>
      </c>
      <c r="X1289" s="16">
        <f t="shared" si="156"/>
        <v>244262</v>
      </c>
      <c r="Y1289" s="15" t="s">
        <v>54</v>
      </c>
      <c r="Z1289" s="177">
        <v>244263</v>
      </c>
      <c r="AA1289" s="170"/>
      <c r="AB1289" s="170"/>
      <c r="AC1289" s="170"/>
      <c r="AD1289" s="170"/>
      <c r="AE1289" s="15" t="s">
        <v>54</v>
      </c>
      <c r="AF1289" s="177">
        <v>244264</v>
      </c>
      <c r="AG1289" s="177" t="str">
        <f t="shared" si="157"/>
        <v>Pass</v>
      </c>
      <c r="AH1289" s="177">
        <f t="shared" si="159"/>
        <v>244264</v>
      </c>
      <c r="AK1289" s="176"/>
      <c r="AL1289" s="176"/>
    </row>
    <row r="1290" spans="1:38" ht="36" customHeight="1" x14ac:dyDescent="0.2">
      <c r="A1290" s="14" t="s">
        <v>26</v>
      </c>
      <c r="B1290" s="212">
        <v>244261</v>
      </c>
      <c r="C1290" s="14" t="s">
        <v>547</v>
      </c>
      <c r="D1290" s="14" t="s">
        <v>268</v>
      </c>
      <c r="E1290" s="14" t="s">
        <v>14</v>
      </c>
      <c r="F1290" s="14" t="s">
        <v>324</v>
      </c>
      <c r="G1290" s="179">
        <v>681289</v>
      </c>
      <c r="H1290" s="176" t="s">
        <v>628</v>
      </c>
      <c r="I1290" s="176" t="s">
        <v>551</v>
      </c>
      <c r="J1290" s="176" t="s">
        <v>832</v>
      </c>
      <c r="K1290" s="176" t="s">
        <v>3930</v>
      </c>
      <c r="L1290" s="40" t="s">
        <v>108</v>
      </c>
      <c r="M1290" s="40" t="s">
        <v>341</v>
      </c>
      <c r="N1290" s="14" t="s">
        <v>1079</v>
      </c>
      <c r="O1290" s="14" t="s">
        <v>528</v>
      </c>
      <c r="P1290" s="14" t="s">
        <v>1152</v>
      </c>
      <c r="Q1290" s="14" t="s">
        <v>541</v>
      </c>
      <c r="R1290" s="17">
        <v>300</v>
      </c>
      <c r="S1290" s="172" t="s">
        <v>51</v>
      </c>
      <c r="T1290" s="17">
        <v>660</v>
      </c>
      <c r="U1290" s="14" t="s">
        <v>51</v>
      </c>
      <c r="V1290" s="16">
        <f t="shared" si="154"/>
        <v>244261</v>
      </c>
      <c r="W1290" s="16">
        <f t="shared" si="155"/>
        <v>244268</v>
      </c>
      <c r="X1290" s="16">
        <f t="shared" si="156"/>
        <v>244263</v>
      </c>
      <c r="Y1290" s="15" t="s">
        <v>54</v>
      </c>
      <c r="Z1290" s="177">
        <v>244263</v>
      </c>
      <c r="AA1290" s="170"/>
      <c r="AB1290" s="170"/>
      <c r="AC1290" s="170"/>
      <c r="AD1290" s="170"/>
      <c r="AE1290" s="15" t="s">
        <v>54</v>
      </c>
      <c r="AF1290" s="177">
        <v>244264</v>
      </c>
      <c r="AG1290" s="177" t="str">
        <f t="shared" si="157"/>
        <v>Pass</v>
      </c>
      <c r="AH1290" s="177">
        <f t="shared" si="159"/>
        <v>244264</v>
      </c>
      <c r="AK1290" s="176"/>
      <c r="AL1290" s="176"/>
    </row>
    <row r="1291" spans="1:38" ht="36" customHeight="1" x14ac:dyDescent="0.2">
      <c r="A1291" s="14" t="s">
        <v>26</v>
      </c>
      <c r="B1291" s="212">
        <v>244261</v>
      </c>
      <c r="C1291" s="14" t="s">
        <v>547</v>
      </c>
      <c r="D1291" s="14" t="s">
        <v>268</v>
      </c>
      <c r="E1291" s="14" t="s">
        <v>14</v>
      </c>
      <c r="F1291" s="14" t="s">
        <v>324</v>
      </c>
      <c r="G1291" s="179">
        <v>681290</v>
      </c>
      <c r="H1291" s="176" t="s">
        <v>628</v>
      </c>
      <c r="I1291" s="176" t="s">
        <v>551</v>
      </c>
      <c r="J1291" s="176" t="s">
        <v>832</v>
      </c>
      <c r="K1291" s="176" t="s">
        <v>3930</v>
      </c>
      <c r="L1291" s="40" t="s">
        <v>108</v>
      </c>
      <c r="M1291" s="40" t="s">
        <v>341</v>
      </c>
      <c r="N1291" s="14" t="s">
        <v>3932</v>
      </c>
      <c r="O1291" s="14" t="s">
        <v>543</v>
      </c>
      <c r="P1291" s="14" t="s">
        <v>2919</v>
      </c>
      <c r="Q1291" s="14" t="s">
        <v>529</v>
      </c>
      <c r="R1291" s="17">
        <v>225</v>
      </c>
      <c r="S1291" s="172" t="s">
        <v>51</v>
      </c>
      <c r="T1291" s="17">
        <v>3380</v>
      </c>
      <c r="U1291" s="14" t="s">
        <v>51</v>
      </c>
      <c r="V1291" s="16">
        <f t="shared" si="154"/>
        <v>244261</v>
      </c>
      <c r="W1291" s="16">
        <f t="shared" si="155"/>
        <v>244268</v>
      </c>
      <c r="X1291" s="16">
        <f t="shared" si="156"/>
        <v>244263</v>
      </c>
      <c r="Y1291" s="15" t="s">
        <v>54</v>
      </c>
      <c r="Z1291" s="177">
        <v>244272</v>
      </c>
      <c r="AA1291" s="170"/>
      <c r="AB1291" s="170"/>
      <c r="AC1291" s="170"/>
      <c r="AD1291" s="170"/>
      <c r="AE1291" s="15" t="s">
        <v>54</v>
      </c>
      <c r="AF1291" s="177">
        <v>244272</v>
      </c>
      <c r="AG1291" s="177" t="str">
        <f t="shared" si="157"/>
        <v>Pass</v>
      </c>
      <c r="AH1291" s="177">
        <f t="shared" si="159"/>
        <v>244272</v>
      </c>
      <c r="AK1291" s="176"/>
      <c r="AL1291" s="176"/>
    </row>
    <row r="1292" spans="1:38" ht="36" customHeight="1" x14ac:dyDescent="0.2">
      <c r="A1292" s="14" t="s">
        <v>26</v>
      </c>
      <c r="B1292" s="212">
        <v>244261</v>
      </c>
      <c r="C1292" s="14" t="s">
        <v>547</v>
      </c>
      <c r="D1292" s="14" t="s">
        <v>268</v>
      </c>
      <c r="E1292" s="14" t="s">
        <v>14</v>
      </c>
      <c r="F1292" s="14" t="s">
        <v>324</v>
      </c>
      <c r="G1292" s="179">
        <v>681291</v>
      </c>
      <c r="H1292" s="176" t="s">
        <v>1925</v>
      </c>
      <c r="I1292" s="176" t="s">
        <v>630</v>
      </c>
      <c r="J1292" s="176" t="s">
        <v>520</v>
      </c>
      <c r="K1292" s="176" t="s">
        <v>3916</v>
      </c>
      <c r="L1292" s="40" t="s">
        <v>46</v>
      </c>
      <c r="M1292" s="40" t="s">
        <v>341</v>
      </c>
      <c r="N1292" s="14" t="s">
        <v>3933</v>
      </c>
      <c r="O1292" s="14" t="s">
        <v>3937</v>
      </c>
      <c r="P1292" s="14" t="s">
        <v>1330</v>
      </c>
      <c r="Q1292" s="14" t="s">
        <v>3939</v>
      </c>
      <c r="R1292" s="17">
        <v>1500</v>
      </c>
      <c r="S1292" s="172" t="s">
        <v>51</v>
      </c>
      <c r="T1292" s="17">
        <v>2010</v>
      </c>
      <c r="U1292" s="14" t="s">
        <v>51</v>
      </c>
      <c r="V1292" s="16">
        <f t="shared" si="154"/>
        <v>244261</v>
      </c>
      <c r="W1292" s="16">
        <f t="shared" si="155"/>
        <v>244268</v>
      </c>
      <c r="X1292" s="16">
        <f t="shared" si="156"/>
        <v>244263</v>
      </c>
      <c r="Y1292" s="15" t="s">
        <v>54</v>
      </c>
      <c r="Z1292" s="177">
        <v>244272</v>
      </c>
      <c r="AA1292" s="170"/>
      <c r="AB1292" s="170"/>
      <c r="AC1292" s="170"/>
      <c r="AD1292" s="170"/>
      <c r="AE1292" s="15" t="s">
        <v>54</v>
      </c>
      <c r="AF1292" s="177">
        <v>244272</v>
      </c>
      <c r="AG1292" s="177" t="str">
        <f t="shared" si="157"/>
        <v>Pass</v>
      </c>
      <c r="AH1292" s="177">
        <f t="shared" si="159"/>
        <v>244272</v>
      </c>
      <c r="AK1292" s="176"/>
      <c r="AL1292" s="176"/>
    </row>
    <row r="1293" spans="1:38" ht="36" customHeight="1" x14ac:dyDescent="0.2">
      <c r="A1293" s="14" t="s">
        <v>26</v>
      </c>
      <c r="B1293" s="212">
        <v>244261</v>
      </c>
      <c r="C1293" s="14" t="s">
        <v>547</v>
      </c>
      <c r="D1293" s="14" t="s">
        <v>268</v>
      </c>
      <c r="E1293" s="14" t="s">
        <v>14</v>
      </c>
      <c r="F1293" s="14" t="s">
        <v>324</v>
      </c>
      <c r="G1293" s="179">
        <v>681292</v>
      </c>
      <c r="H1293" s="176" t="s">
        <v>1925</v>
      </c>
      <c r="I1293" s="176" t="s">
        <v>630</v>
      </c>
      <c r="J1293" s="176" t="s">
        <v>520</v>
      </c>
      <c r="K1293" s="176" t="s">
        <v>3916</v>
      </c>
      <c r="L1293" s="40" t="s">
        <v>46</v>
      </c>
      <c r="M1293" s="40" t="s">
        <v>341</v>
      </c>
      <c r="N1293" s="14" t="s">
        <v>3935</v>
      </c>
      <c r="O1293" s="14" t="s">
        <v>548</v>
      </c>
      <c r="P1293" s="14" t="s">
        <v>717</v>
      </c>
      <c r="Q1293" s="14" t="s">
        <v>549</v>
      </c>
      <c r="R1293" s="17">
        <v>233</v>
      </c>
      <c r="S1293" s="172" t="s">
        <v>51</v>
      </c>
      <c r="T1293" s="17">
        <v>1320</v>
      </c>
      <c r="U1293" s="14" t="s">
        <v>51</v>
      </c>
      <c r="V1293" s="16">
        <f t="shared" ref="V1293:V1356" si="160">B1293</f>
        <v>244261</v>
      </c>
      <c r="W1293" s="16">
        <f t="shared" ref="W1293:W1356" si="161">B1293+7</f>
        <v>244268</v>
      </c>
      <c r="X1293" s="16">
        <f t="shared" ref="X1293:X1356" si="162">V1293+2</f>
        <v>244263</v>
      </c>
      <c r="Y1293" s="15" t="s">
        <v>54</v>
      </c>
      <c r="Z1293" s="177">
        <v>244272</v>
      </c>
      <c r="AA1293" s="170"/>
      <c r="AB1293" s="170"/>
      <c r="AC1293" s="170"/>
      <c r="AD1293" s="170"/>
      <c r="AE1293" s="15" t="s">
        <v>54</v>
      </c>
      <c r="AF1293" s="177">
        <v>244272</v>
      </c>
      <c r="AG1293" s="177" t="str">
        <f t="shared" si="157"/>
        <v>Pass</v>
      </c>
      <c r="AH1293" s="177">
        <f t="shared" si="159"/>
        <v>244272</v>
      </c>
      <c r="AK1293" s="176"/>
      <c r="AL1293" s="176"/>
    </row>
    <row r="1294" spans="1:38" ht="36" customHeight="1" x14ac:dyDescent="0.2">
      <c r="A1294" s="14" t="s">
        <v>26</v>
      </c>
      <c r="B1294" s="212">
        <v>244261</v>
      </c>
      <c r="C1294" s="14" t="s">
        <v>547</v>
      </c>
      <c r="D1294" s="14" t="s">
        <v>268</v>
      </c>
      <c r="E1294" s="14" t="s">
        <v>14</v>
      </c>
      <c r="F1294" s="14" t="s">
        <v>324</v>
      </c>
      <c r="G1294" s="179">
        <v>681293</v>
      </c>
      <c r="H1294" s="176" t="s">
        <v>2773</v>
      </c>
      <c r="I1294" s="176" t="s">
        <v>612</v>
      </c>
      <c r="J1294" s="176" t="s">
        <v>3616</v>
      </c>
      <c r="K1294" s="176" t="s">
        <v>3931</v>
      </c>
      <c r="L1294" s="40" t="s">
        <v>45</v>
      </c>
      <c r="M1294" s="40" t="s">
        <v>341</v>
      </c>
      <c r="N1294" s="14" t="s">
        <v>3934</v>
      </c>
      <c r="O1294" s="14" t="s">
        <v>548</v>
      </c>
      <c r="P1294" s="14" t="s">
        <v>717</v>
      </c>
      <c r="Q1294" s="14" t="s">
        <v>549</v>
      </c>
      <c r="R1294" s="17">
        <v>2500</v>
      </c>
      <c r="S1294" s="172" t="s">
        <v>51</v>
      </c>
      <c r="T1294" s="17">
        <v>1035</v>
      </c>
      <c r="U1294" s="14" t="s">
        <v>51</v>
      </c>
      <c r="V1294" s="16">
        <f t="shared" si="160"/>
        <v>244261</v>
      </c>
      <c r="W1294" s="16">
        <f t="shared" si="161"/>
        <v>244268</v>
      </c>
      <c r="X1294" s="16">
        <f t="shared" si="162"/>
        <v>244263</v>
      </c>
      <c r="Y1294" s="15" t="s">
        <v>54</v>
      </c>
      <c r="Z1294" s="177">
        <v>244272</v>
      </c>
      <c r="AA1294" s="170"/>
      <c r="AB1294" s="170"/>
      <c r="AC1294" s="170"/>
      <c r="AD1294" s="170"/>
      <c r="AE1294" s="15" t="s">
        <v>54</v>
      </c>
      <c r="AF1294" s="177">
        <v>244272</v>
      </c>
      <c r="AG1294" s="177" t="str">
        <f t="shared" si="157"/>
        <v>Pass</v>
      </c>
      <c r="AH1294" s="177">
        <f t="shared" si="159"/>
        <v>244272</v>
      </c>
      <c r="AK1294" s="176"/>
      <c r="AL1294" s="176"/>
    </row>
    <row r="1295" spans="1:38" ht="36" customHeight="1" x14ac:dyDescent="0.2">
      <c r="A1295" s="14" t="s">
        <v>26</v>
      </c>
      <c r="B1295" s="212">
        <v>244261</v>
      </c>
      <c r="C1295" s="14" t="s">
        <v>547</v>
      </c>
      <c r="D1295" s="14" t="s">
        <v>268</v>
      </c>
      <c r="E1295" s="14" t="s">
        <v>14</v>
      </c>
      <c r="F1295" s="14" t="s">
        <v>324</v>
      </c>
      <c r="G1295" s="179">
        <v>681294</v>
      </c>
      <c r="H1295" s="176" t="s">
        <v>2773</v>
      </c>
      <c r="I1295" s="176" t="s">
        <v>612</v>
      </c>
      <c r="J1295" s="176" t="s">
        <v>3616</v>
      </c>
      <c r="K1295" s="176" t="s">
        <v>3931</v>
      </c>
      <c r="L1295" s="40" t="s">
        <v>45</v>
      </c>
      <c r="M1295" s="40" t="s">
        <v>341</v>
      </c>
      <c r="N1295" s="14" t="s">
        <v>3936</v>
      </c>
      <c r="O1295" s="14" t="s">
        <v>1970</v>
      </c>
      <c r="P1295" s="14" t="s">
        <v>3938</v>
      </c>
      <c r="Q1295" s="14" t="s">
        <v>1979</v>
      </c>
      <c r="R1295" s="17">
        <v>225</v>
      </c>
      <c r="S1295" s="172" t="s">
        <v>51</v>
      </c>
      <c r="T1295" s="17">
        <v>1825</v>
      </c>
      <c r="U1295" s="14" t="s">
        <v>51</v>
      </c>
      <c r="V1295" s="16">
        <f t="shared" si="160"/>
        <v>244261</v>
      </c>
      <c r="W1295" s="16">
        <f t="shared" si="161"/>
        <v>244268</v>
      </c>
      <c r="X1295" s="16">
        <f t="shared" si="162"/>
        <v>244263</v>
      </c>
      <c r="Y1295" s="15" t="s">
        <v>54</v>
      </c>
      <c r="Z1295" s="177">
        <v>244272</v>
      </c>
      <c r="AA1295" s="170"/>
      <c r="AB1295" s="170"/>
      <c r="AC1295" s="170"/>
      <c r="AD1295" s="170"/>
      <c r="AE1295" s="15" t="s">
        <v>54</v>
      </c>
      <c r="AF1295" s="177">
        <v>244272</v>
      </c>
      <c r="AG1295" s="177" t="str">
        <f t="shared" si="157"/>
        <v>Pass</v>
      </c>
      <c r="AH1295" s="177">
        <f t="shared" si="159"/>
        <v>244272</v>
      </c>
      <c r="AK1295" s="176"/>
      <c r="AL1295" s="176"/>
    </row>
    <row r="1296" spans="1:38" ht="36" customHeight="1" x14ac:dyDescent="0.2">
      <c r="A1296" s="14" t="s">
        <v>26</v>
      </c>
      <c r="B1296" s="212">
        <v>244263</v>
      </c>
      <c r="C1296" s="14" t="s">
        <v>547</v>
      </c>
      <c r="D1296" s="14" t="s">
        <v>268</v>
      </c>
      <c r="E1296" s="14" t="s">
        <v>14</v>
      </c>
      <c r="F1296" s="14" t="s">
        <v>324</v>
      </c>
      <c r="G1296" s="179">
        <v>681295</v>
      </c>
      <c r="H1296" s="176" t="s">
        <v>1925</v>
      </c>
      <c r="I1296" s="176" t="s">
        <v>630</v>
      </c>
      <c r="J1296" s="176" t="s">
        <v>520</v>
      </c>
      <c r="K1296" s="176" t="s">
        <v>3916</v>
      </c>
      <c r="L1296" s="40" t="s">
        <v>46</v>
      </c>
      <c r="M1296" s="40" t="s">
        <v>341</v>
      </c>
      <c r="N1296" s="14" t="s">
        <v>3948</v>
      </c>
      <c r="O1296" s="14" t="s">
        <v>1008</v>
      </c>
      <c r="P1296" s="14" t="s">
        <v>3328</v>
      </c>
      <c r="Q1296" s="14" t="s">
        <v>1014</v>
      </c>
      <c r="R1296" s="17">
        <v>300</v>
      </c>
      <c r="S1296" s="172" t="s">
        <v>51</v>
      </c>
      <c r="T1296" s="17">
        <v>1990</v>
      </c>
      <c r="U1296" s="14" t="s">
        <v>51</v>
      </c>
      <c r="V1296" s="16">
        <f t="shared" si="160"/>
        <v>244263</v>
      </c>
      <c r="W1296" s="16">
        <f t="shared" si="161"/>
        <v>244270</v>
      </c>
      <c r="X1296" s="16">
        <f t="shared" si="162"/>
        <v>244265</v>
      </c>
      <c r="Y1296" s="15" t="s">
        <v>54</v>
      </c>
      <c r="Z1296" s="177">
        <v>244272</v>
      </c>
      <c r="AA1296" s="170"/>
      <c r="AB1296" s="170"/>
      <c r="AC1296" s="170"/>
      <c r="AD1296" s="170"/>
      <c r="AE1296" s="15" t="s">
        <v>54</v>
      </c>
      <c r="AF1296" s="177">
        <v>244272</v>
      </c>
      <c r="AG1296" s="177" t="str">
        <f t="shared" si="157"/>
        <v>Pass</v>
      </c>
      <c r="AH1296" s="177">
        <f t="shared" si="159"/>
        <v>244272</v>
      </c>
      <c r="AK1296" s="176"/>
      <c r="AL1296" s="176"/>
    </row>
    <row r="1297" spans="1:38" ht="36" customHeight="1" x14ac:dyDescent="0.2">
      <c r="A1297" s="14" t="s">
        <v>26</v>
      </c>
      <c r="B1297" s="212">
        <v>244263</v>
      </c>
      <c r="C1297" s="14" t="s">
        <v>547</v>
      </c>
      <c r="D1297" s="14" t="s">
        <v>268</v>
      </c>
      <c r="E1297" s="14" t="s">
        <v>14</v>
      </c>
      <c r="F1297" s="14" t="s">
        <v>324</v>
      </c>
      <c r="G1297" s="179">
        <v>681296</v>
      </c>
      <c r="H1297" s="176" t="s">
        <v>826</v>
      </c>
      <c r="I1297" s="176" t="s">
        <v>551</v>
      </c>
      <c r="J1297" s="176" t="s">
        <v>832</v>
      </c>
      <c r="K1297" s="176" t="s">
        <v>3941</v>
      </c>
      <c r="L1297" s="40" t="s">
        <v>108</v>
      </c>
      <c r="M1297" s="40" t="s">
        <v>341</v>
      </c>
      <c r="N1297" s="14" t="s">
        <v>3949</v>
      </c>
      <c r="O1297" s="14" t="s">
        <v>552</v>
      </c>
      <c r="P1297" s="14" t="s">
        <v>3950</v>
      </c>
      <c r="Q1297" s="14" t="s">
        <v>553</v>
      </c>
      <c r="R1297" s="17">
        <v>275</v>
      </c>
      <c r="S1297" s="172" t="s">
        <v>51</v>
      </c>
      <c r="T1297" s="17">
        <v>2000</v>
      </c>
      <c r="U1297" s="14" t="s">
        <v>51</v>
      </c>
      <c r="V1297" s="16">
        <f t="shared" si="160"/>
        <v>244263</v>
      </c>
      <c r="W1297" s="16">
        <f t="shared" si="161"/>
        <v>244270</v>
      </c>
      <c r="X1297" s="16">
        <f t="shared" si="162"/>
        <v>244265</v>
      </c>
      <c r="Y1297" s="15" t="s">
        <v>54</v>
      </c>
      <c r="Z1297" s="177">
        <v>244272</v>
      </c>
      <c r="AA1297" s="170"/>
      <c r="AB1297" s="170"/>
      <c r="AC1297" s="170"/>
      <c r="AD1297" s="170"/>
      <c r="AE1297" s="15" t="s">
        <v>54</v>
      </c>
      <c r="AF1297" s="177">
        <v>244272</v>
      </c>
      <c r="AG1297" s="177" t="str">
        <f t="shared" si="157"/>
        <v>Pass</v>
      </c>
      <c r="AH1297" s="177">
        <f t="shared" si="159"/>
        <v>244272</v>
      </c>
      <c r="AK1297" s="176"/>
      <c r="AL1297" s="176"/>
    </row>
    <row r="1298" spans="1:38" ht="36" customHeight="1" x14ac:dyDescent="0.2">
      <c r="A1298" s="14" t="s">
        <v>26</v>
      </c>
      <c r="B1298" s="212">
        <v>244263</v>
      </c>
      <c r="C1298" s="14" t="s">
        <v>547</v>
      </c>
      <c r="D1298" s="14" t="s">
        <v>268</v>
      </c>
      <c r="E1298" s="14" t="s">
        <v>14</v>
      </c>
      <c r="F1298" s="14" t="s">
        <v>324</v>
      </c>
      <c r="G1298" s="179">
        <v>681297</v>
      </c>
      <c r="H1298" s="176" t="s">
        <v>1364</v>
      </c>
      <c r="I1298" s="176" t="s">
        <v>551</v>
      </c>
      <c r="J1298" s="176" t="s">
        <v>832</v>
      </c>
      <c r="K1298" s="176" t="s">
        <v>3942</v>
      </c>
      <c r="L1298" s="40" t="s">
        <v>108</v>
      </c>
      <c r="M1298" s="40" t="s">
        <v>341</v>
      </c>
      <c r="N1298" s="14" t="s">
        <v>3118</v>
      </c>
      <c r="O1298" s="14" t="s">
        <v>548</v>
      </c>
      <c r="P1298" s="14" t="s">
        <v>518</v>
      </c>
      <c r="Q1298" s="14" t="s">
        <v>549</v>
      </c>
      <c r="R1298" s="17">
        <v>117</v>
      </c>
      <c r="S1298" s="172" t="s">
        <v>51</v>
      </c>
      <c r="T1298" s="17">
        <v>1365</v>
      </c>
      <c r="U1298" s="14" t="s">
        <v>51</v>
      </c>
      <c r="V1298" s="16">
        <f t="shared" si="160"/>
        <v>244263</v>
      </c>
      <c r="W1298" s="16">
        <f t="shared" si="161"/>
        <v>244270</v>
      </c>
      <c r="X1298" s="16">
        <f t="shared" si="162"/>
        <v>244265</v>
      </c>
      <c r="Y1298" s="15" t="s">
        <v>54</v>
      </c>
      <c r="Z1298" s="177">
        <v>244272</v>
      </c>
      <c r="AA1298" s="170"/>
      <c r="AB1298" s="170"/>
      <c r="AC1298" s="170"/>
      <c r="AD1298" s="170"/>
      <c r="AE1298" s="15" t="s">
        <v>54</v>
      </c>
      <c r="AF1298" s="177">
        <v>244272</v>
      </c>
      <c r="AG1298" s="177" t="str">
        <f t="shared" si="157"/>
        <v>Pass</v>
      </c>
      <c r="AH1298" s="177">
        <f t="shared" si="159"/>
        <v>244272</v>
      </c>
      <c r="AK1298" s="176"/>
      <c r="AL1298" s="176"/>
    </row>
    <row r="1299" spans="1:38" ht="36" customHeight="1" x14ac:dyDescent="0.2">
      <c r="A1299" s="14" t="s">
        <v>26</v>
      </c>
      <c r="B1299" s="212">
        <v>244263</v>
      </c>
      <c r="C1299" s="14" t="s">
        <v>547</v>
      </c>
      <c r="D1299" s="14" t="s">
        <v>268</v>
      </c>
      <c r="E1299" s="14" t="s">
        <v>14</v>
      </c>
      <c r="F1299" s="14" t="s">
        <v>324</v>
      </c>
      <c r="G1299" s="179">
        <v>681298</v>
      </c>
      <c r="H1299" s="176" t="s">
        <v>861</v>
      </c>
      <c r="I1299" s="176" t="s">
        <v>551</v>
      </c>
      <c r="J1299" s="176" t="s">
        <v>832</v>
      </c>
      <c r="K1299" s="176" t="s">
        <v>3943</v>
      </c>
      <c r="L1299" s="40" t="s">
        <v>108</v>
      </c>
      <c r="M1299" s="40" t="s">
        <v>341</v>
      </c>
      <c r="N1299" s="14" t="s">
        <v>3945</v>
      </c>
      <c r="O1299" s="14" t="s">
        <v>527</v>
      </c>
      <c r="P1299" s="14" t="s">
        <v>817</v>
      </c>
      <c r="Q1299" s="14" t="s">
        <v>542</v>
      </c>
      <c r="R1299" s="17">
        <v>121</v>
      </c>
      <c r="S1299" s="172" t="s">
        <v>51</v>
      </c>
      <c r="T1299" s="17">
        <v>2160</v>
      </c>
      <c r="U1299" s="14" t="s">
        <v>51</v>
      </c>
      <c r="V1299" s="16">
        <f t="shared" si="160"/>
        <v>244263</v>
      </c>
      <c r="W1299" s="16">
        <f t="shared" si="161"/>
        <v>244270</v>
      </c>
      <c r="X1299" s="16">
        <f t="shared" si="162"/>
        <v>244265</v>
      </c>
      <c r="Y1299" s="15" t="s">
        <v>54</v>
      </c>
      <c r="Z1299" s="177">
        <v>244272</v>
      </c>
      <c r="AA1299" s="170"/>
      <c r="AB1299" s="170"/>
      <c r="AC1299" s="170"/>
      <c r="AD1299" s="170"/>
      <c r="AE1299" s="15" t="s">
        <v>54</v>
      </c>
      <c r="AF1299" s="177">
        <v>244272</v>
      </c>
      <c r="AG1299" s="177" t="str">
        <f t="shared" si="157"/>
        <v>Pass</v>
      </c>
      <c r="AH1299" s="177">
        <f t="shared" si="159"/>
        <v>244272</v>
      </c>
      <c r="AK1299" s="176"/>
      <c r="AL1299" s="176"/>
    </row>
    <row r="1300" spans="1:38" ht="36" customHeight="1" x14ac:dyDescent="0.2">
      <c r="A1300" s="14" t="s">
        <v>26</v>
      </c>
      <c r="B1300" s="212">
        <v>244263</v>
      </c>
      <c r="C1300" s="14" t="s">
        <v>547</v>
      </c>
      <c r="D1300" s="14" t="s">
        <v>268</v>
      </c>
      <c r="E1300" s="14" t="s">
        <v>14</v>
      </c>
      <c r="F1300" s="14" t="s">
        <v>324</v>
      </c>
      <c r="G1300" s="179">
        <v>681299</v>
      </c>
      <c r="H1300" s="176" t="s">
        <v>3940</v>
      </c>
      <c r="I1300" s="176" t="s">
        <v>3288</v>
      </c>
      <c r="J1300" s="176" t="s">
        <v>1412</v>
      </c>
      <c r="K1300" s="176" t="s">
        <v>3944</v>
      </c>
      <c r="L1300" s="40" t="s">
        <v>105</v>
      </c>
      <c r="M1300" s="40" t="s">
        <v>341</v>
      </c>
      <c r="N1300" s="14" t="s">
        <v>1441</v>
      </c>
      <c r="O1300" s="14" t="s">
        <v>548</v>
      </c>
      <c r="P1300" s="14" t="s">
        <v>518</v>
      </c>
      <c r="Q1300" s="14" t="s">
        <v>549</v>
      </c>
      <c r="R1300" s="17">
        <v>132</v>
      </c>
      <c r="S1300" s="172" t="s">
        <v>51</v>
      </c>
      <c r="T1300" s="17">
        <v>2390</v>
      </c>
      <c r="U1300" s="14" t="s">
        <v>51</v>
      </c>
      <c r="V1300" s="16">
        <f t="shared" si="160"/>
        <v>244263</v>
      </c>
      <c r="W1300" s="16">
        <f t="shared" si="161"/>
        <v>244270</v>
      </c>
      <c r="X1300" s="16">
        <f t="shared" si="162"/>
        <v>244265</v>
      </c>
      <c r="Y1300" s="15" t="s">
        <v>54</v>
      </c>
      <c r="Z1300" s="177">
        <v>244272</v>
      </c>
      <c r="AA1300" s="170"/>
      <c r="AB1300" s="170"/>
      <c r="AC1300" s="170"/>
      <c r="AD1300" s="170"/>
      <c r="AE1300" s="15" t="s">
        <v>54</v>
      </c>
      <c r="AF1300" s="177">
        <v>244272</v>
      </c>
      <c r="AG1300" s="177" t="str">
        <f t="shared" si="157"/>
        <v>Pass</v>
      </c>
      <c r="AH1300" s="177">
        <f t="shared" si="159"/>
        <v>244272</v>
      </c>
      <c r="AK1300" s="176"/>
      <c r="AL1300" s="176"/>
    </row>
    <row r="1301" spans="1:38" ht="36" customHeight="1" x14ac:dyDescent="0.2">
      <c r="A1301" s="14" t="s">
        <v>26</v>
      </c>
      <c r="B1301" s="212">
        <v>244263</v>
      </c>
      <c r="C1301" s="14" t="s">
        <v>547</v>
      </c>
      <c r="D1301" s="14" t="s">
        <v>268</v>
      </c>
      <c r="E1301" s="14" t="s">
        <v>14</v>
      </c>
      <c r="F1301" s="14" t="s">
        <v>324</v>
      </c>
      <c r="G1301" s="179">
        <v>681300</v>
      </c>
      <c r="H1301" s="176" t="s">
        <v>861</v>
      </c>
      <c r="I1301" s="176" t="s">
        <v>551</v>
      </c>
      <c r="J1301" s="176" t="s">
        <v>832</v>
      </c>
      <c r="K1301" s="176" t="s">
        <v>3943</v>
      </c>
      <c r="L1301" s="40" t="s">
        <v>108</v>
      </c>
      <c r="M1301" s="40" t="s">
        <v>341</v>
      </c>
      <c r="N1301" s="14" t="s">
        <v>3946</v>
      </c>
      <c r="O1301" s="14" t="s">
        <v>552</v>
      </c>
      <c r="P1301" s="14" t="s">
        <v>519</v>
      </c>
      <c r="Q1301" s="14" t="s">
        <v>553</v>
      </c>
      <c r="R1301" s="17">
        <v>475</v>
      </c>
      <c r="S1301" s="172" t="s">
        <v>51</v>
      </c>
      <c r="T1301" s="17">
        <v>2260</v>
      </c>
      <c r="U1301" s="14" t="s">
        <v>51</v>
      </c>
      <c r="V1301" s="16">
        <f t="shared" si="160"/>
        <v>244263</v>
      </c>
      <c r="W1301" s="16">
        <f t="shared" si="161"/>
        <v>244270</v>
      </c>
      <c r="X1301" s="16">
        <f t="shared" si="162"/>
        <v>244265</v>
      </c>
      <c r="Y1301" s="15" t="s">
        <v>54</v>
      </c>
      <c r="Z1301" s="177">
        <v>244272</v>
      </c>
      <c r="AA1301" s="170"/>
      <c r="AB1301" s="170"/>
      <c r="AC1301" s="170"/>
      <c r="AD1301" s="170"/>
      <c r="AE1301" s="15" t="s">
        <v>54</v>
      </c>
      <c r="AF1301" s="177">
        <v>244272</v>
      </c>
      <c r="AG1301" s="177" t="str">
        <f t="shared" si="157"/>
        <v>Pass</v>
      </c>
      <c r="AH1301" s="177">
        <f t="shared" si="159"/>
        <v>244272</v>
      </c>
      <c r="AK1301" s="176"/>
      <c r="AL1301" s="176"/>
    </row>
    <row r="1302" spans="1:38" ht="36" customHeight="1" x14ac:dyDescent="0.2">
      <c r="A1302" s="14" t="s">
        <v>26</v>
      </c>
      <c r="B1302" s="212">
        <v>244263</v>
      </c>
      <c r="C1302" s="14" t="s">
        <v>547</v>
      </c>
      <c r="D1302" s="14" t="s">
        <v>268</v>
      </c>
      <c r="E1302" s="14" t="s">
        <v>14</v>
      </c>
      <c r="F1302" s="14" t="s">
        <v>324</v>
      </c>
      <c r="G1302" s="179">
        <v>681301</v>
      </c>
      <c r="H1302" s="176" t="s">
        <v>3940</v>
      </c>
      <c r="I1302" s="176" t="s">
        <v>3288</v>
      </c>
      <c r="J1302" s="176" t="s">
        <v>1412</v>
      </c>
      <c r="K1302" s="176" t="s">
        <v>3944</v>
      </c>
      <c r="L1302" s="40" t="s">
        <v>105</v>
      </c>
      <c r="M1302" s="40" t="s">
        <v>341</v>
      </c>
      <c r="N1302" s="14" t="s">
        <v>3947</v>
      </c>
      <c r="O1302" s="14" t="s">
        <v>543</v>
      </c>
      <c r="P1302" s="14" t="s">
        <v>1828</v>
      </c>
      <c r="Q1302" s="14" t="s">
        <v>529</v>
      </c>
      <c r="R1302" s="17">
        <v>400</v>
      </c>
      <c r="S1302" s="172" t="s">
        <v>51</v>
      </c>
      <c r="T1302" s="17">
        <v>450</v>
      </c>
      <c r="U1302" s="14" t="s">
        <v>51</v>
      </c>
      <c r="V1302" s="16">
        <f t="shared" si="160"/>
        <v>244263</v>
      </c>
      <c r="W1302" s="16">
        <f t="shared" si="161"/>
        <v>244270</v>
      </c>
      <c r="X1302" s="16">
        <f t="shared" si="162"/>
        <v>244265</v>
      </c>
      <c r="Y1302" s="15" t="s">
        <v>54</v>
      </c>
      <c r="Z1302" s="177">
        <v>244272</v>
      </c>
      <c r="AA1302" s="170"/>
      <c r="AB1302" s="170"/>
      <c r="AC1302" s="170"/>
      <c r="AD1302" s="170"/>
      <c r="AE1302" s="15" t="s">
        <v>54</v>
      </c>
      <c r="AF1302" s="177">
        <v>244272</v>
      </c>
      <c r="AG1302" s="177" t="str">
        <f t="shared" si="157"/>
        <v>Pass</v>
      </c>
      <c r="AH1302" s="177">
        <f t="shared" si="159"/>
        <v>244272</v>
      </c>
      <c r="AK1302" s="176"/>
      <c r="AL1302" s="176"/>
    </row>
    <row r="1303" spans="1:38" ht="36" customHeight="1" x14ac:dyDescent="0.2">
      <c r="A1303" s="14" t="s">
        <v>26</v>
      </c>
      <c r="B1303" s="212">
        <v>244264</v>
      </c>
      <c r="C1303" s="14" t="s">
        <v>547</v>
      </c>
      <c r="D1303" s="14" t="s">
        <v>268</v>
      </c>
      <c r="E1303" s="14" t="s">
        <v>14</v>
      </c>
      <c r="F1303" s="14" t="s">
        <v>324</v>
      </c>
      <c r="G1303" s="179">
        <v>681302</v>
      </c>
      <c r="H1303" s="176" t="s">
        <v>959</v>
      </c>
      <c r="I1303" s="176" t="s">
        <v>960</v>
      </c>
      <c r="J1303" s="176" t="s">
        <v>127</v>
      </c>
      <c r="K1303" s="176" t="s">
        <v>3954</v>
      </c>
      <c r="L1303" s="40" t="s">
        <v>108</v>
      </c>
      <c r="M1303" s="40" t="s">
        <v>341</v>
      </c>
      <c r="N1303" s="14" t="s">
        <v>3097</v>
      </c>
      <c r="O1303" s="14" t="s">
        <v>528</v>
      </c>
      <c r="P1303" s="14" t="s">
        <v>2813</v>
      </c>
      <c r="Q1303" s="14" t="s">
        <v>541</v>
      </c>
      <c r="R1303" s="17">
        <v>300</v>
      </c>
      <c r="S1303" s="172" t="s">
        <v>51</v>
      </c>
      <c r="T1303" s="17">
        <v>3000</v>
      </c>
      <c r="U1303" s="14" t="s">
        <v>51</v>
      </c>
      <c r="V1303" s="16">
        <f t="shared" si="160"/>
        <v>244264</v>
      </c>
      <c r="W1303" s="16">
        <f t="shared" si="161"/>
        <v>244271</v>
      </c>
      <c r="X1303" s="16">
        <f t="shared" si="162"/>
        <v>244266</v>
      </c>
      <c r="Y1303" s="15" t="s">
        <v>54</v>
      </c>
      <c r="Z1303" s="177">
        <v>244272</v>
      </c>
      <c r="AA1303" s="170"/>
      <c r="AB1303" s="170"/>
      <c r="AC1303" s="170"/>
      <c r="AD1303" s="170"/>
      <c r="AE1303" s="15" t="s">
        <v>54</v>
      </c>
      <c r="AF1303" s="177">
        <v>244272</v>
      </c>
      <c r="AG1303" s="177" t="str">
        <f t="shared" si="157"/>
        <v>Pass</v>
      </c>
      <c r="AH1303" s="177">
        <f t="shared" si="159"/>
        <v>244272</v>
      </c>
      <c r="AK1303" s="176"/>
      <c r="AL1303" s="176"/>
    </row>
    <row r="1304" spans="1:38" ht="36" customHeight="1" x14ac:dyDescent="0.2">
      <c r="A1304" s="14" t="s">
        <v>26</v>
      </c>
      <c r="B1304" s="212">
        <v>244264</v>
      </c>
      <c r="C1304" s="14" t="s">
        <v>547</v>
      </c>
      <c r="D1304" s="14" t="s">
        <v>268</v>
      </c>
      <c r="E1304" s="14" t="s">
        <v>14</v>
      </c>
      <c r="F1304" s="14" t="s">
        <v>324</v>
      </c>
      <c r="G1304" s="179">
        <v>681303</v>
      </c>
      <c r="H1304" s="176" t="s">
        <v>959</v>
      </c>
      <c r="I1304" s="176" t="s">
        <v>960</v>
      </c>
      <c r="J1304" s="176" t="s">
        <v>127</v>
      </c>
      <c r="K1304" s="176" t="s">
        <v>3954</v>
      </c>
      <c r="L1304" s="40" t="s">
        <v>108</v>
      </c>
      <c r="M1304" s="40" t="s">
        <v>341</v>
      </c>
      <c r="N1304" s="14" t="s">
        <v>3967</v>
      </c>
      <c r="O1304" s="14" t="s">
        <v>3962</v>
      </c>
      <c r="P1304" s="14" t="s">
        <v>3968</v>
      </c>
      <c r="Q1304" s="14" t="s">
        <v>3974</v>
      </c>
      <c r="R1304" s="17">
        <v>1800</v>
      </c>
      <c r="S1304" s="172" t="s">
        <v>51</v>
      </c>
      <c r="T1304" s="17">
        <v>3610</v>
      </c>
      <c r="U1304" s="14" t="s">
        <v>51</v>
      </c>
      <c r="V1304" s="16">
        <f t="shared" si="160"/>
        <v>244264</v>
      </c>
      <c r="W1304" s="16">
        <f t="shared" si="161"/>
        <v>244271</v>
      </c>
      <c r="X1304" s="16">
        <f t="shared" si="162"/>
        <v>244266</v>
      </c>
      <c r="Y1304" s="15" t="s">
        <v>54</v>
      </c>
      <c r="Z1304" s="177">
        <v>244272</v>
      </c>
      <c r="AA1304" s="170"/>
      <c r="AB1304" s="170"/>
      <c r="AC1304" s="170"/>
      <c r="AD1304" s="170"/>
      <c r="AE1304" s="15" t="s">
        <v>54</v>
      </c>
      <c r="AF1304" s="177">
        <v>244272</v>
      </c>
      <c r="AG1304" s="177" t="str">
        <f t="shared" si="157"/>
        <v>Pass</v>
      </c>
      <c r="AH1304" s="177">
        <f t="shared" si="159"/>
        <v>244272</v>
      </c>
      <c r="AK1304" s="176"/>
      <c r="AL1304" s="176"/>
    </row>
    <row r="1305" spans="1:38" ht="36" customHeight="1" x14ac:dyDescent="0.2">
      <c r="A1305" s="14" t="s">
        <v>26</v>
      </c>
      <c r="B1305" s="212">
        <v>244264</v>
      </c>
      <c r="C1305" s="14" t="s">
        <v>547</v>
      </c>
      <c r="D1305" s="14" t="s">
        <v>268</v>
      </c>
      <c r="E1305" s="14" t="s">
        <v>14</v>
      </c>
      <c r="F1305" s="14" t="s">
        <v>324</v>
      </c>
      <c r="G1305" s="179">
        <v>681304</v>
      </c>
      <c r="H1305" s="176" t="s">
        <v>996</v>
      </c>
      <c r="I1305" s="176" t="s">
        <v>630</v>
      </c>
      <c r="J1305" s="176" t="s">
        <v>520</v>
      </c>
      <c r="K1305" s="176" t="s">
        <v>3955</v>
      </c>
      <c r="L1305" s="40" t="s">
        <v>46</v>
      </c>
      <c r="M1305" s="40" t="s">
        <v>341</v>
      </c>
      <c r="N1305" s="14" t="s">
        <v>3957</v>
      </c>
      <c r="O1305" s="14" t="s">
        <v>3963</v>
      </c>
      <c r="P1305" s="14" t="s">
        <v>3969</v>
      </c>
      <c r="Q1305" s="14" t="s">
        <v>3969</v>
      </c>
      <c r="R1305" s="17">
        <v>400</v>
      </c>
      <c r="S1305" s="172" t="s">
        <v>51</v>
      </c>
      <c r="T1305" s="17">
        <v>2055</v>
      </c>
      <c r="U1305" s="14" t="s">
        <v>51</v>
      </c>
      <c r="V1305" s="16">
        <f t="shared" si="160"/>
        <v>244264</v>
      </c>
      <c r="W1305" s="16">
        <f t="shared" si="161"/>
        <v>244271</v>
      </c>
      <c r="X1305" s="16">
        <f t="shared" si="162"/>
        <v>244266</v>
      </c>
      <c r="Y1305" s="15" t="s">
        <v>54</v>
      </c>
      <c r="Z1305" s="177">
        <v>244272</v>
      </c>
      <c r="AA1305" s="170"/>
      <c r="AB1305" s="170"/>
      <c r="AC1305" s="170"/>
      <c r="AD1305" s="170"/>
      <c r="AE1305" s="15" t="s">
        <v>54</v>
      </c>
      <c r="AF1305" s="177">
        <v>244272</v>
      </c>
      <c r="AG1305" s="177" t="str">
        <f t="shared" si="157"/>
        <v>Pass</v>
      </c>
      <c r="AH1305" s="177">
        <f t="shared" si="159"/>
        <v>244272</v>
      </c>
      <c r="AK1305" s="176"/>
      <c r="AL1305" s="176"/>
    </row>
    <row r="1306" spans="1:38" ht="36" customHeight="1" x14ac:dyDescent="0.2">
      <c r="A1306" s="14" t="s">
        <v>26</v>
      </c>
      <c r="B1306" s="212">
        <v>244264</v>
      </c>
      <c r="C1306" s="14" t="s">
        <v>547</v>
      </c>
      <c r="D1306" s="14" t="s">
        <v>268</v>
      </c>
      <c r="E1306" s="14" t="s">
        <v>14</v>
      </c>
      <c r="F1306" s="14" t="s">
        <v>324</v>
      </c>
      <c r="G1306" s="179">
        <v>681305</v>
      </c>
      <c r="H1306" s="176" t="s">
        <v>996</v>
      </c>
      <c r="I1306" s="176" t="s">
        <v>630</v>
      </c>
      <c r="J1306" s="176" t="s">
        <v>520</v>
      </c>
      <c r="K1306" s="176" t="s">
        <v>3955</v>
      </c>
      <c r="L1306" s="40" t="s">
        <v>46</v>
      </c>
      <c r="M1306" s="40" t="s">
        <v>341</v>
      </c>
      <c r="N1306" s="14" t="s">
        <v>3958</v>
      </c>
      <c r="O1306" s="14" t="s">
        <v>3964</v>
      </c>
      <c r="P1306" s="14" t="s">
        <v>3970</v>
      </c>
      <c r="Q1306" s="14" t="s">
        <v>3970</v>
      </c>
      <c r="R1306" s="17">
        <v>200</v>
      </c>
      <c r="S1306" s="172" t="s">
        <v>51</v>
      </c>
      <c r="T1306" s="17">
        <v>2050</v>
      </c>
      <c r="U1306" s="14" t="s">
        <v>51</v>
      </c>
      <c r="V1306" s="16">
        <f t="shared" si="160"/>
        <v>244264</v>
      </c>
      <c r="W1306" s="16">
        <f t="shared" si="161"/>
        <v>244271</v>
      </c>
      <c r="X1306" s="16">
        <f t="shared" si="162"/>
        <v>244266</v>
      </c>
      <c r="Y1306" s="15" t="s">
        <v>54</v>
      </c>
      <c r="Z1306" s="177">
        <v>244272</v>
      </c>
      <c r="AA1306" s="170"/>
      <c r="AB1306" s="170"/>
      <c r="AC1306" s="170"/>
      <c r="AD1306" s="170"/>
      <c r="AE1306" s="15" t="s">
        <v>54</v>
      </c>
      <c r="AF1306" s="177">
        <v>244272</v>
      </c>
      <c r="AG1306" s="177" t="str">
        <f t="shared" si="157"/>
        <v>Pass</v>
      </c>
      <c r="AH1306" s="177">
        <f t="shared" si="159"/>
        <v>244272</v>
      </c>
      <c r="AK1306" s="176"/>
      <c r="AL1306" s="176"/>
    </row>
    <row r="1307" spans="1:38" ht="36" customHeight="1" x14ac:dyDescent="0.2">
      <c r="A1307" s="14" t="s">
        <v>26</v>
      </c>
      <c r="B1307" s="212">
        <v>244264</v>
      </c>
      <c r="C1307" s="14" t="s">
        <v>547</v>
      </c>
      <c r="D1307" s="14" t="s">
        <v>268</v>
      </c>
      <c r="E1307" s="14" t="s">
        <v>14</v>
      </c>
      <c r="F1307" s="14" t="s">
        <v>324</v>
      </c>
      <c r="G1307" s="179">
        <v>681306</v>
      </c>
      <c r="H1307" s="176" t="s">
        <v>996</v>
      </c>
      <c r="I1307" s="176" t="s">
        <v>630</v>
      </c>
      <c r="J1307" s="176" t="s">
        <v>520</v>
      </c>
      <c r="K1307" s="176" t="s">
        <v>3955</v>
      </c>
      <c r="L1307" s="40" t="s">
        <v>46</v>
      </c>
      <c r="M1307" s="40" t="s">
        <v>341</v>
      </c>
      <c r="N1307" s="14" t="s">
        <v>3959</v>
      </c>
      <c r="O1307" s="14" t="s">
        <v>3965</v>
      </c>
      <c r="P1307" s="14" t="s">
        <v>3971</v>
      </c>
      <c r="Q1307" s="14" t="s">
        <v>3975</v>
      </c>
      <c r="R1307" s="17">
        <v>190</v>
      </c>
      <c r="S1307" s="172" t="s">
        <v>51</v>
      </c>
      <c r="T1307" s="17">
        <v>2855</v>
      </c>
      <c r="U1307" s="14" t="s">
        <v>51</v>
      </c>
      <c r="V1307" s="16">
        <f t="shared" si="160"/>
        <v>244264</v>
      </c>
      <c r="W1307" s="16">
        <f t="shared" si="161"/>
        <v>244271</v>
      </c>
      <c r="X1307" s="16">
        <f t="shared" si="162"/>
        <v>244266</v>
      </c>
      <c r="Y1307" s="15" t="s">
        <v>54</v>
      </c>
      <c r="Z1307" s="177">
        <v>244272</v>
      </c>
      <c r="AA1307" s="170"/>
      <c r="AB1307" s="170"/>
      <c r="AC1307" s="170"/>
      <c r="AD1307" s="170"/>
      <c r="AE1307" s="15" t="s">
        <v>54</v>
      </c>
      <c r="AF1307" s="177">
        <v>244272</v>
      </c>
      <c r="AG1307" s="177" t="str">
        <f t="shared" si="157"/>
        <v>Pass</v>
      </c>
      <c r="AH1307" s="177">
        <f t="shared" si="159"/>
        <v>244272</v>
      </c>
      <c r="AK1307" s="176"/>
      <c r="AL1307" s="176"/>
    </row>
    <row r="1308" spans="1:38" ht="36" customHeight="1" x14ac:dyDescent="0.2">
      <c r="A1308" s="14" t="s">
        <v>26</v>
      </c>
      <c r="B1308" s="212">
        <v>244264</v>
      </c>
      <c r="C1308" s="14" t="s">
        <v>547</v>
      </c>
      <c r="D1308" s="14" t="s">
        <v>268</v>
      </c>
      <c r="E1308" s="14" t="s">
        <v>14</v>
      </c>
      <c r="F1308" s="14" t="s">
        <v>324</v>
      </c>
      <c r="G1308" s="179">
        <v>681307</v>
      </c>
      <c r="H1308" s="176" t="s">
        <v>996</v>
      </c>
      <c r="I1308" s="176" t="s">
        <v>630</v>
      </c>
      <c r="J1308" s="176" t="s">
        <v>520</v>
      </c>
      <c r="K1308" s="176" t="s">
        <v>3955</v>
      </c>
      <c r="L1308" s="40" t="s">
        <v>46</v>
      </c>
      <c r="M1308" s="40" t="s">
        <v>341</v>
      </c>
      <c r="N1308" s="14" t="s">
        <v>3960</v>
      </c>
      <c r="O1308" s="14" t="s">
        <v>543</v>
      </c>
      <c r="P1308" s="14" t="s">
        <v>3972</v>
      </c>
      <c r="Q1308" s="14" t="s">
        <v>3972</v>
      </c>
      <c r="R1308" s="17">
        <v>560</v>
      </c>
      <c r="S1308" s="172" t="s">
        <v>51</v>
      </c>
      <c r="T1308" s="17">
        <v>2040</v>
      </c>
      <c r="U1308" s="14" t="s">
        <v>51</v>
      </c>
      <c r="V1308" s="16">
        <f t="shared" si="160"/>
        <v>244264</v>
      </c>
      <c r="W1308" s="16">
        <f t="shared" si="161"/>
        <v>244271</v>
      </c>
      <c r="X1308" s="16">
        <f t="shared" si="162"/>
        <v>244266</v>
      </c>
      <c r="Y1308" s="15" t="s">
        <v>54</v>
      </c>
      <c r="Z1308" s="177">
        <v>244272</v>
      </c>
      <c r="AA1308" s="170"/>
      <c r="AB1308" s="170"/>
      <c r="AC1308" s="170"/>
      <c r="AD1308" s="170"/>
      <c r="AE1308" s="15" t="s">
        <v>54</v>
      </c>
      <c r="AF1308" s="177">
        <v>244272</v>
      </c>
      <c r="AG1308" s="177" t="str">
        <f t="shared" si="157"/>
        <v>Pass</v>
      </c>
      <c r="AH1308" s="177">
        <f t="shared" si="159"/>
        <v>244272</v>
      </c>
      <c r="AK1308" s="176"/>
      <c r="AL1308" s="176"/>
    </row>
    <row r="1309" spans="1:38" ht="36" customHeight="1" x14ac:dyDescent="0.2">
      <c r="A1309" s="14" t="s">
        <v>26</v>
      </c>
      <c r="B1309" s="212">
        <v>244264</v>
      </c>
      <c r="C1309" s="14" t="s">
        <v>547</v>
      </c>
      <c r="D1309" s="14" t="s">
        <v>268</v>
      </c>
      <c r="E1309" s="14" t="s">
        <v>14</v>
      </c>
      <c r="F1309" s="14" t="s">
        <v>324</v>
      </c>
      <c r="G1309" s="179">
        <v>681308</v>
      </c>
      <c r="H1309" s="176" t="s">
        <v>3953</v>
      </c>
      <c r="I1309" s="176" t="s">
        <v>802</v>
      </c>
      <c r="J1309" s="176" t="s">
        <v>131</v>
      </c>
      <c r="K1309" s="176" t="s">
        <v>3956</v>
      </c>
      <c r="L1309" s="40" t="s">
        <v>45</v>
      </c>
      <c r="M1309" s="40" t="s">
        <v>341</v>
      </c>
      <c r="N1309" s="14" t="s">
        <v>3961</v>
      </c>
      <c r="O1309" s="14" t="s">
        <v>3966</v>
      </c>
      <c r="P1309" s="14" t="s">
        <v>3973</v>
      </c>
      <c r="Q1309" s="14" t="s">
        <v>3973</v>
      </c>
      <c r="R1309" s="17">
        <v>1300</v>
      </c>
      <c r="S1309" s="172" t="s">
        <v>51</v>
      </c>
      <c r="T1309" s="17">
        <v>1515</v>
      </c>
      <c r="U1309" s="14" t="s">
        <v>51</v>
      </c>
      <c r="V1309" s="16">
        <f t="shared" si="160"/>
        <v>244264</v>
      </c>
      <c r="W1309" s="16">
        <f t="shared" si="161"/>
        <v>244271</v>
      </c>
      <c r="X1309" s="16">
        <f t="shared" si="162"/>
        <v>244266</v>
      </c>
      <c r="Y1309" s="15" t="s">
        <v>54</v>
      </c>
      <c r="Z1309" s="177">
        <v>244272</v>
      </c>
      <c r="AA1309" s="170"/>
      <c r="AB1309" s="170"/>
      <c r="AC1309" s="170"/>
      <c r="AD1309" s="170"/>
      <c r="AE1309" s="15" t="s">
        <v>54</v>
      </c>
      <c r="AF1309" s="177">
        <v>244272</v>
      </c>
      <c r="AG1309" s="177" t="str">
        <f t="shared" si="157"/>
        <v>Pass</v>
      </c>
      <c r="AH1309" s="177">
        <f t="shared" si="159"/>
        <v>244272</v>
      </c>
      <c r="AK1309" s="176"/>
      <c r="AL1309" s="176"/>
    </row>
    <row r="1310" spans="1:38" ht="36" customHeight="1" x14ac:dyDescent="0.2">
      <c r="A1310" s="14" t="s">
        <v>26</v>
      </c>
      <c r="B1310" s="212">
        <v>244264</v>
      </c>
      <c r="C1310" s="14" t="s">
        <v>547</v>
      </c>
      <c r="D1310" s="14" t="s">
        <v>268</v>
      </c>
      <c r="E1310" s="14" t="s">
        <v>14</v>
      </c>
      <c r="F1310" s="14" t="s">
        <v>324</v>
      </c>
      <c r="G1310" s="179">
        <v>681309</v>
      </c>
      <c r="H1310" s="176" t="s">
        <v>3953</v>
      </c>
      <c r="I1310" s="176" t="s">
        <v>802</v>
      </c>
      <c r="J1310" s="176" t="s">
        <v>131</v>
      </c>
      <c r="K1310" s="176" t="s">
        <v>3956</v>
      </c>
      <c r="L1310" s="40" t="s">
        <v>45</v>
      </c>
      <c r="M1310" s="40" t="s">
        <v>341</v>
      </c>
      <c r="N1310" s="14" t="s">
        <v>3977</v>
      </c>
      <c r="O1310" s="14" t="s">
        <v>548</v>
      </c>
      <c r="P1310" s="14" t="s">
        <v>717</v>
      </c>
      <c r="Q1310" s="14" t="s">
        <v>549</v>
      </c>
      <c r="R1310" s="17">
        <v>595</v>
      </c>
      <c r="S1310" s="172" t="s">
        <v>51</v>
      </c>
      <c r="T1310" s="17">
        <v>1850</v>
      </c>
      <c r="U1310" s="14" t="s">
        <v>51</v>
      </c>
      <c r="V1310" s="16">
        <f t="shared" si="160"/>
        <v>244264</v>
      </c>
      <c r="W1310" s="16">
        <f t="shared" si="161"/>
        <v>244271</v>
      </c>
      <c r="X1310" s="16">
        <f t="shared" si="162"/>
        <v>244266</v>
      </c>
      <c r="Y1310" s="15" t="s">
        <v>54</v>
      </c>
      <c r="Z1310" s="177">
        <v>244272</v>
      </c>
      <c r="AA1310" s="170"/>
      <c r="AB1310" s="170"/>
      <c r="AC1310" s="170"/>
      <c r="AD1310" s="170"/>
      <c r="AE1310" s="15" t="s">
        <v>54</v>
      </c>
      <c r="AF1310" s="177">
        <v>244274</v>
      </c>
      <c r="AG1310" s="177" t="str">
        <f t="shared" si="157"/>
        <v>Pass</v>
      </c>
      <c r="AH1310" s="177">
        <f t="shared" si="159"/>
        <v>244274</v>
      </c>
      <c r="AK1310" s="176"/>
      <c r="AL1310" s="176"/>
    </row>
    <row r="1311" spans="1:38" ht="36" customHeight="1" x14ac:dyDescent="0.2">
      <c r="A1311" s="14" t="s">
        <v>26</v>
      </c>
      <c r="B1311" s="212">
        <v>244264</v>
      </c>
      <c r="C1311" s="14" t="s">
        <v>547</v>
      </c>
      <c r="D1311" s="14" t="s">
        <v>268</v>
      </c>
      <c r="E1311" s="14" t="s">
        <v>14</v>
      </c>
      <c r="F1311" s="14" t="s">
        <v>324</v>
      </c>
      <c r="G1311" s="179">
        <v>681310</v>
      </c>
      <c r="H1311" s="176" t="s">
        <v>959</v>
      </c>
      <c r="I1311" s="176" t="s">
        <v>960</v>
      </c>
      <c r="J1311" s="176" t="s">
        <v>127</v>
      </c>
      <c r="K1311" s="176" t="s">
        <v>3954</v>
      </c>
      <c r="L1311" s="40" t="s">
        <v>108</v>
      </c>
      <c r="M1311" s="40" t="s">
        <v>341</v>
      </c>
      <c r="N1311" s="14" t="s">
        <v>3978</v>
      </c>
      <c r="O1311" s="14" t="s">
        <v>548</v>
      </c>
      <c r="P1311" s="14" t="s">
        <v>717</v>
      </c>
      <c r="Q1311" s="14" t="s">
        <v>549</v>
      </c>
      <c r="R1311" s="17">
        <v>275</v>
      </c>
      <c r="S1311" s="172" t="s">
        <v>51</v>
      </c>
      <c r="T1311" s="17">
        <v>3620</v>
      </c>
      <c r="U1311" s="14" t="s">
        <v>51</v>
      </c>
      <c r="V1311" s="16">
        <f t="shared" si="160"/>
        <v>244264</v>
      </c>
      <c r="W1311" s="16">
        <f t="shared" si="161"/>
        <v>244271</v>
      </c>
      <c r="X1311" s="16">
        <f t="shared" si="162"/>
        <v>244266</v>
      </c>
      <c r="Y1311" s="15" t="s">
        <v>54</v>
      </c>
      <c r="Z1311" s="177">
        <v>244272</v>
      </c>
      <c r="AA1311" s="170"/>
      <c r="AB1311" s="170"/>
      <c r="AC1311" s="170"/>
      <c r="AD1311" s="170"/>
      <c r="AE1311" s="15" t="s">
        <v>54</v>
      </c>
      <c r="AF1311" s="177">
        <v>244272</v>
      </c>
      <c r="AG1311" s="177" t="str">
        <f t="shared" si="157"/>
        <v>Pass</v>
      </c>
      <c r="AH1311" s="177">
        <f t="shared" si="159"/>
        <v>244272</v>
      </c>
      <c r="AK1311" s="176"/>
      <c r="AL1311" s="176"/>
    </row>
    <row r="1312" spans="1:38" ht="36" customHeight="1" x14ac:dyDescent="0.2">
      <c r="A1312" s="14" t="s">
        <v>26</v>
      </c>
      <c r="B1312" s="212">
        <v>244264</v>
      </c>
      <c r="C1312" s="14" t="s">
        <v>547</v>
      </c>
      <c r="D1312" s="14" t="s">
        <v>268</v>
      </c>
      <c r="E1312" s="14" t="s">
        <v>14</v>
      </c>
      <c r="F1312" s="14" t="s">
        <v>324</v>
      </c>
      <c r="G1312" s="179">
        <v>681311</v>
      </c>
      <c r="H1312" s="176" t="s">
        <v>1606</v>
      </c>
      <c r="I1312" s="176" t="s">
        <v>630</v>
      </c>
      <c r="J1312" s="176" t="s">
        <v>520</v>
      </c>
      <c r="K1312" s="176" t="s">
        <v>3976</v>
      </c>
      <c r="L1312" s="40" t="s">
        <v>46</v>
      </c>
      <c r="M1312" s="40" t="s">
        <v>341</v>
      </c>
      <c r="N1312" s="14" t="s">
        <v>3979</v>
      </c>
      <c r="O1312" s="14" t="s">
        <v>543</v>
      </c>
      <c r="P1312" s="14" t="s">
        <v>3981</v>
      </c>
      <c r="Q1312" s="14" t="s">
        <v>529</v>
      </c>
      <c r="R1312" s="17">
        <v>520</v>
      </c>
      <c r="S1312" s="172" t="s">
        <v>51</v>
      </c>
      <c r="T1312" s="17">
        <v>2040</v>
      </c>
      <c r="U1312" s="14" t="s">
        <v>51</v>
      </c>
      <c r="V1312" s="16">
        <f t="shared" si="160"/>
        <v>244264</v>
      </c>
      <c r="W1312" s="16">
        <f t="shared" si="161"/>
        <v>244271</v>
      </c>
      <c r="X1312" s="16">
        <f t="shared" si="162"/>
        <v>244266</v>
      </c>
      <c r="Y1312" s="15" t="s">
        <v>54</v>
      </c>
      <c r="Z1312" s="177">
        <v>244272</v>
      </c>
      <c r="AA1312" s="170"/>
      <c r="AB1312" s="170"/>
      <c r="AC1312" s="170"/>
      <c r="AD1312" s="170"/>
      <c r="AE1312" s="15" t="s">
        <v>54</v>
      </c>
      <c r="AF1312" s="177">
        <v>244272</v>
      </c>
      <c r="AG1312" s="177" t="str">
        <f t="shared" si="157"/>
        <v>Pass</v>
      </c>
      <c r="AH1312" s="177">
        <f t="shared" si="159"/>
        <v>244272</v>
      </c>
      <c r="AK1312" s="176"/>
      <c r="AL1312" s="176"/>
    </row>
    <row r="1313" spans="1:38" ht="36" customHeight="1" x14ac:dyDescent="0.2">
      <c r="A1313" s="14" t="s">
        <v>26</v>
      </c>
      <c r="B1313" s="212">
        <v>244264</v>
      </c>
      <c r="C1313" s="14" t="s">
        <v>547</v>
      </c>
      <c r="D1313" s="14" t="s">
        <v>268</v>
      </c>
      <c r="E1313" s="14" t="s">
        <v>14</v>
      </c>
      <c r="F1313" s="14" t="s">
        <v>324</v>
      </c>
      <c r="G1313" s="179">
        <v>681312</v>
      </c>
      <c r="H1313" s="176" t="s">
        <v>959</v>
      </c>
      <c r="I1313" s="176" t="s">
        <v>960</v>
      </c>
      <c r="J1313" s="176" t="s">
        <v>127</v>
      </c>
      <c r="K1313" s="176" t="s">
        <v>3954</v>
      </c>
      <c r="L1313" s="40" t="s">
        <v>108</v>
      </c>
      <c r="M1313" s="40" t="s">
        <v>341</v>
      </c>
      <c r="N1313" s="14" t="s">
        <v>3980</v>
      </c>
      <c r="O1313" s="14" t="s">
        <v>552</v>
      </c>
      <c r="P1313" s="14" t="s">
        <v>793</v>
      </c>
      <c r="Q1313" s="14" t="s">
        <v>553</v>
      </c>
      <c r="R1313" s="17">
        <v>2591</v>
      </c>
      <c r="S1313" s="172" t="s">
        <v>51</v>
      </c>
      <c r="T1313" s="17">
        <v>2660</v>
      </c>
      <c r="U1313" s="14" t="s">
        <v>51</v>
      </c>
      <c r="V1313" s="16">
        <f t="shared" si="160"/>
        <v>244264</v>
      </c>
      <c r="W1313" s="16">
        <f t="shared" si="161"/>
        <v>244271</v>
      </c>
      <c r="X1313" s="16">
        <f t="shared" si="162"/>
        <v>244266</v>
      </c>
      <c r="Y1313" s="15" t="s">
        <v>54</v>
      </c>
      <c r="Z1313" s="177">
        <v>244272</v>
      </c>
      <c r="AA1313" s="170"/>
      <c r="AB1313" s="170"/>
      <c r="AC1313" s="170"/>
      <c r="AD1313" s="170"/>
      <c r="AE1313" s="15" t="s">
        <v>54</v>
      </c>
      <c r="AF1313" s="177">
        <v>244272</v>
      </c>
      <c r="AG1313" s="177" t="str">
        <f t="shared" si="157"/>
        <v>Pass</v>
      </c>
      <c r="AH1313" s="177">
        <f t="shared" si="159"/>
        <v>244272</v>
      </c>
      <c r="AK1313" s="176"/>
      <c r="AL1313" s="176"/>
    </row>
    <row r="1314" spans="1:38" ht="36" customHeight="1" x14ac:dyDescent="0.2">
      <c r="A1314" s="14" t="s">
        <v>26</v>
      </c>
      <c r="B1314" s="212">
        <v>244266</v>
      </c>
      <c r="C1314" s="14" t="s">
        <v>547</v>
      </c>
      <c r="D1314" s="14" t="s">
        <v>268</v>
      </c>
      <c r="E1314" s="14" t="s">
        <v>14</v>
      </c>
      <c r="F1314" s="14" t="s">
        <v>324</v>
      </c>
      <c r="G1314" s="179">
        <v>681313</v>
      </c>
      <c r="H1314" s="176" t="s">
        <v>1606</v>
      </c>
      <c r="I1314" s="176" t="s">
        <v>630</v>
      </c>
      <c r="J1314" s="176" t="s">
        <v>520</v>
      </c>
      <c r="K1314" s="176" t="s">
        <v>3976</v>
      </c>
      <c r="L1314" s="40" t="s">
        <v>46</v>
      </c>
      <c r="M1314" s="40" t="s">
        <v>341</v>
      </c>
      <c r="N1314" s="14" t="s">
        <v>3987</v>
      </c>
      <c r="O1314" s="14" t="s">
        <v>548</v>
      </c>
      <c r="P1314" s="14" t="s">
        <v>518</v>
      </c>
      <c r="Q1314" s="14" t="s">
        <v>549</v>
      </c>
      <c r="R1314" s="17">
        <v>277</v>
      </c>
      <c r="S1314" s="172" t="s">
        <v>51</v>
      </c>
      <c r="T1314" s="17">
        <v>2030</v>
      </c>
      <c r="U1314" s="14" t="s">
        <v>51</v>
      </c>
      <c r="V1314" s="16">
        <f t="shared" si="160"/>
        <v>244266</v>
      </c>
      <c r="W1314" s="16">
        <f t="shared" si="161"/>
        <v>244273</v>
      </c>
      <c r="X1314" s="16">
        <f t="shared" si="162"/>
        <v>244268</v>
      </c>
      <c r="Y1314" s="15" t="s">
        <v>54</v>
      </c>
      <c r="Z1314" s="177">
        <v>244272</v>
      </c>
      <c r="AA1314" s="170"/>
      <c r="AB1314" s="170"/>
      <c r="AC1314" s="170"/>
      <c r="AD1314" s="170"/>
      <c r="AE1314" s="15" t="s">
        <v>54</v>
      </c>
      <c r="AF1314" s="177">
        <v>244272</v>
      </c>
      <c r="AG1314" s="177" t="str">
        <f t="shared" si="157"/>
        <v>Pass</v>
      </c>
      <c r="AH1314" s="177">
        <f t="shared" si="159"/>
        <v>244272</v>
      </c>
      <c r="AK1314" s="176"/>
      <c r="AL1314" s="176"/>
    </row>
    <row r="1315" spans="1:38" ht="36" customHeight="1" x14ac:dyDescent="0.2">
      <c r="A1315" s="14" t="s">
        <v>26</v>
      </c>
      <c r="B1315" s="212">
        <v>244266</v>
      </c>
      <c r="C1315" s="14" t="s">
        <v>547</v>
      </c>
      <c r="D1315" s="14" t="s">
        <v>268</v>
      </c>
      <c r="E1315" s="14" t="s">
        <v>14</v>
      </c>
      <c r="F1315" s="14" t="s">
        <v>324</v>
      </c>
      <c r="G1315" s="179">
        <v>681314</v>
      </c>
      <c r="H1315" s="176" t="s">
        <v>626</v>
      </c>
      <c r="I1315" s="176" t="s">
        <v>630</v>
      </c>
      <c r="J1315" s="176" t="s">
        <v>520</v>
      </c>
      <c r="K1315" s="176" t="s">
        <v>3983</v>
      </c>
      <c r="L1315" s="40" t="s">
        <v>46</v>
      </c>
      <c r="M1315" s="40" t="s">
        <v>341</v>
      </c>
      <c r="N1315" s="14" t="s">
        <v>3988</v>
      </c>
      <c r="O1315" s="14" t="s">
        <v>543</v>
      </c>
      <c r="P1315" s="14" t="s">
        <v>3991</v>
      </c>
      <c r="Q1315" s="14" t="s">
        <v>529</v>
      </c>
      <c r="R1315" s="17">
        <v>1740</v>
      </c>
      <c r="S1315" s="172" t="s">
        <v>51</v>
      </c>
      <c r="T1315" s="17"/>
      <c r="U1315" s="14"/>
      <c r="V1315" s="16">
        <f t="shared" si="160"/>
        <v>244266</v>
      </c>
      <c r="W1315" s="16">
        <f t="shared" si="161"/>
        <v>244273</v>
      </c>
      <c r="X1315" s="16">
        <f t="shared" si="162"/>
        <v>244268</v>
      </c>
      <c r="Y1315" s="15" t="s">
        <v>54</v>
      </c>
      <c r="Z1315" s="177">
        <v>244272</v>
      </c>
      <c r="AA1315" s="170"/>
      <c r="AB1315" s="170"/>
      <c r="AC1315" s="170"/>
      <c r="AD1315" s="170"/>
      <c r="AE1315" s="15" t="s">
        <v>54</v>
      </c>
      <c r="AF1315" s="177">
        <v>244272</v>
      </c>
      <c r="AG1315" s="177" t="str">
        <f t="shared" si="157"/>
        <v>Pass</v>
      </c>
      <c r="AH1315" s="177">
        <f t="shared" si="159"/>
        <v>244272</v>
      </c>
      <c r="AK1315" s="176"/>
      <c r="AL1315" s="176"/>
    </row>
    <row r="1316" spans="1:38" ht="36" customHeight="1" x14ac:dyDescent="0.2">
      <c r="A1316" s="14" t="s">
        <v>26</v>
      </c>
      <c r="B1316" s="212">
        <v>244266</v>
      </c>
      <c r="C1316" s="14" t="s">
        <v>547</v>
      </c>
      <c r="D1316" s="14" t="s">
        <v>268</v>
      </c>
      <c r="E1316" s="14" t="s">
        <v>14</v>
      </c>
      <c r="F1316" s="14" t="s">
        <v>324</v>
      </c>
      <c r="G1316" s="179">
        <v>681315</v>
      </c>
      <c r="H1316" s="176" t="s">
        <v>1262</v>
      </c>
      <c r="I1316" s="176" t="s">
        <v>802</v>
      </c>
      <c r="J1316" s="176" t="s">
        <v>131</v>
      </c>
      <c r="K1316" s="176" t="s">
        <v>3984</v>
      </c>
      <c r="L1316" s="40" t="s">
        <v>45</v>
      </c>
      <c r="M1316" s="40" t="s">
        <v>341</v>
      </c>
      <c r="N1316" s="14" t="s">
        <v>3989</v>
      </c>
      <c r="O1316" s="14" t="s">
        <v>543</v>
      </c>
      <c r="P1316" s="14" t="s">
        <v>3992</v>
      </c>
      <c r="Q1316" s="14" t="s">
        <v>529</v>
      </c>
      <c r="R1316" s="17">
        <v>1700</v>
      </c>
      <c r="S1316" s="172" t="s">
        <v>51</v>
      </c>
      <c r="T1316" s="17"/>
      <c r="U1316" s="14"/>
      <c r="V1316" s="16">
        <f t="shared" si="160"/>
        <v>244266</v>
      </c>
      <c r="W1316" s="16">
        <f t="shared" si="161"/>
        <v>244273</v>
      </c>
      <c r="X1316" s="16">
        <f t="shared" si="162"/>
        <v>244268</v>
      </c>
      <c r="Y1316" s="15" t="s">
        <v>54</v>
      </c>
      <c r="Z1316" s="177">
        <v>244272</v>
      </c>
      <c r="AA1316" s="170"/>
      <c r="AB1316" s="170"/>
      <c r="AC1316" s="170"/>
      <c r="AD1316" s="170"/>
      <c r="AE1316" s="15" t="s">
        <v>54</v>
      </c>
      <c r="AF1316" s="177">
        <v>244272</v>
      </c>
      <c r="AG1316" s="177" t="str">
        <f t="shared" si="157"/>
        <v>Pass</v>
      </c>
      <c r="AH1316" s="177">
        <f t="shared" si="159"/>
        <v>244272</v>
      </c>
      <c r="AK1316" s="176"/>
      <c r="AL1316" s="176"/>
    </row>
    <row r="1317" spans="1:38" ht="36" customHeight="1" x14ac:dyDescent="0.2">
      <c r="A1317" s="14" t="s">
        <v>26</v>
      </c>
      <c r="B1317" s="212">
        <v>244266</v>
      </c>
      <c r="C1317" s="14" t="s">
        <v>547</v>
      </c>
      <c r="D1317" s="14" t="s">
        <v>268</v>
      </c>
      <c r="E1317" s="14" t="s">
        <v>14</v>
      </c>
      <c r="F1317" s="14" t="s">
        <v>324</v>
      </c>
      <c r="G1317" s="179">
        <v>681316</v>
      </c>
      <c r="H1317" s="176" t="s">
        <v>3982</v>
      </c>
      <c r="I1317" s="176" t="s">
        <v>802</v>
      </c>
      <c r="J1317" s="176" t="s">
        <v>143</v>
      </c>
      <c r="K1317" s="176" t="s">
        <v>3985</v>
      </c>
      <c r="L1317" s="40" t="s">
        <v>46</v>
      </c>
      <c r="M1317" s="40" t="s">
        <v>341</v>
      </c>
      <c r="N1317" s="14" t="s">
        <v>2630</v>
      </c>
      <c r="O1317" s="14" t="s">
        <v>548</v>
      </c>
      <c r="P1317" s="14" t="s">
        <v>518</v>
      </c>
      <c r="Q1317" s="14" t="s">
        <v>549</v>
      </c>
      <c r="R1317" s="17">
        <v>260</v>
      </c>
      <c r="S1317" s="172" t="s">
        <v>51</v>
      </c>
      <c r="T1317" s="17">
        <v>2390</v>
      </c>
      <c r="U1317" s="14" t="s">
        <v>51</v>
      </c>
      <c r="V1317" s="16">
        <f t="shared" si="160"/>
        <v>244266</v>
      </c>
      <c r="W1317" s="16">
        <f t="shared" si="161"/>
        <v>244273</v>
      </c>
      <c r="X1317" s="16">
        <f t="shared" si="162"/>
        <v>244268</v>
      </c>
      <c r="Y1317" s="15" t="s">
        <v>54</v>
      </c>
      <c r="Z1317" s="177">
        <v>244272</v>
      </c>
      <c r="AA1317" s="170"/>
      <c r="AB1317" s="170"/>
      <c r="AC1317" s="170"/>
      <c r="AD1317" s="170"/>
      <c r="AE1317" s="15" t="s">
        <v>54</v>
      </c>
      <c r="AF1317" s="177">
        <v>244272</v>
      </c>
      <c r="AG1317" s="177" t="str">
        <f t="shared" si="157"/>
        <v>Pass</v>
      </c>
      <c r="AH1317" s="177">
        <f t="shared" si="159"/>
        <v>244272</v>
      </c>
      <c r="AK1317" s="176"/>
      <c r="AL1317" s="176"/>
    </row>
    <row r="1318" spans="1:38" ht="36" customHeight="1" x14ac:dyDescent="0.2">
      <c r="A1318" s="14" t="s">
        <v>26</v>
      </c>
      <c r="B1318" s="212">
        <v>244266</v>
      </c>
      <c r="C1318" s="14" t="s">
        <v>547</v>
      </c>
      <c r="D1318" s="14" t="s">
        <v>268</v>
      </c>
      <c r="E1318" s="14" t="s">
        <v>14</v>
      </c>
      <c r="F1318" s="14" t="s">
        <v>324</v>
      </c>
      <c r="G1318" s="179">
        <v>681317</v>
      </c>
      <c r="H1318" s="176" t="s">
        <v>3160</v>
      </c>
      <c r="I1318" s="176" t="s">
        <v>551</v>
      </c>
      <c r="J1318" s="176" t="s">
        <v>832</v>
      </c>
      <c r="K1318" s="176" t="s">
        <v>3986</v>
      </c>
      <c r="L1318" s="40" t="s">
        <v>108</v>
      </c>
      <c r="M1318" s="40" t="s">
        <v>341</v>
      </c>
      <c r="N1318" s="14" t="s">
        <v>3990</v>
      </c>
      <c r="O1318" s="14" t="s">
        <v>552</v>
      </c>
      <c r="P1318" s="14" t="s">
        <v>519</v>
      </c>
      <c r="Q1318" s="14" t="s">
        <v>553</v>
      </c>
      <c r="R1318" s="17">
        <v>775</v>
      </c>
      <c r="S1318" s="172" t="s">
        <v>51</v>
      </c>
      <c r="T1318" s="17">
        <v>2850</v>
      </c>
      <c r="U1318" s="14" t="s">
        <v>51</v>
      </c>
      <c r="V1318" s="16">
        <f t="shared" si="160"/>
        <v>244266</v>
      </c>
      <c r="W1318" s="16">
        <f t="shared" si="161"/>
        <v>244273</v>
      </c>
      <c r="X1318" s="16">
        <f t="shared" si="162"/>
        <v>244268</v>
      </c>
      <c r="Y1318" s="15" t="s">
        <v>54</v>
      </c>
      <c r="Z1318" s="177">
        <v>244272</v>
      </c>
      <c r="AA1318" s="170"/>
      <c r="AB1318" s="170"/>
      <c r="AC1318" s="170"/>
      <c r="AD1318" s="170"/>
      <c r="AE1318" s="15" t="s">
        <v>54</v>
      </c>
      <c r="AF1318" s="177">
        <v>244272</v>
      </c>
      <c r="AG1318" s="177" t="str">
        <f t="shared" si="157"/>
        <v>Pass</v>
      </c>
      <c r="AH1318" s="177">
        <f t="shared" si="159"/>
        <v>244272</v>
      </c>
      <c r="AK1318" s="176"/>
      <c r="AL1318" s="176"/>
    </row>
    <row r="1319" spans="1:38" ht="36" customHeight="1" x14ac:dyDescent="0.2">
      <c r="A1319" s="14" t="s">
        <v>26</v>
      </c>
      <c r="B1319" s="212">
        <v>244267</v>
      </c>
      <c r="C1319" s="14" t="s">
        <v>547</v>
      </c>
      <c r="D1319" s="14" t="s">
        <v>268</v>
      </c>
      <c r="E1319" s="14" t="s">
        <v>14</v>
      </c>
      <c r="F1319" s="14" t="s">
        <v>324</v>
      </c>
      <c r="G1319" s="179">
        <v>681318</v>
      </c>
      <c r="H1319" s="176" t="s">
        <v>1262</v>
      </c>
      <c r="I1319" s="176" t="s">
        <v>802</v>
      </c>
      <c r="J1319" s="176" t="s">
        <v>131</v>
      </c>
      <c r="K1319" s="176" t="s">
        <v>3984</v>
      </c>
      <c r="L1319" s="40" t="s">
        <v>45</v>
      </c>
      <c r="M1319" s="40" t="s">
        <v>341</v>
      </c>
      <c r="N1319" s="14" t="s">
        <v>3996</v>
      </c>
      <c r="O1319" s="14" t="s">
        <v>528</v>
      </c>
      <c r="P1319" s="14" t="s">
        <v>4000</v>
      </c>
      <c r="Q1319" s="14" t="s">
        <v>541</v>
      </c>
      <c r="R1319" s="17">
        <v>250</v>
      </c>
      <c r="S1319" s="172" t="s">
        <v>51</v>
      </c>
      <c r="T1319" s="17">
        <v>900</v>
      </c>
      <c r="U1319" s="14" t="s">
        <v>51</v>
      </c>
      <c r="V1319" s="16">
        <f t="shared" si="160"/>
        <v>244267</v>
      </c>
      <c r="W1319" s="16">
        <f t="shared" si="161"/>
        <v>244274</v>
      </c>
      <c r="X1319" s="16">
        <f t="shared" si="162"/>
        <v>244269</v>
      </c>
      <c r="Y1319" s="15" t="s">
        <v>54</v>
      </c>
      <c r="Z1319" s="177">
        <v>244272</v>
      </c>
      <c r="AA1319" s="170"/>
      <c r="AB1319" s="170"/>
      <c r="AC1319" s="170"/>
      <c r="AD1319" s="170"/>
      <c r="AE1319" s="15" t="s">
        <v>54</v>
      </c>
      <c r="AF1319" s="177">
        <v>244272</v>
      </c>
      <c r="AG1319" s="177" t="str">
        <f t="shared" si="157"/>
        <v>Pass</v>
      </c>
      <c r="AH1319" s="177">
        <f t="shared" si="159"/>
        <v>244272</v>
      </c>
      <c r="AK1319" s="176"/>
      <c r="AL1319" s="176"/>
    </row>
    <row r="1320" spans="1:38" ht="36" customHeight="1" x14ac:dyDescent="0.2">
      <c r="A1320" s="14" t="s">
        <v>26</v>
      </c>
      <c r="B1320" s="212">
        <v>244267</v>
      </c>
      <c r="C1320" s="14" t="s">
        <v>547</v>
      </c>
      <c r="D1320" s="14" t="s">
        <v>268</v>
      </c>
      <c r="E1320" s="14" t="s">
        <v>14</v>
      </c>
      <c r="F1320" s="14" t="s">
        <v>324</v>
      </c>
      <c r="G1320" s="179">
        <v>681319</v>
      </c>
      <c r="H1320" s="176" t="s">
        <v>626</v>
      </c>
      <c r="I1320" s="176" t="s">
        <v>630</v>
      </c>
      <c r="J1320" s="176" t="s">
        <v>520</v>
      </c>
      <c r="K1320" s="176" t="s">
        <v>3983</v>
      </c>
      <c r="L1320" s="40" t="s">
        <v>46</v>
      </c>
      <c r="M1320" s="40" t="s">
        <v>341</v>
      </c>
      <c r="N1320" s="14" t="s">
        <v>3997</v>
      </c>
      <c r="O1320" s="14" t="s">
        <v>527</v>
      </c>
      <c r="P1320" s="14" t="s">
        <v>4001</v>
      </c>
      <c r="Q1320" s="14" t="s">
        <v>542</v>
      </c>
      <c r="R1320" s="17">
        <v>269</v>
      </c>
      <c r="S1320" s="172" t="s">
        <v>51</v>
      </c>
      <c r="T1320" s="17">
        <v>2200</v>
      </c>
      <c r="U1320" s="14" t="s">
        <v>51</v>
      </c>
      <c r="V1320" s="16">
        <f t="shared" si="160"/>
        <v>244267</v>
      </c>
      <c r="W1320" s="16">
        <f t="shared" si="161"/>
        <v>244274</v>
      </c>
      <c r="X1320" s="16">
        <f t="shared" si="162"/>
        <v>244269</v>
      </c>
      <c r="Y1320" s="15" t="s">
        <v>54</v>
      </c>
      <c r="Z1320" s="177">
        <v>244272</v>
      </c>
      <c r="AA1320" s="170"/>
      <c r="AB1320" s="170"/>
      <c r="AC1320" s="170"/>
      <c r="AD1320" s="170"/>
      <c r="AE1320" s="15" t="s">
        <v>54</v>
      </c>
      <c r="AF1320" s="177">
        <v>244272</v>
      </c>
      <c r="AG1320" s="177" t="str">
        <f t="shared" si="157"/>
        <v>Pass</v>
      </c>
      <c r="AH1320" s="177">
        <f t="shared" si="159"/>
        <v>244272</v>
      </c>
      <c r="AK1320" s="176"/>
      <c r="AL1320" s="176"/>
    </row>
    <row r="1321" spans="1:38" ht="36" customHeight="1" x14ac:dyDescent="0.2">
      <c r="A1321" s="14" t="s">
        <v>26</v>
      </c>
      <c r="B1321" s="212">
        <v>244267</v>
      </c>
      <c r="C1321" s="14" t="s">
        <v>547</v>
      </c>
      <c r="D1321" s="14" t="s">
        <v>268</v>
      </c>
      <c r="E1321" s="14" t="s">
        <v>14</v>
      </c>
      <c r="F1321" s="14" t="s">
        <v>324</v>
      </c>
      <c r="G1321" s="179">
        <v>681320</v>
      </c>
      <c r="H1321" s="176" t="s">
        <v>3634</v>
      </c>
      <c r="I1321" s="176" t="s">
        <v>551</v>
      </c>
      <c r="J1321" s="176" t="s">
        <v>832</v>
      </c>
      <c r="K1321" s="176" t="s">
        <v>3994</v>
      </c>
      <c r="L1321" s="40" t="s">
        <v>108</v>
      </c>
      <c r="M1321" s="40" t="s">
        <v>341</v>
      </c>
      <c r="N1321" s="14" t="s">
        <v>3998</v>
      </c>
      <c r="O1321" s="14" t="s">
        <v>527</v>
      </c>
      <c r="P1321" s="14" t="s">
        <v>3004</v>
      </c>
      <c r="Q1321" s="14" t="s">
        <v>542</v>
      </c>
      <c r="R1321" s="17">
        <v>148</v>
      </c>
      <c r="S1321" s="172" t="s">
        <v>51</v>
      </c>
      <c r="T1321" s="17">
        <v>1820</v>
      </c>
      <c r="U1321" s="14" t="s">
        <v>51</v>
      </c>
      <c r="V1321" s="16">
        <f t="shared" si="160"/>
        <v>244267</v>
      </c>
      <c r="W1321" s="16">
        <f t="shared" si="161"/>
        <v>244274</v>
      </c>
      <c r="X1321" s="16">
        <f t="shared" si="162"/>
        <v>244269</v>
      </c>
      <c r="Y1321" s="15" t="s">
        <v>54</v>
      </c>
      <c r="Z1321" s="177">
        <v>244272</v>
      </c>
      <c r="AA1321" s="170"/>
      <c r="AB1321" s="170"/>
      <c r="AC1321" s="170"/>
      <c r="AD1321" s="170"/>
      <c r="AE1321" s="15" t="s">
        <v>54</v>
      </c>
      <c r="AF1321" s="177">
        <v>244272</v>
      </c>
      <c r="AG1321" s="177" t="str">
        <f t="shared" si="157"/>
        <v>Pass</v>
      </c>
      <c r="AH1321" s="177">
        <f t="shared" si="159"/>
        <v>244272</v>
      </c>
      <c r="AK1321" s="176"/>
      <c r="AL1321" s="176"/>
    </row>
    <row r="1322" spans="1:38" ht="36" customHeight="1" x14ac:dyDescent="0.2">
      <c r="A1322" s="14" t="s">
        <v>26</v>
      </c>
      <c r="B1322" s="212">
        <v>244267</v>
      </c>
      <c r="C1322" s="14" t="s">
        <v>547</v>
      </c>
      <c r="D1322" s="14" t="s">
        <v>268</v>
      </c>
      <c r="E1322" s="14" t="s">
        <v>14</v>
      </c>
      <c r="F1322" s="14" t="s">
        <v>324</v>
      </c>
      <c r="G1322" s="179">
        <v>681321</v>
      </c>
      <c r="H1322" s="176" t="s">
        <v>861</v>
      </c>
      <c r="I1322" s="176" t="s">
        <v>551</v>
      </c>
      <c r="J1322" s="176" t="s">
        <v>832</v>
      </c>
      <c r="K1322" s="176" t="s">
        <v>3995</v>
      </c>
      <c r="L1322" s="40" t="s">
        <v>108</v>
      </c>
      <c r="M1322" s="40" t="s">
        <v>341</v>
      </c>
      <c r="N1322" s="14" t="s">
        <v>3999</v>
      </c>
      <c r="O1322" s="14" t="s">
        <v>552</v>
      </c>
      <c r="P1322" s="14" t="s">
        <v>519</v>
      </c>
      <c r="Q1322" s="14" t="s">
        <v>553</v>
      </c>
      <c r="R1322" s="17">
        <v>339</v>
      </c>
      <c r="S1322" s="172" t="s">
        <v>51</v>
      </c>
      <c r="T1322" s="17">
        <v>2855</v>
      </c>
      <c r="U1322" s="14" t="s">
        <v>51</v>
      </c>
      <c r="V1322" s="16">
        <f t="shared" si="160"/>
        <v>244267</v>
      </c>
      <c r="W1322" s="16">
        <f t="shared" si="161"/>
        <v>244274</v>
      </c>
      <c r="X1322" s="16">
        <f t="shared" si="162"/>
        <v>244269</v>
      </c>
      <c r="Y1322" s="15" t="s">
        <v>54</v>
      </c>
      <c r="Z1322" s="177">
        <v>244272</v>
      </c>
      <c r="AA1322" s="170"/>
      <c r="AB1322" s="170"/>
      <c r="AC1322" s="170"/>
      <c r="AD1322" s="170"/>
      <c r="AE1322" s="15" t="s">
        <v>54</v>
      </c>
      <c r="AF1322" s="177">
        <v>244272</v>
      </c>
      <c r="AG1322" s="177" t="str">
        <f t="shared" si="157"/>
        <v>Pass</v>
      </c>
      <c r="AH1322" s="177">
        <f t="shared" si="159"/>
        <v>244272</v>
      </c>
      <c r="AK1322" s="176"/>
      <c r="AL1322" s="176"/>
    </row>
    <row r="1323" spans="1:38" ht="36" customHeight="1" x14ac:dyDescent="0.2">
      <c r="A1323" s="14" t="s">
        <v>26</v>
      </c>
      <c r="B1323" s="212">
        <v>244267</v>
      </c>
      <c r="C1323" s="14" t="s">
        <v>547</v>
      </c>
      <c r="D1323" s="14" t="s">
        <v>268</v>
      </c>
      <c r="E1323" s="14" t="s">
        <v>14</v>
      </c>
      <c r="F1323" s="14" t="s">
        <v>324</v>
      </c>
      <c r="G1323" s="179">
        <v>681322</v>
      </c>
      <c r="H1323" s="176" t="s">
        <v>1402</v>
      </c>
      <c r="I1323" s="176" t="s">
        <v>1407</v>
      </c>
      <c r="J1323" s="176" t="s">
        <v>1410</v>
      </c>
      <c r="K1323" s="176" t="s">
        <v>3993</v>
      </c>
      <c r="L1323" s="40" t="s">
        <v>45</v>
      </c>
      <c r="M1323" s="40" t="s">
        <v>341</v>
      </c>
      <c r="N1323" s="14" t="s">
        <v>2512</v>
      </c>
      <c r="O1323" s="14" t="s">
        <v>528</v>
      </c>
      <c r="P1323" s="14" t="s">
        <v>1526</v>
      </c>
      <c r="Q1323" s="14" t="s">
        <v>541</v>
      </c>
      <c r="R1323" s="17">
        <v>500</v>
      </c>
      <c r="S1323" s="172" t="s">
        <v>51</v>
      </c>
      <c r="T1323" s="17">
        <v>1370</v>
      </c>
      <c r="U1323" s="14" t="s">
        <v>51</v>
      </c>
      <c r="V1323" s="16">
        <f t="shared" si="160"/>
        <v>244267</v>
      </c>
      <c r="W1323" s="16">
        <f t="shared" si="161"/>
        <v>244274</v>
      </c>
      <c r="X1323" s="16">
        <f t="shared" si="162"/>
        <v>244269</v>
      </c>
      <c r="Y1323" s="15" t="s">
        <v>54</v>
      </c>
      <c r="Z1323" s="177">
        <v>244272</v>
      </c>
      <c r="AA1323" s="170"/>
      <c r="AB1323" s="170"/>
      <c r="AC1323" s="170"/>
      <c r="AD1323" s="170"/>
      <c r="AE1323" s="15" t="s">
        <v>54</v>
      </c>
      <c r="AF1323" s="177">
        <v>244272</v>
      </c>
      <c r="AG1323" s="177" t="str">
        <f t="shared" si="157"/>
        <v>Pass</v>
      </c>
      <c r="AH1323" s="177">
        <f t="shared" si="159"/>
        <v>244272</v>
      </c>
      <c r="AK1323" s="176"/>
      <c r="AL1323" s="176"/>
    </row>
    <row r="1324" spans="1:38" ht="36" customHeight="1" x14ac:dyDescent="0.2">
      <c r="A1324" s="14" t="s">
        <v>26</v>
      </c>
      <c r="B1324" s="212">
        <v>244267</v>
      </c>
      <c r="C1324" s="14" t="s">
        <v>547</v>
      </c>
      <c r="D1324" s="14" t="s">
        <v>268</v>
      </c>
      <c r="E1324" s="14" t="s">
        <v>14</v>
      </c>
      <c r="F1324" s="14" t="s">
        <v>324</v>
      </c>
      <c r="G1324" s="179">
        <v>681323</v>
      </c>
      <c r="H1324" s="176" t="s">
        <v>663</v>
      </c>
      <c r="I1324" s="176" t="s">
        <v>630</v>
      </c>
      <c r="J1324" s="176" t="s">
        <v>821</v>
      </c>
      <c r="K1324" s="176" t="s">
        <v>4002</v>
      </c>
      <c r="L1324" s="40" t="s">
        <v>124</v>
      </c>
      <c r="M1324" s="40" t="s">
        <v>341</v>
      </c>
      <c r="N1324" s="14" t="s">
        <v>780</v>
      </c>
      <c r="O1324" s="14" t="s">
        <v>548</v>
      </c>
      <c r="P1324" s="14" t="s">
        <v>518</v>
      </c>
      <c r="Q1324" s="14" t="s">
        <v>549</v>
      </c>
      <c r="R1324" s="17">
        <v>175</v>
      </c>
      <c r="S1324" s="172" t="s">
        <v>51</v>
      </c>
      <c r="T1324" s="17">
        <v>3568</v>
      </c>
      <c r="U1324" s="14" t="s">
        <v>51</v>
      </c>
      <c r="V1324" s="16">
        <f t="shared" si="160"/>
        <v>244267</v>
      </c>
      <c r="W1324" s="16">
        <f t="shared" si="161"/>
        <v>244274</v>
      </c>
      <c r="X1324" s="16">
        <f t="shared" si="162"/>
        <v>244269</v>
      </c>
      <c r="Y1324" s="15" t="s">
        <v>54</v>
      </c>
      <c r="Z1324" s="177">
        <v>244272</v>
      </c>
      <c r="AA1324" s="170"/>
      <c r="AB1324" s="170"/>
      <c r="AC1324" s="170"/>
      <c r="AD1324" s="170"/>
      <c r="AE1324" s="15" t="s">
        <v>54</v>
      </c>
      <c r="AF1324" s="177">
        <v>244272</v>
      </c>
      <c r="AG1324" s="177" t="str">
        <f t="shared" si="157"/>
        <v>Pass</v>
      </c>
      <c r="AH1324" s="177">
        <f t="shared" si="159"/>
        <v>244272</v>
      </c>
      <c r="AK1324" s="176"/>
      <c r="AL1324" s="176"/>
    </row>
    <row r="1325" spans="1:38" ht="36" customHeight="1" x14ac:dyDescent="0.2">
      <c r="A1325" s="14" t="s">
        <v>26</v>
      </c>
      <c r="B1325" s="212">
        <v>244267</v>
      </c>
      <c r="C1325" s="14" t="s">
        <v>547</v>
      </c>
      <c r="D1325" s="14" t="s">
        <v>268</v>
      </c>
      <c r="E1325" s="14" t="s">
        <v>14</v>
      </c>
      <c r="F1325" s="14" t="s">
        <v>324</v>
      </c>
      <c r="G1325" s="179">
        <v>681324</v>
      </c>
      <c r="H1325" s="176" t="s">
        <v>3580</v>
      </c>
      <c r="I1325" s="176" t="s">
        <v>908</v>
      </c>
      <c r="J1325" s="176" t="s">
        <v>133</v>
      </c>
      <c r="K1325" s="176" t="s">
        <v>4003</v>
      </c>
      <c r="L1325" s="40" t="s">
        <v>105</v>
      </c>
      <c r="M1325" s="40" t="s">
        <v>341</v>
      </c>
      <c r="N1325" s="14" t="s">
        <v>4004</v>
      </c>
      <c r="O1325" s="14" t="s">
        <v>527</v>
      </c>
      <c r="P1325" s="14" t="s">
        <v>4005</v>
      </c>
      <c r="Q1325" s="14" t="s">
        <v>542</v>
      </c>
      <c r="R1325" s="17">
        <v>475</v>
      </c>
      <c r="S1325" s="172" t="s">
        <v>51</v>
      </c>
      <c r="T1325" s="17">
        <v>1965</v>
      </c>
      <c r="U1325" s="14" t="s">
        <v>51</v>
      </c>
      <c r="V1325" s="16">
        <f t="shared" si="160"/>
        <v>244267</v>
      </c>
      <c r="W1325" s="16">
        <f t="shared" si="161"/>
        <v>244274</v>
      </c>
      <c r="X1325" s="16">
        <f t="shared" si="162"/>
        <v>244269</v>
      </c>
      <c r="Y1325" s="15" t="s">
        <v>54</v>
      </c>
      <c r="Z1325" s="177">
        <v>244272</v>
      </c>
      <c r="AA1325" s="170"/>
      <c r="AB1325" s="170"/>
      <c r="AC1325" s="170"/>
      <c r="AD1325" s="170"/>
      <c r="AE1325" s="15" t="s">
        <v>54</v>
      </c>
      <c r="AF1325" s="177">
        <v>244272</v>
      </c>
      <c r="AG1325" s="177" t="str">
        <f t="shared" si="157"/>
        <v>Pass</v>
      </c>
      <c r="AH1325" s="177">
        <f t="shared" si="159"/>
        <v>244272</v>
      </c>
      <c r="AK1325" s="176"/>
      <c r="AL1325" s="176"/>
    </row>
    <row r="1326" spans="1:38" ht="36" customHeight="1" x14ac:dyDescent="0.2">
      <c r="A1326" s="14" t="s">
        <v>26</v>
      </c>
      <c r="B1326" s="212">
        <v>244270</v>
      </c>
      <c r="C1326" s="14" t="s">
        <v>547</v>
      </c>
      <c r="D1326" s="14" t="s">
        <v>268</v>
      </c>
      <c r="E1326" s="14" t="s">
        <v>14</v>
      </c>
      <c r="F1326" s="14" t="s">
        <v>324</v>
      </c>
      <c r="G1326" s="179">
        <v>681325</v>
      </c>
      <c r="H1326" s="176" t="s">
        <v>663</v>
      </c>
      <c r="I1326" s="176" t="s">
        <v>630</v>
      </c>
      <c r="J1326" s="176" t="s">
        <v>821</v>
      </c>
      <c r="K1326" s="176" t="s">
        <v>4002</v>
      </c>
      <c r="L1326" s="40" t="s">
        <v>124</v>
      </c>
      <c r="M1326" s="40" t="s">
        <v>341</v>
      </c>
      <c r="N1326" s="14" t="s">
        <v>2402</v>
      </c>
      <c r="O1326" s="14" t="s">
        <v>548</v>
      </c>
      <c r="P1326" s="14" t="s">
        <v>717</v>
      </c>
      <c r="Q1326" s="14" t="s">
        <v>549</v>
      </c>
      <c r="R1326" s="17">
        <v>109</v>
      </c>
      <c r="S1326" s="172" t="s">
        <v>51</v>
      </c>
      <c r="T1326" s="17">
        <v>2568</v>
      </c>
      <c r="U1326" s="14" t="s">
        <v>51</v>
      </c>
      <c r="V1326" s="16">
        <f t="shared" si="160"/>
        <v>244270</v>
      </c>
      <c r="W1326" s="16">
        <f t="shared" si="161"/>
        <v>244277</v>
      </c>
      <c r="X1326" s="16">
        <f t="shared" si="162"/>
        <v>244272</v>
      </c>
      <c r="Y1326" s="15" t="s">
        <v>54</v>
      </c>
      <c r="Z1326" s="177">
        <v>244272</v>
      </c>
      <c r="AA1326" s="170"/>
      <c r="AB1326" s="170"/>
      <c r="AC1326" s="170"/>
      <c r="AD1326" s="170"/>
      <c r="AE1326" s="15" t="s">
        <v>54</v>
      </c>
      <c r="AF1326" s="177">
        <v>244272</v>
      </c>
      <c r="AG1326" s="177" t="str">
        <f t="shared" si="157"/>
        <v>Pass</v>
      </c>
      <c r="AH1326" s="177">
        <f t="shared" si="159"/>
        <v>244272</v>
      </c>
      <c r="AK1326" s="176"/>
      <c r="AL1326" s="176"/>
    </row>
    <row r="1327" spans="1:38" ht="36" customHeight="1" x14ac:dyDescent="0.2">
      <c r="A1327" s="14" t="s">
        <v>26</v>
      </c>
      <c r="B1327" s="212">
        <v>244270</v>
      </c>
      <c r="C1327" s="14" t="s">
        <v>547</v>
      </c>
      <c r="D1327" s="14" t="s">
        <v>268</v>
      </c>
      <c r="E1327" s="14" t="s">
        <v>14</v>
      </c>
      <c r="F1327" s="14" t="s">
        <v>324</v>
      </c>
      <c r="G1327" s="179">
        <v>681326</v>
      </c>
      <c r="H1327" s="176" t="s">
        <v>663</v>
      </c>
      <c r="I1327" s="176" t="s">
        <v>630</v>
      </c>
      <c r="J1327" s="176" t="s">
        <v>821</v>
      </c>
      <c r="K1327" s="176" t="s">
        <v>4002</v>
      </c>
      <c r="L1327" s="40" t="s">
        <v>124</v>
      </c>
      <c r="M1327" s="40" t="s">
        <v>341</v>
      </c>
      <c r="N1327" s="14" t="s">
        <v>4012</v>
      </c>
      <c r="O1327" s="14" t="s">
        <v>543</v>
      </c>
      <c r="P1327" s="14" t="s">
        <v>517</v>
      </c>
      <c r="Q1327" s="14" t="s">
        <v>529</v>
      </c>
      <c r="R1327" s="17">
        <v>880</v>
      </c>
      <c r="S1327" s="172" t="s">
        <v>51</v>
      </c>
      <c r="T1327" s="17">
        <v>2527</v>
      </c>
      <c r="U1327" s="14" t="s">
        <v>51</v>
      </c>
      <c r="V1327" s="16">
        <f t="shared" si="160"/>
        <v>244270</v>
      </c>
      <c r="W1327" s="16">
        <f t="shared" si="161"/>
        <v>244277</v>
      </c>
      <c r="X1327" s="16">
        <f t="shared" si="162"/>
        <v>244272</v>
      </c>
      <c r="Y1327" s="15" t="s">
        <v>54</v>
      </c>
      <c r="Z1327" s="177">
        <v>244272</v>
      </c>
      <c r="AA1327" s="170"/>
      <c r="AB1327" s="170"/>
      <c r="AC1327" s="170"/>
      <c r="AD1327" s="170"/>
      <c r="AE1327" s="15" t="s">
        <v>54</v>
      </c>
      <c r="AF1327" s="177">
        <v>244272</v>
      </c>
      <c r="AG1327" s="177" t="str">
        <f t="shared" si="157"/>
        <v>Pass</v>
      </c>
      <c r="AH1327" s="177">
        <f t="shared" si="159"/>
        <v>244272</v>
      </c>
      <c r="AK1327" s="176"/>
      <c r="AL1327" s="176"/>
    </row>
    <row r="1328" spans="1:38" ht="36" customHeight="1" x14ac:dyDescent="0.2">
      <c r="A1328" s="14" t="s">
        <v>26</v>
      </c>
      <c r="B1328" s="212">
        <v>244270</v>
      </c>
      <c r="C1328" s="14" t="s">
        <v>547</v>
      </c>
      <c r="D1328" s="14" t="s">
        <v>268</v>
      </c>
      <c r="E1328" s="14" t="s">
        <v>14</v>
      </c>
      <c r="F1328" s="14" t="s">
        <v>324</v>
      </c>
      <c r="G1328" s="179">
        <v>681327</v>
      </c>
      <c r="H1328" s="176" t="s">
        <v>4006</v>
      </c>
      <c r="I1328" s="176" t="s">
        <v>864</v>
      </c>
      <c r="J1328" s="176" t="s">
        <v>131</v>
      </c>
      <c r="K1328" s="176" t="s">
        <v>4009</v>
      </c>
      <c r="L1328" s="40" t="s">
        <v>45</v>
      </c>
      <c r="M1328" s="40" t="s">
        <v>341</v>
      </c>
      <c r="N1328" s="14" t="s">
        <v>4013</v>
      </c>
      <c r="O1328" s="14" t="s">
        <v>4017</v>
      </c>
      <c r="P1328" s="14" t="s">
        <v>2856</v>
      </c>
      <c r="Q1328" s="14" t="s">
        <v>4021</v>
      </c>
      <c r="R1328" s="17">
        <v>200</v>
      </c>
      <c r="S1328" s="172" t="s">
        <v>51</v>
      </c>
      <c r="T1328" s="17">
        <v>660</v>
      </c>
      <c r="U1328" s="14" t="s">
        <v>51</v>
      </c>
      <c r="V1328" s="16">
        <f t="shared" si="160"/>
        <v>244270</v>
      </c>
      <c r="W1328" s="16">
        <f t="shared" si="161"/>
        <v>244277</v>
      </c>
      <c r="X1328" s="16">
        <f t="shared" si="162"/>
        <v>244272</v>
      </c>
      <c r="Y1328" s="15" t="s">
        <v>54</v>
      </c>
      <c r="Z1328" s="177">
        <v>244272</v>
      </c>
      <c r="AA1328" s="170"/>
      <c r="AB1328" s="170"/>
      <c r="AC1328" s="170"/>
      <c r="AD1328" s="170"/>
      <c r="AE1328" s="15" t="s">
        <v>54</v>
      </c>
      <c r="AF1328" s="177">
        <v>244272</v>
      </c>
      <c r="AG1328" s="177" t="str">
        <f t="shared" ref="AG1328:AG1381" si="163">AE1328</f>
        <v>Pass</v>
      </c>
      <c r="AH1328" s="177">
        <f t="shared" si="159"/>
        <v>244272</v>
      </c>
      <c r="AK1328" s="176"/>
      <c r="AL1328" s="176"/>
    </row>
    <row r="1329" spans="1:38" ht="36" customHeight="1" x14ac:dyDescent="0.2">
      <c r="A1329" s="14" t="s">
        <v>26</v>
      </c>
      <c r="B1329" s="212">
        <v>244270</v>
      </c>
      <c r="C1329" s="14" t="s">
        <v>547</v>
      </c>
      <c r="D1329" s="14" t="s">
        <v>268</v>
      </c>
      <c r="E1329" s="14" t="s">
        <v>14</v>
      </c>
      <c r="F1329" s="14" t="s">
        <v>324</v>
      </c>
      <c r="G1329" s="179">
        <v>681328</v>
      </c>
      <c r="H1329" s="176" t="s">
        <v>4006</v>
      </c>
      <c r="I1329" s="176" t="s">
        <v>864</v>
      </c>
      <c r="J1329" s="176" t="s">
        <v>131</v>
      </c>
      <c r="K1329" s="176" t="s">
        <v>4009</v>
      </c>
      <c r="L1329" s="40" t="s">
        <v>45</v>
      </c>
      <c r="M1329" s="40" t="s">
        <v>341</v>
      </c>
      <c r="N1329" s="14" t="s">
        <v>4014</v>
      </c>
      <c r="O1329" s="14" t="s">
        <v>4018</v>
      </c>
      <c r="P1329" s="14" t="s">
        <v>517</v>
      </c>
      <c r="Q1329" s="14" t="s">
        <v>4022</v>
      </c>
      <c r="R1329" s="17">
        <v>400</v>
      </c>
      <c r="S1329" s="172" t="s">
        <v>51</v>
      </c>
      <c r="T1329" s="17">
        <v>990</v>
      </c>
      <c r="U1329" s="14" t="s">
        <v>51</v>
      </c>
      <c r="V1329" s="16">
        <f t="shared" si="160"/>
        <v>244270</v>
      </c>
      <c r="W1329" s="16">
        <f t="shared" si="161"/>
        <v>244277</v>
      </c>
      <c r="X1329" s="16">
        <f t="shared" si="162"/>
        <v>244272</v>
      </c>
      <c r="Y1329" s="15" t="s">
        <v>54</v>
      </c>
      <c r="Z1329" s="177">
        <v>244272</v>
      </c>
      <c r="AA1329" s="170"/>
      <c r="AB1329" s="170"/>
      <c r="AC1329" s="170"/>
      <c r="AD1329" s="170"/>
      <c r="AE1329" s="15" t="s">
        <v>54</v>
      </c>
      <c r="AF1329" s="177">
        <v>244272</v>
      </c>
      <c r="AG1329" s="177" t="str">
        <f t="shared" si="163"/>
        <v>Pass</v>
      </c>
      <c r="AH1329" s="177">
        <f t="shared" si="159"/>
        <v>244272</v>
      </c>
      <c r="AK1329" s="176"/>
      <c r="AL1329" s="176"/>
    </row>
    <row r="1330" spans="1:38" ht="36" customHeight="1" x14ac:dyDescent="0.2">
      <c r="A1330" s="14" t="s">
        <v>26</v>
      </c>
      <c r="B1330" s="212">
        <v>244270</v>
      </c>
      <c r="C1330" s="14" t="s">
        <v>547</v>
      </c>
      <c r="D1330" s="14" t="s">
        <v>268</v>
      </c>
      <c r="E1330" s="14" t="s">
        <v>14</v>
      </c>
      <c r="F1330" s="14" t="s">
        <v>324</v>
      </c>
      <c r="G1330" s="179">
        <v>681329</v>
      </c>
      <c r="H1330" s="176" t="s">
        <v>3580</v>
      </c>
      <c r="I1330" s="176" t="s">
        <v>908</v>
      </c>
      <c r="J1330" s="176" t="s">
        <v>133</v>
      </c>
      <c r="K1330" s="176" t="s">
        <v>4003</v>
      </c>
      <c r="L1330" s="40" t="s">
        <v>105</v>
      </c>
      <c r="M1330" s="40" t="s">
        <v>341</v>
      </c>
      <c r="N1330" s="14" t="s">
        <v>4015</v>
      </c>
      <c r="O1330" s="14" t="s">
        <v>1909</v>
      </c>
      <c r="P1330" s="14" t="s">
        <v>4019</v>
      </c>
      <c r="Q1330" s="14" t="s">
        <v>1913</v>
      </c>
      <c r="R1330" s="17">
        <v>175</v>
      </c>
      <c r="S1330" s="172" t="s">
        <v>51</v>
      </c>
      <c r="T1330" s="17">
        <v>850</v>
      </c>
      <c r="U1330" s="14" t="s">
        <v>51</v>
      </c>
      <c r="V1330" s="16">
        <f t="shared" si="160"/>
        <v>244270</v>
      </c>
      <c r="W1330" s="16">
        <f t="shared" si="161"/>
        <v>244277</v>
      </c>
      <c r="X1330" s="16">
        <f t="shared" si="162"/>
        <v>244272</v>
      </c>
      <c r="Y1330" s="15" t="s">
        <v>54</v>
      </c>
      <c r="Z1330" s="177">
        <v>244272</v>
      </c>
      <c r="AA1330" s="170"/>
      <c r="AB1330" s="170"/>
      <c r="AC1330" s="170"/>
      <c r="AD1330" s="170"/>
      <c r="AE1330" s="15" t="s">
        <v>54</v>
      </c>
      <c r="AF1330" s="177">
        <v>244272</v>
      </c>
      <c r="AG1330" s="177" t="str">
        <f t="shared" si="163"/>
        <v>Pass</v>
      </c>
      <c r="AH1330" s="177">
        <f t="shared" si="159"/>
        <v>244272</v>
      </c>
      <c r="AK1330" s="176"/>
      <c r="AL1330" s="176"/>
    </row>
    <row r="1331" spans="1:38" ht="36" customHeight="1" x14ac:dyDescent="0.2">
      <c r="A1331" s="14" t="s">
        <v>26</v>
      </c>
      <c r="B1331" s="212">
        <v>244270</v>
      </c>
      <c r="C1331" s="14" t="s">
        <v>547</v>
      </c>
      <c r="D1331" s="14" t="s">
        <v>268</v>
      </c>
      <c r="E1331" s="14" t="s">
        <v>14</v>
      </c>
      <c r="F1331" s="14" t="s">
        <v>324</v>
      </c>
      <c r="G1331" s="179">
        <v>681330</v>
      </c>
      <c r="H1331" s="176" t="s">
        <v>4007</v>
      </c>
      <c r="I1331" s="176" t="s">
        <v>2431</v>
      </c>
      <c r="J1331" s="176" t="s">
        <v>1813</v>
      </c>
      <c r="K1331" s="176" t="s">
        <v>4010</v>
      </c>
      <c r="L1331" s="40" t="s">
        <v>108</v>
      </c>
      <c r="M1331" s="40" t="s">
        <v>341</v>
      </c>
      <c r="N1331" s="14" t="s">
        <v>4016</v>
      </c>
      <c r="O1331" s="14" t="s">
        <v>543</v>
      </c>
      <c r="P1331" s="14" t="s">
        <v>2569</v>
      </c>
      <c r="Q1331" s="14" t="s">
        <v>529</v>
      </c>
      <c r="R1331" s="17">
        <v>150</v>
      </c>
      <c r="S1331" s="172" t="s">
        <v>51</v>
      </c>
      <c r="T1331" s="17">
        <v>180</v>
      </c>
      <c r="U1331" s="14" t="s">
        <v>51</v>
      </c>
      <c r="V1331" s="16">
        <f t="shared" si="160"/>
        <v>244270</v>
      </c>
      <c r="W1331" s="16">
        <f t="shared" si="161"/>
        <v>244277</v>
      </c>
      <c r="X1331" s="16">
        <f t="shared" si="162"/>
        <v>244272</v>
      </c>
      <c r="Y1331" s="15" t="s">
        <v>54</v>
      </c>
      <c r="Z1331" s="177">
        <v>244272</v>
      </c>
      <c r="AA1331" s="170"/>
      <c r="AB1331" s="170"/>
      <c r="AC1331" s="170"/>
      <c r="AD1331" s="170"/>
      <c r="AE1331" s="15" t="s">
        <v>54</v>
      </c>
      <c r="AF1331" s="177">
        <v>244272</v>
      </c>
      <c r="AG1331" s="177" t="str">
        <f t="shared" si="163"/>
        <v>Pass</v>
      </c>
      <c r="AH1331" s="177">
        <f t="shared" si="159"/>
        <v>244272</v>
      </c>
      <c r="AK1331" s="176"/>
      <c r="AL1331" s="176"/>
    </row>
    <row r="1332" spans="1:38" ht="36" customHeight="1" x14ac:dyDescent="0.2">
      <c r="A1332" s="14" t="s">
        <v>26</v>
      </c>
      <c r="B1332" s="212">
        <v>244270</v>
      </c>
      <c r="C1332" s="14" t="s">
        <v>547</v>
      </c>
      <c r="D1332" s="14" t="s">
        <v>268</v>
      </c>
      <c r="E1332" s="14" t="s">
        <v>14</v>
      </c>
      <c r="F1332" s="14" t="s">
        <v>324</v>
      </c>
      <c r="G1332" s="179">
        <v>681331</v>
      </c>
      <c r="H1332" s="176" t="s">
        <v>4008</v>
      </c>
      <c r="I1332" s="176" t="s">
        <v>802</v>
      </c>
      <c r="J1332" s="176" t="s">
        <v>143</v>
      </c>
      <c r="K1332" s="176" t="s">
        <v>4011</v>
      </c>
      <c r="L1332" s="40" t="s">
        <v>46</v>
      </c>
      <c r="M1332" s="40" t="s">
        <v>341</v>
      </c>
      <c r="N1332" s="14" t="s">
        <v>1353</v>
      </c>
      <c r="O1332" s="14" t="s">
        <v>756</v>
      </c>
      <c r="P1332" s="14" t="s">
        <v>4020</v>
      </c>
      <c r="Q1332" s="14" t="s">
        <v>758</v>
      </c>
      <c r="R1332" s="17">
        <v>1500</v>
      </c>
      <c r="S1332" s="172" t="s">
        <v>51</v>
      </c>
      <c r="T1332" s="17">
        <v>2705</v>
      </c>
      <c r="U1332" s="14" t="s">
        <v>51</v>
      </c>
      <c r="V1332" s="16">
        <f t="shared" si="160"/>
        <v>244270</v>
      </c>
      <c r="W1332" s="16">
        <f t="shared" si="161"/>
        <v>244277</v>
      </c>
      <c r="X1332" s="16">
        <f t="shared" si="162"/>
        <v>244272</v>
      </c>
      <c r="Y1332" s="15" t="s">
        <v>54</v>
      </c>
      <c r="Z1332" s="177">
        <v>244272</v>
      </c>
      <c r="AA1332" s="170"/>
      <c r="AB1332" s="170"/>
      <c r="AC1332" s="170"/>
      <c r="AD1332" s="170"/>
      <c r="AE1332" s="15" t="s">
        <v>54</v>
      </c>
      <c r="AF1332" s="177">
        <v>244272</v>
      </c>
      <c r="AG1332" s="177" t="str">
        <f t="shared" si="163"/>
        <v>Pass</v>
      </c>
      <c r="AH1332" s="177">
        <f t="shared" si="159"/>
        <v>244272</v>
      </c>
      <c r="AK1332" s="176"/>
      <c r="AL1332" s="176"/>
    </row>
    <row r="1333" spans="1:38" ht="36" customHeight="1" x14ac:dyDescent="0.2">
      <c r="A1333" s="14" t="s">
        <v>26</v>
      </c>
      <c r="B1333" s="212">
        <v>244271</v>
      </c>
      <c r="C1333" s="14" t="s">
        <v>547</v>
      </c>
      <c r="D1333" s="14" t="s">
        <v>268</v>
      </c>
      <c r="E1333" s="14" t="s">
        <v>14</v>
      </c>
      <c r="F1333" s="14" t="s">
        <v>324</v>
      </c>
      <c r="G1333" s="179">
        <v>681332</v>
      </c>
      <c r="H1333" s="176" t="s">
        <v>1754</v>
      </c>
      <c r="I1333" s="176" t="s">
        <v>802</v>
      </c>
      <c r="J1333" s="176" t="s">
        <v>131</v>
      </c>
      <c r="K1333" s="176" t="s">
        <v>4026</v>
      </c>
      <c r="L1333" s="40" t="s">
        <v>45</v>
      </c>
      <c r="M1333" s="40" t="s">
        <v>341</v>
      </c>
      <c r="N1333" s="14" t="s">
        <v>4030</v>
      </c>
      <c r="O1333" s="14" t="s">
        <v>528</v>
      </c>
      <c r="P1333" s="14" t="s">
        <v>3801</v>
      </c>
      <c r="Q1333" s="14" t="s">
        <v>541</v>
      </c>
      <c r="R1333" s="17">
        <v>600</v>
      </c>
      <c r="S1333" s="172" t="s">
        <v>51</v>
      </c>
      <c r="T1333" s="17">
        <v>1325</v>
      </c>
      <c r="U1333" s="14" t="s">
        <v>51</v>
      </c>
      <c r="V1333" s="16">
        <f t="shared" si="160"/>
        <v>244271</v>
      </c>
      <c r="W1333" s="16">
        <f t="shared" si="161"/>
        <v>244278</v>
      </c>
      <c r="X1333" s="16">
        <f t="shared" si="162"/>
        <v>244273</v>
      </c>
      <c r="Y1333" s="15" t="s">
        <v>54</v>
      </c>
      <c r="Z1333" s="177">
        <v>244272</v>
      </c>
      <c r="AA1333" s="170"/>
      <c r="AB1333" s="170"/>
      <c r="AC1333" s="170"/>
      <c r="AD1333" s="170"/>
      <c r="AE1333" s="15" t="s">
        <v>54</v>
      </c>
      <c r="AF1333" s="177">
        <v>244274</v>
      </c>
      <c r="AG1333" s="177" t="str">
        <f t="shared" si="163"/>
        <v>Pass</v>
      </c>
      <c r="AH1333" s="177">
        <f t="shared" si="159"/>
        <v>244274</v>
      </c>
      <c r="AK1333" s="176"/>
      <c r="AL1333" s="176"/>
    </row>
    <row r="1334" spans="1:38" ht="36" customHeight="1" x14ac:dyDescent="0.2">
      <c r="A1334" s="14" t="s">
        <v>26</v>
      </c>
      <c r="B1334" s="212">
        <v>244271</v>
      </c>
      <c r="C1334" s="14" t="s">
        <v>547</v>
      </c>
      <c r="D1334" s="14" t="s">
        <v>268</v>
      </c>
      <c r="E1334" s="14" t="s">
        <v>14</v>
      </c>
      <c r="F1334" s="14" t="s">
        <v>324</v>
      </c>
      <c r="G1334" s="179">
        <v>681333</v>
      </c>
      <c r="H1334" s="176" t="s">
        <v>1754</v>
      </c>
      <c r="I1334" s="176" t="s">
        <v>802</v>
      </c>
      <c r="J1334" s="176" t="s">
        <v>131</v>
      </c>
      <c r="K1334" s="176" t="s">
        <v>4026</v>
      </c>
      <c r="L1334" s="40" t="s">
        <v>45</v>
      </c>
      <c r="M1334" s="40" t="s">
        <v>341</v>
      </c>
      <c r="N1334" s="14" t="s">
        <v>4031</v>
      </c>
      <c r="O1334" s="14" t="s">
        <v>552</v>
      </c>
      <c r="P1334" s="14" t="s">
        <v>793</v>
      </c>
      <c r="Q1334" s="14" t="s">
        <v>553</v>
      </c>
      <c r="R1334" s="17">
        <v>645</v>
      </c>
      <c r="S1334" s="172" t="s">
        <v>51</v>
      </c>
      <c r="T1334" s="17">
        <v>2000</v>
      </c>
      <c r="U1334" s="14" t="s">
        <v>51</v>
      </c>
      <c r="V1334" s="16">
        <f t="shared" si="160"/>
        <v>244271</v>
      </c>
      <c r="W1334" s="16">
        <f t="shared" si="161"/>
        <v>244278</v>
      </c>
      <c r="X1334" s="16">
        <f t="shared" si="162"/>
        <v>244273</v>
      </c>
      <c r="Y1334" s="15" t="s">
        <v>54</v>
      </c>
      <c r="Z1334" s="177">
        <v>244272</v>
      </c>
      <c r="AA1334" s="170"/>
      <c r="AB1334" s="170"/>
      <c r="AC1334" s="170"/>
      <c r="AD1334" s="170"/>
      <c r="AE1334" s="15" t="s">
        <v>54</v>
      </c>
      <c r="AF1334" s="177">
        <v>244274</v>
      </c>
      <c r="AG1334" s="177" t="str">
        <f t="shared" si="163"/>
        <v>Pass</v>
      </c>
      <c r="AH1334" s="177">
        <f t="shared" si="159"/>
        <v>244274</v>
      </c>
      <c r="AK1334" s="176"/>
      <c r="AL1334" s="176"/>
    </row>
    <row r="1335" spans="1:38" ht="36" customHeight="1" x14ac:dyDescent="0.2">
      <c r="A1335" s="14" t="s">
        <v>26</v>
      </c>
      <c r="B1335" s="212">
        <v>244271</v>
      </c>
      <c r="C1335" s="14" t="s">
        <v>547</v>
      </c>
      <c r="D1335" s="14" t="s">
        <v>268</v>
      </c>
      <c r="E1335" s="14" t="s">
        <v>14</v>
      </c>
      <c r="F1335" s="14" t="s">
        <v>324</v>
      </c>
      <c r="G1335" s="179">
        <v>681334</v>
      </c>
      <c r="H1335" s="176" t="s">
        <v>1343</v>
      </c>
      <c r="I1335" s="176" t="s">
        <v>802</v>
      </c>
      <c r="J1335" s="176" t="s">
        <v>143</v>
      </c>
      <c r="K1335" s="176" t="s">
        <v>4027</v>
      </c>
      <c r="L1335" s="40" t="s">
        <v>46</v>
      </c>
      <c r="M1335" s="40" t="s">
        <v>341</v>
      </c>
      <c r="N1335" s="14" t="s">
        <v>1384</v>
      </c>
      <c r="O1335" s="14" t="s">
        <v>548</v>
      </c>
      <c r="P1335" s="14" t="s">
        <v>518</v>
      </c>
      <c r="Q1335" s="14" t="s">
        <v>549</v>
      </c>
      <c r="R1335" s="17">
        <v>225</v>
      </c>
      <c r="S1335" s="172" t="s">
        <v>51</v>
      </c>
      <c r="T1335" s="17">
        <v>2300</v>
      </c>
      <c r="U1335" s="14" t="s">
        <v>51</v>
      </c>
      <c r="V1335" s="16">
        <f t="shared" si="160"/>
        <v>244271</v>
      </c>
      <c r="W1335" s="16">
        <f t="shared" si="161"/>
        <v>244278</v>
      </c>
      <c r="X1335" s="16">
        <f t="shared" si="162"/>
        <v>244273</v>
      </c>
      <c r="Y1335" s="15" t="s">
        <v>54</v>
      </c>
      <c r="Z1335" s="177">
        <v>244272</v>
      </c>
      <c r="AA1335" s="170"/>
      <c r="AB1335" s="170"/>
      <c r="AC1335" s="170"/>
      <c r="AD1335" s="170"/>
      <c r="AE1335" s="15" t="s">
        <v>54</v>
      </c>
      <c r="AF1335" s="177">
        <v>244274</v>
      </c>
      <c r="AG1335" s="177" t="str">
        <f t="shared" si="163"/>
        <v>Pass</v>
      </c>
      <c r="AH1335" s="177">
        <f t="shared" si="159"/>
        <v>244274</v>
      </c>
      <c r="AK1335" s="176"/>
      <c r="AL1335" s="176"/>
    </row>
    <row r="1336" spans="1:38" ht="36" customHeight="1" x14ac:dyDescent="0.2">
      <c r="A1336" s="14" t="s">
        <v>26</v>
      </c>
      <c r="B1336" s="212">
        <v>244271</v>
      </c>
      <c r="C1336" s="14" t="s">
        <v>547</v>
      </c>
      <c r="D1336" s="14" t="s">
        <v>268</v>
      </c>
      <c r="E1336" s="14" t="s">
        <v>14</v>
      </c>
      <c r="F1336" s="14" t="s">
        <v>324</v>
      </c>
      <c r="G1336" s="179">
        <v>681335</v>
      </c>
      <c r="H1336" s="176" t="s">
        <v>1754</v>
      </c>
      <c r="I1336" s="176" t="s">
        <v>802</v>
      </c>
      <c r="J1336" s="176" t="s">
        <v>131</v>
      </c>
      <c r="K1336" s="176" t="s">
        <v>4026</v>
      </c>
      <c r="L1336" s="40" t="s">
        <v>45</v>
      </c>
      <c r="M1336" s="40" t="s">
        <v>341</v>
      </c>
      <c r="N1336" s="14" t="s">
        <v>4032</v>
      </c>
      <c r="O1336" s="14" t="s">
        <v>543</v>
      </c>
      <c r="P1336" s="14" t="s">
        <v>684</v>
      </c>
      <c r="Q1336" s="14" t="s">
        <v>529</v>
      </c>
      <c r="R1336" s="17">
        <v>250</v>
      </c>
      <c r="S1336" s="172" t="s">
        <v>51</v>
      </c>
      <c r="T1336" s="17">
        <v>1910</v>
      </c>
      <c r="U1336" s="14" t="s">
        <v>51</v>
      </c>
      <c r="V1336" s="16">
        <f t="shared" si="160"/>
        <v>244271</v>
      </c>
      <c r="W1336" s="16">
        <f t="shared" si="161"/>
        <v>244278</v>
      </c>
      <c r="X1336" s="16">
        <f t="shared" si="162"/>
        <v>244273</v>
      </c>
      <c r="Y1336" s="15" t="s">
        <v>54</v>
      </c>
      <c r="Z1336" s="177">
        <v>244272</v>
      </c>
      <c r="AA1336" s="170"/>
      <c r="AB1336" s="170"/>
      <c r="AC1336" s="170"/>
      <c r="AD1336" s="170"/>
      <c r="AE1336" s="15" t="s">
        <v>54</v>
      </c>
      <c r="AF1336" s="177">
        <v>244274</v>
      </c>
      <c r="AG1336" s="177" t="str">
        <f t="shared" si="163"/>
        <v>Pass</v>
      </c>
      <c r="AH1336" s="177">
        <f t="shared" si="159"/>
        <v>244274</v>
      </c>
      <c r="AK1336" s="176"/>
      <c r="AL1336" s="176"/>
    </row>
    <row r="1337" spans="1:38" ht="36" customHeight="1" x14ac:dyDescent="0.2">
      <c r="A1337" s="14" t="s">
        <v>26</v>
      </c>
      <c r="B1337" s="212">
        <v>244271</v>
      </c>
      <c r="C1337" s="14" t="s">
        <v>547</v>
      </c>
      <c r="D1337" s="14" t="s">
        <v>268</v>
      </c>
      <c r="E1337" s="14" t="s">
        <v>14</v>
      </c>
      <c r="F1337" s="14" t="s">
        <v>324</v>
      </c>
      <c r="G1337" s="179">
        <v>681336</v>
      </c>
      <c r="H1337" s="176" t="s">
        <v>4023</v>
      </c>
      <c r="I1337" s="176" t="s">
        <v>612</v>
      </c>
      <c r="J1337" s="176" t="s">
        <v>131</v>
      </c>
      <c r="K1337" s="176" t="s">
        <v>4028</v>
      </c>
      <c r="L1337" s="40" t="s">
        <v>45</v>
      </c>
      <c r="M1337" s="40" t="s">
        <v>341</v>
      </c>
      <c r="N1337" s="14" t="s">
        <v>4033</v>
      </c>
      <c r="O1337" s="14" t="s">
        <v>552</v>
      </c>
      <c r="P1337" s="14" t="s">
        <v>846</v>
      </c>
      <c r="Q1337" s="14" t="s">
        <v>553</v>
      </c>
      <c r="R1337" s="17">
        <v>300</v>
      </c>
      <c r="S1337" s="172" t="s">
        <v>51</v>
      </c>
      <c r="T1337" s="17">
        <v>620</v>
      </c>
      <c r="U1337" s="14" t="s">
        <v>51</v>
      </c>
      <c r="V1337" s="16">
        <f t="shared" si="160"/>
        <v>244271</v>
      </c>
      <c r="W1337" s="16">
        <f t="shared" si="161"/>
        <v>244278</v>
      </c>
      <c r="X1337" s="16">
        <f t="shared" si="162"/>
        <v>244273</v>
      </c>
      <c r="Y1337" s="15" t="s">
        <v>54</v>
      </c>
      <c r="Z1337" s="177">
        <v>244272</v>
      </c>
      <c r="AA1337" s="170"/>
      <c r="AB1337" s="170"/>
      <c r="AC1337" s="170"/>
      <c r="AD1337" s="170"/>
      <c r="AE1337" s="15" t="s">
        <v>54</v>
      </c>
      <c r="AF1337" s="177">
        <v>244274</v>
      </c>
      <c r="AG1337" s="177" t="str">
        <f t="shared" si="163"/>
        <v>Pass</v>
      </c>
      <c r="AH1337" s="177">
        <f t="shared" si="159"/>
        <v>244274</v>
      </c>
      <c r="AK1337" s="176"/>
      <c r="AL1337" s="176"/>
    </row>
    <row r="1338" spans="1:38" ht="36" customHeight="1" x14ac:dyDescent="0.2">
      <c r="A1338" s="14" t="s">
        <v>26</v>
      </c>
      <c r="B1338" s="212">
        <v>244271</v>
      </c>
      <c r="C1338" s="14" t="s">
        <v>547</v>
      </c>
      <c r="D1338" s="14" t="s">
        <v>268</v>
      </c>
      <c r="E1338" s="14" t="s">
        <v>14</v>
      </c>
      <c r="F1338" s="14" t="s">
        <v>324</v>
      </c>
      <c r="G1338" s="179">
        <v>681337</v>
      </c>
      <c r="H1338" s="176" t="s">
        <v>4024</v>
      </c>
      <c r="I1338" s="176" t="s">
        <v>705</v>
      </c>
      <c r="J1338" s="176" t="s">
        <v>4025</v>
      </c>
      <c r="K1338" s="176" t="s">
        <v>4029</v>
      </c>
      <c r="L1338" s="40" t="s">
        <v>105</v>
      </c>
      <c r="M1338" s="40" t="s">
        <v>341</v>
      </c>
      <c r="N1338" s="14" t="s">
        <v>4034</v>
      </c>
      <c r="O1338" s="14" t="s">
        <v>543</v>
      </c>
      <c r="P1338" s="14" t="s">
        <v>517</v>
      </c>
      <c r="Q1338" s="14" t="s">
        <v>529</v>
      </c>
      <c r="R1338" s="17">
        <v>400</v>
      </c>
      <c r="S1338" s="172" t="s">
        <v>51</v>
      </c>
      <c r="T1338" s="17">
        <v>1440</v>
      </c>
      <c r="U1338" s="14" t="s">
        <v>51</v>
      </c>
      <c r="V1338" s="16">
        <f t="shared" si="160"/>
        <v>244271</v>
      </c>
      <c r="W1338" s="16">
        <f t="shared" si="161"/>
        <v>244278</v>
      </c>
      <c r="X1338" s="16">
        <f t="shared" si="162"/>
        <v>244273</v>
      </c>
      <c r="Y1338" s="15" t="s">
        <v>54</v>
      </c>
      <c r="Z1338" s="177">
        <v>244272</v>
      </c>
      <c r="AA1338" s="170"/>
      <c r="AB1338" s="170"/>
      <c r="AC1338" s="170"/>
      <c r="AD1338" s="170"/>
      <c r="AE1338" s="15" t="s">
        <v>54</v>
      </c>
      <c r="AF1338" s="177">
        <v>244274</v>
      </c>
      <c r="AG1338" s="177" t="str">
        <f t="shared" si="163"/>
        <v>Pass</v>
      </c>
      <c r="AH1338" s="177">
        <f t="shared" si="159"/>
        <v>244274</v>
      </c>
      <c r="AK1338" s="176"/>
      <c r="AL1338" s="176"/>
    </row>
    <row r="1339" spans="1:38" ht="36" customHeight="1" x14ac:dyDescent="0.2">
      <c r="A1339" s="14" t="s">
        <v>26</v>
      </c>
      <c r="B1339" s="212">
        <v>244271</v>
      </c>
      <c r="C1339" s="14" t="s">
        <v>547</v>
      </c>
      <c r="D1339" s="14" t="s">
        <v>268</v>
      </c>
      <c r="E1339" s="14" t="s">
        <v>14</v>
      </c>
      <c r="F1339" s="14" t="s">
        <v>324</v>
      </c>
      <c r="G1339" s="179">
        <v>681338</v>
      </c>
      <c r="H1339" s="176" t="s">
        <v>4035</v>
      </c>
      <c r="I1339" s="176" t="s">
        <v>864</v>
      </c>
      <c r="J1339" s="176" t="s">
        <v>4036</v>
      </c>
      <c r="K1339" s="176" t="s">
        <v>4037</v>
      </c>
      <c r="L1339" s="40" t="s">
        <v>45</v>
      </c>
      <c r="M1339" s="40" t="s">
        <v>341</v>
      </c>
      <c r="N1339" s="14" t="s">
        <v>4041</v>
      </c>
      <c r="O1339" s="14" t="s">
        <v>4046</v>
      </c>
      <c r="P1339" s="14" t="s">
        <v>4049</v>
      </c>
      <c r="Q1339" s="14" t="s">
        <v>4052</v>
      </c>
      <c r="R1339" s="17"/>
      <c r="S1339" s="172"/>
      <c r="T1339" s="17">
        <v>1030</v>
      </c>
      <c r="U1339" s="14" t="s">
        <v>51</v>
      </c>
      <c r="V1339" s="16">
        <f t="shared" si="160"/>
        <v>244271</v>
      </c>
      <c r="W1339" s="16">
        <f t="shared" si="161"/>
        <v>244278</v>
      </c>
      <c r="X1339" s="16">
        <f t="shared" si="162"/>
        <v>244273</v>
      </c>
      <c r="Y1339" s="15" t="s">
        <v>54</v>
      </c>
      <c r="Z1339" s="177">
        <v>244272</v>
      </c>
      <c r="AA1339" s="170"/>
      <c r="AB1339" s="170"/>
      <c r="AC1339" s="170"/>
      <c r="AD1339" s="170"/>
      <c r="AE1339" s="15" t="s">
        <v>54</v>
      </c>
      <c r="AF1339" s="177">
        <v>244274</v>
      </c>
      <c r="AG1339" s="177" t="str">
        <f t="shared" si="163"/>
        <v>Pass</v>
      </c>
      <c r="AH1339" s="177">
        <f t="shared" si="159"/>
        <v>244274</v>
      </c>
      <c r="AK1339" s="176"/>
      <c r="AL1339" s="176"/>
    </row>
    <row r="1340" spans="1:38" ht="36" customHeight="1" x14ac:dyDescent="0.2">
      <c r="A1340" s="14" t="s">
        <v>26</v>
      </c>
      <c r="B1340" s="212">
        <v>244271</v>
      </c>
      <c r="C1340" s="14" t="s">
        <v>547</v>
      </c>
      <c r="D1340" s="14" t="s">
        <v>268</v>
      </c>
      <c r="E1340" s="14" t="s">
        <v>14</v>
      </c>
      <c r="F1340" s="14" t="s">
        <v>324</v>
      </c>
      <c r="G1340" s="179">
        <v>681339</v>
      </c>
      <c r="H1340" s="176" t="s">
        <v>3982</v>
      </c>
      <c r="I1340" s="176" t="s">
        <v>802</v>
      </c>
      <c r="J1340" s="176" t="s">
        <v>143</v>
      </c>
      <c r="K1340" s="176" t="s">
        <v>4027</v>
      </c>
      <c r="L1340" s="40" t="s">
        <v>46</v>
      </c>
      <c r="M1340" s="40" t="s">
        <v>341</v>
      </c>
      <c r="N1340" s="14" t="s">
        <v>4042</v>
      </c>
      <c r="O1340" s="14" t="s">
        <v>1426</v>
      </c>
      <c r="P1340" s="14" t="s">
        <v>4050</v>
      </c>
      <c r="Q1340" s="14" t="s">
        <v>1432</v>
      </c>
      <c r="R1340" s="17">
        <v>350</v>
      </c>
      <c r="S1340" s="172" t="s">
        <v>51</v>
      </c>
      <c r="T1340" s="17">
        <v>2360</v>
      </c>
      <c r="U1340" s="14" t="s">
        <v>51</v>
      </c>
      <c r="V1340" s="16">
        <f t="shared" si="160"/>
        <v>244271</v>
      </c>
      <c r="W1340" s="16">
        <f t="shared" si="161"/>
        <v>244278</v>
      </c>
      <c r="X1340" s="16">
        <f t="shared" si="162"/>
        <v>244273</v>
      </c>
      <c r="Y1340" s="15" t="s">
        <v>54</v>
      </c>
      <c r="Z1340" s="177">
        <v>244272</v>
      </c>
      <c r="AA1340" s="170"/>
      <c r="AB1340" s="170"/>
      <c r="AC1340" s="170"/>
      <c r="AD1340" s="170"/>
      <c r="AE1340" s="15" t="s">
        <v>54</v>
      </c>
      <c r="AF1340" s="177">
        <v>244274</v>
      </c>
      <c r="AG1340" s="177" t="str">
        <f t="shared" si="163"/>
        <v>Pass</v>
      </c>
      <c r="AH1340" s="177">
        <f t="shared" si="159"/>
        <v>244274</v>
      </c>
      <c r="AK1340" s="176"/>
      <c r="AL1340" s="176"/>
    </row>
    <row r="1341" spans="1:38" ht="36" customHeight="1" x14ac:dyDescent="0.2">
      <c r="A1341" s="14" t="s">
        <v>26</v>
      </c>
      <c r="B1341" s="212">
        <v>244271</v>
      </c>
      <c r="C1341" s="14" t="s">
        <v>547</v>
      </c>
      <c r="D1341" s="14" t="s">
        <v>268</v>
      </c>
      <c r="E1341" s="14" t="s">
        <v>14</v>
      </c>
      <c r="F1341" s="14" t="s">
        <v>324</v>
      </c>
      <c r="G1341" s="179">
        <v>681340</v>
      </c>
      <c r="H1341" s="176" t="s">
        <v>628</v>
      </c>
      <c r="I1341" s="176" t="s">
        <v>551</v>
      </c>
      <c r="J1341" s="176" t="s">
        <v>832</v>
      </c>
      <c r="K1341" s="176" t="s">
        <v>4038</v>
      </c>
      <c r="L1341" s="40" t="s">
        <v>108</v>
      </c>
      <c r="M1341" s="40" t="s">
        <v>341</v>
      </c>
      <c r="N1341" s="14" t="s">
        <v>4043</v>
      </c>
      <c r="O1341" s="14" t="s">
        <v>4047</v>
      </c>
      <c r="P1341" s="14" t="s">
        <v>4051</v>
      </c>
      <c r="Q1341" s="14" t="s">
        <v>4053</v>
      </c>
      <c r="R1341" s="17">
        <v>500</v>
      </c>
      <c r="S1341" s="172" t="s">
        <v>51</v>
      </c>
      <c r="T1341" s="17">
        <v>2850</v>
      </c>
      <c r="U1341" s="14" t="s">
        <v>51</v>
      </c>
      <c r="V1341" s="16">
        <f t="shared" si="160"/>
        <v>244271</v>
      </c>
      <c r="W1341" s="16">
        <f t="shared" si="161"/>
        <v>244278</v>
      </c>
      <c r="X1341" s="16">
        <f t="shared" si="162"/>
        <v>244273</v>
      </c>
      <c r="Y1341" s="15" t="s">
        <v>54</v>
      </c>
      <c r="Z1341" s="177">
        <v>244272</v>
      </c>
      <c r="AA1341" s="170"/>
      <c r="AB1341" s="170"/>
      <c r="AC1341" s="170"/>
      <c r="AD1341" s="170"/>
      <c r="AE1341" s="15" t="s">
        <v>54</v>
      </c>
      <c r="AF1341" s="177">
        <v>244274</v>
      </c>
      <c r="AG1341" s="177" t="str">
        <f t="shared" si="163"/>
        <v>Pass</v>
      </c>
      <c r="AH1341" s="177">
        <f t="shared" si="159"/>
        <v>244274</v>
      </c>
      <c r="AK1341" s="176"/>
      <c r="AL1341" s="176"/>
    </row>
    <row r="1342" spans="1:38" ht="36" customHeight="1" x14ac:dyDescent="0.2">
      <c r="A1342" s="14" t="s">
        <v>26</v>
      </c>
      <c r="B1342" s="212">
        <v>244271</v>
      </c>
      <c r="C1342" s="14" t="s">
        <v>547</v>
      </c>
      <c r="D1342" s="14" t="s">
        <v>268</v>
      </c>
      <c r="E1342" s="14" t="s">
        <v>14</v>
      </c>
      <c r="F1342" s="14" t="s">
        <v>324</v>
      </c>
      <c r="G1342" s="179">
        <v>681341</v>
      </c>
      <c r="H1342" s="176" t="s">
        <v>3982</v>
      </c>
      <c r="I1342" s="176" t="s">
        <v>802</v>
      </c>
      <c r="J1342" s="176" t="s">
        <v>143</v>
      </c>
      <c r="K1342" s="176" t="s">
        <v>4027</v>
      </c>
      <c r="L1342" s="40" t="s">
        <v>46</v>
      </c>
      <c r="M1342" s="40" t="s">
        <v>341</v>
      </c>
      <c r="N1342" s="14" t="s">
        <v>4044</v>
      </c>
      <c r="O1342" s="14" t="s">
        <v>548</v>
      </c>
      <c r="P1342" s="14" t="s">
        <v>518</v>
      </c>
      <c r="Q1342" s="14" t="s">
        <v>549</v>
      </c>
      <c r="R1342" s="17">
        <v>260</v>
      </c>
      <c r="S1342" s="172" t="s">
        <v>51</v>
      </c>
      <c r="T1342" s="17">
        <v>1360</v>
      </c>
      <c r="U1342" s="14" t="s">
        <v>51</v>
      </c>
      <c r="V1342" s="16">
        <f t="shared" si="160"/>
        <v>244271</v>
      </c>
      <c r="W1342" s="16">
        <f t="shared" si="161"/>
        <v>244278</v>
      </c>
      <c r="X1342" s="16">
        <f t="shared" si="162"/>
        <v>244273</v>
      </c>
      <c r="Y1342" s="15" t="s">
        <v>54</v>
      </c>
      <c r="Z1342" s="177">
        <v>244272</v>
      </c>
      <c r="AA1342" s="170"/>
      <c r="AB1342" s="170"/>
      <c r="AC1342" s="170"/>
      <c r="AD1342" s="170"/>
      <c r="AE1342" s="15" t="s">
        <v>54</v>
      </c>
      <c r="AF1342" s="177">
        <v>244274</v>
      </c>
      <c r="AG1342" s="177" t="str">
        <f t="shared" si="163"/>
        <v>Pass</v>
      </c>
      <c r="AH1342" s="177">
        <f t="shared" si="159"/>
        <v>244274</v>
      </c>
      <c r="AK1342" s="176"/>
      <c r="AL1342" s="176"/>
    </row>
    <row r="1343" spans="1:38" ht="36" customHeight="1" x14ac:dyDescent="0.2">
      <c r="A1343" s="14" t="s">
        <v>26</v>
      </c>
      <c r="B1343" s="212">
        <v>244271</v>
      </c>
      <c r="C1343" s="14" t="s">
        <v>547</v>
      </c>
      <c r="D1343" s="14" t="s">
        <v>268</v>
      </c>
      <c r="E1343" s="14" t="s">
        <v>14</v>
      </c>
      <c r="F1343" s="14" t="s">
        <v>324</v>
      </c>
      <c r="G1343" s="179">
        <v>681342</v>
      </c>
      <c r="H1343" s="176" t="s">
        <v>3508</v>
      </c>
      <c r="I1343" s="176" t="s">
        <v>864</v>
      </c>
      <c r="J1343" s="176" t="s">
        <v>3616</v>
      </c>
      <c r="K1343" s="176" t="s">
        <v>4039</v>
      </c>
      <c r="L1343" s="40" t="s">
        <v>46</v>
      </c>
      <c r="M1343" s="40" t="s">
        <v>341</v>
      </c>
      <c r="N1343" s="14" t="s">
        <v>4045</v>
      </c>
      <c r="O1343" s="14" t="s">
        <v>552</v>
      </c>
      <c r="P1343" s="14" t="s">
        <v>685</v>
      </c>
      <c r="Q1343" s="14" t="s">
        <v>553</v>
      </c>
      <c r="R1343" s="17">
        <v>500</v>
      </c>
      <c r="S1343" s="172" t="s">
        <v>51</v>
      </c>
      <c r="T1343" s="17">
        <v>1749</v>
      </c>
      <c r="U1343" s="14" t="s">
        <v>51</v>
      </c>
      <c r="V1343" s="16">
        <f t="shared" si="160"/>
        <v>244271</v>
      </c>
      <c r="W1343" s="16">
        <f t="shared" si="161"/>
        <v>244278</v>
      </c>
      <c r="X1343" s="16">
        <f t="shared" si="162"/>
        <v>244273</v>
      </c>
      <c r="Y1343" s="15" t="s">
        <v>54</v>
      </c>
      <c r="Z1343" s="177">
        <v>244272</v>
      </c>
      <c r="AA1343" s="170"/>
      <c r="AB1343" s="170"/>
      <c r="AC1343" s="170"/>
      <c r="AD1343" s="170"/>
      <c r="AE1343" s="15" t="s">
        <v>54</v>
      </c>
      <c r="AF1343" s="177">
        <v>244274</v>
      </c>
      <c r="AG1343" s="177" t="str">
        <f t="shared" si="163"/>
        <v>Pass</v>
      </c>
      <c r="AH1343" s="177">
        <f t="shared" si="159"/>
        <v>244274</v>
      </c>
      <c r="AK1343" s="176"/>
      <c r="AL1343" s="176"/>
    </row>
    <row r="1344" spans="1:38" ht="36" customHeight="1" x14ac:dyDescent="0.2">
      <c r="A1344" s="14" t="s">
        <v>26</v>
      </c>
      <c r="B1344" s="212">
        <v>244271</v>
      </c>
      <c r="C1344" s="14" t="s">
        <v>547</v>
      </c>
      <c r="D1344" s="14" t="s">
        <v>268</v>
      </c>
      <c r="E1344" s="14" t="s">
        <v>14</v>
      </c>
      <c r="F1344" s="14" t="s">
        <v>324</v>
      </c>
      <c r="G1344" s="179">
        <v>681343</v>
      </c>
      <c r="H1344" s="176" t="s">
        <v>142</v>
      </c>
      <c r="I1344" s="176" t="s">
        <v>551</v>
      </c>
      <c r="J1344" s="176" t="s">
        <v>832</v>
      </c>
      <c r="K1344" s="176" t="s">
        <v>4040</v>
      </c>
      <c r="L1344" s="40" t="s">
        <v>108</v>
      </c>
      <c r="M1344" s="40" t="s">
        <v>341</v>
      </c>
      <c r="N1344" s="14" t="s">
        <v>2218</v>
      </c>
      <c r="O1344" s="14" t="s">
        <v>4048</v>
      </c>
      <c r="P1344" s="14" t="s">
        <v>519</v>
      </c>
      <c r="Q1344" s="14" t="s">
        <v>4054</v>
      </c>
      <c r="R1344" s="17">
        <v>600</v>
      </c>
      <c r="S1344" s="172" t="s">
        <v>51</v>
      </c>
      <c r="T1344" s="17">
        <v>2855</v>
      </c>
      <c r="U1344" s="14" t="s">
        <v>51</v>
      </c>
      <c r="V1344" s="16">
        <f t="shared" si="160"/>
        <v>244271</v>
      </c>
      <c r="W1344" s="16">
        <f t="shared" si="161"/>
        <v>244278</v>
      </c>
      <c r="X1344" s="16">
        <f t="shared" si="162"/>
        <v>244273</v>
      </c>
      <c r="Y1344" s="15" t="s">
        <v>54</v>
      </c>
      <c r="Z1344" s="177">
        <v>244272</v>
      </c>
      <c r="AA1344" s="170"/>
      <c r="AB1344" s="170"/>
      <c r="AC1344" s="170"/>
      <c r="AD1344" s="170"/>
      <c r="AE1344" s="15" t="s">
        <v>54</v>
      </c>
      <c r="AF1344" s="177">
        <v>244274</v>
      </c>
      <c r="AG1344" s="177" t="str">
        <f t="shared" si="163"/>
        <v>Pass</v>
      </c>
      <c r="AH1344" s="177">
        <f t="shared" ref="AH1344:AH1381" si="164">AF1344</f>
        <v>244274</v>
      </c>
      <c r="AK1344" s="176"/>
      <c r="AL1344" s="176"/>
    </row>
    <row r="1345" spans="1:38" ht="36" customHeight="1" x14ac:dyDescent="0.2">
      <c r="A1345" s="14" t="s">
        <v>26</v>
      </c>
      <c r="B1345" s="212">
        <v>244272</v>
      </c>
      <c r="C1345" s="14" t="s">
        <v>547</v>
      </c>
      <c r="D1345" s="14" t="s">
        <v>268</v>
      </c>
      <c r="E1345" s="14" t="s">
        <v>14</v>
      </c>
      <c r="F1345" s="14" t="s">
        <v>324</v>
      </c>
      <c r="G1345" s="179">
        <v>681344</v>
      </c>
      <c r="H1345" s="176" t="s">
        <v>3982</v>
      </c>
      <c r="I1345" s="176" t="s">
        <v>802</v>
      </c>
      <c r="J1345" s="176" t="s">
        <v>143</v>
      </c>
      <c r="K1345" s="176" t="s">
        <v>4027</v>
      </c>
      <c r="L1345" s="40" t="s">
        <v>46</v>
      </c>
      <c r="M1345" s="40" t="s">
        <v>341</v>
      </c>
      <c r="N1345" s="14" t="s">
        <v>2126</v>
      </c>
      <c r="O1345" s="14" t="s">
        <v>4065</v>
      </c>
      <c r="P1345" s="14" t="s">
        <v>519</v>
      </c>
      <c r="Q1345" s="14" t="s">
        <v>4067</v>
      </c>
      <c r="R1345" s="17">
        <v>700</v>
      </c>
      <c r="S1345" s="172" t="s">
        <v>51</v>
      </c>
      <c r="T1345" s="17">
        <v>2325</v>
      </c>
      <c r="U1345" s="14" t="s">
        <v>51</v>
      </c>
      <c r="V1345" s="16">
        <f t="shared" si="160"/>
        <v>244272</v>
      </c>
      <c r="W1345" s="16">
        <f t="shared" si="161"/>
        <v>244279</v>
      </c>
      <c r="X1345" s="16">
        <f t="shared" si="162"/>
        <v>244274</v>
      </c>
      <c r="Y1345" s="15" t="s">
        <v>54</v>
      </c>
      <c r="Z1345" s="177">
        <v>244278</v>
      </c>
      <c r="AA1345" s="170"/>
      <c r="AB1345" s="170"/>
      <c r="AC1345" s="170"/>
      <c r="AD1345" s="170"/>
      <c r="AE1345" s="15" t="s">
        <v>54</v>
      </c>
      <c r="AF1345" s="177">
        <v>244279</v>
      </c>
      <c r="AG1345" s="177" t="str">
        <f t="shared" si="163"/>
        <v>Pass</v>
      </c>
      <c r="AH1345" s="177">
        <f t="shared" si="164"/>
        <v>244279</v>
      </c>
      <c r="AK1345" s="176"/>
      <c r="AL1345" s="176"/>
    </row>
    <row r="1346" spans="1:38" ht="36" customHeight="1" x14ac:dyDescent="0.2">
      <c r="A1346" s="14" t="s">
        <v>26</v>
      </c>
      <c r="B1346" s="212">
        <v>244272</v>
      </c>
      <c r="C1346" s="14" t="s">
        <v>547</v>
      </c>
      <c r="D1346" s="14" t="s">
        <v>268</v>
      </c>
      <c r="E1346" s="14" t="s">
        <v>14</v>
      </c>
      <c r="F1346" s="14" t="s">
        <v>324</v>
      </c>
      <c r="G1346" s="179">
        <v>681345</v>
      </c>
      <c r="H1346" s="176" t="s">
        <v>4055</v>
      </c>
      <c r="I1346" s="176" t="s">
        <v>630</v>
      </c>
      <c r="J1346" s="176" t="s">
        <v>520</v>
      </c>
      <c r="K1346" s="176" t="s">
        <v>4056</v>
      </c>
      <c r="L1346" s="40" t="s">
        <v>105</v>
      </c>
      <c r="M1346" s="40" t="s">
        <v>341</v>
      </c>
      <c r="N1346" s="14" t="s">
        <v>4060</v>
      </c>
      <c r="O1346" s="14" t="s">
        <v>552</v>
      </c>
      <c r="P1346" s="14" t="s">
        <v>846</v>
      </c>
      <c r="Q1346" s="14" t="s">
        <v>553</v>
      </c>
      <c r="R1346" s="17">
        <v>1140</v>
      </c>
      <c r="S1346" s="172" t="s">
        <v>51</v>
      </c>
      <c r="T1346" s="17">
        <v>2020</v>
      </c>
      <c r="U1346" s="14" t="s">
        <v>51</v>
      </c>
      <c r="V1346" s="16">
        <f t="shared" si="160"/>
        <v>244272</v>
      </c>
      <c r="W1346" s="16">
        <f t="shared" si="161"/>
        <v>244279</v>
      </c>
      <c r="X1346" s="16">
        <f t="shared" si="162"/>
        <v>244274</v>
      </c>
      <c r="Y1346" s="15" t="s">
        <v>54</v>
      </c>
      <c r="Z1346" s="177">
        <v>244278</v>
      </c>
      <c r="AA1346" s="170"/>
      <c r="AB1346" s="170"/>
      <c r="AC1346" s="170"/>
      <c r="AD1346" s="170"/>
      <c r="AE1346" s="15" t="s">
        <v>54</v>
      </c>
      <c r="AF1346" s="177">
        <v>244279</v>
      </c>
      <c r="AG1346" s="177" t="str">
        <f t="shared" si="163"/>
        <v>Pass</v>
      </c>
      <c r="AH1346" s="177">
        <f t="shared" si="164"/>
        <v>244279</v>
      </c>
      <c r="AK1346" s="176"/>
      <c r="AL1346" s="176"/>
    </row>
    <row r="1347" spans="1:38" ht="36" customHeight="1" x14ac:dyDescent="0.2">
      <c r="A1347" s="14" t="s">
        <v>26</v>
      </c>
      <c r="B1347" s="212">
        <v>244272</v>
      </c>
      <c r="C1347" s="14" t="s">
        <v>547</v>
      </c>
      <c r="D1347" s="14" t="s">
        <v>268</v>
      </c>
      <c r="E1347" s="14" t="s">
        <v>14</v>
      </c>
      <c r="F1347" s="14" t="s">
        <v>324</v>
      </c>
      <c r="G1347" s="179">
        <v>681346</v>
      </c>
      <c r="H1347" s="176" t="s">
        <v>4055</v>
      </c>
      <c r="I1347" s="176" t="s">
        <v>630</v>
      </c>
      <c r="J1347" s="176" t="s">
        <v>520</v>
      </c>
      <c r="K1347" s="176" t="s">
        <v>4056</v>
      </c>
      <c r="L1347" s="40" t="s">
        <v>105</v>
      </c>
      <c r="M1347" s="40" t="s">
        <v>341</v>
      </c>
      <c r="N1347" s="14" t="s">
        <v>4061</v>
      </c>
      <c r="O1347" s="14" t="s">
        <v>527</v>
      </c>
      <c r="P1347" s="14" t="s">
        <v>1180</v>
      </c>
      <c r="Q1347" s="14" t="s">
        <v>542</v>
      </c>
      <c r="R1347" s="17">
        <v>104</v>
      </c>
      <c r="S1347" s="172" t="s">
        <v>51</v>
      </c>
      <c r="T1347" s="17">
        <v>2020</v>
      </c>
      <c r="U1347" s="14" t="s">
        <v>51</v>
      </c>
      <c r="V1347" s="16">
        <f t="shared" si="160"/>
        <v>244272</v>
      </c>
      <c r="W1347" s="16">
        <f t="shared" si="161"/>
        <v>244279</v>
      </c>
      <c r="X1347" s="16">
        <f t="shared" si="162"/>
        <v>244274</v>
      </c>
      <c r="Y1347" s="15" t="s">
        <v>54</v>
      </c>
      <c r="Z1347" s="177">
        <v>244278</v>
      </c>
      <c r="AA1347" s="170"/>
      <c r="AB1347" s="170"/>
      <c r="AC1347" s="170"/>
      <c r="AD1347" s="170"/>
      <c r="AE1347" s="15" t="s">
        <v>54</v>
      </c>
      <c r="AF1347" s="177">
        <v>244279</v>
      </c>
      <c r="AG1347" s="177" t="str">
        <f t="shared" si="163"/>
        <v>Pass</v>
      </c>
      <c r="AH1347" s="177">
        <f t="shared" si="164"/>
        <v>244279</v>
      </c>
      <c r="AK1347" s="176"/>
      <c r="AL1347" s="176"/>
    </row>
    <row r="1348" spans="1:38" ht="36" customHeight="1" x14ac:dyDescent="0.2">
      <c r="A1348" s="14" t="s">
        <v>26</v>
      </c>
      <c r="B1348" s="212">
        <v>244272</v>
      </c>
      <c r="C1348" s="14" t="s">
        <v>547</v>
      </c>
      <c r="D1348" s="14" t="s">
        <v>268</v>
      </c>
      <c r="E1348" s="14" t="s">
        <v>14</v>
      </c>
      <c r="F1348" s="14" t="s">
        <v>324</v>
      </c>
      <c r="G1348" s="179">
        <v>681347</v>
      </c>
      <c r="H1348" s="176" t="s">
        <v>886</v>
      </c>
      <c r="I1348" s="176" t="s">
        <v>630</v>
      </c>
      <c r="J1348" s="176" t="s">
        <v>821</v>
      </c>
      <c r="K1348" s="176" t="s">
        <v>4057</v>
      </c>
      <c r="L1348" s="40" t="s">
        <v>124</v>
      </c>
      <c r="M1348" s="40" t="s">
        <v>341</v>
      </c>
      <c r="N1348" s="14" t="s">
        <v>2995</v>
      </c>
      <c r="O1348" s="14" t="s">
        <v>548</v>
      </c>
      <c r="P1348" s="14" t="s">
        <v>717</v>
      </c>
      <c r="Q1348" s="14" t="s">
        <v>549</v>
      </c>
      <c r="R1348" s="17">
        <v>136</v>
      </c>
      <c r="S1348" s="172" t="s">
        <v>51</v>
      </c>
      <c r="T1348" s="17">
        <v>2541</v>
      </c>
      <c r="U1348" s="14" t="s">
        <v>51</v>
      </c>
      <c r="V1348" s="16">
        <f t="shared" si="160"/>
        <v>244272</v>
      </c>
      <c r="W1348" s="16">
        <f t="shared" si="161"/>
        <v>244279</v>
      </c>
      <c r="X1348" s="16">
        <f t="shared" si="162"/>
        <v>244274</v>
      </c>
      <c r="Y1348" s="15" t="s">
        <v>54</v>
      </c>
      <c r="Z1348" s="177">
        <v>244278</v>
      </c>
      <c r="AA1348" s="170"/>
      <c r="AB1348" s="170"/>
      <c r="AC1348" s="170"/>
      <c r="AD1348" s="170"/>
      <c r="AE1348" s="15" t="s">
        <v>54</v>
      </c>
      <c r="AF1348" s="177">
        <v>244279</v>
      </c>
      <c r="AG1348" s="177" t="str">
        <f t="shared" si="163"/>
        <v>Pass</v>
      </c>
      <c r="AH1348" s="177">
        <f t="shared" si="164"/>
        <v>244279</v>
      </c>
      <c r="AK1348" s="176"/>
      <c r="AL1348" s="176"/>
    </row>
    <row r="1349" spans="1:38" ht="36" customHeight="1" x14ac:dyDescent="0.2">
      <c r="A1349" s="14" t="s">
        <v>26</v>
      </c>
      <c r="B1349" s="212">
        <v>244272</v>
      </c>
      <c r="C1349" s="14" t="s">
        <v>547</v>
      </c>
      <c r="D1349" s="14" t="s">
        <v>268</v>
      </c>
      <c r="E1349" s="14" t="s">
        <v>14</v>
      </c>
      <c r="F1349" s="14" t="s">
        <v>324</v>
      </c>
      <c r="G1349" s="179">
        <v>681348</v>
      </c>
      <c r="H1349" s="176" t="s">
        <v>772</v>
      </c>
      <c r="I1349" s="176" t="s">
        <v>774</v>
      </c>
      <c r="J1349" s="176" t="s">
        <v>776</v>
      </c>
      <c r="K1349" s="176" t="s">
        <v>4058</v>
      </c>
      <c r="L1349" s="40" t="s">
        <v>105</v>
      </c>
      <c r="M1349" s="40" t="s">
        <v>341</v>
      </c>
      <c r="N1349" s="14" t="s">
        <v>4062</v>
      </c>
      <c r="O1349" s="14" t="s">
        <v>548</v>
      </c>
      <c r="P1349" s="14" t="s">
        <v>717</v>
      </c>
      <c r="Q1349" s="14" t="s">
        <v>549</v>
      </c>
      <c r="R1349" s="17">
        <v>484</v>
      </c>
      <c r="S1349" s="172" t="s">
        <v>51</v>
      </c>
      <c r="T1349" s="17">
        <v>1355</v>
      </c>
      <c r="U1349" s="14" t="s">
        <v>51</v>
      </c>
      <c r="V1349" s="16">
        <f t="shared" si="160"/>
        <v>244272</v>
      </c>
      <c r="W1349" s="16">
        <f t="shared" si="161"/>
        <v>244279</v>
      </c>
      <c r="X1349" s="16">
        <f t="shared" si="162"/>
        <v>244274</v>
      </c>
      <c r="Y1349" s="15" t="s">
        <v>54</v>
      </c>
      <c r="Z1349" s="177">
        <v>244278</v>
      </c>
      <c r="AA1349" s="170"/>
      <c r="AB1349" s="170"/>
      <c r="AC1349" s="170"/>
      <c r="AD1349" s="170"/>
      <c r="AE1349" s="15" t="s">
        <v>54</v>
      </c>
      <c r="AF1349" s="177">
        <v>244279</v>
      </c>
      <c r="AG1349" s="177" t="str">
        <f t="shared" si="163"/>
        <v>Pass</v>
      </c>
      <c r="AH1349" s="177">
        <f t="shared" si="164"/>
        <v>244279</v>
      </c>
      <c r="AK1349" s="176"/>
      <c r="AL1349" s="176"/>
    </row>
    <row r="1350" spans="1:38" ht="36" customHeight="1" x14ac:dyDescent="0.2">
      <c r="A1350" s="14" t="s">
        <v>26</v>
      </c>
      <c r="B1350" s="212">
        <v>244272</v>
      </c>
      <c r="C1350" s="14" t="s">
        <v>547</v>
      </c>
      <c r="D1350" s="14" t="s">
        <v>268</v>
      </c>
      <c r="E1350" s="14" t="s">
        <v>14</v>
      </c>
      <c r="F1350" s="14" t="s">
        <v>324</v>
      </c>
      <c r="G1350" s="179">
        <v>681349</v>
      </c>
      <c r="H1350" s="176" t="s">
        <v>1364</v>
      </c>
      <c r="I1350" s="176" t="s">
        <v>551</v>
      </c>
      <c r="J1350" s="176" t="s">
        <v>832</v>
      </c>
      <c r="K1350" s="176" t="s">
        <v>4059</v>
      </c>
      <c r="L1350" s="40" t="s">
        <v>108</v>
      </c>
      <c r="M1350" s="40" t="s">
        <v>341</v>
      </c>
      <c r="N1350" s="14" t="s">
        <v>4063</v>
      </c>
      <c r="O1350" s="14" t="s">
        <v>543</v>
      </c>
      <c r="P1350" s="14" t="s">
        <v>4066</v>
      </c>
      <c r="Q1350" s="14" t="s">
        <v>529</v>
      </c>
      <c r="R1350" s="17">
        <v>500</v>
      </c>
      <c r="S1350" s="172" t="s">
        <v>51</v>
      </c>
      <c r="T1350" s="17">
        <v>2965</v>
      </c>
      <c r="U1350" s="14" t="s">
        <v>51</v>
      </c>
      <c r="V1350" s="16">
        <f t="shared" si="160"/>
        <v>244272</v>
      </c>
      <c r="W1350" s="16">
        <f t="shared" si="161"/>
        <v>244279</v>
      </c>
      <c r="X1350" s="16">
        <f t="shared" si="162"/>
        <v>244274</v>
      </c>
      <c r="Y1350" s="15" t="s">
        <v>54</v>
      </c>
      <c r="Z1350" s="177">
        <v>244278</v>
      </c>
      <c r="AA1350" s="170"/>
      <c r="AB1350" s="170"/>
      <c r="AC1350" s="170"/>
      <c r="AD1350" s="170"/>
      <c r="AE1350" s="15" t="s">
        <v>54</v>
      </c>
      <c r="AF1350" s="177">
        <v>244279</v>
      </c>
      <c r="AG1350" s="177" t="str">
        <f t="shared" si="163"/>
        <v>Pass</v>
      </c>
      <c r="AH1350" s="177">
        <f t="shared" si="164"/>
        <v>244279</v>
      </c>
      <c r="AK1350" s="176"/>
      <c r="AL1350" s="176"/>
    </row>
    <row r="1351" spans="1:38" ht="36" customHeight="1" x14ac:dyDescent="0.2">
      <c r="A1351" s="14" t="s">
        <v>26</v>
      </c>
      <c r="B1351" s="212">
        <v>244272</v>
      </c>
      <c r="C1351" s="14" t="s">
        <v>547</v>
      </c>
      <c r="D1351" s="14" t="s">
        <v>268</v>
      </c>
      <c r="E1351" s="14" t="s">
        <v>14</v>
      </c>
      <c r="F1351" s="14" t="s">
        <v>324</v>
      </c>
      <c r="G1351" s="179">
        <v>681350</v>
      </c>
      <c r="H1351" s="176" t="s">
        <v>4055</v>
      </c>
      <c r="I1351" s="176" t="s">
        <v>630</v>
      </c>
      <c r="J1351" s="176" t="s">
        <v>520</v>
      </c>
      <c r="K1351" s="176" t="s">
        <v>4056</v>
      </c>
      <c r="L1351" s="40" t="s">
        <v>105</v>
      </c>
      <c r="M1351" s="40" t="s">
        <v>341</v>
      </c>
      <c r="N1351" s="14" t="s">
        <v>4064</v>
      </c>
      <c r="O1351" s="14" t="s">
        <v>548</v>
      </c>
      <c r="P1351" s="14" t="s">
        <v>717</v>
      </c>
      <c r="Q1351" s="14" t="s">
        <v>549</v>
      </c>
      <c r="R1351" s="17">
        <v>303</v>
      </c>
      <c r="S1351" s="172" t="s">
        <v>51</v>
      </c>
      <c r="T1351" s="17">
        <v>1805</v>
      </c>
      <c r="U1351" s="14" t="s">
        <v>51</v>
      </c>
      <c r="V1351" s="16">
        <f t="shared" si="160"/>
        <v>244272</v>
      </c>
      <c r="W1351" s="16">
        <f t="shared" si="161"/>
        <v>244279</v>
      </c>
      <c r="X1351" s="16">
        <f t="shared" si="162"/>
        <v>244274</v>
      </c>
      <c r="Y1351" s="15" t="s">
        <v>54</v>
      </c>
      <c r="Z1351" s="177">
        <v>244278</v>
      </c>
      <c r="AA1351" s="170"/>
      <c r="AB1351" s="170"/>
      <c r="AC1351" s="170"/>
      <c r="AD1351" s="170"/>
      <c r="AE1351" s="15" t="s">
        <v>54</v>
      </c>
      <c r="AF1351" s="177">
        <v>244279</v>
      </c>
      <c r="AG1351" s="177" t="str">
        <f t="shared" si="163"/>
        <v>Pass</v>
      </c>
      <c r="AH1351" s="177">
        <f t="shared" si="164"/>
        <v>244279</v>
      </c>
      <c r="AK1351" s="176"/>
      <c r="AL1351" s="176"/>
    </row>
    <row r="1352" spans="1:38" ht="36" customHeight="1" x14ac:dyDescent="0.2">
      <c r="A1352" s="14" t="s">
        <v>26</v>
      </c>
      <c r="B1352" s="212">
        <v>244272</v>
      </c>
      <c r="C1352" s="14" t="s">
        <v>547</v>
      </c>
      <c r="D1352" s="14" t="s">
        <v>268</v>
      </c>
      <c r="E1352" s="14" t="s">
        <v>14</v>
      </c>
      <c r="F1352" s="14" t="s">
        <v>324</v>
      </c>
      <c r="G1352" s="179">
        <v>681351</v>
      </c>
      <c r="H1352" s="176" t="s">
        <v>772</v>
      </c>
      <c r="I1352" s="176" t="s">
        <v>774</v>
      </c>
      <c r="J1352" s="176" t="s">
        <v>776</v>
      </c>
      <c r="K1352" s="176" t="s">
        <v>4058</v>
      </c>
      <c r="L1352" s="40" t="s">
        <v>105</v>
      </c>
      <c r="M1352" s="40" t="s">
        <v>341</v>
      </c>
      <c r="N1352" s="14" t="s">
        <v>4069</v>
      </c>
      <c r="O1352" s="14" t="s">
        <v>528</v>
      </c>
      <c r="P1352" s="14" t="s">
        <v>4071</v>
      </c>
      <c r="Q1352" s="14" t="s">
        <v>541</v>
      </c>
      <c r="R1352" s="17">
        <v>400</v>
      </c>
      <c r="S1352" s="172" t="s">
        <v>51</v>
      </c>
      <c r="T1352" s="17">
        <v>1700</v>
      </c>
      <c r="U1352" s="14" t="s">
        <v>51</v>
      </c>
      <c r="V1352" s="16">
        <f t="shared" si="160"/>
        <v>244272</v>
      </c>
      <c r="W1352" s="16">
        <f t="shared" si="161"/>
        <v>244279</v>
      </c>
      <c r="X1352" s="16">
        <f t="shared" si="162"/>
        <v>244274</v>
      </c>
      <c r="Y1352" s="15" t="s">
        <v>54</v>
      </c>
      <c r="Z1352" s="177">
        <v>244278</v>
      </c>
      <c r="AA1352" s="170"/>
      <c r="AB1352" s="170"/>
      <c r="AC1352" s="170"/>
      <c r="AD1352" s="170"/>
      <c r="AE1352" s="15" t="s">
        <v>54</v>
      </c>
      <c r="AF1352" s="177">
        <v>244279</v>
      </c>
      <c r="AG1352" s="177" t="str">
        <f t="shared" si="163"/>
        <v>Pass</v>
      </c>
      <c r="AH1352" s="177">
        <f t="shared" si="164"/>
        <v>244279</v>
      </c>
      <c r="AK1352" s="176"/>
      <c r="AL1352" s="176"/>
    </row>
    <row r="1353" spans="1:38" ht="36" customHeight="1" x14ac:dyDescent="0.2">
      <c r="A1353" s="14" t="s">
        <v>26</v>
      </c>
      <c r="B1353" s="212">
        <v>244272</v>
      </c>
      <c r="C1353" s="14" t="s">
        <v>547</v>
      </c>
      <c r="D1353" s="14" t="s">
        <v>268</v>
      </c>
      <c r="E1353" s="14" t="s">
        <v>14</v>
      </c>
      <c r="F1353" s="14" t="s">
        <v>324</v>
      </c>
      <c r="G1353" s="179">
        <v>681352</v>
      </c>
      <c r="H1353" s="176" t="s">
        <v>1958</v>
      </c>
      <c r="I1353" s="176" t="s">
        <v>630</v>
      </c>
      <c r="J1353" s="176" t="s">
        <v>520</v>
      </c>
      <c r="K1353" s="176" t="s">
        <v>4068</v>
      </c>
      <c r="L1353" s="40" t="s">
        <v>105</v>
      </c>
      <c r="M1353" s="40" t="s">
        <v>341</v>
      </c>
      <c r="N1353" s="14" t="s">
        <v>4070</v>
      </c>
      <c r="O1353" s="14" t="s">
        <v>527</v>
      </c>
      <c r="P1353" s="14" t="s">
        <v>4072</v>
      </c>
      <c r="Q1353" s="14" t="s">
        <v>542</v>
      </c>
      <c r="R1353" s="17">
        <v>125</v>
      </c>
      <c r="S1353" s="172" t="s">
        <v>51</v>
      </c>
      <c r="T1353" s="17">
        <v>2020</v>
      </c>
      <c r="U1353" s="14" t="s">
        <v>51</v>
      </c>
      <c r="V1353" s="16">
        <f t="shared" si="160"/>
        <v>244272</v>
      </c>
      <c r="W1353" s="16">
        <f t="shared" si="161"/>
        <v>244279</v>
      </c>
      <c r="X1353" s="16">
        <f t="shared" si="162"/>
        <v>244274</v>
      </c>
      <c r="Y1353" s="15" t="s">
        <v>54</v>
      </c>
      <c r="Z1353" s="177">
        <v>244278</v>
      </c>
      <c r="AA1353" s="170"/>
      <c r="AB1353" s="170"/>
      <c r="AC1353" s="170"/>
      <c r="AD1353" s="170"/>
      <c r="AE1353" s="15" t="s">
        <v>54</v>
      </c>
      <c r="AF1353" s="177">
        <v>244279</v>
      </c>
      <c r="AG1353" s="177" t="str">
        <f t="shared" si="163"/>
        <v>Pass</v>
      </c>
      <c r="AH1353" s="177">
        <f t="shared" si="164"/>
        <v>244279</v>
      </c>
      <c r="AK1353" s="176"/>
      <c r="AL1353" s="176"/>
    </row>
    <row r="1354" spans="1:38" ht="36" customHeight="1" x14ac:dyDescent="0.2">
      <c r="A1354" s="14" t="s">
        <v>26</v>
      </c>
      <c r="B1354" s="212">
        <v>244273</v>
      </c>
      <c r="C1354" s="14" t="s">
        <v>547</v>
      </c>
      <c r="D1354" s="14" t="s">
        <v>268</v>
      </c>
      <c r="E1354" s="14" t="s">
        <v>14</v>
      </c>
      <c r="F1354" s="14" t="s">
        <v>324</v>
      </c>
      <c r="G1354" s="179">
        <v>681353</v>
      </c>
      <c r="H1354" s="176" t="s">
        <v>1052</v>
      </c>
      <c r="I1354" s="176" t="s">
        <v>802</v>
      </c>
      <c r="J1354" s="176" t="s">
        <v>882</v>
      </c>
      <c r="K1354" s="176" t="s">
        <v>4077</v>
      </c>
      <c r="L1354" s="40" t="s">
        <v>45</v>
      </c>
      <c r="M1354" s="40" t="s">
        <v>341</v>
      </c>
      <c r="N1354" s="14" t="s">
        <v>4083</v>
      </c>
      <c r="O1354" s="14" t="s">
        <v>3921</v>
      </c>
      <c r="P1354" s="14" t="s">
        <v>3464</v>
      </c>
      <c r="Q1354" s="14" t="s">
        <v>3925</v>
      </c>
      <c r="R1354" s="17">
        <v>300</v>
      </c>
      <c r="S1354" s="172" t="s">
        <v>51</v>
      </c>
      <c r="T1354" s="17">
        <v>2325</v>
      </c>
      <c r="U1354" s="14" t="s">
        <v>51</v>
      </c>
      <c r="V1354" s="16">
        <f t="shared" si="160"/>
        <v>244273</v>
      </c>
      <c r="W1354" s="16">
        <f t="shared" si="161"/>
        <v>244280</v>
      </c>
      <c r="X1354" s="16">
        <f t="shared" si="162"/>
        <v>244275</v>
      </c>
      <c r="Y1354" s="15" t="s">
        <v>54</v>
      </c>
      <c r="Z1354" s="177">
        <v>244278</v>
      </c>
      <c r="AA1354" s="170"/>
      <c r="AB1354" s="170"/>
      <c r="AC1354" s="170"/>
      <c r="AD1354" s="170"/>
      <c r="AE1354" s="15" t="s">
        <v>54</v>
      </c>
      <c r="AF1354" s="177">
        <v>244279</v>
      </c>
      <c r="AG1354" s="177" t="str">
        <f t="shared" si="163"/>
        <v>Pass</v>
      </c>
      <c r="AH1354" s="177">
        <f t="shared" si="164"/>
        <v>244279</v>
      </c>
      <c r="AK1354" s="176"/>
      <c r="AL1354" s="176"/>
    </row>
    <row r="1355" spans="1:38" ht="36" customHeight="1" x14ac:dyDescent="0.2">
      <c r="A1355" s="14" t="s">
        <v>26</v>
      </c>
      <c r="B1355" s="212">
        <v>244273</v>
      </c>
      <c r="C1355" s="14" t="s">
        <v>547</v>
      </c>
      <c r="D1355" s="14" t="s">
        <v>268</v>
      </c>
      <c r="E1355" s="14" t="s">
        <v>14</v>
      </c>
      <c r="F1355" s="14" t="s">
        <v>324</v>
      </c>
      <c r="G1355" s="179">
        <v>681354</v>
      </c>
      <c r="H1355" s="176" t="s">
        <v>886</v>
      </c>
      <c r="I1355" s="176" t="s">
        <v>630</v>
      </c>
      <c r="J1355" s="176" t="s">
        <v>821</v>
      </c>
      <c r="K1355" s="176" t="s">
        <v>4057</v>
      </c>
      <c r="L1355" s="40" t="s">
        <v>124</v>
      </c>
      <c r="M1355" s="40" t="s">
        <v>341</v>
      </c>
      <c r="N1355" s="14" t="s">
        <v>4084</v>
      </c>
      <c r="O1355" s="14" t="s">
        <v>548</v>
      </c>
      <c r="P1355" s="14" t="s">
        <v>518</v>
      </c>
      <c r="Q1355" s="14" t="s">
        <v>549</v>
      </c>
      <c r="R1355" s="17">
        <v>158</v>
      </c>
      <c r="S1355" s="172" t="s">
        <v>51</v>
      </c>
      <c r="T1355" s="17">
        <v>2637</v>
      </c>
      <c r="U1355" s="14" t="s">
        <v>51</v>
      </c>
      <c r="V1355" s="16">
        <f t="shared" si="160"/>
        <v>244273</v>
      </c>
      <c r="W1355" s="16">
        <f t="shared" si="161"/>
        <v>244280</v>
      </c>
      <c r="X1355" s="16">
        <f t="shared" si="162"/>
        <v>244275</v>
      </c>
      <c r="Y1355" s="15" t="s">
        <v>54</v>
      </c>
      <c r="Z1355" s="177">
        <v>244278</v>
      </c>
      <c r="AA1355" s="170"/>
      <c r="AB1355" s="170"/>
      <c r="AC1355" s="170"/>
      <c r="AD1355" s="170"/>
      <c r="AE1355" s="15" t="s">
        <v>54</v>
      </c>
      <c r="AF1355" s="177">
        <v>244279</v>
      </c>
      <c r="AG1355" s="177" t="str">
        <f t="shared" si="163"/>
        <v>Pass</v>
      </c>
      <c r="AH1355" s="177">
        <f t="shared" si="164"/>
        <v>244279</v>
      </c>
      <c r="AK1355" s="176"/>
      <c r="AL1355" s="176"/>
    </row>
    <row r="1356" spans="1:38" ht="36" customHeight="1" x14ac:dyDescent="0.2">
      <c r="A1356" s="14" t="s">
        <v>26</v>
      </c>
      <c r="B1356" s="212">
        <v>244273</v>
      </c>
      <c r="C1356" s="14" t="s">
        <v>547</v>
      </c>
      <c r="D1356" s="14" t="s">
        <v>268</v>
      </c>
      <c r="E1356" s="14" t="s">
        <v>14</v>
      </c>
      <c r="F1356" s="14" t="s">
        <v>324</v>
      </c>
      <c r="G1356" s="179">
        <v>681355</v>
      </c>
      <c r="H1356" s="176" t="s">
        <v>1052</v>
      </c>
      <c r="I1356" s="176" t="s">
        <v>802</v>
      </c>
      <c r="J1356" s="176" t="s">
        <v>882</v>
      </c>
      <c r="K1356" s="176" t="s">
        <v>4077</v>
      </c>
      <c r="L1356" s="40" t="s">
        <v>45</v>
      </c>
      <c r="M1356" s="40" t="s">
        <v>341</v>
      </c>
      <c r="N1356" s="14" t="s">
        <v>3816</v>
      </c>
      <c r="O1356" s="14" t="s">
        <v>528</v>
      </c>
      <c r="P1356" s="14" t="s">
        <v>2813</v>
      </c>
      <c r="Q1356" s="14" t="s">
        <v>541</v>
      </c>
      <c r="R1356" s="17">
        <v>400</v>
      </c>
      <c r="S1356" s="172" t="s">
        <v>51</v>
      </c>
      <c r="T1356" s="17">
        <v>2400</v>
      </c>
      <c r="U1356" s="14" t="s">
        <v>51</v>
      </c>
      <c r="V1356" s="16">
        <f t="shared" si="160"/>
        <v>244273</v>
      </c>
      <c r="W1356" s="16">
        <f t="shared" si="161"/>
        <v>244280</v>
      </c>
      <c r="X1356" s="16">
        <f t="shared" si="162"/>
        <v>244275</v>
      </c>
      <c r="Y1356" s="15" t="s">
        <v>54</v>
      </c>
      <c r="Z1356" s="177">
        <v>244278</v>
      </c>
      <c r="AA1356" s="170"/>
      <c r="AB1356" s="170"/>
      <c r="AC1356" s="170"/>
      <c r="AD1356" s="170"/>
      <c r="AE1356" s="15" t="s">
        <v>54</v>
      </c>
      <c r="AF1356" s="177">
        <v>244279</v>
      </c>
      <c r="AG1356" s="177" t="str">
        <f t="shared" si="163"/>
        <v>Pass</v>
      </c>
      <c r="AH1356" s="177">
        <f t="shared" si="164"/>
        <v>244279</v>
      </c>
      <c r="AK1356" s="176"/>
      <c r="AL1356" s="176"/>
    </row>
    <row r="1357" spans="1:38" ht="36" customHeight="1" x14ac:dyDescent="0.2">
      <c r="A1357" s="14" t="s">
        <v>26</v>
      </c>
      <c r="B1357" s="212">
        <v>244273</v>
      </c>
      <c r="C1357" s="14" t="s">
        <v>547</v>
      </c>
      <c r="D1357" s="14" t="s">
        <v>268</v>
      </c>
      <c r="E1357" s="14" t="s">
        <v>14</v>
      </c>
      <c r="F1357" s="14" t="s">
        <v>324</v>
      </c>
      <c r="G1357" s="179">
        <v>681356</v>
      </c>
      <c r="H1357" s="176" t="s">
        <v>4073</v>
      </c>
      <c r="I1357" s="176" t="s">
        <v>864</v>
      </c>
      <c r="J1357" s="176" t="s">
        <v>4036</v>
      </c>
      <c r="K1357" s="176" t="s">
        <v>4078</v>
      </c>
      <c r="L1357" s="40" t="s">
        <v>45</v>
      </c>
      <c r="M1357" s="40" t="s">
        <v>341</v>
      </c>
      <c r="N1357" s="14" t="s">
        <v>4085</v>
      </c>
      <c r="O1357" s="14" t="s">
        <v>2565</v>
      </c>
      <c r="P1357" s="14" t="s">
        <v>1709</v>
      </c>
      <c r="Q1357" s="14" t="s">
        <v>2571</v>
      </c>
      <c r="R1357" s="17">
        <v>270</v>
      </c>
      <c r="S1357" s="172" t="s">
        <v>51</v>
      </c>
      <c r="T1357" s="17">
        <v>1995</v>
      </c>
      <c r="U1357" s="14" t="s">
        <v>51</v>
      </c>
      <c r="V1357" s="16">
        <f t="shared" ref="V1357:V1400" si="165">B1357</f>
        <v>244273</v>
      </c>
      <c r="W1357" s="16">
        <f t="shared" ref="W1357:W1400" si="166">B1357+7</f>
        <v>244280</v>
      </c>
      <c r="X1357" s="16">
        <f t="shared" ref="X1357:X1400" si="167">V1357+2</f>
        <v>244275</v>
      </c>
      <c r="Y1357" s="15" t="s">
        <v>54</v>
      </c>
      <c r="Z1357" s="177">
        <v>244278</v>
      </c>
      <c r="AA1357" s="170"/>
      <c r="AB1357" s="170"/>
      <c r="AC1357" s="170"/>
      <c r="AD1357" s="170"/>
      <c r="AE1357" s="15" t="s">
        <v>54</v>
      </c>
      <c r="AF1357" s="177">
        <v>244279</v>
      </c>
      <c r="AG1357" s="177" t="str">
        <f t="shared" si="163"/>
        <v>Pass</v>
      </c>
      <c r="AH1357" s="177">
        <f t="shared" si="164"/>
        <v>244279</v>
      </c>
      <c r="AK1357" s="176"/>
      <c r="AL1357" s="176"/>
    </row>
    <row r="1358" spans="1:38" ht="36" customHeight="1" x14ac:dyDescent="0.2">
      <c r="A1358" s="14" t="s">
        <v>26</v>
      </c>
      <c r="B1358" s="212">
        <v>244273</v>
      </c>
      <c r="C1358" s="14" t="s">
        <v>547</v>
      </c>
      <c r="D1358" s="14" t="s">
        <v>268</v>
      </c>
      <c r="E1358" s="14" t="s">
        <v>14</v>
      </c>
      <c r="F1358" s="14" t="s">
        <v>324</v>
      </c>
      <c r="G1358" s="179">
        <v>681357</v>
      </c>
      <c r="H1358" s="176" t="s">
        <v>3183</v>
      </c>
      <c r="I1358" s="176" t="s">
        <v>864</v>
      </c>
      <c r="J1358" s="176" t="s">
        <v>131</v>
      </c>
      <c r="K1358" s="176" t="s">
        <v>4079</v>
      </c>
      <c r="L1358" s="40" t="s">
        <v>45</v>
      </c>
      <c r="M1358" s="40" t="s">
        <v>341</v>
      </c>
      <c r="N1358" s="14" t="s">
        <v>4086</v>
      </c>
      <c r="O1358" s="14" t="s">
        <v>4088</v>
      </c>
      <c r="P1358" s="14" t="s">
        <v>4089</v>
      </c>
      <c r="Q1358" s="14" t="s">
        <v>4091</v>
      </c>
      <c r="R1358" s="17">
        <v>1500</v>
      </c>
      <c r="S1358" s="172" t="s">
        <v>51</v>
      </c>
      <c r="T1358" s="17">
        <v>1810</v>
      </c>
      <c r="U1358" s="14" t="s">
        <v>51</v>
      </c>
      <c r="V1358" s="16">
        <f t="shared" si="165"/>
        <v>244273</v>
      </c>
      <c r="W1358" s="16">
        <f t="shared" si="166"/>
        <v>244280</v>
      </c>
      <c r="X1358" s="16">
        <f t="shared" si="167"/>
        <v>244275</v>
      </c>
      <c r="Y1358" s="15" t="s">
        <v>54</v>
      </c>
      <c r="Z1358" s="177">
        <v>244278</v>
      </c>
      <c r="AA1358" s="170"/>
      <c r="AB1358" s="170"/>
      <c r="AC1358" s="170"/>
      <c r="AD1358" s="170"/>
      <c r="AE1358" s="15" t="s">
        <v>54</v>
      </c>
      <c r="AF1358" s="177">
        <v>244279</v>
      </c>
      <c r="AG1358" s="177" t="str">
        <f t="shared" si="163"/>
        <v>Pass</v>
      </c>
      <c r="AH1358" s="177">
        <f t="shared" si="164"/>
        <v>244279</v>
      </c>
      <c r="AK1358" s="176"/>
      <c r="AL1358" s="176"/>
    </row>
    <row r="1359" spans="1:38" ht="36" customHeight="1" x14ac:dyDescent="0.2">
      <c r="A1359" s="14" t="s">
        <v>26</v>
      </c>
      <c r="B1359" s="212">
        <v>244273</v>
      </c>
      <c r="C1359" s="14" t="s">
        <v>547</v>
      </c>
      <c r="D1359" s="14" t="s">
        <v>268</v>
      </c>
      <c r="E1359" s="14" t="s">
        <v>14</v>
      </c>
      <c r="F1359" s="14" t="s">
        <v>324</v>
      </c>
      <c r="G1359" s="179">
        <v>681358</v>
      </c>
      <c r="H1359" s="176" t="s">
        <v>4074</v>
      </c>
      <c r="I1359" s="176" t="s">
        <v>802</v>
      </c>
      <c r="J1359" s="176" t="s">
        <v>143</v>
      </c>
      <c r="K1359" s="176" t="s">
        <v>4080</v>
      </c>
      <c r="L1359" s="40" t="s">
        <v>46</v>
      </c>
      <c r="M1359" s="40" t="s">
        <v>341</v>
      </c>
      <c r="N1359" s="14" t="s">
        <v>3253</v>
      </c>
      <c r="O1359" s="14" t="s">
        <v>548</v>
      </c>
      <c r="P1359" s="14" t="s">
        <v>518</v>
      </c>
      <c r="Q1359" s="14" t="s">
        <v>549</v>
      </c>
      <c r="R1359" s="17">
        <v>100</v>
      </c>
      <c r="S1359" s="172" t="s">
        <v>51</v>
      </c>
      <c r="T1359" s="17">
        <v>2380</v>
      </c>
      <c r="U1359" s="14" t="s">
        <v>51</v>
      </c>
      <c r="V1359" s="16">
        <f t="shared" si="165"/>
        <v>244273</v>
      </c>
      <c r="W1359" s="16">
        <f t="shared" si="166"/>
        <v>244280</v>
      </c>
      <c r="X1359" s="16">
        <f t="shared" si="167"/>
        <v>244275</v>
      </c>
      <c r="Y1359" s="15" t="s">
        <v>54</v>
      </c>
      <c r="Z1359" s="177">
        <v>244278</v>
      </c>
      <c r="AA1359" s="170"/>
      <c r="AB1359" s="170"/>
      <c r="AC1359" s="170"/>
      <c r="AD1359" s="170"/>
      <c r="AE1359" s="15" t="s">
        <v>54</v>
      </c>
      <c r="AF1359" s="177">
        <v>244279</v>
      </c>
      <c r="AG1359" s="177" t="str">
        <f t="shared" si="163"/>
        <v>Pass</v>
      </c>
      <c r="AH1359" s="177">
        <f t="shared" si="164"/>
        <v>244279</v>
      </c>
      <c r="AK1359" s="176"/>
      <c r="AL1359" s="176"/>
    </row>
    <row r="1360" spans="1:38" ht="36" customHeight="1" x14ac:dyDescent="0.2">
      <c r="A1360" s="14" t="s">
        <v>26</v>
      </c>
      <c r="B1360" s="212">
        <v>244273</v>
      </c>
      <c r="C1360" s="14" t="s">
        <v>547</v>
      </c>
      <c r="D1360" s="14" t="s">
        <v>268</v>
      </c>
      <c r="E1360" s="14" t="s">
        <v>14</v>
      </c>
      <c r="F1360" s="14" t="s">
        <v>324</v>
      </c>
      <c r="G1360" s="179">
        <v>681359</v>
      </c>
      <c r="H1360" s="176" t="s">
        <v>4075</v>
      </c>
      <c r="I1360" s="176" t="s">
        <v>864</v>
      </c>
      <c r="J1360" s="176" t="s">
        <v>131</v>
      </c>
      <c r="K1360" s="176" t="s">
        <v>4081</v>
      </c>
      <c r="L1360" s="40" t="s">
        <v>45</v>
      </c>
      <c r="M1360" s="40" t="s">
        <v>341</v>
      </c>
      <c r="N1360" s="14" t="s">
        <v>3341</v>
      </c>
      <c r="O1360" s="14" t="s">
        <v>548</v>
      </c>
      <c r="P1360" s="14" t="s">
        <v>518</v>
      </c>
      <c r="Q1360" s="14" t="s">
        <v>549</v>
      </c>
      <c r="R1360" s="17">
        <v>167</v>
      </c>
      <c r="S1360" s="172" t="s">
        <v>51</v>
      </c>
      <c r="T1360" s="17">
        <v>1780</v>
      </c>
      <c r="U1360" s="14" t="s">
        <v>51</v>
      </c>
      <c r="V1360" s="16">
        <f t="shared" si="165"/>
        <v>244273</v>
      </c>
      <c r="W1360" s="16">
        <f t="shared" si="166"/>
        <v>244280</v>
      </c>
      <c r="X1360" s="16">
        <f t="shared" si="167"/>
        <v>244275</v>
      </c>
      <c r="Y1360" s="15" t="s">
        <v>54</v>
      </c>
      <c r="Z1360" s="177">
        <v>244278</v>
      </c>
      <c r="AA1360" s="170"/>
      <c r="AB1360" s="170"/>
      <c r="AC1360" s="170"/>
      <c r="AD1360" s="170"/>
      <c r="AE1360" s="15" t="s">
        <v>54</v>
      </c>
      <c r="AF1360" s="177">
        <v>244279</v>
      </c>
      <c r="AG1360" s="177" t="str">
        <f t="shared" si="163"/>
        <v>Pass</v>
      </c>
      <c r="AH1360" s="177">
        <f t="shared" si="164"/>
        <v>244279</v>
      </c>
      <c r="AK1360" s="176"/>
      <c r="AL1360" s="176"/>
    </row>
    <row r="1361" spans="1:38" ht="36" customHeight="1" x14ac:dyDescent="0.2">
      <c r="A1361" s="14" t="s">
        <v>26</v>
      </c>
      <c r="B1361" s="212">
        <v>244273</v>
      </c>
      <c r="C1361" s="14" t="s">
        <v>547</v>
      </c>
      <c r="D1361" s="14" t="s">
        <v>268</v>
      </c>
      <c r="E1361" s="14" t="s">
        <v>14</v>
      </c>
      <c r="F1361" s="14" t="s">
        <v>324</v>
      </c>
      <c r="G1361" s="179">
        <v>681360</v>
      </c>
      <c r="H1361" s="176" t="s">
        <v>4076</v>
      </c>
      <c r="I1361" s="176" t="s">
        <v>802</v>
      </c>
      <c r="J1361" s="176" t="s">
        <v>128</v>
      </c>
      <c r="K1361" s="176" t="s">
        <v>4082</v>
      </c>
      <c r="L1361" s="40" t="s">
        <v>105</v>
      </c>
      <c r="M1361" s="40" t="s">
        <v>341</v>
      </c>
      <c r="N1361" s="14" t="s">
        <v>4087</v>
      </c>
      <c r="O1361" s="14" t="s">
        <v>528</v>
      </c>
      <c r="P1361" s="14" t="s">
        <v>4090</v>
      </c>
      <c r="Q1361" s="14" t="s">
        <v>541</v>
      </c>
      <c r="R1361" s="17">
        <v>1300</v>
      </c>
      <c r="S1361" s="172" t="s">
        <v>51</v>
      </c>
      <c r="T1361" s="17">
        <v>2460</v>
      </c>
      <c r="U1361" s="14" t="s">
        <v>51</v>
      </c>
      <c r="V1361" s="16">
        <f t="shared" si="165"/>
        <v>244273</v>
      </c>
      <c r="W1361" s="16">
        <f t="shared" si="166"/>
        <v>244280</v>
      </c>
      <c r="X1361" s="16">
        <f t="shared" si="167"/>
        <v>244275</v>
      </c>
      <c r="Y1361" s="15" t="s">
        <v>54</v>
      </c>
      <c r="Z1361" s="177">
        <v>244278</v>
      </c>
      <c r="AA1361" s="170"/>
      <c r="AB1361" s="170"/>
      <c r="AC1361" s="170"/>
      <c r="AD1361" s="170"/>
      <c r="AE1361" s="15" t="s">
        <v>54</v>
      </c>
      <c r="AF1361" s="177">
        <v>244279</v>
      </c>
      <c r="AG1361" s="177" t="str">
        <f t="shared" si="163"/>
        <v>Pass</v>
      </c>
      <c r="AH1361" s="177">
        <f t="shared" si="164"/>
        <v>244279</v>
      </c>
      <c r="AK1361" s="176"/>
      <c r="AL1361" s="176"/>
    </row>
    <row r="1362" spans="1:38" ht="36" customHeight="1" x14ac:dyDescent="0.2">
      <c r="A1362" s="14" t="s">
        <v>26</v>
      </c>
      <c r="B1362" s="212">
        <v>244273</v>
      </c>
      <c r="C1362" s="14" t="s">
        <v>547</v>
      </c>
      <c r="D1362" s="14" t="s">
        <v>268</v>
      </c>
      <c r="E1362" s="14" t="s">
        <v>14</v>
      </c>
      <c r="F1362" s="14" t="s">
        <v>324</v>
      </c>
      <c r="G1362" s="179">
        <v>681361</v>
      </c>
      <c r="H1362" s="176" t="s">
        <v>3183</v>
      </c>
      <c r="I1362" s="176" t="s">
        <v>864</v>
      </c>
      <c r="J1362" s="176" t="s">
        <v>131</v>
      </c>
      <c r="K1362" s="176" t="s">
        <v>4079</v>
      </c>
      <c r="L1362" s="40" t="s">
        <v>45</v>
      </c>
      <c r="M1362" s="40" t="s">
        <v>341</v>
      </c>
      <c r="N1362" s="14" t="s">
        <v>4093</v>
      </c>
      <c r="O1362" s="14" t="s">
        <v>527</v>
      </c>
      <c r="P1362" s="14" t="s">
        <v>4095</v>
      </c>
      <c r="Q1362" s="14" t="s">
        <v>542</v>
      </c>
      <c r="R1362" s="17">
        <v>375</v>
      </c>
      <c r="S1362" s="172" t="s">
        <v>51</v>
      </c>
      <c r="T1362" s="17">
        <v>1695</v>
      </c>
      <c r="U1362" s="14" t="s">
        <v>51</v>
      </c>
      <c r="V1362" s="16">
        <f t="shared" si="165"/>
        <v>244273</v>
      </c>
      <c r="W1362" s="16">
        <f t="shared" si="166"/>
        <v>244280</v>
      </c>
      <c r="X1362" s="16">
        <f t="shared" si="167"/>
        <v>244275</v>
      </c>
      <c r="Y1362" s="15" t="s">
        <v>54</v>
      </c>
      <c r="Z1362" s="177">
        <v>244278</v>
      </c>
      <c r="AA1362" s="170"/>
      <c r="AB1362" s="170"/>
      <c r="AC1362" s="170"/>
      <c r="AD1362" s="170"/>
      <c r="AE1362" s="15" t="s">
        <v>54</v>
      </c>
      <c r="AF1362" s="177">
        <v>244279</v>
      </c>
      <c r="AG1362" s="177" t="str">
        <f t="shared" si="163"/>
        <v>Pass</v>
      </c>
      <c r="AH1362" s="177">
        <f t="shared" si="164"/>
        <v>244279</v>
      </c>
      <c r="AK1362" s="176"/>
      <c r="AL1362" s="176"/>
    </row>
    <row r="1363" spans="1:38" ht="36" customHeight="1" x14ac:dyDescent="0.2">
      <c r="A1363" s="14" t="s">
        <v>26</v>
      </c>
      <c r="B1363" s="212">
        <v>244273</v>
      </c>
      <c r="C1363" s="14" t="s">
        <v>547</v>
      </c>
      <c r="D1363" s="14" t="s">
        <v>268</v>
      </c>
      <c r="E1363" s="14" t="s">
        <v>14</v>
      </c>
      <c r="F1363" s="14" t="s">
        <v>324</v>
      </c>
      <c r="G1363" s="179">
        <v>681362</v>
      </c>
      <c r="H1363" s="176" t="s">
        <v>4076</v>
      </c>
      <c r="I1363" s="176" t="s">
        <v>802</v>
      </c>
      <c r="J1363" s="176" t="s">
        <v>128</v>
      </c>
      <c r="K1363" s="176" t="s">
        <v>4082</v>
      </c>
      <c r="L1363" s="40" t="s">
        <v>105</v>
      </c>
      <c r="M1363" s="40" t="s">
        <v>341</v>
      </c>
      <c r="N1363" s="14" t="s">
        <v>1202</v>
      </c>
      <c r="O1363" s="14" t="s">
        <v>548</v>
      </c>
      <c r="P1363" s="14" t="s">
        <v>518</v>
      </c>
      <c r="Q1363" s="14" t="s">
        <v>549</v>
      </c>
      <c r="R1363" s="17">
        <v>110</v>
      </c>
      <c r="S1363" s="172" t="s">
        <v>51</v>
      </c>
      <c r="T1363" s="17">
        <v>2335</v>
      </c>
      <c r="U1363" s="14" t="s">
        <v>51</v>
      </c>
      <c r="V1363" s="16">
        <f t="shared" si="165"/>
        <v>244273</v>
      </c>
      <c r="W1363" s="16">
        <f t="shared" si="166"/>
        <v>244280</v>
      </c>
      <c r="X1363" s="16">
        <f t="shared" si="167"/>
        <v>244275</v>
      </c>
      <c r="Y1363" s="15" t="s">
        <v>54</v>
      </c>
      <c r="Z1363" s="177">
        <v>244278</v>
      </c>
      <c r="AA1363" s="170"/>
      <c r="AB1363" s="170"/>
      <c r="AC1363" s="170"/>
      <c r="AD1363" s="170"/>
      <c r="AE1363" s="15" t="s">
        <v>54</v>
      </c>
      <c r="AF1363" s="177">
        <v>244279</v>
      </c>
      <c r="AG1363" s="177" t="str">
        <f t="shared" si="163"/>
        <v>Pass</v>
      </c>
      <c r="AH1363" s="177">
        <f t="shared" si="164"/>
        <v>244279</v>
      </c>
      <c r="AK1363" s="176"/>
      <c r="AL1363" s="176"/>
    </row>
    <row r="1364" spans="1:38" ht="36" customHeight="1" x14ac:dyDescent="0.2">
      <c r="A1364" s="14" t="s">
        <v>26</v>
      </c>
      <c r="B1364" s="212">
        <v>244273</v>
      </c>
      <c r="C1364" s="14" t="s">
        <v>547</v>
      </c>
      <c r="D1364" s="14" t="s">
        <v>268</v>
      </c>
      <c r="E1364" s="14" t="s">
        <v>14</v>
      </c>
      <c r="F1364" s="14" t="s">
        <v>324</v>
      </c>
      <c r="G1364" s="179">
        <v>681363</v>
      </c>
      <c r="H1364" s="176" t="s">
        <v>142</v>
      </c>
      <c r="I1364" s="176" t="s">
        <v>551</v>
      </c>
      <c r="J1364" s="176" t="s">
        <v>832</v>
      </c>
      <c r="K1364" s="176" t="s">
        <v>4092</v>
      </c>
      <c r="L1364" s="40" t="s">
        <v>108</v>
      </c>
      <c r="M1364" s="40" t="s">
        <v>341</v>
      </c>
      <c r="N1364" s="14" t="s">
        <v>4094</v>
      </c>
      <c r="O1364" s="14" t="s">
        <v>552</v>
      </c>
      <c r="P1364" s="14" t="s">
        <v>519</v>
      </c>
      <c r="Q1364" s="14" t="s">
        <v>553</v>
      </c>
      <c r="R1364" s="17">
        <v>875</v>
      </c>
      <c r="S1364" s="172" t="s">
        <v>51</v>
      </c>
      <c r="T1364" s="17">
        <v>3150</v>
      </c>
      <c r="U1364" s="14" t="s">
        <v>51</v>
      </c>
      <c r="V1364" s="16">
        <f t="shared" si="165"/>
        <v>244273</v>
      </c>
      <c r="W1364" s="16">
        <f t="shared" si="166"/>
        <v>244280</v>
      </c>
      <c r="X1364" s="16">
        <f t="shared" si="167"/>
        <v>244275</v>
      </c>
      <c r="Y1364" s="15" t="s">
        <v>54</v>
      </c>
      <c r="Z1364" s="177">
        <v>244278</v>
      </c>
      <c r="AA1364" s="170"/>
      <c r="AB1364" s="170"/>
      <c r="AC1364" s="170"/>
      <c r="AD1364" s="170"/>
      <c r="AE1364" s="15" t="s">
        <v>54</v>
      </c>
      <c r="AF1364" s="177">
        <v>244279</v>
      </c>
      <c r="AG1364" s="177" t="str">
        <f t="shared" si="163"/>
        <v>Pass</v>
      </c>
      <c r="AH1364" s="177">
        <f t="shared" si="164"/>
        <v>244279</v>
      </c>
      <c r="AK1364" s="176"/>
      <c r="AL1364" s="176"/>
    </row>
    <row r="1365" spans="1:38" ht="36" customHeight="1" x14ac:dyDescent="0.2">
      <c r="A1365" s="14" t="s">
        <v>26</v>
      </c>
      <c r="B1365" s="212">
        <v>244274</v>
      </c>
      <c r="C1365" s="14" t="s">
        <v>547</v>
      </c>
      <c r="D1365" s="14" t="s">
        <v>268</v>
      </c>
      <c r="E1365" s="14" t="s">
        <v>14</v>
      </c>
      <c r="F1365" s="14" t="s">
        <v>324</v>
      </c>
      <c r="G1365" s="179">
        <v>681364</v>
      </c>
      <c r="H1365" s="176" t="s">
        <v>4074</v>
      </c>
      <c r="I1365" s="176" t="s">
        <v>802</v>
      </c>
      <c r="J1365" s="176" t="s">
        <v>143</v>
      </c>
      <c r="K1365" s="176" t="s">
        <v>4080</v>
      </c>
      <c r="L1365" s="40" t="s">
        <v>46</v>
      </c>
      <c r="M1365" s="40" t="s">
        <v>341</v>
      </c>
      <c r="N1365" s="14" t="s">
        <v>4100</v>
      </c>
      <c r="O1365" s="14" t="s">
        <v>548</v>
      </c>
      <c r="P1365" s="14" t="s">
        <v>518</v>
      </c>
      <c r="Q1365" s="14" t="s">
        <v>549</v>
      </c>
      <c r="R1365" s="17">
        <v>294</v>
      </c>
      <c r="S1365" s="172" t="s">
        <v>51</v>
      </c>
      <c r="T1365" s="17">
        <v>2320</v>
      </c>
      <c r="U1365" s="14" t="s">
        <v>51</v>
      </c>
      <c r="V1365" s="16">
        <f t="shared" si="165"/>
        <v>244274</v>
      </c>
      <c r="W1365" s="16">
        <f t="shared" si="166"/>
        <v>244281</v>
      </c>
      <c r="X1365" s="16">
        <f t="shared" si="167"/>
        <v>244276</v>
      </c>
      <c r="Y1365" s="15" t="s">
        <v>54</v>
      </c>
      <c r="Z1365" s="177">
        <v>244278</v>
      </c>
      <c r="AA1365" s="170"/>
      <c r="AB1365" s="170"/>
      <c r="AC1365" s="170"/>
      <c r="AD1365" s="170"/>
      <c r="AE1365" s="15" t="s">
        <v>54</v>
      </c>
      <c r="AF1365" s="177">
        <v>244279</v>
      </c>
      <c r="AG1365" s="177" t="str">
        <f t="shared" si="163"/>
        <v>Pass</v>
      </c>
      <c r="AH1365" s="177">
        <f t="shared" si="164"/>
        <v>244279</v>
      </c>
      <c r="AK1365" s="176"/>
      <c r="AL1365" s="176"/>
    </row>
    <row r="1366" spans="1:38" ht="36" customHeight="1" x14ac:dyDescent="0.2">
      <c r="A1366" s="14" t="s">
        <v>26</v>
      </c>
      <c r="B1366" s="212">
        <v>244274</v>
      </c>
      <c r="C1366" s="14" t="s">
        <v>547</v>
      </c>
      <c r="D1366" s="14" t="s">
        <v>268</v>
      </c>
      <c r="E1366" s="14" t="s">
        <v>14</v>
      </c>
      <c r="F1366" s="14" t="s">
        <v>324</v>
      </c>
      <c r="G1366" s="179">
        <v>681365</v>
      </c>
      <c r="H1366" s="176" t="s">
        <v>4076</v>
      </c>
      <c r="I1366" s="176" t="s">
        <v>802</v>
      </c>
      <c r="J1366" s="176" t="s">
        <v>128</v>
      </c>
      <c r="K1366" s="176" t="s">
        <v>4082</v>
      </c>
      <c r="L1366" s="40" t="s">
        <v>105</v>
      </c>
      <c r="M1366" s="40" t="s">
        <v>341</v>
      </c>
      <c r="N1366" s="14" t="s">
        <v>4101</v>
      </c>
      <c r="O1366" s="14" t="s">
        <v>528</v>
      </c>
      <c r="P1366" s="14" t="s">
        <v>1246</v>
      </c>
      <c r="Q1366" s="14" t="s">
        <v>541</v>
      </c>
      <c r="R1366" s="17">
        <v>200</v>
      </c>
      <c r="S1366" s="172" t="s">
        <v>51</v>
      </c>
      <c r="T1366" s="17">
        <v>2483</v>
      </c>
      <c r="U1366" s="14" t="s">
        <v>51</v>
      </c>
      <c r="V1366" s="16">
        <f t="shared" si="165"/>
        <v>244274</v>
      </c>
      <c r="W1366" s="16">
        <f t="shared" si="166"/>
        <v>244281</v>
      </c>
      <c r="X1366" s="16">
        <f t="shared" si="167"/>
        <v>244276</v>
      </c>
      <c r="Y1366" s="15" t="s">
        <v>54</v>
      </c>
      <c r="Z1366" s="177">
        <v>244278</v>
      </c>
      <c r="AA1366" s="170"/>
      <c r="AB1366" s="170"/>
      <c r="AC1366" s="170"/>
      <c r="AD1366" s="170"/>
      <c r="AE1366" s="15" t="s">
        <v>54</v>
      </c>
      <c r="AF1366" s="177">
        <v>244279</v>
      </c>
      <c r="AG1366" s="177" t="str">
        <f t="shared" si="163"/>
        <v>Pass</v>
      </c>
      <c r="AH1366" s="177">
        <f t="shared" si="164"/>
        <v>244279</v>
      </c>
      <c r="AK1366" s="176"/>
      <c r="AL1366" s="176"/>
    </row>
    <row r="1367" spans="1:38" ht="36" customHeight="1" x14ac:dyDescent="0.2">
      <c r="A1367" s="14" t="s">
        <v>26</v>
      </c>
      <c r="B1367" s="212">
        <v>244274</v>
      </c>
      <c r="C1367" s="14" t="s">
        <v>547</v>
      </c>
      <c r="D1367" s="14" t="s">
        <v>268</v>
      </c>
      <c r="E1367" s="14" t="s">
        <v>14</v>
      </c>
      <c r="F1367" s="14" t="s">
        <v>324</v>
      </c>
      <c r="G1367" s="179">
        <v>681366</v>
      </c>
      <c r="H1367" s="176" t="s">
        <v>1469</v>
      </c>
      <c r="I1367" s="176" t="s">
        <v>802</v>
      </c>
      <c r="J1367" s="176" t="s">
        <v>128</v>
      </c>
      <c r="K1367" s="176" t="s">
        <v>4098</v>
      </c>
      <c r="L1367" s="40" t="s">
        <v>105</v>
      </c>
      <c r="M1367" s="40" t="s">
        <v>341</v>
      </c>
      <c r="N1367" s="14" t="s">
        <v>4102</v>
      </c>
      <c r="O1367" s="14" t="s">
        <v>543</v>
      </c>
      <c r="P1367" s="14" t="s">
        <v>4106</v>
      </c>
      <c r="Q1367" s="14" t="s">
        <v>529</v>
      </c>
      <c r="R1367" s="17">
        <v>700</v>
      </c>
      <c r="S1367" s="172" t="s">
        <v>51</v>
      </c>
      <c r="T1367" s="17">
        <v>2380</v>
      </c>
      <c r="U1367" s="14" t="s">
        <v>51</v>
      </c>
      <c r="V1367" s="16">
        <f t="shared" si="165"/>
        <v>244274</v>
      </c>
      <c r="W1367" s="16">
        <f t="shared" si="166"/>
        <v>244281</v>
      </c>
      <c r="X1367" s="16">
        <f t="shared" si="167"/>
        <v>244276</v>
      </c>
      <c r="Y1367" s="15" t="s">
        <v>54</v>
      </c>
      <c r="Z1367" s="177">
        <v>244278</v>
      </c>
      <c r="AA1367" s="170"/>
      <c r="AB1367" s="170"/>
      <c r="AC1367" s="170"/>
      <c r="AD1367" s="170"/>
      <c r="AE1367" s="15" t="s">
        <v>54</v>
      </c>
      <c r="AF1367" s="177">
        <v>244279</v>
      </c>
      <c r="AG1367" s="177" t="str">
        <f t="shared" si="163"/>
        <v>Pass</v>
      </c>
      <c r="AH1367" s="177">
        <f t="shared" si="164"/>
        <v>244279</v>
      </c>
      <c r="AK1367" s="176"/>
      <c r="AL1367" s="176"/>
    </row>
    <row r="1368" spans="1:38" ht="36" customHeight="1" x14ac:dyDescent="0.2">
      <c r="A1368" s="14" t="s">
        <v>26</v>
      </c>
      <c r="B1368" s="212">
        <v>244274</v>
      </c>
      <c r="C1368" s="14" t="s">
        <v>547</v>
      </c>
      <c r="D1368" s="14" t="s">
        <v>268</v>
      </c>
      <c r="E1368" s="14" t="s">
        <v>14</v>
      </c>
      <c r="F1368" s="14" t="s">
        <v>324</v>
      </c>
      <c r="G1368" s="179">
        <v>681367</v>
      </c>
      <c r="H1368" s="176" t="s">
        <v>4096</v>
      </c>
      <c r="I1368" s="176" t="s">
        <v>802</v>
      </c>
      <c r="J1368" s="176" t="s">
        <v>143</v>
      </c>
      <c r="K1368" s="176" t="s">
        <v>4099</v>
      </c>
      <c r="L1368" s="40" t="s">
        <v>46</v>
      </c>
      <c r="M1368" s="40" t="s">
        <v>341</v>
      </c>
      <c r="N1368" s="14" t="s">
        <v>4103</v>
      </c>
      <c r="O1368" s="14" t="s">
        <v>552</v>
      </c>
      <c r="P1368" s="14" t="s">
        <v>4107</v>
      </c>
      <c r="Q1368" s="14" t="s">
        <v>553</v>
      </c>
      <c r="R1368" s="17">
        <v>400</v>
      </c>
      <c r="S1368" s="172" t="s">
        <v>51</v>
      </c>
      <c r="T1368" s="17">
        <v>2345</v>
      </c>
      <c r="U1368" s="14" t="s">
        <v>51</v>
      </c>
      <c r="V1368" s="16">
        <f t="shared" si="165"/>
        <v>244274</v>
      </c>
      <c r="W1368" s="16">
        <f t="shared" si="166"/>
        <v>244281</v>
      </c>
      <c r="X1368" s="16">
        <f t="shared" si="167"/>
        <v>244276</v>
      </c>
      <c r="Y1368" s="15" t="s">
        <v>54</v>
      </c>
      <c r="Z1368" s="177">
        <v>244278</v>
      </c>
      <c r="AA1368" s="170"/>
      <c r="AB1368" s="170"/>
      <c r="AC1368" s="170"/>
      <c r="AD1368" s="170"/>
      <c r="AE1368" s="15" t="s">
        <v>54</v>
      </c>
      <c r="AF1368" s="177">
        <v>244279</v>
      </c>
      <c r="AG1368" s="177" t="str">
        <f t="shared" si="163"/>
        <v>Pass</v>
      </c>
      <c r="AH1368" s="177">
        <f t="shared" si="164"/>
        <v>244279</v>
      </c>
      <c r="AK1368" s="176"/>
      <c r="AL1368" s="176"/>
    </row>
    <row r="1369" spans="1:38" ht="36" customHeight="1" x14ac:dyDescent="0.2">
      <c r="A1369" s="14" t="s">
        <v>26</v>
      </c>
      <c r="B1369" s="212">
        <v>244274</v>
      </c>
      <c r="C1369" s="14" t="s">
        <v>547</v>
      </c>
      <c r="D1369" s="14" t="s">
        <v>268</v>
      </c>
      <c r="E1369" s="14" t="s">
        <v>14</v>
      </c>
      <c r="F1369" s="14" t="s">
        <v>324</v>
      </c>
      <c r="G1369" s="179">
        <v>681368</v>
      </c>
      <c r="H1369" s="176" t="s">
        <v>142</v>
      </c>
      <c r="I1369" s="176" t="s">
        <v>551</v>
      </c>
      <c r="J1369" s="176" t="s">
        <v>832</v>
      </c>
      <c r="K1369" s="176" t="s">
        <v>4092</v>
      </c>
      <c r="L1369" s="40" t="s">
        <v>108</v>
      </c>
      <c r="M1369" s="40" t="s">
        <v>341</v>
      </c>
      <c r="N1369" s="14" t="s">
        <v>4104</v>
      </c>
      <c r="O1369" s="14" t="s">
        <v>552</v>
      </c>
      <c r="P1369" s="14" t="s">
        <v>519</v>
      </c>
      <c r="Q1369" s="14" t="s">
        <v>553</v>
      </c>
      <c r="R1369" s="17">
        <v>2375</v>
      </c>
      <c r="S1369" s="172" t="s">
        <v>51</v>
      </c>
      <c r="T1369" s="17">
        <v>2850</v>
      </c>
      <c r="U1369" s="14" t="s">
        <v>51</v>
      </c>
      <c r="V1369" s="16">
        <f t="shared" si="165"/>
        <v>244274</v>
      </c>
      <c r="W1369" s="16">
        <f t="shared" si="166"/>
        <v>244281</v>
      </c>
      <c r="X1369" s="16">
        <f t="shared" si="167"/>
        <v>244276</v>
      </c>
      <c r="Y1369" s="15" t="s">
        <v>54</v>
      </c>
      <c r="Z1369" s="177">
        <v>244278</v>
      </c>
      <c r="AA1369" s="170"/>
      <c r="AB1369" s="170"/>
      <c r="AC1369" s="170"/>
      <c r="AD1369" s="170"/>
      <c r="AE1369" s="15" t="s">
        <v>54</v>
      </c>
      <c r="AF1369" s="177">
        <v>244279</v>
      </c>
      <c r="AG1369" s="177" t="str">
        <f t="shared" si="163"/>
        <v>Pass</v>
      </c>
      <c r="AH1369" s="177">
        <f t="shared" si="164"/>
        <v>244279</v>
      </c>
      <c r="AK1369" s="176"/>
      <c r="AL1369" s="176"/>
    </row>
    <row r="1370" spans="1:38" ht="36" customHeight="1" x14ac:dyDescent="0.2">
      <c r="A1370" s="14" t="s">
        <v>26</v>
      </c>
      <c r="B1370" s="212">
        <v>244274</v>
      </c>
      <c r="C1370" s="14" t="s">
        <v>547</v>
      </c>
      <c r="D1370" s="14" t="s">
        <v>268</v>
      </c>
      <c r="E1370" s="14" t="s">
        <v>14</v>
      </c>
      <c r="F1370" s="14" t="s">
        <v>324</v>
      </c>
      <c r="G1370" s="179">
        <v>681369</v>
      </c>
      <c r="H1370" s="176" t="s">
        <v>4097</v>
      </c>
      <c r="I1370" s="176" t="s">
        <v>802</v>
      </c>
      <c r="J1370" s="176" t="s">
        <v>128</v>
      </c>
      <c r="K1370" s="176" t="s">
        <v>4098</v>
      </c>
      <c r="L1370" s="40" t="s">
        <v>105</v>
      </c>
      <c r="M1370" s="40" t="s">
        <v>341</v>
      </c>
      <c r="N1370" s="14" t="s">
        <v>4105</v>
      </c>
      <c r="O1370" s="14" t="s">
        <v>543</v>
      </c>
      <c r="P1370" s="14" t="s">
        <v>1049</v>
      </c>
      <c r="Q1370" s="14" t="s">
        <v>529</v>
      </c>
      <c r="R1370" s="17">
        <v>450</v>
      </c>
      <c r="S1370" s="172" t="s">
        <v>51</v>
      </c>
      <c r="T1370" s="17">
        <v>2440</v>
      </c>
      <c r="U1370" s="14" t="s">
        <v>51</v>
      </c>
      <c r="V1370" s="16">
        <f t="shared" si="165"/>
        <v>244274</v>
      </c>
      <c r="W1370" s="16">
        <f t="shared" si="166"/>
        <v>244281</v>
      </c>
      <c r="X1370" s="16">
        <f t="shared" si="167"/>
        <v>244276</v>
      </c>
      <c r="Y1370" s="15" t="s">
        <v>54</v>
      </c>
      <c r="Z1370" s="177">
        <v>244278</v>
      </c>
      <c r="AA1370" s="170"/>
      <c r="AB1370" s="170"/>
      <c r="AC1370" s="170"/>
      <c r="AD1370" s="170"/>
      <c r="AE1370" s="15" t="s">
        <v>54</v>
      </c>
      <c r="AF1370" s="177">
        <v>244279</v>
      </c>
      <c r="AG1370" s="177" t="str">
        <f t="shared" si="163"/>
        <v>Pass</v>
      </c>
      <c r="AH1370" s="177">
        <f t="shared" si="164"/>
        <v>244279</v>
      </c>
      <c r="AK1370" s="176"/>
      <c r="AL1370" s="176"/>
    </row>
    <row r="1371" spans="1:38" ht="36" customHeight="1" x14ac:dyDescent="0.2">
      <c r="A1371" s="14" t="s">
        <v>26</v>
      </c>
      <c r="B1371" s="212">
        <v>244275</v>
      </c>
      <c r="C1371" s="14" t="s">
        <v>547</v>
      </c>
      <c r="D1371" s="14" t="s">
        <v>268</v>
      </c>
      <c r="E1371" s="14" t="s">
        <v>14</v>
      </c>
      <c r="F1371" s="14" t="s">
        <v>324</v>
      </c>
      <c r="G1371" s="179">
        <v>681370</v>
      </c>
      <c r="H1371" s="176" t="s">
        <v>848</v>
      </c>
      <c r="I1371" s="176" t="s">
        <v>802</v>
      </c>
      <c r="J1371" s="176" t="s">
        <v>131</v>
      </c>
      <c r="K1371" s="176" t="s">
        <v>4109</v>
      </c>
      <c r="L1371" s="40" t="s">
        <v>45</v>
      </c>
      <c r="M1371" s="40" t="s">
        <v>341</v>
      </c>
      <c r="N1371" s="14" t="s">
        <v>4115</v>
      </c>
      <c r="O1371" s="14" t="s">
        <v>528</v>
      </c>
      <c r="P1371" s="14" t="s">
        <v>517</v>
      </c>
      <c r="Q1371" s="14" t="s">
        <v>541</v>
      </c>
      <c r="R1371" s="17">
        <v>200</v>
      </c>
      <c r="S1371" s="172" t="s">
        <v>51</v>
      </c>
      <c r="T1371" s="17">
        <v>1865</v>
      </c>
      <c r="U1371" s="14" t="s">
        <v>51</v>
      </c>
      <c r="V1371" s="16">
        <f t="shared" si="165"/>
        <v>244275</v>
      </c>
      <c r="W1371" s="16">
        <f t="shared" si="166"/>
        <v>244282</v>
      </c>
      <c r="X1371" s="16">
        <f t="shared" si="167"/>
        <v>244277</v>
      </c>
      <c r="Y1371" s="15" t="s">
        <v>54</v>
      </c>
      <c r="Z1371" s="177">
        <v>244278</v>
      </c>
      <c r="AA1371" s="170"/>
      <c r="AB1371" s="170"/>
      <c r="AC1371" s="170"/>
      <c r="AD1371" s="170"/>
      <c r="AE1371" s="15" t="s">
        <v>54</v>
      </c>
      <c r="AF1371" s="177">
        <v>244279</v>
      </c>
      <c r="AG1371" s="177" t="str">
        <f t="shared" si="163"/>
        <v>Pass</v>
      </c>
      <c r="AH1371" s="177">
        <f t="shared" si="164"/>
        <v>244279</v>
      </c>
      <c r="AK1371" s="176"/>
      <c r="AL1371" s="176"/>
    </row>
    <row r="1372" spans="1:38" ht="36" customHeight="1" x14ac:dyDescent="0.2">
      <c r="A1372" s="14" t="s">
        <v>26</v>
      </c>
      <c r="B1372" s="212">
        <v>244275</v>
      </c>
      <c r="C1372" s="14" t="s">
        <v>547</v>
      </c>
      <c r="D1372" s="14" t="s">
        <v>268</v>
      </c>
      <c r="E1372" s="14" t="s">
        <v>14</v>
      </c>
      <c r="F1372" s="14" t="s">
        <v>324</v>
      </c>
      <c r="G1372" s="179">
        <v>681371</v>
      </c>
      <c r="H1372" s="176" t="s">
        <v>4108</v>
      </c>
      <c r="I1372" s="176" t="s">
        <v>802</v>
      </c>
      <c r="J1372" s="176" t="s">
        <v>128</v>
      </c>
      <c r="K1372" s="176" t="s">
        <v>4110</v>
      </c>
      <c r="L1372" s="40" t="s">
        <v>105</v>
      </c>
      <c r="M1372" s="40" t="s">
        <v>341</v>
      </c>
      <c r="N1372" s="14" t="s">
        <v>4116</v>
      </c>
      <c r="O1372" s="14" t="s">
        <v>693</v>
      </c>
      <c r="P1372" s="14" t="s">
        <v>4121</v>
      </c>
      <c r="Q1372" s="14" t="s">
        <v>696</v>
      </c>
      <c r="R1372" s="17">
        <v>700</v>
      </c>
      <c r="S1372" s="172" t="s">
        <v>51</v>
      </c>
      <c r="T1372" s="17">
        <v>2480</v>
      </c>
      <c r="U1372" s="14" t="s">
        <v>51</v>
      </c>
      <c r="V1372" s="16">
        <f t="shared" si="165"/>
        <v>244275</v>
      </c>
      <c r="W1372" s="16">
        <f t="shared" si="166"/>
        <v>244282</v>
      </c>
      <c r="X1372" s="16">
        <f t="shared" si="167"/>
        <v>244277</v>
      </c>
      <c r="Y1372" s="15" t="s">
        <v>54</v>
      </c>
      <c r="Z1372" s="177">
        <v>244278</v>
      </c>
      <c r="AA1372" s="170"/>
      <c r="AB1372" s="170"/>
      <c r="AC1372" s="170"/>
      <c r="AD1372" s="170"/>
      <c r="AE1372" s="15" t="s">
        <v>54</v>
      </c>
      <c r="AF1372" s="177">
        <v>244279</v>
      </c>
      <c r="AG1372" s="177" t="str">
        <f t="shared" si="163"/>
        <v>Pass</v>
      </c>
      <c r="AH1372" s="177">
        <f t="shared" si="164"/>
        <v>244279</v>
      </c>
      <c r="AK1372" s="176"/>
      <c r="AL1372" s="176"/>
    </row>
    <row r="1373" spans="1:38" ht="36" customHeight="1" x14ac:dyDescent="0.2">
      <c r="A1373" s="14" t="s">
        <v>26</v>
      </c>
      <c r="B1373" s="212">
        <v>244275</v>
      </c>
      <c r="C1373" s="14" t="s">
        <v>547</v>
      </c>
      <c r="D1373" s="14" t="s">
        <v>268</v>
      </c>
      <c r="E1373" s="14" t="s">
        <v>14</v>
      </c>
      <c r="F1373" s="14" t="s">
        <v>324</v>
      </c>
      <c r="G1373" s="179">
        <v>681372</v>
      </c>
      <c r="H1373" s="176" t="s">
        <v>861</v>
      </c>
      <c r="I1373" s="176" t="s">
        <v>551</v>
      </c>
      <c r="J1373" s="176" t="s">
        <v>832</v>
      </c>
      <c r="K1373" s="176" t="s">
        <v>4111</v>
      </c>
      <c r="L1373" s="40" t="s">
        <v>108</v>
      </c>
      <c r="M1373" s="40" t="s">
        <v>341</v>
      </c>
      <c r="N1373" s="14" t="s">
        <v>4117</v>
      </c>
      <c r="O1373" s="14" t="s">
        <v>552</v>
      </c>
      <c r="P1373" s="14" t="s">
        <v>1489</v>
      </c>
      <c r="Q1373" s="14" t="s">
        <v>553</v>
      </c>
      <c r="R1373" s="17">
        <v>1000</v>
      </c>
      <c r="S1373" s="172" t="s">
        <v>51</v>
      </c>
      <c r="T1373" s="17">
        <v>2860</v>
      </c>
      <c r="U1373" s="14" t="s">
        <v>51</v>
      </c>
      <c r="V1373" s="16">
        <f t="shared" si="165"/>
        <v>244275</v>
      </c>
      <c r="W1373" s="16">
        <f t="shared" si="166"/>
        <v>244282</v>
      </c>
      <c r="X1373" s="16">
        <f t="shared" si="167"/>
        <v>244277</v>
      </c>
      <c r="Y1373" s="15" t="s">
        <v>54</v>
      </c>
      <c r="Z1373" s="177">
        <v>244278</v>
      </c>
      <c r="AA1373" s="170"/>
      <c r="AB1373" s="170"/>
      <c r="AC1373" s="170"/>
      <c r="AD1373" s="170"/>
      <c r="AE1373" s="15" t="s">
        <v>54</v>
      </c>
      <c r="AF1373" s="177">
        <v>244279</v>
      </c>
      <c r="AG1373" s="177" t="str">
        <f t="shared" si="163"/>
        <v>Pass</v>
      </c>
      <c r="AH1373" s="177">
        <f t="shared" si="164"/>
        <v>244279</v>
      </c>
      <c r="AK1373" s="176"/>
      <c r="AL1373" s="176"/>
    </row>
    <row r="1374" spans="1:38" ht="36" customHeight="1" x14ac:dyDescent="0.2">
      <c r="A1374" s="14" t="s">
        <v>26</v>
      </c>
      <c r="B1374" s="212">
        <v>244275</v>
      </c>
      <c r="C1374" s="14" t="s">
        <v>547</v>
      </c>
      <c r="D1374" s="14" t="s">
        <v>268</v>
      </c>
      <c r="E1374" s="14" t="s">
        <v>14</v>
      </c>
      <c r="F1374" s="14" t="s">
        <v>324</v>
      </c>
      <c r="G1374" s="179">
        <v>681373</v>
      </c>
      <c r="H1374" s="176" t="s">
        <v>2174</v>
      </c>
      <c r="I1374" s="176" t="s">
        <v>960</v>
      </c>
      <c r="J1374" s="176" t="s">
        <v>127</v>
      </c>
      <c r="K1374" s="176" t="s">
        <v>4112</v>
      </c>
      <c r="L1374" s="40" t="s">
        <v>108</v>
      </c>
      <c r="M1374" s="40" t="s">
        <v>341</v>
      </c>
      <c r="N1374" s="14" t="s">
        <v>4118</v>
      </c>
      <c r="O1374" s="14" t="s">
        <v>552</v>
      </c>
      <c r="P1374" s="14" t="s">
        <v>1314</v>
      </c>
      <c r="Q1374" s="14" t="s">
        <v>553</v>
      </c>
      <c r="R1374" s="17">
        <v>1025</v>
      </c>
      <c r="S1374" s="172" t="s">
        <v>51</v>
      </c>
      <c r="T1374" s="17">
        <v>2815</v>
      </c>
      <c r="U1374" s="14" t="s">
        <v>51</v>
      </c>
      <c r="V1374" s="16">
        <f t="shared" si="165"/>
        <v>244275</v>
      </c>
      <c r="W1374" s="16">
        <f t="shared" si="166"/>
        <v>244282</v>
      </c>
      <c r="X1374" s="16">
        <f t="shared" si="167"/>
        <v>244277</v>
      </c>
      <c r="Y1374" s="15" t="s">
        <v>54</v>
      </c>
      <c r="Z1374" s="177">
        <v>244278</v>
      </c>
      <c r="AA1374" s="170"/>
      <c r="AB1374" s="170"/>
      <c r="AC1374" s="170"/>
      <c r="AD1374" s="170"/>
      <c r="AE1374" s="15" t="s">
        <v>54</v>
      </c>
      <c r="AF1374" s="177">
        <v>244279</v>
      </c>
      <c r="AG1374" s="177" t="str">
        <f t="shared" si="163"/>
        <v>Pass</v>
      </c>
      <c r="AH1374" s="177">
        <f t="shared" si="164"/>
        <v>244279</v>
      </c>
      <c r="AK1374" s="176"/>
      <c r="AL1374" s="176"/>
    </row>
    <row r="1375" spans="1:38" ht="36" customHeight="1" x14ac:dyDescent="0.2">
      <c r="A1375" s="14" t="s">
        <v>26</v>
      </c>
      <c r="B1375" s="212">
        <v>244275</v>
      </c>
      <c r="C1375" s="14" t="s">
        <v>547</v>
      </c>
      <c r="D1375" s="14" t="s">
        <v>268</v>
      </c>
      <c r="E1375" s="14" t="s">
        <v>14</v>
      </c>
      <c r="F1375" s="14" t="s">
        <v>324</v>
      </c>
      <c r="G1375" s="179">
        <v>681374</v>
      </c>
      <c r="H1375" s="176" t="s">
        <v>4108</v>
      </c>
      <c r="I1375" s="176" t="s">
        <v>802</v>
      </c>
      <c r="J1375" s="176" t="s">
        <v>128</v>
      </c>
      <c r="K1375" s="176" t="s">
        <v>4110</v>
      </c>
      <c r="L1375" s="40" t="s">
        <v>46</v>
      </c>
      <c r="M1375" s="40" t="s">
        <v>341</v>
      </c>
      <c r="N1375" s="14" t="s">
        <v>2007</v>
      </c>
      <c r="O1375" s="14" t="s">
        <v>548</v>
      </c>
      <c r="P1375" s="14" t="s">
        <v>518</v>
      </c>
      <c r="Q1375" s="14" t="s">
        <v>549</v>
      </c>
      <c r="R1375" s="17">
        <v>143</v>
      </c>
      <c r="S1375" s="172" t="s">
        <v>51</v>
      </c>
      <c r="T1375" s="17">
        <v>2400</v>
      </c>
      <c r="U1375" s="14" t="s">
        <v>51</v>
      </c>
      <c r="V1375" s="16">
        <f t="shared" si="165"/>
        <v>244275</v>
      </c>
      <c r="W1375" s="16">
        <f t="shared" si="166"/>
        <v>244282</v>
      </c>
      <c r="X1375" s="16">
        <f t="shared" si="167"/>
        <v>244277</v>
      </c>
      <c r="Y1375" s="15" t="s">
        <v>54</v>
      </c>
      <c r="Z1375" s="177">
        <v>244278</v>
      </c>
      <c r="AA1375" s="170"/>
      <c r="AB1375" s="170"/>
      <c r="AC1375" s="170"/>
      <c r="AD1375" s="170"/>
      <c r="AE1375" s="15" t="s">
        <v>54</v>
      </c>
      <c r="AF1375" s="177">
        <v>244279</v>
      </c>
      <c r="AG1375" s="177" t="str">
        <f t="shared" si="163"/>
        <v>Pass</v>
      </c>
      <c r="AH1375" s="177">
        <f t="shared" si="164"/>
        <v>244279</v>
      </c>
      <c r="AK1375" s="176"/>
      <c r="AL1375" s="176"/>
    </row>
    <row r="1376" spans="1:38" ht="36" customHeight="1" x14ac:dyDescent="0.2">
      <c r="A1376" s="14" t="s">
        <v>26</v>
      </c>
      <c r="B1376" s="212">
        <v>244275</v>
      </c>
      <c r="C1376" s="14" t="s">
        <v>547</v>
      </c>
      <c r="D1376" s="14" t="s">
        <v>268</v>
      </c>
      <c r="E1376" s="14" t="s">
        <v>14</v>
      </c>
      <c r="F1376" s="14" t="s">
        <v>324</v>
      </c>
      <c r="G1376" s="179">
        <v>681375</v>
      </c>
      <c r="H1376" s="176" t="s">
        <v>760</v>
      </c>
      <c r="I1376" s="176" t="s">
        <v>551</v>
      </c>
      <c r="J1376" s="176" t="s">
        <v>832</v>
      </c>
      <c r="K1376" s="176" t="s">
        <v>4113</v>
      </c>
      <c r="L1376" s="40" t="s">
        <v>108</v>
      </c>
      <c r="M1376" s="40" t="s">
        <v>341</v>
      </c>
      <c r="N1376" s="14" t="s">
        <v>4119</v>
      </c>
      <c r="O1376" s="14" t="s">
        <v>4120</v>
      </c>
      <c r="P1376" s="14" t="s">
        <v>4122</v>
      </c>
      <c r="Q1376" s="14" t="s">
        <v>4123</v>
      </c>
      <c r="R1376" s="17">
        <v>969</v>
      </c>
      <c r="S1376" s="172" t="s">
        <v>51</v>
      </c>
      <c r="T1376" s="17">
        <v>2500</v>
      </c>
      <c r="U1376" s="14" t="s">
        <v>51</v>
      </c>
      <c r="V1376" s="16">
        <f t="shared" si="165"/>
        <v>244275</v>
      </c>
      <c r="W1376" s="16">
        <f t="shared" si="166"/>
        <v>244282</v>
      </c>
      <c r="X1376" s="16">
        <f t="shared" si="167"/>
        <v>244277</v>
      </c>
      <c r="Y1376" s="15" t="s">
        <v>54</v>
      </c>
      <c r="Z1376" s="177">
        <v>244278</v>
      </c>
      <c r="AA1376" s="170"/>
      <c r="AB1376" s="170"/>
      <c r="AC1376" s="170"/>
      <c r="AD1376" s="170"/>
      <c r="AE1376" s="15" t="s">
        <v>54</v>
      </c>
      <c r="AF1376" s="177">
        <v>244279</v>
      </c>
      <c r="AG1376" s="177" t="str">
        <f t="shared" si="163"/>
        <v>Pass</v>
      </c>
      <c r="AH1376" s="177">
        <f t="shared" si="164"/>
        <v>244279</v>
      </c>
      <c r="AK1376" s="176"/>
      <c r="AL1376" s="176"/>
    </row>
    <row r="1377" spans="1:38" ht="36" customHeight="1" x14ac:dyDescent="0.2">
      <c r="A1377" s="14" t="s">
        <v>26</v>
      </c>
      <c r="B1377" s="212">
        <v>244275</v>
      </c>
      <c r="C1377" s="14" t="s">
        <v>547</v>
      </c>
      <c r="D1377" s="14" t="s">
        <v>268</v>
      </c>
      <c r="E1377" s="14" t="s">
        <v>14</v>
      </c>
      <c r="F1377" s="14" t="s">
        <v>324</v>
      </c>
      <c r="G1377" s="179">
        <v>681376</v>
      </c>
      <c r="H1377" s="176" t="s">
        <v>2745</v>
      </c>
      <c r="I1377" s="176" t="s">
        <v>551</v>
      </c>
      <c r="J1377" s="176" t="s">
        <v>832</v>
      </c>
      <c r="K1377" s="176" t="s">
        <v>4114</v>
      </c>
      <c r="L1377" s="40" t="s">
        <v>108</v>
      </c>
      <c r="M1377" s="40" t="s">
        <v>341</v>
      </c>
      <c r="N1377" s="14" t="s">
        <v>1033</v>
      </c>
      <c r="O1377" s="14" t="s">
        <v>552</v>
      </c>
      <c r="P1377" s="14" t="s">
        <v>1205</v>
      </c>
      <c r="Q1377" s="14" t="s">
        <v>553</v>
      </c>
      <c r="R1377" s="17">
        <v>300</v>
      </c>
      <c r="S1377" s="172" t="s">
        <v>51</v>
      </c>
      <c r="T1377" s="17">
        <v>2850</v>
      </c>
      <c r="U1377" s="14" t="s">
        <v>51</v>
      </c>
      <c r="V1377" s="16">
        <f t="shared" si="165"/>
        <v>244275</v>
      </c>
      <c r="W1377" s="16">
        <f t="shared" si="166"/>
        <v>244282</v>
      </c>
      <c r="X1377" s="16">
        <f t="shared" si="167"/>
        <v>244277</v>
      </c>
      <c r="Y1377" s="15" t="s">
        <v>54</v>
      </c>
      <c r="Z1377" s="177">
        <v>244278</v>
      </c>
      <c r="AA1377" s="170"/>
      <c r="AB1377" s="170"/>
      <c r="AC1377" s="170"/>
      <c r="AD1377" s="170"/>
      <c r="AE1377" s="15" t="s">
        <v>54</v>
      </c>
      <c r="AF1377" s="177">
        <v>244279</v>
      </c>
      <c r="AG1377" s="177" t="str">
        <f t="shared" si="163"/>
        <v>Pass</v>
      </c>
      <c r="AH1377" s="177">
        <f t="shared" si="164"/>
        <v>244279</v>
      </c>
      <c r="AK1377" s="176"/>
      <c r="AL1377" s="176"/>
    </row>
    <row r="1378" spans="1:38" ht="36" customHeight="1" x14ac:dyDescent="0.2">
      <c r="A1378" s="14" t="s">
        <v>26</v>
      </c>
      <c r="B1378" s="212">
        <v>244275</v>
      </c>
      <c r="C1378" s="14" t="s">
        <v>547</v>
      </c>
      <c r="D1378" s="14" t="s">
        <v>268</v>
      </c>
      <c r="E1378" s="14" t="s">
        <v>14</v>
      </c>
      <c r="F1378" s="14" t="s">
        <v>324</v>
      </c>
      <c r="G1378" s="179">
        <v>681377</v>
      </c>
      <c r="H1378" s="176" t="s">
        <v>4124</v>
      </c>
      <c r="I1378" s="176" t="s">
        <v>802</v>
      </c>
      <c r="J1378" s="176" t="s">
        <v>143</v>
      </c>
      <c r="K1378" s="176" t="s">
        <v>4125</v>
      </c>
      <c r="L1378" s="40" t="s">
        <v>46</v>
      </c>
      <c r="M1378" s="40" t="s">
        <v>341</v>
      </c>
      <c r="N1378" s="14" t="s">
        <v>4127</v>
      </c>
      <c r="O1378" s="14" t="s">
        <v>3703</v>
      </c>
      <c r="P1378" s="14" t="s">
        <v>4132</v>
      </c>
      <c r="Q1378" s="14" t="s">
        <v>3706</v>
      </c>
      <c r="R1378" s="17">
        <v>2136</v>
      </c>
      <c r="S1378" s="172" t="s">
        <v>51</v>
      </c>
      <c r="T1378" s="17">
        <v>1330</v>
      </c>
      <c r="U1378" s="14" t="s">
        <v>51</v>
      </c>
      <c r="V1378" s="16">
        <f t="shared" si="165"/>
        <v>244275</v>
      </c>
      <c r="W1378" s="16">
        <f t="shared" si="166"/>
        <v>244282</v>
      </c>
      <c r="X1378" s="16">
        <f t="shared" si="167"/>
        <v>244277</v>
      </c>
      <c r="Y1378" s="15" t="s">
        <v>54</v>
      </c>
      <c r="Z1378" s="177">
        <v>244278</v>
      </c>
      <c r="AA1378" s="170"/>
      <c r="AB1378" s="170"/>
      <c r="AC1378" s="170"/>
      <c r="AD1378" s="170"/>
      <c r="AE1378" s="15" t="s">
        <v>54</v>
      </c>
      <c r="AF1378" s="177">
        <v>244279</v>
      </c>
      <c r="AG1378" s="177" t="str">
        <f t="shared" si="163"/>
        <v>Pass</v>
      </c>
      <c r="AH1378" s="177">
        <f t="shared" si="164"/>
        <v>244279</v>
      </c>
      <c r="AK1378" s="176"/>
      <c r="AL1378" s="176"/>
    </row>
    <row r="1379" spans="1:38" ht="36" customHeight="1" x14ac:dyDescent="0.2">
      <c r="A1379" s="14" t="s">
        <v>26</v>
      </c>
      <c r="B1379" s="212">
        <v>244275</v>
      </c>
      <c r="C1379" s="14" t="s">
        <v>547</v>
      </c>
      <c r="D1379" s="14" t="s">
        <v>268</v>
      </c>
      <c r="E1379" s="14" t="s">
        <v>14</v>
      </c>
      <c r="F1379" s="14" t="s">
        <v>324</v>
      </c>
      <c r="G1379" s="179">
        <v>681378</v>
      </c>
      <c r="H1379" s="176" t="s">
        <v>4124</v>
      </c>
      <c r="I1379" s="176" t="s">
        <v>802</v>
      </c>
      <c r="J1379" s="176" t="s">
        <v>143</v>
      </c>
      <c r="K1379" s="176" t="s">
        <v>4125</v>
      </c>
      <c r="L1379" s="40" t="s">
        <v>46</v>
      </c>
      <c r="M1379" s="40" t="s">
        <v>341</v>
      </c>
      <c r="N1379" s="14" t="s">
        <v>4128</v>
      </c>
      <c r="O1379" s="14" t="s">
        <v>548</v>
      </c>
      <c r="P1379" s="14" t="s">
        <v>518</v>
      </c>
      <c r="Q1379" s="14" t="s">
        <v>549</v>
      </c>
      <c r="R1379" s="17">
        <v>173</v>
      </c>
      <c r="S1379" s="172" t="s">
        <v>51</v>
      </c>
      <c r="T1379" s="17">
        <v>2330</v>
      </c>
      <c r="U1379" s="14" t="s">
        <v>51</v>
      </c>
      <c r="V1379" s="16">
        <f t="shared" si="165"/>
        <v>244275</v>
      </c>
      <c r="W1379" s="16">
        <f t="shared" si="166"/>
        <v>244282</v>
      </c>
      <c r="X1379" s="16">
        <f t="shared" si="167"/>
        <v>244277</v>
      </c>
      <c r="Y1379" s="15" t="s">
        <v>54</v>
      </c>
      <c r="Z1379" s="177">
        <v>244278</v>
      </c>
      <c r="AA1379" s="170"/>
      <c r="AB1379" s="170"/>
      <c r="AC1379" s="170"/>
      <c r="AD1379" s="170"/>
      <c r="AE1379" s="15" t="s">
        <v>54</v>
      </c>
      <c r="AF1379" s="177">
        <v>244279</v>
      </c>
      <c r="AG1379" s="177" t="str">
        <f t="shared" si="163"/>
        <v>Pass</v>
      </c>
      <c r="AH1379" s="177">
        <f t="shared" si="164"/>
        <v>244279</v>
      </c>
      <c r="AK1379" s="176"/>
      <c r="AL1379" s="176"/>
    </row>
    <row r="1380" spans="1:38" ht="36" customHeight="1" x14ac:dyDescent="0.2">
      <c r="A1380" s="14" t="s">
        <v>26</v>
      </c>
      <c r="B1380" s="212">
        <v>244275</v>
      </c>
      <c r="C1380" s="14" t="s">
        <v>547</v>
      </c>
      <c r="D1380" s="14" t="s">
        <v>268</v>
      </c>
      <c r="E1380" s="14" t="s">
        <v>14</v>
      </c>
      <c r="F1380" s="14" t="s">
        <v>324</v>
      </c>
      <c r="G1380" s="179">
        <v>681379</v>
      </c>
      <c r="H1380" s="176" t="s">
        <v>1054</v>
      </c>
      <c r="I1380" s="176" t="s">
        <v>551</v>
      </c>
      <c r="J1380" s="176" t="s">
        <v>832</v>
      </c>
      <c r="K1380" s="176" t="s">
        <v>4126</v>
      </c>
      <c r="L1380" s="40" t="s">
        <v>108</v>
      </c>
      <c r="M1380" s="40" t="s">
        <v>341</v>
      </c>
      <c r="N1380" s="14" t="s">
        <v>3192</v>
      </c>
      <c r="O1380" s="14" t="s">
        <v>548</v>
      </c>
      <c r="P1380" s="14" t="s">
        <v>2919</v>
      </c>
      <c r="Q1380" s="14" t="s">
        <v>549</v>
      </c>
      <c r="R1380" s="17">
        <v>1800</v>
      </c>
      <c r="S1380" s="172" t="s">
        <v>51</v>
      </c>
      <c r="T1380" s="17">
        <v>1960</v>
      </c>
      <c r="U1380" s="14" t="s">
        <v>51</v>
      </c>
      <c r="V1380" s="16">
        <f t="shared" si="165"/>
        <v>244275</v>
      </c>
      <c r="W1380" s="16">
        <f t="shared" si="166"/>
        <v>244282</v>
      </c>
      <c r="X1380" s="16">
        <f t="shared" si="167"/>
        <v>244277</v>
      </c>
      <c r="Y1380" s="15" t="s">
        <v>54</v>
      </c>
      <c r="Z1380" s="177">
        <v>244278</v>
      </c>
      <c r="AA1380" s="170"/>
      <c r="AB1380" s="170"/>
      <c r="AC1380" s="170"/>
      <c r="AD1380" s="170"/>
      <c r="AE1380" s="15" t="s">
        <v>54</v>
      </c>
      <c r="AF1380" s="177">
        <v>244279</v>
      </c>
      <c r="AG1380" s="177" t="str">
        <f t="shared" si="163"/>
        <v>Pass</v>
      </c>
      <c r="AH1380" s="177">
        <f t="shared" si="164"/>
        <v>244279</v>
      </c>
      <c r="AK1380" s="176"/>
      <c r="AL1380" s="176"/>
    </row>
    <row r="1381" spans="1:38" ht="36" customHeight="1" x14ac:dyDescent="0.2">
      <c r="A1381" s="14" t="s">
        <v>26</v>
      </c>
      <c r="B1381" s="212">
        <v>244275</v>
      </c>
      <c r="C1381" s="14" t="s">
        <v>547</v>
      </c>
      <c r="D1381" s="14" t="s">
        <v>268</v>
      </c>
      <c r="E1381" s="14" t="s">
        <v>14</v>
      </c>
      <c r="F1381" s="14" t="s">
        <v>324</v>
      </c>
      <c r="G1381" s="179">
        <v>681380</v>
      </c>
      <c r="H1381" s="176" t="s">
        <v>861</v>
      </c>
      <c r="I1381" s="176" t="s">
        <v>551</v>
      </c>
      <c r="J1381" s="176" t="s">
        <v>832</v>
      </c>
      <c r="K1381" s="176" t="s">
        <v>4111</v>
      </c>
      <c r="L1381" s="40" t="s">
        <v>108</v>
      </c>
      <c r="M1381" s="40" t="s">
        <v>341</v>
      </c>
      <c r="N1381" s="14" t="s">
        <v>4129</v>
      </c>
      <c r="O1381" s="14" t="s">
        <v>552</v>
      </c>
      <c r="P1381" s="14" t="s">
        <v>793</v>
      </c>
      <c r="Q1381" s="14" t="s">
        <v>553</v>
      </c>
      <c r="R1381" s="17">
        <v>2750</v>
      </c>
      <c r="S1381" s="172" t="s">
        <v>51</v>
      </c>
      <c r="T1381" s="17">
        <v>5720</v>
      </c>
      <c r="U1381" s="14" t="s">
        <v>51</v>
      </c>
      <c r="V1381" s="16">
        <f t="shared" si="165"/>
        <v>244275</v>
      </c>
      <c r="W1381" s="16">
        <f t="shared" si="166"/>
        <v>244282</v>
      </c>
      <c r="X1381" s="16">
        <f t="shared" si="167"/>
        <v>244277</v>
      </c>
      <c r="Y1381" s="15" t="s">
        <v>54</v>
      </c>
      <c r="Z1381" s="177">
        <v>244278</v>
      </c>
      <c r="AA1381" s="170"/>
      <c r="AB1381" s="170"/>
      <c r="AC1381" s="170"/>
      <c r="AD1381" s="170"/>
      <c r="AE1381" s="15" t="s">
        <v>54</v>
      </c>
      <c r="AF1381" s="177">
        <v>244279</v>
      </c>
      <c r="AG1381" s="177" t="str">
        <f t="shared" si="163"/>
        <v>Pass</v>
      </c>
      <c r="AH1381" s="177">
        <f t="shared" si="164"/>
        <v>244279</v>
      </c>
      <c r="AK1381" s="176"/>
      <c r="AL1381" s="176"/>
    </row>
    <row r="1382" spans="1:38" ht="36" customHeight="1" x14ac:dyDescent="0.2">
      <c r="A1382" s="14" t="s">
        <v>26</v>
      </c>
      <c r="B1382" s="212">
        <v>244275</v>
      </c>
      <c r="C1382" s="14" t="s">
        <v>547</v>
      </c>
      <c r="D1382" s="14" t="s">
        <v>268</v>
      </c>
      <c r="E1382" s="14" t="s">
        <v>14</v>
      </c>
      <c r="F1382" s="14" t="s">
        <v>324</v>
      </c>
      <c r="G1382" s="179">
        <v>681381</v>
      </c>
      <c r="H1382" s="176" t="s">
        <v>2745</v>
      </c>
      <c r="I1382" s="176" t="s">
        <v>551</v>
      </c>
      <c r="J1382" s="176" t="s">
        <v>832</v>
      </c>
      <c r="K1382" s="176" t="s">
        <v>4114</v>
      </c>
      <c r="L1382" s="40" t="s">
        <v>108</v>
      </c>
      <c r="M1382" s="40" t="s">
        <v>341</v>
      </c>
      <c r="N1382" s="14" t="s">
        <v>4130</v>
      </c>
      <c r="O1382" s="14" t="s">
        <v>552</v>
      </c>
      <c r="P1382" s="14" t="s">
        <v>1489</v>
      </c>
      <c r="Q1382" s="14" t="s">
        <v>553</v>
      </c>
      <c r="R1382" s="17">
        <v>1350</v>
      </c>
      <c r="S1382" s="172" t="s">
        <v>51</v>
      </c>
      <c r="T1382" s="17">
        <v>8350</v>
      </c>
      <c r="U1382" s="14" t="s">
        <v>51</v>
      </c>
      <c r="V1382" s="16">
        <f t="shared" si="165"/>
        <v>244275</v>
      </c>
      <c r="W1382" s="16">
        <f t="shared" si="166"/>
        <v>244282</v>
      </c>
      <c r="X1382" s="16">
        <f t="shared" si="167"/>
        <v>244277</v>
      </c>
      <c r="Y1382" s="15" t="s">
        <v>54</v>
      </c>
      <c r="Z1382" s="177">
        <v>244278</v>
      </c>
      <c r="AA1382" s="170"/>
      <c r="AB1382" s="170"/>
      <c r="AC1382" s="170"/>
      <c r="AD1382" s="170"/>
      <c r="AE1382" s="15" t="s">
        <v>54</v>
      </c>
      <c r="AF1382" s="177">
        <v>244279</v>
      </c>
      <c r="AG1382" s="177" t="str">
        <f t="shared" ref="AG1382:AG1445" si="168">AE1382</f>
        <v>Pass</v>
      </c>
      <c r="AH1382" s="177">
        <f t="shared" ref="AH1382:AH1445" si="169">AF1382</f>
        <v>244279</v>
      </c>
      <c r="AK1382" s="176"/>
      <c r="AL1382" s="176"/>
    </row>
    <row r="1383" spans="1:38" ht="36" customHeight="1" x14ac:dyDescent="0.2">
      <c r="A1383" s="14" t="s">
        <v>26</v>
      </c>
      <c r="B1383" s="212">
        <v>244275</v>
      </c>
      <c r="C1383" s="14" t="s">
        <v>547</v>
      </c>
      <c r="D1383" s="14" t="s">
        <v>268</v>
      </c>
      <c r="E1383" s="14" t="s">
        <v>14</v>
      </c>
      <c r="F1383" s="14" t="s">
        <v>324</v>
      </c>
      <c r="G1383" s="179">
        <v>681382</v>
      </c>
      <c r="H1383" s="176" t="s">
        <v>1054</v>
      </c>
      <c r="I1383" s="176" t="s">
        <v>551</v>
      </c>
      <c r="J1383" s="176" t="s">
        <v>832</v>
      </c>
      <c r="K1383" s="176" t="s">
        <v>4126</v>
      </c>
      <c r="L1383" s="40" t="s">
        <v>108</v>
      </c>
      <c r="M1383" s="40" t="s">
        <v>341</v>
      </c>
      <c r="N1383" s="14" t="s">
        <v>4131</v>
      </c>
      <c r="O1383" s="14" t="s">
        <v>552</v>
      </c>
      <c r="P1383" s="14" t="s">
        <v>1489</v>
      </c>
      <c r="Q1383" s="14" t="s">
        <v>553</v>
      </c>
      <c r="R1383" s="17">
        <v>1150</v>
      </c>
      <c r="S1383" s="172" t="s">
        <v>51</v>
      </c>
      <c r="T1383" s="17">
        <v>2830</v>
      </c>
      <c r="U1383" s="14" t="s">
        <v>51</v>
      </c>
      <c r="V1383" s="16">
        <f t="shared" si="165"/>
        <v>244275</v>
      </c>
      <c r="W1383" s="16">
        <f t="shared" si="166"/>
        <v>244282</v>
      </c>
      <c r="X1383" s="16">
        <f t="shared" si="167"/>
        <v>244277</v>
      </c>
      <c r="Y1383" s="15" t="s">
        <v>54</v>
      </c>
      <c r="Z1383" s="177">
        <v>244278</v>
      </c>
      <c r="AA1383" s="170"/>
      <c r="AB1383" s="170"/>
      <c r="AC1383" s="170"/>
      <c r="AD1383" s="170"/>
      <c r="AE1383" s="15" t="s">
        <v>54</v>
      </c>
      <c r="AF1383" s="177">
        <v>244279</v>
      </c>
      <c r="AG1383" s="177" t="str">
        <f t="shared" si="168"/>
        <v>Pass</v>
      </c>
      <c r="AH1383" s="177">
        <f t="shared" si="169"/>
        <v>244279</v>
      </c>
      <c r="AK1383" s="176"/>
      <c r="AL1383" s="176"/>
    </row>
    <row r="1384" spans="1:38" ht="36" customHeight="1" x14ac:dyDescent="0.2">
      <c r="A1384" s="14" t="s">
        <v>26</v>
      </c>
      <c r="B1384" s="212">
        <v>244277</v>
      </c>
      <c r="C1384" s="14" t="s">
        <v>547</v>
      </c>
      <c r="D1384" s="14" t="s">
        <v>268</v>
      </c>
      <c r="E1384" s="14" t="s">
        <v>14</v>
      </c>
      <c r="F1384" s="14" t="s">
        <v>324</v>
      </c>
      <c r="G1384" s="179">
        <v>681383</v>
      </c>
      <c r="H1384" s="176" t="s">
        <v>2745</v>
      </c>
      <c r="I1384" s="176" t="s">
        <v>551</v>
      </c>
      <c r="J1384" s="176" t="s">
        <v>832</v>
      </c>
      <c r="K1384" s="176" t="s">
        <v>4114</v>
      </c>
      <c r="L1384" s="40" t="s">
        <v>108</v>
      </c>
      <c r="M1384" s="40" t="s">
        <v>341</v>
      </c>
      <c r="N1384" s="14" t="s">
        <v>4145</v>
      </c>
      <c r="O1384" s="14" t="s">
        <v>528</v>
      </c>
      <c r="P1384" s="14" t="s">
        <v>2813</v>
      </c>
      <c r="Q1384" s="14" t="s">
        <v>541</v>
      </c>
      <c r="R1384" s="17">
        <v>600</v>
      </c>
      <c r="S1384" s="172" t="s">
        <v>51</v>
      </c>
      <c r="T1384" s="17">
        <v>1370</v>
      </c>
      <c r="U1384" s="14" t="s">
        <v>51</v>
      </c>
      <c r="V1384" s="16">
        <f t="shared" si="165"/>
        <v>244277</v>
      </c>
      <c r="W1384" s="16">
        <f t="shared" si="166"/>
        <v>244284</v>
      </c>
      <c r="X1384" s="16">
        <f t="shared" si="167"/>
        <v>244279</v>
      </c>
      <c r="Y1384" s="15" t="s">
        <v>54</v>
      </c>
      <c r="Z1384" s="177">
        <v>244289</v>
      </c>
      <c r="AA1384" s="170"/>
      <c r="AB1384" s="170"/>
      <c r="AC1384" s="170"/>
      <c r="AD1384" s="170"/>
      <c r="AE1384" s="15" t="s">
        <v>54</v>
      </c>
      <c r="AF1384" s="177">
        <v>244291</v>
      </c>
      <c r="AG1384" s="177" t="str">
        <f t="shared" si="168"/>
        <v>Pass</v>
      </c>
      <c r="AH1384" s="177">
        <f t="shared" si="169"/>
        <v>244291</v>
      </c>
      <c r="AK1384" s="176"/>
      <c r="AL1384" s="176"/>
    </row>
    <row r="1385" spans="1:38" ht="36" customHeight="1" x14ac:dyDescent="0.2">
      <c r="A1385" s="14" t="s">
        <v>26</v>
      </c>
      <c r="B1385" s="212">
        <v>244277</v>
      </c>
      <c r="C1385" s="14" t="s">
        <v>547</v>
      </c>
      <c r="D1385" s="14" t="s">
        <v>268</v>
      </c>
      <c r="E1385" s="14" t="s">
        <v>14</v>
      </c>
      <c r="F1385" s="14" t="s">
        <v>324</v>
      </c>
      <c r="G1385" s="179">
        <v>681384</v>
      </c>
      <c r="H1385" s="176" t="s">
        <v>1054</v>
      </c>
      <c r="I1385" s="176" t="s">
        <v>551</v>
      </c>
      <c r="J1385" s="176" t="s">
        <v>832</v>
      </c>
      <c r="K1385" s="176" t="s">
        <v>4126</v>
      </c>
      <c r="L1385" s="40" t="s">
        <v>108</v>
      </c>
      <c r="M1385" s="40" t="s">
        <v>341</v>
      </c>
      <c r="N1385" s="14" t="s">
        <v>4137</v>
      </c>
      <c r="O1385" s="14" t="s">
        <v>527</v>
      </c>
      <c r="P1385" s="14" t="s">
        <v>4142</v>
      </c>
      <c r="Q1385" s="14" t="s">
        <v>542</v>
      </c>
      <c r="R1385" s="17">
        <v>170</v>
      </c>
      <c r="S1385" s="172" t="s">
        <v>51</v>
      </c>
      <c r="T1385" s="17">
        <v>2850</v>
      </c>
      <c r="U1385" s="14" t="s">
        <v>51</v>
      </c>
      <c r="V1385" s="16">
        <f t="shared" si="165"/>
        <v>244277</v>
      </c>
      <c r="W1385" s="16">
        <f t="shared" si="166"/>
        <v>244284</v>
      </c>
      <c r="X1385" s="16">
        <f t="shared" si="167"/>
        <v>244279</v>
      </c>
      <c r="Y1385" s="15" t="s">
        <v>54</v>
      </c>
      <c r="Z1385" s="177">
        <v>244289</v>
      </c>
      <c r="AA1385" s="170"/>
      <c r="AB1385" s="170"/>
      <c r="AC1385" s="170"/>
      <c r="AD1385" s="170"/>
      <c r="AE1385" s="15" t="s">
        <v>54</v>
      </c>
      <c r="AF1385" s="177">
        <v>244291</v>
      </c>
      <c r="AG1385" s="177" t="str">
        <f t="shared" si="168"/>
        <v>Pass</v>
      </c>
      <c r="AH1385" s="177">
        <f t="shared" si="169"/>
        <v>244291</v>
      </c>
      <c r="AK1385" s="176"/>
      <c r="AL1385" s="176"/>
    </row>
    <row r="1386" spans="1:38" ht="36" customHeight="1" x14ac:dyDescent="0.2">
      <c r="A1386" s="14" t="s">
        <v>26</v>
      </c>
      <c r="B1386" s="212">
        <v>244277</v>
      </c>
      <c r="C1386" s="14" t="s">
        <v>547</v>
      </c>
      <c r="D1386" s="14" t="s">
        <v>268</v>
      </c>
      <c r="E1386" s="14" t="s">
        <v>14</v>
      </c>
      <c r="F1386" s="14" t="s">
        <v>324</v>
      </c>
      <c r="G1386" s="179">
        <v>681385</v>
      </c>
      <c r="H1386" s="176" t="s">
        <v>1054</v>
      </c>
      <c r="I1386" s="176" t="s">
        <v>551</v>
      </c>
      <c r="J1386" s="176" t="s">
        <v>832</v>
      </c>
      <c r="K1386" s="176" t="s">
        <v>4126</v>
      </c>
      <c r="L1386" s="40" t="s">
        <v>108</v>
      </c>
      <c r="M1386" s="40" t="s">
        <v>341</v>
      </c>
      <c r="N1386" s="14" t="s">
        <v>4138</v>
      </c>
      <c r="O1386" s="14" t="s">
        <v>552</v>
      </c>
      <c r="P1386" s="14" t="s">
        <v>1489</v>
      </c>
      <c r="Q1386" s="14" t="s">
        <v>553</v>
      </c>
      <c r="R1386" s="17">
        <v>1100</v>
      </c>
      <c r="S1386" s="172" t="s">
        <v>51</v>
      </c>
      <c r="T1386" s="17">
        <v>2850</v>
      </c>
      <c r="U1386" s="14" t="s">
        <v>51</v>
      </c>
      <c r="V1386" s="16">
        <f t="shared" si="165"/>
        <v>244277</v>
      </c>
      <c r="W1386" s="16">
        <f t="shared" si="166"/>
        <v>244284</v>
      </c>
      <c r="X1386" s="16">
        <f t="shared" si="167"/>
        <v>244279</v>
      </c>
      <c r="Y1386" s="15" t="s">
        <v>54</v>
      </c>
      <c r="Z1386" s="177">
        <v>244289</v>
      </c>
      <c r="AA1386" s="170"/>
      <c r="AB1386" s="170"/>
      <c r="AC1386" s="170"/>
      <c r="AD1386" s="170"/>
      <c r="AE1386" s="15" t="s">
        <v>54</v>
      </c>
      <c r="AF1386" s="177">
        <v>244291</v>
      </c>
      <c r="AG1386" s="177" t="str">
        <f t="shared" si="168"/>
        <v>Pass</v>
      </c>
      <c r="AH1386" s="177">
        <f t="shared" si="169"/>
        <v>244291</v>
      </c>
      <c r="AK1386" s="176"/>
      <c r="AL1386" s="176"/>
    </row>
    <row r="1387" spans="1:38" ht="36" customHeight="1" x14ac:dyDescent="0.2">
      <c r="A1387" s="14" t="s">
        <v>26</v>
      </c>
      <c r="B1387" s="212">
        <v>244277</v>
      </c>
      <c r="C1387" s="14" t="s">
        <v>547</v>
      </c>
      <c r="D1387" s="14" t="s">
        <v>268</v>
      </c>
      <c r="E1387" s="14" t="s">
        <v>14</v>
      </c>
      <c r="F1387" s="14" t="s">
        <v>324</v>
      </c>
      <c r="G1387" s="179">
        <v>681386</v>
      </c>
      <c r="H1387" s="176" t="s">
        <v>4124</v>
      </c>
      <c r="I1387" s="176" t="s">
        <v>802</v>
      </c>
      <c r="J1387" s="176" t="s">
        <v>143</v>
      </c>
      <c r="K1387" s="176" t="s">
        <v>4125</v>
      </c>
      <c r="L1387" s="40" t="s">
        <v>46</v>
      </c>
      <c r="M1387" s="40" t="s">
        <v>341</v>
      </c>
      <c r="N1387" s="14" t="s">
        <v>1738</v>
      </c>
      <c r="O1387" s="14" t="s">
        <v>548</v>
      </c>
      <c r="P1387" s="14" t="s">
        <v>518</v>
      </c>
      <c r="Q1387" s="14" t="s">
        <v>549</v>
      </c>
      <c r="R1387" s="17">
        <v>125</v>
      </c>
      <c r="S1387" s="172" t="s">
        <v>51</v>
      </c>
      <c r="T1387" s="17">
        <v>2420</v>
      </c>
      <c r="U1387" s="14" t="s">
        <v>51</v>
      </c>
      <c r="V1387" s="16">
        <f t="shared" si="165"/>
        <v>244277</v>
      </c>
      <c r="W1387" s="16">
        <f t="shared" si="166"/>
        <v>244284</v>
      </c>
      <c r="X1387" s="16">
        <f t="shared" si="167"/>
        <v>244279</v>
      </c>
      <c r="Y1387" s="15" t="s">
        <v>54</v>
      </c>
      <c r="Z1387" s="177">
        <v>244289</v>
      </c>
      <c r="AA1387" s="170"/>
      <c r="AB1387" s="170"/>
      <c r="AC1387" s="170"/>
      <c r="AD1387" s="170"/>
      <c r="AE1387" s="15" t="s">
        <v>54</v>
      </c>
      <c r="AF1387" s="177">
        <v>244291</v>
      </c>
      <c r="AG1387" s="177" t="str">
        <f t="shared" si="168"/>
        <v>Pass</v>
      </c>
      <c r="AH1387" s="177">
        <f t="shared" si="169"/>
        <v>244291</v>
      </c>
      <c r="AK1387" s="176"/>
      <c r="AL1387" s="176"/>
    </row>
    <row r="1388" spans="1:38" ht="36" customHeight="1" x14ac:dyDescent="0.2">
      <c r="A1388" s="14" t="s">
        <v>26</v>
      </c>
      <c r="B1388" s="212">
        <v>244277</v>
      </c>
      <c r="C1388" s="14" t="s">
        <v>547</v>
      </c>
      <c r="D1388" s="14" t="s">
        <v>268</v>
      </c>
      <c r="E1388" s="14" t="s">
        <v>14</v>
      </c>
      <c r="F1388" s="14" t="s">
        <v>324</v>
      </c>
      <c r="G1388" s="179">
        <v>681387</v>
      </c>
      <c r="H1388" s="176" t="s">
        <v>4124</v>
      </c>
      <c r="I1388" s="176" t="s">
        <v>802</v>
      </c>
      <c r="J1388" s="176" t="s">
        <v>143</v>
      </c>
      <c r="K1388" s="176" t="s">
        <v>4125</v>
      </c>
      <c r="L1388" s="40" t="s">
        <v>46</v>
      </c>
      <c r="M1388" s="40" t="s">
        <v>341</v>
      </c>
      <c r="N1388" s="14" t="s">
        <v>4139</v>
      </c>
      <c r="O1388" s="14" t="s">
        <v>953</v>
      </c>
      <c r="P1388" s="14" t="s">
        <v>4143</v>
      </c>
      <c r="Q1388" s="14" t="s">
        <v>956</v>
      </c>
      <c r="R1388" s="17">
        <v>3500</v>
      </c>
      <c r="S1388" s="172" t="s">
        <v>51</v>
      </c>
      <c r="T1388" s="17">
        <v>4860</v>
      </c>
      <c r="U1388" s="14" t="s">
        <v>51</v>
      </c>
      <c r="V1388" s="16">
        <f t="shared" si="165"/>
        <v>244277</v>
      </c>
      <c r="W1388" s="16">
        <f t="shared" si="166"/>
        <v>244284</v>
      </c>
      <c r="X1388" s="16">
        <f t="shared" si="167"/>
        <v>244279</v>
      </c>
      <c r="Y1388" s="15" t="s">
        <v>54</v>
      </c>
      <c r="Z1388" s="177">
        <v>244289</v>
      </c>
      <c r="AA1388" s="170"/>
      <c r="AB1388" s="170"/>
      <c r="AC1388" s="170"/>
      <c r="AD1388" s="170"/>
      <c r="AE1388" s="15" t="s">
        <v>54</v>
      </c>
      <c r="AF1388" s="177">
        <v>244291</v>
      </c>
      <c r="AG1388" s="177" t="str">
        <f t="shared" si="168"/>
        <v>Pass</v>
      </c>
      <c r="AH1388" s="177">
        <f t="shared" si="169"/>
        <v>244291</v>
      </c>
      <c r="AK1388" s="176"/>
      <c r="AL1388" s="176"/>
    </row>
    <row r="1389" spans="1:38" ht="36" customHeight="1" x14ac:dyDescent="0.2">
      <c r="A1389" s="14" t="s">
        <v>26</v>
      </c>
      <c r="B1389" s="212">
        <v>244277</v>
      </c>
      <c r="C1389" s="14" t="s">
        <v>547</v>
      </c>
      <c r="D1389" s="14" t="s">
        <v>268</v>
      </c>
      <c r="E1389" s="14" t="s">
        <v>14</v>
      </c>
      <c r="F1389" s="14" t="s">
        <v>324</v>
      </c>
      <c r="G1389" s="179">
        <v>681388</v>
      </c>
      <c r="H1389" s="176" t="s">
        <v>4133</v>
      </c>
      <c r="I1389" s="176" t="s">
        <v>864</v>
      </c>
      <c r="J1389" s="176" t="s">
        <v>131</v>
      </c>
      <c r="K1389" s="176" t="s">
        <v>4135</v>
      </c>
      <c r="L1389" s="40" t="s">
        <v>45</v>
      </c>
      <c r="M1389" s="40" t="s">
        <v>341</v>
      </c>
      <c r="N1389" s="14" t="s">
        <v>4140</v>
      </c>
      <c r="O1389" s="14" t="s">
        <v>756</v>
      </c>
      <c r="P1389" s="14" t="s">
        <v>4144</v>
      </c>
      <c r="Q1389" s="14" t="s">
        <v>758</v>
      </c>
      <c r="R1389" s="17">
        <v>1000</v>
      </c>
      <c r="S1389" s="172" t="s">
        <v>51</v>
      </c>
      <c r="T1389" s="17">
        <v>1210</v>
      </c>
      <c r="U1389" s="14" t="s">
        <v>51</v>
      </c>
      <c r="V1389" s="16">
        <f t="shared" si="165"/>
        <v>244277</v>
      </c>
      <c r="W1389" s="16">
        <f t="shared" si="166"/>
        <v>244284</v>
      </c>
      <c r="X1389" s="16">
        <f t="shared" si="167"/>
        <v>244279</v>
      </c>
      <c r="Y1389" s="15" t="s">
        <v>54</v>
      </c>
      <c r="Z1389" s="177">
        <v>244289</v>
      </c>
      <c r="AA1389" s="170"/>
      <c r="AB1389" s="170"/>
      <c r="AC1389" s="170"/>
      <c r="AD1389" s="170"/>
      <c r="AE1389" s="15" t="s">
        <v>54</v>
      </c>
      <c r="AF1389" s="177">
        <v>244291</v>
      </c>
      <c r="AG1389" s="177" t="str">
        <f t="shared" si="168"/>
        <v>Pass</v>
      </c>
      <c r="AH1389" s="177">
        <f t="shared" si="169"/>
        <v>244291</v>
      </c>
      <c r="AK1389" s="176"/>
      <c r="AL1389" s="176"/>
    </row>
    <row r="1390" spans="1:38" ht="36" customHeight="1" x14ac:dyDescent="0.2">
      <c r="A1390" s="14" t="s">
        <v>26</v>
      </c>
      <c r="B1390" s="212">
        <v>244277</v>
      </c>
      <c r="C1390" s="14" t="s">
        <v>547</v>
      </c>
      <c r="D1390" s="14" t="s">
        <v>268</v>
      </c>
      <c r="E1390" s="14" t="s">
        <v>14</v>
      </c>
      <c r="F1390" s="14" t="s">
        <v>324</v>
      </c>
      <c r="G1390" s="179">
        <v>681389</v>
      </c>
      <c r="H1390" s="176" t="s">
        <v>4134</v>
      </c>
      <c r="I1390" s="176" t="s">
        <v>802</v>
      </c>
      <c r="J1390" s="176" t="s">
        <v>143</v>
      </c>
      <c r="K1390" s="176" t="s">
        <v>4136</v>
      </c>
      <c r="L1390" s="40" t="s">
        <v>46</v>
      </c>
      <c r="M1390" s="40" t="s">
        <v>341</v>
      </c>
      <c r="N1390" s="14" t="s">
        <v>4141</v>
      </c>
      <c r="O1390" s="14" t="s">
        <v>543</v>
      </c>
      <c r="P1390" s="14" t="s">
        <v>2160</v>
      </c>
      <c r="Q1390" s="14" t="s">
        <v>529</v>
      </c>
      <c r="R1390" s="17">
        <v>450</v>
      </c>
      <c r="S1390" s="172" t="s">
        <v>51</v>
      </c>
      <c r="T1390" s="17">
        <v>2330</v>
      </c>
      <c r="U1390" s="14" t="s">
        <v>51</v>
      </c>
      <c r="V1390" s="16">
        <f t="shared" si="165"/>
        <v>244277</v>
      </c>
      <c r="W1390" s="16">
        <f t="shared" si="166"/>
        <v>244284</v>
      </c>
      <c r="X1390" s="16">
        <f t="shared" si="167"/>
        <v>244279</v>
      </c>
      <c r="Y1390" s="15" t="s">
        <v>54</v>
      </c>
      <c r="Z1390" s="177">
        <v>244289</v>
      </c>
      <c r="AA1390" s="170"/>
      <c r="AB1390" s="170"/>
      <c r="AC1390" s="170"/>
      <c r="AD1390" s="170"/>
      <c r="AE1390" s="15" t="s">
        <v>54</v>
      </c>
      <c r="AF1390" s="177">
        <v>244291</v>
      </c>
      <c r="AG1390" s="177" t="str">
        <f t="shared" si="168"/>
        <v>Pass</v>
      </c>
      <c r="AH1390" s="177">
        <f t="shared" si="169"/>
        <v>244291</v>
      </c>
      <c r="AK1390" s="176"/>
      <c r="AL1390" s="176"/>
    </row>
    <row r="1391" spans="1:38" ht="36" customHeight="1" x14ac:dyDescent="0.2">
      <c r="A1391" s="14" t="s">
        <v>26</v>
      </c>
      <c r="B1391" s="212">
        <v>244278</v>
      </c>
      <c r="C1391" s="14" t="s">
        <v>547</v>
      </c>
      <c r="D1391" s="14" t="s">
        <v>268</v>
      </c>
      <c r="E1391" s="14" t="s">
        <v>14</v>
      </c>
      <c r="F1391" s="14" t="s">
        <v>324</v>
      </c>
      <c r="G1391" s="179">
        <v>681390</v>
      </c>
      <c r="H1391" s="176" t="s">
        <v>3242</v>
      </c>
      <c r="I1391" s="176" t="s">
        <v>664</v>
      </c>
      <c r="J1391" s="176" t="s">
        <v>123</v>
      </c>
      <c r="K1391" s="176" t="s">
        <v>4149</v>
      </c>
      <c r="L1391" s="40" t="s">
        <v>105</v>
      </c>
      <c r="M1391" s="40" t="s">
        <v>341</v>
      </c>
      <c r="N1391" s="14" t="s">
        <v>4154</v>
      </c>
      <c r="O1391" s="14" t="s">
        <v>527</v>
      </c>
      <c r="P1391" s="14" t="s">
        <v>4160</v>
      </c>
      <c r="Q1391" s="14" t="s">
        <v>542</v>
      </c>
      <c r="R1391" s="17">
        <v>300</v>
      </c>
      <c r="S1391" s="172" t="s">
        <v>51</v>
      </c>
      <c r="T1391" s="17">
        <v>410</v>
      </c>
      <c r="U1391" s="14" t="s">
        <v>51</v>
      </c>
      <c r="V1391" s="16">
        <f t="shared" si="165"/>
        <v>244278</v>
      </c>
      <c r="W1391" s="16">
        <f t="shared" si="166"/>
        <v>244285</v>
      </c>
      <c r="X1391" s="16">
        <f t="shared" si="167"/>
        <v>244280</v>
      </c>
      <c r="Y1391" s="15" t="s">
        <v>54</v>
      </c>
      <c r="Z1391" s="177">
        <v>244289</v>
      </c>
      <c r="AA1391" s="170"/>
      <c r="AB1391" s="170"/>
      <c r="AC1391" s="170"/>
      <c r="AD1391" s="170"/>
      <c r="AE1391" s="15" t="s">
        <v>54</v>
      </c>
      <c r="AF1391" s="177">
        <v>244291</v>
      </c>
      <c r="AG1391" s="177" t="str">
        <f t="shared" si="168"/>
        <v>Pass</v>
      </c>
      <c r="AH1391" s="177">
        <f t="shared" si="169"/>
        <v>244291</v>
      </c>
      <c r="AK1391" s="176"/>
      <c r="AL1391" s="176"/>
    </row>
    <row r="1392" spans="1:38" ht="36" customHeight="1" x14ac:dyDescent="0.2">
      <c r="A1392" s="14" t="s">
        <v>26</v>
      </c>
      <c r="B1392" s="212">
        <v>244278</v>
      </c>
      <c r="C1392" s="14" t="s">
        <v>547</v>
      </c>
      <c r="D1392" s="14" t="s">
        <v>268</v>
      </c>
      <c r="E1392" s="14" t="s">
        <v>14</v>
      </c>
      <c r="F1392" s="14" t="s">
        <v>324</v>
      </c>
      <c r="G1392" s="179">
        <v>681391</v>
      </c>
      <c r="H1392" s="176" t="s">
        <v>1603</v>
      </c>
      <c r="I1392" s="176" t="s">
        <v>551</v>
      </c>
      <c r="J1392" s="176" t="s">
        <v>832</v>
      </c>
      <c r="K1392" s="176" t="s">
        <v>4150</v>
      </c>
      <c r="L1392" s="40" t="s">
        <v>108</v>
      </c>
      <c r="M1392" s="40" t="s">
        <v>341</v>
      </c>
      <c r="N1392" s="14" t="s">
        <v>4155</v>
      </c>
      <c r="O1392" s="14" t="s">
        <v>552</v>
      </c>
      <c r="P1392" s="14" t="s">
        <v>941</v>
      </c>
      <c r="Q1392" s="14" t="s">
        <v>553</v>
      </c>
      <c r="R1392" s="17">
        <v>1500</v>
      </c>
      <c r="S1392" s="172" t="s">
        <v>51</v>
      </c>
      <c r="T1392" s="17">
        <v>2870</v>
      </c>
      <c r="U1392" s="14" t="s">
        <v>51</v>
      </c>
      <c r="V1392" s="16">
        <f t="shared" si="165"/>
        <v>244278</v>
      </c>
      <c r="W1392" s="16">
        <f t="shared" si="166"/>
        <v>244285</v>
      </c>
      <c r="X1392" s="16">
        <f t="shared" si="167"/>
        <v>244280</v>
      </c>
      <c r="Y1392" s="15" t="s">
        <v>54</v>
      </c>
      <c r="Z1392" s="177">
        <v>244289</v>
      </c>
      <c r="AA1392" s="170"/>
      <c r="AB1392" s="170"/>
      <c r="AC1392" s="170"/>
      <c r="AD1392" s="170"/>
      <c r="AE1392" s="15" t="s">
        <v>54</v>
      </c>
      <c r="AF1392" s="177">
        <v>244291</v>
      </c>
      <c r="AG1392" s="177" t="str">
        <f t="shared" si="168"/>
        <v>Pass</v>
      </c>
      <c r="AH1392" s="177">
        <f t="shared" si="169"/>
        <v>244291</v>
      </c>
      <c r="AK1392" s="176"/>
      <c r="AL1392" s="176"/>
    </row>
    <row r="1393" spans="1:38" ht="36" customHeight="1" x14ac:dyDescent="0.2">
      <c r="A1393" s="14" t="s">
        <v>26</v>
      </c>
      <c r="B1393" s="212">
        <v>244278</v>
      </c>
      <c r="C1393" s="14" t="s">
        <v>547</v>
      </c>
      <c r="D1393" s="14" t="s">
        <v>268</v>
      </c>
      <c r="E1393" s="14" t="s">
        <v>14</v>
      </c>
      <c r="F1393" s="14" t="s">
        <v>324</v>
      </c>
      <c r="G1393" s="179">
        <v>681392</v>
      </c>
      <c r="H1393" s="176" t="s">
        <v>1695</v>
      </c>
      <c r="I1393" s="176" t="s">
        <v>664</v>
      </c>
      <c r="J1393" s="176" t="s">
        <v>123</v>
      </c>
      <c r="K1393" s="176" t="s">
        <v>4151</v>
      </c>
      <c r="L1393" s="40" t="s">
        <v>105</v>
      </c>
      <c r="M1393" s="40" t="s">
        <v>341</v>
      </c>
      <c r="N1393" s="14" t="s">
        <v>3253</v>
      </c>
      <c r="O1393" s="14" t="s">
        <v>548</v>
      </c>
      <c r="P1393" s="14" t="s">
        <v>717</v>
      </c>
      <c r="Q1393" s="14" t="s">
        <v>549</v>
      </c>
      <c r="R1393" s="17">
        <v>100</v>
      </c>
      <c r="S1393" s="172" t="s">
        <v>51</v>
      </c>
      <c r="T1393" s="17">
        <v>305</v>
      </c>
      <c r="U1393" s="14" t="s">
        <v>51</v>
      </c>
      <c r="V1393" s="16">
        <f t="shared" si="165"/>
        <v>244278</v>
      </c>
      <c r="W1393" s="16">
        <f t="shared" si="166"/>
        <v>244285</v>
      </c>
      <c r="X1393" s="16">
        <f t="shared" si="167"/>
        <v>244280</v>
      </c>
      <c r="Y1393" s="15" t="s">
        <v>54</v>
      </c>
      <c r="Z1393" s="177">
        <v>244289</v>
      </c>
      <c r="AA1393" s="170"/>
      <c r="AB1393" s="170"/>
      <c r="AC1393" s="170"/>
      <c r="AD1393" s="170"/>
      <c r="AE1393" s="15" t="s">
        <v>54</v>
      </c>
      <c r="AF1393" s="177">
        <v>244291</v>
      </c>
      <c r="AG1393" s="177" t="str">
        <f t="shared" si="168"/>
        <v>Pass</v>
      </c>
      <c r="AH1393" s="177">
        <f t="shared" si="169"/>
        <v>244291</v>
      </c>
      <c r="AK1393" s="176"/>
      <c r="AL1393" s="176"/>
    </row>
    <row r="1394" spans="1:38" ht="36" customHeight="1" x14ac:dyDescent="0.2">
      <c r="A1394" s="14" t="s">
        <v>26</v>
      </c>
      <c r="B1394" s="212">
        <v>244278</v>
      </c>
      <c r="C1394" s="14" t="s">
        <v>547</v>
      </c>
      <c r="D1394" s="14" t="s">
        <v>268</v>
      </c>
      <c r="E1394" s="14" t="s">
        <v>14</v>
      </c>
      <c r="F1394" s="14" t="s">
        <v>324</v>
      </c>
      <c r="G1394" s="179">
        <v>681393</v>
      </c>
      <c r="H1394" s="176" t="s">
        <v>628</v>
      </c>
      <c r="I1394" s="176" t="s">
        <v>551</v>
      </c>
      <c r="J1394" s="176" t="s">
        <v>832</v>
      </c>
      <c r="K1394" s="176" t="s">
        <v>4152</v>
      </c>
      <c r="L1394" s="40" t="s">
        <v>108</v>
      </c>
      <c r="M1394" s="40" t="s">
        <v>341</v>
      </c>
      <c r="N1394" s="14" t="s">
        <v>4156</v>
      </c>
      <c r="O1394" s="14" t="s">
        <v>527</v>
      </c>
      <c r="P1394" s="14" t="s">
        <v>4161</v>
      </c>
      <c r="Q1394" s="14" t="s">
        <v>542</v>
      </c>
      <c r="R1394" s="17">
        <v>182</v>
      </c>
      <c r="S1394" s="172" t="s">
        <v>51</v>
      </c>
      <c r="T1394" s="17">
        <v>2100</v>
      </c>
      <c r="U1394" s="14" t="s">
        <v>51</v>
      </c>
      <c r="V1394" s="16">
        <f t="shared" si="165"/>
        <v>244278</v>
      </c>
      <c r="W1394" s="16">
        <f t="shared" si="166"/>
        <v>244285</v>
      </c>
      <c r="X1394" s="16">
        <f t="shared" si="167"/>
        <v>244280</v>
      </c>
      <c r="Y1394" s="15" t="s">
        <v>54</v>
      </c>
      <c r="Z1394" s="177">
        <v>244289</v>
      </c>
      <c r="AA1394" s="170"/>
      <c r="AB1394" s="170"/>
      <c r="AC1394" s="170"/>
      <c r="AD1394" s="170"/>
      <c r="AE1394" s="15" t="s">
        <v>54</v>
      </c>
      <c r="AF1394" s="177">
        <v>244291</v>
      </c>
      <c r="AG1394" s="177" t="str">
        <f t="shared" si="168"/>
        <v>Pass</v>
      </c>
      <c r="AH1394" s="177">
        <f t="shared" si="169"/>
        <v>244291</v>
      </c>
      <c r="AK1394" s="176"/>
      <c r="AL1394" s="176"/>
    </row>
    <row r="1395" spans="1:38" ht="36" customHeight="1" x14ac:dyDescent="0.2">
      <c r="A1395" s="14" t="s">
        <v>26</v>
      </c>
      <c r="B1395" s="212">
        <v>244278</v>
      </c>
      <c r="C1395" s="14" t="s">
        <v>547</v>
      </c>
      <c r="D1395" s="14" t="s">
        <v>268</v>
      </c>
      <c r="E1395" s="14" t="s">
        <v>14</v>
      </c>
      <c r="F1395" s="14" t="s">
        <v>324</v>
      </c>
      <c r="G1395" s="179">
        <v>681394</v>
      </c>
      <c r="H1395" s="176" t="s">
        <v>4146</v>
      </c>
      <c r="I1395" s="176" t="s">
        <v>802</v>
      </c>
      <c r="J1395" s="176" t="s">
        <v>143</v>
      </c>
      <c r="K1395" s="176" t="s">
        <v>4125</v>
      </c>
      <c r="L1395" s="40" t="s">
        <v>46</v>
      </c>
      <c r="M1395" s="40" t="s">
        <v>341</v>
      </c>
      <c r="N1395" s="14" t="s">
        <v>4157</v>
      </c>
      <c r="O1395" s="14" t="s">
        <v>4159</v>
      </c>
      <c r="P1395" s="14" t="s">
        <v>4162</v>
      </c>
      <c r="Q1395" s="14" t="s">
        <v>4164</v>
      </c>
      <c r="R1395" s="17">
        <v>305</v>
      </c>
      <c r="S1395" s="172" t="s">
        <v>51</v>
      </c>
      <c r="T1395" s="17">
        <v>870</v>
      </c>
      <c r="U1395" s="14" t="s">
        <v>51</v>
      </c>
      <c r="V1395" s="16">
        <f t="shared" si="165"/>
        <v>244278</v>
      </c>
      <c r="W1395" s="16">
        <f t="shared" si="166"/>
        <v>244285</v>
      </c>
      <c r="X1395" s="16">
        <f t="shared" si="167"/>
        <v>244280</v>
      </c>
      <c r="Y1395" s="15" t="s">
        <v>54</v>
      </c>
      <c r="Z1395" s="177">
        <v>244289</v>
      </c>
      <c r="AA1395" s="170"/>
      <c r="AB1395" s="170"/>
      <c r="AC1395" s="170"/>
      <c r="AD1395" s="170"/>
      <c r="AE1395" s="15" t="s">
        <v>54</v>
      </c>
      <c r="AF1395" s="177">
        <v>244291</v>
      </c>
      <c r="AG1395" s="177" t="str">
        <f t="shared" si="168"/>
        <v>Pass</v>
      </c>
      <c r="AH1395" s="177">
        <f t="shared" si="169"/>
        <v>244291</v>
      </c>
      <c r="AK1395" s="176"/>
      <c r="AL1395" s="176"/>
    </row>
    <row r="1396" spans="1:38" ht="36" customHeight="1" x14ac:dyDescent="0.2">
      <c r="A1396" s="14" t="s">
        <v>26</v>
      </c>
      <c r="B1396" s="212">
        <v>244278</v>
      </c>
      <c r="C1396" s="14" t="s">
        <v>547</v>
      </c>
      <c r="D1396" s="14" t="s">
        <v>268</v>
      </c>
      <c r="E1396" s="14" t="s">
        <v>14</v>
      </c>
      <c r="F1396" s="14" t="s">
        <v>324</v>
      </c>
      <c r="G1396" s="179">
        <v>681395</v>
      </c>
      <c r="H1396" s="176" t="s">
        <v>4147</v>
      </c>
      <c r="I1396" s="176" t="s">
        <v>612</v>
      </c>
      <c r="J1396" s="176" t="s">
        <v>4148</v>
      </c>
      <c r="K1396" s="176" t="s">
        <v>4153</v>
      </c>
      <c r="L1396" s="40" t="s">
        <v>45</v>
      </c>
      <c r="M1396" s="40" t="s">
        <v>341</v>
      </c>
      <c r="N1396" s="14" t="s">
        <v>4158</v>
      </c>
      <c r="O1396" s="14" t="s">
        <v>3966</v>
      </c>
      <c r="P1396" s="14" t="s">
        <v>4163</v>
      </c>
      <c r="Q1396" s="14" t="s">
        <v>4165</v>
      </c>
      <c r="R1396" s="17">
        <v>1350</v>
      </c>
      <c r="S1396" s="172" t="s">
        <v>51</v>
      </c>
      <c r="T1396" s="17">
        <v>1730</v>
      </c>
      <c r="U1396" s="14" t="s">
        <v>51</v>
      </c>
      <c r="V1396" s="16">
        <f t="shared" si="165"/>
        <v>244278</v>
      </c>
      <c r="W1396" s="16">
        <f t="shared" si="166"/>
        <v>244285</v>
      </c>
      <c r="X1396" s="16">
        <f t="shared" si="167"/>
        <v>244280</v>
      </c>
      <c r="Y1396" s="15" t="s">
        <v>54</v>
      </c>
      <c r="Z1396" s="177">
        <v>244289</v>
      </c>
      <c r="AA1396" s="170"/>
      <c r="AB1396" s="170"/>
      <c r="AC1396" s="170"/>
      <c r="AD1396" s="170"/>
      <c r="AE1396" s="15" t="s">
        <v>54</v>
      </c>
      <c r="AF1396" s="177">
        <v>244291</v>
      </c>
      <c r="AG1396" s="177" t="str">
        <f t="shared" si="168"/>
        <v>Pass</v>
      </c>
      <c r="AH1396" s="177">
        <f t="shared" si="169"/>
        <v>244291</v>
      </c>
      <c r="AK1396" s="176"/>
      <c r="AL1396" s="176"/>
    </row>
    <row r="1397" spans="1:38" ht="36" customHeight="1" x14ac:dyDescent="0.2">
      <c r="A1397" s="14" t="s">
        <v>26</v>
      </c>
      <c r="B1397" s="212">
        <v>244278</v>
      </c>
      <c r="C1397" s="14" t="s">
        <v>547</v>
      </c>
      <c r="D1397" s="14" t="s">
        <v>268</v>
      </c>
      <c r="E1397" s="14" t="s">
        <v>14</v>
      </c>
      <c r="F1397" s="14" t="s">
        <v>324</v>
      </c>
      <c r="G1397" s="179">
        <v>681396</v>
      </c>
      <c r="H1397" s="176" t="s">
        <v>4166</v>
      </c>
      <c r="I1397" s="176" t="s">
        <v>551</v>
      </c>
      <c r="J1397" s="176" t="s">
        <v>1394</v>
      </c>
      <c r="K1397" s="176" t="s">
        <v>4167</v>
      </c>
      <c r="L1397" s="40" t="s">
        <v>108</v>
      </c>
      <c r="M1397" s="40" t="s">
        <v>341</v>
      </c>
      <c r="N1397" s="14" t="s">
        <v>4169</v>
      </c>
      <c r="O1397" s="14" t="s">
        <v>552</v>
      </c>
      <c r="P1397" s="14" t="s">
        <v>793</v>
      </c>
      <c r="Q1397" s="14" t="s">
        <v>553</v>
      </c>
      <c r="R1397" s="17">
        <v>975</v>
      </c>
      <c r="S1397" s="172" t="s">
        <v>51</v>
      </c>
      <c r="T1397" s="17">
        <v>4505</v>
      </c>
      <c r="U1397" s="14" t="s">
        <v>51</v>
      </c>
      <c r="V1397" s="16">
        <f t="shared" si="165"/>
        <v>244278</v>
      </c>
      <c r="W1397" s="16">
        <f t="shared" si="166"/>
        <v>244285</v>
      </c>
      <c r="X1397" s="16">
        <f t="shared" si="167"/>
        <v>244280</v>
      </c>
      <c r="Y1397" s="15" t="s">
        <v>54</v>
      </c>
      <c r="Z1397" s="177">
        <v>244289</v>
      </c>
      <c r="AA1397" s="170"/>
      <c r="AB1397" s="170"/>
      <c r="AC1397" s="170"/>
      <c r="AD1397" s="170"/>
      <c r="AE1397" s="15" t="s">
        <v>54</v>
      </c>
      <c r="AF1397" s="177">
        <v>244291</v>
      </c>
      <c r="AG1397" s="177" t="str">
        <f t="shared" si="168"/>
        <v>Pass</v>
      </c>
      <c r="AH1397" s="177">
        <f t="shared" si="169"/>
        <v>244291</v>
      </c>
      <c r="AK1397" s="176"/>
      <c r="AL1397" s="176"/>
    </row>
    <row r="1398" spans="1:38" ht="36" customHeight="1" x14ac:dyDescent="0.2">
      <c r="A1398" s="14" t="s">
        <v>26</v>
      </c>
      <c r="B1398" s="212">
        <v>244278</v>
      </c>
      <c r="C1398" s="14" t="s">
        <v>547</v>
      </c>
      <c r="D1398" s="14" t="s">
        <v>268</v>
      </c>
      <c r="E1398" s="14" t="s">
        <v>14</v>
      </c>
      <c r="F1398" s="14" t="s">
        <v>324</v>
      </c>
      <c r="G1398" s="179">
        <v>681397</v>
      </c>
      <c r="H1398" s="176" t="s">
        <v>3331</v>
      </c>
      <c r="I1398" s="176" t="s">
        <v>3332</v>
      </c>
      <c r="J1398" s="176" t="s">
        <v>3333</v>
      </c>
      <c r="K1398" s="176" t="s">
        <v>4168</v>
      </c>
      <c r="L1398" s="40" t="s">
        <v>106</v>
      </c>
      <c r="M1398" s="40" t="s">
        <v>341</v>
      </c>
      <c r="N1398" s="14" t="s">
        <v>4170</v>
      </c>
      <c r="O1398" s="14" t="s">
        <v>543</v>
      </c>
      <c r="P1398" s="14" t="s">
        <v>4171</v>
      </c>
      <c r="Q1398" s="14" t="s">
        <v>529</v>
      </c>
      <c r="R1398" s="17">
        <v>700</v>
      </c>
      <c r="S1398" s="172" t="s">
        <v>51</v>
      </c>
      <c r="T1398" s="17">
        <v>2670</v>
      </c>
      <c r="U1398" s="14" t="s">
        <v>51</v>
      </c>
      <c r="V1398" s="16">
        <f t="shared" si="165"/>
        <v>244278</v>
      </c>
      <c r="W1398" s="16">
        <f t="shared" si="166"/>
        <v>244285</v>
      </c>
      <c r="X1398" s="16">
        <f t="shared" si="167"/>
        <v>244280</v>
      </c>
      <c r="Y1398" s="15" t="s">
        <v>54</v>
      </c>
      <c r="Z1398" s="177">
        <v>244289</v>
      </c>
      <c r="AA1398" s="170"/>
      <c r="AB1398" s="170"/>
      <c r="AC1398" s="170"/>
      <c r="AD1398" s="170"/>
      <c r="AE1398" s="15" t="s">
        <v>54</v>
      </c>
      <c r="AF1398" s="177">
        <v>244291</v>
      </c>
      <c r="AG1398" s="177" t="str">
        <f t="shared" si="168"/>
        <v>Pass</v>
      </c>
      <c r="AH1398" s="177">
        <f t="shared" si="169"/>
        <v>244291</v>
      </c>
      <c r="AK1398" s="176"/>
      <c r="AL1398" s="176"/>
    </row>
    <row r="1399" spans="1:38" ht="36" customHeight="1" x14ac:dyDescent="0.2">
      <c r="A1399" s="14" t="s">
        <v>26</v>
      </c>
      <c r="B1399" s="212">
        <v>244278</v>
      </c>
      <c r="C1399" s="14" t="s">
        <v>547</v>
      </c>
      <c r="D1399" s="14" t="s">
        <v>268</v>
      </c>
      <c r="E1399" s="14" t="s">
        <v>14</v>
      </c>
      <c r="F1399" s="14" t="s">
        <v>324</v>
      </c>
      <c r="G1399" s="179">
        <v>681398</v>
      </c>
      <c r="H1399" s="176" t="s">
        <v>3331</v>
      </c>
      <c r="I1399" s="176" t="s">
        <v>3332</v>
      </c>
      <c r="J1399" s="176" t="s">
        <v>3333</v>
      </c>
      <c r="K1399" s="176" t="s">
        <v>4168</v>
      </c>
      <c r="L1399" s="40" t="s">
        <v>106</v>
      </c>
      <c r="M1399" s="40" t="s">
        <v>341</v>
      </c>
      <c r="N1399" s="14" t="s">
        <v>765</v>
      </c>
      <c r="O1399" s="14" t="s">
        <v>548</v>
      </c>
      <c r="P1399" s="14" t="s">
        <v>518</v>
      </c>
      <c r="Q1399" s="14" t="s">
        <v>549</v>
      </c>
      <c r="R1399" s="17">
        <v>200</v>
      </c>
      <c r="S1399" s="172" t="s">
        <v>51</v>
      </c>
      <c r="T1399" s="17">
        <v>2670</v>
      </c>
      <c r="U1399" s="14" t="s">
        <v>51</v>
      </c>
      <c r="V1399" s="16">
        <f t="shared" si="165"/>
        <v>244278</v>
      </c>
      <c r="W1399" s="16">
        <f t="shared" si="166"/>
        <v>244285</v>
      </c>
      <c r="X1399" s="16">
        <f t="shared" si="167"/>
        <v>244280</v>
      </c>
      <c r="Y1399" s="15" t="s">
        <v>54</v>
      </c>
      <c r="Z1399" s="177">
        <v>244289</v>
      </c>
      <c r="AA1399" s="170"/>
      <c r="AB1399" s="170"/>
      <c r="AC1399" s="170"/>
      <c r="AD1399" s="170"/>
      <c r="AE1399" s="15" t="s">
        <v>54</v>
      </c>
      <c r="AF1399" s="177">
        <v>244291</v>
      </c>
      <c r="AG1399" s="177" t="str">
        <f t="shared" si="168"/>
        <v>Pass</v>
      </c>
      <c r="AH1399" s="177">
        <f t="shared" si="169"/>
        <v>244291</v>
      </c>
      <c r="AK1399" s="176"/>
      <c r="AL1399" s="176"/>
    </row>
    <row r="1400" spans="1:38" ht="36" customHeight="1" x14ac:dyDescent="0.2">
      <c r="A1400" s="14" t="s">
        <v>26</v>
      </c>
      <c r="B1400" s="212">
        <v>244280</v>
      </c>
      <c r="C1400" s="14" t="s">
        <v>547</v>
      </c>
      <c r="D1400" s="14" t="s">
        <v>268</v>
      </c>
      <c r="E1400" s="14" t="s">
        <v>14</v>
      </c>
      <c r="F1400" s="14" t="s">
        <v>324</v>
      </c>
      <c r="G1400" s="179">
        <v>681399</v>
      </c>
      <c r="H1400" s="176" t="s">
        <v>4172</v>
      </c>
      <c r="I1400" s="176" t="s">
        <v>551</v>
      </c>
      <c r="J1400" s="176" t="s">
        <v>832</v>
      </c>
      <c r="K1400" s="176" t="s">
        <v>4174</v>
      </c>
      <c r="L1400" s="40" t="s">
        <v>108</v>
      </c>
      <c r="M1400" s="40" t="s">
        <v>341</v>
      </c>
      <c r="N1400" s="14" t="s">
        <v>4180</v>
      </c>
      <c r="O1400" s="14" t="s">
        <v>552</v>
      </c>
      <c r="P1400" s="14" t="s">
        <v>793</v>
      </c>
      <c r="Q1400" s="14" t="s">
        <v>553</v>
      </c>
      <c r="R1400" s="17">
        <v>408</v>
      </c>
      <c r="S1400" s="172" t="s">
        <v>51</v>
      </c>
      <c r="T1400" s="17">
        <v>2570</v>
      </c>
      <c r="U1400" s="14" t="s">
        <v>51</v>
      </c>
      <c r="V1400" s="16">
        <f t="shared" si="165"/>
        <v>244280</v>
      </c>
      <c r="W1400" s="16">
        <f t="shared" si="166"/>
        <v>244287</v>
      </c>
      <c r="X1400" s="16">
        <f t="shared" si="167"/>
        <v>244282</v>
      </c>
      <c r="Y1400" s="15" t="s">
        <v>54</v>
      </c>
      <c r="Z1400" s="177">
        <v>244289</v>
      </c>
      <c r="AA1400" s="170"/>
      <c r="AB1400" s="170"/>
      <c r="AC1400" s="170"/>
      <c r="AD1400" s="170"/>
      <c r="AE1400" s="15" t="s">
        <v>54</v>
      </c>
      <c r="AF1400" s="177">
        <v>244291</v>
      </c>
      <c r="AG1400" s="177" t="str">
        <f t="shared" si="168"/>
        <v>Pass</v>
      </c>
      <c r="AH1400" s="177">
        <f t="shared" si="169"/>
        <v>244291</v>
      </c>
      <c r="AK1400" s="176"/>
      <c r="AL1400" s="176"/>
    </row>
    <row r="1401" spans="1:38" ht="36" customHeight="1" x14ac:dyDescent="0.2">
      <c r="A1401" s="14" t="s">
        <v>26</v>
      </c>
      <c r="B1401" s="212">
        <v>244280</v>
      </c>
      <c r="C1401" s="14" t="s">
        <v>547</v>
      </c>
      <c r="D1401" s="14" t="s">
        <v>268</v>
      </c>
      <c r="E1401" s="14" t="s">
        <v>14</v>
      </c>
      <c r="F1401" s="14" t="s">
        <v>324</v>
      </c>
      <c r="G1401" s="179">
        <v>681400</v>
      </c>
      <c r="H1401" s="176">
        <v>997</v>
      </c>
      <c r="I1401" s="176" t="s">
        <v>551</v>
      </c>
      <c r="J1401" s="176" t="s">
        <v>832</v>
      </c>
      <c r="K1401" s="176" t="s">
        <v>4175</v>
      </c>
      <c r="L1401" s="40" t="s">
        <v>108</v>
      </c>
      <c r="M1401" s="40" t="s">
        <v>341</v>
      </c>
      <c r="N1401" s="14" t="s">
        <v>4181</v>
      </c>
      <c r="O1401" s="14" t="s">
        <v>552</v>
      </c>
      <c r="P1401" s="14" t="s">
        <v>1489</v>
      </c>
      <c r="Q1401" s="14" t="s">
        <v>553</v>
      </c>
      <c r="R1401" s="17">
        <v>2175</v>
      </c>
      <c r="S1401" s="172" t="s">
        <v>51</v>
      </c>
      <c r="T1401" s="17">
        <v>2830</v>
      </c>
      <c r="U1401" s="14" t="s">
        <v>51</v>
      </c>
      <c r="V1401" s="16">
        <f t="shared" ref="V1401:V1464" si="170">B1401</f>
        <v>244280</v>
      </c>
      <c r="W1401" s="16">
        <f t="shared" ref="W1401:W1464" si="171">B1401+7</f>
        <v>244287</v>
      </c>
      <c r="X1401" s="16">
        <f t="shared" ref="X1401:X1464" si="172">V1401+2</f>
        <v>244282</v>
      </c>
      <c r="Y1401" s="15" t="s">
        <v>54</v>
      </c>
      <c r="Z1401" s="177">
        <v>244289</v>
      </c>
      <c r="AA1401" s="170"/>
      <c r="AB1401" s="170"/>
      <c r="AC1401" s="170"/>
      <c r="AD1401" s="170"/>
      <c r="AE1401" s="15" t="s">
        <v>54</v>
      </c>
      <c r="AF1401" s="177">
        <v>244291</v>
      </c>
      <c r="AG1401" s="177" t="str">
        <f t="shared" si="168"/>
        <v>Pass</v>
      </c>
      <c r="AH1401" s="177">
        <f t="shared" si="169"/>
        <v>244291</v>
      </c>
      <c r="AK1401" s="176"/>
      <c r="AL1401" s="176"/>
    </row>
    <row r="1402" spans="1:38" ht="36" customHeight="1" x14ac:dyDescent="0.2">
      <c r="A1402" s="14" t="s">
        <v>26</v>
      </c>
      <c r="B1402" s="212">
        <v>244280</v>
      </c>
      <c r="C1402" s="14" t="s">
        <v>547</v>
      </c>
      <c r="D1402" s="14" t="s">
        <v>268</v>
      </c>
      <c r="E1402" s="14" t="s">
        <v>14</v>
      </c>
      <c r="F1402" s="14" t="s">
        <v>324</v>
      </c>
      <c r="G1402" s="179">
        <v>681401</v>
      </c>
      <c r="H1402" s="176" t="s">
        <v>1834</v>
      </c>
      <c r="I1402" s="176" t="s">
        <v>864</v>
      </c>
      <c r="J1402" s="176" t="s">
        <v>131</v>
      </c>
      <c r="K1402" s="176" t="s">
        <v>4176</v>
      </c>
      <c r="L1402" s="40" t="s">
        <v>45</v>
      </c>
      <c r="M1402" s="40" t="s">
        <v>341</v>
      </c>
      <c r="N1402" s="14" t="s">
        <v>4182</v>
      </c>
      <c r="O1402" s="14" t="s">
        <v>552</v>
      </c>
      <c r="P1402" s="14" t="s">
        <v>793</v>
      </c>
      <c r="Q1402" s="14" t="s">
        <v>553</v>
      </c>
      <c r="R1402" s="17">
        <v>2325</v>
      </c>
      <c r="S1402" s="172" t="s">
        <v>51</v>
      </c>
      <c r="T1402" s="17">
        <v>3300</v>
      </c>
      <c r="U1402" s="14" t="s">
        <v>51</v>
      </c>
      <c r="V1402" s="16">
        <f t="shared" si="170"/>
        <v>244280</v>
      </c>
      <c r="W1402" s="16">
        <f t="shared" si="171"/>
        <v>244287</v>
      </c>
      <c r="X1402" s="16">
        <f t="shared" si="172"/>
        <v>244282</v>
      </c>
      <c r="Y1402" s="15" t="s">
        <v>54</v>
      </c>
      <c r="Z1402" s="177">
        <v>244289</v>
      </c>
      <c r="AA1402" s="170"/>
      <c r="AB1402" s="170"/>
      <c r="AC1402" s="170"/>
      <c r="AD1402" s="170"/>
      <c r="AE1402" s="15" t="s">
        <v>54</v>
      </c>
      <c r="AF1402" s="177">
        <v>244291</v>
      </c>
      <c r="AG1402" s="177" t="str">
        <f t="shared" si="168"/>
        <v>Pass</v>
      </c>
      <c r="AH1402" s="177">
        <f t="shared" si="169"/>
        <v>244291</v>
      </c>
      <c r="AK1402" s="176"/>
      <c r="AL1402" s="176"/>
    </row>
    <row r="1403" spans="1:38" ht="36" customHeight="1" x14ac:dyDescent="0.2">
      <c r="A1403" s="14" t="s">
        <v>26</v>
      </c>
      <c r="B1403" s="212">
        <v>244280</v>
      </c>
      <c r="C1403" s="14" t="s">
        <v>547</v>
      </c>
      <c r="D1403" s="14" t="s">
        <v>268</v>
      </c>
      <c r="E1403" s="14" t="s">
        <v>14</v>
      </c>
      <c r="F1403" s="14" t="s">
        <v>324</v>
      </c>
      <c r="G1403" s="179">
        <v>681402</v>
      </c>
      <c r="H1403" s="176" t="s">
        <v>4173</v>
      </c>
      <c r="I1403" s="176" t="s">
        <v>802</v>
      </c>
      <c r="J1403" s="176" t="s">
        <v>143</v>
      </c>
      <c r="K1403" s="176" t="s">
        <v>4177</v>
      </c>
      <c r="L1403" s="40" t="s">
        <v>46</v>
      </c>
      <c r="M1403" s="40" t="s">
        <v>341</v>
      </c>
      <c r="N1403" s="14" t="s">
        <v>4183</v>
      </c>
      <c r="O1403" s="14" t="s">
        <v>543</v>
      </c>
      <c r="P1403" s="14" t="s">
        <v>1559</v>
      </c>
      <c r="Q1403" s="14" t="s">
        <v>529</v>
      </c>
      <c r="R1403" s="17">
        <v>300</v>
      </c>
      <c r="S1403" s="172" t="s">
        <v>51</v>
      </c>
      <c r="T1403" s="17">
        <v>2345</v>
      </c>
      <c r="U1403" s="14" t="s">
        <v>51</v>
      </c>
      <c r="V1403" s="16">
        <f t="shared" si="170"/>
        <v>244280</v>
      </c>
      <c r="W1403" s="16">
        <f t="shared" si="171"/>
        <v>244287</v>
      </c>
      <c r="X1403" s="16">
        <f t="shared" si="172"/>
        <v>244282</v>
      </c>
      <c r="Y1403" s="15" t="s">
        <v>54</v>
      </c>
      <c r="Z1403" s="177">
        <v>244289</v>
      </c>
      <c r="AA1403" s="170"/>
      <c r="AB1403" s="170"/>
      <c r="AC1403" s="170"/>
      <c r="AD1403" s="170"/>
      <c r="AE1403" s="15" t="s">
        <v>54</v>
      </c>
      <c r="AF1403" s="177">
        <v>244291</v>
      </c>
      <c r="AG1403" s="177" t="str">
        <f t="shared" si="168"/>
        <v>Pass</v>
      </c>
      <c r="AH1403" s="177">
        <f t="shared" si="169"/>
        <v>244291</v>
      </c>
      <c r="AK1403" s="176"/>
      <c r="AL1403" s="176"/>
    </row>
    <row r="1404" spans="1:38" ht="36" customHeight="1" x14ac:dyDescent="0.2">
      <c r="A1404" s="14" t="s">
        <v>26</v>
      </c>
      <c r="B1404" s="212">
        <v>244280</v>
      </c>
      <c r="C1404" s="14" t="s">
        <v>547</v>
      </c>
      <c r="D1404" s="14" t="s">
        <v>268</v>
      </c>
      <c r="E1404" s="14" t="s">
        <v>14</v>
      </c>
      <c r="F1404" s="14" t="s">
        <v>324</v>
      </c>
      <c r="G1404" s="179">
        <v>681403</v>
      </c>
      <c r="H1404" s="176">
        <v>953</v>
      </c>
      <c r="I1404" s="176" t="s">
        <v>802</v>
      </c>
      <c r="J1404" s="176" t="s">
        <v>131</v>
      </c>
      <c r="K1404" s="176" t="s">
        <v>4178</v>
      </c>
      <c r="L1404" s="40" t="s">
        <v>45</v>
      </c>
      <c r="M1404" s="40" t="s">
        <v>341</v>
      </c>
      <c r="N1404" s="14" t="s">
        <v>4184</v>
      </c>
      <c r="O1404" s="14" t="s">
        <v>543</v>
      </c>
      <c r="P1404" s="14" t="s">
        <v>4187</v>
      </c>
      <c r="Q1404" s="14" t="s">
        <v>529</v>
      </c>
      <c r="R1404" s="17">
        <v>500</v>
      </c>
      <c r="S1404" s="172" t="s">
        <v>51</v>
      </c>
      <c r="T1404" s="17">
        <v>1101</v>
      </c>
      <c r="U1404" s="14" t="s">
        <v>51</v>
      </c>
      <c r="V1404" s="16">
        <f t="shared" si="170"/>
        <v>244280</v>
      </c>
      <c r="W1404" s="16">
        <f t="shared" si="171"/>
        <v>244287</v>
      </c>
      <c r="X1404" s="16">
        <f t="shared" si="172"/>
        <v>244282</v>
      </c>
      <c r="Y1404" s="15" t="s">
        <v>54</v>
      </c>
      <c r="Z1404" s="177">
        <v>244289</v>
      </c>
      <c r="AA1404" s="170"/>
      <c r="AB1404" s="170"/>
      <c r="AC1404" s="170"/>
      <c r="AD1404" s="170"/>
      <c r="AE1404" s="15" t="s">
        <v>54</v>
      </c>
      <c r="AF1404" s="177">
        <v>244291</v>
      </c>
      <c r="AG1404" s="177" t="str">
        <f t="shared" si="168"/>
        <v>Pass</v>
      </c>
      <c r="AH1404" s="177">
        <f t="shared" si="169"/>
        <v>244291</v>
      </c>
      <c r="AK1404" s="176"/>
      <c r="AL1404" s="176"/>
    </row>
    <row r="1405" spans="1:38" ht="36" customHeight="1" x14ac:dyDescent="0.2">
      <c r="A1405" s="14" t="s">
        <v>26</v>
      </c>
      <c r="B1405" s="212">
        <v>244280</v>
      </c>
      <c r="C1405" s="14" t="s">
        <v>547</v>
      </c>
      <c r="D1405" s="14" t="s">
        <v>268</v>
      </c>
      <c r="E1405" s="14" t="s">
        <v>14</v>
      </c>
      <c r="F1405" s="14" t="s">
        <v>324</v>
      </c>
      <c r="G1405" s="179">
        <v>681404</v>
      </c>
      <c r="H1405" s="176" t="s">
        <v>2837</v>
      </c>
      <c r="I1405" s="176" t="s">
        <v>551</v>
      </c>
      <c r="J1405" s="176" t="s">
        <v>2838</v>
      </c>
      <c r="K1405" s="176" t="s">
        <v>4179</v>
      </c>
      <c r="L1405" s="40" t="s">
        <v>108</v>
      </c>
      <c r="M1405" s="40" t="s">
        <v>341</v>
      </c>
      <c r="N1405" s="14" t="s">
        <v>4185</v>
      </c>
      <c r="O1405" s="14" t="s">
        <v>527</v>
      </c>
      <c r="P1405" s="14" t="s">
        <v>4188</v>
      </c>
      <c r="Q1405" s="14" t="s">
        <v>542</v>
      </c>
      <c r="R1405" s="17">
        <v>311</v>
      </c>
      <c r="S1405" s="172" t="s">
        <v>51</v>
      </c>
      <c r="T1405" s="17">
        <v>3570</v>
      </c>
      <c r="U1405" s="14" t="s">
        <v>51</v>
      </c>
      <c r="V1405" s="16">
        <f t="shared" si="170"/>
        <v>244280</v>
      </c>
      <c r="W1405" s="16">
        <f t="shared" si="171"/>
        <v>244287</v>
      </c>
      <c r="X1405" s="16">
        <f t="shared" si="172"/>
        <v>244282</v>
      </c>
      <c r="Y1405" s="15" t="s">
        <v>54</v>
      </c>
      <c r="Z1405" s="177">
        <v>244289</v>
      </c>
      <c r="AA1405" s="170"/>
      <c r="AB1405" s="170"/>
      <c r="AC1405" s="170"/>
      <c r="AD1405" s="170"/>
      <c r="AE1405" s="15" t="s">
        <v>54</v>
      </c>
      <c r="AF1405" s="177">
        <v>244291</v>
      </c>
      <c r="AG1405" s="177" t="str">
        <f t="shared" si="168"/>
        <v>Pass</v>
      </c>
      <c r="AH1405" s="177">
        <f t="shared" si="169"/>
        <v>244291</v>
      </c>
      <c r="AK1405" s="176"/>
      <c r="AL1405" s="176"/>
    </row>
    <row r="1406" spans="1:38" ht="36" customHeight="1" x14ac:dyDescent="0.2">
      <c r="A1406" s="14" t="s">
        <v>26</v>
      </c>
      <c r="B1406" s="212">
        <v>244280</v>
      </c>
      <c r="C1406" s="14" t="s">
        <v>547</v>
      </c>
      <c r="D1406" s="14" t="s">
        <v>268</v>
      </c>
      <c r="E1406" s="14" t="s">
        <v>14</v>
      </c>
      <c r="F1406" s="14" t="s">
        <v>324</v>
      </c>
      <c r="G1406" s="179">
        <v>681405</v>
      </c>
      <c r="H1406" s="176" t="s">
        <v>2837</v>
      </c>
      <c r="I1406" s="176" t="s">
        <v>551</v>
      </c>
      <c r="J1406" s="176" t="s">
        <v>2838</v>
      </c>
      <c r="K1406" s="176" t="s">
        <v>4179</v>
      </c>
      <c r="L1406" s="40" t="s">
        <v>108</v>
      </c>
      <c r="M1406" s="40" t="s">
        <v>341</v>
      </c>
      <c r="N1406" s="14" t="s">
        <v>4186</v>
      </c>
      <c r="O1406" s="14" t="s">
        <v>552</v>
      </c>
      <c r="P1406" s="14" t="s">
        <v>1660</v>
      </c>
      <c r="Q1406" s="14" t="s">
        <v>553</v>
      </c>
      <c r="R1406" s="17">
        <v>2500</v>
      </c>
      <c r="S1406" s="172" t="s">
        <v>51</v>
      </c>
      <c r="T1406" s="17">
        <v>3570</v>
      </c>
      <c r="U1406" s="14" t="s">
        <v>51</v>
      </c>
      <c r="V1406" s="16">
        <f t="shared" si="170"/>
        <v>244280</v>
      </c>
      <c r="W1406" s="16">
        <f t="shared" si="171"/>
        <v>244287</v>
      </c>
      <c r="X1406" s="16">
        <f t="shared" si="172"/>
        <v>244282</v>
      </c>
      <c r="Y1406" s="15" t="s">
        <v>54</v>
      </c>
      <c r="Z1406" s="177">
        <v>244289</v>
      </c>
      <c r="AA1406" s="170"/>
      <c r="AB1406" s="170"/>
      <c r="AC1406" s="170"/>
      <c r="AD1406" s="170"/>
      <c r="AE1406" s="15" t="s">
        <v>54</v>
      </c>
      <c r="AF1406" s="177">
        <v>244291</v>
      </c>
      <c r="AG1406" s="177" t="str">
        <f t="shared" si="168"/>
        <v>Pass</v>
      </c>
      <c r="AH1406" s="177">
        <f t="shared" si="169"/>
        <v>244291</v>
      </c>
      <c r="AK1406" s="176"/>
      <c r="AL1406" s="176"/>
    </row>
    <row r="1407" spans="1:38" ht="36" customHeight="1" x14ac:dyDescent="0.2">
      <c r="A1407" s="14" t="s">
        <v>26</v>
      </c>
      <c r="B1407" s="212">
        <v>244280</v>
      </c>
      <c r="C1407" s="14" t="s">
        <v>547</v>
      </c>
      <c r="D1407" s="14" t="s">
        <v>268</v>
      </c>
      <c r="E1407" s="14" t="s">
        <v>14</v>
      </c>
      <c r="F1407" s="14" t="s">
        <v>324</v>
      </c>
      <c r="G1407" s="179">
        <v>681406</v>
      </c>
      <c r="H1407" s="176" t="s">
        <v>4173</v>
      </c>
      <c r="I1407" s="176" t="s">
        <v>802</v>
      </c>
      <c r="J1407" s="176" t="s">
        <v>143</v>
      </c>
      <c r="K1407" s="176" t="s">
        <v>4177</v>
      </c>
      <c r="L1407" s="40" t="s">
        <v>46</v>
      </c>
      <c r="M1407" s="40" t="s">
        <v>341</v>
      </c>
      <c r="N1407" s="14" t="s">
        <v>3798</v>
      </c>
      <c r="O1407" s="14" t="s">
        <v>548</v>
      </c>
      <c r="P1407" s="14" t="s">
        <v>717</v>
      </c>
      <c r="Q1407" s="14" t="s">
        <v>549</v>
      </c>
      <c r="R1407" s="17">
        <v>228</v>
      </c>
      <c r="S1407" s="172" t="s">
        <v>51</v>
      </c>
      <c r="T1407" s="17">
        <v>2155</v>
      </c>
      <c r="U1407" s="14" t="s">
        <v>51</v>
      </c>
      <c r="V1407" s="16">
        <f t="shared" si="170"/>
        <v>244280</v>
      </c>
      <c r="W1407" s="16">
        <f t="shared" si="171"/>
        <v>244287</v>
      </c>
      <c r="X1407" s="16">
        <f t="shared" si="172"/>
        <v>244282</v>
      </c>
      <c r="Y1407" s="15" t="s">
        <v>54</v>
      </c>
      <c r="Z1407" s="177">
        <v>244289</v>
      </c>
      <c r="AA1407" s="170"/>
      <c r="AB1407" s="170"/>
      <c r="AC1407" s="170"/>
      <c r="AD1407" s="170"/>
      <c r="AE1407" s="15" t="s">
        <v>54</v>
      </c>
      <c r="AF1407" s="177">
        <v>244291</v>
      </c>
      <c r="AG1407" s="177" t="str">
        <f t="shared" si="168"/>
        <v>Pass</v>
      </c>
      <c r="AH1407" s="177">
        <f t="shared" si="169"/>
        <v>244291</v>
      </c>
      <c r="AK1407" s="176"/>
      <c r="AL1407" s="176"/>
    </row>
    <row r="1408" spans="1:38" ht="36" customHeight="1" x14ac:dyDescent="0.2">
      <c r="A1408" s="14" t="s">
        <v>26</v>
      </c>
      <c r="B1408" s="212">
        <v>244284</v>
      </c>
      <c r="C1408" s="14" t="s">
        <v>547</v>
      </c>
      <c r="D1408" s="14" t="s">
        <v>268</v>
      </c>
      <c r="E1408" s="14" t="s">
        <v>14</v>
      </c>
      <c r="F1408" s="14" t="s">
        <v>324</v>
      </c>
      <c r="G1408" s="179">
        <v>681407</v>
      </c>
      <c r="H1408" s="176" t="s">
        <v>1727</v>
      </c>
      <c r="I1408" s="176" t="s">
        <v>802</v>
      </c>
      <c r="J1408" s="176" t="s">
        <v>143</v>
      </c>
      <c r="K1408" s="176" t="s">
        <v>4189</v>
      </c>
      <c r="L1408" s="40" t="s">
        <v>46</v>
      </c>
      <c r="M1408" s="40" t="s">
        <v>341</v>
      </c>
      <c r="N1408" s="14" t="s">
        <v>4195</v>
      </c>
      <c r="O1408" s="14" t="s">
        <v>543</v>
      </c>
      <c r="P1408" s="14" t="s">
        <v>4202</v>
      </c>
      <c r="Q1408" s="14" t="s">
        <v>529</v>
      </c>
      <c r="R1408" s="17">
        <v>600</v>
      </c>
      <c r="S1408" s="172" t="s">
        <v>51</v>
      </c>
      <c r="T1408" s="17">
        <v>2325</v>
      </c>
      <c r="U1408" s="14" t="s">
        <v>51</v>
      </c>
      <c r="V1408" s="16">
        <f t="shared" si="170"/>
        <v>244284</v>
      </c>
      <c r="W1408" s="16">
        <f t="shared" si="171"/>
        <v>244291</v>
      </c>
      <c r="X1408" s="16">
        <f t="shared" si="172"/>
        <v>244286</v>
      </c>
      <c r="Y1408" s="15" t="s">
        <v>54</v>
      </c>
      <c r="Z1408" s="177">
        <v>244289</v>
      </c>
      <c r="AA1408" s="170"/>
      <c r="AB1408" s="170"/>
      <c r="AC1408" s="170"/>
      <c r="AD1408" s="170"/>
      <c r="AE1408" s="15" t="s">
        <v>54</v>
      </c>
      <c r="AF1408" s="177">
        <v>244291</v>
      </c>
      <c r="AG1408" s="177" t="str">
        <f t="shared" si="168"/>
        <v>Pass</v>
      </c>
      <c r="AH1408" s="177">
        <f t="shared" si="169"/>
        <v>244291</v>
      </c>
      <c r="AK1408" s="176"/>
      <c r="AL1408" s="176"/>
    </row>
    <row r="1409" spans="1:38" ht="36" customHeight="1" x14ac:dyDescent="0.2">
      <c r="A1409" s="14" t="s">
        <v>26</v>
      </c>
      <c r="B1409" s="212">
        <v>244284</v>
      </c>
      <c r="C1409" s="14" t="s">
        <v>547</v>
      </c>
      <c r="D1409" s="14" t="s">
        <v>268</v>
      </c>
      <c r="E1409" s="14" t="s">
        <v>14</v>
      </c>
      <c r="F1409" s="14" t="s">
        <v>324</v>
      </c>
      <c r="G1409" s="179">
        <v>681408</v>
      </c>
      <c r="H1409" s="176" t="s">
        <v>1713</v>
      </c>
      <c r="I1409" s="176" t="s">
        <v>551</v>
      </c>
      <c r="J1409" s="176" t="s">
        <v>832</v>
      </c>
      <c r="K1409" s="176" t="s">
        <v>4190</v>
      </c>
      <c r="L1409" s="40" t="s">
        <v>108</v>
      </c>
      <c r="M1409" s="40" t="s">
        <v>341</v>
      </c>
      <c r="N1409" s="14" t="s">
        <v>4196</v>
      </c>
      <c r="O1409" s="14" t="s">
        <v>4120</v>
      </c>
      <c r="P1409" s="14" t="s">
        <v>4203</v>
      </c>
      <c r="Q1409" s="14" t="s">
        <v>4123</v>
      </c>
      <c r="R1409" s="17">
        <v>502</v>
      </c>
      <c r="S1409" s="172" t="s">
        <v>51</v>
      </c>
      <c r="T1409" s="17">
        <v>3200</v>
      </c>
      <c r="U1409" s="14" t="s">
        <v>51</v>
      </c>
      <c r="V1409" s="16">
        <f t="shared" si="170"/>
        <v>244284</v>
      </c>
      <c r="W1409" s="16">
        <f t="shared" si="171"/>
        <v>244291</v>
      </c>
      <c r="X1409" s="16">
        <f t="shared" si="172"/>
        <v>244286</v>
      </c>
      <c r="Y1409" s="15" t="s">
        <v>54</v>
      </c>
      <c r="Z1409" s="177">
        <v>244289</v>
      </c>
      <c r="AA1409" s="170"/>
      <c r="AB1409" s="170"/>
      <c r="AC1409" s="170"/>
      <c r="AD1409" s="170"/>
      <c r="AE1409" s="15" t="s">
        <v>54</v>
      </c>
      <c r="AF1409" s="177">
        <v>244291</v>
      </c>
      <c r="AG1409" s="177" t="str">
        <f t="shared" si="168"/>
        <v>Pass</v>
      </c>
      <c r="AH1409" s="177">
        <f t="shared" si="169"/>
        <v>244291</v>
      </c>
      <c r="AK1409" s="176"/>
      <c r="AL1409" s="176"/>
    </row>
    <row r="1410" spans="1:38" ht="36" customHeight="1" x14ac:dyDescent="0.2">
      <c r="A1410" s="14" t="s">
        <v>26</v>
      </c>
      <c r="B1410" s="212">
        <v>244284</v>
      </c>
      <c r="C1410" s="14" t="s">
        <v>547</v>
      </c>
      <c r="D1410" s="14" t="s">
        <v>268</v>
      </c>
      <c r="E1410" s="14" t="s">
        <v>14</v>
      </c>
      <c r="F1410" s="14" t="s">
        <v>324</v>
      </c>
      <c r="G1410" s="179">
        <v>681409</v>
      </c>
      <c r="H1410" s="176" t="s">
        <v>1897</v>
      </c>
      <c r="I1410" s="176" t="s">
        <v>3288</v>
      </c>
      <c r="J1410" s="176" t="s">
        <v>127</v>
      </c>
      <c r="K1410" s="176" t="s">
        <v>4191</v>
      </c>
      <c r="L1410" s="40" t="s">
        <v>108</v>
      </c>
      <c r="M1410" s="40" t="s">
        <v>341</v>
      </c>
      <c r="N1410" s="14" t="s">
        <v>4197</v>
      </c>
      <c r="O1410" s="14" t="s">
        <v>552</v>
      </c>
      <c r="P1410" s="14" t="s">
        <v>941</v>
      </c>
      <c r="Q1410" s="14" t="s">
        <v>553</v>
      </c>
      <c r="R1410" s="17">
        <v>2331</v>
      </c>
      <c r="S1410" s="172" t="s">
        <v>51</v>
      </c>
      <c r="T1410" s="17">
        <v>3035</v>
      </c>
      <c r="U1410" s="14" t="s">
        <v>51</v>
      </c>
      <c r="V1410" s="16">
        <f t="shared" si="170"/>
        <v>244284</v>
      </c>
      <c r="W1410" s="16">
        <f t="shared" si="171"/>
        <v>244291</v>
      </c>
      <c r="X1410" s="16">
        <f t="shared" si="172"/>
        <v>244286</v>
      </c>
      <c r="Y1410" s="15" t="s">
        <v>54</v>
      </c>
      <c r="Z1410" s="177">
        <v>244289</v>
      </c>
      <c r="AA1410" s="170"/>
      <c r="AB1410" s="170"/>
      <c r="AC1410" s="170"/>
      <c r="AD1410" s="170"/>
      <c r="AE1410" s="15" t="s">
        <v>54</v>
      </c>
      <c r="AF1410" s="177">
        <v>244291</v>
      </c>
      <c r="AG1410" s="177" t="str">
        <f t="shared" si="168"/>
        <v>Pass</v>
      </c>
      <c r="AH1410" s="177">
        <f t="shared" si="169"/>
        <v>244291</v>
      </c>
      <c r="AK1410" s="176"/>
      <c r="AL1410" s="176"/>
    </row>
    <row r="1411" spans="1:38" ht="36" customHeight="1" x14ac:dyDescent="0.2">
      <c r="A1411" s="14" t="s">
        <v>26</v>
      </c>
      <c r="B1411" s="212">
        <v>244284</v>
      </c>
      <c r="C1411" s="14" t="s">
        <v>547</v>
      </c>
      <c r="D1411" s="14" t="s">
        <v>268</v>
      </c>
      <c r="E1411" s="14" t="s">
        <v>14</v>
      </c>
      <c r="F1411" s="14" t="s">
        <v>324</v>
      </c>
      <c r="G1411" s="179">
        <v>681410</v>
      </c>
      <c r="H1411" s="176" t="s">
        <v>1727</v>
      </c>
      <c r="I1411" s="176" t="s">
        <v>802</v>
      </c>
      <c r="J1411" s="176" t="s">
        <v>143</v>
      </c>
      <c r="K1411" s="176" t="s">
        <v>4189</v>
      </c>
      <c r="L1411" s="40" t="s">
        <v>46</v>
      </c>
      <c r="M1411" s="40" t="s">
        <v>341</v>
      </c>
      <c r="N1411" s="14" t="s">
        <v>4198</v>
      </c>
      <c r="O1411" s="14" t="s">
        <v>2460</v>
      </c>
      <c r="P1411" s="14" t="s">
        <v>2203</v>
      </c>
      <c r="Q1411" s="14" t="s">
        <v>2464</v>
      </c>
      <c r="R1411" s="17">
        <v>1700</v>
      </c>
      <c r="S1411" s="172" t="s">
        <v>51</v>
      </c>
      <c r="T1411" s="17">
        <v>2185</v>
      </c>
      <c r="U1411" s="14" t="s">
        <v>51</v>
      </c>
      <c r="V1411" s="16">
        <f t="shared" si="170"/>
        <v>244284</v>
      </c>
      <c r="W1411" s="16">
        <f t="shared" si="171"/>
        <v>244291</v>
      </c>
      <c r="X1411" s="16">
        <f t="shared" si="172"/>
        <v>244286</v>
      </c>
      <c r="Y1411" s="15" t="s">
        <v>54</v>
      </c>
      <c r="Z1411" s="177">
        <v>244289</v>
      </c>
      <c r="AA1411" s="170"/>
      <c r="AB1411" s="170"/>
      <c r="AC1411" s="170"/>
      <c r="AD1411" s="170"/>
      <c r="AE1411" s="15" t="s">
        <v>54</v>
      </c>
      <c r="AF1411" s="177">
        <v>244291</v>
      </c>
      <c r="AG1411" s="177" t="str">
        <f t="shared" si="168"/>
        <v>Pass</v>
      </c>
      <c r="AH1411" s="177">
        <f t="shared" si="169"/>
        <v>244291</v>
      </c>
      <c r="AK1411" s="176"/>
      <c r="AL1411" s="176"/>
    </row>
    <row r="1412" spans="1:38" ht="36" customHeight="1" x14ac:dyDescent="0.2">
      <c r="A1412" s="14" t="s">
        <v>26</v>
      </c>
      <c r="B1412" s="212">
        <v>244284</v>
      </c>
      <c r="C1412" s="14" t="s">
        <v>547</v>
      </c>
      <c r="D1412" s="14" t="s">
        <v>268</v>
      </c>
      <c r="E1412" s="14" t="s">
        <v>14</v>
      </c>
      <c r="F1412" s="14" t="s">
        <v>324</v>
      </c>
      <c r="G1412" s="179">
        <v>681411</v>
      </c>
      <c r="H1412" s="176" t="s">
        <v>222</v>
      </c>
      <c r="I1412" s="176" t="s">
        <v>1874</v>
      </c>
      <c r="J1412" s="176" t="s">
        <v>127</v>
      </c>
      <c r="K1412" s="176" t="s">
        <v>4192</v>
      </c>
      <c r="L1412" s="40" t="s">
        <v>108</v>
      </c>
      <c r="M1412" s="40" t="s">
        <v>341</v>
      </c>
      <c r="N1412" s="14" t="s">
        <v>4199</v>
      </c>
      <c r="O1412" s="14" t="s">
        <v>552</v>
      </c>
      <c r="P1412" s="14" t="s">
        <v>685</v>
      </c>
      <c r="Q1412" s="14" t="s">
        <v>553</v>
      </c>
      <c r="R1412" s="17">
        <v>364</v>
      </c>
      <c r="S1412" s="172" t="s">
        <v>51</v>
      </c>
      <c r="T1412" s="17">
        <v>2905</v>
      </c>
      <c r="U1412" s="14" t="s">
        <v>51</v>
      </c>
      <c r="V1412" s="16">
        <f t="shared" si="170"/>
        <v>244284</v>
      </c>
      <c r="W1412" s="16">
        <f t="shared" si="171"/>
        <v>244291</v>
      </c>
      <c r="X1412" s="16">
        <f t="shared" si="172"/>
        <v>244286</v>
      </c>
      <c r="Y1412" s="15" t="s">
        <v>54</v>
      </c>
      <c r="Z1412" s="177">
        <v>244289</v>
      </c>
      <c r="AA1412" s="170"/>
      <c r="AB1412" s="170"/>
      <c r="AC1412" s="170"/>
      <c r="AD1412" s="170"/>
      <c r="AE1412" s="15" t="s">
        <v>54</v>
      </c>
      <c r="AF1412" s="177">
        <v>244291</v>
      </c>
      <c r="AG1412" s="177" t="str">
        <f t="shared" si="168"/>
        <v>Pass</v>
      </c>
      <c r="AH1412" s="177">
        <f t="shared" si="169"/>
        <v>244291</v>
      </c>
      <c r="AK1412" s="176"/>
      <c r="AL1412" s="176"/>
    </row>
    <row r="1413" spans="1:38" ht="36" customHeight="1" x14ac:dyDescent="0.2">
      <c r="A1413" s="14" t="s">
        <v>26</v>
      </c>
      <c r="B1413" s="212">
        <v>244284</v>
      </c>
      <c r="C1413" s="14" t="s">
        <v>547</v>
      </c>
      <c r="D1413" s="14" t="s">
        <v>268</v>
      </c>
      <c r="E1413" s="14" t="s">
        <v>14</v>
      </c>
      <c r="F1413" s="14" t="s">
        <v>324</v>
      </c>
      <c r="G1413" s="179">
        <v>681412</v>
      </c>
      <c r="H1413" s="176" t="s">
        <v>1134</v>
      </c>
      <c r="I1413" s="176" t="s">
        <v>802</v>
      </c>
      <c r="J1413" s="176" t="s">
        <v>131</v>
      </c>
      <c r="K1413" s="176" t="s">
        <v>4193</v>
      </c>
      <c r="L1413" s="40" t="s">
        <v>45</v>
      </c>
      <c r="M1413" s="40" t="s">
        <v>341</v>
      </c>
      <c r="N1413" s="14" t="s">
        <v>4200</v>
      </c>
      <c r="O1413" s="14" t="s">
        <v>953</v>
      </c>
      <c r="P1413" s="14" t="s">
        <v>4204</v>
      </c>
      <c r="Q1413" s="14" t="s">
        <v>956</v>
      </c>
      <c r="R1413" s="17">
        <v>500</v>
      </c>
      <c r="S1413" s="172" t="s">
        <v>51</v>
      </c>
      <c r="T1413" s="17">
        <v>1190</v>
      </c>
      <c r="U1413" s="14" t="s">
        <v>51</v>
      </c>
      <c r="V1413" s="16">
        <f t="shared" si="170"/>
        <v>244284</v>
      </c>
      <c r="W1413" s="16">
        <f t="shared" si="171"/>
        <v>244291</v>
      </c>
      <c r="X1413" s="16">
        <f t="shared" si="172"/>
        <v>244286</v>
      </c>
      <c r="Y1413" s="15" t="s">
        <v>54</v>
      </c>
      <c r="Z1413" s="177">
        <v>244289</v>
      </c>
      <c r="AA1413" s="170"/>
      <c r="AB1413" s="170"/>
      <c r="AC1413" s="170"/>
      <c r="AD1413" s="170"/>
      <c r="AE1413" s="15" t="s">
        <v>54</v>
      </c>
      <c r="AF1413" s="177">
        <v>244291</v>
      </c>
      <c r="AG1413" s="177" t="str">
        <f t="shared" si="168"/>
        <v>Pass</v>
      </c>
      <c r="AH1413" s="177">
        <f t="shared" si="169"/>
        <v>244291</v>
      </c>
      <c r="AK1413" s="176"/>
      <c r="AL1413" s="176"/>
    </row>
    <row r="1414" spans="1:38" ht="36" customHeight="1" x14ac:dyDescent="0.2">
      <c r="A1414" s="14" t="s">
        <v>26</v>
      </c>
      <c r="B1414" s="212">
        <v>244284</v>
      </c>
      <c r="C1414" s="14" t="s">
        <v>547</v>
      </c>
      <c r="D1414" s="14" t="s">
        <v>268</v>
      </c>
      <c r="E1414" s="14" t="s">
        <v>14</v>
      </c>
      <c r="F1414" s="14" t="s">
        <v>324</v>
      </c>
      <c r="G1414" s="179">
        <v>681413</v>
      </c>
      <c r="H1414" s="176" t="s">
        <v>799</v>
      </c>
      <c r="I1414" s="176" t="s">
        <v>802</v>
      </c>
      <c r="J1414" s="176" t="s">
        <v>128</v>
      </c>
      <c r="K1414" s="176" t="s">
        <v>4194</v>
      </c>
      <c r="L1414" s="40" t="s">
        <v>105</v>
      </c>
      <c r="M1414" s="40" t="s">
        <v>341</v>
      </c>
      <c r="N1414" s="14" t="s">
        <v>4201</v>
      </c>
      <c r="O1414" s="14" t="s">
        <v>548</v>
      </c>
      <c r="P1414" s="14" t="s">
        <v>717</v>
      </c>
      <c r="Q1414" s="14" t="s">
        <v>549</v>
      </c>
      <c r="R1414" s="17">
        <v>246</v>
      </c>
      <c r="S1414" s="172" t="s">
        <v>51</v>
      </c>
      <c r="T1414" s="17">
        <v>2104</v>
      </c>
      <c r="U1414" s="14" t="s">
        <v>51</v>
      </c>
      <c r="V1414" s="16">
        <f t="shared" si="170"/>
        <v>244284</v>
      </c>
      <c r="W1414" s="16">
        <f t="shared" si="171"/>
        <v>244291</v>
      </c>
      <c r="X1414" s="16">
        <f t="shared" si="172"/>
        <v>244286</v>
      </c>
      <c r="Y1414" s="15" t="s">
        <v>54</v>
      </c>
      <c r="Z1414" s="177">
        <v>244289</v>
      </c>
      <c r="AA1414" s="170"/>
      <c r="AB1414" s="170"/>
      <c r="AC1414" s="170"/>
      <c r="AD1414" s="170"/>
      <c r="AE1414" s="15" t="s">
        <v>54</v>
      </c>
      <c r="AF1414" s="177">
        <v>244291</v>
      </c>
      <c r="AG1414" s="177" t="str">
        <f t="shared" si="168"/>
        <v>Pass</v>
      </c>
      <c r="AH1414" s="177">
        <f t="shared" si="169"/>
        <v>244291</v>
      </c>
      <c r="AK1414" s="176"/>
      <c r="AL1414" s="176"/>
    </row>
    <row r="1415" spans="1:38" ht="36" customHeight="1" x14ac:dyDescent="0.2">
      <c r="A1415" s="14" t="s">
        <v>26</v>
      </c>
      <c r="B1415" s="212">
        <v>244285</v>
      </c>
      <c r="C1415" s="14" t="s">
        <v>547</v>
      </c>
      <c r="D1415" s="14" t="s">
        <v>268</v>
      </c>
      <c r="E1415" s="14" t="s">
        <v>14</v>
      </c>
      <c r="F1415" s="14" t="s">
        <v>324</v>
      </c>
      <c r="G1415" s="179">
        <v>681414</v>
      </c>
      <c r="H1415" s="176" t="s">
        <v>4205</v>
      </c>
      <c r="I1415" s="176" t="s">
        <v>802</v>
      </c>
      <c r="J1415" s="176" t="s">
        <v>128</v>
      </c>
      <c r="K1415" s="176" t="s">
        <v>4208</v>
      </c>
      <c r="L1415" s="40" t="s">
        <v>105</v>
      </c>
      <c r="M1415" s="40" t="s">
        <v>341</v>
      </c>
      <c r="N1415" s="14" t="s">
        <v>4214</v>
      </c>
      <c r="O1415" s="14" t="s">
        <v>543</v>
      </c>
      <c r="P1415" s="14" t="s">
        <v>1124</v>
      </c>
      <c r="Q1415" s="14" t="s">
        <v>529</v>
      </c>
      <c r="R1415" s="17">
        <v>450</v>
      </c>
      <c r="S1415" s="172" t="s">
        <v>51</v>
      </c>
      <c r="T1415" s="17">
        <v>2455</v>
      </c>
      <c r="U1415" s="14" t="s">
        <v>51</v>
      </c>
      <c r="V1415" s="16">
        <f t="shared" si="170"/>
        <v>244285</v>
      </c>
      <c r="W1415" s="16">
        <f t="shared" si="171"/>
        <v>244292</v>
      </c>
      <c r="X1415" s="16">
        <f t="shared" si="172"/>
        <v>244287</v>
      </c>
      <c r="Y1415" s="15" t="s">
        <v>54</v>
      </c>
      <c r="Z1415" s="177">
        <v>244289</v>
      </c>
      <c r="AA1415" s="170"/>
      <c r="AB1415" s="170"/>
      <c r="AC1415" s="170"/>
      <c r="AD1415" s="170"/>
      <c r="AE1415" s="15" t="s">
        <v>54</v>
      </c>
      <c r="AF1415" s="177">
        <v>244291</v>
      </c>
      <c r="AG1415" s="177" t="str">
        <f t="shared" si="168"/>
        <v>Pass</v>
      </c>
      <c r="AH1415" s="177">
        <f t="shared" si="169"/>
        <v>244291</v>
      </c>
      <c r="AK1415" s="176"/>
      <c r="AL1415" s="176"/>
    </row>
    <row r="1416" spans="1:38" ht="36" customHeight="1" x14ac:dyDescent="0.2">
      <c r="A1416" s="14" t="s">
        <v>26</v>
      </c>
      <c r="B1416" s="212">
        <v>244285</v>
      </c>
      <c r="C1416" s="14" t="s">
        <v>547</v>
      </c>
      <c r="D1416" s="14" t="s">
        <v>268</v>
      </c>
      <c r="E1416" s="14" t="s">
        <v>14</v>
      </c>
      <c r="F1416" s="14" t="s">
        <v>324</v>
      </c>
      <c r="G1416" s="179">
        <v>681415</v>
      </c>
      <c r="H1416" s="176" t="s">
        <v>1134</v>
      </c>
      <c r="I1416" s="176" t="s">
        <v>802</v>
      </c>
      <c r="J1416" s="176" t="s">
        <v>131</v>
      </c>
      <c r="K1416" s="176" t="s">
        <v>4193</v>
      </c>
      <c r="L1416" s="40" t="s">
        <v>45</v>
      </c>
      <c r="M1416" s="40" t="s">
        <v>341</v>
      </c>
      <c r="N1416" s="14" t="s">
        <v>4210</v>
      </c>
      <c r="O1416" s="14" t="s">
        <v>552</v>
      </c>
      <c r="P1416" s="14" t="s">
        <v>519</v>
      </c>
      <c r="Q1416" s="14" t="s">
        <v>553</v>
      </c>
      <c r="R1416" s="17">
        <v>450</v>
      </c>
      <c r="S1416" s="172" t="s">
        <v>51</v>
      </c>
      <c r="T1416" s="17">
        <v>1900</v>
      </c>
      <c r="U1416" s="14" t="s">
        <v>51</v>
      </c>
      <c r="V1416" s="16">
        <f t="shared" si="170"/>
        <v>244285</v>
      </c>
      <c r="W1416" s="16">
        <f t="shared" si="171"/>
        <v>244292</v>
      </c>
      <c r="X1416" s="16">
        <f t="shared" si="172"/>
        <v>244287</v>
      </c>
      <c r="Y1416" s="15" t="s">
        <v>54</v>
      </c>
      <c r="Z1416" s="177">
        <v>244289</v>
      </c>
      <c r="AA1416" s="170"/>
      <c r="AB1416" s="170"/>
      <c r="AC1416" s="170"/>
      <c r="AD1416" s="170"/>
      <c r="AE1416" s="15" t="s">
        <v>54</v>
      </c>
      <c r="AF1416" s="177">
        <v>244291</v>
      </c>
      <c r="AG1416" s="177" t="str">
        <f t="shared" si="168"/>
        <v>Pass</v>
      </c>
      <c r="AH1416" s="177">
        <f t="shared" si="169"/>
        <v>244291</v>
      </c>
      <c r="AK1416" s="176"/>
      <c r="AL1416" s="176"/>
    </row>
    <row r="1417" spans="1:38" ht="36" customHeight="1" x14ac:dyDescent="0.2">
      <c r="A1417" s="14" t="s">
        <v>26</v>
      </c>
      <c r="B1417" s="212">
        <v>244285</v>
      </c>
      <c r="C1417" s="14" t="s">
        <v>547</v>
      </c>
      <c r="D1417" s="14" t="s">
        <v>268</v>
      </c>
      <c r="E1417" s="14" t="s">
        <v>14</v>
      </c>
      <c r="F1417" s="14" t="s">
        <v>324</v>
      </c>
      <c r="G1417" s="179">
        <v>681416</v>
      </c>
      <c r="H1417" s="176" t="s">
        <v>1134</v>
      </c>
      <c r="I1417" s="176" t="s">
        <v>802</v>
      </c>
      <c r="J1417" s="176" t="s">
        <v>131</v>
      </c>
      <c r="K1417" s="176" t="s">
        <v>4193</v>
      </c>
      <c r="L1417" s="40" t="s">
        <v>45</v>
      </c>
      <c r="M1417" s="40" t="s">
        <v>341</v>
      </c>
      <c r="N1417" s="14" t="s">
        <v>4211</v>
      </c>
      <c r="O1417" s="14" t="s">
        <v>548</v>
      </c>
      <c r="P1417" s="14" t="s">
        <v>518</v>
      </c>
      <c r="Q1417" s="14" t="s">
        <v>549</v>
      </c>
      <c r="R1417" s="17">
        <v>114</v>
      </c>
      <c r="S1417" s="172" t="s">
        <v>51</v>
      </c>
      <c r="T1417" s="17">
        <v>1900</v>
      </c>
      <c r="U1417" s="14" t="s">
        <v>51</v>
      </c>
      <c r="V1417" s="16">
        <f t="shared" si="170"/>
        <v>244285</v>
      </c>
      <c r="W1417" s="16">
        <f t="shared" si="171"/>
        <v>244292</v>
      </c>
      <c r="X1417" s="16">
        <f t="shared" si="172"/>
        <v>244287</v>
      </c>
      <c r="Y1417" s="15" t="s">
        <v>54</v>
      </c>
      <c r="Z1417" s="177">
        <v>244289</v>
      </c>
      <c r="AA1417" s="170"/>
      <c r="AB1417" s="170"/>
      <c r="AC1417" s="170"/>
      <c r="AD1417" s="170"/>
      <c r="AE1417" s="15" t="s">
        <v>54</v>
      </c>
      <c r="AF1417" s="177">
        <v>244291</v>
      </c>
      <c r="AG1417" s="177" t="str">
        <f t="shared" si="168"/>
        <v>Pass</v>
      </c>
      <c r="AH1417" s="177">
        <f t="shared" si="169"/>
        <v>244291</v>
      </c>
      <c r="AK1417" s="176"/>
      <c r="AL1417" s="176"/>
    </row>
    <row r="1418" spans="1:38" ht="36" customHeight="1" x14ac:dyDescent="0.2">
      <c r="A1418" s="14" t="s">
        <v>26</v>
      </c>
      <c r="B1418" s="212">
        <v>244285</v>
      </c>
      <c r="C1418" s="14" t="s">
        <v>547</v>
      </c>
      <c r="D1418" s="14" t="s">
        <v>268</v>
      </c>
      <c r="E1418" s="14" t="s">
        <v>14</v>
      </c>
      <c r="F1418" s="14" t="s">
        <v>324</v>
      </c>
      <c r="G1418" s="179">
        <v>681417</v>
      </c>
      <c r="H1418" s="176" t="s">
        <v>4173</v>
      </c>
      <c r="I1418" s="176" t="s">
        <v>802</v>
      </c>
      <c r="J1418" s="176" t="s">
        <v>143</v>
      </c>
      <c r="K1418" s="176" t="s">
        <v>4177</v>
      </c>
      <c r="L1418" s="40" t="s">
        <v>46</v>
      </c>
      <c r="M1418" s="40" t="s">
        <v>341</v>
      </c>
      <c r="N1418" s="14" t="s">
        <v>3871</v>
      </c>
      <c r="O1418" s="14" t="s">
        <v>548</v>
      </c>
      <c r="P1418" s="14" t="s">
        <v>518</v>
      </c>
      <c r="Q1418" s="14" t="s">
        <v>549</v>
      </c>
      <c r="R1418" s="17">
        <v>172</v>
      </c>
      <c r="S1418" s="172" t="s">
        <v>51</v>
      </c>
      <c r="T1418" s="17">
        <v>2330</v>
      </c>
      <c r="U1418" s="14" t="s">
        <v>51</v>
      </c>
      <c r="V1418" s="16">
        <f t="shared" si="170"/>
        <v>244285</v>
      </c>
      <c r="W1418" s="16">
        <f t="shared" si="171"/>
        <v>244292</v>
      </c>
      <c r="X1418" s="16">
        <f t="shared" si="172"/>
        <v>244287</v>
      </c>
      <c r="Y1418" s="15" t="s">
        <v>54</v>
      </c>
      <c r="Z1418" s="177">
        <v>244289</v>
      </c>
      <c r="AA1418" s="170"/>
      <c r="AB1418" s="170"/>
      <c r="AC1418" s="170"/>
      <c r="AD1418" s="170"/>
      <c r="AE1418" s="15" t="s">
        <v>54</v>
      </c>
      <c r="AF1418" s="177">
        <v>244291</v>
      </c>
      <c r="AG1418" s="177" t="str">
        <f t="shared" si="168"/>
        <v>Pass</v>
      </c>
      <c r="AH1418" s="177">
        <f t="shared" si="169"/>
        <v>244291</v>
      </c>
      <c r="AK1418" s="176"/>
      <c r="AL1418" s="176"/>
    </row>
    <row r="1419" spans="1:38" ht="36" customHeight="1" x14ac:dyDescent="0.2">
      <c r="A1419" s="14" t="s">
        <v>26</v>
      </c>
      <c r="B1419" s="212">
        <v>244285</v>
      </c>
      <c r="C1419" s="14" t="s">
        <v>547</v>
      </c>
      <c r="D1419" s="14" t="s">
        <v>268</v>
      </c>
      <c r="E1419" s="14" t="s">
        <v>14</v>
      </c>
      <c r="F1419" s="14" t="s">
        <v>324</v>
      </c>
      <c r="G1419" s="179">
        <v>681418</v>
      </c>
      <c r="H1419" s="176" t="s">
        <v>1897</v>
      </c>
      <c r="I1419" s="176" t="s">
        <v>3288</v>
      </c>
      <c r="J1419" s="176" t="s">
        <v>127</v>
      </c>
      <c r="K1419" s="176" t="s">
        <v>4191</v>
      </c>
      <c r="L1419" s="40" t="s">
        <v>108</v>
      </c>
      <c r="M1419" s="40" t="s">
        <v>341</v>
      </c>
      <c r="N1419" s="14" t="s">
        <v>2973</v>
      </c>
      <c r="O1419" s="14" t="s">
        <v>548</v>
      </c>
      <c r="P1419" s="14" t="s">
        <v>518</v>
      </c>
      <c r="Q1419" s="14" t="s">
        <v>549</v>
      </c>
      <c r="R1419" s="17">
        <v>115</v>
      </c>
      <c r="S1419" s="172" t="s">
        <v>51</v>
      </c>
      <c r="T1419" s="17">
        <v>3040</v>
      </c>
      <c r="U1419" s="14" t="s">
        <v>51</v>
      </c>
      <c r="V1419" s="16">
        <f t="shared" si="170"/>
        <v>244285</v>
      </c>
      <c r="W1419" s="16">
        <f t="shared" si="171"/>
        <v>244292</v>
      </c>
      <c r="X1419" s="16">
        <f t="shared" si="172"/>
        <v>244287</v>
      </c>
      <c r="Y1419" s="15" t="s">
        <v>54</v>
      </c>
      <c r="Z1419" s="177">
        <v>244289</v>
      </c>
      <c r="AA1419" s="170"/>
      <c r="AB1419" s="170"/>
      <c r="AC1419" s="170"/>
      <c r="AD1419" s="170"/>
      <c r="AE1419" s="15" t="s">
        <v>54</v>
      </c>
      <c r="AF1419" s="177">
        <v>244291</v>
      </c>
      <c r="AG1419" s="177" t="str">
        <f t="shared" si="168"/>
        <v>Pass</v>
      </c>
      <c r="AH1419" s="177">
        <f t="shared" si="169"/>
        <v>244291</v>
      </c>
      <c r="AK1419" s="176"/>
      <c r="AL1419" s="176"/>
    </row>
    <row r="1420" spans="1:38" ht="36" customHeight="1" x14ac:dyDescent="0.2">
      <c r="A1420" s="14" t="s">
        <v>26</v>
      </c>
      <c r="B1420" s="212">
        <v>244285</v>
      </c>
      <c r="C1420" s="14" t="s">
        <v>547</v>
      </c>
      <c r="D1420" s="14" t="s">
        <v>268</v>
      </c>
      <c r="E1420" s="14" t="s">
        <v>14</v>
      </c>
      <c r="F1420" s="14" t="s">
        <v>324</v>
      </c>
      <c r="G1420" s="179">
        <v>681419</v>
      </c>
      <c r="H1420" s="176" t="s">
        <v>4206</v>
      </c>
      <c r="I1420" s="176" t="s">
        <v>1407</v>
      </c>
      <c r="J1420" s="176" t="s">
        <v>1410</v>
      </c>
      <c r="K1420" s="176" t="s">
        <v>4209</v>
      </c>
      <c r="L1420" s="40" t="s">
        <v>45</v>
      </c>
      <c r="M1420" s="40" t="s">
        <v>341</v>
      </c>
      <c r="N1420" s="14" t="s">
        <v>4212</v>
      </c>
      <c r="O1420" s="14" t="s">
        <v>543</v>
      </c>
      <c r="P1420" s="14" t="s">
        <v>4215</v>
      </c>
      <c r="Q1420" s="14" t="s">
        <v>529</v>
      </c>
      <c r="R1420" s="17">
        <v>1510</v>
      </c>
      <c r="S1420" s="172" t="s">
        <v>51</v>
      </c>
      <c r="T1420" s="17">
        <v>2625</v>
      </c>
      <c r="U1420" s="14" t="s">
        <v>51</v>
      </c>
      <c r="V1420" s="16">
        <f t="shared" si="170"/>
        <v>244285</v>
      </c>
      <c r="W1420" s="16">
        <f t="shared" si="171"/>
        <v>244292</v>
      </c>
      <c r="X1420" s="16">
        <f t="shared" si="172"/>
        <v>244287</v>
      </c>
      <c r="Y1420" s="15" t="s">
        <v>54</v>
      </c>
      <c r="Z1420" s="177">
        <v>244289</v>
      </c>
      <c r="AA1420" s="170"/>
      <c r="AB1420" s="170"/>
      <c r="AC1420" s="170"/>
      <c r="AD1420" s="170"/>
      <c r="AE1420" s="15" t="s">
        <v>54</v>
      </c>
      <c r="AF1420" s="177">
        <v>244291</v>
      </c>
      <c r="AG1420" s="177" t="str">
        <f t="shared" si="168"/>
        <v>Pass</v>
      </c>
      <c r="AH1420" s="177">
        <f t="shared" si="169"/>
        <v>244291</v>
      </c>
      <c r="AK1420" s="176"/>
      <c r="AL1420" s="176"/>
    </row>
    <row r="1421" spans="1:38" ht="36" customHeight="1" x14ac:dyDescent="0.2">
      <c r="A1421" s="14" t="s">
        <v>26</v>
      </c>
      <c r="B1421" s="212">
        <v>244285</v>
      </c>
      <c r="C1421" s="14" t="s">
        <v>547</v>
      </c>
      <c r="D1421" s="14" t="s">
        <v>268</v>
      </c>
      <c r="E1421" s="14" t="s">
        <v>14</v>
      </c>
      <c r="F1421" s="14" t="s">
        <v>324</v>
      </c>
      <c r="G1421" s="179">
        <v>681420</v>
      </c>
      <c r="H1421" s="176" t="s">
        <v>4207</v>
      </c>
      <c r="I1421" s="176" t="s">
        <v>802</v>
      </c>
      <c r="J1421" s="176" t="s">
        <v>143</v>
      </c>
      <c r="K1421" s="176" t="s">
        <v>4125</v>
      </c>
      <c r="L1421" s="40" t="s">
        <v>46</v>
      </c>
      <c r="M1421" s="40" t="s">
        <v>341</v>
      </c>
      <c r="N1421" s="14" t="s">
        <v>4213</v>
      </c>
      <c r="O1421" s="14" t="s">
        <v>552</v>
      </c>
      <c r="P1421" s="14" t="s">
        <v>793</v>
      </c>
      <c r="Q1421" s="14" t="s">
        <v>553</v>
      </c>
      <c r="R1421" s="17">
        <v>388</v>
      </c>
      <c r="S1421" s="172" t="s">
        <v>51</v>
      </c>
      <c r="T1421" s="17">
        <v>2370</v>
      </c>
      <c r="U1421" s="14" t="s">
        <v>51</v>
      </c>
      <c r="V1421" s="16">
        <f t="shared" si="170"/>
        <v>244285</v>
      </c>
      <c r="W1421" s="16">
        <f t="shared" si="171"/>
        <v>244292</v>
      </c>
      <c r="X1421" s="16">
        <f t="shared" si="172"/>
        <v>244287</v>
      </c>
      <c r="Y1421" s="15" t="s">
        <v>54</v>
      </c>
      <c r="Z1421" s="177">
        <v>244289</v>
      </c>
      <c r="AA1421" s="170"/>
      <c r="AB1421" s="170"/>
      <c r="AC1421" s="170"/>
      <c r="AD1421" s="170"/>
      <c r="AE1421" s="15" t="s">
        <v>54</v>
      </c>
      <c r="AF1421" s="177">
        <v>244291</v>
      </c>
      <c r="AG1421" s="177" t="str">
        <f t="shared" si="168"/>
        <v>Pass</v>
      </c>
      <c r="AH1421" s="177">
        <f t="shared" si="169"/>
        <v>244291</v>
      </c>
      <c r="AK1421" s="176"/>
      <c r="AL1421" s="176"/>
    </row>
    <row r="1422" spans="1:38" ht="36" customHeight="1" x14ac:dyDescent="0.2">
      <c r="A1422" s="14" t="s">
        <v>26</v>
      </c>
      <c r="B1422" s="212">
        <v>244285</v>
      </c>
      <c r="C1422" s="14" t="s">
        <v>547</v>
      </c>
      <c r="D1422" s="14" t="s">
        <v>268</v>
      </c>
      <c r="E1422" s="14" t="s">
        <v>14</v>
      </c>
      <c r="F1422" s="14" t="s">
        <v>324</v>
      </c>
      <c r="G1422" s="179">
        <v>681421</v>
      </c>
      <c r="H1422" s="176" t="s">
        <v>4206</v>
      </c>
      <c r="I1422" s="176" t="s">
        <v>1407</v>
      </c>
      <c r="J1422" s="176" t="s">
        <v>1410</v>
      </c>
      <c r="K1422" s="176" t="s">
        <v>4209</v>
      </c>
      <c r="L1422" s="40" t="s">
        <v>45</v>
      </c>
      <c r="M1422" s="40" t="s">
        <v>341</v>
      </c>
      <c r="N1422" s="14" t="s">
        <v>3844</v>
      </c>
      <c r="O1422" s="14" t="s">
        <v>543</v>
      </c>
      <c r="P1422" s="14" t="s">
        <v>517</v>
      </c>
      <c r="Q1422" s="14" t="s">
        <v>529</v>
      </c>
      <c r="R1422" s="17">
        <v>650</v>
      </c>
      <c r="S1422" s="172" t="s">
        <v>51</v>
      </c>
      <c r="T1422" s="17">
        <v>1330</v>
      </c>
      <c r="U1422" s="14" t="s">
        <v>51</v>
      </c>
      <c r="V1422" s="16">
        <f t="shared" si="170"/>
        <v>244285</v>
      </c>
      <c r="W1422" s="16">
        <f t="shared" si="171"/>
        <v>244292</v>
      </c>
      <c r="X1422" s="16">
        <f t="shared" si="172"/>
        <v>244287</v>
      </c>
      <c r="Y1422" s="15" t="s">
        <v>54</v>
      </c>
      <c r="Z1422" s="177">
        <v>244289</v>
      </c>
      <c r="AA1422" s="170"/>
      <c r="AB1422" s="170"/>
      <c r="AC1422" s="170"/>
      <c r="AD1422" s="170"/>
      <c r="AE1422" s="15" t="s">
        <v>54</v>
      </c>
      <c r="AF1422" s="177">
        <v>244291</v>
      </c>
      <c r="AG1422" s="177" t="str">
        <f t="shared" si="168"/>
        <v>Pass</v>
      </c>
      <c r="AH1422" s="177">
        <f t="shared" si="169"/>
        <v>244291</v>
      </c>
      <c r="AK1422" s="176"/>
      <c r="AL1422" s="176"/>
    </row>
    <row r="1423" spans="1:38" ht="36" customHeight="1" x14ac:dyDescent="0.2">
      <c r="A1423" s="14" t="s">
        <v>26</v>
      </c>
      <c r="B1423" s="212">
        <v>244285</v>
      </c>
      <c r="C1423" s="14" t="s">
        <v>547</v>
      </c>
      <c r="D1423" s="14" t="s">
        <v>268</v>
      </c>
      <c r="E1423" s="14" t="s">
        <v>14</v>
      </c>
      <c r="F1423" s="14" t="s">
        <v>324</v>
      </c>
      <c r="G1423" s="179">
        <v>681422</v>
      </c>
      <c r="H1423" s="176" t="s">
        <v>3598</v>
      </c>
      <c r="I1423" s="176" t="s">
        <v>630</v>
      </c>
      <c r="J1423" s="176" t="s">
        <v>821</v>
      </c>
      <c r="K1423" s="176" t="s">
        <v>4217</v>
      </c>
      <c r="L1423" s="40" t="s">
        <v>124</v>
      </c>
      <c r="M1423" s="40" t="s">
        <v>341</v>
      </c>
      <c r="N1423" s="14" t="s">
        <v>4222</v>
      </c>
      <c r="O1423" s="14" t="s">
        <v>543</v>
      </c>
      <c r="P1423" s="14" t="s">
        <v>517</v>
      </c>
      <c r="Q1423" s="14" t="s">
        <v>529</v>
      </c>
      <c r="R1423" s="17">
        <v>700</v>
      </c>
      <c r="S1423" s="172" t="s">
        <v>51</v>
      </c>
      <c r="T1423" s="17">
        <v>2523</v>
      </c>
      <c r="U1423" s="14" t="s">
        <v>51</v>
      </c>
      <c r="V1423" s="16">
        <f t="shared" si="170"/>
        <v>244285</v>
      </c>
      <c r="W1423" s="16">
        <f t="shared" si="171"/>
        <v>244292</v>
      </c>
      <c r="X1423" s="16">
        <f t="shared" si="172"/>
        <v>244287</v>
      </c>
      <c r="Y1423" s="15" t="s">
        <v>54</v>
      </c>
      <c r="Z1423" s="177">
        <v>244289</v>
      </c>
      <c r="AA1423" s="170"/>
      <c r="AB1423" s="170"/>
      <c r="AC1423" s="170"/>
      <c r="AD1423" s="170"/>
      <c r="AE1423" s="15" t="s">
        <v>54</v>
      </c>
      <c r="AF1423" s="177">
        <v>244291</v>
      </c>
      <c r="AG1423" s="177" t="str">
        <f t="shared" si="168"/>
        <v>Pass</v>
      </c>
      <c r="AH1423" s="177">
        <f t="shared" si="169"/>
        <v>244291</v>
      </c>
      <c r="AK1423" s="176"/>
      <c r="AL1423" s="176"/>
    </row>
    <row r="1424" spans="1:38" ht="36" customHeight="1" x14ac:dyDescent="0.2">
      <c r="A1424" s="14" t="s">
        <v>26</v>
      </c>
      <c r="B1424" s="212">
        <v>244285</v>
      </c>
      <c r="C1424" s="14" t="s">
        <v>547</v>
      </c>
      <c r="D1424" s="14" t="s">
        <v>268</v>
      </c>
      <c r="E1424" s="14" t="s">
        <v>14</v>
      </c>
      <c r="F1424" s="14" t="s">
        <v>324</v>
      </c>
      <c r="G1424" s="179">
        <v>681423</v>
      </c>
      <c r="H1424" s="176" t="s">
        <v>4206</v>
      </c>
      <c r="I1424" s="176" t="s">
        <v>1407</v>
      </c>
      <c r="J1424" s="176" t="s">
        <v>1410</v>
      </c>
      <c r="K1424" s="176" t="s">
        <v>4209</v>
      </c>
      <c r="L1424" s="40" t="s">
        <v>45</v>
      </c>
      <c r="M1424" s="40" t="s">
        <v>341</v>
      </c>
      <c r="N1424" s="14" t="s">
        <v>4223</v>
      </c>
      <c r="O1424" s="14" t="s">
        <v>543</v>
      </c>
      <c r="P1424" s="14" t="s">
        <v>1828</v>
      </c>
      <c r="Q1424" s="14" t="s">
        <v>529</v>
      </c>
      <c r="R1424" s="17">
        <v>1150</v>
      </c>
      <c r="S1424" s="172" t="s">
        <v>51</v>
      </c>
      <c r="T1424" s="17">
        <v>1270</v>
      </c>
      <c r="U1424" s="14" t="s">
        <v>51</v>
      </c>
      <c r="V1424" s="16">
        <f t="shared" si="170"/>
        <v>244285</v>
      </c>
      <c r="W1424" s="16">
        <f t="shared" si="171"/>
        <v>244292</v>
      </c>
      <c r="X1424" s="16">
        <f t="shared" si="172"/>
        <v>244287</v>
      </c>
      <c r="Y1424" s="15" t="s">
        <v>54</v>
      </c>
      <c r="Z1424" s="177">
        <v>244289</v>
      </c>
      <c r="AA1424" s="170"/>
      <c r="AB1424" s="170"/>
      <c r="AC1424" s="170"/>
      <c r="AD1424" s="170"/>
      <c r="AE1424" s="15" t="s">
        <v>54</v>
      </c>
      <c r="AF1424" s="177">
        <v>244291</v>
      </c>
      <c r="AG1424" s="177" t="str">
        <f t="shared" si="168"/>
        <v>Pass</v>
      </c>
      <c r="AH1424" s="177">
        <f t="shared" si="169"/>
        <v>244291</v>
      </c>
      <c r="AK1424" s="176"/>
      <c r="AL1424" s="176"/>
    </row>
    <row r="1425" spans="1:38" ht="36" customHeight="1" x14ac:dyDescent="0.2">
      <c r="A1425" s="14" t="s">
        <v>26</v>
      </c>
      <c r="B1425" s="212">
        <v>244285</v>
      </c>
      <c r="C1425" s="14" t="s">
        <v>547</v>
      </c>
      <c r="D1425" s="14" t="s">
        <v>268</v>
      </c>
      <c r="E1425" s="14" t="s">
        <v>14</v>
      </c>
      <c r="F1425" s="14" t="s">
        <v>324</v>
      </c>
      <c r="G1425" s="179">
        <v>681424</v>
      </c>
      <c r="H1425" s="176" t="s">
        <v>886</v>
      </c>
      <c r="I1425" s="176" t="s">
        <v>630</v>
      </c>
      <c r="J1425" s="176" t="s">
        <v>821</v>
      </c>
      <c r="K1425" s="176" t="s">
        <v>4218</v>
      </c>
      <c r="L1425" s="40" t="s">
        <v>124</v>
      </c>
      <c r="M1425" s="40" t="s">
        <v>341</v>
      </c>
      <c r="N1425" s="14" t="s">
        <v>1481</v>
      </c>
      <c r="O1425" s="14" t="s">
        <v>548</v>
      </c>
      <c r="P1425" s="14" t="s">
        <v>518</v>
      </c>
      <c r="Q1425" s="14" t="s">
        <v>549</v>
      </c>
      <c r="R1425" s="17">
        <v>194</v>
      </c>
      <c r="S1425" s="172" t="s">
        <v>51</v>
      </c>
      <c r="T1425" s="17">
        <v>1789</v>
      </c>
      <c r="U1425" s="14" t="s">
        <v>51</v>
      </c>
      <c r="V1425" s="16">
        <f t="shared" si="170"/>
        <v>244285</v>
      </c>
      <c r="W1425" s="16">
        <f t="shared" si="171"/>
        <v>244292</v>
      </c>
      <c r="X1425" s="16">
        <f t="shared" si="172"/>
        <v>244287</v>
      </c>
      <c r="Y1425" s="15" t="s">
        <v>54</v>
      </c>
      <c r="Z1425" s="177">
        <v>244289</v>
      </c>
      <c r="AA1425" s="170"/>
      <c r="AB1425" s="170"/>
      <c r="AC1425" s="170"/>
      <c r="AD1425" s="170"/>
      <c r="AE1425" s="15" t="s">
        <v>54</v>
      </c>
      <c r="AF1425" s="177">
        <v>244291</v>
      </c>
      <c r="AG1425" s="177" t="str">
        <f t="shared" si="168"/>
        <v>Pass</v>
      </c>
      <c r="AH1425" s="177">
        <f t="shared" si="169"/>
        <v>244291</v>
      </c>
      <c r="AK1425" s="176"/>
      <c r="AL1425" s="176"/>
    </row>
    <row r="1426" spans="1:38" ht="36" customHeight="1" x14ac:dyDescent="0.2">
      <c r="A1426" s="14" t="s">
        <v>26</v>
      </c>
      <c r="B1426" s="212">
        <v>244285</v>
      </c>
      <c r="C1426" s="14" t="s">
        <v>547</v>
      </c>
      <c r="D1426" s="14" t="s">
        <v>268</v>
      </c>
      <c r="E1426" s="14" t="s">
        <v>14</v>
      </c>
      <c r="F1426" s="14" t="s">
        <v>324</v>
      </c>
      <c r="G1426" s="179">
        <v>681425</v>
      </c>
      <c r="H1426" s="176" t="s">
        <v>1549</v>
      </c>
      <c r="I1426" s="176" t="s">
        <v>630</v>
      </c>
      <c r="J1426" s="176" t="s">
        <v>520</v>
      </c>
      <c r="K1426" s="176" t="s">
        <v>4219</v>
      </c>
      <c r="L1426" s="40" t="s">
        <v>105</v>
      </c>
      <c r="M1426" s="40" t="s">
        <v>341</v>
      </c>
      <c r="N1426" s="14" t="s">
        <v>4224</v>
      </c>
      <c r="O1426" s="14" t="s">
        <v>543</v>
      </c>
      <c r="P1426" s="14" t="s">
        <v>4226</v>
      </c>
      <c r="Q1426" s="14" t="s">
        <v>529</v>
      </c>
      <c r="R1426" s="17">
        <v>800</v>
      </c>
      <c r="S1426" s="172" t="s">
        <v>51</v>
      </c>
      <c r="T1426" s="17">
        <v>1580</v>
      </c>
      <c r="U1426" s="14" t="s">
        <v>51</v>
      </c>
      <c r="V1426" s="16">
        <f t="shared" si="170"/>
        <v>244285</v>
      </c>
      <c r="W1426" s="16">
        <f t="shared" si="171"/>
        <v>244292</v>
      </c>
      <c r="X1426" s="16">
        <f t="shared" si="172"/>
        <v>244287</v>
      </c>
      <c r="Y1426" s="15" t="s">
        <v>54</v>
      </c>
      <c r="Z1426" s="177">
        <v>244289</v>
      </c>
      <c r="AA1426" s="170"/>
      <c r="AB1426" s="170"/>
      <c r="AC1426" s="170"/>
      <c r="AD1426" s="170"/>
      <c r="AE1426" s="15" t="s">
        <v>54</v>
      </c>
      <c r="AF1426" s="177">
        <v>244291</v>
      </c>
      <c r="AG1426" s="177" t="str">
        <f t="shared" si="168"/>
        <v>Pass</v>
      </c>
      <c r="AH1426" s="177">
        <f t="shared" si="169"/>
        <v>244291</v>
      </c>
      <c r="AK1426" s="176"/>
      <c r="AL1426" s="176"/>
    </row>
    <row r="1427" spans="1:38" ht="36" customHeight="1" x14ac:dyDescent="0.2">
      <c r="A1427" s="14" t="s">
        <v>26</v>
      </c>
      <c r="B1427" s="212">
        <v>244285</v>
      </c>
      <c r="C1427" s="14" t="s">
        <v>547</v>
      </c>
      <c r="D1427" s="14" t="s">
        <v>268</v>
      </c>
      <c r="E1427" s="14" t="s">
        <v>14</v>
      </c>
      <c r="F1427" s="14" t="s">
        <v>324</v>
      </c>
      <c r="G1427" s="179">
        <v>681426</v>
      </c>
      <c r="H1427" s="176" t="s">
        <v>1162</v>
      </c>
      <c r="I1427" s="176" t="s">
        <v>630</v>
      </c>
      <c r="J1427" s="176" t="s">
        <v>1190</v>
      </c>
      <c r="K1427" s="176" t="s">
        <v>4220</v>
      </c>
      <c r="L1427" s="40" t="s">
        <v>45</v>
      </c>
      <c r="M1427" s="40" t="s">
        <v>341</v>
      </c>
      <c r="N1427" s="14" t="s">
        <v>4321</v>
      </c>
      <c r="O1427" s="14" t="s">
        <v>548</v>
      </c>
      <c r="P1427" s="14" t="s">
        <v>518</v>
      </c>
      <c r="Q1427" s="14" t="s">
        <v>549</v>
      </c>
      <c r="R1427" s="17">
        <v>720</v>
      </c>
      <c r="S1427" s="172" t="s">
        <v>51</v>
      </c>
      <c r="T1427" s="17">
        <v>2000</v>
      </c>
      <c r="U1427" s="14" t="s">
        <v>51</v>
      </c>
      <c r="V1427" s="16">
        <f t="shared" si="170"/>
        <v>244285</v>
      </c>
      <c r="W1427" s="16">
        <f t="shared" si="171"/>
        <v>244292</v>
      </c>
      <c r="X1427" s="16">
        <f t="shared" si="172"/>
        <v>244287</v>
      </c>
      <c r="Y1427" s="15" t="s">
        <v>54</v>
      </c>
      <c r="Z1427" s="177">
        <v>244289</v>
      </c>
      <c r="AA1427" s="170"/>
      <c r="AB1427" s="170"/>
      <c r="AC1427" s="170"/>
      <c r="AD1427" s="170"/>
      <c r="AE1427" s="15" t="s">
        <v>54</v>
      </c>
      <c r="AF1427" s="177">
        <v>244291</v>
      </c>
      <c r="AG1427" s="177" t="str">
        <f t="shared" si="168"/>
        <v>Pass</v>
      </c>
      <c r="AH1427" s="177">
        <f t="shared" si="169"/>
        <v>244291</v>
      </c>
      <c r="AK1427" s="176"/>
      <c r="AL1427" s="176"/>
    </row>
    <row r="1428" spans="1:38" ht="36" customHeight="1" x14ac:dyDescent="0.2">
      <c r="A1428" s="14" t="s">
        <v>26</v>
      </c>
      <c r="B1428" s="212">
        <v>244285</v>
      </c>
      <c r="C1428" s="14" t="s">
        <v>547</v>
      </c>
      <c r="D1428" s="14" t="s">
        <v>268</v>
      </c>
      <c r="E1428" s="14" t="s">
        <v>14</v>
      </c>
      <c r="F1428" s="14" t="s">
        <v>324</v>
      </c>
      <c r="G1428" s="179">
        <v>681427</v>
      </c>
      <c r="H1428" s="176" t="s">
        <v>4216</v>
      </c>
      <c r="I1428" s="176" t="s">
        <v>802</v>
      </c>
      <c r="J1428" s="176" t="s">
        <v>143</v>
      </c>
      <c r="K1428" s="176" t="s">
        <v>4221</v>
      </c>
      <c r="L1428" s="40" t="s">
        <v>46</v>
      </c>
      <c r="M1428" s="40" t="s">
        <v>341</v>
      </c>
      <c r="N1428" s="14" t="s">
        <v>4225</v>
      </c>
      <c r="O1428" s="14" t="s">
        <v>528</v>
      </c>
      <c r="P1428" s="14" t="s">
        <v>684</v>
      </c>
      <c r="Q1428" s="14" t="s">
        <v>541</v>
      </c>
      <c r="R1428" s="17">
        <v>1500</v>
      </c>
      <c r="S1428" s="172" t="s">
        <v>51</v>
      </c>
      <c r="T1428" s="17">
        <v>1975</v>
      </c>
      <c r="U1428" s="14" t="s">
        <v>51</v>
      </c>
      <c r="V1428" s="16">
        <f t="shared" si="170"/>
        <v>244285</v>
      </c>
      <c r="W1428" s="16">
        <f t="shared" si="171"/>
        <v>244292</v>
      </c>
      <c r="X1428" s="16">
        <f t="shared" si="172"/>
        <v>244287</v>
      </c>
      <c r="Y1428" s="15" t="s">
        <v>54</v>
      </c>
      <c r="Z1428" s="177">
        <v>244289</v>
      </c>
      <c r="AA1428" s="170"/>
      <c r="AB1428" s="170"/>
      <c r="AC1428" s="170"/>
      <c r="AD1428" s="170"/>
      <c r="AE1428" s="15" t="s">
        <v>54</v>
      </c>
      <c r="AF1428" s="177">
        <v>244291</v>
      </c>
      <c r="AG1428" s="177" t="str">
        <f t="shared" si="168"/>
        <v>Pass</v>
      </c>
      <c r="AH1428" s="177">
        <f t="shared" si="169"/>
        <v>244291</v>
      </c>
      <c r="AK1428" s="176"/>
      <c r="AL1428" s="176"/>
    </row>
    <row r="1429" spans="1:38" ht="36" customHeight="1" x14ac:dyDescent="0.2">
      <c r="A1429" s="14" t="s">
        <v>26</v>
      </c>
      <c r="B1429" s="212">
        <v>244286</v>
      </c>
      <c r="C1429" s="14" t="s">
        <v>547</v>
      </c>
      <c r="D1429" s="14" t="s">
        <v>268</v>
      </c>
      <c r="E1429" s="14" t="s">
        <v>14</v>
      </c>
      <c r="F1429" s="14" t="s">
        <v>324</v>
      </c>
      <c r="G1429" s="179">
        <v>681428</v>
      </c>
      <c r="H1429" s="176" t="s">
        <v>4216</v>
      </c>
      <c r="I1429" s="176" t="s">
        <v>802</v>
      </c>
      <c r="J1429" s="176" t="s">
        <v>143</v>
      </c>
      <c r="K1429" s="176" t="s">
        <v>4221</v>
      </c>
      <c r="L1429" s="40" t="s">
        <v>46</v>
      </c>
      <c r="M1429" s="40" t="s">
        <v>341</v>
      </c>
      <c r="N1429" s="14" t="s">
        <v>4240</v>
      </c>
      <c r="O1429" s="14" t="s">
        <v>4242</v>
      </c>
      <c r="P1429" s="14" t="s">
        <v>4235</v>
      </c>
      <c r="Q1429" s="14" t="s">
        <v>4241</v>
      </c>
      <c r="R1429" s="17">
        <v>150</v>
      </c>
      <c r="S1429" s="172" t="s">
        <v>51</v>
      </c>
      <c r="T1429" s="17">
        <v>2320</v>
      </c>
      <c r="U1429" s="14" t="s">
        <v>51</v>
      </c>
      <c r="V1429" s="16">
        <f t="shared" si="170"/>
        <v>244286</v>
      </c>
      <c r="W1429" s="16">
        <f t="shared" si="171"/>
        <v>244293</v>
      </c>
      <c r="X1429" s="16">
        <f t="shared" si="172"/>
        <v>244288</v>
      </c>
      <c r="Y1429" s="15" t="s">
        <v>54</v>
      </c>
      <c r="Z1429" s="177">
        <v>244300</v>
      </c>
      <c r="AA1429" s="170"/>
      <c r="AB1429" s="170"/>
      <c r="AC1429" s="170"/>
      <c r="AD1429" s="170"/>
      <c r="AE1429" s="15" t="s">
        <v>54</v>
      </c>
      <c r="AF1429" s="177">
        <v>244301</v>
      </c>
      <c r="AG1429" s="177" t="str">
        <f t="shared" si="168"/>
        <v>Pass</v>
      </c>
      <c r="AH1429" s="177">
        <f t="shared" si="169"/>
        <v>244301</v>
      </c>
      <c r="AK1429" s="176"/>
      <c r="AL1429" s="176"/>
    </row>
    <row r="1430" spans="1:38" ht="36" customHeight="1" x14ac:dyDescent="0.2">
      <c r="A1430" s="14" t="s">
        <v>26</v>
      </c>
      <c r="B1430" s="212">
        <v>244286</v>
      </c>
      <c r="C1430" s="14" t="s">
        <v>547</v>
      </c>
      <c r="D1430" s="14" t="s">
        <v>268</v>
      </c>
      <c r="E1430" s="14" t="s">
        <v>14</v>
      </c>
      <c r="F1430" s="14" t="s">
        <v>324</v>
      </c>
      <c r="G1430" s="179">
        <v>681429</v>
      </c>
      <c r="H1430" s="176" t="s">
        <v>627</v>
      </c>
      <c r="I1430" s="176" t="s">
        <v>630</v>
      </c>
      <c r="J1430" s="176" t="s">
        <v>520</v>
      </c>
      <c r="K1430" s="176" t="s">
        <v>4227</v>
      </c>
      <c r="L1430" s="40" t="s">
        <v>105</v>
      </c>
      <c r="M1430" s="40" t="s">
        <v>341</v>
      </c>
      <c r="N1430" s="14" t="s">
        <v>984</v>
      </c>
      <c r="O1430" s="14" t="s">
        <v>548</v>
      </c>
      <c r="P1430" s="14" t="s">
        <v>518</v>
      </c>
      <c r="Q1430" s="14" t="s">
        <v>549</v>
      </c>
      <c r="R1430" s="17">
        <v>2030</v>
      </c>
      <c r="S1430" s="172" t="s">
        <v>51</v>
      </c>
      <c r="T1430" s="17">
        <v>2030</v>
      </c>
      <c r="U1430" s="14" t="s">
        <v>51</v>
      </c>
      <c r="V1430" s="16">
        <f t="shared" si="170"/>
        <v>244286</v>
      </c>
      <c r="W1430" s="16">
        <f t="shared" si="171"/>
        <v>244293</v>
      </c>
      <c r="X1430" s="16">
        <f t="shared" si="172"/>
        <v>244288</v>
      </c>
      <c r="Y1430" s="15" t="s">
        <v>54</v>
      </c>
      <c r="Z1430" s="177">
        <v>244300</v>
      </c>
      <c r="AA1430" s="170"/>
      <c r="AB1430" s="170"/>
      <c r="AC1430" s="170"/>
      <c r="AD1430" s="170"/>
      <c r="AE1430" s="15" t="s">
        <v>54</v>
      </c>
      <c r="AF1430" s="177">
        <v>244301</v>
      </c>
      <c r="AG1430" s="177" t="str">
        <f t="shared" si="168"/>
        <v>Pass</v>
      </c>
      <c r="AH1430" s="177">
        <f t="shared" si="169"/>
        <v>244301</v>
      </c>
      <c r="AK1430" s="176"/>
      <c r="AL1430" s="176"/>
    </row>
    <row r="1431" spans="1:38" ht="36" customHeight="1" x14ac:dyDescent="0.2">
      <c r="A1431" s="14" t="s">
        <v>26</v>
      </c>
      <c r="B1431" s="212">
        <v>244286</v>
      </c>
      <c r="C1431" s="14" t="s">
        <v>547</v>
      </c>
      <c r="D1431" s="14" t="s">
        <v>268</v>
      </c>
      <c r="E1431" s="14" t="s">
        <v>14</v>
      </c>
      <c r="F1431" s="14" t="s">
        <v>324</v>
      </c>
      <c r="G1431" s="179">
        <v>681430</v>
      </c>
      <c r="H1431" s="176" t="s">
        <v>627</v>
      </c>
      <c r="I1431" s="176" t="s">
        <v>630</v>
      </c>
      <c r="J1431" s="176" t="s">
        <v>520</v>
      </c>
      <c r="K1431" s="176" t="s">
        <v>4227</v>
      </c>
      <c r="L1431" s="40" t="s">
        <v>105</v>
      </c>
      <c r="M1431" s="40" t="s">
        <v>341</v>
      </c>
      <c r="N1431" s="14" t="s">
        <v>4229</v>
      </c>
      <c r="O1431" s="14" t="s">
        <v>1909</v>
      </c>
      <c r="P1431" s="14" t="s">
        <v>4236</v>
      </c>
      <c r="Q1431" s="14" t="s">
        <v>1913</v>
      </c>
      <c r="R1431" s="17">
        <v>1400</v>
      </c>
      <c r="S1431" s="172" t="s">
        <v>51</v>
      </c>
      <c r="T1431" s="17">
        <v>2030</v>
      </c>
      <c r="U1431" s="14" t="s">
        <v>51</v>
      </c>
      <c r="V1431" s="16">
        <f t="shared" si="170"/>
        <v>244286</v>
      </c>
      <c r="W1431" s="16">
        <f t="shared" si="171"/>
        <v>244293</v>
      </c>
      <c r="X1431" s="16">
        <f t="shared" si="172"/>
        <v>244288</v>
      </c>
      <c r="Y1431" s="15" t="s">
        <v>54</v>
      </c>
      <c r="Z1431" s="177">
        <v>244300</v>
      </c>
      <c r="AA1431" s="170"/>
      <c r="AB1431" s="170"/>
      <c r="AC1431" s="170"/>
      <c r="AD1431" s="170"/>
      <c r="AE1431" s="15" t="s">
        <v>54</v>
      </c>
      <c r="AF1431" s="177">
        <v>244301</v>
      </c>
      <c r="AG1431" s="177" t="str">
        <f t="shared" si="168"/>
        <v>Pass</v>
      </c>
      <c r="AH1431" s="177">
        <f t="shared" si="169"/>
        <v>244301</v>
      </c>
      <c r="AK1431" s="176"/>
      <c r="AL1431" s="176"/>
    </row>
    <row r="1432" spans="1:38" ht="36" customHeight="1" x14ac:dyDescent="0.2">
      <c r="A1432" s="14" t="s">
        <v>26</v>
      </c>
      <c r="B1432" s="212">
        <v>244286</v>
      </c>
      <c r="C1432" s="14" t="s">
        <v>547</v>
      </c>
      <c r="D1432" s="14" t="s">
        <v>268</v>
      </c>
      <c r="E1432" s="14" t="s">
        <v>14</v>
      </c>
      <c r="F1432" s="14" t="s">
        <v>324</v>
      </c>
      <c r="G1432" s="179">
        <v>681431</v>
      </c>
      <c r="H1432" s="176" t="s">
        <v>4216</v>
      </c>
      <c r="I1432" s="176" t="s">
        <v>802</v>
      </c>
      <c r="J1432" s="176" t="s">
        <v>143</v>
      </c>
      <c r="K1432" s="176" t="s">
        <v>4221</v>
      </c>
      <c r="L1432" s="40" t="s">
        <v>46</v>
      </c>
      <c r="M1432" s="40" t="s">
        <v>341</v>
      </c>
      <c r="N1432" s="14" t="s">
        <v>2036</v>
      </c>
      <c r="O1432" s="14" t="s">
        <v>548</v>
      </c>
      <c r="P1432" s="14" t="s">
        <v>518</v>
      </c>
      <c r="Q1432" s="14" t="s">
        <v>549</v>
      </c>
      <c r="R1432" s="17">
        <v>2320</v>
      </c>
      <c r="S1432" s="172" t="s">
        <v>51</v>
      </c>
      <c r="T1432" s="17">
        <v>2320</v>
      </c>
      <c r="U1432" s="14" t="s">
        <v>51</v>
      </c>
      <c r="V1432" s="16">
        <f t="shared" si="170"/>
        <v>244286</v>
      </c>
      <c r="W1432" s="16">
        <f t="shared" si="171"/>
        <v>244293</v>
      </c>
      <c r="X1432" s="16">
        <f t="shared" si="172"/>
        <v>244288</v>
      </c>
      <c r="Y1432" s="15" t="s">
        <v>54</v>
      </c>
      <c r="Z1432" s="177">
        <v>244300</v>
      </c>
      <c r="AA1432" s="170"/>
      <c r="AB1432" s="170"/>
      <c r="AC1432" s="170"/>
      <c r="AD1432" s="170"/>
      <c r="AE1432" s="15" t="s">
        <v>54</v>
      </c>
      <c r="AF1432" s="177">
        <v>244301</v>
      </c>
      <c r="AG1432" s="177" t="str">
        <f t="shared" si="168"/>
        <v>Pass</v>
      </c>
      <c r="AH1432" s="177">
        <f t="shared" si="169"/>
        <v>244301</v>
      </c>
      <c r="AK1432" s="176"/>
      <c r="AL1432" s="176"/>
    </row>
    <row r="1433" spans="1:38" ht="36" customHeight="1" x14ac:dyDescent="0.2">
      <c r="A1433" s="14" t="s">
        <v>26</v>
      </c>
      <c r="B1433" s="212">
        <v>244286</v>
      </c>
      <c r="C1433" s="14" t="s">
        <v>547</v>
      </c>
      <c r="D1433" s="14" t="s">
        <v>268</v>
      </c>
      <c r="E1433" s="14" t="s">
        <v>14</v>
      </c>
      <c r="F1433" s="14" t="s">
        <v>324</v>
      </c>
      <c r="G1433" s="179">
        <v>681432</v>
      </c>
      <c r="H1433" s="176" t="s">
        <v>2860</v>
      </c>
      <c r="I1433" s="176" t="s">
        <v>630</v>
      </c>
      <c r="J1433" s="176" t="s">
        <v>2861</v>
      </c>
      <c r="K1433" s="176" t="s">
        <v>4228</v>
      </c>
      <c r="L1433" s="40" t="s">
        <v>45</v>
      </c>
      <c r="M1433" s="40" t="s">
        <v>341</v>
      </c>
      <c r="N1433" s="14" t="s">
        <v>4230</v>
      </c>
      <c r="O1433" s="14" t="s">
        <v>4234</v>
      </c>
      <c r="P1433" s="14" t="s">
        <v>4238</v>
      </c>
      <c r="Q1433" s="14" t="s">
        <v>4243</v>
      </c>
      <c r="R1433" s="17">
        <v>1840</v>
      </c>
      <c r="S1433" s="172" t="s">
        <v>51</v>
      </c>
      <c r="T1433" s="17">
        <v>2035</v>
      </c>
      <c r="U1433" s="14" t="s">
        <v>51</v>
      </c>
      <c r="V1433" s="16">
        <f t="shared" si="170"/>
        <v>244286</v>
      </c>
      <c r="W1433" s="16">
        <f t="shared" si="171"/>
        <v>244293</v>
      </c>
      <c r="X1433" s="16">
        <f t="shared" si="172"/>
        <v>244288</v>
      </c>
      <c r="Y1433" s="15" t="s">
        <v>54</v>
      </c>
      <c r="Z1433" s="177">
        <v>244300</v>
      </c>
      <c r="AA1433" s="170"/>
      <c r="AB1433" s="170"/>
      <c r="AC1433" s="170"/>
      <c r="AD1433" s="170"/>
      <c r="AE1433" s="15" t="s">
        <v>54</v>
      </c>
      <c r="AF1433" s="177">
        <v>244301</v>
      </c>
      <c r="AG1433" s="177" t="str">
        <f t="shared" si="168"/>
        <v>Pass</v>
      </c>
      <c r="AH1433" s="177">
        <f t="shared" si="169"/>
        <v>244301</v>
      </c>
      <c r="AK1433" s="176"/>
      <c r="AL1433" s="176"/>
    </row>
    <row r="1434" spans="1:38" ht="36" customHeight="1" x14ac:dyDescent="0.2">
      <c r="A1434" s="14" t="s">
        <v>26</v>
      </c>
      <c r="B1434" s="212">
        <v>244286</v>
      </c>
      <c r="C1434" s="14" t="s">
        <v>547</v>
      </c>
      <c r="D1434" s="14" t="s">
        <v>268</v>
      </c>
      <c r="E1434" s="14" t="s">
        <v>14</v>
      </c>
      <c r="F1434" s="14" t="s">
        <v>324</v>
      </c>
      <c r="G1434" s="179">
        <v>681433</v>
      </c>
      <c r="H1434" s="176" t="s">
        <v>627</v>
      </c>
      <c r="I1434" s="176" t="s">
        <v>630</v>
      </c>
      <c r="J1434" s="176" t="s">
        <v>520</v>
      </c>
      <c r="K1434" s="176" t="s">
        <v>4227</v>
      </c>
      <c r="L1434" s="40" t="s">
        <v>105</v>
      </c>
      <c r="M1434" s="40" t="s">
        <v>341</v>
      </c>
      <c r="N1434" s="14" t="s">
        <v>4231</v>
      </c>
      <c r="O1434" s="14" t="s">
        <v>2943</v>
      </c>
      <c r="P1434" s="14" t="s">
        <v>4237</v>
      </c>
      <c r="Q1434" s="14" t="s">
        <v>2948</v>
      </c>
      <c r="R1434" s="17">
        <v>780</v>
      </c>
      <c r="S1434" s="172" t="s">
        <v>51</v>
      </c>
      <c r="T1434" s="17">
        <v>2022</v>
      </c>
      <c r="U1434" s="14" t="s">
        <v>51</v>
      </c>
      <c r="V1434" s="16">
        <f t="shared" si="170"/>
        <v>244286</v>
      </c>
      <c r="W1434" s="16">
        <f t="shared" si="171"/>
        <v>244293</v>
      </c>
      <c r="X1434" s="16">
        <f t="shared" si="172"/>
        <v>244288</v>
      </c>
      <c r="Y1434" s="15" t="s">
        <v>54</v>
      </c>
      <c r="Z1434" s="177">
        <v>244300</v>
      </c>
      <c r="AA1434" s="170"/>
      <c r="AB1434" s="170"/>
      <c r="AC1434" s="170"/>
      <c r="AD1434" s="170"/>
      <c r="AE1434" s="15" t="s">
        <v>54</v>
      </c>
      <c r="AF1434" s="177">
        <v>244301</v>
      </c>
      <c r="AG1434" s="177" t="str">
        <f t="shared" si="168"/>
        <v>Pass</v>
      </c>
      <c r="AH1434" s="177">
        <f t="shared" si="169"/>
        <v>244301</v>
      </c>
      <c r="AK1434" s="176"/>
      <c r="AL1434" s="176"/>
    </row>
    <row r="1435" spans="1:38" ht="36" customHeight="1" x14ac:dyDescent="0.2">
      <c r="A1435" s="14" t="s">
        <v>26</v>
      </c>
      <c r="B1435" s="212">
        <v>244286</v>
      </c>
      <c r="C1435" s="14" t="s">
        <v>547</v>
      </c>
      <c r="D1435" s="14" t="s">
        <v>268</v>
      </c>
      <c r="E1435" s="14" t="s">
        <v>14</v>
      </c>
      <c r="F1435" s="14" t="s">
        <v>324</v>
      </c>
      <c r="G1435" s="179">
        <v>681434</v>
      </c>
      <c r="H1435" s="176" t="s">
        <v>627</v>
      </c>
      <c r="I1435" s="176" t="s">
        <v>630</v>
      </c>
      <c r="J1435" s="176" t="s">
        <v>520</v>
      </c>
      <c r="K1435" s="176" t="s">
        <v>4227</v>
      </c>
      <c r="L1435" s="40" t="s">
        <v>105</v>
      </c>
      <c r="M1435" s="40" t="s">
        <v>341</v>
      </c>
      <c r="N1435" s="14" t="s">
        <v>4232</v>
      </c>
      <c r="O1435" s="14" t="s">
        <v>548</v>
      </c>
      <c r="P1435" s="14" t="s">
        <v>518</v>
      </c>
      <c r="Q1435" s="14" t="s">
        <v>549</v>
      </c>
      <c r="R1435" s="17">
        <v>182</v>
      </c>
      <c r="S1435" s="172" t="s">
        <v>51</v>
      </c>
      <c r="T1435" s="17">
        <v>1895</v>
      </c>
      <c r="U1435" s="14" t="s">
        <v>51</v>
      </c>
      <c r="V1435" s="16">
        <f t="shared" si="170"/>
        <v>244286</v>
      </c>
      <c r="W1435" s="16">
        <f t="shared" si="171"/>
        <v>244293</v>
      </c>
      <c r="X1435" s="16">
        <f t="shared" si="172"/>
        <v>244288</v>
      </c>
      <c r="Y1435" s="15" t="s">
        <v>54</v>
      </c>
      <c r="Z1435" s="177">
        <v>244300</v>
      </c>
      <c r="AA1435" s="170"/>
      <c r="AB1435" s="170"/>
      <c r="AC1435" s="170"/>
      <c r="AD1435" s="170"/>
      <c r="AE1435" s="15" t="s">
        <v>54</v>
      </c>
      <c r="AF1435" s="177">
        <v>244301</v>
      </c>
      <c r="AG1435" s="177" t="str">
        <f t="shared" si="168"/>
        <v>Pass</v>
      </c>
      <c r="AH1435" s="177">
        <f t="shared" si="169"/>
        <v>244301</v>
      </c>
      <c r="AK1435" s="176"/>
      <c r="AL1435" s="176"/>
    </row>
    <row r="1436" spans="1:38" ht="36" customHeight="1" x14ac:dyDescent="0.2">
      <c r="A1436" s="14" t="s">
        <v>26</v>
      </c>
      <c r="B1436" s="212">
        <v>244286</v>
      </c>
      <c r="C1436" s="14" t="s">
        <v>547</v>
      </c>
      <c r="D1436" s="14" t="s">
        <v>268</v>
      </c>
      <c r="E1436" s="14" t="s">
        <v>14</v>
      </c>
      <c r="F1436" s="14" t="s">
        <v>324</v>
      </c>
      <c r="G1436" s="179">
        <v>681435</v>
      </c>
      <c r="H1436" s="176" t="s">
        <v>1549</v>
      </c>
      <c r="I1436" s="176" t="s">
        <v>630</v>
      </c>
      <c r="J1436" s="176" t="s">
        <v>520</v>
      </c>
      <c r="K1436" s="176" t="s">
        <v>4219</v>
      </c>
      <c r="L1436" s="40" t="s">
        <v>105</v>
      </c>
      <c r="M1436" s="40" t="s">
        <v>341</v>
      </c>
      <c r="N1436" s="14" t="s">
        <v>4233</v>
      </c>
      <c r="O1436" s="14" t="s">
        <v>527</v>
      </c>
      <c r="P1436" s="14" t="s">
        <v>4239</v>
      </c>
      <c r="Q1436" s="14" t="s">
        <v>542</v>
      </c>
      <c r="R1436" s="17">
        <v>250</v>
      </c>
      <c r="S1436" s="172" t="s">
        <v>51</v>
      </c>
      <c r="T1436" s="17">
        <v>580</v>
      </c>
      <c r="U1436" s="14" t="s">
        <v>51</v>
      </c>
      <c r="V1436" s="16">
        <f t="shared" si="170"/>
        <v>244286</v>
      </c>
      <c r="W1436" s="16">
        <f t="shared" si="171"/>
        <v>244293</v>
      </c>
      <c r="X1436" s="16">
        <f t="shared" si="172"/>
        <v>244288</v>
      </c>
      <c r="Y1436" s="15" t="s">
        <v>54</v>
      </c>
      <c r="Z1436" s="177">
        <v>244300</v>
      </c>
      <c r="AA1436" s="170"/>
      <c r="AB1436" s="170"/>
      <c r="AC1436" s="170"/>
      <c r="AD1436" s="170"/>
      <c r="AE1436" s="15" t="s">
        <v>54</v>
      </c>
      <c r="AF1436" s="177">
        <v>244301</v>
      </c>
      <c r="AG1436" s="177" t="str">
        <f t="shared" si="168"/>
        <v>Pass</v>
      </c>
      <c r="AH1436" s="177">
        <f t="shared" si="169"/>
        <v>244301</v>
      </c>
      <c r="AK1436" s="176"/>
      <c r="AL1436" s="176"/>
    </row>
    <row r="1437" spans="1:38" ht="36" customHeight="1" x14ac:dyDescent="0.2">
      <c r="A1437" s="14" t="s">
        <v>26</v>
      </c>
      <c r="B1437" s="212">
        <v>244287</v>
      </c>
      <c r="C1437" s="14" t="s">
        <v>547</v>
      </c>
      <c r="D1437" s="14" t="s">
        <v>268</v>
      </c>
      <c r="E1437" s="14" t="s">
        <v>14</v>
      </c>
      <c r="F1437" s="14" t="s">
        <v>324</v>
      </c>
      <c r="G1437" s="179">
        <v>681436</v>
      </c>
      <c r="H1437" s="176" t="s">
        <v>1549</v>
      </c>
      <c r="I1437" s="176" t="s">
        <v>630</v>
      </c>
      <c r="J1437" s="176" t="s">
        <v>520</v>
      </c>
      <c r="K1437" s="176" t="s">
        <v>4219</v>
      </c>
      <c r="L1437" s="40" t="s">
        <v>105</v>
      </c>
      <c r="M1437" s="40" t="s">
        <v>341</v>
      </c>
      <c r="N1437" s="14" t="s">
        <v>4251</v>
      </c>
      <c r="O1437" s="14" t="s">
        <v>1970</v>
      </c>
      <c r="P1437" s="14" t="s">
        <v>4252</v>
      </c>
      <c r="Q1437" s="14" t="s">
        <v>1979</v>
      </c>
      <c r="R1437" s="17">
        <v>700</v>
      </c>
      <c r="S1437" s="172" t="s">
        <v>51</v>
      </c>
      <c r="T1437" s="17">
        <v>2014</v>
      </c>
      <c r="U1437" s="14" t="s">
        <v>51</v>
      </c>
      <c r="V1437" s="16">
        <f t="shared" si="170"/>
        <v>244287</v>
      </c>
      <c r="W1437" s="16">
        <f t="shared" si="171"/>
        <v>244294</v>
      </c>
      <c r="X1437" s="16">
        <f t="shared" si="172"/>
        <v>244289</v>
      </c>
      <c r="Y1437" s="15" t="s">
        <v>54</v>
      </c>
      <c r="Z1437" s="177">
        <v>244300</v>
      </c>
      <c r="AA1437" s="170"/>
      <c r="AB1437" s="170"/>
      <c r="AC1437" s="170"/>
      <c r="AD1437" s="170"/>
      <c r="AE1437" s="15" t="s">
        <v>54</v>
      </c>
      <c r="AF1437" s="177">
        <v>244301</v>
      </c>
      <c r="AG1437" s="177" t="str">
        <f t="shared" si="168"/>
        <v>Pass</v>
      </c>
      <c r="AH1437" s="177">
        <f t="shared" si="169"/>
        <v>244301</v>
      </c>
      <c r="AK1437" s="176"/>
      <c r="AL1437" s="176"/>
    </row>
    <row r="1438" spans="1:38" ht="36" customHeight="1" x14ac:dyDescent="0.2">
      <c r="A1438" s="14" t="s">
        <v>26</v>
      </c>
      <c r="B1438" s="212">
        <v>244287</v>
      </c>
      <c r="C1438" s="14" t="s">
        <v>547</v>
      </c>
      <c r="D1438" s="14" t="s">
        <v>268</v>
      </c>
      <c r="E1438" s="14" t="s">
        <v>14</v>
      </c>
      <c r="F1438" s="14" t="s">
        <v>324</v>
      </c>
      <c r="G1438" s="179">
        <v>681437</v>
      </c>
      <c r="H1438" s="176" t="s">
        <v>2860</v>
      </c>
      <c r="I1438" s="176" t="s">
        <v>630</v>
      </c>
      <c r="J1438" s="176" t="s">
        <v>2861</v>
      </c>
      <c r="K1438" s="176" t="s">
        <v>4228</v>
      </c>
      <c r="L1438" s="40" t="s">
        <v>45</v>
      </c>
      <c r="M1438" s="40" t="s">
        <v>341</v>
      </c>
      <c r="N1438" s="14" t="s">
        <v>4247</v>
      </c>
      <c r="O1438" s="14" t="s">
        <v>527</v>
      </c>
      <c r="P1438" s="14" t="s">
        <v>4253</v>
      </c>
      <c r="Q1438" s="14" t="s">
        <v>542</v>
      </c>
      <c r="R1438" s="17">
        <v>220</v>
      </c>
      <c r="S1438" s="172" t="s">
        <v>51</v>
      </c>
      <c r="T1438" s="17">
        <v>1295</v>
      </c>
      <c r="U1438" s="14" t="s">
        <v>51</v>
      </c>
      <c r="V1438" s="16">
        <f t="shared" si="170"/>
        <v>244287</v>
      </c>
      <c r="W1438" s="16">
        <f t="shared" si="171"/>
        <v>244294</v>
      </c>
      <c r="X1438" s="16">
        <f t="shared" si="172"/>
        <v>244289</v>
      </c>
      <c r="Y1438" s="15" t="s">
        <v>54</v>
      </c>
      <c r="Z1438" s="177">
        <v>244300</v>
      </c>
      <c r="AA1438" s="170"/>
      <c r="AB1438" s="170"/>
      <c r="AC1438" s="170"/>
      <c r="AD1438" s="170"/>
      <c r="AE1438" s="15" t="s">
        <v>54</v>
      </c>
      <c r="AF1438" s="177">
        <v>244301</v>
      </c>
      <c r="AG1438" s="177" t="str">
        <f t="shared" si="168"/>
        <v>Pass</v>
      </c>
      <c r="AH1438" s="177">
        <f t="shared" si="169"/>
        <v>244301</v>
      </c>
      <c r="AK1438" s="176"/>
      <c r="AL1438" s="176"/>
    </row>
    <row r="1439" spans="1:38" ht="36" customHeight="1" x14ac:dyDescent="0.2">
      <c r="A1439" s="14" t="s">
        <v>26</v>
      </c>
      <c r="B1439" s="212">
        <v>244287</v>
      </c>
      <c r="C1439" s="14" t="s">
        <v>547</v>
      </c>
      <c r="D1439" s="14" t="s">
        <v>268</v>
      </c>
      <c r="E1439" s="14" t="s">
        <v>14</v>
      </c>
      <c r="F1439" s="14" t="s">
        <v>324</v>
      </c>
      <c r="G1439" s="179">
        <v>681438</v>
      </c>
      <c r="H1439" s="176" t="s">
        <v>2860</v>
      </c>
      <c r="I1439" s="176" t="s">
        <v>630</v>
      </c>
      <c r="J1439" s="176" t="s">
        <v>2861</v>
      </c>
      <c r="K1439" s="176" t="s">
        <v>4228</v>
      </c>
      <c r="L1439" s="40" t="s">
        <v>45</v>
      </c>
      <c r="M1439" s="40" t="s">
        <v>341</v>
      </c>
      <c r="N1439" s="14" t="s">
        <v>4248</v>
      </c>
      <c r="O1439" s="14" t="s">
        <v>4250</v>
      </c>
      <c r="P1439" s="14" t="s">
        <v>4254</v>
      </c>
      <c r="Q1439" s="14" t="s">
        <v>4255</v>
      </c>
      <c r="R1439" s="17">
        <v>1400</v>
      </c>
      <c r="S1439" s="172" t="s">
        <v>51</v>
      </c>
      <c r="T1439" s="17">
        <v>2345</v>
      </c>
      <c r="U1439" s="14" t="s">
        <v>51</v>
      </c>
      <c r="V1439" s="16">
        <f t="shared" si="170"/>
        <v>244287</v>
      </c>
      <c r="W1439" s="16">
        <f t="shared" si="171"/>
        <v>244294</v>
      </c>
      <c r="X1439" s="16">
        <f t="shared" si="172"/>
        <v>244289</v>
      </c>
      <c r="Y1439" s="15" t="s">
        <v>54</v>
      </c>
      <c r="Z1439" s="177">
        <v>244300</v>
      </c>
      <c r="AA1439" s="170"/>
      <c r="AB1439" s="170"/>
      <c r="AC1439" s="170"/>
      <c r="AD1439" s="170"/>
      <c r="AE1439" s="15" t="s">
        <v>54</v>
      </c>
      <c r="AF1439" s="177">
        <v>244301</v>
      </c>
      <c r="AG1439" s="177" t="str">
        <f t="shared" si="168"/>
        <v>Pass</v>
      </c>
      <c r="AH1439" s="177">
        <f t="shared" si="169"/>
        <v>244301</v>
      </c>
      <c r="AK1439" s="176"/>
      <c r="AL1439" s="176"/>
    </row>
    <row r="1440" spans="1:38" ht="36" customHeight="1" x14ac:dyDescent="0.2">
      <c r="A1440" s="14" t="s">
        <v>26</v>
      </c>
      <c r="B1440" s="212">
        <v>244287</v>
      </c>
      <c r="C1440" s="14" t="s">
        <v>547</v>
      </c>
      <c r="D1440" s="14" t="s">
        <v>268</v>
      </c>
      <c r="E1440" s="14" t="s">
        <v>14</v>
      </c>
      <c r="F1440" s="14" t="s">
        <v>324</v>
      </c>
      <c r="G1440" s="179">
        <v>681439</v>
      </c>
      <c r="H1440" s="176" t="s">
        <v>996</v>
      </c>
      <c r="I1440" s="176" t="s">
        <v>630</v>
      </c>
      <c r="J1440" s="176" t="s">
        <v>520</v>
      </c>
      <c r="K1440" s="176" t="s">
        <v>4245</v>
      </c>
      <c r="L1440" s="40" t="s">
        <v>105</v>
      </c>
      <c r="M1440" s="40" t="s">
        <v>341</v>
      </c>
      <c r="N1440" s="14" t="s">
        <v>1214</v>
      </c>
      <c r="O1440" s="14" t="s">
        <v>548</v>
      </c>
      <c r="P1440" s="14" t="s">
        <v>518</v>
      </c>
      <c r="Q1440" s="14" t="s">
        <v>549</v>
      </c>
      <c r="R1440" s="17">
        <v>150</v>
      </c>
      <c r="S1440" s="172" t="s">
        <v>51</v>
      </c>
      <c r="T1440" s="17">
        <v>2044</v>
      </c>
      <c r="U1440" s="14" t="s">
        <v>51</v>
      </c>
      <c r="V1440" s="16">
        <f t="shared" si="170"/>
        <v>244287</v>
      </c>
      <c r="W1440" s="16">
        <f t="shared" si="171"/>
        <v>244294</v>
      </c>
      <c r="X1440" s="16">
        <f t="shared" si="172"/>
        <v>244289</v>
      </c>
      <c r="Y1440" s="15" t="s">
        <v>54</v>
      </c>
      <c r="Z1440" s="177">
        <v>244300</v>
      </c>
      <c r="AA1440" s="170"/>
      <c r="AB1440" s="170"/>
      <c r="AC1440" s="170"/>
      <c r="AD1440" s="170"/>
      <c r="AE1440" s="15" t="s">
        <v>54</v>
      </c>
      <c r="AF1440" s="177">
        <v>244301</v>
      </c>
      <c r="AG1440" s="177" t="str">
        <f t="shared" si="168"/>
        <v>Pass</v>
      </c>
      <c r="AH1440" s="177">
        <f t="shared" si="169"/>
        <v>244301</v>
      </c>
      <c r="AK1440" s="176"/>
      <c r="AL1440" s="176"/>
    </row>
    <row r="1441" spans="1:38" ht="36" customHeight="1" x14ac:dyDescent="0.2">
      <c r="A1441" s="14" t="s">
        <v>26</v>
      </c>
      <c r="B1441" s="212">
        <v>244287</v>
      </c>
      <c r="C1441" s="14" t="s">
        <v>547</v>
      </c>
      <c r="D1441" s="14" t="s">
        <v>268</v>
      </c>
      <c r="E1441" s="14" t="s">
        <v>14</v>
      </c>
      <c r="F1441" s="14" t="s">
        <v>324</v>
      </c>
      <c r="G1441" s="179">
        <v>681440</v>
      </c>
      <c r="H1441" s="176" t="s">
        <v>2860</v>
      </c>
      <c r="I1441" s="176" t="s">
        <v>630</v>
      </c>
      <c r="J1441" s="176" t="s">
        <v>2861</v>
      </c>
      <c r="K1441" s="176" t="s">
        <v>4228</v>
      </c>
      <c r="L1441" s="40" t="s">
        <v>45</v>
      </c>
      <c r="M1441" s="40" t="s">
        <v>341</v>
      </c>
      <c r="N1441" s="14" t="s">
        <v>3911</v>
      </c>
      <c r="O1441" s="14" t="s">
        <v>548</v>
      </c>
      <c r="P1441" s="14" t="s">
        <v>518</v>
      </c>
      <c r="Q1441" s="14" t="s">
        <v>549</v>
      </c>
      <c r="R1441" s="17">
        <v>166</v>
      </c>
      <c r="S1441" s="172" t="s">
        <v>51</v>
      </c>
      <c r="T1441" s="17">
        <v>1295</v>
      </c>
      <c r="U1441" s="14" t="s">
        <v>51</v>
      </c>
      <c r="V1441" s="16">
        <f t="shared" si="170"/>
        <v>244287</v>
      </c>
      <c r="W1441" s="16">
        <f t="shared" si="171"/>
        <v>244294</v>
      </c>
      <c r="X1441" s="16">
        <f t="shared" si="172"/>
        <v>244289</v>
      </c>
      <c r="Y1441" s="15" t="s">
        <v>54</v>
      </c>
      <c r="Z1441" s="177">
        <v>244300</v>
      </c>
      <c r="AA1441" s="170"/>
      <c r="AB1441" s="170"/>
      <c r="AC1441" s="170"/>
      <c r="AD1441" s="170"/>
      <c r="AE1441" s="15" t="s">
        <v>54</v>
      </c>
      <c r="AF1441" s="177">
        <v>244301</v>
      </c>
      <c r="AG1441" s="177" t="str">
        <f t="shared" si="168"/>
        <v>Pass</v>
      </c>
      <c r="AH1441" s="177">
        <f t="shared" si="169"/>
        <v>244301</v>
      </c>
      <c r="AK1441" s="176"/>
      <c r="AL1441" s="176"/>
    </row>
    <row r="1442" spans="1:38" ht="36" customHeight="1" x14ac:dyDescent="0.2">
      <c r="A1442" s="14" t="s">
        <v>26</v>
      </c>
      <c r="B1442" s="212">
        <v>244287</v>
      </c>
      <c r="C1442" s="14" t="s">
        <v>547</v>
      </c>
      <c r="D1442" s="14" t="s">
        <v>268</v>
      </c>
      <c r="E1442" s="14" t="s">
        <v>14</v>
      </c>
      <c r="F1442" s="14" t="s">
        <v>324</v>
      </c>
      <c r="G1442" s="179">
        <v>681441</v>
      </c>
      <c r="H1442" s="176" t="s">
        <v>4244</v>
      </c>
      <c r="I1442" s="176" t="s">
        <v>3318</v>
      </c>
      <c r="J1442" s="176" t="s">
        <v>123</v>
      </c>
      <c r="K1442" s="176" t="s">
        <v>4246</v>
      </c>
      <c r="L1442" s="40" t="s">
        <v>46</v>
      </c>
      <c r="M1442" s="40" t="s">
        <v>341</v>
      </c>
      <c r="N1442" s="14" t="s">
        <v>4249</v>
      </c>
      <c r="O1442" s="14" t="s">
        <v>543</v>
      </c>
      <c r="P1442" s="14" t="s">
        <v>517</v>
      </c>
      <c r="Q1442" s="14" t="s">
        <v>529</v>
      </c>
      <c r="R1442" s="17">
        <v>1400</v>
      </c>
      <c r="S1442" s="172" t="s">
        <v>51</v>
      </c>
      <c r="T1442" s="17">
        <v>1885</v>
      </c>
      <c r="U1442" s="14" t="s">
        <v>51</v>
      </c>
      <c r="V1442" s="16">
        <f t="shared" si="170"/>
        <v>244287</v>
      </c>
      <c r="W1442" s="16">
        <f t="shared" si="171"/>
        <v>244294</v>
      </c>
      <c r="X1442" s="16">
        <f t="shared" si="172"/>
        <v>244289</v>
      </c>
      <c r="Y1442" s="15" t="s">
        <v>54</v>
      </c>
      <c r="Z1442" s="177">
        <v>244300</v>
      </c>
      <c r="AA1442" s="170"/>
      <c r="AB1442" s="170"/>
      <c r="AC1442" s="170"/>
      <c r="AD1442" s="170"/>
      <c r="AE1442" s="15" t="s">
        <v>54</v>
      </c>
      <c r="AF1442" s="177">
        <v>244301</v>
      </c>
      <c r="AG1442" s="177" t="str">
        <f t="shared" si="168"/>
        <v>Pass</v>
      </c>
      <c r="AH1442" s="177">
        <f t="shared" si="169"/>
        <v>244301</v>
      </c>
      <c r="AK1442" s="176"/>
      <c r="AL1442" s="176"/>
    </row>
    <row r="1443" spans="1:38" ht="36" customHeight="1" x14ac:dyDescent="0.2">
      <c r="A1443" s="14" t="s">
        <v>26</v>
      </c>
      <c r="B1443" s="212">
        <v>244287</v>
      </c>
      <c r="C1443" s="14" t="s">
        <v>547</v>
      </c>
      <c r="D1443" s="14" t="s">
        <v>268</v>
      </c>
      <c r="E1443" s="14" t="s">
        <v>14</v>
      </c>
      <c r="F1443" s="14" t="s">
        <v>324</v>
      </c>
      <c r="G1443" s="179">
        <v>681442</v>
      </c>
      <c r="H1443" s="176" t="s">
        <v>4256</v>
      </c>
      <c r="I1443" s="176" t="s">
        <v>4258</v>
      </c>
      <c r="J1443" s="176" t="s">
        <v>130</v>
      </c>
      <c r="K1443" s="176" t="s">
        <v>4261</v>
      </c>
      <c r="L1443" s="40" t="s">
        <v>106</v>
      </c>
      <c r="M1443" s="40" t="s">
        <v>341</v>
      </c>
      <c r="N1443" s="14" t="s">
        <v>4265</v>
      </c>
      <c r="O1443" s="14" t="s">
        <v>543</v>
      </c>
      <c r="P1443" s="14" t="s">
        <v>4267</v>
      </c>
      <c r="Q1443" s="14" t="s">
        <v>529</v>
      </c>
      <c r="R1443" s="17">
        <v>200</v>
      </c>
      <c r="S1443" s="172" t="s">
        <v>51</v>
      </c>
      <c r="T1443" s="17">
        <v>1850</v>
      </c>
      <c r="U1443" s="14" t="s">
        <v>51</v>
      </c>
      <c r="V1443" s="16">
        <f t="shared" si="170"/>
        <v>244287</v>
      </c>
      <c r="W1443" s="16">
        <f t="shared" si="171"/>
        <v>244294</v>
      </c>
      <c r="X1443" s="16">
        <f t="shared" si="172"/>
        <v>244289</v>
      </c>
      <c r="Y1443" s="15" t="s">
        <v>54</v>
      </c>
      <c r="Z1443" s="177">
        <v>244300</v>
      </c>
      <c r="AA1443" s="170"/>
      <c r="AB1443" s="170"/>
      <c r="AC1443" s="170"/>
      <c r="AD1443" s="170"/>
      <c r="AE1443" s="15" t="s">
        <v>54</v>
      </c>
      <c r="AF1443" s="177">
        <v>244301</v>
      </c>
      <c r="AG1443" s="177" t="str">
        <f t="shared" si="168"/>
        <v>Pass</v>
      </c>
      <c r="AH1443" s="177">
        <f t="shared" si="169"/>
        <v>244301</v>
      </c>
      <c r="AK1443" s="176"/>
      <c r="AL1443" s="176"/>
    </row>
    <row r="1444" spans="1:38" ht="36" customHeight="1" x14ac:dyDescent="0.2">
      <c r="A1444" s="14" t="s">
        <v>26</v>
      </c>
      <c r="B1444" s="212">
        <v>244287</v>
      </c>
      <c r="C1444" s="14" t="s">
        <v>547</v>
      </c>
      <c r="D1444" s="14" t="s">
        <v>268</v>
      </c>
      <c r="E1444" s="14" t="s">
        <v>14</v>
      </c>
      <c r="F1444" s="14" t="s">
        <v>324</v>
      </c>
      <c r="G1444" s="179">
        <v>681443</v>
      </c>
      <c r="H1444" s="176" t="s">
        <v>886</v>
      </c>
      <c r="I1444" s="176" t="s">
        <v>630</v>
      </c>
      <c r="J1444" s="176" t="s">
        <v>821</v>
      </c>
      <c r="K1444" s="176" t="s">
        <v>4218</v>
      </c>
      <c r="L1444" s="40" t="s">
        <v>124</v>
      </c>
      <c r="M1444" s="40" t="s">
        <v>341</v>
      </c>
      <c r="N1444" s="14" t="s">
        <v>2873</v>
      </c>
      <c r="O1444" s="14" t="s">
        <v>543</v>
      </c>
      <c r="P1444" s="14" t="s">
        <v>1573</v>
      </c>
      <c r="Q1444" s="14" t="s">
        <v>529</v>
      </c>
      <c r="R1444" s="17">
        <v>1000</v>
      </c>
      <c r="S1444" s="172" t="s">
        <v>51</v>
      </c>
      <c r="T1444" s="17">
        <v>2568</v>
      </c>
      <c r="U1444" s="14" t="s">
        <v>51</v>
      </c>
      <c r="V1444" s="16">
        <f t="shared" si="170"/>
        <v>244287</v>
      </c>
      <c r="W1444" s="16">
        <f t="shared" si="171"/>
        <v>244294</v>
      </c>
      <c r="X1444" s="16">
        <f t="shared" si="172"/>
        <v>244289</v>
      </c>
      <c r="Y1444" s="15" t="s">
        <v>54</v>
      </c>
      <c r="Z1444" s="177">
        <v>244300</v>
      </c>
      <c r="AA1444" s="170"/>
      <c r="AB1444" s="170"/>
      <c r="AC1444" s="170"/>
      <c r="AD1444" s="170"/>
      <c r="AE1444" s="15" t="s">
        <v>54</v>
      </c>
      <c r="AF1444" s="177">
        <v>244301</v>
      </c>
      <c r="AG1444" s="177" t="str">
        <f t="shared" si="168"/>
        <v>Pass</v>
      </c>
      <c r="AH1444" s="177">
        <f t="shared" si="169"/>
        <v>244301</v>
      </c>
      <c r="AK1444" s="176"/>
      <c r="AL1444" s="176"/>
    </row>
    <row r="1445" spans="1:38" ht="36" customHeight="1" x14ac:dyDescent="0.2">
      <c r="A1445" s="14" t="s">
        <v>26</v>
      </c>
      <c r="B1445" s="212">
        <v>244287</v>
      </c>
      <c r="C1445" s="14" t="s">
        <v>547</v>
      </c>
      <c r="D1445" s="14" t="s">
        <v>268</v>
      </c>
      <c r="E1445" s="14" t="s">
        <v>14</v>
      </c>
      <c r="F1445" s="14" t="s">
        <v>324</v>
      </c>
      <c r="G1445" s="179">
        <v>681444</v>
      </c>
      <c r="H1445" s="176" t="s">
        <v>4257</v>
      </c>
      <c r="I1445" s="176" t="s">
        <v>4259</v>
      </c>
      <c r="J1445" s="176" t="s">
        <v>4260</v>
      </c>
      <c r="K1445" s="176" t="s">
        <v>4262</v>
      </c>
      <c r="L1445" s="40" t="s">
        <v>108</v>
      </c>
      <c r="M1445" s="40" t="s">
        <v>341</v>
      </c>
      <c r="N1445" s="14" t="s">
        <v>984</v>
      </c>
      <c r="O1445" s="14" t="s">
        <v>548</v>
      </c>
      <c r="P1445" s="14" t="s">
        <v>518</v>
      </c>
      <c r="Q1445" s="14" t="s">
        <v>549</v>
      </c>
      <c r="R1445" s="17">
        <v>120</v>
      </c>
      <c r="S1445" s="172" t="s">
        <v>51</v>
      </c>
      <c r="T1445" s="17">
        <v>3070</v>
      </c>
      <c r="U1445" s="14" t="s">
        <v>51</v>
      </c>
      <c r="V1445" s="16">
        <f t="shared" si="170"/>
        <v>244287</v>
      </c>
      <c r="W1445" s="16">
        <f t="shared" si="171"/>
        <v>244294</v>
      </c>
      <c r="X1445" s="16">
        <f t="shared" si="172"/>
        <v>244289</v>
      </c>
      <c r="Y1445" s="15" t="s">
        <v>54</v>
      </c>
      <c r="Z1445" s="177">
        <v>244300</v>
      </c>
      <c r="AA1445" s="170"/>
      <c r="AB1445" s="170"/>
      <c r="AC1445" s="170"/>
      <c r="AD1445" s="170"/>
      <c r="AE1445" s="15" t="s">
        <v>54</v>
      </c>
      <c r="AF1445" s="177">
        <v>244301</v>
      </c>
      <c r="AG1445" s="177" t="str">
        <f t="shared" si="168"/>
        <v>Pass</v>
      </c>
      <c r="AH1445" s="177">
        <f t="shared" si="169"/>
        <v>244301</v>
      </c>
      <c r="AK1445" s="176"/>
      <c r="AL1445" s="176"/>
    </row>
    <row r="1446" spans="1:38" ht="36" customHeight="1" x14ac:dyDescent="0.2">
      <c r="A1446" s="14" t="s">
        <v>26</v>
      </c>
      <c r="B1446" s="212">
        <v>244287</v>
      </c>
      <c r="C1446" s="14" t="s">
        <v>547</v>
      </c>
      <c r="D1446" s="14" t="s">
        <v>268</v>
      </c>
      <c r="E1446" s="14" t="s">
        <v>14</v>
      </c>
      <c r="F1446" s="14" t="s">
        <v>324</v>
      </c>
      <c r="G1446" s="179">
        <v>681445</v>
      </c>
      <c r="H1446" s="176" t="s">
        <v>1606</v>
      </c>
      <c r="I1446" s="176" t="s">
        <v>630</v>
      </c>
      <c r="J1446" s="176" t="s">
        <v>520</v>
      </c>
      <c r="K1446" s="176" t="s">
        <v>4263</v>
      </c>
      <c r="L1446" s="40" t="s">
        <v>105</v>
      </c>
      <c r="M1446" s="40" t="s">
        <v>341</v>
      </c>
      <c r="N1446" s="14" t="s">
        <v>2682</v>
      </c>
      <c r="O1446" s="14" t="s">
        <v>548</v>
      </c>
      <c r="P1446" s="14" t="s">
        <v>518</v>
      </c>
      <c r="Q1446" s="14" t="s">
        <v>549</v>
      </c>
      <c r="R1446" s="17">
        <v>103</v>
      </c>
      <c r="S1446" s="172" t="s">
        <v>51</v>
      </c>
      <c r="T1446" s="17">
        <v>2000</v>
      </c>
      <c r="U1446" s="14" t="s">
        <v>51</v>
      </c>
      <c r="V1446" s="16">
        <f t="shared" si="170"/>
        <v>244287</v>
      </c>
      <c r="W1446" s="16">
        <f t="shared" si="171"/>
        <v>244294</v>
      </c>
      <c r="X1446" s="16">
        <f t="shared" si="172"/>
        <v>244289</v>
      </c>
      <c r="Y1446" s="15" t="s">
        <v>54</v>
      </c>
      <c r="Z1446" s="177">
        <v>244300</v>
      </c>
      <c r="AA1446" s="170"/>
      <c r="AB1446" s="170"/>
      <c r="AC1446" s="170"/>
      <c r="AD1446" s="170"/>
      <c r="AE1446" s="15" t="s">
        <v>54</v>
      </c>
      <c r="AF1446" s="177">
        <v>244301</v>
      </c>
      <c r="AG1446" s="177" t="str">
        <f t="shared" ref="AG1446:AG1500" si="173">AE1446</f>
        <v>Pass</v>
      </c>
      <c r="AH1446" s="177">
        <f t="shared" ref="AH1446:AH1500" si="174">AF1446</f>
        <v>244301</v>
      </c>
      <c r="AK1446" s="176"/>
      <c r="AL1446" s="176"/>
    </row>
    <row r="1447" spans="1:38" ht="36" customHeight="1" x14ac:dyDescent="0.2">
      <c r="A1447" s="14" t="s">
        <v>26</v>
      </c>
      <c r="B1447" s="212">
        <v>244287</v>
      </c>
      <c r="C1447" s="14" t="s">
        <v>547</v>
      </c>
      <c r="D1447" s="14" t="s">
        <v>268</v>
      </c>
      <c r="E1447" s="14" t="s">
        <v>14</v>
      </c>
      <c r="F1447" s="14" t="s">
        <v>324</v>
      </c>
      <c r="G1447" s="179">
        <v>681446</v>
      </c>
      <c r="H1447" s="176" t="s">
        <v>1041</v>
      </c>
      <c r="I1447" s="176" t="s">
        <v>908</v>
      </c>
      <c r="J1447" s="176" t="s">
        <v>123</v>
      </c>
      <c r="K1447" s="176" t="s">
        <v>4264</v>
      </c>
      <c r="L1447" s="40" t="s">
        <v>46</v>
      </c>
      <c r="M1447" s="40" t="s">
        <v>341</v>
      </c>
      <c r="N1447" s="14" t="s">
        <v>1952</v>
      </c>
      <c r="O1447" s="14" t="s">
        <v>552</v>
      </c>
      <c r="P1447" s="14" t="s">
        <v>519</v>
      </c>
      <c r="Q1447" s="14" t="s">
        <v>553</v>
      </c>
      <c r="R1447" s="17">
        <v>850</v>
      </c>
      <c r="S1447" s="172" t="s">
        <v>51</v>
      </c>
      <c r="T1447" s="17">
        <v>2015</v>
      </c>
      <c r="U1447" s="14" t="s">
        <v>51</v>
      </c>
      <c r="V1447" s="16">
        <f t="shared" si="170"/>
        <v>244287</v>
      </c>
      <c r="W1447" s="16">
        <f t="shared" si="171"/>
        <v>244294</v>
      </c>
      <c r="X1447" s="16">
        <f t="shared" si="172"/>
        <v>244289</v>
      </c>
      <c r="Y1447" s="15" t="s">
        <v>54</v>
      </c>
      <c r="Z1447" s="177">
        <v>244300</v>
      </c>
      <c r="AA1447" s="170"/>
      <c r="AB1447" s="170"/>
      <c r="AC1447" s="170"/>
      <c r="AD1447" s="170"/>
      <c r="AE1447" s="15" t="s">
        <v>54</v>
      </c>
      <c r="AF1447" s="177">
        <v>244301</v>
      </c>
      <c r="AG1447" s="177" t="str">
        <f t="shared" si="173"/>
        <v>Pass</v>
      </c>
      <c r="AH1447" s="177">
        <f t="shared" si="174"/>
        <v>244301</v>
      </c>
      <c r="AK1447" s="176"/>
      <c r="AL1447" s="176"/>
    </row>
    <row r="1448" spans="1:38" ht="36" customHeight="1" x14ac:dyDescent="0.2">
      <c r="A1448" s="14" t="s">
        <v>26</v>
      </c>
      <c r="B1448" s="212">
        <v>244288</v>
      </c>
      <c r="C1448" s="14" t="s">
        <v>547</v>
      </c>
      <c r="D1448" s="14" t="s">
        <v>268</v>
      </c>
      <c r="E1448" s="14" t="s">
        <v>14</v>
      </c>
      <c r="F1448" s="14" t="s">
        <v>324</v>
      </c>
      <c r="G1448" s="179">
        <v>681447</v>
      </c>
      <c r="H1448" s="176" t="s">
        <v>1041</v>
      </c>
      <c r="I1448" s="176" t="s">
        <v>908</v>
      </c>
      <c r="J1448" s="176" t="s">
        <v>123</v>
      </c>
      <c r="K1448" s="176" t="s">
        <v>4264</v>
      </c>
      <c r="L1448" s="40" t="s">
        <v>46</v>
      </c>
      <c r="M1448" s="40" t="s">
        <v>341</v>
      </c>
      <c r="N1448" s="14" t="s">
        <v>4266</v>
      </c>
      <c r="O1448" s="14" t="s">
        <v>552</v>
      </c>
      <c r="P1448" s="14" t="s">
        <v>1489</v>
      </c>
      <c r="Q1448" s="14" t="s">
        <v>553</v>
      </c>
      <c r="R1448" s="17">
        <v>1200</v>
      </c>
      <c r="S1448" s="172" t="s">
        <v>51</v>
      </c>
      <c r="T1448" s="17">
        <v>2000</v>
      </c>
      <c r="U1448" s="14" t="s">
        <v>51</v>
      </c>
      <c r="V1448" s="16">
        <f t="shared" si="170"/>
        <v>244288</v>
      </c>
      <c r="W1448" s="16">
        <f t="shared" si="171"/>
        <v>244295</v>
      </c>
      <c r="X1448" s="16">
        <f t="shared" si="172"/>
        <v>244290</v>
      </c>
      <c r="Y1448" s="15" t="s">
        <v>54</v>
      </c>
      <c r="Z1448" s="177">
        <v>244300</v>
      </c>
      <c r="AA1448" s="170"/>
      <c r="AB1448" s="170"/>
      <c r="AC1448" s="170"/>
      <c r="AD1448" s="170"/>
      <c r="AE1448" s="15" t="s">
        <v>54</v>
      </c>
      <c r="AF1448" s="177">
        <v>244301</v>
      </c>
      <c r="AG1448" s="177" t="str">
        <f t="shared" si="173"/>
        <v>Pass</v>
      </c>
      <c r="AH1448" s="177">
        <f t="shared" si="174"/>
        <v>244301</v>
      </c>
      <c r="AK1448" s="176"/>
      <c r="AL1448" s="176"/>
    </row>
    <row r="1449" spans="1:38" ht="36" customHeight="1" x14ac:dyDescent="0.2">
      <c r="A1449" s="14" t="s">
        <v>26</v>
      </c>
      <c r="B1449" s="212">
        <v>244288</v>
      </c>
      <c r="C1449" s="14" t="s">
        <v>547</v>
      </c>
      <c r="D1449" s="14" t="s">
        <v>268</v>
      </c>
      <c r="E1449" s="14" t="s">
        <v>14</v>
      </c>
      <c r="F1449" s="14" t="s">
        <v>324</v>
      </c>
      <c r="G1449" s="179">
        <v>681448</v>
      </c>
      <c r="H1449" s="176" t="s">
        <v>1041</v>
      </c>
      <c r="I1449" s="176" t="s">
        <v>908</v>
      </c>
      <c r="J1449" s="176" t="s">
        <v>123</v>
      </c>
      <c r="K1449" s="176" t="s">
        <v>4264</v>
      </c>
      <c r="L1449" s="40" t="s">
        <v>46</v>
      </c>
      <c r="M1449" s="40" t="s">
        <v>341</v>
      </c>
      <c r="N1449" s="14" t="s">
        <v>4268</v>
      </c>
      <c r="O1449" s="14" t="s">
        <v>4280</v>
      </c>
      <c r="P1449" s="14" t="s">
        <v>517</v>
      </c>
      <c r="Q1449" s="14" t="s">
        <v>4290</v>
      </c>
      <c r="R1449" s="17">
        <v>200</v>
      </c>
      <c r="S1449" s="172" t="s">
        <v>51</v>
      </c>
      <c r="T1449" s="17">
        <v>2000</v>
      </c>
      <c r="U1449" s="14" t="s">
        <v>51</v>
      </c>
      <c r="V1449" s="16">
        <f t="shared" si="170"/>
        <v>244288</v>
      </c>
      <c r="W1449" s="16">
        <f t="shared" si="171"/>
        <v>244295</v>
      </c>
      <c r="X1449" s="16">
        <f t="shared" si="172"/>
        <v>244290</v>
      </c>
      <c r="Y1449" s="15" t="s">
        <v>54</v>
      </c>
      <c r="Z1449" s="177">
        <v>244300</v>
      </c>
      <c r="AA1449" s="170"/>
      <c r="AB1449" s="170"/>
      <c r="AC1449" s="170"/>
      <c r="AD1449" s="170"/>
      <c r="AE1449" s="15" t="s">
        <v>54</v>
      </c>
      <c r="AF1449" s="177">
        <v>244301</v>
      </c>
      <c r="AG1449" s="177" t="str">
        <f t="shared" si="173"/>
        <v>Pass</v>
      </c>
      <c r="AH1449" s="177">
        <f t="shared" si="174"/>
        <v>244301</v>
      </c>
      <c r="AK1449" s="176"/>
      <c r="AL1449" s="176"/>
    </row>
    <row r="1450" spans="1:38" ht="36" customHeight="1" x14ac:dyDescent="0.2">
      <c r="A1450" s="14" t="s">
        <v>26</v>
      </c>
      <c r="B1450" s="212">
        <v>244288</v>
      </c>
      <c r="C1450" s="14" t="s">
        <v>547</v>
      </c>
      <c r="D1450" s="14" t="s">
        <v>268</v>
      </c>
      <c r="E1450" s="14" t="s">
        <v>14</v>
      </c>
      <c r="F1450" s="14" t="s">
        <v>324</v>
      </c>
      <c r="G1450" s="179">
        <v>681449</v>
      </c>
      <c r="H1450" s="176" t="s">
        <v>4269</v>
      </c>
      <c r="I1450" s="176" t="s">
        <v>864</v>
      </c>
      <c r="J1450" s="176" t="s">
        <v>159</v>
      </c>
      <c r="K1450" s="176" t="s">
        <v>4274</v>
      </c>
      <c r="L1450" s="40" t="s">
        <v>45</v>
      </c>
      <c r="M1450" s="40" t="s">
        <v>341</v>
      </c>
      <c r="N1450" s="14" t="s">
        <v>2189</v>
      </c>
      <c r="O1450" s="14" t="s">
        <v>4281</v>
      </c>
      <c r="P1450" s="14" t="s">
        <v>517</v>
      </c>
      <c r="Q1450" s="14" t="s">
        <v>4291</v>
      </c>
      <c r="R1450" s="17">
        <v>600</v>
      </c>
      <c r="S1450" s="172" t="s">
        <v>51</v>
      </c>
      <c r="T1450" s="17">
        <v>1765</v>
      </c>
      <c r="U1450" s="14" t="s">
        <v>51</v>
      </c>
      <c r="V1450" s="16">
        <f t="shared" si="170"/>
        <v>244288</v>
      </c>
      <c r="W1450" s="16">
        <f t="shared" si="171"/>
        <v>244295</v>
      </c>
      <c r="X1450" s="16">
        <f t="shared" si="172"/>
        <v>244290</v>
      </c>
      <c r="Y1450" s="15" t="s">
        <v>54</v>
      </c>
      <c r="Z1450" s="177">
        <v>244300</v>
      </c>
      <c r="AA1450" s="170"/>
      <c r="AB1450" s="170"/>
      <c r="AC1450" s="170"/>
      <c r="AD1450" s="170"/>
      <c r="AE1450" s="15" t="s">
        <v>54</v>
      </c>
      <c r="AF1450" s="177">
        <v>244301</v>
      </c>
      <c r="AG1450" s="177" t="str">
        <f t="shared" si="173"/>
        <v>Pass</v>
      </c>
      <c r="AH1450" s="177">
        <f t="shared" si="174"/>
        <v>244301</v>
      </c>
      <c r="AK1450" s="176"/>
      <c r="AL1450" s="176"/>
    </row>
    <row r="1451" spans="1:38" ht="36" customHeight="1" x14ac:dyDescent="0.2">
      <c r="A1451" s="14" t="s">
        <v>26</v>
      </c>
      <c r="B1451" s="212">
        <v>244288</v>
      </c>
      <c r="C1451" s="14" t="s">
        <v>547</v>
      </c>
      <c r="D1451" s="14" t="s">
        <v>268</v>
      </c>
      <c r="E1451" s="14" t="s">
        <v>14</v>
      </c>
      <c r="F1451" s="14" t="s">
        <v>324</v>
      </c>
      <c r="G1451" s="179">
        <v>681450</v>
      </c>
      <c r="H1451" s="176" t="s">
        <v>1041</v>
      </c>
      <c r="I1451" s="176" t="s">
        <v>908</v>
      </c>
      <c r="J1451" s="176" t="s">
        <v>123</v>
      </c>
      <c r="K1451" s="176" t="s">
        <v>4264</v>
      </c>
      <c r="L1451" s="40" t="s">
        <v>46</v>
      </c>
      <c r="M1451" s="40" t="s">
        <v>341</v>
      </c>
      <c r="N1451" s="14" t="s">
        <v>4275</v>
      </c>
      <c r="O1451" s="14" t="s">
        <v>548</v>
      </c>
      <c r="P1451" s="14" t="s">
        <v>518</v>
      </c>
      <c r="Q1451" s="14" t="s">
        <v>549</v>
      </c>
      <c r="R1451" s="17">
        <v>266</v>
      </c>
      <c r="S1451" s="172" t="s">
        <v>51</v>
      </c>
      <c r="T1451" s="17">
        <v>2000</v>
      </c>
      <c r="U1451" s="14" t="s">
        <v>51</v>
      </c>
      <c r="V1451" s="16">
        <f t="shared" si="170"/>
        <v>244288</v>
      </c>
      <c r="W1451" s="16">
        <f t="shared" si="171"/>
        <v>244295</v>
      </c>
      <c r="X1451" s="16">
        <f t="shared" si="172"/>
        <v>244290</v>
      </c>
      <c r="Y1451" s="15" t="s">
        <v>54</v>
      </c>
      <c r="Z1451" s="177">
        <v>244300</v>
      </c>
      <c r="AA1451" s="170"/>
      <c r="AB1451" s="170"/>
      <c r="AC1451" s="170"/>
      <c r="AD1451" s="170"/>
      <c r="AE1451" s="15" t="s">
        <v>54</v>
      </c>
      <c r="AF1451" s="177">
        <v>244301</v>
      </c>
      <c r="AG1451" s="177" t="str">
        <f t="shared" si="173"/>
        <v>Pass</v>
      </c>
      <c r="AH1451" s="177">
        <f t="shared" si="174"/>
        <v>244301</v>
      </c>
      <c r="AK1451" s="176"/>
      <c r="AL1451" s="176"/>
    </row>
    <row r="1452" spans="1:38" ht="36" customHeight="1" x14ac:dyDescent="0.2">
      <c r="A1452" s="14" t="s">
        <v>26</v>
      </c>
      <c r="B1452" s="212">
        <v>244288</v>
      </c>
      <c r="C1452" s="14" t="s">
        <v>547</v>
      </c>
      <c r="D1452" s="14" t="s">
        <v>268</v>
      </c>
      <c r="E1452" s="14" t="s">
        <v>14</v>
      </c>
      <c r="F1452" s="14" t="s">
        <v>324</v>
      </c>
      <c r="G1452" s="179">
        <v>681451</v>
      </c>
      <c r="H1452" s="176" t="s">
        <v>1548</v>
      </c>
      <c r="I1452" s="176" t="s">
        <v>630</v>
      </c>
      <c r="J1452" s="176" t="s">
        <v>520</v>
      </c>
      <c r="K1452" s="176" t="s">
        <v>4271</v>
      </c>
      <c r="L1452" s="40" t="s">
        <v>105</v>
      </c>
      <c r="M1452" s="40" t="s">
        <v>341</v>
      </c>
      <c r="N1452" s="14" t="s">
        <v>4284</v>
      </c>
      <c r="O1452" s="14" t="s">
        <v>4282</v>
      </c>
      <c r="P1452" s="14" t="s">
        <v>4285</v>
      </c>
      <c r="Q1452" s="14" t="s">
        <v>4292</v>
      </c>
      <c r="R1452" s="17">
        <v>875</v>
      </c>
      <c r="S1452" s="172" t="s">
        <v>51</v>
      </c>
      <c r="T1452" s="17">
        <v>2060</v>
      </c>
      <c r="U1452" s="14" t="s">
        <v>51</v>
      </c>
      <c r="V1452" s="16">
        <f t="shared" si="170"/>
        <v>244288</v>
      </c>
      <c r="W1452" s="16">
        <f t="shared" si="171"/>
        <v>244295</v>
      </c>
      <c r="X1452" s="16">
        <f t="shared" si="172"/>
        <v>244290</v>
      </c>
      <c r="Y1452" s="15" t="s">
        <v>54</v>
      </c>
      <c r="Z1452" s="177">
        <v>244300</v>
      </c>
      <c r="AA1452" s="170"/>
      <c r="AB1452" s="170"/>
      <c r="AC1452" s="170"/>
      <c r="AD1452" s="170"/>
      <c r="AE1452" s="15" t="s">
        <v>54</v>
      </c>
      <c r="AF1452" s="177">
        <v>244301</v>
      </c>
      <c r="AG1452" s="177" t="str">
        <f t="shared" si="173"/>
        <v>Pass</v>
      </c>
      <c r="AH1452" s="177">
        <f t="shared" si="174"/>
        <v>244301</v>
      </c>
      <c r="AK1452" s="176"/>
      <c r="AL1452" s="176"/>
    </row>
    <row r="1453" spans="1:38" ht="36" customHeight="1" x14ac:dyDescent="0.2">
      <c r="A1453" s="14" t="s">
        <v>26</v>
      </c>
      <c r="B1453" s="212">
        <v>244288</v>
      </c>
      <c r="C1453" s="14" t="s">
        <v>547</v>
      </c>
      <c r="D1453" s="14" t="s">
        <v>268</v>
      </c>
      <c r="E1453" s="14" t="s">
        <v>14</v>
      </c>
      <c r="F1453" s="14" t="s">
        <v>324</v>
      </c>
      <c r="G1453" s="179">
        <v>681452</v>
      </c>
      <c r="H1453" s="176" t="s">
        <v>1548</v>
      </c>
      <c r="I1453" s="176" t="s">
        <v>630</v>
      </c>
      <c r="J1453" s="176" t="s">
        <v>520</v>
      </c>
      <c r="K1453" s="176" t="s">
        <v>4271</v>
      </c>
      <c r="L1453" s="40" t="s">
        <v>105</v>
      </c>
      <c r="M1453" s="40" t="s">
        <v>341</v>
      </c>
      <c r="N1453" s="14" t="s">
        <v>4276</v>
      </c>
      <c r="O1453" s="14" t="s">
        <v>4283</v>
      </c>
      <c r="P1453" s="14" t="s">
        <v>4286</v>
      </c>
      <c r="Q1453" s="14" t="s">
        <v>4293</v>
      </c>
      <c r="R1453" s="17">
        <v>723</v>
      </c>
      <c r="S1453" s="172" t="s">
        <v>51</v>
      </c>
      <c r="T1453" s="17">
        <v>915</v>
      </c>
      <c r="U1453" s="14" t="s">
        <v>51</v>
      </c>
      <c r="V1453" s="16">
        <f t="shared" si="170"/>
        <v>244288</v>
      </c>
      <c r="W1453" s="16">
        <f t="shared" si="171"/>
        <v>244295</v>
      </c>
      <c r="X1453" s="16">
        <f t="shared" si="172"/>
        <v>244290</v>
      </c>
      <c r="Y1453" s="15" t="s">
        <v>54</v>
      </c>
      <c r="Z1453" s="177">
        <v>244300</v>
      </c>
      <c r="AA1453" s="170"/>
      <c r="AB1453" s="170"/>
      <c r="AC1453" s="170"/>
      <c r="AD1453" s="170"/>
      <c r="AE1453" s="15" t="s">
        <v>54</v>
      </c>
      <c r="AF1453" s="177">
        <v>244301</v>
      </c>
      <c r="AG1453" s="177" t="str">
        <f t="shared" si="173"/>
        <v>Pass</v>
      </c>
      <c r="AH1453" s="177">
        <f t="shared" si="174"/>
        <v>244301</v>
      </c>
      <c r="AK1453" s="176"/>
      <c r="AL1453" s="176"/>
    </row>
    <row r="1454" spans="1:38" ht="36" customHeight="1" x14ac:dyDescent="0.2">
      <c r="A1454" s="14" t="s">
        <v>26</v>
      </c>
      <c r="B1454" s="212">
        <v>244288</v>
      </c>
      <c r="C1454" s="14" t="s">
        <v>547</v>
      </c>
      <c r="D1454" s="14" t="s">
        <v>268</v>
      </c>
      <c r="E1454" s="14" t="s">
        <v>14</v>
      </c>
      <c r="F1454" s="14" t="s">
        <v>324</v>
      </c>
      <c r="G1454" s="179">
        <v>681453</v>
      </c>
      <c r="H1454" s="176" t="s">
        <v>1548</v>
      </c>
      <c r="I1454" s="176" t="s">
        <v>630</v>
      </c>
      <c r="J1454" s="176" t="s">
        <v>520</v>
      </c>
      <c r="K1454" s="176" t="s">
        <v>4271</v>
      </c>
      <c r="L1454" s="40" t="s">
        <v>105</v>
      </c>
      <c r="M1454" s="40" t="s">
        <v>341</v>
      </c>
      <c r="N1454" s="14" t="s">
        <v>4277</v>
      </c>
      <c r="O1454" s="14" t="s">
        <v>543</v>
      </c>
      <c r="P1454" s="14" t="s">
        <v>4287</v>
      </c>
      <c r="Q1454" s="14" t="s">
        <v>529</v>
      </c>
      <c r="R1454" s="17">
        <v>1000</v>
      </c>
      <c r="S1454" s="172" t="s">
        <v>51</v>
      </c>
      <c r="T1454" s="17">
        <v>1000</v>
      </c>
      <c r="U1454" s="14" t="s">
        <v>51</v>
      </c>
      <c r="V1454" s="16">
        <f t="shared" si="170"/>
        <v>244288</v>
      </c>
      <c r="W1454" s="16">
        <f t="shared" si="171"/>
        <v>244295</v>
      </c>
      <c r="X1454" s="16">
        <f t="shared" si="172"/>
        <v>244290</v>
      </c>
      <c r="Y1454" s="15" t="s">
        <v>54</v>
      </c>
      <c r="Z1454" s="177">
        <v>244300</v>
      </c>
      <c r="AA1454" s="170"/>
      <c r="AB1454" s="170"/>
      <c r="AC1454" s="170"/>
      <c r="AD1454" s="170"/>
      <c r="AE1454" s="15" t="s">
        <v>54</v>
      </c>
      <c r="AF1454" s="177">
        <v>244301</v>
      </c>
      <c r="AG1454" s="177" t="str">
        <f t="shared" si="173"/>
        <v>Pass</v>
      </c>
      <c r="AH1454" s="177">
        <f t="shared" si="174"/>
        <v>244301</v>
      </c>
      <c r="AK1454" s="176"/>
      <c r="AL1454" s="176"/>
    </row>
    <row r="1455" spans="1:38" ht="36" customHeight="1" x14ac:dyDescent="0.2">
      <c r="A1455" s="14" t="s">
        <v>26</v>
      </c>
      <c r="B1455" s="212">
        <v>244288</v>
      </c>
      <c r="C1455" s="14" t="s">
        <v>547</v>
      </c>
      <c r="D1455" s="14" t="s">
        <v>268</v>
      </c>
      <c r="E1455" s="14" t="s">
        <v>14</v>
      </c>
      <c r="F1455" s="14" t="s">
        <v>324</v>
      </c>
      <c r="G1455" s="179">
        <v>681454</v>
      </c>
      <c r="H1455" s="176" t="s">
        <v>4270</v>
      </c>
      <c r="I1455" s="176" t="s">
        <v>2260</v>
      </c>
      <c r="J1455" s="176" t="s">
        <v>2728</v>
      </c>
      <c r="K1455" s="176" t="s">
        <v>4272</v>
      </c>
      <c r="L1455" s="40" t="s">
        <v>45</v>
      </c>
      <c r="M1455" s="40" t="s">
        <v>341</v>
      </c>
      <c r="N1455" s="14" t="s">
        <v>4278</v>
      </c>
      <c r="O1455" s="14" t="s">
        <v>543</v>
      </c>
      <c r="P1455" s="14" t="s">
        <v>4288</v>
      </c>
      <c r="Q1455" s="14" t="s">
        <v>529</v>
      </c>
      <c r="R1455" s="17">
        <v>1500</v>
      </c>
      <c r="S1455" s="172" t="s">
        <v>51</v>
      </c>
      <c r="T1455" s="17">
        <v>1850</v>
      </c>
      <c r="U1455" s="14" t="s">
        <v>51</v>
      </c>
      <c r="V1455" s="16">
        <f t="shared" si="170"/>
        <v>244288</v>
      </c>
      <c r="W1455" s="16">
        <f t="shared" si="171"/>
        <v>244295</v>
      </c>
      <c r="X1455" s="16">
        <f t="shared" si="172"/>
        <v>244290</v>
      </c>
      <c r="Y1455" s="15" t="s">
        <v>54</v>
      </c>
      <c r="Z1455" s="177">
        <v>244300</v>
      </c>
      <c r="AA1455" s="170"/>
      <c r="AB1455" s="170"/>
      <c r="AC1455" s="170"/>
      <c r="AD1455" s="170"/>
      <c r="AE1455" s="15" t="s">
        <v>54</v>
      </c>
      <c r="AF1455" s="177">
        <v>244301</v>
      </c>
      <c r="AG1455" s="177" t="str">
        <f t="shared" si="173"/>
        <v>Pass</v>
      </c>
      <c r="AH1455" s="177">
        <f t="shared" si="174"/>
        <v>244301</v>
      </c>
      <c r="AK1455" s="176"/>
      <c r="AL1455" s="176"/>
    </row>
    <row r="1456" spans="1:38" ht="36" customHeight="1" x14ac:dyDescent="0.2">
      <c r="A1456" s="14" t="s">
        <v>26</v>
      </c>
      <c r="B1456" s="212">
        <v>244288</v>
      </c>
      <c r="C1456" s="14" t="s">
        <v>547</v>
      </c>
      <c r="D1456" s="14" t="s">
        <v>268</v>
      </c>
      <c r="E1456" s="14" t="s">
        <v>14</v>
      </c>
      <c r="F1456" s="14" t="s">
        <v>324</v>
      </c>
      <c r="G1456" s="179">
        <v>681455</v>
      </c>
      <c r="H1456" s="176" t="s">
        <v>3580</v>
      </c>
      <c r="I1456" s="176" t="s">
        <v>908</v>
      </c>
      <c r="J1456" s="176" t="s">
        <v>123</v>
      </c>
      <c r="K1456" s="176" t="s">
        <v>4273</v>
      </c>
      <c r="L1456" s="40" t="s">
        <v>46</v>
      </c>
      <c r="M1456" s="40" t="s">
        <v>341</v>
      </c>
      <c r="N1456" s="14" t="s">
        <v>4279</v>
      </c>
      <c r="O1456" s="14" t="s">
        <v>543</v>
      </c>
      <c r="P1456" s="14" t="s">
        <v>4289</v>
      </c>
      <c r="Q1456" s="14" t="s">
        <v>529</v>
      </c>
      <c r="R1456" s="17">
        <v>1000</v>
      </c>
      <c r="S1456" s="172" t="s">
        <v>51</v>
      </c>
      <c r="T1456" s="17">
        <v>2010</v>
      </c>
      <c r="U1456" s="14" t="s">
        <v>51</v>
      </c>
      <c r="V1456" s="16">
        <f t="shared" si="170"/>
        <v>244288</v>
      </c>
      <c r="W1456" s="16">
        <f t="shared" si="171"/>
        <v>244295</v>
      </c>
      <c r="X1456" s="16">
        <f t="shared" si="172"/>
        <v>244290</v>
      </c>
      <c r="Y1456" s="15" t="s">
        <v>54</v>
      </c>
      <c r="Z1456" s="177">
        <v>244300</v>
      </c>
      <c r="AA1456" s="170"/>
      <c r="AB1456" s="170"/>
      <c r="AC1456" s="170"/>
      <c r="AD1456" s="170"/>
      <c r="AE1456" s="15" t="s">
        <v>54</v>
      </c>
      <c r="AF1456" s="177">
        <v>244301</v>
      </c>
      <c r="AG1456" s="177" t="str">
        <f t="shared" si="173"/>
        <v>Pass</v>
      </c>
      <c r="AH1456" s="177">
        <f t="shared" si="174"/>
        <v>244301</v>
      </c>
      <c r="AK1456" s="176"/>
      <c r="AL1456" s="176"/>
    </row>
    <row r="1457" spans="1:38" ht="36" customHeight="1" x14ac:dyDescent="0.2">
      <c r="A1457" s="14" t="s">
        <v>26</v>
      </c>
      <c r="B1457" s="212">
        <v>244288</v>
      </c>
      <c r="C1457" s="14" t="s">
        <v>547</v>
      </c>
      <c r="D1457" s="14" t="s">
        <v>268</v>
      </c>
      <c r="E1457" s="14" t="s">
        <v>14</v>
      </c>
      <c r="F1457" s="14" t="s">
        <v>324</v>
      </c>
      <c r="G1457" s="179">
        <v>681456</v>
      </c>
      <c r="H1457" s="176" t="s">
        <v>3580</v>
      </c>
      <c r="I1457" s="176" t="s">
        <v>908</v>
      </c>
      <c r="J1457" s="176" t="s">
        <v>123</v>
      </c>
      <c r="K1457" s="176" t="s">
        <v>4273</v>
      </c>
      <c r="L1457" s="40" t="s">
        <v>46</v>
      </c>
      <c r="M1457" s="40" t="s">
        <v>341</v>
      </c>
      <c r="N1457" s="14" t="s">
        <v>4294</v>
      </c>
      <c r="O1457" s="14" t="s">
        <v>552</v>
      </c>
      <c r="P1457" s="14" t="s">
        <v>519</v>
      </c>
      <c r="Q1457" s="14" t="s">
        <v>553</v>
      </c>
      <c r="R1457" s="17">
        <v>361</v>
      </c>
      <c r="S1457" s="172" t="s">
        <v>51</v>
      </c>
      <c r="T1457" s="17">
        <v>1990</v>
      </c>
      <c r="U1457" s="14" t="s">
        <v>51</v>
      </c>
      <c r="V1457" s="16">
        <f t="shared" si="170"/>
        <v>244288</v>
      </c>
      <c r="W1457" s="16">
        <f t="shared" si="171"/>
        <v>244295</v>
      </c>
      <c r="X1457" s="16">
        <f t="shared" si="172"/>
        <v>244290</v>
      </c>
      <c r="Y1457" s="15" t="s">
        <v>54</v>
      </c>
      <c r="Z1457" s="177">
        <v>244300</v>
      </c>
      <c r="AA1457" s="170"/>
      <c r="AB1457" s="170"/>
      <c r="AC1457" s="170"/>
      <c r="AD1457" s="170"/>
      <c r="AE1457" s="15" t="s">
        <v>54</v>
      </c>
      <c r="AF1457" s="177">
        <v>244301</v>
      </c>
      <c r="AG1457" s="177" t="str">
        <f t="shared" si="173"/>
        <v>Pass</v>
      </c>
      <c r="AH1457" s="177">
        <f t="shared" si="174"/>
        <v>244301</v>
      </c>
      <c r="AK1457" s="176"/>
      <c r="AL1457" s="176"/>
    </row>
    <row r="1458" spans="1:38" ht="36" customHeight="1" x14ac:dyDescent="0.2">
      <c r="A1458" s="14" t="s">
        <v>26</v>
      </c>
      <c r="B1458" s="212">
        <v>244288</v>
      </c>
      <c r="C1458" s="14" t="s">
        <v>547</v>
      </c>
      <c r="D1458" s="14" t="s">
        <v>268</v>
      </c>
      <c r="E1458" s="14" t="s">
        <v>14</v>
      </c>
      <c r="F1458" s="14" t="s">
        <v>324</v>
      </c>
      <c r="G1458" s="179">
        <v>681457</v>
      </c>
      <c r="H1458" s="176" t="s">
        <v>1548</v>
      </c>
      <c r="I1458" s="176" t="s">
        <v>630</v>
      </c>
      <c r="J1458" s="176" t="s">
        <v>520</v>
      </c>
      <c r="K1458" s="176" t="s">
        <v>4271</v>
      </c>
      <c r="L1458" s="40" t="s">
        <v>105</v>
      </c>
      <c r="M1458" s="40" t="s">
        <v>341</v>
      </c>
      <c r="N1458" s="14" t="s">
        <v>4295</v>
      </c>
      <c r="O1458" s="14" t="s">
        <v>2521</v>
      </c>
      <c r="P1458" s="14" t="s">
        <v>4296</v>
      </c>
      <c r="Q1458" s="14" t="s">
        <v>2523</v>
      </c>
      <c r="R1458" s="17">
        <v>920</v>
      </c>
      <c r="S1458" s="172" t="s">
        <v>51</v>
      </c>
      <c r="T1458" s="17">
        <v>1700</v>
      </c>
      <c r="U1458" s="14" t="s">
        <v>51</v>
      </c>
      <c r="V1458" s="16">
        <f t="shared" si="170"/>
        <v>244288</v>
      </c>
      <c r="W1458" s="16">
        <f t="shared" si="171"/>
        <v>244295</v>
      </c>
      <c r="X1458" s="16">
        <f t="shared" si="172"/>
        <v>244290</v>
      </c>
      <c r="Y1458" s="15" t="s">
        <v>54</v>
      </c>
      <c r="Z1458" s="177">
        <v>244300</v>
      </c>
      <c r="AA1458" s="170"/>
      <c r="AB1458" s="170"/>
      <c r="AC1458" s="170"/>
      <c r="AD1458" s="170"/>
      <c r="AE1458" s="15" t="s">
        <v>54</v>
      </c>
      <c r="AF1458" s="177">
        <v>244301</v>
      </c>
      <c r="AG1458" s="177" t="str">
        <f t="shared" si="173"/>
        <v>Pass</v>
      </c>
      <c r="AH1458" s="177">
        <f t="shared" si="174"/>
        <v>244301</v>
      </c>
      <c r="AK1458" s="176"/>
      <c r="AL1458" s="176"/>
    </row>
    <row r="1459" spans="1:38" ht="36" customHeight="1" x14ac:dyDescent="0.2">
      <c r="A1459" s="14" t="s">
        <v>27</v>
      </c>
      <c r="B1459" s="212">
        <v>244289</v>
      </c>
      <c r="C1459" s="14" t="s">
        <v>547</v>
      </c>
      <c r="D1459" s="14" t="s">
        <v>268</v>
      </c>
      <c r="E1459" s="14" t="s">
        <v>14</v>
      </c>
      <c r="F1459" s="14" t="s">
        <v>324</v>
      </c>
      <c r="G1459" s="179">
        <v>681458</v>
      </c>
      <c r="H1459" s="176" t="s">
        <v>663</v>
      </c>
      <c r="I1459" s="176" t="s">
        <v>630</v>
      </c>
      <c r="J1459" s="176" t="s">
        <v>821</v>
      </c>
      <c r="K1459" s="176" t="s">
        <v>4298</v>
      </c>
      <c r="L1459" s="40" t="s">
        <v>124</v>
      </c>
      <c r="M1459" s="40" t="s">
        <v>341</v>
      </c>
      <c r="N1459" s="14" t="s">
        <v>4301</v>
      </c>
      <c r="O1459" s="14" t="s">
        <v>543</v>
      </c>
      <c r="P1459" s="14" t="s">
        <v>4307</v>
      </c>
      <c r="Q1459" s="14" t="s">
        <v>529</v>
      </c>
      <c r="R1459" s="17">
        <v>2460</v>
      </c>
      <c r="S1459" s="172" t="s">
        <v>51</v>
      </c>
      <c r="T1459" s="17">
        <v>2541</v>
      </c>
      <c r="U1459" s="14" t="s">
        <v>51</v>
      </c>
      <c r="V1459" s="16">
        <f t="shared" si="170"/>
        <v>244289</v>
      </c>
      <c r="W1459" s="16">
        <f t="shared" si="171"/>
        <v>244296</v>
      </c>
      <c r="X1459" s="16">
        <f t="shared" si="172"/>
        <v>244291</v>
      </c>
      <c r="Y1459" s="15" t="s">
        <v>54</v>
      </c>
      <c r="Z1459" s="177">
        <v>244300</v>
      </c>
      <c r="AA1459" s="170"/>
      <c r="AB1459" s="170"/>
      <c r="AC1459" s="170"/>
      <c r="AD1459" s="170"/>
      <c r="AE1459" s="15" t="s">
        <v>54</v>
      </c>
      <c r="AF1459" s="177">
        <v>244301</v>
      </c>
      <c r="AG1459" s="177" t="str">
        <f t="shared" si="173"/>
        <v>Pass</v>
      </c>
      <c r="AH1459" s="177">
        <f t="shared" si="174"/>
        <v>244301</v>
      </c>
      <c r="AK1459" s="176"/>
      <c r="AL1459" s="176"/>
    </row>
    <row r="1460" spans="1:38" ht="36" customHeight="1" x14ac:dyDescent="0.2">
      <c r="A1460" s="14" t="s">
        <v>27</v>
      </c>
      <c r="B1460" s="212">
        <v>244289</v>
      </c>
      <c r="C1460" s="14" t="s">
        <v>547</v>
      </c>
      <c r="D1460" s="14" t="s">
        <v>268</v>
      </c>
      <c r="E1460" s="14" t="s">
        <v>14</v>
      </c>
      <c r="F1460" s="14" t="s">
        <v>324</v>
      </c>
      <c r="G1460" s="179">
        <v>681459</v>
      </c>
      <c r="H1460" s="176" t="s">
        <v>1392</v>
      </c>
      <c r="I1460" s="176" t="s">
        <v>4297</v>
      </c>
      <c r="J1460" s="176" t="s">
        <v>707</v>
      </c>
      <c r="K1460" s="176" t="s">
        <v>4299</v>
      </c>
      <c r="L1460" s="40" t="s">
        <v>108</v>
      </c>
      <c r="M1460" s="40" t="s">
        <v>341</v>
      </c>
      <c r="N1460" s="14" t="s">
        <v>4302</v>
      </c>
      <c r="O1460" s="14" t="s">
        <v>4306</v>
      </c>
      <c r="P1460" s="14" t="s">
        <v>4308</v>
      </c>
      <c r="Q1460" s="14" t="s">
        <v>4311</v>
      </c>
      <c r="R1460" s="17">
        <v>3300</v>
      </c>
      <c r="S1460" s="172" t="s">
        <v>51</v>
      </c>
      <c r="T1460" s="17">
        <v>2580</v>
      </c>
      <c r="U1460" s="14" t="s">
        <v>51</v>
      </c>
      <c r="V1460" s="16">
        <f t="shared" si="170"/>
        <v>244289</v>
      </c>
      <c r="W1460" s="16">
        <f t="shared" si="171"/>
        <v>244296</v>
      </c>
      <c r="X1460" s="16">
        <f t="shared" si="172"/>
        <v>244291</v>
      </c>
      <c r="Y1460" s="15" t="s">
        <v>54</v>
      </c>
      <c r="Z1460" s="177">
        <v>244300</v>
      </c>
      <c r="AA1460" s="170"/>
      <c r="AB1460" s="170"/>
      <c r="AC1460" s="170"/>
      <c r="AD1460" s="170"/>
      <c r="AE1460" s="15" t="s">
        <v>54</v>
      </c>
      <c r="AF1460" s="177">
        <v>244301</v>
      </c>
      <c r="AG1460" s="177" t="str">
        <f t="shared" si="173"/>
        <v>Pass</v>
      </c>
      <c r="AH1460" s="177">
        <f t="shared" si="174"/>
        <v>244301</v>
      </c>
      <c r="AK1460" s="176"/>
      <c r="AL1460" s="176"/>
    </row>
    <row r="1461" spans="1:38" ht="36" customHeight="1" x14ac:dyDescent="0.2">
      <c r="A1461" s="14" t="s">
        <v>27</v>
      </c>
      <c r="B1461" s="212">
        <v>244289</v>
      </c>
      <c r="C1461" s="14" t="s">
        <v>547</v>
      </c>
      <c r="D1461" s="14" t="s">
        <v>268</v>
      </c>
      <c r="E1461" s="14" t="s">
        <v>14</v>
      </c>
      <c r="F1461" s="14" t="s">
        <v>324</v>
      </c>
      <c r="G1461" s="179">
        <v>681460</v>
      </c>
      <c r="H1461" s="14" t="s">
        <v>1925</v>
      </c>
      <c r="I1461" s="176" t="s">
        <v>630</v>
      </c>
      <c r="J1461" s="176" t="s">
        <v>520</v>
      </c>
      <c r="K1461" s="176" t="s">
        <v>4300</v>
      </c>
      <c r="L1461" s="40" t="s">
        <v>105</v>
      </c>
      <c r="M1461" s="40" t="s">
        <v>341</v>
      </c>
      <c r="N1461" s="14" t="s">
        <v>4303</v>
      </c>
      <c r="O1461" s="14" t="s">
        <v>543</v>
      </c>
      <c r="P1461" s="14" t="s">
        <v>4309</v>
      </c>
      <c r="Q1461" s="14" t="s">
        <v>529</v>
      </c>
      <c r="R1461" s="17">
        <v>1116</v>
      </c>
      <c r="S1461" s="172" t="s">
        <v>51</v>
      </c>
      <c r="T1461" s="17">
        <v>1116</v>
      </c>
      <c r="U1461" s="14" t="s">
        <v>51</v>
      </c>
      <c r="V1461" s="16">
        <f t="shared" si="170"/>
        <v>244289</v>
      </c>
      <c r="W1461" s="16">
        <f t="shared" si="171"/>
        <v>244296</v>
      </c>
      <c r="X1461" s="16">
        <f t="shared" si="172"/>
        <v>244291</v>
      </c>
      <c r="Y1461" s="15" t="s">
        <v>54</v>
      </c>
      <c r="Z1461" s="177">
        <v>244300</v>
      </c>
      <c r="AA1461" s="170"/>
      <c r="AB1461" s="170"/>
      <c r="AC1461" s="170"/>
      <c r="AD1461" s="170"/>
      <c r="AE1461" s="15" t="s">
        <v>54</v>
      </c>
      <c r="AF1461" s="177">
        <v>244301</v>
      </c>
      <c r="AG1461" s="177" t="str">
        <f t="shared" si="173"/>
        <v>Pass</v>
      </c>
      <c r="AH1461" s="177">
        <f t="shared" si="174"/>
        <v>244301</v>
      </c>
      <c r="AK1461" s="176"/>
      <c r="AL1461" s="176"/>
    </row>
    <row r="1462" spans="1:38" ht="36" customHeight="1" x14ac:dyDescent="0.2">
      <c r="A1462" s="14" t="s">
        <v>27</v>
      </c>
      <c r="B1462" s="212">
        <v>244289</v>
      </c>
      <c r="C1462" s="14" t="s">
        <v>547</v>
      </c>
      <c r="D1462" s="14" t="s">
        <v>268</v>
      </c>
      <c r="E1462" s="14" t="s">
        <v>14</v>
      </c>
      <c r="F1462" s="14" t="s">
        <v>324</v>
      </c>
      <c r="G1462" s="179">
        <v>681461</v>
      </c>
      <c r="H1462" s="14" t="s">
        <v>1925</v>
      </c>
      <c r="I1462" s="176" t="s">
        <v>630</v>
      </c>
      <c r="J1462" s="176" t="s">
        <v>520</v>
      </c>
      <c r="K1462" s="176" t="s">
        <v>4300</v>
      </c>
      <c r="L1462" s="40" t="s">
        <v>105</v>
      </c>
      <c r="M1462" s="40" t="s">
        <v>341</v>
      </c>
      <c r="N1462" s="14" t="s">
        <v>4304</v>
      </c>
      <c r="O1462" s="14" t="s">
        <v>543</v>
      </c>
      <c r="P1462" s="14" t="s">
        <v>4310</v>
      </c>
      <c r="Q1462" s="14" t="s">
        <v>529</v>
      </c>
      <c r="R1462" s="17">
        <v>2010</v>
      </c>
      <c r="S1462" s="172" t="s">
        <v>51</v>
      </c>
      <c r="T1462" s="17">
        <v>2010</v>
      </c>
      <c r="U1462" s="14" t="s">
        <v>51</v>
      </c>
      <c r="V1462" s="16">
        <f t="shared" si="170"/>
        <v>244289</v>
      </c>
      <c r="W1462" s="16">
        <f t="shared" si="171"/>
        <v>244296</v>
      </c>
      <c r="X1462" s="16">
        <f t="shared" si="172"/>
        <v>244291</v>
      </c>
      <c r="Y1462" s="15" t="s">
        <v>54</v>
      </c>
      <c r="Z1462" s="177">
        <v>244300</v>
      </c>
      <c r="AA1462" s="170"/>
      <c r="AB1462" s="170"/>
      <c r="AC1462" s="170"/>
      <c r="AD1462" s="170"/>
      <c r="AE1462" s="15" t="s">
        <v>54</v>
      </c>
      <c r="AF1462" s="177">
        <v>244301</v>
      </c>
      <c r="AG1462" s="177" t="str">
        <f t="shared" si="173"/>
        <v>Pass</v>
      </c>
      <c r="AH1462" s="177">
        <f t="shared" si="174"/>
        <v>244301</v>
      </c>
      <c r="AK1462" s="176"/>
      <c r="AL1462" s="176"/>
    </row>
    <row r="1463" spans="1:38" ht="36" customHeight="1" x14ac:dyDescent="0.2">
      <c r="A1463" s="14" t="s">
        <v>27</v>
      </c>
      <c r="B1463" s="212">
        <v>244289</v>
      </c>
      <c r="C1463" s="14" t="s">
        <v>547</v>
      </c>
      <c r="D1463" s="14" t="s">
        <v>268</v>
      </c>
      <c r="E1463" s="14" t="s">
        <v>14</v>
      </c>
      <c r="F1463" s="14" t="s">
        <v>324</v>
      </c>
      <c r="G1463" s="179">
        <v>681462</v>
      </c>
      <c r="H1463" s="14" t="s">
        <v>1392</v>
      </c>
      <c r="I1463" s="176" t="s">
        <v>4297</v>
      </c>
      <c r="J1463" s="176" t="s">
        <v>707</v>
      </c>
      <c r="K1463" s="176" t="s">
        <v>4299</v>
      </c>
      <c r="L1463" s="40" t="s">
        <v>108</v>
      </c>
      <c r="M1463" s="40" t="s">
        <v>341</v>
      </c>
      <c r="N1463" s="14" t="s">
        <v>4305</v>
      </c>
      <c r="O1463" s="14" t="s">
        <v>548</v>
      </c>
      <c r="P1463" s="14" t="s">
        <v>518</v>
      </c>
      <c r="Q1463" s="14" t="s">
        <v>549</v>
      </c>
      <c r="R1463" s="17">
        <v>3580</v>
      </c>
      <c r="S1463" s="172" t="s">
        <v>51</v>
      </c>
      <c r="T1463" s="17">
        <v>3580</v>
      </c>
      <c r="U1463" s="14" t="s">
        <v>51</v>
      </c>
      <c r="V1463" s="16">
        <f t="shared" si="170"/>
        <v>244289</v>
      </c>
      <c r="W1463" s="16">
        <f t="shared" si="171"/>
        <v>244296</v>
      </c>
      <c r="X1463" s="16">
        <f t="shared" si="172"/>
        <v>244291</v>
      </c>
      <c r="Y1463" s="15" t="s">
        <v>54</v>
      </c>
      <c r="Z1463" s="177">
        <v>244300</v>
      </c>
      <c r="AA1463" s="170"/>
      <c r="AB1463" s="170"/>
      <c r="AC1463" s="170"/>
      <c r="AD1463" s="170"/>
      <c r="AE1463" s="15" t="s">
        <v>54</v>
      </c>
      <c r="AF1463" s="177">
        <v>244301</v>
      </c>
      <c r="AG1463" s="177" t="str">
        <f t="shared" si="173"/>
        <v>Pass</v>
      </c>
      <c r="AH1463" s="177">
        <f t="shared" si="174"/>
        <v>244301</v>
      </c>
      <c r="AK1463" s="176"/>
      <c r="AL1463" s="176"/>
    </row>
    <row r="1464" spans="1:38" ht="36" customHeight="1" x14ac:dyDescent="0.2">
      <c r="A1464" s="14" t="s">
        <v>27</v>
      </c>
      <c r="B1464" s="212">
        <v>244289</v>
      </c>
      <c r="C1464" s="14" t="s">
        <v>547</v>
      </c>
      <c r="D1464" s="14" t="s">
        <v>268</v>
      </c>
      <c r="E1464" s="14" t="s">
        <v>14</v>
      </c>
      <c r="F1464" s="14" t="s">
        <v>324</v>
      </c>
      <c r="G1464" s="179">
        <v>681463</v>
      </c>
      <c r="H1464" s="14" t="s">
        <v>1925</v>
      </c>
      <c r="I1464" s="176" t="s">
        <v>630</v>
      </c>
      <c r="J1464" s="176" t="s">
        <v>520</v>
      </c>
      <c r="K1464" s="176" t="s">
        <v>4300</v>
      </c>
      <c r="L1464" s="40" t="s">
        <v>105</v>
      </c>
      <c r="M1464" s="40" t="s">
        <v>341</v>
      </c>
      <c r="N1464" s="14" t="s">
        <v>4313</v>
      </c>
      <c r="O1464" s="14" t="s">
        <v>543</v>
      </c>
      <c r="P1464" s="14" t="s">
        <v>4318</v>
      </c>
      <c r="Q1464" s="14" t="s">
        <v>529</v>
      </c>
      <c r="R1464" s="17">
        <v>324</v>
      </c>
      <c r="S1464" s="172" t="s">
        <v>51</v>
      </c>
      <c r="T1464" s="17">
        <v>2064</v>
      </c>
      <c r="U1464" s="14" t="s">
        <v>51</v>
      </c>
      <c r="V1464" s="16">
        <f t="shared" si="170"/>
        <v>244289</v>
      </c>
      <c r="W1464" s="16">
        <f t="shared" si="171"/>
        <v>244296</v>
      </c>
      <c r="X1464" s="16">
        <f t="shared" si="172"/>
        <v>244291</v>
      </c>
      <c r="Y1464" s="15" t="s">
        <v>54</v>
      </c>
      <c r="Z1464" s="177">
        <v>244300</v>
      </c>
      <c r="AA1464" s="170"/>
      <c r="AB1464" s="170"/>
      <c r="AC1464" s="170"/>
      <c r="AD1464" s="170"/>
      <c r="AE1464" s="15" t="s">
        <v>54</v>
      </c>
      <c r="AF1464" s="177">
        <v>244301</v>
      </c>
      <c r="AG1464" s="177" t="str">
        <f t="shared" si="173"/>
        <v>Pass</v>
      </c>
      <c r="AH1464" s="177">
        <f t="shared" si="174"/>
        <v>244301</v>
      </c>
      <c r="AK1464" s="176"/>
      <c r="AL1464" s="176"/>
    </row>
    <row r="1465" spans="1:38" ht="36" customHeight="1" x14ac:dyDescent="0.2">
      <c r="A1465" s="14" t="s">
        <v>27</v>
      </c>
      <c r="B1465" s="212">
        <v>244289</v>
      </c>
      <c r="C1465" s="14" t="s">
        <v>547</v>
      </c>
      <c r="D1465" s="14" t="s">
        <v>268</v>
      </c>
      <c r="E1465" s="14" t="s">
        <v>14</v>
      </c>
      <c r="F1465" s="14" t="s">
        <v>324</v>
      </c>
      <c r="G1465" s="179">
        <v>681464</v>
      </c>
      <c r="H1465" s="14" t="s">
        <v>626</v>
      </c>
      <c r="I1465" s="176" t="s">
        <v>630</v>
      </c>
      <c r="J1465" s="176" t="s">
        <v>520</v>
      </c>
      <c r="K1465" s="176" t="s">
        <v>4312</v>
      </c>
      <c r="L1465" s="40" t="s">
        <v>105</v>
      </c>
      <c r="M1465" s="40" t="s">
        <v>341</v>
      </c>
      <c r="N1465" s="14" t="s">
        <v>4314</v>
      </c>
      <c r="O1465" s="14" t="s">
        <v>543</v>
      </c>
      <c r="P1465" s="14" t="s">
        <v>4319</v>
      </c>
      <c r="Q1465" s="14" t="s">
        <v>529</v>
      </c>
      <c r="R1465" s="17">
        <v>900</v>
      </c>
      <c r="S1465" s="172" t="s">
        <v>51</v>
      </c>
      <c r="T1465" s="17">
        <v>1780</v>
      </c>
      <c r="U1465" s="14" t="s">
        <v>51</v>
      </c>
      <c r="V1465" s="16">
        <f t="shared" ref="V1465:V1501" si="175">B1465</f>
        <v>244289</v>
      </c>
      <c r="W1465" s="16">
        <f t="shared" ref="W1465:W1501" si="176">B1465+7</f>
        <v>244296</v>
      </c>
      <c r="X1465" s="16">
        <f t="shared" ref="X1465:X1501" si="177">V1465+2</f>
        <v>244291</v>
      </c>
      <c r="Y1465" s="15" t="s">
        <v>54</v>
      </c>
      <c r="Z1465" s="177">
        <v>244300</v>
      </c>
      <c r="AA1465" s="170"/>
      <c r="AB1465" s="170"/>
      <c r="AC1465" s="170"/>
      <c r="AD1465" s="170"/>
      <c r="AE1465" s="15" t="s">
        <v>54</v>
      </c>
      <c r="AF1465" s="177">
        <v>244301</v>
      </c>
      <c r="AG1465" s="177" t="str">
        <f t="shared" si="173"/>
        <v>Pass</v>
      </c>
      <c r="AH1465" s="177">
        <f t="shared" si="174"/>
        <v>244301</v>
      </c>
      <c r="AK1465" s="176"/>
      <c r="AL1465" s="176"/>
    </row>
    <row r="1466" spans="1:38" ht="36" customHeight="1" x14ac:dyDescent="0.2">
      <c r="A1466" s="14" t="s">
        <v>27</v>
      </c>
      <c r="B1466" s="212">
        <v>244289</v>
      </c>
      <c r="C1466" s="14" t="s">
        <v>547</v>
      </c>
      <c r="D1466" s="14" t="s">
        <v>268</v>
      </c>
      <c r="E1466" s="14" t="s">
        <v>14</v>
      </c>
      <c r="F1466" s="14" t="s">
        <v>324</v>
      </c>
      <c r="G1466" s="179">
        <v>681465</v>
      </c>
      <c r="H1466" s="176" t="s">
        <v>663</v>
      </c>
      <c r="I1466" s="176" t="s">
        <v>630</v>
      </c>
      <c r="J1466" s="176" t="s">
        <v>821</v>
      </c>
      <c r="K1466" s="176" t="s">
        <v>4298</v>
      </c>
      <c r="L1466" s="40" t="s">
        <v>124</v>
      </c>
      <c r="M1466" s="40" t="s">
        <v>341</v>
      </c>
      <c r="N1466" s="14" t="s">
        <v>2376</v>
      </c>
      <c r="O1466" s="14" t="s">
        <v>548</v>
      </c>
      <c r="P1466" s="14" t="s">
        <v>717</v>
      </c>
      <c r="Q1466" s="14" t="s">
        <v>549</v>
      </c>
      <c r="R1466" s="17">
        <v>107</v>
      </c>
      <c r="S1466" s="172" t="s">
        <v>51</v>
      </c>
      <c r="T1466" s="17">
        <v>2998</v>
      </c>
      <c r="U1466" s="14" t="s">
        <v>51</v>
      </c>
      <c r="V1466" s="16">
        <f t="shared" si="175"/>
        <v>244289</v>
      </c>
      <c r="W1466" s="16">
        <f t="shared" si="176"/>
        <v>244296</v>
      </c>
      <c r="X1466" s="16">
        <f t="shared" si="177"/>
        <v>244291</v>
      </c>
      <c r="Y1466" s="15" t="s">
        <v>54</v>
      </c>
      <c r="Z1466" s="177">
        <v>244300</v>
      </c>
      <c r="AA1466" s="170"/>
      <c r="AB1466" s="170"/>
      <c r="AC1466" s="170"/>
      <c r="AD1466" s="170"/>
      <c r="AE1466" s="15" t="s">
        <v>54</v>
      </c>
      <c r="AF1466" s="177">
        <v>244301</v>
      </c>
      <c r="AG1466" s="177" t="str">
        <f t="shared" si="173"/>
        <v>Pass</v>
      </c>
      <c r="AH1466" s="177">
        <f t="shared" si="174"/>
        <v>244301</v>
      </c>
      <c r="AK1466" s="176"/>
      <c r="AL1466" s="176"/>
    </row>
    <row r="1467" spans="1:38" ht="36" customHeight="1" x14ac:dyDescent="0.2">
      <c r="A1467" s="14" t="s">
        <v>27</v>
      </c>
      <c r="B1467" s="212">
        <v>244289</v>
      </c>
      <c r="C1467" s="14" t="s">
        <v>547</v>
      </c>
      <c r="D1467" s="14" t="s">
        <v>268</v>
      </c>
      <c r="E1467" s="14" t="s">
        <v>14</v>
      </c>
      <c r="F1467" s="14" t="s">
        <v>324</v>
      </c>
      <c r="G1467" s="179">
        <v>681466</v>
      </c>
      <c r="H1467" s="176" t="s">
        <v>663</v>
      </c>
      <c r="I1467" s="176" t="s">
        <v>630</v>
      </c>
      <c r="J1467" s="176" t="s">
        <v>821</v>
      </c>
      <c r="K1467" s="176" t="s">
        <v>4298</v>
      </c>
      <c r="L1467" s="40" t="s">
        <v>124</v>
      </c>
      <c r="M1467" s="40" t="s">
        <v>341</v>
      </c>
      <c r="N1467" s="14" t="s">
        <v>4315</v>
      </c>
      <c r="O1467" s="14" t="s">
        <v>543</v>
      </c>
      <c r="P1467" s="14" t="s">
        <v>971</v>
      </c>
      <c r="Q1467" s="14" t="s">
        <v>529</v>
      </c>
      <c r="R1467" s="17">
        <v>600</v>
      </c>
      <c r="S1467" s="172" t="s">
        <v>51</v>
      </c>
      <c r="T1467" s="17">
        <v>2572</v>
      </c>
      <c r="U1467" s="14" t="s">
        <v>51</v>
      </c>
      <c r="V1467" s="16">
        <f t="shared" si="175"/>
        <v>244289</v>
      </c>
      <c r="W1467" s="16">
        <f t="shared" si="176"/>
        <v>244296</v>
      </c>
      <c r="X1467" s="16">
        <f t="shared" si="177"/>
        <v>244291</v>
      </c>
      <c r="Y1467" s="15" t="s">
        <v>54</v>
      </c>
      <c r="Z1467" s="177">
        <v>244300</v>
      </c>
      <c r="AA1467" s="170"/>
      <c r="AB1467" s="170"/>
      <c r="AC1467" s="170"/>
      <c r="AD1467" s="170"/>
      <c r="AE1467" s="15" t="s">
        <v>54</v>
      </c>
      <c r="AF1467" s="177">
        <v>244301</v>
      </c>
      <c r="AG1467" s="177" t="str">
        <f t="shared" si="173"/>
        <v>Pass</v>
      </c>
      <c r="AH1467" s="177">
        <f t="shared" si="174"/>
        <v>244301</v>
      </c>
      <c r="AK1467" s="176"/>
      <c r="AL1467" s="176"/>
    </row>
    <row r="1468" spans="1:38" ht="36" customHeight="1" x14ac:dyDescent="0.2">
      <c r="A1468" s="14" t="s">
        <v>27</v>
      </c>
      <c r="B1468" s="212">
        <v>244289</v>
      </c>
      <c r="C1468" s="14" t="s">
        <v>547</v>
      </c>
      <c r="D1468" s="14" t="s">
        <v>268</v>
      </c>
      <c r="E1468" s="14" t="s">
        <v>14</v>
      </c>
      <c r="F1468" s="14" t="s">
        <v>324</v>
      </c>
      <c r="G1468" s="179">
        <v>681467</v>
      </c>
      <c r="H1468" s="176" t="s">
        <v>663</v>
      </c>
      <c r="I1468" s="176" t="s">
        <v>630</v>
      </c>
      <c r="J1468" s="176" t="s">
        <v>821</v>
      </c>
      <c r="K1468" s="176" t="s">
        <v>4298</v>
      </c>
      <c r="L1468" s="40" t="s">
        <v>124</v>
      </c>
      <c r="M1468" s="40" t="s">
        <v>341</v>
      </c>
      <c r="N1468" s="14" t="s">
        <v>4316</v>
      </c>
      <c r="O1468" s="14" t="s">
        <v>543</v>
      </c>
      <c r="P1468" s="14" t="s">
        <v>3071</v>
      </c>
      <c r="Q1468" s="14" t="s">
        <v>529</v>
      </c>
      <c r="R1468" s="17">
        <v>1300</v>
      </c>
      <c r="S1468" s="172" t="s">
        <v>51</v>
      </c>
      <c r="T1468" s="17">
        <v>2686</v>
      </c>
      <c r="U1468" s="14" t="s">
        <v>51</v>
      </c>
      <c r="V1468" s="16">
        <f t="shared" si="175"/>
        <v>244289</v>
      </c>
      <c r="W1468" s="16">
        <f t="shared" si="176"/>
        <v>244296</v>
      </c>
      <c r="X1468" s="16">
        <f t="shared" si="177"/>
        <v>244291</v>
      </c>
      <c r="Y1468" s="15" t="s">
        <v>54</v>
      </c>
      <c r="Z1468" s="177">
        <v>244300</v>
      </c>
      <c r="AA1468" s="170"/>
      <c r="AB1468" s="170"/>
      <c r="AC1468" s="170"/>
      <c r="AD1468" s="170"/>
      <c r="AE1468" s="15" t="s">
        <v>54</v>
      </c>
      <c r="AF1468" s="177">
        <v>244301</v>
      </c>
      <c r="AG1468" s="177" t="str">
        <f t="shared" si="173"/>
        <v>Pass</v>
      </c>
      <c r="AH1468" s="177">
        <f t="shared" si="174"/>
        <v>244301</v>
      </c>
      <c r="AK1468" s="176"/>
      <c r="AL1468" s="176"/>
    </row>
    <row r="1469" spans="1:38" ht="36" customHeight="1" x14ac:dyDescent="0.2">
      <c r="A1469" s="14" t="s">
        <v>27</v>
      </c>
      <c r="B1469" s="212">
        <v>244289</v>
      </c>
      <c r="C1469" s="14" t="s">
        <v>547</v>
      </c>
      <c r="D1469" s="14" t="s">
        <v>268</v>
      </c>
      <c r="E1469" s="14" t="s">
        <v>14</v>
      </c>
      <c r="F1469" s="14" t="s">
        <v>324</v>
      </c>
      <c r="G1469" s="179">
        <v>681468</v>
      </c>
      <c r="H1469" s="14" t="s">
        <v>1925</v>
      </c>
      <c r="I1469" s="176" t="s">
        <v>630</v>
      </c>
      <c r="J1469" s="176" t="s">
        <v>520</v>
      </c>
      <c r="K1469" s="176" t="s">
        <v>4300</v>
      </c>
      <c r="L1469" s="40" t="s">
        <v>105</v>
      </c>
      <c r="M1469" s="40" t="s">
        <v>341</v>
      </c>
      <c r="N1469" s="14" t="s">
        <v>4317</v>
      </c>
      <c r="O1469" s="14" t="s">
        <v>548</v>
      </c>
      <c r="P1469" s="14" t="s">
        <v>4320</v>
      </c>
      <c r="Q1469" s="14" t="s">
        <v>549</v>
      </c>
      <c r="R1469" s="17">
        <v>347</v>
      </c>
      <c r="S1469" s="172" t="s">
        <v>51</v>
      </c>
      <c r="T1469" s="17">
        <v>1360</v>
      </c>
      <c r="U1469" s="14" t="s">
        <v>51</v>
      </c>
      <c r="V1469" s="16">
        <f t="shared" si="175"/>
        <v>244289</v>
      </c>
      <c r="W1469" s="16">
        <f t="shared" si="176"/>
        <v>244296</v>
      </c>
      <c r="X1469" s="16">
        <f t="shared" si="177"/>
        <v>244291</v>
      </c>
      <c r="Y1469" s="15" t="s">
        <v>54</v>
      </c>
      <c r="Z1469" s="177">
        <v>244300</v>
      </c>
      <c r="AA1469" s="170"/>
      <c r="AB1469" s="170"/>
      <c r="AC1469" s="170"/>
      <c r="AD1469" s="170"/>
      <c r="AE1469" s="15" t="s">
        <v>54</v>
      </c>
      <c r="AF1469" s="177">
        <v>244301</v>
      </c>
      <c r="AG1469" s="177" t="str">
        <f t="shared" si="173"/>
        <v>Pass</v>
      </c>
      <c r="AH1469" s="177">
        <f t="shared" si="174"/>
        <v>244301</v>
      </c>
      <c r="AK1469" s="176"/>
      <c r="AL1469" s="176"/>
    </row>
    <row r="1470" spans="1:38" ht="36" customHeight="1" x14ac:dyDescent="0.2">
      <c r="A1470" s="14" t="s">
        <v>27</v>
      </c>
      <c r="B1470" s="212">
        <v>244289</v>
      </c>
      <c r="C1470" s="14" t="s">
        <v>547</v>
      </c>
      <c r="D1470" s="14" t="s">
        <v>268</v>
      </c>
      <c r="E1470" s="14" t="s">
        <v>14</v>
      </c>
      <c r="F1470" s="14" t="s">
        <v>324</v>
      </c>
      <c r="G1470" s="179">
        <v>681469</v>
      </c>
      <c r="H1470" s="176" t="s">
        <v>663</v>
      </c>
      <c r="I1470" s="176" t="s">
        <v>630</v>
      </c>
      <c r="J1470" s="176" t="s">
        <v>821</v>
      </c>
      <c r="K1470" s="176" t="s">
        <v>4298</v>
      </c>
      <c r="L1470" s="40" t="s">
        <v>124</v>
      </c>
      <c r="M1470" s="40" t="s">
        <v>341</v>
      </c>
      <c r="N1470" s="14" t="s">
        <v>2795</v>
      </c>
      <c r="O1470" s="14" t="s">
        <v>548</v>
      </c>
      <c r="P1470" s="14" t="s">
        <v>717</v>
      </c>
      <c r="Q1470" s="14" t="s">
        <v>549</v>
      </c>
      <c r="R1470" s="17">
        <v>180</v>
      </c>
      <c r="S1470" s="172" t="s">
        <v>51</v>
      </c>
      <c r="T1470" s="17">
        <v>1447</v>
      </c>
      <c r="U1470" s="14" t="s">
        <v>51</v>
      </c>
      <c r="V1470" s="16">
        <f t="shared" si="175"/>
        <v>244289</v>
      </c>
      <c r="W1470" s="16">
        <f t="shared" si="176"/>
        <v>244296</v>
      </c>
      <c r="X1470" s="16">
        <f t="shared" si="177"/>
        <v>244291</v>
      </c>
      <c r="Y1470" s="15"/>
      <c r="Z1470" s="177"/>
      <c r="AA1470" s="170"/>
      <c r="AB1470" s="170"/>
      <c r="AC1470" s="170"/>
      <c r="AD1470" s="170"/>
      <c r="AE1470" s="15" t="s">
        <v>54</v>
      </c>
      <c r="AF1470" s="177">
        <v>244301</v>
      </c>
      <c r="AG1470" s="177" t="str">
        <f t="shared" si="173"/>
        <v>Pass</v>
      </c>
      <c r="AH1470" s="177">
        <f t="shared" si="174"/>
        <v>244301</v>
      </c>
      <c r="AK1470" s="176"/>
      <c r="AL1470" s="176"/>
    </row>
    <row r="1471" spans="1:38" ht="36" customHeight="1" x14ac:dyDescent="0.2">
      <c r="A1471" s="14" t="s">
        <v>27</v>
      </c>
      <c r="B1471" s="212">
        <v>244289</v>
      </c>
      <c r="C1471" s="14" t="s">
        <v>547</v>
      </c>
      <c r="D1471" s="14" t="s">
        <v>268</v>
      </c>
      <c r="E1471" s="14" t="s">
        <v>14</v>
      </c>
      <c r="F1471" s="14" t="s">
        <v>324</v>
      </c>
      <c r="G1471" s="179">
        <v>681470</v>
      </c>
      <c r="H1471" s="14" t="s">
        <v>1925</v>
      </c>
      <c r="I1471" s="176" t="s">
        <v>630</v>
      </c>
      <c r="J1471" s="176" t="s">
        <v>520</v>
      </c>
      <c r="K1471" s="176" t="s">
        <v>4300</v>
      </c>
      <c r="L1471" s="40" t="s">
        <v>105</v>
      </c>
      <c r="M1471" s="40" t="s">
        <v>341</v>
      </c>
      <c r="N1471" s="14" t="s">
        <v>4322</v>
      </c>
      <c r="O1471" s="14" t="s">
        <v>543</v>
      </c>
      <c r="P1471" s="14" t="s">
        <v>4323</v>
      </c>
      <c r="Q1471" s="14" t="s">
        <v>529</v>
      </c>
      <c r="R1471" s="17">
        <v>1200</v>
      </c>
      <c r="S1471" s="172" t="s">
        <v>51</v>
      </c>
      <c r="T1471" s="17">
        <v>2020</v>
      </c>
      <c r="U1471" s="14" t="s">
        <v>51</v>
      </c>
      <c r="V1471" s="16">
        <f t="shared" si="175"/>
        <v>244289</v>
      </c>
      <c r="W1471" s="16">
        <f t="shared" si="176"/>
        <v>244296</v>
      </c>
      <c r="X1471" s="16">
        <f t="shared" si="177"/>
        <v>244291</v>
      </c>
      <c r="Y1471" s="15" t="s">
        <v>54</v>
      </c>
      <c r="Z1471" s="177">
        <v>244300</v>
      </c>
      <c r="AA1471" s="170"/>
      <c r="AB1471" s="170"/>
      <c r="AC1471" s="170"/>
      <c r="AD1471" s="170"/>
      <c r="AE1471" s="15" t="s">
        <v>54</v>
      </c>
      <c r="AF1471" s="177">
        <v>244301</v>
      </c>
      <c r="AG1471" s="177" t="str">
        <f t="shared" si="173"/>
        <v>Pass</v>
      </c>
      <c r="AH1471" s="177">
        <f t="shared" si="174"/>
        <v>244301</v>
      </c>
      <c r="AK1471" s="176"/>
      <c r="AL1471" s="176"/>
    </row>
    <row r="1472" spans="1:38" ht="36" customHeight="1" x14ac:dyDescent="0.2">
      <c r="A1472" s="14" t="s">
        <v>27</v>
      </c>
      <c r="B1472" s="212">
        <v>244289</v>
      </c>
      <c r="C1472" s="14" t="s">
        <v>547</v>
      </c>
      <c r="D1472" s="14" t="s">
        <v>268</v>
      </c>
      <c r="E1472" s="14" t="s">
        <v>14</v>
      </c>
      <c r="F1472" s="14" t="s">
        <v>324</v>
      </c>
      <c r="G1472" s="179">
        <v>681471</v>
      </c>
      <c r="H1472" s="14" t="s">
        <v>626</v>
      </c>
      <c r="I1472" s="176" t="s">
        <v>630</v>
      </c>
      <c r="J1472" s="176" t="s">
        <v>520</v>
      </c>
      <c r="K1472" s="176" t="s">
        <v>4312</v>
      </c>
      <c r="L1472" s="40" t="s">
        <v>105</v>
      </c>
      <c r="M1472" s="40" t="s">
        <v>341</v>
      </c>
      <c r="N1472" s="14" t="s">
        <v>4324</v>
      </c>
      <c r="O1472" s="14" t="s">
        <v>4326</v>
      </c>
      <c r="P1472" s="14" t="s">
        <v>4327</v>
      </c>
      <c r="Q1472" s="14" t="s">
        <v>4328</v>
      </c>
      <c r="R1472" s="17">
        <v>524</v>
      </c>
      <c r="S1472" s="172" t="s">
        <v>51</v>
      </c>
      <c r="T1472" s="17">
        <v>2035</v>
      </c>
      <c r="U1472" s="14" t="s">
        <v>51</v>
      </c>
      <c r="V1472" s="16">
        <f t="shared" si="175"/>
        <v>244289</v>
      </c>
      <c r="W1472" s="16">
        <f t="shared" si="176"/>
        <v>244296</v>
      </c>
      <c r="X1472" s="16">
        <f t="shared" si="177"/>
        <v>244291</v>
      </c>
      <c r="Y1472" s="15" t="s">
        <v>54</v>
      </c>
      <c r="Z1472" s="177">
        <v>244300</v>
      </c>
      <c r="AA1472" s="170"/>
      <c r="AB1472" s="170"/>
      <c r="AC1472" s="170"/>
      <c r="AD1472" s="170"/>
      <c r="AE1472" s="15" t="s">
        <v>54</v>
      </c>
      <c r="AF1472" s="177">
        <v>244301</v>
      </c>
      <c r="AG1472" s="177" t="str">
        <f t="shared" si="173"/>
        <v>Pass</v>
      </c>
      <c r="AH1472" s="177">
        <f t="shared" si="174"/>
        <v>244301</v>
      </c>
      <c r="AK1472" s="176"/>
      <c r="AL1472" s="176"/>
    </row>
    <row r="1473" spans="1:38" ht="36" customHeight="1" x14ac:dyDescent="0.2">
      <c r="A1473" s="14" t="s">
        <v>27</v>
      </c>
      <c r="B1473" s="212">
        <v>244289</v>
      </c>
      <c r="C1473" s="14" t="s">
        <v>547</v>
      </c>
      <c r="D1473" s="14" t="s">
        <v>268</v>
      </c>
      <c r="E1473" s="14" t="s">
        <v>14</v>
      </c>
      <c r="F1473" s="14" t="s">
        <v>324</v>
      </c>
      <c r="G1473" s="179">
        <v>681472</v>
      </c>
      <c r="H1473" s="176" t="s">
        <v>663</v>
      </c>
      <c r="I1473" s="176" t="s">
        <v>630</v>
      </c>
      <c r="J1473" s="176" t="s">
        <v>821</v>
      </c>
      <c r="K1473" s="176" t="s">
        <v>4298</v>
      </c>
      <c r="L1473" s="40" t="s">
        <v>124</v>
      </c>
      <c r="M1473" s="40" t="s">
        <v>341</v>
      </c>
      <c r="N1473" s="14" t="s">
        <v>4325</v>
      </c>
      <c r="O1473" s="14" t="s">
        <v>543</v>
      </c>
      <c r="P1473" s="14" t="s">
        <v>1828</v>
      </c>
      <c r="Q1473" s="14" t="s">
        <v>529</v>
      </c>
      <c r="R1473" s="17">
        <v>500</v>
      </c>
      <c r="S1473" s="172" t="s">
        <v>51</v>
      </c>
      <c r="T1473" s="17">
        <v>2721</v>
      </c>
      <c r="U1473" s="14" t="s">
        <v>51</v>
      </c>
      <c r="V1473" s="16">
        <f t="shared" si="175"/>
        <v>244289</v>
      </c>
      <c r="W1473" s="16">
        <f t="shared" si="176"/>
        <v>244296</v>
      </c>
      <c r="X1473" s="16">
        <f t="shared" si="177"/>
        <v>244291</v>
      </c>
      <c r="Y1473" s="15" t="s">
        <v>54</v>
      </c>
      <c r="Z1473" s="177">
        <v>244300</v>
      </c>
      <c r="AA1473" s="170"/>
      <c r="AB1473" s="170"/>
      <c r="AC1473" s="170"/>
      <c r="AD1473" s="170"/>
      <c r="AE1473" s="15" t="s">
        <v>54</v>
      </c>
      <c r="AF1473" s="177">
        <v>244301</v>
      </c>
      <c r="AG1473" s="177" t="str">
        <f t="shared" si="173"/>
        <v>Pass</v>
      </c>
      <c r="AH1473" s="177">
        <f t="shared" si="174"/>
        <v>244301</v>
      </c>
      <c r="AK1473" s="176"/>
      <c r="AL1473" s="176"/>
    </row>
    <row r="1474" spans="1:38" ht="36" customHeight="1" x14ac:dyDescent="0.2">
      <c r="A1474" s="14" t="s">
        <v>27</v>
      </c>
      <c r="B1474" s="212">
        <v>244289</v>
      </c>
      <c r="C1474" s="14" t="s">
        <v>547</v>
      </c>
      <c r="D1474" s="14" t="s">
        <v>268</v>
      </c>
      <c r="E1474" s="14" t="s">
        <v>14</v>
      </c>
      <c r="F1474" s="14" t="s">
        <v>324</v>
      </c>
      <c r="G1474" s="179">
        <v>681473</v>
      </c>
      <c r="H1474" s="14" t="s">
        <v>626</v>
      </c>
      <c r="I1474" s="176" t="s">
        <v>630</v>
      </c>
      <c r="J1474" s="176" t="s">
        <v>520</v>
      </c>
      <c r="K1474" s="176" t="s">
        <v>4312</v>
      </c>
      <c r="L1474" s="40" t="s">
        <v>105</v>
      </c>
      <c r="M1474" s="40" t="s">
        <v>341</v>
      </c>
      <c r="N1474" s="14" t="s">
        <v>2821</v>
      </c>
      <c r="O1474" s="14" t="s">
        <v>543</v>
      </c>
      <c r="P1474" s="14" t="s">
        <v>313</v>
      </c>
      <c r="Q1474" s="14" t="s">
        <v>529</v>
      </c>
      <c r="R1474" s="17">
        <v>800</v>
      </c>
      <c r="S1474" s="172" t="s">
        <v>51</v>
      </c>
      <c r="T1474" s="17">
        <v>2035</v>
      </c>
      <c r="U1474" s="14" t="s">
        <v>51</v>
      </c>
      <c r="V1474" s="16">
        <f t="shared" si="175"/>
        <v>244289</v>
      </c>
      <c r="W1474" s="16">
        <f t="shared" si="176"/>
        <v>244296</v>
      </c>
      <c r="X1474" s="16">
        <f t="shared" si="177"/>
        <v>244291</v>
      </c>
      <c r="Y1474" s="15" t="s">
        <v>54</v>
      </c>
      <c r="Z1474" s="177">
        <v>244300</v>
      </c>
      <c r="AA1474" s="170"/>
      <c r="AB1474" s="170"/>
      <c r="AC1474" s="170"/>
      <c r="AD1474" s="170"/>
      <c r="AE1474" s="15" t="s">
        <v>54</v>
      </c>
      <c r="AF1474" s="177">
        <v>244301</v>
      </c>
      <c r="AG1474" s="177" t="str">
        <f t="shared" si="173"/>
        <v>Pass</v>
      </c>
      <c r="AH1474" s="177">
        <f t="shared" si="174"/>
        <v>244301</v>
      </c>
      <c r="AK1474" s="176"/>
      <c r="AL1474" s="176"/>
    </row>
    <row r="1475" spans="1:38" ht="36" customHeight="1" x14ac:dyDescent="0.2">
      <c r="A1475" s="14" t="s">
        <v>27</v>
      </c>
      <c r="B1475" s="212">
        <v>244291</v>
      </c>
      <c r="C1475" s="14" t="s">
        <v>547</v>
      </c>
      <c r="D1475" s="14" t="s">
        <v>268</v>
      </c>
      <c r="E1475" s="14" t="s">
        <v>14</v>
      </c>
      <c r="F1475" s="14" t="s">
        <v>324</v>
      </c>
      <c r="G1475" s="179">
        <v>681474</v>
      </c>
      <c r="H1475" s="14" t="s">
        <v>626</v>
      </c>
      <c r="I1475" s="176" t="s">
        <v>630</v>
      </c>
      <c r="J1475" s="176" t="s">
        <v>520</v>
      </c>
      <c r="K1475" s="176" t="s">
        <v>4312</v>
      </c>
      <c r="L1475" s="40" t="s">
        <v>105</v>
      </c>
      <c r="M1475" s="40" t="s">
        <v>341</v>
      </c>
      <c r="N1475" s="14" t="s">
        <v>4335</v>
      </c>
      <c r="O1475" s="14" t="s">
        <v>548</v>
      </c>
      <c r="P1475" s="14" t="s">
        <v>518</v>
      </c>
      <c r="Q1475" s="14" t="s">
        <v>549</v>
      </c>
      <c r="R1475" s="17">
        <v>341</v>
      </c>
      <c r="S1475" s="172" t="s">
        <v>51</v>
      </c>
      <c r="T1475" s="17">
        <v>2035</v>
      </c>
      <c r="U1475" s="14" t="s">
        <v>51</v>
      </c>
      <c r="V1475" s="16">
        <f t="shared" si="175"/>
        <v>244291</v>
      </c>
      <c r="W1475" s="16">
        <f t="shared" si="176"/>
        <v>244298</v>
      </c>
      <c r="X1475" s="16">
        <f t="shared" si="177"/>
        <v>244293</v>
      </c>
      <c r="Y1475" s="15"/>
      <c r="Z1475" s="177"/>
      <c r="AA1475" s="170"/>
      <c r="AB1475" s="170"/>
      <c r="AC1475" s="170"/>
      <c r="AD1475" s="170"/>
      <c r="AE1475" s="15"/>
      <c r="AF1475" s="177"/>
      <c r="AG1475" s="177">
        <f t="shared" si="173"/>
        <v>0</v>
      </c>
      <c r="AH1475" s="177">
        <f t="shared" si="174"/>
        <v>0</v>
      </c>
      <c r="AK1475" s="176"/>
      <c r="AL1475" s="176"/>
    </row>
    <row r="1476" spans="1:38" ht="36" customHeight="1" x14ac:dyDescent="0.2">
      <c r="A1476" s="14" t="s">
        <v>27</v>
      </c>
      <c r="B1476" s="212">
        <v>244291</v>
      </c>
      <c r="C1476" s="14" t="s">
        <v>547</v>
      </c>
      <c r="D1476" s="14" t="s">
        <v>268</v>
      </c>
      <c r="E1476" s="14" t="s">
        <v>14</v>
      </c>
      <c r="F1476" s="14" t="s">
        <v>324</v>
      </c>
      <c r="G1476" s="179">
        <v>681475</v>
      </c>
      <c r="H1476" s="176" t="s">
        <v>4329</v>
      </c>
      <c r="I1476" s="176" t="s">
        <v>630</v>
      </c>
      <c r="J1476" s="176" t="s">
        <v>2525</v>
      </c>
      <c r="K1476" s="176" t="s">
        <v>4331</v>
      </c>
      <c r="L1476" s="40" t="s">
        <v>105</v>
      </c>
      <c r="M1476" s="40" t="s">
        <v>341</v>
      </c>
      <c r="N1476" s="14" t="s">
        <v>4336</v>
      </c>
      <c r="O1476" s="14" t="s">
        <v>548</v>
      </c>
      <c r="P1476" s="14" t="s">
        <v>518</v>
      </c>
      <c r="Q1476" s="14" t="s">
        <v>549</v>
      </c>
      <c r="R1476" s="17">
        <v>445</v>
      </c>
      <c r="S1476" s="172" t="s">
        <v>51</v>
      </c>
      <c r="T1476" s="17">
        <v>2160</v>
      </c>
      <c r="U1476" s="14" t="s">
        <v>51</v>
      </c>
      <c r="V1476" s="16">
        <f t="shared" si="175"/>
        <v>244291</v>
      </c>
      <c r="W1476" s="16">
        <f t="shared" si="176"/>
        <v>244298</v>
      </c>
      <c r="X1476" s="16">
        <f t="shared" si="177"/>
        <v>244293</v>
      </c>
      <c r="Y1476" s="15"/>
      <c r="Z1476" s="177"/>
      <c r="AA1476" s="170"/>
      <c r="AB1476" s="170"/>
      <c r="AC1476" s="170"/>
      <c r="AD1476" s="170"/>
      <c r="AE1476" s="15"/>
      <c r="AF1476" s="177"/>
      <c r="AG1476" s="177">
        <f t="shared" si="173"/>
        <v>0</v>
      </c>
      <c r="AH1476" s="177">
        <f t="shared" si="174"/>
        <v>0</v>
      </c>
      <c r="AK1476" s="176"/>
      <c r="AL1476" s="176"/>
    </row>
    <row r="1477" spans="1:38" ht="36" customHeight="1" x14ac:dyDescent="0.2">
      <c r="A1477" s="14" t="s">
        <v>27</v>
      </c>
      <c r="B1477" s="212">
        <v>244291</v>
      </c>
      <c r="C1477" s="14" t="s">
        <v>547</v>
      </c>
      <c r="D1477" s="14" t="s">
        <v>268</v>
      </c>
      <c r="E1477" s="14" t="s">
        <v>14</v>
      </c>
      <c r="F1477" s="14" t="s">
        <v>324</v>
      </c>
      <c r="G1477" s="179">
        <v>681476</v>
      </c>
      <c r="H1477" s="176" t="s">
        <v>625</v>
      </c>
      <c r="I1477" s="176" t="s">
        <v>629</v>
      </c>
      <c r="J1477" s="176" t="s">
        <v>631</v>
      </c>
      <c r="K1477" s="176" t="s">
        <v>4332</v>
      </c>
      <c r="L1477" s="40" t="s">
        <v>108</v>
      </c>
      <c r="M1477" s="40" t="s">
        <v>341</v>
      </c>
      <c r="N1477" s="14" t="s">
        <v>4337</v>
      </c>
      <c r="O1477" s="14" t="s">
        <v>552</v>
      </c>
      <c r="P1477" s="14" t="s">
        <v>1660</v>
      </c>
      <c r="Q1477" s="14" t="s">
        <v>553</v>
      </c>
      <c r="R1477" s="17">
        <v>1016</v>
      </c>
      <c r="S1477" s="172" t="s">
        <v>51</v>
      </c>
      <c r="T1477" s="17">
        <v>4029</v>
      </c>
      <c r="U1477" s="14" t="s">
        <v>51</v>
      </c>
      <c r="V1477" s="16">
        <f t="shared" si="175"/>
        <v>244291</v>
      </c>
      <c r="W1477" s="16">
        <f t="shared" si="176"/>
        <v>244298</v>
      </c>
      <c r="X1477" s="16">
        <f t="shared" si="177"/>
        <v>244293</v>
      </c>
      <c r="Y1477" s="15"/>
      <c r="Z1477" s="177"/>
      <c r="AA1477" s="170"/>
      <c r="AB1477" s="170"/>
      <c r="AC1477" s="170"/>
      <c r="AD1477" s="170"/>
      <c r="AE1477" s="15"/>
      <c r="AF1477" s="177"/>
      <c r="AG1477" s="177">
        <f t="shared" si="173"/>
        <v>0</v>
      </c>
      <c r="AH1477" s="177">
        <f t="shared" si="174"/>
        <v>0</v>
      </c>
      <c r="AK1477" s="176"/>
      <c r="AL1477" s="176"/>
    </row>
    <row r="1478" spans="1:38" ht="36" customHeight="1" x14ac:dyDescent="0.2">
      <c r="A1478" s="14" t="s">
        <v>27</v>
      </c>
      <c r="B1478" s="212">
        <v>244291</v>
      </c>
      <c r="C1478" s="14" t="s">
        <v>547</v>
      </c>
      <c r="D1478" s="14" t="s">
        <v>268</v>
      </c>
      <c r="E1478" s="14" t="s">
        <v>14</v>
      </c>
      <c r="F1478" s="14" t="s">
        <v>324</v>
      </c>
      <c r="G1478" s="179">
        <v>681477</v>
      </c>
      <c r="H1478" s="176" t="s">
        <v>1262</v>
      </c>
      <c r="I1478" s="176" t="s">
        <v>802</v>
      </c>
      <c r="J1478" s="176" t="s">
        <v>131</v>
      </c>
      <c r="K1478" s="176" t="s">
        <v>4333</v>
      </c>
      <c r="L1478" s="40" t="s">
        <v>45</v>
      </c>
      <c r="M1478" s="40" t="s">
        <v>341</v>
      </c>
      <c r="N1478" s="14" t="s">
        <v>4338</v>
      </c>
      <c r="O1478" s="14" t="s">
        <v>528</v>
      </c>
      <c r="P1478" s="14" t="s">
        <v>4341</v>
      </c>
      <c r="Q1478" s="14" t="s">
        <v>541</v>
      </c>
      <c r="R1478" s="17">
        <v>1125</v>
      </c>
      <c r="S1478" s="172" t="s">
        <v>51</v>
      </c>
      <c r="T1478" s="17">
        <v>1380</v>
      </c>
      <c r="U1478" s="14" t="s">
        <v>51</v>
      </c>
      <c r="V1478" s="16">
        <f t="shared" si="175"/>
        <v>244291</v>
      </c>
      <c r="W1478" s="16">
        <f t="shared" si="176"/>
        <v>244298</v>
      </c>
      <c r="X1478" s="16">
        <f t="shared" si="177"/>
        <v>244293</v>
      </c>
      <c r="Y1478" s="15"/>
      <c r="Z1478" s="177"/>
      <c r="AA1478" s="170"/>
      <c r="AB1478" s="170"/>
      <c r="AC1478" s="170"/>
      <c r="AD1478" s="170"/>
      <c r="AE1478" s="15"/>
      <c r="AF1478" s="177"/>
      <c r="AG1478" s="177">
        <f t="shared" si="173"/>
        <v>0</v>
      </c>
      <c r="AH1478" s="177">
        <f t="shared" si="174"/>
        <v>0</v>
      </c>
      <c r="AK1478" s="176"/>
      <c r="AL1478" s="176"/>
    </row>
    <row r="1479" spans="1:38" ht="36" customHeight="1" x14ac:dyDescent="0.2">
      <c r="A1479" s="14" t="s">
        <v>27</v>
      </c>
      <c r="B1479" s="212">
        <v>244291</v>
      </c>
      <c r="C1479" s="14" t="s">
        <v>547</v>
      </c>
      <c r="D1479" s="14" t="s">
        <v>268</v>
      </c>
      <c r="E1479" s="14" t="s">
        <v>14</v>
      </c>
      <c r="F1479" s="14" t="s">
        <v>324</v>
      </c>
      <c r="G1479" s="179">
        <v>681478</v>
      </c>
      <c r="H1479" s="176" t="s">
        <v>4330</v>
      </c>
      <c r="I1479" s="176" t="s">
        <v>908</v>
      </c>
      <c r="J1479" s="176" t="s">
        <v>123</v>
      </c>
      <c r="K1479" s="176" t="s">
        <v>4334</v>
      </c>
      <c r="L1479" s="40" t="s">
        <v>46</v>
      </c>
      <c r="M1479" s="40" t="s">
        <v>341</v>
      </c>
      <c r="N1479" s="14" t="s">
        <v>4339</v>
      </c>
      <c r="O1479" s="14" t="s">
        <v>552</v>
      </c>
      <c r="P1479" s="14" t="s">
        <v>519</v>
      </c>
      <c r="Q1479" s="14" t="s">
        <v>553</v>
      </c>
      <c r="R1479" s="17">
        <v>316</v>
      </c>
      <c r="S1479" s="172" t="s">
        <v>51</v>
      </c>
      <c r="T1479" s="17">
        <v>2000</v>
      </c>
      <c r="U1479" s="14" t="s">
        <v>51</v>
      </c>
      <c r="V1479" s="16">
        <f t="shared" si="175"/>
        <v>244291</v>
      </c>
      <c r="W1479" s="16">
        <f t="shared" si="176"/>
        <v>244298</v>
      </c>
      <c r="X1479" s="16">
        <f t="shared" si="177"/>
        <v>244293</v>
      </c>
      <c r="Y1479" s="15"/>
      <c r="Z1479" s="177"/>
      <c r="AA1479" s="170"/>
      <c r="AB1479" s="170"/>
      <c r="AC1479" s="170"/>
      <c r="AD1479" s="170"/>
      <c r="AE1479" s="15"/>
      <c r="AF1479" s="177"/>
      <c r="AG1479" s="177">
        <f t="shared" si="173"/>
        <v>0</v>
      </c>
      <c r="AH1479" s="177">
        <f t="shared" si="174"/>
        <v>0</v>
      </c>
      <c r="AK1479" s="176"/>
      <c r="AL1479" s="176"/>
    </row>
    <row r="1480" spans="1:38" ht="36" customHeight="1" x14ac:dyDescent="0.2">
      <c r="A1480" s="14" t="s">
        <v>27</v>
      </c>
      <c r="B1480" s="212">
        <v>244291</v>
      </c>
      <c r="C1480" s="14" t="s">
        <v>547</v>
      </c>
      <c r="D1480" s="14" t="s">
        <v>268</v>
      </c>
      <c r="E1480" s="14" t="s">
        <v>14</v>
      </c>
      <c r="F1480" s="14" t="s">
        <v>324</v>
      </c>
      <c r="G1480" s="179">
        <v>681479</v>
      </c>
      <c r="H1480" s="176" t="s">
        <v>4330</v>
      </c>
      <c r="I1480" s="176" t="s">
        <v>908</v>
      </c>
      <c r="J1480" s="176" t="s">
        <v>123</v>
      </c>
      <c r="K1480" s="176" t="s">
        <v>4334</v>
      </c>
      <c r="L1480" s="40" t="s">
        <v>46</v>
      </c>
      <c r="M1480" s="40" t="s">
        <v>341</v>
      </c>
      <c r="N1480" s="14" t="s">
        <v>1905</v>
      </c>
      <c r="O1480" s="14" t="s">
        <v>548</v>
      </c>
      <c r="P1480" s="14" t="s">
        <v>518</v>
      </c>
      <c r="Q1480" s="14" t="s">
        <v>549</v>
      </c>
      <c r="R1480" s="17">
        <v>165</v>
      </c>
      <c r="S1480" s="172" t="s">
        <v>51</v>
      </c>
      <c r="T1480" s="17">
        <v>2000</v>
      </c>
      <c r="U1480" s="14" t="s">
        <v>51</v>
      </c>
      <c r="V1480" s="16">
        <f t="shared" si="175"/>
        <v>244291</v>
      </c>
      <c r="W1480" s="16">
        <f t="shared" si="176"/>
        <v>244298</v>
      </c>
      <c r="X1480" s="16">
        <f t="shared" si="177"/>
        <v>244293</v>
      </c>
      <c r="Y1480" s="15"/>
      <c r="Z1480" s="177"/>
      <c r="AA1480" s="170"/>
      <c r="AB1480" s="170"/>
      <c r="AC1480" s="170"/>
      <c r="AD1480" s="170"/>
      <c r="AE1480" s="15"/>
      <c r="AF1480" s="177"/>
      <c r="AG1480" s="177">
        <f t="shared" si="173"/>
        <v>0</v>
      </c>
      <c r="AH1480" s="177">
        <f t="shared" si="174"/>
        <v>0</v>
      </c>
      <c r="AK1480" s="176"/>
      <c r="AL1480" s="176"/>
    </row>
    <row r="1481" spans="1:38" ht="36" customHeight="1" x14ac:dyDescent="0.2">
      <c r="A1481" s="14" t="s">
        <v>27</v>
      </c>
      <c r="B1481" s="212">
        <v>244291</v>
      </c>
      <c r="C1481" s="14" t="s">
        <v>547</v>
      </c>
      <c r="D1481" s="14" t="s">
        <v>268</v>
      </c>
      <c r="E1481" s="14" t="s">
        <v>14</v>
      </c>
      <c r="F1481" s="14" t="s">
        <v>324</v>
      </c>
      <c r="G1481" s="179">
        <v>681480</v>
      </c>
      <c r="H1481" s="176" t="s">
        <v>4329</v>
      </c>
      <c r="I1481" s="176" t="s">
        <v>630</v>
      </c>
      <c r="J1481" s="176" t="s">
        <v>2525</v>
      </c>
      <c r="K1481" s="176" t="s">
        <v>4331</v>
      </c>
      <c r="L1481" s="40" t="s">
        <v>105</v>
      </c>
      <c r="M1481" s="40" t="s">
        <v>341</v>
      </c>
      <c r="N1481" s="14" t="s">
        <v>4340</v>
      </c>
      <c r="O1481" s="14" t="s">
        <v>557</v>
      </c>
      <c r="P1481" s="14" t="s">
        <v>4342</v>
      </c>
      <c r="Q1481" s="14" t="s">
        <v>558</v>
      </c>
      <c r="R1481" s="17">
        <v>500</v>
      </c>
      <c r="S1481" s="172" t="s">
        <v>51</v>
      </c>
      <c r="T1481" s="17">
        <v>2160</v>
      </c>
      <c r="U1481" s="14" t="s">
        <v>51</v>
      </c>
      <c r="V1481" s="16">
        <f t="shared" si="175"/>
        <v>244291</v>
      </c>
      <c r="W1481" s="16">
        <f t="shared" si="176"/>
        <v>244298</v>
      </c>
      <c r="X1481" s="16">
        <f t="shared" si="177"/>
        <v>244293</v>
      </c>
      <c r="Y1481" s="15"/>
      <c r="Z1481" s="177"/>
      <c r="AA1481" s="170"/>
      <c r="AB1481" s="170"/>
      <c r="AC1481" s="170"/>
      <c r="AD1481" s="170"/>
      <c r="AE1481" s="15"/>
      <c r="AF1481" s="177"/>
      <c r="AG1481" s="177">
        <f t="shared" si="173"/>
        <v>0</v>
      </c>
      <c r="AH1481" s="177">
        <f t="shared" si="174"/>
        <v>0</v>
      </c>
      <c r="AK1481" s="176"/>
      <c r="AL1481" s="176"/>
    </row>
    <row r="1482" spans="1:38" ht="36" customHeight="1" x14ac:dyDescent="0.2">
      <c r="A1482" s="14" t="s">
        <v>27</v>
      </c>
      <c r="B1482" s="212">
        <v>244291</v>
      </c>
      <c r="C1482" s="14" t="s">
        <v>547</v>
      </c>
      <c r="D1482" s="14" t="s">
        <v>268</v>
      </c>
      <c r="E1482" s="14" t="s">
        <v>14</v>
      </c>
      <c r="F1482" s="14" t="s">
        <v>324</v>
      </c>
      <c r="G1482" s="179">
        <v>681481</v>
      </c>
      <c r="H1482" s="176" t="s">
        <v>4329</v>
      </c>
      <c r="I1482" s="176" t="s">
        <v>630</v>
      </c>
      <c r="J1482" s="176" t="s">
        <v>2525</v>
      </c>
      <c r="K1482" s="176" t="s">
        <v>4331</v>
      </c>
      <c r="L1482" s="40" t="s">
        <v>105</v>
      </c>
      <c r="M1482" s="40" t="s">
        <v>341</v>
      </c>
      <c r="N1482" s="14" t="s">
        <v>4343</v>
      </c>
      <c r="O1482" s="14" t="s">
        <v>527</v>
      </c>
      <c r="P1482" s="14" t="s">
        <v>4347</v>
      </c>
      <c r="Q1482" s="14" t="s">
        <v>542</v>
      </c>
      <c r="R1482" s="17">
        <v>200</v>
      </c>
      <c r="S1482" s="172" t="s">
        <v>51</v>
      </c>
      <c r="T1482" s="17">
        <v>420</v>
      </c>
      <c r="U1482" s="14" t="s">
        <v>51</v>
      </c>
      <c r="V1482" s="16">
        <f t="shared" si="175"/>
        <v>244291</v>
      </c>
      <c r="W1482" s="16">
        <f t="shared" si="176"/>
        <v>244298</v>
      </c>
      <c r="X1482" s="16">
        <f t="shared" si="177"/>
        <v>244293</v>
      </c>
      <c r="Y1482" s="15"/>
      <c r="Z1482" s="177"/>
      <c r="AA1482" s="170"/>
      <c r="AB1482" s="170"/>
      <c r="AC1482" s="170"/>
      <c r="AD1482" s="170"/>
      <c r="AE1482" s="15"/>
      <c r="AF1482" s="177"/>
      <c r="AG1482" s="177">
        <f t="shared" si="173"/>
        <v>0</v>
      </c>
      <c r="AH1482" s="177">
        <f t="shared" si="174"/>
        <v>0</v>
      </c>
      <c r="AK1482" s="176"/>
      <c r="AL1482" s="176"/>
    </row>
    <row r="1483" spans="1:38" ht="36" customHeight="1" x14ac:dyDescent="0.2">
      <c r="A1483" s="14" t="s">
        <v>27</v>
      </c>
      <c r="B1483" s="212">
        <v>244291</v>
      </c>
      <c r="C1483" s="14" t="s">
        <v>547</v>
      </c>
      <c r="D1483" s="14" t="s">
        <v>268</v>
      </c>
      <c r="E1483" s="14" t="s">
        <v>14</v>
      </c>
      <c r="F1483" s="14" t="s">
        <v>324</v>
      </c>
      <c r="G1483" s="179">
        <v>681482</v>
      </c>
      <c r="H1483" s="176" t="s">
        <v>663</v>
      </c>
      <c r="I1483" s="176" t="s">
        <v>630</v>
      </c>
      <c r="J1483" s="176" t="s">
        <v>821</v>
      </c>
      <c r="K1483" s="176" t="s">
        <v>4298</v>
      </c>
      <c r="L1483" s="40" t="s">
        <v>124</v>
      </c>
      <c r="M1483" s="40" t="s">
        <v>341</v>
      </c>
      <c r="N1483" s="14" t="s">
        <v>4344</v>
      </c>
      <c r="O1483" s="14" t="s">
        <v>543</v>
      </c>
      <c r="P1483" s="14" t="s">
        <v>1152</v>
      </c>
      <c r="Q1483" s="14" t="s">
        <v>529</v>
      </c>
      <c r="R1483" s="17">
        <v>920</v>
      </c>
      <c r="S1483" s="172" t="s">
        <v>51</v>
      </c>
      <c r="T1483" s="17">
        <v>2605</v>
      </c>
      <c r="U1483" s="14" t="s">
        <v>51</v>
      </c>
      <c r="V1483" s="16">
        <f t="shared" si="175"/>
        <v>244291</v>
      </c>
      <c r="W1483" s="16">
        <f t="shared" si="176"/>
        <v>244298</v>
      </c>
      <c r="X1483" s="16">
        <f t="shared" si="177"/>
        <v>244293</v>
      </c>
      <c r="Y1483" s="15"/>
      <c r="Z1483" s="177"/>
      <c r="AA1483" s="170"/>
      <c r="AB1483" s="170"/>
      <c r="AC1483" s="170"/>
      <c r="AD1483" s="170"/>
      <c r="AE1483" s="15"/>
      <c r="AF1483" s="177"/>
      <c r="AG1483" s="177">
        <f t="shared" si="173"/>
        <v>0</v>
      </c>
      <c r="AH1483" s="177">
        <f t="shared" si="174"/>
        <v>0</v>
      </c>
      <c r="AK1483" s="176"/>
      <c r="AL1483" s="176"/>
    </row>
    <row r="1484" spans="1:38" ht="36" customHeight="1" x14ac:dyDescent="0.2">
      <c r="A1484" s="14" t="s">
        <v>27</v>
      </c>
      <c r="B1484" s="212">
        <v>244291</v>
      </c>
      <c r="C1484" s="14" t="s">
        <v>547</v>
      </c>
      <c r="D1484" s="14" t="s">
        <v>268</v>
      </c>
      <c r="E1484" s="14" t="s">
        <v>14</v>
      </c>
      <c r="F1484" s="14" t="s">
        <v>324</v>
      </c>
      <c r="G1484" s="179">
        <v>681483</v>
      </c>
      <c r="H1484" s="176" t="s">
        <v>663</v>
      </c>
      <c r="I1484" s="176" t="s">
        <v>630</v>
      </c>
      <c r="J1484" s="176" t="s">
        <v>821</v>
      </c>
      <c r="K1484" s="176" t="s">
        <v>4298</v>
      </c>
      <c r="L1484" s="40" t="s">
        <v>124</v>
      </c>
      <c r="M1484" s="40" t="s">
        <v>341</v>
      </c>
      <c r="N1484" s="14" t="s">
        <v>4345</v>
      </c>
      <c r="O1484" s="14" t="s">
        <v>543</v>
      </c>
      <c r="P1484" s="14" t="s">
        <v>517</v>
      </c>
      <c r="Q1484" s="14" t="s">
        <v>529</v>
      </c>
      <c r="R1484" s="17">
        <v>800</v>
      </c>
      <c r="S1484" s="172" t="s">
        <v>51</v>
      </c>
      <c r="T1484" s="17">
        <v>2530</v>
      </c>
      <c r="U1484" s="14" t="s">
        <v>51</v>
      </c>
      <c r="V1484" s="16">
        <f t="shared" si="175"/>
        <v>244291</v>
      </c>
      <c r="W1484" s="16">
        <f t="shared" si="176"/>
        <v>244298</v>
      </c>
      <c r="X1484" s="16">
        <f t="shared" si="177"/>
        <v>244293</v>
      </c>
      <c r="Y1484" s="15"/>
      <c r="Z1484" s="177"/>
      <c r="AA1484" s="170"/>
      <c r="AB1484" s="170"/>
      <c r="AC1484" s="170"/>
      <c r="AD1484" s="170"/>
      <c r="AE1484" s="15"/>
      <c r="AF1484" s="177"/>
      <c r="AG1484" s="177">
        <f t="shared" si="173"/>
        <v>0</v>
      </c>
      <c r="AH1484" s="177">
        <f t="shared" si="174"/>
        <v>0</v>
      </c>
      <c r="AK1484" s="176"/>
      <c r="AL1484" s="176"/>
    </row>
    <row r="1485" spans="1:38" ht="36" customHeight="1" x14ac:dyDescent="0.2">
      <c r="A1485" s="14" t="s">
        <v>27</v>
      </c>
      <c r="B1485" s="212">
        <v>244291</v>
      </c>
      <c r="C1485" s="14" t="s">
        <v>547</v>
      </c>
      <c r="D1485" s="14" t="s">
        <v>268</v>
      </c>
      <c r="E1485" s="14" t="s">
        <v>14</v>
      </c>
      <c r="F1485" s="14" t="s">
        <v>324</v>
      </c>
      <c r="G1485" s="179">
        <v>681484</v>
      </c>
      <c r="H1485" s="176" t="s">
        <v>4329</v>
      </c>
      <c r="I1485" s="176" t="s">
        <v>630</v>
      </c>
      <c r="J1485" s="176" t="s">
        <v>2525</v>
      </c>
      <c r="K1485" s="176" t="s">
        <v>4331</v>
      </c>
      <c r="L1485" s="40" t="s">
        <v>105</v>
      </c>
      <c r="M1485" s="40" t="s">
        <v>341</v>
      </c>
      <c r="N1485" s="14" t="s">
        <v>4346</v>
      </c>
      <c r="O1485" s="14" t="s">
        <v>548</v>
      </c>
      <c r="P1485" s="14" t="s">
        <v>518</v>
      </c>
      <c r="Q1485" s="14" t="s">
        <v>549</v>
      </c>
      <c r="R1485" s="17">
        <v>315</v>
      </c>
      <c r="S1485" s="172" t="s">
        <v>51</v>
      </c>
      <c r="T1485" s="17">
        <v>2530</v>
      </c>
      <c r="U1485" s="14" t="s">
        <v>51</v>
      </c>
      <c r="V1485" s="16">
        <f t="shared" si="175"/>
        <v>244291</v>
      </c>
      <c r="W1485" s="16">
        <f t="shared" si="176"/>
        <v>244298</v>
      </c>
      <c r="X1485" s="16">
        <f t="shared" si="177"/>
        <v>244293</v>
      </c>
      <c r="Y1485" s="15"/>
      <c r="Z1485" s="177"/>
      <c r="AA1485" s="170"/>
      <c r="AB1485" s="170"/>
      <c r="AC1485" s="170"/>
      <c r="AD1485" s="170"/>
      <c r="AE1485" s="15"/>
      <c r="AF1485" s="177"/>
      <c r="AG1485" s="177">
        <f t="shared" si="173"/>
        <v>0</v>
      </c>
      <c r="AH1485" s="177">
        <f t="shared" si="174"/>
        <v>0</v>
      </c>
      <c r="AK1485" s="176"/>
      <c r="AL1485" s="176"/>
    </row>
    <row r="1486" spans="1:38" ht="36" customHeight="1" x14ac:dyDescent="0.2">
      <c r="A1486" s="14" t="s">
        <v>27</v>
      </c>
      <c r="B1486" s="212">
        <v>244292</v>
      </c>
      <c r="C1486" s="14" t="s">
        <v>547</v>
      </c>
      <c r="D1486" s="14" t="s">
        <v>268</v>
      </c>
      <c r="E1486" s="14" t="s">
        <v>14</v>
      </c>
      <c r="F1486" s="14" t="s">
        <v>324</v>
      </c>
      <c r="G1486" s="179">
        <v>681485</v>
      </c>
      <c r="H1486" s="176" t="s">
        <v>760</v>
      </c>
      <c r="I1486" s="176" t="s">
        <v>551</v>
      </c>
      <c r="J1486" s="176" t="s">
        <v>832</v>
      </c>
      <c r="K1486" s="176" t="s">
        <v>4348</v>
      </c>
      <c r="L1486" s="40" t="s">
        <v>108</v>
      </c>
      <c r="M1486" s="40" t="s">
        <v>341</v>
      </c>
      <c r="N1486" s="14" t="s">
        <v>4349</v>
      </c>
      <c r="O1486" s="14" t="s">
        <v>552</v>
      </c>
      <c r="P1486" s="14" t="s">
        <v>941</v>
      </c>
      <c r="Q1486" s="14" t="s">
        <v>553</v>
      </c>
      <c r="R1486" s="17">
        <v>350</v>
      </c>
      <c r="S1486" s="172" t="s">
        <v>51</v>
      </c>
      <c r="T1486" s="17">
        <v>2835</v>
      </c>
      <c r="U1486" s="14" t="s">
        <v>51</v>
      </c>
      <c r="V1486" s="16">
        <f t="shared" si="175"/>
        <v>244292</v>
      </c>
      <c r="W1486" s="16">
        <f t="shared" si="176"/>
        <v>244299</v>
      </c>
      <c r="X1486" s="16">
        <f t="shared" si="177"/>
        <v>244294</v>
      </c>
      <c r="Y1486" s="15" t="s">
        <v>54</v>
      </c>
      <c r="Z1486" s="177">
        <v>244300</v>
      </c>
      <c r="AA1486" s="170"/>
      <c r="AB1486" s="170"/>
      <c r="AC1486" s="170"/>
      <c r="AD1486" s="170"/>
      <c r="AE1486" s="15" t="s">
        <v>54</v>
      </c>
      <c r="AF1486" s="177">
        <v>244301</v>
      </c>
      <c r="AG1486" s="177" t="str">
        <f t="shared" si="173"/>
        <v>Pass</v>
      </c>
      <c r="AH1486" s="177">
        <f t="shared" si="174"/>
        <v>244301</v>
      </c>
      <c r="AK1486" s="176"/>
      <c r="AL1486" s="176"/>
    </row>
    <row r="1487" spans="1:38" ht="36" customHeight="1" x14ac:dyDescent="0.2">
      <c r="A1487" s="14" t="s">
        <v>27</v>
      </c>
      <c r="B1487" s="212">
        <v>244292</v>
      </c>
      <c r="C1487" s="14" t="s">
        <v>547</v>
      </c>
      <c r="D1487" s="14" t="s">
        <v>268</v>
      </c>
      <c r="E1487" s="14" t="s">
        <v>14</v>
      </c>
      <c r="F1487" s="14" t="s">
        <v>324</v>
      </c>
      <c r="G1487" s="179">
        <v>681486</v>
      </c>
      <c r="H1487" s="176" t="s">
        <v>4330</v>
      </c>
      <c r="I1487" s="176" t="s">
        <v>908</v>
      </c>
      <c r="J1487" s="176" t="s">
        <v>123</v>
      </c>
      <c r="K1487" s="176" t="s">
        <v>4334</v>
      </c>
      <c r="L1487" s="40" t="s">
        <v>46</v>
      </c>
      <c r="M1487" s="40" t="s">
        <v>341</v>
      </c>
      <c r="N1487" s="14" t="s">
        <v>4350</v>
      </c>
      <c r="O1487" s="14" t="s">
        <v>552</v>
      </c>
      <c r="P1487" s="14" t="s">
        <v>4353</v>
      </c>
      <c r="Q1487" s="14" t="s">
        <v>553</v>
      </c>
      <c r="R1487" s="17">
        <v>900</v>
      </c>
      <c r="S1487" s="172" t="s">
        <v>51</v>
      </c>
      <c r="T1487" s="17">
        <v>2735</v>
      </c>
      <c r="U1487" s="14" t="s">
        <v>51</v>
      </c>
      <c r="V1487" s="16">
        <f t="shared" si="175"/>
        <v>244292</v>
      </c>
      <c r="W1487" s="16">
        <f t="shared" si="176"/>
        <v>244299</v>
      </c>
      <c r="X1487" s="16">
        <f t="shared" si="177"/>
        <v>244294</v>
      </c>
      <c r="Y1487" s="15" t="s">
        <v>54</v>
      </c>
      <c r="Z1487" s="177">
        <v>244300</v>
      </c>
      <c r="AA1487" s="170"/>
      <c r="AB1487" s="170"/>
      <c r="AC1487" s="170"/>
      <c r="AD1487" s="170"/>
      <c r="AE1487" s="15" t="s">
        <v>54</v>
      </c>
      <c r="AF1487" s="177">
        <v>244301</v>
      </c>
      <c r="AG1487" s="177" t="str">
        <f t="shared" si="173"/>
        <v>Pass</v>
      </c>
      <c r="AH1487" s="177">
        <f t="shared" si="174"/>
        <v>244301</v>
      </c>
      <c r="AK1487" s="176"/>
      <c r="AL1487" s="176"/>
    </row>
    <row r="1488" spans="1:38" ht="36" customHeight="1" x14ac:dyDescent="0.2">
      <c r="A1488" s="14" t="s">
        <v>27</v>
      </c>
      <c r="B1488" s="212">
        <v>244292</v>
      </c>
      <c r="C1488" s="14" t="s">
        <v>547</v>
      </c>
      <c r="D1488" s="14" t="s">
        <v>268</v>
      </c>
      <c r="E1488" s="14" t="s">
        <v>14</v>
      </c>
      <c r="F1488" s="14" t="s">
        <v>324</v>
      </c>
      <c r="G1488" s="179">
        <v>681487</v>
      </c>
      <c r="H1488" s="176" t="s">
        <v>4330</v>
      </c>
      <c r="I1488" s="176" t="s">
        <v>908</v>
      </c>
      <c r="J1488" s="176" t="s">
        <v>123</v>
      </c>
      <c r="K1488" s="176" t="s">
        <v>4334</v>
      </c>
      <c r="L1488" s="40" t="s">
        <v>46</v>
      </c>
      <c r="M1488" s="40" t="s">
        <v>341</v>
      </c>
      <c r="N1488" s="14" t="s">
        <v>4351</v>
      </c>
      <c r="O1488" s="14" t="s">
        <v>552</v>
      </c>
      <c r="P1488" s="14" t="s">
        <v>846</v>
      </c>
      <c r="Q1488" s="14" t="s">
        <v>553</v>
      </c>
      <c r="R1488" s="17">
        <v>1490</v>
      </c>
      <c r="S1488" s="172" t="s">
        <v>51</v>
      </c>
      <c r="T1488" s="17">
        <v>1970</v>
      </c>
      <c r="U1488" s="14" t="s">
        <v>51</v>
      </c>
      <c r="V1488" s="16">
        <f t="shared" si="175"/>
        <v>244292</v>
      </c>
      <c r="W1488" s="16">
        <f t="shared" si="176"/>
        <v>244299</v>
      </c>
      <c r="X1488" s="16">
        <f t="shared" si="177"/>
        <v>244294</v>
      </c>
      <c r="Y1488" s="15" t="s">
        <v>54</v>
      </c>
      <c r="Z1488" s="177">
        <v>244300</v>
      </c>
      <c r="AA1488" s="170"/>
      <c r="AB1488" s="170"/>
      <c r="AC1488" s="170"/>
      <c r="AD1488" s="170"/>
      <c r="AE1488" s="15" t="s">
        <v>54</v>
      </c>
      <c r="AF1488" s="177">
        <v>244301</v>
      </c>
      <c r="AG1488" s="177" t="str">
        <f t="shared" si="173"/>
        <v>Pass</v>
      </c>
      <c r="AH1488" s="177">
        <f t="shared" si="174"/>
        <v>244301</v>
      </c>
      <c r="AK1488" s="176"/>
      <c r="AL1488" s="176"/>
    </row>
    <row r="1489" spans="1:38" ht="36" customHeight="1" x14ac:dyDescent="0.2">
      <c r="A1489" s="14" t="s">
        <v>27</v>
      </c>
      <c r="B1489" s="212">
        <v>244292</v>
      </c>
      <c r="C1489" s="14" t="s">
        <v>547</v>
      </c>
      <c r="D1489" s="14" t="s">
        <v>268</v>
      </c>
      <c r="E1489" s="14" t="s">
        <v>14</v>
      </c>
      <c r="F1489" s="14" t="s">
        <v>324</v>
      </c>
      <c r="G1489" s="179">
        <v>681488</v>
      </c>
      <c r="H1489" s="176" t="s">
        <v>4330</v>
      </c>
      <c r="I1489" s="176" t="s">
        <v>908</v>
      </c>
      <c r="J1489" s="176" t="s">
        <v>123</v>
      </c>
      <c r="K1489" s="176" t="s">
        <v>4334</v>
      </c>
      <c r="L1489" s="40" t="s">
        <v>46</v>
      </c>
      <c r="M1489" s="40" t="s">
        <v>341</v>
      </c>
      <c r="N1489" s="14" t="s">
        <v>4352</v>
      </c>
      <c r="O1489" s="14" t="s">
        <v>528</v>
      </c>
      <c r="P1489" s="14" t="s">
        <v>4354</v>
      </c>
      <c r="Q1489" s="14" t="s">
        <v>541</v>
      </c>
      <c r="R1489" s="17">
        <v>650</v>
      </c>
      <c r="S1489" s="172" t="s">
        <v>51</v>
      </c>
      <c r="T1489" s="17">
        <v>1980</v>
      </c>
      <c r="U1489" s="14" t="s">
        <v>51</v>
      </c>
      <c r="V1489" s="16">
        <f t="shared" si="175"/>
        <v>244292</v>
      </c>
      <c r="W1489" s="16">
        <f t="shared" si="176"/>
        <v>244299</v>
      </c>
      <c r="X1489" s="16">
        <f t="shared" si="177"/>
        <v>244294</v>
      </c>
      <c r="Y1489" s="15" t="s">
        <v>54</v>
      </c>
      <c r="Z1489" s="177">
        <v>244300</v>
      </c>
      <c r="AA1489" s="170"/>
      <c r="AB1489" s="170"/>
      <c r="AC1489" s="170"/>
      <c r="AD1489" s="170"/>
      <c r="AE1489" s="15" t="s">
        <v>54</v>
      </c>
      <c r="AF1489" s="177">
        <v>244301</v>
      </c>
      <c r="AG1489" s="177" t="str">
        <f t="shared" si="173"/>
        <v>Pass</v>
      </c>
      <c r="AH1489" s="177">
        <f t="shared" si="174"/>
        <v>244301</v>
      </c>
      <c r="AK1489" s="176"/>
      <c r="AL1489" s="176"/>
    </row>
    <row r="1490" spans="1:38" ht="36" customHeight="1" x14ac:dyDescent="0.2">
      <c r="A1490" s="14" t="s">
        <v>27</v>
      </c>
      <c r="B1490" s="212">
        <v>244292</v>
      </c>
      <c r="C1490" s="14" t="s">
        <v>547</v>
      </c>
      <c r="D1490" s="14" t="s">
        <v>268</v>
      </c>
      <c r="E1490" s="14" t="s">
        <v>14</v>
      </c>
      <c r="F1490" s="14" t="s">
        <v>324</v>
      </c>
      <c r="G1490" s="179">
        <v>681489</v>
      </c>
      <c r="H1490" s="176" t="s">
        <v>1026</v>
      </c>
      <c r="I1490" s="176" t="s">
        <v>908</v>
      </c>
      <c r="J1490" s="176" t="s">
        <v>123</v>
      </c>
      <c r="K1490" s="176" t="s">
        <v>4356</v>
      </c>
      <c r="L1490" s="40" t="s">
        <v>46</v>
      </c>
      <c r="M1490" s="40" t="s">
        <v>341</v>
      </c>
      <c r="N1490" s="14" t="s">
        <v>4359</v>
      </c>
      <c r="O1490" s="14" t="s">
        <v>528</v>
      </c>
      <c r="P1490" s="14" t="s">
        <v>4364</v>
      </c>
      <c r="Q1490" s="14" t="s">
        <v>541</v>
      </c>
      <c r="R1490" s="17">
        <v>2300</v>
      </c>
      <c r="S1490" s="172" t="s">
        <v>51</v>
      </c>
      <c r="T1490" s="17">
        <v>2885</v>
      </c>
      <c r="U1490" s="14" t="s">
        <v>51</v>
      </c>
      <c r="V1490" s="16">
        <f t="shared" si="175"/>
        <v>244292</v>
      </c>
      <c r="W1490" s="16">
        <f t="shared" si="176"/>
        <v>244299</v>
      </c>
      <c r="X1490" s="16">
        <f t="shared" si="177"/>
        <v>244294</v>
      </c>
      <c r="Y1490" s="15" t="s">
        <v>54</v>
      </c>
      <c r="Z1490" s="177">
        <v>244300</v>
      </c>
      <c r="AA1490" s="170"/>
      <c r="AB1490" s="170"/>
      <c r="AC1490" s="170"/>
      <c r="AD1490" s="170"/>
      <c r="AE1490" s="15" t="s">
        <v>54</v>
      </c>
      <c r="AF1490" s="177">
        <v>244301</v>
      </c>
      <c r="AG1490" s="177" t="str">
        <f t="shared" si="173"/>
        <v>Pass</v>
      </c>
      <c r="AH1490" s="177">
        <f t="shared" si="174"/>
        <v>244301</v>
      </c>
      <c r="AK1490" s="176"/>
      <c r="AL1490" s="176"/>
    </row>
    <row r="1491" spans="1:38" ht="36" customHeight="1" x14ac:dyDescent="0.2">
      <c r="A1491" s="14" t="s">
        <v>27</v>
      </c>
      <c r="B1491" s="212">
        <v>244292</v>
      </c>
      <c r="C1491" s="14" t="s">
        <v>547</v>
      </c>
      <c r="D1491" s="14" t="s">
        <v>268</v>
      </c>
      <c r="E1491" s="14" t="s">
        <v>14</v>
      </c>
      <c r="F1491" s="14" t="s">
        <v>324</v>
      </c>
      <c r="G1491" s="179">
        <v>681490</v>
      </c>
      <c r="H1491" s="176" t="s">
        <v>1026</v>
      </c>
      <c r="I1491" s="176" t="s">
        <v>908</v>
      </c>
      <c r="J1491" s="176" t="s">
        <v>123</v>
      </c>
      <c r="K1491" s="176" t="s">
        <v>4356</v>
      </c>
      <c r="L1491" s="40" t="s">
        <v>46</v>
      </c>
      <c r="M1491" s="40" t="s">
        <v>341</v>
      </c>
      <c r="N1491" s="14" t="s">
        <v>2605</v>
      </c>
      <c r="O1491" s="14" t="s">
        <v>528</v>
      </c>
      <c r="P1491" s="14" t="s">
        <v>313</v>
      </c>
      <c r="Q1491" s="14" t="s">
        <v>541</v>
      </c>
      <c r="R1491" s="17">
        <v>500</v>
      </c>
      <c r="S1491" s="172" t="s">
        <v>51</v>
      </c>
      <c r="T1491" s="17">
        <v>2000</v>
      </c>
      <c r="U1491" s="14" t="s">
        <v>51</v>
      </c>
      <c r="V1491" s="16">
        <f t="shared" si="175"/>
        <v>244292</v>
      </c>
      <c r="W1491" s="16">
        <f t="shared" si="176"/>
        <v>244299</v>
      </c>
      <c r="X1491" s="16">
        <f t="shared" si="177"/>
        <v>244294</v>
      </c>
      <c r="Y1491" s="15" t="s">
        <v>54</v>
      </c>
      <c r="Z1491" s="177">
        <v>244300</v>
      </c>
      <c r="AA1491" s="170"/>
      <c r="AB1491" s="170"/>
      <c r="AC1491" s="170"/>
      <c r="AD1491" s="170"/>
      <c r="AE1491" s="15" t="s">
        <v>54</v>
      </c>
      <c r="AF1491" s="177">
        <v>244301</v>
      </c>
      <c r="AG1491" s="177" t="str">
        <f t="shared" si="173"/>
        <v>Pass</v>
      </c>
      <c r="AH1491" s="177">
        <f t="shared" si="174"/>
        <v>244301</v>
      </c>
      <c r="AK1491" s="176"/>
      <c r="AL1491" s="176"/>
    </row>
    <row r="1492" spans="1:38" ht="36" customHeight="1" x14ac:dyDescent="0.2">
      <c r="A1492" s="14" t="s">
        <v>27</v>
      </c>
      <c r="B1492" s="212">
        <v>244292</v>
      </c>
      <c r="C1492" s="14" t="s">
        <v>547</v>
      </c>
      <c r="D1492" s="14" t="s">
        <v>268</v>
      </c>
      <c r="E1492" s="14" t="s">
        <v>14</v>
      </c>
      <c r="F1492" s="14" t="s">
        <v>324</v>
      </c>
      <c r="G1492" s="179">
        <v>681491</v>
      </c>
      <c r="H1492" s="176" t="s">
        <v>4355</v>
      </c>
      <c r="I1492" s="176" t="s">
        <v>1874</v>
      </c>
      <c r="J1492" s="176" t="s">
        <v>127</v>
      </c>
      <c r="K1492" s="176" t="s">
        <v>4357</v>
      </c>
      <c r="L1492" s="40" t="s">
        <v>108</v>
      </c>
      <c r="M1492" s="40" t="s">
        <v>341</v>
      </c>
      <c r="N1492" s="14" t="s">
        <v>4360</v>
      </c>
      <c r="O1492" s="14" t="s">
        <v>543</v>
      </c>
      <c r="P1492" s="14" t="s">
        <v>4365</v>
      </c>
      <c r="Q1492" s="14" t="s">
        <v>529</v>
      </c>
      <c r="R1492" s="17">
        <v>300</v>
      </c>
      <c r="S1492" s="172" t="s">
        <v>51</v>
      </c>
      <c r="T1492" s="17">
        <v>1470</v>
      </c>
      <c r="U1492" s="14" t="s">
        <v>51</v>
      </c>
      <c r="V1492" s="16">
        <f t="shared" si="175"/>
        <v>244292</v>
      </c>
      <c r="W1492" s="16">
        <f t="shared" si="176"/>
        <v>244299</v>
      </c>
      <c r="X1492" s="16">
        <f t="shared" si="177"/>
        <v>244294</v>
      </c>
      <c r="Y1492" s="15" t="s">
        <v>54</v>
      </c>
      <c r="Z1492" s="177">
        <v>244300</v>
      </c>
      <c r="AA1492" s="170"/>
      <c r="AB1492" s="170"/>
      <c r="AC1492" s="170"/>
      <c r="AD1492" s="170"/>
      <c r="AE1492" s="15" t="s">
        <v>54</v>
      </c>
      <c r="AF1492" s="177">
        <v>244301</v>
      </c>
      <c r="AG1492" s="177" t="str">
        <f t="shared" si="173"/>
        <v>Pass</v>
      </c>
      <c r="AH1492" s="177">
        <f t="shared" si="174"/>
        <v>244301</v>
      </c>
      <c r="AK1492" s="176"/>
      <c r="AL1492" s="176"/>
    </row>
    <row r="1493" spans="1:38" ht="36" customHeight="1" x14ac:dyDescent="0.2">
      <c r="A1493" s="14" t="s">
        <v>27</v>
      </c>
      <c r="B1493" s="212">
        <v>244292</v>
      </c>
      <c r="C1493" s="14" t="s">
        <v>547</v>
      </c>
      <c r="D1493" s="14" t="s">
        <v>268</v>
      </c>
      <c r="E1493" s="14" t="s">
        <v>14</v>
      </c>
      <c r="F1493" s="14" t="s">
        <v>324</v>
      </c>
      <c r="G1493" s="179">
        <v>681492</v>
      </c>
      <c r="H1493" s="176" t="s">
        <v>1887</v>
      </c>
      <c r="I1493" s="176" t="s">
        <v>551</v>
      </c>
      <c r="J1493" s="176" t="s">
        <v>832</v>
      </c>
      <c r="K1493" s="176" t="s">
        <v>4358</v>
      </c>
      <c r="L1493" s="40" t="s">
        <v>108</v>
      </c>
      <c r="M1493" s="40" t="s">
        <v>341</v>
      </c>
      <c r="N1493" s="14" t="s">
        <v>3097</v>
      </c>
      <c r="O1493" s="14" t="s">
        <v>543</v>
      </c>
      <c r="P1493" s="14" t="s">
        <v>2919</v>
      </c>
      <c r="Q1493" s="14" t="s">
        <v>529</v>
      </c>
      <c r="R1493" s="17">
        <v>300</v>
      </c>
      <c r="S1493" s="172" t="s">
        <v>51</v>
      </c>
      <c r="T1493" s="17">
        <v>1480</v>
      </c>
      <c r="U1493" s="14" t="s">
        <v>51</v>
      </c>
      <c r="V1493" s="16">
        <f t="shared" si="175"/>
        <v>244292</v>
      </c>
      <c r="W1493" s="16">
        <f t="shared" si="176"/>
        <v>244299</v>
      </c>
      <c r="X1493" s="16">
        <f t="shared" si="177"/>
        <v>244294</v>
      </c>
      <c r="Y1493" s="15" t="s">
        <v>54</v>
      </c>
      <c r="Z1493" s="177">
        <v>244300</v>
      </c>
      <c r="AA1493" s="170"/>
      <c r="AB1493" s="170"/>
      <c r="AC1493" s="170"/>
      <c r="AD1493" s="170"/>
      <c r="AE1493" s="15" t="s">
        <v>54</v>
      </c>
      <c r="AF1493" s="177">
        <v>244301</v>
      </c>
      <c r="AG1493" s="177" t="str">
        <f t="shared" si="173"/>
        <v>Pass</v>
      </c>
      <c r="AH1493" s="177">
        <f t="shared" si="174"/>
        <v>244301</v>
      </c>
      <c r="AK1493" s="176"/>
      <c r="AL1493" s="176"/>
    </row>
    <row r="1494" spans="1:38" ht="36" customHeight="1" x14ac:dyDescent="0.2">
      <c r="A1494" s="14" t="s">
        <v>27</v>
      </c>
      <c r="B1494" s="212">
        <v>244292</v>
      </c>
      <c r="C1494" s="14" t="s">
        <v>547</v>
      </c>
      <c r="D1494" s="14" t="s">
        <v>268</v>
      </c>
      <c r="E1494" s="14" t="s">
        <v>14</v>
      </c>
      <c r="F1494" s="14" t="s">
        <v>324</v>
      </c>
      <c r="G1494" s="179">
        <v>681493</v>
      </c>
      <c r="H1494" s="176" t="s">
        <v>1887</v>
      </c>
      <c r="I1494" s="176" t="s">
        <v>551</v>
      </c>
      <c r="J1494" s="176" t="s">
        <v>832</v>
      </c>
      <c r="K1494" s="176" t="s">
        <v>4358</v>
      </c>
      <c r="L1494" s="40" t="s">
        <v>108</v>
      </c>
      <c r="M1494" s="40" t="s">
        <v>341</v>
      </c>
      <c r="N1494" s="14" t="s">
        <v>4361</v>
      </c>
      <c r="O1494" s="14" t="s">
        <v>527</v>
      </c>
      <c r="P1494" s="14" t="s">
        <v>4366</v>
      </c>
      <c r="Q1494" s="14" t="s">
        <v>542</v>
      </c>
      <c r="R1494" s="17">
        <v>525</v>
      </c>
      <c r="S1494" s="172" t="s">
        <v>51</v>
      </c>
      <c r="T1494" s="17">
        <v>1480</v>
      </c>
      <c r="U1494" s="14" t="s">
        <v>51</v>
      </c>
      <c r="V1494" s="16">
        <f t="shared" si="175"/>
        <v>244292</v>
      </c>
      <c r="W1494" s="16">
        <f t="shared" si="176"/>
        <v>244299</v>
      </c>
      <c r="X1494" s="16">
        <f t="shared" si="177"/>
        <v>244294</v>
      </c>
      <c r="Y1494" s="15" t="s">
        <v>54</v>
      </c>
      <c r="Z1494" s="177">
        <v>244300</v>
      </c>
      <c r="AA1494" s="170"/>
      <c r="AB1494" s="170"/>
      <c r="AC1494" s="170"/>
      <c r="AD1494" s="170"/>
      <c r="AE1494" s="15" t="s">
        <v>54</v>
      </c>
      <c r="AF1494" s="177">
        <v>244301</v>
      </c>
      <c r="AG1494" s="177" t="str">
        <f t="shared" si="173"/>
        <v>Pass</v>
      </c>
      <c r="AH1494" s="177">
        <f t="shared" si="174"/>
        <v>244301</v>
      </c>
      <c r="AK1494" s="176"/>
      <c r="AL1494" s="176"/>
    </row>
    <row r="1495" spans="1:38" ht="36" customHeight="1" x14ac:dyDescent="0.2">
      <c r="A1495" s="14" t="s">
        <v>27</v>
      </c>
      <c r="B1495" s="212">
        <v>244292</v>
      </c>
      <c r="C1495" s="14" t="s">
        <v>547</v>
      </c>
      <c r="D1495" s="14" t="s">
        <v>268</v>
      </c>
      <c r="E1495" s="14" t="s">
        <v>14</v>
      </c>
      <c r="F1495" s="14" t="s">
        <v>324</v>
      </c>
      <c r="G1495" s="179">
        <v>681494</v>
      </c>
      <c r="H1495" s="176" t="s">
        <v>1887</v>
      </c>
      <c r="I1495" s="176" t="s">
        <v>551</v>
      </c>
      <c r="J1495" s="176" t="s">
        <v>832</v>
      </c>
      <c r="K1495" s="176" t="s">
        <v>4358</v>
      </c>
      <c r="L1495" s="40" t="s">
        <v>108</v>
      </c>
      <c r="M1495" s="40" t="s">
        <v>341</v>
      </c>
      <c r="N1495" s="14" t="s">
        <v>4362</v>
      </c>
      <c r="O1495" s="14" t="s">
        <v>2521</v>
      </c>
      <c r="P1495" s="14" t="s">
        <v>1828</v>
      </c>
      <c r="Q1495" s="14" t="s">
        <v>2523</v>
      </c>
      <c r="R1495" s="17">
        <v>300</v>
      </c>
      <c r="S1495" s="172" t="s">
        <v>51</v>
      </c>
      <c r="T1495" s="17">
        <v>1140</v>
      </c>
      <c r="U1495" s="14" t="s">
        <v>51</v>
      </c>
      <c r="V1495" s="16">
        <f t="shared" si="175"/>
        <v>244292</v>
      </c>
      <c r="W1495" s="16">
        <f t="shared" si="176"/>
        <v>244299</v>
      </c>
      <c r="X1495" s="16">
        <f t="shared" si="177"/>
        <v>244294</v>
      </c>
      <c r="Y1495" s="15" t="s">
        <v>54</v>
      </c>
      <c r="Z1495" s="177">
        <v>244300</v>
      </c>
      <c r="AA1495" s="170"/>
      <c r="AB1495" s="170"/>
      <c r="AC1495" s="170"/>
      <c r="AD1495" s="170"/>
      <c r="AE1495" s="15" t="s">
        <v>54</v>
      </c>
      <c r="AF1495" s="177">
        <v>244301</v>
      </c>
      <c r="AG1495" s="177" t="str">
        <f t="shared" si="173"/>
        <v>Pass</v>
      </c>
      <c r="AH1495" s="177">
        <f t="shared" si="174"/>
        <v>244301</v>
      </c>
      <c r="AK1495" s="176"/>
      <c r="AL1495" s="176"/>
    </row>
    <row r="1496" spans="1:38" ht="36" customHeight="1" x14ac:dyDescent="0.2">
      <c r="A1496" s="14" t="s">
        <v>27</v>
      </c>
      <c r="B1496" s="212">
        <v>244292</v>
      </c>
      <c r="C1496" s="14" t="s">
        <v>547</v>
      </c>
      <c r="D1496" s="14" t="s">
        <v>268</v>
      </c>
      <c r="E1496" s="14" t="s">
        <v>14</v>
      </c>
      <c r="F1496" s="14" t="s">
        <v>324</v>
      </c>
      <c r="G1496" s="179">
        <v>681495</v>
      </c>
      <c r="H1496" s="176" t="s">
        <v>1026</v>
      </c>
      <c r="I1496" s="176" t="s">
        <v>908</v>
      </c>
      <c r="J1496" s="176" t="s">
        <v>123</v>
      </c>
      <c r="K1496" s="176" t="s">
        <v>4356</v>
      </c>
      <c r="L1496" s="40" t="s">
        <v>46</v>
      </c>
      <c r="M1496" s="40" t="s">
        <v>341</v>
      </c>
      <c r="N1496" s="14" t="s">
        <v>4363</v>
      </c>
      <c r="O1496" s="14" t="s">
        <v>548</v>
      </c>
      <c r="P1496" s="14" t="s">
        <v>518</v>
      </c>
      <c r="Q1496" s="14" t="s">
        <v>549</v>
      </c>
      <c r="R1496" s="17">
        <v>245</v>
      </c>
      <c r="S1496" s="172" t="s">
        <v>51</v>
      </c>
      <c r="T1496" s="17">
        <v>3205</v>
      </c>
      <c r="U1496" s="14" t="s">
        <v>51</v>
      </c>
      <c r="V1496" s="16">
        <f t="shared" si="175"/>
        <v>244292</v>
      </c>
      <c r="W1496" s="16">
        <f t="shared" si="176"/>
        <v>244299</v>
      </c>
      <c r="X1496" s="16">
        <f t="shared" si="177"/>
        <v>244294</v>
      </c>
      <c r="Y1496" s="15" t="s">
        <v>54</v>
      </c>
      <c r="Z1496" s="177">
        <v>244300</v>
      </c>
      <c r="AA1496" s="170"/>
      <c r="AB1496" s="170"/>
      <c r="AC1496" s="170"/>
      <c r="AD1496" s="170"/>
      <c r="AE1496" s="15" t="s">
        <v>54</v>
      </c>
      <c r="AF1496" s="177">
        <v>244301</v>
      </c>
      <c r="AG1496" s="177" t="str">
        <f t="shared" si="173"/>
        <v>Pass</v>
      </c>
      <c r="AH1496" s="177">
        <f t="shared" si="174"/>
        <v>244301</v>
      </c>
      <c r="AK1496" s="176"/>
      <c r="AL1496" s="176"/>
    </row>
    <row r="1497" spans="1:38" ht="36" customHeight="1" x14ac:dyDescent="0.2">
      <c r="A1497" s="14" t="s">
        <v>27</v>
      </c>
      <c r="B1497" s="212">
        <v>244293</v>
      </c>
      <c r="C1497" s="14" t="s">
        <v>547</v>
      </c>
      <c r="D1497" s="14" t="s">
        <v>268</v>
      </c>
      <c r="E1497" s="14" t="s">
        <v>14</v>
      </c>
      <c r="F1497" s="14" t="s">
        <v>324</v>
      </c>
      <c r="G1497" s="179">
        <v>681496</v>
      </c>
      <c r="H1497" s="176" t="s">
        <v>3953</v>
      </c>
      <c r="I1497" s="176" t="s">
        <v>802</v>
      </c>
      <c r="J1497" s="176" t="s">
        <v>131</v>
      </c>
      <c r="K1497" s="176" t="s">
        <v>4368</v>
      </c>
      <c r="L1497" s="40" t="s">
        <v>45</v>
      </c>
      <c r="M1497" s="40" t="s">
        <v>341</v>
      </c>
      <c r="N1497" s="14" t="s">
        <v>1516</v>
      </c>
      <c r="O1497" s="14" t="s">
        <v>528</v>
      </c>
      <c r="P1497" s="14" t="s">
        <v>860</v>
      </c>
      <c r="Q1497" s="14" t="s">
        <v>541</v>
      </c>
      <c r="R1497" s="17">
        <v>450</v>
      </c>
      <c r="S1497" s="172" t="s">
        <v>51</v>
      </c>
      <c r="T1497" s="17">
        <v>1930</v>
      </c>
      <c r="U1497" s="14" t="s">
        <v>51</v>
      </c>
      <c r="V1497" s="16">
        <f t="shared" si="175"/>
        <v>244293</v>
      </c>
      <c r="W1497" s="16">
        <f t="shared" si="176"/>
        <v>244300</v>
      </c>
      <c r="X1497" s="16">
        <f t="shared" si="177"/>
        <v>244295</v>
      </c>
      <c r="Y1497" s="15" t="s">
        <v>54</v>
      </c>
      <c r="Z1497" s="177">
        <v>244300</v>
      </c>
      <c r="AA1497" s="170"/>
      <c r="AB1497" s="170"/>
      <c r="AC1497" s="170"/>
      <c r="AD1497" s="170"/>
      <c r="AE1497" s="15" t="s">
        <v>54</v>
      </c>
      <c r="AF1497" s="177">
        <v>244301</v>
      </c>
      <c r="AG1497" s="177" t="str">
        <f t="shared" si="173"/>
        <v>Pass</v>
      </c>
      <c r="AH1497" s="177">
        <f t="shared" si="174"/>
        <v>244301</v>
      </c>
      <c r="AK1497" s="176"/>
      <c r="AL1497" s="176"/>
    </row>
    <row r="1498" spans="1:38" ht="36" customHeight="1" x14ac:dyDescent="0.2">
      <c r="A1498" s="14" t="s">
        <v>27</v>
      </c>
      <c r="B1498" s="212">
        <v>244293</v>
      </c>
      <c r="C1498" s="14" t="s">
        <v>547</v>
      </c>
      <c r="D1498" s="14" t="s">
        <v>268</v>
      </c>
      <c r="E1498" s="14" t="s">
        <v>14</v>
      </c>
      <c r="F1498" s="14" t="s">
        <v>324</v>
      </c>
      <c r="G1498" s="179">
        <v>681497</v>
      </c>
      <c r="H1498" s="176" t="s">
        <v>3078</v>
      </c>
      <c r="I1498" s="176" t="s">
        <v>1874</v>
      </c>
      <c r="J1498" s="176" t="s">
        <v>127</v>
      </c>
      <c r="K1498" s="176" t="s">
        <v>4367</v>
      </c>
      <c r="L1498" s="40" t="s">
        <v>108</v>
      </c>
      <c r="M1498" s="40" t="s">
        <v>341</v>
      </c>
      <c r="N1498" s="14" t="s">
        <v>3253</v>
      </c>
      <c r="O1498" s="14" t="s">
        <v>548</v>
      </c>
      <c r="P1498" s="14" t="s">
        <v>518</v>
      </c>
      <c r="Q1498" s="14" t="s">
        <v>549</v>
      </c>
      <c r="R1498" s="17">
        <v>100</v>
      </c>
      <c r="S1498" s="172" t="s">
        <v>51</v>
      </c>
      <c r="T1498" s="17">
        <v>420</v>
      </c>
      <c r="U1498" s="14" t="s">
        <v>51</v>
      </c>
      <c r="V1498" s="16">
        <f t="shared" si="175"/>
        <v>244293</v>
      </c>
      <c r="W1498" s="16">
        <f t="shared" si="176"/>
        <v>244300</v>
      </c>
      <c r="X1498" s="16">
        <f t="shared" si="177"/>
        <v>244295</v>
      </c>
      <c r="Y1498" s="15" t="s">
        <v>54</v>
      </c>
      <c r="Z1498" s="177">
        <v>244300</v>
      </c>
      <c r="AA1498" s="170"/>
      <c r="AB1498" s="170"/>
      <c r="AC1498" s="170"/>
      <c r="AD1498" s="170"/>
      <c r="AE1498" s="15" t="s">
        <v>54</v>
      </c>
      <c r="AF1498" s="177">
        <v>244301</v>
      </c>
      <c r="AG1498" s="177" t="str">
        <f t="shared" si="173"/>
        <v>Pass</v>
      </c>
      <c r="AH1498" s="177">
        <f t="shared" si="174"/>
        <v>244301</v>
      </c>
      <c r="AK1498" s="176"/>
      <c r="AL1498" s="176"/>
    </row>
    <row r="1499" spans="1:38" ht="36" customHeight="1" x14ac:dyDescent="0.2">
      <c r="A1499" s="14" t="s">
        <v>27</v>
      </c>
      <c r="B1499" s="212">
        <v>244294</v>
      </c>
      <c r="C1499" s="14" t="s">
        <v>547</v>
      </c>
      <c r="D1499" s="14" t="s">
        <v>268</v>
      </c>
      <c r="E1499" s="14" t="s">
        <v>14</v>
      </c>
      <c r="F1499" s="14" t="s">
        <v>324</v>
      </c>
      <c r="G1499" s="179">
        <v>681498</v>
      </c>
      <c r="H1499" s="176" t="s">
        <v>1223</v>
      </c>
      <c r="I1499" s="176" t="s">
        <v>864</v>
      </c>
      <c r="J1499" s="176" t="s">
        <v>131</v>
      </c>
      <c r="K1499" s="176" t="s">
        <v>4372</v>
      </c>
      <c r="L1499" s="40" t="s">
        <v>45</v>
      </c>
      <c r="M1499" s="40" t="s">
        <v>341</v>
      </c>
      <c r="N1499" s="14" t="s">
        <v>4378</v>
      </c>
      <c r="O1499" s="14" t="s">
        <v>528</v>
      </c>
      <c r="P1499" s="14" t="s">
        <v>517</v>
      </c>
      <c r="Q1499" s="14" t="s">
        <v>541</v>
      </c>
      <c r="R1499" s="17">
        <v>800</v>
      </c>
      <c r="S1499" s="172" t="s">
        <v>51</v>
      </c>
      <c r="T1499" s="17">
        <v>1930</v>
      </c>
      <c r="U1499" s="14" t="s">
        <v>51</v>
      </c>
      <c r="V1499" s="16">
        <f t="shared" si="175"/>
        <v>244294</v>
      </c>
      <c r="W1499" s="16">
        <f t="shared" si="176"/>
        <v>244301</v>
      </c>
      <c r="X1499" s="16">
        <f t="shared" si="177"/>
        <v>244296</v>
      </c>
      <c r="Y1499" s="15" t="s">
        <v>54</v>
      </c>
      <c r="Z1499" s="177">
        <v>244306</v>
      </c>
      <c r="AA1499" s="170"/>
      <c r="AB1499" s="170"/>
      <c r="AC1499" s="170"/>
      <c r="AD1499" s="170"/>
      <c r="AE1499" s="15" t="s">
        <v>54</v>
      </c>
      <c r="AF1499" s="177">
        <v>244309</v>
      </c>
      <c r="AG1499" s="177" t="str">
        <f t="shared" si="173"/>
        <v>Pass</v>
      </c>
      <c r="AH1499" s="177">
        <f t="shared" si="174"/>
        <v>244309</v>
      </c>
      <c r="AK1499" s="176"/>
      <c r="AL1499" s="176"/>
    </row>
    <row r="1500" spans="1:38" ht="36" customHeight="1" x14ac:dyDescent="0.2">
      <c r="A1500" s="14" t="s">
        <v>27</v>
      </c>
      <c r="B1500" s="212">
        <v>244294</v>
      </c>
      <c r="C1500" s="14" t="s">
        <v>547</v>
      </c>
      <c r="D1500" s="14" t="s">
        <v>268</v>
      </c>
      <c r="E1500" s="14" t="s">
        <v>14</v>
      </c>
      <c r="F1500" s="14" t="s">
        <v>324</v>
      </c>
      <c r="G1500" s="179">
        <v>681499</v>
      </c>
      <c r="H1500" s="176" t="s">
        <v>720</v>
      </c>
      <c r="I1500" s="176" t="s">
        <v>4371</v>
      </c>
      <c r="J1500" s="176" t="s">
        <v>707</v>
      </c>
      <c r="K1500" s="176" t="s">
        <v>4373</v>
      </c>
      <c r="L1500" s="40" t="s">
        <v>108</v>
      </c>
      <c r="M1500" s="40" t="s">
        <v>341</v>
      </c>
      <c r="N1500" s="14" t="s">
        <v>4379</v>
      </c>
      <c r="O1500" s="14" t="s">
        <v>543</v>
      </c>
      <c r="P1500" s="14" t="s">
        <v>517</v>
      </c>
      <c r="Q1500" s="14" t="s">
        <v>529</v>
      </c>
      <c r="R1500" s="17">
        <v>3000</v>
      </c>
      <c r="S1500" s="172" t="s">
        <v>51</v>
      </c>
      <c r="T1500" s="17">
        <v>3560</v>
      </c>
      <c r="U1500" s="14" t="s">
        <v>51</v>
      </c>
      <c r="V1500" s="16">
        <f t="shared" si="175"/>
        <v>244294</v>
      </c>
      <c r="W1500" s="16">
        <f t="shared" si="176"/>
        <v>244301</v>
      </c>
      <c r="X1500" s="16">
        <f t="shared" si="177"/>
        <v>244296</v>
      </c>
      <c r="Y1500" s="15" t="s">
        <v>54</v>
      </c>
      <c r="Z1500" s="177">
        <v>244306</v>
      </c>
      <c r="AA1500" s="170"/>
      <c r="AB1500" s="170"/>
      <c r="AC1500" s="170"/>
      <c r="AD1500" s="170"/>
      <c r="AE1500" s="15" t="s">
        <v>54</v>
      </c>
      <c r="AF1500" s="177">
        <v>244309</v>
      </c>
      <c r="AG1500" s="177" t="str">
        <f t="shared" si="173"/>
        <v>Pass</v>
      </c>
      <c r="AH1500" s="177">
        <f t="shared" si="174"/>
        <v>244309</v>
      </c>
      <c r="AK1500" s="176"/>
      <c r="AL1500" s="176"/>
    </row>
    <row r="1501" spans="1:38" ht="36" customHeight="1" x14ac:dyDescent="0.2">
      <c r="A1501" s="14" t="s">
        <v>27</v>
      </c>
      <c r="B1501" s="212">
        <v>244294</v>
      </c>
      <c r="C1501" s="14" t="s">
        <v>547</v>
      </c>
      <c r="D1501" s="14" t="s">
        <v>268</v>
      </c>
      <c r="E1501" s="14" t="s">
        <v>14</v>
      </c>
      <c r="F1501" s="14" t="s">
        <v>324</v>
      </c>
      <c r="G1501" s="179">
        <v>681500</v>
      </c>
      <c r="H1501" s="176" t="s">
        <v>1223</v>
      </c>
      <c r="I1501" s="176" t="s">
        <v>864</v>
      </c>
      <c r="J1501" s="176" t="s">
        <v>131</v>
      </c>
      <c r="K1501" s="176" t="s">
        <v>4372</v>
      </c>
      <c r="L1501" s="40" t="s">
        <v>45</v>
      </c>
      <c r="M1501" s="40" t="s">
        <v>341</v>
      </c>
      <c r="N1501" s="14" t="s">
        <v>4380</v>
      </c>
      <c r="O1501" s="14" t="s">
        <v>548</v>
      </c>
      <c r="P1501" s="14" t="s">
        <v>518</v>
      </c>
      <c r="Q1501" s="14" t="s">
        <v>549</v>
      </c>
      <c r="R1501" s="17">
        <v>623</v>
      </c>
      <c r="S1501" s="172" t="s">
        <v>51</v>
      </c>
      <c r="T1501" s="17">
        <v>1900</v>
      </c>
      <c r="U1501" s="14" t="s">
        <v>51</v>
      </c>
      <c r="V1501" s="16">
        <f t="shared" si="175"/>
        <v>244294</v>
      </c>
      <c r="W1501" s="16">
        <f t="shared" si="176"/>
        <v>244301</v>
      </c>
      <c r="X1501" s="16">
        <f t="shared" si="177"/>
        <v>244296</v>
      </c>
      <c r="Y1501" s="15" t="s">
        <v>54</v>
      </c>
      <c r="Z1501" s="177">
        <v>244306</v>
      </c>
      <c r="AA1501" s="170"/>
      <c r="AB1501" s="170"/>
      <c r="AC1501" s="170"/>
      <c r="AD1501" s="170"/>
      <c r="AE1501" s="15" t="s">
        <v>54</v>
      </c>
      <c r="AF1501" s="177">
        <v>244309</v>
      </c>
      <c r="AG1501" s="177" t="str">
        <f t="shared" ref="AG1501" si="178">AE1501</f>
        <v>Pass</v>
      </c>
      <c r="AH1501" s="177">
        <f t="shared" ref="AH1501" si="179">AF1501</f>
        <v>244309</v>
      </c>
      <c r="AK1501" s="176"/>
      <c r="AL1501" s="176"/>
    </row>
    <row r="1502" spans="1:38" ht="36" customHeight="1" x14ac:dyDescent="0.2">
      <c r="A1502" s="14" t="s">
        <v>27</v>
      </c>
      <c r="B1502" s="212">
        <v>244294</v>
      </c>
      <c r="C1502" s="14" t="s">
        <v>547</v>
      </c>
      <c r="D1502" s="14" t="s">
        <v>268</v>
      </c>
      <c r="E1502" s="14" t="s">
        <v>14</v>
      </c>
      <c r="F1502" s="14" t="s">
        <v>324</v>
      </c>
      <c r="G1502" s="179">
        <v>681501</v>
      </c>
      <c r="H1502" s="176" t="s">
        <v>4369</v>
      </c>
      <c r="I1502" s="176" t="s">
        <v>551</v>
      </c>
      <c r="J1502" s="176" t="s">
        <v>832</v>
      </c>
      <c r="K1502" s="176" t="s">
        <v>4374</v>
      </c>
      <c r="L1502" s="40" t="s">
        <v>108</v>
      </c>
      <c r="M1502" s="40" t="s">
        <v>341</v>
      </c>
      <c r="N1502" s="14" t="s">
        <v>4381</v>
      </c>
      <c r="O1502" s="14" t="s">
        <v>552</v>
      </c>
      <c r="P1502" s="14" t="s">
        <v>1660</v>
      </c>
      <c r="Q1502" s="14" t="s">
        <v>553</v>
      </c>
      <c r="R1502" s="17">
        <v>700</v>
      </c>
      <c r="S1502" s="172" t="s">
        <v>51</v>
      </c>
      <c r="T1502" s="17">
        <v>2480</v>
      </c>
      <c r="U1502" s="14" t="s">
        <v>51</v>
      </c>
      <c r="V1502" s="16">
        <f t="shared" ref="V1502:V1565" si="180">B1502</f>
        <v>244294</v>
      </c>
      <c r="W1502" s="16">
        <f t="shared" ref="W1502:W1565" si="181">B1502+7</f>
        <v>244301</v>
      </c>
      <c r="X1502" s="16">
        <f t="shared" ref="X1502:X1565" si="182">V1502+2</f>
        <v>244296</v>
      </c>
      <c r="Y1502" s="15" t="s">
        <v>54</v>
      </c>
      <c r="Z1502" s="177">
        <v>244306</v>
      </c>
      <c r="AA1502" s="170"/>
      <c r="AB1502" s="170"/>
      <c r="AC1502" s="170"/>
      <c r="AD1502" s="170"/>
      <c r="AE1502" s="15" t="s">
        <v>54</v>
      </c>
      <c r="AF1502" s="177">
        <v>244309</v>
      </c>
      <c r="AG1502" s="177" t="str">
        <f t="shared" ref="AG1502:AG1565" si="183">AE1502</f>
        <v>Pass</v>
      </c>
      <c r="AH1502" s="177">
        <f t="shared" ref="AH1502:AH1565" si="184">AF1502</f>
        <v>244309</v>
      </c>
      <c r="AK1502" s="176"/>
      <c r="AL1502" s="176"/>
    </row>
    <row r="1503" spans="1:38" ht="36" customHeight="1" x14ac:dyDescent="0.2">
      <c r="A1503" s="14" t="s">
        <v>27</v>
      </c>
      <c r="B1503" s="212">
        <v>244294</v>
      </c>
      <c r="C1503" s="14" t="s">
        <v>547</v>
      </c>
      <c r="D1503" s="14" t="s">
        <v>268</v>
      </c>
      <c r="E1503" s="14" t="s">
        <v>14</v>
      </c>
      <c r="F1503" s="14" t="s">
        <v>324</v>
      </c>
      <c r="G1503" s="179">
        <v>681502</v>
      </c>
      <c r="H1503" s="176" t="s">
        <v>799</v>
      </c>
      <c r="I1503" s="176" t="s">
        <v>802</v>
      </c>
      <c r="J1503" s="176" t="s">
        <v>128</v>
      </c>
      <c r="K1503" s="176" t="s">
        <v>4375</v>
      </c>
      <c r="L1503" s="40" t="s">
        <v>46</v>
      </c>
      <c r="M1503" s="40" t="s">
        <v>341</v>
      </c>
      <c r="N1503" s="14" t="s">
        <v>4382</v>
      </c>
      <c r="O1503" s="14" t="s">
        <v>548</v>
      </c>
      <c r="P1503" s="14" t="s">
        <v>518</v>
      </c>
      <c r="Q1503" s="14" t="s">
        <v>549</v>
      </c>
      <c r="R1503" s="17">
        <v>133</v>
      </c>
      <c r="S1503" s="172" t="s">
        <v>51</v>
      </c>
      <c r="T1503" s="17">
        <v>820</v>
      </c>
      <c r="U1503" s="14" t="s">
        <v>51</v>
      </c>
      <c r="V1503" s="16">
        <f t="shared" si="180"/>
        <v>244294</v>
      </c>
      <c r="W1503" s="16">
        <f t="shared" si="181"/>
        <v>244301</v>
      </c>
      <c r="X1503" s="16">
        <f t="shared" si="182"/>
        <v>244296</v>
      </c>
      <c r="Y1503" s="15" t="s">
        <v>54</v>
      </c>
      <c r="Z1503" s="177">
        <v>244306</v>
      </c>
      <c r="AA1503" s="170"/>
      <c r="AB1503" s="170"/>
      <c r="AC1503" s="170"/>
      <c r="AD1503" s="170"/>
      <c r="AE1503" s="15" t="s">
        <v>54</v>
      </c>
      <c r="AF1503" s="177">
        <v>244309</v>
      </c>
      <c r="AG1503" s="177" t="str">
        <f t="shared" si="183"/>
        <v>Pass</v>
      </c>
      <c r="AH1503" s="177">
        <f t="shared" si="184"/>
        <v>244309</v>
      </c>
      <c r="AK1503" s="176"/>
      <c r="AL1503" s="176"/>
    </row>
    <row r="1504" spans="1:38" ht="36" customHeight="1" x14ac:dyDescent="0.2">
      <c r="A1504" s="14" t="s">
        <v>27</v>
      </c>
      <c r="B1504" s="212">
        <v>244294</v>
      </c>
      <c r="C1504" s="14" t="s">
        <v>547</v>
      </c>
      <c r="D1504" s="14" t="s">
        <v>268</v>
      </c>
      <c r="E1504" s="14" t="s">
        <v>14</v>
      </c>
      <c r="F1504" s="14" t="s">
        <v>324</v>
      </c>
      <c r="G1504" s="179">
        <v>681503</v>
      </c>
      <c r="H1504" s="176" t="s">
        <v>799</v>
      </c>
      <c r="I1504" s="176" t="s">
        <v>802</v>
      </c>
      <c r="J1504" s="176" t="s">
        <v>128</v>
      </c>
      <c r="K1504" s="176" t="s">
        <v>4375</v>
      </c>
      <c r="L1504" s="40" t="s">
        <v>46</v>
      </c>
      <c r="M1504" s="40" t="s">
        <v>341</v>
      </c>
      <c r="N1504" s="14" t="s">
        <v>4383</v>
      </c>
      <c r="O1504" s="14" t="s">
        <v>552</v>
      </c>
      <c r="P1504" s="14" t="s">
        <v>2811</v>
      </c>
      <c r="Q1504" s="14" t="s">
        <v>553</v>
      </c>
      <c r="R1504" s="17">
        <v>1000</v>
      </c>
      <c r="S1504" s="172" t="s">
        <v>51</v>
      </c>
      <c r="T1504" s="17">
        <v>1475</v>
      </c>
      <c r="U1504" s="14" t="s">
        <v>51</v>
      </c>
      <c r="V1504" s="16">
        <f t="shared" si="180"/>
        <v>244294</v>
      </c>
      <c r="W1504" s="16">
        <f t="shared" si="181"/>
        <v>244301</v>
      </c>
      <c r="X1504" s="16">
        <f t="shared" si="182"/>
        <v>244296</v>
      </c>
      <c r="Y1504" s="15" t="s">
        <v>54</v>
      </c>
      <c r="Z1504" s="177">
        <v>244306</v>
      </c>
      <c r="AA1504" s="170"/>
      <c r="AB1504" s="170"/>
      <c r="AC1504" s="170"/>
      <c r="AD1504" s="170"/>
      <c r="AE1504" s="15" t="s">
        <v>54</v>
      </c>
      <c r="AF1504" s="177">
        <v>244309</v>
      </c>
      <c r="AG1504" s="177" t="str">
        <f t="shared" si="183"/>
        <v>Pass</v>
      </c>
      <c r="AH1504" s="177">
        <f t="shared" si="184"/>
        <v>244309</v>
      </c>
      <c r="AK1504" s="176"/>
      <c r="AL1504" s="176"/>
    </row>
    <row r="1505" spans="1:38" ht="36" customHeight="1" x14ac:dyDescent="0.2">
      <c r="A1505" s="14" t="s">
        <v>27</v>
      </c>
      <c r="B1505" s="212">
        <v>244294</v>
      </c>
      <c r="C1505" s="14" t="s">
        <v>547</v>
      </c>
      <c r="D1505" s="14" t="s">
        <v>268</v>
      </c>
      <c r="E1505" s="14" t="s">
        <v>14</v>
      </c>
      <c r="F1505" s="14" t="s">
        <v>324</v>
      </c>
      <c r="G1505" s="179">
        <v>681504</v>
      </c>
      <c r="H1505" s="176" t="s">
        <v>3126</v>
      </c>
      <c r="I1505" s="176" t="s">
        <v>551</v>
      </c>
      <c r="J1505" s="176" t="s">
        <v>832</v>
      </c>
      <c r="K1505" s="176" t="s">
        <v>4376</v>
      </c>
      <c r="L1505" s="40" t="s">
        <v>108</v>
      </c>
      <c r="M1505" s="40" t="s">
        <v>341</v>
      </c>
      <c r="N1505" s="14" t="s">
        <v>4384</v>
      </c>
      <c r="O1505" s="14" t="s">
        <v>4386</v>
      </c>
      <c r="P1505" s="14" t="s">
        <v>4387</v>
      </c>
      <c r="Q1505" s="14" t="s">
        <v>4389</v>
      </c>
      <c r="R1505" s="17">
        <v>1550</v>
      </c>
      <c r="S1505" s="172" t="s">
        <v>51</v>
      </c>
      <c r="T1505" s="17">
        <v>1610</v>
      </c>
      <c r="U1505" s="14" t="s">
        <v>51</v>
      </c>
      <c r="V1505" s="16">
        <f t="shared" si="180"/>
        <v>244294</v>
      </c>
      <c r="W1505" s="16">
        <f t="shared" si="181"/>
        <v>244301</v>
      </c>
      <c r="X1505" s="16">
        <f t="shared" si="182"/>
        <v>244296</v>
      </c>
      <c r="Y1505" s="15" t="s">
        <v>54</v>
      </c>
      <c r="Z1505" s="177">
        <v>244306</v>
      </c>
      <c r="AA1505" s="170"/>
      <c r="AB1505" s="170"/>
      <c r="AC1505" s="170"/>
      <c r="AD1505" s="170"/>
      <c r="AE1505" s="15" t="s">
        <v>54</v>
      </c>
      <c r="AF1505" s="177">
        <v>244309</v>
      </c>
      <c r="AG1505" s="177" t="str">
        <f t="shared" si="183"/>
        <v>Pass</v>
      </c>
      <c r="AH1505" s="177">
        <f t="shared" si="184"/>
        <v>244309</v>
      </c>
      <c r="AK1505" s="176"/>
      <c r="AL1505" s="176"/>
    </row>
    <row r="1506" spans="1:38" ht="36" customHeight="1" x14ac:dyDescent="0.2">
      <c r="A1506" s="14" t="s">
        <v>27</v>
      </c>
      <c r="B1506" s="212">
        <v>244294</v>
      </c>
      <c r="C1506" s="14" t="s">
        <v>547</v>
      </c>
      <c r="D1506" s="14" t="s">
        <v>268</v>
      </c>
      <c r="E1506" s="14" t="s">
        <v>14</v>
      </c>
      <c r="F1506" s="14" t="s">
        <v>324</v>
      </c>
      <c r="G1506" s="179">
        <v>681505</v>
      </c>
      <c r="H1506" s="176" t="s">
        <v>4370</v>
      </c>
      <c r="I1506" s="176" t="s">
        <v>802</v>
      </c>
      <c r="J1506" s="176" t="s">
        <v>143</v>
      </c>
      <c r="K1506" s="176" t="s">
        <v>4377</v>
      </c>
      <c r="L1506" s="40" t="s">
        <v>105</v>
      </c>
      <c r="M1506" s="40" t="s">
        <v>341</v>
      </c>
      <c r="N1506" s="14" t="s">
        <v>4385</v>
      </c>
      <c r="O1506" s="14" t="s">
        <v>756</v>
      </c>
      <c r="P1506" s="14" t="s">
        <v>4388</v>
      </c>
      <c r="Q1506" s="14" t="s">
        <v>758</v>
      </c>
      <c r="R1506" s="17">
        <v>2000</v>
      </c>
      <c r="S1506" s="172" t="s">
        <v>51</v>
      </c>
      <c r="T1506" s="17">
        <v>2160</v>
      </c>
      <c r="U1506" s="14" t="s">
        <v>51</v>
      </c>
      <c r="V1506" s="16">
        <f t="shared" si="180"/>
        <v>244294</v>
      </c>
      <c r="W1506" s="16">
        <f t="shared" si="181"/>
        <v>244301</v>
      </c>
      <c r="X1506" s="16">
        <f t="shared" si="182"/>
        <v>244296</v>
      </c>
      <c r="Y1506" s="15" t="s">
        <v>54</v>
      </c>
      <c r="Z1506" s="177">
        <v>244306</v>
      </c>
      <c r="AA1506" s="170"/>
      <c r="AB1506" s="170"/>
      <c r="AC1506" s="170"/>
      <c r="AD1506" s="170"/>
      <c r="AE1506" s="15" t="s">
        <v>54</v>
      </c>
      <c r="AF1506" s="177">
        <v>244309</v>
      </c>
      <c r="AG1506" s="177" t="str">
        <f t="shared" si="183"/>
        <v>Pass</v>
      </c>
      <c r="AH1506" s="177">
        <f t="shared" si="184"/>
        <v>244309</v>
      </c>
      <c r="AK1506" s="176"/>
      <c r="AL1506" s="176"/>
    </row>
    <row r="1507" spans="1:38" ht="36" customHeight="1" x14ac:dyDescent="0.2">
      <c r="A1507" s="14" t="s">
        <v>27</v>
      </c>
      <c r="B1507" s="212">
        <v>244294</v>
      </c>
      <c r="C1507" s="14" t="s">
        <v>547</v>
      </c>
      <c r="D1507" s="14" t="s">
        <v>268</v>
      </c>
      <c r="E1507" s="14" t="s">
        <v>14</v>
      </c>
      <c r="F1507" s="14" t="s">
        <v>324</v>
      </c>
      <c r="G1507" s="179">
        <v>681506</v>
      </c>
      <c r="H1507" s="176" t="s">
        <v>4370</v>
      </c>
      <c r="I1507" s="176" t="s">
        <v>802</v>
      </c>
      <c r="J1507" s="176" t="s">
        <v>143</v>
      </c>
      <c r="K1507" s="176" t="s">
        <v>4377</v>
      </c>
      <c r="L1507" s="40" t="s">
        <v>105</v>
      </c>
      <c r="M1507" s="40" t="s">
        <v>341</v>
      </c>
      <c r="N1507" s="14" t="s">
        <v>840</v>
      </c>
      <c r="O1507" s="14" t="s">
        <v>548</v>
      </c>
      <c r="P1507" s="14" t="s">
        <v>518</v>
      </c>
      <c r="Q1507" s="14" t="s">
        <v>549</v>
      </c>
      <c r="R1507" s="17">
        <v>250</v>
      </c>
      <c r="S1507" s="172" t="s">
        <v>51</v>
      </c>
      <c r="T1507" s="17">
        <v>2160</v>
      </c>
      <c r="U1507" s="14" t="s">
        <v>51</v>
      </c>
      <c r="V1507" s="16">
        <f t="shared" si="180"/>
        <v>244294</v>
      </c>
      <c r="W1507" s="16">
        <f t="shared" si="181"/>
        <v>244301</v>
      </c>
      <c r="X1507" s="16">
        <f t="shared" si="182"/>
        <v>244296</v>
      </c>
      <c r="Y1507" s="15" t="s">
        <v>54</v>
      </c>
      <c r="Z1507" s="177">
        <v>244306</v>
      </c>
      <c r="AA1507" s="170"/>
      <c r="AB1507" s="170"/>
      <c r="AC1507" s="170"/>
      <c r="AD1507" s="170"/>
      <c r="AE1507" s="15" t="s">
        <v>54</v>
      </c>
      <c r="AF1507" s="177">
        <v>244309</v>
      </c>
      <c r="AG1507" s="177" t="str">
        <f t="shared" si="183"/>
        <v>Pass</v>
      </c>
      <c r="AH1507" s="177">
        <f t="shared" si="184"/>
        <v>244309</v>
      </c>
      <c r="AK1507" s="176"/>
      <c r="AL1507" s="176"/>
    </row>
    <row r="1508" spans="1:38" ht="36" customHeight="1" x14ac:dyDescent="0.2">
      <c r="A1508" s="14" t="s">
        <v>27</v>
      </c>
      <c r="B1508" s="212">
        <v>244294</v>
      </c>
      <c r="C1508" s="14" t="s">
        <v>547</v>
      </c>
      <c r="D1508" s="14" t="s">
        <v>268</v>
      </c>
      <c r="E1508" s="14" t="s">
        <v>14</v>
      </c>
      <c r="F1508" s="14" t="s">
        <v>324</v>
      </c>
      <c r="G1508" s="179">
        <v>681507</v>
      </c>
      <c r="H1508" s="176" t="s">
        <v>277</v>
      </c>
      <c r="I1508" s="176" t="s">
        <v>1874</v>
      </c>
      <c r="J1508" s="176" t="s">
        <v>127</v>
      </c>
      <c r="K1508" s="176" t="s">
        <v>4391</v>
      </c>
      <c r="L1508" s="40" t="s">
        <v>108</v>
      </c>
      <c r="M1508" s="40" t="s">
        <v>341</v>
      </c>
      <c r="N1508" s="14" t="s">
        <v>4392</v>
      </c>
      <c r="O1508" s="14" t="s">
        <v>4393</v>
      </c>
      <c r="P1508" s="14" t="s">
        <v>4394</v>
      </c>
      <c r="Q1508" s="14" t="s">
        <v>4395</v>
      </c>
      <c r="R1508" s="17">
        <v>3000</v>
      </c>
      <c r="S1508" s="172" t="s">
        <v>51</v>
      </c>
      <c r="T1508" s="17">
        <v>3140</v>
      </c>
      <c r="U1508" s="14" t="s">
        <v>51</v>
      </c>
      <c r="V1508" s="16">
        <f t="shared" si="180"/>
        <v>244294</v>
      </c>
      <c r="W1508" s="16">
        <f t="shared" si="181"/>
        <v>244301</v>
      </c>
      <c r="X1508" s="16">
        <f t="shared" si="182"/>
        <v>244296</v>
      </c>
      <c r="Y1508" s="15" t="s">
        <v>54</v>
      </c>
      <c r="Z1508" s="177">
        <v>244306</v>
      </c>
      <c r="AA1508" s="170"/>
      <c r="AB1508" s="170"/>
      <c r="AC1508" s="170"/>
      <c r="AD1508" s="170"/>
      <c r="AE1508" s="15" t="s">
        <v>54</v>
      </c>
      <c r="AF1508" s="177">
        <v>244309</v>
      </c>
      <c r="AG1508" s="177" t="str">
        <f t="shared" si="183"/>
        <v>Pass</v>
      </c>
      <c r="AH1508" s="177">
        <f t="shared" si="184"/>
        <v>244309</v>
      </c>
      <c r="AK1508" s="176"/>
      <c r="AL1508" s="176"/>
    </row>
    <row r="1509" spans="1:38" ht="36" customHeight="1" x14ac:dyDescent="0.2">
      <c r="A1509" s="14" t="s">
        <v>27</v>
      </c>
      <c r="B1509" s="212">
        <v>244294</v>
      </c>
      <c r="C1509" s="14" t="s">
        <v>547</v>
      </c>
      <c r="D1509" s="14" t="s">
        <v>268</v>
      </c>
      <c r="E1509" s="14" t="s">
        <v>14</v>
      </c>
      <c r="F1509" s="14" t="s">
        <v>324</v>
      </c>
      <c r="G1509" s="179">
        <v>681508</v>
      </c>
      <c r="H1509" s="176" t="s">
        <v>1054</v>
      </c>
      <c r="I1509" s="176" t="s">
        <v>551</v>
      </c>
      <c r="J1509" s="176" t="s">
        <v>832</v>
      </c>
      <c r="K1509" s="176" t="s">
        <v>4390</v>
      </c>
      <c r="L1509" s="40" t="s">
        <v>108</v>
      </c>
      <c r="M1509" s="40" t="s">
        <v>341</v>
      </c>
      <c r="N1509" s="14" t="s">
        <v>3478</v>
      </c>
      <c r="O1509" s="14" t="s">
        <v>552</v>
      </c>
      <c r="P1509" s="14" t="s">
        <v>1489</v>
      </c>
      <c r="Q1509" s="14" t="s">
        <v>553</v>
      </c>
      <c r="R1509" s="17">
        <v>100</v>
      </c>
      <c r="S1509" s="172" t="s">
        <v>51</v>
      </c>
      <c r="T1509" s="17">
        <v>2860</v>
      </c>
      <c r="U1509" s="14" t="s">
        <v>51</v>
      </c>
      <c r="V1509" s="16">
        <f t="shared" si="180"/>
        <v>244294</v>
      </c>
      <c r="W1509" s="16">
        <f t="shared" si="181"/>
        <v>244301</v>
      </c>
      <c r="X1509" s="16">
        <f t="shared" si="182"/>
        <v>244296</v>
      </c>
      <c r="Y1509" s="15" t="s">
        <v>54</v>
      </c>
      <c r="Z1509" s="177">
        <v>244306</v>
      </c>
      <c r="AA1509" s="170"/>
      <c r="AB1509" s="170"/>
      <c r="AC1509" s="170"/>
      <c r="AD1509" s="170"/>
      <c r="AE1509" s="15" t="s">
        <v>54</v>
      </c>
      <c r="AF1509" s="177">
        <v>244309</v>
      </c>
      <c r="AG1509" s="177" t="str">
        <f t="shared" si="183"/>
        <v>Pass</v>
      </c>
      <c r="AH1509" s="177">
        <f t="shared" si="184"/>
        <v>244309</v>
      </c>
      <c r="AK1509" s="176"/>
      <c r="AL1509" s="176"/>
    </row>
    <row r="1510" spans="1:38" ht="36" customHeight="1" x14ac:dyDescent="0.2">
      <c r="A1510" s="14" t="s">
        <v>27</v>
      </c>
      <c r="B1510" s="212">
        <v>244295</v>
      </c>
      <c r="C1510" s="14" t="s">
        <v>547</v>
      </c>
      <c r="D1510" s="14" t="s">
        <v>268</v>
      </c>
      <c r="E1510" s="14" t="s">
        <v>14</v>
      </c>
      <c r="F1510" s="14" t="s">
        <v>324</v>
      </c>
      <c r="G1510" s="179">
        <v>681509</v>
      </c>
      <c r="H1510" s="176" t="s">
        <v>277</v>
      </c>
      <c r="I1510" s="176" t="s">
        <v>1874</v>
      </c>
      <c r="J1510" s="176" t="s">
        <v>127</v>
      </c>
      <c r="K1510" s="176" t="s">
        <v>4391</v>
      </c>
      <c r="L1510" s="40" t="s">
        <v>108</v>
      </c>
      <c r="M1510" s="40" t="s">
        <v>341</v>
      </c>
      <c r="N1510" s="14" t="s">
        <v>3398</v>
      </c>
      <c r="O1510" s="14" t="s">
        <v>548</v>
      </c>
      <c r="P1510" s="14" t="s">
        <v>518</v>
      </c>
      <c r="Q1510" s="14" t="s">
        <v>549</v>
      </c>
      <c r="R1510" s="17">
        <v>258</v>
      </c>
      <c r="S1510" s="172" t="s">
        <v>51</v>
      </c>
      <c r="T1510" s="17">
        <v>2260</v>
      </c>
      <c r="U1510" s="14" t="s">
        <v>51</v>
      </c>
      <c r="V1510" s="16">
        <f t="shared" si="180"/>
        <v>244295</v>
      </c>
      <c r="W1510" s="16">
        <f t="shared" si="181"/>
        <v>244302</v>
      </c>
      <c r="X1510" s="16">
        <f t="shared" si="182"/>
        <v>244297</v>
      </c>
      <c r="Y1510" s="15" t="s">
        <v>54</v>
      </c>
      <c r="Z1510" s="177">
        <v>244314</v>
      </c>
      <c r="AA1510" s="170"/>
      <c r="AB1510" s="170"/>
      <c r="AC1510" s="170"/>
      <c r="AD1510" s="170"/>
      <c r="AE1510" s="15" t="s">
        <v>54</v>
      </c>
      <c r="AF1510" s="177">
        <v>244315</v>
      </c>
      <c r="AG1510" s="177" t="str">
        <f t="shared" si="183"/>
        <v>Pass</v>
      </c>
      <c r="AH1510" s="177">
        <f t="shared" si="184"/>
        <v>244315</v>
      </c>
      <c r="AK1510" s="176"/>
      <c r="AL1510" s="176"/>
    </row>
    <row r="1511" spans="1:38" ht="36" customHeight="1" x14ac:dyDescent="0.2">
      <c r="A1511" s="14" t="s">
        <v>27</v>
      </c>
      <c r="B1511" s="212">
        <v>244295</v>
      </c>
      <c r="C1511" s="14" t="s">
        <v>547</v>
      </c>
      <c r="D1511" s="14" t="s">
        <v>268</v>
      </c>
      <c r="E1511" s="14" t="s">
        <v>14</v>
      </c>
      <c r="F1511" s="14" t="s">
        <v>324</v>
      </c>
      <c r="G1511" s="179">
        <v>681510</v>
      </c>
      <c r="H1511" s="176" t="s">
        <v>4396</v>
      </c>
      <c r="I1511" s="176" t="s">
        <v>908</v>
      </c>
      <c r="J1511" s="176" t="s">
        <v>133</v>
      </c>
      <c r="K1511" s="176" t="s">
        <v>4399</v>
      </c>
      <c r="L1511" s="40" t="s">
        <v>46</v>
      </c>
      <c r="M1511" s="40" t="s">
        <v>341</v>
      </c>
      <c r="N1511" s="14" t="s">
        <v>4403</v>
      </c>
      <c r="O1511" s="14" t="s">
        <v>552</v>
      </c>
      <c r="P1511" s="14" t="s">
        <v>1489</v>
      </c>
      <c r="Q1511" s="14" t="s">
        <v>553</v>
      </c>
      <c r="R1511" s="17">
        <v>150</v>
      </c>
      <c r="S1511" s="172" t="s">
        <v>51</v>
      </c>
      <c r="T1511" s="17">
        <v>2010</v>
      </c>
      <c r="U1511" s="14" t="s">
        <v>51</v>
      </c>
      <c r="V1511" s="16">
        <f t="shared" si="180"/>
        <v>244295</v>
      </c>
      <c r="W1511" s="16">
        <f t="shared" si="181"/>
        <v>244302</v>
      </c>
      <c r="X1511" s="16">
        <f t="shared" si="182"/>
        <v>244297</v>
      </c>
      <c r="Y1511" s="15" t="s">
        <v>54</v>
      </c>
      <c r="Z1511" s="177">
        <v>244314</v>
      </c>
      <c r="AA1511" s="170"/>
      <c r="AB1511" s="170"/>
      <c r="AC1511" s="170"/>
      <c r="AD1511" s="170"/>
      <c r="AE1511" s="15" t="s">
        <v>54</v>
      </c>
      <c r="AF1511" s="177">
        <v>244315</v>
      </c>
      <c r="AG1511" s="177" t="str">
        <f t="shared" si="183"/>
        <v>Pass</v>
      </c>
      <c r="AH1511" s="177">
        <f t="shared" si="184"/>
        <v>244315</v>
      </c>
      <c r="AK1511" s="176"/>
      <c r="AL1511" s="176"/>
    </row>
    <row r="1512" spans="1:38" ht="36" customHeight="1" x14ac:dyDescent="0.2">
      <c r="A1512" s="14" t="s">
        <v>27</v>
      </c>
      <c r="B1512" s="212">
        <v>244295</v>
      </c>
      <c r="C1512" s="14" t="s">
        <v>547</v>
      </c>
      <c r="D1512" s="14" t="s">
        <v>268</v>
      </c>
      <c r="E1512" s="14" t="s">
        <v>14</v>
      </c>
      <c r="F1512" s="14" t="s">
        <v>324</v>
      </c>
      <c r="G1512" s="179">
        <v>681511</v>
      </c>
      <c r="H1512" s="176" t="s">
        <v>4397</v>
      </c>
      <c r="I1512" s="176" t="s">
        <v>630</v>
      </c>
      <c r="J1512" s="176" t="s">
        <v>821</v>
      </c>
      <c r="K1512" s="176" t="s">
        <v>4400</v>
      </c>
      <c r="L1512" s="40" t="s">
        <v>124</v>
      </c>
      <c r="M1512" s="40" t="s">
        <v>341</v>
      </c>
      <c r="N1512" s="14" t="s">
        <v>4404</v>
      </c>
      <c r="O1512" s="14" t="s">
        <v>543</v>
      </c>
      <c r="P1512" s="14" t="s">
        <v>1124</v>
      </c>
      <c r="Q1512" s="14" t="s">
        <v>529</v>
      </c>
      <c r="R1512" s="17">
        <v>2000</v>
      </c>
      <c r="S1512" s="172" t="s">
        <v>51</v>
      </c>
      <c r="T1512" s="17">
        <v>2626</v>
      </c>
      <c r="U1512" s="14" t="s">
        <v>51</v>
      </c>
      <c r="V1512" s="16">
        <f t="shared" si="180"/>
        <v>244295</v>
      </c>
      <c r="W1512" s="16">
        <f t="shared" si="181"/>
        <v>244302</v>
      </c>
      <c r="X1512" s="16">
        <f t="shared" si="182"/>
        <v>244297</v>
      </c>
      <c r="Y1512" s="15" t="s">
        <v>54</v>
      </c>
      <c r="Z1512" s="177">
        <v>244304</v>
      </c>
      <c r="AA1512" s="170"/>
      <c r="AB1512" s="170"/>
      <c r="AC1512" s="170"/>
      <c r="AD1512" s="170"/>
      <c r="AE1512" s="15" t="s">
        <v>54</v>
      </c>
      <c r="AF1512" s="177">
        <v>244315</v>
      </c>
      <c r="AG1512" s="177" t="str">
        <f t="shared" si="183"/>
        <v>Pass</v>
      </c>
      <c r="AH1512" s="177">
        <f t="shared" si="184"/>
        <v>244315</v>
      </c>
      <c r="AK1512" s="176"/>
      <c r="AL1512" s="176"/>
    </row>
    <row r="1513" spans="1:38" ht="36" customHeight="1" x14ac:dyDescent="0.2">
      <c r="A1513" s="14" t="s">
        <v>27</v>
      </c>
      <c r="B1513" s="212">
        <v>244295</v>
      </c>
      <c r="C1513" s="14" t="s">
        <v>547</v>
      </c>
      <c r="D1513" s="14" t="s">
        <v>268</v>
      </c>
      <c r="E1513" s="14" t="s">
        <v>14</v>
      </c>
      <c r="F1513" s="14" t="s">
        <v>324</v>
      </c>
      <c r="G1513" s="179">
        <v>681512</v>
      </c>
      <c r="H1513" s="176" t="s">
        <v>905</v>
      </c>
      <c r="I1513" s="176" t="s">
        <v>909</v>
      </c>
      <c r="J1513" s="176" t="s">
        <v>123</v>
      </c>
      <c r="K1513" s="176" t="s">
        <v>4401</v>
      </c>
      <c r="L1513" s="40" t="s">
        <v>46</v>
      </c>
      <c r="M1513" s="40" t="s">
        <v>341</v>
      </c>
      <c r="N1513" s="14" t="s">
        <v>4405</v>
      </c>
      <c r="O1513" s="14" t="s">
        <v>1909</v>
      </c>
      <c r="P1513" s="14" t="s">
        <v>4407</v>
      </c>
      <c r="Q1513" s="14" t="s">
        <v>1913</v>
      </c>
      <c r="R1513" s="17">
        <v>400</v>
      </c>
      <c r="S1513" s="172" t="s">
        <v>51</v>
      </c>
      <c r="T1513" s="17">
        <v>1440</v>
      </c>
      <c r="U1513" s="14" t="s">
        <v>51</v>
      </c>
      <c r="V1513" s="16">
        <f t="shared" si="180"/>
        <v>244295</v>
      </c>
      <c r="W1513" s="16">
        <f t="shared" si="181"/>
        <v>244302</v>
      </c>
      <c r="X1513" s="16">
        <f t="shared" si="182"/>
        <v>244297</v>
      </c>
      <c r="Y1513" s="15" t="s">
        <v>54</v>
      </c>
      <c r="Z1513" s="177">
        <v>244304</v>
      </c>
      <c r="AA1513" s="170"/>
      <c r="AB1513" s="170"/>
      <c r="AC1513" s="170"/>
      <c r="AD1513" s="170"/>
      <c r="AE1513" s="15" t="s">
        <v>54</v>
      </c>
      <c r="AF1513" s="177">
        <v>244315</v>
      </c>
      <c r="AG1513" s="177" t="str">
        <f t="shared" si="183"/>
        <v>Pass</v>
      </c>
      <c r="AH1513" s="177">
        <f t="shared" si="184"/>
        <v>244315</v>
      </c>
      <c r="AK1513" s="176"/>
      <c r="AL1513" s="176"/>
    </row>
    <row r="1514" spans="1:38" ht="36" customHeight="1" x14ac:dyDescent="0.2">
      <c r="A1514" s="14" t="s">
        <v>27</v>
      </c>
      <c r="B1514" s="212">
        <v>244295</v>
      </c>
      <c r="C1514" s="14" t="s">
        <v>547</v>
      </c>
      <c r="D1514" s="14" t="s">
        <v>268</v>
      </c>
      <c r="E1514" s="14" t="s">
        <v>14</v>
      </c>
      <c r="F1514" s="14" t="s">
        <v>324</v>
      </c>
      <c r="G1514" s="179">
        <v>681513</v>
      </c>
      <c r="H1514" s="176" t="s">
        <v>4398</v>
      </c>
      <c r="I1514" s="176" t="s">
        <v>802</v>
      </c>
      <c r="J1514" s="176" t="s">
        <v>882</v>
      </c>
      <c r="K1514" s="176" t="s">
        <v>4402</v>
      </c>
      <c r="L1514" s="40" t="s">
        <v>45</v>
      </c>
      <c r="M1514" s="40" t="s">
        <v>341</v>
      </c>
      <c r="N1514" s="14" t="s">
        <v>4406</v>
      </c>
      <c r="O1514" s="14" t="s">
        <v>543</v>
      </c>
      <c r="P1514" s="14" t="s">
        <v>4408</v>
      </c>
      <c r="Q1514" s="14" t="s">
        <v>529</v>
      </c>
      <c r="R1514" s="17">
        <v>100</v>
      </c>
      <c r="S1514" s="172" t="s">
        <v>51</v>
      </c>
      <c r="T1514" s="17">
        <v>1410</v>
      </c>
      <c r="U1514" s="14" t="s">
        <v>51</v>
      </c>
      <c r="V1514" s="16">
        <f t="shared" si="180"/>
        <v>244295</v>
      </c>
      <c r="W1514" s="16">
        <f t="shared" si="181"/>
        <v>244302</v>
      </c>
      <c r="X1514" s="16">
        <f t="shared" si="182"/>
        <v>244297</v>
      </c>
      <c r="Y1514" s="15" t="s">
        <v>54</v>
      </c>
      <c r="Z1514" s="177">
        <v>244314</v>
      </c>
      <c r="AA1514" s="170"/>
      <c r="AB1514" s="170"/>
      <c r="AC1514" s="170"/>
      <c r="AD1514" s="170"/>
      <c r="AE1514" s="15" t="s">
        <v>54</v>
      </c>
      <c r="AF1514" s="177">
        <v>244315</v>
      </c>
      <c r="AG1514" s="177" t="str">
        <f t="shared" si="183"/>
        <v>Pass</v>
      </c>
      <c r="AH1514" s="177">
        <f t="shared" si="184"/>
        <v>244315</v>
      </c>
      <c r="AK1514" s="176"/>
      <c r="AL1514" s="176"/>
    </row>
    <row r="1515" spans="1:38" ht="36" customHeight="1" x14ac:dyDescent="0.2">
      <c r="A1515" s="14" t="s">
        <v>27</v>
      </c>
      <c r="B1515" s="212">
        <v>244295</v>
      </c>
      <c r="C1515" s="14" t="s">
        <v>547</v>
      </c>
      <c r="D1515" s="14" t="s">
        <v>268</v>
      </c>
      <c r="E1515" s="14" t="s">
        <v>14</v>
      </c>
      <c r="F1515" s="14" t="s">
        <v>324</v>
      </c>
      <c r="G1515" s="179">
        <v>681514</v>
      </c>
      <c r="H1515" s="176" t="s">
        <v>3302</v>
      </c>
      <c r="I1515" s="176" t="s">
        <v>630</v>
      </c>
      <c r="J1515" s="176" t="s">
        <v>520</v>
      </c>
      <c r="K1515" s="176" t="s">
        <v>4409</v>
      </c>
      <c r="L1515" s="40" t="s">
        <v>105</v>
      </c>
      <c r="M1515" s="40" t="s">
        <v>341</v>
      </c>
      <c r="N1515" s="14" t="s">
        <v>1463</v>
      </c>
      <c r="O1515" s="14" t="s">
        <v>548</v>
      </c>
      <c r="P1515" s="14" t="s">
        <v>518</v>
      </c>
      <c r="Q1515" s="14" t="s">
        <v>549</v>
      </c>
      <c r="R1515" s="17">
        <v>121</v>
      </c>
      <c r="S1515" s="172" t="s">
        <v>51</v>
      </c>
      <c r="T1515" s="17">
        <v>1940</v>
      </c>
      <c r="U1515" s="14" t="s">
        <v>51</v>
      </c>
      <c r="V1515" s="16">
        <f t="shared" si="180"/>
        <v>244295</v>
      </c>
      <c r="W1515" s="16">
        <f t="shared" si="181"/>
        <v>244302</v>
      </c>
      <c r="X1515" s="16">
        <f t="shared" si="182"/>
        <v>244297</v>
      </c>
      <c r="Y1515" s="15" t="s">
        <v>54</v>
      </c>
      <c r="Z1515" s="177">
        <v>244314</v>
      </c>
      <c r="AA1515" s="170"/>
      <c r="AB1515" s="170"/>
      <c r="AC1515" s="170"/>
      <c r="AD1515" s="170"/>
      <c r="AE1515" s="15" t="s">
        <v>54</v>
      </c>
      <c r="AF1515" s="177">
        <v>244315</v>
      </c>
      <c r="AG1515" s="177" t="str">
        <f t="shared" si="183"/>
        <v>Pass</v>
      </c>
      <c r="AH1515" s="177">
        <f t="shared" si="184"/>
        <v>244315</v>
      </c>
      <c r="AK1515" s="176"/>
      <c r="AL1515" s="176"/>
    </row>
    <row r="1516" spans="1:38" ht="36" customHeight="1" x14ac:dyDescent="0.2">
      <c r="A1516" s="14" t="s">
        <v>27</v>
      </c>
      <c r="B1516" s="212">
        <v>244295</v>
      </c>
      <c r="C1516" s="14" t="s">
        <v>547</v>
      </c>
      <c r="D1516" s="14" t="s">
        <v>268</v>
      </c>
      <c r="E1516" s="14" t="s">
        <v>14</v>
      </c>
      <c r="F1516" s="14" t="s">
        <v>324</v>
      </c>
      <c r="G1516" s="179">
        <v>681515</v>
      </c>
      <c r="H1516" s="176" t="s">
        <v>4398</v>
      </c>
      <c r="I1516" s="176" t="s">
        <v>802</v>
      </c>
      <c r="J1516" s="176" t="s">
        <v>882</v>
      </c>
      <c r="K1516" s="176" t="s">
        <v>4402</v>
      </c>
      <c r="L1516" s="40" t="s">
        <v>45</v>
      </c>
      <c r="M1516" s="40" t="s">
        <v>341</v>
      </c>
      <c r="N1516" s="14" t="s">
        <v>4410</v>
      </c>
      <c r="O1516" s="14" t="s">
        <v>2565</v>
      </c>
      <c r="P1516" s="14" t="s">
        <v>4411</v>
      </c>
      <c r="Q1516" s="14" t="s">
        <v>2571</v>
      </c>
      <c r="R1516" s="17">
        <v>315</v>
      </c>
      <c r="S1516" s="172" t="s">
        <v>51</v>
      </c>
      <c r="T1516" s="17">
        <v>1410</v>
      </c>
      <c r="U1516" s="14" t="s">
        <v>51</v>
      </c>
      <c r="V1516" s="16">
        <f t="shared" si="180"/>
        <v>244295</v>
      </c>
      <c r="W1516" s="16">
        <f t="shared" si="181"/>
        <v>244302</v>
      </c>
      <c r="X1516" s="16">
        <f t="shared" si="182"/>
        <v>244297</v>
      </c>
      <c r="Y1516" s="15" t="s">
        <v>54</v>
      </c>
      <c r="Z1516" s="177">
        <v>244314</v>
      </c>
      <c r="AA1516" s="170"/>
      <c r="AB1516" s="170"/>
      <c r="AC1516" s="170"/>
      <c r="AD1516" s="170"/>
      <c r="AE1516" s="15" t="s">
        <v>54</v>
      </c>
      <c r="AF1516" s="177">
        <v>244315</v>
      </c>
      <c r="AG1516" s="177" t="str">
        <f t="shared" si="183"/>
        <v>Pass</v>
      </c>
      <c r="AH1516" s="177">
        <f t="shared" si="184"/>
        <v>244315</v>
      </c>
      <c r="AK1516" s="176"/>
      <c r="AL1516" s="176"/>
    </row>
    <row r="1517" spans="1:38" ht="36" customHeight="1" x14ac:dyDescent="0.2">
      <c r="A1517" s="14" t="s">
        <v>27</v>
      </c>
      <c r="B1517" s="212">
        <v>244302</v>
      </c>
      <c r="C1517" s="14" t="s">
        <v>547</v>
      </c>
      <c r="D1517" s="14" t="s">
        <v>268</v>
      </c>
      <c r="E1517" s="14" t="s">
        <v>14</v>
      </c>
      <c r="F1517" s="14" t="s">
        <v>324</v>
      </c>
      <c r="G1517" s="179">
        <v>681516</v>
      </c>
      <c r="H1517" s="176" t="s">
        <v>1695</v>
      </c>
      <c r="I1517" s="176" t="s">
        <v>664</v>
      </c>
      <c r="J1517" s="176" t="s">
        <v>123</v>
      </c>
      <c r="K1517" s="176" t="s">
        <v>4414</v>
      </c>
      <c r="L1517" s="40" t="s">
        <v>46</v>
      </c>
      <c r="M1517" s="40" t="s">
        <v>341</v>
      </c>
      <c r="N1517" s="14" t="s">
        <v>4419</v>
      </c>
      <c r="O1517" s="14" t="s">
        <v>543</v>
      </c>
      <c r="P1517" s="14" t="s">
        <v>4425</v>
      </c>
      <c r="Q1517" s="14" t="s">
        <v>529</v>
      </c>
      <c r="R1517" s="17">
        <v>475</v>
      </c>
      <c r="S1517" s="172" t="s">
        <v>51</v>
      </c>
      <c r="T1517" s="17">
        <v>1935</v>
      </c>
      <c r="U1517" s="14" t="s">
        <v>51</v>
      </c>
      <c r="V1517" s="16">
        <f t="shared" si="180"/>
        <v>244302</v>
      </c>
      <c r="W1517" s="16">
        <f t="shared" si="181"/>
        <v>244309</v>
      </c>
      <c r="X1517" s="16">
        <f t="shared" si="182"/>
        <v>244304</v>
      </c>
      <c r="Y1517" s="15" t="s">
        <v>54</v>
      </c>
      <c r="Z1517" s="177">
        <v>244304</v>
      </c>
      <c r="AA1517" s="170"/>
      <c r="AB1517" s="170"/>
      <c r="AC1517" s="170"/>
      <c r="AD1517" s="170"/>
      <c r="AE1517" s="15" t="s">
        <v>54</v>
      </c>
      <c r="AF1517" s="177">
        <v>244315</v>
      </c>
      <c r="AG1517" s="177" t="str">
        <f t="shared" si="183"/>
        <v>Pass</v>
      </c>
      <c r="AH1517" s="177">
        <f t="shared" si="184"/>
        <v>244315</v>
      </c>
      <c r="AK1517" s="176"/>
      <c r="AL1517" s="176"/>
    </row>
    <row r="1518" spans="1:38" ht="36" customHeight="1" x14ac:dyDescent="0.2">
      <c r="A1518" s="14" t="s">
        <v>27</v>
      </c>
      <c r="B1518" s="212">
        <v>244302</v>
      </c>
      <c r="C1518" s="14" t="s">
        <v>547</v>
      </c>
      <c r="D1518" s="14" t="s">
        <v>268</v>
      </c>
      <c r="E1518" s="14" t="s">
        <v>14</v>
      </c>
      <c r="F1518" s="14" t="s">
        <v>324</v>
      </c>
      <c r="G1518" s="179">
        <v>681517</v>
      </c>
      <c r="H1518" s="176" t="s">
        <v>142</v>
      </c>
      <c r="I1518" s="176" t="s">
        <v>551</v>
      </c>
      <c r="J1518" s="176" t="s">
        <v>832</v>
      </c>
      <c r="K1518" s="176" t="s">
        <v>4415</v>
      </c>
      <c r="L1518" s="40" t="s">
        <v>108</v>
      </c>
      <c r="M1518" s="40" t="s">
        <v>341</v>
      </c>
      <c r="N1518" s="14" t="s">
        <v>4420</v>
      </c>
      <c r="O1518" s="14" t="s">
        <v>527</v>
      </c>
      <c r="P1518" s="14" t="s">
        <v>3004</v>
      </c>
      <c r="Q1518" s="14" t="s">
        <v>542</v>
      </c>
      <c r="R1518" s="17">
        <v>174</v>
      </c>
      <c r="S1518" s="172" t="s">
        <v>51</v>
      </c>
      <c r="T1518" s="17">
        <v>2915</v>
      </c>
      <c r="U1518" s="14" t="s">
        <v>51</v>
      </c>
      <c r="V1518" s="16">
        <f t="shared" si="180"/>
        <v>244302</v>
      </c>
      <c r="W1518" s="16">
        <f t="shared" si="181"/>
        <v>244309</v>
      </c>
      <c r="X1518" s="16">
        <f t="shared" si="182"/>
        <v>244304</v>
      </c>
      <c r="Y1518" s="15" t="s">
        <v>54</v>
      </c>
      <c r="Z1518" s="177">
        <v>244314</v>
      </c>
      <c r="AA1518" s="170"/>
      <c r="AB1518" s="170"/>
      <c r="AC1518" s="170"/>
      <c r="AD1518" s="170"/>
      <c r="AE1518" s="15" t="s">
        <v>54</v>
      </c>
      <c r="AF1518" s="177">
        <v>244315</v>
      </c>
      <c r="AG1518" s="177" t="str">
        <f t="shared" si="183"/>
        <v>Pass</v>
      </c>
      <c r="AH1518" s="177">
        <f t="shared" si="184"/>
        <v>244315</v>
      </c>
      <c r="AK1518" s="176"/>
      <c r="AL1518" s="176"/>
    </row>
    <row r="1519" spans="1:38" ht="36" customHeight="1" x14ac:dyDescent="0.2">
      <c r="A1519" s="14" t="s">
        <v>27</v>
      </c>
      <c r="B1519" s="212">
        <v>244302</v>
      </c>
      <c r="C1519" s="14" t="s">
        <v>547</v>
      </c>
      <c r="D1519" s="14" t="s">
        <v>268</v>
      </c>
      <c r="E1519" s="14" t="s">
        <v>14</v>
      </c>
      <c r="F1519" s="14" t="s">
        <v>324</v>
      </c>
      <c r="G1519" s="179">
        <v>681518</v>
      </c>
      <c r="H1519" s="176" t="s">
        <v>848</v>
      </c>
      <c r="I1519" s="176" t="s">
        <v>802</v>
      </c>
      <c r="J1519" s="176" t="s">
        <v>131</v>
      </c>
      <c r="K1519" s="176" t="s">
        <v>4416</v>
      </c>
      <c r="L1519" s="40" t="s">
        <v>45</v>
      </c>
      <c r="M1519" s="40" t="s">
        <v>341</v>
      </c>
      <c r="N1519" s="14" t="s">
        <v>4421</v>
      </c>
      <c r="O1519" s="14" t="s">
        <v>543</v>
      </c>
      <c r="P1519" s="14" t="s">
        <v>4426</v>
      </c>
      <c r="Q1519" s="14" t="s">
        <v>529</v>
      </c>
      <c r="R1519" s="17">
        <v>183</v>
      </c>
      <c r="S1519" s="172" t="s">
        <v>51</v>
      </c>
      <c r="T1519" s="17">
        <v>1915</v>
      </c>
      <c r="U1519" s="14" t="s">
        <v>51</v>
      </c>
      <c r="V1519" s="16">
        <f t="shared" si="180"/>
        <v>244302</v>
      </c>
      <c r="W1519" s="16">
        <f t="shared" si="181"/>
        <v>244309</v>
      </c>
      <c r="X1519" s="16">
        <f t="shared" si="182"/>
        <v>244304</v>
      </c>
      <c r="Y1519" s="15" t="s">
        <v>54</v>
      </c>
      <c r="Z1519" s="177">
        <v>244304</v>
      </c>
      <c r="AA1519" s="170"/>
      <c r="AB1519" s="170"/>
      <c r="AC1519" s="170"/>
      <c r="AD1519" s="170"/>
      <c r="AE1519" s="15" t="s">
        <v>54</v>
      </c>
      <c r="AF1519" s="177">
        <v>244315</v>
      </c>
      <c r="AG1519" s="177" t="str">
        <f t="shared" si="183"/>
        <v>Pass</v>
      </c>
      <c r="AH1519" s="177">
        <f t="shared" si="184"/>
        <v>244315</v>
      </c>
      <c r="AK1519" s="176"/>
      <c r="AL1519" s="176"/>
    </row>
    <row r="1520" spans="1:38" ht="36" customHeight="1" x14ac:dyDescent="0.2">
      <c r="A1520" s="14" t="s">
        <v>27</v>
      </c>
      <c r="B1520" s="212">
        <v>244302</v>
      </c>
      <c r="C1520" s="14" t="s">
        <v>547</v>
      </c>
      <c r="D1520" s="14" t="s">
        <v>268</v>
      </c>
      <c r="E1520" s="14" t="s">
        <v>14</v>
      </c>
      <c r="F1520" s="14" t="s">
        <v>324</v>
      </c>
      <c r="G1520" s="179">
        <v>681519</v>
      </c>
      <c r="H1520" s="176" t="s">
        <v>848</v>
      </c>
      <c r="I1520" s="176" t="s">
        <v>802</v>
      </c>
      <c r="J1520" s="176" t="s">
        <v>131</v>
      </c>
      <c r="K1520" s="176" t="s">
        <v>4416</v>
      </c>
      <c r="L1520" s="40" t="s">
        <v>45</v>
      </c>
      <c r="M1520" s="40" t="s">
        <v>341</v>
      </c>
      <c r="N1520" s="14" t="s">
        <v>4422</v>
      </c>
      <c r="O1520" s="14" t="s">
        <v>543</v>
      </c>
      <c r="P1520" s="14" t="s">
        <v>4427</v>
      </c>
      <c r="Q1520" s="14" t="s">
        <v>529</v>
      </c>
      <c r="R1520" s="17">
        <v>500</v>
      </c>
      <c r="S1520" s="172" t="s">
        <v>51</v>
      </c>
      <c r="T1520" s="17">
        <v>1910</v>
      </c>
      <c r="U1520" s="14" t="s">
        <v>51</v>
      </c>
      <c r="V1520" s="16">
        <f t="shared" si="180"/>
        <v>244302</v>
      </c>
      <c r="W1520" s="16">
        <f t="shared" si="181"/>
        <v>244309</v>
      </c>
      <c r="X1520" s="16">
        <f t="shared" si="182"/>
        <v>244304</v>
      </c>
      <c r="Y1520" s="15" t="s">
        <v>54</v>
      </c>
      <c r="Z1520" s="177">
        <v>244314</v>
      </c>
      <c r="AA1520" s="170"/>
      <c r="AB1520" s="170"/>
      <c r="AC1520" s="170"/>
      <c r="AD1520" s="170"/>
      <c r="AE1520" s="15" t="s">
        <v>54</v>
      </c>
      <c r="AF1520" s="177">
        <v>244315</v>
      </c>
      <c r="AG1520" s="177" t="str">
        <f t="shared" si="183"/>
        <v>Pass</v>
      </c>
      <c r="AH1520" s="177">
        <f t="shared" si="184"/>
        <v>244315</v>
      </c>
      <c r="AK1520" s="176"/>
      <c r="AL1520" s="176"/>
    </row>
    <row r="1521" spans="1:38" ht="36" customHeight="1" x14ac:dyDescent="0.2">
      <c r="A1521" s="14" t="s">
        <v>27</v>
      </c>
      <c r="B1521" s="212">
        <v>244302</v>
      </c>
      <c r="C1521" s="14" t="s">
        <v>547</v>
      </c>
      <c r="D1521" s="14" t="s">
        <v>268</v>
      </c>
      <c r="E1521" s="14" t="s">
        <v>14</v>
      </c>
      <c r="F1521" s="14" t="s">
        <v>324</v>
      </c>
      <c r="G1521" s="179">
        <v>681520</v>
      </c>
      <c r="H1521" s="176" t="s">
        <v>4412</v>
      </c>
      <c r="I1521" s="176" t="s">
        <v>612</v>
      </c>
      <c r="J1521" s="176" t="s">
        <v>159</v>
      </c>
      <c r="K1521" s="176" t="s">
        <v>4417</v>
      </c>
      <c r="L1521" s="40" t="s">
        <v>45</v>
      </c>
      <c r="M1521" s="40" t="s">
        <v>341</v>
      </c>
      <c r="N1521" s="14" t="s">
        <v>4423</v>
      </c>
      <c r="O1521" s="14" t="s">
        <v>543</v>
      </c>
      <c r="P1521" s="14" t="s">
        <v>4428</v>
      </c>
      <c r="Q1521" s="14" t="s">
        <v>529</v>
      </c>
      <c r="R1521" s="17">
        <v>500</v>
      </c>
      <c r="S1521" s="172" t="s">
        <v>51</v>
      </c>
      <c r="T1521" s="17">
        <v>700</v>
      </c>
      <c r="U1521" s="14" t="s">
        <v>51</v>
      </c>
      <c r="V1521" s="16">
        <f t="shared" si="180"/>
        <v>244302</v>
      </c>
      <c r="W1521" s="16">
        <f t="shared" si="181"/>
        <v>244309</v>
      </c>
      <c r="X1521" s="16">
        <f t="shared" si="182"/>
        <v>244304</v>
      </c>
      <c r="Y1521" s="15" t="s">
        <v>54</v>
      </c>
      <c r="Z1521" s="177">
        <v>244314</v>
      </c>
      <c r="AA1521" s="170"/>
      <c r="AB1521" s="170"/>
      <c r="AC1521" s="170"/>
      <c r="AD1521" s="170"/>
      <c r="AE1521" s="15" t="s">
        <v>54</v>
      </c>
      <c r="AF1521" s="177">
        <v>244315</v>
      </c>
      <c r="AG1521" s="177" t="str">
        <f t="shared" si="183"/>
        <v>Pass</v>
      </c>
      <c r="AH1521" s="177">
        <f t="shared" si="184"/>
        <v>244315</v>
      </c>
      <c r="AK1521" s="176"/>
      <c r="AL1521" s="176"/>
    </row>
    <row r="1522" spans="1:38" ht="36" customHeight="1" x14ac:dyDescent="0.2">
      <c r="A1522" s="14" t="s">
        <v>27</v>
      </c>
      <c r="B1522" s="212">
        <v>244302</v>
      </c>
      <c r="C1522" s="14" t="s">
        <v>547</v>
      </c>
      <c r="D1522" s="14" t="s">
        <v>268</v>
      </c>
      <c r="E1522" s="14" t="s">
        <v>14</v>
      </c>
      <c r="F1522" s="14" t="s">
        <v>324</v>
      </c>
      <c r="G1522" s="179">
        <v>681521</v>
      </c>
      <c r="H1522" s="176" t="s">
        <v>4413</v>
      </c>
      <c r="I1522" s="176" t="s">
        <v>960</v>
      </c>
      <c r="J1522" s="176" t="s">
        <v>127</v>
      </c>
      <c r="K1522" s="176" t="s">
        <v>4418</v>
      </c>
      <c r="L1522" s="40" t="s">
        <v>108</v>
      </c>
      <c r="M1522" s="40" t="s">
        <v>341</v>
      </c>
      <c r="N1522" s="14" t="s">
        <v>4424</v>
      </c>
      <c r="O1522" s="14" t="s">
        <v>548</v>
      </c>
      <c r="P1522" s="14" t="s">
        <v>518</v>
      </c>
      <c r="Q1522" s="14" t="s">
        <v>549</v>
      </c>
      <c r="R1522" s="17">
        <v>198</v>
      </c>
      <c r="S1522" s="172" t="s">
        <v>51</v>
      </c>
      <c r="T1522" s="17">
        <v>2250</v>
      </c>
      <c r="U1522" s="14" t="s">
        <v>51</v>
      </c>
      <c r="V1522" s="16">
        <f t="shared" si="180"/>
        <v>244302</v>
      </c>
      <c r="W1522" s="16">
        <f t="shared" si="181"/>
        <v>244309</v>
      </c>
      <c r="X1522" s="16">
        <f t="shared" si="182"/>
        <v>244304</v>
      </c>
      <c r="Y1522" s="15" t="s">
        <v>54</v>
      </c>
      <c r="Z1522" s="177">
        <v>244314</v>
      </c>
      <c r="AA1522" s="170"/>
      <c r="AB1522" s="170"/>
      <c r="AC1522" s="170"/>
      <c r="AD1522" s="170"/>
      <c r="AE1522" s="15" t="s">
        <v>54</v>
      </c>
      <c r="AF1522" s="177">
        <v>244315</v>
      </c>
      <c r="AG1522" s="177" t="str">
        <f t="shared" si="183"/>
        <v>Pass</v>
      </c>
      <c r="AH1522" s="177">
        <f t="shared" si="184"/>
        <v>244315</v>
      </c>
      <c r="AK1522" s="176"/>
      <c r="AL1522" s="176"/>
    </row>
    <row r="1523" spans="1:38" ht="36" customHeight="1" x14ac:dyDescent="0.2">
      <c r="A1523" s="14" t="s">
        <v>27</v>
      </c>
      <c r="B1523" s="212">
        <v>244302</v>
      </c>
      <c r="C1523" s="14" t="s">
        <v>547</v>
      </c>
      <c r="D1523" s="14" t="s">
        <v>268</v>
      </c>
      <c r="E1523" s="14" t="s">
        <v>14</v>
      </c>
      <c r="F1523" s="14" t="s">
        <v>324</v>
      </c>
      <c r="G1523" s="179">
        <v>681522</v>
      </c>
      <c r="H1523" s="176" t="s">
        <v>4429</v>
      </c>
      <c r="I1523" s="176" t="s">
        <v>4431</v>
      </c>
      <c r="J1523" s="176" t="s">
        <v>4432</v>
      </c>
      <c r="K1523" s="176" t="s">
        <v>4433</v>
      </c>
      <c r="L1523" s="40" t="s">
        <v>46</v>
      </c>
      <c r="M1523" s="40" t="s">
        <v>341</v>
      </c>
      <c r="N1523" s="14" t="s">
        <v>4437</v>
      </c>
      <c r="O1523" s="14" t="s">
        <v>4442</v>
      </c>
      <c r="P1523" s="14" t="s">
        <v>4443</v>
      </c>
      <c r="Q1523" s="14" t="s">
        <v>529</v>
      </c>
      <c r="R1523" s="17">
        <v>175</v>
      </c>
      <c r="S1523" s="172" t="s">
        <v>51</v>
      </c>
      <c r="T1523" s="17">
        <v>1970</v>
      </c>
      <c r="U1523" s="14" t="s">
        <v>51</v>
      </c>
      <c r="V1523" s="16">
        <f t="shared" si="180"/>
        <v>244302</v>
      </c>
      <c r="W1523" s="16">
        <f t="shared" si="181"/>
        <v>244309</v>
      </c>
      <c r="X1523" s="16">
        <f t="shared" si="182"/>
        <v>244304</v>
      </c>
      <c r="Y1523" s="15" t="s">
        <v>54</v>
      </c>
      <c r="Z1523" s="177">
        <v>244314</v>
      </c>
      <c r="AA1523" s="170"/>
      <c r="AB1523" s="170"/>
      <c r="AC1523" s="170"/>
      <c r="AD1523" s="170"/>
      <c r="AE1523" s="15" t="s">
        <v>54</v>
      </c>
      <c r="AF1523" s="177">
        <v>244315</v>
      </c>
      <c r="AG1523" s="177" t="str">
        <f t="shared" si="183"/>
        <v>Pass</v>
      </c>
      <c r="AH1523" s="177">
        <f t="shared" si="184"/>
        <v>244315</v>
      </c>
      <c r="AK1523" s="176"/>
      <c r="AL1523" s="176"/>
    </row>
    <row r="1524" spans="1:38" ht="36" customHeight="1" x14ac:dyDescent="0.2">
      <c r="A1524" s="14" t="s">
        <v>27</v>
      </c>
      <c r="B1524" s="212">
        <v>244302</v>
      </c>
      <c r="C1524" s="14" t="s">
        <v>547</v>
      </c>
      <c r="D1524" s="14" t="s">
        <v>268</v>
      </c>
      <c r="E1524" s="14" t="s">
        <v>14</v>
      </c>
      <c r="F1524" s="14" t="s">
        <v>324</v>
      </c>
      <c r="G1524" s="179">
        <v>681523</v>
      </c>
      <c r="H1524" s="176" t="s">
        <v>3302</v>
      </c>
      <c r="I1524" s="176" t="s">
        <v>630</v>
      </c>
      <c r="J1524" s="176" t="s">
        <v>520</v>
      </c>
      <c r="K1524" s="176" t="s">
        <v>4409</v>
      </c>
      <c r="L1524" s="40" t="s">
        <v>105</v>
      </c>
      <c r="M1524" s="40" t="s">
        <v>341</v>
      </c>
      <c r="N1524" s="14" t="s">
        <v>4438</v>
      </c>
      <c r="O1524" s="14" t="s">
        <v>527</v>
      </c>
      <c r="P1524" s="14" t="s">
        <v>4444</v>
      </c>
      <c r="Q1524" s="14" t="s">
        <v>542</v>
      </c>
      <c r="R1524" s="17">
        <v>150</v>
      </c>
      <c r="S1524" s="172" t="s">
        <v>51</v>
      </c>
      <c r="T1524" s="17">
        <v>2020</v>
      </c>
      <c r="U1524" s="14" t="s">
        <v>51</v>
      </c>
      <c r="V1524" s="16">
        <f t="shared" si="180"/>
        <v>244302</v>
      </c>
      <c r="W1524" s="16">
        <f t="shared" si="181"/>
        <v>244309</v>
      </c>
      <c r="X1524" s="16">
        <f t="shared" si="182"/>
        <v>244304</v>
      </c>
      <c r="Y1524" s="15" t="s">
        <v>54</v>
      </c>
      <c r="Z1524" s="177">
        <v>244314</v>
      </c>
      <c r="AA1524" s="170"/>
      <c r="AB1524" s="170"/>
      <c r="AC1524" s="170"/>
      <c r="AD1524" s="170"/>
      <c r="AE1524" s="15" t="s">
        <v>54</v>
      </c>
      <c r="AF1524" s="177">
        <v>244315</v>
      </c>
      <c r="AG1524" s="177" t="str">
        <f t="shared" si="183"/>
        <v>Pass</v>
      </c>
      <c r="AH1524" s="177">
        <f t="shared" si="184"/>
        <v>244315</v>
      </c>
      <c r="AK1524" s="176"/>
      <c r="AL1524" s="176"/>
    </row>
    <row r="1525" spans="1:38" ht="36" customHeight="1" x14ac:dyDescent="0.2">
      <c r="A1525" s="14" t="s">
        <v>27</v>
      </c>
      <c r="B1525" s="212">
        <v>244302</v>
      </c>
      <c r="C1525" s="14" t="s">
        <v>547</v>
      </c>
      <c r="D1525" s="14" t="s">
        <v>268</v>
      </c>
      <c r="E1525" s="14" t="s">
        <v>14</v>
      </c>
      <c r="F1525" s="14" t="s">
        <v>324</v>
      </c>
      <c r="G1525" s="179">
        <v>681524</v>
      </c>
      <c r="H1525" s="176" t="s">
        <v>4430</v>
      </c>
      <c r="I1525" s="176" t="s">
        <v>664</v>
      </c>
      <c r="J1525" s="176" t="s">
        <v>123</v>
      </c>
      <c r="K1525" s="176" t="s">
        <v>4434</v>
      </c>
      <c r="L1525" s="40" t="s">
        <v>46</v>
      </c>
      <c r="M1525" s="40" t="s">
        <v>341</v>
      </c>
      <c r="N1525" s="14" t="s">
        <v>4439</v>
      </c>
      <c r="O1525" s="14" t="s">
        <v>552</v>
      </c>
      <c r="P1525" s="14" t="s">
        <v>685</v>
      </c>
      <c r="Q1525" s="14" t="s">
        <v>553</v>
      </c>
      <c r="R1525" s="17">
        <v>2150</v>
      </c>
      <c r="S1525" s="172" t="s">
        <v>51</v>
      </c>
      <c r="T1525" s="17">
        <v>2150</v>
      </c>
      <c r="U1525" s="14" t="s">
        <v>51</v>
      </c>
      <c r="V1525" s="16">
        <f t="shared" si="180"/>
        <v>244302</v>
      </c>
      <c r="W1525" s="16">
        <f t="shared" si="181"/>
        <v>244309</v>
      </c>
      <c r="X1525" s="16">
        <f t="shared" si="182"/>
        <v>244304</v>
      </c>
      <c r="Y1525" s="15" t="s">
        <v>54</v>
      </c>
      <c r="Z1525" s="177">
        <v>244304</v>
      </c>
      <c r="AA1525" s="170"/>
      <c r="AB1525" s="170"/>
      <c r="AC1525" s="170"/>
      <c r="AD1525" s="170"/>
      <c r="AE1525" s="15" t="s">
        <v>54</v>
      </c>
      <c r="AF1525" s="177">
        <v>244315</v>
      </c>
      <c r="AG1525" s="177" t="str">
        <f t="shared" si="183"/>
        <v>Pass</v>
      </c>
      <c r="AH1525" s="177">
        <f t="shared" si="184"/>
        <v>244315</v>
      </c>
      <c r="AK1525" s="176"/>
      <c r="AL1525" s="176"/>
    </row>
    <row r="1526" spans="1:38" ht="36" customHeight="1" x14ac:dyDescent="0.2">
      <c r="A1526" s="14" t="s">
        <v>27</v>
      </c>
      <c r="B1526" s="212">
        <v>244302</v>
      </c>
      <c r="C1526" s="14" t="s">
        <v>547</v>
      </c>
      <c r="D1526" s="14" t="s">
        <v>268</v>
      </c>
      <c r="E1526" s="14" t="s">
        <v>14</v>
      </c>
      <c r="F1526" s="14" t="s">
        <v>324</v>
      </c>
      <c r="G1526" s="179">
        <v>681525</v>
      </c>
      <c r="H1526" s="176" t="s">
        <v>1754</v>
      </c>
      <c r="I1526" s="176" t="s">
        <v>802</v>
      </c>
      <c r="J1526" s="176" t="s">
        <v>131</v>
      </c>
      <c r="K1526" s="176" t="s">
        <v>4435</v>
      </c>
      <c r="L1526" s="40" t="s">
        <v>45</v>
      </c>
      <c r="M1526" s="40" t="s">
        <v>341</v>
      </c>
      <c r="N1526" s="14" t="s">
        <v>4440</v>
      </c>
      <c r="O1526" s="14" t="s">
        <v>1909</v>
      </c>
      <c r="P1526" s="14" t="s">
        <v>4445</v>
      </c>
      <c r="Q1526" s="14" t="s">
        <v>1913</v>
      </c>
      <c r="R1526" s="17">
        <v>1700</v>
      </c>
      <c r="S1526" s="172" t="s">
        <v>51</v>
      </c>
      <c r="T1526" s="17">
        <v>1980</v>
      </c>
      <c r="U1526" s="14" t="s">
        <v>51</v>
      </c>
      <c r="V1526" s="16">
        <f t="shared" si="180"/>
        <v>244302</v>
      </c>
      <c r="W1526" s="16">
        <f t="shared" si="181"/>
        <v>244309</v>
      </c>
      <c r="X1526" s="16">
        <f t="shared" si="182"/>
        <v>244304</v>
      </c>
      <c r="Y1526" s="15" t="s">
        <v>54</v>
      </c>
      <c r="Z1526" s="177">
        <v>244304</v>
      </c>
      <c r="AA1526" s="170"/>
      <c r="AB1526" s="170"/>
      <c r="AC1526" s="170"/>
      <c r="AD1526" s="170"/>
      <c r="AE1526" s="15" t="s">
        <v>54</v>
      </c>
      <c r="AF1526" s="177">
        <v>244315</v>
      </c>
      <c r="AG1526" s="177" t="str">
        <f t="shared" si="183"/>
        <v>Pass</v>
      </c>
      <c r="AH1526" s="177">
        <f t="shared" si="184"/>
        <v>244315</v>
      </c>
      <c r="AK1526" s="176"/>
      <c r="AL1526" s="176"/>
    </row>
    <row r="1527" spans="1:38" ht="36" customHeight="1" x14ac:dyDescent="0.2">
      <c r="A1527" s="14" t="s">
        <v>27</v>
      </c>
      <c r="B1527" s="212">
        <v>244302</v>
      </c>
      <c r="C1527" s="14" t="s">
        <v>547</v>
      </c>
      <c r="D1527" s="14" t="s">
        <v>268</v>
      </c>
      <c r="E1527" s="14" t="s">
        <v>14</v>
      </c>
      <c r="F1527" s="14" t="s">
        <v>324</v>
      </c>
      <c r="G1527" s="179">
        <v>681526</v>
      </c>
      <c r="H1527" s="176" t="s">
        <v>4207</v>
      </c>
      <c r="I1527" s="176" t="s">
        <v>802</v>
      </c>
      <c r="J1527" s="176" t="s">
        <v>143</v>
      </c>
      <c r="K1527" s="176" t="s">
        <v>4436</v>
      </c>
      <c r="L1527" s="40" t="s">
        <v>105</v>
      </c>
      <c r="M1527" s="40" t="s">
        <v>341</v>
      </c>
      <c r="N1527" s="14" t="s">
        <v>4441</v>
      </c>
      <c r="O1527" s="14" t="s">
        <v>1909</v>
      </c>
      <c r="P1527" s="14" t="s">
        <v>4202</v>
      </c>
      <c r="Q1527" s="14" t="s">
        <v>1913</v>
      </c>
      <c r="R1527" s="17">
        <v>150</v>
      </c>
      <c r="S1527" s="172" t="s">
        <v>51</v>
      </c>
      <c r="T1527" s="17">
        <v>2345</v>
      </c>
      <c r="U1527" s="14" t="s">
        <v>51</v>
      </c>
      <c r="V1527" s="16">
        <f t="shared" si="180"/>
        <v>244302</v>
      </c>
      <c r="W1527" s="16">
        <f t="shared" si="181"/>
        <v>244309</v>
      </c>
      <c r="X1527" s="16">
        <f t="shared" si="182"/>
        <v>244304</v>
      </c>
      <c r="Y1527" s="15" t="s">
        <v>54</v>
      </c>
      <c r="Z1527" s="177">
        <v>244314</v>
      </c>
      <c r="AA1527" s="170"/>
      <c r="AB1527" s="170"/>
      <c r="AC1527" s="170"/>
      <c r="AD1527" s="170"/>
      <c r="AE1527" s="15" t="s">
        <v>54</v>
      </c>
      <c r="AF1527" s="177">
        <v>244315</v>
      </c>
      <c r="AG1527" s="177" t="str">
        <f t="shared" si="183"/>
        <v>Pass</v>
      </c>
      <c r="AH1527" s="177">
        <f t="shared" si="184"/>
        <v>244315</v>
      </c>
      <c r="AK1527" s="176"/>
      <c r="AL1527" s="176"/>
    </row>
    <row r="1528" spans="1:38" ht="36" customHeight="1" x14ac:dyDescent="0.2">
      <c r="A1528" s="14" t="s">
        <v>27</v>
      </c>
      <c r="B1528" s="212">
        <v>244303</v>
      </c>
      <c r="C1528" s="14" t="s">
        <v>547</v>
      </c>
      <c r="D1528" s="14" t="s">
        <v>268</v>
      </c>
      <c r="E1528" s="14" t="s">
        <v>14</v>
      </c>
      <c r="F1528" s="14" t="s">
        <v>324</v>
      </c>
      <c r="G1528" s="179">
        <v>681527</v>
      </c>
      <c r="H1528" s="176" t="s">
        <v>1754</v>
      </c>
      <c r="I1528" s="176" t="s">
        <v>802</v>
      </c>
      <c r="J1528" s="176" t="s">
        <v>131</v>
      </c>
      <c r="K1528" s="176" t="s">
        <v>4435</v>
      </c>
      <c r="L1528" s="40" t="s">
        <v>45</v>
      </c>
      <c r="M1528" s="40" t="s">
        <v>341</v>
      </c>
      <c r="N1528" s="14" t="s">
        <v>4446</v>
      </c>
      <c r="O1528" s="14" t="s">
        <v>4447</v>
      </c>
      <c r="P1528" s="14" t="s">
        <v>4448</v>
      </c>
      <c r="Q1528" s="14" t="s">
        <v>4449</v>
      </c>
      <c r="R1528" s="17">
        <v>1600</v>
      </c>
      <c r="S1528" s="172" t="s">
        <v>51</v>
      </c>
      <c r="T1528" s="17">
        <v>2000</v>
      </c>
      <c r="U1528" s="14" t="s">
        <v>51</v>
      </c>
      <c r="V1528" s="16">
        <f t="shared" si="180"/>
        <v>244303</v>
      </c>
      <c r="W1528" s="16">
        <f t="shared" si="181"/>
        <v>244310</v>
      </c>
      <c r="X1528" s="16">
        <f t="shared" si="182"/>
        <v>244305</v>
      </c>
      <c r="Y1528" s="15" t="s">
        <v>54</v>
      </c>
      <c r="Z1528" s="177">
        <v>244314</v>
      </c>
      <c r="AA1528" s="170"/>
      <c r="AB1528" s="170"/>
      <c r="AC1528" s="170"/>
      <c r="AD1528" s="170"/>
      <c r="AE1528" s="15" t="s">
        <v>54</v>
      </c>
      <c r="AF1528" s="177">
        <v>244315</v>
      </c>
      <c r="AG1528" s="177" t="str">
        <f t="shared" si="183"/>
        <v>Pass</v>
      </c>
      <c r="AH1528" s="177">
        <f t="shared" si="184"/>
        <v>244315</v>
      </c>
      <c r="AK1528" s="176"/>
      <c r="AL1528" s="176"/>
    </row>
    <row r="1529" spans="1:38" ht="36" customHeight="1" x14ac:dyDescent="0.2">
      <c r="A1529" s="14" t="s">
        <v>27</v>
      </c>
      <c r="B1529" s="212">
        <v>244303</v>
      </c>
      <c r="C1529" s="14" t="s">
        <v>547</v>
      </c>
      <c r="D1529" s="14" t="s">
        <v>268</v>
      </c>
      <c r="E1529" s="14" t="s">
        <v>14</v>
      </c>
      <c r="F1529" s="14" t="s">
        <v>324</v>
      </c>
      <c r="G1529" s="179">
        <v>681528</v>
      </c>
      <c r="H1529" s="176" t="s">
        <v>1754</v>
      </c>
      <c r="I1529" s="176" t="s">
        <v>802</v>
      </c>
      <c r="J1529" s="176" t="s">
        <v>131</v>
      </c>
      <c r="K1529" s="176" t="s">
        <v>4435</v>
      </c>
      <c r="L1529" s="40" t="s">
        <v>45</v>
      </c>
      <c r="M1529" s="40" t="s">
        <v>341</v>
      </c>
      <c r="N1529" s="14" t="s">
        <v>4457</v>
      </c>
      <c r="O1529" s="14" t="s">
        <v>1087</v>
      </c>
      <c r="P1529" s="14" t="s">
        <v>4465</v>
      </c>
      <c r="Q1529" s="14" t="s">
        <v>1090</v>
      </c>
      <c r="R1529" s="17">
        <v>311</v>
      </c>
      <c r="S1529" s="172" t="s">
        <v>51</v>
      </c>
      <c r="T1529" s="17">
        <v>2270</v>
      </c>
      <c r="U1529" s="14" t="s">
        <v>51</v>
      </c>
      <c r="V1529" s="16">
        <f t="shared" si="180"/>
        <v>244303</v>
      </c>
      <c r="W1529" s="16">
        <f t="shared" si="181"/>
        <v>244310</v>
      </c>
      <c r="X1529" s="16">
        <f t="shared" si="182"/>
        <v>244305</v>
      </c>
      <c r="Y1529" s="15" t="s">
        <v>54</v>
      </c>
      <c r="Z1529" s="177">
        <v>244314</v>
      </c>
      <c r="AA1529" s="170"/>
      <c r="AB1529" s="170"/>
      <c r="AC1529" s="170"/>
      <c r="AD1529" s="170"/>
      <c r="AE1529" s="15" t="s">
        <v>54</v>
      </c>
      <c r="AF1529" s="177">
        <v>244315</v>
      </c>
      <c r="AG1529" s="177" t="str">
        <f t="shared" si="183"/>
        <v>Pass</v>
      </c>
      <c r="AH1529" s="177">
        <f t="shared" si="184"/>
        <v>244315</v>
      </c>
      <c r="AK1529" s="176"/>
      <c r="AL1529" s="176"/>
    </row>
    <row r="1530" spans="1:38" ht="36" customHeight="1" x14ac:dyDescent="0.2">
      <c r="A1530" s="14" t="s">
        <v>27</v>
      </c>
      <c r="B1530" s="212">
        <v>244303</v>
      </c>
      <c r="C1530" s="14" t="s">
        <v>547</v>
      </c>
      <c r="D1530" s="14" t="s">
        <v>268</v>
      </c>
      <c r="E1530" s="14" t="s">
        <v>14</v>
      </c>
      <c r="F1530" s="14" t="s">
        <v>324</v>
      </c>
      <c r="G1530" s="179">
        <v>681529</v>
      </c>
      <c r="H1530" s="176" t="s">
        <v>719</v>
      </c>
      <c r="I1530" s="176" t="s">
        <v>551</v>
      </c>
      <c r="J1530" s="176" t="s">
        <v>832</v>
      </c>
      <c r="K1530" s="176" t="s">
        <v>4451</v>
      </c>
      <c r="L1530" s="40" t="s">
        <v>108</v>
      </c>
      <c r="M1530" s="40" t="s">
        <v>341</v>
      </c>
      <c r="N1530" s="14" t="s">
        <v>4458</v>
      </c>
      <c r="O1530" s="14" t="s">
        <v>4306</v>
      </c>
      <c r="P1530" s="14" t="s">
        <v>4466</v>
      </c>
      <c r="Q1530" s="14" t="s">
        <v>4311</v>
      </c>
      <c r="R1530" s="17">
        <v>1275</v>
      </c>
      <c r="S1530" s="172" t="s">
        <v>51</v>
      </c>
      <c r="T1530" s="17">
        <v>2060</v>
      </c>
      <c r="U1530" s="14" t="s">
        <v>51</v>
      </c>
      <c r="V1530" s="16">
        <f t="shared" si="180"/>
        <v>244303</v>
      </c>
      <c r="W1530" s="16">
        <f t="shared" si="181"/>
        <v>244310</v>
      </c>
      <c r="X1530" s="16">
        <f t="shared" si="182"/>
        <v>244305</v>
      </c>
      <c r="Y1530" s="15" t="s">
        <v>54</v>
      </c>
      <c r="Z1530" s="177">
        <v>244314</v>
      </c>
      <c r="AA1530" s="170"/>
      <c r="AB1530" s="170"/>
      <c r="AC1530" s="170"/>
      <c r="AD1530" s="170"/>
      <c r="AE1530" s="15" t="s">
        <v>54</v>
      </c>
      <c r="AF1530" s="177">
        <v>244315</v>
      </c>
      <c r="AG1530" s="177" t="str">
        <f t="shared" si="183"/>
        <v>Pass</v>
      </c>
      <c r="AH1530" s="177">
        <f t="shared" si="184"/>
        <v>244315</v>
      </c>
      <c r="AK1530" s="176"/>
      <c r="AL1530" s="176"/>
    </row>
    <row r="1531" spans="1:38" ht="36" customHeight="1" x14ac:dyDescent="0.2">
      <c r="A1531" s="14" t="s">
        <v>27</v>
      </c>
      <c r="B1531" s="212">
        <v>244303</v>
      </c>
      <c r="C1531" s="14" t="s">
        <v>547</v>
      </c>
      <c r="D1531" s="14" t="s">
        <v>268</v>
      </c>
      <c r="E1531" s="14" t="s">
        <v>14</v>
      </c>
      <c r="F1531" s="14" t="s">
        <v>324</v>
      </c>
      <c r="G1531" s="179">
        <v>681530</v>
      </c>
      <c r="H1531" s="176" t="s">
        <v>4450</v>
      </c>
      <c r="I1531" s="176" t="s">
        <v>908</v>
      </c>
      <c r="J1531" s="176" t="s">
        <v>123</v>
      </c>
      <c r="K1531" s="176" t="s">
        <v>4452</v>
      </c>
      <c r="L1531" s="40" t="s">
        <v>46</v>
      </c>
      <c r="M1531" s="40" t="s">
        <v>341</v>
      </c>
      <c r="N1531" s="14" t="s">
        <v>4459</v>
      </c>
      <c r="O1531" s="14" t="s">
        <v>548</v>
      </c>
      <c r="P1531" s="14" t="s">
        <v>518</v>
      </c>
      <c r="Q1531" s="14" t="s">
        <v>549</v>
      </c>
      <c r="R1531" s="17">
        <v>405</v>
      </c>
      <c r="S1531" s="172" t="s">
        <v>51</v>
      </c>
      <c r="T1531" s="17">
        <v>2016</v>
      </c>
      <c r="U1531" s="14" t="s">
        <v>51</v>
      </c>
      <c r="V1531" s="16">
        <f t="shared" si="180"/>
        <v>244303</v>
      </c>
      <c r="W1531" s="16">
        <f t="shared" si="181"/>
        <v>244310</v>
      </c>
      <c r="X1531" s="16">
        <f t="shared" si="182"/>
        <v>244305</v>
      </c>
      <c r="Y1531" s="15" t="s">
        <v>54</v>
      </c>
      <c r="Z1531" s="177">
        <v>244314</v>
      </c>
      <c r="AA1531" s="170"/>
      <c r="AB1531" s="170"/>
      <c r="AC1531" s="170"/>
      <c r="AD1531" s="170"/>
      <c r="AE1531" s="15" t="s">
        <v>54</v>
      </c>
      <c r="AF1531" s="177">
        <v>244315</v>
      </c>
      <c r="AG1531" s="177" t="str">
        <f t="shared" si="183"/>
        <v>Pass</v>
      </c>
      <c r="AH1531" s="177">
        <f t="shared" si="184"/>
        <v>244315</v>
      </c>
      <c r="AK1531" s="176"/>
      <c r="AL1531" s="176"/>
    </row>
    <row r="1532" spans="1:38" ht="36" customHeight="1" x14ac:dyDescent="0.2">
      <c r="A1532" s="14" t="s">
        <v>27</v>
      </c>
      <c r="B1532" s="212">
        <v>244303</v>
      </c>
      <c r="C1532" s="14" t="s">
        <v>547</v>
      </c>
      <c r="D1532" s="14" t="s">
        <v>268</v>
      </c>
      <c r="E1532" s="14" t="s">
        <v>14</v>
      </c>
      <c r="F1532" s="14" t="s">
        <v>324</v>
      </c>
      <c r="G1532" s="179">
        <v>681531</v>
      </c>
      <c r="H1532" s="176" t="s">
        <v>1369</v>
      </c>
      <c r="I1532" s="176" t="s">
        <v>514</v>
      </c>
      <c r="J1532" s="176" t="s">
        <v>337</v>
      </c>
      <c r="K1532" s="176" t="s">
        <v>4453</v>
      </c>
      <c r="L1532" s="40" t="s">
        <v>106</v>
      </c>
      <c r="M1532" s="40" t="s">
        <v>341</v>
      </c>
      <c r="N1532" s="14" t="s">
        <v>733</v>
      </c>
      <c r="O1532" s="14" t="s">
        <v>543</v>
      </c>
      <c r="P1532" s="14" t="s">
        <v>517</v>
      </c>
      <c r="Q1532" s="14" t="s">
        <v>529</v>
      </c>
      <c r="R1532" s="17">
        <v>300</v>
      </c>
      <c r="S1532" s="172" t="s">
        <v>51</v>
      </c>
      <c r="T1532" s="17">
        <v>1570</v>
      </c>
      <c r="U1532" s="14" t="s">
        <v>51</v>
      </c>
      <c r="V1532" s="16">
        <f t="shared" si="180"/>
        <v>244303</v>
      </c>
      <c r="W1532" s="16">
        <f t="shared" si="181"/>
        <v>244310</v>
      </c>
      <c r="X1532" s="16">
        <f t="shared" si="182"/>
        <v>244305</v>
      </c>
      <c r="Y1532" s="15" t="s">
        <v>54</v>
      </c>
      <c r="Z1532" s="177">
        <v>244314</v>
      </c>
      <c r="AA1532" s="170"/>
      <c r="AB1532" s="170"/>
      <c r="AC1532" s="170"/>
      <c r="AD1532" s="170"/>
      <c r="AE1532" s="15" t="s">
        <v>54</v>
      </c>
      <c r="AF1532" s="177">
        <v>244315</v>
      </c>
      <c r="AG1532" s="177" t="str">
        <f t="shared" si="183"/>
        <v>Pass</v>
      </c>
      <c r="AH1532" s="177">
        <f t="shared" si="184"/>
        <v>244315</v>
      </c>
      <c r="AK1532" s="176"/>
      <c r="AL1532" s="176"/>
    </row>
    <row r="1533" spans="1:38" ht="36" customHeight="1" x14ac:dyDescent="0.2">
      <c r="A1533" s="14" t="s">
        <v>27</v>
      </c>
      <c r="B1533" s="212">
        <v>244303</v>
      </c>
      <c r="C1533" s="14" t="s">
        <v>547</v>
      </c>
      <c r="D1533" s="14" t="s">
        <v>268</v>
      </c>
      <c r="E1533" s="14" t="s">
        <v>14</v>
      </c>
      <c r="F1533" s="14" t="s">
        <v>324</v>
      </c>
      <c r="G1533" s="179">
        <v>681532</v>
      </c>
      <c r="H1533" s="176" t="s">
        <v>1677</v>
      </c>
      <c r="I1533" s="176" t="s">
        <v>802</v>
      </c>
      <c r="J1533" s="176" t="s">
        <v>131</v>
      </c>
      <c r="K1533" s="176" t="s">
        <v>4454</v>
      </c>
      <c r="L1533" s="40" t="s">
        <v>45</v>
      </c>
      <c r="M1533" s="40" t="s">
        <v>341</v>
      </c>
      <c r="N1533" s="14" t="s">
        <v>4460</v>
      </c>
      <c r="O1533" s="14" t="s">
        <v>543</v>
      </c>
      <c r="P1533" s="14" t="s">
        <v>4467</v>
      </c>
      <c r="Q1533" s="14" t="s">
        <v>529</v>
      </c>
      <c r="R1533" s="17">
        <v>250</v>
      </c>
      <c r="S1533" s="172" t="s">
        <v>51</v>
      </c>
      <c r="T1533" s="17">
        <v>1940</v>
      </c>
      <c r="U1533" s="14" t="s">
        <v>51</v>
      </c>
      <c r="V1533" s="16">
        <f t="shared" si="180"/>
        <v>244303</v>
      </c>
      <c r="W1533" s="16">
        <f t="shared" si="181"/>
        <v>244310</v>
      </c>
      <c r="X1533" s="16">
        <f t="shared" si="182"/>
        <v>244305</v>
      </c>
      <c r="Y1533" s="15" t="s">
        <v>54</v>
      </c>
      <c r="Z1533" s="177">
        <v>244314</v>
      </c>
      <c r="AA1533" s="170"/>
      <c r="AB1533" s="170"/>
      <c r="AC1533" s="170"/>
      <c r="AD1533" s="170"/>
      <c r="AE1533" s="15" t="s">
        <v>54</v>
      </c>
      <c r="AF1533" s="177">
        <v>244315</v>
      </c>
      <c r="AG1533" s="177" t="str">
        <f t="shared" si="183"/>
        <v>Pass</v>
      </c>
      <c r="AH1533" s="177">
        <f t="shared" si="184"/>
        <v>244315</v>
      </c>
      <c r="AK1533" s="176"/>
      <c r="AL1533" s="176"/>
    </row>
    <row r="1534" spans="1:38" ht="36" customHeight="1" x14ac:dyDescent="0.2">
      <c r="A1534" s="14" t="s">
        <v>27</v>
      </c>
      <c r="B1534" s="212">
        <v>244303</v>
      </c>
      <c r="C1534" s="14" t="s">
        <v>547</v>
      </c>
      <c r="D1534" s="14" t="s">
        <v>268</v>
      </c>
      <c r="E1534" s="14" t="s">
        <v>14</v>
      </c>
      <c r="F1534" s="14" t="s">
        <v>324</v>
      </c>
      <c r="G1534" s="179">
        <v>681533</v>
      </c>
      <c r="H1534" s="176" t="s">
        <v>1282</v>
      </c>
      <c r="I1534" s="176" t="s">
        <v>802</v>
      </c>
      <c r="J1534" s="176" t="s">
        <v>128</v>
      </c>
      <c r="K1534" s="176" t="s">
        <v>4455</v>
      </c>
      <c r="L1534" s="40" t="s">
        <v>46</v>
      </c>
      <c r="M1534" s="40" t="s">
        <v>341</v>
      </c>
      <c r="N1534" s="14" t="s">
        <v>4461</v>
      </c>
      <c r="O1534" s="14" t="s">
        <v>4464</v>
      </c>
      <c r="P1534" s="14" t="s">
        <v>4468</v>
      </c>
      <c r="Q1534" s="14" t="s">
        <v>4470</v>
      </c>
      <c r="R1534" s="17">
        <v>300</v>
      </c>
      <c r="S1534" s="172" t="s">
        <v>51</v>
      </c>
      <c r="T1534" s="17">
        <v>2470</v>
      </c>
      <c r="U1534" s="14" t="s">
        <v>51</v>
      </c>
      <c r="V1534" s="16">
        <f t="shared" si="180"/>
        <v>244303</v>
      </c>
      <c r="W1534" s="16">
        <f t="shared" si="181"/>
        <v>244310</v>
      </c>
      <c r="X1534" s="16">
        <f t="shared" si="182"/>
        <v>244305</v>
      </c>
      <c r="Y1534" s="15" t="s">
        <v>54</v>
      </c>
      <c r="Z1534" s="177">
        <v>244314</v>
      </c>
      <c r="AA1534" s="170"/>
      <c r="AB1534" s="170"/>
      <c r="AC1534" s="170"/>
      <c r="AD1534" s="170"/>
      <c r="AE1534" s="15" t="s">
        <v>54</v>
      </c>
      <c r="AF1534" s="177">
        <v>244315</v>
      </c>
      <c r="AG1534" s="177" t="str">
        <f t="shared" si="183"/>
        <v>Pass</v>
      </c>
      <c r="AH1534" s="177">
        <f t="shared" si="184"/>
        <v>244315</v>
      </c>
      <c r="AK1534" s="176"/>
      <c r="AL1534" s="176"/>
    </row>
    <row r="1535" spans="1:38" ht="36" customHeight="1" x14ac:dyDescent="0.2">
      <c r="A1535" s="14" t="s">
        <v>27</v>
      </c>
      <c r="B1535" s="212">
        <v>244303</v>
      </c>
      <c r="C1535" s="14" t="s">
        <v>547</v>
      </c>
      <c r="D1535" s="14" t="s">
        <v>268</v>
      </c>
      <c r="E1535" s="14" t="s">
        <v>14</v>
      </c>
      <c r="F1535" s="14" t="s">
        <v>324</v>
      </c>
      <c r="G1535" s="179">
        <v>681534</v>
      </c>
      <c r="H1535" s="176" t="s">
        <v>1369</v>
      </c>
      <c r="I1535" s="176" t="s">
        <v>514</v>
      </c>
      <c r="J1535" s="176" t="s">
        <v>337</v>
      </c>
      <c r="K1535" s="176" t="s">
        <v>4453</v>
      </c>
      <c r="L1535" s="40" t="s">
        <v>106</v>
      </c>
      <c r="M1535" s="40" t="s">
        <v>341</v>
      </c>
      <c r="N1535" s="14" t="s">
        <v>4462</v>
      </c>
      <c r="O1535" s="14" t="s">
        <v>543</v>
      </c>
      <c r="P1535" s="14" t="s">
        <v>4469</v>
      </c>
      <c r="Q1535" s="14" t="s">
        <v>529</v>
      </c>
      <c r="R1535" s="17">
        <v>300</v>
      </c>
      <c r="S1535" s="172" t="s">
        <v>51</v>
      </c>
      <c r="T1535" s="17">
        <v>1468</v>
      </c>
      <c r="U1535" s="14" t="s">
        <v>51</v>
      </c>
      <c r="V1535" s="16">
        <f t="shared" si="180"/>
        <v>244303</v>
      </c>
      <c r="W1535" s="16">
        <f t="shared" si="181"/>
        <v>244310</v>
      </c>
      <c r="X1535" s="16">
        <f t="shared" si="182"/>
        <v>244305</v>
      </c>
      <c r="Y1535" s="15" t="s">
        <v>54</v>
      </c>
      <c r="Z1535" s="177">
        <v>244314</v>
      </c>
      <c r="AA1535" s="170"/>
      <c r="AB1535" s="170"/>
      <c r="AC1535" s="170"/>
      <c r="AD1535" s="170"/>
      <c r="AE1535" s="15" t="s">
        <v>54</v>
      </c>
      <c r="AF1535" s="177">
        <v>244315</v>
      </c>
      <c r="AG1535" s="177" t="str">
        <f t="shared" si="183"/>
        <v>Pass</v>
      </c>
      <c r="AH1535" s="177">
        <f t="shared" si="184"/>
        <v>244315</v>
      </c>
      <c r="AK1535" s="176"/>
      <c r="AL1535" s="176"/>
    </row>
    <row r="1536" spans="1:38" ht="36" customHeight="1" x14ac:dyDescent="0.2">
      <c r="A1536" s="14" t="s">
        <v>27</v>
      </c>
      <c r="B1536" s="212">
        <v>244303</v>
      </c>
      <c r="C1536" s="14" t="s">
        <v>547</v>
      </c>
      <c r="D1536" s="14" t="s">
        <v>268</v>
      </c>
      <c r="E1536" s="14" t="s">
        <v>14</v>
      </c>
      <c r="F1536" s="14" t="s">
        <v>324</v>
      </c>
      <c r="G1536" s="179">
        <v>681535</v>
      </c>
      <c r="H1536" s="176" t="s">
        <v>1402</v>
      </c>
      <c r="I1536" s="176" t="s">
        <v>1407</v>
      </c>
      <c r="J1536" s="176" t="s">
        <v>1410</v>
      </c>
      <c r="K1536" s="176" t="s">
        <v>4456</v>
      </c>
      <c r="L1536" s="40" t="s">
        <v>45</v>
      </c>
      <c r="M1536" s="40" t="s">
        <v>341</v>
      </c>
      <c r="N1536" s="14" t="s">
        <v>4463</v>
      </c>
      <c r="O1536" s="14" t="s">
        <v>543</v>
      </c>
      <c r="P1536" s="14" t="s">
        <v>517</v>
      </c>
      <c r="Q1536" s="14" t="s">
        <v>529</v>
      </c>
      <c r="R1536" s="17">
        <v>1200</v>
      </c>
      <c r="S1536" s="172" t="s">
        <v>51</v>
      </c>
      <c r="T1536" s="17">
        <v>1360</v>
      </c>
      <c r="U1536" s="14" t="s">
        <v>51</v>
      </c>
      <c r="V1536" s="16">
        <f t="shared" si="180"/>
        <v>244303</v>
      </c>
      <c r="W1536" s="16">
        <f t="shared" si="181"/>
        <v>244310</v>
      </c>
      <c r="X1536" s="16">
        <f t="shared" si="182"/>
        <v>244305</v>
      </c>
      <c r="Y1536" s="15" t="s">
        <v>54</v>
      </c>
      <c r="Z1536" s="177">
        <v>244314</v>
      </c>
      <c r="AA1536" s="170"/>
      <c r="AB1536" s="170"/>
      <c r="AC1536" s="170"/>
      <c r="AD1536" s="170"/>
      <c r="AE1536" s="15" t="s">
        <v>54</v>
      </c>
      <c r="AF1536" s="177">
        <v>244315</v>
      </c>
      <c r="AG1536" s="177" t="str">
        <f t="shared" si="183"/>
        <v>Pass</v>
      </c>
      <c r="AH1536" s="177">
        <f t="shared" si="184"/>
        <v>244315</v>
      </c>
      <c r="AK1536" s="176"/>
      <c r="AL1536" s="176"/>
    </row>
    <row r="1537" spans="1:38" ht="36" customHeight="1" x14ac:dyDescent="0.2">
      <c r="A1537" s="14" t="s">
        <v>27</v>
      </c>
      <c r="B1537" s="212">
        <v>244303</v>
      </c>
      <c r="C1537" s="14" t="s">
        <v>547</v>
      </c>
      <c r="D1537" s="14" t="s">
        <v>268</v>
      </c>
      <c r="E1537" s="14" t="s">
        <v>14</v>
      </c>
      <c r="F1537" s="14" t="s">
        <v>324</v>
      </c>
      <c r="G1537" s="179">
        <v>681536</v>
      </c>
      <c r="H1537" s="176" t="s">
        <v>723</v>
      </c>
      <c r="I1537" s="176" t="s">
        <v>725</v>
      </c>
      <c r="J1537" s="176" t="s">
        <v>123</v>
      </c>
      <c r="K1537" s="176" t="s">
        <v>4471</v>
      </c>
      <c r="L1537" s="40" t="s">
        <v>46</v>
      </c>
      <c r="M1537" s="40" t="s">
        <v>341</v>
      </c>
      <c r="N1537" s="14" t="s">
        <v>4472</v>
      </c>
      <c r="O1537" s="14" t="s">
        <v>548</v>
      </c>
      <c r="P1537" s="14" t="s">
        <v>518</v>
      </c>
      <c r="Q1537" s="14" t="s">
        <v>549</v>
      </c>
      <c r="R1537" s="17">
        <v>300</v>
      </c>
      <c r="S1537" s="172" t="s">
        <v>51</v>
      </c>
      <c r="T1537" s="17">
        <v>1995</v>
      </c>
      <c r="U1537" s="14" t="s">
        <v>51</v>
      </c>
      <c r="V1537" s="16">
        <f t="shared" si="180"/>
        <v>244303</v>
      </c>
      <c r="W1537" s="16">
        <f t="shared" si="181"/>
        <v>244310</v>
      </c>
      <c r="X1537" s="16">
        <f t="shared" si="182"/>
        <v>244305</v>
      </c>
      <c r="Y1537" s="15" t="s">
        <v>54</v>
      </c>
      <c r="Z1537" s="177">
        <v>244314</v>
      </c>
      <c r="AA1537" s="170"/>
      <c r="AB1537" s="170"/>
      <c r="AC1537" s="170"/>
      <c r="AD1537" s="170"/>
      <c r="AE1537" s="15" t="s">
        <v>54</v>
      </c>
      <c r="AF1537" s="177">
        <v>244315</v>
      </c>
      <c r="AG1537" s="177" t="str">
        <f t="shared" si="183"/>
        <v>Pass</v>
      </c>
      <c r="AH1537" s="177">
        <f t="shared" si="184"/>
        <v>244315</v>
      </c>
      <c r="AK1537" s="176"/>
      <c r="AL1537" s="176"/>
    </row>
    <row r="1538" spans="1:38" ht="36" customHeight="1" x14ac:dyDescent="0.2">
      <c r="A1538" s="14" t="s">
        <v>27</v>
      </c>
      <c r="B1538" s="212">
        <v>244303</v>
      </c>
      <c r="C1538" s="14" t="s">
        <v>547</v>
      </c>
      <c r="D1538" s="14" t="s">
        <v>268</v>
      </c>
      <c r="E1538" s="14" t="s">
        <v>14</v>
      </c>
      <c r="F1538" s="14" t="s">
        <v>324</v>
      </c>
      <c r="G1538" s="179">
        <v>681537</v>
      </c>
      <c r="H1538" s="176" t="s">
        <v>723</v>
      </c>
      <c r="I1538" s="176" t="s">
        <v>725</v>
      </c>
      <c r="J1538" s="176" t="s">
        <v>123</v>
      </c>
      <c r="K1538" s="176" t="s">
        <v>4471</v>
      </c>
      <c r="L1538" s="40" t="s">
        <v>46</v>
      </c>
      <c r="M1538" s="40" t="s">
        <v>341</v>
      </c>
      <c r="N1538" s="14" t="s">
        <v>4473</v>
      </c>
      <c r="O1538" s="14" t="s">
        <v>543</v>
      </c>
      <c r="P1538" s="14" t="s">
        <v>4474</v>
      </c>
      <c r="Q1538" s="14" t="s">
        <v>529</v>
      </c>
      <c r="R1538" s="17">
        <v>500</v>
      </c>
      <c r="S1538" s="172" t="s">
        <v>51</v>
      </c>
      <c r="T1538" s="17">
        <v>1995</v>
      </c>
      <c r="U1538" s="14" t="s">
        <v>51</v>
      </c>
      <c r="V1538" s="16">
        <f t="shared" si="180"/>
        <v>244303</v>
      </c>
      <c r="W1538" s="16">
        <f t="shared" si="181"/>
        <v>244310</v>
      </c>
      <c r="X1538" s="16">
        <f t="shared" si="182"/>
        <v>244305</v>
      </c>
      <c r="Y1538" s="15" t="s">
        <v>54</v>
      </c>
      <c r="Z1538" s="177">
        <v>244319</v>
      </c>
      <c r="AA1538" s="170"/>
      <c r="AB1538" s="170"/>
      <c r="AC1538" s="170"/>
      <c r="AD1538" s="170"/>
      <c r="AE1538" s="15" t="s">
        <v>54</v>
      </c>
      <c r="AF1538" s="177">
        <v>244319</v>
      </c>
      <c r="AG1538" s="177" t="str">
        <f t="shared" si="183"/>
        <v>Pass</v>
      </c>
      <c r="AH1538" s="177">
        <f t="shared" si="184"/>
        <v>244319</v>
      </c>
      <c r="AK1538" s="176"/>
      <c r="AL1538" s="176"/>
    </row>
    <row r="1539" spans="1:38" ht="36" customHeight="1" x14ac:dyDescent="0.2">
      <c r="A1539" s="14" t="s">
        <v>27</v>
      </c>
      <c r="B1539" s="212">
        <v>244305</v>
      </c>
      <c r="C1539" s="14" t="s">
        <v>547</v>
      </c>
      <c r="D1539" s="14" t="s">
        <v>268</v>
      </c>
      <c r="E1539" s="14" t="s">
        <v>14</v>
      </c>
      <c r="F1539" s="14" t="s">
        <v>324</v>
      </c>
      <c r="G1539" s="179">
        <v>681538</v>
      </c>
      <c r="H1539" s="176" t="s">
        <v>4008</v>
      </c>
      <c r="I1539" s="176" t="s">
        <v>802</v>
      </c>
      <c r="J1539" s="176" t="s">
        <v>143</v>
      </c>
      <c r="K1539" s="176" t="s">
        <v>4477</v>
      </c>
      <c r="L1539" s="40" t="s">
        <v>105</v>
      </c>
      <c r="M1539" s="40" t="s">
        <v>341</v>
      </c>
      <c r="N1539" s="14" t="s">
        <v>4480</v>
      </c>
      <c r="O1539" s="14" t="s">
        <v>543</v>
      </c>
      <c r="P1539" s="14" t="s">
        <v>4483</v>
      </c>
      <c r="Q1539" s="14" t="s">
        <v>529</v>
      </c>
      <c r="R1539" s="17">
        <v>600</v>
      </c>
      <c r="S1539" s="172" t="s">
        <v>51</v>
      </c>
      <c r="T1539" s="17">
        <v>2034</v>
      </c>
      <c r="U1539" s="14" t="s">
        <v>51</v>
      </c>
      <c r="V1539" s="16">
        <f t="shared" si="180"/>
        <v>244305</v>
      </c>
      <c r="W1539" s="16">
        <f t="shared" si="181"/>
        <v>244312</v>
      </c>
      <c r="X1539" s="16">
        <f t="shared" si="182"/>
        <v>244307</v>
      </c>
      <c r="Y1539" s="15" t="s">
        <v>54</v>
      </c>
      <c r="Z1539" s="177">
        <v>244314</v>
      </c>
      <c r="AA1539" s="170"/>
      <c r="AB1539" s="170"/>
      <c r="AC1539" s="170"/>
      <c r="AD1539" s="170"/>
      <c r="AE1539" s="15" t="s">
        <v>54</v>
      </c>
      <c r="AF1539" s="177">
        <v>244315</v>
      </c>
      <c r="AG1539" s="177" t="str">
        <f t="shared" si="183"/>
        <v>Pass</v>
      </c>
      <c r="AH1539" s="177">
        <f t="shared" si="184"/>
        <v>244315</v>
      </c>
      <c r="AK1539" s="176"/>
      <c r="AL1539" s="176"/>
    </row>
    <row r="1540" spans="1:38" ht="36" customHeight="1" x14ac:dyDescent="0.2">
      <c r="A1540" s="14" t="s">
        <v>27</v>
      </c>
      <c r="B1540" s="212">
        <v>244305</v>
      </c>
      <c r="C1540" s="14" t="s">
        <v>547</v>
      </c>
      <c r="D1540" s="14" t="s">
        <v>268</v>
      </c>
      <c r="E1540" s="14" t="s">
        <v>14</v>
      </c>
      <c r="F1540" s="14" t="s">
        <v>324</v>
      </c>
      <c r="G1540" s="179">
        <v>681539</v>
      </c>
      <c r="H1540" s="176" t="s">
        <v>4475</v>
      </c>
      <c r="I1540" s="176" t="s">
        <v>802</v>
      </c>
      <c r="J1540" s="176" t="s">
        <v>143</v>
      </c>
      <c r="K1540" s="176" t="s">
        <v>4478</v>
      </c>
      <c r="L1540" s="40" t="s">
        <v>105</v>
      </c>
      <c r="M1540" s="40" t="s">
        <v>341</v>
      </c>
      <c r="N1540" s="14" t="s">
        <v>4481</v>
      </c>
      <c r="O1540" s="14" t="s">
        <v>528</v>
      </c>
      <c r="P1540" s="14" t="s">
        <v>4484</v>
      </c>
      <c r="Q1540" s="14" t="s">
        <v>541</v>
      </c>
      <c r="R1540" s="17">
        <v>300</v>
      </c>
      <c r="S1540" s="172" t="s">
        <v>51</v>
      </c>
      <c r="T1540" s="17">
        <v>1796</v>
      </c>
      <c r="U1540" s="14" t="s">
        <v>51</v>
      </c>
      <c r="V1540" s="16">
        <f t="shared" si="180"/>
        <v>244305</v>
      </c>
      <c r="W1540" s="16">
        <f t="shared" si="181"/>
        <v>244312</v>
      </c>
      <c r="X1540" s="16">
        <f t="shared" si="182"/>
        <v>244307</v>
      </c>
      <c r="Y1540" s="15" t="s">
        <v>54</v>
      </c>
      <c r="Z1540" s="177">
        <v>244314</v>
      </c>
      <c r="AA1540" s="170"/>
      <c r="AB1540" s="170"/>
      <c r="AC1540" s="170"/>
      <c r="AD1540" s="170"/>
      <c r="AE1540" s="15" t="s">
        <v>54</v>
      </c>
      <c r="AF1540" s="177">
        <v>244315</v>
      </c>
      <c r="AG1540" s="177" t="str">
        <f t="shared" si="183"/>
        <v>Pass</v>
      </c>
      <c r="AH1540" s="177">
        <f t="shared" si="184"/>
        <v>244315</v>
      </c>
      <c r="AK1540" s="176"/>
      <c r="AL1540" s="176"/>
    </row>
    <row r="1541" spans="1:38" ht="36" customHeight="1" x14ac:dyDescent="0.2">
      <c r="A1541" s="14" t="s">
        <v>27</v>
      </c>
      <c r="B1541" s="212">
        <v>244305</v>
      </c>
      <c r="C1541" s="14" t="s">
        <v>547</v>
      </c>
      <c r="D1541" s="14" t="s">
        <v>268</v>
      </c>
      <c r="E1541" s="14" t="s">
        <v>14</v>
      </c>
      <c r="F1541" s="14" t="s">
        <v>324</v>
      </c>
      <c r="G1541" s="179">
        <v>681540</v>
      </c>
      <c r="H1541" s="176" t="s">
        <v>4476</v>
      </c>
      <c r="I1541" s="176" t="s">
        <v>908</v>
      </c>
      <c r="J1541" s="176" t="s">
        <v>133</v>
      </c>
      <c r="K1541" s="176" t="s">
        <v>4479</v>
      </c>
      <c r="L1541" s="40" t="s">
        <v>46</v>
      </c>
      <c r="M1541" s="40" t="s">
        <v>341</v>
      </c>
      <c r="N1541" s="14" t="s">
        <v>4482</v>
      </c>
      <c r="O1541" s="14" t="s">
        <v>543</v>
      </c>
      <c r="P1541" s="14" t="s">
        <v>793</v>
      </c>
      <c r="Q1541" s="14" t="s">
        <v>529</v>
      </c>
      <c r="R1541" s="17">
        <v>1037</v>
      </c>
      <c r="S1541" s="172" t="s">
        <v>51</v>
      </c>
      <c r="T1541" s="17">
        <v>1985</v>
      </c>
      <c r="U1541" s="14" t="s">
        <v>51</v>
      </c>
      <c r="V1541" s="16">
        <f t="shared" si="180"/>
        <v>244305</v>
      </c>
      <c r="W1541" s="16">
        <f t="shared" si="181"/>
        <v>244312</v>
      </c>
      <c r="X1541" s="16">
        <f t="shared" si="182"/>
        <v>244307</v>
      </c>
      <c r="Y1541" s="15" t="s">
        <v>54</v>
      </c>
      <c r="Z1541" s="177">
        <v>244304</v>
      </c>
      <c r="AA1541" s="170"/>
      <c r="AB1541" s="170"/>
      <c r="AC1541" s="170"/>
      <c r="AD1541" s="170"/>
      <c r="AE1541" s="15"/>
      <c r="AF1541" s="177"/>
      <c r="AG1541" s="177">
        <f t="shared" si="183"/>
        <v>0</v>
      </c>
      <c r="AH1541" s="177">
        <f t="shared" si="184"/>
        <v>0</v>
      </c>
      <c r="AK1541" s="176"/>
      <c r="AL1541" s="176"/>
    </row>
    <row r="1542" spans="1:38" ht="36" customHeight="1" x14ac:dyDescent="0.2">
      <c r="A1542" s="14" t="s">
        <v>27</v>
      </c>
      <c r="B1542" s="212">
        <v>244305</v>
      </c>
      <c r="C1542" s="14" t="s">
        <v>547</v>
      </c>
      <c r="D1542" s="14" t="s">
        <v>268</v>
      </c>
      <c r="E1542" s="14" t="s">
        <v>14</v>
      </c>
      <c r="F1542" s="14" t="s">
        <v>324</v>
      </c>
      <c r="G1542" s="179">
        <v>681541</v>
      </c>
      <c r="H1542" s="176" t="s">
        <v>4485</v>
      </c>
      <c r="I1542" s="176" t="s">
        <v>802</v>
      </c>
      <c r="J1542" s="176" t="s">
        <v>143</v>
      </c>
      <c r="K1542" s="176" t="s">
        <v>4487</v>
      </c>
      <c r="L1542" s="40" t="s">
        <v>105</v>
      </c>
      <c r="M1542" s="40" t="s">
        <v>341</v>
      </c>
      <c r="N1542" s="14" t="s">
        <v>4492</v>
      </c>
      <c r="O1542" s="14" t="s">
        <v>528</v>
      </c>
      <c r="P1542" s="14" t="s">
        <v>4496</v>
      </c>
      <c r="Q1542" s="14" t="s">
        <v>541</v>
      </c>
      <c r="R1542" s="17">
        <v>900</v>
      </c>
      <c r="S1542" s="172" t="s">
        <v>51</v>
      </c>
      <c r="T1542" s="17">
        <v>2340</v>
      </c>
      <c r="U1542" s="14" t="s">
        <v>51</v>
      </c>
      <c r="V1542" s="16">
        <f t="shared" si="180"/>
        <v>244305</v>
      </c>
      <c r="W1542" s="16">
        <f t="shared" si="181"/>
        <v>244312</v>
      </c>
      <c r="X1542" s="16">
        <f t="shared" si="182"/>
        <v>244307</v>
      </c>
      <c r="Y1542" s="15" t="s">
        <v>54</v>
      </c>
      <c r="Z1542" s="177">
        <v>244314</v>
      </c>
      <c r="AA1542" s="170"/>
      <c r="AB1542" s="170"/>
      <c r="AC1542" s="170"/>
      <c r="AD1542" s="170"/>
      <c r="AE1542" s="15" t="s">
        <v>54</v>
      </c>
      <c r="AF1542" s="177">
        <v>244315</v>
      </c>
      <c r="AG1542" s="177" t="str">
        <f t="shared" si="183"/>
        <v>Pass</v>
      </c>
      <c r="AH1542" s="177">
        <f t="shared" si="184"/>
        <v>244315</v>
      </c>
      <c r="AK1542" s="176"/>
      <c r="AL1542" s="176"/>
    </row>
    <row r="1543" spans="1:38" ht="36" customHeight="1" x14ac:dyDescent="0.2">
      <c r="A1543" s="14" t="s">
        <v>27</v>
      </c>
      <c r="B1543" s="212">
        <v>244305</v>
      </c>
      <c r="C1543" s="14" t="s">
        <v>547</v>
      </c>
      <c r="D1543" s="14" t="s">
        <v>268</v>
      </c>
      <c r="E1543" s="14" t="s">
        <v>14</v>
      </c>
      <c r="F1543" s="14" t="s">
        <v>324</v>
      </c>
      <c r="G1543" s="179">
        <v>681542</v>
      </c>
      <c r="H1543" s="176" t="s">
        <v>663</v>
      </c>
      <c r="I1543" s="176" t="s">
        <v>630</v>
      </c>
      <c r="J1543" s="176" t="s">
        <v>821</v>
      </c>
      <c r="K1543" s="176" t="s">
        <v>4488</v>
      </c>
      <c r="L1543" s="40" t="s">
        <v>124</v>
      </c>
      <c r="M1543" s="40" t="s">
        <v>341</v>
      </c>
      <c r="N1543" s="14" t="s">
        <v>2036</v>
      </c>
      <c r="O1543" s="14" t="s">
        <v>548</v>
      </c>
      <c r="P1543" s="14" t="s">
        <v>518</v>
      </c>
      <c r="Q1543" s="14" t="s">
        <v>518</v>
      </c>
      <c r="R1543" s="17">
        <v>140</v>
      </c>
      <c r="S1543" s="172" t="s">
        <v>51</v>
      </c>
      <c r="T1543" s="17">
        <v>2956</v>
      </c>
      <c r="U1543" s="14" t="s">
        <v>51</v>
      </c>
      <c r="V1543" s="16">
        <f t="shared" si="180"/>
        <v>244305</v>
      </c>
      <c r="W1543" s="16">
        <f t="shared" si="181"/>
        <v>244312</v>
      </c>
      <c r="X1543" s="16">
        <f t="shared" si="182"/>
        <v>244307</v>
      </c>
      <c r="Y1543" s="15" t="s">
        <v>54</v>
      </c>
      <c r="Z1543" s="177">
        <v>244314</v>
      </c>
      <c r="AA1543" s="170"/>
      <c r="AB1543" s="170"/>
      <c r="AC1543" s="170"/>
      <c r="AD1543" s="170"/>
      <c r="AE1543" s="15" t="s">
        <v>54</v>
      </c>
      <c r="AF1543" s="177">
        <v>244315</v>
      </c>
      <c r="AG1543" s="177" t="str">
        <f t="shared" si="183"/>
        <v>Pass</v>
      </c>
      <c r="AH1543" s="177">
        <f t="shared" si="184"/>
        <v>244315</v>
      </c>
      <c r="AK1543" s="176"/>
      <c r="AL1543" s="176"/>
    </row>
    <row r="1544" spans="1:38" ht="36" customHeight="1" x14ac:dyDescent="0.2">
      <c r="A1544" s="14" t="s">
        <v>27</v>
      </c>
      <c r="B1544" s="212">
        <v>244305</v>
      </c>
      <c r="C1544" s="14" t="s">
        <v>547</v>
      </c>
      <c r="D1544" s="14" t="s">
        <v>268</v>
      </c>
      <c r="E1544" s="14" t="s">
        <v>14</v>
      </c>
      <c r="F1544" s="14" t="s">
        <v>324</v>
      </c>
      <c r="G1544" s="179">
        <v>681543</v>
      </c>
      <c r="H1544" s="176" t="s">
        <v>2174</v>
      </c>
      <c r="I1544" s="176" t="s">
        <v>960</v>
      </c>
      <c r="J1544" s="176" t="s">
        <v>127</v>
      </c>
      <c r="K1544" s="176" t="s">
        <v>4489</v>
      </c>
      <c r="L1544" s="40" t="s">
        <v>108</v>
      </c>
      <c r="M1544" s="40" t="s">
        <v>341</v>
      </c>
      <c r="N1544" s="14" t="s">
        <v>4493</v>
      </c>
      <c r="O1544" s="14" t="s">
        <v>552</v>
      </c>
      <c r="P1544" s="14" t="s">
        <v>793</v>
      </c>
      <c r="Q1544" s="14" t="s">
        <v>553</v>
      </c>
      <c r="R1544" s="17">
        <v>1700</v>
      </c>
      <c r="S1544" s="172" t="s">
        <v>51</v>
      </c>
      <c r="T1544" s="17">
        <v>3035</v>
      </c>
      <c r="U1544" s="14" t="s">
        <v>51</v>
      </c>
      <c r="V1544" s="16">
        <f t="shared" si="180"/>
        <v>244305</v>
      </c>
      <c r="W1544" s="16">
        <f t="shared" si="181"/>
        <v>244312</v>
      </c>
      <c r="X1544" s="16">
        <f t="shared" si="182"/>
        <v>244307</v>
      </c>
      <c r="Y1544" s="15" t="s">
        <v>54</v>
      </c>
      <c r="Z1544" s="177">
        <v>244314</v>
      </c>
      <c r="AA1544" s="170"/>
      <c r="AB1544" s="170"/>
      <c r="AC1544" s="170"/>
      <c r="AD1544" s="170"/>
      <c r="AE1544" s="15" t="s">
        <v>54</v>
      </c>
      <c r="AF1544" s="177">
        <v>244315</v>
      </c>
      <c r="AG1544" s="177" t="str">
        <f t="shared" si="183"/>
        <v>Pass</v>
      </c>
      <c r="AH1544" s="177">
        <f t="shared" si="184"/>
        <v>244315</v>
      </c>
      <c r="AK1544" s="176"/>
      <c r="AL1544" s="176"/>
    </row>
    <row r="1545" spans="1:38" ht="36" customHeight="1" x14ac:dyDescent="0.2">
      <c r="A1545" s="14" t="s">
        <v>27</v>
      </c>
      <c r="B1545" s="212">
        <v>244305</v>
      </c>
      <c r="C1545" s="14" t="s">
        <v>547</v>
      </c>
      <c r="D1545" s="14" t="s">
        <v>268</v>
      </c>
      <c r="E1545" s="14" t="s">
        <v>14</v>
      </c>
      <c r="F1545" s="14" t="s">
        <v>324</v>
      </c>
      <c r="G1545" s="179">
        <v>681544</v>
      </c>
      <c r="H1545" s="176" t="s">
        <v>4450</v>
      </c>
      <c r="I1545" s="176" t="s">
        <v>908</v>
      </c>
      <c r="J1545" s="176" t="s">
        <v>123</v>
      </c>
      <c r="K1545" s="176" t="s">
        <v>4490</v>
      </c>
      <c r="L1545" s="40" t="s">
        <v>45</v>
      </c>
      <c r="M1545" s="40" t="s">
        <v>341</v>
      </c>
      <c r="N1545" s="14" t="s">
        <v>4494</v>
      </c>
      <c r="O1545" s="14" t="s">
        <v>552</v>
      </c>
      <c r="P1545" s="14" t="s">
        <v>793</v>
      </c>
      <c r="Q1545" s="14" t="s">
        <v>553</v>
      </c>
      <c r="R1545" s="17">
        <v>200</v>
      </c>
      <c r="S1545" s="172" t="s">
        <v>51</v>
      </c>
      <c r="T1545" s="17">
        <v>2000</v>
      </c>
      <c r="U1545" s="14" t="s">
        <v>51</v>
      </c>
      <c r="V1545" s="16">
        <f t="shared" si="180"/>
        <v>244305</v>
      </c>
      <c r="W1545" s="16">
        <f t="shared" si="181"/>
        <v>244312</v>
      </c>
      <c r="X1545" s="16">
        <f t="shared" si="182"/>
        <v>244307</v>
      </c>
      <c r="Y1545" s="15" t="s">
        <v>54</v>
      </c>
      <c r="Z1545" s="177">
        <v>244304</v>
      </c>
      <c r="AA1545" s="170"/>
      <c r="AB1545" s="170"/>
      <c r="AC1545" s="170"/>
      <c r="AD1545" s="170"/>
      <c r="AE1545" s="15" t="s">
        <v>54</v>
      </c>
      <c r="AF1545" s="177">
        <v>244315</v>
      </c>
      <c r="AG1545" s="177" t="str">
        <f t="shared" si="183"/>
        <v>Pass</v>
      </c>
      <c r="AH1545" s="177">
        <f t="shared" si="184"/>
        <v>244315</v>
      </c>
      <c r="AK1545" s="176"/>
      <c r="AL1545" s="176"/>
    </row>
    <row r="1546" spans="1:38" ht="36" customHeight="1" x14ac:dyDescent="0.2">
      <c r="A1546" s="14" t="s">
        <v>27</v>
      </c>
      <c r="B1546" s="212">
        <v>244305</v>
      </c>
      <c r="C1546" s="14" t="s">
        <v>547</v>
      </c>
      <c r="D1546" s="14" t="s">
        <v>268</v>
      </c>
      <c r="E1546" s="14" t="s">
        <v>14</v>
      </c>
      <c r="F1546" s="14" t="s">
        <v>324</v>
      </c>
      <c r="G1546" s="179">
        <v>681545</v>
      </c>
      <c r="H1546" s="176" t="s">
        <v>4485</v>
      </c>
      <c r="I1546" s="176" t="s">
        <v>802</v>
      </c>
      <c r="J1546" s="176" t="s">
        <v>143</v>
      </c>
      <c r="K1546" s="176" t="s">
        <v>4487</v>
      </c>
      <c r="L1546" s="40" t="s">
        <v>105</v>
      </c>
      <c r="M1546" s="40" t="s">
        <v>341</v>
      </c>
      <c r="N1546" s="14" t="s">
        <v>3096</v>
      </c>
      <c r="O1546" s="14" t="s">
        <v>543</v>
      </c>
      <c r="P1546" s="14" t="s">
        <v>1246</v>
      </c>
      <c r="Q1546" s="14" t="s">
        <v>529</v>
      </c>
      <c r="R1546" s="17">
        <v>400</v>
      </c>
      <c r="S1546" s="172" t="s">
        <v>51</v>
      </c>
      <c r="T1546" s="17">
        <v>2420</v>
      </c>
      <c r="U1546" s="14" t="s">
        <v>51</v>
      </c>
      <c r="V1546" s="16">
        <f t="shared" si="180"/>
        <v>244305</v>
      </c>
      <c r="W1546" s="16">
        <f t="shared" si="181"/>
        <v>244312</v>
      </c>
      <c r="X1546" s="16">
        <f t="shared" si="182"/>
        <v>244307</v>
      </c>
      <c r="Y1546" s="15" t="s">
        <v>54</v>
      </c>
      <c r="Z1546" s="177">
        <v>244314</v>
      </c>
      <c r="AA1546" s="170"/>
      <c r="AB1546" s="170"/>
      <c r="AC1546" s="170"/>
      <c r="AD1546" s="170"/>
      <c r="AE1546" s="15" t="s">
        <v>54</v>
      </c>
      <c r="AF1546" s="177">
        <v>244315</v>
      </c>
      <c r="AG1546" s="177" t="str">
        <f t="shared" si="183"/>
        <v>Pass</v>
      </c>
      <c r="AH1546" s="177">
        <f t="shared" si="184"/>
        <v>244315</v>
      </c>
      <c r="AK1546" s="176"/>
      <c r="AL1546" s="176"/>
    </row>
    <row r="1547" spans="1:38" ht="36" customHeight="1" x14ac:dyDescent="0.2">
      <c r="A1547" s="14" t="s">
        <v>27</v>
      </c>
      <c r="B1547" s="212">
        <v>244305</v>
      </c>
      <c r="C1547" s="14" t="s">
        <v>547</v>
      </c>
      <c r="D1547" s="14" t="s">
        <v>268</v>
      </c>
      <c r="E1547" s="14" t="s">
        <v>14</v>
      </c>
      <c r="F1547" s="14" t="s">
        <v>324</v>
      </c>
      <c r="G1547" s="179">
        <v>681546</v>
      </c>
      <c r="H1547" s="176" t="s">
        <v>4486</v>
      </c>
      <c r="I1547" s="176" t="s">
        <v>725</v>
      </c>
      <c r="J1547" s="176" t="s">
        <v>123</v>
      </c>
      <c r="K1547" s="176" t="s">
        <v>4491</v>
      </c>
      <c r="L1547" s="40" t="s">
        <v>46</v>
      </c>
      <c r="M1547" s="40" t="s">
        <v>341</v>
      </c>
      <c r="N1547" s="14" t="s">
        <v>4495</v>
      </c>
      <c r="O1547" s="14" t="s">
        <v>552</v>
      </c>
      <c r="P1547" s="14" t="s">
        <v>793</v>
      </c>
      <c r="Q1547" s="14" t="s">
        <v>553</v>
      </c>
      <c r="R1547" s="17">
        <v>1975</v>
      </c>
      <c r="S1547" s="172" t="s">
        <v>51</v>
      </c>
      <c r="T1547" s="17">
        <v>2010</v>
      </c>
      <c r="U1547" s="14" t="s">
        <v>51</v>
      </c>
      <c r="V1547" s="16">
        <f t="shared" si="180"/>
        <v>244305</v>
      </c>
      <c r="W1547" s="16">
        <f t="shared" si="181"/>
        <v>244312</v>
      </c>
      <c r="X1547" s="16">
        <f t="shared" si="182"/>
        <v>244307</v>
      </c>
      <c r="Y1547" s="15" t="s">
        <v>54</v>
      </c>
      <c r="Z1547" s="177">
        <v>244314</v>
      </c>
      <c r="AA1547" s="170"/>
      <c r="AB1547" s="170"/>
      <c r="AC1547" s="170"/>
      <c r="AD1547" s="170"/>
      <c r="AE1547" s="15" t="s">
        <v>54</v>
      </c>
      <c r="AF1547" s="177">
        <v>244315</v>
      </c>
      <c r="AG1547" s="177" t="str">
        <f t="shared" si="183"/>
        <v>Pass</v>
      </c>
      <c r="AH1547" s="177">
        <f t="shared" si="184"/>
        <v>244315</v>
      </c>
      <c r="AK1547" s="176"/>
      <c r="AL1547" s="176"/>
    </row>
    <row r="1548" spans="1:38" ht="36" customHeight="1" x14ac:dyDescent="0.2">
      <c r="A1548" s="14" t="s">
        <v>27</v>
      </c>
      <c r="B1548" s="212">
        <v>244305</v>
      </c>
      <c r="C1548" s="14" t="s">
        <v>547</v>
      </c>
      <c r="D1548" s="14" t="s">
        <v>268</v>
      </c>
      <c r="E1548" s="14" t="s">
        <v>14</v>
      </c>
      <c r="F1548" s="14" t="s">
        <v>324</v>
      </c>
      <c r="G1548" s="179">
        <v>681547</v>
      </c>
      <c r="H1548" s="176" t="s">
        <v>4497</v>
      </c>
      <c r="I1548" s="176" t="s">
        <v>4498</v>
      </c>
      <c r="J1548" s="176" t="s">
        <v>1210</v>
      </c>
      <c r="K1548" s="176" t="s">
        <v>4499</v>
      </c>
      <c r="L1548" s="40" t="s">
        <v>108</v>
      </c>
      <c r="M1548" s="40" t="s">
        <v>341</v>
      </c>
      <c r="N1548" s="14" t="s">
        <v>4500</v>
      </c>
      <c r="O1548" s="14" t="s">
        <v>548</v>
      </c>
      <c r="P1548" s="14" t="s">
        <v>518</v>
      </c>
      <c r="Q1548" s="14" t="s">
        <v>518</v>
      </c>
      <c r="R1548" s="17">
        <v>756</v>
      </c>
      <c r="S1548" s="172" t="s">
        <v>51</v>
      </c>
      <c r="T1548" s="17">
        <v>2400</v>
      </c>
      <c r="U1548" s="14" t="s">
        <v>51</v>
      </c>
      <c r="V1548" s="16">
        <f t="shared" si="180"/>
        <v>244305</v>
      </c>
      <c r="W1548" s="16">
        <f t="shared" si="181"/>
        <v>244312</v>
      </c>
      <c r="X1548" s="16">
        <f t="shared" si="182"/>
        <v>244307</v>
      </c>
      <c r="Y1548" s="15" t="s">
        <v>54</v>
      </c>
      <c r="Z1548" s="177">
        <v>244314</v>
      </c>
      <c r="AA1548" s="170"/>
      <c r="AB1548" s="170"/>
      <c r="AC1548" s="170"/>
      <c r="AD1548" s="170"/>
      <c r="AE1548" s="15" t="s">
        <v>54</v>
      </c>
      <c r="AF1548" s="177">
        <v>244315</v>
      </c>
      <c r="AG1548" s="177" t="str">
        <f t="shared" si="183"/>
        <v>Pass</v>
      </c>
      <c r="AH1548" s="177">
        <f t="shared" si="184"/>
        <v>244315</v>
      </c>
      <c r="AK1548" s="176"/>
      <c r="AL1548" s="176"/>
    </row>
    <row r="1549" spans="1:38" ht="36" customHeight="1" x14ac:dyDescent="0.2">
      <c r="A1549" s="14" t="s">
        <v>27</v>
      </c>
      <c r="B1549" s="212">
        <v>244309</v>
      </c>
      <c r="C1549" s="14" t="s">
        <v>547</v>
      </c>
      <c r="D1549" s="14" t="s">
        <v>268</v>
      </c>
      <c r="E1549" s="14" t="s">
        <v>14</v>
      </c>
      <c r="F1549" s="14" t="s">
        <v>324</v>
      </c>
      <c r="G1549" s="179">
        <v>681548</v>
      </c>
      <c r="H1549" s="176" t="s">
        <v>4485</v>
      </c>
      <c r="I1549" s="176" t="s">
        <v>802</v>
      </c>
      <c r="J1549" s="176" t="s">
        <v>143</v>
      </c>
      <c r="K1549" s="176" t="s">
        <v>4487</v>
      </c>
      <c r="L1549" s="40" t="s">
        <v>105</v>
      </c>
      <c r="M1549" s="40" t="s">
        <v>341</v>
      </c>
      <c r="N1549" s="14" t="s">
        <v>4502</v>
      </c>
      <c r="O1549" s="14" t="s">
        <v>648</v>
      </c>
      <c r="P1549" s="14" t="s">
        <v>4510</v>
      </c>
      <c r="Q1549" s="14" t="s">
        <v>656</v>
      </c>
      <c r="R1549" s="17">
        <v>700</v>
      </c>
      <c r="S1549" s="172" t="s">
        <v>51</v>
      </c>
      <c r="T1549" s="17">
        <v>2330</v>
      </c>
      <c r="U1549" s="14" t="s">
        <v>51</v>
      </c>
      <c r="V1549" s="16">
        <f t="shared" si="180"/>
        <v>244309</v>
      </c>
      <c r="W1549" s="16">
        <f t="shared" si="181"/>
        <v>244316</v>
      </c>
      <c r="X1549" s="16">
        <f t="shared" si="182"/>
        <v>244311</v>
      </c>
      <c r="Y1549" s="15" t="s">
        <v>54</v>
      </c>
      <c r="Z1549" s="177">
        <v>244304</v>
      </c>
      <c r="AA1549" s="170"/>
      <c r="AB1549" s="170"/>
      <c r="AC1549" s="170"/>
      <c r="AD1549" s="170"/>
      <c r="AE1549" s="15" t="s">
        <v>54</v>
      </c>
      <c r="AF1549" s="177">
        <v>244315</v>
      </c>
      <c r="AG1549" s="177" t="str">
        <f t="shared" si="183"/>
        <v>Pass</v>
      </c>
      <c r="AH1549" s="177">
        <f t="shared" si="184"/>
        <v>244315</v>
      </c>
      <c r="AK1549" s="176"/>
      <c r="AL1549" s="176"/>
    </row>
    <row r="1550" spans="1:38" ht="36" customHeight="1" x14ac:dyDescent="0.2">
      <c r="A1550" s="14" t="s">
        <v>27</v>
      </c>
      <c r="B1550" s="212">
        <v>244309</v>
      </c>
      <c r="C1550" s="14" t="s">
        <v>547</v>
      </c>
      <c r="D1550" s="14" t="s">
        <v>268</v>
      </c>
      <c r="E1550" s="14" t="s">
        <v>14</v>
      </c>
      <c r="F1550" s="14" t="s">
        <v>324</v>
      </c>
      <c r="G1550" s="179">
        <v>681549</v>
      </c>
      <c r="H1550" s="176" t="s">
        <v>1871</v>
      </c>
      <c r="I1550" s="176" t="s">
        <v>630</v>
      </c>
      <c r="J1550" s="176" t="s">
        <v>520</v>
      </c>
      <c r="K1550" s="176" t="s">
        <v>4522</v>
      </c>
      <c r="L1550" s="40" t="s">
        <v>105</v>
      </c>
      <c r="M1550" s="40" t="s">
        <v>341</v>
      </c>
      <c r="N1550" s="14" t="s">
        <v>4612</v>
      </c>
      <c r="O1550" s="14" t="s">
        <v>4508</v>
      </c>
      <c r="P1550" s="14" t="s">
        <v>4511</v>
      </c>
      <c r="Q1550" s="14" t="s">
        <v>4516</v>
      </c>
      <c r="R1550" s="17">
        <v>621</v>
      </c>
      <c r="S1550" s="172" t="s">
        <v>51</v>
      </c>
      <c r="T1550" s="17">
        <v>3834</v>
      </c>
      <c r="U1550" s="14" t="s">
        <v>51</v>
      </c>
      <c r="V1550" s="16">
        <f t="shared" si="180"/>
        <v>244309</v>
      </c>
      <c r="W1550" s="16">
        <f t="shared" si="181"/>
        <v>244316</v>
      </c>
      <c r="X1550" s="16">
        <f t="shared" si="182"/>
        <v>244311</v>
      </c>
      <c r="Y1550" s="15" t="s">
        <v>54</v>
      </c>
      <c r="Z1550" s="177">
        <v>244314</v>
      </c>
      <c r="AA1550" s="170"/>
      <c r="AB1550" s="170"/>
      <c r="AC1550" s="170"/>
      <c r="AD1550" s="170"/>
      <c r="AE1550" s="15" t="s">
        <v>54</v>
      </c>
      <c r="AF1550" s="177">
        <v>244315</v>
      </c>
      <c r="AG1550" s="177" t="str">
        <f t="shared" si="183"/>
        <v>Pass</v>
      </c>
      <c r="AH1550" s="177">
        <f t="shared" si="184"/>
        <v>244315</v>
      </c>
      <c r="AK1550" s="176"/>
      <c r="AL1550" s="176"/>
    </row>
    <row r="1551" spans="1:38" ht="36" customHeight="1" x14ac:dyDescent="0.2">
      <c r="A1551" s="14" t="s">
        <v>27</v>
      </c>
      <c r="B1551" s="212">
        <v>244309</v>
      </c>
      <c r="C1551" s="14" t="s">
        <v>547</v>
      </c>
      <c r="D1551" s="14" t="s">
        <v>268</v>
      </c>
      <c r="E1551" s="14" t="s">
        <v>14</v>
      </c>
      <c r="F1551" s="14" t="s">
        <v>324</v>
      </c>
      <c r="G1551" s="179">
        <v>681550</v>
      </c>
      <c r="H1551" s="176" t="s">
        <v>1871</v>
      </c>
      <c r="I1551" s="176" t="s">
        <v>630</v>
      </c>
      <c r="J1551" s="176" t="s">
        <v>520</v>
      </c>
      <c r="K1551" s="176" t="s">
        <v>4522</v>
      </c>
      <c r="L1551" s="40" t="s">
        <v>105</v>
      </c>
      <c r="M1551" s="40" t="s">
        <v>341</v>
      </c>
      <c r="N1551" s="14" t="s">
        <v>4503</v>
      </c>
      <c r="O1551" s="14" t="s">
        <v>527</v>
      </c>
      <c r="P1551" s="14" t="s">
        <v>4512</v>
      </c>
      <c r="Q1551" s="14" t="s">
        <v>542</v>
      </c>
      <c r="R1551" s="17">
        <v>120</v>
      </c>
      <c r="S1551" s="172" t="s">
        <v>51</v>
      </c>
      <c r="T1551" s="17">
        <v>2060</v>
      </c>
      <c r="U1551" s="14" t="s">
        <v>51</v>
      </c>
      <c r="V1551" s="16">
        <f t="shared" si="180"/>
        <v>244309</v>
      </c>
      <c r="W1551" s="16">
        <f t="shared" si="181"/>
        <v>244316</v>
      </c>
      <c r="X1551" s="16">
        <f t="shared" si="182"/>
        <v>244311</v>
      </c>
      <c r="Y1551" s="15" t="s">
        <v>54</v>
      </c>
      <c r="Z1551" s="177">
        <v>244314</v>
      </c>
      <c r="AA1551" s="170"/>
      <c r="AB1551" s="170"/>
      <c r="AC1551" s="170"/>
      <c r="AD1551" s="170"/>
      <c r="AE1551" s="15" t="s">
        <v>54</v>
      </c>
      <c r="AF1551" s="177">
        <v>244315</v>
      </c>
      <c r="AG1551" s="177" t="str">
        <f t="shared" si="183"/>
        <v>Pass</v>
      </c>
      <c r="AH1551" s="177">
        <f t="shared" si="184"/>
        <v>244315</v>
      </c>
      <c r="AK1551" s="176"/>
      <c r="AL1551" s="176"/>
    </row>
    <row r="1552" spans="1:38" ht="36" customHeight="1" x14ac:dyDescent="0.2">
      <c r="A1552" s="14" t="s">
        <v>27</v>
      </c>
      <c r="B1552" s="212">
        <v>244309</v>
      </c>
      <c r="C1552" s="14" t="s">
        <v>547</v>
      </c>
      <c r="D1552" s="14" t="s">
        <v>268</v>
      </c>
      <c r="E1552" s="14" t="s">
        <v>14</v>
      </c>
      <c r="F1552" s="14" t="s">
        <v>324</v>
      </c>
      <c r="G1552" s="179">
        <v>681551</v>
      </c>
      <c r="H1552" s="176" t="s">
        <v>1871</v>
      </c>
      <c r="I1552" s="176" t="s">
        <v>630</v>
      </c>
      <c r="J1552" s="176" t="s">
        <v>520</v>
      </c>
      <c r="K1552" s="176" t="s">
        <v>4522</v>
      </c>
      <c r="L1552" s="40" t="s">
        <v>105</v>
      </c>
      <c r="M1552" s="40" t="s">
        <v>341</v>
      </c>
      <c r="N1552" s="14" t="s">
        <v>4504</v>
      </c>
      <c r="O1552" s="14" t="s">
        <v>4509</v>
      </c>
      <c r="P1552" s="14" t="s">
        <v>1125</v>
      </c>
      <c r="Q1552" s="14" t="s">
        <v>4517</v>
      </c>
      <c r="R1552" s="17">
        <v>120</v>
      </c>
      <c r="S1552" s="172" t="s">
        <v>51</v>
      </c>
      <c r="T1552" s="17">
        <v>2049</v>
      </c>
      <c r="U1552" s="14" t="s">
        <v>51</v>
      </c>
      <c r="V1552" s="16">
        <f t="shared" si="180"/>
        <v>244309</v>
      </c>
      <c r="W1552" s="16">
        <f t="shared" si="181"/>
        <v>244316</v>
      </c>
      <c r="X1552" s="16">
        <f t="shared" si="182"/>
        <v>244311</v>
      </c>
      <c r="Y1552" s="15" t="s">
        <v>54</v>
      </c>
      <c r="Z1552" s="177">
        <v>244314</v>
      </c>
      <c r="AA1552" s="170"/>
      <c r="AB1552" s="170"/>
      <c r="AC1552" s="170"/>
      <c r="AD1552" s="170"/>
      <c r="AE1552" s="15" t="s">
        <v>54</v>
      </c>
      <c r="AF1552" s="177">
        <v>244315</v>
      </c>
      <c r="AG1552" s="177" t="str">
        <f t="shared" si="183"/>
        <v>Pass</v>
      </c>
      <c r="AH1552" s="177">
        <f t="shared" si="184"/>
        <v>244315</v>
      </c>
      <c r="AK1552" s="176"/>
      <c r="AL1552" s="176"/>
    </row>
    <row r="1553" spans="1:38" ht="36" customHeight="1" x14ac:dyDescent="0.2">
      <c r="A1553" s="14" t="s">
        <v>27</v>
      </c>
      <c r="B1553" s="212">
        <v>244309</v>
      </c>
      <c r="C1553" s="14" t="s">
        <v>547</v>
      </c>
      <c r="D1553" s="14" t="s">
        <v>268</v>
      </c>
      <c r="E1553" s="14" t="s">
        <v>14</v>
      </c>
      <c r="F1553" s="14" t="s">
        <v>324</v>
      </c>
      <c r="G1553" s="179">
        <v>681552</v>
      </c>
      <c r="H1553" s="176" t="s">
        <v>1369</v>
      </c>
      <c r="I1553" s="176" t="s">
        <v>514</v>
      </c>
      <c r="J1553" s="176" t="s">
        <v>337</v>
      </c>
      <c r="K1553" s="176" t="s">
        <v>4523</v>
      </c>
      <c r="L1553" s="40" t="s">
        <v>106</v>
      </c>
      <c r="M1553" s="40" t="s">
        <v>341</v>
      </c>
      <c r="N1553" s="14" t="s">
        <v>4505</v>
      </c>
      <c r="O1553" s="14" t="s">
        <v>4508</v>
      </c>
      <c r="P1553" s="14" t="s">
        <v>4513</v>
      </c>
      <c r="Q1553" s="14" t="s">
        <v>4516</v>
      </c>
      <c r="R1553" s="17">
        <v>229</v>
      </c>
      <c r="S1553" s="172" t="s">
        <v>51</v>
      </c>
      <c r="T1553" s="17">
        <v>1425</v>
      </c>
      <c r="U1553" s="14" t="s">
        <v>51</v>
      </c>
      <c r="V1553" s="16">
        <f t="shared" si="180"/>
        <v>244309</v>
      </c>
      <c r="W1553" s="16">
        <f t="shared" si="181"/>
        <v>244316</v>
      </c>
      <c r="X1553" s="16">
        <f t="shared" si="182"/>
        <v>244311</v>
      </c>
      <c r="Y1553" s="15" t="s">
        <v>54</v>
      </c>
      <c r="Z1553" s="177">
        <v>244314</v>
      </c>
      <c r="AA1553" s="170"/>
      <c r="AB1553" s="170"/>
      <c r="AC1553" s="170"/>
      <c r="AD1553" s="170"/>
      <c r="AE1553" s="15" t="s">
        <v>54</v>
      </c>
      <c r="AF1553" s="177">
        <v>244315</v>
      </c>
      <c r="AG1553" s="177" t="str">
        <f t="shared" si="183"/>
        <v>Pass</v>
      </c>
      <c r="AH1553" s="177">
        <f t="shared" si="184"/>
        <v>244315</v>
      </c>
      <c r="AK1553" s="176"/>
      <c r="AL1553" s="176"/>
    </row>
    <row r="1554" spans="1:38" ht="36" customHeight="1" x14ac:dyDescent="0.2">
      <c r="A1554" s="14" t="s">
        <v>27</v>
      </c>
      <c r="B1554" s="212">
        <v>244309</v>
      </c>
      <c r="C1554" s="14" t="s">
        <v>547</v>
      </c>
      <c r="D1554" s="14" t="s">
        <v>268</v>
      </c>
      <c r="E1554" s="14" t="s">
        <v>14</v>
      </c>
      <c r="F1554" s="14" t="s">
        <v>324</v>
      </c>
      <c r="G1554" s="179">
        <v>681553</v>
      </c>
      <c r="H1554" s="176" t="s">
        <v>2174</v>
      </c>
      <c r="I1554" s="176" t="s">
        <v>960</v>
      </c>
      <c r="J1554" s="176" t="s">
        <v>127</v>
      </c>
      <c r="K1554" s="176" t="s">
        <v>4489</v>
      </c>
      <c r="L1554" s="40" t="s">
        <v>108</v>
      </c>
      <c r="M1554" s="40" t="s">
        <v>341</v>
      </c>
      <c r="N1554" s="14" t="s">
        <v>4506</v>
      </c>
      <c r="O1554" s="14" t="s">
        <v>543</v>
      </c>
      <c r="P1554" s="14" t="s">
        <v>4514</v>
      </c>
      <c r="Q1554" s="14" t="s">
        <v>529</v>
      </c>
      <c r="R1554" s="17">
        <v>1700</v>
      </c>
      <c r="S1554" s="172" t="s">
        <v>51</v>
      </c>
      <c r="T1554" s="17">
        <v>1960</v>
      </c>
      <c r="U1554" s="14" t="s">
        <v>51</v>
      </c>
      <c r="V1554" s="16">
        <f t="shared" si="180"/>
        <v>244309</v>
      </c>
      <c r="W1554" s="16">
        <f t="shared" si="181"/>
        <v>244316</v>
      </c>
      <c r="X1554" s="16">
        <f t="shared" si="182"/>
        <v>244311</v>
      </c>
      <c r="Y1554" s="15" t="s">
        <v>54</v>
      </c>
      <c r="Z1554" s="177">
        <v>244314</v>
      </c>
      <c r="AA1554" s="170"/>
      <c r="AB1554" s="170"/>
      <c r="AC1554" s="170"/>
      <c r="AD1554" s="170"/>
      <c r="AE1554" s="15" t="s">
        <v>54</v>
      </c>
      <c r="AF1554" s="177">
        <v>244315</v>
      </c>
      <c r="AG1554" s="177" t="str">
        <f t="shared" si="183"/>
        <v>Pass</v>
      </c>
      <c r="AH1554" s="177">
        <f t="shared" si="184"/>
        <v>244315</v>
      </c>
      <c r="AK1554" s="176"/>
      <c r="AL1554" s="176"/>
    </row>
    <row r="1555" spans="1:38" ht="36" customHeight="1" x14ac:dyDescent="0.2">
      <c r="A1555" s="14" t="s">
        <v>27</v>
      </c>
      <c r="B1555" s="212">
        <v>244309</v>
      </c>
      <c r="C1555" s="14" t="s">
        <v>547</v>
      </c>
      <c r="D1555" s="14" t="s">
        <v>268</v>
      </c>
      <c r="E1555" s="14" t="s">
        <v>14</v>
      </c>
      <c r="F1555" s="14" t="s">
        <v>324</v>
      </c>
      <c r="G1555" s="179">
        <v>681554</v>
      </c>
      <c r="H1555" s="176" t="s">
        <v>4501</v>
      </c>
      <c r="I1555" s="176" t="s">
        <v>802</v>
      </c>
      <c r="J1555" s="176" t="s">
        <v>131</v>
      </c>
      <c r="K1555" s="176" t="s">
        <v>4524</v>
      </c>
      <c r="L1555" s="40" t="s">
        <v>45</v>
      </c>
      <c r="M1555" s="40" t="s">
        <v>341</v>
      </c>
      <c r="N1555" s="14" t="s">
        <v>4507</v>
      </c>
      <c r="O1555" s="14" t="s">
        <v>543</v>
      </c>
      <c r="P1555" s="14" t="s">
        <v>4515</v>
      </c>
      <c r="Q1555" s="14" t="s">
        <v>529</v>
      </c>
      <c r="R1555" s="17">
        <v>700</v>
      </c>
      <c r="S1555" s="172" t="s">
        <v>51</v>
      </c>
      <c r="T1555" s="17">
        <v>980</v>
      </c>
      <c r="U1555" s="14" t="s">
        <v>51</v>
      </c>
      <c r="V1555" s="16">
        <f t="shared" si="180"/>
        <v>244309</v>
      </c>
      <c r="W1555" s="16">
        <f t="shared" si="181"/>
        <v>244316</v>
      </c>
      <c r="X1555" s="16">
        <f t="shared" si="182"/>
        <v>244311</v>
      </c>
      <c r="Y1555" s="15" t="s">
        <v>54</v>
      </c>
      <c r="Z1555" s="177">
        <v>244314</v>
      </c>
      <c r="AA1555" s="170"/>
      <c r="AB1555" s="170"/>
      <c r="AC1555" s="170"/>
      <c r="AD1555" s="170"/>
      <c r="AE1555" s="15" t="s">
        <v>54</v>
      </c>
      <c r="AF1555" s="177">
        <v>244315</v>
      </c>
      <c r="AG1555" s="177" t="str">
        <f t="shared" si="183"/>
        <v>Pass</v>
      </c>
      <c r="AH1555" s="177">
        <f t="shared" si="184"/>
        <v>244315</v>
      </c>
      <c r="AK1555" s="176"/>
      <c r="AL1555" s="176"/>
    </row>
    <row r="1556" spans="1:38" ht="36" customHeight="1" x14ac:dyDescent="0.2">
      <c r="A1556" s="14" t="s">
        <v>27</v>
      </c>
      <c r="B1556" s="212">
        <v>244309</v>
      </c>
      <c r="C1556" s="14" t="s">
        <v>547</v>
      </c>
      <c r="D1556" s="14" t="s">
        <v>268</v>
      </c>
      <c r="E1556" s="14" t="s">
        <v>14</v>
      </c>
      <c r="F1556" s="14" t="s">
        <v>324</v>
      </c>
      <c r="G1556" s="179">
        <v>681555</v>
      </c>
      <c r="H1556" s="176" t="s">
        <v>2174</v>
      </c>
      <c r="I1556" s="176" t="s">
        <v>960</v>
      </c>
      <c r="J1556" s="176" t="s">
        <v>127</v>
      </c>
      <c r="K1556" s="176" t="s">
        <v>4489</v>
      </c>
      <c r="L1556" s="40" t="s">
        <v>108</v>
      </c>
      <c r="M1556" s="40" t="s">
        <v>341</v>
      </c>
      <c r="N1556" s="14" t="s">
        <v>4518</v>
      </c>
      <c r="O1556" s="14" t="s">
        <v>552</v>
      </c>
      <c r="P1556" s="14" t="s">
        <v>793</v>
      </c>
      <c r="Q1556" s="14" t="s">
        <v>553</v>
      </c>
      <c r="R1556" s="17">
        <v>1475</v>
      </c>
      <c r="S1556" s="172" t="s">
        <v>51</v>
      </c>
      <c r="T1556" s="17">
        <v>1580</v>
      </c>
      <c r="U1556" s="14" t="s">
        <v>51</v>
      </c>
      <c r="V1556" s="16">
        <f t="shared" si="180"/>
        <v>244309</v>
      </c>
      <c r="W1556" s="16">
        <f t="shared" si="181"/>
        <v>244316</v>
      </c>
      <c r="X1556" s="16">
        <f t="shared" si="182"/>
        <v>244311</v>
      </c>
      <c r="Y1556" s="15" t="s">
        <v>54</v>
      </c>
      <c r="Z1556" s="177">
        <v>244314</v>
      </c>
      <c r="AA1556" s="170"/>
      <c r="AB1556" s="170"/>
      <c r="AC1556" s="170"/>
      <c r="AD1556" s="170"/>
      <c r="AE1556" s="15" t="s">
        <v>54</v>
      </c>
      <c r="AF1556" s="177">
        <v>244315</v>
      </c>
      <c r="AG1556" s="177" t="str">
        <f t="shared" si="183"/>
        <v>Pass</v>
      </c>
      <c r="AH1556" s="177">
        <f t="shared" si="184"/>
        <v>244315</v>
      </c>
      <c r="AK1556" s="176"/>
      <c r="AL1556" s="176"/>
    </row>
    <row r="1557" spans="1:38" ht="36" customHeight="1" x14ac:dyDescent="0.2">
      <c r="A1557" s="14" t="s">
        <v>27</v>
      </c>
      <c r="B1557" s="212">
        <v>244309</v>
      </c>
      <c r="C1557" s="14" t="s">
        <v>547</v>
      </c>
      <c r="D1557" s="14" t="s">
        <v>268</v>
      </c>
      <c r="E1557" s="14" t="s">
        <v>14</v>
      </c>
      <c r="F1557" s="14" t="s">
        <v>324</v>
      </c>
      <c r="G1557" s="179">
        <v>681556</v>
      </c>
      <c r="H1557" s="176">
        <v>935</v>
      </c>
      <c r="I1557" s="176" t="s">
        <v>802</v>
      </c>
      <c r="J1557" s="176" t="s">
        <v>128</v>
      </c>
      <c r="K1557" s="176" t="s">
        <v>4525</v>
      </c>
      <c r="L1557" s="40" t="s">
        <v>46</v>
      </c>
      <c r="M1557" s="40" t="s">
        <v>341</v>
      </c>
      <c r="N1557" s="14" t="s">
        <v>4519</v>
      </c>
      <c r="O1557" s="14" t="s">
        <v>543</v>
      </c>
      <c r="P1557" s="14" t="s">
        <v>4521</v>
      </c>
      <c r="Q1557" s="14" t="s">
        <v>529</v>
      </c>
      <c r="R1557" s="17">
        <v>450</v>
      </c>
      <c r="S1557" s="172" t="s">
        <v>51</v>
      </c>
      <c r="T1557" s="17">
        <v>1515</v>
      </c>
      <c r="U1557" s="14" t="s">
        <v>51</v>
      </c>
      <c r="V1557" s="16">
        <f t="shared" si="180"/>
        <v>244309</v>
      </c>
      <c r="W1557" s="16">
        <f t="shared" si="181"/>
        <v>244316</v>
      </c>
      <c r="X1557" s="16">
        <f t="shared" si="182"/>
        <v>244311</v>
      </c>
      <c r="Y1557" s="15" t="s">
        <v>54</v>
      </c>
      <c r="Z1557" s="177">
        <v>244314</v>
      </c>
      <c r="AA1557" s="170"/>
      <c r="AB1557" s="170"/>
      <c r="AC1557" s="170"/>
      <c r="AD1557" s="170"/>
      <c r="AE1557" s="15" t="s">
        <v>54</v>
      </c>
      <c r="AF1557" s="177">
        <v>244315</v>
      </c>
      <c r="AG1557" s="177" t="str">
        <f t="shared" si="183"/>
        <v>Pass</v>
      </c>
      <c r="AH1557" s="177">
        <f t="shared" si="184"/>
        <v>244315</v>
      </c>
      <c r="AK1557" s="176"/>
      <c r="AL1557" s="176"/>
    </row>
    <row r="1558" spans="1:38" ht="36" customHeight="1" x14ac:dyDescent="0.2">
      <c r="A1558" s="14" t="s">
        <v>27</v>
      </c>
      <c r="B1558" s="212">
        <v>244309</v>
      </c>
      <c r="C1558" s="14" t="s">
        <v>547</v>
      </c>
      <c r="D1558" s="14" t="s">
        <v>268</v>
      </c>
      <c r="E1558" s="14" t="s">
        <v>14</v>
      </c>
      <c r="F1558" s="14" t="s">
        <v>324</v>
      </c>
      <c r="G1558" s="179">
        <v>681557</v>
      </c>
      <c r="H1558" s="176">
        <v>959</v>
      </c>
      <c r="I1558" s="176" t="s">
        <v>802</v>
      </c>
      <c r="J1558" s="176" t="s">
        <v>882</v>
      </c>
      <c r="K1558" s="176" t="s">
        <v>4526</v>
      </c>
      <c r="L1558" s="40" t="s">
        <v>45</v>
      </c>
      <c r="M1558" s="40" t="s">
        <v>341</v>
      </c>
      <c r="N1558" s="14" t="s">
        <v>3341</v>
      </c>
      <c r="O1558" s="14" t="s">
        <v>548</v>
      </c>
      <c r="P1558" s="14" t="s">
        <v>717</v>
      </c>
      <c r="Q1558" s="14" t="s">
        <v>549</v>
      </c>
      <c r="R1558" s="17">
        <v>167</v>
      </c>
      <c r="S1558" s="172" t="s">
        <v>51</v>
      </c>
      <c r="T1558" s="17">
        <v>2300</v>
      </c>
      <c r="U1558" s="14" t="s">
        <v>51</v>
      </c>
      <c r="V1558" s="16">
        <f t="shared" si="180"/>
        <v>244309</v>
      </c>
      <c r="W1558" s="16">
        <f t="shared" si="181"/>
        <v>244316</v>
      </c>
      <c r="X1558" s="16">
        <f t="shared" si="182"/>
        <v>244311</v>
      </c>
      <c r="Y1558" s="15" t="s">
        <v>54</v>
      </c>
      <c r="Z1558" s="177">
        <v>244314</v>
      </c>
      <c r="AA1558" s="170"/>
      <c r="AB1558" s="170"/>
      <c r="AC1558" s="170"/>
      <c r="AD1558" s="170"/>
      <c r="AE1558" s="15" t="s">
        <v>54</v>
      </c>
      <c r="AF1558" s="177">
        <v>244315</v>
      </c>
      <c r="AG1558" s="177" t="str">
        <f t="shared" si="183"/>
        <v>Pass</v>
      </c>
      <c r="AH1558" s="177">
        <f t="shared" si="184"/>
        <v>244315</v>
      </c>
      <c r="AK1558" s="176"/>
      <c r="AL1558" s="176"/>
    </row>
    <row r="1559" spans="1:38" ht="36" customHeight="1" x14ac:dyDescent="0.2">
      <c r="A1559" s="14" t="s">
        <v>27</v>
      </c>
      <c r="B1559" s="212">
        <v>244309</v>
      </c>
      <c r="C1559" s="14" t="s">
        <v>547</v>
      </c>
      <c r="D1559" s="14" t="s">
        <v>268</v>
      </c>
      <c r="E1559" s="14" t="s">
        <v>14</v>
      </c>
      <c r="F1559" s="14" t="s">
        <v>324</v>
      </c>
      <c r="G1559" s="179">
        <v>681558</v>
      </c>
      <c r="H1559" s="176">
        <v>959</v>
      </c>
      <c r="I1559" s="176" t="s">
        <v>802</v>
      </c>
      <c r="J1559" s="176" t="s">
        <v>882</v>
      </c>
      <c r="K1559" s="176" t="s">
        <v>4526</v>
      </c>
      <c r="L1559" s="40" t="s">
        <v>45</v>
      </c>
      <c r="M1559" s="40" t="s">
        <v>341</v>
      </c>
      <c r="N1559" s="14" t="s">
        <v>4520</v>
      </c>
      <c r="O1559" s="14" t="s">
        <v>543</v>
      </c>
      <c r="P1559" s="14" t="s">
        <v>1573</v>
      </c>
      <c r="Q1559" s="14" t="s">
        <v>529</v>
      </c>
      <c r="R1559" s="17">
        <v>425</v>
      </c>
      <c r="S1559" s="172" t="s">
        <v>51</v>
      </c>
      <c r="T1559" s="17">
        <v>2370</v>
      </c>
      <c r="U1559" s="14" t="s">
        <v>51</v>
      </c>
      <c r="V1559" s="16">
        <f t="shared" si="180"/>
        <v>244309</v>
      </c>
      <c r="W1559" s="16">
        <f t="shared" si="181"/>
        <v>244316</v>
      </c>
      <c r="X1559" s="16">
        <f t="shared" si="182"/>
        <v>244311</v>
      </c>
      <c r="Y1559" s="15" t="s">
        <v>54</v>
      </c>
      <c r="Z1559" s="177">
        <v>244314</v>
      </c>
      <c r="AA1559" s="170"/>
      <c r="AB1559" s="170"/>
      <c r="AC1559" s="170"/>
      <c r="AD1559" s="170"/>
      <c r="AE1559" s="15" t="s">
        <v>54</v>
      </c>
      <c r="AF1559" s="177">
        <v>244315</v>
      </c>
      <c r="AG1559" s="177" t="str">
        <f t="shared" si="183"/>
        <v>Pass</v>
      </c>
      <c r="AH1559" s="177">
        <f t="shared" si="184"/>
        <v>244315</v>
      </c>
      <c r="AK1559" s="176"/>
      <c r="AL1559" s="176"/>
    </row>
    <row r="1560" spans="1:38" ht="36" customHeight="1" x14ac:dyDescent="0.2">
      <c r="A1560" s="14" t="s">
        <v>27</v>
      </c>
      <c r="B1560" s="212">
        <v>244310</v>
      </c>
      <c r="C1560" s="14" t="s">
        <v>547</v>
      </c>
      <c r="D1560" s="14" t="s">
        <v>268</v>
      </c>
      <c r="E1560" s="14" t="s">
        <v>14</v>
      </c>
      <c r="F1560" s="14" t="s">
        <v>324</v>
      </c>
      <c r="G1560" s="179">
        <v>681559</v>
      </c>
      <c r="H1560" s="176">
        <v>959</v>
      </c>
      <c r="I1560" s="176" t="s">
        <v>802</v>
      </c>
      <c r="J1560" s="176" t="s">
        <v>882</v>
      </c>
      <c r="K1560" s="176" t="s">
        <v>4526</v>
      </c>
      <c r="L1560" s="40" t="s">
        <v>45</v>
      </c>
      <c r="M1560" s="40" t="s">
        <v>341</v>
      </c>
      <c r="N1560" s="14" t="s">
        <v>4531</v>
      </c>
      <c r="O1560" s="14" t="s">
        <v>548</v>
      </c>
      <c r="P1560" s="14" t="s">
        <v>717</v>
      </c>
      <c r="Q1560" s="14" t="s">
        <v>549</v>
      </c>
      <c r="R1560" s="17">
        <v>223</v>
      </c>
      <c r="S1560" s="172" t="s">
        <v>51</v>
      </c>
      <c r="T1560" s="17">
        <v>2370</v>
      </c>
      <c r="U1560" s="14" t="s">
        <v>51</v>
      </c>
      <c r="V1560" s="16">
        <f t="shared" si="180"/>
        <v>244310</v>
      </c>
      <c r="W1560" s="16">
        <f t="shared" si="181"/>
        <v>244317</v>
      </c>
      <c r="X1560" s="16">
        <f t="shared" si="182"/>
        <v>244312</v>
      </c>
      <c r="Y1560" s="15" t="s">
        <v>54</v>
      </c>
      <c r="Z1560" s="177">
        <v>244314</v>
      </c>
      <c r="AA1560" s="170"/>
      <c r="AB1560" s="170"/>
      <c r="AC1560" s="170"/>
      <c r="AD1560" s="170"/>
      <c r="AE1560" s="15" t="s">
        <v>54</v>
      </c>
      <c r="AF1560" s="177">
        <v>244315</v>
      </c>
      <c r="AG1560" s="177" t="str">
        <f t="shared" si="183"/>
        <v>Pass</v>
      </c>
      <c r="AH1560" s="177">
        <f t="shared" si="184"/>
        <v>244315</v>
      </c>
      <c r="AK1560" s="176"/>
      <c r="AL1560" s="176"/>
    </row>
    <row r="1561" spans="1:38" ht="36" customHeight="1" x14ac:dyDescent="0.2">
      <c r="A1561" s="14" t="s">
        <v>27</v>
      </c>
      <c r="B1561" s="212">
        <v>244310</v>
      </c>
      <c r="C1561" s="14" t="s">
        <v>547</v>
      </c>
      <c r="D1561" s="14" t="s">
        <v>268</v>
      </c>
      <c r="E1561" s="14" t="s">
        <v>14</v>
      </c>
      <c r="F1561" s="14" t="s">
        <v>324</v>
      </c>
      <c r="G1561" s="179">
        <v>681560</v>
      </c>
      <c r="H1561" s="176" t="s">
        <v>142</v>
      </c>
      <c r="I1561" s="176" t="s">
        <v>551</v>
      </c>
      <c r="J1561" s="176" t="s">
        <v>832</v>
      </c>
      <c r="K1561" s="176" t="s">
        <v>4528</v>
      </c>
      <c r="L1561" s="40" t="s">
        <v>108</v>
      </c>
      <c r="M1561" s="40" t="s">
        <v>341</v>
      </c>
      <c r="N1561" s="14" t="s">
        <v>4532</v>
      </c>
      <c r="O1561" s="14" t="s">
        <v>548</v>
      </c>
      <c r="P1561" s="14" t="s">
        <v>717</v>
      </c>
      <c r="Q1561" s="14" t="s">
        <v>549</v>
      </c>
      <c r="R1561" s="17">
        <v>425</v>
      </c>
      <c r="S1561" s="172" t="s">
        <v>51</v>
      </c>
      <c r="T1561" s="17">
        <v>2080</v>
      </c>
      <c r="U1561" s="14" t="s">
        <v>51</v>
      </c>
      <c r="V1561" s="16">
        <f t="shared" si="180"/>
        <v>244310</v>
      </c>
      <c r="W1561" s="16">
        <f t="shared" si="181"/>
        <v>244317</v>
      </c>
      <c r="X1561" s="16">
        <f t="shared" si="182"/>
        <v>244312</v>
      </c>
      <c r="Y1561" s="15" t="s">
        <v>54</v>
      </c>
      <c r="Z1561" s="177">
        <v>244314</v>
      </c>
      <c r="AA1561" s="170"/>
      <c r="AB1561" s="170"/>
      <c r="AC1561" s="170"/>
      <c r="AD1561" s="170"/>
      <c r="AE1561" s="15" t="s">
        <v>54</v>
      </c>
      <c r="AF1561" s="177">
        <v>244315</v>
      </c>
      <c r="AG1561" s="177" t="str">
        <f t="shared" si="183"/>
        <v>Pass</v>
      </c>
      <c r="AH1561" s="177">
        <f t="shared" si="184"/>
        <v>244315</v>
      </c>
      <c r="AK1561" s="176"/>
      <c r="AL1561" s="176"/>
    </row>
    <row r="1562" spans="1:38" ht="36" customHeight="1" x14ac:dyDescent="0.2">
      <c r="A1562" s="14" t="s">
        <v>27</v>
      </c>
      <c r="B1562" s="212">
        <v>244310</v>
      </c>
      <c r="C1562" s="14" t="s">
        <v>547</v>
      </c>
      <c r="D1562" s="14" t="s">
        <v>268</v>
      </c>
      <c r="E1562" s="14" t="s">
        <v>14</v>
      </c>
      <c r="F1562" s="14" t="s">
        <v>324</v>
      </c>
      <c r="G1562" s="179">
        <v>681561</v>
      </c>
      <c r="H1562" s="176" t="s">
        <v>2116</v>
      </c>
      <c r="I1562" s="176" t="s">
        <v>908</v>
      </c>
      <c r="J1562" s="176" t="s">
        <v>133</v>
      </c>
      <c r="K1562" s="176" t="s">
        <v>4529</v>
      </c>
      <c r="L1562" s="40" t="s">
        <v>46</v>
      </c>
      <c r="M1562" s="40" t="s">
        <v>341</v>
      </c>
      <c r="N1562" s="14" t="s">
        <v>4533</v>
      </c>
      <c r="O1562" s="14" t="s">
        <v>552</v>
      </c>
      <c r="P1562" s="14" t="s">
        <v>941</v>
      </c>
      <c r="Q1562" s="14" t="s">
        <v>553</v>
      </c>
      <c r="R1562" s="17">
        <v>936</v>
      </c>
      <c r="S1562" s="172" t="s">
        <v>51</v>
      </c>
      <c r="T1562" s="17">
        <v>1990</v>
      </c>
      <c r="U1562" s="14" t="s">
        <v>51</v>
      </c>
      <c r="V1562" s="16">
        <f t="shared" si="180"/>
        <v>244310</v>
      </c>
      <c r="W1562" s="16">
        <f t="shared" si="181"/>
        <v>244317</v>
      </c>
      <c r="X1562" s="16">
        <f t="shared" si="182"/>
        <v>244312</v>
      </c>
      <c r="Y1562" s="15" t="s">
        <v>54</v>
      </c>
      <c r="Z1562" s="177">
        <v>244314</v>
      </c>
      <c r="AA1562" s="170"/>
      <c r="AB1562" s="170"/>
      <c r="AC1562" s="170"/>
      <c r="AD1562" s="170"/>
      <c r="AE1562" s="15" t="s">
        <v>54</v>
      </c>
      <c r="AF1562" s="177">
        <v>244315</v>
      </c>
      <c r="AG1562" s="177" t="str">
        <f t="shared" si="183"/>
        <v>Pass</v>
      </c>
      <c r="AH1562" s="177">
        <f t="shared" si="184"/>
        <v>244315</v>
      </c>
      <c r="AK1562" s="176"/>
      <c r="AL1562" s="176"/>
    </row>
    <row r="1563" spans="1:38" ht="36" customHeight="1" x14ac:dyDescent="0.2">
      <c r="A1563" s="14" t="s">
        <v>27</v>
      </c>
      <c r="B1563" s="212">
        <v>244310</v>
      </c>
      <c r="C1563" s="14" t="s">
        <v>547</v>
      </c>
      <c r="D1563" s="14" t="s">
        <v>268</v>
      </c>
      <c r="E1563" s="14" t="s">
        <v>14</v>
      </c>
      <c r="F1563" s="14" t="s">
        <v>324</v>
      </c>
      <c r="G1563" s="179">
        <v>681562</v>
      </c>
      <c r="H1563" s="176" t="s">
        <v>1369</v>
      </c>
      <c r="I1563" s="176" t="s">
        <v>514</v>
      </c>
      <c r="J1563" s="176" t="s">
        <v>337</v>
      </c>
      <c r="K1563" s="176" t="s">
        <v>4523</v>
      </c>
      <c r="L1563" s="40" t="s">
        <v>106</v>
      </c>
      <c r="M1563" s="40" t="s">
        <v>341</v>
      </c>
      <c r="N1563" s="14" t="s">
        <v>3035</v>
      </c>
      <c r="O1563" s="14" t="s">
        <v>548</v>
      </c>
      <c r="P1563" s="14" t="s">
        <v>717</v>
      </c>
      <c r="Q1563" s="14" t="s">
        <v>549</v>
      </c>
      <c r="R1563" s="17">
        <v>215</v>
      </c>
      <c r="S1563" s="172" t="s">
        <v>51</v>
      </c>
      <c r="T1563" s="17">
        <v>1480</v>
      </c>
      <c r="U1563" s="14" t="s">
        <v>51</v>
      </c>
      <c r="V1563" s="16">
        <f t="shared" si="180"/>
        <v>244310</v>
      </c>
      <c r="W1563" s="16">
        <f t="shared" si="181"/>
        <v>244317</v>
      </c>
      <c r="X1563" s="16">
        <f t="shared" si="182"/>
        <v>244312</v>
      </c>
      <c r="Y1563" s="15" t="s">
        <v>54</v>
      </c>
      <c r="Z1563" s="177">
        <v>244314</v>
      </c>
      <c r="AA1563" s="170"/>
      <c r="AB1563" s="170"/>
      <c r="AC1563" s="170"/>
      <c r="AD1563" s="170"/>
      <c r="AE1563" s="15" t="s">
        <v>54</v>
      </c>
      <c r="AF1563" s="177">
        <v>244315</v>
      </c>
      <c r="AG1563" s="177" t="str">
        <f t="shared" si="183"/>
        <v>Pass</v>
      </c>
      <c r="AH1563" s="177">
        <f t="shared" si="184"/>
        <v>244315</v>
      </c>
      <c r="AK1563" s="176"/>
      <c r="AL1563" s="176"/>
    </row>
    <row r="1564" spans="1:38" ht="36" customHeight="1" x14ac:dyDescent="0.2">
      <c r="A1564" s="14" t="s">
        <v>27</v>
      </c>
      <c r="B1564" s="212">
        <v>244310</v>
      </c>
      <c r="C1564" s="14" t="s">
        <v>547</v>
      </c>
      <c r="D1564" s="14" t="s">
        <v>268</v>
      </c>
      <c r="E1564" s="14" t="s">
        <v>14</v>
      </c>
      <c r="F1564" s="14" t="s">
        <v>324</v>
      </c>
      <c r="G1564" s="179">
        <v>681563</v>
      </c>
      <c r="H1564" s="176" t="s">
        <v>4527</v>
      </c>
      <c r="I1564" s="176" t="s">
        <v>612</v>
      </c>
      <c r="J1564" s="176" t="s">
        <v>131</v>
      </c>
      <c r="K1564" s="176" t="s">
        <v>4530</v>
      </c>
      <c r="L1564" s="40" t="s">
        <v>45</v>
      </c>
      <c r="M1564" s="40" t="s">
        <v>341</v>
      </c>
      <c r="N1564" s="14" t="s">
        <v>4534</v>
      </c>
      <c r="O1564" s="14" t="s">
        <v>543</v>
      </c>
      <c r="P1564" s="14" t="s">
        <v>4535</v>
      </c>
      <c r="Q1564" s="14" t="s">
        <v>529</v>
      </c>
      <c r="R1564" s="17">
        <v>600</v>
      </c>
      <c r="S1564" s="172" t="s">
        <v>51</v>
      </c>
      <c r="T1564" s="17">
        <v>1720</v>
      </c>
      <c r="U1564" s="14" t="s">
        <v>51</v>
      </c>
      <c r="V1564" s="16">
        <f t="shared" si="180"/>
        <v>244310</v>
      </c>
      <c r="W1564" s="16">
        <f t="shared" si="181"/>
        <v>244317</v>
      </c>
      <c r="X1564" s="16">
        <f t="shared" si="182"/>
        <v>244312</v>
      </c>
      <c r="Y1564" s="15" t="s">
        <v>54</v>
      </c>
      <c r="Z1564" s="177">
        <v>244314</v>
      </c>
      <c r="AA1564" s="170"/>
      <c r="AB1564" s="170"/>
      <c r="AC1564" s="170"/>
      <c r="AD1564" s="170"/>
      <c r="AE1564" s="15" t="s">
        <v>54</v>
      </c>
      <c r="AF1564" s="177">
        <v>244315</v>
      </c>
      <c r="AG1564" s="177" t="str">
        <f t="shared" si="183"/>
        <v>Pass</v>
      </c>
      <c r="AH1564" s="177">
        <f t="shared" si="184"/>
        <v>244315</v>
      </c>
      <c r="AK1564" s="176"/>
      <c r="AL1564" s="176"/>
    </row>
    <row r="1565" spans="1:38" ht="36" customHeight="1" x14ac:dyDescent="0.2">
      <c r="A1565" s="14" t="s">
        <v>27</v>
      </c>
      <c r="B1565" s="212">
        <v>244310</v>
      </c>
      <c r="C1565" s="14" t="s">
        <v>547</v>
      </c>
      <c r="D1565" s="14" t="s">
        <v>268</v>
      </c>
      <c r="E1565" s="14" t="s">
        <v>14</v>
      </c>
      <c r="F1565" s="14" t="s">
        <v>324</v>
      </c>
      <c r="G1565" s="179">
        <v>681564</v>
      </c>
      <c r="H1565" s="176" t="s">
        <v>4527</v>
      </c>
      <c r="I1565" s="176" t="s">
        <v>612</v>
      </c>
      <c r="J1565" s="176" t="s">
        <v>131</v>
      </c>
      <c r="K1565" s="176" t="s">
        <v>4530</v>
      </c>
      <c r="L1565" s="40" t="s">
        <v>45</v>
      </c>
      <c r="M1565" s="40" t="s">
        <v>341</v>
      </c>
      <c r="N1565" s="14" t="s">
        <v>1463</v>
      </c>
      <c r="O1565" s="14" t="s">
        <v>548</v>
      </c>
      <c r="P1565" s="14" t="s">
        <v>717</v>
      </c>
      <c r="Q1565" s="14" t="s">
        <v>549</v>
      </c>
      <c r="R1565" s="17">
        <v>121</v>
      </c>
      <c r="S1565" s="172" t="s">
        <v>51</v>
      </c>
      <c r="T1565" s="17">
        <v>1720</v>
      </c>
      <c r="U1565" s="14" t="s">
        <v>51</v>
      </c>
      <c r="V1565" s="16">
        <f t="shared" si="180"/>
        <v>244310</v>
      </c>
      <c r="W1565" s="16">
        <f t="shared" si="181"/>
        <v>244317</v>
      </c>
      <c r="X1565" s="16">
        <f t="shared" si="182"/>
        <v>244312</v>
      </c>
      <c r="Y1565" s="15" t="s">
        <v>54</v>
      </c>
      <c r="Z1565" s="177">
        <v>244314</v>
      </c>
      <c r="AA1565" s="170"/>
      <c r="AB1565" s="170"/>
      <c r="AC1565" s="170"/>
      <c r="AD1565" s="170"/>
      <c r="AE1565" s="15" t="s">
        <v>54</v>
      </c>
      <c r="AF1565" s="177">
        <v>244315</v>
      </c>
      <c r="AG1565" s="177" t="str">
        <f t="shared" si="183"/>
        <v>Pass</v>
      </c>
      <c r="AH1565" s="177">
        <f t="shared" si="184"/>
        <v>244315</v>
      </c>
      <c r="AK1565" s="176"/>
      <c r="AL1565" s="176"/>
    </row>
    <row r="1566" spans="1:38" ht="36" customHeight="1" x14ac:dyDescent="0.2">
      <c r="A1566" s="14" t="s">
        <v>27</v>
      </c>
      <c r="B1566" s="212">
        <v>244310</v>
      </c>
      <c r="C1566" s="14" t="s">
        <v>547</v>
      </c>
      <c r="D1566" s="14" t="s">
        <v>268</v>
      </c>
      <c r="E1566" s="14" t="s">
        <v>14</v>
      </c>
      <c r="F1566" s="14" t="s">
        <v>324</v>
      </c>
      <c r="G1566" s="179">
        <v>681565</v>
      </c>
      <c r="H1566" s="176" t="s">
        <v>142</v>
      </c>
      <c r="I1566" s="176" t="s">
        <v>551</v>
      </c>
      <c r="J1566" s="176" t="s">
        <v>832</v>
      </c>
      <c r="K1566" s="176" t="s">
        <v>4528</v>
      </c>
      <c r="L1566" s="40" t="s">
        <v>108</v>
      </c>
      <c r="M1566" s="40" t="s">
        <v>341</v>
      </c>
      <c r="N1566" s="14" t="s">
        <v>765</v>
      </c>
      <c r="O1566" s="14" t="s">
        <v>548</v>
      </c>
      <c r="P1566" s="14" t="s">
        <v>717</v>
      </c>
      <c r="Q1566" s="14" t="s">
        <v>549</v>
      </c>
      <c r="R1566" s="17">
        <v>200</v>
      </c>
      <c r="S1566" s="172" t="s">
        <v>51</v>
      </c>
      <c r="T1566" s="17">
        <v>3010</v>
      </c>
      <c r="U1566" s="14" t="s">
        <v>51</v>
      </c>
      <c r="V1566" s="16">
        <f t="shared" ref="V1566:V1600" si="185">B1566</f>
        <v>244310</v>
      </c>
      <c r="W1566" s="16">
        <f t="shared" ref="W1566:W1600" si="186">B1566+7</f>
        <v>244317</v>
      </c>
      <c r="X1566" s="16">
        <f t="shared" ref="X1566:X1600" si="187">V1566+2</f>
        <v>244312</v>
      </c>
      <c r="Y1566" s="15" t="s">
        <v>54</v>
      </c>
      <c r="Z1566" s="177">
        <v>244314</v>
      </c>
      <c r="AA1566" s="170"/>
      <c r="AB1566" s="170"/>
      <c r="AC1566" s="170"/>
      <c r="AD1566" s="170"/>
      <c r="AE1566" s="15" t="s">
        <v>54</v>
      </c>
      <c r="AF1566" s="177">
        <v>244315</v>
      </c>
      <c r="AG1566" s="177" t="str">
        <f t="shared" ref="AG1566:AG1600" si="188">AE1566</f>
        <v>Pass</v>
      </c>
      <c r="AH1566" s="177">
        <f t="shared" ref="AH1566:AH1600" si="189">AF1566</f>
        <v>244315</v>
      </c>
      <c r="AK1566" s="176"/>
      <c r="AL1566" s="176"/>
    </row>
    <row r="1567" spans="1:38" ht="36" customHeight="1" x14ac:dyDescent="0.2">
      <c r="A1567" s="14" t="s">
        <v>27</v>
      </c>
      <c r="B1567" s="212">
        <v>244310</v>
      </c>
      <c r="C1567" s="14" t="s">
        <v>547</v>
      </c>
      <c r="D1567" s="14" t="s">
        <v>268</v>
      </c>
      <c r="E1567" s="14" t="s">
        <v>14</v>
      </c>
      <c r="F1567" s="14" t="s">
        <v>324</v>
      </c>
      <c r="G1567" s="179">
        <v>681566</v>
      </c>
      <c r="H1567" s="176" t="s">
        <v>4536</v>
      </c>
      <c r="I1567" s="176" t="s">
        <v>908</v>
      </c>
      <c r="J1567" s="176" t="s">
        <v>123</v>
      </c>
      <c r="K1567" s="176" t="s">
        <v>4537</v>
      </c>
      <c r="L1567" s="40" t="s">
        <v>46</v>
      </c>
      <c r="M1567" s="40" t="s">
        <v>341</v>
      </c>
      <c r="N1567" s="14" t="s">
        <v>2047</v>
      </c>
      <c r="O1567" s="14" t="s">
        <v>552</v>
      </c>
      <c r="P1567" s="14" t="s">
        <v>1489</v>
      </c>
      <c r="Q1567" s="14" t="s">
        <v>553</v>
      </c>
      <c r="R1567" s="17">
        <v>200</v>
      </c>
      <c r="S1567" s="172" t="s">
        <v>51</v>
      </c>
      <c r="T1567" s="17">
        <v>1930</v>
      </c>
      <c r="U1567" s="14" t="s">
        <v>51</v>
      </c>
      <c r="V1567" s="16">
        <f t="shared" si="185"/>
        <v>244310</v>
      </c>
      <c r="W1567" s="16">
        <f t="shared" si="186"/>
        <v>244317</v>
      </c>
      <c r="X1567" s="16">
        <f t="shared" si="187"/>
        <v>244312</v>
      </c>
      <c r="Y1567" s="15" t="s">
        <v>54</v>
      </c>
      <c r="Z1567" s="177">
        <v>244314</v>
      </c>
      <c r="AA1567" s="170"/>
      <c r="AB1567" s="170"/>
      <c r="AC1567" s="170"/>
      <c r="AD1567" s="170"/>
      <c r="AE1567" s="15" t="s">
        <v>54</v>
      </c>
      <c r="AF1567" s="177">
        <v>244315</v>
      </c>
      <c r="AG1567" s="177" t="str">
        <f t="shared" si="188"/>
        <v>Pass</v>
      </c>
      <c r="AH1567" s="177">
        <f t="shared" si="189"/>
        <v>244315</v>
      </c>
      <c r="AK1567" s="176"/>
      <c r="AL1567" s="176"/>
    </row>
    <row r="1568" spans="1:38" ht="36" customHeight="1" x14ac:dyDescent="0.2">
      <c r="A1568" s="14" t="s">
        <v>27</v>
      </c>
      <c r="B1568" s="212">
        <v>244310</v>
      </c>
      <c r="C1568" s="14" t="s">
        <v>547</v>
      </c>
      <c r="D1568" s="14" t="s">
        <v>268</v>
      </c>
      <c r="E1568" s="14" t="s">
        <v>14</v>
      </c>
      <c r="F1568" s="14" t="s">
        <v>324</v>
      </c>
      <c r="G1568" s="179">
        <v>681567</v>
      </c>
      <c r="H1568" s="176" t="s">
        <v>1662</v>
      </c>
      <c r="I1568" s="176" t="s">
        <v>908</v>
      </c>
      <c r="J1568" s="176" t="s">
        <v>123</v>
      </c>
      <c r="K1568" s="176" t="s">
        <v>4538</v>
      </c>
      <c r="L1568" s="40" t="s">
        <v>46</v>
      </c>
      <c r="M1568" s="40" t="s">
        <v>341</v>
      </c>
      <c r="N1568" s="14" t="s">
        <v>4540</v>
      </c>
      <c r="O1568" s="14" t="s">
        <v>756</v>
      </c>
      <c r="P1568" s="14" t="s">
        <v>517</v>
      </c>
      <c r="Q1568" s="14" t="s">
        <v>758</v>
      </c>
      <c r="R1568" s="17">
        <v>500</v>
      </c>
      <c r="S1568" s="172" t="s">
        <v>51</v>
      </c>
      <c r="T1568" s="17">
        <v>1950</v>
      </c>
      <c r="U1568" s="14" t="s">
        <v>51</v>
      </c>
      <c r="V1568" s="16">
        <f t="shared" si="185"/>
        <v>244310</v>
      </c>
      <c r="W1568" s="16">
        <f t="shared" si="186"/>
        <v>244317</v>
      </c>
      <c r="X1568" s="16">
        <f t="shared" si="187"/>
        <v>244312</v>
      </c>
      <c r="Y1568" s="15" t="s">
        <v>54</v>
      </c>
      <c r="Z1568" s="177">
        <v>244314</v>
      </c>
      <c r="AA1568" s="170"/>
      <c r="AB1568" s="170"/>
      <c r="AC1568" s="170"/>
      <c r="AD1568" s="170"/>
      <c r="AE1568" s="15" t="s">
        <v>54</v>
      </c>
      <c r="AF1568" s="177">
        <v>244315</v>
      </c>
      <c r="AG1568" s="177" t="str">
        <f t="shared" si="188"/>
        <v>Pass</v>
      </c>
      <c r="AH1568" s="177">
        <f t="shared" si="189"/>
        <v>244315</v>
      </c>
      <c r="AK1568" s="176"/>
      <c r="AL1568" s="176"/>
    </row>
    <row r="1569" spans="1:38" ht="36" customHeight="1" x14ac:dyDescent="0.2">
      <c r="A1569" s="14" t="s">
        <v>27</v>
      </c>
      <c r="B1569" s="212">
        <v>244310</v>
      </c>
      <c r="C1569" s="14" t="s">
        <v>547</v>
      </c>
      <c r="D1569" s="14" t="s">
        <v>268</v>
      </c>
      <c r="E1569" s="14" t="s">
        <v>14</v>
      </c>
      <c r="F1569" s="14" t="s">
        <v>324</v>
      </c>
      <c r="G1569" s="179">
        <v>681568</v>
      </c>
      <c r="H1569" s="176" t="s">
        <v>1282</v>
      </c>
      <c r="I1569" s="176" t="s">
        <v>802</v>
      </c>
      <c r="J1569" s="176" t="s">
        <v>128</v>
      </c>
      <c r="K1569" s="176" t="s">
        <v>4539</v>
      </c>
      <c r="L1569" s="40" t="s">
        <v>46</v>
      </c>
      <c r="M1569" s="40" t="s">
        <v>341</v>
      </c>
      <c r="N1569" s="14" t="s">
        <v>4541</v>
      </c>
      <c r="O1569" s="14" t="s">
        <v>528</v>
      </c>
      <c r="P1569" s="14" t="s">
        <v>517</v>
      </c>
      <c r="Q1569" s="14" t="s">
        <v>541</v>
      </c>
      <c r="R1569" s="17">
        <v>700</v>
      </c>
      <c r="S1569" s="172" t="s">
        <v>51</v>
      </c>
      <c r="T1569" s="17">
        <v>935</v>
      </c>
      <c r="U1569" s="14" t="s">
        <v>51</v>
      </c>
      <c r="V1569" s="16">
        <f t="shared" si="185"/>
        <v>244310</v>
      </c>
      <c r="W1569" s="16">
        <f t="shared" si="186"/>
        <v>244317</v>
      </c>
      <c r="X1569" s="16">
        <f t="shared" si="187"/>
        <v>244312</v>
      </c>
      <c r="Y1569" s="15" t="s">
        <v>54</v>
      </c>
      <c r="Z1569" s="177">
        <v>244314</v>
      </c>
      <c r="AA1569" s="170"/>
      <c r="AB1569" s="170"/>
      <c r="AC1569" s="170"/>
      <c r="AD1569" s="170"/>
      <c r="AE1569" s="15" t="s">
        <v>54</v>
      </c>
      <c r="AF1569" s="177">
        <v>244315</v>
      </c>
      <c r="AG1569" s="177" t="str">
        <f t="shared" si="188"/>
        <v>Pass</v>
      </c>
      <c r="AH1569" s="177">
        <f t="shared" si="189"/>
        <v>244315</v>
      </c>
      <c r="AK1569" s="176"/>
      <c r="AL1569" s="176"/>
    </row>
    <row r="1570" spans="1:38" ht="36" customHeight="1" x14ac:dyDescent="0.2">
      <c r="A1570" s="14" t="s">
        <v>27</v>
      </c>
      <c r="B1570" s="212">
        <v>244314</v>
      </c>
      <c r="C1570" s="14" t="s">
        <v>547</v>
      </c>
      <c r="D1570" s="14" t="s">
        <v>268</v>
      </c>
      <c r="E1570" s="14" t="s">
        <v>14</v>
      </c>
      <c r="F1570" s="14" t="s">
        <v>324</v>
      </c>
      <c r="G1570" s="179">
        <v>681569</v>
      </c>
      <c r="H1570" s="176" t="s">
        <v>861</v>
      </c>
      <c r="I1570" s="176" t="s">
        <v>551</v>
      </c>
      <c r="J1570" s="176" t="s">
        <v>832</v>
      </c>
      <c r="K1570" s="176" t="s">
        <v>4542</v>
      </c>
      <c r="L1570" s="40" t="s">
        <v>108</v>
      </c>
      <c r="M1570" s="40" t="s">
        <v>341</v>
      </c>
      <c r="N1570" s="14" t="s">
        <v>4548</v>
      </c>
      <c r="O1570" s="14" t="s">
        <v>527</v>
      </c>
      <c r="P1570" s="14" t="s">
        <v>1072</v>
      </c>
      <c r="Q1570" s="14" t="s">
        <v>542</v>
      </c>
      <c r="R1570" s="17">
        <v>247</v>
      </c>
      <c r="S1570" s="172" t="s">
        <v>51</v>
      </c>
      <c r="T1570" s="17">
        <v>1235</v>
      </c>
      <c r="U1570" s="14" t="s">
        <v>51</v>
      </c>
      <c r="V1570" s="16">
        <f t="shared" si="185"/>
        <v>244314</v>
      </c>
      <c r="W1570" s="16">
        <f t="shared" si="186"/>
        <v>244321</v>
      </c>
      <c r="X1570" s="16">
        <f t="shared" si="187"/>
        <v>244316</v>
      </c>
      <c r="Y1570" s="15" t="s">
        <v>54</v>
      </c>
      <c r="Z1570" s="177">
        <v>244319</v>
      </c>
      <c r="AA1570" s="170"/>
      <c r="AB1570" s="170"/>
      <c r="AC1570" s="170"/>
      <c r="AD1570" s="170"/>
      <c r="AE1570" s="15" t="s">
        <v>54</v>
      </c>
      <c r="AF1570" s="177">
        <v>244319</v>
      </c>
      <c r="AG1570" s="177" t="str">
        <f t="shared" si="188"/>
        <v>Pass</v>
      </c>
      <c r="AH1570" s="177">
        <f t="shared" si="189"/>
        <v>244319</v>
      </c>
      <c r="AK1570" s="176"/>
      <c r="AL1570" s="176"/>
    </row>
    <row r="1571" spans="1:38" ht="36" customHeight="1" x14ac:dyDescent="0.2">
      <c r="A1571" s="14" t="s">
        <v>27</v>
      </c>
      <c r="B1571" s="212">
        <v>244314</v>
      </c>
      <c r="C1571" s="14" t="s">
        <v>547</v>
      </c>
      <c r="D1571" s="14" t="s">
        <v>268</v>
      </c>
      <c r="E1571" s="14" t="s">
        <v>14</v>
      </c>
      <c r="F1571" s="14" t="s">
        <v>324</v>
      </c>
      <c r="G1571" s="179">
        <v>681570</v>
      </c>
      <c r="H1571" s="176" t="s">
        <v>1871</v>
      </c>
      <c r="I1571" s="176" t="s">
        <v>630</v>
      </c>
      <c r="J1571" s="176" t="s">
        <v>520</v>
      </c>
      <c r="K1571" s="176" t="s">
        <v>4544</v>
      </c>
      <c r="L1571" s="40" t="s">
        <v>105</v>
      </c>
      <c r="M1571" s="40" t="s">
        <v>341</v>
      </c>
      <c r="N1571" s="14" t="s">
        <v>4549</v>
      </c>
      <c r="O1571" s="14" t="s">
        <v>4555</v>
      </c>
      <c r="P1571" s="14" t="s">
        <v>4557</v>
      </c>
      <c r="Q1571" s="14" t="s">
        <v>4559</v>
      </c>
      <c r="R1571" s="17">
        <v>380</v>
      </c>
      <c r="S1571" s="172" t="s">
        <v>51</v>
      </c>
      <c r="T1571" s="17">
        <v>2060</v>
      </c>
      <c r="U1571" s="14" t="s">
        <v>51</v>
      </c>
      <c r="V1571" s="16">
        <f t="shared" si="185"/>
        <v>244314</v>
      </c>
      <c r="W1571" s="16">
        <f t="shared" si="186"/>
        <v>244321</v>
      </c>
      <c r="X1571" s="16">
        <f t="shared" si="187"/>
        <v>244316</v>
      </c>
      <c r="Y1571" s="15" t="s">
        <v>54</v>
      </c>
      <c r="Z1571" s="177">
        <v>244319</v>
      </c>
      <c r="AA1571" s="170"/>
      <c r="AB1571" s="170"/>
      <c r="AC1571" s="170"/>
      <c r="AD1571" s="170"/>
      <c r="AE1571" s="15" t="s">
        <v>54</v>
      </c>
      <c r="AF1571" s="177">
        <v>244319</v>
      </c>
      <c r="AG1571" s="177" t="str">
        <f t="shared" si="188"/>
        <v>Pass</v>
      </c>
      <c r="AH1571" s="177">
        <f t="shared" si="189"/>
        <v>244319</v>
      </c>
      <c r="AK1571" s="176"/>
      <c r="AL1571" s="176"/>
    </row>
    <row r="1572" spans="1:38" ht="36" customHeight="1" x14ac:dyDescent="0.2">
      <c r="A1572" s="14" t="s">
        <v>27</v>
      </c>
      <c r="B1572" s="212">
        <v>244314</v>
      </c>
      <c r="C1572" s="14" t="s">
        <v>547</v>
      </c>
      <c r="D1572" s="14" t="s">
        <v>268</v>
      </c>
      <c r="E1572" s="14" t="s">
        <v>14</v>
      </c>
      <c r="F1572" s="14" t="s">
        <v>324</v>
      </c>
      <c r="G1572" s="179">
        <v>681571</v>
      </c>
      <c r="H1572" s="176" t="s">
        <v>1368</v>
      </c>
      <c r="I1572" s="176" t="s">
        <v>802</v>
      </c>
      <c r="J1572" s="176" t="s">
        <v>128</v>
      </c>
      <c r="K1572" s="176" t="s">
        <v>4543</v>
      </c>
      <c r="L1572" s="40" t="s">
        <v>46</v>
      </c>
      <c r="M1572" s="40" t="s">
        <v>341</v>
      </c>
      <c r="N1572" s="14" t="s">
        <v>4550</v>
      </c>
      <c r="O1572" s="14" t="s">
        <v>543</v>
      </c>
      <c r="P1572" s="14" t="s">
        <v>517</v>
      </c>
      <c r="Q1572" s="14" t="s">
        <v>529</v>
      </c>
      <c r="R1572" s="17">
        <v>800</v>
      </c>
      <c r="S1572" s="172" t="s">
        <v>51</v>
      </c>
      <c r="T1572" s="17">
        <v>2260</v>
      </c>
      <c r="U1572" s="14" t="s">
        <v>51</v>
      </c>
      <c r="V1572" s="16">
        <f t="shared" si="185"/>
        <v>244314</v>
      </c>
      <c r="W1572" s="16">
        <f t="shared" si="186"/>
        <v>244321</v>
      </c>
      <c r="X1572" s="16">
        <f t="shared" si="187"/>
        <v>244316</v>
      </c>
      <c r="Y1572" s="15" t="s">
        <v>54</v>
      </c>
      <c r="Z1572" s="177">
        <v>244319</v>
      </c>
      <c r="AA1572" s="170"/>
      <c r="AB1572" s="170"/>
      <c r="AC1572" s="170"/>
      <c r="AD1572" s="170"/>
      <c r="AE1572" s="15" t="s">
        <v>54</v>
      </c>
      <c r="AF1572" s="177">
        <v>244319</v>
      </c>
      <c r="AG1572" s="177" t="str">
        <f t="shared" si="188"/>
        <v>Pass</v>
      </c>
      <c r="AH1572" s="177">
        <f t="shared" si="189"/>
        <v>244319</v>
      </c>
      <c r="AK1572" s="176"/>
      <c r="AL1572" s="176"/>
    </row>
    <row r="1573" spans="1:38" ht="36" customHeight="1" x14ac:dyDescent="0.2">
      <c r="A1573" s="14" t="s">
        <v>27</v>
      </c>
      <c r="B1573" s="212">
        <v>244314</v>
      </c>
      <c r="C1573" s="14" t="s">
        <v>547</v>
      </c>
      <c r="D1573" s="14" t="s">
        <v>268</v>
      </c>
      <c r="E1573" s="14" t="s">
        <v>14</v>
      </c>
      <c r="F1573" s="14" t="s">
        <v>324</v>
      </c>
      <c r="G1573" s="179">
        <v>681572</v>
      </c>
      <c r="H1573" s="176" t="s">
        <v>3634</v>
      </c>
      <c r="I1573" s="176" t="s">
        <v>551</v>
      </c>
      <c r="J1573" s="176" t="s">
        <v>832</v>
      </c>
      <c r="K1573" s="176" t="s">
        <v>4545</v>
      </c>
      <c r="L1573" s="40" t="s">
        <v>108</v>
      </c>
      <c r="M1573" s="40" t="s">
        <v>341</v>
      </c>
      <c r="N1573" s="14" t="s">
        <v>4551</v>
      </c>
      <c r="O1573" s="14" t="s">
        <v>552</v>
      </c>
      <c r="P1573" s="14" t="s">
        <v>793</v>
      </c>
      <c r="Q1573" s="14" t="s">
        <v>553</v>
      </c>
      <c r="R1573" s="17">
        <v>725</v>
      </c>
      <c r="S1573" s="172" t="s">
        <v>51</v>
      </c>
      <c r="T1573" s="17">
        <v>2925</v>
      </c>
      <c r="U1573" s="14" t="s">
        <v>51</v>
      </c>
      <c r="V1573" s="16">
        <f t="shared" si="185"/>
        <v>244314</v>
      </c>
      <c r="W1573" s="16">
        <f t="shared" si="186"/>
        <v>244321</v>
      </c>
      <c r="X1573" s="16">
        <f t="shared" si="187"/>
        <v>244316</v>
      </c>
      <c r="Y1573" s="15" t="s">
        <v>54</v>
      </c>
      <c r="Z1573" s="177">
        <v>244319</v>
      </c>
      <c r="AA1573" s="170"/>
      <c r="AB1573" s="170"/>
      <c r="AC1573" s="170"/>
      <c r="AD1573" s="170"/>
      <c r="AE1573" s="15" t="s">
        <v>54</v>
      </c>
      <c r="AF1573" s="177">
        <v>244319</v>
      </c>
      <c r="AG1573" s="177" t="str">
        <f t="shared" si="188"/>
        <v>Pass</v>
      </c>
      <c r="AH1573" s="177">
        <f t="shared" si="189"/>
        <v>244319</v>
      </c>
      <c r="AK1573" s="176"/>
      <c r="AL1573" s="176"/>
    </row>
    <row r="1574" spans="1:38" ht="36" customHeight="1" x14ac:dyDescent="0.2">
      <c r="A1574" s="14" t="s">
        <v>27</v>
      </c>
      <c r="B1574" s="212">
        <v>244314</v>
      </c>
      <c r="C1574" s="14" t="s">
        <v>547</v>
      </c>
      <c r="D1574" s="14" t="s">
        <v>268</v>
      </c>
      <c r="E1574" s="14" t="s">
        <v>14</v>
      </c>
      <c r="F1574" s="14" t="s">
        <v>324</v>
      </c>
      <c r="G1574" s="179">
        <v>681573</v>
      </c>
      <c r="H1574" s="176" t="s">
        <v>3634</v>
      </c>
      <c r="I1574" s="176" t="s">
        <v>551</v>
      </c>
      <c r="J1574" s="176" t="s">
        <v>832</v>
      </c>
      <c r="K1574" s="176" t="s">
        <v>4545</v>
      </c>
      <c r="L1574" s="40" t="s">
        <v>108</v>
      </c>
      <c r="M1574" s="40" t="s">
        <v>341</v>
      </c>
      <c r="N1574" s="14" t="s">
        <v>4552</v>
      </c>
      <c r="O1574" s="14" t="s">
        <v>4556</v>
      </c>
      <c r="P1574" s="14" t="s">
        <v>518</v>
      </c>
      <c r="Q1574" s="14" t="s">
        <v>4560</v>
      </c>
      <c r="R1574" s="17">
        <v>291</v>
      </c>
      <c r="S1574" s="172" t="s">
        <v>51</v>
      </c>
      <c r="T1574" s="17">
        <v>1585</v>
      </c>
      <c r="U1574" s="14" t="s">
        <v>51</v>
      </c>
      <c r="V1574" s="16">
        <f t="shared" si="185"/>
        <v>244314</v>
      </c>
      <c r="W1574" s="16">
        <f t="shared" si="186"/>
        <v>244321</v>
      </c>
      <c r="X1574" s="16">
        <f t="shared" si="187"/>
        <v>244316</v>
      </c>
      <c r="Y1574" s="15" t="s">
        <v>54</v>
      </c>
      <c r="Z1574" s="177">
        <v>244319</v>
      </c>
      <c r="AA1574" s="170"/>
      <c r="AB1574" s="170"/>
      <c r="AC1574" s="170"/>
      <c r="AD1574" s="170"/>
      <c r="AE1574" s="15" t="s">
        <v>54</v>
      </c>
      <c r="AF1574" s="177">
        <v>244319</v>
      </c>
      <c r="AG1574" s="177" t="str">
        <f t="shared" si="188"/>
        <v>Pass</v>
      </c>
      <c r="AH1574" s="177">
        <f t="shared" si="189"/>
        <v>244319</v>
      </c>
      <c r="AK1574" s="176"/>
      <c r="AL1574" s="176"/>
    </row>
    <row r="1575" spans="1:38" ht="36" customHeight="1" x14ac:dyDescent="0.2">
      <c r="A1575" s="14" t="s">
        <v>27</v>
      </c>
      <c r="B1575" s="212">
        <v>244314</v>
      </c>
      <c r="C1575" s="14" t="s">
        <v>547</v>
      </c>
      <c r="D1575" s="14" t="s">
        <v>268</v>
      </c>
      <c r="E1575" s="14" t="s">
        <v>14</v>
      </c>
      <c r="F1575" s="14" t="s">
        <v>324</v>
      </c>
      <c r="G1575" s="179">
        <v>681574</v>
      </c>
      <c r="H1575" s="176" t="s">
        <v>760</v>
      </c>
      <c r="I1575" s="176" t="s">
        <v>551</v>
      </c>
      <c r="J1575" s="176" t="s">
        <v>832</v>
      </c>
      <c r="K1575" s="176" t="s">
        <v>4546</v>
      </c>
      <c r="L1575" s="40" t="s">
        <v>108</v>
      </c>
      <c r="M1575" s="40" t="s">
        <v>341</v>
      </c>
      <c r="N1575" s="14" t="s">
        <v>4553</v>
      </c>
      <c r="O1575" s="14" t="s">
        <v>528</v>
      </c>
      <c r="P1575" s="14" t="s">
        <v>2813</v>
      </c>
      <c r="Q1575" s="14" t="s">
        <v>541</v>
      </c>
      <c r="R1575" s="17">
        <v>1300</v>
      </c>
      <c r="S1575" s="172" t="s">
        <v>51</v>
      </c>
      <c r="T1575" s="17">
        <v>2915</v>
      </c>
      <c r="U1575" s="14" t="s">
        <v>51</v>
      </c>
      <c r="V1575" s="16">
        <f t="shared" si="185"/>
        <v>244314</v>
      </c>
      <c r="W1575" s="16">
        <f t="shared" si="186"/>
        <v>244321</v>
      </c>
      <c r="X1575" s="16">
        <f t="shared" si="187"/>
        <v>244316</v>
      </c>
      <c r="Y1575" s="15" t="s">
        <v>54</v>
      </c>
      <c r="Z1575" s="177">
        <v>244319</v>
      </c>
      <c r="AA1575" s="170"/>
      <c r="AB1575" s="170"/>
      <c r="AC1575" s="170"/>
      <c r="AD1575" s="170"/>
      <c r="AE1575" s="15" t="s">
        <v>54</v>
      </c>
      <c r="AF1575" s="177">
        <v>244319</v>
      </c>
      <c r="AG1575" s="177" t="str">
        <f t="shared" si="188"/>
        <v>Pass</v>
      </c>
      <c r="AH1575" s="177">
        <f t="shared" si="189"/>
        <v>244319</v>
      </c>
      <c r="AK1575" s="176"/>
      <c r="AL1575" s="176"/>
    </row>
    <row r="1576" spans="1:38" ht="36" customHeight="1" x14ac:dyDescent="0.2">
      <c r="A1576" s="14" t="s">
        <v>27</v>
      </c>
      <c r="B1576" s="212">
        <v>244314</v>
      </c>
      <c r="C1576" s="14" t="s">
        <v>547</v>
      </c>
      <c r="D1576" s="14" t="s">
        <v>268</v>
      </c>
      <c r="E1576" s="14" t="s">
        <v>14</v>
      </c>
      <c r="F1576" s="14" t="s">
        <v>324</v>
      </c>
      <c r="G1576" s="179">
        <v>681575</v>
      </c>
      <c r="H1576" s="176" t="s">
        <v>1054</v>
      </c>
      <c r="I1576" s="176" t="s">
        <v>551</v>
      </c>
      <c r="J1576" s="176" t="s">
        <v>832</v>
      </c>
      <c r="K1576" s="176" t="s">
        <v>4547</v>
      </c>
      <c r="L1576" s="40" t="s">
        <v>108</v>
      </c>
      <c r="M1576" s="40" t="s">
        <v>341</v>
      </c>
      <c r="N1576" s="14" t="s">
        <v>4554</v>
      </c>
      <c r="O1576" s="14" t="s">
        <v>1909</v>
      </c>
      <c r="P1576" s="14" t="s">
        <v>4558</v>
      </c>
      <c r="Q1576" s="14" t="s">
        <v>1913</v>
      </c>
      <c r="R1576" s="17">
        <v>425</v>
      </c>
      <c r="S1576" s="172" t="s">
        <v>51</v>
      </c>
      <c r="T1576" s="17">
        <v>1570</v>
      </c>
      <c r="U1576" s="14" t="s">
        <v>51</v>
      </c>
      <c r="V1576" s="16">
        <f t="shared" si="185"/>
        <v>244314</v>
      </c>
      <c r="W1576" s="16">
        <f t="shared" si="186"/>
        <v>244321</v>
      </c>
      <c r="X1576" s="16">
        <f t="shared" si="187"/>
        <v>244316</v>
      </c>
      <c r="Y1576" s="15" t="s">
        <v>54</v>
      </c>
      <c r="Z1576" s="177">
        <v>244319</v>
      </c>
      <c r="AA1576" s="170"/>
      <c r="AB1576" s="170"/>
      <c r="AC1576" s="170"/>
      <c r="AD1576" s="170"/>
      <c r="AE1576" s="15" t="s">
        <v>54</v>
      </c>
      <c r="AF1576" s="177">
        <v>244319</v>
      </c>
      <c r="AG1576" s="177" t="str">
        <f t="shared" si="188"/>
        <v>Pass</v>
      </c>
      <c r="AH1576" s="177">
        <f t="shared" si="189"/>
        <v>244319</v>
      </c>
      <c r="AK1576" s="176"/>
      <c r="AL1576" s="176"/>
    </row>
    <row r="1577" spans="1:38" ht="36" customHeight="1" x14ac:dyDescent="0.2">
      <c r="A1577" s="14" t="s">
        <v>27</v>
      </c>
      <c r="B1577" s="212">
        <v>244314</v>
      </c>
      <c r="C1577" s="14" t="s">
        <v>547</v>
      </c>
      <c r="D1577" s="14" t="s">
        <v>268</v>
      </c>
      <c r="E1577" s="14" t="s">
        <v>14</v>
      </c>
      <c r="F1577" s="14" t="s">
        <v>324</v>
      </c>
      <c r="G1577" s="179">
        <v>681576</v>
      </c>
      <c r="H1577" s="176" t="s">
        <v>3579</v>
      </c>
      <c r="I1577" s="176" t="s">
        <v>612</v>
      </c>
      <c r="J1577" s="176" t="s">
        <v>665</v>
      </c>
      <c r="K1577" s="176" t="s">
        <v>4561</v>
      </c>
      <c r="L1577" s="40" t="s">
        <v>45</v>
      </c>
      <c r="M1577" s="40" t="s">
        <v>341</v>
      </c>
      <c r="N1577" s="14" t="s">
        <v>4564</v>
      </c>
      <c r="O1577" s="14" t="s">
        <v>4566</v>
      </c>
      <c r="P1577" s="14" t="s">
        <v>4568</v>
      </c>
      <c r="Q1577" s="14" t="s">
        <v>4571</v>
      </c>
      <c r="R1577" s="17">
        <v>505</v>
      </c>
      <c r="S1577" s="172" t="s">
        <v>51</v>
      </c>
      <c r="T1577" s="17">
        <v>1478</v>
      </c>
      <c r="U1577" s="14" t="s">
        <v>51</v>
      </c>
      <c r="V1577" s="16">
        <f t="shared" si="185"/>
        <v>244314</v>
      </c>
      <c r="W1577" s="16">
        <f t="shared" si="186"/>
        <v>244321</v>
      </c>
      <c r="X1577" s="16">
        <f t="shared" si="187"/>
        <v>244316</v>
      </c>
      <c r="Y1577" s="15" t="s">
        <v>54</v>
      </c>
      <c r="Z1577" s="177">
        <v>244319</v>
      </c>
      <c r="AA1577" s="170"/>
      <c r="AB1577" s="170"/>
      <c r="AC1577" s="170"/>
      <c r="AD1577" s="170"/>
      <c r="AE1577" s="15" t="s">
        <v>54</v>
      </c>
      <c r="AF1577" s="177">
        <v>244319</v>
      </c>
      <c r="AG1577" s="177" t="str">
        <f t="shared" si="188"/>
        <v>Pass</v>
      </c>
      <c r="AH1577" s="177">
        <f t="shared" si="189"/>
        <v>244319</v>
      </c>
      <c r="AK1577" s="176"/>
      <c r="AL1577" s="176"/>
    </row>
    <row r="1578" spans="1:38" ht="36" customHeight="1" x14ac:dyDescent="0.2">
      <c r="A1578" s="14" t="s">
        <v>27</v>
      </c>
      <c r="B1578" s="212">
        <v>244314</v>
      </c>
      <c r="C1578" s="14" t="s">
        <v>547</v>
      </c>
      <c r="D1578" s="14" t="s">
        <v>268</v>
      </c>
      <c r="E1578" s="14" t="s">
        <v>14</v>
      </c>
      <c r="F1578" s="14" t="s">
        <v>324</v>
      </c>
      <c r="G1578" s="179">
        <v>681577</v>
      </c>
      <c r="H1578" s="176">
        <v>958</v>
      </c>
      <c r="I1578" s="176" t="s">
        <v>802</v>
      </c>
      <c r="J1578" s="176" t="s">
        <v>131</v>
      </c>
      <c r="K1578" s="176" t="s">
        <v>4562</v>
      </c>
      <c r="L1578" s="40" t="s">
        <v>45</v>
      </c>
      <c r="M1578" s="40" t="s">
        <v>341</v>
      </c>
      <c r="N1578" s="14" t="s">
        <v>4570</v>
      </c>
      <c r="O1578" s="14" t="s">
        <v>4567</v>
      </c>
      <c r="P1578" s="14" t="s">
        <v>4569</v>
      </c>
      <c r="Q1578" s="14" t="s">
        <v>4572</v>
      </c>
      <c r="R1578" s="17">
        <v>414</v>
      </c>
      <c r="S1578" s="172" t="s">
        <v>51</v>
      </c>
      <c r="T1578" s="17">
        <v>1285</v>
      </c>
      <c r="U1578" s="14" t="s">
        <v>51</v>
      </c>
      <c r="V1578" s="16">
        <f t="shared" si="185"/>
        <v>244314</v>
      </c>
      <c r="W1578" s="16">
        <f t="shared" si="186"/>
        <v>244321</v>
      </c>
      <c r="X1578" s="16">
        <f t="shared" si="187"/>
        <v>244316</v>
      </c>
      <c r="Y1578" s="15" t="s">
        <v>54</v>
      </c>
      <c r="Z1578" s="177">
        <v>244319</v>
      </c>
      <c r="AA1578" s="170"/>
      <c r="AB1578" s="170"/>
      <c r="AC1578" s="170"/>
      <c r="AD1578" s="170"/>
      <c r="AE1578" s="15" t="s">
        <v>54</v>
      </c>
      <c r="AF1578" s="177">
        <v>244319</v>
      </c>
      <c r="AG1578" s="177" t="str">
        <f t="shared" si="188"/>
        <v>Pass</v>
      </c>
      <c r="AH1578" s="177">
        <f t="shared" si="189"/>
        <v>244319</v>
      </c>
      <c r="AK1578" s="176"/>
      <c r="AL1578" s="176"/>
    </row>
    <row r="1579" spans="1:38" ht="36" customHeight="1" x14ac:dyDescent="0.2">
      <c r="A1579" s="14" t="s">
        <v>27</v>
      </c>
      <c r="B1579" s="212">
        <v>244314</v>
      </c>
      <c r="C1579" s="14" t="s">
        <v>547</v>
      </c>
      <c r="D1579" s="14" t="s">
        <v>268</v>
      </c>
      <c r="E1579" s="14" t="s">
        <v>14</v>
      </c>
      <c r="F1579" s="14" t="s">
        <v>324</v>
      </c>
      <c r="G1579" s="179">
        <v>681578</v>
      </c>
      <c r="H1579" s="176" t="s">
        <v>628</v>
      </c>
      <c r="I1579" s="176" t="s">
        <v>551</v>
      </c>
      <c r="J1579" s="176" t="s">
        <v>832</v>
      </c>
      <c r="K1579" s="176" t="s">
        <v>4563</v>
      </c>
      <c r="L1579" s="40" t="s">
        <v>108</v>
      </c>
      <c r="M1579" s="40" t="s">
        <v>341</v>
      </c>
      <c r="N1579" s="14" t="s">
        <v>4565</v>
      </c>
      <c r="O1579" s="14" t="s">
        <v>548</v>
      </c>
      <c r="P1579" s="14" t="s">
        <v>518</v>
      </c>
      <c r="Q1579" s="14" t="s">
        <v>549</v>
      </c>
      <c r="R1579" s="17">
        <v>123</v>
      </c>
      <c r="S1579" s="172" t="s">
        <v>51</v>
      </c>
      <c r="T1579" s="17">
        <v>2600</v>
      </c>
      <c r="U1579" s="14" t="s">
        <v>51</v>
      </c>
      <c r="V1579" s="16">
        <f t="shared" si="185"/>
        <v>244314</v>
      </c>
      <c r="W1579" s="16">
        <f t="shared" si="186"/>
        <v>244321</v>
      </c>
      <c r="X1579" s="16">
        <f t="shared" si="187"/>
        <v>244316</v>
      </c>
      <c r="Y1579" s="15" t="s">
        <v>54</v>
      </c>
      <c r="Z1579" s="177">
        <v>244319</v>
      </c>
      <c r="AA1579" s="170"/>
      <c r="AB1579" s="170"/>
      <c r="AC1579" s="170"/>
      <c r="AD1579" s="170"/>
      <c r="AE1579" s="15" t="s">
        <v>54</v>
      </c>
      <c r="AF1579" s="177">
        <v>244319</v>
      </c>
      <c r="AG1579" s="177" t="str">
        <f t="shared" si="188"/>
        <v>Pass</v>
      </c>
      <c r="AH1579" s="177">
        <f t="shared" si="189"/>
        <v>244319</v>
      </c>
      <c r="AK1579" s="176"/>
      <c r="AL1579" s="176"/>
    </row>
    <row r="1580" spans="1:38" ht="36" customHeight="1" x14ac:dyDescent="0.2">
      <c r="A1580" s="14" t="s">
        <v>27</v>
      </c>
      <c r="B1580" s="212">
        <v>244315</v>
      </c>
      <c r="C1580" s="14" t="s">
        <v>547</v>
      </c>
      <c r="D1580" s="14" t="s">
        <v>268</v>
      </c>
      <c r="E1580" s="14" t="s">
        <v>14</v>
      </c>
      <c r="F1580" s="14" t="s">
        <v>324</v>
      </c>
      <c r="G1580" s="179">
        <v>681579</v>
      </c>
      <c r="H1580" s="176" t="s">
        <v>4573</v>
      </c>
      <c r="I1580" s="176" t="s">
        <v>1729</v>
      </c>
      <c r="J1580" s="176" t="s">
        <v>4576</v>
      </c>
      <c r="K1580" s="176" t="s">
        <v>4577</v>
      </c>
      <c r="L1580" s="40" t="s">
        <v>108</v>
      </c>
      <c r="M1580" s="40" t="s">
        <v>341</v>
      </c>
      <c r="N1580" s="14" t="s">
        <v>1214</v>
      </c>
      <c r="O1580" s="14" t="s">
        <v>548</v>
      </c>
      <c r="P1580" s="14" t="s">
        <v>518</v>
      </c>
      <c r="Q1580" s="14" t="s">
        <v>549</v>
      </c>
      <c r="R1580" s="17">
        <v>150</v>
      </c>
      <c r="S1580" s="172" t="s">
        <v>51</v>
      </c>
      <c r="T1580" s="17">
        <v>2360</v>
      </c>
      <c r="U1580" s="14" t="s">
        <v>51</v>
      </c>
      <c r="V1580" s="16">
        <f t="shared" si="185"/>
        <v>244315</v>
      </c>
      <c r="W1580" s="16">
        <f t="shared" si="186"/>
        <v>244322</v>
      </c>
      <c r="X1580" s="16">
        <f t="shared" si="187"/>
        <v>244317</v>
      </c>
      <c r="Y1580" s="15" t="s">
        <v>54</v>
      </c>
      <c r="Z1580" s="177">
        <v>244319</v>
      </c>
      <c r="AA1580" s="170"/>
      <c r="AB1580" s="170"/>
      <c r="AC1580" s="170"/>
      <c r="AD1580" s="170"/>
      <c r="AE1580" s="15" t="s">
        <v>54</v>
      </c>
      <c r="AF1580" s="177">
        <v>244319</v>
      </c>
      <c r="AG1580" s="177" t="str">
        <f t="shared" si="188"/>
        <v>Pass</v>
      </c>
      <c r="AH1580" s="177">
        <f t="shared" si="189"/>
        <v>244319</v>
      </c>
      <c r="AK1580" s="176"/>
      <c r="AL1580" s="176"/>
    </row>
    <row r="1581" spans="1:38" ht="36" customHeight="1" x14ac:dyDescent="0.2">
      <c r="A1581" s="14" t="s">
        <v>27</v>
      </c>
      <c r="B1581" s="212">
        <v>244315</v>
      </c>
      <c r="C1581" s="14" t="s">
        <v>547</v>
      </c>
      <c r="D1581" s="14" t="s">
        <v>268</v>
      </c>
      <c r="E1581" s="14" t="s">
        <v>14</v>
      </c>
      <c r="F1581" s="14" t="s">
        <v>324</v>
      </c>
      <c r="G1581" s="179">
        <v>681580</v>
      </c>
      <c r="H1581" s="176">
        <v>952</v>
      </c>
      <c r="I1581" s="176" t="s">
        <v>802</v>
      </c>
      <c r="J1581" s="176" t="s">
        <v>131</v>
      </c>
      <c r="K1581" s="176" t="s">
        <v>4578</v>
      </c>
      <c r="L1581" s="40" t="s">
        <v>45</v>
      </c>
      <c r="M1581" s="40" t="s">
        <v>341</v>
      </c>
      <c r="N1581" s="14" t="s">
        <v>4580</v>
      </c>
      <c r="O1581" s="14" t="s">
        <v>543</v>
      </c>
      <c r="P1581" s="14" t="s">
        <v>4581</v>
      </c>
      <c r="Q1581" s="14" t="s">
        <v>529</v>
      </c>
      <c r="R1581" s="17">
        <v>500</v>
      </c>
      <c r="S1581" s="172" t="s">
        <v>51</v>
      </c>
      <c r="T1581" s="17">
        <v>1600</v>
      </c>
      <c r="U1581" s="14" t="s">
        <v>51</v>
      </c>
      <c r="V1581" s="16">
        <f t="shared" si="185"/>
        <v>244315</v>
      </c>
      <c r="W1581" s="16">
        <f t="shared" si="186"/>
        <v>244322</v>
      </c>
      <c r="X1581" s="16">
        <f t="shared" si="187"/>
        <v>244317</v>
      </c>
      <c r="Y1581" s="15" t="s">
        <v>54</v>
      </c>
      <c r="Z1581" s="177">
        <v>244319</v>
      </c>
      <c r="AA1581" s="170"/>
      <c r="AB1581" s="170"/>
      <c r="AC1581" s="170"/>
      <c r="AD1581" s="170"/>
      <c r="AE1581" s="15" t="s">
        <v>54</v>
      </c>
      <c r="AF1581" s="177">
        <v>244319</v>
      </c>
      <c r="AG1581" s="177" t="str">
        <f t="shared" si="188"/>
        <v>Pass</v>
      </c>
      <c r="AH1581" s="177">
        <f t="shared" si="189"/>
        <v>244319</v>
      </c>
      <c r="AK1581" s="176"/>
      <c r="AL1581" s="176"/>
    </row>
    <row r="1582" spans="1:38" ht="36" customHeight="1" x14ac:dyDescent="0.2">
      <c r="A1582" s="14" t="s">
        <v>27</v>
      </c>
      <c r="B1582" s="212">
        <v>244315</v>
      </c>
      <c r="C1582" s="14" t="s">
        <v>547</v>
      </c>
      <c r="D1582" s="14" t="s">
        <v>268</v>
      </c>
      <c r="E1582" s="14" t="s">
        <v>14</v>
      </c>
      <c r="F1582" s="14" t="s">
        <v>324</v>
      </c>
      <c r="G1582" s="179">
        <v>681581</v>
      </c>
      <c r="H1582" s="176" t="s">
        <v>4574</v>
      </c>
      <c r="I1582" s="176" t="s">
        <v>4575</v>
      </c>
      <c r="J1582" s="176" t="s">
        <v>337</v>
      </c>
      <c r="K1582" s="176" t="s">
        <v>4579</v>
      </c>
      <c r="L1582" s="40" t="s">
        <v>106</v>
      </c>
      <c r="M1582" s="40" t="s">
        <v>341</v>
      </c>
      <c r="N1582" s="14" t="s">
        <v>1086</v>
      </c>
      <c r="O1582" s="14" t="s">
        <v>543</v>
      </c>
      <c r="P1582" s="14" t="s">
        <v>1248</v>
      </c>
      <c r="Q1582" s="14" t="s">
        <v>529</v>
      </c>
      <c r="R1582" s="17">
        <v>200</v>
      </c>
      <c r="S1582" s="172" t="s">
        <v>51</v>
      </c>
      <c r="T1582" s="17">
        <v>1465</v>
      </c>
      <c r="U1582" s="14" t="s">
        <v>51</v>
      </c>
      <c r="V1582" s="16">
        <f t="shared" si="185"/>
        <v>244315</v>
      </c>
      <c r="W1582" s="16">
        <f t="shared" si="186"/>
        <v>244322</v>
      </c>
      <c r="X1582" s="16">
        <f t="shared" si="187"/>
        <v>244317</v>
      </c>
      <c r="Y1582" s="15" t="s">
        <v>54</v>
      </c>
      <c r="Z1582" s="177">
        <v>244319</v>
      </c>
      <c r="AA1582" s="170"/>
      <c r="AB1582" s="170"/>
      <c r="AC1582" s="170"/>
      <c r="AD1582" s="170"/>
      <c r="AE1582" s="15" t="s">
        <v>54</v>
      </c>
      <c r="AF1582" s="177">
        <v>244319</v>
      </c>
      <c r="AG1582" s="177" t="str">
        <f t="shared" si="188"/>
        <v>Pass</v>
      </c>
      <c r="AH1582" s="177">
        <f t="shared" si="189"/>
        <v>244319</v>
      </c>
      <c r="AK1582" s="176"/>
      <c r="AL1582" s="176"/>
    </row>
    <row r="1583" spans="1:38" ht="36" customHeight="1" x14ac:dyDescent="0.2">
      <c r="A1583" s="14" t="s">
        <v>27</v>
      </c>
      <c r="B1583" s="212">
        <v>244315</v>
      </c>
      <c r="C1583" s="14" t="s">
        <v>547</v>
      </c>
      <c r="D1583" s="14" t="s">
        <v>268</v>
      </c>
      <c r="E1583" s="14" t="s">
        <v>14</v>
      </c>
      <c r="F1583" s="14" t="s">
        <v>324</v>
      </c>
      <c r="G1583" s="179">
        <v>681582</v>
      </c>
      <c r="H1583" s="176" t="s">
        <v>1368</v>
      </c>
      <c r="I1583" s="176" t="s">
        <v>802</v>
      </c>
      <c r="J1583" s="176" t="s">
        <v>128</v>
      </c>
      <c r="K1583" s="176" t="s">
        <v>4543</v>
      </c>
      <c r="L1583" s="40" t="s">
        <v>46</v>
      </c>
      <c r="M1583" s="40" t="s">
        <v>341</v>
      </c>
      <c r="N1583" s="14" t="s">
        <v>4592</v>
      </c>
      <c r="O1583" s="14" t="s">
        <v>4599</v>
      </c>
      <c r="P1583" s="14" t="s">
        <v>4602</v>
      </c>
      <c r="Q1583" s="14" t="s">
        <v>4609</v>
      </c>
      <c r="R1583" s="17">
        <v>519</v>
      </c>
      <c r="S1583" s="172" t="s">
        <v>51</v>
      </c>
      <c r="T1583" s="17">
        <v>2480</v>
      </c>
      <c r="U1583" s="14" t="s">
        <v>51</v>
      </c>
      <c r="V1583" s="16">
        <f t="shared" si="185"/>
        <v>244315</v>
      </c>
      <c r="W1583" s="16">
        <f t="shared" si="186"/>
        <v>244322</v>
      </c>
      <c r="X1583" s="16">
        <f t="shared" si="187"/>
        <v>244317</v>
      </c>
      <c r="Y1583" s="15" t="s">
        <v>54</v>
      </c>
      <c r="Z1583" s="177">
        <v>244324</v>
      </c>
      <c r="AA1583" s="170"/>
      <c r="AB1583" s="170"/>
      <c r="AC1583" s="170"/>
      <c r="AD1583" s="170"/>
      <c r="AE1583" s="15" t="s">
        <v>54</v>
      </c>
      <c r="AF1583" s="177">
        <v>244341</v>
      </c>
      <c r="AG1583" s="177" t="str">
        <f t="shared" si="188"/>
        <v>Pass</v>
      </c>
      <c r="AH1583" s="177">
        <f t="shared" si="189"/>
        <v>244341</v>
      </c>
      <c r="AK1583" s="176"/>
      <c r="AL1583" s="176"/>
    </row>
    <row r="1584" spans="1:38" ht="36" customHeight="1" x14ac:dyDescent="0.2">
      <c r="A1584" s="14" t="s">
        <v>27</v>
      </c>
      <c r="B1584" s="212">
        <v>244315</v>
      </c>
      <c r="C1584" s="14" t="s">
        <v>547</v>
      </c>
      <c r="D1584" s="14" t="s">
        <v>268</v>
      </c>
      <c r="E1584" s="14" t="s">
        <v>14</v>
      </c>
      <c r="F1584" s="14" t="s">
        <v>324</v>
      </c>
      <c r="G1584" s="179">
        <v>681583</v>
      </c>
      <c r="H1584" s="176" t="s">
        <v>1871</v>
      </c>
      <c r="I1584" s="176" t="s">
        <v>630</v>
      </c>
      <c r="J1584" s="176" t="s">
        <v>520</v>
      </c>
      <c r="K1584" s="176" t="s">
        <v>4544</v>
      </c>
      <c r="L1584" s="40" t="s">
        <v>105</v>
      </c>
      <c r="M1584" s="40" t="s">
        <v>341</v>
      </c>
      <c r="N1584" s="14" t="s">
        <v>4593</v>
      </c>
      <c r="O1584" s="14" t="s">
        <v>2521</v>
      </c>
      <c r="P1584" s="14" t="s">
        <v>4603</v>
      </c>
      <c r="Q1584" s="14" t="s">
        <v>2523</v>
      </c>
      <c r="R1584" s="17">
        <v>740</v>
      </c>
      <c r="S1584" s="172" t="s">
        <v>51</v>
      </c>
      <c r="T1584" s="17">
        <v>2140</v>
      </c>
      <c r="U1584" s="14" t="s">
        <v>51</v>
      </c>
      <c r="V1584" s="16">
        <f t="shared" si="185"/>
        <v>244315</v>
      </c>
      <c r="W1584" s="16">
        <f t="shared" si="186"/>
        <v>244322</v>
      </c>
      <c r="X1584" s="16">
        <f t="shared" si="187"/>
        <v>244317</v>
      </c>
      <c r="Y1584" s="15" t="s">
        <v>54</v>
      </c>
      <c r="Z1584" s="177">
        <v>244319</v>
      </c>
      <c r="AA1584" s="170"/>
      <c r="AB1584" s="170"/>
      <c r="AC1584" s="170"/>
      <c r="AD1584" s="170"/>
      <c r="AE1584" s="15" t="s">
        <v>54</v>
      </c>
      <c r="AF1584" s="177">
        <v>244319</v>
      </c>
      <c r="AG1584" s="177" t="str">
        <f t="shared" si="188"/>
        <v>Pass</v>
      </c>
      <c r="AH1584" s="177">
        <f t="shared" si="189"/>
        <v>244319</v>
      </c>
      <c r="AK1584" s="176"/>
      <c r="AL1584" s="176"/>
    </row>
    <row r="1585" spans="1:38" ht="36" customHeight="1" x14ac:dyDescent="0.2">
      <c r="A1585" s="14" t="s">
        <v>27</v>
      </c>
      <c r="B1585" s="212">
        <v>244315</v>
      </c>
      <c r="C1585" s="14" t="s">
        <v>547</v>
      </c>
      <c r="D1585" s="14" t="s">
        <v>268</v>
      </c>
      <c r="E1585" s="14" t="s">
        <v>14</v>
      </c>
      <c r="F1585" s="14" t="s">
        <v>324</v>
      </c>
      <c r="G1585" s="179">
        <v>681584</v>
      </c>
      <c r="H1585" s="176" t="s">
        <v>4582</v>
      </c>
      <c r="I1585" s="176" t="s">
        <v>4585</v>
      </c>
      <c r="J1585" s="176" t="s">
        <v>4586</v>
      </c>
      <c r="K1585" s="176" t="s">
        <v>4587</v>
      </c>
      <c r="L1585" s="40" t="s">
        <v>108</v>
      </c>
      <c r="M1585" s="40" t="s">
        <v>341</v>
      </c>
      <c r="N1585" s="14" t="s">
        <v>4594</v>
      </c>
      <c r="O1585" s="14" t="s">
        <v>4600</v>
      </c>
      <c r="P1585" s="14" t="s">
        <v>4604</v>
      </c>
      <c r="Q1585" s="14" t="s">
        <v>4610</v>
      </c>
      <c r="R1585" s="17">
        <v>755</v>
      </c>
      <c r="S1585" s="172" t="s">
        <v>51</v>
      </c>
      <c r="T1585" s="17">
        <v>2955</v>
      </c>
      <c r="U1585" s="14" t="s">
        <v>51</v>
      </c>
      <c r="V1585" s="16">
        <f t="shared" si="185"/>
        <v>244315</v>
      </c>
      <c r="W1585" s="16">
        <f t="shared" si="186"/>
        <v>244322</v>
      </c>
      <c r="X1585" s="16">
        <f t="shared" si="187"/>
        <v>244317</v>
      </c>
      <c r="Y1585" s="15" t="s">
        <v>54</v>
      </c>
      <c r="Z1585" s="177">
        <v>244319</v>
      </c>
      <c r="AA1585" s="170"/>
      <c r="AB1585" s="170"/>
      <c r="AC1585" s="170"/>
      <c r="AD1585" s="170"/>
      <c r="AE1585" s="15" t="s">
        <v>54</v>
      </c>
      <c r="AF1585" s="177">
        <v>244319</v>
      </c>
      <c r="AG1585" s="177" t="str">
        <f t="shared" si="188"/>
        <v>Pass</v>
      </c>
      <c r="AH1585" s="177">
        <f t="shared" si="189"/>
        <v>244319</v>
      </c>
      <c r="AK1585" s="176"/>
      <c r="AL1585" s="176"/>
    </row>
    <row r="1586" spans="1:38" ht="36" customHeight="1" x14ac:dyDescent="0.2">
      <c r="A1586" s="14" t="s">
        <v>27</v>
      </c>
      <c r="B1586" s="212">
        <v>244315</v>
      </c>
      <c r="C1586" s="14" t="s">
        <v>547</v>
      </c>
      <c r="D1586" s="14" t="s">
        <v>268</v>
      </c>
      <c r="E1586" s="14" t="s">
        <v>14</v>
      </c>
      <c r="F1586" s="14" t="s">
        <v>324</v>
      </c>
      <c r="G1586" s="179">
        <v>681585</v>
      </c>
      <c r="H1586" s="176">
        <v>935</v>
      </c>
      <c r="I1586" s="176" t="s">
        <v>802</v>
      </c>
      <c r="J1586" s="176" t="s">
        <v>128</v>
      </c>
      <c r="K1586" s="176" t="s">
        <v>4588</v>
      </c>
      <c r="L1586" s="40" t="s">
        <v>46</v>
      </c>
      <c r="M1586" s="40" t="s">
        <v>341</v>
      </c>
      <c r="N1586" s="14" t="s">
        <v>4595</v>
      </c>
      <c r="O1586" s="14" t="s">
        <v>4601</v>
      </c>
      <c r="P1586" s="14" t="s">
        <v>4605</v>
      </c>
      <c r="Q1586" s="14" t="s">
        <v>4611</v>
      </c>
      <c r="R1586" s="17">
        <v>350</v>
      </c>
      <c r="S1586" s="172" t="s">
        <v>51</v>
      </c>
      <c r="T1586" s="17">
        <v>2440</v>
      </c>
      <c r="U1586" s="14" t="s">
        <v>51</v>
      </c>
      <c r="V1586" s="16">
        <f t="shared" si="185"/>
        <v>244315</v>
      </c>
      <c r="W1586" s="16">
        <f t="shared" si="186"/>
        <v>244322</v>
      </c>
      <c r="X1586" s="16">
        <f t="shared" si="187"/>
        <v>244317</v>
      </c>
      <c r="Y1586" s="15" t="s">
        <v>54</v>
      </c>
      <c r="Z1586" s="177">
        <v>244319</v>
      </c>
      <c r="AA1586" s="170"/>
      <c r="AB1586" s="170"/>
      <c r="AC1586" s="170"/>
      <c r="AD1586" s="170"/>
      <c r="AE1586" s="15" t="s">
        <v>54</v>
      </c>
      <c r="AF1586" s="177">
        <v>244319</v>
      </c>
      <c r="AG1586" s="177" t="str">
        <f t="shared" si="188"/>
        <v>Pass</v>
      </c>
      <c r="AH1586" s="177">
        <f t="shared" si="189"/>
        <v>244319</v>
      </c>
      <c r="AK1586" s="176"/>
      <c r="AL1586" s="176"/>
    </row>
    <row r="1587" spans="1:38" ht="36" customHeight="1" x14ac:dyDescent="0.2">
      <c r="A1587" s="14" t="s">
        <v>27</v>
      </c>
      <c r="B1587" s="212">
        <v>244315</v>
      </c>
      <c r="C1587" s="14" t="s">
        <v>547</v>
      </c>
      <c r="D1587" s="14" t="s">
        <v>268</v>
      </c>
      <c r="E1587" s="14" t="s">
        <v>14</v>
      </c>
      <c r="F1587" s="14" t="s">
        <v>324</v>
      </c>
      <c r="G1587" s="179">
        <v>681586</v>
      </c>
      <c r="H1587" s="176" t="s">
        <v>4583</v>
      </c>
      <c r="I1587" s="176" t="s">
        <v>2967</v>
      </c>
      <c r="J1587" s="176" t="s">
        <v>286</v>
      </c>
      <c r="K1587" s="176" t="s">
        <v>4589</v>
      </c>
      <c r="L1587" s="40" t="s">
        <v>46</v>
      </c>
      <c r="M1587" s="40" t="s">
        <v>341</v>
      </c>
      <c r="N1587" s="14" t="s">
        <v>4596</v>
      </c>
      <c r="O1587" s="14" t="s">
        <v>552</v>
      </c>
      <c r="P1587" s="14" t="s">
        <v>4606</v>
      </c>
      <c r="Q1587" s="14" t="s">
        <v>553</v>
      </c>
      <c r="R1587" s="17">
        <v>375</v>
      </c>
      <c r="S1587" s="172" t="s">
        <v>51</v>
      </c>
      <c r="T1587" s="17">
        <v>1940</v>
      </c>
      <c r="U1587" s="14" t="s">
        <v>51</v>
      </c>
      <c r="V1587" s="16">
        <f t="shared" si="185"/>
        <v>244315</v>
      </c>
      <c r="W1587" s="16">
        <f t="shared" si="186"/>
        <v>244322</v>
      </c>
      <c r="X1587" s="16">
        <f t="shared" si="187"/>
        <v>244317</v>
      </c>
      <c r="Y1587" s="15" t="s">
        <v>54</v>
      </c>
      <c r="Z1587" s="177">
        <v>244319</v>
      </c>
      <c r="AA1587" s="170"/>
      <c r="AB1587" s="170"/>
      <c r="AC1587" s="170"/>
      <c r="AD1587" s="170"/>
      <c r="AE1587" s="15" t="s">
        <v>54</v>
      </c>
      <c r="AF1587" s="177">
        <v>244319</v>
      </c>
      <c r="AG1587" s="177" t="str">
        <f t="shared" si="188"/>
        <v>Pass</v>
      </c>
      <c r="AH1587" s="177">
        <f t="shared" si="189"/>
        <v>244319</v>
      </c>
      <c r="AK1587" s="176"/>
      <c r="AL1587" s="176"/>
    </row>
    <row r="1588" spans="1:38" ht="36" customHeight="1" x14ac:dyDescent="0.2">
      <c r="A1588" s="14" t="s">
        <v>27</v>
      </c>
      <c r="B1588" s="212">
        <v>244315</v>
      </c>
      <c r="C1588" s="14" t="s">
        <v>547</v>
      </c>
      <c r="D1588" s="14" t="s">
        <v>268</v>
      </c>
      <c r="E1588" s="14" t="s">
        <v>14</v>
      </c>
      <c r="F1588" s="14" t="s">
        <v>324</v>
      </c>
      <c r="G1588" s="179">
        <v>681587</v>
      </c>
      <c r="H1588" s="176" t="s">
        <v>996</v>
      </c>
      <c r="I1588" s="176" t="s">
        <v>630</v>
      </c>
      <c r="J1588" s="176" t="s">
        <v>520</v>
      </c>
      <c r="K1588" s="176" t="s">
        <v>4590</v>
      </c>
      <c r="L1588" s="40" t="s">
        <v>105</v>
      </c>
      <c r="M1588" s="40" t="s">
        <v>341</v>
      </c>
      <c r="N1588" s="14" t="s">
        <v>4597</v>
      </c>
      <c r="O1588" s="14" t="s">
        <v>527</v>
      </c>
      <c r="P1588" s="14" t="s">
        <v>4607</v>
      </c>
      <c r="Q1588" s="14" t="s">
        <v>542</v>
      </c>
      <c r="R1588" s="17">
        <v>210</v>
      </c>
      <c r="S1588" s="172" t="s">
        <v>51</v>
      </c>
      <c r="T1588" s="17">
        <v>2090</v>
      </c>
      <c r="U1588" s="14" t="s">
        <v>51</v>
      </c>
      <c r="V1588" s="16">
        <f t="shared" si="185"/>
        <v>244315</v>
      </c>
      <c r="W1588" s="16">
        <f t="shared" si="186"/>
        <v>244322</v>
      </c>
      <c r="X1588" s="16">
        <f t="shared" si="187"/>
        <v>244317</v>
      </c>
      <c r="Y1588" s="15" t="s">
        <v>54</v>
      </c>
      <c r="Z1588" s="177">
        <v>244319</v>
      </c>
      <c r="AA1588" s="170"/>
      <c r="AB1588" s="170"/>
      <c r="AC1588" s="170"/>
      <c r="AD1588" s="170"/>
      <c r="AE1588" s="15" t="s">
        <v>54</v>
      </c>
      <c r="AF1588" s="177">
        <v>244319</v>
      </c>
      <c r="AG1588" s="177" t="str">
        <f t="shared" si="188"/>
        <v>Pass</v>
      </c>
      <c r="AH1588" s="177">
        <f t="shared" si="189"/>
        <v>244319</v>
      </c>
      <c r="AK1588" s="176"/>
      <c r="AL1588" s="176"/>
    </row>
    <row r="1589" spans="1:38" ht="36" customHeight="1" x14ac:dyDescent="0.2">
      <c r="A1589" s="14" t="s">
        <v>27</v>
      </c>
      <c r="B1589" s="212">
        <v>244315</v>
      </c>
      <c r="C1589" s="14" t="s">
        <v>547</v>
      </c>
      <c r="D1589" s="14" t="s">
        <v>268</v>
      </c>
      <c r="E1589" s="14" t="s">
        <v>14</v>
      </c>
      <c r="F1589" s="14" t="s">
        <v>324</v>
      </c>
      <c r="G1589" s="179">
        <v>681588</v>
      </c>
      <c r="H1589" s="176" t="s">
        <v>4584</v>
      </c>
      <c r="I1589" s="176" t="s">
        <v>909</v>
      </c>
      <c r="J1589" s="176" t="s">
        <v>123</v>
      </c>
      <c r="K1589" s="176" t="s">
        <v>4591</v>
      </c>
      <c r="L1589" s="40" t="s">
        <v>46</v>
      </c>
      <c r="M1589" s="40" t="s">
        <v>341</v>
      </c>
      <c r="N1589" s="14" t="s">
        <v>4598</v>
      </c>
      <c r="O1589" s="14" t="s">
        <v>528</v>
      </c>
      <c r="P1589" s="14" t="s">
        <v>4608</v>
      </c>
      <c r="Q1589" s="14" t="s">
        <v>541</v>
      </c>
      <c r="R1589" s="17">
        <v>500</v>
      </c>
      <c r="S1589" s="172" t="s">
        <v>51</v>
      </c>
      <c r="T1589" s="17">
        <v>1930</v>
      </c>
      <c r="U1589" s="14" t="s">
        <v>51</v>
      </c>
      <c r="V1589" s="16">
        <f t="shared" si="185"/>
        <v>244315</v>
      </c>
      <c r="W1589" s="16">
        <f t="shared" si="186"/>
        <v>244322</v>
      </c>
      <c r="X1589" s="16">
        <f t="shared" si="187"/>
        <v>244317</v>
      </c>
      <c r="Y1589" s="15" t="s">
        <v>54</v>
      </c>
      <c r="Z1589" s="177">
        <v>244319</v>
      </c>
      <c r="AA1589" s="170"/>
      <c r="AB1589" s="170"/>
      <c r="AC1589" s="170"/>
      <c r="AD1589" s="170"/>
      <c r="AE1589" s="15" t="s">
        <v>54</v>
      </c>
      <c r="AF1589" s="177">
        <v>244319</v>
      </c>
      <c r="AG1589" s="177" t="str">
        <f t="shared" si="188"/>
        <v>Pass</v>
      </c>
      <c r="AH1589" s="177">
        <f t="shared" si="189"/>
        <v>244319</v>
      </c>
      <c r="AK1589" s="176"/>
      <c r="AL1589" s="176"/>
    </row>
    <row r="1590" spans="1:38" ht="36" customHeight="1" x14ac:dyDescent="0.2">
      <c r="A1590" s="14" t="s">
        <v>27</v>
      </c>
      <c r="B1590" s="212">
        <v>244316</v>
      </c>
      <c r="C1590" s="14" t="s">
        <v>547</v>
      </c>
      <c r="D1590" s="14" t="s">
        <v>268</v>
      </c>
      <c r="E1590" s="14" t="s">
        <v>14</v>
      </c>
      <c r="F1590" s="14" t="s">
        <v>324</v>
      </c>
      <c r="G1590" s="179">
        <v>681589</v>
      </c>
      <c r="H1590" s="176" t="s">
        <v>1925</v>
      </c>
      <c r="I1590" s="176" t="s">
        <v>630</v>
      </c>
      <c r="J1590" s="176" t="s">
        <v>520</v>
      </c>
      <c r="K1590" s="176" t="s">
        <v>4613</v>
      </c>
      <c r="L1590" s="40" t="s">
        <v>105</v>
      </c>
      <c r="M1590" s="40" t="s">
        <v>341</v>
      </c>
      <c r="N1590" s="14" t="s">
        <v>4615</v>
      </c>
      <c r="O1590" s="14" t="s">
        <v>527</v>
      </c>
      <c r="P1590" s="14" t="s">
        <v>818</v>
      </c>
      <c r="Q1590" s="14" t="s">
        <v>542</v>
      </c>
      <c r="R1590" s="17">
        <v>170</v>
      </c>
      <c r="S1590" s="172" t="s">
        <v>51</v>
      </c>
      <c r="T1590" s="17">
        <v>1920</v>
      </c>
      <c r="U1590" s="14" t="s">
        <v>51</v>
      </c>
      <c r="V1590" s="16">
        <f t="shared" si="185"/>
        <v>244316</v>
      </c>
      <c r="W1590" s="16">
        <f t="shared" si="186"/>
        <v>244323</v>
      </c>
      <c r="X1590" s="16">
        <f t="shared" si="187"/>
        <v>244318</v>
      </c>
      <c r="Y1590" s="15"/>
      <c r="Z1590" s="177"/>
      <c r="AA1590" s="170"/>
      <c r="AB1590" s="170"/>
      <c r="AC1590" s="170"/>
      <c r="AD1590" s="170"/>
      <c r="AE1590" s="15"/>
      <c r="AF1590" s="177"/>
      <c r="AG1590" s="177">
        <f t="shared" si="188"/>
        <v>0</v>
      </c>
      <c r="AH1590" s="177">
        <f t="shared" si="189"/>
        <v>0</v>
      </c>
      <c r="AK1590" s="176"/>
      <c r="AL1590" s="176"/>
    </row>
    <row r="1591" spans="1:38" ht="36" customHeight="1" x14ac:dyDescent="0.2">
      <c r="A1591" s="14" t="s">
        <v>27</v>
      </c>
      <c r="B1591" s="212">
        <v>244316</v>
      </c>
      <c r="C1591" s="14" t="s">
        <v>547</v>
      </c>
      <c r="D1591" s="14" t="s">
        <v>268</v>
      </c>
      <c r="E1591" s="14" t="s">
        <v>14</v>
      </c>
      <c r="F1591" s="14" t="s">
        <v>324</v>
      </c>
      <c r="G1591" s="179">
        <v>681590</v>
      </c>
      <c r="H1591" s="176" t="s">
        <v>1925</v>
      </c>
      <c r="I1591" s="176" t="s">
        <v>630</v>
      </c>
      <c r="J1591" s="176" t="s">
        <v>520</v>
      </c>
      <c r="K1591" s="176" t="s">
        <v>4613</v>
      </c>
      <c r="L1591" s="40" t="s">
        <v>105</v>
      </c>
      <c r="M1591" s="40" t="s">
        <v>341</v>
      </c>
      <c r="N1591" s="14" t="s">
        <v>4616</v>
      </c>
      <c r="O1591" s="14" t="s">
        <v>2521</v>
      </c>
      <c r="P1591" s="14" t="s">
        <v>4622</v>
      </c>
      <c r="Q1591" s="14" t="s">
        <v>2523</v>
      </c>
      <c r="R1591" s="17">
        <v>540</v>
      </c>
      <c r="S1591" s="172" t="s">
        <v>51</v>
      </c>
      <c r="T1591" s="17">
        <v>1405</v>
      </c>
      <c r="U1591" s="14" t="s">
        <v>51</v>
      </c>
      <c r="V1591" s="16">
        <f t="shared" si="185"/>
        <v>244316</v>
      </c>
      <c r="W1591" s="16">
        <f t="shared" si="186"/>
        <v>244323</v>
      </c>
      <c r="X1591" s="16">
        <f t="shared" si="187"/>
        <v>244318</v>
      </c>
      <c r="Y1591" s="15"/>
      <c r="Z1591" s="177"/>
      <c r="AA1591" s="170"/>
      <c r="AB1591" s="170"/>
      <c r="AC1591" s="170"/>
      <c r="AD1591" s="170"/>
      <c r="AE1591" s="15"/>
      <c r="AF1591" s="177"/>
      <c r="AG1591" s="177">
        <f t="shared" si="188"/>
        <v>0</v>
      </c>
      <c r="AH1591" s="177">
        <f t="shared" si="189"/>
        <v>0</v>
      </c>
      <c r="AK1591" s="176"/>
      <c r="AL1591" s="176"/>
    </row>
    <row r="1592" spans="1:38" ht="36" customHeight="1" x14ac:dyDescent="0.2">
      <c r="A1592" s="14" t="s">
        <v>27</v>
      </c>
      <c r="B1592" s="212">
        <v>244316</v>
      </c>
      <c r="C1592" s="14" t="s">
        <v>547</v>
      </c>
      <c r="D1592" s="14" t="s">
        <v>268</v>
      </c>
      <c r="E1592" s="14" t="s">
        <v>14</v>
      </c>
      <c r="F1592" s="14" t="s">
        <v>324</v>
      </c>
      <c r="G1592" s="179">
        <v>681591</v>
      </c>
      <c r="H1592" s="176" t="s">
        <v>1925</v>
      </c>
      <c r="I1592" s="176" t="s">
        <v>630</v>
      </c>
      <c r="J1592" s="176" t="s">
        <v>520</v>
      </c>
      <c r="K1592" s="176" t="s">
        <v>4613</v>
      </c>
      <c r="L1592" s="40" t="s">
        <v>105</v>
      </c>
      <c r="M1592" s="40" t="s">
        <v>341</v>
      </c>
      <c r="N1592" s="14" t="s">
        <v>4617</v>
      </c>
      <c r="O1592" s="14" t="s">
        <v>548</v>
      </c>
      <c r="P1592" s="14" t="s">
        <v>518</v>
      </c>
      <c r="Q1592" s="14" t="s">
        <v>549</v>
      </c>
      <c r="R1592" s="17">
        <v>189</v>
      </c>
      <c r="S1592" s="172" t="s">
        <v>51</v>
      </c>
      <c r="T1592" s="17">
        <v>1405</v>
      </c>
      <c r="U1592" s="14" t="s">
        <v>51</v>
      </c>
      <c r="V1592" s="16">
        <f t="shared" si="185"/>
        <v>244316</v>
      </c>
      <c r="W1592" s="16">
        <f t="shared" si="186"/>
        <v>244323</v>
      </c>
      <c r="X1592" s="16">
        <f t="shared" si="187"/>
        <v>244318</v>
      </c>
      <c r="Y1592" s="15"/>
      <c r="Z1592" s="177"/>
      <c r="AA1592" s="170"/>
      <c r="AB1592" s="170"/>
      <c r="AC1592" s="170"/>
      <c r="AD1592" s="170"/>
      <c r="AE1592" s="15"/>
      <c r="AF1592" s="177"/>
      <c r="AG1592" s="177">
        <f t="shared" si="188"/>
        <v>0</v>
      </c>
      <c r="AH1592" s="177">
        <f t="shared" si="189"/>
        <v>0</v>
      </c>
      <c r="AK1592" s="176"/>
      <c r="AL1592" s="176"/>
    </row>
    <row r="1593" spans="1:38" ht="36" customHeight="1" x14ac:dyDescent="0.2">
      <c r="A1593" s="14" t="s">
        <v>27</v>
      </c>
      <c r="B1593" s="212">
        <v>244316</v>
      </c>
      <c r="C1593" s="14" t="s">
        <v>547</v>
      </c>
      <c r="D1593" s="14" t="s">
        <v>268</v>
      </c>
      <c r="E1593" s="14" t="s">
        <v>14</v>
      </c>
      <c r="F1593" s="14" t="s">
        <v>324</v>
      </c>
      <c r="G1593" s="179">
        <v>681592</v>
      </c>
      <c r="H1593" s="176" t="s">
        <v>1925</v>
      </c>
      <c r="I1593" s="176" t="s">
        <v>630</v>
      </c>
      <c r="J1593" s="176" t="s">
        <v>520</v>
      </c>
      <c r="K1593" s="176" t="s">
        <v>4613</v>
      </c>
      <c r="L1593" s="40" t="s">
        <v>105</v>
      </c>
      <c r="M1593" s="40" t="s">
        <v>341</v>
      </c>
      <c r="N1593" s="14" t="s">
        <v>4618</v>
      </c>
      <c r="O1593" s="14" t="s">
        <v>953</v>
      </c>
      <c r="P1593" s="14" t="s">
        <v>4623</v>
      </c>
      <c r="Q1593" s="14" t="s">
        <v>956</v>
      </c>
      <c r="R1593" s="17">
        <v>260</v>
      </c>
      <c r="S1593" s="172" t="s">
        <v>51</v>
      </c>
      <c r="T1593" s="17">
        <v>2060</v>
      </c>
      <c r="U1593" s="14" t="s">
        <v>51</v>
      </c>
      <c r="V1593" s="16">
        <f t="shared" si="185"/>
        <v>244316</v>
      </c>
      <c r="W1593" s="16">
        <f t="shared" si="186"/>
        <v>244323</v>
      </c>
      <c r="X1593" s="16">
        <f t="shared" si="187"/>
        <v>244318</v>
      </c>
      <c r="Y1593" s="15"/>
      <c r="Z1593" s="177"/>
      <c r="AA1593" s="170"/>
      <c r="AB1593" s="170"/>
      <c r="AC1593" s="170"/>
      <c r="AD1593" s="170"/>
      <c r="AE1593" s="15"/>
      <c r="AF1593" s="177"/>
      <c r="AG1593" s="177">
        <f t="shared" si="188"/>
        <v>0</v>
      </c>
      <c r="AH1593" s="177">
        <f t="shared" si="189"/>
        <v>0</v>
      </c>
      <c r="AK1593" s="176"/>
      <c r="AL1593" s="176"/>
    </row>
    <row r="1594" spans="1:38" ht="36" customHeight="1" x14ac:dyDescent="0.2">
      <c r="A1594" s="14" t="s">
        <v>27</v>
      </c>
      <c r="B1594" s="212">
        <v>244316</v>
      </c>
      <c r="C1594" s="14" t="s">
        <v>547</v>
      </c>
      <c r="D1594" s="14" t="s">
        <v>268</v>
      </c>
      <c r="E1594" s="14" t="s">
        <v>14</v>
      </c>
      <c r="F1594" s="14" t="s">
        <v>324</v>
      </c>
      <c r="G1594" s="179">
        <v>681593</v>
      </c>
      <c r="H1594" s="176" t="s">
        <v>1925</v>
      </c>
      <c r="I1594" s="176" t="s">
        <v>630</v>
      </c>
      <c r="J1594" s="176" t="s">
        <v>520</v>
      </c>
      <c r="K1594" s="176" t="s">
        <v>4613</v>
      </c>
      <c r="L1594" s="40" t="s">
        <v>105</v>
      </c>
      <c r="M1594" s="40" t="s">
        <v>341</v>
      </c>
      <c r="N1594" s="14" t="s">
        <v>4619</v>
      </c>
      <c r="O1594" s="14" t="s">
        <v>4621</v>
      </c>
      <c r="P1594" s="14" t="s">
        <v>4624</v>
      </c>
      <c r="Q1594" s="14" t="s">
        <v>4626</v>
      </c>
      <c r="R1594" s="17">
        <v>331</v>
      </c>
      <c r="S1594" s="172" t="s">
        <v>51</v>
      </c>
      <c r="T1594" s="17">
        <v>2016</v>
      </c>
      <c r="U1594" s="14" t="s">
        <v>51</v>
      </c>
      <c r="V1594" s="16">
        <f t="shared" si="185"/>
        <v>244316</v>
      </c>
      <c r="W1594" s="16">
        <f t="shared" si="186"/>
        <v>244323</v>
      </c>
      <c r="X1594" s="16">
        <f t="shared" si="187"/>
        <v>244318</v>
      </c>
      <c r="Y1594" s="15"/>
      <c r="Z1594" s="177"/>
      <c r="AA1594" s="170"/>
      <c r="AB1594" s="170"/>
      <c r="AC1594" s="170"/>
      <c r="AD1594" s="170"/>
      <c r="AE1594" s="15"/>
      <c r="AF1594" s="177"/>
      <c r="AG1594" s="177">
        <f t="shared" si="188"/>
        <v>0</v>
      </c>
      <c r="AH1594" s="177">
        <f t="shared" si="189"/>
        <v>0</v>
      </c>
      <c r="AK1594" s="176"/>
      <c r="AL1594" s="176"/>
    </row>
    <row r="1595" spans="1:38" ht="36" customHeight="1" x14ac:dyDescent="0.2">
      <c r="A1595" s="14" t="s">
        <v>27</v>
      </c>
      <c r="B1595" s="212">
        <v>244316</v>
      </c>
      <c r="C1595" s="14" t="s">
        <v>547</v>
      </c>
      <c r="D1595" s="14" t="s">
        <v>268</v>
      </c>
      <c r="E1595" s="14" t="s">
        <v>14</v>
      </c>
      <c r="F1595" s="14" t="s">
        <v>324</v>
      </c>
      <c r="G1595" s="179">
        <v>681594</v>
      </c>
      <c r="H1595" s="176" t="s">
        <v>1925</v>
      </c>
      <c r="I1595" s="176" t="s">
        <v>630</v>
      </c>
      <c r="J1595" s="176" t="s">
        <v>520</v>
      </c>
      <c r="K1595" s="176" t="s">
        <v>4613</v>
      </c>
      <c r="L1595" s="40" t="s">
        <v>105</v>
      </c>
      <c r="M1595" s="40" t="s">
        <v>341</v>
      </c>
      <c r="N1595" s="14" t="s">
        <v>4620</v>
      </c>
      <c r="O1595" s="14" t="s">
        <v>527</v>
      </c>
      <c r="P1595" s="14" t="s">
        <v>4625</v>
      </c>
      <c r="Q1595" s="14" t="s">
        <v>542</v>
      </c>
      <c r="R1595" s="17">
        <v>347</v>
      </c>
      <c r="S1595" s="172" t="s">
        <v>51</v>
      </c>
      <c r="T1595" s="17">
        <v>2040</v>
      </c>
      <c r="U1595" s="14" t="s">
        <v>51</v>
      </c>
      <c r="V1595" s="16">
        <f t="shared" si="185"/>
        <v>244316</v>
      </c>
      <c r="W1595" s="16">
        <f t="shared" si="186"/>
        <v>244323</v>
      </c>
      <c r="X1595" s="16">
        <f t="shared" si="187"/>
        <v>244318</v>
      </c>
      <c r="Y1595" s="15"/>
      <c r="Z1595" s="177"/>
      <c r="AA1595" s="170"/>
      <c r="AB1595" s="170"/>
      <c r="AC1595" s="170"/>
      <c r="AD1595" s="170"/>
      <c r="AE1595" s="15"/>
      <c r="AF1595" s="177"/>
      <c r="AG1595" s="177">
        <f t="shared" si="188"/>
        <v>0</v>
      </c>
      <c r="AH1595" s="177">
        <f t="shared" si="189"/>
        <v>0</v>
      </c>
      <c r="AK1595" s="176"/>
      <c r="AL1595" s="176"/>
    </row>
    <row r="1596" spans="1:38" ht="36" customHeight="1" x14ac:dyDescent="0.2">
      <c r="A1596" s="14" t="s">
        <v>27</v>
      </c>
      <c r="B1596" s="212">
        <v>244316</v>
      </c>
      <c r="C1596" s="14" t="s">
        <v>547</v>
      </c>
      <c r="D1596" s="14" t="s">
        <v>268</v>
      </c>
      <c r="E1596" s="14" t="s">
        <v>14</v>
      </c>
      <c r="F1596" s="14" t="s">
        <v>324</v>
      </c>
      <c r="G1596" s="179">
        <v>681595</v>
      </c>
      <c r="H1596" s="176" t="s">
        <v>1162</v>
      </c>
      <c r="I1596" s="176" t="s">
        <v>630</v>
      </c>
      <c r="J1596" s="176" t="s">
        <v>1190</v>
      </c>
      <c r="K1596" s="176" t="s">
        <v>4614</v>
      </c>
      <c r="L1596" s="40" t="s">
        <v>45</v>
      </c>
      <c r="M1596" s="40" t="s">
        <v>341</v>
      </c>
      <c r="N1596" s="14" t="s">
        <v>1933</v>
      </c>
      <c r="O1596" s="14" t="s">
        <v>552</v>
      </c>
      <c r="P1596" s="14" t="s">
        <v>519</v>
      </c>
      <c r="Q1596" s="14" t="s">
        <v>553</v>
      </c>
      <c r="R1596" s="17">
        <v>400</v>
      </c>
      <c r="S1596" s="172" t="s">
        <v>51</v>
      </c>
      <c r="T1596" s="17">
        <v>1665</v>
      </c>
      <c r="U1596" s="14" t="s">
        <v>51</v>
      </c>
      <c r="V1596" s="16">
        <f t="shared" si="185"/>
        <v>244316</v>
      </c>
      <c r="W1596" s="16">
        <f t="shared" si="186"/>
        <v>244323</v>
      </c>
      <c r="X1596" s="16">
        <f t="shared" si="187"/>
        <v>244318</v>
      </c>
      <c r="Y1596" s="15"/>
      <c r="Z1596" s="177"/>
      <c r="AA1596" s="170"/>
      <c r="AB1596" s="170"/>
      <c r="AC1596" s="170"/>
      <c r="AD1596" s="170"/>
      <c r="AE1596" s="15"/>
      <c r="AF1596" s="177"/>
      <c r="AG1596" s="177">
        <f t="shared" si="188"/>
        <v>0</v>
      </c>
      <c r="AH1596" s="177">
        <f t="shared" si="189"/>
        <v>0</v>
      </c>
      <c r="AK1596" s="176"/>
      <c r="AL1596" s="176"/>
    </row>
    <row r="1597" spans="1:38" ht="36" customHeight="1" x14ac:dyDescent="0.2">
      <c r="A1597" s="14" t="s">
        <v>27</v>
      </c>
      <c r="B1597" s="212">
        <v>244316</v>
      </c>
      <c r="C1597" s="14" t="s">
        <v>547</v>
      </c>
      <c r="D1597" s="14" t="s">
        <v>268</v>
      </c>
      <c r="E1597" s="14" t="s">
        <v>14</v>
      </c>
      <c r="F1597" s="14" t="s">
        <v>324</v>
      </c>
      <c r="G1597" s="179">
        <v>681596</v>
      </c>
      <c r="H1597" s="176" t="s">
        <v>4627</v>
      </c>
      <c r="I1597" s="176" t="s">
        <v>802</v>
      </c>
      <c r="J1597" s="176" t="s">
        <v>128</v>
      </c>
      <c r="K1597" s="176" t="s">
        <v>4628</v>
      </c>
      <c r="L1597" s="40" t="s">
        <v>46</v>
      </c>
      <c r="M1597" s="40" t="s">
        <v>341</v>
      </c>
      <c r="N1597" s="14" t="s">
        <v>4629</v>
      </c>
      <c r="O1597" s="14" t="s">
        <v>528</v>
      </c>
      <c r="P1597" s="14" t="s">
        <v>684</v>
      </c>
      <c r="Q1597" s="14" t="s">
        <v>541</v>
      </c>
      <c r="R1597" s="17">
        <v>1700</v>
      </c>
      <c r="S1597" s="172" t="s">
        <v>51</v>
      </c>
      <c r="T1597" s="17">
        <v>2450</v>
      </c>
      <c r="U1597" s="14" t="s">
        <v>51</v>
      </c>
      <c r="V1597" s="16">
        <f t="shared" si="185"/>
        <v>244316</v>
      </c>
      <c r="W1597" s="16">
        <f t="shared" si="186"/>
        <v>244323</v>
      </c>
      <c r="X1597" s="16">
        <f t="shared" si="187"/>
        <v>244318</v>
      </c>
      <c r="Y1597" s="15"/>
      <c r="Z1597" s="177"/>
      <c r="AA1597" s="170"/>
      <c r="AB1597" s="170"/>
      <c r="AC1597" s="170"/>
      <c r="AD1597" s="170"/>
      <c r="AE1597" s="15"/>
      <c r="AF1597" s="177"/>
      <c r="AG1597" s="177">
        <f t="shared" si="188"/>
        <v>0</v>
      </c>
      <c r="AH1597" s="177">
        <f t="shared" si="189"/>
        <v>0</v>
      </c>
      <c r="AK1597" s="176"/>
      <c r="AL1597" s="176"/>
    </row>
    <row r="1598" spans="1:38" ht="36" customHeight="1" x14ac:dyDescent="0.2">
      <c r="A1598" s="14" t="s">
        <v>28</v>
      </c>
      <c r="B1598" s="212">
        <v>244319</v>
      </c>
      <c r="C1598" s="14" t="s">
        <v>547</v>
      </c>
      <c r="D1598" s="14" t="s">
        <v>268</v>
      </c>
      <c r="E1598" s="14" t="s">
        <v>14</v>
      </c>
      <c r="F1598" s="14" t="s">
        <v>324</v>
      </c>
      <c r="G1598" s="179">
        <v>681597</v>
      </c>
      <c r="H1598" s="176" t="s">
        <v>1162</v>
      </c>
      <c r="I1598" s="176" t="s">
        <v>630</v>
      </c>
      <c r="J1598" s="176" t="s">
        <v>1190</v>
      </c>
      <c r="K1598" s="176" t="s">
        <v>4614</v>
      </c>
      <c r="L1598" s="40" t="s">
        <v>45</v>
      </c>
      <c r="M1598" s="40" t="s">
        <v>341</v>
      </c>
      <c r="N1598" s="14" t="s">
        <v>4635</v>
      </c>
      <c r="O1598" s="14" t="s">
        <v>543</v>
      </c>
      <c r="P1598" s="14" t="s">
        <v>4640</v>
      </c>
      <c r="Q1598" s="14" t="s">
        <v>529</v>
      </c>
      <c r="R1598" s="17">
        <v>600</v>
      </c>
      <c r="S1598" s="172" t="s">
        <v>51</v>
      </c>
      <c r="T1598" s="17">
        <v>2105</v>
      </c>
      <c r="U1598" s="14" t="s">
        <v>51</v>
      </c>
      <c r="V1598" s="16">
        <f t="shared" si="185"/>
        <v>244319</v>
      </c>
      <c r="W1598" s="16">
        <f t="shared" si="186"/>
        <v>244326</v>
      </c>
      <c r="X1598" s="16">
        <f t="shared" si="187"/>
        <v>244321</v>
      </c>
      <c r="Y1598" s="15" t="s">
        <v>54</v>
      </c>
      <c r="Z1598" s="177">
        <v>244329</v>
      </c>
      <c r="AA1598" s="170"/>
      <c r="AB1598" s="170"/>
      <c r="AC1598" s="170"/>
      <c r="AD1598" s="170"/>
      <c r="AE1598" s="15" t="s">
        <v>54</v>
      </c>
      <c r="AF1598" s="177">
        <v>244330</v>
      </c>
      <c r="AG1598" s="177" t="str">
        <f t="shared" si="188"/>
        <v>Pass</v>
      </c>
      <c r="AH1598" s="177">
        <f t="shared" si="189"/>
        <v>244330</v>
      </c>
      <c r="AK1598" s="176"/>
      <c r="AL1598" s="176"/>
    </row>
    <row r="1599" spans="1:38" ht="36" customHeight="1" x14ac:dyDescent="0.2">
      <c r="A1599" s="14" t="s">
        <v>28</v>
      </c>
      <c r="B1599" s="212">
        <v>244319</v>
      </c>
      <c r="C1599" s="14" t="s">
        <v>547</v>
      </c>
      <c r="D1599" s="14" t="s">
        <v>268</v>
      </c>
      <c r="E1599" s="14" t="s">
        <v>14</v>
      </c>
      <c r="F1599" s="14" t="s">
        <v>324</v>
      </c>
      <c r="G1599" s="179">
        <v>681598</v>
      </c>
      <c r="H1599" s="176" t="s">
        <v>626</v>
      </c>
      <c r="I1599" s="176" t="s">
        <v>630</v>
      </c>
      <c r="J1599" s="176" t="s">
        <v>520</v>
      </c>
      <c r="K1599" s="176" t="s">
        <v>4631</v>
      </c>
      <c r="L1599" s="40" t="s">
        <v>105</v>
      </c>
      <c r="M1599" s="40" t="s">
        <v>341</v>
      </c>
      <c r="N1599" s="14" t="s">
        <v>1079</v>
      </c>
      <c r="O1599" s="14" t="s">
        <v>543</v>
      </c>
      <c r="P1599" s="14" t="s">
        <v>971</v>
      </c>
      <c r="Q1599" s="14" t="s">
        <v>529</v>
      </c>
      <c r="R1599" s="17">
        <v>300</v>
      </c>
      <c r="S1599" s="172" t="s">
        <v>51</v>
      </c>
      <c r="T1599" s="17">
        <v>2045</v>
      </c>
      <c r="U1599" s="14" t="s">
        <v>51</v>
      </c>
      <c r="V1599" s="16">
        <f t="shared" si="185"/>
        <v>244319</v>
      </c>
      <c r="W1599" s="16">
        <f t="shared" si="186"/>
        <v>244326</v>
      </c>
      <c r="X1599" s="16">
        <f t="shared" si="187"/>
        <v>244321</v>
      </c>
      <c r="Y1599" s="15" t="s">
        <v>54</v>
      </c>
      <c r="Z1599" s="177">
        <v>244329</v>
      </c>
      <c r="AA1599" s="170"/>
      <c r="AB1599" s="170"/>
      <c r="AC1599" s="170"/>
      <c r="AD1599" s="170"/>
      <c r="AE1599" s="15" t="s">
        <v>54</v>
      </c>
      <c r="AF1599" s="177">
        <v>244330</v>
      </c>
      <c r="AG1599" s="177" t="str">
        <f t="shared" si="188"/>
        <v>Pass</v>
      </c>
      <c r="AH1599" s="177">
        <f t="shared" si="189"/>
        <v>244330</v>
      </c>
      <c r="AK1599" s="176"/>
      <c r="AL1599" s="176"/>
    </row>
    <row r="1600" spans="1:38" ht="36" customHeight="1" x14ac:dyDescent="0.2">
      <c r="A1600" s="14" t="s">
        <v>28</v>
      </c>
      <c r="B1600" s="212">
        <v>244319</v>
      </c>
      <c r="C1600" s="14" t="s">
        <v>547</v>
      </c>
      <c r="D1600" s="14" t="s">
        <v>268</v>
      </c>
      <c r="E1600" s="14" t="s">
        <v>14</v>
      </c>
      <c r="F1600" s="14" t="s">
        <v>324</v>
      </c>
      <c r="G1600" s="179">
        <v>681599</v>
      </c>
      <c r="H1600" s="176" t="s">
        <v>663</v>
      </c>
      <c r="I1600" s="176" t="s">
        <v>630</v>
      </c>
      <c r="J1600" s="176" t="s">
        <v>821</v>
      </c>
      <c r="K1600" s="176" t="s">
        <v>4632</v>
      </c>
      <c r="L1600" s="40" t="s">
        <v>124</v>
      </c>
      <c r="M1600" s="40" t="s">
        <v>341</v>
      </c>
      <c r="N1600" s="14" t="s">
        <v>2511</v>
      </c>
      <c r="O1600" s="14" t="s">
        <v>548</v>
      </c>
      <c r="P1600" s="14" t="s">
        <v>518</v>
      </c>
      <c r="Q1600" s="14" t="s">
        <v>549</v>
      </c>
      <c r="R1600" s="17">
        <v>135</v>
      </c>
      <c r="S1600" s="172" t="s">
        <v>51</v>
      </c>
      <c r="T1600" s="17">
        <v>2277</v>
      </c>
      <c r="U1600" s="14" t="s">
        <v>51</v>
      </c>
      <c r="V1600" s="16">
        <f t="shared" si="185"/>
        <v>244319</v>
      </c>
      <c r="W1600" s="16">
        <f t="shared" si="186"/>
        <v>244326</v>
      </c>
      <c r="X1600" s="16">
        <f t="shared" si="187"/>
        <v>244321</v>
      </c>
      <c r="Y1600" s="15" t="s">
        <v>54</v>
      </c>
      <c r="Z1600" s="177">
        <v>244329</v>
      </c>
      <c r="AA1600" s="170"/>
      <c r="AB1600" s="170"/>
      <c r="AC1600" s="170"/>
      <c r="AD1600" s="170"/>
      <c r="AE1600" s="15" t="s">
        <v>54</v>
      </c>
      <c r="AF1600" s="177">
        <v>244330</v>
      </c>
      <c r="AG1600" s="177" t="str">
        <f t="shared" si="188"/>
        <v>Pass</v>
      </c>
      <c r="AH1600" s="177">
        <f t="shared" si="189"/>
        <v>244330</v>
      </c>
      <c r="AK1600" s="176"/>
      <c r="AL1600" s="176"/>
    </row>
    <row r="1601" spans="1:38" ht="36" customHeight="1" x14ac:dyDescent="0.2">
      <c r="A1601" s="14" t="s">
        <v>28</v>
      </c>
      <c r="B1601" s="212">
        <v>244319</v>
      </c>
      <c r="C1601" s="14" t="s">
        <v>547</v>
      </c>
      <c r="D1601" s="14" t="s">
        <v>268</v>
      </c>
      <c r="E1601" s="14" t="s">
        <v>14</v>
      </c>
      <c r="F1601" s="14" t="s">
        <v>324</v>
      </c>
      <c r="G1601" s="179">
        <v>681600</v>
      </c>
      <c r="H1601" s="176" t="s">
        <v>626</v>
      </c>
      <c r="I1601" s="176" t="s">
        <v>630</v>
      </c>
      <c r="J1601" s="176" t="s">
        <v>520</v>
      </c>
      <c r="K1601" s="176" t="s">
        <v>4631</v>
      </c>
      <c r="L1601" s="40" t="s">
        <v>105</v>
      </c>
      <c r="M1601" s="40" t="s">
        <v>341</v>
      </c>
      <c r="N1601" s="14" t="s">
        <v>4636</v>
      </c>
      <c r="O1601" s="14" t="s">
        <v>527</v>
      </c>
      <c r="P1601" s="14" t="s">
        <v>4641</v>
      </c>
      <c r="Q1601" s="14" t="s">
        <v>542</v>
      </c>
      <c r="R1601" s="17">
        <v>147</v>
      </c>
      <c r="S1601" s="172" t="s">
        <v>51</v>
      </c>
      <c r="T1601" s="17">
        <v>1954</v>
      </c>
      <c r="U1601" s="14" t="s">
        <v>51</v>
      </c>
      <c r="V1601" s="16">
        <f t="shared" ref="V1601:V1664" si="190">B1601</f>
        <v>244319</v>
      </c>
      <c r="W1601" s="16">
        <f t="shared" ref="W1601:W1664" si="191">B1601+7</f>
        <v>244326</v>
      </c>
      <c r="X1601" s="16">
        <f t="shared" ref="X1601:X1664" si="192">V1601+2</f>
        <v>244321</v>
      </c>
      <c r="Y1601" s="15" t="s">
        <v>54</v>
      </c>
      <c r="Z1601" s="177">
        <v>244329</v>
      </c>
      <c r="AA1601" s="170"/>
      <c r="AB1601" s="170"/>
      <c r="AC1601" s="170"/>
      <c r="AD1601" s="170"/>
      <c r="AE1601" s="15" t="s">
        <v>54</v>
      </c>
      <c r="AF1601" s="177">
        <v>244330</v>
      </c>
      <c r="AG1601" s="177" t="str">
        <f t="shared" ref="AG1601:AG1664" si="193">AE1601</f>
        <v>Pass</v>
      </c>
      <c r="AH1601" s="177">
        <f t="shared" ref="AH1601:AH1664" si="194">AF1601</f>
        <v>244330</v>
      </c>
      <c r="AK1601" s="176"/>
      <c r="AL1601" s="176"/>
    </row>
    <row r="1602" spans="1:38" ht="36" customHeight="1" x14ac:dyDescent="0.2">
      <c r="A1602" s="14" t="s">
        <v>28</v>
      </c>
      <c r="B1602" s="212">
        <v>244319</v>
      </c>
      <c r="C1602" s="14" t="s">
        <v>547</v>
      </c>
      <c r="D1602" s="14" t="s">
        <v>268</v>
      </c>
      <c r="E1602" s="14" t="s">
        <v>14</v>
      </c>
      <c r="F1602" s="14" t="s">
        <v>324</v>
      </c>
      <c r="G1602" s="179">
        <v>681601</v>
      </c>
      <c r="H1602" s="176" t="s">
        <v>4630</v>
      </c>
      <c r="I1602" s="176" t="s">
        <v>2967</v>
      </c>
      <c r="J1602" s="176" t="s">
        <v>286</v>
      </c>
      <c r="K1602" s="176" t="s">
        <v>4633</v>
      </c>
      <c r="L1602" s="40" t="s">
        <v>46</v>
      </c>
      <c r="M1602" s="40" t="s">
        <v>341</v>
      </c>
      <c r="N1602" s="14" t="s">
        <v>4637</v>
      </c>
      <c r="O1602" s="14" t="s">
        <v>552</v>
      </c>
      <c r="P1602" s="14" t="s">
        <v>793</v>
      </c>
      <c r="Q1602" s="14" t="s">
        <v>553</v>
      </c>
      <c r="R1602" s="17">
        <v>225</v>
      </c>
      <c r="S1602" s="172" t="s">
        <v>51</v>
      </c>
      <c r="T1602" s="17">
        <v>1980</v>
      </c>
      <c r="U1602" s="14" t="s">
        <v>51</v>
      </c>
      <c r="V1602" s="16">
        <f t="shared" si="190"/>
        <v>244319</v>
      </c>
      <c r="W1602" s="16">
        <f t="shared" si="191"/>
        <v>244326</v>
      </c>
      <c r="X1602" s="16">
        <f t="shared" si="192"/>
        <v>244321</v>
      </c>
      <c r="Y1602" s="15" t="s">
        <v>54</v>
      </c>
      <c r="Z1602" s="177">
        <v>244329</v>
      </c>
      <c r="AA1602" s="170"/>
      <c r="AB1602" s="170"/>
      <c r="AC1602" s="170"/>
      <c r="AD1602" s="170"/>
      <c r="AE1602" s="15" t="s">
        <v>54</v>
      </c>
      <c r="AF1602" s="177">
        <v>244330</v>
      </c>
      <c r="AG1602" s="177" t="str">
        <f t="shared" si="193"/>
        <v>Pass</v>
      </c>
      <c r="AH1602" s="177">
        <f t="shared" si="194"/>
        <v>244330</v>
      </c>
      <c r="AK1602" s="176"/>
      <c r="AL1602" s="176"/>
    </row>
    <row r="1603" spans="1:38" ht="36" customHeight="1" x14ac:dyDescent="0.2">
      <c r="A1603" s="14" t="s">
        <v>28</v>
      </c>
      <c r="B1603" s="212">
        <v>244319</v>
      </c>
      <c r="C1603" s="14" t="s">
        <v>547</v>
      </c>
      <c r="D1603" s="14" t="s">
        <v>268</v>
      </c>
      <c r="E1603" s="14" t="s">
        <v>14</v>
      </c>
      <c r="F1603" s="14" t="s">
        <v>324</v>
      </c>
      <c r="G1603" s="179">
        <v>681602</v>
      </c>
      <c r="H1603" s="176" t="s">
        <v>663</v>
      </c>
      <c r="I1603" s="176" t="s">
        <v>630</v>
      </c>
      <c r="J1603" s="176" t="s">
        <v>821</v>
      </c>
      <c r="K1603" s="176" t="s">
        <v>4632</v>
      </c>
      <c r="L1603" s="40" t="s">
        <v>124</v>
      </c>
      <c r="M1603" s="40" t="s">
        <v>341</v>
      </c>
      <c r="N1603" s="14" t="s">
        <v>4638</v>
      </c>
      <c r="O1603" s="14" t="s">
        <v>543</v>
      </c>
      <c r="P1603" s="14" t="s">
        <v>4642</v>
      </c>
      <c r="Q1603" s="14" t="s">
        <v>529</v>
      </c>
      <c r="R1603" s="17">
        <v>2400</v>
      </c>
      <c r="S1603" s="172" t="s">
        <v>51</v>
      </c>
      <c r="T1603" s="17">
        <v>2562</v>
      </c>
      <c r="U1603" s="14" t="s">
        <v>51</v>
      </c>
      <c r="V1603" s="16">
        <f t="shared" si="190"/>
        <v>244319</v>
      </c>
      <c r="W1603" s="16">
        <f t="shared" si="191"/>
        <v>244326</v>
      </c>
      <c r="X1603" s="16">
        <f t="shared" si="192"/>
        <v>244321</v>
      </c>
      <c r="Y1603" s="15" t="s">
        <v>54</v>
      </c>
      <c r="Z1603" s="177">
        <v>244329</v>
      </c>
      <c r="AA1603" s="170"/>
      <c r="AB1603" s="170"/>
      <c r="AC1603" s="170"/>
      <c r="AD1603" s="170"/>
      <c r="AE1603" s="15" t="s">
        <v>54</v>
      </c>
      <c r="AF1603" s="177">
        <v>244330</v>
      </c>
      <c r="AG1603" s="177" t="str">
        <f t="shared" si="193"/>
        <v>Pass</v>
      </c>
      <c r="AH1603" s="177">
        <f t="shared" si="194"/>
        <v>244330</v>
      </c>
      <c r="AK1603" s="176"/>
      <c r="AL1603" s="176"/>
    </row>
    <row r="1604" spans="1:38" ht="36" customHeight="1" x14ac:dyDescent="0.2">
      <c r="A1604" s="14" t="s">
        <v>28</v>
      </c>
      <c r="B1604" s="212">
        <v>244319</v>
      </c>
      <c r="C1604" s="14" t="s">
        <v>547</v>
      </c>
      <c r="D1604" s="14" t="s">
        <v>268</v>
      </c>
      <c r="E1604" s="14" t="s">
        <v>14</v>
      </c>
      <c r="F1604" s="14" t="s">
        <v>324</v>
      </c>
      <c r="G1604" s="179">
        <v>681603</v>
      </c>
      <c r="H1604" s="176" t="s">
        <v>885</v>
      </c>
      <c r="I1604" s="176" t="s">
        <v>630</v>
      </c>
      <c r="J1604" s="176" t="s">
        <v>821</v>
      </c>
      <c r="K1604" s="176" t="s">
        <v>4634</v>
      </c>
      <c r="L1604" s="40" t="s">
        <v>105</v>
      </c>
      <c r="M1604" s="40" t="s">
        <v>341</v>
      </c>
      <c r="N1604" s="14" t="s">
        <v>4639</v>
      </c>
      <c r="O1604" s="14" t="s">
        <v>1643</v>
      </c>
      <c r="P1604" s="14" t="s">
        <v>4643</v>
      </c>
      <c r="Q1604" s="14" t="s">
        <v>1651</v>
      </c>
      <c r="R1604" s="17">
        <v>660</v>
      </c>
      <c r="S1604" s="172" t="s">
        <v>51</v>
      </c>
      <c r="T1604" s="17">
        <v>1926</v>
      </c>
      <c r="U1604" s="14" t="s">
        <v>51</v>
      </c>
      <c r="V1604" s="16">
        <f t="shared" si="190"/>
        <v>244319</v>
      </c>
      <c r="W1604" s="16">
        <f t="shared" si="191"/>
        <v>244326</v>
      </c>
      <c r="X1604" s="16">
        <f t="shared" si="192"/>
        <v>244321</v>
      </c>
      <c r="Y1604" s="15" t="s">
        <v>54</v>
      </c>
      <c r="Z1604" s="177">
        <v>244329</v>
      </c>
      <c r="AA1604" s="170"/>
      <c r="AB1604" s="170"/>
      <c r="AC1604" s="170"/>
      <c r="AD1604" s="170"/>
      <c r="AE1604" s="15" t="s">
        <v>54</v>
      </c>
      <c r="AF1604" s="177">
        <v>244330</v>
      </c>
      <c r="AG1604" s="177" t="str">
        <f t="shared" si="193"/>
        <v>Pass</v>
      </c>
      <c r="AH1604" s="177">
        <f t="shared" si="194"/>
        <v>244330</v>
      </c>
      <c r="AK1604" s="176"/>
      <c r="AL1604" s="176"/>
    </row>
    <row r="1605" spans="1:38" ht="36" customHeight="1" x14ac:dyDescent="0.2">
      <c r="A1605" s="14" t="s">
        <v>28</v>
      </c>
      <c r="B1605" s="212">
        <v>244319</v>
      </c>
      <c r="C1605" s="14" t="s">
        <v>547</v>
      </c>
      <c r="D1605" s="14" t="s">
        <v>268</v>
      </c>
      <c r="E1605" s="14" t="s">
        <v>14</v>
      </c>
      <c r="F1605" s="14" t="s">
        <v>324</v>
      </c>
      <c r="G1605" s="179">
        <v>681604</v>
      </c>
      <c r="H1605" s="176" t="s">
        <v>626</v>
      </c>
      <c r="I1605" s="176" t="s">
        <v>630</v>
      </c>
      <c r="J1605" s="176" t="s">
        <v>520</v>
      </c>
      <c r="K1605" s="176" t="s">
        <v>4631</v>
      </c>
      <c r="L1605" s="40" t="s">
        <v>105</v>
      </c>
      <c r="M1605" s="40" t="s">
        <v>341</v>
      </c>
      <c r="N1605" s="14" t="s">
        <v>4646</v>
      </c>
      <c r="O1605" s="14" t="s">
        <v>2565</v>
      </c>
      <c r="P1605" s="14" t="s">
        <v>4647</v>
      </c>
      <c r="Q1605" s="14" t="s">
        <v>2571</v>
      </c>
      <c r="R1605" s="17">
        <v>379</v>
      </c>
      <c r="S1605" s="172" t="s">
        <v>51</v>
      </c>
      <c r="T1605" s="17">
        <v>2100</v>
      </c>
      <c r="U1605" s="14" t="s">
        <v>51</v>
      </c>
      <c r="V1605" s="16">
        <f t="shared" si="190"/>
        <v>244319</v>
      </c>
      <c r="W1605" s="16">
        <f t="shared" si="191"/>
        <v>244326</v>
      </c>
      <c r="X1605" s="16">
        <f t="shared" si="192"/>
        <v>244321</v>
      </c>
      <c r="Y1605" s="15" t="s">
        <v>54</v>
      </c>
      <c r="Z1605" s="177">
        <v>244329</v>
      </c>
      <c r="AA1605" s="170"/>
      <c r="AB1605" s="170"/>
      <c r="AC1605" s="170"/>
      <c r="AD1605" s="170"/>
      <c r="AE1605" s="15" t="s">
        <v>54</v>
      </c>
      <c r="AF1605" s="177">
        <v>244330</v>
      </c>
      <c r="AG1605" s="177" t="str">
        <f t="shared" si="193"/>
        <v>Pass</v>
      </c>
      <c r="AH1605" s="177">
        <f t="shared" si="194"/>
        <v>244330</v>
      </c>
      <c r="AK1605" s="176"/>
      <c r="AL1605" s="176"/>
    </row>
    <row r="1606" spans="1:38" ht="36" customHeight="1" x14ac:dyDescent="0.2">
      <c r="A1606" s="14" t="s">
        <v>28</v>
      </c>
      <c r="B1606" s="212">
        <v>244319</v>
      </c>
      <c r="C1606" s="14" t="s">
        <v>547</v>
      </c>
      <c r="D1606" s="14" t="s">
        <v>268</v>
      </c>
      <c r="E1606" s="14" t="s">
        <v>14</v>
      </c>
      <c r="F1606" s="14" t="s">
        <v>324</v>
      </c>
      <c r="G1606" s="179">
        <v>681605</v>
      </c>
      <c r="H1606" s="176" t="s">
        <v>1135</v>
      </c>
      <c r="I1606" s="176" t="s">
        <v>630</v>
      </c>
      <c r="J1606" s="176" t="s">
        <v>520</v>
      </c>
      <c r="K1606" s="176" t="s">
        <v>4644</v>
      </c>
      <c r="L1606" s="40" t="s">
        <v>105</v>
      </c>
      <c r="M1606" s="40" t="s">
        <v>341</v>
      </c>
      <c r="N1606" s="14" t="s">
        <v>4645</v>
      </c>
      <c r="O1606" s="14" t="s">
        <v>552</v>
      </c>
      <c r="P1606" s="14" t="s">
        <v>846</v>
      </c>
      <c r="Q1606" s="14" t="s">
        <v>553</v>
      </c>
      <c r="R1606" s="17">
        <v>229</v>
      </c>
      <c r="S1606" s="172" t="s">
        <v>51</v>
      </c>
      <c r="T1606" s="17">
        <v>2015</v>
      </c>
      <c r="U1606" s="14" t="s">
        <v>51</v>
      </c>
      <c r="V1606" s="16">
        <f t="shared" si="190"/>
        <v>244319</v>
      </c>
      <c r="W1606" s="16">
        <f t="shared" si="191"/>
        <v>244326</v>
      </c>
      <c r="X1606" s="16">
        <f t="shared" si="192"/>
        <v>244321</v>
      </c>
      <c r="Y1606" s="15" t="s">
        <v>54</v>
      </c>
      <c r="Z1606" s="177">
        <v>244329</v>
      </c>
      <c r="AA1606" s="170"/>
      <c r="AB1606" s="170"/>
      <c r="AC1606" s="170"/>
      <c r="AD1606" s="170"/>
      <c r="AE1606" s="15" t="s">
        <v>54</v>
      </c>
      <c r="AF1606" s="177">
        <v>244330</v>
      </c>
      <c r="AG1606" s="177" t="str">
        <f t="shared" si="193"/>
        <v>Pass</v>
      </c>
      <c r="AH1606" s="177">
        <f t="shared" si="194"/>
        <v>244330</v>
      </c>
      <c r="AK1606" s="176"/>
      <c r="AL1606" s="176"/>
    </row>
    <row r="1607" spans="1:38" ht="36" customHeight="1" x14ac:dyDescent="0.2">
      <c r="A1607" s="14" t="s">
        <v>28</v>
      </c>
      <c r="B1607" s="212">
        <v>244320</v>
      </c>
      <c r="C1607" s="14" t="s">
        <v>547</v>
      </c>
      <c r="D1607" s="14" t="s">
        <v>268</v>
      </c>
      <c r="E1607" s="14" t="s">
        <v>14</v>
      </c>
      <c r="F1607" s="14" t="s">
        <v>324</v>
      </c>
      <c r="G1607" s="179">
        <v>681606</v>
      </c>
      <c r="H1607" s="176" t="s">
        <v>1092</v>
      </c>
      <c r="I1607" s="176" t="s">
        <v>630</v>
      </c>
      <c r="J1607" s="176" t="s">
        <v>520</v>
      </c>
      <c r="K1607" s="176" t="s">
        <v>4648</v>
      </c>
      <c r="L1607" s="40" t="s">
        <v>105</v>
      </c>
      <c r="M1607" s="40" t="s">
        <v>341</v>
      </c>
      <c r="N1607" s="14" t="s">
        <v>4650</v>
      </c>
      <c r="O1607" s="14" t="s">
        <v>527</v>
      </c>
      <c r="P1607" s="14" t="s">
        <v>4657</v>
      </c>
      <c r="Q1607" s="14" t="s">
        <v>542</v>
      </c>
      <c r="R1607" s="17">
        <v>600</v>
      </c>
      <c r="S1607" s="172" t="s">
        <v>51</v>
      </c>
      <c r="T1607" s="17">
        <v>1030</v>
      </c>
      <c r="U1607" s="14" t="s">
        <v>51</v>
      </c>
      <c r="V1607" s="16">
        <f t="shared" si="190"/>
        <v>244320</v>
      </c>
      <c r="W1607" s="16">
        <f t="shared" si="191"/>
        <v>244327</v>
      </c>
      <c r="X1607" s="16">
        <f t="shared" si="192"/>
        <v>244322</v>
      </c>
      <c r="Y1607" s="15" t="s">
        <v>54</v>
      </c>
      <c r="Z1607" s="177">
        <v>244329</v>
      </c>
      <c r="AA1607" s="170"/>
      <c r="AB1607" s="170"/>
      <c r="AC1607" s="170"/>
      <c r="AD1607" s="170"/>
      <c r="AE1607" s="15" t="s">
        <v>54</v>
      </c>
      <c r="AF1607" s="177">
        <v>244330</v>
      </c>
      <c r="AG1607" s="177" t="str">
        <f t="shared" si="193"/>
        <v>Pass</v>
      </c>
      <c r="AH1607" s="177">
        <f t="shared" si="194"/>
        <v>244330</v>
      </c>
      <c r="AK1607" s="176"/>
      <c r="AL1607" s="176"/>
    </row>
    <row r="1608" spans="1:38" ht="36" customHeight="1" x14ac:dyDescent="0.2">
      <c r="A1608" s="14" t="s">
        <v>28</v>
      </c>
      <c r="B1608" s="212">
        <v>244320</v>
      </c>
      <c r="C1608" s="14" t="s">
        <v>547</v>
      </c>
      <c r="D1608" s="14" t="s">
        <v>268</v>
      </c>
      <c r="E1608" s="14" t="s">
        <v>14</v>
      </c>
      <c r="F1608" s="14" t="s">
        <v>324</v>
      </c>
      <c r="G1608" s="179">
        <v>681607</v>
      </c>
      <c r="H1608" s="176" t="s">
        <v>663</v>
      </c>
      <c r="I1608" s="176" t="s">
        <v>630</v>
      </c>
      <c r="J1608" s="176" t="s">
        <v>821</v>
      </c>
      <c r="K1608" s="176" t="s">
        <v>4632</v>
      </c>
      <c r="L1608" s="40" t="s">
        <v>124</v>
      </c>
      <c r="M1608" s="40" t="s">
        <v>341</v>
      </c>
      <c r="N1608" s="14" t="s">
        <v>4651</v>
      </c>
      <c r="O1608" s="14" t="s">
        <v>548</v>
      </c>
      <c r="P1608" s="14" t="s">
        <v>717</v>
      </c>
      <c r="Q1608" s="14" t="s">
        <v>549</v>
      </c>
      <c r="R1608" s="17">
        <v>334</v>
      </c>
      <c r="S1608" s="172" t="s">
        <v>51</v>
      </c>
      <c r="T1608" s="17">
        <v>2549</v>
      </c>
      <c r="U1608" s="14" t="s">
        <v>51</v>
      </c>
      <c r="V1608" s="16">
        <f t="shared" si="190"/>
        <v>244320</v>
      </c>
      <c r="W1608" s="16">
        <f t="shared" si="191"/>
        <v>244327</v>
      </c>
      <c r="X1608" s="16">
        <f t="shared" si="192"/>
        <v>244322</v>
      </c>
      <c r="Y1608" s="15" t="s">
        <v>54</v>
      </c>
      <c r="Z1608" s="177">
        <v>244329</v>
      </c>
      <c r="AA1608" s="170"/>
      <c r="AB1608" s="170"/>
      <c r="AC1608" s="170"/>
      <c r="AD1608" s="170"/>
      <c r="AE1608" s="15" t="s">
        <v>54</v>
      </c>
      <c r="AF1608" s="177">
        <v>244330</v>
      </c>
      <c r="AG1608" s="177" t="str">
        <f t="shared" si="193"/>
        <v>Pass</v>
      </c>
      <c r="AH1608" s="177">
        <f t="shared" si="194"/>
        <v>244330</v>
      </c>
      <c r="AK1608" s="176"/>
      <c r="AL1608" s="176"/>
    </row>
    <row r="1609" spans="1:38" ht="36" customHeight="1" x14ac:dyDescent="0.2">
      <c r="A1609" s="14" t="s">
        <v>28</v>
      </c>
      <c r="B1609" s="212">
        <v>244320</v>
      </c>
      <c r="C1609" s="14" t="s">
        <v>547</v>
      </c>
      <c r="D1609" s="14" t="s">
        <v>268</v>
      </c>
      <c r="E1609" s="14" t="s">
        <v>14</v>
      </c>
      <c r="F1609" s="14" t="s">
        <v>324</v>
      </c>
      <c r="G1609" s="179">
        <v>681608</v>
      </c>
      <c r="H1609" s="176" t="s">
        <v>1135</v>
      </c>
      <c r="I1609" s="176" t="s">
        <v>630</v>
      </c>
      <c r="J1609" s="176" t="s">
        <v>520</v>
      </c>
      <c r="K1609" s="176" t="s">
        <v>4644</v>
      </c>
      <c r="L1609" s="40" t="s">
        <v>105</v>
      </c>
      <c r="M1609" s="40" t="s">
        <v>341</v>
      </c>
      <c r="N1609" s="14" t="s">
        <v>4652</v>
      </c>
      <c r="O1609" s="14" t="s">
        <v>548</v>
      </c>
      <c r="P1609" s="14" t="s">
        <v>717</v>
      </c>
      <c r="Q1609" s="14" t="s">
        <v>549</v>
      </c>
      <c r="R1609" s="17">
        <v>123</v>
      </c>
      <c r="S1609" s="172" t="s">
        <v>51</v>
      </c>
      <c r="T1609" s="17">
        <v>1510</v>
      </c>
      <c r="U1609" s="14" t="s">
        <v>51</v>
      </c>
      <c r="V1609" s="16">
        <f t="shared" si="190"/>
        <v>244320</v>
      </c>
      <c r="W1609" s="16">
        <f t="shared" si="191"/>
        <v>244327</v>
      </c>
      <c r="X1609" s="16">
        <f t="shared" si="192"/>
        <v>244322</v>
      </c>
      <c r="Y1609" s="15" t="s">
        <v>54</v>
      </c>
      <c r="Z1609" s="177">
        <v>244329</v>
      </c>
      <c r="AA1609" s="170"/>
      <c r="AB1609" s="170"/>
      <c r="AC1609" s="170"/>
      <c r="AD1609" s="170"/>
      <c r="AE1609" s="15" t="s">
        <v>54</v>
      </c>
      <c r="AF1609" s="177">
        <v>244330</v>
      </c>
      <c r="AG1609" s="177" t="str">
        <f t="shared" si="193"/>
        <v>Pass</v>
      </c>
      <c r="AH1609" s="177">
        <f t="shared" si="194"/>
        <v>244330</v>
      </c>
      <c r="AK1609" s="176"/>
      <c r="AL1609" s="176"/>
    </row>
    <row r="1610" spans="1:38" ht="36" customHeight="1" x14ac:dyDescent="0.2">
      <c r="A1610" s="14" t="s">
        <v>28</v>
      </c>
      <c r="B1610" s="212">
        <v>244320</v>
      </c>
      <c r="C1610" s="14" t="s">
        <v>547</v>
      </c>
      <c r="D1610" s="14" t="s">
        <v>268</v>
      </c>
      <c r="E1610" s="14" t="s">
        <v>14</v>
      </c>
      <c r="F1610" s="14" t="s">
        <v>324</v>
      </c>
      <c r="G1610" s="179">
        <v>681609</v>
      </c>
      <c r="H1610" s="176" t="s">
        <v>1092</v>
      </c>
      <c r="I1610" s="176" t="s">
        <v>630</v>
      </c>
      <c r="J1610" s="176" t="s">
        <v>520</v>
      </c>
      <c r="K1610" s="176" t="s">
        <v>4648</v>
      </c>
      <c r="L1610" s="40" t="s">
        <v>105</v>
      </c>
      <c r="M1610" s="40" t="s">
        <v>341</v>
      </c>
      <c r="N1610" s="14" t="s">
        <v>4653</v>
      </c>
      <c r="O1610" s="14" t="s">
        <v>552</v>
      </c>
      <c r="P1610" s="14" t="s">
        <v>519</v>
      </c>
      <c r="Q1610" s="14" t="s">
        <v>553</v>
      </c>
      <c r="R1610" s="17">
        <v>520</v>
      </c>
      <c r="S1610" s="172" t="s">
        <v>51</v>
      </c>
      <c r="T1610" s="17">
        <v>1920</v>
      </c>
      <c r="U1610" s="14" t="s">
        <v>51</v>
      </c>
      <c r="V1610" s="16">
        <f t="shared" si="190"/>
        <v>244320</v>
      </c>
      <c r="W1610" s="16">
        <f t="shared" si="191"/>
        <v>244327</v>
      </c>
      <c r="X1610" s="16">
        <f t="shared" si="192"/>
        <v>244322</v>
      </c>
      <c r="Y1610" s="15" t="s">
        <v>54</v>
      </c>
      <c r="Z1610" s="177">
        <v>244329</v>
      </c>
      <c r="AA1610" s="170"/>
      <c r="AB1610" s="170"/>
      <c r="AC1610" s="170"/>
      <c r="AD1610" s="170"/>
      <c r="AE1610" s="15" t="s">
        <v>54</v>
      </c>
      <c r="AF1610" s="177">
        <v>244330</v>
      </c>
      <c r="AG1610" s="177" t="str">
        <f t="shared" si="193"/>
        <v>Pass</v>
      </c>
      <c r="AH1610" s="177">
        <f t="shared" si="194"/>
        <v>244330</v>
      </c>
      <c r="AK1610" s="176"/>
      <c r="AL1610" s="176"/>
    </row>
    <row r="1611" spans="1:38" ht="36" customHeight="1" x14ac:dyDescent="0.2">
      <c r="A1611" s="14" t="s">
        <v>28</v>
      </c>
      <c r="B1611" s="212">
        <v>244320</v>
      </c>
      <c r="C1611" s="14" t="s">
        <v>547</v>
      </c>
      <c r="D1611" s="14" t="s">
        <v>268</v>
      </c>
      <c r="E1611" s="14" t="s">
        <v>14</v>
      </c>
      <c r="F1611" s="14" t="s">
        <v>324</v>
      </c>
      <c r="G1611" s="179">
        <v>681610</v>
      </c>
      <c r="H1611" s="176" t="s">
        <v>663</v>
      </c>
      <c r="I1611" s="176" t="s">
        <v>630</v>
      </c>
      <c r="J1611" s="176" t="s">
        <v>821</v>
      </c>
      <c r="K1611" s="176" t="s">
        <v>4632</v>
      </c>
      <c r="L1611" s="40" t="s">
        <v>124</v>
      </c>
      <c r="M1611" s="40" t="s">
        <v>341</v>
      </c>
      <c r="N1611" s="14" t="s">
        <v>4654</v>
      </c>
      <c r="O1611" s="14" t="s">
        <v>543</v>
      </c>
      <c r="P1611" s="14" t="s">
        <v>4642</v>
      </c>
      <c r="Q1611" s="14" t="s">
        <v>529</v>
      </c>
      <c r="R1611" s="17">
        <v>1440</v>
      </c>
      <c r="S1611" s="172" t="s">
        <v>51</v>
      </c>
      <c r="T1611" s="17">
        <v>2571</v>
      </c>
      <c r="U1611" s="14" t="s">
        <v>51</v>
      </c>
      <c r="V1611" s="16">
        <f t="shared" si="190"/>
        <v>244320</v>
      </c>
      <c r="W1611" s="16">
        <f t="shared" si="191"/>
        <v>244327</v>
      </c>
      <c r="X1611" s="16">
        <f t="shared" si="192"/>
        <v>244322</v>
      </c>
      <c r="Y1611" s="15" t="s">
        <v>54</v>
      </c>
      <c r="Z1611" s="177">
        <v>244329</v>
      </c>
      <c r="AA1611" s="170"/>
      <c r="AB1611" s="170"/>
      <c r="AC1611" s="170"/>
      <c r="AD1611" s="170"/>
      <c r="AE1611" s="15" t="s">
        <v>54</v>
      </c>
      <c r="AF1611" s="177">
        <v>244330</v>
      </c>
      <c r="AG1611" s="177" t="str">
        <f t="shared" si="193"/>
        <v>Pass</v>
      </c>
      <c r="AH1611" s="177">
        <f t="shared" si="194"/>
        <v>244330</v>
      </c>
      <c r="AK1611" s="176"/>
      <c r="AL1611" s="176"/>
    </row>
    <row r="1612" spans="1:38" ht="36" customHeight="1" x14ac:dyDescent="0.2">
      <c r="A1612" s="14" t="s">
        <v>28</v>
      </c>
      <c r="B1612" s="212">
        <v>244320</v>
      </c>
      <c r="C1612" s="14" t="s">
        <v>547</v>
      </c>
      <c r="D1612" s="14" t="s">
        <v>268</v>
      </c>
      <c r="E1612" s="14" t="s">
        <v>14</v>
      </c>
      <c r="F1612" s="14" t="s">
        <v>324</v>
      </c>
      <c r="G1612" s="179">
        <v>681611</v>
      </c>
      <c r="H1612" s="176" t="s">
        <v>1092</v>
      </c>
      <c r="I1612" s="176" t="s">
        <v>630</v>
      </c>
      <c r="J1612" s="176" t="s">
        <v>520</v>
      </c>
      <c r="K1612" s="176" t="s">
        <v>4648</v>
      </c>
      <c r="L1612" s="40" t="s">
        <v>124</v>
      </c>
      <c r="M1612" s="40" t="s">
        <v>341</v>
      </c>
      <c r="N1612" s="14" t="s">
        <v>4655</v>
      </c>
      <c r="O1612" s="14" t="s">
        <v>543</v>
      </c>
      <c r="P1612" s="14" t="s">
        <v>4658</v>
      </c>
      <c r="Q1612" s="14" t="s">
        <v>529</v>
      </c>
      <c r="R1612" s="17">
        <v>680</v>
      </c>
      <c r="S1612" s="172" t="s">
        <v>51</v>
      </c>
      <c r="T1612" s="17">
        <v>2030</v>
      </c>
      <c r="U1612" s="14" t="s">
        <v>51</v>
      </c>
      <c r="V1612" s="16">
        <f t="shared" si="190"/>
        <v>244320</v>
      </c>
      <c r="W1612" s="16">
        <f t="shared" si="191"/>
        <v>244327</v>
      </c>
      <c r="X1612" s="16">
        <f t="shared" si="192"/>
        <v>244322</v>
      </c>
      <c r="Y1612" s="15" t="s">
        <v>54</v>
      </c>
      <c r="Z1612" s="177">
        <v>244329</v>
      </c>
      <c r="AA1612" s="170"/>
      <c r="AB1612" s="170"/>
      <c r="AC1612" s="170"/>
      <c r="AD1612" s="170"/>
      <c r="AE1612" s="15" t="s">
        <v>54</v>
      </c>
      <c r="AF1612" s="177">
        <v>244330</v>
      </c>
      <c r="AG1612" s="177" t="str">
        <f t="shared" si="193"/>
        <v>Pass</v>
      </c>
      <c r="AH1612" s="177">
        <f t="shared" si="194"/>
        <v>244330</v>
      </c>
      <c r="AK1612" s="176"/>
      <c r="AL1612" s="176"/>
    </row>
    <row r="1613" spans="1:38" ht="36" customHeight="1" x14ac:dyDescent="0.2">
      <c r="A1613" s="14" t="s">
        <v>28</v>
      </c>
      <c r="B1613" s="212">
        <v>244320</v>
      </c>
      <c r="C1613" s="14" t="s">
        <v>547</v>
      </c>
      <c r="D1613" s="14" t="s">
        <v>268</v>
      </c>
      <c r="E1613" s="14" t="s">
        <v>14</v>
      </c>
      <c r="F1613" s="14" t="s">
        <v>324</v>
      </c>
      <c r="G1613" s="179">
        <v>681612</v>
      </c>
      <c r="H1613" s="176" t="s">
        <v>4430</v>
      </c>
      <c r="I1613" s="176" t="s">
        <v>664</v>
      </c>
      <c r="J1613" s="176" t="s">
        <v>123</v>
      </c>
      <c r="K1613" s="176" t="s">
        <v>4649</v>
      </c>
      <c r="L1613" s="40" t="s">
        <v>46</v>
      </c>
      <c r="M1613" s="40" t="s">
        <v>341</v>
      </c>
      <c r="N1613" s="14" t="s">
        <v>4656</v>
      </c>
      <c r="O1613" s="14" t="s">
        <v>527</v>
      </c>
      <c r="P1613" s="14" t="s">
        <v>1180</v>
      </c>
      <c r="Q1613" s="14" t="s">
        <v>542</v>
      </c>
      <c r="R1613" s="17">
        <v>140</v>
      </c>
      <c r="S1613" s="172" t="s">
        <v>51</v>
      </c>
      <c r="T1613" s="17">
        <v>1566</v>
      </c>
      <c r="U1613" s="14" t="s">
        <v>51</v>
      </c>
      <c r="V1613" s="16">
        <f t="shared" si="190"/>
        <v>244320</v>
      </c>
      <c r="W1613" s="16">
        <f t="shared" si="191"/>
        <v>244327</v>
      </c>
      <c r="X1613" s="16">
        <f t="shared" si="192"/>
        <v>244322</v>
      </c>
      <c r="Y1613" s="15" t="s">
        <v>54</v>
      </c>
      <c r="Z1613" s="177">
        <v>244329</v>
      </c>
      <c r="AA1613" s="170"/>
      <c r="AB1613" s="170"/>
      <c r="AC1613" s="170"/>
      <c r="AD1613" s="170"/>
      <c r="AE1613" s="15" t="s">
        <v>54</v>
      </c>
      <c r="AF1613" s="177">
        <v>244330</v>
      </c>
      <c r="AG1613" s="177" t="str">
        <f t="shared" si="193"/>
        <v>Pass</v>
      </c>
      <c r="AH1613" s="177">
        <f t="shared" si="194"/>
        <v>244330</v>
      </c>
      <c r="AK1613" s="176"/>
      <c r="AL1613" s="176"/>
    </row>
    <row r="1614" spans="1:38" ht="36" customHeight="1" x14ac:dyDescent="0.2">
      <c r="A1614" s="14" t="s">
        <v>28</v>
      </c>
      <c r="B1614" s="212">
        <v>244320</v>
      </c>
      <c r="C1614" s="14" t="s">
        <v>547</v>
      </c>
      <c r="D1614" s="14" t="s">
        <v>268</v>
      </c>
      <c r="E1614" s="14" t="s">
        <v>14</v>
      </c>
      <c r="F1614" s="14" t="s">
        <v>324</v>
      </c>
      <c r="G1614" s="179">
        <v>681613</v>
      </c>
      <c r="H1614" s="176" t="s">
        <v>4430</v>
      </c>
      <c r="I1614" s="176" t="s">
        <v>664</v>
      </c>
      <c r="J1614" s="176" t="s">
        <v>123</v>
      </c>
      <c r="K1614" s="176" t="s">
        <v>4649</v>
      </c>
      <c r="L1614" s="40" t="s">
        <v>46</v>
      </c>
      <c r="M1614" s="40" t="s">
        <v>341</v>
      </c>
      <c r="N1614" s="14" t="s">
        <v>4659</v>
      </c>
      <c r="O1614" s="14" t="s">
        <v>552</v>
      </c>
      <c r="P1614" s="14" t="s">
        <v>519</v>
      </c>
      <c r="Q1614" s="14" t="s">
        <v>553</v>
      </c>
      <c r="R1614" s="17">
        <v>600</v>
      </c>
      <c r="S1614" s="172" t="s">
        <v>51</v>
      </c>
      <c r="T1614" s="17">
        <v>1980</v>
      </c>
      <c r="U1614" s="14" t="s">
        <v>51</v>
      </c>
      <c r="V1614" s="16">
        <f t="shared" si="190"/>
        <v>244320</v>
      </c>
      <c r="W1614" s="16">
        <f t="shared" si="191"/>
        <v>244327</v>
      </c>
      <c r="X1614" s="16">
        <f t="shared" si="192"/>
        <v>244322</v>
      </c>
      <c r="Y1614" s="15" t="s">
        <v>54</v>
      </c>
      <c r="Z1614" s="177">
        <v>244329</v>
      </c>
      <c r="AA1614" s="170"/>
      <c r="AB1614" s="170"/>
      <c r="AC1614" s="170"/>
      <c r="AD1614" s="170"/>
      <c r="AE1614" s="15" t="s">
        <v>54</v>
      </c>
      <c r="AF1614" s="177">
        <v>244330</v>
      </c>
      <c r="AG1614" s="177" t="str">
        <f t="shared" si="193"/>
        <v>Pass</v>
      </c>
      <c r="AH1614" s="177">
        <f t="shared" si="194"/>
        <v>244330</v>
      </c>
      <c r="AK1614" s="176"/>
      <c r="AL1614" s="176"/>
    </row>
    <row r="1615" spans="1:38" ht="36" customHeight="1" x14ac:dyDescent="0.2">
      <c r="A1615" s="14" t="s">
        <v>28</v>
      </c>
      <c r="B1615" s="212">
        <v>244322</v>
      </c>
      <c r="C1615" s="14" t="s">
        <v>547</v>
      </c>
      <c r="D1615" s="14" t="s">
        <v>268</v>
      </c>
      <c r="E1615" s="14" t="s">
        <v>14</v>
      </c>
      <c r="F1615" s="14" t="s">
        <v>324</v>
      </c>
      <c r="G1615" s="179">
        <v>681614</v>
      </c>
      <c r="H1615" s="176" t="s">
        <v>1958</v>
      </c>
      <c r="I1615" s="176" t="s">
        <v>630</v>
      </c>
      <c r="J1615" s="176" t="s">
        <v>520</v>
      </c>
      <c r="K1615" s="176" t="s">
        <v>4660</v>
      </c>
      <c r="L1615" s="40" t="s">
        <v>105</v>
      </c>
      <c r="M1615" s="40" t="s">
        <v>341</v>
      </c>
      <c r="N1615" s="14" t="s">
        <v>4662</v>
      </c>
      <c r="O1615" s="14" t="s">
        <v>4665</v>
      </c>
      <c r="P1615" s="14" t="s">
        <v>4666</v>
      </c>
      <c r="Q1615" s="14" t="s">
        <v>4667</v>
      </c>
      <c r="R1615" s="17">
        <v>305</v>
      </c>
      <c r="S1615" s="172" t="s">
        <v>51</v>
      </c>
      <c r="T1615" s="17">
        <v>2036</v>
      </c>
      <c r="U1615" s="14" t="s">
        <v>51</v>
      </c>
      <c r="V1615" s="16">
        <f t="shared" si="190"/>
        <v>244322</v>
      </c>
      <c r="W1615" s="16">
        <f t="shared" si="191"/>
        <v>244329</v>
      </c>
      <c r="X1615" s="16">
        <f t="shared" si="192"/>
        <v>244324</v>
      </c>
      <c r="Y1615" s="15" t="s">
        <v>54</v>
      </c>
      <c r="Z1615" s="177">
        <v>244329</v>
      </c>
      <c r="AA1615" s="170"/>
      <c r="AB1615" s="170"/>
      <c r="AC1615" s="170"/>
      <c r="AD1615" s="170"/>
      <c r="AE1615" s="15" t="s">
        <v>54</v>
      </c>
      <c r="AF1615" s="177">
        <v>244330</v>
      </c>
      <c r="AG1615" s="177" t="str">
        <f t="shared" si="193"/>
        <v>Pass</v>
      </c>
      <c r="AH1615" s="177">
        <f t="shared" si="194"/>
        <v>244330</v>
      </c>
      <c r="AK1615" s="176"/>
      <c r="AL1615" s="176"/>
    </row>
    <row r="1616" spans="1:38" ht="36" customHeight="1" x14ac:dyDescent="0.2">
      <c r="A1616" s="14" t="s">
        <v>28</v>
      </c>
      <c r="B1616" s="212">
        <v>244322</v>
      </c>
      <c r="C1616" s="14" t="s">
        <v>547</v>
      </c>
      <c r="D1616" s="14" t="s">
        <v>268</v>
      </c>
      <c r="E1616" s="14" t="s">
        <v>14</v>
      </c>
      <c r="F1616" s="14" t="s">
        <v>324</v>
      </c>
      <c r="G1616" s="179">
        <v>681615</v>
      </c>
      <c r="H1616" s="176" t="s">
        <v>1958</v>
      </c>
      <c r="I1616" s="176" t="s">
        <v>630</v>
      </c>
      <c r="J1616" s="176" t="s">
        <v>520</v>
      </c>
      <c r="K1616" s="176" t="s">
        <v>4660</v>
      </c>
      <c r="L1616" s="40" t="s">
        <v>105</v>
      </c>
      <c r="M1616" s="40" t="s">
        <v>341</v>
      </c>
      <c r="N1616" s="14" t="s">
        <v>4663</v>
      </c>
      <c r="O1616" s="14" t="s">
        <v>548</v>
      </c>
      <c r="P1616" s="14" t="s">
        <v>717</v>
      </c>
      <c r="Q1616" s="14" t="s">
        <v>549</v>
      </c>
      <c r="R1616" s="17">
        <v>276</v>
      </c>
      <c r="S1616" s="172" t="s">
        <v>51</v>
      </c>
      <c r="T1616" s="17">
        <v>2120</v>
      </c>
      <c r="U1616" s="14" t="s">
        <v>51</v>
      </c>
      <c r="V1616" s="16">
        <f t="shared" si="190"/>
        <v>244322</v>
      </c>
      <c r="W1616" s="16">
        <f t="shared" si="191"/>
        <v>244329</v>
      </c>
      <c r="X1616" s="16">
        <f t="shared" si="192"/>
        <v>244324</v>
      </c>
      <c r="Y1616" s="15" t="s">
        <v>54</v>
      </c>
      <c r="Z1616" s="177">
        <v>244329</v>
      </c>
      <c r="AA1616" s="170"/>
      <c r="AB1616" s="170"/>
      <c r="AC1616" s="170"/>
      <c r="AD1616" s="170"/>
      <c r="AE1616" s="15" t="s">
        <v>54</v>
      </c>
      <c r="AF1616" s="177">
        <v>244330</v>
      </c>
      <c r="AG1616" s="177" t="str">
        <f t="shared" si="193"/>
        <v>Pass</v>
      </c>
      <c r="AH1616" s="177">
        <f t="shared" si="194"/>
        <v>244330</v>
      </c>
      <c r="AK1616" s="176"/>
      <c r="AL1616" s="176"/>
    </row>
    <row r="1617" spans="1:38" ht="36" customHeight="1" x14ac:dyDescent="0.2">
      <c r="A1617" s="14" t="s">
        <v>28</v>
      </c>
      <c r="B1617" s="212">
        <v>244322</v>
      </c>
      <c r="C1617" s="14" t="s">
        <v>547</v>
      </c>
      <c r="D1617" s="14" t="s">
        <v>268</v>
      </c>
      <c r="E1617" s="14" t="s">
        <v>14</v>
      </c>
      <c r="F1617" s="14" t="s">
        <v>324</v>
      </c>
      <c r="G1617" s="179">
        <v>681616</v>
      </c>
      <c r="H1617" s="176" t="s">
        <v>1958</v>
      </c>
      <c r="I1617" s="176" t="s">
        <v>630</v>
      </c>
      <c r="J1617" s="176" t="s">
        <v>520</v>
      </c>
      <c r="K1617" s="176" t="s">
        <v>4660</v>
      </c>
      <c r="L1617" s="40" t="s">
        <v>105</v>
      </c>
      <c r="M1617" s="40" t="s">
        <v>341</v>
      </c>
      <c r="N1617" s="14" t="s">
        <v>4664</v>
      </c>
      <c r="O1617" s="14" t="s">
        <v>527</v>
      </c>
      <c r="P1617" s="14" t="s">
        <v>3484</v>
      </c>
      <c r="Q1617" s="14" t="s">
        <v>542</v>
      </c>
      <c r="R1617" s="17">
        <v>117</v>
      </c>
      <c r="S1617" s="172" t="s">
        <v>51</v>
      </c>
      <c r="T1617" s="17">
        <v>1544</v>
      </c>
      <c r="U1617" s="14" t="s">
        <v>51</v>
      </c>
      <c r="V1617" s="16">
        <f t="shared" si="190"/>
        <v>244322</v>
      </c>
      <c r="W1617" s="16">
        <f t="shared" si="191"/>
        <v>244329</v>
      </c>
      <c r="X1617" s="16">
        <f t="shared" si="192"/>
        <v>244324</v>
      </c>
      <c r="Y1617" s="15" t="s">
        <v>54</v>
      </c>
      <c r="Z1617" s="177">
        <v>244329</v>
      </c>
      <c r="AA1617" s="170"/>
      <c r="AB1617" s="170"/>
      <c r="AC1617" s="170"/>
      <c r="AD1617" s="170"/>
      <c r="AE1617" s="15" t="s">
        <v>54</v>
      </c>
      <c r="AF1617" s="177">
        <v>244330</v>
      </c>
      <c r="AG1617" s="177" t="str">
        <f t="shared" si="193"/>
        <v>Pass</v>
      </c>
      <c r="AH1617" s="177">
        <f t="shared" si="194"/>
        <v>244330</v>
      </c>
      <c r="AK1617" s="176"/>
      <c r="AL1617" s="176"/>
    </row>
    <row r="1618" spans="1:38" ht="36" customHeight="1" x14ac:dyDescent="0.2">
      <c r="A1618" s="14" t="s">
        <v>28</v>
      </c>
      <c r="B1618" s="212">
        <v>244322</v>
      </c>
      <c r="C1618" s="14" t="s">
        <v>547</v>
      </c>
      <c r="D1618" s="14" t="s">
        <v>268</v>
      </c>
      <c r="E1618" s="14" t="s">
        <v>14</v>
      </c>
      <c r="F1618" s="14" t="s">
        <v>324</v>
      </c>
      <c r="G1618" s="179">
        <v>681617</v>
      </c>
      <c r="H1618" s="176" t="s">
        <v>1532</v>
      </c>
      <c r="I1618" s="176" t="s">
        <v>864</v>
      </c>
      <c r="J1618" s="176" t="s">
        <v>554</v>
      </c>
      <c r="K1618" s="176" t="s">
        <v>4661</v>
      </c>
      <c r="L1618" s="40" t="s">
        <v>46</v>
      </c>
      <c r="M1618" s="40" t="s">
        <v>341</v>
      </c>
      <c r="N1618" s="14" t="s">
        <v>2995</v>
      </c>
      <c r="O1618" s="14" t="s">
        <v>548</v>
      </c>
      <c r="P1618" s="14" t="s">
        <v>717</v>
      </c>
      <c r="Q1618" s="14" t="s">
        <v>549</v>
      </c>
      <c r="R1618" s="17">
        <v>136</v>
      </c>
      <c r="S1618" s="172" t="s">
        <v>51</v>
      </c>
      <c r="T1618" s="17">
        <v>1550</v>
      </c>
      <c r="U1618" s="14" t="s">
        <v>51</v>
      </c>
      <c r="V1618" s="16">
        <f t="shared" si="190"/>
        <v>244322</v>
      </c>
      <c r="W1618" s="16">
        <f t="shared" si="191"/>
        <v>244329</v>
      </c>
      <c r="X1618" s="16">
        <f t="shared" si="192"/>
        <v>244324</v>
      </c>
      <c r="Y1618" s="15" t="s">
        <v>54</v>
      </c>
      <c r="Z1618" s="177">
        <v>244329</v>
      </c>
      <c r="AA1618" s="170"/>
      <c r="AB1618" s="170"/>
      <c r="AC1618" s="170"/>
      <c r="AD1618" s="170"/>
      <c r="AE1618" s="15" t="s">
        <v>54</v>
      </c>
      <c r="AF1618" s="177">
        <v>244330</v>
      </c>
      <c r="AG1618" s="177" t="str">
        <f t="shared" si="193"/>
        <v>Pass</v>
      </c>
      <c r="AH1618" s="177">
        <f t="shared" si="194"/>
        <v>244330</v>
      </c>
      <c r="AK1618" s="176"/>
      <c r="AL1618" s="176"/>
    </row>
    <row r="1619" spans="1:38" ht="36" customHeight="1" x14ac:dyDescent="0.2">
      <c r="A1619" s="14" t="s">
        <v>28</v>
      </c>
      <c r="B1619" s="212">
        <v>244322</v>
      </c>
      <c r="C1619" s="14" t="s">
        <v>547</v>
      </c>
      <c r="D1619" s="14" t="s">
        <v>268</v>
      </c>
      <c r="E1619" s="14" t="s">
        <v>14</v>
      </c>
      <c r="F1619" s="14" t="s">
        <v>324</v>
      </c>
      <c r="G1619" s="179">
        <v>681618</v>
      </c>
      <c r="H1619" s="176" t="s">
        <v>1532</v>
      </c>
      <c r="I1619" s="176" t="s">
        <v>864</v>
      </c>
      <c r="J1619" s="176" t="s">
        <v>554</v>
      </c>
      <c r="K1619" s="176" t="s">
        <v>4661</v>
      </c>
      <c r="L1619" s="40" t="s">
        <v>46</v>
      </c>
      <c r="M1619" s="40" t="s">
        <v>341</v>
      </c>
      <c r="N1619" s="14" t="s">
        <v>1033</v>
      </c>
      <c r="O1619" s="14" t="s">
        <v>552</v>
      </c>
      <c r="P1619" s="14" t="s">
        <v>1205</v>
      </c>
      <c r="Q1619" s="14" t="s">
        <v>553</v>
      </c>
      <c r="R1619" s="17">
        <v>300</v>
      </c>
      <c r="S1619" s="172" t="s">
        <v>51</v>
      </c>
      <c r="T1619" s="17">
        <v>1550</v>
      </c>
      <c r="U1619" s="14" t="s">
        <v>51</v>
      </c>
      <c r="V1619" s="16">
        <f t="shared" si="190"/>
        <v>244322</v>
      </c>
      <c r="W1619" s="16">
        <f t="shared" si="191"/>
        <v>244329</v>
      </c>
      <c r="X1619" s="16">
        <f t="shared" si="192"/>
        <v>244324</v>
      </c>
      <c r="Y1619" s="15" t="s">
        <v>54</v>
      </c>
      <c r="Z1619" s="177">
        <v>244329</v>
      </c>
      <c r="AA1619" s="170"/>
      <c r="AB1619" s="170"/>
      <c r="AC1619" s="170"/>
      <c r="AD1619" s="170"/>
      <c r="AE1619" s="15" t="s">
        <v>54</v>
      </c>
      <c r="AF1619" s="177">
        <v>244330</v>
      </c>
      <c r="AG1619" s="177" t="str">
        <f t="shared" si="193"/>
        <v>Pass</v>
      </c>
      <c r="AH1619" s="177">
        <f t="shared" si="194"/>
        <v>244330</v>
      </c>
      <c r="AK1619" s="176"/>
      <c r="AL1619" s="176"/>
    </row>
    <row r="1620" spans="1:38" ht="36" customHeight="1" x14ac:dyDescent="0.2">
      <c r="A1620" s="14" t="s">
        <v>28</v>
      </c>
      <c r="B1620" s="212">
        <v>244322</v>
      </c>
      <c r="C1620" s="14" t="s">
        <v>547</v>
      </c>
      <c r="D1620" s="14" t="s">
        <v>268</v>
      </c>
      <c r="E1620" s="14" t="s">
        <v>14</v>
      </c>
      <c r="F1620" s="14" t="s">
        <v>324</v>
      </c>
      <c r="G1620" s="179">
        <v>681619</v>
      </c>
      <c r="H1620" s="176" t="s">
        <v>4668</v>
      </c>
      <c r="I1620" s="176" t="s">
        <v>3318</v>
      </c>
      <c r="J1620" s="176" t="s">
        <v>123</v>
      </c>
      <c r="K1620" s="176" t="s">
        <v>4670</v>
      </c>
      <c r="L1620" s="40" t="s">
        <v>46</v>
      </c>
      <c r="M1620" s="40" t="s">
        <v>341</v>
      </c>
      <c r="N1620" s="14" t="s">
        <v>4674</v>
      </c>
      <c r="O1620" s="14" t="s">
        <v>543</v>
      </c>
      <c r="P1620" s="14" t="s">
        <v>3235</v>
      </c>
      <c r="Q1620" s="14" t="s">
        <v>529</v>
      </c>
      <c r="R1620" s="17">
        <v>750</v>
      </c>
      <c r="S1620" s="172" t="s">
        <v>51</v>
      </c>
      <c r="T1620" s="17">
        <v>1520</v>
      </c>
      <c r="U1620" s="14" t="s">
        <v>51</v>
      </c>
      <c r="V1620" s="16">
        <f t="shared" si="190"/>
        <v>244322</v>
      </c>
      <c r="W1620" s="16">
        <f t="shared" si="191"/>
        <v>244329</v>
      </c>
      <c r="X1620" s="16">
        <f t="shared" si="192"/>
        <v>244324</v>
      </c>
      <c r="Y1620" s="15" t="s">
        <v>54</v>
      </c>
      <c r="Z1620" s="177">
        <v>244329</v>
      </c>
      <c r="AA1620" s="170"/>
      <c r="AB1620" s="170"/>
      <c r="AC1620" s="170"/>
      <c r="AD1620" s="170"/>
      <c r="AE1620" s="15" t="s">
        <v>54</v>
      </c>
      <c r="AF1620" s="177">
        <v>244330</v>
      </c>
      <c r="AG1620" s="177" t="str">
        <f t="shared" si="193"/>
        <v>Pass</v>
      </c>
      <c r="AH1620" s="177">
        <f t="shared" si="194"/>
        <v>244330</v>
      </c>
      <c r="AK1620" s="176"/>
      <c r="AL1620" s="176"/>
    </row>
    <row r="1621" spans="1:38" ht="36" customHeight="1" x14ac:dyDescent="0.2">
      <c r="A1621" s="14" t="s">
        <v>28</v>
      </c>
      <c r="B1621" s="212">
        <v>244322</v>
      </c>
      <c r="C1621" s="14" t="s">
        <v>547</v>
      </c>
      <c r="D1621" s="14" t="s">
        <v>268</v>
      </c>
      <c r="E1621" s="14" t="s">
        <v>14</v>
      </c>
      <c r="F1621" s="14" t="s">
        <v>324</v>
      </c>
      <c r="G1621" s="179">
        <v>681620</v>
      </c>
      <c r="H1621" s="176" t="s">
        <v>2476</v>
      </c>
      <c r="I1621" s="176" t="s">
        <v>3318</v>
      </c>
      <c r="J1621" s="176" t="s">
        <v>123</v>
      </c>
      <c r="K1621" s="176" t="s">
        <v>4671</v>
      </c>
      <c r="L1621" s="40" t="s">
        <v>46</v>
      </c>
      <c r="M1621" s="40" t="s">
        <v>341</v>
      </c>
      <c r="N1621" s="14" t="s">
        <v>1801</v>
      </c>
      <c r="O1621" s="14" t="s">
        <v>548</v>
      </c>
      <c r="P1621" s="14" t="s">
        <v>518</v>
      </c>
      <c r="Q1621" s="14" t="s">
        <v>549</v>
      </c>
      <c r="R1621" s="17">
        <v>126</v>
      </c>
      <c r="S1621" s="172" t="s">
        <v>51</v>
      </c>
      <c r="T1621" s="17">
        <v>1980</v>
      </c>
      <c r="U1621" s="14" t="s">
        <v>51</v>
      </c>
      <c r="V1621" s="16">
        <f t="shared" si="190"/>
        <v>244322</v>
      </c>
      <c r="W1621" s="16">
        <f t="shared" si="191"/>
        <v>244329</v>
      </c>
      <c r="X1621" s="16">
        <f t="shared" si="192"/>
        <v>244324</v>
      </c>
      <c r="Y1621" s="15" t="s">
        <v>54</v>
      </c>
      <c r="Z1621" s="177">
        <v>244329</v>
      </c>
      <c r="AA1621" s="170"/>
      <c r="AB1621" s="170"/>
      <c r="AC1621" s="170"/>
      <c r="AD1621" s="170"/>
      <c r="AE1621" s="15" t="s">
        <v>54</v>
      </c>
      <c r="AF1621" s="177">
        <v>244330</v>
      </c>
      <c r="AG1621" s="177" t="str">
        <f t="shared" si="193"/>
        <v>Pass</v>
      </c>
      <c r="AH1621" s="177">
        <f t="shared" si="194"/>
        <v>244330</v>
      </c>
      <c r="AK1621" s="176"/>
      <c r="AL1621" s="176"/>
    </row>
    <row r="1622" spans="1:38" ht="36" customHeight="1" x14ac:dyDescent="0.2">
      <c r="A1622" s="14" t="s">
        <v>28</v>
      </c>
      <c r="B1622" s="212">
        <v>244322</v>
      </c>
      <c r="C1622" s="14" t="s">
        <v>547</v>
      </c>
      <c r="D1622" s="14" t="s">
        <v>268</v>
      </c>
      <c r="E1622" s="14" t="s">
        <v>14</v>
      </c>
      <c r="F1622" s="14" t="s">
        <v>324</v>
      </c>
      <c r="G1622" s="179">
        <v>681621</v>
      </c>
      <c r="H1622" s="176" t="s">
        <v>2476</v>
      </c>
      <c r="I1622" s="176" t="s">
        <v>3318</v>
      </c>
      <c r="J1622" s="176" t="s">
        <v>123</v>
      </c>
      <c r="K1622" s="176" t="s">
        <v>4671</v>
      </c>
      <c r="L1622" s="40" t="s">
        <v>46</v>
      </c>
      <c r="M1622" s="40" t="s">
        <v>341</v>
      </c>
      <c r="N1622" s="14" t="s">
        <v>4675</v>
      </c>
      <c r="O1622" s="14" t="s">
        <v>552</v>
      </c>
      <c r="P1622" s="14" t="s">
        <v>793</v>
      </c>
      <c r="Q1622" s="14" t="s">
        <v>553</v>
      </c>
      <c r="R1622" s="17">
        <v>650</v>
      </c>
      <c r="S1622" s="172" t="s">
        <v>51</v>
      </c>
      <c r="T1622" s="17">
        <v>1980</v>
      </c>
      <c r="U1622" s="14" t="s">
        <v>51</v>
      </c>
      <c r="V1622" s="16">
        <f t="shared" si="190"/>
        <v>244322</v>
      </c>
      <c r="W1622" s="16">
        <f t="shared" si="191"/>
        <v>244329</v>
      </c>
      <c r="X1622" s="16">
        <f t="shared" si="192"/>
        <v>244324</v>
      </c>
      <c r="Y1622" s="15" t="s">
        <v>54</v>
      </c>
      <c r="Z1622" s="177">
        <v>244329</v>
      </c>
      <c r="AA1622" s="170"/>
      <c r="AB1622" s="170"/>
      <c r="AC1622" s="170"/>
      <c r="AD1622" s="170"/>
      <c r="AE1622" s="15" t="s">
        <v>54</v>
      </c>
      <c r="AF1622" s="177">
        <v>244330</v>
      </c>
      <c r="AG1622" s="177" t="str">
        <f t="shared" si="193"/>
        <v>Pass</v>
      </c>
      <c r="AH1622" s="177">
        <f t="shared" si="194"/>
        <v>244330</v>
      </c>
      <c r="AK1622" s="176"/>
      <c r="AL1622" s="176"/>
    </row>
    <row r="1623" spans="1:38" ht="36" customHeight="1" x14ac:dyDescent="0.2">
      <c r="A1623" s="14" t="s">
        <v>28</v>
      </c>
      <c r="B1623" s="212">
        <v>244322</v>
      </c>
      <c r="C1623" s="14" t="s">
        <v>547</v>
      </c>
      <c r="D1623" s="14" t="s">
        <v>268</v>
      </c>
      <c r="E1623" s="14" t="s">
        <v>14</v>
      </c>
      <c r="F1623" s="14" t="s">
        <v>324</v>
      </c>
      <c r="G1623" s="179">
        <v>681622</v>
      </c>
      <c r="H1623" s="176" t="s">
        <v>4669</v>
      </c>
      <c r="I1623" s="176" t="s">
        <v>2967</v>
      </c>
      <c r="J1623" s="176" t="s">
        <v>286</v>
      </c>
      <c r="K1623" s="176" t="s">
        <v>4672</v>
      </c>
      <c r="L1623" s="40" t="s">
        <v>46</v>
      </c>
      <c r="M1623" s="40" t="s">
        <v>341</v>
      </c>
      <c r="N1623" s="14" t="s">
        <v>4676</v>
      </c>
      <c r="O1623" s="14" t="s">
        <v>543</v>
      </c>
      <c r="P1623" s="14" t="s">
        <v>517</v>
      </c>
      <c r="Q1623" s="14" t="s">
        <v>529</v>
      </c>
      <c r="R1623" s="17">
        <v>200</v>
      </c>
      <c r="S1623" s="172" t="s">
        <v>51</v>
      </c>
      <c r="T1623" s="17">
        <v>1360</v>
      </c>
      <c r="U1623" s="14" t="s">
        <v>51</v>
      </c>
      <c r="V1623" s="16">
        <f t="shared" si="190"/>
        <v>244322</v>
      </c>
      <c r="W1623" s="16">
        <f t="shared" si="191"/>
        <v>244329</v>
      </c>
      <c r="X1623" s="16">
        <f t="shared" si="192"/>
        <v>244324</v>
      </c>
      <c r="Y1623" s="15" t="s">
        <v>54</v>
      </c>
      <c r="Z1623" s="177">
        <v>244329</v>
      </c>
      <c r="AA1623" s="170"/>
      <c r="AB1623" s="170"/>
      <c r="AC1623" s="170"/>
      <c r="AD1623" s="170"/>
      <c r="AE1623" s="15" t="s">
        <v>54</v>
      </c>
      <c r="AF1623" s="177">
        <v>244330</v>
      </c>
      <c r="AG1623" s="177" t="str">
        <f t="shared" si="193"/>
        <v>Pass</v>
      </c>
      <c r="AH1623" s="177">
        <f t="shared" si="194"/>
        <v>244330</v>
      </c>
      <c r="AK1623" s="176"/>
      <c r="AL1623" s="176"/>
    </row>
    <row r="1624" spans="1:38" ht="36" customHeight="1" x14ac:dyDescent="0.2">
      <c r="A1624" s="14" t="s">
        <v>28</v>
      </c>
      <c r="B1624" s="212">
        <v>244322</v>
      </c>
      <c r="C1624" s="14" t="s">
        <v>547</v>
      </c>
      <c r="D1624" s="14" t="s">
        <v>268</v>
      </c>
      <c r="E1624" s="14" t="s">
        <v>14</v>
      </c>
      <c r="F1624" s="14" t="s">
        <v>324</v>
      </c>
      <c r="G1624" s="179">
        <v>681623</v>
      </c>
      <c r="H1624" s="176" t="s">
        <v>625</v>
      </c>
      <c r="I1624" s="176" t="s">
        <v>629</v>
      </c>
      <c r="J1624" s="176" t="s">
        <v>631</v>
      </c>
      <c r="K1624" s="176" t="s">
        <v>4673</v>
      </c>
      <c r="L1624" s="40" t="s">
        <v>108</v>
      </c>
      <c r="M1624" s="40" t="s">
        <v>341</v>
      </c>
      <c r="N1624" s="14" t="s">
        <v>4677</v>
      </c>
      <c r="O1624" s="14" t="s">
        <v>552</v>
      </c>
      <c r="P1624" s="14" t="s">
        <v>4678</v>
      </c>
      <c r="Q1624" s="14" t="s">
        <v>553</v>
      </c>
      <c r="R1624" s="17">
        <v>2600</v>
      </c>
      <c r="S1624" s="172" t="s">
        <v>51</v>
      </c>
      <c r="T1624" s="17">
        <v>4073</v>
      </c>
      <c r="U1624" s="14" t="s">
        <v>51</v>
      </c>
      <c r="V1624" s="16">
        <f t="shared" si="190"/>
        <v>244322</v>
      </c>
      <c r="W1624" s="16">
        <f t="shared" si="191"/>
        <v>244329</v>
      </c>
      <c r="X1624" s="16">
        <f t="shared" si="192"/>
        <v>244324</v>
      </c>
      <c r="Y1624" s="15" t="s">
        <v>54</v>
      </c>
      <c r="Z1624" s="177">
        <v>244329</v>
      </c>
      <c r="AA1624" s="170"/>
      <c r="AB1624" s="170"/>
      <c r="AC1624" s="170"/>
      <c r="AD1624" s="170"/>
      <c r="AE1624" s="15" t="s">
        <v>54</v>
      </c>
      <c r="AF1624" s="177">
        <v>244330</v>
      </c>
      <c r="AG1624" s="177" t="str">
        <f t="shared" si="193"/>
        <v>Pass</v>
      </c>
      <c r="AH1624" s="177">
        <f t="shared" si="194"/>
        <v>244330</v>
      </c>
      <c r="AK1624" s="176"/>
      <c r="AL1624" s="176"/>
    </row>
    <row r="1625" spans="1:38" ht="36" customHeight="1" x14ac:dyDescent="0.2">
      <c r="A1625" s="14" t="s">
        <v>28</v>
      </c>
      <c r="B1625" s="212">
        <v>244326</v>
      </c>
      <c r="C1625" s="14" t="s">
        <v>547</v>
      </c>
      <c r="D1625" s="14" t="s">
        <v>268</v>
      </c>
      <c r="E1625" s="14" t="s">
        <v>14</v>
      </c>
      <c r="F1625" s="14" t="s">
        <v>324</v>
      </c>
      <c r="G1625" s="179">
        <v>681624</v>
      </c>
      <c r="H1625" s="176" t="s">
        <v>625</v>
      </c>
      <c r="I1625" s="176" t="s">
        <v>629</v>
      </c>
      <c r="J1625" s="176" t="s">
        <v>631</v>
      </c>
      <c r="K1625" s="176" t="s">
        <v>4673</v>
      </c>
      <c r="L1625" s="40" t="s">
        <v>108</v>
      </c>
      <c r="M1625" s="40" t="s">
        <v>341</v>
      </c>
      <c r="N1625" s="14" t="s">
        <v>4683</v>
      </c>
      <c r="O1625" s="14" t="s">
        <v>4688</v>
      </c>
      <c r="P1625" s="14" t="s">
        <v>1660</v>
      </c>
      <c r="Q1625" s="14" t="s">
        <v>553</v>
      </c>
      <c r="R1625" s="17">
        <v>925</v>
      </c>
      <c r="S1625" s="172" t="s">
        <v>51</v>
      </c>
      <c r="T1625" s="17">
        <v>1915</v>
      </c>
      <c r="U1625" s="14" t="s">
        <v>51</v>
      </c>
      <c r="V1625" s="16">
        <f t="shared" si="190"/>
        <v>244326</v>
      </c>
      <c r="W1625" s="16">
        <f t="shared" si="191"/>
        <v>244333</v>
      </c>
      <c r="X1625" s="16">
        <f t="shared" si="192"/>
        <v>244328</v>
      </c>
      <c r="Y1625" s="15" t="s">
        <v>54</v>
      </c>
      <c r="Z1625" s="177">
        <v>244329</v>
      </c>
      <c r="AA1625" s="170"/>
      <c r="AB1625" s="170"/>
      <c r="AC1625" s="170"/>
      <c r="AD1625" s="170"/>
      <c r="AE1625" s="15" t="s">
        <v>54</v>
      </c>
      <c r="AF1625" s="177">
        <v>244330</v>
      </c>
      <c r="AG1625" s="177" t="str">
        <f t="shared" si="193"/>
        <v>Pass</v>
      </c>
      <c r="AH1625" s="177">
        <f t="shared" si="194"/>
        <v>244330</v>
      </c>
      <c r="AK1625" s="176"/>
      <c r="AL1625" s="176"/>
    </row>
    <row r="1626" spans="1:38" ht="36" customHeight="1" x14ac:dyDescent="0.2">
      <c r="A1626" s="14" t="s">
        <v>28</v>
      </c>
      <c r="B1626" s="212">
        <v>244326</v>
      </c>
      <c r="C1626" s="14" t="s">
        <v>547</v>
      </c>
      <c r="D1626" s="14" t="s">
        <v>268</v>
      </c>
      <c r="E1626" s="14" t="s">
        <v>14</v>
      </c>
      <c r="F1626" s="14" t="s">
        <v>324</v>
      </c>
      <c r="G1626" s="179">
        <v>681625</v>
      </c>
      <c r="H1626" s="176" t="s">
        <v>3879</v>
      </c>
      <c r="I1626" s="176" t="s">
        <v>908</v>
      </c>
      <c r="J1626" s="176" t="s">
        <v>133</v>
      </c>
      <c r="K1626" s="176" t="s">
        <v>4679</v>
      </c>
      <c r="L1626" s="40" t="s">
        <v>46</v>
      </c>
      <c r="M1626" s="40" t="s">
        <v>341</v>
      </c>
      <c r="N1626" s="14" t="s">
        <v>4684</v>
      </c>
      <c r="O1626" s="14" t="s">
        <v>543</v>
      </c>
      <c r="P1626" s="14" t="s">
        <v>4690</v>
      </c>
      <c r="Q1626" s="14" t="s">
        <v>529</v>
      </c>
      <c r="R1626" s="17">
        <v>450</v>
      </c>
      <c r="S1626" s="172" t="s">
        <v>51</v>
      </c>
      <c r="T1626" s="17">
        <v>1500</v>
      </c>
      <c r="U1626" s="14" t="s">
        <v>51</v>
      </c>
      <c r="V1626" s="16">
        <f t="shared" si="190"/>
        <v>244326</v>
      </c>
      <c r="W1626" s="16">
        <f t="shared" si="191"/>
        <v>244333</v>
      </c>
      <c r="X1626" s="16">
        <f t="shared" si="192"/>
        <v>244328</v>
      </c>
      <c r="Y1626" s="15" t="s">
        <v>54</v>
      </c>
      <c r="Z1626" s="177">
        <v>244329</v>
      </c>
      <c r="AA1626" s="170"/>
      <c r="AB1626" s="170"/>
      <c r="AC1626" s="170"/>
      <c r="AD1626" s="170"/>
      <c r="AE1626" s="15" t="s">
        <v>54</v>
      </c>
      <c r="AF1626" s="177">
        <v>244330</v>
      </c>
      <c r="AG1626" s="177" t="str">
        <f t="shared" si="193"/>
        <v>Pass</v>
      </c>
      <c r="AH1626" s="177">
        <f t="shared" si="194"/>
        <v>244330</v>
      </c>
      <c r="AK1626" s="176"/>
      <c r="AL1626" s="176"/>
    </row>
    <row r="1627" spans="1:38" ht="36" customHeight="1" x14ac:dyDescent="0.2">
      <c r="A1627" s="14" t="s">
        <v>28</v>
      </c>
      <c r="B1627" s="212">
        <v>244326</v>
      </c>
      <c r="C1627" s="14" t="s">
        <v>547</v>
      </c>
      <c r="D1627" s="14" t="s">
        <v>268</v>
      </c>
      <c r="E1627" s="14" t="s">
        <v>14</v>
      </c>
      <c r="F1627" s="14" t="s">
        <v>324</v>
      </c>
      <c r="G1627" s="179">
        <v>681626</v>
      </c>
      <c r="H1627" s="176" t="s">
        <v>1041</v>
      </c>
      <c r="I1627" s="176" t="s">
        <v>908</v>
      </c>
      <c r="J1627" s="176" t="s">
        <v>133</v>
      </c>
      <c r="K1627" s="176" t="s">
        <v>4680</v>
      </c>
      <c r="L1627" s="40" t="s">
        <v>46</v>
      </c>
      <c r="M1627" s="40" t="s">
        <v>341</v>
      </c>
      <c r="N1627" s="14" t="s">
        <v>4685</v>
      </c>
      <c r="O1627" s="14" t="s">
        <v>552</v>
      </c>
      <c r="P1627" s="14" t="s">
        <v>1489</v>
      </c>
      <c r="Q1627" s="14" t="s">
        <v>553</v>
      </c>
      <c r="R1627" s="17">
        <v>425</v>
      </c>
      <c r="S1627" s="172" t="s">
        <v>51</v>
      </c>
      <c r="T1627" s="17">
        <v>1975</v>
      </c>
      <c r="U1627" s="14" t="s">
        <v>51</v>
      </c>
      <c r="V1627" s="16">
        <f t="shared" si="190"/>
        <v>244326</v>
      </c>
      <c r="W1627" s="16">
        <f t="shared" si="191"/>
        <v>244333</v>
      </c>
      <c r="X1627" s="16">
        <f t="shared" si="192"/>
        <v>244328</v>
      </c>
      <c r="Y1627" s="15" t="s">
        <v>54</v>
      </c>
      <c r="Z1627" s="177">
        <v>244329</v>
      </c>
      <c r="AA1627" s="170"/>
      <c r="AB1627" s="170"/>
      <c r="AC1627" s="170"/>
      <c r="AD1627" s="170"/>
      <c r="AE1627" s="15" t="s">
        <v>54</v>
      </c>
      <c r="AF1627" s="177">
        <v>244330</v>
      </c>
      <c r="AG1627" s="177" t="str">
        <f t="shared" si="193"/>
        <v>Pass</v>
      </c>
      <c r="AH1627" s="177">
        <f t="shared" si="194"/>
        <v>244330</v>
      </c>
      <c r="AK1627" s="176"/>
      <c r="AL1627" s="176"/>
    </row>
    <row r="1628" spans="1:38" ht="36" customHeight="1" x14ac:dyDescent="0.2">
      <c r="A1628" s="14" t="s">
        <v>28</v>
      </c>
      <c r="B1628" s="212">
        <v>244326</v>
      </c>
      <c r="C1628" s="14" t="s">
        <v>547</v>
      </c>
      <c r="D1628" s="14" t="s">
        <v>268</v>
      </c>
      <c r="E1628" s="14" t="s">
        <v>14</v>
      </c>
      <c r="F1628" s="14" t="s">
        <v>324</v>
      </c>
      <c r="G1628" s="179">
        <v>681627</v>
      </c>
      <c r="H1628" s="176" t="s">
        <v>1054</v>
      </c>
      <c r="I1628" s="176" t="s">
        <v>551</v>
      </c>
      <c r="J1628" s="176" t="s">
        <v>832</v>
      </c>
      <c r="K1628" s="176" t="s">
        <v>4681</v>
      </c>
      <c r="L1628" s="40" t="s">
        <v>108</v>
      </c>
      <c r="M1628" s="40" t="s">
        <v>341</v>
      </c>
      <c r="N1628" s="14" t="s">
        <v>3589</v>
      </c>
      <c r="O1628" s="14" t="s">
        <v>552</v>
      </c>
      <c r="P1628" s="14" t="s">
        <v>1489</v>
      </c>
      <c r="Q1628" s="14" t="s">
        <v>553</v>
      </c>
      <c r="R1628" s="17">
        <v>250</v>
      </c>
      <c r="S1628" s="172" t="s">
        <v>51</v>
      </c>
      <c r="T1628" s="17">
        <v>3040</v>
      </c>
      <c r="U1628" s="14" t="s">
        <v>51</v>
      </c>
      <c r="V1628" s="16">
        <f t="shared" si="190"/>
        <v>244326</v>
      </c>
      <c r="W1628" s="16">
        <f t="shared" si="191"/>
        <v>244333</v>
      </c>
      <c r="X1628" s="16">
        <f t="shared" si="192"/>
        <v>244328</v>
      </c>
      <c r="Y1628" s="15" t="s">
        <v>54</v>
      </c>
      <c r="Z1628" s="177">
        <v>244329</v>
      </c>
      <c r="AA1628" s="170"/>
      <c r="AB1628" s="170"/>
      <c r="AC1628" s="170"/>
      <c r="AD1628" s="170"/>
      <c r="AE1628" s="15" t="s">
        <v>54</v>
      </c>
      <c r="AF1628" s="177">
        <v>244330</v>
      </c>
      <c r="AG1628" s="177" t="str">
        <f t="shared" si="193"/>
        <v>Pass</v>
      </c>
      <c r="AH1628" s="177">
        <f t="shared" si="194"/>
        <v>244330</v>
      </c>
      <c r="AK1628" s="176"/>
      <c r="AL1628" s="176"/>
    </row>
    <row r="1629" spans="1:38" ht="36" customHeight="1" x14ac:dyDescent="0.2">
      <c r="A1629" s="14" t="s">
        <v>28</v>
      </c>
      <c r="B1629" s="212">
        <v>244326</v>
      </c>
      <c r="C1629" s="14" t="s">
        <v>547</v>
      </c>
      <c r="D1629" s="14" t="s">
        <v>268</v>
      </c>
      <c r="E1629" s="14" t="s">
        <v>14</v>
      </c>
      <c r="F1629" s="14" t="s">
        <v>324</v>
      </c>
      <c r="G1629" s="179">
        <v>681628</v>
      </c>
      <c r="H1629" s="176" t="s">
        <v>3879</v>
      </c>
      <c r="I1629" s="176" t="s">
        <v>908</v>
      </c>
      <c r="J1629" s="176" t="s">
        <v>133</v>
      </c>
      <c r="K1629" s="176" t="s">
        <v>4679</v>
      </c>
      <c r="L1629" s="40" t="s">
        <v>46</v>
      </c>
      <c r="M1629" s="40" t="s">
        <v>341</v>
      </c>
      <c r="N1629" s="14" t="s">
        <v>2504</v>
      </c>
      <c r="O1629" s="14" t="s">
        <v>548</v>
      </c>
      <c r="P1629" s="14" t="s">
        <v>518</v>
      </c>
      <c r="Q1629" s="14" t="s">
        <v>549</v>
      </c>
      <c r="R1629" s="17">
        <v>131</v>
      </c>
      <c r="S1629" s="172" t="s">
        <v>51</v>
      </c>
      <c r="T1629" s="17">
        <v>1500</v>
      </c>
      <c r="U1629" s="14" t="s">
        <v>51</v>
      </c>
      <c r="V1629" s="16">
        <f t="shared" si="190"/>
        <v>244326</v>
      </c>
      <c r="W1629" s="16">
        <f t="shared" si="191"/>
        <v>244333</v>
      </c>
      <c r="X1629" s="16">
        <f t="shared" si="192"/>
        <v>244328</v>
      </c>
      <c r="Y1629" s="15" t="s">
        <v>54</v>
      </c>
      <c r="Z1629" s="177">
        <v>244329</v>
      </c>
      <c r="AA1629" s="170"/>
      <c r="AB1629" s="170"/>
      <c r="AC1629" s="170"/>
      <c r="AD1629" s="170"/>
      <c r="AE1629" s="15" t="s">
        <v>54</v>
      </c>
      <c r="AF1629" s="177">
        <v>244330</v>
      </c>
      <c r="AG1629" s="177" t="str">
        <f t="shared" si="193"/>
        <v>Pass</v>
      </c>
      <c r="AH1629" s="177">
        <f t="shared" si="194"/>
        <v>244330</v>
      </c>
      <c r="AK1629" s="176"/>
      <c r="AL1629" s="176"/>
    </row>
    <row r="1630" spans="1:38" ht="36" customHeight="1" x14ac:dyDescent="0.2">
      <c r="A1630" s="14" t="s">
        <v>28</v>
      </c>
      <c r="B1630" s="212">
        <v>244326</v>
      </c>
      <c r="C1630" s="14" t="s">
        <v>547</v>
      </c>
      <c r="D1630" s="14" t="s">
        <v>268</v>
      </c>
      <c r="E1630" s="14" t="s">
        <v>14</v>
      </c>
      <c r="F1630" s="14" t="s">
        <v>324</v>
      </c>
      <c r="G1630" s="179">
        <v>681629</v>
      </c>
      <c r="H1630" s="176" t="s">
        <v>3879</v>
      </c>
      <c r="I1630" s="176" t="s">
        <v>908</v>
      </c>
      <c r="J1630" s="176" t="s">
        <v>133</v>
      </c>
      <c r="K1630" s="176" t="s">
        <v>4680</v>
      </c>
      <c r="L1630" s="40" t="s">
        <v>46</v>
      </c>
      <c r="M1630" s="40" t="s">
        <v>341</v>
      </c>
      <c r="N1630" s="14" t="s">
        <v>4686</v>
      </c>
      <c r="O1630" s="14" t="s">
        <v>543</v>
      </c>
      <c r="P1630" s="14" t="s">
        <v>940</v>
      </c>
      <c r="Q1630" s="14" t="s">
        <v>529</v>
      </c>
      <c r="R1630" s="17">
        <v>600</v>
      </c>
      <c r="S1630" s="172" t="s">
        <v>51</v>
      </c>
      <c r="T1630" s="17">
        <v>1927</v>
      </c>
      <c r="U1630" s="14" t="s">
        <v>51</v>
      </c>
      <c r="V1630" s="16">
        <f t="shared" si="190"/>
        <v>244326</v>
      </c>
      <c r="W1630" s="16">
        <f t="shared" si="191"/>
        <v>244333</v>
      </c>
      <c r="X1630" s="16">
        <f t="shared" si="192"/>
        <v>244328</v>
      </c>
      <c r="Y1630" s="15" t="s">
        <v>54</v>
      </c>
      <c r="Z1630" s="177">
        <v>244329</v>
      </c>
      <c r="AA1630" s="170"/>
      <c r="AB1630" s="170"/>
      <c r="AC1630" s="170"/>
      <c r="AD1630" s="170"/>
      <c r="AE1630" s="15" t="s">
        <v>54</v>
      </c>
      <c r="AF1630" s="177">
        <v>244330</v>
      </c>
      <c r="AG1630" s="177" t="str">
        <f t="shared" si="193"/>
        <v>Pass</v>
      </c>
      <c r="AH1630" s="177">
        <f t="shared" si="194"/>
        <v>244330</v>
      </c>
      <c r="AK1630" s="176"/>
      <c r="AL1630" s="176"/>
    </row>
    <row r="1631" spans="1:38" ht="36" customHeight="1" x14ac:dyDescent="0.2">
      <c r="A1631" s="14" t="s">
        <v>28</v>
      </c>
      <c r="B1631" s="212">
        <v>244326</v>
      </c>
      <c r="C1631" s="14" t="s">
        <v>547</v>
      </c>
      <c r="D1631" s="14" t="s">
        <v>268</v>
      </c>
      <c r="E1631" s="14" t="s">
        <v>14</v>
      </c>
      <c r="F1631" s="14" t="s">
        <v>324</v>
      </c>
      <c r="G1631" s="179">
        <v>681630</v>
      </c>
      <c r="H1631" s="176" t="s">
        <v>627</v>
      </c>
      <c r="I1631" s="176" t="s">
        <v>630</v>
      </c>
      <c r="J1631" s="176" t="s">
        <v>520</v>
      </c>
      <c r="K1631" s="176" t="s">
        <v>4682</v>
      </c>
      <c r="L1631" s="40" t="s">
        <v>105</v>
      </c>
      <c r="M1631" s="40" t="s">
        <v>341</v>
      </c>
      <c r="N1631" s="14" t="s">
        <v>4687</v>
      </c>
      <c r="O1631" s="14" t="s">
        <v>4689</v>
      </c>
      <c r="P1631" s="14" t="s">
        <v>4691</v>
      </c>
      <c r="Q1631" s="14" t="s">
        <v>4692</v>
      </c>
      <c r="R1631" s="17">
        <v>1034</v>
      </c>
      <c r="S1631" s="172" t="s">
        <v>51</v>
      </c>
      <c r="T1631" s="17">
        <v>2030</v>
      </c>
      <c r="U1631" s="14" t="s">
        <v>51</v>
      </c>
      <c r="V1631" s="16">
        <f t="shared" si="190"/>
        <v>244326</v>
      </c>
      <c r="W1631" s="16">
        <f t="shared" si="191"/>
        <v>244333</v>
      </c>
      <c r="X1631" s="16">
        <f t="shared" si="192"/>
        <v>244328</v>
      </c>
      <c r="Y1631" s="15" t="s">
        <v>54</v>
      </c>
      <c r="Z1631" s="177">
        <v>244329</v>
      </c>
      <c r="AA1631" s="170"/>
      <c r="AB1631" s="170"/>
      <c r="AC1631" s="170"/>
      <c r="AD1631" s="170"/>
      <c r="AE1631" s="15" t="s">
        <v>54</v>
      </c>
      <c r="AF1631" s="177">
        <v>244330</v>
      </c>
      <c r="AG1631" s="177" t="str">
        <f t="shared" si="193"/>
        <v>Pass</v>
      </c>
      <c r="AH1631" s="177">
        <f t="shared" si="194"/>
        <v>244330</v>
      </c>
      <c r="AK1631" s="176"/>
      <c r="AL1631" s="176"/>
    </row>
    <row r="1632" spans="1:38" ht="36" customHeight="1" x14ac:dyDescent="0.2">
      <c r="A1632" s="14" t="s">
        <v>28</v>
      </c>
      <c r="B1632" s="212">
        <v>244326</v>
      </c>
      <c r="C1632" s="14" t="s">
        <v>547</v>
      </c>
      <c r="D1632" s="14" t="s">
        <v>268</v>
      </c>
      <c r="E1632" s="14" t="s">
        <v>14</v>
      </c>
      <c r="F1632" s="14" t="s">
        <v>324</v>
      </c>
      <c r="G1632" s="179">
        <v>681631</v>
      </c>
      <c r="H1632" s="176" t="s">
        <v>1469</v>
      </c>
      <c r="I1632" s="176" t="s">
        <v>802</v>
      </c>
      <c r="J1632" s="176" t="s">
        <v>128</v>
      </c>
      <c r="K1632" s="176" t="s">
        <v>4693</v>
      </c>
      <c r="L1632" s="40" t="s">
        <v>46</v>
      </c>
      <c r="M1632" s="40" t="s">
        <v>341</v>
      </c>
      <c r="N1632" s="14" t="s">
        <v>4697</v>
      </c>
      <c r="O1632" s="14" t="s">
        <v>543</v>
      </c>
      <c r="P1632" s="14" t="s">
        <v>3005</v>
      </c>
      <c r="Q1632" s="14" t="s">
        <v>529</v>
      </c>
      <c r="R1632" s="17">
        <v>550</v>
      </c>
      <c r="S1632" s="172" t="s">
        <v>51</v>
      </c>
      <c r="T1632" s="17">
        <v>2950</v>
      </c>
      <c r="U1632" s="14" t="s">
        <v>51</v>
      </c>
      <c r="V1632" s="16">
        <f t="shared" si="190"/>
        <v>244326</v>
      </c>
      <c r="W1632" s="16">
        <f t="shared" si="191"/>
        <v>244333</v>
      </c>
      <c r="X1632" s="16">
        <f t="shared" si="192"/>
        <v>244328</v>
      </c>
      <c r="Y1632" s="15" t="s">
        <v>54</v>
      </c>
      <c r="Z1632" s="177">
        <v>244329</v>
      </c>
      <c r="AA1632" s="170"/>
      <c r="AB1632" s="170"/>
      <c r="AC1632" s="170"/>
      <c r="AD1632" s="170"/>
      <c r="AE1632" s="15" t="s">
        <v>54</v>
      </c>
      <c r="AF1632" s="177">
        <v>244330</v>
      </c>
      <c r="AG1632" s="177" t="str">
        <f t="shared" si="193"/>
        <v>Pass</v>
      </c>
      <c r="AH1632" s="177">
        <f t="shared" si="194"/>
        <v>244330</v>
      </c>
      <c r="AK1632" s="176"/>
      <c r="AL1632" s="176"/>
    </row>
    <row r="1633" spans="1:38" ht="36" customHeight="1" x14ac:dyDescent="0.2">
      <c r="A1633" s="14" t="s">
        <v>28</v>
      </c>
      <c r="B1633" s="212">
        <v>244326</v>
      </c>
      <c r="C1633" s="14" t="s">
        <v>547</v>
      </c>
      <c r="D1633" s="14" t="s">
        <v>268</v>
      </c>
      <c r="E1633" s="14" t="s">
        <v>14</v>
      </c>
      <c r="F1633" s="14" t="s">
        <v>324</v>
      </c>
      <c r="G1633" s="179">
        <v>681632</v>
      </c>
      <c r="H1633" s="176" t="s">
        <v>886</v>
      </c>
      <c r="I1633" s="176" t="s">
        <v>630</v>
      </c>
      <c r="J1633" s="176" t="s">
        <v>821</v>
      </c>
      <c r="K1633" s="176" t="s">
        <v>4694</v>
      </c>
      <c r="L1633" s="40" t="s">
        <v>124</v>
      </c>
      <c r="M1633" s="40" t="s">
        <v>341</v>
      </c>
      <c r="N1633" s="14" t="s">
        <v>4695</v>
      </c>
      <c r="O1633" s="14" t="s">
        <v>548</v>
      </c>
      <c r="P1633" s="14" t="s">
        <v>518</v>
      </c>
      <c r="Q1633" s="14" t="s">
        <v>549</v>
      </c>
      <c r="R1633" s="17">
        <v>237</v>
      </c>
      <c r="S1633" s="172" t="s">
        <v>51</v>
      </c>
      <c r="T1633" s="17">
        <v>2273</v>
      </c>
      <c r="U1633" s="14" t="s">
        <v>51</v>
      </c>
      <c r="V1633" s="16">
        <f t="shared" si="190"/>
        <v>244326</v>
      </c>
      <c r="W1633" s="16">
        <f t="shared" si="191"/>
        <v>244333</v>
      </c>
      <c r="X1633" s="16">
        <f t="shared" si="192"/>
        <v>244328</v>
      </c>
      <c r="Y1633" s="15" t="s">
        <v>54</v>
      </c>
      <c r="Z1633" s="177">
        <v>244329</v>
      </c>
      <c r="AA1633" s="170"/>
      <c r="AB1633" s="170"/>
      <c r="AC1633" s="170"/>
      <c r="AD1633" s="170"/>
      <c r="AE1633" s="15" t="s">
        <v>54</v>
      </c>
      <c r="AF1633" s="177">
        <v>244330</v>
      </c>
      <c r="AG1633" s="177" t="str">
        <f t="shared" si="193"/>
        <v>Pass</v>
      </c>
      <c r="AH1633" s="177">
        <f t="shared" si="194"/>
        <v>244330</v>
      </c>
      <c r="AK1633" s="176"/>
      <c r="AL1633" s="176"/>
    </row>
    <row r="1634" spans="1:38" ht="36" customHeight="1" x14ac:dyDescent="0.2">
      <c r="A1634" s="14" t="s">
        <v>28</v>
      </c>
      <c r="B1634" s="212">
        <v>244326</v>
      </c>
      <c r="C1634" s="14" t="s">
        <v>547</v>
      </c>
      <c r="D1634" s="14" t="s">
        <v>268</v>
      </c>
      <c r="E1634" s="14" t="s">
        <v>14</v>
      </c>
      <c r="F1634" s="14" t="s">
        <v>324</v>
      </c>
      <c r="G1634" s="179">
        <v>681633</v>
      </c>
      <c r="H1634" s="176" t="s">
        <v>627</v>
      </c>
      <c r="I1634" s="176" t="s">
        <v>630</v>
      </c>
      <c r="J1634" s="176" t="s">
        <v>520</v>
      </c>
      <c r="K1634" s="176" t="s">
        <v>4682</v>
      </c>
      <c r="L1634" s="40" t="s">
        <v>105</v>
      </c>
      <c r="M1634" s="40" t="s">
        <v>341</v>
      </c>
      <c r="N1634" s="14" t="s">
        <v>4696</v>
      </c>
      <c r="O1634" s="14" t="s">
        <v>1525</v>
      </c>
      <c r="P1634" s="14" t="s">
        <v>4698</v>
      </c>
      <c r="Q1634" s="14" t="s">
        <v>1530</v>
      </c>
      <c r="R1634" s="17">
        <v>974</v>
      </c>
      <c r="S1634" s="172" t="s">
        <v>51</v>
      </c>
      <c r="T1634" s="17">
        <v>2000</v>
      </c>
      <c r="U1634" s="14" t="s">
        <v>51</v>
      </c>
      <c r="V1634" s="16">
        <f t="shared" si="190"/>
        <v>244326</v>
      </c>
      <c r="W1634" s="16">
        <f t="shared" si="191"/>
        <v>244333</v>
      </c>
      <c r="X1634" s="16">
        <f t="shared" si="192"/>
        <v>244328</v>
      </c>
      <c r="Y1634" s="15" t="s">
        <v>54</v>
      </c>
      <c r="Z1634" s="177">
        <v>244329</v>
      </c>
      <c r="AA1634" s="170"/>
      <c r="AB1634" s="170"/>
      <c r="AC1634" s="170"/>
      <c r="AD1634" s="170"/>
      <c r="AE1634" s="15" t="s">
        <v>54</v>
      </c>
      <c r="AF1634" s="177">
        <v>244330</v>
      </c>
      <c r="AG1634" s="177" t="str">
        <f t="shared" si="193"/>
        <v>Pass</v>
      </c>
      <c r="AH1634" s="177">
        <f t="shared" si="194"/>
        <v>244330</v>
      </c>
      <c r="AK1634" s="176"/>
      <c r="AL1634" s="176"/>
    </row>
    <row r="1635" spans="1:38" ht="36" customHeight="1" x14ac:dyDescent="0.2">
      <c r="A1635" s="14" t="s">
        <v>28</v>
      </c>
      <c r="B1635" s="212">
        <v>244327</v>
      </c>
      <c r="C1635" s="14" t="s">
        <v>547</v>
      </c>
      <c r="D1635" s="14" t="s">
        <v>268</v>
      </c>
      <c r="E1635" s="14" t="s">
        <v>14</v>
      </c>
      <c r="F1635" s="14" t="s">
        <v>324</v>
      </c>
      <c r="G1635" s="179">
        <v>681634</v>
      </c>
      <c r="H1635" s="176" t="s">
        <v>4699</v>
      </c>
      <c r="I1635" s="176" t="s">
        <v>551</v>
      </c>
      <c r="J1635" s="176" t="s">
        <v>832</v>
      </c>
      <c r="K1635" s="176" t="s">
        <v>4700</v>
      </c>
      <c r="L1635" s="40" t="s">
        <v>108</v>
      </c>
      <c r="M1635" s="40" t="s">
        <v>341</v>
      </c>
      <c r="N1635" s="14" t="s">
        <v>4708</v>
      </c>
      <c r="O1635" s="14" t="s">
        <v>527</v>
      </c>
      <c r="P1635" s="14" t="s">
        <v>4161</v>
      </c>
      <c r="Q1635" s="14" t="s">
        <v>542</v>
      </c>
      <c r="R1635" s="17">
        <v>219</v>
      </c>
      <c r="S1635" s="172" t="s">
        <v>51</v>
      </c>
      <c r="T1635" s="17">
        <v>985</v>
      </c>
      <c r="U1635" s="14" t="s">
        <v>51</v>
      </c>
      <c r="V1635" s="16">
        <f t="shared" si="190"/>
        <v>244327</v>
      </c>
      <c r="W1635" s="16">
        <f t="shared" si="191"/>
        <v>244334</v>
      </c>
      <c r="X1635" s="16">
        <f t="shared" si="192"/>
        <v>244329</v>
      </c>
      <c r="Y1635" s="15" t="s">
        <v>54</v>
      </c>
      <c r="Z1635" s="177">
        <v>244331</v>
      </c>
      <c r="AA1635" s="170"/>
      <c r="AB1635" s="170"/>
      <c r="AC1635" s="170"/>
      <c r="AD1635" s="170"/>
      <c r="AE1635" s="15" t="s">
        <v>54</v>
      </c>
      <c r="AF1635" s="177">
        <v>244341</v>
      </c>
      <c r="AG1635" s="177" t="str">
        <f t="shared" si="193"/>
        <v>Pass</v>
      </c>
      <c r="AH1635" s="177">
        <f t="shared" si="194"/>
        <v>244341</v>
      </c>
      <c r="AK1635" s="176"/>
      <c r="AL1635" s="176"/>
    </row>
    <row r="1636" spans="1:38" ht="36" customHeight="1" x14ac:dyDescent="0.2">
      <c r="A1636" s="14" t="s">
        <v>28</v>
      </c>
      <c r="B1636" s="212">
        <v>244327</v>
      </c>
      <c r="C1636" s="14" t="s">
        <v>547</v>
      </c>
      <c r="D1636" s="14" t="s">
        <v>268</v>
      </c>
      <c r="E1636" s="14" t="s">
        <v>14</v>
      </c>
      <c r="F1636" s="14" t="s">
        <v>324</v>
      </c>
      <c r="G1636" s="179">
        <v>681635</v>
      </c>
      <c r="H1636" s="176" t="s">
        <v>2041</v>
      </c>
      <c r="I1636" s="176" t="s">
        <v>612</v>
      </c>
      <c r="J1636" s="176" t="s">
        <v>865</v>
      </c>
      <c r="K1636" s="176" t="s">
        <v>4701</v>
      </c>
      <c r="L1636" s="40" t="s">
        <v>45</v>
      </c>
      <c r="M1636" s="40" t="s">
        <v>341</v>
      </c>
      <c r="N1636" s="14" t="s">
        <v>1214</v>
      </c>
      <c r="O1636" s="14" t="s">
        <v>548</v>
      </c>
      <c r="P1636" s="14" t="s">
        <v>518</v>
      </c>
      <c r="Q1636" s="14" t="s">
        <v>549</v>
      </c>
      <c r="R1636" s="17">
        <v>150</v>
      </c>
      <c r="S1636" s="172" t="s">
        <v>51</v>
      </c>
      <c r="T1636" s="17">
        <v>1800</v>
      </c>
      <c r="U1636" s="14" t="s">
        <v>51</v>
      </c>
      <c r="V1636" s="16">
        <f t="shared" si="190"/>
        <v>244327</v>
      </c>
      <c r="W1636" s="16">
        <f t="shared" si="191"/>
        <v>244334</v>
      </c>
      <c r="X1636" s="16">
        <f t="shared" si="192"/>
        <v>244329</v>
      </c>
      <c r="Y1636" s="15" t="s">
        <v>54</v>
      </c>
      <c r="Z1636" s="177">
        <v>244331</v>
      </c>
      <c r="AA1636" s="170"/>
      <c r="AB1636" s="170"/>
      <c r="AC1636" s="170"/>
      <c r="AD1636" s="170"/>
      <c r="AE1636" s="15" t="s">
        <v>54</v>
      </c>
      <c r="AF1636" s="177">
        <v>244341</v>
      </c>
      <c r="AG1636" s="177" t="str">
        <f t="shared" si="193"/>
        <v>Pass</v>
      </c>
      <c r="AH1636" s="177">
        <f t="shared" si="194"/>
        <v>244341</v>
      </c>
      <c r="AK1636" s="176"/>
      <c r="AL1636" s="176"/>
    </row>
    <row r="1637" spans="1:38" ht="36" customHeight="1" x14ac:dyDescent="0.2">
      <c r="A1637" s="14" t="s">
        <v>28</v>
      </c>
      <c r="B1637" s="212">
        <v>244327</v>
      </c>
      <c r="C1637" s="14" t="s">
        <v>547</v>
      </c>
      <c r="D1637" s="14" t="s">
        <v>268</v>
      </c>
      <c r="E1637" s="14" t="s">
        <v>14</v>
      </c>
      <c r="F1637" s="14" t="s">
        <v>324</v>
      </c>
      <c r="G1637" s="179">
        <v>681636</v>
      </c>
      <c r="H1637" s="176" t="s">
        <v>3580</v>
      </c>
      <c r="I1637" s="176" t="s">
        <v>908</v>
      </c>
      <c r="J1637" s="176" t="s">
        <v>133</v>
      </c>
      <c r="K1637" s="176" t="s">
        <v>4702</v>
      </c>
      <c r="L1637" s="40" t="s">
        <v>46</v>
      </c>
      <c r="M1637" s="40" t="s">
        <v>341</v>
      </c>
      <c r="N1637" s="14" t="s">
        <v>4709</v>
      </c>
      <c r="O1637" s="14" t="s">
        <v>552</v>
      </c>
      <c r="P1637" s="14" t="s">
        <v>1489</v>
      </c>
      <c r="Q1637" s="14" t="s">
        <v>553</v>
      </c>
      <c r="R1637" s="17">
        <v>1625</v>
      </c>
      <c r="S1637" s="172" t="s">
        <v>51</v>
      </c>
      <c r="T1637" s="17">
        <v>1750</v>
      </c>
      <c r="U1637" s="14" t="s">
        <v>51</v>
      </c>
      <c r="V1637" s="16">
        <f t="shared" si="190"/>
        <v>244327</v>
      </c>
      <c r="W1637" s="16">
        <f t="shared" si="191"/>
        <v>244334</v>
      </c>
      <c r="X1637" s="16">
        <f t="shared" si="192"/>
        <v>244329</v>
      </c>
      <c r="Y1637" s="15" t="s">
        <v>54</v>
      </c>
      <c r="Z1637" s="177">
        <v>244331</v>
      </c>
      <c r="AA1637" s="170"/>
      <c r="AB1637" s="170"/>
      <c r="AC1637" s="170"/>
      <c r="AD1637" s="170"/>
      <c r="AE1637" s="15" t="s">
        <v>54</v>
      </c>
      <c r="AF1637" s="177">
        <v>244341</v>
      </c>
      <c r="AG1637" s="177" t="str">
        <f t="shared" si="193"/>
        <v>Pass</v>
      </c>
      <c r="AH1637" s="177">
        <f t="shared" si="194"/>
        <v>244341</v>
      </c>
      <c r="AK1637" s="176"/>
      <c r="AL1637" s="176"/>
    </row>
    <row r="1638" spans="1:38" ht="36" customHeight="1" x14ac:dyDescent="0.2">
      <c r="A1638" s="14" t="s">
        <v>28</v>
      </c>
      <c r="B1638" s="212">
        <v>244327</v>
      </c>
      <c r="C1638" s="14" t="s">
        <v>547</v>
      </c>
      <c r="D1638" s="14" t="s">
        <v>268</v>
      </c>
      <c r="E1638" s="14" t="s">
        <v>14</v>
      </c>
      <c r="F1638" s="14" t="s">
        <v>324</v>
      </c>
      <c r="G1638" s="179">
        <v>681637</v>
      </c>
      <c r="H1638" s="176" t="s">
        <v>904</v>
      </c>
      <c r="I1638" s="176" t="s">
        <v>908</v>
      </c>
      <c r="J1638" s="176" t="s">
        <v>133</v>
      </c>
      <c r="K1638" s="176" t="s">
        <v>4703</v>
      </c>
      <c r="L1638" s="40" t="s">
        <v>46</v>
      </c>
      <c r="M1638" s="40" t="s">
        <v>341</v>
      </c>
      <c r="N1638" s="14" t="s">
        <v>4710</v>
      </c>
      <c r="O1638" s="14" t="s">
        <v>543</v>
      </c>
      <c r="P1638" s="14" t="s">
        <v>4408</v>
      </c>
      <c r="Q1638" s="14" t="s">
        <v>529</v>
      </c>
      <c r="R1638" s="17">
        <v>1125</v>
      </c>
      <c r="S1638" s="172" t="s">
        <v>51</v>
      </c>
      <c r="T1638" s="17">
        <v>1895</v>
      </c>
      <c r="U1638" s="14" t="s">
        <v>51</v>
      </c>
      <c r="V1638" s="16">
        <f t="shared" si="190"/>
        <v>244327</v>
      </c>
      <c r="W1638" s="16">
        <f t="shared" si="191"/>
        <v>244334</v>
      </c>
      <c r="X1638" s="16">
        <f t="shared" si="192"/>
        <v>244329</v>
      </c>
      <c r="Y1638" s="15" t="s">
        <v>54</v>
      </c>
      <c r="Z1638" s="177">
        <v>244331</v>
      </c>
      <c r="AA1638" s="170"/>
      <c r="AB1638" s="170"/>
      <c r="AC1638" s="170"/>
      <c r="AD1638" s="170"/>
      <c r="AE1638" s="15" t="s">
        <v>54</v>
      </c>
      <c r="AF1638" s="177">
        <v>244341</v>
      </c>
      <c r="AG1638" s="177" t="str">
        <f t="shared" si="193"/>
        <v>Pass</v>
      </c>
      <c r="AH1638" s="177">
        <f t="shared" si="194"/>
        <v>244341</v>
      </c>
      <c r="AK1638" s="176"/>
      <c r="AL1638" s="176"/>
    </row>
    <row r="1639" spans="1:38" ht="36" customHeight="1" x14ac:dyDescent="0.2">
      <c r="A1639" s="14" t="s">
        <v>28</v>
      </c>
      <c r="B1639" s="212">
        <v>244327</v>
      </c>
      <c r="C1639" s="14" t="s">
        <v>547</v>
      </c>
      <c r="D1639" s="14" t="s">
        <v>268</v>
      </c>
      <c r="E1639" s="14" t="s">
        <v>14</v>
      </c>
      <c r="F1639" s="14" t="s">
        <v>324</v>
      </c>
      <c r="G1639" s="179">
        <v>681638</v>
      </c>
      <c r="H1639" s="176" t="s">
        <v>1507</v>
      </c>
      <c r="I1639" s="176" t="s">
        <v>1407</v>
      </c>
      <c r="J1639" s="176" t="s">
        <v>1410</v>
      </c>
      <c r="K1639" s="176" t="s">
        <v>4704</v>
      </c>
      <c r="L1639" s="40" t="s">
        <v>45</v>
      </c>
      <c r="M1639" s="40" t="s">
        <v>341</v>
      </c>
      <c r="N1639" s="14" t="s">
        <v>4711</v>
      </c>
      <c r="O1639" s="14" t="s">
        <v>527</v>
      </c>
      <c r="P1639" s="14" t="s">
        <v>3004</v>
      </c>
      <c r="Q1639" s="14" t="s">
        <v>542</v>
      </c>
      <c r="R1639" s="17">
        <v>204</v>
      </c>
      <c r="S1639" s="172" t="s">
        <v>51</v>
      </c>
      <c r="T1639" s="17">
        <v>1355</v>
      </c>
      <c r="U1639" s="14" t="s">
        <v>51</v>
      </c>
      <c r="V1639" s="16">
        <f t="shared" si="190"/>
        <v>244327</v>
      </c>
      <c r="W1639" s="16">
        <f t="shared" si="191"/>
        <v>244334</v>
      </c>
      <c r="X1639" s="16">
        <f t="shared" si="192"/>
        <v>244329</v>
      </c>
      <c r="Y1639" s="15" t="s">
        <v>54</v>
      </c>
      <c r="Z1639" s="177">
        <v>244331</v>
      </c>
      <c r="AA1639" s="170"/>
      <c r="AB1639" s="170"/>
      <c r="AC1639" s="170"/>
      <c r="AD1639" s="170"/>
      <c r="AE1639" s="15" t="s">
        <v>54</v>
      </c>
      <c r="AF1639" s="177">
        <v>244341</v>
      </c>
      <c r="AG1639" s="177" t="str">
        <f t="shared" si="193"/>
        <v>Pass</v>
      </c>
      <c r="AH1639" s="177">
        <f t="shared" si="194"/>
        <v>244341</v>
      </c>
      <c r="AK1639" s="176"/>
      <c r="AL1639" s="176"/>
    </row>
    <row r="1640" spans="1:38" ht="36" customHeight="1" x14ac:dyDescent="0.2">
      <c r="A1640" s="14" t="s">
        <v>28</v>
      </c>
      <c r="B1640" s="212">
        <v>244327</v>
      </c>
      <c r="C1640" s="14" t="s">
        <v>547</v>
      </c>
      <c r="D1640" s="14" t="s">
        <v>268</v>
      </c>
      <c r="E1640" s="14" t="s">
        <v>14</v>
      </c>
      <c r="F1640" s="14" t="s">
        <v>324</v>
      </c>
      <c r="G1640" s="179">
        <v>681639</v>
      </c>
      <c r="H1640" s="176" t="s">
        <v>760</v>
      </c>
      <c r="I1640" s="176" t="s">
        <v>551</v>
      </c>
      <c r="J1640" s="176" t="s">
        <v>832</v>
      </c>
      <c r="K1640" s="176" t="s">
        <v>4705</v>
      </c>
      <c r="L1640" s="40" t="s">
        <v>108</v>
      </c>
      <c r="M1640" s="40" t="s">
        <v>341</v>
      </c>
      <c r="N1640" s="14" t="s">
        <v>4712</v>
      </c>
      <c r="O1640" s="14" t="s">
        <v>552</v>
      </c>
      <c r="P1640" s="14" t="s">
        <v>1489</v>
      </c>
      <c r="Q1640" s="14" t="s">
        <v>553</v>
      </c>
      <c r="R1640" s="17">
        <v>775</v>
      </c>
      <c r="S1640" s="172" t="s">
        <v>51</v>
      </c>
      <c r="T1640" s="17">
        <v>2980</v>
      </c>
      <c r="U1640" s="14" t="s">
        <v>51</v>
      </c>
      <c r="V1640" s="16">
        <f t="shared" si="190"/>
        <v>244327</v>
      </c>
      <c r="W1640" s="16">
        <f t="shared" si="191"/>
        <v>244334</v>
      </c>
      <c r="X1640" s="16">
        <f t="shared" si="192"/>
        <v>244329</v>
      </c>
      <c r="Y1640" s="15" t="s">
        <v>54</v>
      </c>
      <c r="Z1640" s="177">
        <v>244331</v>
      </c>
      <c r="AA1640" s="170"/>
      <c r="AB1640" s="170"/>
      <c r="AC1640" s="170"/>
      <c r="AD1640" s="170"/>
      <c r="AE1640" s="15" t="s">
        <v>54</v>
      </c>
      <c r="AF1640" s="177">
        <v>244341</v>
      </c>
      <c r="AG1640" s="177" t="str">
        <f t="shared" si="193"/>
        <v>Pass</v>
      </c>
      <c r="AH1640" s="177">
        <f t="shared" si="194"/>
        <v>244341</v>
      </c>
      <c r="AK1640" s="176"/>
      <c r="AL1640" s="176"/>
    </row>
    <row r="1641" spans="1:38" ht="36" customHeight="1" x14ac:dyDescent="0.2">
      <c r="A1641" s="14" t="s">
        <v>28</v>
      </c>
      <c r="B1641" s="212">
        <v>244327</v>
      </c>
      <c r="C1641" s="14" t="s">
        <v>547</v>
      </c>
      <c r="D1641" s="14" t="s">
        <v>268</v>
      </c>
      <c r="E1641" s="14" t="s">
        <v>14</v>
      </c>
      <c r="F1641" s="14" t="s">
        <v>324</v>
      </c>
      <c r="G1641" s="179">
        <v>681640</v>
      </c>
      <c r="H1641" s="176" t="s">
        <v>1026</v>
      </c>
      <c r="I1641" s="176" t="s">
        <v>908</v>
      </c>
      <c r="J1641" s="176" t="s">
        <v>133</v>
      </c>
      <c r="K1641" s="176" t="s">
        <v>4706</v>
      </c>
      <c r="L1641" s="40" t="s">
        <v>46</v>
      </c>
      <c r="M1641" s="40" t="s">
        <v>341</v>
      </c>
      <c r="N1641" s="14" t="s">
        <v>4713</v>
      </c>
      <c r="O1641" s="14" t="s">
        <v>693</v>
      </c>
      <c r="P1641" s="14" t="s">
        <v>4714</v>
      </c>
      <c r="Q1641" s="14" t="s">
        <v>696</v>
      </c>
      <c r="R1641" s="17">
        <v>1450</v>
      </c>
      <c r="S1641" s="172" t="s">
        <v>51</v>
      </c>
      <c r="T1641" s="17">
        <v>2290</v>
      </c>
      <c r="U1641" s="14" t="s">
        <v>51</v>
      </c>
      <c r="V1641" s="16">
        <f t="shared" si="190"/>
        <v>244327</v>
      </c>
      <c r="W1641" s="16">
        <f t="shared" si="191"/>
        <v>244334</v>
      </c>
      <c r="X1641" s="16">
        <f t="shared" si="192"/>
        <v>244329</v>
      </c>
      <c r="Y1641" s="15" t="s">
        <v>54</v>
      </c>
      <c r="Z1641" s="177">
        <v>244331</v>
      </c>
      <c r="AA1641" s="170"/>
      <c r="AB1641" s="170"/>
      <c r="AC1641" s="170"/>
      <c r="AD1641" s="170"/>
      <c r="AE1641" s="15" t="s">
        <v>54</v>
      </c>
      <c r="AF1641" s="177">
        <v>244341</v>
      </c>
      <c r="AG1641" s="177" t="str">
        <f t="shared" si="193"/>
        <v>Pass</v>
      </c>
      <c r="AH1641" s="177">
        <f t="shared" si="194"/>
        <v>244341</v>
      </c>
      <c r="AK1641" s="176"/>
      <c r="AL1641" s="176"/>
    </row>
    <row r="1642" spans="1:38" ht="36" customHeight="1" x14ac:dyDescent="0.2">
      <c r="A1642" s="14" t="s">
        <v>28</v>
      </c>
      <c r="B1642" s="212">
        <v>244327</v>
      </c>
      <c r="C1642" s="14" t="s">
        <v>547</v>
      </c>
      <c r="D1642" s="14" t="s">
        <v>268</v>
      </c>
      <c r="E1642" s="14" t="s">
        <v>14</v>
      </c>
      <c r="F1642" s="14" t="s">
        <v>324</v>
      </c>
      <c r="G1642" s="179">
        <v>681641</v>
      </c>
      <c r="H1642" s="176" t="s">
        <v>903</v>
      </c>
      <c r="I1642" s="176" t="s">
        <v>551</v>
      </c>
      <c r="J1642" s="176" t="s">
        <v>832</v>
      </c>
      <c r="K1642" s="176" t="s">
        <v>4707</v>
      </c>
      <c r="L1642" s="40" t="s">
        <v>108</v>
      </c>
      <c r="M1642" s="40" t="s">
        <v>341</v>
      </c>
      <c r="N1642" s="14" t="s">
        <v>1568</v>
      </c>
      <c r="O1642" s="14" t="s">
        <v>552</v>
      </c>
      <c r="P1642" s="14" t="s">
        <v>1660</v>
      </c>
      <c r="Q1642" s="14" t="s">
        <v>553</v>
      </c>
      <c r="R1642" s="17">
        <v>500</v>
      </c>
      <c r="S1642" s="172" t="s">
        <v>51</v>
      </c>
      <c r="T1642" s="17">
        <v>2975</v>
      </c>
      <c r="U1642" s="14" t="s">
        <v>51</v>
      </c>
      <c r="V1642" s="16">
        <f t="shared" si="190"/>
        <v>244327</v>
      </c>
      <c r="W1642" s="16">
        <f t="shared" si="191"/>
        <v>244334</v>
      </c>
      <c r="X1642" s="16">
        <f t="shared" si="192"/>
        <v>244329</v>
      </c>
      <c r="Y1642" s="15" t="s">
        <v>54</v>
      </c>
      <c r="Z1642" s="177">
        <v>244331</v>
      </c>
      <c r="AA1642" s="170"/>
      <c r="AB1642" s="170"/>
      <c r="AC1642" s="170"/>
      <c r="AD1642" s="170"/>
      <c r="AE1642" s="15" t="s">
        <v>54</v>
      </c>
      <c r="AF1642" s="177">
        <v>244341</v>
      </c>
      <c r="AG1642" s="177" t="str">
        <f t="shared" si="193"/>
        <v>Pass</v>
      </c>
      <c r="AH1642" s="177">
        <f t="shared" si="194"/>
        <v>244341</v>
      </c>
      <c r="AK1642" s="176"/>
      <c r="AL1642" s="176"/>
    </row>
    <row r="1643" spans="1:38" ht="36" customHeight="1" x14ac:dyDescent="0.2">
      <c r="A1643" s="14" t="s">
        <v>28</v>
      </c>
      <c r="B1643" s="212">
        <v>244327</v>
      </c>
      <c r="C1643" s="14" t="s">
        <v>547</v>
      </c>
      <c r="D1643" s="14" t="s">
        <v>268</v>
      </c>
      <c r="E1643" s="14" t="s">
        <v>14</v>
      </c>
      <c r="F1643" s="14" t="s">
        <v>324</v>
      </c>
      <c r="G1643" s="179">
        <v>681642</v>
      </c>
      <c r="H1643" s="176" t="s">
        <v>1507</v>
      </c>
      <c r="I1643" s="176" t="s">
        <v>1407</v>
      </c>
      <c r="J1643" s="176" t="s">
        <v>1410</v>
      </c>
      <c r="K1643" s="176" t="s">
        <v>4704</v>
      </c>
      <c r="L1643" s="40" t="s">
        <v>45</v>
      </c>
      <c r="M1643" s="40" t="s">
        <v>341</v>
      </c>
      <c r="N1643" s="14" t="s">
        <v>4717</v>
      </c>
      <c r="O1643" s="14" t="s">
        <v>1585</v>
      </c>
      <c r="P1643" s="14" t="s">
        <v>1340</v>
      </c>
      <c r="Q1643" s="14" t="s">
        <v>1590</v>
      </c>
      <c r="R1643" s="17">
        <v>641</v>
      </c>
      <c r="S1643" s="172" t="s">
        <v>51</v>
      </c>
      <c r="T1643" s="17">
        <v>1370</v>
      </c>
      <c r="U1643" s="14" t="s">
        <v>51</v>
      </c>
      <c r="V1643" s="16">
        <f t="shared" si="190"/>
        <v>244327</v>
      </c>
      <c r="W1643" s="16">
        <f t="shared" si="191"/>
        <v>244334</v>
      </c>
      <c r="X1643" s="16">
        <f t="shared" si="192"/>
        <v>244329</v>
      </c>
      <c r="Y1643" s="15" t="s">
        <v>54</v>
      </c>
      <c r="Z1643" s="177">
        <v>244331</v>
      </c>
      <c r="AA1643" s="170"/>
      <c r="AB1643" s="170"/>
      <c r="AC1643" s="170"/>
      <c r="AD1643" s="170"/>
      <c r="AE1643" s="15" t="s">
        <v>54</v>
      </c>
      <c r="AF1643" s="177">
        <v>244341</v>
      </c>
      <c r="AG1643" s="177" t="str">
        <f t="shared" si="193"/>
        <v>Pass</v>
      </c>
      <c r="AH1643" s="177">
        <f t="shared" si="194"/>
        <v>244341</v>
      </c>
      <c r="AK1643" s="176"/>
      <c r="AL1643" s="176"/>
    </row>
    <row r="1644" spans="1:38" ht="36" customHeight="1" x14ac:dyDescent="0.2">
      <c r="A1644" s="14" t="s">
        <v>28</v>
      </c>
      <c r="B1644" s="212">
        <v>244327</v>
      </c>
      <c r="C1644" s="14" t="s">
        <v>547</v>
      </c>
      <c r="D1644" s="14" t="s">
        <v>268</v>
      </c>
      <c r="E1644" s="14" t="s">
        <v>14</v>
      </c>
      <c r="F1644" s="14" t="s">
        <v>324</v>
      </c>
      <c r="G1644" s="179">
        <v>681643</v>
      </c>
      <c r="H1644" s="176" t="s">
        <v>1016</v>
      </c>
      <c r="I1644" s="176" t="s">
        <v>802</v>
      </c>
      <c r="J1644" s="176" t="s">
        <v>143</v>
      </c>
      <c r="K1644" s="176" t="s">
        <v>4715</v>
      </c>
      <c r="L1644" s="40" t="s">
        <v>4716</v>
      </c>
      <c r="M1644" s="40" t="s">
        <v>341</v>
      </c>
      <c r="N1644" s="14" t="s">
        <v>4718</v>
      </c>
      <c r="O1644" s="14" t="s">
        <v>693</v>
      </c>
      <c r="P1644" s="14" t="s">
        <v>4719</v>
      </c>
      <c r="Q1644" s="14" t="s">
        <v>696</v>
      </c>
      <c r="R1644" s="17">
        <v>900</v>
      </c>
      <c r="S1644" s="172" t="s">
        <v>51</v>
      </c>
      <c r="T1644" s="17">
        <v>2368</v>
      </c>
      <c r="U1644" s="14" t="s">
        <v>51</v>
      </c>
      <c r="V1644" s="16">
        <f t="shared" si="190"/>
        <v>244327</v>
      </c>
      <c r="W1644" s="16">
        <f t="shared" si="191"/>
        <v>244334</v>
      </c>
      <c r="X1644" s="16">
        <f t="shared" si="192"/>
        <v>244329</v>
      </c>
      <c r="Y1644" s="15" t="s">
        <v>54</v>
      </c>
      <c r="Z1644" s="177">
        <v>244331</v>
      </c>
      <c r="AA1644" s="170"/>
      <c r="AB1644" s="170"/>
      <c r="AC1644" s="170"/>
      <c r="AD1644" s="170"/>
      <c r="AE1644" s="15" t="s">
        <v>54</v>
      </c>
      <c r="AF1644" s="177">
        <v>244341</v>
      </c>
      <c r="AG1644" s="177" t="str">
        <f t="shared" si="193"/>
        <v>Pass</v>
      </c>
      <c r="AH1644" s="177">
        <f t="shared" si="194"/>
        <v>244341</v>
      </c>
      <c r="AK1644" s="176"/>
      <c r="AL1644" s="176"/>
    </row>
    <row r="1645" spans="1:38" ht="36" customHeight="1" x14ac:dyDescent="0.2">
      <c r="A1645" s="14" t="s">
        <v>28</v>
      </c>
      <c r="B1645" s="212">
        <v>244328</v>
      </c>
      <c r="C1645" s="14" t="s">
        <v>547</v>
      </c>
      <c r="D1645" s="14" t="s">
        <v>268</v>
      </c>
      <c r="E1645" s="14" t="s">
        <v>14</v>
      </c>
      <c r="F1645" s="14" t="s">
        <v>324</v>
      </c>
      <c r="G1645" s="179">
        <v>681644</v>
      </c>
      <c r="H1645" s="176" t="s">
        <v>1016</v>
      </c>
      <c r="I1645" s="176" t="s">
        <v>802</v>
      </c>
      <c r="J1645" s="176" t="s">
        <v>143</v>
      </c>
      <c r="K1645" s="176" t="s">
        <v>4715</v>
      </c>
      <c r="L1645" s="40" t="s">
        <v>4716</v>
      </c>
      <c r="M1645" s="40" t="s">
        <v>341</v>
      </c>
      <c r="N1645" s="14" t="s">
        <v>4724</v>
      </c>
      <c r="O1645" s="14" t="s">
        <v>548</v>
      </c>
      <c r="P1645" s="14" t="s">
        <v>518</v>
      </c>
      <c r="Q1645" s="14" t="s">
        <v>549</v>
      </c>
      <c r="R1645" s="17">
        <v>233</v>
      </c>
      <c r="S1645" s="172" t="s">
        <v>51</v>
      </c>
      <c r="T1645" s="17">
        <v>2338</v>
      </c>
      <c r="U1645" s="14" t="s">
        <v>51</v>
      </c>
      <c r="V1645" s="16">
        <f t="shared" si="190"/>
        <v>244328</v>
      </c>
      <c r="W1645" s="16">
        <f t="shared" si="191"/>
        <v>244335</v>
      </c>
      <c r="X1645" s="16">
        <f t="shared" si="192"/>
        <v>244330</v>
      </c>
      <c r="Y1645" s="15" t="s">
        <v>54</v>
      </c>
      <c r="Z1645" s="177">
        <v>244342</v>
      </c>
      <c r="AA1645" s="170"/>
      <c r="AB1645" s="170"/>
      <c r="AC1645" s="170"/>
      <c r="AD1645" s="170"/>
      <c r="AE1645" s="15" t="s">
        <v>54</v>
      </c>
      <c r="AF1645" s="177">
        <v>244343</v>
      </c>
      <c r="AG1645" s="177" t="str">
        <f t="shared" si="193"/>
        <v>Pass</v>
      </c>
      <c r="AH1645" s="177">
        <f t="shared" si="194"/>
        <v>244343</v>
      </c>
      <c r="AK1645" s="176"/>
      <c r="AL1645" s="176"/>
    </row>
    <row r="1646" spans="1:38" ht="36" customHeight="1" x14ac:dyDescent="0.2">
      <c r="A1646" s="14" t="s">
        <v>28</v>
      </c>
      <c r="B1646" s="212">
        <v>244328</v>
      </c>
      <c r="C1646" s="14" t="s">
        <v>547</v>
      </c>
      <c r="D1646" s="14" t="s">
        <v>268</v>
      </c>
      <c r="E1646" s="14" t="s">
        <v>14</v>
      </c>
      <c r="F1646" s="14" t="s">
        <v>324</v>
      </c>
      <c r="G1646" s="179">
        <v>681645</v>
      </c>
      <c r="H1646" s="176" t="s">
        <v>3242</v>
      </c>
      <c r="I1646" s="176" t="s">
        <v>664</v>
      </c>
      <c r="J1646" s="176" t="s">
        <v>123</v>
      </c>
      <c r="K1646" s="176" t="s">
        <v>4721</v>
      </c>
      <c r="L1646" s="40" t="s">
        <v>46</v>
      </c>
      <c r="M1646" s="40" t="s">
        <v>341</v>
      </c>
      <c r="N1646" s="14" t="s">
        <v>4725</v>
      </c>
      <c r="O1646" s="14" t="s">
        <v>528</v>
      </c>
      <c r="P1646" s="14" t="s">
        <v>517</v>
      </c>
      <c r="Q1646" s="14" t="s">
        <v>541</v>
      </c>
      <c r="R1646" s="17">
        <v>300</v>
      </c>
      <c r="S1646" s="172" t="s">
        <v>51</v>
      </c>
      <c r="T1646" s="17">
        <v>1995</v>
      </c>
      <c r="U1646" s="14" t="s">
        <v>51</v>
      </c>
      <c r="V1646" s="16">
        <f t="shared" si="190"/>
        <v>244328</v>
      </c>
      <c r="W1646" s="16">
        <f t="shared" si="191"/>
        <v>244335</v>
      </c>
      <c r="X1646" s="16">
        <f t="shared" si="192"/>
        <v>244330</v>
      </c>
      <c r="Y1646" s="15" t="s">
        <v>54</v>
      </c>
      <c r="Z1646" s="177">
        <v>244342</v>
      </c>
      <c r="AA1646" s="170"/>
      <c r="AB1646" s="170"/>
      <c r="AC1646" s="170"/>
      <c r="AD1646" s="170"/>
      <c r="AE1646" s="15" t="s">
        <v>54</v>
      </c>
      <c r="AF1646" s="177">
        <v>244343</v>
      </c>
      <c r="AG1646" s="177" t="str">
        <f t="shared" si="193"/>
        <v>Pass</v>
      </c>
      <c r="AH1646" s="177">
        <f t="shared" si="194"/>
        <v>244343</v>
      </c>
      <c r="AK1646" s="176"/>
      <c r="AL1646" s="176"/>
    </row>
    <row r="1647" spans="1:38" ht="36" customHeight="1" x14ac:dyDescent="0.2">
      <c r="A1647" s="14" t="s">
        <v>28</v>
      </c>
      <c r="B1647" s="212">
        <v>244328</v>
      </c>
      <c r="C1647" s="14" t="s">
        <v>547</v>
      </c>
      <c r="D1647" s="14" t="s">
        <v>268</v>
      </c>
      <c r="E1647" s="14" t="s">
        <v>14</v>
      </c>
      <c r="F1647" s="14" t="s">
        <v>324</v>
      </c>
      <c r="G1647" s="179">
        <v>681646</v>
      </c>
      <c r="H1647" s="176" t="s">
        <v>1549</v>
      </c>
      <c r="I1647" s="176" t="s">
        <v>630</v>
      </c>
      <c r="J1647" s="176" t="s">
        <v>520</v>
      </c>
      <c r="K1647" s="176" t="s">
        <v>4722</v>
      </c>
      <c r="L1647" s="40" t="s">
        <v>105</v>
      </c>
      <c r="M1647" s="40" t="s">
        <v>341</v>
      </c>
      <c r="N1647" s="14" t="s">
        <v>4726</v>
      </c>
      <c r="O1647" s="14" t="s">
        <v>548</v>
      </c>
      <c r="P1647" s="14" t="s">
        <v>518</v>
      </c>
      <c r="Q1647" s="14" t="s">
        <v>549</v>
      </c>
      <c r="R1647" s="17">
        <v>331</v>
      </c>
      <c r="S1647" s="172" t="s">
        <v>51</v>
      </c>
      <c r="T1647" s="17">
        <v>1854</v>
      </c>
      <c r="U1647" s="14" t="s">
        <v>51</v>
      </c>
      <c r="V1647" s="16">
        <f t="shared" si="190"/>
        <v>244328</v>
      </c>
      <c r="W1647" s="16">
        <f t="shared" si="191"/>
        <v>244335</v>
      </c>
      <c r="X1647" s="16">
        <f t="shared" si="192"/>
        <v>244330</v>
      </c>
      <c r="Y1647" s="15" t="s">
        <v>54</v>
      </c>
      <c r="Z1647" s="177">
        <v>244342</v>
      </c>
      <c r="AA1647" s="170"/>
      <c r="AB1647" s="170"/>
      <c r="AC1647" s="170"/>
      <c r="AD1647" s="170"/>
      <c r="AE1647" s="15" t="s">
        <v>54</v>
      </c>
      <c r="AF1647" s="177">
        <v>244343</v>
      </c>
      <c r="AG1647" s="177" t="str">
        <f t="shared" si="193"/>
        <v>Pass</v>
      </c>
      <c r="AH1647" s="177">
        <f t="shared" si="194"/>
        <v>244343</v>
      </c>
      <c r="AK1647" s="176"/>
      <c r="AL1647" s="176"/>
    </row>
    <row r="1648" spans="1:38" ht="36" customHeight="1" x14ac:dyDescent="0.2">
      <c r="A1648" s="14" t="s">
        <v>28</v>
      </c>
      <c r="B1648" s="212">
        <v>244328</v>
      </c>
      <c r="C1648" s="14" t="s">
        <v>547</v>
      </c>
      <c r="D1648" s="14" t="s">
        <v>268</v>
      </c>
      <c r="E1648" s="14" t="s">
        <v>14</v>
      </c>
      <c r="F1648" s="14" t="s">
        <v>324</v>
      </c>
      <c r="G1648" s="179">
        <v>681647</v>
      </c>
      <c r="H1648" s="176" t="s">
        <v>4720</v>
      </c>
      <c r="I1648" s="176" t="s">
        <v>664</v>
      </c>
      <c r="J1648" s="176" t="s">
        <v>123</v>
      </c>
      <c r="K1648" s="176" t="s">
        <v>4723</v>
      </c>
      <c r="L1648" s="40" t="s">
        <v>46</v>
      </c>
      <c r="M1648" s="40" t="s">
        <v>341</v>
      </c>
      <c r="N1648" s="14" t="s">
        <v>1086</v>
      </c>
      <c r="O1648" s="14" t="s">
        <v>528</v>
      </c>
      <c r="P1648" s="14" t="s">
        <v>517</v>
      </c>
      <c r="Q1648" s="14" t="s">
        <v>541</v>
      </c>
      <c r="R1648" s="17">
        <v>200</v>
      </c>
      <c r="S1648" s="172" t="s">
        <v>51</v>
      </c>
      <c r="T1648" s="17">
        <v>1060</v>
      </c>
      <c r="U1648" s="14" t="s">
        <v>51</v>
      </c>
      <c r="V1648" s="16">
        <f t="shared" si="190"/>
        <v>244328</v>
      </c>
      <c r="W1648" s="16">
        <f t="shared" si="191"/>
        <v>244335</v>
      </c>
      <c r="X1648" s="16">
        <f t="shared" si="192"/>
        <v>244330</v>
      </c>
      <c r="Y1648" s="15" t="s">
        <v>54</v>
      </c>
      <c r="Z1648" s="177">
        <v>244342</v>
      </c>
      <c r="AA1648" s="170"/>
      <c r="AB1648" s="170"/>
      <c r="AC1648" s="170"/>
      <c r="AD1648" s="170"/>
      <c r="AE1648" s="15" t="s">
        <v>54</v>
      </c>
      <c r="AF1648" s="177">
        <v>244343</v>
      </c>
      <c r="AG1648" s="177" t="str">
        <f t="shared" si="193"/>
        <v>Pass</v>
      </c>
      <c r="AH1648" s="177">
        <f t="shared" si="194"/>
        <v>244343</v>
      </c>
      <c r="AK1648" s="176"/>
      <c r="AL1648" s="176"/>
    </row>
    <row r="1649" spans="1:38" ht="36" customHeight="1" x14ac:dyDescent="0.2">
      <c r="A1649" s="14" t="s">
        <v>28</v>
      </c>
      <c r="B1649" s="212">
        <v>244328</v>
      </c>
      <c r="C1649" s="14" t="s">
        <v>547</v>
      </c>
      <c r="D1649" s="14" t="s">
        <v>268</v>
      </c>
      <c r="E1649" s="14" t="s">
        <v>14</v>
      </c>
      <c r="F1649" s="14" t="s">
        <v>324</v>
      </c>
      <c r="G1649" s="179">
        <v>681648</v>
      </c>
      <c r="H1649" s="176" t="s">
        <v>824</v>
      </c>
      <c r="I1649" s="176" t="s">
        <v>4727</v>
      </c>
      <c r="J1649" s="176" t="s">
        <v>776</v>
      </c>
      <c r="K1649" s="176" t="s">
        <v>4728</v>
      </c>
      <c r="L1649" s="40" t="s">
        <v>45</v>
      </c>
      <c r="M1649" s="40" t="s">
        <v>341</v>
      </c>
      <c r="N1649" s="14" t="s">
        <v>4732</v>
      </c>
      <c r="O1649" s="14" t="s">
        <v>543</v>
      </c>
      <c r="P1649" s="14" t="s">
        <v>4739</v>
      </c>
      <c r="Q1649" s="14" t="s">
        <v>529</v>
      </c>
      <c r="R1649" s="17">
        <v>650</v>
      </c>
      <c r="S1649" s="172" t="s">
        <v>51</v>
      </c>
      <c r="T1649" s="17">
        <v>1665</v>
      </c>
      <c r="U1649" s="14" t="s">
        <v>51</v>
      </c>
      <c r="V1649" s="16">
        <f t="shared" si="190"/>
        <v>244328</v>
      </c>
      <c r="W1649" s="16">
        <f t="shared" si="191"/>
        <v>244335</v>
      </c>
      <c r="X1649" s="16">
        <f t="shared" si="192"/>
        <v>244330</v>
      </c>
      <c r="Y1649" s="15" t="s">
        <v>54</v>
      </c>
      <c r="Z1649" s="177">
        <v>244342</v>
      </c>
      <c r="AA1649" s="170"/>
      <c r="AB1649" s="170"/>
      <c r="AC1649" s="170"/>
      <c r="AD1649" s="170"/>
      <c r="AE1649" s="15" t="s">
        <v>54</v>
      </c>
      <c r="AF1649" s="177">
        <v>244343</v>
      </c>
      <c r="AG1649" s="177" t="str">
        <f t="shared" si="193"/>
        <v>Pass</v>
      </c>
      <c r="AH1649" s="177">
        <f t="shared" si="194"/>
        <v>244343</v>
      </c>
      <c r="AK1649" s="176"/>
      <c r="AL1649" s="176"/>
    </row>
    <row r="1650" spans="1:38" ht="36" customHeight="1" x14ac:dyDescent="0.2">
      <c r="A1650" s="14" t="s">
        <v>28</v>
      </c>
      <c r="B1650" s="212">
        <v>244328</v>
      </c>
      <c r="C1650" s="14" t="s">
        <v>547</v>
      </c>
      <c r="D1650" s="14" t="s">
        <v>268</v>
      </c>
      <c r="E1650" s="14" t="s">
        <v>14</v>
      </c>
      <c r="F1650" s="14" t="s">
        <v>324</v>
      </c>
      <c r="G1650" s="179">
        <v>681649</v>
      </c>
      <c r="H1650" s="176" t="s">
        <v>824</v>
      </c>
      <c r="I1650" s="176" t="s">
        <v>4727</v>
      </c>
      <c r="J1650" s="176" t="s">
        <v>776</v>
      </c>
      <c r="K1650" s="176" t="s">
        <v>4728</v>
      </c>
      <c r="L1650" s="40" t="s">
        <v>45</v>
      </c>
      <c r="M1650" s="40" t="s">
        <v>341</v>
      </c>
      <c r="N1650" s="14" t="s">
        <v>4733</v>
      </c>
      <c r="O1650" s="14" t="s">
        <v>548</v>
      </c>
      <c r="P1650" s="14" t="s">
        <v>518</v>
      </c>
      <c r="Q1650" s="14" t="s">
        <v>549</v>
      </c>
      <c r="R1650" s="17">
        <v>252</v>
      </c>
      <c r="S1650" s="172" t="s">
        <v>51</v>
      </c>
      <c r="T1650" s="17">
        <v>1665</v>
      </c>
      <c r="U1650" s="14" t="s">
        <v>51</v>
      </c>
      <c r="V1650" s="16">
        <f t="shared" si="190"/>
        <v>244328</v>
      </c>
      <c r="W1650" s="16">
        <f t="shared" si="191"/>
        <v>244335</v>
      </c>
      <c r="X1650" s="16">
        <f t="shared" si="192"/>
        <v>244330</v>
      </c>
      <c r="Y1650" s="15" t="s">
        <v>54</v>
      </c>
      <c r="Z1650" s="177">
        <v>244342</v>
      </c>
      <c r="AA1650" s="170"/>
      <c r="AB1650" s="170"/>
      <c r="AC1650" s="170"/>
      <c r="AD1650" s="170"/>
      <c r="AE1650" s="15" t="s">
        <v>54</v>
      </c>
      <c r="AF1650" s="177">
        <v>244343</v>
      </c>
      <c r="AG1650" s="177" t="str">
        <f t="shared" si="193"/>
        <v>Pass</v>
      </c>
      <c r="AH1650" s="177">
        <f t="shared" si="194"/>
        <v>244343</v>
      </c>
      <c r="AK1650" s="176"/>
      <c r="AL1650" s="176"/>
    </row>
    <row r="1651" spans="1:38" ht="36" customHeight="1" x14ac:dyDescent="0.2">
      <c r="A1651" s="14" t="s">
        <v>28</v>
      </c>
      <c r="B1651" s="212">
        <v>244328</v>
      </c>
      <c r="C1651" s="14" t="s">
        <v>547</v>
      </c>
      <c r="D1651" s="14" t="s">
        <v>268</v>
      </c>
      <c r="E1651" s="14" t="s">
        <v>14</v>
      </c>
      <c r="F1651" s="14" t="s">
        <v>324</v>
      </c>
      <c r="G1651" s="179">
        <v>681650</v>
      </c>
      <c r="H1651" s="176" t="s">
        <v>1369</v>
      </c>
      <c r="I1651" s="176" t="s">
        <v>514</v>
      </c>
      <c r="J1651" s="176" t="s">
        <v>337</v>
      </c>
      <c r="K1651" s="176" t="s">
        <v>4729</v>
      </c>
      <c r="L1651" s="40" t="s">
        <v>106</v>
      </c>
      <c r="M1651" s="40" t="s">
        <v>341</v>
      </c>
      <c r="N1651" s="14" t="s">
        <v>1201</v>
      </c>
      <c r="O1651" s="14" t="s">
        <v>548</v>
      </c>
      <c r="P1651" s="14" t="s">
        <v>518</v>
      </c>
      <c r="Q1651" s="14" t="s">
        <v>549</v>
      </c>
      <c r="R1651" s="17">
        <v>142</v>
      </c>
      <c r="S1651" s="172" t="s">
        <v>51</v>
      </c>
      <c r="T1651" s="17">
        <v>1315</v>
      </c>
      <c r="U1651" s="14" t="s">
        <v>51</v>
      </c>
      <c r="V1651" s="16">
        <f t="shared" si="190"/>
        <v>244328</v>
      </c>
      <c r="W1651" s="16">
        <f t="shared" si="191"/>
        <v>244335</v>
      </c>
      <c r="X1651" s="16">
        <f t="shared" si="192"/>
        <v>244330</v>
      </c>
      <c r="Y1651" s="15" t="s">
        <v>54</v>
      </c>
      <c r="Z1651" s="177">
        <v>244342</v>
      </c>
      <c r="AA1651" s="170"/>
      <c r="AB1651" s="170"/>
      <c r="AC1651" s="170"/>
      <c r="AD1651" s="170"/>
      <c r="AE1651" s="15" t="s">
        <v>54</v>
      </c>
      <c r="AF1651" s="177">
        <v>244343</v>
      </c>
      <c r="AG1651" s="177" t="str">
        <f t="shared" si="193"/>
        <v>Pass</v>
      </c>
      <c r="AH1651" s="177">
        <f t="shared" si="194"/>
        <v>244343</v>
      </c>
      <c r="AK1651" s="176"/>
      <c r="AL1651" s="176"/>
    </row>
    <row r="1652" spans="1:38" ht="36" customHeight="1" x14ac:dyDescent="0.2">
      <c r="A1652" s="14" t="s">
        <v>28</v>
      </c>
      <c r="B1652" s="212">
        <v>244328</v>
      </c>
      <c r="C1652" s="14" t="s">
        <v>547</v>
      </c>
      <c r="D1652" s="14" t="s">
        <v>268</v>
      </c>
      <c r="E1652" s="14" t="s">
        <v>14</v>
      </c>
      <c r="F1652" s="14" t="s">
        <v>324</v>
      </c>
      <c r="G1652" s="179">
        <v>681651</v>
      </c>
      <c r="H1652" s="176" t="s">
        <v>824</v>
      </c>
      <c r="I1652" s="176" t="s">
        <v>4727</v>
      </c>
      <c r="J1652" s="176" t="s">
        <v>776</v>
      </c>
      <c r="K1652" s="176" t="s">
        <v>4728</v>
      </c>
      <c r="L1652" s="40" t="s">
        <v>45</v>
      </c>
      <c r="M1652" s="40" t="s">
        <v>341</v>
      </c>
      <c r="N1652" s="14" t="s">
        <v>4734</v>
      </c>
      <c r="O1652" s="14" t="s">
        <v>552</v>
      </c>
      <c r="P1652" s="14" t="s">
        <v>4740</v>
      </c>
      <c r="Q1652" s="14" t="s">
        <v>553</v>
      </c>
      <c r="R1652" s="17">
        <v>500</v>
      </c>
      <c r="S1652" s="172" t="s">
        <v>51</v>
      </c>
      <c r="T1652" s="17">
        <v>1730</v>
      </c>
      <c r="U1652" s="14" t="s">
        <v>51</v>
      </c>
      <c r="V1652" s="16">
        <f t="shared" si="190"/>
        <v>244328</v>
      </c>
      <c r="W1652" s="16">
        <f t="shared" si="191"/>
        <v>244335</v>
      </c>
      <c r="X1652" s="16">
        <f t="shared" si="192"/>
        <v>244330</v>
      </c>
      <c r="Y1652" s="15" t="s">
        <v>54</v>
      </c>
      <c r="Z1652" s="177">
        <v>244342</v>
      </c>
      <c r="AA1652" s="170"/>
      <c r="AB1652" s="170"/>
      <c r="AC1652" s="170"/>
      <c r="AD1652" s="170"/>
      <c r="AE1652" s="15" t="s">
        <v>54</v>
      </c>
      <c r="AF1652" s="177">
        <v>244343</v>
      </c>
      <c r="AG1652" s="177" t="str">
        <f t="shared" si="193"/>
        <v>Pass</v>
      </c>
      <c r="AH1652" s="177">
        <f t="shared" si="194"/>
        <v>244343</v>
      </c>
      <c r="AK1652" s="176"/>
      <c r="AL1652" s="176"/>
    </row>
    <row r="1653" spans="1:38" ht="36" customHeight="1" x14ac:dyDescent="0.2">
      <c r="A1653" s="14" t="s">
        <v>28</v>
      </c>
      <c r="B1653" s="212">
        <v>244328</v>
      </c>
      <c r="C1653" s="14" t="s">
        <v>547</v>
      </c>
      <c r="D1653" s="14" t="s">
        <v>268</v>
      </c>
      <c r="E1653" s="14" t="s">
        <v>14</v>
      </c>
      <c r="F1653" s="14" t="s">
        <v>324</v>
      </c>
      <c r="G1653" s="179">
        <v>681652</v>
      </c>
      <c r="H1653" s="176" t="s">
        <v>3242</v>
      </c>
      <c r="I1653" s="176" t="s">
        <v>664</v>
      </c>
      <c r="J1653" s="176" t="s">
        <v>123</v>
      </c>
      <c r="K1653" s="176" t="s">
        <v>4721</v>
      </c>
      <c r="L1653" s="40" t="s">
        <v>46</v>
      </c>
      <c r="M1653" s="40" t="s">
        <v>341</v>
      </c>
      <c r="N1653" s="14" t="s">
        <v>4735</v>
      </c>
      <c r="O1653" s="14" t="s">
        <v>4738</v>
      </c>
      <c r="P1653" s="14" t="s">
        <v>4741</v>
      </c>
      <c r="Q1653" s="14" t="s">
        <v>4743</v>
      </c>
      <c r="R1653" s="17">
        <v>405</v>
      </c>
      <c r="S1653" s="172" t="s">
        <v>51</v>
      </c>
      <c r="T1653" s="17">
        <v>1985</v>
      </c>
      <c r="U1653" s="14" t="s">
        <v>51</v>
      </c>
      <c r="V1653" s="16">
        <f t="shared" si="190"/>
        <v>244328</v>
      </c>
      <c r="W1653" s="16">
        <f t="shared" si="191"/>
        <v>244335</v>
      </c>
      <c r="X1653" s="16">
        <f t="shared" si="192"/>
        <v>244330</v>
      </c>
      <c r="Y1653" s="15" t="s">
        <v>54</v>
      </c>
      <c r="Z1653" s="177">
        <v>244342</v>
      </c>
      <c r="AA1653" s="170"/>
      <c r="AB1653" s="170"/>
      <c r="AC1653" s="170"/>
      <c r="AD1653" s="170"/>
      <c r="AE1653" s="15" t="s">
        <v>54</v>
      </c>
      <c r="AF1653" s="177">
        <v>244343</v>
      </c>
      <c r="AG1653" s="177" t="str">
        <f t="shared" si="193"/>
        <v>Pass</v>
      </c>
      <c r="AH1653" s="177">
        <f t="shared" si="194"/>
        <v>244343</v>
      </c>
      <c r="AK1653" s="176"/>
      <c r="AL1653" s="176"/>
    </row>
    <row r="1654" spans="1:38" ht="36" customHeight="1" x14ac:dyDescent="0.2">
      <c r="A1654" s="14" t="s">
        <v>28</v>
      </c>
      <c r="B1654" s="212">
        <v>244328</v>
      </c>
      <c r="C1654" s="14" t="s">
        <v>547</v>
      </c>
      <c r="D1654" s="14" t="s">
        <v>268</v>
      </c>
      <c r="E1654" s="14" t="s">
        <v>14</v>
      </c>
      <c r="F1654" s="14" t="s">
        <v>324</v>
      </c>
      <c r="G1654" s="179">
        <v>681653</v>
      </c>
      <c r="H1654" s="176" t="s">
        <v>4413</v>
      </c>
      <c r="I1654" s="176" t="s">
        <v>960</v>
      </c>
      <c r="J1654" s="176" t="s">
        <v>127</v>
      </c>
      <c r="K1654" s="176" t="s">
        <v>4730</v>
      </c>
      <c r="L1654" s="40" t="s">
        <v>108</v>
      </c>
      <c r="M1654" s="40" t="s">
        <v>341</v>
      </c>
      <c r="N1654" s="14" t="s">
        <v>4736</v>
      </c>
      <c r="O1654" s="14" t="s">
        <v>527</v>
      </c>
      <c r="P1654" s="14" t="s">
        <v>1180</v>
      </c>
      <c r="Q1654" s="14" t="s">
        <v>542</v>
      </c>
      <c r="R1654" s="17">
        <v>374</v>
      </c>
      <c r="S1654" s="172" t="s">
        <v>51</v>
      </c>
      <c r="T1654" s="17">
        <v>1775</v>
      </c>
      <c r="U1654" s="14" t="s">
        <v>51</v>
      </c>
      <c r="V1654" s="16">
        <f t="shared" si="190"/>
        <v>244328</v>
      </c>
      <c r="W1654" s="16">
        <f t="shared" si="191"/>
        <v>244335</v>
      </c>
      <c r="X1654" s="16">
        <f t="shared" si="192"/>
        <v>244330</v>
      </c>
      <c r="Y1654" s="15" t="s">
        <v>54</v>
      </c>
      <c r="Z1654" s="177">
        <v>244342</v>
      </c>
      <c r="AA1654" s="170"/>
      <c r="AB1654" s="170"/>
      <c r="AC1654" s="170"/>
      <c r="AD1654" s="170"/>
      <c r="AE1654" s="15" t="s">
        <v>54</v>
      </c>
      <c r="AF1654" s="177">
        <v>244343</v>
      </c>
      <c r="AG1654" s="177" t="str">
        <f t="shared" si="193"/>
        <v>Pass</v>
      </c>
      <c r="AH1654" s="177">
        <f t="shared" si="194"/>
        <v>244343</v>
      </c>
      <c r="AK1654" s="176"/>
      <c r="AL1654" s="176"/>
    </row>
    <row r="1655" spans="1:38" ht="36" customHeight="1" x14ac:dyDescent="0.2">
      <c r="A1655" s="14" t="s">
        <v>28</v>
      </c>
      <c r="B1655" s="212">
        <v>244328</v>
      </c>
      <c r="C1655" s="14" t="s">
        <v>547</v>
      </c>
      <c r="D1655" s="14" t="s">
        <v>268</v>
      </c>
      <c r="E1655" s="14" t="s">
        <v>14</v>
      </c>
      <c r="F1655" s="14" t="s">
        <v>324</v>
      </c>
      <c r="G1655" s="179">
        <v>681654</v>
      </c>
      <c r="H1655" s="176" t="s">
        <v>4476</v>
      </c>
      <c r="I1655" s="176" t="s">
        <v>908</v>
      </c>
      <c r="J1655" s="176" t="s">
        <v>133</v>
      </c>
      <c r="K1655" s="176" t="s">
        <v>4731</v>
      </c>
      <c r="L1655" s="40" t="s">
        <v>46</v>
      </c>
      <c r="M1655" s="40" t="s">
        <v>341</v>
      </c>
      <c r="N1655" s="14" t="s">
        <v>4737</v>
      </c>
      <c r="O1655" s="14" t="s">
        <v>1970</v>
      </c>
      <c r="P1655" s="14" t="s">
        <v>4742</v>
      </c>
      <c r="Q1655" s="14" t="s">
        <v>1979</v>
      </c>
      <c r="R1655" s="17">
        <v>186</v>
      </c>
      <c r="S1655" s="172" t="s">
        <v>51</v>
      </c>
      <c r="T1655" s="17">
        <v>1635</v>
      </c>
      <c r="U1655" s="14" t="s">
        <v>51</v>
      </c>
      <c r="V1655" s="16">
        <f t="shared" si="190"/>
        <v>244328</v>
      </c>
      <c r="W1655" s="16">
        <f t="shared" si="191"/>
        <v>244335</v>
      </c>
      <c r="X1655" s="16">
        <f t="shared" si="192"/>
        <v>244330</v>
      </c>
      <c r="Y1655" s="15" t="s">
        <v>54</v>
      </c>
      <c r="Z1655" s="177">
        <v>244342</v>
      </c>
      <c r="AA1655" s="170"/>
      <c r="AB1655" s="170"/>
      <c r="AC1655" s="170"/>
      <c r="AD1655" s="170"/>
      <c r="AE1655" s="15" t="s">
        <v>54</v>
      </c>
      <c r="AF1655" s="177">
        <v>244343</v>
      </c>
      <c r="AG1655" s="177" t="str">
        <f t="shared" si="193"/>
        <v>Pass</v>
      </c>
      <c r="AH1655" s="177">
        <f t="shared" si="194"/>
        <v>244343</v>
      </c>
      <c r="AK1655" s="176"/>
      <c r="AL1655" s="176"/>
    </row>
    <row r="1656" spans="1:38" ht="36" customHeight="1" x14ac:dyDescent="0.2">
      <c r="A1656" s="14" t="s">
        <v>28</v>
      </c>
      <c r="B1656" s="212">
        <v>244330</v>
      </c>
      <c r="C1656" s="14" t="s">
        <v>547</v>
      </c>
      <c r="D1656" s="14" t="s">
        <v>268</v>
      </c>
      <c r="E1656" s="14" t="s">
        <v>14</v>
      </c>
      <c r="F1656" s="14" t="s">
        <v>324</v>
      </c>
      <c r="G1656" s="179">
        <v>681655</v>
      </c>
      <c r="H1656" s="176" t="s">
        <v>4476</v>
      </c>
      <c r="I1656" s="176" t="s">
        <v>908</v>
      </c>
      <c r="J1656" s="176" t="s">
        <v>133</v>
      </c>
      <c r="K1656" s="176" t="s">
        <v>4731</v>
      </c>
      <c r="L1656" s="40" t="s">
        <v>46</v>
      </c>
      <c r="M1656" s="40" t="s">
        <v>341</v>
      </c>
      <c r="N1656" s="14" t="s">
        <v>836</v>
      </c>
      <c r="O1656" s="14" t="s">
        <v>548</v>
      </c>
      <c r="P1656" s="14" t="s">
        <v>518</v>
      </c>
      <c r="Q1656" s="14" t="s">
        <v>549</v>
      </c>
      <c r="R1656" s="17">
        <v>130</v>
      </c>
      <c r="S1656" s="172" t="s">
        <v>51</v>
      </c>
      <c r="T1656" s="17">
        <v>1635</v>
      </c>
      <c r="U1656" s="14" t="s">
        <v>51</v>
      </c>
      <c r="V1656" s="16">
        <f t="shared" si="190"/>
        <v>244330</v>
      </c>
      <c r="W1656" s="16">
        <f t="shared" si="191"/>
        <v>244337</v>
      </c>
      <c r="X1656" s="16">
        <f t="shared" si="192"/>
        <v>244332</v>
      </c>
      <c r="Y1656" s="15" t="s">
        <v>54</v>
      </c>
      <c r="Z1656" s="177">
        <v>244342</v>
      </c>
      <c r="AA1656" s="170"/>
      <c r="AB1656" s="170"/>
      <c r="AC1656" s="170"/>
      <c r="AD1656" s="170"/>
      <c r="AE1656" s="15" t="s">
        <v>54</v>
      </c>
      <c r="AF1656" s="177">
        <v>244343</v>
      </c>
      <c r="AG1656" s="177" t="str">
        <f t="shared" si="193"/>
        <v>Pass</v>
      </c>
      <c r="AH1656" s="177">
        <f t="shared" si="194"/>
        <v>244343</v>
      </c>
      <c r="AK1656" s="176"/>
      <c r="AL1656" s="176"/>
    </row>
    <row r="1657" spans="1:38" ht="36" customHeight="1" x14ac:dyDescent="0.2">
      <c r="A1657" s="14" t="s">
        <v>28</v>
      </c>
      <c r="B1657" s="212">
        <v>244330</v>
      </c>
      <c r="C1657" s="14" t="s">
        <v>547</v>
      </c>
      <c r="D1657" s="14" t="s">
        <v>268</v>
      </c>
      <c r="E1657" s="14" t="s">
        <v>14</v>
      </c>
      <c r="F1657" s="14" t="s">
        <v>324</v>
      </c>
      <c r="G1657" s="179">
        <v>681656</v>
      </c>
      <c r="H1657" s="176" t="s">
        <v>4744</v>
      </c>
      <c r="I1657" s="176" t="s">
        <v>802</v>
      </c>
      <c r="J1657" s="176" t="s">
        <v>143</v>
      </c>
      <c r="K1657" s="176" t="s">
        <v>4745</v>
      </c>
      <c r="L1657" s="40" t="s">
        <v>105</v>
      </c>
      <c r="M1657" s="40" t="s">
        <v>341</v>
      </c>
      <c r="N1657" s="14" t="s">
        <v>3352</v>
      </c>
      <c r="O1657" s="14" t="s">
        <v>548</v>
      </c>
      <c r="P1657" s="14" t="s">
        <v>518</v>
      </c>
      <c r="Q1657" s="14" t="s">
        <v>549</v>
      </c>
      <c r="R1657" s="17">
        <v>281</v>
      </c>
      <c r="S1657" s="172" t="s">
        <v>51</v>
      </c>
      <c r="T1657" s="17">
        <v>2365</v>
      </c>
      <c r="U1657" s="14" t="s">
        <v>51</v>
      </c>
      <c r="V1657" s="16">
        <f t="shared" si="190"/>
        <v>244330</v>
      </c>
      <c r="W1657" s="16">
        <f t="shared" si="191"/>
        <v>244337</v>
      </c>
      <c r="X1657" s="16">
        <f t="shared" si="192"/>
        <v>244332</v>
      </c>
      <c r="Y1657" s="15" t="s">
        <v>54</v>
      </c>
      <c r="Z1657" s="177">
        <v>244342</v>
      </c>
      <c r="AA1657" s="170"/>
      <c r="AB1657" s="170"/>
      <c r="AC1657" s="170"/>
      <c r="AD1657" s="170"/>
      <c r="AE1657" s="15" t="s">
        <v>54</v>
      </c>
      <c r="AF1657" s="177">
        <v>244343</v>
      </c>
      <c r="AG1657" s="177" t="str">
        <f t="shared" si="193"/>
        <v>Pass</v>
      </c>
      <c r="AH1657" s="177">
        <f t="shared" si="194"/>
        <v>244343</v>
      </c>
      <c r="AK1657" s="176"/>
      <c r="AL1657" s="176"/>
    </row>
    <row r="1658" spans="1:38" ht="36" customHeight="1" x14ac:dyDescent="0.2">
      <c r="A1658" s="14" t="s">
        <v>28</v>
      </c>
      <c r="B1658" s="212">
        <v>244330</v>
      </c>
      <c r="C1658" s="14" t="s">
        <v>547</v>
      </c>
      <c r="D1658" s="14" t="s">
        <v>268</v>
      </c>
      <c r="E1658" s="14" t="s">
        <v>14</v>
      </c>
      <c r="F1658" s="14" t="s">
        <v>324</v>
      </c>
      <c r="G1658" s="179">
        <v>681657</v>
      </c>
      <c r="H1658" s="176" t="s">
        <v>1233</v>
      </c>
      <c r="I1658" s="176" t="s">
        <v>802</v>
      </c>
      <c r="J1658" s="176" t="s">
        <v>128</v>
      </c>
      <c r="K1658" s="176" t="s">
        <v>4746</v>
      </c>
      <c r="L1658" s="40" t="s">
        <v>105</v>
      </c>
      <c r="M1658" s="40" t="s">
        <v>341</v>
      </c>
      <c r="N1658" s="14" t="s">
        <v>4749</v>
      </c>
      <c r="O1658" s="14" t="s">
        <v>552</v>
      </c>
      <c r="P1658" s="14" t="s">
        <v>846</v>
      </c>
      <c r="Q1658" s="14" t="s">
        <v>553</v>
      </c>
      <c r="R1658" s="17">
        <v>275</v>
      </c>
      <c r="S1658" s="172" t="s">
        <v>51</v>
      </c>
      <c r="T1658" s="17">
        <v>2065</v>
      </c>
      <c r="U1658" s="14" t="s">
        <v>51</v>
      </c>
      <c r="V1658" s="16">
        <f t="shared" si="190"/>
        <v>244330</v>
      </c>
      <c r="W1658" s="16">
        <f t="shared" si="191"/>
        <v>244337</v>
      </c>
      <c r="X1658" s="16">
        <f t="shared" si="192"/>
        <v>244332</v>
      </c>
      <c r="Y1658" s="15" t="s">
        <v>54</v>
      </c>
      <c r="Z1658" s="177">
        <v>244342</v>
      </c>
      <c r="AA1658" s="170"/>
      <c r="AB1658" s="170"/>
      <c r="AC1658" s="170"/>
      <c r="AD1658" s="170"/>
      <c r="AE1658" s="15" t="s">
        <v>54</v>
      </c>
      <c r="AF1658" s="177">
        <v>244343</v>
      </c>
      <c r="AG1658" s="177" t="str">
        <f t="shared" si="193"/>
        <v>Pass</v>
      </c>
      <c r="AH1658" s="177">
        <f t="shared" si="194"/>
        <v>244343</v>
      </c>
      <c r="AK1658" s="176"/>
      <c r="AL1658" s="176"/>
    </row>
    <row r="1659" spans="1:38" ht="36" customHeight="1" x14ac:dyDescent="0.2">
      <c r="A1659" s="14" t="s">
        <v>28</v>
      </c>
      <c r="B1659" s="212">
        <v>244330</v>
      </c>
      <c r="C1659" s="14" t="s">
        <v>547</v>
      </c>
      <c r="D1659" s="14" t="s">
        <v>268</v>
      </c>
      <c r="E1659" s="14" t="s">
        <v>14</v>
      </c>
      <c r="F1659" s="14" t="s">
        <v>324</v>
      </c>
      <c r="G1659" s="179">
        <v>681658</v>
      </c>
      <c r="H1659" s="176" t="s">
        <v>1054</v>
      </c>
      <c r="I1659" s="176" t="s">
        <v>551</v>
      </c>
      <c r="J1659" s="176" t="s">
        <v>832</v>
      </c>
      <c r="K1659" s="176" t="s">
        <v>4747</v>
      </c>
      <c r="L1659" s="40" t="s">
        <v>108</v>
      </c>
      <c r="M1659" s="40" t="s">
        <v>341</v>
      </c>
      <c r="N1659" s="14" t="s">
        <v>4750</v>
      </c>
      <c r="O1659" s="14" t="s">
        <v>552</v>
      </c>
      <c r="P1659" s="14" t="s">
        <v>793</v>
      </c>
      <c r="Q1659" s="14" t="s">
        <v>553</v>
      </c>
      <c r="R1659" s="17">
        <v>700</v>
      </c>
      <c r="S1659" s="172" t="s">
        <v>51</v>
      </c>
      <c r="T1659" s="17">
        <v>2985</v>
      </c>
      <c r="U1659" s="14" t="s">
        <v>51</v>
      </c>
      <c r="V1659" s="16">
        <f t="shared" si="190"/>
        <v>244330</v>
      </c>
      <c r="W1659" s="16">
        <f t="shared" si="191"/>
        <v>244337</v>
      </c>
      <c r="X1659" s="16">
        <f t="shared" si="192"/>
        <v>244332</v>
      </c>
      <c r="Y1659" s="15" t="s">
        <v>54</v>
      </c>
      <c r="Z1659" s="177">
        <v>244342</v>
      </c>
      <c r="AA1659" s="170"/>
      <c r="AB1659" s="170"/>
      <c r="AC1659" s="170"/>
      <c r="AD1659" s="170"/>
      <c r="AE1659" s="15" t="s">
        <v>54</v>
      </c>
      <c r="AF1659" s="177">
        <v>244343</v>
      </c>
      <c r="AG1659" s="177" t="str">
        <f t="shared" si="193"/>
        <v>Pass</v>
      </c>
      <c r="AH1659" s="177">
        <f t="shared" si="194"/>
        <v>244343</v>
      </c>
      <c r="AK1659" s="176"/>
      <c r="AL1659" s="176"/>
    </row>
    <row r="1660" spans="1:38" ht="36" customHeight="1" x14ac:dyDescent="0.2">
      <c r="A1660" s="14" t="s">
        <v>28</v>
      </c>
      <c r="B1660" s="212">
        <v>244330</v>
      </c>
      <c r="C1660" s="14" t="s">
        <v>547</v>
      </c>
      <c r="D1660" s="14" t="s">
        <v>268</v>
      </c>
      <c r="E1660" s="14" t="s">
        <v>14</v>
      </c>
      <c r="F1660" s="14" t="s">
        <v>324</v>
      </c>
      <c r="G1660" s="179">
        <v>681659</v>
      </c>
      <c r="H1660" s="176" t="s">
        <v>1369</v>
      </c>
      <c r="I1660" s="176" t="s">
        <v>514</v>
      </c>
      <c r="J1660" s="176" t="s">
        <v>337</v>
      </c>
      <c r="K1660" s="176" t="s">
        <v>4729</v>
      </c>
      <c r="L1660" s="40" t="s">
        <v>106</v>
      </c>
      <c r="M1660" s="40" t="s">
        <v>341</v>
      </c>
      <c r="N1660" s="14" t="s">
        <v>1801</v>
      </c>
      <c r="O1660" s="14" t="s">
        <v>548</v>
      </c>
      <c r="P1660" s="14" t="s">
        <v>518</v>
      </c>
      <c r="Q1660" s="14" t="s">
        <v>549</v>
      </c>
      <c r="R1660" s="17">
        <v>126</v>
      </c>
      <c r="S1660" s="172" t="s">
        <v>51</v>
      </c>
      <c r="T1660" s="17">
        <v>1520</v>
      </c>
      <c r="U1660" s="14" t="s">
        <v>51</v>
      </c>
      <c r="V1660" s="16">
        <f t="shared" si="190"/>
        <v>244330</v>
      </c>
      <c r="W1660" s="16">
        <f t="shared" si="191"/>
        <v>244337</v>
      </c>
      <c r="X1660" s="16">
        <f t="shared" si="192"/>
        <v>244332</v>
      </c>
      <c r="Y1660" s="15" t="s">
        <v>54</v>
      </c>
      <c r="Z1660" s="177">
        <v>244342</v>
      </c>
      <c r="AA1660" s="170"/>
      <c r="AB1660" s="170"/>
      <c r="AC1660" s="170"/>
      <c r="AD1660" s="170"/>
      <c r="AE1660" s="15" t="s">
        <v>54</v>
      </c>
      <c r="AF1660" s="177">
        <v>244343</v>
      </c>
      <c r="AG1660" s="177" t="str">
        <f t="shared" si="193"/>
        <v>Pass</v>
      </c>
      <c r="AH1660" s="177">
        <f t="shared" si="194"/>
        <v>244343</v>
      </c>
      <c r="AK1660" s="176"/>
      <c r="AL1660" s="176"/>
    </row>
    <row r="1661" spans="1:38" ht="36" customHeight="1" x14ac:dyDescent="0.2">
      <c r="A1661" s="14" t="s">
        <v>28</v>
      </c>
      <c r="B1661" s="212">
        <v>244330</v>
      </c>
      <c r="C1661" s="14" t="s">
        <v>547</v>
      </c>
      <c r="D1661" s="14" t="s">
        <v>268</v>
      </c>
      <c r="E1661" s="14" t="s">
        <v>14</v>
      </c>
      <c r="F1661" s="14" t="s">
        <v>324</v>
      </c>
      <c r="G1661" s="179">
        <v>681660</v>
      </c>
      <c r="H1661" s="176" t="s">
        <v>4413</v>
      </c>
      <c r="I1661" s="176" t="s">
        <v>960</v>
      </c>
      <c r="J1661" s="176" t="s">
        <v>127</v>
      </c>
      <c r="K1661" s="176" t="s">
        <v>4730</v>
      </c>
      <c r="L1661" s="40" t="s">
        <v>108</v>
      </c>
      <c r="M1661" s="40" t="s">
        <v>341</v>
      </c>
      <c r="N1661" s="14" t="s">
        <v>4751</v>
      </c>
      <c r="O1661" s="14" t="s">
        <v>552</v>
      </c>
      <c r="P1661" s="14" t="s">
        <v>2037</v>
      </c>
      <c r="Q1661" s="14" t="s">
        <v>553</v>
      </c>
      <c r="R1661" s="17">
        <v>1725</v>
      </c>
      <c r="S1661" s="172" t="s">
        <v>51</v>
      </c>
      <c r="T1661" s="17">
        <v>2475</v>
      </c>
      <c r="U1661" s="14" t="s">
        <v>51</v>
      </c>
      <c r="V1661" s="16">
        <f t="shared" si="190"/>
        <v>244330</v>
      </c>
      <c r="W1661" s="16">
        <f t="shared" si="191"/>
        <v>244337</v>
      </c>
      <c r="X1661" s="16">
        <f t="shared" si="192"/>
        <v>244332</v>
      </c>
      <c r="Y1661" s="15" t="s">
        <v>54</v>
      </c>
      <c r="Z1661" s="177">
        <v>244342</v>
      </c>
      <c r="AA1661" s="170"/>
      <c r="AB1661" s="170"/>
      <c r="AC1661" s="170"/>
      <c r="AD1661" s="170"/>
      <c r="AE1661" s="15" t="s">
        <v>54</v>
      </c>
      <c r="AF1661" s="177">
        <v>244343</v>
      </c>
      <c r="AG1661" s="177" t="str">
        <f t="shared" si="193"/>
        <v>Pass</v>
      </c>
      <c r="AH1661" s="177">
        <f t="shared" si="194"/>
        <v>244343</v>
      </c>
      <c r="AK1661" s="176"/>
      <c r="AL1661" s="176"/>
    </row>
    <row r="1662" spans="1:38" ht="36" customHeight="1" x14ac:dyDescent="0.2">
      <c r="A1662" s="14" t="s">
        <v>28</v>
      </c>
      <c r="B1662" s="212">
        <v>244330</v>
      </c>
      <c r="C1662" s="14" t="s">
        <v>547</v>
      </c>
      <c r="D1662" s="14" t="s">
        <v>268</v>
      </c>
      <c r="E1662" s="14" t="s">
        <v>14</v>
      </c>
      <c r="F1662" s="14" t="s">
        <v>324</v>
      </c>
      <c r="G1662" s="179">
        <v>681661</v>
      </c>
      <c r="H1662" s="176" t="s">
        <v>1233</v>
      </c>
      <c r="I1662" s="176" t="s">
        <v>802</v>
      </c>
      <c r="J1662" s="176" t="s">
        <v>143</v>
      </c>
      <c r="K1662" s="176" t="s">
        <v>4746</v>
      </c>
      <c r="L1662" s="40" t="s">
        <v>105</v>
      </c>
      <c r="M1662" s="40" t="s">
        <v>341</v>
      </c>
      <c r="N1662" s="14" t="s">
        <v>1964</v>
      </c>
      <c r="O1662" s="14" t="s">
        <v>756</v>
      </c>
      <c r="P1662" s="14" t="s">
        <v>1248</v>
      </c>
      <c r="Q1662" s="14" t="s">
        <v>758</v>
      </c>
      <c r="R1662" s="17">
        <v>1000</v>
      </c>
      <c r="S1662" s="172" t="s">
        <v>51</v>
      </c>
      <c r="T1662" s="17">
        <v>1810</v>
      </c>
      <c r="U1662" s="14" t="s">
        <v>51</v>
      </c>
      <c r="V1662" s="16">
        <f t="shared" si="190"/>
        <v>244330</v>
      </c>
      <c r="W1662" s="16">
        <f t="shared" si="191"/>
        <v>244337</v>
      </c>
      <c r="X1662" s="16">
        <f t="shared" si="192"/>
        <v>244332</v>
      </c>
      <c r="Y1662" s="15" t="s">
        <v>54</v>
      </c>
      <c r="Z1662" s="177">
        <v>244342</v>
      </c>
      <c r="AA1662" s="170"/>
      <c r="AB1662" s="170"/>
      <c r="AC1662" s="170"/>
      <c r="AD1662" s="170"/>
      <c r="AE1662" s="15" t="s">
        <v>54</v>
      </c>
      <c r="AF1662" s="177">
        <v>244343</v>
      </c>
      <c r="AG1662" s="177" t="str">
        <f t="shared" si="193"/>
        <v>Pass</v>
      </c>
      <c r="AH1662" s="177">
        <f t="shared" si="194"/>
        <v>244343</v>
      </c>
      <c r="AK1662" s="176"/>
      <c r="AL1662" s="176"/>
    </row>
    <row r="1663" spans="1:38" ht="36" customHeight="1" x14ac:dyDescent="0.2">
      <c r="A1663" s="14" t="s">
        <v>28</v>
      </c>
      <c r="B1663" s="212">
        <v>244330</v>
      </c>
      <c r="C1663" s="14" t="s">
        <v>547</v>
      </c>
      <c r="D1663" s="14" t="s">
        <v>268</v>
      </c>
      <c r="E1663" s="14" t="s">
        <v>14</v>
      </c>
      <c r="F1663" s="14" t="s">
        <v>324</v>
      </c>
      <c r="G1663" s="179">
        <v>681662</v>
      </c>
      <c r="H1663" s="176" t="s">
        <v>3880</v>
      </c>
      <c r="I1663" s="176" t="s">
        <v>802</v>
      </c>
      <c r="J1663" s="176" t="s">
        <v>128</v>
      </c>
      <c r="K1663" s="176" t="s">
        <v>4748</v>
      </c>
      <c r="L1663" s="40" t="s">
        <v>46</v>
      </c>
      <c r="M1663" s="40" t="s">
        <v>341</v>
      </c>
      <c r="N1663" s="14" t="s">
        <v>4752</v>
      </c>
      <c r="O1663" s="14" t="s">
        <v>693</v>
      </c>
      <c r="P1663" s="14" t="s">
        <v>4753</v>
      </c>
      <c r="Q1663" s="14" t="s">
        <v>696</v>
      </c>
      <c r="R1663" s="17">
        <v>2300</v>
      </c>
      <c r="S1663" s="172" t="s">
        <v>51</v>
      </c>
      <c r="T1663" s="17">
        <v>2470</v>
      </c>
      <c r="U1663" s="14" t="s">
        <v>51</v>
      </c>
      <c r="V1663" s="16">
        <f t="shared" si="190"/>
        <v>244330</v>
      </c>
      <c r="W1663" s="16">
        <f t="shared" si="191"/>
        <v>244337</v>
      </c>
      <c r="X1663" s="16">
        <f t="shared" si="192"/>
        <v>244332</v>
      </c>
      <c r="Y1663" s="15" t="s">
        <v>54</v>
      </c>
      <c r="Z1663" s="177">
        <v>244342</v>
      </c>
      <c r="AA1663" s="170"/>
      <c r="AB1663" s="170"/>
      <c r="AC1663" s="170"/>
      <c r="AD1663" s="170"/>
      <c r="AE1663" s="15" t="s">
        <v>54</v>
      </c>
      <c r="AF1663" s="177">
        <v>244343</v>
      </c>
      <c r="AG1663" s="177" t="str">
        <f t="shared" si="193"/>
        <v>Pass</v>
      </c>
      <c r="AH1663" s="177">
        <f t="shared" si="194"/>
        <v>244343</v>
      </c>
      <c r="AK1663" s="176"/>
      <c r="AL1663" s="176"/>
    </row>
    <row r="1664" spans="1:38" ht="36" customHeight="1" x14ac:dyDescent="0.2">
      <c r="A1664" s="14" t="s">
        <v>28</v>
      </c>
      <c r="B1664" s="212">
        <v>244330</v>
      </c>
      <c r="C1664" s="14" t="s">
        <v>547</v>
      </c>
      <c r="D1664" s="14" t="s">
        <v>268</v>
      </c>
      <c r="E1664" s="14" t="s">
        <v>14</v>
      </c>
      <c r="F1664" s="14" t="s">
        <v>324</v>
      </c>
      <c r="G1664" s="179">
        <v>681663</v>
      </c>
      <c r="H1664" s="176" t="s">
        <v>4008</v>
      </c>
      <c r="I1664" s="176" t="s">
        <v>802</v>
      </c>
      <c r="J1664" s="176" t="s">
        <v>143</v>
      </c>
      <c r="K1664" s="176" t="s">
        <v>4754</v>
      </c>
      <c r="L1664" s="40" t="s">
        <v>105</v>
      </c>
      <c r="M1664" s="40" t="s">
        <v>341</v>
      </c>
      <c r="N1664" s="14" t="s">
        <v>4756</v>
      </c>
      <c r="O1664" s="14" t="s">
        <v>693</v>
      </c>
      <c r="P1664" s="14" t="s">
        <v>4757</v>
      </c>
      <c r="Q1664" s="14" t="s">
        <v>696</v>
      </c>
      <c r="R1664" s="17">
        <v>1075</v>
      </c>
      <c r="S1664" s="172" t="s">
        <v>51</v>
      </c>
      <c r="T1664" s="17">
        <v>2300</v>
      </c>
      <c r="U1664" s="14" t="s">
        <v>51</v>
      </c>
      <c r="V1664" s="16">
        <f t="shared" si="190"/>
        <v>244330</v>
      </c>
      <c r="W1664" s="16">
        <f t="shared" si="191"/>
        <v>244337</v>
      </c>
      <c r="X1664" s="16">
        <f t="shared" si="192"/>
        <v>244332</v>
      </c>
      <c r="Y1664" s="15" t="s">
        <v>54</v>
      </c>
      <c r="Z1664" s="177">
        <v>244342</v>
      </c>
      <c r="AA1664" s="170"/>
      <c r="AB1664" s="170"/>
      <c r="AC1664" s="170"/>
      <c r="AD1664" s="170"/>
      <c r="AE1664" s="15" t="s">
        <v>54</v>
      </c>
      <c r="AF1664" s="177">
        <v>244343</v>
      </c>
      <c r="AG1664" s="177" t="str">
        <f t="shared" si="193"/>
        <v>Pass</v>
      </c>
      <c r="AH1664" s="177">
        <f t="shared" si="194"/>
        <v>244343</v>
      </c>
      <c r="AK1664" s="176"/>
      <c r="AL1664" s="176"/>
    </row>
    <row r="1665" spans="1:38" ht="36" customHeight="1" x14ac:dyDescent="0.2">
      <c r="A1665" s="14" t="s">
        <v>28</v>
      </c>
      <c r="B1665" s="212">
        <v>244330</v>
      </c>
      <c r="C1665" s="14" t="s">
        <v>547</v>
      </c>
      <c r="D1665" s="14" t="s">
        <v>268</v>
      </c>
      <c r="E1665" s="14" t="s">
        <v>14</v>
      </c>
      <c r="F1665" s="14" t="s">
        <v>324</v>
      </c>
      <c r="G1665" s="179">
        <v>681664</v>
      </c>
      <c r="H1665" s="176">
        <v>968</v>
      </c>
      <c r="I1665" s="176" t="s">
        <v>802</v>
      </c>
      <c r="J1665" s="176" t="s">
        <v>132</v>
      </c>
      <c r="K1665" s="176" t="s">
        <v>4755</v>
      </c>
      <c r="L1665" s="40" t="s">
        <v>105</v>
      </c>
      <c r="M1665" s="40" t="s">
        <v>341</v>
      </c>
      <c r="N1665" s="14" t="s">
        <v>4045</v>
      </c>
      <c r="O1665" s="14" t="s">
        <v>552</v>
      </c>
      <c r="P1665" s="14" t="s">
        <v>793</v>
      </c>
      <c r="Q1665" s="14" t="s">
        <v>553</v>
      </c>
      <c r="R1665" s="17">
        <v>500</v>
      </c>
      <c r="S1665" s="172" t="s">
        <v>51</v>
      </c>
      <c r="T1665" s="17">
        <v>1595</v>
      </c>
      <c r="U1665" s="14" t="s">
        <v>51</v>
      </c>
      <c r="V1665" s="16">
        <f t="shared" ref="V1665:V1728" si="195">B1665</f>
        <v>244330</v>
      </c>
      <c r="W1665" s="16">
        <f t="shared" ref="W1665:W1728" si="196">B1665+7</f>
        <v>244337</v>
      </c>
      <c r="X1665" s="16">
        <f t="shared" ref="X1665:X1728" si="197">V1665+2</f>
        <v>244332</v>
      </c>
      <c r="Y1665" s="15" t="s">
        <v>54</v>
      </c>
      <c r="Z1665" s="177">
        <v>244342</v>
      </c>
      <c r="AA1665" s="170"/>
      <c r="AB1665" s="170"/>
      <c r="AC1665" s="170"/>
      <c r="AD1665" s="170"/>
      <c r="AE1665" s="15" t="s">
        <v>54</v>
      </c>
      <c r="AF1665" s="177">
        <v>244343</v>
      </c>
      <c r="AG1665" s="177" t="str">
        <f t="shared" ref="AG1665:AG1728" si="198">AE1665</f>
        <v>Pass</v>
      </c>
      <c r="AH1665" s="177">
        <f t="shared" ref="AH1665:AH1728" si="199">AF1665</f>
        <v>244343</v>
      </c>
      <c r="AK1665" s="176"/>
      <c r="AL1665" s="176"/>
    </row>
    <row r="1666" spans="1:38" ht="36" customHeight="1" x14ac:dyDescent="0.2">
      <c r="A1666" s="14" t="s">
        <v>28</v>
      </c>
      <c r="B1666" s="212">
        <v>244331</v>
      </c>
      <c r="C1666" s="14" t="s">
        <v>547</v>
      </c>
      <c r="D1666" s="14" t="s">
        <v>268</v>
      </c>
      <c r="E1666" s="14" t="s">
        <v>14</v>
      </c>
      <c r="F1666" s="14" t="s">
        <v>324</v>
      </c>
      <c r="G1666" s="179">
        <v>681665</v>
      </c>
      <c r="H1666" s="176" t="s">
        <v>4758</v>
      </c>
      <c r="I1666" s="176" t="s">
        <v>802</v>
      </c>
      <c r="J1666" s="176" t="s">
        <v>143</v>
      </c>
      <c r="K1666" s="176" t="s">
        <v>4761</v>
      </c>
      <c r="L1666" s="40" t="s">
        <v>105</v>
      </c>
      <c r="M1666" s="40" t="s">
        <v>341</v>
      </c>
      <c r="N1666" s="14" t="s">
        <v>4767</v>
      </c>
      <c r="O1666" s="14" t="s">
        <v>557</v>
      </c>
      <c r="P1666" s="14" t="s">
        <v>4773</v>
      </c>
      <c r="Q1666" s="14" t="s">
        <v>558</v>
      </c>
      <c r="R1666" s="17">
        <v>275</v>
      </c>
      <c r="S1666" s="172" t="s">
        <v>51</v>
      </c>
      <c r="T1666" s="17">
        <v>545</v>
      </c>
      <c r="U1666" s="14" t="s">
        <v>51</v>
      </c>
      <c r="V1666" s="16">
        <f t="shared" si="195"/>
        <v>244331</v>
      </c>
      <c r="W1666" s="16">
        <f t="shared" si="196"/>
        <v>244338</v>
      </c>
      <c r="X1666" s="16">
        <f t="shared" si="197"/>
        <v>244333</v>
      </c>
      <c r="Y1666" s="15" t="s">
        <v>54</v>
      </c>
      <c r="Z1666" s="177">
        <v>244342</v>
      </c>
      <c r="AA1666" s="170"/>
      <c r="AB1666" s="170"/>
      <c r="AC1666" s="170"/>
      <c r="AD1666" s="170"/>
      <c r="AE1666" s="15" t="s">
        <v>54</v>
      </c>
      <c r="AF1666" s="177">
        <v>244343</v>
      </c>
      <c r="AG1666" s="177" t="str">
        <f t="shared" si="198"/>
        <v>Pass</v>
      </c>
      <c r="AH1666" s="177">
        <f t="shared" si="199"/>
        <v>244343</v>
      </c>
      <c r="AK1666" s="176"/>
      <c r="AL1666" s="176"/>
    </row>
    <row r="1667" spans="1:38" ht="36" customHeight="1" x14ac:dyDescent="0.2">
      <c r="A1667" s="14" t="s">
        <v>28</v>
      </c>
      <c r="B1667" s="212">
        <v>244331</v>
      </c>
      <c r="C1667" s="14" t="s">
        <v>547</v>
      </c>
      <c r="D1667" s="14" t="s">
        <v>268</v>
      </c>
      <c r="E1667" s="14" t="s">
        <v>14</v>
      </c>
      <c r="F1667" s="14" t="s">
        <v>324</v>
      </c>
      <c r="G1667" s="179">
        <v>681666</v>
      </c>
      <c r="H1667" s="176" t="s">
        <v>4205</v>
      </c>
      <c r="I1667" s="176" t="s">
        <v>802</v>
      </c>
      <c r="J1667" s="176" t="s">
        <v>128</v>
      </c>
      <c r="K1667" s="176" t="s">
        <v>4762</v>
      </c>
      <c r="L1667" s="40" t="s">
        <v>46</v>
      </c>
      <c r="M1667" s="40" t="s">
        <v>341</v>
      </c>
      <c r="N1667" s="14" t="s">
        <v>4768</v>
      </c>
      <c r="O1667" s="14" t="s">
        <v>4772</v>
      </c>
      <c r="P1667" s="14" t="s">
        <v>4774</v>
      </c>
      <c r="Q1667" s="14" t="s">
        <v>4775</v>
      </c>
      <c r="R1667" s="17">
        <v>1578</v>
      </c>
      <c r="S1667" s="172" t="s">
        <v>51</v>
      </c>
      <c r="T1667" s="17">
        <v>2495</v>
      </c>
      <c r="U1667" s="14" t="s">
        <v>51</v>
      </c>
      <c r="V1667" s="16">
        <f t="shared" si="195"/>
        <v>244331</v>
      </c>
      <c r="W1667" s="16">
        <f t="shared" si="196"/>
        <v>244338</v>
      </c>
      <c r="X1667" s="16">
        <f t="shared" si="197"/>
        <v>244333</v>
      </c>
      <c r="Y1667" s="15" t="s">
        <v>54</v>
      </c>
      <c r="Z1667" s="177">
        <v>244342</v>
      </c>
      <c r="AA1667" s="170"/>
      <c r="AB1667" s="170"/>
      <c r="AC1667" s="170"/>
      <c r="AD1667" s="170"/>
      <c r="AE1667" s="15" t="s">
        <v>54</v>
      </c>
      <c r="AF1667" s="177">
        <v>244343</v>
      </c>
      <c r="AG1667" s="177" t="str">
        <f t="shared" si="198"/>
        <v>Pass</v>
      </c>
      <c r="AH1667" s="177">
        <f t="shared" si="199"/>
        <v>244343</v>
      </c>
      <c r="AK1667" s="176"/>
      <c r="AL1667" s="176"/>
    </row>
    <row r="1668" spans="1:38" ht="36" customHeight="1" x14ac:dyDescent="0.2">
      <c r="A1668" s="14" t="s">
        <v>28</v>
      </c>
      <c r="B1668" s="212">
        <v>244331</v>
      </c>
      <c r="C1668" s="14" t="s">
        <v>547</v>
      </c>
      <c r="D1668" s="14" t="s">
        <v>268</v>
      </c>
      <c r="E1668" s="14" t="s">
        <v>14</v>
      </c>
      <c r="F1668" s="14" t="s">
        <v>324</v>
      </c>
      <c r="G1668" s="179">
        <v>681667</v>
      </c>
      <c r="H1668" s="176" t="s">
        <v>4759</v>
      </c>
      <c r="I1668" s="176" t="s">
        <v>3153</v>
      </c>
      <c r="J1668" s="176" t="s">
        <v>4760</v>
      </c>
      <c r="K1668" s="176" t="s">
        <v>4763</v>
      </c>
      <c r="L1668" s="40" t="s">
        <v>108</v>
      </c>
      <c r="M1668" s="40" t="s">
        <v>341</v>
      </c>
      <c r="N1668" s="14" t="s">
        <v>4769</v>
      </c>
      <c r="O1668" s="14" t="s">
        <v>548</v>
      </c>
      <c r="P1668" s="14" t="s">
        <v>518</v>
      </c>
      <c r="Q1668" s="14" t="s">
        <v>549</v>
      </c>
      <c r="R1668" s="17">
        <v>275</v>
      </c>
      <c r="S1668" s="172" t="s">
        <v>51</v>
      </c>
      <c r="T1668" s="17">
        <v>2535</v>
      </c>
      <c r="U1668" s="14" t="s">
        <v>51</v>
      </c>
      <c r="V1668" s="16">
        <f t="shared" si="195"/>
        <v>244331</v>
      </c>
      <c r="W1668" s="16">
        <f t="shared" si="196"/>
        <v>244338</v>
      </c>
      <c r="X1668" s="16">
        <f t="shared" si="197"/>
        <v>244333</v>
      </c>
      <c r="Y1668" s="15" t="s">
        <v>54</v>
      </c>
      <c r="Z1668" s="177">
        <v>244342</v>
      </c>
      <c r="AA1668" s="170"/>
      <c r="AB1668" s="170"/>
      <c r="AC1668" s="170"/>
      <c r="AD1668" s="170"/>
      <c r="AE1668" s="15" t="s">
        <v>54</v>
      </c>
      <c r="AF1668" s="177">
        <v>244343</v>
      </c>
      <c r="AG1668" s="177" t="str">
        <f t="shared" si="198"/>
        <v>Pass</v>
      </c>
      <c r="AH1668" s="177">
        <f t="shared" si="199"/>
        <v>244343</v>
      </c>
      <c r="AK1668" s="176"/>
      <c r="AL1668" s="176"/>
    </row>
    <row r="1669" spans="1:38" ht="36" customHeight="1" x14ac:dyDescent="0.2">
      <c r="A1669" s="14" t="s">
        <v>28</v>
      </c>
      <c r="B1669" s="212">
        <v>244331</v>
      </c>
      <c r="C1669" s="14" t="s">
        <v>547</v>
      </c>
      <c r="D1669" s="14" t="s">
        <v>268</v>
      </c>
      <c r="E1669" s="14" t="s">
        <v>14</v>
      </c>
      <c r="F1669" s="14" t="s">
        <v>324</v>
      </c>
      <c r="G1669" s="179">
        <v>681668</v>
      </c>
      <c r="H1669" s="176" t="s">
        <v>4205</v>
      </c>
      <c r="I1669" s="176" t="s">
        <v>802</v>
      </c>
      <c r="J1669" s="176" t="s">
        <v>128</v>
      </c>
      <c r="K1669" s="176" t="s">
        <v>4762</v>
      </c>
      <c r="L1669" s="40" t="s">
        <v>46</v>
      </c>
      <c r="M1669" s="40" t="s">
        <v>341</v>
      </c>
      <c r="N1669" s="14" t="s">
        <v>2832</v>
      </c>
      <c r="O1669" s="14" t="s">
        <v>548</v>
      </c>
      <c r="P1669" s="14" t="s">
        <v>518</v>
      </c>
      <c r="Q1669" s="14" t="s">
        <v>549</v>
      </c>
      <c r="R1669" s="17">
        <v>190</v>
      </c>
      <c r="S1669" s="172" t="s">
        <v>51</v>
      </c>
      <c r="T1669" s="17">
        <v>1380</v>
      </c>
      <c r="U1669" s="14" t="s">
        <v>51</v>
      </c>
      <c r="V1669" s="16">
        <f t="shared" si="195"/>
        <v>244331</v>
      </c>
      <c r="W1669" s="16">
        <f t="shared" si="196"/>
        <v>244338</v>
      </c>
      <c r="X1669" s="16">
        <f t="shared" si="197"/>
        <v>244333</v>
      </c>
      <c r="Y1669" s="15" t="s">
        <v>54</v>
      </c>
      <c r="Z1669" s="177">
        <v>244342</v>
      </c>
      <c r="AA1669" s="170"/>
      <c r="AB1669" s="170"/>
      <c r="AC1669" s="170"/>
      <c r="AD1669" s="170"/>
      <c r="AE1669" s="15" t="s">
        <v>54</v>
      </c>
      <c r="AF1669" s="177">
        <v>244343</v>
      </c>
      <c r="AG1669" s="177" t="str">
        <f t="shared" si="198"/>
        <v>Pass</v>
      </c>
      <c r="AH1669" s="177">
        <f t="shared" si="199"/>
        <v>244343</v>
      </c>
      <c r="AK1669" s="176"/>
      <c r="AL1669" s="176"/>
    </row>
    <row r="1670" spans="1:38" ht="36" customHeight="1" x14ac:dyDescent="0.2">
      <c r="A1670" s="14" t="s">
        <v>28</v>
      </c>
      <c r="B1670" s="212">
        <v>244331</v>
      </c>
      <c r="C1670" s="14" t="s">
        <v>547</v>
      </c>
      <c r="D1670" s="14" t="s">
        <v>268</v>
      </c>
      <c r="E1670" s="14" t="s">
        <v>14</v>
      </c>
      <c r="F1670" s="14" t="s">
        <v>324</v>
      </c>
      <c r="G1670" s="179">
        <v>681669</v>
      </c>
      <c r="H1670" s="176" t="s">
        <v>2039</v>
      </c>
      <c r="I1670" s="176" t="s">
        <v>612</v>
      </c>
      <c r="J1670" s="176" t="s">
        <v>865</v>
      </c>
      <c r="K1670" s="176" t="s">
        <v>4764</v>
      </c>
      <c r="L1670" s="40" t="s">
        <v>45</v>
      </c>
      <c r="M1670" s="40" t="s">
        <v>341</v>
      </c>
      <c r="N1670" s="14" t="s">
        <v>4770</v>
      </c>
      <c r="O1670" s="14" t="s">
        <v>548</v>
      </c>
      <c r="P1670" s="14" t="s">
        <v>518</v>
      </c>
      <c r="Q1670" s="14" t="s">
        <v>549</v>
      </c>
      <c r="R1670" s="17">
        <v>282</v>
      </c>
      <c r="S1670" s="172" t="s">
        <v>51</v>
      </c>
      <c r="T1670" s="17">
        <v>1780</v>
      </c>
      <c r="U1670" s="14" t="s">
        <v>51</v>
      </c>
      <c r="V1670" s="16">
        <f t="shared" si="195"/>
        <v>244331</v>
      </c>
      <c r="W1670" s="16">
        <f t="shared" si="196"/>
        <v>244338</v>
      </c>
      <c r="X1670" s="16">
        <f t="shared" si="197"/>
        <v>244333</v>
      </c>
      <c r="Y1670" s="15" t="s">
        <v>54</v>
      </c>
      <c r="Z1670" s="177">
        <v>244342</v>
      </c>
      <c r="AA1670" s="170"/>
      <c r="AB1670" s="170"/>
      <c r="AC1670" s="170"/>
      <c r="AD1670" s="170"/>
      <c r="AE1670" s="15" t="s">
        <v>54</v>
      </c>
      <c r="AF1670" s="177">
        <v>244343</v>
      </c>
      <c r="AG1670" s="177" t="str">
        <f t="shared" si="198"/>
        <v>Pass</v>
      </c>
      <c r="AH1670" s="177">
        <f t="shared" si="199"/>
        <v>244343</v>
      </c>
      <c r="AK1670" s="176"/>
      <c r="AL1670" s="176"/>
    </row>
    <row r="1671" spans="1:38" ht="36" customHeight="1" x14ac:dyDescent="0.2">
      <c r="A1671" s="14" t="s">
        <v>28</v>
      </c>
      <c r="B1671" s="212">
        <v>244331</v>
      </c>
      <c r="C1671" s="14" t="s">
        <v>547</v>
      </c>
      <c r="D1671" s="14" t="s">
        <v>268</v>
      </c>
      <c r="E1671" s="14" t="s">
        <v>14</v>
      </c>
      <c r="F1671" s="14" t="s">
        <v>324</v>
      </c>
      <c r="G1671" s="179">
        <v>681670</v>
      </c>
      <c r="H1671" s="176" t="s">
        <v>2174</v>
      </c>
      <c r="I1671" s="176" t="s">
        <v>960</v>
      </c>
      <c r="J1671" s="176" t="s">
        <v>127</v>
      </c>
      <c r="K1671" s="176" t="s">
        <v>4765</v>
      </c>
      <c r="L1671" s="40" t="s">
        <v>108</v>
      </c>
      <c r="M1671" s="40" t="s">
        <v>341</v>
      </c>
      <c r="N1671" s="14" t="s">
        <v>2980</v>
      </c>
      <c r="O1671" s="14" t="s">
        <v>548</v>
      </c>
      <c r="P1671" s="14" t="s">
        <v>518</v>
      </c>
      <c r="Q1671" s="14" t="s">
        <v>549</v>
      </c>
      <c r="R1671" s="17">
        <v>157</v>
      </c>
      <c r="S1671" s="172" t="s">
        <v>51</v>
      </c>
      <c r="T1671" s="17">
        <v>2430</v>
      </c>
      <c r="U1671" s="14" t="s">
        <v>51</v>
      </c>
      <c r="V1671" s="16">
        <f t="shared" si="195"/>
        <v>244331</v>
      </c>
      <c r="W1671" s="16">
        <f t="shared" si="196"/>
        <v>244338</v>
      </c>
      <c r="X1671" s="16">
        <f t="shared" si="197"/>
        <v>244333</v>
      </c>
      <c r="Y1671" s="15" t="s">
        <v>54</v>
      </c>
      <c r="Z1671" s="177">
        <v>244342</v>
      </c>
      <c r="AA1671" s="170"/>
      <c r="AB1671" s="170"/>
      <c r="AC1671" s="170"/>
      <c r="AD1671" s="170"/>
      <c r="AE1671" s="15" t="s">
        <v>54</v>
      </c>
      <c r="AF1671" s="177">
        <v>244343</v>
      </c>
      <c r="AG1671" s="177" t="str">
        <f t="shared" si="198"/>
        <v>Pass</v>
      </c>
      <c r="AH1671" s="177">
        <f t="shared" si="199"/>
        <v>244343</v>
      </c>
      <c r="AK1671" s="176"/>
      <c r="AL1671" s="176"/>
    </row>
    <row r="1672" spans="1:38" ht="36" customHeight="1" x14ac:dyDescent="0.2">
      <c r="A1672" s="14" t="s">
        <v>28</v>
      </c>
      <c r="B1672" s="212">
        <v>244331</v>
      </c>
      <c r="C1672" s="14" t="s">
        <v>547</v>
      </c>
      <c r="D1672" s="14" t="s">
        <v>268</v>
      </c>
      <c r="E1672" s="14" t="s">
        <v>14</v>
      </c>
      <c r="F1672" s="14" t="s">
        <v>324</v>
      </c>
      <c r="G1672" s="179">
        <v>681671</v>
      </c>
      <c r="H1672" s="176" t="s">
        <v>1016</v>
      </c>
      <c r="I1672" s="176" t="s">
        <v>802</v>
      </c>
      <c r="J1672" s="176" t="s">
        <v>143</v>
      </c>
      <c r="K1672" s="176" t="s">
        <v>4766</v>
      </c>
      <c r="L1672" s="40" t="s">
        <v>105</v>
      </c>
      <c r="M1672" s="40" t="s">
        <v>341</v>
      </c>
      <c r="N1672" s="14" t="s">
        <v>4771</v>
      </c>
      <c r="O1672" s="14" t="s">
        <v>552</v>
      </c>
      <c r="P1672" s="14" t="s">
        <v>685</v>
      </c>
      <c r="Q1672" s="14" t="s">
        <v>553</v>
      </c>
      <c r="R1672" s="17">
        <v>125</v>
      </c>
      <c r="S1672" s="172" t="s">
        <v>51</v>
      </c>
      <c r="T1672" s="17">
        <v>2350</v>
      </c>
      <c r="U1672" s="14" t="s">
        <v>51</v>
      </c>
      <c r="V1672" s="16">
        <f t="shared" si="195"/>
        <v>244331</v>
      </c>
      <c r="W1672" s="16">
        <f t="shared" si="196"/>
        <v>244338</v>
      </c>
      <c r="X1672" s="16">
        <f t="shared" si="197"/>
        <v>244333</v>
      </c>
      <c r="Y1672" s="15" t="s">
        <v>54</v>
      </c>
      <c r="Z1672" s="177">
        <v>244342</v>
      </c>
      <c r="AA1672" s="170"/>
      <c r="AB1672" s="170"/>
      <c r="AC1672" s="170"/>
      <c r="AD1672" s="170"/>
      <c r="AE1672" s="15" t="s">
        <v>54</v>
      </c>
      <c r="AF1672" s="177">
        <v>244343</v>
      </c>
      <c r="AG1672" s="177" t="str">
        <f t="shared" si="198"/>
        <v>Pass</v>
      </c>
      <c r="AH1672" s="177">
        <f t="shared" si="199"/>
        <v>244343</v>
      </c>
      <c r="AK1672" s="176"/>
      <c r="AL1672" s="176"/>
    </row>
    <row r="1673" spans="1:38" ht="36" customHeight="1" x14ac:dyDescent="0.2">
      <c r="A1673" s="14" t="s">
        <v>28</v>
      </c>
      <c r="B1673" s="212">
        <v>244331</v>
      </c>
      <c r="C1673" s="14" t="s">
        <v>547</v>
      </c>
      <c r="D1673" s="14" t="s">
        <v>268</v>
      </c>
      <c r="E1673" s="14" t="s">
        <v>14</v>
      </c>
      <c r="F1673" s="14" t="s">
        <v>324</v>
      </c>
      <c r="G1673" s="179">
        <v>681672</v>
      </c>
      <c r="H1673" s="176" t="s">
        <v>4776</v>
      </c>
      <c r="I1673" s="176" t="s">
        <v>4778</v>
      </c>
      <c r="J1673" s="176" t="s">
        <v>123</v>
      </c>
      <c r="K1673" s="176" t="s">
        <v>4779</v>
      </c>
      <c r="L1673" s="40" t="s">
        <v>46</v>
      </c>
      <c r="M1673" s="40" t="s">
        <v>341</v>
      </c>
      <c r="N1673" s="14" t="s">
        <v>4782</v>
      </c>
      <c r="O1673" s="14" t="s">
        <v>557</v>
      </c>
      <c r="P1673" s="14" t="s">
        <v>2160</v>
      </c>
      <c r="Q1673" s="14" t="s">
        <v>558</v>
      </c>
      <c r="R1673" s="17">
        <v>1350</v>
      </c>
      <c r="S1673" s="172" t="s">
        <v>51</v>
      </c>
      <c r="T1673" s="17">
        <v>1510</v>
      </c>
      <c r="U1673" s="14" t="s">
        <v>51</v>
      </c>
      <c r="V1673" s="16">
        <f t="shared" si="195"/>
        <v>244331</v>
      </c>
      <c r="W1673" s="16">
        <f t="shared" si="196"/>
        <v>244338</v>
      </c>
      <c r="X1673" s="16">
        <f t="shared" si="197"/>
        <v>244333</v>
      </c>
      <c r="Y1673" s="15" t="s">
        <v>54</v>
      </c>
      <c r="Z1673" s="177">
        <v>244342</v>
      </c>
      <c r="AA1673" s="170"/>
      <c r="AB1673" s="170"/>
      <c r="AC1673" s="170"/>
      <c r="AD1673" s="170"/>
      <c r="AE1673" s="15" t="s">
        <v>54</v>
      </c>
      <c r="AF1673" s="177">
        <v>244343</v>
      </c>
      <c r="AG1673" s="177" t="str">
        <f t="shared" si="198"/>
        <v>Pass</v>
      </c>
      <c r="AH1673" s="177">
        <f t="shared" si="199"/>
        <v>244343</v>
      </c>
      <c r="AK1673" s="176"/>
      <c r="AL1673" s="176"/>
    </row>
    <row r="1674" spans="1:38" ht="36" customHeight="1" x14ac:dyDescent="0.2">
      <c r="A1674" s="14" t="s">
        <v>28</v>
      </c>
      <c r="B1674" s="212">
        <v>244331</v>
      </c>
      <c r="C1674" s="14" t="s">
        <v>547</v>
      </c>
      <c r="D1674" s="14" t="s">
        <v>268</v>
      </c>
      <c r="E1674" s="14" t="s">
        <v>14</v>
      </c>
      <c r="F1674" s="14" t="s">
        <v>324</v>
      </c>
      <c r="G1674" s="179">
        <v>681673</v>
      </c>
      <c r="H1674" s="176" t="s">
        <v>3580</v>
      </c>
      <c r="I1674" s="176" t="s">
        <v>908</v>
      </c>
      <c r="J1674" s="176" t="s">
        <v>133</v>
      </c>
      <c r="K1674" s="176" t="s">
        <v>4780</v>
      </c>
      <c r="L1674" s="40" t="s">
        <v>46</v>
      </c>
      <c r="M1674" s="40" t="s">
        <v>341</v>
      </c>
      <c r="N1674" s="14" t="s">
        <v>4783</v>
      </c>
      <c r="O1674" s="14" t="s">
        <v>543</v>
      </c>
      <c r="P1674" s="14" t="s">
        <v>4785</v>
      </c>
      <c r="Q1674" s="14" t="s">
        <v>529</v>
      </c>
      <c r="R1674" s="17">
        <v>600</v>
      </c>
      <c r="S1674" s="172" t="s">
        <v>51</v>
      </c>
      <c r="T1674" s="17">
        <v>1965</v>
      </c>
      <c r="U1674" s="14" t="s">
        <v>51</v>
      </c>
      <c r="V1674" s="16">
        <f t="shared" si="195"/>
        <v>244331</v>
      </c>
      <c r="W1674" s="16">
        <f t="shared" si="196"/>
        <v>244338</v>
      </c>
      <c r="X1674" s="16">
        <f t="shared" si="197"/>
        <v>244333</v>
      </c>
      <c r="Y1674" s="15" t="s">
        <v>54</v>
      </c>
      <c r="Z1674" s="177">
        <v>244342</v>
      </c>
      <c r="AA1674" s="170"/>
      <c r="AB1674" s="170"/>
      <c r="AC1674" s="170"/>
      <c r="AD1674" s="170"/>
      <c r="AE1674" s="15" t="s">
        <v>54</v>
      </c>
      <c r="AF1674" s="177">
        <v>244343</v>
      </c>
      <c r="AG1674" s="177" t="str">
        <f t="shared" si="198"/>
        <v>Pass</v>
      </c>
      <c r="AH1674" s="177">
        <f t="shared" si="199"/>
        <v>244343</v>
      </c>
      <c r="AK1674" s="176"/>
      <c r="AL1674" s="176"/>
    </row>
    <row r="1675" spans="1:38" ht="36" customHeight="1" x14ac:dyDescent="0.2">
      <c r="A1675" s="14" t="s">
        <v>28</v>
      </c>
      <c r="B1675" s="212">
        <v>244331</v>
      </c>
      <c r="C1675" s="14" t="s">
        <v>547</v>
      </c>
      <c r="D1675" s="14" t="s">
        <v>268</v>
      </c>
      <c r="E1675" s="14" t="s">
        <v>14</v>
      </c>
      <c r="F1675" s="14" t="s">
        <v>324</v>
      </c>
      <c r="G1675" s="179">
        <v>681674</v>
      </c>
      <c r="H1675" s="176" t="s">
        <v>3580</v>
      </c>
      <c r="I1675" s="176" t="s">
        <v>908</v>
      </c>
      <c r="J1675" s="176" t="s">
        <v>133</v>
      </c>
      <c r="K1675" s="176" t="s">
        <v>4780</v>
      </c>
      <c r="L1675" s="40" t="s">
        <v>46</v>
      </c>
      <c r="M1675" s="40" t="s">
        <v>341</v>
      </c>
      <c r="N1675" s="14" t="s">
        <v>877</v>
      </c>
      <c r="O1675" s="14" t="s">
        <v>548</v>
      </c>
      <c r="P1675" s="14" t="s">
        <v>717</v>
      </c>
      <c r="Q1675" s="14" t="s">
        <v>549</v>
      </c>
      <c r="R1675" s="17">
        <v>325</v>
      </c>
      <c r="S1675" s="172" t="s">
        <v>51</v>
      </c>
      <c r="T1675" s="17">
        <v>1970</v>
      </c>
      <c r="U1675" s="14" t="s">
        <v>51</v>
      </c>
      <c r="V1675" s="16">
        <f t="shared" si="195"/>
        <v>244331</v>
      </c>
      <c r="W1675" s="16">
        <f t="shared" si="196"/>
        <v>244338</v>
      </c>
      <c r="X1675" s="16">
        <f t="shared" si="197"/>
        <v>244333</v>
      </c>
      <c r="Y1675" s="15" t="s">
        <v>54</v>
      </c>
      <c r="Z1675" s="177">
        <v>244342</v>
      </c>
      <c r="AA1675" s="170"/>
      <c r="AB1675" s="170"/>
      <c r="AC1675" s="170"/>
      <c r="AD1675" s="170"/>
      <c r="AE1675" s="15" t="s">
        <v>54</v>
      </c>
      <c r="AF1675" s="177">
        <v>244343</v>
      </c>
      <c r="AG1675" s="177" t="str">
        <f t="shared" si="198"/>
        <v>Pass</v>
      </c>
      <c r="AH1675" s="177">
        <f t="shared" si="199"/>
        <v>244343</v>
      </c>
      <c r="AK1675" s="176"/>
      <c r="AL1675" s="176"/>
    </row>
    <row r="1676" spans="1:38" ht="36" customHeight="1" x14ac:dyDescent="0.2">
      <c r="A1676" s="14" t="s">
        <v>28</v>
      </c>
      <c r="B1676" s="212">
        <v>244331</v>
      </c>
      <c r="C1676" s="14" t="s">
        <v>547</v>
      </c>
      <c r="D1676" s="14" t="s">
        <v>268</v>
      </c>
      <c r="E1676" s="14" t="s">
        <v>14</v>
      </c>
      <c r="F1676" s="14" t="s">
        <v>324</v>
      </c>
      <c r="G1676" s="179">
        <v>681675</v>
      </c>
      <c r="H1676" s="176" t="s">
        <v>4777</v>
      </c>
      <c r="I1676" s="176" t="s">
        <v>802</v>
      </c>
      <c r="J1676" s="176" t="s">
        <v>143</v>
      </c>
      <c r="K1676" s="176" t="s">
        <v>4781</v>
      </c>
      <c r="L1676" s="40" t="s">
        <v>105</v>
      </c>
      <c r="M1676" s="40" t="s">
        <v>341</v>
      </c>
      <c r="N1676" s="14" t="s">
        <v>4784</v>
      </c>
      <c r="O1676" s="14" t="s">
        <v>756</v>
      </c>
      <c r="P1676" s="14" t="s">
        <v>1124</v>
      </c>
      <c r="Q1676" s="14" t="s">
        <v>758</v>
      </c>
      <c r="R1676" s="17">
        <v>2500</v>
      </c>
      <c r="S1676" s="172" t="s">
        <v>51</v>
      </c>
      <c r="T1676" s="17">
        <v>2500</v>
      </c>
      <c r="U1676" s="14" t="s">
        <v>51</v>
      </c>
      <c r="V1676" s="16">
        <f t="shared" si="195"/>
        <v>244331</v>
      </c>
      <c r="W1676" s="16">
        <f t="shared" si="196"/>
        <v>244338</v>
      </c>
      <c r="X1676" s="16">
        <f t="shared" si="197"/>
        <v>244333</v>
      </c>
      <c r="Y1676" s="15" t="s">
        <v>54</v>
      </c>
      <c r="Z1676" s="177">
        <v>244342</v>
      </c>
      <c r="AA1676" s="170"/>
      <c r="AB1676" s="170"/>
      <c r="AC1676" s="170"/>
      <c r="AD1676" s="170"/>
      <c r="AE1676" s="15" t="s">
        <v>54</v>
      </c>
      <c r="AF1676" s="177">
        <v>244343</v>
      </c>
      <c r="AG1676" s="177" t="str">
        <f t="shared" si="198"/>
        <v>Pass</v>
      </c>
      <c r="AH1676" s="177">
        <f t="shared" si="199"/>
        <v>244343</v>
      </c>
      <c r="AK1676" s="176"/>
      <c r="AL1676" s="176"/>
    </row>
    <row r="1677" spans="1:38" ht="36" customHeight="1" x14ac:dyDescent="0.2">
      <c r="A1677" s="14" t="s">
        <v>28</v>
      </c>
      <c r="B1677" s="212">
        <v>244331</v>
      </c>
      <c r="C1677" s="14" t="s">
        <v>547</v>
      </c>
      <c r="D1677" s="14" t="s">
        <v>268</v>
      </c>
      <c r="E1677" s="14" t="s">
        <v>14</v>
      </c>
      <c r="F1677" s="14" t="s">
        <v>324</v>
      </c>
      <c r="G1677" s="179">
        <v>681676</v>
      </c>
      <c r="H1677" s="176" t="s">
        <v>4777</v>
      </c>
      <c r="I1677" s="176" t="s">
        <v>802</v>
      </c>
      <c r="J1677" s="176" t="s">
        <v>143</v>
      </c>
      <c r="K1677" s="176" t="s">
        <v>4781</v>
      </c>
      <c r="L1677" s="40" t="s">
        <v>105</v>
      </c>
      <c r="M1677" s="40" t="s">
        <v>341</v>
      </c>
      <c r="N1677" s="14" t="s">
        <v>4346</v>
      </c>
      <c r="O1677" s="14" t="s">
        <v>548</v>
      </c>
      <c r="P1677" s="14" t="s">
        <v>717</v>
      </c>
      <c r="Q1677" s="14" t="s">
        <v>549</v>
      </c>
      <c r="R1677" s="17">
        <v>315</v>
      </c>
      <c r="S1677" s="172" t="s">
        <v>51</v>
      </c>
      <c r="T1677" s="17">
        <v>315</v>
      </c>
      <c r="U1677" s="14" t="s">
        <v>51</v>
      </c>
      <c r="V1677" s="16">
        <f t="shared" si="195"/>
        <v>244331</v>
      </c>
      <c r="W1677" s="16">
        <f t="shared" si="196"/>
        <v>244338</v>
      </c>
      <c r="X1677" s="16">
        <f t="shared" si="197"/>
        <v>244333</v>
      </c>
      <c r="Y1677" s="15" t="s">
        <v>54</v>
      </c>
      <c r="Z1677" s="177">
        <v>244342</v>
      </c>
      <c r="AA1677" s="170"/>
      <c r="AB1677" s="170"/>
      <c r="AC1677" s="170"/>
      <c r="AD1677" s="170"/>
      <c r="AE1677" s="15" t="s">
        <v>54</v>
      </c>
      <c r="AF1677" s="177">
        <v>244343</v>
      </c>
      <c r="AG1677" s="177" t="str">
        <f t="shared" si="198"/>
        <v>Pass</v>
      </c>
      <c r="AH1677" s="177">
        <f t="shared" si="199"/>
        <v>244343</v>
      </c>
      <c r="AK1677" s="176"/>
      <c r="AL1677" s="176"/>
    </row>
    <row r="1678" spans="1:38" ht="36" customHeight="1" x14ac:dyDescent="0.2">
      <c r="A1678" s="14" t="s">
        <v>28</v>
      </c>
      <c r="B1678" s="212">
        <v>244333</v>
      </c>
      <c r="C1678" s="14" t="s">
        <v>547</v>
      </c>
      <c r="D1678" s="14" t="s">
        <v>268</v>
      </c>
      <c r="E1678" s="14" t="s">
        <v>14</v>
      </c>
      <c r="F1678" s="14" t="s">
        <v>324</v>
      </c>
      <c r="G1678" s="179">
        <v>681677</v>
      </c>
      <c r="H1678" s="176" t="s">
        <v>4786</v>
      </c>
      <c r="I1678" s="176" t="s">
        <v>827</v>
      </c>
      <c r="J1678" s="176" t="s">
        <v>707</v>
      </c>
      <c r="K1678" s="176" t="s">
        <v>4787</v>
      </c>
      <c r="L1678" s="40" t="s">
        <v>106</v>
      </c>
      <c r="M1678" s="40" t="s">
        <v>341</v>
      </c>
      <c r="N1678" s="14" t="s">
        <v>4792</v>
      </c>
      <c r="O1678" s="14" t="s">
        <v>4799</v>
      </c>
      <c r="P1678" s="14" t="s">
        <v>4800</v>
      </c>
      <c r="Q1678" s="14" t="s">
        <v>4803</v>
      </c>
      <c r="R1678" s="17">
        <v>312</v>
      </c>
      <c r="S1678" s="172" t="s">
        <v>51</v>
      </c>
      <c r="T1678" s="17">
        <v>1340</v>
      </c>
      <c r="U1678" s="14" t="s">
        <v>51</v>
      </c>
      <c r="V1678" s="16">
        <f t="shared" si="195"/>
        <v>244333</v>
      </c>
      <c r="W1678" s="16">
        <f t="shared" si="196"/>
        <v>244340</v>
      </c>
      <c r="X1678" s="16">
        <f t="shared" si="197"/>
        <v>244335</v>
      </c>
      <c r="Y1678" s="15" t="s">
        <v>54</v>
      </c>
      <c r="Z1678" s="177">
        <v>244342</v>
      </c>
      <c r="AA1678" s="170"/>
      <c r="AB1678" s="170"/>
      <c r="AC1678" s="170"/>
      <c r="AD1678" s="170"/>
      <c r="AE1678" s="15" t="s">
        <v>54</v>
      </c>
      <c r="AF1678" s="177">
        <v>244343</v>
      </c>
      <c r="AG1678" s="177" t="str">
        <f t="shared" si="198"/>
        <v>Pass</v>
      </c>
      <c r="AH1678" s="177">
        <f t="shared" si="199"/>
        <v>244343</v>
      </c>
      <c r="AK1678" s="176"/>
      <c r="AL1678" s="176"/>
    </row>
    <row r="1679" spans="1:38" ht="36" customHeight="1" x14ac:dyDescent="0.2">
      <c r="A1679" s="14" t="s">
        <v>28</v>
      </c>
      <c r="B1679" s="212">
        <v>244333</v>
      </c>
      <c r="C1679" s="14" t="s">
        <v>547</v>
      </c>
      <c r="D1679" s="14" t="s">
        <v>268</v>
      </c>
      <c r="E1679" s="14" t="s">
        <v>14</v>
      </c>
      <c r="F1679" s="14" t="s">
        <v>324</v>
      </c>
      <c r="G1679" s="179">
        <v>681678</v>
      </c>
      <c r="H1679" s="176" t="s">
        <v>4786</v>
      </c>
      <c r="I1679" s="176" t="s">
        <v>827</v>
      </c>
      <c r="J1679" s="176" t="s">
        <v>707</v>
      </c>
      <c r="K1679" s="176" t="s">
        <v>4787</v>
      </c>
      <c r="L1679" s="40" t="s">
        <v>106</v>
      </c>
      <c r="M1679" s="40" t="s">
        <v>341</v>
      </c>
      <c r="N1679" s="14" t="s">
        <v>4793</v>
      </c>
      <c r="O1679" s="14" t="s">
        <v>1585</v>
      </c>
      <c r="P1679" s="14" t="s">
        <v>1277</v>
      </c>
      <c r="Q1679" s="14" t="s">
        <v>1590</v>
      </c>
      <c r="R1679" s="17">
        <v>126</v>
      </c>
      <c r="S1679" s="172" t="s">
        <v>51</v>
      </c>
      <c r="T1679" s="17">
        <v>1465</v>
      </c>
      <c r="U1679" s="14" t="s">
        <v>51</v>
      </c>
      <c r="V1679" s="16">
        <f t="shared" si="195"/>
        <v>244333</v>
      </c>
      <c r="W1679" s="16">
        <f t="shared" si="196"/>
        <v>244340</v>
      </c>
      <c r="X1679" s="16">
        <f t="shared" si="197"/>
        <v>244335</v>
      </c>
      <c r="Y1679" s="15" t="s">
        <v>54</v>
      </c>
      <c r="Z1679" s="177">
        <v>244342</v>
      </c>
      <c r="AA1679" s="170"/>
      <c r="AB1679" s="170"/>
      <c r="AC1679" s="170"/>
      <c r="AD1679" s="170"/>
      <c r="AE1679" s="15" t="s">
        <v>54</v>
      </c>
      <c r="AF1679" s="177">
        <v>244343</v>
      </c>
      <c r="AG1679" s="177" t="str">
        <f t="shared" si="198"/>
        <v>Pass</v>
      </c>
      <c r="AH1679" s="177">
        <f t="shared" si="199"/>
        <v>244343</v>
      </c>
      <c r="AK1679" s="176"/>
      <c r="AL1679" s="176"/>
    </row>
    <row r="1680" spans="1:38" ht="36" customHeight="1" x14ac:dyDescent="0.2">
      <c r="A1680" s="14" t="s">
        <v>28</v>
      </c>
      <c r="B1680" s="212">
        <v>244333</v>
      </c>
      <c r="C1680" s="14" t="s">
        <v>547</v>
      </c>
      <c r="D1680" s="14" t="s">
        <v>268</v>
      </c>
      <c r="E1680" s="14" t="s">
        <v>14</v>
      </c>
      <c r="F1680" s="14" t="s">
        <v>324</v>
      </c>
      <c r="G1680" s="179">
        <v>681679</v>
      </c>
      <c r="H1680" s="176" t="s">
        <v>142</v>
      </c>
      <c r="I1680" s="176" t="s">
        <v>802</v>
      </c>
      <c r="J1680" s="176" t="s">
        <v>832</v>
      </c>
      <c r="K1680" s="176" t="s">
        <v>4788</v>
      </c>
      <c r="L1680" s="40" t="s">
        <v>108</v>
      </c>
      <c r="M1680" s="40" t="s">
        <v>341</v>
      </c>
      <c r="N1680" s="14" t="s">
        <v>4794</v>
      </c>
      <c r="O1680" s="14" t="s">
        <v>527</v>
      </c>
      <c r="P1680" s="14" t="s">
        <v>4142</v>
      </c>
      <c r="Q1680" s="14" t="s">
        <v>542</v>
      </c>
      <c r="R1680" s="17">
        <v>100</v>
      </c>
      <c r="S1680" s="172" t="s">
        <v>51</v>
      </c>
      <c r="T1680" s="17">
        <v>2475</v>
      </c>
      <c r="U1680" s="14" t="s">
        <v>51</v>
      </c>
      <c r="V1680" s="16">
        <f t="shared" si="195"/>
        <v>244333</v>
      </c>
      <c r="W1680" s="16">
        <f t="shared" si="196"/>
        <v>244340</v>
      </c>
      <c r="X1680" s="16">
        <f t="shared" si="197"/>
        <v>244335</v>
      </c>
      <c r="Y1680" s="15" t="s">
        <v>54</v>
      </c>
      <c r="Z1680" s="177">
        <v>244342</v>
      </c>
      <c r="AA1680" s="170"/>
      <c r="AB1680" s="170"/>
      <c r="AC1680" s="170"/>
      <c r="AD1680" s="170"/>
      <c r="AE1680" s="15" t="s">
        <v>54</v>
      </c>
      <c r="AF1680" s="177">
        <v>244343</v>
      </c>
      <c r="AG1680" s="177" t="str">
        <f t="shared" si="198"/>
        <v>Pass</v>
      </c>
      <c r="AH1680" s="177">
        <f t="shared" si="199"/>
        <v>244343</v>
      </c>
      <c r="AK1680" s="176"/>
      <c r="AL1680" s="176"/>
    </row>
    <row r="1681" spans="1:38" ht="36" customHeight="1" x14ac:dyDescent="0.2">
      <c r="A1681" s="14" t="s">
        <v>28</v>
      </c>
      <c r="B1681" s="212">
        <v>244333</v>
      </c>
      <c r="C1681" s="14" t="s">
        <v>547</v>
      </c>
      <c r="D1681" s="14" t="s">
        <v>268</v>
      </c>
      <c r="E1681" s="14" t="s">
        <v>14</v>
      </c>
      <c r="F1681" s="14" t="s">
        <v>324</v>
      </c>
      <c r="G1681" s="179">
        <v>681680</v>
      </c>
      <c r="H1681" s="176" t="s">
        <v>848</v>
      </c>
      <c r="I1681" s="176" t="s">
        <v>802</v>
      </c>
      <c r="J1681" s="176" t="s">
        <v>131</v>
      </c>
      <c r="K1681" s="176" t="s">
        <v>4789</v>
      </c>
      <c r="L1681" s="40" t="s">
        <v>45</v>
      </c>
      <c r="M1681" s="40" t="s">
        <v>341</v>
      </c>
      <c r="N1681" s="14" t="s">
        <v>4795</v>
      </c>
      <c r="O1681" s="14" t="s">
        <v>4306</v>
      </c>
      <c r="P1681" s="14" t="s">
        <v>4801</v>
      </c>
      <c r="Q1681" s="14" t="s">
        <v>4311</v>
      </c>
      <c r="R1681" s="17">
        <v>1000</v>
      </c>
      <c r="S1681" s="172" t="s">
        <v>51</v>
      </c>
      <c r="T1681" s="17">
        <v>1875</v>
      </c>
      <c r="U1681" s="14" t="s">
        <v>51</v>
      </c>
      <c r="V1681" s="16">
        <f t="shared" si="195"/>
        <v>244333</v>
      </c>
      <c r="W1681" s="16">
        <f t="shared" si="196"/>
        <v>244340</v>
      </c>
      <c r="X1681" s="16">
        <f t="shared" si="197"/>
        <v>244335</v>
      </c>
      <c r="Y1681" s="15" t="s">
        <v>54</v>
      </c>
      <c r="Z1681" s="177">
        <v>244342</v>
      </c>
      <c r="AA1681" s="170"/>
      <c r="AB1681" s="170"/>
      <c r="AC1681" s="170"/>
      <c r="AD1681" s="170"/>
      <c r="AE1681" s="15" t="s">
        <v>54</v>
      </c>
      <c r="AF1681" s="177">
        <v>244343</v>
      </c>
      <c r="AG1681" s="177" t="str">
        <f t="shared" si="198"/>
        <v>Pass</v>
      </c>
      <c r="AH1681" s="177">
        <f t="shared" si="199"/>
        <v>244343</v>
      </c>
      <c r="AK1681" s="176"/>
      <c r="AL1681" s="176"/>
    </row>
    <row r="1682" spans="1:38" ht="36" customHeight="1" x14ac:dyDescent="0.2">
      <c r="A1682" s="14" t="s">
        <v>28</v>
      </c>
      <c r="B1682" s="212">
        <v>244333</v>
      </c>
      <c r="C1682" s="14" t="s">
        <v>547</v>
      </c>
      <c r="D1682" s="14" t="s">
        <v>268</v>
      </c>
      <c r="E1682" s="14" t="s">
        <v>14</v>
      </c>
      <c r="F1682" s="14" t="s">
        <v>324</v>
      </c>
      <c r="G1682" s="179">
        <v>681681</v>
      </c>
      <c r="H1682" s="176" t="s">
        <v>886</v>
      </c>
      <c r="I1682" s="176" t="s">
        <v>630</v>
      </c>
      <c r="J1682" s="176" t="s">
        <v>821</v>
      </c>
      <c r="K1682" s="176" t="s">
        <v>4790</v>
      </c>
      <c r="L1682" s="40" t="s">
        <v>124</v>
      </c>
      <c r="M1682" s="40" t="s">
        <v>341</v>
      </c>
      <c r="N1682" s="14" t="s">
        <v>4796</v>
      </c>
      <c r="O1682" s="14" t="s">
        <v>543</v>
      </c>
      <c r="P1682" s="14" t="s">
        <v>4802</v>
      </c>
      <c r="Q1682" s="14" t="s">
        <v>529</v>
      </c>
      <c r="R1682" s="17">
        <v>1900</v>
      </c>
      <c r="S1682" s="172" t="s">
        <v>51</v>
      </c>
      <c r="T1682" s="17">
        <v>3651</v>
      </c>
      <c r="U1682" s="14" t="s">
        <v>51</v>
      </c>
      <c r="V1682" s="16">
        <f t="shared" si="195"/>
        <v>244333</v>
      </c>
      <c r="W1682" s="16">
        <f t="shared" si="196"/>
        <v>244340</v>
      </c>
      <c r="X1682" s="16">
        <f t="shared" si="197"/>
        <v>244335</v>
      </c>
      <c r="Y1682" s="15" t="s">
        <v>54</v>
      </c>
      <c r="Z1682" s="177">
        <v>244342</v>
      </c>
      <c r="AA1682" s="170"/>
      <c r="AB1682" s="170"/>
      <c r="AC1682" s="170"/>
      <c r="AD1682" s="170"/>
      <c r="AE1682" s="15" t="s">
        <v>54</v>
      </c>
      <c r="AF1682" s="177">
        <v>244343</v>
      </c>
      <c r="AG1682" s="177" t="str">
        <f t="shared" si="198"/>
        <v>Pass</v>
      </c>
      <c r="AH1682" s="177">
        <f t="shared" si="199"/>
        <v>244343</v>
      </c>
      <c r="AK1682" s="176"/>
      <c r="AL1682" s="176"/>
    </row>
    <row r="1683" spans="1:38" ht="36" customHeight="1" x14ac:dyDescent="0.2">
      <c r="A1683" s="14" t="s">
        <v>28</v>
      </c>
      <c r="B1683" s="212">
        <v>244333</v>
      </c>
      <c r="C1683" s="14" t="s">
        <v>547</v>
      </c>
      <c r="D1683" s="14" t="s">
        <v>268</v>
      </c>
      <c r="E1683" s="14" t="s">
        <v>14</v>
      </c>
      <c r="F1683" s="14" t="s">
        <v>324</v>
      </c>
      <c r="G1683" s="179">
        <v>681682</v>
      </c>
      <c r="H1683" s="176" t="s">
        <v>1507</v>
      </c>
      <c r="I1683" s="176" t="s">
        <v>1407</v>
      </c>
      <c r="J1683" s="176" t="s">
        <v>1410</v>
      </c>
      <c r="K1683" s="176" t="s">
        <v>4791</v>
      </c>
      <c r="L1683" s="40" t="s">
        <v>105</v>
      </c>
      <c r="M1683" s="40" t="s">
        <v>341</v>
      </c>
      <c r="N1683" s="14" t="s">
        <v>4797</v>
      </c>
      <c r="O1683" s="14" t="s">
        <v>527</v>
      </c>
      <c r="P1683" s="14" t="s">
        <v>4161</v>
      </c>
      <c r="Q1683" s="14" t="s">
        <v>542</v>
      </c>
      <c r="R1683" s="17">
        <v>113</v>
      </c>
      <c r="S1683" s="172" t="s">
        <v>51</v>
      </c>
      <c r="T1683" s="17">
        <v>1381</v>
      </c>
      <c r="U1683" s="14" t="s">
        <v>51</v>
      </c>
      <c r="V1683" s="16">
        <f t="shared" si="195"/>
        <v>244333</v>
      </c>
      <c r="W1683" s="16">
        <f t="shared" si="196"/>
        <v>244340</v>
      </c>
      <c r="X1683" s="16">
        <f t="shared" si="197"/>
        <v>244335</v>
      </c>
      <c r="Y1683" s="15" t="s">
        <v>54</v>
      </c>
      <c r="Z1683" s="177">
        <v>244342</v>
      </c>
      <c r="AA1683" s="170"/>
      <c r="AB1683" s="170"/>
      <c r="AC1683" s="170"/>
      <c r="AD1683" s="170"/>
      <c r="AE1683" s="15" t="s">
        <v>54</v>
      </c>
      <c r="AF1683" s="177">
        <v>244343</v>
      </c>
      <c r="AG1683" s="177" t="str">
        <f t="shared" si="198"/>
        <v>Pass</v>
      </c>
      <c r="AH1683" s="177">
        <f t="shared" si="199"/>
        <v>244343</v>
      </c>
      <c r="AK1683" s="176"/>
      <c r="AL1683" s="176"/>
    </row>
    <row r="1684" spans="1:38" ht="36" customHeight="1" x14ac:dyDescent="0.2">
      <c r="A1684" s="14" t="s">
        <v>28</v>
      </c>
      <c r="B1684" s="212">
        <v>244333</v>
      </c>
      <c r="C1684" s="14" t="s">
        <v>547</v>
      </c>
      <c r="D1684" s="14" t="s">
        <v>268</v>
      </c>
      <c r="E1684" s="14" t="s">
        <v>14</v>
      </c>
      <c r="F1684" s="14" t="s">
        <v>324</v>
      </c>
      <c r="G1684" s="179">
        <v>681683</v>
      </c>
      <c r="H1684" s="176" t="s">
        <v>1507</v>
      </c>
      <c r="I1684" s="176" t="s">
        <v>1407</v>
      </c>
      <c r="J1684" s="176" t="s">
        <v>1410</v>
      </c>
      <c r="K1684" s="176" t="s">
        <v>4791</v>
      </c>
      <c r="L1684" s="40" t="s">
        <v>105</v>
      </c>
      <c r="M1684" s="40" t="s">
        <v>341</v>
      </c>
      <c r="N1684" s="14" t="s">
        <v>4798</v>
      </c>
      <c r="O1684" s="14" t="s">
        <v>548</v>
      </c>
      <c r="P1684" s="14" t="s">
        <v>518</v>
      </c>
      <c r="Q1684" s="14" t="s">
        <v>549</v>
      </c>
      <c r="R1684" s="17">
        <v>248</v>
      </c>
      <c r="S1684" s="172" t="s">
        <v>51</v>
      </c>
      <c r="T1684" s="17">
        <v>2776</v>
      </c>
      <c r="U1684" s="14" t="s">
        <v>51</v>
      </c>
      <c r="V1684" s="16">
        <f t="shared" si="195"/>
        <v>244333</v>
      </c>
      <c r="W1684" s="16">
        <f t="shared" si="196"/>
        <v>244340</v>
      </c>
      <c r="X1684" s="16">
        <f t="shared" si="197"/>
        <v>244335</v>
      </c>
      <c r="Y1684" s="15" t="s">
        <v>54</v>
      </c>
      <c r="Z1684" s="177">
        <v>244342</v>
      </c>
      <c r="AA1684" s="170"/>
      <c r="AB1684" s="170"/>
      <c r="AC1684" s="170"/>
      <c r="AD1684" s="170"/>
      <c r="AE1684" s="15" t="s">
        <v>54</v>
      </c>
      <c r="AF1684" s="177">
        <v>244343</v>
      </c>
      <c r="AG1684" s="177" t="str">
        <f t="shared" si="198"/>
        <v>Pass</v>
      </c>
      <c r="AH1684" s="177">
        <f t="shared" si="199"/>
        <v>244343</v>
      </c>
      <c r="AK1684" s="176"/>
      <c r="AL1684" s="176"/>
    </row>
    <row r="1685" spans="1:38" ht="36" customHeight="1" x14ac:dyDescent="0.2">
      <c r="A1685" s="14" t="s">
        <v>28</v>
      </c>
      <c r="B1685" s="212">
        <v>244333</v>
      </c>
      <c r="C1685" s="14" t="s">
        <v>547</v>
      </c>
      <c r="D1685" s="14" t="s">
        <v>268</v>
      </c>
      <c r="E1685" s="14" t="s">
        <v>14</v>
      </c>
      <c r="F1685" s="14" t="s">
        <v>324</v>
      </c>
      <c r="G1685" s="179">
        <v>681684</v>
      </c>
      <c r="H1685" s="176" t="s">
        <v>1507</v>
      </c>
      <c r="I1685" s="176" t="s">
        <v>1407</v>
      </c>
      <c r="J1685" s="176" t="s">
        <v>1410</v>
      </c>
      <c r="K1685" s="176" t="s">
        <v>4791</v>
      </c>
      <c r="L1685" s="40" t="s">
        <v>105</v>
      </c>
      <c r="M1685" s="40" t="s">
        <v>341</v>
      </c>
      <c r="N1685" s="14" t="s">
        <v>4804</v>
      </c>
      <c r="O1685" s="14" t="s">
        <v>543</v>
      </c>
      <c r="P1685" s="14" t="s">
        <v>4805</v>
      </c>
      <c r="Q1685" s="14" t="s">
        <v>529</v>
      </c>
      <c r="R1685" s="17">
        <v>300</v>
      </c>
      <c r="S1685" s="172" t="s">
        <v>51</v>
      </c>
      <c r="T1685" s="17">
        <v>1363</v>
      </c>
      <c r="U1685" s="14" t="s">
        <v>51</v>
      </c>
      <c r="V1685" s="16">
        <f t="shared" si="195"/>
        <v>244333</v>
      </c>
      <c r="W1685" s="16">
        <f t="shared" si="196"/>
        <v>244340</v>
      </c>
      <c r="X1685" s="16">
        <f t="shared" si="197"/>
        <v>244335</v>
      </c>
      <c r="Y1685" s="15" t="s">
        <v>54</v>
      </c>
      <c r="Z1685" s="177">
        <v>244342</v>
      </c>
      <c r="AA1685" s="170"/>
      <c r="AB1685" s="170"/>
      <c r="AC1685" s="170"/>
      <c r="AD1685" s="170"/>
      <c r="AE1685" s="15" t="s">
        <v>54</v>
      </c>
      <c r="AF1685" s="177">
        <v>244343</v>
      </c>
      <c r="AG1685" s="177" t="str">
        <f t="shared" si="198"/>
        <v>Pass</v>
      </c>
      <c r="AH1685" s="177">
        <f t="shared" si="199"/>
        <v>244343</v>
      </c>
      <c r="AK1685" s="176"/>
      <c r="AL1685" s="176"/>
    </row>
    <row r="1686" spans="1:38" ht="36" customHeight="1" x14ac:dyDescent="0.2">
      <c r="A1686" s="14" t="s">
        <v>28</v>
      </c>
      <c r="B1686" s="212">
        <v>244334</v>
      </c>
      <c r="C1686" s="14" t="s">
        <v>547</v>
      </c>
      <c r="D1686" s="14" t="s">
        <v>268</v>
      </c>
      <c r="E1686" s="14" t="s">
        <v>14</v>
      </c>
      <c r="F1686" s="14" t="s">
        <v>324</v>
      </c>
      <c r="G1686" s="179">
        <v>681685</v>
      </c>
      <c r="H1686" s="176" t="s">
        <v>4173</v>
      </c>
      <c r="I1686" s="176" t="s">
        <v>802</v>
      </c>
      <c r="J1686" s="176" t="s">
        <v>143</v>
      </c>
      <c r="K1686" s="176" t="s">
        <v>4806</v>
      </c>
      <c r="L1686" s="40" t="s">
        <v>105</v>
      </c>
      <c r="M1686" s="40" t="s">
        <v>341</v>
      </c>
      <c r="N1686" s="14" t="s">
        <v>2888</v>
      </c>
      <c r="O1686" s="14" t="s">
        <v>528</v>
      </c>
      <c r="P1686" s="14" t="s">
        <v>3663</v>
      </c>
      <c r="Q1686" s="14" t="s">
        <v>541</v>
      </c>
      <c r="R1686" s="17">
        <v>300</v>
      </c>
      <c r="S1686" s="172" t="s">
        <v>51</v>
      </c>
      <c r="T1686" s="17">
        <v>2345</v>
      </c>
      <c r="U1686" s="14" t="s">
        <v>51</v>
      </c>
      <c r="V1686" s="16">
        <f t="shared" si="195"/>
        <v>244334</v>
      </c>
      <c r="W1686" s="16">
        <f t="shared" si="196"/>
        <v>244341</v>
      </c>
      <c r="X1686" s="16">
        <f t="shared" si="197"/>
        <v>244336</v>
      </c>
      <c r="Y1686" s="15" t="s">
        <v>54</v>
      </c>
      <c r="Z1686" s="177">
        <v>244342</v>
      </c>
      <c r="AA1686" s="170"/>
      <c r="AB1686" s="170"/>
      <c r="AC1686" s="170"/>
      <c r="AD1686" s="170"/>
      <c r="AE1686" s="15" t="s">
        <v>54</v>
      </c>
      <c r="AF1686" s="177">
        <v>244343</v>
      </c>
      <c r="AG1686" s="177" t="str">
        <f t="shared" si="198"/>
        <v>Pass</v>
      </c>
      <c r="AH1686" s="177">
        <f t="shared" si="199"/>
        <v>244343</v>
      </c>
      <c r="AK1686" s="176"/>
      <c r="AL1686" s="176"/>
    </row>
    <row r="1687" spans="1:38" ht="36" customHeight="1" x14ac:dyDescent="0.2">
      <c r="A1687" s="14" t="s">
        <v>28</v>
      </c>
      <c r="B1687" s="212">
        <v>244334</v>
      </c>
      <c r="C1687" s="14" t="s">
        <v>547</v>
      </c>
      <c r="D1687" s="14" t="s">
        <v>268</v>
      </c>
      <c r="E1687" s="14" t="s">
        <v>14</v>
      </c>
      <c r="F1687" s="14" t="s">
        <v>324</v>
      </c>
      <c r="G1687" s="179">
        <v>681686</v>
      </c>
      <c r="H1687" s="176" t="s">
        <v>4173</v>
      </c>
      <c r="I1687" s="176" t="s">
        <v>802</v>
      </c>
      <c r="J1687" s="176" t="s">
        <v>143</v>
      </c>
      <c r="K1687" s="176" t="s">
        <v>4806</v>
      </c>
      <c r="L1687" s="40" t="s">
        <v>105</v>
      </c>
      <c r="M1687" s="40" t="s">
        <v>341</v>
      </c>
      <c r="N1687" s="14" t="s">
        <v>4045</v>
      </c>
      <c r="O1687" s="14" t="s">
        <v>552</v>
      </c>
      <c r="P1687" s="14" t="s">
        <v>685</v>
      </c>
      <c r="Q1687" s="14" t="s">
        <v>553</v>
      </c>
      <c r="R1687" s="17">
        <v>500</v>
      </c>
      <c r="S1687" s="172" t="s">
        <v>51</v>
      </c>
      <c r="T1687" s="17">
        <v>2345</v>
      </c>
      <c r="U1687" s="14" t="s">
        <v>51</v>
      </c>
      <c r="V1687" s="16">
        <f t="shared" si="195"/>
        <v>244334</v>
      </c>
      <c r="W1687" s="16">
        <f t="shared" si="196"/>
        <v>244341</v>
      </c>
      <c r="X1687" s="16">
        <f t="shared" si="197"/>
        <v>244336</v>
      </c>
      <c r="Y1687" s="15" t="s">
        <v>54</v>
      </c>
      <c r="Z1687" s="177">
        <v>244342</v>
      </c>
      <c r="AA1687" s="170"/>
      <c r="AB1687" s="170"/>
      <c r="AC1687" s="170"/>
      <c r="AD1687" s="170"/>
      <c r="AE1687" s="15" t="s">
        <v>54</v>
      </c>
      <c r="AF1687" s="177">
        <v>244343</v>
      </c>
      <c r="AG1687" s="177" t="str">
        <f t="shared" si="198"/>
        <v>Pass</v>
      </c>
      <c r="AH1687" s="177">
        <f t="shared" si="199"/>
        <v>244343</v>
      </c>
      <c r="AK1687" s="176"/>
      <c r="AL1687" s="176"/>
    </row>
    <row r="1688" spans="1:38" ht="36" customHeight="1" x14ac:dyDescent="0.2">
      <c r="A1688" s="14" t="s">
        <v>28</v>
      </c>
      <c r="B1688" s="212">
        <v>244334</v>
      </c>
      <c r="C1688" s="14" t="s">
        <v>547</v>
      </c>
      <c r="D1688" s="14" t="s">
        <v>268</v>
      </c>
      <c r="E1688" s="14" t="s">
        <v>14</v>
      </c>
      <c r="F1688" s="14" t="s">
        <v>324</v>
      </c>
      <c r="G1688" s="179">
        <v>681687</v>
      </c>
      <c r="H1688" s="176" t="s">
        <v>1368</v>
      </c>
      <c r="I1688" s="176" t="s">
        <v>802</v>
      </c>
      <c r="J1688" s="176" t="s">
        <v>128</v>
      </c>
      <c r="K1688" s="176" t="s">
        <v>4807</v>
      </c>
      <c r="L1688" s="40" t="s">
        <v>46</v>
      </c>
      <c r="M1688" s="40" t="s">
        <v>341</v>
      </c>
      <c r="N1688" s="14" t="s">
        <v>4810</v>
      </c>
      <c r="O1688" s="14" t="s">
        <v>543</v>
      </c>
      <c r="P1688" s="14" t="s">
        <v>3150</v>
      </c>
      <c r="Q1688" s="14" t="s">
        <v>529</v>
      </c>
      <c r="R1688" s="17">
        <v>1000</v>
      </c>
      <c r="S1688" s="172" t="s">
        <v>51</v>
      </c>
      <c r="T1688" s="17">
        <v>2480</v>
      </c>
      <c r="U1688" s="14" t="s">
        <v>51</v>
      </c>
      <c r="V1688" s="16">
        <f t="shared" si="195"/>
        <v>244334</v>
      </c>
      <c r="W1688" s="16">
        <f t="shared" si="196"/>
        <v>244341</v>
      </c>
      <c r="X1688" s="16">
        <f t="shared" si="197"/>
        <v>244336</v>
      </c>
      <c r="Y1688" s="15" t="s">
        <v>54</v>
      </c>
      <c r="Z1688" s="177">
        <v>244342</v>
      </c>
      <c r="AA1688" s="170"/>
      <c r="AB1688" s="170"/>
      <c r="AC1688" s="170"/>
      <c r="AD1688" s="170"/>
      <c r="AE1688" s="15" t="s">
        <v>54</v>
      </c>
      <c r="AF1688" s="177">
        <v>244343</v>
      </c>
      <c r="AG1688" s="177" t="str">
        <f t="shared" si="198"/>
        <v>Pass</v>
      </c>
      <c r="AH1688" s="177">
        <f t="shared" si="199"/>
        <v>244343</v>
      </c>
      <c r="AK1688" s="176"/>
      <c r="AL1688" s="176"/>
    </row>
    <row r="1689" spans="1:38" ht="36" customHeight="1" x14ac:dyDescent="0.2">
      <c r="A1689" s="14" t="s">
        <v>28</v>
      </c>
      <c r="B1689" s="212">
        <v>244334</v>
      </c>
      <c r="C1689" s="14" t="s">
        <v>547</v>
      </c>
      <c r="D1689" s="14" t="s">
        <v>268</v>
      </c>
      <c r="E1689" s="14" t="s">
        <v>14</v>
      </c>
      <c r="F1689" s="14" t="s">
        <v>324</v>
      </c>
      <c r="G1689" s="179">
        <v>681688</v>
      </c>
      <c r="H1689" s="176">
        <v>959</v>
      </c>
      <c r="I1689" s="176" t="s">
        <v>802</v>
      </c>
      <c r="J1689" s="176" t="s">
        <v>882</v>
      </c>
      <c r="K1689" s="176" t="s">
        <v>4808</v>
      </c>
      <c r="L1689" s="40" t="s">
        <v>45</v>
      </c>
      <c r="M1689" s="40" t="s">
        <v>341</v>
      </c>
      <c r="N1689" s="14" t="s">
        <v>4814</v>
      </c>
      <c r="O1689" s="14" t="s">
        <v>4813</v>
      </c>
      <c r="P1689" s="14" t="s">
        <v>2160</v>
      </c>
      <c r="Q1689" s="14" t="s">
        <v>4815</v>
      </c>
      <c r="R1689" s="17">
        <v>5000</v>
      </c>
      <c r="S1689" s="172" t="s">
        <v>51</v>
      </c>
      <c r="T1689" s="17">
        <v>5075</v>
      </c>
      <c r="U1689" s="14" t="s">
        <v>51</v>
      </c>
      <c r="V1689" s="16">
        <f t="shared" si="195"/>
        <v>244334</v>
      </c>
      <c r="W1689" s="16">
        <f t="shared" si="196"/>
        <v>244341</v>
      </c>
      <c r="X1689" s="16">
        <f t="shared" si="197"/>
        <v>244336</v>
      </c>
      <c r="Y1689" s="15" t="s">
        <v>54</v>
      </c>
      <c r="Z1689" s="177">
        <v>244342</v>
      </c>
      <c r="AA1689" s="170"/>
      <c r="AB1689" s="170"/>
      <c r="AC1689" s="170"/>
      <c r="AD1689" s="170"/>
      <c r="AE1689" s="15" t="s">
        <v>54</v>
      </c>
      <c r="AF1689" s="177">
        <v>244343</v>
      </c>
      <c r="AG1689" s="177" t="str">
        <f t="shared" si="198"/>
        <v>Pass</v>
      </c>
      <c r="AH1689" s="177">
        <f t="shared" si="199"/>
        <v>244343</v>
      </c>
      <c r="AK1689" s="176"/>
      <c r="AL1689" s="176"/>
    </row>
    <row r="1690" spans="1:38" ht="36" customHeight="1" x14ac:dyDescent="0.2">
      <c r="A1690" s="14" t="s">
        <v>28</v>
      </c>
      <c r="B1690" s="212">
        <v>244334</v>
      </c>
      <c r="C1690" s="14" t="s">
        <v>547</v>
      </c>
      <c r="D1690" s="14" t="s">
        <v>268</v>
      </c>
      <c r="E1690" s="14" t="s">
        <v>14</v>
      </c>
      <c r="F1690" s="14" t="s">
        <v>324</v>
      </c>
      <c r="G1690" s="179">
        <v>681689</v>
      </c>
      <c r="H1690" s="176" t="s">
        <v>4008</v>
      </c>
      <c r="I1690" s="176" t="s">
        <v>802</v>
      </c>
      <c r="J1690" s="176" t="s">
        <v>143</v>
      </c>
      <c r="K1690" s="176" t="s">
        <v>4809</v>
      </c>
      <c r="L1690" s="40" t="s">
        <v>105</v>
      </c>
      <c r="M1690" s="40" t="s">
        <v>341</v>
      </c>
      <c r="N1690" s="14" t="s">
        <v>4811</v>
      </c>
      <c r="O1690" s="14" t="s">
        <v>552</v>
      </c>
      <c r="P1690" s="14" t="s">
        <v>1660</v>
      </c>
      <c r="Q1690" s="14" t="s">
        <v>553</v>
      </c>
      <c r="R1690" s="17">
        <v>3575</v>
      </c>
      <c r="S1690" s="172" t="s">
        <v>51</v>
      </c>
      <c r="T1690" s="17">
        <v>4763</v>
      </c>
      <c r="U1690" s="14" t="s">
        <v>51</v>
      </c>
      <c r="V1690" s="16">
        <f t="shared" si="195"/>
        <v>244334</v>
      </c>
      <c r="W1690" s="16">
        <f t="shared" si="196"/>
        <v>244341</v>
      </c>
      <c r="X1690" s="16">
        <f t="shared" si="197"/>
        <v>244336</v>
      </c>
      <c r="Y1690" s="15" t="s">
        <v>54</v>
      </c>
      <c r="Z1690" s="177">
        <v>244342</v>
      </c>
      <c r="AA1690" s="170"/>
      <c r="AB1690" s="170"/>
      <c r="AC1690" s="170"/>
      <c r="AD1690" s="170"/>
      <c r="AE1690" s="15" t="s">
        <v>54</v>
      </c>
      <c r="AF1690" s="177">
        <v>244343</v>
      </c>
      <c r="AG1690" s="177" t="str">
        <f t="shared" si="198"/>
        <v>Pass</v>
      </c>
      <c r="AH1690" s="177">
        <f t="shared" si="199"/>
        <v>244343</v>
      </c>
      <c r="AK1690" s="176"/>
      <c r="AL1690" s="176"/>
    </row>
    <row r="1691" spans="1:38" ht="36" customHeight="1" x14ac:dyDescent="0.2">
      <c r="A1691" s="14" t="s">
        <v>28</v>
      </c>
      <c r="B1691" s="212">
        <v>244334</v>
      </c>
      <c r="C1691" s="14" t="s">
        <v>547</v>
      </c>
      <c r="D1691" s="14" t="s">
        <v>268</v>
      </c>
      <c r="E1691" s="14" t="s">
        <v>14</v>
      </c>
      <c r="F1691" s="14" t="s">
        <v>324</v>
      </c>
      <c r="G1691" s="179">
        <v>681690</v>
      </c>
      <c r="H1691" s="176" t="s">
        <v>1368</v>
      </c>
      <c r="I1691" s="176" t="s">
        <v>802</v>
      </c>
      <c r="J1691" s="176" t="s">
        <v>128</v>
      </c>
      <c r="K1691" s="176" t="s">
        <v>4807</v>
      </c>
      <c r="L1691" s="40" t="s">
        <v>46</v>
      </c>
      <c r="M1691" s="40" t="s">
        <v>341</v>
      </c>
      <c r="N1691" s="14" t="s">
        <v>4812</v>
      </c>
      <c r="O1691" s="14" t="s">
        <v>552</v>
      </c>
      <c r="P1691" s="14" t="s">
        <v>1205</v>
      </c>
      <c r="Q1691" s="14" t="s">
        <v>553</v>
      </c>
      <c r="R1691" s="17">
        <v>325</v>
      </c>
      <c r="S1691" s="172" t="s">
        <v>51</v>
      </c>
      <c r="T1691" s="17">
        <v>2470</v>
      </c>
      <c r="U1691" s="14" t="s">
        <v>51</v>
      </c>
      <c r="V1691" s="16">
        <f t="shared" si="195"/>
        <v>244334</v>
      </c>
      <c r="W1691" s="16">
        <f t="shared" si="196"/>
        <v>244341</v>
      </c>
      <c r="X1691" s="16">
        <f t="shared" si="197"/>
        <v>244336</v>
      </c>
      <c r="Y1691" s="15" t="s">
        <v>54</v>
      </c>
      <c r="Z1691" s="177">
        <v>244342</v>
      </c>
      <c r="AA1691" s="170"/>
      <c r="AB1691" s="170"/>
      <c r="AC1691" s="170"/>
      <c r="AD1691" s="170"/>
      <c r="AE1691" s="15" t="s">
        <v>54</v>
      </c>
      <c r="AF1691" s="177">
        <v>244343</v>
      </c>
      <c r="AG1691" s="177" t="str">
        <f t="shared" si="198"/>
        <v>Pass</v>
      </c>
      <c r="AH1691" s="177">
        <f t="shared" si="199"/>
        <v>244343</v>
      </c>
      <c r="AK1691" s="176"/>
      <c r="AL1691" s="176"/>
    </row>
    <row r="1692" spans="1:38" ht="36" customHeight="1" x14ac:dyDescent="0.2">
      <c r="A1692" s="14" t="s">
        <v>28</v>
      </c>
      <c r="B1692" s="212">
        <v>244335</v>
      </c>
      <c r="C1692" s="14" t="s">
        <v>547</v>
      </c>
      <c r="D1692" s="14" t="s">
        <v>268</v>
      </c>
      <c r="E1692" s="14" t="s">
        <v>14</v>
      </c>
      <c r="F1692" s="14" t="s">
        <v>324</v>
      </c>
      <c r="G1692" s="179">
        <v>681691</v>
      </c>
      <c r="H1692" s="176">
        <v>935</v>
      </c>
      <c r="I1692" s="176" t="s">
        <v>802</v>
      </c>
      <c r="J1692" s="176" t="s">
        <v>128</v>
      </c>
      <c r="K1692" s="176" t="s">
        <v>4816</v>
      </c>
      <c r="L1692" s="40" t="s">
        <v>46</v>
      </c>
      <c r="M1692" s="40" t="s">
        <v>341</v>
      </c>
      <c r="N1692" s="14" t="s">
        <v>4819</v>
      </c>
      <c r="O1692" s="14" t="s">
        <v>1178</v>
      </c>
      <c r="P1692" s="14" t="s">
        <v>4824</v>
      </c>
      <c r="Q1692" s="14" t="s">
        <v>1182</v>
      </c>
      <c r="R1692" s="17">
        <v>160</v>
      </c>
      <c r="S1692" s="172" t="s">
        <v>51</v>
      </c>
      <c r="T1692" s="17">
        <v>2430</v>
      </c>
      <c r="U1692" s="14" t="s">
        <v>51</v>
      </c>
      <c r="V1692" s="16">
        <f t="shared" si="195"/>
        <v>244335</v>
      </c>
      <c r="W1692" s="16">
        <f t="shared" si="196"/>
        <v>244342</v>
      </c>
      <c r="X1692" s="16">
        <f t="shared" si="197"/>
        <v>244337</v>
      </c>
      <c r="Y1692" s="15" t="s">
        <v>54</v>
      </c>
      <c r="Z1692" s="177">
        <v>244342</v>
      </c>
      <c r="AA1692" s="170"/>
      <c r="AB1692" s="170"/>
      <c r="AC1692" s="170"/>
      <c r="AD1692" s="170"/>
      <c r="AE1692" s="15" t="s">
        <v>54</v>
      </c>
      <c r="AF1692" s="177">
        <v>244343</v>
      </c>
      <c r="AG1692" s="177" t="str">
        <f t="shared" si="198"/>
        <v>Pass</v>
      </c>
      <c r="AH1692" s="177">
        <f t="shared" si="199"/>
        <v>244343</v>
      </c>
      <c r="AK1692" s="176"/>
      <c r="AL1692" s="176"/>
    </row>
    <row r="1693" spans="1:38" ht="36" customHeight="1" x14ac:dyDescent="0.2">
      <c r="A1693" s="14" t="s">
        <v>28</v>
      </c>
      <c r="B1693" s="212">
        <v>244335</v>
      </c>
      <c r="C1693" s="14" t="s">
        <v>547</v>
      </c>
      <c r="D1693" s="14" t="s">
        <v>268</v>
      </c>
      <c r="E1693" s="14" t="s">
        <v>14</v>
      </c>
      <c r="F1693" s="14" t="s">
        <v>324</v>
      </c>
      <c r="G1693" s="179">
        <v>681692</v>
      </c>
      <c r="H1693" s="176" t="s">
        <v>1368</v>
      </c>
      <c r="I1693" s="176" t="s">
        <v>802</v>
      </c>
      <c r="J1693" s="176" t="s">
        <v>128</v>
      </c>
      <c r="K1693" s="176" t="s">
        <v>4807</v>
      </c>
      <c r="L1693" s="40" t="s">
        <v>46</v>
      </c>
      <c r="M1693" s="40" t="s">
        <v>341</v>
      </c>
      <c r="N1693" s="14" t="s">
        <v>4820</v>
      </c>
      <c r="O1693" s="14" t="s">
        <v>756</v>
      </c>
      <c r="P1693" s="14" t="s">
        <v>4825</v>
      </c>
      <c r="Q1693" s="14" t="s">
        <v>758</v>
      </c>
      <c r="R1693" s="17">
        <v>750</v>
      </c>
      <c r="S1693" s="172" t="s">
        <v>51</v>
      </c>
      <c r="T1693" s="17">
        <v>1780</v>
      </c>
      <c r="U1693" s="14" t="s">
        <v>51</v>
      </c>
      <c r="V1693" s="16">
        <f t="shared" si="195"/>
        <v>244335</v>
      </c>
      <c r="W1693" s="16">
        <f t="shared" si="196"/>
        <v>244342</v>
      </c>
      <c r="X1693" s="16">
        <f t="shared" si="197"/>
        <v>244337</v>
      </c>
      <c r="Y1693" s="15" t="s">
        <v>54</v>
      </c>
      <c r="Z1693" s="177">
        <v>244342</v>
      </c>
      <c r="AA1693" s="170"/>
      <c r="AB1693" s="170"/>
      <c r="AC1693" s="170"/>
      <c r="AD1693" s="170"/>
      <c r="AE1693" s="15" t="s">
        <v>54</v>
      </c>
      <c r="AF1693" s="177">
        <v>244343</v>
      </c>
      <c r="AG1693" s="177" t="str">
        <f t="shared" si="198"/>
        <v>Pass</v>
      </c>
      <c r="AH1693" s="177">
        <f t="shared" si="199"/>
        <v>244343</v>
      </c>
      <c r="AK1693" s="176"/>
      <c r="AL1693" s="176"/>
    </row>
    <row r="1694" spans="1:38" ht="36" customHeight="1" x14ac:dyDescent="0.2">
      <c r="A1694" s="14" t="s">
        <v>28</v>
      </c>
      <c r="B1694" s="212">
        <v>244335</v>
      </c>
      <c r="C1694" s="14" t="s">
        <v>547</v>
      </c>
      <c r="D1694" s="14" t="s">
        <v>268</v>
      </c>
      <c r="E1694" s="14" t="s">
        <v>14</v>
      </c>
      <c r="F1694" s="14" t="s">
        <v>324</v>
      </c>
      <c r="G1694" s="179">
        <v>681693</v>
      </c>
      <c r="H1694" s="176">
        <v>952</v>
      </c>
      <c r="I1694" s="176" t="s">
        <v>802</v>
      </c>
      <c r="J1694" s="176" t="s">
        <v>131</v>
      </c>
      <c r="K1694" s="176" t="s">
        <v>4817</v>
      </c>
      <c r="L1694" s="40" t="s">
        <v>46</v>
      </c>
      <c r="M1694" s="40" t="s">
        <v>341</v>
      </c>
      <c r="N1694" s="14" t="s">
        <v>4821</v>
      </c>
      <c r="O1694" s="14" t="s">
        <v>543</v>
      </c>
      <c r="P1694" s="14" t="s">
        <v>4826</v>
      </c>
      <c r="Q1694" s="14" t="s">
        <v>529</v>
      </c>
      <c r="R1694" s="17">
        <v>600</v>
      </c>
      <c r="S1694" s="172" t="s">
        <v>51</v>
      </c>
      <c r="T1694" s="17">
        <v>1850</v>
      </c>
      <c r="U1694" s="14" t="s">
        <v>51</v>
      </c>
      <c r="V1694" s="16">
        <f t="shared" si="195"/>
        <v>244335</v>
      </c>
      <c r="W1694" s="16">
        <f t="shared" si="196"/>
        <v>244342</v>
      </c>
      <c r="X1694" s="16">
        <f t="shared" si="197"/>
        <v>244337</v>
      </c>
      <c r="Y1694" s="15" t="s">
        <v>54</v>
      </c>
      <c r="Z1694" s="177">
        <v>244342</v>
      </c>
      <c r="AA1694" s="170"/>
      <c r="AB1694" s="170"/>
      <c r="AC1694" s="170"/>
      <c r="AD1694" s="170"/>
      <c r="AE1694" s="15" t="s">
        <v>54</v>
      </c>
      <c r="AF1694" s="177">
        <v>244343</v>
      </c>
      <c r="AG1694" s="177" t="str">
        <f t="shared" si="198"/>
        <v>Pass</v>
      </c>
      <c r="AH1694" s="177">
        <f t="shared" si="199"/>
        <v>244343</v>
      </c>
      <c r="AK1694" s="176"/>
      <c r="AL1694" s="176"/>
    </row>
    <row r="1695" spans="1:38" ht="36" customHeight="1" x14ac:dyDescent="0.2">
      <c r="A1695" s="14" t="s">
        <v>28</v>
      </c>
      <c r="B1695" s="212">
        <v>244335</v>
      </c>
      <c r="C1695" s="14" t="s">
        <v>547</v>
      </c>
      <c r="D1695" s="14" t="s">
        <v>268</v>
      </c>
      <c r="E1695" s="14" t="s">
        <v>14</v>
      </c>
      <c r="F1695" s="14" t="s">
        <v>324</v>
      </c>
      <c r="G1695" s="179">
        <v>681694</v>
      </c>
      <c r="H1695" s="176" t="s">
        <v>1368</v>
      </c>
      <c r="I1695" s="176" t="s">
        <v>802</v>
      </c>
      <c r="J1695" s="176" t="s">
        <v>128</v>
      </c>
      <c r="K1695" s="176" t="s">
        <v>4807</v>
      </c>
      <c r="L1695" s="40" t="s">
        <v>46</v>
      </c>
      <c r="M1695" s="40" t="s">
        <v>341</v>
      </c>
      <c r="N1695" s="14" t="s">
        <v>1202</v>
      </c>
      <c r="O1695" s="14" t="s">
        <v>548</v>
      </c>
      <c r="P1695" s="14" t="s">
        <v>518</v>
      </c>
      <c r="Q1695" s="14" t="s">
        <v>549</v>
      </c>
      <c r="R1695" s="17">
        <v>110</v>
      </c>
      <c r="S1695" s="172" t="s">
        <v>51</v>
      </c>
      <c r="T1695" s="17">
        <v>1780</v>
      </c>
      <c r="U1695" s="14" t="s">
        <v>51</v>
      </c>
      <c r="V1695" s="16">
        <f t="shared" si="195"/>
        <v>244335</v>
      </c>
      <c r="W1695" s="16">
        <f t="shared" si="196"/>
        <v>244342</v>
      </c>
      <c r="X1695" s="16">
        <f t="shared" si="197"/>
        <v>244337</v>
      </c>
      <c r="Y1695" s="15" t="s">
        <v>54</v>
      </c>
      <c r="Z1695" s="177">
        <v>244342</v>
      </c>
      <c r="AA1695" s="170"/>
      <c r="AB1695" s="170"/>
      <c r="AC1695" s="170"/>
      <c r="AD1695" s="170"/>
      <c r="AE1695" s="15" t="s">
        <v>54</v>
      </c>
      <c r="AF1695" s="177">
        <v>244343</v>
      </c>
      <c r="AG1695" s="177" t="str">
        <f t="shared" si="198"/>
        <v>Pass</v>
      </c>
      <c r="AH1695" s="177">
        <f t="shared" si="199"/>
        <v>244343</v>
      </c>
      <c r="AK1695" s="176"/>
      <c r="AL1695" s="176"/>
    </row>
    <row r="1696" spans="1:38" ht="36" customHeight="1" x14ac:dyDescent="0.2">
      <c r="A1696" s="14" t="s">
        <v>28</v>
      </c>
      <c r="B1696" s="212">
        <v>244335</v>
      </c>
      <c r="C1696" s="14" t="s">
        <v>547</v>
      </c>
      <c r="D1696" s="14" t="s">
        <v>268</v>
      </c>
      <c r="E1696" s="14" t="s">
        <v>14</v>
      </c>
      <c r="F1696" s="14" t="s">
        <v>324</v>
      </c>
      <c r="G1696" s="179">
        <v>681695</v>
      </c>
      <c r="H1696" s="176" t="s">
        <v>4008</v>
      </c>
      <c r="I1696" s="176" t="s">
        <v>802</v>
      </c>
      <c r="J1696" s="176" t="s">
        <v>143</v>
      </c>
      <c r="K1696" s="176" t="s">
        <v>4809</v>
      </c>
      <c r="L1696" s="40" t="s">
        <v>105</v>
      </c>
      <c r="M1696" s="40" t="s">
        <v>341</v>
      </c>
      <c r="N1696" s="14" t="s">
        <v>3410</v>
      </c>
      <c r="O1696" s="14" t="s">
        <v>548</v>
      </c>
      <c r="P1696" s="14" t="s">
        <v>518</v>
      </c>
      <c r="Q1696" s="14" t="s">
        <v>549</v>
      </c>
      <c r="R1696" s="17">
        <v>320</v>
      </c>
      <c r="S1696" s="172" t="s">
        <v>51</v>
      </c>
      <c r="T1696" s="17">
        <v>1520</v>
      </c>
      <c r="U1696" s="14" t="s">
        <v>51</v>
      </c>
      <c r="V1696" s="16">
        <f t="shared" si="195"/>
        <v>244335</v>
      </c>
      <c r="W1696" s="16">
        <f t="shared" si="196"/>
        <v>244342</v>
      </c>
      <c r="X1696" s="16">
        <f t="shared" si="197"/>
        <v>244337</v>
      </c>
      <c r="Y1696" s="15" t="s">
        <v>54</v>
      </c>
      <c r="Z1696" s="177">
        <v>244342</v>
      </c>
      <c r="AA1696" s="170"/>
      <c r="AB1696" s="170"/>
      <c r="AC1696" s="170"/>
      <c r="AD1696" s="170"/>
      <c r="AE1696" s="15" t="s">
        <v>54</v>
      </c>
      <c r="AF1696" s="177">
        <v>244343</v>
      </c>
      <c r="AG1696" s="177" t="str">
        <f t="shared" si="198"/>
        <v>Pass</v>
      </c>
      <c r="AH1696" s="177">
        <f t="shared" si="199"/>
        <v>244343</v>
      </c>
      <c r="AK1696" s="176"/>
      <c r="AL1696" s="176"/>
    </row>
    <row r="1697" spans="1:38" ht="36" customHeight="1" x14ac:dyDescent="0.2">
      <c r="A1697" s="14" t="s">
        <v>28</v>
      </c>
      <c r="B1697" s="212">
        <v>244335</v>
      </c>
      <c r="C1697" s="14" t="s">
        <v>547</v>
      </c>
      <c r="D1697" s="14" t="s">
        <v>268</v>
      </c>
      <c r="E1697" s="14" t="s">
        <v>14</v>
      </c>
      <c r="F1697" s="14" t="s">
        <v>324</v>
      </c>
      <c r="G1697" s="179">
        <v>681696</v>
      </c>
      <c r="H1697" s="176">
        <v>935</v>
      </c>
      <c r="I1697" s="176" t="s">
        <v>802</v>
      </c>
      <c r="J1697" s="176" t="s">
        <v>128</v>
      </c>
      <c r="K1697" s="176" t="s">
        <v>4816</v>
      </c>
      <c r="L1697" s="40" t="s">
        <v>46</v>
      </c>
      <c r="M1697" s="40" t="s">
        <v>341</v>
      </c>
      <c r="N1697" s="14" t="s">
        <v>4822</v>
      </c>
      <c r="O1697" s="14" t="s">
        <v>543</v>
      </c>
      <c r="P1697" s="14" t="s">
        <v>4827</v>
      </c>
      <c r="Q1697" s="14" t="s">
        <v>529</v>
      </c>
      <c r="R1697" s="17">
        <v>1300</v>
      </c>
      <c r="S1697" s="172" t="s">
        <v>51</v>
      </c>
      <c r="T1697" s="17">
        <v>2650</v>
      </c>
      <c r="U1697" s="14" t="s">
        <v>51</v>
      </c>
      <c r="V1697" s="16">
        <f t="shared" si="195"/>
        <v>244335</v>
      </c>
      <c r="W1697" s="16">
        <f t="shared" si="196"/>
        <v>244342</v>
      </c>
      <c r="X1697" s="16">
        <f t="shared" si="197"/>
        <v>244337</v>
      </c>
      <c r="Y1697" s="15" t="s">
        <v>54</v>
      </c>
      <c r="Z1697" s="177">
        <v>244342</v>
      </c>
      <c r="AA1697" s="170"/>
      <c r="AB1697" s="170"/>
      <c r="AC1697" s="170"/>
      <c r="AD1697" s="170"/>
      <c r="AE1697" s="15" t="s">
        <v>54</v>
      </c>
      <c r="AF1697" s="177">
        <v>244343</v>
      </c>
      <c r="AG1697" s="177" t="str">
        <f t="shared" si="198"/>
        <v>Pass</v>
      </c>
      <c r="AH1697" s="177">
        <f t="shared" si="199"/>
        <v>244343</v>
      </c>
      <c r="AK1697" s="176"/>
      <c r="AL1697" s="176"/>
    </row>
    <row r="1698" spans="1:38" ht="36" customHeight="1" x14ac:dyDescent="0.2">
      <c r="A1698" s="14" t="s">
        <v>28</v>
      </c>
      <c r="B1698" s="212">
        <v>244335</v>
      </c>
      <c r="C1698" s="14" t="s">
        <v>547</v>
      </c>
      <c r="D1698" s="14" t="s">
        <v>268</v>
      </c>
      <c r="E1698" s="14" t="s">
        <v>14</v>
      </c>
      <c r="F1698" s="14" t="s">
        <v>324</v>
      </c>
      <c r="G1698" s="179">
        <v>681697</v>
      </c>
      <c r="H1698" s="176" t="s">
        <v>1777</v>
      </c>
      <c r="I1698" s="176" t="s">
        <v>551</v>
      </c>
      <c r="J1698" s="176" t="s">
        <v>832</v>
      </c>
      <c r="K1698" s="176" t="s">
        <v>4818</v>
      </c>
      <c r="L1698" s="40" t="s">
        <v>106</v>
      </c>
      <c r="M1698" s="40" t="s">
        <v>341</v>
      </c>
      <c r="N1698" s="14" t="s">
        <v>4823</v>
      </c>
      <c r="O1698" s="14" t="s">
        <v>548</v>
      </c>
      <c r="P1698" s="14" t="s">
        <v>518</v>
      </c>
      <c r="Q1698" s="14" t="s">
        <v>549</v>
      </c>
      <c r="R1698" s="17">
        <v>301</v>
      </c>
      <c r="S1698" s="172" t="s">
        <v>51</v>
      </c>
      <c r="T1698" s="17">
        <v>2700</v>
      </c>
      <c r="U1698" s="14" t="s">
        <v>51</v>
      </c>
      <c r="V1698" s="16">
        <f t="shared" si="195"/>
        <v>244335</v>
      </c>
      <c r="W1698" s="16">
        <f t="shared" si="196"/>
        <v>244342</v>
      </c>
      <c r="X1698" s="16">
        <f t="shared" si="197"/>
        <v>244337</v>
      </c>
      <c r="Y1698" s="15" t="s">
        <v>54</v>
      </c>
      <c r="Z1698" s="177">
        <v>244342</v>
      </c>
      <c r="AA1698" s="170"/>
      <c r="AB1698" s="170"/>
      <c r="AC1698" s="170"/>
      <c r="AD1698" s="170"/>
      <c r="AE1698" s="15" t="s">
        <v>54</v>
      </c>
      <c r="AF1698" s="177">
        <v>244343</v>
      </c>
      <c r="AG1698" s="177" t="str">
        <f t="shared" si="198"/>
        <v>Pass</v>
      </c>
      <c r="AH1698" s="177">
        <f t="shared" si="199"/>
        <v>244343</v>
      </c>
      <c r="AK1698" s="176"/>
      <c r="AL1698" s="176"/>
    </row>
    <row r="1699" spans="1:38" ht="36" customHeight="1" x14ac:dyDescent="0.2">
      <c r="A1699" s="14" t="s">
        <v>28</v>
      </c>
      <c r="B1699" s="212">
        <v>244335</v>
      </c>
      <c r="C1699" s="14" t="s">
        <v>547</v>
      </c>
      <c r="D1699" s="14" t="s">
        <v>268</v>
      </c>
      <c r="E1699" s="14" t="s">
        <v>14</v>
      </c>
      <c r="F1699" s="14" t="s">
        <v>324</v>
      </c>
      <c r="G1699" s="179">
        <v>681698</v>
      </c>
      <c r="H1699" s="176" t="s">
        <v>4008</v>
      </c>
      <c r="I1699" s="176" t="s">
        <v>802</v>
      </c>
      <c r="J1699" s="176" t="s">
        <v>143</v>
      </c>
      <c r="K1699" s="176" t="s">
        <v>4809</v>
      </c>
      <c r="L1699" s="40" t="s">
        <v>105</v>
      </c>
      <c r="M1699" s="40" t="s">
        <v>341</v>
      </c>
      <c r="N1699" s="14" t="s">
        <v>4829</v>
      </c>
      <c r="O1699" s="14" t="s">
        <v>552</v>
      </c>
      <c r="P1699" s="14" t="s">
        <v>793</v>
      </c>
      <c r="Q1699" s="14" t="s">
        <v>553</v>
      </c>
      <c r="R1699" s="17">
        <v>3825</v>
      </c>
      <c r="S1699" s="172" t="s">
        <v>51</v>
      </c>
      <c r="T1699" s="17">
        <v>4553</v>
      </c>
      <c r="U1699" s="14" t="s">
        <v>51</v>
      </c>
      <c r="V1699" s="16">
        <f t="shared" si="195"/>
        <v>244335</v>
      </c>
      <c r="W1699" s="16">
        <f t="shared" si="196"/>
        <v>244342</v>
      </c>
      <c r="X1699" s="16">
        <f t="shared" si="197"/>
        <v>244337</v>
      </c>
      <c r="Y1699" s="15" t="s">
        <v>54</v>
      </c>
      <c r="Z1699" s="177">
        <v>244342</v>
      </c>
      <c r="AA1699" s="170"/>
      <c r="AB1699" s="170"/>
      <c r="AC1699" s="170"/>
      <c r="AD1699" s="170"/>
      <c r="AE1699" s="15" t="s">
        <v>54</v>
      </c>
      <c r="AF1699" s="177">
        <v>244343</v>
      </c>
      <c r="AG1699" s="177" t="str">
        <f t="shared" si="198"/>
        <v>Pass</v>
      </c>
      <c r="AH1699" s="177">
        <f t="shared" si="199"/>
        <v>244343</v>
      </c>
      <c r="AK1699" s="176"/>
      <c r="AL1699" s="176"/>
    </row>
    <row r="1700" spans="1:38" ht="36" customHeight="1" x14ac:dyDescent="0.2">
      <c r="A1700" s="14" t="s">
        <v>28</v>
      </c>
      <c r="B1700" s="212">
        <v>244335</v>
      </c>
      <c r="C1700" s="14" t="s">
        <v>547</v>
      </c>
      <c r="D1700" s="14" t="s">
        <v>268</v>
      </c>
      <c r="E1700" s="14" t="s">
        <v>14</v>
      </c>
      <c r="F1700" s="14" t="s">
        <v>324</v>
      </c>
      <c r="G1700" s="179">
        <v>681699</v>
      </c>
      <c r="H1700" s="176" t="s">
        <v>1777</v>
      </c>
      <c r="I1700" s="176" t="s">
        <v>551</v>
      </c>
      <c r="J1700" s="176" t="s">
        <v>832</v>
      </c>
      <c r="K1700" s="176" t="s">
        <v>4818</v>
      </c>
      <c r="L1700" s="40" t="s">
        <v>106</v>
      </c>
      <c r="M1700" s="40" t="s">
        <v>341</v>
      </c>
      <c r="N1700" s="14" t="s">
        <v>4830</v>
      </c>
      <c r="O1700" s="14" t="s">
        <v>528</v>
      </c>
      <c r="P1700" s="14" t="s">
        <v>4267</v>
      </c>
      <c r="Q1700" s="14" t="s">
        <v>541</v>
      </c>
      <c r="R1700" s="17">
        <v>300</v>
      </c>
      <c r="S1700" s="172" t="s">
        <v>51</v>
      </c>
      <c r="T1700" s="17">
        <v>2734</v>
      </c>
      <c r="U1700" s="14" t="s">
        <v>51</v>
      </c>
      <c r="V1700" s="16">
        <f t="shared" si="195"/>
        <v>244335</v>
      </c>
      <c r="W1700" s="16">
        <f t="shared" si="196"/>
        <v>244342</v>
      </c>
      <c r="X1700" s="16">
        <f t="shared" si="197"/>
        <v>244337</v>
      </c>
      <c r="Y1700" s="15" t="s">
        <v>54</v>
      </c>
      <c r="Z1700" s="177">
        <v>244342</v>
      </c>
      <c r="AA1700" s="170"/>
      <c r="AB1700" s="170"/>
      <c r="AC1700" s="170"/>
      <c r="AD1700" s="170"/>
      <c r="AE1700" s="15" t="s">
        <v>54</v>
      </c>
      <c r="AF1700" s="177">
        <v>244343</v>
      </c>
      <c r="AG1700" s="177" t="str">
        <f t="shared" si="198"/>
        <v>Pass</v>
      </c>
      <c r="AH1700" s="177">
        <f t="shared" si="199"/>
        <v>244343</v>
      </c>
      <c r="AK1700" s="176"/>
      <c r="AL1700" s="176"/>
    </row>
    <row r="1701" spans="1:38" ht="36" customHeight="1" x14ac:dyDescent="0.2">
      <c r="A1701" s="14" t="s">
        <v>28</v>
      </c>
      <c r="B1701" s="212">
        <v>244335</v>
      </c>
      <c r="C1701" s="14" t="s">
        <v>547</v>
      </c>
      <c r="D1701" s="14" t="s">
        <v>268</v>
      </c>
      <c r="E1701" s="14" t="s">
        <v>14</v>
      </c>
      <c r="F1701" s="14" t="s">
        <v>324</v>
      </c>
      <c r="G1701" s="179">
        <v>681700</v>
      </c>
      <c r="H1701" s="176">
        <v>935</v>
      </c>
      <c r="I1701" s="176" t="s">
        <v>802</v>
      </c>
      <c r="J1701" s="176" t="s">
        <v>128</v>
      </c>
      <c r="K1701" s="176" t="s">
        <v>4816</v>
      </c>
      <c r="L1701" s="40" t="s">
        <v>46</v>
      </c>
      <c r="M1701" s="40" t="s">
        <v>341</v>
      </c>
      <c r="N1701" s="14" t="s">
        <v>4831</v>
      </c>
      <c r="O1701" s="14" t="s">
        <v>528</v>
      </c>
      <c r="P1701" s="14" t="s">
        <v>1152</v>
      </c>
      <c r="Q1701" s="14" t="s">
        <v>541</v>
      </c>
      <c r="R1701" s="17">
        <v>2400</v>
      </c>
      <c r="S1701" s="172" t="s">
        <v>51</v>
      </c>
      <c r="T1701" s="17">
        <v>2475</v>
      </c>
      <c r="U1701" s="14" t="s">
        <v>51</v>
      </c>
      <c r="V1701" s="16">
        <f t="shared" si="195"/>
        <v>244335</v>
      </c>
      <c r="W1701" s="16">
        <f t="shared" si="196"/>
        <v>244342</v>
      </c>
      <c r="X1701" s="16">
        <f t="shared" si="197"/>
        <v>244337</v>
      </c>
      <c r="Y1701" s="15" t="s">
        <v>54</v>
      </c>
      <c r="Z1701" s="177">
        <v>244342</v>
      </c>
      <c r="AA1701" s="170"/>
      <c r="AB1701" s="170"/>
      <c r="AC1701" s="170"/>
      <c r="AD1701" s="170"/>
      <c r="AE1701" s="15" t="s">
        <v>54</v>
      </c>
      <c r="AF1701" s="177">
        <v>244343</v>
      </c>
      <c r="AG1701" s="177" t="str">
        <f t="shared" si="198"/>
        <v>Pass</v>
      </c>
      <c r="AH1701" s="177">
        <f t="shared" si="199"/>
        <v>244343</v>
      </c>
      <c r="AK1701" s="176"/>
      <c r="AL1701" s="176"/>
    </row>
    <row r="1702" spans="1:38" ht="36" customHeight="1" x14ac:dyDescent="0.2">
      <c r="A1702" s="14" t="s">
        <v>28</v>
      </c>
      <c r="B1702" s="212">
        <v>244335</v>
      </c>
      <c r="C1702" s="14" t="s">
        <v>547</v>
      </c>
      <c r="D1702" s="14" t="s">
        <v>268</v>
      </c>
      <c r="E1702" s="14" t="s">
        <v>14</v>
      </c>
      <c r="F1702" s="14" t="s">
        <v>324</v>
      </c>
      <c r="G1702" s="179">
        <v>681701</v>
      </c>
      <c r="H1702" s="176" t="s">
        <v>861</v>
      </c>
      <c r="I1702" s="176" t="s">
        <v>551</v>
      </c>
      <c r="J1702" s="176" t="s">
        <v>832</v>
      </c>
      <c r="K1702" s="176" t="s">
        <v>4828</v>
      </c>
      <c r="L1702" s="40" t="s">
        <v>106</v>
      </c>
      <c r="M1702" s="40" t="s">
        <v>341</v>
      </c>
      <c r="N1702" s="14" t="s">
        <v>4832</v>
      </c>
      <c r="O1702" s="14" t="s">
        <v>528</v>
      </c>
      <c r="P1702" s="14" t="s">
        <v>1152</v>
      </c>
      <c r="Q1702" s="14" t="s">
        <v>541</v>
      </c>
      <c r="R1702" s="17">
        <v>900</v>
      </c>
      <c r="S1702" s="172" t="s">
        <v>51</v>
      </c>
      <c r="T1702" s="17">
        <v>2825</v>
      </c>
      <c r="U1702" s="14" t="s">
        <v>51</v>
      </c>
      <c r="V1702" s="16">
        <f t="shared" si="195"/>
        <v>244335</v>
      </c>
      <c r="W1702" s="16">
        <f t="shared" si="196"/>
        <v>244342</v>
      </c>
      <c r="X1702" s="16">
        <f t="shared" si="197"/>
        <v>244337</v>
      </c>
      <c r="Y1702" s="15" t="s">
        <v>54</v>
      </c>
      <c r="Z1702" s="177">
        <v>244342</v>
      </c>
      <c r="AA1702" s="170"/>
      <c r="AB1702" s="170"/>
      <c r="AC1702" s="170"/>
      <c r="AD1702" s="170"/>
      <c r="AE1702" s="15" t="s">
        <v>54</v>
      </c>
      <c r="AF1702" s="177">
        <v>244343</v>
      </c>
      <c r="AG1702" s="177" t="str">
        <f t="shared" si="198"/>
        <v>Pass</v>
      </c>
      <c r="AH1702" s="177">
        <f t="shared" si="199"/>
        <v>244343</v>
      </c>
      <c r="AK1702" s="176"/>
      <c r="AL1702" s="176"/>
    </row>
    <row r="1703" spans="1:38" ht="36" customHeight="1" x14ac:dyDescent="0.2">
      <c r="A1703" s="14" t="s">
        <v>28</v>
      </c>
      <c r="B1703" s="212">
        <v>244336</v>
      </c>
      <c r="C1703" s="14" t="s">
        <v>547</v>
      </c>
      <c r="D1703" s="14" t="s">
        <v>268</v>
      </c>
      <c r="E1703" s="14" t="s">
        <v>14</v>
      </c>
      <c r="F1703" s="14" t="s">
        <v>324</v>
      </c>
      <c r="G1703" s="179">
        <v>681702</v>
      </c>
      <c r="H1703" s="176" t="s">
        <v>2117</v>
      </c>
      <c r="I1703" s="176" t="s">
        <v>612</v>
      </c>
      <c r="J1703" s="176" t="s">
        <v>727</v>
      </c>
      <c r="K1703" s="176" t="s">
        <v>4834</v>
      </c>
      <c r="L1703" s="40" t="s">
        <v>45</v>
      </c>
      <c r="M1703" s="40" t="s">
        <v>341</v>
      </c>
      <c r="N1703" s="14" t="s">
        <v>1882</v>
      </c>
      <c r="O1703" s="14" t="s">
        <v>548</v>
      </c>
      <c r="P1703" s="14" t="s">
        <v>518</v>
      </c>
      <c r="Q1703" s="14" t="s">
        <v>549</v>
      </c>
      <c r="R1703" s="17">
        <v>129</v>
      </c>
      <c r="S1703" s="172" t="s">
        <v>51</v>
      </c>
      <c r="T1703" s="17">
        <v>1380</v>
      </c>
      <c r="U1703" s="14" t="s">
        <v>51</v>
      </c>
      <c r="V1703" s="16">
        <f t="shared" si="195"/>
        <v>244336</v>
      </c>
      <c r="W1703" s="16">
        <f t="shared" si="196"/>
        <v>244343</v>
      </c>
      <c r="X1703" s="16">
        <f t="shared" si="197"/>
        <v>244338</v>
      </c>
      <c r="Y1703" s="15" t="s">
        <v>54</v>
      </c>
      <c r="Z1703" s="177">
        <v>244342</v>
      </c>
      <c r="AA1703" s="170"/>
      <c r="AB1703" s="170"/>
      <c r="AC1703" s="170"/>
      <c r="AD1703" s="170"/>
      <c r="AE1703" s="15" t="s">
        <v>54</v>
      </c>
      <c r="AF1703" s="177">
        <v>244343</v>
      </c>
      <c r="AG1703" s="177" t="str">
        <f t="shared" si="198"/>
        <v>Pass</v>
      </c>
      <c r="AH1703" s="177">
        <f t="shared" si="199"/>
        <v>244343</v>
      </c>
      <c r="AK1703" s="176"/>
      <c r="AL1703" s="176"/>
    </row>
    <row r="1704" spans="1:38" ht="36" customHeight="1" x14ac:dyDescent="0.2">
      <c r="A1704" s="14" t="s">
        <v>28</v>
      </c>
      <c r="B1704" s="212">
        <v>244336</v>
      </c>
      <c r="C1704" s="14" t="s">
        <v>547</v>
      </c>
      <c r="D1704" s="14" t="s">
        <v>268</v>
      </c>
      <c r="E1704" s="14" t="s">
        <v>14</v>
      </c>
      <c r="F1704" s="14" t="s">
        <v>324</v>
      </c>
      <c r="G1704" s="179">
        <v>681703</v>
      </c>
      <c r="H1704" s="176">
        <v>935</v>
      </c>
      <c r="I1704" s="176" t="s">
        <v>802</v>
      </c>
      <c r="J1704" s="176" t="s">
        <v>128</v>
      </c>
      <c r="K1704" s="176" t="s">
        <v>4816</v>
      </c>
      <c r="L1704" s="40" t="s">
        <v>46</v>
      </c>
      <c r="M1704" s="40" t="s">
        <v>341</v>
      </c>
      <c r="N1704" s="14" t="s">
        <v>1065</v>
      </c>
      <c r="O1704" s="14" t="s">
        <v>548</v>
      </c>
      <c r="P1704" s="14" t="s">
        <v>518</v>
      </c>
      <c r="Q1704" s="14" t="s">
        <v>549</v>
      </c>
      <c r="R1704" s="17">
        <v>145</v>
      </c>
      <c r="S1704" s="172" t="s">
        <v>51</v>
      </c>
      <c r="T1704" s="17">
        <v>2260</v>
      </c>
      <c r="U1704" s="14" t="s">
        <v>51</v>
      </c>
      <c r="V1704" s="16">
        <f t="shared" si="195"/>
        <v>244336</v>
      </c>
      <c r="W1704" s="16">
        <f t="shared" si="196"/>
        <v>244343</v>
      </c>
      <c r="X1704" s="16">
        <f t="shared" si="197"/>
        <v>244338</v>
      </c>
      <c r="Y1704" s="15" t="s">
        <v>54</v>
      </c>
      <c r="Z1704" s="177">
        <v>244342</v>
      </c>
      <c r="AA1704" s="170"/>
      <c r="AB1704" s="170"/>
      <c r="AC1704" s="170"/>
      <c r="AD1704" s="170"/>
      <c r="AE1704" s="15" t="s">
        <v>54</v>
      </c>
      <c r="AF1704" s="177">
        <v>244343</v>
      </c>
      <c r="AG1704" s="177" t="str">
        <f t="shared" si="198"/>
        <v>Pass</v>
      </c>
      <c r="AH1704" s="177">
        <f t="shared" si="199"/>
        <v>244343</v>
      </c>
      <c r="AK1704" s="176"/>
      <c r="AL1704" s="176"/>
    </row>
    <row r="1705" spans="1:38" ht="36" customHeight="1" x14ac:dyDescent="0.2">
      <c r="A1705" s="14" t="s">
        <v>28</v>
      </c>
      <c r="B1705" s="212">
        <v>244336</v>
      </c>
      <c r="C1705" s="14" t="s">
        <v>547</v>
      </c>
      <c r="D1705" s="14" t="s">
        <v>268</v>
      </c>
      <c r="E1705" s="14" t="s">
        <v>14</v>
      </c>
      <c r="F1705" s="14" t="s">
        <v>324</v>
      </c>
      <c r="G1705" s="179">
        <v>681704</v>
      </c>
      <c r="H1705" s="176" t="s">
        <v>4413</v>
      </c>
      <c r="I1705" s="176" t="s">
        <v>960</v>
      </c>
      <c r="J1705" s="176" t="s">
        <v>127</v>
      </c>
      <c r="K1705" s="176" t="s">
        <v>4835</v>
      </c>
      <c r="L1705" s="40" t="s">
        <v>108</v>
      </c>
      <c r="M1705" s="40" t="s">
        <v>341</v>
      </c>
      <c r="N1705" s="14" t="s">
        <v>1085</v>
      </c>
      <c r="O1705" s="14" t="s">
        <v>548</v>
      </c>
      <c r="P1705" s="14" t="s">
        <v>518</v>
      </c>
      <c r="Q1705" s="14" t="s">
        <v>549</v>
      </c>
      <c r="R1705" s="17">
        <v>204</v>
      </c>
      <c r="S1705" s="172" t="s">
        <v>51</v>
      </c>
      <c r="T1705" s="17">
        <v>3095</v>
      </c>
      <c r="U1705" s="14" t="s">
        <v>51</v>
      </c>
      <c r="V1705" s="16">
        <f t="shared" si="195"/>
        <v>244336</v>
      </c>
      <c r="W1705" s="16">
        <f t="shared" si="196"/>
        <v>244343</v>
      </c>
      <c r="X1705" s="16">
        <f t="shared" si="197"/>
        <v>244338</v>
      </c>
      <c r="Y1705" s="15" t="s">
        <v>54</v>
      </c>
      <c r="Z1705" s="177">
        <v>244342</v>
      </c>
      <c r="AA1705" s="170"/>
      <c r="AB1705" s="170"/>
      <c r="AC1705" s="170"/>
      <c r="AD1705" s="170"/>
      <c r="AE1705" s="15" t="s">
        <v>54</v>
      </c>
      <c r="AF1705" s="177">
        <v>244343</v>
      </c>
      <c r="AG1705" s="177" t="str">
        <f t="shared" si="198"/>
        <v>Pass</v>
      </c>
      <c r="AH1705" s="177">
        <f t="shared" si="199"/>
        <v>244343</v>
      </c>
      <c r="AK1705" s="176"/>
      <c r="AL1705" s="176"/>
    </row>
    <row r="1706" spans="1:38" ht="36" customHeight="1" x14ac:dyDescent="0.2">
      <c r="A1706" s="14" t="s">
        <v>28</v>
      </c>
      <c r="B1706" s="212">
        <v>244336</v>
      </c>
      <c r="C1706" s="14" t="s">
        <v>547</v>
      </c>
      <c r="D1706" s="14" t="s">
        <v>268</v>
      </c>
      <c r="E1706" s="14" t="s">
        <v>14</v>
      </c>
      <c r="F1706" s="14" t="s">
        <v>324</v>
      </c>
      <c r="G1706" s="179">
        <v>681705</v>
      </c>
      <c r="H1706" s="176" t="s">
        <v>4833</v>
      </c>
      <c r="I1706" s="176" t="s">
        <v>1633</v>
      </c>
      <c r="J1706" s="176" t="s">
        <v>1634</v>
      </c>
      <c r="K1706" s="176" t="s">
        <v>4836</v>
      </c>
      <c r="L1706" s="40" t="s">
        <v>106</v>
      </c>
      <c r="M1706" s="40" t="s">
        <v>341</v>
      </c>
      <c r="N1706" s="14" t="s">
        <v>4837</v>
      </c>
      <c r="O1706" s="14" t="s">
        <v>548</v>
      </c>
      <c r="P1706" s="14" t="s">
        <v>518</v>
      </c>
      <c r="Q1706" s="14" t="s">
        <v>549</v>
      </c>
      <c r="R1706" s="17">
        <v>200</v>
      </c>
      <c r="S1706" s="172" t="s">
        <v>51</v>
      </c>
      <c r="T1706" s="17">
        <v>1465</v>
      </c>
      <c r="U1706" s="14" t="s">
        <v>51</v>
      </c>
      <c r="V1706" s="16">
        <f t="shared" si="195"/>
        <v>244336</v>
      </c>
      <c r="W1706" s="16">
        <f t="shared" si="196"/>
        <v>244343</v>
      </c>
      <c r="X1706" s="16">
        <f t="shared" si="197"/>
        <v>244338</v>
      </c>
      <c r="Y1706" s="15" t="s">
        <v>54</v>
      </c>
      <c r="Z1706" s="177">
        <v>244342</v>
      </c>
      <c r="AA1706" s="170"/>
      <c r="AB1706" s="170"/>
      <c r="AC1706" s="170"/>
      <c r="AD1706" s="170"/>
      <c r="AE1706" s="15" t="s">
        <v>54</v>
      </c>
      <c r="AF1706" s="177">
        <v>244343</v>
      </c>
      <c r="AG1706" s="177" t="str">
        <f t="shared" si="198"/>
        <v>Pass</v>
      </c>
      <c r="AH1706" s="177">
        <f t="shared" si="199"/>
        <v>244343</v>
      </c>
      <c r="AK1706" s="176"/>
      <c r="AL1706" s="176"/>
    </row>
    <row r="1707" spans="1:38" ht="36" customHeight="1" x14ac:dyDescent="0.2">
      <c r="A1707" s="14" t="s">
        <v>28</v>
      </c>
      <c r="B1707" s="212">
        <v>244337</v>
      </c>
      <c r="C1707" s="14" t="s">
        <v>547</v>
      </c>
      <c r="D1707" s="14" t="s">
        <v>268</v>
      </c>
      <c r="E1707" s="14" t="s">
        <v>14</v>
      </c>
      <c r="F1707" s="14" t="s">
        <v>324</v>
      </c>
      <c r="G1707" s="179">
        <v>681706</v>
      </c>
      <c r="H1707" s="176" t="s">
        <v>4838</v>
      </c>
      <c r="I1707" s="176" t="s">
        <v>802</v>
      </c>
      <c r="J1707" s="176" t="s">
        <v>143</v>
      </c>
      <c r="K1707" s="176" t="s">
        <v>4839</v>
      </c>
      <c r="L1707" s="40" t="s">
        <v>105</v>
      </c>
      <c r="M1707" s="40" t="s">
        <v>341</v>
      </c>
      <c r="N1707" s="14" t="s">
        <v>4845</v>
      </c>
      <c r="O1707" s="14" t="s">
        <v>4306</v>
      </c>
      <c r="P1707" s="14" t="s">
        <v>4851</v>
      </c>
      <c r="Q1707" s="14" t="s">
        <v>4311</v>
      </c>
      <c r="R1707" s="17">
        <v>1000</v>
      </c>
      <c r="S1707" s="172" t="s">
        <v>51</v>
      </c>
      <c r="T1707" s="17">
        <v>2300</v>
      </c>
      <c r="U1707" s="14" t="s">
        <v>51</v>
      </c>
      <c r="V1707" s="16">
        <f t="shared" si="195"/>
        <v>244337</v>
      </c>
      <c r="W1707" s="16">
        <f t="shared" si="196"/>
        <v>244344</v>
      </c>
      <c r="X1707" s="16">
        <f t="shared" si="197"/>
        <v>244339</v>
      </c>
      <c r="Y1707" s="15" t="s">
        <v>54</v>
      </c>
      <c r="Z1707" s="177">
        <v>244342</v>
      </c>
      <c r="AA1707" s="170"/>
      <c r="AB1707" s="170"/>
      <c r="AC1707" s="170"/>
      <c r="AD1707" s="170"/>
      <c r="AE1707" s="15" t="s">
        <v>54</v>
      </c>
      <c r="AF1707" s="177">
        <v>244343</v>
      </c>
      <c r="AG1707" s="177" t="str">
        <f t="shared" si="198"/>
        <v>Pass</v>
      </c>
      <c r="AH1707" s="177">
        <f t="shared" si="199"/>
        <v>244343</v>
      </c>
      <c r="AK1707" s="176"/>
      <c r="AL1707" s="176"/>
    </row>
    <row r="1708" spans="1:38" ht="36" customHeight="1" x14ac:dyDescent="0.2">
      <c r="A1708" s="14" t="s">
        <v>28</v>
      </c>
      <c r="B1708" s="212">
        <v>244337</v>
      </c>
      <c r="C1708" s="14" t="s">
        <v>547</v>
      </c>
      <c r="D1708" s="14" t="s">
        <v>268</v>
      </c>
      <c r="E1708" s="14" t="s">
        <v>14</v>
      </c>
      <c r="F1708" s="14" t="s">
        <v>324</v>
      </c>
      <c r="G1708" s="179">
        <v>681707</v>
      </c>
      <c r="H1708" s="176">
        <v>952</v>
      </c>
      <c r="I1708" s="176" t="s">
        <v>802</v>
      </c>
      <c r="J1708" s="176" t="s">
        <v>131</v>
      </c>
      <c r="K1708" s="176" t="s">
        <v>4840</v>
      </c>
      <c r="L1708" s="40" t="s">
        <v>45</v>
      </c>
      <c r="M1708" s="40" t="s">
        <v>341</v>
      </c>
      <c r="N1708" s="14" t="s">
        <v>4846</v>
      </c>
      <c r="O1708" s="14" t="s">
        <v>543</v>
      </c>
      <c r="P1708" s="14" t="s">
        <v>4852</v>
      </c>
      <c r="Q1708" s="14" t="s">
        <v>529</v>
      </c>
      <c r="R1708" s="17">
        <v>900</v>
      </c>
      <c r="S1708" s="172" t="s">
        <v>51</v>
      </c>
      <c r="T1708" s="17">
        <v>1900</v>
      </c>
      <c r="U1708" s="14" t="s">
        <v>51</v>
      </c>
      <c r="V1708" s="16">
        <f t="shared" si="195"/>
        <v>244337</v>
      </c>
      <c r="W1708" s="16">
        <f t="shared" si="196"/>
        <v>244344</v>
      </c>
      <c r="X1708" s="16">
        <f t="shared" si="197"/>
        <v>244339</v>
      </c>
      <c r="Y1708" s="15" t="s">
        <v>54</v>
      </c>
      <c r="Z1708" s="177">
        <v>244342</v>
      </c>
      <c r="AA1708" s="170"/>
      <c r="AB1708" s="170"/>
      <c r="AC1708" s="170"/>
      <c r="AD1708" s="170"/>
      <c r="AE1708" s="15" t="s">
        <v>54</v>
      </c>
      <c r="AF1708" s="177">
        <v>244343</v>
      </c>
      <c r="AG1708" s="177" t="str">
        <f t="shared" si="198"/>
        <v>Pass</v>
      </c>
      <c r="AH1708" s="177">
        <f t="shared" si="199"/>
        <v>244343</v>
      </c>
      <c r="AK1708" s="176"/>
      <c r="AL1708" s="176"/>
    </row>
    <row r="1709" spans="1:38" ht="36" customHeight="1" x14ac:dyDescent="0.2">
      <c r="A1709" s="14" t="s">
        <v>28</v>
      </c>
      <c r="B1709" s="212">
        <v>244337</v>
      </c>
      <c r="C1709" s="14" t="s">
        <v>547</v>
      </c>
      <c r="D1709" s="14" t="s">
        <v>268</v>
      </c>
      <c r="E1709" s="14" t="s">
        <v>14</v>
      </c>
      <c r="F1709" s="14" t="s">
        <v>324</v>
      </c>
      <c r="G1709" s="179">
        <v>681708</v>
      </c>
      <c r="H1709" s="176" t="s">
        <v>886</v>
      </c>
      <c r="I1709" s="176" t="s">
        <v>630</v>
      </c>
      <c r="J1709" s="176" t="s">
        <v>821</v>
      </c>
      <c r="K1709" s="176" t="s">
        <v>4841</v>
      </c>
      <c r="L1709" s="40" t="s">
        <v>124</v>
      </c>
      <c r="M1709" s="40" t="s">
        <v>341</v>
      </c>
      <c r="N1709" s="14" t="s">
        <v>4847</v>
      </c>
      <c r="O1709" s="14" t="s">
        <v>548</v>
      </c>
      <c r="P1709" s="14" t="s">
        <v>717</v>
      </c>
      <c r="Q1709" s="14" t="s">
        <v>549</v>
      </c>
      <c r="R1709" s="17">
        <v>300</v>
      </c>
      <c r="S1709" s="172" t="s">
        <v>51</v>
      </c>
      <c r="T1709" s="17">
        <v>5044</v>
      </c>
      <c r="U1709" s="14" t="s">
        <v>51</v>
      </c>
      <c r="V1709" s="16">
        <f t="shared" si="195"/>
        <v>244337</v>
      </c>
      <c r="W1709" s="16">
        <f t="shared" si="196"/>
        <v>244344</v>
      </c>
      <c r="X1709" s="16">
        <f t="shared" si="197"/>
        <v>244339</v>
      </c>
      <c r="Y1709" s="15" t="s">
        <v>54</v>
      </c>
      <c r="Z1709" s="177">
        <v>244342</v>
      </c>
      <c r="AA1709" s="170"/>
      <c r="AB1709" s="170"/>
      <c r="AC1709" s="170"/>
      <c r="AD1709" s="170"/>
      <c r="AE1709" s="15" t="s">
        <v>54</v>
      </c>
      <c r="AF1709" s="177">
        <v>244343</v>
      </c>
      <c r="AG1709" s="177" t="str">
        <f t="shared" si="198"/>
        <v>Pass</v>
      </c>
      <c r="AH1709" s="177">
        <f t="shared" si="199"/>
        <v>244343</v>
      </c>
      <c r="AK1709" s="176"/>
      <c r="AL1709" s="176"/>
    </row>
    <row r="1710" spans="1:38" ht="36" customHeight="1" x14ac:dyDescent="0.2">
      <c r="A1710" s="14" t="s">
        <v>28</v>
      </c>
      <c r="B1710" s="212">
        <v>244337</v>
      </c>
      <c r="C1710" s="14" t="s">
        <v>547</v>
      </c>
      <c r="D1710" s="14" t="s">
        <v>268</v>
      </c>
      <c r="E1710" s="14" t="s">
        <v>14</v>
      </c>
      <c r="F1710" s="14" t="s">
        <v>324</v>
      </c>
      <c r="G1710" s="179">
        <v>681709</v>
      </c>
      <c r="H1710" s="176" t="s">
        <v>772</v>
      </c>
      <c r="I1710" s="176" t="s">
        <v>4727</v>
      </c>
      <c r="J1710" s="176" t="s">
        <v>123</v>
      </c>
      <c r="K1710" s="176" t="s">
        <v>4842</v>
      </c>
      <c r="L1710" s="40" t="s">
        <v>46</v>
      </c>
      <c r="M1710" s="40" t="s">
        <v>341</v>
      </c>
      <c r="N1710" s="14" t="s">
        <v>4848</v>
      </c>
      <c r="O1710" s="14" t="s">
        <v>552</v>
      </c>
      <c r="P1710" s="14" t="s">
        <v>793</v>
      </c>
      <c r="Q1710" s="14" t="s">
        <v>553</v>
      </c>
      <c r="R1710" s="17">
        <v>918</v>
      </c>
      <c r="S1710" s="172" t="s">
        <v>51</v>
      </c>
      <c r="T1710" s="17">
        <v>1290</v>
      </c>
      <c r="U1710" s="14" t="s">
        <v>51</v>
      </c>
      <c r="V1710" s="16">
        <f t="shared" si="195"/>
        <v>244337</v>
      </c>
      <c r="W1710" s="16">
        <f t="shared" si="196"/>
        <v>244344</v>
      </c>
      <c r="X1710" s="16">
        <f t="shared" si="197"/>
        <v>244339</v>
      </c>
      <c r="Y1710" s="15" t="s">
        <v>54</v>
      </c>
      <c r="Z1710" s="177">
        <v>244342</v>
      </c>
      <c r="AA1710" s="170"/>
      <c r="AB1710" s="170"/>
      <c r="AC1710" s="170"/>
      <c r="AD1710" s="170"/>
      <c r="AE1710" s="15" t="s">
        <v>54</v>
      </c>
      <c r="AF1710" s="177">
        <v>244343</v>
      </c>
      <c r="AG1710" s="177" t="str">
        <f t="shared" si="198"/>
        <v>Pass</v>
      </c>
      <c r="AH1710" s="177">
        <f t="shared" si="199"/>
        <v>244343</v>
      </c>
      <c r="AK1710" s="176"/>
      <c r="AL1710" s="176"/>
    </row>
    <row r="1711" spans="1:38" ht="36" customHeight="1" x14ac:dyDescent="0.2">
      <c r="A1711" s="14" t="s">
        <v>28</v>
      </c>
      <c r="B1711" s="212">
        <v>244337</v>
      </c>
      <c r="C1711" s="14" t="s">
        <v>547</v>
      </c>
      <c r="D1711" s="14" t="s">
        <v>268</v>
      </c>
      <c r="E1711" s="14" t="s">
        <v>14</v>
      </c>
      <c r="F1711" s="14" t="s">
        <v>324</v>
      </c>
      <c r="G1711" s="179">
        <v>681710</v>
      </c>
      <c r="H1711" s="176" t="s">
        <v>1871</v>
      </c>
      <c r="I1711" s="176" t="s">
        <v>630</v>
      </c>
      <c r="J1711" s="176" t="s">
        <v>520</v>
      </c>
      <c r="K1711" s="176" t="s">
        <v>4843</v>
      </c>
      <c r="L1711" s="40" t="s">
        <v>124</v>
      </c>
      <c r="M1711" s="40" t="s">
        <v>341</v>
      </c>
      <c r="N1711" s="14" t="s">
        <v>4849</v>
      </c>
      <c r="O1711" s="14" t="s">
        <v>552</v>
      </c>
      <c r="P1711" s="14" t="s">
        <v>519</v>
      </c>
      <c r="Q1711" s="14" t="s">
        <v>553</v>
      </c>
      <c r="R1711" s="17">
        <v>560</v>
      </c>
      <c r="S1711" s="172" t="s">
        <v>51</v>
      </c>
      <c r="T1711" s="17">
        <v>2039</v>
      </c>
      <c r="U1711" s="14" t="s">
        <v>51</v>
      </c>
      <c r="V1711" s="16">
        <f t="shared" si="195"/>
        <v>244337</v>
      </c>
      <c r="W1711" s="16">
        <f t="shared" si="196"/>
        <v>244344</v>
      </c>
      <c r="X1711" s="16">
        <f t="shared" si="197"/>
        <v>244339</v>
      </c>
      <c r="Y1711" s="15" t="s">
        <v>54</v>
      </c>
      <c r="Z1711" s="177">
        <v>244342</v>
      </c>
      <c r="AA1711" s="170"/>
      <c r="AB1711" s="170"/>
      <c r="AC1711" s="170"/>
      <c r="AD1711" s="170"/>
      <c r="AE1711" s="15" t="s">
        <v>54</v>
      </c>
      <c r="AF1711" s="177">
        <v>244343</v>
      </c>
      <c r="AG1711" s="177" t="str">
        <f t="shared" si="198"/>
        <v>Pass</v>
      </c>
      <c r="AH1711" s="177">
        <f t="shared" si="199"/>
        <v>244343</v>
      </c>
      <c r="AK1711" s="176"/>
      <c r="AL1711" s="176"/>
    </row>
    <row r="1712" spans="1:38" ht="36" customHeight="1" x14ac:dyDescent="0.2">
      <c r="A1712" s="14" t="s">
        <v>28</v>
      </c>
      <c r="B1712" s="212">
        <v>244337</v>
      </c>
      <c r="C1712" s="14" t="s">
        <v>547</v>
      </c>
      <c r="D1712" s="14" t="s">
        <v>268</v>
      </c>
      <c r="E1712" s="14" t="s">
        <v>14</v>
      </c>
      <c r="F1712" s="14" t="s">
        <v>324</v>
      </c>
      <c r="G1712" s="179">
        <v>681711</v>
      </c>
      <c r="H1712" s="176" t="s">
        <v>772</v>
      </c>
      <c r="I1712" s="176" t="s">
        <v>4727</v>
      </c>
      <c r="J1712" s="176" t="s">
        <v>776</v>
      </c>
      <c r="K1712" s="176" t="s">
        <v>4844</v>
      </c>
      <c r="L1712" s="40" t="s">
        <v>46</v>
      </c>
      <c r="M1712" s="40" t="s">
        <v>341</v>
      </c>
      <c r="N1712" s="14" t="s">
        <v>4850</v>
      </c>
      <c r="O1712" s="14" t="s">
        <v>528</v>
      </c>
      <c r="P1712" s="14" t="s">
        <v>4853</v>
      </c>
      <c r="Q1712" s="14" t="s">
        <v>541</v>
      </c>
      <c r="R1712" s="17">
        <v>1025</v>
      </c>
      <c r="S1712" s="172" t="s">
        <v>51</v>
      </c>
      <c r="T1712" s="17">
        <v>1720</v>
      </c>
      <c r="U1712" s="14" t="s">
        <v>51</v>
      </c>
      <c r="V1712" s="16">
        <f t="shared" si="195"/>
        <v>244337</v>
      </c>
      <c r="W1712" s="16">
        <f t="shared" si="196"/>
        <v>244344</v>
      </c>
      <c r="X1712" s="16">
        <f t="shared" si="197"/>
        <v>244339</v>
      </c>
      <c r="Y1712" s="15" t="s">
        <v>54</v>
      </c>
      <c r="Z1712" s="177">
        <v>244342</v>
      </c>
      <c r="AA1712" s="170"/>
      <c r="AB1712" s="170"/>
      <c r="AC1712" s="170"/>
      <c r="AD1712" s="170"/>
      <c r="AE1712" s="15" t="s">
        <v>54</v>
      </c>
      <c r="AF1712" s="177">
        <v>244343</v>
      </c>
      <c r="AG1712" s="177" t="str">
        <f t="shared" si="198"/>
        <v>Pass</v>
      </c>
      <c r="AH1712" s="177">
        <f t="shared" si="199"/>
        <v>244343</v>
      </c>
      <c r="AK1712" s="176"/>
      <c r="AL1712" s="176"/>
    </row>
    <row r="1713" spans="1:38" ht="36" customHeight="1" x14ac:dyDescent="0.2">
      <c r="A1713" s="14" t="s">
        <v>28</v>
      </c>
      <c r="B1713" s="212">
        <v>244338</v>
      </c>
      <c r="C1713" s="14" t="s">
        <v>547</v>
      </c>
      <c r="D1713" s="14" t="s">
        <v>268</v>
      </c>
      <c r="E1713" s="14" t="s">
        <v>14</v>
      </c>
      <c r="F1713" s="14" t="s">
        <v>324</v>
      </c>
      <c r="G1713" s="179">
        <v>681712</v>
      </c>
      <c r="H1713" s="176" t="s">
        <v>142</v>
      </c>
      <c r="I1713" s="176" t="s">
        <v>551</v>
      </c>
      <c r="J1713" s="176" t="s">
        <v>832</v>
      </c>
      <c r="K1713" s="176" t="s">
        <v>4855</v>
      </c>
      <c r="L1713" s="40" t="s">
        <v>108</v>
      </c>
      <c r="M1713" s="40" t="s">
        <v>341</v>
      </c>
      <c r="N1713" s="14" t="s">
        <v>835</v>
      </c>
      <c r="O1713" s="14" t="s">
        <v>548</v>
      </c>
      <c r="P1713" s="14" t="s">
        <v>518</v>
      </c>
      <c r="Q1713" s="14" t="s">
        <v>549</v>
      </c>
      <c r="R1713" s="17">
        <v>119</v>
      </c>
      <c r="S1713" s="172" t="s">
        <v>51</v>
      </c>
      <c r="T1713" s="17">
        <v>525</v>
      </c>
      <c r="U1713" s="14" t="s">
        <v>51</v>
      </c>
      <c r="V1713" s="16">
        <f t="shared" si="195"/>
        <v>244338</v>
      </c>
      <c r="W1713" s="16">
        <f t="shared" si="196"/>
        <v>244345</v>
      </c>
      <c r="X1713" s="16">
        <f t="shared" si="197"/>
        <v>244340</v>
      </c>
      <c r="Y1713" s="15" t="s">
        <v>54</v>
      </c>
      <c r="Z1713" s="177">
        <v>244342</v>
      </c>
      <c r="AA1713" s="170"/>
      <c r="AB1713" s="170"/>
      <c r="AC1713" s="170"/>
      <c r="AD1713" s="170"/>
      <c r="AE1713" s="15" t="s">
        <v>54</v>
      </c>
      <c r="AF1713" s="177">
        <v>244343</v>
      </c>
      <c r="AG1713" s="177" t="str">
        <f t="shared" si="198"/>
        <v>Pass</v>
      </c>
      <c r="AH1713" s="177">
        <f t="shared" si="199"/>
        <v>244343</v>
      </c>
      <c r="AK1713" s="176"/>
      <c r="AL1713" s="176"/>
    </row>
    <row r="1714" spans="1:38" ht="36" customHeight="1" x14ac:dyDescent="0.2">
      <c r="A1714" s="14" t="s">
        <v>28</v>
      </c>
      <c r="B1714" s="212">
        <v>244338</v>
      </c>
      <c r="C1714" s="14" t="s">
        <v>547</v>
      </c>
      <c r="D1714" s="14" t="s">
        <v>268</v>
      </c>
      <c r="E1714" s="14" t="s">
        <v>14</v>
      </c>
      <c r="F1714" s="14" t="s">
        <v>324</v>
      </c>
      <c r="G1714" s="179">
        <v>681713</v>
      </c>
      <c r="H1714" s="176" t="s">
        <v>772</v>
      </c>
      <c r="I1714" s="176" t="s">
        <v>4727</v>
      </c>
      <c r="J1714" s="176" t="s">
        <v>776</v>
      </c>
      <c r="K1714" s="176" t="s">
        <v>4844</v>
      </c>
      <c r="L1714" s="40" t="s">
        <v>46</v>
      </c>
      <c r="M1714" s="40" t="s">
        <v>341</v>
      </c>
      <c r="N1714" s="14" t="s">
        <v>4858</v>
      </c>
      <c r="O1714" s="14" t="s">
        <v>552</v>
      </c>
      <c r="P1714" s="14" t="s">
        <v>793</v>
      </c>
      <c r="Q1714" s="14" t="s">
        <v>553</v>
      </c>
      <c r="R1714" s="17">
        <v>800</v>
      </c>
      <c r="S1714" s="172" t="s">
        <v>51</v>
      </c>
      <c r="T1714" s="17">
        <v>1665</v>
      </c>
      <c r="U1714" s="14" t="s">
        <v>51</v>
      </c>
      <c r="V1714" s="16">
        <f t="shared" si="195"/>
        <v>244338</v>
      </c>
      <c r="W1714" s="16">
        <f t="shared" si="196"/>
        <v>244345</v>
      </c>
      <c r="X1714" s="16">
        <f t="shared" si="197"/>
        <v>244340</v>
      </c>
      <c r="Y1714" s="15" t="s">
        <v>54</v>
      </c>
      <c r="Z1714" s="177">
        <v>244342</v>
      </c>
      <c r="AA1714" s="170"/>
      <c r="AB1714" s="170"/>
      <c r="AC1714" s="170"/>
      <c r="AD1714" s="170"/>
      <c r="AE1714" s="15" t="s">
        <v>54</v>
      </c>
      <c r="AF1714" s="177">
        <v>244343</v>
      </c>
      <c r="AG1714" s="177" t="str">
        <f t="shared" si="198"/>
        <v>Pass</v>
      </c>
      <c r="AH1714" s="177">
        <f t="shared" si="199"/>
        <v>244343</v>
      </c>
      <c r="AK1714" s="176"/>
      <c r="AL1714" s="176"/>
    </row>
    <row r="1715" spans="1:38" ht="36" customHeight="1" x14ac:dyDescent="0.2">
      <c r="A1715" s="14" t="s">
        <v>28</v>
      </c>
      <c r="B1715" s="212">
        <v>244338</v>
      </c>
      <c r="C1715" s="14" t="s">
        <v>547</v>
      </c>
      <c r="D1715" s="14" t="s">
        <v>268</v>
      </c>
      <c r="E1715" s="14" t="s">
        <v>14</v>
      </c>
      <c r="F1715" s="14" t="s">
        <v>324</v>
      </c>
      <c r="G1715" s="179">
        <v>681714</v>
      </c>
      <c r="H1715" s="176" t="s">
        <v>3864</v>
      </c>
      <c r="I1715" s="176" t="s">
        <v>1794</v>
      </c>
      <c r="J1715" s="176" t="s">
        <v>4854</v>
      </c>
      <c r="K1715" s="176" t="s">
        <v>4856</v>
      </c>
      <c r="L1715" s="40" t="s">
        <v>106</v>
      </c>
      <c r="M1715" s="40" t="s">
        <v>341</v>
      </c>
      <c r="N1715" s="14" t="s">
        <v>4859</v>
      </c>
      <c r="O1715" s="14" t="s">
        <v>527</v>
      </c>
      <c r="P1715" s="14" t="s">
        <v>1180</v>
      </c>
      <c r="Q1715" s="14" t="s">
        <v>542</v>
      </c>
      <c r="R1715" s="17">
        <v>100</v>
      </c>
      <c r="S1715" s="172" t="s">
        <v>51</v>
      </c>
      <c r="T1715" s="17">
        <v>245</v>
      </c>
      <c r="U1715" s="14" t="s">
        <v>51</v>
      </c>
      <c r="V1715" s="16">
        <f t="shared" si="195"/>
        <v>244338</v>
      </c>
      <c r="W1715" s="16">
        <f t="shared" si="196"/>
        <v>244345</v>
      </c>
      <c r="X1715" s="16">
        <f t="shared" si="197"/>
        <v>244340</v>
      </c>
      <c r="Y1715" s="15" t="s">
        <v>54</v>
      </c>
      <c r="Z1715" s="177">
        <v>244342</v>
      </c>
      <c r="AA1715" s="170"/>
      <c r="AB1715" s="170"/>
      <c r="AC1715" s="170"/>
      <c r="AD1715" s="170"/>
      <c r="AE1715" s="15" t="s">
        <v>54</v>
      </c>
      <c r="AF1715" s="177">
        <v>244343</v>
      </c>
      <c r="AG1715" s="177" t="str">
        <f t="shared" si="198"/>
        <v>Pass</v>
      </c>
      <c r="AH1715" s="177">
        <f t="shared" si="199"/>
        <v>244343</v>
      </c>
      <c r="AK1715" s="176"/>
      <c r="AL1715" s="176"/>
    </row>
    <row r="1716" spans="1:38" ht="36" customHeight="1" x14ac:dyDescent="0.2">
      <c r="A1716" s="14" t="s">
        <v>28</v>
      </c>
      <c r="B1716" s="212">
        <v>244338</v>
      </c>
      <c r="C1716" s="14" t="s">
        <v>547</v>
      </c>
      <c r="D1716" s="14" t="s">
        <v>268</v>
      </c>
      <c r="E1716" s="14" t="s">
        <v>14</v>
      </c>
      <c r="F1716" s="14" t="s">
        <v>324</v>
      </c>
      <c r="G1716" s="179">
        <v>681715</v>
      </c>
      <c r="H1716" s="176" t="s">
        <v>772</v>
      </c>
      <c r="I1716" s="176" t="s">
        <v>4727</v>
      </c>
      <c r="J1716" s="176" t="s">
        <v>776</v>
      </c>
      <c r="K1716" s="176" t="s">
        <v>4844</v>
      </c>
      <c r="L1716" s="40" t="s">
        <v>46</v>
      </c>
      <c r="M1716" s="40" t="s">
        <v>341</v>
      </c>
      <c r="N1716" s="14" t="s">
        <v>4860</v>
      </c>
      <c r="O1716" s="14" t="s">
        <v>528</v>
      </c>
      <c r="P1716" s="14" t="s">
        <v>1246</v>
      </c>
      <c r="Q1716" s="14" t="s">
        <v>541</v>
      </c>
      <c r="R1716" s="17">
        <v>300</v>
      </c>
      <c r="S1716" s="172" t="s">
        <v>51</v>
      </c>
      <c r="T1716" s="17">
        <v>1730</v>
      </c>
      <c r="U1716" s="14" t="s">
        <v>51</v>
      </c>
      <c r="V1716" s="16">
        <f t="shared" si="195"/>
        <v>244338</v>
      </c>
      <c r="W1716" s="16">
        <f t="shared" si="196"/>
        <v>244345</v>
      </c>
      <c r="X1716" s="16">
        <f t="shared" si="197"/>
        <v>244340</v>
      </c>
      <c r="Y1716" s="15" t="s">
        <v>54</v>
      </c>
      <c r="Z1716" s="177">
        <v>244342</v>
      </c>
      <c r="AA1716" s="170"/>
      <c r="AB1716" s="170"/>
      <c r="AC1716" s="170"/>
      <c r="AD1716" s="170"/>
      <c r="AE1716" s="15" t="s">
        <v>54</v>
      </c>
      <c r="AF1716" s="177">
        <v>244343</v>
      </c>
      <c r="AG1716" s="177" t="str">
        <f t="shared" si="198"/>
        <v>Pass</v>
      </c>
      <c r="AH1716" s="177">
        <f t="shared" si="199"/>
        <v>244343</v>
      </c>
      <c r="AK1716" s="176"/>
      <c r="AL1716" s="176"/>
    </row>
    <row r="1717" spans="1:38" ht="36" customHeight="1" x14ac:dyDescent="0.2">
      <c r="A1717" s="14" t="s">
        <v>28</v>
      </c>
      <c r="B1717" s="212">
        <v>244338</v>
      </c>
      <c r="C1717" s="14" t="s">
        <v>547</v>
      </c>
      <c r="D1717" s="14" t="s">
        <v>268</v>
      </c>
      <c r="E1717" s="14" t="s">
        <v>14</v>
      </c>
      <c r="F1717" s="14" t="s">
        <v>324</v>
      </c>
      <c r="G1717" s="179">
        <v>681716</v>
      </c>
      <c r="H1717" s="176" t="s">
        <v>4699</v>
      </c>
      <c r="I1717" s="176" t="s">
        <v>551</v>
      </c>
      <c r="J1717" s="176" t="s">
        <v>832</v>
      </c>
      <c r="K1717" s="176" t="s">
        <v>4857</v>
      </c>
      <c r="L1717" s="40" t="s">
        <v>108</v>
      </c>
      <c r="M1717" s="40" t="s">
        <v>341</v>
      </c>
      <c r="N1717" s="14" t="s">
        <v>4861</v>
      </c>
      <c r="O1717" s="14" t="s">
        <v>756</v>
      </c>
      <c r="P1717" s="14" t="s">
        <v>4862</v>
      </c>
      <c r="Q1717" s="14" t="s">
        <v>758</v>
      </c>
      <c r="R1717" s="17">
        <v>2000</v>
      </c>
      <c r="S1717" s="172" t="s">
        <v>51</v>
      </c>
      <c r="T1717" s="17">
        <v>3055</v>
      </c>
      <c r="U1717" s="14" t="s">
        <v>51</v>
      </c>
      <c r="V1717" s="16">
        <f t="shared" si="195"/>
        <v>244338</v>
      </c>
      <c r="W1717" s="16">
        <f t="shared" si="196"/>
        <v>244345</v>
      </c>
      <c r="X1717" s="16">
        <f t="shared" si="197"/>
        <v>244340</v>
      </c>
      <c r="Y1717" s="15" t="s">
        <v>54</v>
      </c>
      <c r="Z1717" s="177">
        <v>244342</v>
      </c>
      <c r="AA1717" s="170"/>
      <c r="AB1717" s="170"/>
      <c r="AC1717" s="170"/>
      <c r="AD1717" s="170"/>
      <c r="AE1717" s="15" t="s">
        <v>54</v>
      </c>
      <c r="AF1717" s="177">
        <v>244343</v>
      </c>
      <c r="AG1717" s="177" t="str">
        <f t="shared" si="198"/>
        <v>Pass</v>
      </c>
      <c r="AH1717" s="177">
        <f t="shared" si="199"/>
        <v>244343</v>
      </c>
      <c r="AK1717" s="176"/>
      <c r="AL1717" s="176"/>
    </row>
    <row r="1718" spans="1:38" ht="36" customHeight="1" x14ac:dyDescent="0.2">
      <c r="A1718" s="14" t="s">
        <v>28</v>
      </c>
      <c r="B1718" s="212">
        <v>244340</v>
      </c>
      <c r="C1718" s="14" t="s">
        <v>547</v>
      </c>
      <c r="D1718" s="14" t="s">
        <v>268</v>
      </c>
      <c r="E1718" s="14" t="s">
        <v>14</v>
      </c>
      <c r="F1718" s="14" t="s">
        <v>324</v>
      </c>
      <c r="G1718" s="179">
        <v>681717</v>
      </c>
      <c r="H1718" s="176" t="s">
        <v>4699</v>
      </c>
      <c r="I1718" s="176" t="s">
        <v>551</v>
      </c>
      <c r="J1718" s="176" t="s">
        <v>832</v>
      </c>
      <c r="K1718" s="176" t="s">
        <v>4857</v>
      </c>
      <c r="L1718" s="40" t="s">
        <v>108</v>
      </c>
      <c r="M1718" s="40" t="s">
        <v>341</v>
      </c>
      <c r="N1718" s="14" t="s">
        <v>4868</v>
      </c>
      <c r="O1718" s="14" t="s">
        <v>1426</v>
      </c>
      <c r="P1718" s="14" t="s">
        <v>1921</v>
      </c>
      <c r="Q1718" s="14" t="s">
        <v>1432</v>
      </c>
      <c r="R1718" s="17">
        <v>335</v>
      </c>
      <c r="S1718" s="172" t="s">
        <v>51</v>
      </c>
      <c r="T1718" s="17">
        <v>2965</v>
      </c>
      <c r="U1718" s="14" t="s">
        <v>51</v>
      </c>
      <c r="V1718" s="16">
        <f t="shared" si="195"/>
        <v>244340</v>
      </c>
      <c r="W1718" s="16">
        <f t="shared" si="196"/>
        <v>244347</v>
      </c>
      <c r="X1718" s="16">
        <f t="shared" si="197"/>
        <v>244342</v>
      </c>
      <c r="Y1718" s="15" t="s">
        <v>54</v>
      </c>
      <c r="Z1718" s="177">
        <v>244343</v>
      </c>
      <c r="AA1718" s="170"/>
      <c r="AB1718" s="170"/>
      <c r="AC1718" s="170"/>
      <c r="AD1718" s="170"/>
      <c r="AE1718" s="15" t="s">
        <v>54</v>
      </c>
      <c r="AF1718" s="177">
        <v>244344</v>
      </c>
      <c r="AG1718" s="177" t="str">
        <f t="shared" si="198"/>
        <v>Pass</v>
      </c>
      <c r="AH1718" s="177">
        <f t="shared" si="199"/>
        <v>244344</v>
      </c>
      <c r="AK1718" s="176"/>
      <c r="AL1718" s="176"/>
    </row>
    <row r="1719" spans="1:38" ht="36" customHeight="1" x14ac:dyDescent="0.2">
      <c r="A1719" s="14" t="s">
        <v>28</v>
      </c>
      <c r="B1719" s="212">
        <v>244340</v>
      </c>
      <c r="C1719" s="14" t="s">
        <v>547</v>
      </c>
      <c r="D1719" s="14" t="s">
        <v>268</v>
      </c>
      <c r="E1719" s="14" t="s">
        <v>14</v>
      </c>
      <c r="F1719" s="14" t="s">
        <v>324</v>
      </c>
      <c r="G1719" s="179">
        <v>681718</v>
      </c>
      <c r="H1719" s="176" t="s">
        <v>4699</v>
      </c>
      <c r="I1719" s="176" t="s">
        <v>551</v>
      </c>
      <c r="J1719" s="176" t="s">
        <v>832</v>
      </c>
      <c r="K1719" s="176" t="s">
        <v>4857</v>
      </c>
      <c r="L1719" s="40" t="s">
        <v>108</v>
      </c>
      <c r="M1719" s="40" t="s">
        <v>341</v>
      </c>
      <c r="N1719" s="14" t="s">
        <v>780</v>
      </c>
      <c r="O1719" s="14" t="s">
        <v>548</v>
      </c>
      <c r="P1719" s="14" t="s">
        <v>518</v>
      </c>
      <c r="Q1719" s="14" t="s">
        <v>549</v>
      </c>
      <c r="R1719" s="17">
        <v>175</v>
      </c>
      <c r="S1719" s="172" t="s">
        <v>51</v>
      </c>
      <c r="T1719" s="17">
        <v>2965</v>
      </c>
      <c r="U1719" s="14" t="s">
        <v>51</v>
      </c>
      <c r="V1719" s="16">
        <f t="shared" si="195"/>
        <v>244340</v>
      </c>
      <c r="W1719" s="16">
        <f t="shared" si="196"/>
        <v>244347</v>
      </c>
      <c r="X1719" s="16">
        <f t="shared" si="197"/>
        <v>244342</v>
      </c>
      <c r="Y1719" s="15" t="s">
        <v>54</v>
      </c>
      <c r="Z1719" s="177">
        <v>244343</v>
      </c>
      <c r="AA1719" s="170"/>
      <c r="AB1719" s="170"/>
      <c r="AC1719" s="170"/>
      <c r="AD1719" s="170"/>
      <c r="AE1719" s="15" t="s">
        <v>54</v>
      </c>
      <c r="AF1719" s="177">
        <v>244344</v>
      </c>
      <c r="AG1719" s="177" t="str">
        <f t="shared" si="198"/>
        <v>Pass</v>
      </c>
      <c r="AH1719" s="177">
        <f t="shared" si="199"/>
        <v>244344</v>
      </c>
      <c r="AK1719" s="176"/>
      <c r="AL1719" s="176"/>
    </row>
    <row r="1720" spans="1:38" ht="36" customHeight="1" x14ac:dyDescent="0.2">
      <c r="A1720" s="14" t="s">
        <v>28</v>
      </c>
      <c r="B1720" s="212">
        <v>244340</v>
      </c>
      <c r="C1720" s="14" t="s">
        <v>547</v>
      </c>
      <c r="D1720" s="14" t="s">
        <v>268</v>
      </c>
      <c r="E1720" s="14" t="s">
        <v>14</v>
      </c>
      <c r="F1720" s="14" t="s">
        <v>324</v>
      </c>
      <c r="G1720" s="179">
        <v>681719</v>
      </c>
      <c r="H1720" s="176" t="s">
        <v>772</v>
      </c>
      <c r="I1720" s="176" t="s">
        <v>4727</v>
      </c>
      <c r="J1720" s="176" t="s">
        <v>776</v>
      </c>
      <c r="K1720" s="176" t="s">
        <v>4844</v>
      </c>
      <c r="L1720" s="40" t="s">
        <v>46</v>
      </c>
      <c r="M1720" s="40" t="s">
        <v>341</v>
      </c>
      <c r="N1720" s="14" t="s">
        <v>1384</v>
      </c>
      <c r="O1720" s="14" t="s">
        <v>548</v>
      </c>
      <c r="P1720" s="14" t="s">
        <v>518</v>
      </c>
      <c r="Q1720" s="14" t="s">
        <v>549</v>
      </c>
      <c r="R1720" s="17">
        <v>225</v>
      </c>
      <c r="S1720" s="172" t="s">
        <v>51</v>
      </c>
      <c r="T1720" s="17">
        <v>1320</v>
      </c>
      <c r="U1720" s="14" t="s">
        <v>51</v>
      </c>
      <c r="V1720" s="16">
        <f t="shared" si="195"/>
        <v>244340</v>
      </c>
      <c r="W1720" s="16">
        <f t="shared" si="196"/>
        <v>244347</v>
      </c>
      <c r="X1720" s="16">
        <f t="shared" si="197"/>
        <v>244342</v>
      </c>
      <c r="Y1720" s="15" t="s">
        <v>54</v>
      </c>
      <c r="Z1720" s="177">
        <v>244343</v>
      </c>
      <c r="AA1720" s="170"/>
      <c r="AB1720" s="170"/>
      <c r="AC1720" s="170"/>
      <c r="AD1720" s="170"/>
      <c r="AE1720" s="15" t="s">
        <v>54</v>
      </c>
      <c r="AF1720" s="177">
        <v>244344</v>
      </c>
      <c r="AG1720" s="177" t="str">
        <f t="shared" si="198"/>
        <v>Pass</v>
      </c>
      <c r="AH1720" s="177">
        <f t="shared" si="199"/>
        <v>244344</v>
      </c>
      <c r="AK1720" s="176"/>
      <c r="AL1720" s="176"/>
    </row>
    <row r="1721" spans="1:38" ht="36" customHeight="1" x14ac:dyDescent="0.2">
      <c r="A1721" s="14" t="s">
        <v>28</v>
      </c>
      <c r="B1721" s="212">
        <v>244340</v>
      </c>
      <c r="C1721" s="14" t="s">
        <v>547</v>
      </c>
      <c r="D1721" s="14" t="s">
        <v>268</v>
      </c>
      <c r="E1721" s="14" t="s">
        <v>14</v>
      </c>
      <c r="F1721" s="14" t="s">
        <v>324</v>
      </c>
      <c r="G1721" s="179">
        <v>681720</v>
      </c>
      <c r="H1721" s="176" t="s">
        <v>4786</v>
      </c>
      <c r="I1721" s="176" t="s">
        <v>705</v>
      </c>
      <c r="J1721" s="176" t="s">
        <v>707</v>
      </c>
      <c r="K1721" s="176" t="s">
        <v>4864</v>
      </c>
      <c r="L1721" s="40" t="s">
        <v>108</v>
      </c>
      <c r="M1721" s="40" t="s">
        <v>341</v>
      </c>
      <c r="N1721" s="14" t="s">
        <v>4869</v>
      </c>
      <c r="O1721" s="14" t="s">
        <v>543</v>
      </c>
      <c r="P1721" s="14" t="s">
        <v>4872</v>
      </c>
      <c r="Q1721" s="14" t="s">
        <v>529</v>
      </c>
      <c r="R1721" s="17">
        <v>1750</v>
      </c>
      <c r="S1721" s="172" t="s">
        <v>51</v>
      </c>
      <c r="T1721" s="17">
        <v>3070</v>
      </c>
      <c r="U1721" s="14" t="s">
        <v>51</v>
      </c>
      <c r="V1721" s="16">
        <f t="shared" si="195"/>
        <v>244340</v>
      </c>
      <c r="W1721" s="16">
        <f t="shared" si="196"/>
        <v>244347</v>
      </c>
      <c r="X1721" s="16">
        <f t="shared" si="197"/>
        <v>244342</v>
      </c>
      <c r="Y1721" s="15" t="s">
        <v>54</v>
      </c>
      <c r="Z1721" s="177">
        <v>244343</v>
      </c>
      <c r="AA1721" s="170"/>
      <c r="AB1721" s="170"/>
      <c r="AC1721" s="170"/>
      <c r="AD1721" s="170"/>
      <c r="AE1721" s="15" t="s">
        <v>54</v>
      </c>
      <c r="AF1721" s="177">
        <v>244344</v>
      </c>
      <c r="AG1721" s="177" t="str">
        <f t="shared" si="198"/>
        <v>Pass</v>
      </c>
      <c r="AH1721" s="177">
        <f t="shared" si="199"/>
        <v>244344</v>
      </c>
      <c r="AK1721" s="176"/>
      <c r="AL1721" s="176"/>
    </row>
    <row r="1722" spans="1:38" ht="36" customHeight="1" x14ac:dyDescent="0.2">
      <c r="A1722" s="14" t="s">
        <v>28</v>
      </c>
      <c r="B1722" s="212">
        <v>244340</v>
      </c>
      <c r="C1722" s="14" t="s">
        <v>547</v>
      </c>
      <c r="D1722" s="14" t="s">
        <v>268</v>
      </c>
      <c r="E1722" s="14" t="s">
        <v>14</v>
      </c>
      <c r="F1722" s="14" t="s">
        <v>324</v>
      </c>
      <c r="G1722" s="179">
        <v>681721</v>
      </c>
      <c r="H1722" s="176" t="s">
        <v>4863</v>
      </c>
      <c r="I1722" s="176" t="s">
        <v>1794</v>
      </c>
      <c r="J1722" s="176" t="s">
        <v>130</v>
      </c>
      <c r="K1722" s="176" t="s">
        <v>4865</v>
      </c>
      <c r="L1722" s="40" t="s">
        <v>106</v>
      </c>
      <c r="M1722" s="40" t="s">
        <v>341</v>
      </c>
      <c r="N1722" s="14" t="s">
        <v>4870</v>
      </c>
      <c r="O1722" s="14" t="s">
        <v>543</v>
      </c>
      <c r="P1722" s="14" t="s">
        <v>818</v>
      </c>
      <c r="Q1722" s="14" t="s">
        <v>529</v>
      </c>
      <c r="R1722" s="17">
        <v>800</v>
      </c>
      <c r="S1722" s="172" t="s">
        <v>51</v>
      </c>
      <c r="T1722" s="17">
        <v>1535</v>
      </c>
      <c r="U1722" s="14" t="s">
        <v>51</v>
      </c>
      <c r="V1722" s="16">
        <f t="shared" si="195"/>
        <v>244340</v>
      </c>
      <c r="W1722" s="16">
        <f t="shared" si="196"/>
        <v>244347</v>
      </c>
      <c r="X1722" s="16">
        <f t="shared" si="197"/>
        <v>244342</v>
      </c>
      <c r="Y1722" s="15" t="s">
        <v>54</v>
      </c>
      <c r="Z1722" s="177">
        <v>244343</v>
      </c>
      <c r="AA1722" s="170"/>
      <c r="AB1722" s="170"/>
      <c r="AC1722" s="170"/>
      <c r="AD1722" s="170"/>
      <c r="AE1722" s="15" t="s">
        <v>54</v>
      </c>
      <c r="AF1722" s="177">
        <v>244344</v>
      </c>
      <c r="AG1722" s="177" t="str">
        <f t="shared" si="198"/>
        <v>Pass</v>
      </c>
      <c r="AH1722" s="177">
        <f t="shared" si="199"/>
        <v>244344</v>
      </c>
      <c r="AK1722" s="176"/>
      <c r="AL1722" s="176"/>
    </row>
    <row r="1723" spans="1:38" ht="36" customHeight="1" x14ac:dyDescent="0.2">
      <c r="A1723" s="14" t="s">
        <v>28</v>
      </c>
      <c r="B1723" s="212">
        <v>244340</v>
      </c>
      <c r="C1723" s="14" t="s">
        <v>547</v>
      </c>
      <c r="D1723" s="14" t="s">
        <v>268</v>
      </c>
      <c r="E1723" s="14" t="s">
        <v>14</v>
      </c>
      <c r="F1723" s="14" t="s">
        <v>324</v>
      </c>
      <c r="G1723" s="179">
        <v>681722</v>
      </c>
      <c r="H1723" s="176" t="s">
        <v>848</v>
      </c>
      <c r="I1723" s="176" t="s">
        <v>802</v>
      </c>
      <c r="J1723" s="176" t="s">
        <v>131</v>
      </c>
      <c r="K1723" s="176" t="s">
        <v>4866</v>
      </c>
      <c r="L1723" s="40" t="s">
        <v>45</v>
      </c>
      <c r="M1723" s="40" t="s">
        <v>341</v>
      </c>
      <c r="N1723" s="14" t="s">
        <v>2748</v>
      </c>
      <c r="O1723" s="14" t="s">
        <v>548</v>
      </c>
      <c r="P1723" s="14" t="s">
        <v>518</v>
      </c>
      <c r="Q1723" s="14" t="s">
        <v>549</v>
      </c>
      <c r="R1723" s="17">
        <v>148</v>
      </c>
      <c r="S1723" s="172" t="s">
        <v>51</v>
      </c>
      <c r="T1723" s="17">
        <v>1320</v>
      </c>
      <c r="U1723" s="14" t="s">
        <v>51</v>
      </c>
      <c r="V1723" s="16">
        <f t="shared" si="195"/>
        <v>244340</v>
      </c>
      <c r="W1723" s="16">
        <f t="shared" si="196"/>
        <v>244347</v>
      </c>
      <c r="X1723" s="16">
        <f t="shared" si="197"/>
        <v>244342</v>
      </c>
      <c r="Y1723" s="15" t="s">
        <v>54</v>
      </c>
      <c r="Z1723" s="177">
        <v>244343</v>
      </c>
      <c r="AA1723" s="170"/>
      <c r="AB1723" s="170"/>
      <c r="AC1723" s="170"/>
      <c r="AD1723" s="170"/>
      <c r="AE1723" s="15" t="s">
        <v>54</v>
      </c>
      <c r="AF1723" s="177">
        <v>244344</v>
      </c>
      <c r="AG1723" s="177" t="str">
        <f t="shared" si="198"/>
        <v>Pass</v>
      </c>
      <c r="AH1723" s="177">
        <f t="shared" si="199"/>
        <v>244344</v>
      </c>
      <c r="AK1723" s="176"/>
      <c r="AL1723" s="176"/>
    </row>
    <row r="1724" spans="1:38" ht="36" customHeight="1" x14ac:dyDescent="0.2">
      <c r="A1724" s="14" t="s">
        <v>28</v>
      </c>
      <c r="B1724" s="212">
        <v>244340</v>
      </c>
      <c r="C1724" s="14" t="s">
        <v>547</v>
      </c>
      <c r="D1724" s="14" t="s">
        <v>268</v>
      </c>
      <c r="E1724" s="14" t="s">
        <v>14</v>
      </c>
      <c r="F1724" s="14" t="s">
        <v>324</v>
      </c>
      <c r="G1724" s="179">
        <v>681723</v>
      </c>
      <c r="H1724" s="176" t="s">
        <v>1368</v>
      </c>
      <c r="I1724" s="176" t="s">
        <v>802</v>
      </c>
      <c r="J1724" s="176" t="s">
        <v>128</v>
      </c>
      <c r="K1724" s="176" t="s">
        <v>4867</v>
      </c>
      <c r="L1724" s="40" t="s">
        <v>46</v>
      </c>
      <c r="M1724" s="40" t="s">
        <v>341</v>
      </c>
      <c r="N1724" s="14" t="s">
        <v>4871</v>
      </c>
      <c r="O1724" s="14" t="s">
        <v>543</v>
      </c>
      <c r="P1724" s="14" t="s">
        <v>4873</v>
      </c>
      <c r="Q1724" s="14" t="s">
        <v>529</v>
      </c>
      <c r="R1724" s="17">
        <v>2200</v>
      </c>
      <c r="S1724" s="172" t="s">
        <v>51</v>
      </c>
      <c r="T1724" s="17">
        <v>2320</v>
      </c>
      <c r="U1724" s="14" t="s">
        <v>51</v>
      </c>
      <c r="V1724" s="16">
        <f t="shared" si="195"/>
        <v>244340</v>
      </c>
      <c r="W1724" s="16">
        <f t="shared" si="196"/>
        <v>244347</v>
      </c>
      <c r="X1724" s="16">
        <f t="shared" si="197"/>
        <v>244342</v>
      </c>
      <c r="Y1724" s="15" t="s">
        <v>54</v>
      </c>
      <c r="Z1724" s="177">
        <v>244343</v>
      </c>
      <c r="AA1724" s="170"/>
      <c r="AB1724" s="170"/>
      <c r="AC1724" s="170"/>
      <c r="AD1724" s="170"/>
      <c r="AE1724" s="15" t="s">
        <v>54</v>
      </c>
      <c r="AF1724" s="177">
        <v>244344</v>
      </c>
      <c r="AG1724" s="177" t="str">
        <f t="shared" si="198"/>
        <v>Pass</v>
      </c>
      <c r="AH1724" s="177">
        <f t="shared" si="199"/>
        <v>244344</v>
      </c>
      <c r="AK1724" s="176"/>
      <c r="AL1724" s="176"/>
    </row>
    <row r="1725" spans="1:38" ht="36" customHeight="1" x14ac:dyDescent="0.2">
      <c r="A1725" s="14" t="s">
        <v>28</v>
      </c>
      <c r="B1725" s="212">
        <v>244340</v>
      </c>
      <c r="C1725" s="14" t="s">
        <v>547</v>
      </c>
      <c r="D1725" s="14" t="s">
        <v>268</v>
      </c>
      <c r="E1725" s="14" t="s">
        <v>14</v>
      </c>
      <c r="F1725" s="14" t="s">
        <v>324</v>
      </c>
      <c r="G1725" s="179">
        <v>681724</v>
      </c>
      <c r="H1725" s="176" t="s">
        <v>848</v>
      </c>
      <c r="I1725" s="176" t="s">
        <v>802</v>
      </c>
      <c r="J1725" s="176" t="s">
        <v>131</v>
      </c>
      <c r="K1725" s="176" t="s">
        <v>4866</v>
      </c>
      <c r="L1725" s="40" t="s">
        <v>45</v>
      </c>
      <c r="M1725" s="40" t="s">
        <v>341</v>
      </c>
      <c r="N1725" s="14" t="s">
        <v>4874</v>
      </c>
      <c r="O1725" s="14" t="s">
        <v>527</v>
      </c>
      <c r="P1725" s="14" t="s">
        <v>4875</v>
      </c>
      <c r="Q1725" s="14" t="s">
        <v>542</v>
      </c>
      <c r="R1725" s="17">
        <v>200</v>
      </c>
      <c r="S1725" s="172" t="s">
        <v>51</v>
      </c>
      <c r="T1725" s="17">
        <v>927</v>
      </c>
      <c r="U1725" s="14" t="s">
        <v>51</v>
      </c>
      <c r="V1725" s="16">
        <f t="shared" si="195"/>
        <v>244340</v>
      </c>
      <c r="W1725" s="16">
        <f t="shared" si="196"/>
        <v>244347</v>
      </c>
      <c r="X1725" s="16">
        <f t="shared" si="197"/>
        <v>244342</v>
      </c>
      <c r="Y1725" s="15" t="s">
        <v>54</v>
      </c>
      <c r="Z1725" s="177">
        <v>244343</v>
      </c>
      <c r="AA1725" s="170"/>
      <c r="AB1725" s="170"/>
      <c r="AC1725" s="170"/>
      <c r="AD1725" s="170"/>
      <c r="AE1725" s="15" t="s">
        <v>54</v>
      </c>
      <c r="AF1725" s="177">
        <v>244344</v>
      </c>
      <c r="AG1725" s="177" t="str">
        <f t="shared" si="198"/>
        <v>Pass</v>
      </c>
      <c r="AH1725" s="177">
        <f t="shared" si="199"/>
        <v>244344</v>
      </c>
      <c r="AK1725" s="176"/>
      <c r="AL1725" s="176"/>
    </row>
    <row r="1726" spans="1:38" ht="36" customHeight="1" x14ac:dyDescent="0.2">
      <c r="A1726" s="14" t="s">
        <v>28</v>
      </c>
      <c r="B1726" s="212">
        <v>244341</v>
      </c>
      <c r="C1726" s="14" t="s">
        <v>547</v>
      </c>
      <c r="D1726" s="14" t="s">
        <v>268</v>
      </c>
      <c r="E1726" s="14" t="s">
        <v>14</v>
      </c>
      <c r="F1726" s="14" t="s">
        <v>324</v>
      </c>
      <c r="G1726" s="179">
        <v>681725</v>
      </c>
      <c r="H1726" s="176">
        <v>932</v>
      </c>
      <c r="I1726" s="176" t="s">
        <v>802</v>
      </c>
      <c r="J1726" s="176" t="s">
        <v>882</v>
      </c>
      <c r="K1726" s="176" t="s">
        <v>4878</v>
      </c>
      <c r="L1726" s="40" t="s">
        <v>45</v>
      </c>
      <c r="M1726" s="40" t="s">
        <v>341</v>
      </c>
      <c r="N1726" s="14" t="s">
        <v>4880</v>
      </c>
      <c r="O1726" s="14" t="s">
        <v>528</v>
      </c>
      <c r="P1726" s="14" t="s">
        <v>684</v>
      </c>
      <c r="Q1726" s="14" t="s">
        <v>541</v>
      </c>
      <c r="R1726" s="17">
        <v>600</v>
      </c>
      <c r="S1726" s="172" t="s">
        <v>51</v>
      </c>
      <c r="T1726" s="17">
        <v>2450</v>
      </c>
      <c r="U1726" s="14" t="s">
        <v>51</v>
      </c>
      <c r="V1726" s="16">
        <f t="shared" si="195"/>
        <v>244341</v>
      </c>
      <c r="W1726" s="16">
        <f t="shared" si="196"/>
        <v>244348</v>
      </c>
      <c r="X1726" s="16">
        <f t="shared" si="197"/>
        <v>244343</v>
      </c>
      <c r="Y1726" s="15" t="s">
        <v>54</v>
      </c>
      <c r="Z1726" s="177">
        <v>244343</v>
      </c>
      <c r="AA1726" s="170"/>
      <c r="AB1726" s="170"/>
      <c r="AC1726" s="170"/>
      <c r="AD1726" s="170"/>
      <c r="AE1726" s="15" t="s">
        <v>54</v>
      </c>
      <c r="AF1726" s="177">
        <v>244344</v>
      </c>
      <c r="AG1726" s="177" t="str">
        <f t="shared" si="198"/>
        <v>Pass</v>
      </c>
      <c r="AH1726" s="177">
        <f t="shared" si="199"/>
        <v>244344</v>
      </c>
      <c r="AK1726" s="176"/>
      <c r="AL1726" s="176"/>
    </row>
    <row r="1727" spans="1:38" ht="36" customHeight="1" x14ac:dyDescent="0.2">
      <c r="A1727" s="14" t="s">
        <v>28</v>
      </c>
      <c r="B1727" s="212">
        <v>244341</v>
      </c>
      <c r="C1727" s="14" t="s">
        <v>547</v>
      </c>
      <c r="D1727" s="14" t="s">
        <v>268</v>
      </c>
      <c r="E1727" s="14" t="s">
        <v>14</v>
      </c>
      <c r="F1727" s="14" t="s">
        <v>324</v>
      </c>
      <c r="G1727" s="179">
        <v>681726</v>
      </c>
      <c r="H1727" s="176" t="s">
        <v>4876</v>
      </c>
      <c r="I1727" s="176" t="s">
        <v>4877</v>
      </c>
      <c r="J1727" s="176" t="s">
        <v>3584</v>
      </c>
      <c r="K1727" s="176" t="s">
        <v>4879</v>
      </c>
      <c r="L1727" s="40" t="s">
        <v>108</v>
      </c>
      <c r="M1727" s="40" t="s">
        <v>341</v>
      </c>
      <c r="N1727" s="14" t="s">
        <v>4881</v>
      </c>
      <c r="O1727" s="14" t="s">
        <v>4882</v>
      </c>
      <c r="P1727" s="14" t="s">
        <v>4883</v>
      </c>
      <c r="Q1727" s="14" t="s">
        <v>4884</v>
      </c>
      <c r="R1727" s="17">
        <v>175</v>
      </c>
      <c r="S1727" s="172" t="s">
        <v>51</v>
      </c>
      <c r="T1727" s="17">
        <v>1200</v>
      </c>
      <c r="U1727" s="14" t="s">
        <v>51</v>
      </c>
      <c r="V1727" s="16">
        <f t="shared" si="195"/>
        <v>244341</v>
      </c>
      <c r="W1727" s="16">
        <f t="shared" si="196"/>
        <v>244348</v>
      </c>
      <c r="X1727" s="16">
        <f t="shared" si="197"/>
        <v>244343</v>
      </c>
      <c r="Y1727" s="15" t="s">
        <v>54</v>
      </c>
      <c r="Z1727" s="177">
        <v>244343</v>
      </c>
      <c r="AA1727" s="170"/>
      <c r="AB1727" s="170"/>
      <c r="AC1727" s="170"/>
      <c r="AD1727" s="170"/>
      <c r="AE1727" s="15" t="s">
        <v>54</v>
      </c>
      <c r="AF1727" s="177">
        <v>244344</v>
      </c>
      <c r="AG1727" s="177" t="str">
        <f t="shared" si="198"/>
        <v>Pass</v>
      </c>
      <c r="AH1727" s="177">
        <f t="shared" si="199"/>
        <v>244344</v>
      </c>
      <c r="AK1727" s="176"/>
      <c r="AL1727" s="176"/>
    </row>
    <row r="1728" spans="1:38" ht="36" customHeight="1" x14ac:dyDescent="0.2">
      <c r="A1728" s="14" t="s">
        <v>28</v>
      </c>
      <c r="B1728" s="212">
        <v>244342</v>
      </c>
      <c r="C1728" s="14" t="s">
        <v>547</v>
      </c>
      <c r="D1728" s="14" t="s">
        <v>268</v>
      </c>
      <c r="E1728" s="14" t="s">
        <v>14</v>
      </c>
      <c r="F1728" s="14" t="s">
        <v>324</v>
      </c>
      <c r="G1728" s="179">
        <v>681727</v>
      </c>
      <c r="H1728" s="176" t="s">
        <v>1282</v>
      </c>
      <c r="I1728" s="176" t="s">
        <v>802</v>
      </c>
      <c r="J1728" s="176" t="s">
        <v>128</v>
      </c>
      <c r="K1728" s="176" t="s">
        <v>4886</v>
      </c>
      <c r="L1728" s="40" t="s">
        <v>46</v>
      </c>
      <c r="M1728" s="40" t="s">
        <v>341</v>
      </c>
      <c r="N1728" s="14" t="s">
        <v>4888</v>
      </c>
      <c r="O1728" s="14" t="s">
        <v>543</v>
      </c>
      <c r="P1728" s="14" t="s">
        <v>4889</v>
      </c>
      <c r="Q1728" s="14" t="s">
        <v>529</v>
      </c>
      <c r="R1728" s="17">
        <v>1200</v>
      </c>
      <c r="S1728" s="172" t="s">
        <v>51</v>
      </c>
      <c r="T1728" s="17">
        <v>2500</v>
      </c>
      <c r="U1728" s="14" t="s">
        <v>51</v>
      </c>
      <c r="V1728" s="16">
        <f t="shared" si="195"/>
        <v>244342</v>
      </c>
      <c r="W1728" s="16">
        <f t="shared" si="196"/>
        <v>244349</v>
      </c>
      <c r="X1728" s="16">
        <f t="shared" si="197"/>
        <v>244344</v>
      </c>
      <c r="Y1728" s="15" t="s">
        <v>54</v>
      </c>
      <c r="Z1728" s="177">
        <v>244343</v>
      </c>
      <c r="AA1728" s="170"/>
      <c r="AB1728" s="170"/>
      <c r="AC1728" s="170"/>
      <c r="AD1728" s="170"/>
      <c r="AE1728" s="15" t="s">
        <v>54</v>
      </c>
      <c r="AF1728" s="177">
        <v>244344</v>
      </c>
      <c r="AG1728" s="177" t="str">
        <f t="shared" si="198"/>
        <v>Pass</v>
      </c>
      <c r="AH1728" s="177">
        <f t="shared" si="199"/>
        <v>244344</v>
      </c>
      <c r="AK1728" s="176"/>
      <c r="AL1728" s="176"/>
    </row>
    <row r="1729" spans="1:38" ht="36" customHeight="1" x14ac:dyDescent="0.2">
      <c r="A1729" s="14" t="s">
        <v>28</v>
      </c>
      <c r="B1729" s="212">
        <v>244342</v>
      </c>
      <c r="C1729" s="14" t="s">
        <v>547</v>
      </c>
      <c r="D1729" s="14" t="s">
        <v>268</v>
      </c>
      <c r="E1729" s="14" t="s">
        <v>14</v>
      </c>
      <c r="F1729" s="14" t="s">
        <v>324</v>
      </c>
      <c r="G1729" s="179">
        <v>681728</v>
      </c>
      <c r="H1729" s="176" t="s">
        <v>4885</v>
      </c>
      <c r="I1729" s="176" t="s">
        <v>1794</v>
      </c>
      <c r="J1729" s="176" t="s">
        <v>130</v>
      </c>
      <c r="K1729" s="176" t="s">
        <v>4887</v>
      </c>
      <c r="L1729" s="40" t="s">
        <v>106</v>
      </c>
      <c r="M1729" s="40" t="s">
        <v>341</v>
      </c>
      <c r="N1729" s="14" t="s">
        <v>1599</v>
      </c>
      <c r="O1729" s="14" t="s">
        <v>527</v>
      </c>
      <c r="P1729" s="14" t="s">
        <v>1180</v>
      </c>
      <c r="Q1729" s="14" t="s">
        <v>542</v>
      </c>
      <c r="R1729" s="17">
        <v>162</v>
      </c>
      <c r="S1729" s="172" t="s">
        <v>51</v>
      </c>
      <c r="T1729" s="17">
        <v>1550</v>
      </c>
      <c r="U1729" s="14" t="s">
        <v>51</v>
      </c>
      <c r="V1729" s="16">
        <f t="shared" ref="V1729:V1792" si="200">B1729</f>
        <v>244342</v>
      </c>
      <c r="W1729" s="16">
        <f t="shared" ref="W1729:W1792" si="201">B1729+7</f>
        <v>244349</v>
      </c>
      <c r="X1729" s="16">
        <f t="shared" ref="X1729:X1792" si="202">V1729+2</f>
        <v>244344</v>
      </c>
      <c r="Y1729" s="15" t="s">
        <v>54</v>
      </c>
      <c r="Z1729" s="177">
        <v>244343</v>
      </c>
      <c r="AA1729" s="170"/>
      <c r="AB1729" s="170"/>
      <c r="AC1729" s="170"/>
      <c r="AD1729" s="170"/>
      <c r="AE1729" s="15" t="s">
        <v>54</v>
      </c>
      <c r="AF1729" s="177">
        <v>244344</v>
      </c>
      <c r="AG1729" s="177" t="str">
        <f t="shared" ref="AG1729:AG1792" si="203">AE1729</f>
        <v>Pass</v>
      </c>
      <c r="AH1729" s="177">
        <f t="shared" ref="AH1729:AH1792" si="204">AF1729</f>
        <v>244344</v>
      </c>
      <c r="AK1729" s="176"/>
      <c r="AL1729" s="176"/>
    </row>
    <row r="1730" spans="1:38" ht="36" customHeight="1" x14ac:dyDescent="0.2">
      <c r="A1730" s="14" t="s">
        <v>28</v>
      </c>
      <c r="B1730" s="212">
        <v>244343</v>
      </c>
      <c r="C1730" s="14" t="s">
        <v>547</v>
      </c>
      <c r="D1730" s="14" t="s">
        <v>268</v>
      </c>
      <c r="E1730" s="14" t="s">
        <v>14</v>
      </c>
      <c r="F1730" s="14" t="s">
        <v>324</v>
      </c>
      <c r="G1730" s="179">
        <v>681729</v>
      </c>
      <c r="H1730" s="176" t="s">
        <v>1041</v>
      </c>
      <c r="I1730" s="176" t="s">
        <v>908</v>
      </c>
      <c r="J1730" s="176" t="s">
        <v>133</v>
      </c>
      <c r="K1730" s="176" t="s">
        <v>4891</v>
      </c>
      <c r="L1730" s="40" t="s">
        <v>46</v>
      </c>
      <c r="M1730" s="40" t="s">
        <v>341</v>
      </c>
      <c r="N1730" s="14" t="s">
        <v>4894</v>
      </c>
      <c r="O1730" s="14" t="s">
        <v>552</v>
      </c>
      <c r="P1730" s="14" t="s">
        <v>1489</v>
      </c>
      <c r="Q1730" s="14" t="s">
        <v>553</v>
      </c>
      <c r="R1730" s="17">
        <v>152</v>
      </c>
      <c r="S1730" s="172" t="s">
        <v>51</v>
      </c>
      <c r="T1730" s="17">
        <v>1960</v>
      </c>
      <c r="U1730" s="14" t="s">
        <v>51</v>
      </c>
      <c r="V1730" s="16">
        <f t="shared" si="200"/>
        <v>244343</v>
      </c>
      <c r="W1730" s="16">
        <f t="shared" si="201"/>
        <v>244350</v>
      </c>
      <c r="X1730" s="16">
        <f t="shared" si="202"/>
        <v>244345</v>
      </c>
      <c r="Y1730" s="15"/>
      <c r="Z1730" s="177"/>
      <c r="AA1730" s="170"/>
      <c r="AB1730" s="170"/>
      <c r="AC1730" s="170"/>
      <c r="AD1730" s="170"/>
      <c r="AE1730" s="15"/>
      <c r="AF1730" s="177"/>
      <c r="AG1730" s="177">
        <f t="shared" si="203"/>
        <v>0</v>
      </c>
      <c r="AH1730" s="177">
        <f t="shared" si="204"/>
        <v>0</v>
      </c>
      <c r="AK1730" s="176"/>
      <c r="AL1730" s="176"/>
    </row>
    <row r="1731" spans="1:38" ht="36" customHeight="1" x14ac:dyDescent="0.2">
      <c r="A1731" s="14" t="s">
        <v>28</v>
      </c>
      <c r="B1731" s="212">
        <v>244343</v>
      </c>
      <c r="C1731" s="14" t="s">
        <v>547</v>
      </c>
      <c r="D1731" s="14" t="s">
        <v>268</v>
      </c>
      <c r="E1731" s="14" t="s">
        <v>14</v>
      </c>
      <c r="F1731" s="14" t="s">
        <v>324</v>
      </c>
      <c r="G1731" s="179">
        <v>681730</v>
      </c>
      <c r="H1731" s="176" t="s">
        <v>888</v>
      </c>
      <c r="I1731" s="176" t="s">
        <v>802</v>
      </c>
      <c r="J1731" s="176" t="s">
        <v>882</v>
      </c>
      <c r="K1731" s="176" t="s">
        <v>4892</v>
      </c>
      <c r="L1731" s="40" t="s">
        <v>45</v>
      </c>
      <c r="M1731" s="40" t="s">
        <v>341</v>
      </c>
      <c r="N1731" s="14" t="s">
        <v>1175</v>
      </c>
      <c r="O1731" s="14" t="s">
        <v>548</v>
      </c>
      <c r="P1731" s="14" t="s">
        <v>717</v>
      </c>
      <c r="Q1731" s="14" t="s">
        <v>549</v>
      </c>
      <c r="R1731" s="17">
        <v>156</v>
      </c>
      <c r="S1731" s="172" t="s">
        <v>51</v>
      </c>
      <c r="T1731" s="17">
        <v>2405</v>
      </c>
      <c r="U1731" s="14" t="s">
        <v>51</v>
      </c>
      <c r="V1731" s="16">
        <f t="shared" si="200"/>
        <v>244343</v>
      </c>
      <c r="W1731" s="16">
        <f t="shared" si="201"/>
        <v>244350</v>
      </c>
      <c r="X1731" s="16">
        <f t="shared" si="202"/>
        <v>244345</v>
      </c>
      <c r="Y1731" s="15"/>
      <c r="Z1731" s="177"/>
      <c r="AA1731" s="170"/>
      <c r="AB1731" s="170"/>
      <c r="AC1731" s="170"/>
      <c r="AD1731" s="170"/>
      <c r="AE1731" s="15"/>
      <c r="AF1731" s="177"/>
      <c r="AG1731" s="177">
        <f t="shared" si="203"/>
        <v>0</v>
      </c>
      <c r="AH1731" s="177">
        <f t="shared" si="204"/>
        <v>0</v>
      </c>
      <c r="AK1731" s="176"/>
      <c r="AL1731" s="176"/>
    </row>
    <row r="1732" spans="1:38" ht="36" customHeight="1" x14ac:dyDescent="0.2">
      <c r="A1732" s="14" t="s">
        <v>28</v>
      </c>
      <c r="B1732" s="212">
        <v>244343</v>
      </c>
      <c r="C1732" s="14" t="s">
        <v>547</v>
      </c>
      <c r="D1732" s="14" t="s">
        <v>268</v>
      </c>
      <c r="E1732" s="14" t="s">
        <v>14</v>
      </c>
      <c r="F1732" s="14" t="s">
        <v>324</v>
      </c>
      <c r="G1732" s="179">
        <v>681731</v>
      </c>
      <c r="H1732" s="176" t="s">
        <v>4890</v>
      </c>
      <c r="I1732" s="176" t="s">
        <v>1189</v>
      </c>
      <c r="J1732" s="176" t="s">
        <v>1210</v>
      </c>
      <c r="K1732" s="176" t="s">
        <v>4893</v>
      </c>
      <c r="L1732" s="40" t="s">
        <v>108</v>
      </c>
      <c r="M1732" s="40" t="s">
        <v>341</v>
      </c>
      <c r="N1732" s="14" t="s">
        <v>2186</v>
      </c>
      <c r="O1732" s="14" t="s">
        <v>552</v>
      </c>
      <c r="P1732" s="14" t="s">
        <v>685</v>
      </c>
      <c r="Q1732" s="14" t="s">
        <v>553</v>
      </c>
      <c r="R1732" s="17">
        <v>425</v>
      </c>
      <c r="S1732" s="172" t="s">
        <v>51</v>
      </c>
      <c r="T1732" s="17">
        <v>2430</v>
      </c>
      <c r="U1732" s="14" t="s">
        <v>51</v>
      </c>
      <c r="V1732" s="16">
        <f t="shared" si="200"/>
        <v>244343</v>
      </c>
      <c r="W1732" s="16">
        <f t="shared" si="201"/>
        <v>244350</v>
      </c>
      <c r="X1732" s="16">
        <f t="shared" si="202"/>
        <v>244345</v>
      </c>
      <c r="Y1732" s="15"/>
      <c r="Z1732" s="177"/>
      <c r="AA1732" s="170"/>
      <c r="AB1732" s="170"/>
      <c r="AC1732" s="170"/>
      <c r="AD1732" s="170"/>
      <c r="AE1732" s="15"/>
      <c r="AF1732" s="177"/>
      <c r="AG1732" s="177">
        <f t="shared" si="203"/>
        <v>0</v>
      </c>
      <c r="AH1732" s="177">
        <f t="shared" si="204"/>
        <v>0</v>
      </c>
      <c r="AK1732" s="176"/>
      <c r="AL1732" s="176"/>
    </row>
    <row r="1733" spans="1:38" ht="36" customHeight="1" x14ac:dyDescent="0.2">
      <c r="A1733" s="176"/>
      <c r="B1733" s="212"/>
      <c r="C1733" s="14"/>
      <c r="D1733" s="14"/>
      <c r="E1733" s="14"/>
      <c r="F1733" s="14"/>
      <c r="G1733" s="179">
        <v>681732</v>
      </c>
      <c r="H1733" s="176"/>
      <c r="I1733" s="176"/>
      <c r="J1733" s="176"/>
      <c r="K1733" s="176"/>
      <c r="L1733" s="40"/>
      <c r="M1733" s="40"/>
      <c r="N1733" s="14"/>
      <c r="O1733" s="14"/>
      <c r="P1733" s="14"/>
      <c r="Q1733" s="14"/>
      <c r="R1733" s="17"/>
      <c r="S1733" s="172"/>
      <c r="T1733" s="17"/>
      <c r="U1733" s="14"/>
      <c r="V1733" s="16">
        <f t="shared" si="200"/>
        <v>0</v>
      </c>
      <c r="W1733" s="16">
        <f t="shared" si="201"/>
        <v>7</v>
      </c>
      <c r="X1733" s="16">
        <f t="shared" si="202"/>
        <v>2</v>
      </c>
      <c r="Y1733" s="15"/>
      <c r="Z1733" s="177"/>
      <c r="AA1733" s="170"/>
      <c r="AB1733" s="170"/>
      <c r="AC1733" s="170"/>
      <c r="AD1733" s="170"/>
      <c r="AE1733" s="15"/>
      <c r="AF1733" s="177"/>
      <c r="AG1733" s="177">
        <f t="shared" si="203"/>
        <v>0</v>
      </c>
      <c r="AH1733" s="177">
        <f t="shared" si="204"/>
        <v>0</v>
      </c>
      <c r="AK1733" s="176"/>
      <c r="AL1733" s="176"/>
    </row>
    <row r="1734" spans="1:38" ht="36" customHeight="1" x14ac:dyDescent="0.2">
      <c r="A1734" s="176"/>
      <c r="B1734" s="212"/>
      <c r="C1734" s="14"/>
      <c r="D1734" s="14"/>
      <c r="E1734" s="14"/>
      <c r="F1734" s="14"/>
      <c r="G1734" s="179">
        <v>681733</v>
      </c>
      <c r="H1734" s="176"/>
      <c r="I1734" s="176"/>
      <c r="J1734" s="176"/>
      <c r="K1734" s="176"/>
      <c r="L1734" s="40"/>
      <c r="M1734" s="40"/>
      <c r="N1734" s="14"/>
      <c r="O1734" s="14"/>
      <c r="P1734" s="14"/>
      <c r="Q1734" s="14"/>
      <c r="R1734" s="17"/>
      <c r="S1734" s="172"/>
      <c r="T1734" s="17"/>
      <c r="U1734" s="14"/>
      <c r="V1734" s="16">
        <f t="shared" si="200"/>
        <v>0</v>
      </c>
      <c r="W1734" s="16">
        <f t="shared" si="201"/>
        <v>7</v>
      </c>
      <c r="X1734" s="16">
        <f t="shared" si="202"/>
        <v>2</v>
      </c>
      <c r="Y1734" s="15"/>
      <c r="Z1734" s="177"/>
      <c r="AA1734" s="170"/>
      <c r="AB1734" s="170"/>
      <c r="AC1734" s="170"/>
      <c r="AD1734" s="170"/>
      <c r="AE1734" s="15"/>
      <c r="AF1734" s="177"/>
      <c r="AG1734" s="177">
        <f t="shared" si="203"/>
        <v>0</v>
      </c>
      <c r="AH1734" s="177">
        <f t="shared" si="204"/>
        <v>0</v>
      </c>
      <c r="AK1734" s="176"/>
      <c r="AL1734" s="176"/>
    </row>
    <row r="1735" spans="1:38" ht="36" customHeight="1" x14ac:dyDescent="0.2">
      <c r="A1735" s="176"/>
      <c r="B1735" s="212"/>
      <c r="C1735" s="14"/>
      <c r="D1735" s="14"/>
      <c r="E1735" s="14"/>
      <c r="F1735" s="14"/>
      <c r="G1735" s="179">
        <v>681734</v>
      </c>
      <c r="H1735" s="176"/>
      <c r="I1735" s="176"/>
      <c r="J1735" s="176"/>
      <c r="K1735" s="176"/>
      <c r="L1735" s="40"/>
      <c r="M1735" s="40"/>
      <c r="N1735" s="14"/>
      <c r="O1735" s="14"/>
      <c r="P1735" s="14"/>
      <c r="Q1735" s="14"/>
      <c r="R1735" s="17"/>
      <c r="S1735" s="172"/>
      <c r="T1735" s="17"/>
      <c r="U1735" s="14"/>
      <c r="V1735" s="16">
        <f t="shared" si="200"/>
        <v>0</v>
      </c>
      <c r="W1735" s="16">
        <f t="shared" si="201"/>
        <v>7</v>
      </c>
      <c r="X1735" s="16">
        <f t="shared" si="202"/>
        <v>2</v>
      </c>
      <c r="Y1735" s="15"/>
      <c r="Z1735" s="177"/>
      <c r="AA1735" s="170"/>
      <c r="AB1735" s="170"/>
      <c r="AC1735" s="170"/>
      <c r="AD1735" s="170"/>
      <c r="AE1735" s="15"/>
      <c r="AF1735" s="177"/>
      <c r="AG1735" s="177">
        <f t="shared" si="203"/>
        <v>0</v>
      </c>
      <c r="AH1735" s="177">
        <f t="shared" si="204"/>
        <v>0</v>
      </c>
      <c r="AK1735" s="176"/>
      <c r="AL1735" s="176"/>
    </row>
    <row r="1736" spans="1:38" ht="36" customHeight="1" x14ac:dyDescent="0.2">
      <c r="A1736" s="176"/>
      <c r="B1736" s="212"/>
      <c r="C1736" s="14"/>
      <c r="D1736" s="14"/>
      <c r="E1736" s="14"/>
      <c r="F1736" s="14"/>
      <c r="G1736" s="179">
        <v>681735</v>
      </c>
      <c r="H1736" s="176"/>
      <c r="I1736" s="176"/>
      <c r="J1736" s="176"/>
      <c r="K1736" s="176"/>
      <c r="L1736" s="40"/>
      <c r="M1736" s="40"/>
      <c r="N1736" s="14"/>
      <c r="O1736" s="14"/>
      <c r="P1736" s="14"/>
      <c r="Q1736" s="14"/>
      <c r="R1736" s="17"/>
      <c r="S1736" s="172"/>
      <c r="T1736" s="17"/>
      <c r="U1736" s="14"/>
      <c r="V1736" s="16">
        <f t="shared" si="200"/>
        <v>0</v>
      </c>
      <c r="W1736" s="16">
        <f t="shared" si="201"/>
        <v>7</v>
      </c>
      <c r="X1736" s="16">
        <f t="shared" si="202"/>
        <v>2</v>
      </c>
      <c r="Y1736" s="15"/>
      <c r="Z1736" s="177"/>
      <c r="AA1736" s="170"/>
      <c r="AB1736" s="170"/>
      <c r="AC1736" s="170"/>
      <c r="AD1736" s="170"/>
      <c r="AE1736" s="15"/>
      <c r="AF1736" s="177"/>
      <c r="AG1736" s="177">
        <f t="shared" si="203"/>
        <v>0</v>
      </c>
      <c r="AH1736" s="177">
        <f t="shared" si="204"/>
        <v>0</v>
      </c>
      <c r="AK1736" s="176"/>
      <c r="AL1736" s="176"/>
    </row>
    <row r="1737" spans="1:38" ht="36" customHeight="1" x14ac:dyDescent="0.2">
      <c r="A1737" s="176"/>
      <c r="B1737" s="212"/>
      <c r="C1737" s="14"/>
      <c r="D1737" s="14"/>
      <c r="E1737" s="14"/>
      <c r="F1737" s="14"/>
      <c r="G1737" s="179">
        <v>681736</v>
      </c>
      <c r="H1737" s="176"/>
      <c r="I1737" s="176"/>
      <c r="J1737" s="176"/>
      <c r="K1737" s="176"/>
      <c r="L1737" s="40"/>
      <c r="M1737" s="40"/>
      <c r="N1737" s="14"/>
      <c r="O1737" s="14"/>
      <c r="P1737" s="14"/>
      <c r="Q1737" s="14"/>
      <c r="R1737" s="17"/>
      <c r="S1737" s="172"/>
      <c r="T1737" s="17"/>
      <c r="U1737" s="14"/>
      <c r="V1737" s="16">
        <f t="shared" si="200"/>
        <v>0</v>
      </c>
      <c r="W1737" s="16">
        <f t="shared" si="201"/>
        <v>7</v>
      </c>
      <c r="X1737" s="16">
        <f t="shared" si="202"/>
        <v>2</v>
      </c>
      <c r="Y1737" s="15"/>
      <c r="Z1737" s="177"/>
      <c r="AA1737" s="170"/>
      <c r="AB1737" s="170"/>
      <c r="AC1737" s="170"/>
      <c r="AD1737" s="170"/>
      <c r="AE1737" s="15"/>
      <c r="AF1737" s="177"/>
      <c r="AG1737" s="177">
        <f t="shared" si="203"/>
        <v>0</v>
      </c>
      <c r="AH1737" s="177">
        <f t="shared" si="204"/>
        <v>0</v>
      </c>
      <c r="AK1737" s="176"/>
      <c r="AL1737" s="176"/>
    </row>
    <row r="1738" spans="1:38" ht="36" customHeight="1" x14ac:dyDescent="0.2">
      <c r="A1738" s="176"/>
      <c r="B1738" s="212"/>
      <c r="C1738" s="14"/>
      <c r="D1738" s="14"/>
      <c r="E1738" s="14"/>
      <c r="F1738" s="14"/>
      <c r="G1738" s="179">
        <v>681737</v>
      </c>
      <c r="H1738" s="176"/>
      <c r="I1738" s="176"/>
      <c r="J1738" s="176"/>
      <c r="K1738" s="176"/>
      <c r="L1738" s="40"/>
      <c r="M1738" s="40"/>
      <c r="N1738" s="14"/>
      <c r="O1738" s="14"/>
      <c r="P1738" s="14"/>
      <c r="Q1738" s="14"/>
      <c r="R1738" s="17"/>
      <c r="S1738" s="172"/>
      <c r="T1738" s="17"/>
      <c r="U1738" s="14"/>
      <c r="V1738" s="16">
        <f t="shared" si="200"/>
        <v>0</v>
      </c>
      <c r="W1738" s="16">
        <f t="shared" si="201"/>
        <v>7</v>
      </c>
      <c r="X1738" s="16">
        <f t="shared" si="202"/>
        <v>2</v>
      </c>
      <c r="Y1738" s="15"/>
      <c r="Z1738" s="177"/>
      <c r="AA1738" s="170"/>
      <c r="AB1738" s="170"/>
      <c r="AC1738" s="170"/>
      <c r="AD1738" s="170"/>
      <c r="AE1738" s="15"/>
      <c r="AF1738" s="177"/>
      <c r="AG1738" s="177">
        <f t="shared" si="203"/>
        <v>0</v>
      </c>
      <c r="AH1738" s="177">
        <f t="shared" si="204"/>
        <v>0</v>
      </c>
      <c r="AK1738" s="176"/>
      <c r="AL1738" s="176"/>
    </row>
    <row r="1739" spans="1:38" ht="36" customHeight="1" x14ac:dyDescent="0.2">
      <c r="A1739" s="176"/>
      <c r="B1739" s="212"/>
      <c r="C1739" s="14"/>
      <c r="D1739" s="14"/>
      <c r="E1739" s="14"/>
      <c r="F1739" s="14"/>
      <c r="G1739" s="179">
        <v>681738</v>
      </c>
      <c r="H1739" s="176"/>
      <c r="I1739" s="176"/>
      <c r="J1739" s="176"/>
      <c r="K1739" s="176"/>
      <c r="L1739" s="40"/>
      <c r="M1739" s="40"/>
      <c r="N1739" s="14"/>
      <c r="O1739" s="14"/>
      <c r="P1739" s="14"/>
      <c r="Q1739" s="14"/>
      <c r="R1739" s="17"/>
      <c r="S1739" s="172"/>
      <c r="T1739" s="17"/>
      <c r="U1739" s="14"/>
      <c r="V1739" s="16">
        <f t="shared" si="200"/>
        <v>0</v>
      </c>
      <c r="W1739" s="16">
        <f t="shared" si="201"/>
        <v>7</v>
      </c>
      <c r="X1739" s="16">
        <f t="shared" si="202"/>
        <v>2</v>
      </c>
      <c r="Y1739" s="15"/>
      <c r="Z1739" s="177"/>
      <c r="AA1739" s="170"/>
      <c r="AB1739" s="170"/>
      <c r="AC1739" s="170"/>
      <c r="AD1739" s="170"/>
      <c r="AE1739" s="15"/>
      <c r="AF1739" s="177"/>
      <c r="AG1739" s="177">
        <f t="shared" si="203"/>
        <v>0</v>
      </c>
      <c r="AH1739" s="177">
        <f t="shared" si="204"/>
        <v>0</v>
      </c>
      <c r="AK1739" s="176"/>
      <c r="AL1739" s="176"/>
    </row>
    <row r="1740" spans="1:38" ht="36" customHeight="1" x14ac:dyDescent="0.2">
      <c r="A1740" s="176"/>
      <c r="B1740" s="212"/>
      <c r="C1740" s="14"/>
      <c r="D1740" s="14"/>
      <c r="E1740" s="14"/>
      <c r="F1740" s="14"/>
      <c r="G1740" s="179">
        <v>681739</v>
      </c>
      <c r="H1740" s="176"/>
      <c r="I1740" s="176"/>
      <c r="J1740" s="176"/>
      <c r="K1740" s="176"/>
      <c r="L1740" s="40"/>
      <c r="M1740" s="40"/>
      <c r="N1740" s="14"/>
      <c r="O1740" s="14"/>
      <c r="P1740" s="14"/>
      <c r="Q1740" s="14"/>
      <c r="R1740" s="17"/>
      <c r="S1740" s="172"/>
      <c r="T1740" s="17"/>
      <c r="U1740" s="14"/>
      <c r="V1740" s="16">
        <f t="shared" si="200"/>
        <v>0</v>
      </c>
      <c r="W1740" s="16">
        <f t="shared" si="201"/>
        <v>7</v>
      </c>
      <c r="X1740" s="16">
        <f t="shared" si="202"/>
        <v>2</v>
      </c>
      <c r="Y1740" s="15"/>
      <c r="Z1740" s="177"/>
      <c r="AA1740" s="170"/>
      <c r="AB1740" s="170"/>
      <c r="AC1740" s="170"/>
      <c r="AD1740" s="170"/>
      <c r="AE1740" s="15"/>
      <c r="AF1740" s="177"/>
      <c r="AG1740" s="177">
        <f t="shared" si="203"/>
        <v>0</v>
      </c>
      <c r="AH1740" s="177">
        <f t="shared" si="204"/>
        <v>0</v>
      </c>
      <c r="AK1740" s="176"/>
      <c r="AL1740" s="176"/>
    </row>
    <row r="1741" spans="1:38" ht="36" customHeight="1" x14ac:dyDescent="0.2">
      <c r="A1741" s="176"/>
      <c r="B1741" s="212"/>
      <c r="C1741" s="14"/>
      <c r="D1741" s="14"/>
      <c r="E1741" s="14"/>
      <c r="F1741" s="14"/>
      <c r="G1741" s="179">
        <v>681740</v>
      </c>
      <c r="H1741" s="176"/>
      <c r="I1741" s="176"/>
      <c r="J1741" s="176"/>
      <c r="K1741" s="176"/>
      <c r="L1741" s="40"/>
      <c r="M1741" s="40"/>
      <c r="N1741" s="14"/>
      <c r="O1741" s="14"/>
      <c r="P1741" s="14"/>
      <c r="Q1741" s="14"/>
      <c r="R1741" s="17"/>
      <c r="S1741" s="172"/>
      <c r="T1741" s="17"/>
      <c r="U1741" s="14"/>
      <c r="V1741" s="16">
        <f t="shared" si="200"/>
        <v>0</v>
      </c>
      <c r="W1741" s="16">
        <f t="shared" si="201"/>
        <v>7</v>
      </c>
      <c r="X1741" s="16">
        <f t="shared" si="202"/>
        <v>2</v>
      </c>
      <c r="Y1741" s="15"/>
      <c r="Z1741" s="177"/>
      <c r="AA1741" s="170"/>
      <c r="AB1741" s="170"/>
      <c r="AC1741" s="170"/>
      <c r="AD1741" s="170"/>
      <c r="AE1741" s="15"/>
      <c r="AF1741" s="177"/>
      <c r="AG1741" s="177">
        <f t="shared" si="203"/>
        <v>0</v>
      </c>
      <c r="AH1741" s="177">
        <f t="shared" si="204"/>
        <v>0</v>
      </c>
      <c r="AK1741" s="176"/>
      <c r="AL1741" s="176"/>
    </row>
    <row r="1742" spans="1:38" ht="36" customHeight="1" x14ac:dyDescent="0.2">
      <c r="A1742" s="176"/>
      <c r="B1742" s="212"/>
      <c r="C1742" s="14"/>
      <c r="D1742" s="14"/>
      <c r="E1742" s="14"/>
      <c r="F1742" s="14"/>
      <c r="G1742" s="179">
        <v>681741</v>
      </c>
      <c r="H1742" s="176"/>
      <c r="I1742" s="176"/>
      <c r="J1742" s="176"/>
      <c r="K1742" s="176"/>
      <c r="L1742" s="40"/>
      <c r="M1742" s="40"/>
      <c r="N1742" s="14"/>
      <c r="O1742" s="14"/>
      <c r="P1742" s="14"/>
      <c r="Q1742" s="14"/>
      <c r="R1742" s="17"/>
      <c r="S1742" s="172"/>
      <c r="T1742" s="17"/>
      <c r="U1742" s="14"/>
      <c r="V1742" s="16">
        <f t="shared" si="200"/>
        <v>0</v>
      </c>
      <c r="W1742" s="16">
        <f t="shared" si="201"/>
        <v>7</v>
      </c>
      <c r="X1742" s="16">
        <f t="shared" si="202"/>
        <v>2</v>
      </c>
      <c r="Y1742" s="15"/>
      <c r="Z1742" s="177"/>
      <c r="AA1742" s="170"/>
      <c r="AB1742" s="170"/>
      <c r="AC1742" s="170"/>
      <c r="AD1742" s="170"/>
      <c r="AE1742" s="15"/>
      <c r="AF1742" s="177"/>
      <c r="AG1742" s="177">
        <f t="shared" si="203"/>
        <v>0</v>
      </c>
      <c r="AH1742" s="177">
        <f t="shared" si="204"/>
        <v>0</v>
      </c>
      <c r="AK1742" s="176"/>
      <c r="AL1742" s="176"/>
    </row>
    <row r="1743" spans="1:38" ht="36" customHeight="1" x14ac:dyDescent="0.2">
      <c r="A1743" s="176"/>
      <c r="B1743" s="212"/>
      <c r="C1743" s="14"/>
      <c r="D1743" s="14"/>
      <c r="E1743" s="14"/>
      <c r="F1743" s="14"/>
      <c r="G1743" s="179">
        <v>681742</v>
      </c>
      <c r="H1743" s="176"/>
      <c r="I1743" s="176"/>
      <c r="J1743" s="176"/>
      <c r="K1743" s="176"/>
      <c r="L1743" s="40"/>
      <c r="M1743" s="40"/>
      <c r="N1743" s="14"/>
      <c r="O1743" s="14"/>
      <c r="P1743" s="14"/>
      <c r="Q1743" s="14"/>
      <c r="R1743" s="17"/>
      <c r="S1743" s="172"/>
      <c r="T1743" s="17"/>
      <c r="U1743" s="14"/>
      <c r="V1743" s="16">
        <f t="shared" si="200"/>
        <v>0</v>
      </c>
      <c r="W1743" s="16">
        <f t="shared" si="201"/>
        <v>7</v>
      </c>
      <c r="X1743" s="16">
        <f t="shared" si="202"/>
        <v>2</v>
      </c>
      <c r="Y1743" s="15"/>
      <c r="Z1743" s="177"/>
      <c r="AA1743" s="170"/>
      <c r="AB1743" s="170"/>
      <c r="AC1743" s="170"/>
      <c r="AD1743" s="170"/>
      <c r="AE1743" s="15"/>
      <c r="AF1743" s="177"/>
      <c r="AG1743" s="177">
        <f t="shared" si="203"/>
        <v>0</v>
      </c>
      <c r="AH1743" s="177">
        <f t="shared" si="204"/>
        <v>0</v>
      </c>
      <c r="AK1743" s="176"/>
      <c r="AL1743" s="176"/>
    </row>
    <row r="1744" spans="1:38" ht="36" customHeight="1" x14ac:dyDescent="0.2">
      <c r="A1744" s="176"/>
      <c r="B1744" s="212"/>
      <c r="C1744" s="14"/>
      <c r="D1744" s="14"/>
      <c r="E1744" s="14"/>
      <c r="F1744" s="14"/>
      <c r="G1744" s="179">
        <v>681743</v>
      </c>
      <c r="H1744" s="176"/>
      <c r="I1744" s="176"/>
      <c r="J1744" s="176"/>
      <c r="K1744" s="176"/>
      <c r="L1744" s="40"/>
      <c r="M1744" s="40"/>
      <c r="N1744" s="14"/>
      <c r="O1744" s="14"/>
      <c r="P1744" s="14"/>
      <c r="Q1744" s="14"/>
      <c r="R1744" s="17"/>
      <c r="S1744" s="172"/>
      <c r="T1744" s="17"/>
      <c r="U1744" s="14"/>
      <c r="V1744" s="16">
        <f t="shared" si="200"/>
        <v>0</v>
      </c>
      <c r="W1744" s="16">
        <f t="shared" si="201"/>
        <v>7</v>
      </c>
      <c r="X1744" s="16">
        <f t="shared" si="202"/>
        <v>2</v>
      </c>
      <c r="Y1744" s="15"/>
      <c r="Z1744" s="177"/>
      <c r="AA1744" s="170"/>
      <c r="AB1744" s="170"/>
      <c r="AC1744" s="170"/>
      <c r="AD1744" s="170"/>
      <c r="AE1744" s="15"/>
      <c r="AF1744" s="177"/>
      <c r="AG1744" s="177">
        <f t="shared" si="203"/>
        <v>0</v>
      </c>
      <c r="AH1744" s="177">
        <f t="shared" si="204"/>
        <v>0</v>
      </c>
      <c r="AK1744" s="176"/>
      <c r="AL1744" s="176"/>
    </row>
    <row r="1745" spans="1:38" ht="36" customHeight="1" x14ac:dyDescent="0.2">
      <c r="A1745" s="176"/>
      <c r="B1745" s="212"/>
      <c r="C1745" s="14"/>
      <c r="D1745" s="14"/>
      <c r="E1745" s="14"/>
      <c r="F1745" s="14"/>
      <c r="G1745" s="179">
        <v>681744</v>
      </c>
      <c r="H1745" s="176"/>
      <c r="I1745" s="176"/>
      <c r="J1745" s="176"/>
      <c r="K1745" s="176"/>
      <c r="L1745" s="40"/>
      <c r="M1745" s="40"/>
      <c r="N1745" s="14"/>
      <c r="O1745" s="14"/>
      <c r="P1745" s="14"/>
      <c r="Q1745" s="14"/>
      <c r="R1745" s="17"/>
      <c r="S1745" s="172"/>
      <c r="T1745" s="17"/>
      <c r="U1745" s="14"/>
      <c r="V1745" s="16">
        <f t="shared" si="200"/>
        <v>0</v>
      </c>
      <c r="W1745" s="16">
        <f t="shared" si="201"/>
        <v>7</v>
      </c>
      <c r="X1745" s="16">
        <f t="shared" si="202"/>
        <v>2</v>
      </c>
      <c r="Y1745" s="15"/>
      <c r="Z1745" s="177"/>
      <c r="AA1745" s="170"/>
      <c r="AB1745" s="170"/>
      <c r="AC1745" s="170"/>
      <c r="AD1745" s="170"/>
      <c r="AE1745" s="15"/>
      <c r="AF1745" s="177"/>
      <c r="AG1745" s="177">
        <f t="shared" si="203"/>
        <v>0</v>
      </c>
      <c r="AH1745" s="177">
        <f t="shared" si="204"/>
        <v>0</v>
      </c>
      <c r="AK1745" s="176"/>
      <c r="AL1745" s="176"/>
    </row>
    <row r="1746" spans="1:38" ht="36" customHeight="1" x14ac:dyDescent="0.2">
      <c r="A1746" s="176"/>
      <c r="B1746" s="212"/>
      <c r="C1746" s="14"/>
      <c r="D1746" s="14"/>
      <c r="E1746" s="14"/>
      <c r="F1746" s="14"/>
      <c r="G1746" s="179">
        <v>681745</v>
      </c>
      <c r="H1746" s="176"/>
      <c r="I1746" s="176"/>
      <c r="J1746" s="176"/>
      <c r="K1746" s="176"/>
      <c r="L1746" s="40"/>
      <c r="M1746" s="40"/>
      <c r="N1746" s="14"/>
      <c r="O1746" s="14"/>
      <c r="P1746" s="14"/>
      <c r="Q1746" s="14"/>
      <c r="R1746" s="17"/>
      <c r="S1746" s="172"/>
      <c r="T1746" s="17"/>
      <c r="U1746" s="14"/>
      <c r="V1746" s="16">
        <f t="shared" si="200"/>
        <v>0</v>
      </c>
      <c r="W1746" s="16">
        <f t="shared" si="201"/>
        <v>7</v>
      </c>
      <c r="X1746" s="16">
        <f t="shared" si="202"/>
        <v>2</v>
      </c>
      <c r="Y1746" s="15"/>
      <c r="Z1746" s="177"/>
      <c r="AA1746" s="170"/>
      <c r="AB1746" s="170"/>
      <c r="AC1746" s="170"/>
      <c r="AD1746" s="170"/>
      <c r="AE1746" s="15"/>
      <c r="AF1746" s="177"/>
      <c r="AG1746" s="177">
        <f t="shared" si="203"/>
        <v>0</v>
      </c>
      <c r="AH1746" s="177">
        <f t="shared" si="204"/>
        <v>0</v>
      </c>
      <c r="AK1746" s="176"/>
      <c r="AL1746" s="176"/>
    </row>
    <row r="1747" spans="1:38" ht="36" customHeight="1" x14ac:dyDescent="0.2">
      <c r="A1747" s="176"/>
      <c r="B1747" s="212"/>
      <c r="C1747" s="14"/>
      <c r="D1747" s="14"/>
      <c r="E1747" s="14"/>
      <c r="F1747" s="14"/>
      <c r="G1747" s="179">
        <v>681746</v>
      </c>
      <c r="H1747" s="176"/>
      <c r="I1747" s="176"/>
      <c r="J1747" s="176"/>
      <c r="K1747" s="176"/>
      <c r="L1747" s="40"/>
      <c r="M1747" s="40"/>
      <c r="N1747" s="14"/>
      <c r="O1747" s="14"/>
      <c r="P1747" s="14"/>
      <c r="Q1747" s="14"/>
      <c r="R1747" s="17"/>
      <c r="S1747" s="172"/>
      <c r="T1747" s="17"/>
      <c r="U1747" s="14"/>
      <c r="V1747" s="16">
        <f t="shared" si="200"/>
        <v>0</v>
      </c>
      <c r="W1747" s="16">
        <f t="shared" si="201"/>
        <v>7</v>
      </c>
      <c r="X1747" s="16">
        <f t="shared" si="202"/>
        <v>2</v>
      </c>
      <c r="Y1747" s="15"/>
      <c r="Z1747" s="177"/>
      <c r="AA1747" s="170"/>
      <c r="AB1747" s="170"/>
      <c r="AC1747" s="170"/>
      <c r="AD1747" s="170"/>
      <c r="AE1747" s="15"/>
      <c r="AF1747" s="177"/>
      <c r="AG1747" s="177">
        <f t="shared" si="203"/>
        <v>0</v>
      </c>
      <c r="AH1747" s="177">
        <f t="shared" si="204"/>
        <v>0</v>
      </c>
      <c r="AK1747" s="176"/>
      <c r="AL1747" s="176"/>
    </row>
    <row r="1748" spans="1:38" ht="36" customHeight="1" x14ac:dyDescent="0.2">
      <c r="A1748" s="176"/>
      <c r="B1748" s="212"/>
      <c r="C1748" s="14"/>
      <c r="D1748" s="14"/>
      <c r="E1748" s="14"/>
      <c r="F1748" s="14"/>
      <c r="G1748" s="179">
        <v>681747</v>
      </c>
      <c r="H1748" s="176"/>
      <c r="I1748" s="176"/>
      <c r="J1748" s="176"/>
      <c r="K1748" s="176"/>
      <c r="L1748" s="40"/>
      <c r="M1748" s="40"/>
      <c r="N1748" s="14"/>
      <c r="O1748" s="14"/>
      <c r="P1748" s="14"/>
      <c r="Q1748" s="14"/>
      <c r="R1748" s="17"/>
      <c r="S1748" s="172"/>
      <c r="T1748" s="17"/>
      <c r="U1748" s="14"/>
      <c r="V1748" s="16">
        <f t="shared" si="200"/>
        <v>0</v>
      </c>
      <c r="W1748" s="16">
        <f t="shared" si="201"/>
        <v>7</v>
      </c>
      <c r="X1748" s="16">
        <f t="shared" si="202"/>
        <v>2</v>
      </c>
      <c r="Y1748" s="15"/>
      <c r="Z1748" s="177"/>
      <c r="AA1748" s="170"/>
      <c r="AB1748" s="170"/>
      <c r="AC1748" s="170"/>
      <c r="AD1748" s="170"/>
      <c r="AE1748" s="15"/>
      <c r="AF1748" s="177"/>
      <c r="AG1748" s="177">
        <f t="shared" si="203"/>
        <v>0</v>
      </c>
      <c r="AH1748" s="177">
        <f t="shared" si="204"/>
        <v>0</v>
      </c>
      <c r="AK1748" s="176"/>
      <c r="AL1748" s="176"/>
    </row>
    <row r="1749" spans="1:38" ht="36" customHeight="1" x14ac:dyDescent="0.2">
      <c r="A1749" s="176"/>
      <c r="B1749" s="212"/>
      <c r="C1749" s="14"/>
      <c r="D1749" s="14"/>
      <c r="E1749" s="14"/>
      <c r="F1749" s="14"/>
      <c r="G1749" s="179">
        <v>681748</v>
      </c>
      <c r="H1749" s="176"/>
      <c r="I1749" s="176"/>
      <c r="J1749" s="176"/>
      <c r="K1749" s="176"/>
      <c r="L1749" s="40"/>
      <c r="M1749" s="40"/>
      <c r="N1749" s="14"/>
      <c r="O1749" s="14"/>
      <c r="P1749" s="14"/>
      <c r="Q1749" s="14"/>
      <c r="R1749" s="17"/>
      <c r="S1749" s="172"/>
      <c r="T1749" s="17"/>
      <c r="U1749" s="14"/>
      <c r="V1749" s="16">
        <f t="shared" si="200"/>
        <v>0</v>
      </c>
      <c r="W1749" s="16">
        <f t="shared" si="201"/>
        <v>7</v>
      </c>
      <c r="X1749" s="16">
        <f t="shared" si="202"/>
        <v>2</v>
      </c>
      <c r="Y1749" s="15"/>
      <c r="Z1749" s="177"/>
      <c r="AA1749" s="170"/>
      <c r="AB1749" s="170"/>
      <c r="AC1749" s="170"/>
      <c r="AD1749" s="170"/>
      <c r="AE1749" s="15"/>
      <c r="AF1749" s="177"/>
      <c r="AG1749" s="177">
        <f t="shared" si="203"/>
        <v>0</v>
      </c>
      <c r="AH1749" s="177">
        <f t="shared" si="204"/>
        <v>0</v>
      </c>
      <c r="AK1749" s="176"/>
      <c r="AL1749" s="176"/>
    </row>
    <row r="1750" spans="1:38" ht="36" customHeight="1" x14ac:dyDescent="0.2">
      <c r="A1750" s="176"/>
      <c r="B1750" s="212"/>
      <c r="C1750" s="14"/>
      <c r="D1750" s="14"/>
      <c r="E1750" s="14"/>
      <c r="F1750" s="14"/>
      <c r="G1750" s="179">
        <v>681749</v>
      </c>
      <c r="H1750" s="176"/>
      <c r="I1750" s="176"/>
      <c r="J1750" s="176"/>
      <c r="K1750" s="176"/>
      <c r="L1750" s="40"/>
      <c r="M1750" s="40"/>
      <c r="N1750" s="14"/>
      <c r="O1750" s="14"/>
      <c r="P1750" s="14"/>
      <c r="Q1750" s="14"/>
      <c r="R1750" s="17"/>
      <c r="S1750" s="172"/>
      <c r="T1750" s="17"/>
      <c r="U1750" s="14"/>
      <c r="V1750" s="16">
        <f t="shared" si="200"/>
        <v>0</v>
      </c>
      <c r="W1750" s="16">
        <f t="shared" si="201"/>
        <v>7</v>
      </c>
      <c r="X1750" s="16">
        <f t="shared" si="202"/>
        <v>2</v>
      </c>
      <c r="Y1750" s="15"/>
      <c r="Z1750" s="177"/>
      <c r="AA1750" s="170"/>
      <c r="AB1750" s="170"/>
      <c r="AC1750" s="170"/>
      <c r="AD1750" s="170"/>
      <c r="AE1750" s="15"/>
      <c r="AF1750" s="177"/>
      <c r="AG1750" s="177">
        <f t="shared" si="203"/>
        <v>0</v>
      </c>
      <c r="AH1750" s="177">
        <f t="shared" si="204"/>
        <v>0</v>
      </c>
      <c r="AK1750" s="176"/>
      <c r="AL1750" s="176"/>
    </row>
    <row r="1751" spans="1:38" ht="36" customHeight="1" x14ac:dyDescent="0.2">
      <c r="A1751" s="176"/>
      <c r="B1751" s="212"/>
      <c r="C1751" s="14"/>
      <c r="D1751" s="14"/>
      <c r="E1751" s="14"/>
      <c r="F1751" s="14"/>
      <c r="G1751" s="179">
        <v>681750</v>
      </c>
      <c r="H1751" s="176"/>
      <c r="I1751" s="176"/>
      <c r="J1751" s="176"/>
      <c r="K1751" s="176"/>
      <c r="L1751" s="40"/>
      <c r="M1751" s="40"/>
      <c r="N1751" s="14"/>
      <c r="O1751" s="14"/>
      <c r="P1751" s="14"/>
      <c r="Q1751" s="14"/>
      <c r="R1751" s="17"/>
      <c r="S1751" s="172"/>
      <c r="T1751" s="17"/>
      <c r="U1751" s="14"/>
      <c r="V1751" s="16">
        <f t="shared" si="200"/>
        <v>0</v>
      </c>
      <c r="W1751" s="16">
        <f t="shared" si="201"/>
        <v>7</v>
      </c>
      <c r="X1751" s="16">
        <f t="shared" si="202"/>
        <v>2</v>
      </c>
      <c r="Y1751" s="15"/>
      <c r="Z1751" s="177"/>
      <c r="AA1751" s="170"/>
      <c r="AB1751" s="170"/>
      <c r="AC1751" s="170"/>
      <c r="AD1751" s="170"/>
      <c r="AE1751" s="15"/>
      <c r="AF1751" s="177"/>
      <c r="AG1751" s="177">
        <f t="shared" si="203"/>
        <v>0</v>
      </c>
      <c r="AH1751" s="177">
        <f t="shared" si="204"/>
        <v>0</v>
      </c>
      <c r="AK1751" s="176"/>
      <c r="AL1751" s="176"/>
    </row>
    <row r="1752" spans="1:38" ht="36" customHeight="1" x14ac:dyDescent="0.2">
      <c r="A1752" s="176"/>
      <c r="B1752" s="212"/>
      <c r="C1752" s="14"/>
      <c r="D1752" s="14"/>
      <c r="E1752" s="14"/>
      <c r="F1752" s="14"/>
      <c r="G1752" s="179">
        <v>681751</v>
      </c>
      <c r="H1752" s="176"/>
      <c r="I1752" s="176"/>
      <c r="J1752" s="176"/>
      <c r="K1752" s="176"/>
      <c r="L1752" s="40"/>
      <c r="M1752" s="40"/>
      <c r="N1752" s="14"/>
      <c r="O1752" s="14"/>
      <c r="P1752" s="14"/>
      <c r="Q1752" s="14"/>
      <c r="R1752" s="17"/>
      <c r="S1752" s="172"/>
      <c r="T1752" s="17"/>
      <c r="U1752" s="14"/>
      <c r="V1752" s="16">
        <f t="shared" si="200"/>
        <v>0</v>
      </c>
      <c r="W1752" s="16">
        <f t="shared" si="201"/>
        <v>7</v>
      </c>
      <c r="X1752" s="16">
        <f t="shared" si="202"/>
        <v>2</v>
      </c>
      <c r="Y1752" s="15"/>
      <c r="Z1752" s="177"/>
      <c r="AA1752" s="170"/>
      <c r="AB1752" s="170"/>
      <c r="AC1752" s="170"/>
      <c r="AD1752" s="170"/>
      <c r="AE1752" s="15"/>
      <c r="AF1752" s="177"/>
      <c r="AG1752" s="177">
        <f t="shared" si="203"/>
        <v>0</v>
      </c>
      <c r="AH1752" s="177">
        <f t="shared" si="204"/>
        <v>0</v>
      </c>
      <c r="AK1752" s="176"/>
      <c r="AL1752" s="176"/>
    </row>
    <row r="1753" spans="1:38" ht="36" customHeight="1" x14ac:dyDescent="0.2">
      <c r="A1753" s="176"/>
      <c r="B1753" s="212"/>
      <c r="C1753" s="14"/>
      <c r="D1753" s="14"/>
      <c r="E1753" s="14"/>
      <c r="F1753" s="14"/>
      <c r="G1753" s="179">
        <v>681752</v>
      </c>
      <c r="H1753" s="176"/>
      <c r="I1753" s="176"/>
      <c r="J1753" s="176"/>
      <c r="K1753" s="176"/>
      <c r="L1753" s="40"/>
      <c r="M1753" s="40"/>
      <c r="N1753" s="14"/>
      <c r="O1753" s="14"/>
      <c r="P1753" s="14"/>
      <c r="Q1753" s="14"/>
      <c r="R1753" s="17"/>
      <c r="S1753" s="172"/>
      <c r="T1753" s="17"/>
      <c r="U1753" s="14"/>
      <c r="V1753" s="16">
        <f t="shared" si="200"/>
        <v>0</v>
      </c>
      <c r="W1753" s="16">
        <f t="shared" si="201"/>
        <v>7</v>
      </c>
      <c r="X1753" s="16">
        <f t="shared" si="202"/>
        <v>2</v>
      </c>
      <c r="Y1753" s="15"/>
      <c r="Z1753" s="177"/>
      <c r="AA1753" s="170"/>
      <c r="AB1753" s="170"/>
      <c r="AC1753" s="170"/>
      <c r="AD1753" s="170"/>
      <c r="AE1753" s="15"/>
      <c r="AF1753" s="177"/>
      <c r="AG1753" s="177">
        <f t="shared" si="203"/>
        <v>0</v>
      </c>
      <c r="AH1753" s="177">
        <f t="shared" si="204"/>
        <v>0</v>
      </c>
      <c r="AK1753" s="176"/>
      <c r="AL1753" s="176"/>
    </row>
    <row r="1754" spans="1:38" ht="36" customHeight="1" x14ac:dyDescent="0.2">
      <c r="A1754" s="176"/>
      <c r="B1754" s="212"/>
      <c r="C1754" s="14"/>
      <c r="D1754" s="14"/>
      <c r="E1754" s="14"/>
      <c r="F1754" s="14"/>
      <c r="G1754" s="179">
        <v>681753</v>
      </c>
      <c r="H1754" s="176"/>
      <c r="I1754" s="176"/>
      <c r="J1754" s="176"/>
      <c r="K1754" s="176"/>
      <c r="L1754" s="40"/>
      <c r="M1754" s="40"/>
      <c r="N1754" s="14"/>
      <c r="O1754" s="14"/>
      <c r="P1754" s="14"/>
      <c r="Q1754" s="14"/>
      <c r="R1754" s="17"/>
      <c r="S1754" s="172"/>
      <c r="T1754" s="17"/>
      <c r="U1754" s="14"/>
      <c r="V1754" s="16">
        <f t="shared" si="200"/>
        <v>0</v>
      </c>
      <c r="W1754" s="16">
        <f t="shared" si="201"/>
        <v>7</v>
      </c>
      <c r="X1754" s="16">
        <f t="shared" si="202"/>
        <v>2</v>
      </c>
      <c r="Y1754" s="15"/>
      <c r="Z1754" s="177"/>
      <c r="AA1754" s="170"/>
      <c r="AB1754" s="170"/>
      <c r="AC1754" s="170"/>
      <c r="AD1754" s="170"/>
      <c r="AE1754" s="15"/>
      <c r="AF1754" s="177"/>
      <c r="AG1754" s="177">
        <f t="shared" si="203"/>
        <v>0</v>
      </c>
      <c r="AH1754" s="177">
        <f t="shared" si="204"/>
        <v>0</v>
      </c>
      <c r="AK1754" s="176"/>
      <c r="AL1754" s="176"/>
    </row>
    <row r="1755" spans="1:38" ht="36" customHeight="1" x14ac:dyDescent="0.2">
      <c r="A1755" s="176"/>
      <c r="B1755" s="212"/>
      <c r="C1755" s="14"/>
      <c r="D1755" s="14"/>
      <c r="E1755" s="14"/>
      <c r="F1755" s="14"/>
      <c r="G1755" s="179">
        <v>681754</v>
      </c>
      <c r="H1755" s="176"/>
      <c r="I1755" s="176"/>
      <c r="J1755" s="176"/>
      <c r="K1755" s="176"/>
      <c r="L1755" s="40"/>
      <c r="M1755" s="40"/>
      <c r="N1755" s="14"/>
      <c r="O1755" s="14"/>
      <c r="P1755" s="14"/>
      <c r="Q1755" s="14"/>
      <c r="R1755" s="17"/>
      <c r="S1755" s="172"/>
      <c r="T1755" s="17"/>
      <c r="U1755" s="14"/>
      <c r="V1755" s="16">
        <f t="shared" si="200"/>
        <v>0</v>
      </c>
      <c r="W1755" s="16">
        <f t="shared" si="201"/>
        <v>7</v>
      </c>
      <c r="X1755" s="16">
        <f t="shared" si="202"/>
        <v>2</v>
      </c>
      <c r="Y1755" s="15"/>
      <c r="Z1755" s="177"/>
      <c r="AA1755" s="170"/>
      <c r="AB1755" s="170"/>
      <c r="AC1755" s="170"/>
      <c r="AD1755" s="170"/>
      <c r="AE1755" s="15"/>
      <c r="AF1755" s="177"/>
      <c r="AG1755" s="177">
        <f t="shared" si="203"/>
        <v>0</v>
      </c>
      <c r="AH1755" s="177">
        <f t="shared" si="204"/>
        <v>0</v>
      </c>
      <c r="AK1755" s="176"/>
      <c r="AL1755" s="176"/>
    </row>
    <row r="1756" spans="1:38" ht="36" customHeight="1" x14ac:dyDescent="0.2">
      <c r="A1756" s="176"/>
      <c r="B1756" s="212"/>
      <c r="C1756" s="14"/>
      <c r="D1756" s="14"/>
      <c r="E1756" s="14"/>
      <c r="F1756" s="14"/>
      <c r="G1756" s="179">
        <v>681755</v>
      </c>
      <c r="H1756" s="176"/>
      <c r="I1756" s="176"/>
      <c r="J1756" s="176"/>
      <c r="K1756" s="176"/>
      <c r="L1756" s="40"/>
      <c r="M1756" s="40"/>
      <c r="N1756" s="14"/>
      <c r="O1756" s="14"/>
      <c r="P1756" s="14"/>
      <c r="Q1756" s="14"/>
      <c r="R1756" s="17"/>
      <c r="S1756" s="172"/>
      <c r="T1756" s="17"/>
      <c r="U1756" s="14"/>
      <c r="V1756" s="16">
        <f t="shared" si="200"/>
        <v>0</v>
      </c>
      <c r="W1756" s="16">
        <f t="shared" si="201"/>
        <v>7</v>
      </c>
      <c r="X1756" s="16">
        <f t="shared" si="202"/>
        <v>2</v>
      </c>
      <c r="Y1756" s="15"/>
      <c r="Z1756" s="177"/>
      <c r="AA1756" s="170"/>
      <c r="AB1756" s="170"/>
      <c r="AC1756" s="170"/>
      <c r="AD1756" s="170"/>
      <c r="AE1756" s="15"/>
      <c r="AF1756" s="177"/>
      <c r="AG1756" s="177">
        <f t="shared" si="203"/>
        <v>0</v>
      </c>
      <c r="AH1756" s="177">
        <f t="shared" si="204"/>
        <v>0</v>
      </c>
      <c r="AK1756" s="176"/>
      <c r="AL1756" s="176"/>
    </row>
    <row r="1757" spans="1:38" ht="36" customHeight="1" x14ac:dyDescent="0.2">
      <c r="A1757" s="176"/>
      <c r="B1757" s="212"/>
      <c r="C1757" s="14"/>
      <c r="D1757" s="14"/>
      <c r="E1757" s="14"/>
      <c r="F1757" s="14"/>
      <c r="G1757" s="179">
        <v>681756</v>
      </c>
      <c r="H1757" s="176"/>
      <c r="I1757" s="176"/>
      <c r="J1757" s="176"/>
      <c r="K1757" s="176"/>
      <c r="L1757" s="40"/>
      <c r="M1757" s="40"/>
      <c r="N1757" s="14"/>
      <c r="O1757" s="14"/>
      <c r="P1757" s="14"/>
      <c r="Q1757" s="14"/>
      <c r="R1757" s="17"/>
      <c r="S1757" s="172"/>
      <c r="T1757" s="17"/>
      <c r="U1757" s="14"/>
      <c r="V1757" s="16">
        <f t="shared" si="200"/>
        <v>0</v>
      </c>
      <c r="W1757" s="16">
        <f t="shared" si="201"/>
        <v>7</v>
      </c>
      <c r="X1757" s="16">
        <f t="shared" si="202"/>
        <v>2</v>
      </c>
      <c r="Y1757" s="15"/>
      <c r="Z1757" s="177"/>
      <c r="AA1757" s="170"/>
      <c r="AB1757" s="170"/>
      <c r="AC1757" s="170"/>
      <c r="AD1757" s="170"/>
      <c r="AE1757" s="15"/>
      <c r="AF1757" s="177"/>
      <c r="AG1757" s="177">
        <f t="shared" si="203"/>
        <v>0</v>
      </c>
      <c r="AH1757" s="177">
        <f t="shared" si="204"/>
        <v>0</v>
      </c>
      <c r="AK1757" s="176"/>
      <c r="AL1757" s="176"/>
    </row>
    <row r="1758" spans="1:38" ht="36" customHeight="1" x14ac:dyDescent="0.2">
      <c r="A1758" s="176"/>
      <c r="B1758" s="212"/>
      <c r="C1758" s="14"/>
      <c r="D1758" s="14"/>
      <c r="E1758" s="14"/>
      <c r="F1758" s="14"/>
      <c r="G1758" s="179">
        <v>681757</v>
      </c>
      <c r="H1758" s="176"/>
      <c r="I1758" s="176"/>
      <c r="J1758" s="176"/>
      <c r="K1758" s="176"/>
      <c r="L1758" s="40"/>
      <c r="M1758" s="40"/>
      <c r="N1758" s="14"/>
      <c r="O1758" s="14"/>
      <c r="P1758" s="14"/>
      <c r="Q1758" s="14"/>
      <c r="R1758" s="17"/>
      <c r="S1758" s="172"/>
      <c r="T1758" s="17"/>
      <c r="U1758" s="14"/>
      <c r="V1758" s="16">
        <f t="shared" si="200"/>
        <v>0</v>
      </c>
      <c r="W1758" s="16">
        <f t="shared" si="201"/>
        <v>7</v>
      </c>
      <c r="X1758" s="16">
        <f t="shared" si="202"/>
        <v>2</v>
      </c>
      <c r="Y1758" s="15"/>
      <c r="Z1758" s="177"/>
      <c r="AA1758" s="170"/>
      <c r="AB1758" s="170"/>
      <c r="AC1758" s="170"/>
      <c r="AD1758" s="170"/>
      <c r="AE1758" s="15"/>
      <c r="AF1758" s="177"/>
      <c r="AG1758" s="177">
        <f t="shared" si="203"/>
        <v>0</v>
      </c>
      <c r="AH1758" s="177">
        <f t="shared" si="204"/>
        <v>0</v>
      </c>
      <c r="AK1758" s="176"/>
      <c r="AL1758" s="176"/>
    </row>
    <row r="1759" spans="1:38" ht="36" customHeight="1" x14ac:dyDescent="0.2">
      <c r="A1759" s="176"/>
      <c r="B1759" s="212"/>
      <c r="C1759" s="14"/>
      <c r="D1759" s="14"/>
      <c r="E1759" s="14"/>
      <c r="F1759" s="14"/>
      <c r="G1759" s="179">
        <v>681758</v>
      </c>
      <c r="H1759" s="176"/>
      <c r="I1759" s="176"/>
      <c r="J1759" s="176"/>
      <c r="K1759" s="176"/>
      <c r="L1759" s="40"/>
      <c r="M1759" s="40"/>
      <c r="N1759" s="14"/>
      <c r="O1759" s="14"/>
      <c r="P1759" s="14"/>
      <c r="Q1759" s="14"/>
      <c r="R1759" s="17"/>
      <c r="S1759" s="172"/>
      <c r="T1759" s="17"/>
      <c r="U1759" s="14"/>
      <c r="V1759" s="16">
        <f t="shared" si="200"/>
        <v>0</v>
      </c>
      <c r="W1759" s="16">
        <f t="shared" si="201"/>
        <v>7</v>
      </c>
      <c r="X1759" s="16">
        <f t="shared" si="202"/>
        <v>2</v>
      </c>
      <c r="Y1759" s="15"/>
      <c r="Z1759" s="177"/>
      <c r="AA1759" s="170"/>
      <c r="AB1759" s="170"/>
      <c r="AC1759" s="170"/>
      <c r="AD1759" s="170"/>
      <c r="AE1759" s="15"/>
      <c r="AF1759" s="177"/>
      <c r="AG1759" s="177">
        <f t="shared" si="203"/>
        <v>0</v>
      </c>
      <c r="AH1759" s="177">
        <f t="shared" si="204"/>
        <v>0</v>
      </c>
      <c r="AK1759" s="176"/>
      <c r="AL1759" s="176"/>
    </row>
    <row r="1760" spans="1:38" ht="36" customHeight="1" x14ac:dyDescent="0.2">
      <c r="A1760" s="176"/>
      <c r="B1760" s="212"/>
      <c r="C1760" s="14"/>
      <c r="D1760" s="14"/>
      <c r="E1760" s="14"/>
      <c r="F1760" s="14"/>
      <c r="G1760" s="179">
        <v>681759</v>
      </c>
      <c r="H1760" s="176"/>
      <c r="I1760" s="176"/>
      <c r="J1760" s="176"/>
      <c r="K1760" s="176"/>
      <c r="L1760" s="40"/>
      <c r="M1760" s="40"/>
      <c r="N1760" s="14"/>
      <c r="O1760" s="14"/>
      <c r="P1760" s="14"/>
      <c r="Q1760" s="14"/>
      <c r="R1760" s="17"/>
      <c r="S1760" s="172"/>
      <c r="T1760" s="17"/>
      <c r="U1760" s="14"/>
      <c r="V1760" s="16">
        <f t="shared" si="200"/>
        <v>0</v>
      </c>
      <c r="W1760" s="16">
        <f t="shared" si="201"/>
        <v>7</v>
      </c>
      <c r="X1760" s="16">
        <f t="shared" si="202"/>
        <v>2</v>
      </c>
      <c r="Y1760" s="15"/>
      <c r="Z1760" s="177"/>
      <c r="AA1760" s="170"/>
      <c r="AB1760" s="170"/>
      <c r="AC1760" s="170"/>
      <c r="AD1760" s="170"/>
      <c r="AE1760" s="15"/>
      <c r="AF1760" s="177"/>
      <c r="AG1760" s="177">
        <f t="shared" si="203"/>
        <v>0</v>
      </c>
      <c r="AH1760" s="177">
        <f t="shared" si="204"/>
        <v>0</v>
      </c>
      <c r="AK1760" s="176"/>
      <c r="AL1760" s="176"/>
    </row>
    <row r="1761" spans="1:38" ht="36" customHeight="1" x14ac:dyDescent="0.2">
      <c r="A1761" s="176"/>
      <c r="B1761" s="212"/>
      <c r="C1761" s="14"/>
      <c r="D1761" s="14"/>
      <c r="E1761" s="14"/>
      <c r="F1761" s="14"/>
      <c r="G1761" s="179">
        <v>681760</v>
      </c>
      <c r="H1761" s="176"/>
      <c r="I1761" s="176"/>
      <c r="J1761" s="176"/>
      <c r="K1761" s="176"/>
      <c r="L1761" s="40"/>
      <c r="M1761" s="40"/>
      <c r="N1761" s="14"/>
      <c r="O1761" s="14"/>
      <c r="P1761" s="14"/>
      <c r="Q1761" s="14"/>
      <c r="R1761" s="17"/>
      <c r="S1761" s="172"/>
      <c r="T1761" s="17"/>
      <c r="U1761" s="14"/>
      <c r="V1761" s="16">
        <f t="shared" si="200"/>
        <v>0</v>
      </c>
      <c r="W1761" s="16">
        <f t="shared" si="201"/>
        <v>7</v>
      </c>
      <c r="X1761" s="16">
        <f t="shared" si="202"/>
        <v>2</v>
      </c>
      <c r="Y1761" s="15"/>
      <c r="Z1761" s="177"/>
      <c r="AA1761" s="170"/>
      <c r="AB1761" s="170"/>
      <c r="AC1761" s="170"/>
      <c r="AD1761" s="170"/>
      <c r="AE1761" s="15"/>
      <c r="AF1761" s="177"/>
      <c r="AG1761" s="177">
        <f t="shared" si="203"/>
        <v>0</v>
      </c>
      <c r="AH1761" s="177">
        <f t="shared" si="204"/>
        <v>0</v>
      </c>
      <c r="AK1761" s="176"/>
      <c r="AL1761" s="176"/>
    </row>
    <row r="1762" spans="1:38" ht="36" customHeight="1" x14ac:dyDescent="0.2">
      <c r="A1762" s="176"/>
      <c r="B1762" s="212"/>
      <c r="C1762" s="14"/>
      <c r="D1762" s="14"/>
      <c r="E1762" s="14"/>
      <c r="F1762" s="14"/>
      <c r="G1762" s="179">
        <v>681761</v>
      </c>
      <c r="H1762" s="176"/>
      <c r="I1762" s="176"/>
      <c r="J1762" s="176"/>
      <c r="K1762" s="176"/>
      <c r="L1762" s="40"/>
      <c r="M1762" s="40"/>
      <c r="N1762" s="14"/>
      <c r="O1762" s="14"/>
      <c r="P1762" s="14"/>
      <c r="Q1762" s="14"/>
      <c r="R1762" s="17"/>
      <c r="S1762" s="172"/>
      <c r="T1762" s="17"/>
      <c r="U1762" s="14"/>
      <c r="V1762" s="16">
        <f t="shared" si="200"/>
        <v>0</v>
      </c>
      <c r="W1762" s="16">
        <f t="shared" si="201"/>
        <v>7</v>
      </c>
      <c r="X1762" s="16">
        <f t="shared" si="202"/>
        <v>2</v>
      </c>
      <c r="Y1762" s="15"/>
      <c r="Z1762" s="177"/>
      <c r="AA1762" s="170"/>
      <c r="AB1762" s="170"/>
      <c r="AC1762" s="170"/>
      <c r="AD1762" s="170"/>
      <c r="AE1762" s="15"/>
      <c r="AF1762" s="177"/>
      <c r="AG1762" s="177">
        <f t="shared" si="203"/>
        <v>0</v>
      </c>
      <c r="AH1762" s="177">
        <f t="shared" si="204"/>
        <v>0</v>
      </c>
      <c r="AK1762" s="176"/>
      <c r="AL1762" s="176"/>
    </row>
    <row r="1763" spans="1:38" ht="36" customHeight="1" x14ac:dyDescent="0.2">
      <c r="A1763" s="176"/>
      <c r="B1763" s="212"/>
      <c r="C1763" s="14"/>
      <c r="D1763" s="14"/>
      <c r="E1763" s="14"/>
      <c r="F1763" s="14"/>
      <c r="G1763" s="179">
        <v>681762</v>
      </c>
      <c r="H1763" s="176"/>
      <c r="I1763" s="176"/>
      <c r="J1763" s="176"/>
      <c r="K1763" s="176"/>
      <c r="L1763" s="40"/>
      <c r="M1763" s="40"/>
      <c r="N1763" s="14"/>
      <c r="O1763" s="14"/>
      <c r="P1763" s="14"/>
      <c r="Q1763" s="14"/>
      <c r="R1763" s="17"/>
      <c r="S1763" s="172"/>
      <c r="T1763" s="17"/>
      <c r="U1763" s="14"/>
      <c r="V1763" s="16">
        <f t="shared" si="200"/>
        <v>0</v>
      </c>
      <c r="W1763" s="16">
        <f t="shared" si="201"/>
        <v>7</v>
      </c>
      <c r="X1763" s="16">
        <f t="shared" si="202"/>
        <v>2</v>
      </c>
      <c r="Y1763" s="15"/>
      <c r="Z1763" s="177"/>
      <c r="AA1763" s="170"/>
      <c r="AB1763" s="170"/>
      <c r="AC1763" s="170"/>
      <c r="AD1763" s="170"/>
      <c r="AE1763" s="15"/>
      <c r="AF1763" s="177"/>
      <c r="AG1763" s="177">
        <f t="shared" si="203"/>
        <v>0</v>
      </c>
      <c r="AH1763" s="177">
        <f t="shared" si="204"/>
        <v>0</v>
      </c>
      <c r="AK1763" s="176"/>
      <c r="AL1763" s="176"/>
    </row>
    <row r="1764" spans="1:38" ht="36" customHeight="1" x14ac:dyDescent="0.2">
      <c r="A1764" s="176"/>
      <c r="B1764" s="212"/>
      <c r="C1764" s="14"/>
      <c r="D1764" s="14"/>
      <c r="E1764" s="14"/>
      <c r="F1764" s="14"/>
      <c r="G1764" s="179">
        <v>681763</v>
      </c>
      <c r="H1764" s="176"/>
      <c r="I1764" s="176"/>
      <c r="J1764" s="176"/>
      <c r="K1764" s="176"/>
      <c r="L1764" s="40"/>
      <c r="M1764" s="40"/>
      <c r="N1764" s="14"/>
      <c r="O1764" s="14"/>
      <c r="P1764" s="14"/>
      <c r="Q1764" s="14"/>
      <c r="R1764" s="17"/>
      <c r="S1764" s="172"/>
      <c r="T1764" s="17"/>
      <c r="U1764" s="14"/>
      <c r="V1764" s="16">
        <f t="shared" si="200"/>
        <v>0</v>
      </c>
      <c r="W1764" s="16">
        <f t="shared" si="201"/>
        <v>7</v>
      </c>
      <c r="X1764" s="16">
        <f t="shared" si="202"/>
        <v>2</v>
      </c>
      <c r="Y1764" s="15"/>
      <c r="Z1764" s="177"/>
      <c r="AA1764" s="170"/>
      <c r="AB1764" s="170"/>
      <c r="AC1764" s="170"/>
      <c r="AD1764" s="170"/>
      <c r="AE1764" s="15"/>
      <c r="AF1764" s="177"/>
      <c r="AG1764" s="177">
        <f t="shared" si="203"/>
        <v>0</v>
      </c>
      <c r="AH1764" s="177">
        <f t="shared" si="204"/>
        <v>0</v>
      </c>
      <c r="AK1764" s="176"/>
      <c r="AL1764" s="176"/>
    </row>
    <row r="1765" spans="1:38" ht="36" customHeight="1" x14ac:dyDescent="0.2">
      <c r="A1765" s="176"/>
      <c r="B1765" s="212"/>
      <c r="C1765" s="14"/>
      <c r="D1765" s="14"/>
      <c r="E1765" s="14"/>
      <c r="F1765" s="14"/>
      <c r="G1765" s="179">
        <v>681764</v>
      </c>
      <c r="H1765" s="176"/>
      <c r="I1765" s="176"/>
      <c r="J1765" s="176"/>
      <c r="K1765" s="176"/>
      <c r="L1765" s="40"/>
      <c r="M1765" s="40"/>
      <c r="N1765" s="14"/>
      <c r="O1765" s="14"/>
      <c r="P1765" s="14"/>
      <c r="Q1765" s="14"/>
      <c r="R1765" s="17"/>
      <c r="S1765" s="172"/>
      <c r="T1765" s="17"/>
      <c r="U1765" s="14"/>
      <c r="V1765" s="16">
        <f t="shared" si="200"/>
        <v>0</v>
      </c>
      <c r="W1765" s="16">
        <f t="shared" si="201"/>
        <v>7</v>
      </c>
      <c r="X1765" s="16">
        <f t="shared" si="202"/>
        <v>2</v>
      </c>
      <c r="Y1765" s="15"/>
      <c r="Z1765" s="177"/>
      <c r="AA1765" s="170"/>
      <c r="AB1765" s="170"/>
      <c r="AC1765" s="170"/>
      <c r="AD1765" s="170"/>
      <c r="AE1765" s="15"/>
      <c r="AF1765" s="177"/>
      <c r="AG1765" s="177">
        <f t="shared" si="203"/>
        <v>0</v>
      </c>
      <c r="AH1765" s="177">
        <f t="shared" si="204"/>
        <v>0</v>
      </c>
      <c r="AK1765" s="176"/>
      <c r="AL1765" s="176"/>
    </row>
    <row r="1766" spans="1:38" ht="36" customHeight="1" x14ac:dyDescent="0.2">
      <c r="A1766" s="176"/>
      <c r="B1766" s="212"/>
      <c r="C1766" s="14"/>
      <c r="D1766" s="14"/>
      <c r="E1766" s="14"/>
      <c r="F1766" s="14"/>
      <c r="G1766" s="179">
        <v>681765</v>
      </c>
      <c r="H1766" s="176"/>
      <c r="I1766" s="176"/>
      <c r="J1766" s="176"/>
      <c r="K1766" s="176"/>
      <c r="L1766" s="40"/>
      <c r="M1766" s="40"/>
      <c r="N1766" s="14"/>
      <c r="O1766" s="14"/>
      <c r="P1766" s="14"/>
      <c r="Q1766" s="14"/>
      <c r="R1766" s="17"/>
      <c r="S1766" s="172"/>
      <c r="T1766" s="17"/>
      <c r="U1766" s="14"/>
      <c r="V1766" s="16">
        <f t="shared" si="200"/>
        <v>0</v>
      </c>
      <c r="W1766" s="16">
        <f t="shared" si="201"/>
        <v>7</v>
      </c>
      <c r="X1766" s="16">
        <f t="shared" si="202"/>
        <v>2</v>
      </c>
      <c r="Y1766" s="15"/>
      <c r="Z1766" s="177"/>
      <c r="AA1766" s="170"/>
      <c r="AB1766" s="170"/>
      <c r="AC1766" s="170"/>
      <c r="AD1766" s="170"/>
      <c r="AE1766" s="15"/>
      <c r="AF1766" s="177"/>
      <c r="AG1766" s="177">
        <f t="shared" si="203"/>
        <v>0</v>
      </c>
      <c r="AH1766" s="177">
        <f t="shared" si="204"/>
        <v>0</v>
      </c>
      <c r="AK1766" s="176"/>
      <c r="AL1766" s="176"/>
    </row>
    <row r="1767" spans="1:38" ht="36" customHeight="1" x14ac:dyDescent="0.2">
      <c r="A1767" s="176"/>
      <c r="B1767" s="212"/>
      <c r="C1767" s="14"/>
      <c r="D1767" s="14"/>
      <c r="E1767" s="14"/>
      <c r="F1767" s="14"/>
      <c r="G1767" s="179">
        <v>681766</v>
      </c>
      <c r="H1767" s="176"/>
      <c r="I1767" s="176"/>
      <c r="J1767" s="176"/>
      <c r="K1767" s="176"/>
      <c r="L1767" s="40"/>
      <c r="M1767" s="40"/>
      <c r="N1767" s="14"/>
      <c r="O1767" s="14"/>
      <c r="P1767" s="14"/>
      <c r="Q1767" s="14"/>
      <c r="R1767" s="17"/>
      <c r="S1767" s="172"/>
      <c r="T1767" s="17"/>
      <c r="U1767" s="14"/>
      <c r="V1767" s="16">
        <f t="shared" si="200"/>
        <v>0</v>
      </c>
      <c r="W1767" s="16">
        <f t="shared" si="201"/>
        <v>7</v>
      </c>
      <c r="X1767" s="16">
        <f t="shared" si="202"/>
        <v>2</v>
      </c>
      <c r="Y1767" s="15"/>
      <c r="Z1767" s="177"/>
      <c r="AA1767" s="170"/>
      <c r="AB1767" s="170"/>
      <c r="AC1767" s="170"/>
      <c r="AD1767" s="170"/>
      <c r="AE1767" s="15"/>
      <c r="AF1767" s="177"/>
      <c r="AG1767" s="177">
        <f t="shared" si="203"/>
        <v>0</v>
      </c>
      <c r="AH1767" s="177">
        <f t="shared" si="204"/>
        <v>0</v>
      </c>
      <c r="AK1767" s="176"/>
      <c r="AL1767" s="176"/>
    </row>
    <row r="1768" spans="1:38" ht="36" customHeight="1" x14ac:dyDescent="0.2">
      <c r="A1768" s="176"/>
      <c r="B1768" s="212"/>
      <c r="C1768" s="14"/>
      <c r="D1768" s="14"/>
      <c r="E1768" s="14"/>
      <c r="F1768" s="14"/>
      <c r="G1768" s="179">
        <v>681767</v>
      </c>
      <c r="H1768" s="176"/>
      <c r="I1768" s="176"/>
      <c r="J1768" s="176"/>
      <c r="K1768" s="176"/>
      <c r="L1768" s="40"/>
      <c r="M1768" s="40"/>
      <c r="N1768" s="14"/>
      <c r="O1768" s="14"/>
      <c r="P1768" s="14"/>
      <c r="Q1768" s="14"/>
      <c r="R1768" s="17"/>
      <c r="S1768" s="172"/>
      <c r="T1768" s="17"/>
      <c r="U1768" s="14"/>
      <c r="V1768" s="16">
        <f t="shared" si="200"/>
        <v>0</v>
      </c>
      <c r="W1768" s="16">
        <f t="shared" si="201"/>
        <v>7</v>
      </c>
      <c r="X1768" s="16">
        <f t="shared" si="202"/>
        <v>2</v>
      </c>
      <c r="Y1768" s="15"/>
      <c r="Z1768" s="177"/>
      <c r="AA1768" s="170"/>
      <c r="AB1768" s="170"/>
      <c r="AC1768" s="170"/>
      <c r="AD1768" s="170"/>
      <c r="AE1768" s="15"/>
      <c r="AF1768" s="177"/>
      <c r="AG1768" s="177">
        <f t="shared" si="203"/>
        <v>0</v>
      </c>
      <c r="AH1768" s="177">
        <f t="shared" si="204"/>
        <v>0</v>
      </c>
      <c r="AK1768" s="176"/>
      <c r="AL1768" s="176"/>
    </row>
    <row r="1769" spans="1:38" ht="36" customHeight="1" x14ac:dyDescent="0.2">
      <c r="A1769" s="176"/>
      <c r="B1769" s="212"/>
      <c r="C1769" s="14"/>
      <c r="D1769" s="14"/>
      <c r="E1769" s="14"/>
      <c r="F1769" s="14"/>
      <c r="G1769" s="179">
        <v>681768</v>
      </c>
      <c r="H1769" s="176"/>
      <c r="I1769" s="176"/>
      <c r="J1769" s="176"/>
      <c r="K1769" s="176"/>
      <c r="L1769" s="40"/>
      <c r="M1769" s="40"/>
      <c r="N1769" s="14"/>
      <c r="O1769" s="14"/>
      <c r="P1769" s="14"/>
      <c r="Q1769" s="14"/>
      <c r="R1769" s="17"/>
      <c r="S1769" s="172"/>
      <c r="T1769" s="17"/>
      <c r="U1769" s="14"/>
      <c r="V1769" s="16">
        <f t="shared" si="200"/>
        <v>0</v>
      </c>
      <c r="W1769" s="16">
        <f t="shared" si="201"/>
        <v>7</v>
      </c>
      <c r="X1769" s="16">
        <f t="shared" si="202"/>
        <v>2</v>
      </c>
      <c r="Y1769" s="15"/>
      <c r="Z1769" s="177"/>
      <c r="AA1769" s="170"/>
      <c r="AB1769" s="170"/>
      <c r="AC1769" s="170"/>
      <c r="AD1769" s="170"/>
      <c r="AE1769" s="15"/>
      <c r="AF1769" s="177"/>
      <c r="AG1769" s="177">
        <f t="shared" si="203"/>
        <v>0</v>
      </c>
      <c r="AH1769" s="177">
        <f t="shared" si="204"/>
        <v>0</v>
      </c>
      <c r="AK1769" s="176"/>
      <c r="AL1769" s="176"/>
    </row>
    <row r="1770" spans="1:38" ht="36" customHeight="1" x14ac:dyDescent="0.2">
      <c r="A1770" s="176"/>
      <c r="B1770" s="212"/>
      <c r="C1770" s="14"/>
      <c r="D1770" s="14"/>
      <c r="E1770" s="14"/>
      <c r="F1770" s="14"/>
      <c r="G1770" s="179">
        <v>681769</v>
      </c>
      <c r="H1770" s="176"/>
      <c r="I1770" s="176"/>
      <c r="J1770" s="176"/>
      <c r="K1770" s="176"/>
      <c r="L1770" s="40"/>
      <c r="M1770" s="40"/>
      <c r="N1770" s="14"/>
      <c r="O1770" s="14"/>
      <c r="P1770" s="14"/>
      <c r="Q1770" s="14"/>
      <c r="R1770" s="17"/>
      <c r="S1770" s="172"/>
      <c r="T1770" s="17"/>
      <c r="U1770" s="14"/>
      <c r="V1770" s="16">
        <f t="shared" si="200"/>
        <v>0</v>
      </c>
      <c r="W1770" s="16">
        <f t="shared" si="201"/>
        <v>7</v>
      </c>
      <c r="X1770" s="16">
        <f t="shared" si="202"/>
        <v>2</v>
      </c>
      <c r="Y1770" s="15"/>
      <c r="Z1770" s="177"/>
      <c r="AA1770" s="170"/>
      <c r="AB1770" s="170"/>
      <c r="AC1770" s="170"/>
      <c r="AD1770" s="170"/>
      <c r="AE1770" s="15"/>
      <c r="AF1770" s="177"/>
      <c r="AG1770" s="177">
        <f t="shared" si="203"/>
        <v>0</v>
      </c>
      <c r="AH1770" s="177">
        <f t="shared" si="204"/>
        <v>0</v>
      </c>
      <c r="AK1770" s="176"/>
      <c r="AL1770" s="176"/>
    </row>
    <row r="1771" spans="1:38" ht="36" customHeight="1" x14ac:dyDescent="0.2">
      <c r="A1771" s="176"/>
      <c r="B1771" s="212"/>
      <c r="C1771" s="14"/>
      <c r="D1771" s="14"/>
      <c r="E1771" s="14"/>
      <c r="F1771" s="14"/>
      <c r="G1771" s="179">
        <v>681770</v>
      </c>
      <c r="H1771" s="176"/>
      <c r="I1771" s="176"/>
      <c r="J1771" s="176"/>
      <c r="K1771" s="176"/>
      <c r="L1771" s="40"/>
      <c r="M1771" s="40"/>
      <c r="N1771" s="14"/>
      <c r="O1771" s="14"/>
      <c r="P1771" s="14"/>
      <c r="Q1771" s="14"/>
      <c r="R1771" s="17"/>
      <c r="S1771" s="172"/>
      <c r="T1771" s="17"/>
      <c r="U1771" s="14"/>
      <c r="V1771" s="16">
        <f t="shared" si="200"/>
        <v>0</v>
      </c>
      <c r="W1771" s="16">
        <f t="shared" si="201"/>
        <v>7</v>
      </c>
      <c r="X1771" s="16">
        <f t="shared" si="202"/>
        <v>2</v>
      </c>
      <c r="Y1771" s="15"/>
      <c r="Z1771" s="177"/>
      <c r="AA1771" s="170"/>
      <c r="AB1771" s="170"/>
      <c r="AC1771" s="170"/>
      <c r="AD1771" s="170"/>
      <c r="AE1771" s="15"/>
      <c r="AF1771" s="177"/>
      <c r="AG1771" s="177">
        <f t="shared" si="203"/>
        <v>0</v>
      </c>
      <c r="AH1771" s="177">
        <f t="shared" si="204"/>
        <v>0</v>
      </c>
      <c r="AK1771" s="176"/>
      <c r="AL1771" s="176"/>
    </row>
    <row r="1772" spans="1:38" ht="36" customHeight="1" x14ac:dyDescent="0.2">
      <c r="A1772" s="176"/>
      <c r="B1772" s="212"/>
      <c r="C1772" s="14"/>
      <c r="D1772" s="14"/>
      <c r="E1772" s="14"/>
      <c r="F1772" s="14"/>
      <c r="G1772" s="179">
        <v>681771</v>
      </c>
      <c r="H1772" s="176"/>
      <c r="I1772" s="176"/>
      <c r="J1772" s="176"/>
      <c r="K1772" s="176"/>
      <c r="L1772" s="40"/>
      <c r="M1772" s="40"/>
      <c r="N1772" s="14"/>
      <c r="O1772" s="14"/>
      <c r="P1772" s="14"/>
      <c r="Q1772" s="14"/>
      <c r="R1772" s="17"/>
      <c r="S1772" s="172"/>
      <c r="T1772" s="17"/>
      <c r="U1772" s="14"/>
      <c r="V1772" s="16">
        <f t="shared" si="200"/>
        <v>0</v>
      </c>
      <c r="W1772" s="16">
        <f t="shared" si="201"/>
        <v>7</v>
      </c>
      <c r="X1772" s="16">
        <f t="shared" si="202"/>
        <v>2</v>
      </c>
      <c r="Y1772" s="15"/>
      <c r="Z1772" s="177"/>
      <c r="AA1772" s="170"/>
      <c r="AB1772" s="170"/>
      <c r="AC1772" s="170"/>
      <c r="AD1772" s="170"/>
      <c r="AE1772" s="15"/>
      <c r="AF1772" s="177"/>
      <c r="AG1772" s="177">
        <f t="shared" si="203"/>
        <v>0</v>
      </c>
      <c r="AH1772" s="177">
        <f t="shared" si="204"/>
        <v>0</v>
      </c>
      <c r="AK1772" s="176"/>
      <c r="AL1772" s="176"/>
    </row>
    <row r="1773" spans="1:38" ht="36" customHeight="1" x14ac:dyDescent="0.2">
      <c r="A1773" s="176"/>
      <c r="B1773" s="212"/>
      <c r="C1773" s="14"/>
      <c r="D1773" s="14"/>
      <c r="E1773" s="14"/>
      <c r="F1773" s="14"/>
      <c r="G1773" s="179">
        <v>681772</v>
      </c>
      <c r="H1773" s="176"/>
      <c r="I1773" s="176"/>
      <c r="J1773" s="176"/>
      <c r="K1773" s="176"/>
      <c r="L1773" s="40"/>
      <c r="M1773" s="40"/>
      <c r="N1773" s="14"/>
      <c r="O1773" s="14"/>
      <c r="P1773" s="14"/>
      <c r="Q1773" s="14"/>
      <c r="R1773" s="17"/>
      <c r="S1773" s="172"/>
      <c r="T1773" s="17"/>
      <c r="U1773" s="14"/>
      <c r="V1773" s="16">
        <f t="shared" si="200"/>
        <v>0</v>
      </c>
      <c r="W1773" s="16">
        <f t="shared" si="201"/>
        <v>7</v>
      </c>
      <c r="X1773" s="16">
        <f t="shared" si="202"/>
        <v>2</v>
      </c>
      <c r="Y1773" s="15"/>
      <c r="Z1773" s="177"/>
      <c r="AA1773" s="170"/>
      <c r="AB1773" s="170"/>
      <c r="AC1773" s="170"/>
      <c r="AD1773" s="170"/>
      <c r="AE1773" s="15"/>
      <c r="AF1773" s="177"/>
      <c r="AG1773" s="177">
        <f t="shared" si="203"/>
        <v>0</v>
      </c>
      <c r="AH1773" s="177">
        <f t="shared" si="204"/>
        <v>0</v>
      </c>
      <c r="AK1773" s="176"/>
      <c r="AL1773" s="176"/>
    </row>
    <row r="1774" spans="1:38" ht="36" customHeight="1" x14ac:dyDescent="0.2">
      <c r="A1774" s="176"/>
      <c r="B1774" s="212"/>
      <c r="C1774" s="14"/>
      <c r="D1774" s="14"/>
      <c r="E1774" s="14"/>
      <c r="F1774" s="14"/>
      <c r="G1774" s="179">
        <v>681773</v>
      </c>
      <c r="H1774" s="176"/>
      <c r="I1774" s="176"/>
      <c r="J1774" s="176"/>
      <c r="K1774" s="176"/>
      <c r="L1774" s="40"/>
      <c r="M1774" s="40"/>
      <c r="N1774" s="14"/>
      <c r="O1774" s="14"/>
      <c r="P1774" s="14"/>
      <c r="Q1774" s="14"/>
      <c r="R1774" s="17"/>
      <c r="S1774" s="172"/>
      <c r="T1774" s="17"/>
      <c r="U1774" s="14"/>
      <c r="V1774" s="16">
        <f t="shared" si="200"/>
        <v>0</v>
      </c>
      <c r="W1774" s="16">
        <f t="shared" si="201"/>
        <v>7</v>
      </c>
      <c r="X1774" s="16">
        <f t="shared" si="202"/>
        <v>2</v>
      </c>
      <c r="Y1774" s="15"/>
      <c r="Z1774" s="177"/>
      <c r="AA1774" s="170"/>
      <c r="AB1774" s="170"/>
      <c r="AC1774" s="170"/>
      <c r="AD1774" s="170"/>
      <c r="AE1774" s="15"/>
      <c r="AF1774" s="177"/>
      <c r="AG1774" s="177">
        <f t="shared" si="203"/>
        <v>0</v>
      </c>
      <c r="AH1774" s="177">
        <f t="shared" si="204"/>
        <v>0</v>
      </c>
      <c r="AK1774" s="176"/>
      <c r="AL1774" s="176"/>
    </row>
    <row r="1775" spans="1:38" ht="36" customHeight="1" x14ac:dyDescent="0.2">
      <c r="A1775" s="176"/>
      <c r="B1775" s="212"/>
      <c r="C1775" s="14"/>
      <c r="D1775" s="14"/>
      <c r="E1775" s="14"/>
      <c r="F1775" s="14"/>
      <c r="G1775" s="179">
        <v>681774</v>
      </c>
      <c r="H1775" s="176"/>
      <c r="I1775" s="176"/>
      <c r="J1775" s="176"/>
      <c r="K1775" s="176"/>
      <c r="L1775" s="40"/>
      <c r="M1775" s="40"/>
      <c r="N1775" s="14"/>
      <c r="O1775" s="14"/>
      <c r="P1775" s="14"/>
      <c r="Q1775" s="14"/>
      <c r="R1775" s="17"/>
      <c r="S1775" s="172"/>
      <c r="T1775" s="17"/>
      <c r="U1775" s="14"/>
      <c r="V1775" s="16">
        <f t="shared" si="200"/>
        <v>0</v>
      </c>
      <c r="W1775" s="16">
        <f t="shared" si="201"/>
        <v>7</v>
      </c>
      <c r="X1775" s="16">
        <f t="shared" si="202"/>
        <v>2</v>
      </c>
      <c r="Y1775" s="15"/>
      <c r="Z1775" s="177"/>
      <c r="AA1775" s="170"/>
      <c r="AB1775" s="170"/>
      <c r="AC1775" s="170"/>
      <c r="AD1775" s="170"/>
      <c r="AE1775" s="15"/>
      <c r="AF1775" s="177"/>
      <c r="AG1775" s="177">
        <f t="shared" si="203"/>
        <v>0</v>
      </c>
      <c r="AH1775" s="177">
        <f t="shared" si="204"/>
        <v>0</v>
      </c>
      <c r="AK1775" s="176"/>
      <c r="AL1775" s="176"/>
    </row>
    <row r="1776" spans="1:38" ht="36" customHeight="1" x14ac:dyDescent="0.2">
      <c r="A1776" s="176"/>
      <c r="B1776" s="212"/>
      <c r="C1776" s="14"/>
      <c r="D1776" s="14"/>
      <c r="E1776" s="14"/>
      <c r="F1776" s="14"/>
      <c r="G1776" s="179">
        <v>681775</v>
      </c>
      <c r="H1776" s="176"/>
      <c r="I1776" s="176"/>
      <c r="J1776" s="176"/>
      <c r="K1776" s="176"/>
      <c r="L1776" s="40"/>
      <c r="M1776" s="40"/>
      <c r="N1776" s="14"/>
      <c r="O1776" s="14"/>
      <c r="P1776" s="14"/>
      <c r="Q1776" s="14"/>
      <c r="R1776" s="17"/>
      <c r="S1776" s="172"/>
      <c r="T1776" s="17"/>
      <c r="U1776" s="14"/>
      <c r="V1776" s="16">
        <f t="shared" si="200"/>
        <v>0</v>
      </c>
      <c r="W1776" s="16">
        <f t="shared" si="201"/>
        <v>7</v>
      </c>
      <c r="X1776" s="16">
        <f t="shared" si="202"/>
        <v>2</v>
      </c>
      <c r="Y1776" s="15"/>
      <c r="Z1776" s="177"/>
      <c r="AA1776" s="170"/>
      <c r="AB1776" s="170"/>
      <c r="AC1776" s="170"/>
      <c r="AD1776" s="170"/>
      <c r="AE1776" s="15"/>
      <c r="AF1776" s="177"/>
      <c r="AG1776" s="177">
        <f t="shared" si="203"/>
        <v>0</v>
      </c>
      <c r="AH1776" s="177">
        <f t="shared" si="204"/>
        <v>0</v>
      </c>
      <c r="AK1776" s="176"/>
      <c r="AL1776" s="176"/>
    </row>
    <row r="1777" spans="1:38" ht="36" customHeight="1" x14ac:dyDescent="0.2">
      <c r="A1777" s="176"/>
      <c r="B1777" s="212"/>
      <c r="C1777" s="14"/>
      <c r="D1777" s="14"/>
      <c r="E1777" s="14"/>
      <c r="F1777" s="14"/>
      <c r="G1777" s="179">
        <v>681776</v>
      </c>
      <c r="H1777" s="176"/>
      <c r="I1777" s="176"/>
      <c r="J1777" s="176"/>
      <c r="K1777" s="176"/>
      <c r="L1777" s="40"/>
      <c r="M1777" s="40"/>
      <c r="N1777" s="14"/>
      <c r="O1777" s="14"/>
      <c r="P1777" s="14"/>
      <c r="Q1777" s="14"/>
      <c r="R1777" s="17"/>
      <c r="S1777" s="172"/>
      <c r="T1777" s="17"/>
      <c r="U1777" s="14"/>
      <c r="V1777" s="16">
        <f t="shared" si="200"/>
        <v>0</v>
      </c>
      <c r="W1777" s="16">
        <f t="shared" si="201"/>
        <v>7</v>
      </c>
      <c r="X1777" s="16">
        <f t="shared" si="202"/>
        <v>2</v>
      </c>
      <c r="Y1777" s="15"/>
      <c r="Z1777" s="177"/>
      <c r="AA1777" s="170"/>
      <c r="AB1777" s="170"/>
      <c r="AC1777" s="170"/>
      <c r="AD1777" s="170"/>
      <c r="AE1777" s="15"/>
      <c r="AF1777" s="177"/>
      <c r="AG1777" s="177">
        <f t="shared" si="203"/>
        <v>0</v>
      </c>
      <c r="AH1777" s="177">
        <f t="shared" si="204"/>
        <v>0</v>
      </c>
      <c r="AK1777" s="176"/>
      <c r="AL1777" s="176"/>
    </row>
    <row r="1778" spans="1:38" ht="36" customHeight="1" x14ac:dyDescent="0.2">
      <c r="A1778" s="176"/>
      <c r="B1778" s="212"/>
      <c r="C1778" s="14"/>
      <c r="D1778" s="14"/>
      <c r="E1778" s="14"/>
      <c r="F1778" s="14"/>
      <c r="G1778" s="179">
        <v>681777</v>
      </c>
      <c r="H1778" s="176"/>
      <c r="I1778" s="176"/>
      <c r="J1778" s="176"/>
      <c r="K1778" s="176"/>
      <c r="L1778" s="40"/>
      <c r="M1778" s="40"/>
      <c r="N1778" s="14"/>
      <c r="O1778" s="14"/>
      <c r="P1778" s="14"/>
      <c r="Q1778" s="14"/>
      <c r="R1778" s="17"/>
      <c r="S1778" s="172"/>
      <c r="T1778" s="17"/>
      <c r="U1778" s="14"/>
      <c r="V1778" s="16">
        <f t="shared" si="200"/>
        <v>0</v>
      </c>
      <c r="W1778" s="16">
        <f t="shared" si="201"/>
        <v>7</v>
      </c>
      <c r="X1778" s="16">
        <f t="shared" si="202"/>
        <v>2</v>
      </c>
      <c r="Y1778" s="15"/>
      <c r="Z1778" s="177"/>
      <c r="AA1778" s="170"/>
      <c r="AB1778" s="170"/>
      <c r="AC1778" s="170"/>
      <c r="AD1778" s="170"/>
      <c r="AE1778" s="15"/>
      <c r="AF1778" s="177"/>
      <c r="AG1778" s="177">
        <f t="shared" si="203"/>
        <v>0</v>
      </c>
      <c r="AH1778" s="177">
        <f t="shared" si="204"/>
        <v>0</v>
      </c>
      <c r="AK1778" s="176"/>
      <c r="AL1778" s="176"/>
    </row>
    <row r="1779" spans="1:38" ht="36" customHeight="1" x14ac:dyDescent="0.2">
      <c r="A1779" s="176"/>
      <c r="B1779" s="212"/>
      <c r="C1779" s="14"/>
      <c r="D1779" s="14"/>
      <c r="E1779" s="14"/>
      <c r="F1779" s="14"/>
      <c r="G1779" s="179">
        <v>681778</v>
      </c>
      <c r="H1779" s="176"/>
      <c r="I1779" s="176"/>
      <c r="J1779" s="176"/>
      <c r="K1779" s="176"/>
      <c r="L1779" s="40"/>
      <c r="M1779" s="40"/>
      <c r="N1779" s="14"/>
      <c r="O1779" s="14"/>
      <c r="P1779" s="14"/>
      <c r="Q1779" s="14"/>
      <c r="R1779" s="17"/>
      <c r="S1779" s="172"/>
      <c r="T1779" s="17"/>
      <c r="U1779" s="14"/>
      <c r="V1779" s="16">
        <f t="shared" si="200"/>
        <v>0</v>
      </c>
      <c r="W1779" s="16">
        <f t="shared" si="201"/>
        <v>7</v>
      </c>
      <c r="X1779" s="16">
        <f t="shared" si="202"/>
        <v>2</v>
      </c>
      <c r="Y1779" s="15"/>
      <c r="Z1779" s="177"/>
      <c r="AA1779" s="170"/>
      <c r="AB1779" s="170"/>
      <c r="AC1779" s="170"/>
      <c r="AD1779" s="170"/>
      <c r="AE1779" s="15"/>
      <c r="AF1779" s="177"/>
      <c r="AG1779" s="177">
        <f t="shared" si="203"/>
        <v>0</v>
      </c>
      <c r="AH1779" s="177">
        <f t="shared" si="204"/>
        <v>0</v>
      </c>
      <c r="AK1779" s="176"/>
      <c r="AL1779" s="176"/>
    </row>
    <row r="1780" spans="1:38" ht="36" customHeight="1" x14ac:dyDescent="0.2">
      <c r="A1780" s="176"/>
      <c r="B1780" s="212"/>
      <c r="C1780" s="14"/>
      <c r="D1780" s="14"/>
      <c r="E1780" s="14"/>
      <c r="F1780" s="14"/>
      <c r="G1780" s="179">
        <v>681779</v>
      </c>
      <c r="H1780" s="176"/>
      <c r="I1780" s="176"/>
      <c r="J1780" s="176"/>
      <c r="K1780" s="176"/>
      <c r="L1780" s="40"/>
      <c r="M1780" s="40"/>
      <c r="N1780" s="14"/>
      <c r="O1780" s="14"/>
      <c r="P1780" s="14"/>
      <c r="Q1780" s="14"/>
      <c r="R1780" s="17"/>
      <c r="S1780" s="172"/>
      <c r="T1780" s="17"/>
      <c r="U1780" s="14"/>
      <c r="V1780" s="16">
        <f t="shared" si="200"/>
        <v>0</v>
      </c>
      <c r="W1780" s="16">
        <f t="shared" si="201"/>
        <v>7</v>
      </c>
      <c r="X1780" s="16">
        <f t="shared" si="202"/>
        <v>2</v>
      </c>
      <c r="Y1780" s="15"/>
      <c r="Z1780" s="177"/>
      <c r="AA1780" s="170"/>
      <c r="AB1780" s="170"/>
      <c r="AC1780" s="170"/>
      <c r="AD1780" s="170"/>
      <c r="AE1780" s="15"/>
      <c r="AF1780" s="177"/>
      <c r="AG1780" s="177">
        <f t="shared" si="203"/>
        <v>0</v>
      </c>
      <c r="AH1780" s="177">
        <f t="shared" si="204"/>
        <v>0</v>
      </c>
      <c r="AK1780" s="176"/>
      <c r="AL1780" s="176"/>
    </row>
    <row r="1781" spans="1:38" ht="36" customHeight="1" x14ac:dyDescent="0.2">
      <c r="A1781" s="176"/>
      <c r="B1781" s="212"/>
      <c r="C1781" s="14"/>
      <c r="D1781" s="14"/>
      <c r="E1781" s="14"/>
      <c r="F1781" s="14"/>
      <c r="G1781" s="179">
        <v>681780</v>
      </c>
      <c r="H1781" s="176"/>
      <c r="I1781" s="176"/>
      <c r="J1781" s="176"/>
      <c r="K1781" s="176"/>
      <c r="L1781" s="40"/>
      <c r="M1781" s="40"/>
      <c r="N1781" s="14"/>
      <c r="O1781" s="14"/>
      <c r="P1781" s="14"/>
      <c r="Q1781" s="14"/>
      <c r="R1781" s="17"/>
      <c r="S1781" s="172"/>
      <c r="T1781" s="17"/>
      <c r="U1781" s="14"/>
      <c r="V1781" s="16">
        <f t="shared" si="200"/>
        <v>0</v>
      </c>
      <c r="W1781" s="16">
        <f t="shared" si="201"/>
        <v>7</v>
      </c>
      <c r="X1781" s="16">
        <f t="shared" si="202"/>
        <v>2</v>
      </c>
      <c r="Y1781" s="15"/>
      <c r="Z1781" s="177"/>
      <c r="AA1781" s="170"/>
      <c r="AB1781" s="170"/>
      <c r="AC1781" s="170"/>
      <c r="AD1781" s="170"/>
      <c r="AE1781" s="15"/>
      <c r="AF1781" s="177"/>
      <c r="AG1781" s="177">
        <f t="shared" si="203"/>
        <v>0</v>
      </c>
      <c r="AH1781" s="177">
        <f t="shared" si="204"/>
        <v>0</v>
      </c>
      <c r="AK1781" s="176"/>
      <c r="AL1781" s="176"/>
    </row>
    <row r="1782" spans="1:38" ht="36" customHeight="1" x14ac:dyDescent="0.2">
      <c r="A1782" s="176"/>
      <c r="B1782" s="212"/>
      <c r="C1782" s="14"/>
      <c r="D1782" s="14"/>
      <c r="E1782" s="14"/>
      <c r="F1782" s="14"/>
      <c r="G1782" s="179">
        <v>681781</v>
      </c>
      <c r="H1782" s="176"/>
      <c r="I1782" s="176"/>
      <c r="J1782" s="176"/>
      <c r="K1782" s="176"/>
      <c r="L1782" s="40"/>
      <c r="M1782" s="40"/>
      <c r="N1782" s="14"/>
      <c r="O1782" s="14"/>
      <c r="P1782" s="14"/>
      <c r="Q1782" s="14"/>
      <c r="R1782" s="17"/>
      <c r="S1782" s="172"/>
      <c r="T1782" s="17"/>
      <c r="U1782" s="14"/>
      <c r="V1782" s="16">
        <f t="shared" si="200"/>
        <v>0</v>
      </c>
      <c r="W1782" s="16">
        <f t="shared" si="201"/>
        <v>7</v>
      </c>
      <c r="X1782" s="16">
        <f t="shared" si="202"/>
        <v>2</v>
      </c>
      <c r="Y1782" s="15"/>
      <c r="Z1782" s="177"/>
      <c r="AA1782" s="170"/>
      <c r="AB1782" s="170"/>
      <c r="AC1782" s="170"/>
      <c r="AD1782" s="170"/>
      <c r="AE1782" s="15"/>
      <c r="AF1782" s="177"/>
      <c r="AG1782" s="177">
        <f t="shared" si="203"/>
        <v>0</v>
      </c>
      <c r="AH1782" s="177">
        <f t="shared" si="204"/>
        <v>0</v>
      </c>
      <c r="AK1782" s="176"/>
      <c r="AL1782" s="176"/>
    </row>
    <row r="1783" spans="1:38" ht="36" customHeight="1" x14ac:dyDescent="0.2">
      <c r="A1783" s="176"/>
      <c r="B1783" s="212"/>
      <c r="C1783" s="14"/>
      <c r="D1783" s="14"/>
      <c r="E1783" s="14"/>
      <c r="F1783" s="14"/>
      <c r="G1783" s="179">
        <v>681782</v>
      </c>
      <c r="H1783" s="176"/>
      <c r="I1783" s="176"/>
      <c r="J1783" s="176"/>
      <c r="K1783" s="176"/>
      <c r="L1783" s="40"/>
      <c r="M1783" s="40"/>
      <c r="N1783" s="14"/>
      <c r="O1783" s="14"/>
      <c r="P1783" s="14"/>
      <c r="Q1783" s="14"/>
      <c r="R1783" s="17"/>
      <c r="S1783" s="172"/>
      <c r="T1783" s="17"/>
      <c r="U1783" s="14"/>
      <c r="V1783" s="16">
        <f t="shared" si="200"/>
        <v>0</v>
      </c>
      <c r="W1783" s="16">
        <f t="shared" si="201"/>
        <v>7</v>
      </c>
      <c r="X1783" s="16">
        <f t="shared" si="202"/>
        <v>2</v>
      </c>
      <c r="Y1783" s="15"/>
      <c r="Z1783" s="177"/>
      <c r="AA1783" s="170"/>
      <c r="AB1783" s="170"/>
      <c r="AC1783" s="170"/>
      <c r="AD1783" s="170"/>
      <c r="AE1783" s="15"/>
      <c r="AF1783" s="177"/>
      <c r="AG1783" s="177">
        <f t="shared" si="203"/>
        <v>0</v>
      </c>
      <c r="AH1783" s="177">
        <f t="shared" si="204"/>
        <v>0</v>
      </c>
      <c r="AK1783" s="176"/>
      <c r="AL1783" s="176"/>
    </row>
    <row r="1784" spans="1:38" ht="36" customHeight="1" x14ac:dyDescent="0.2">
      <c r="A1784" s="176"/>
      <c r="B1784" s="212"/>
      <c r="C1784" s="14"/>
      <c r="D1784" s="14"/>
      <c r="E1784" s="14"/>
      <c r="F1784" s="14"/>
      <c r="G1784" s="179">
        <v>681783</v>
      </c>
      <c r="H1784" s="176"/>
      <c r="I1784" s="176"/>
      <c r="J1784" s="176"/>
      <c r="K1784" s="176"/>
      <c r="L1784" s="40"/>
      <c r="M1784" s="40"/>
      <c r="N1784" s="14"/>
      <c r="O1784" s="14"/>
      <c r="P1784" s="14"/>
      <c r="Q1784" s="14"/>
      <c r="R1784" s="17"/>
      <c r="S1784" s="172"/>
      <c r="T1784" s="17"/>
      <c r="U1784" s="14"/>
      <c r="V1784" s="16">
        <f t="shared" si="200"/>
        <v>0</v>
      </c>
      <c r="W1784" s="16">
        <f t="shared" si="201"/>
        <v>7</v>
      </c>
      <c r="X1784" s="16">
        <f t="shared" si="202"/>
        <v>2</v>
      </c>
      <c r="Y1784" s="15"/>
      <c r="Z1784" s="177"/>
      <c r="AA1784" s="170"/>
      <c r="AB1784" s="170"/>
      <c r="AC1784" s="170"/>
      <c r="AD1784" s="170"/>
      <c r="AE1784" s="15"/>
      <c r="AF1784" s="177"/>
      <c r="AG1784" s="177">
        <f t="shared" si="203"/>
        <v>0</v>
      </c>
      <c r="AH1784" s="177">
        <f t="shared" si="204"/>
        <v>0</v>
      </c>
      <c r="AK1784" s="176"/>
      <c r="AL1784" s="176"/>
    </row>
    <row r="1785" spans="1:38" ht="36" customHeight="1" x14ac:dyDescent="0.2">
      <c r="A1785" s="176"/>
      <c r="B1785" s="212"/>
      <c r="C1785" s="14"/>
      <c r="D1785" s="14"/>
      <c r="E1785" s="14"/>
      <c r="F1785" s="14"/>
      <c r="G1785" s="179">
        <v>681784</v>
      </c>
      <c r="H1785" s="176"/>
      <c r="I1785" s="176"/>
      <c r="J1785" s="176"/>
      <c r="K1785" s="176"/>
      <c r="L1785" s="40"/>
      <c r="M1785" s="40"/>
      <c r="N1785" s="14"/>
      <c r="O1785" s="14"/>
      <c r="P1785" s="14"/>
      <c r="Q1785" s="14"/>
      <c r="R1785" s="17"/>
      <c r="S1785" s="172"/>
      <c r="T1785" s="17"/>
      <c r="U1785" s="14"/>
      <c r="V1785" s="16">
        <f t="shared" si="200"/>
        <v>0</v>
      </c>
      <c r="W1785" s="16">
        <f t="shared" si="201"/>
        <v>7</v>
      </c>
      <c r="X1785" s="16">
        <f t="shared" si="202"/>
        <v>2</v>
      </c>
      <c r="Y1785" s="15"/>
      <c r="Z1785" s="177"/>
      <c r="AA1785" s="170"/>
      <c r="AB1785" s="170"/>
      <c r="AC1785" s="170"/>
      <c r="AD1785" s="170"/>
      <c r="AE1785" s="15"/>
      <c r="AF1785" s="177"/>
      <c r="AG1785" s="177">
        <f t="shared" si="203"/>
        <v>0</v>
      </c>
      <c r="AH1785" s="177">
        <f t="shared" si="204"/>
        <v>0</v>
      </c>
      <c r="AK1785" s="176"/>
      <c r="AL1785" s="176"/>
    </row>
    <row r="1786" spans="1:38" ht="36" customHeight="1" x14ac:dyDescent="0.2">
      <c r="A1786" s="176"/>
      <c r="B1786" s="212"/>
      <c r="C1786" s="14"/>
      <c r="D1786" s="14"/>
      <c r="E1786" s="14"/>
      <c r="F1786" s="14"/>
      <c r="G1786" s="179">
        <v>681785</v>
      </c>
      <c r="H1786" s="176"/>
      <c r="I1786" s="176"/>
      <c r="J1786" s="176"/>
      <c r="K1786" s="176"/>
      <c r="L1786" s="40"/>
      <c r="M1786" s="40"/>
      <c r="N1786" s="14"/>
      <c r="O1786" s="14"/>
      <c r="P1786" s="14"/>
      <c r="Q1786" s="14"/>
      <c r="R1786" s="17"/>
      <c r="S1786" s="172"/>
      <c r="T1786" s="17"/>
      <c r="U1786" s="14"/>
      <c r="V1786" s="16">
        <f t="shared" si="200"/>
        <v>0</v>
      </c>
      <c r="W1786" s="16">
        <f t="shared" si="201"/>
        <v>7</v>
      </c>
      <c r="X1786" s="16">
        <f t="shared" si="202"/>
        <v>2</v>
      </c>
      <c r="Y1786" s="15"/>
      <c r="Z1786" s="177"/>
      <c r="AA1786" s="170"/>
      <c r="AB1786" s="170"/>
      <c r="AC1786" s="170"/>
      <c r="AD1786" s="170"/>
      <c r="AE1786" s="15"/>
      <c r="AF1786" s="177"/>
      <c r="AG1786" s="177">
        <f t="shared" si="203"/>
        <v>0</v>
      </c>
      <c r="AH1786" s="177">
        <f t="shared" si="204"/>
        <v>0</v>
      </c>
      <c r="AK1786" s="176"/>
      <c r="AL1786" s="176"/>
    </row>
    <row r="1787" spans="1:38" ht="36" customHeight="1" x14ac:dyDescent="0.2">
      <c r="A1787" s="176"/>
      <c r="B1787" s="212"/>
      <c r="C1787" s="14"/>
      <c r="D1787" s="14"/>
      <c r="E1787" s="14"/>
      <c r="F1787" s="14"/>
      <c r="G1787" s="179">
        <v>681786</v>
      </c>
      <c r="H1787" s="176"/>
      <c r="I1787" s="176"/>
      <c r="J1787" s="176"/>
      <c r="K1787" s="176"/>
      <c r="L1787" s="40"/>
      <c r="M1787" s="40"/>
      <c r="N1787" s="14"/>
      <c r="O1787" s="14"/>
      <c r="P1787" s="14"/>
      <c r="Q1787" s="14"/>
      <c r="R1787" s="17"/>
      <c r="S1787" s="172"/>
      <c r="T1787" s="17"/>
      <c r="U1787" s="14"/>
      <c r="V1787" s="16">
        <f t="shared" si="200"/>
        <v>0</v>
      </c>
      <c r="W1787" s="16">
        <f t="shared" si="201"/>
        <v>7</v>
      </c>
      <c r="X1787" s="16">
        <f t="shared" si="202"/>
        <v>2</v>
      </c>
      <c r="Y1787" s="15"/>
      <c r="Z1787" s="177"/>
      <c r="AA1787" s="170"/>
      <c r="AB1787" s="170"/>
      <c r="AC1787" s="170"/>
      <c r="AD1787" s="170"/>
      <c r="AE1787" s="15"/>
      <c r="AF1787" s="177"/>
      <c r="AG1787" s="177">
        <f t="shared" si="203"/>
        <v>0</v>
      </c>
      <c r="AH1787" s="177">
        <f t="shared" si="204"/>
        <v>0</v>
      </c>
      <c r="AK1787" s="176"/>
      <c r="AL1787" s="176"/>
    </row>
    <row r="1788" spans="1:38" ht="36" customHeight="1" x14ac:dyDescent="0.2">
      <c r="A1788" s="176"/>
      <c r="B1788" s="212"/>
      <c r="C1788" s="14"/>
      <c r="D1788" s="14"/>
      <c r="E1788" s="14"/>
      <c r="F1788" s="14"/>
      <c r="G1788" s="179">
        <v>681787</v>
      </c>
      <c r="H1788" s="176"/>
      <c r="I1788" s="176"/>
      <c r="J1788" s="176"/>
      <c r="K1788" s="176"/>
      <c r="L1788" s="40"/>
      <c r="M1788" s="40"/>
      <c r="N1788" s="14"/>
      <c r="O1788" s="14"/>
      <c r="P1788" s="14"/>
      <c r="Q1788" s="14"/>
      <c r="R1788" s="17"/>
      <c r="S1788" s="172"/>
      <c r="T1788" s="17"/>
      <c r="U1788" s="14"/>
      <c r="V1788" s="16">
        <f t="shared" si="200"/>
        <v>0</v>
      </c>
      <c r="W1788" s="16">
        <f t="shared" si="201"/>
        <v>7</v>
      </c>
      <c r="X1788" s="16">
        <f t="shared" si="202"/>
        <v>2</v>
      </c>
      <c r="Y1788" s="15"/>
      <c r="Z1788" s="177"/>
      <c r="AA1788" s="170"/>
      <c r="AB1788" s="170"/>
      <c r="AC1788" s="170"/>
      <c r="AD1788" s="170"/>
      <c r="AE1788" s="15"/>
      <c r="AF1788" s="177"/>
      <c r="AG1788" s="177">
        <f t="shared" si="203"/>
        <v>0</v>
      </c>
      <c r="AH1788" s="177">
        <f t="shared" si="204"/>
        <v>0</v>
      </c>
      <c r="AK1788" s="176"/>
      <c r="AL1788" s="176"/>
    </row>
    <row r="1789" spans="1:38" ht="36" customHeight="1" x14ac:dyDescent="0.2">
      <c r="A1789" s="176"/>
      <c r="B1789" s="212"/>
      <c r="C1789" s="14"/>
      <c r="D1789" s="14"/>
      <c r="E1789" s="14"/>
      <c r="F1789" s="14"/>
      <c r="G1789" s="179">
        <v>681788</v>
      </c>
      <c r="H1789" s="176"/>
      <c r="I1789" s="176"/>
      <c r="J1789" s="176"/>
      <c r="K1789" s="176"/>
      <c r="L1789" s="40"/>
      <c r="M1789" s="40"/>
      <c r="N1789" s="14"/>
      <c r="O1789" s="14"/>
      <c r="P1789" s="14"/>
      <c r="Q1789" s="14"/>
      <c r="R1789" s="17"/>
      <c r="S1789" s="172"/>
      <c r="T1789" s="17"/>
      <c r="U1789" s="14"/>
      <c r="V1789" s="16">
        <f t="shared" si="200"/>
        <v>0</v>
      </c>
      <c r="W1789" s="16">
        <f t="shared" si="201"/>
        <v>7</v>
      </c>
      <c r="X1789" s="16">
        <f t="shared" si="202"/>
        <v>2</v>
      </c>
      <c r="Y1789" s="15"/>
      <c r="Z1789" s="177"/>
      <c r="AA1789" s="170"/>
      <c r="AB1789" s="170"/>
      <c r="AC1789" s="170"/>
      <c r="AD1789" s="170"/>
      <c r="AE1789" s="15"/>
      <c r="AF1789" s="177"/>
      <c r="AG1789" s="177">
        <f t="shared" si="203"/>
        <v>0</v>
      </c>
      <c r="AH1789" s="177">
        <f t="shared" si="204"/>
        <v>0</v>
      </c>
      <c r="AK1789" s="176"/>
      <c r="AL1789" s="176"/>
    </row>
    <row r="1790" spans="1:38" ht="36" customHeight="1" x14ac:dyDescent="0.2">
      <c r="A1790" s="176"/>
      <c r="B1790" s="212"/>
      <c r="C1790" s="14"/>
      <c r="D1790" s="14"/>
      <c r="E1790" s="14"/>
      <c r="F1790" s="14"/>
      <c r="G1790" s="179">
        <v>681789</v>
      </c>
      <c r="H1790" s="176"/>
      <c r="I1790" s="176"/>
      <c r="J1790" s="176"/>
      <c r="K1790" s="176"/>
      <c r="L1790" s="40"/>
      <c r="M1790" s="40"/>
      <c r="N1790" s="14"/>
      <c r="O1790" s="14"/>
      <c r="P1790" s="14"/>
      <c r="Q1790" s="14"/>
      <c r="R1790" s="17"/>
      <c r="S1790" s="172"/>
      <c r="T1790" s="17"/>
      <c r="U1790" s="14"/>
      <c r="V1790" s="16">
        <f t="shared" si="200"/>
        <v>0</v>
      </c>
      <c r="W1790" s="16">
        <f t="shared" si="201"/>
        <v>7</v>
      </c>
      <c r="X1790" s="16">
        <f t="shared" si="202"/>
        <v>2</v>
      </c>
      <c r="Y1790" s="15"/>
      <c r="Z1790" s="177"/>
      <c r="AA1790" s="170"/>
      <c r="AB1790" s="170"/>
      <c r="AC1790" s="170"/>
      <c r="AD1790" s="170"/>
      <c r="AE1790" s="15"/>
      <c r="AF1790" s="177"/>
      <c r="AG1790" s="177">
        <f t="shared" si="203"/>
        <v>0</v>
      </c>
      <c r="AH1790" s="177">
        <f t="shared" si="204"/>
        <v>0</v>
      </c>
      <c r="AK1790" s="176"/>
      <c r="AL1790" s="176"/>
    </row>
    <row r="1791" spans="1:38" ht="36" customHeight="1" x14ac:dyDescent="0.2">
      <c r="A1791" s="176"/>
      <c r="B1791" s="212"/>
      <c r="C1791" s="14"/>
      <c r="D1791" s="14"/>
      <c r="E1791" s="14"/>
      <c r="F1791" s="14"/>
      <c r="G1791" s="179">
        <v>681790</v>
      </c>
      <c r="H1791" s="176"/>
      <c r="I1791" s="176"/>
      <c r="J1791" s="176"/>
      <c r="K1791" s="176"/>
      <c r="L1791" s="40"/>
      <c r="M1791" s="40"/>
      <c r="N1791" s="14"/>
      <c r="O1791" s="14"/>
      <c r="P1791" s="14"/>
      <c r="Q1791" s="14"/>
      <c r="R1791" s="17"/>
      <c r="S1791" s="172"/>
      <c r="T1791" s="17"/>
      <c r="U1791" s="14"/>
      <c r="V1791" s="16">
        <f t="shared" si="200"/>
        <v>0</v>
      </c>
      <c r="W1791" s="16">
        <f t="shared" si="201"/>
        <v>7</v>
      </c>
      <c r="X1791" s="16">
        <f t="shared" si="202"/>
        <v>2</v>
      </c>
      <c r="Y1791" s="15"/>
      <c r="Z1791" s="177"/>
      <c r="AA1791" s="170"/>
      <c r="AB1791" s="170"/>
      <c r="AC1791" s="170"/>
      <c r="AD1791" s="170"/>
      <c r="AE1791" s="15"/>
      <c r="AF1791" s="177"/>
      <c r="AG1791" s="177">
        <f t="shared" si="203"/>
        <v>0</v>
      </c>
      <c r="AH1791" s="177">
        <f t="shared" si="204"/>
        <v>0</v>
      </c>
      <c r="AK1791" s="176"/>
      <c r="AL1791" s="176"/>
    </row>
    <row r="1792" spans="1:38" ht="36" customHeight="1" x14ac:dyDescent="0.2">
      <c r="A1792" s="176"/>
      <c r="B1792" s="212"/>
      <c r="C1792" s="14"/>
      <c r="D1792" s="14"/>
      <c r="E1792" s="14"/>
      <c r="F1792" s="14"/>
      <c r="G1792" s="179">
        <v>681791</v>
      </c>
      <c r="H1792" s="176"/>
      <c r="I1792" s="176"/>
      <c r="J1792" s="176"/>
      <c r="K1792" s="176"/>
      <c r="L1792" s="40"/>
      <c r="M1792" s="40"/>
      <c r="N1792" s="14"/>
      <c r="O1792" s="14"/>
      <c r="P1792" s="14"/>
      <c r="Q1792" s="14"/>
      <c r="R1792" s="17"/>
      <c r="S1792" s="172"/>
      <c r="T1792" s="17"/>
      <c r="U1792" s="14"/>
      <c r="V1792" s="16">
        <f t="shared" si="200"/>
        <v>0</v>
      </c>
      <c r="W1792" s="16">
        <f t="shared" si="201"/>
        <v>7</v>
      </c>
      <c r="X1792" s="16">
        <f t="shared" si="202"/>
        <v>2</v>
      </c>
      <c r="Y1792" s="15"/>
      <c r="Z1792" s="177"/>
      <c r="AA1792" s="170"/>
      <c r="AB1792" s="170"/>
      <c r="AC1792" s="170"/>
      <c r="AD1792" s="170"/>
      <c r="AE1792" s="15"/>
      <c r="AF1792" s="177"/>
      <c r="AG1792" s="177">
        <f t="shared" si="203"/>
        <v>0</v>
      </c>
      <c r="AH1792" s="177">
        <f t="shared" si="204"/>
        <v>0</v>
      </c>
      <c r="AK1792" s="176"/>
      <c r="AL1792" s="176"/>
    </row>
    <row r="1793" spans="1:38" ht="36" customHeight="1" x14ac:dyDescent="0.2">
      <c r="A1793" s="176"/>
      <c r="B1793" s="212"/>
      <c r="C1793" s="14"/>
      <c r="D1793" s="14"/>
      <c r="E1793" s="14"/>
      <c r="F1793" s="14"/>
      <c r="G1793" s="179">
        <v>681792</v>
      </c>
      <c r="H1793" s="176"/>
      <c r="I1793" s="176"/>
      <c r="J1793" s="176"/>
      <c r="K1793" s="176"/>
      <c r="L1793" s="40"/>
      <c r="M1793" s="40"/>
      <c r="N1793" s="14"/>
      <c r="O1793" s="14"/>
      <c r="P1793" s="14"/>
      <c r="Q1793" s="14"/>
      <c r="R1793" s="17"/>
      <c r="S1793" s="172"/>
      <c r="T1793" s="17"/>
      <c r="U1793" s="14"/>
      <c r="V1793" s="16">
        <f t="shared" ref="V1793:V1856" si="205">B1793</f>
        <v>0</v>
      </c>
      <c r="W1793" s="16">
        <f t="shared" ref="W1793:W1856" si="206">B1793+7</f>
        <v>7</v>
      </c>
      <c r="X1793" s="16">
        <f t="shared" ref="X1793:X1856" si="207">V1793+2</f>
        <v>2</v>
      </c>
      <c r="Y1793" s="15"/>
      <c r="Z1793" s="177"/>
      <c r="AA1793" s="170"/>
      <c r="AB1793" s="170"/>
      <c r="AC1793" s="170"/>
      <c r="AD1793" s="170"/>
      <c r="AE1793" s="15"/>
      <c r="AF1793" s="177"/>
      <c r="AG1793" s="177">
        <f t="shared" ref="AG1793:AG1856" si="208">AE1793</f>
        <v>0</v>
      </c>
      <c r="AH1793" s="177">
        <f t="shared" ref="AH1793:AH1856" si="209">AF1793</f>
        <v>0</v>
      </c>
      <c r="AK1793" s="176"/>
      <c r="AL1793" s="176"/>
    </row>
    <row r="1794" spans="1:38" ht="36" customHeight="1" x14ac:dyDescent="0.2">
      <c r="A1794" s="176"/>
      <c r="B1794" s="212"/>
      <c r="C1794" s="14"/>
      <c r="D1794" s="14"/>
      <c r="E1794" s="14"/>
      <c r="F1794" s="14"/>
      <c r="G1794" s="179">
        <v>681793</v>
      </c>
      <c r="H1794" s="176"/>
      <c r="I1794" s="176"/>
      <c r="J1794" s="176"/>
      <c r="K1794" s="176"/>
      <c r="L1794" s="40"/>
      <c r="M1794" s="40"/>
      <c r="N1794" s="14"/>
      <c r="O1794" s="14"/>
      <c r="P1794" s="14"/>
      <c r="Q1794" s="14"/>
      <c r="R1794" s="17"/>
      <c r="S1794" s="172"/>
      <c r="T1794" s="17"/>
      <c r="U1794" s="14"/>
      <c r="V1794" s="16">
        <f t="shared" si="205"/>
        <v>0</v>
      </c>
      <c r="W1794" s="16">
        <f t="shared" si="206"/>
        <v>7</v>
      </c>
      <c r="X1794" s="16">
        <f t="shared" si="207"/>
        <v>2</v>
      </c>
      <c r="Y1794" s="15"/>
      <c r="Z1794" s="177"/>
      <c r="AA1794" s="170"/>
      <c r="AB1794" s="170"/>
      <c r="AC1794" s="170"/>
      <c r="AD1794" s="170"/>
      <c r="AE1794" s="15"/>
      <c r="AF1794" s="177"/>
      <c r="AG1794" s="177">
        <f t="shared" si="208"/>
        <v>0</v>
      </c>
      <c r="AH1794" s="177">
        <f t="shared" si="209"/>
        <v>0</v>
      </c>
      <c r="AK1794" s="176"/>
      <c r="AL1794" s="176"/>
    </row>
    <row r="1795" spans="1:38" ht="36" customHeight="1" x14ac:dyDescent="0.2">
      <c r="A1795" s="176"/>
      <c r="B1795" s="212"/>
      <c r="C1795" s="14"/>
      <c r="D1795" s="14"/>
      <c r="E1795" s="14"/>
      <c r="F1795" s="14"/>
      <c r="G1795" s="179">
        <v>681794</v>
      </c>
      <c r="H1795" s="176"/>
      <c r="I1795" s="176"/>
      <c r="J1795" s="176"/>
      <c r="K1795" s="176"/>
      <c r="L1795" s="40"/>
      <c r="M1795" s="40"/>
      <c r="N1795" s="14"/>
      <c r="O1795" s="14"/>
      <c r="P1795" s="14"/>
      <c r="Q1795" s="14"/>
      <c r="R1795" s="17"/>
      <c r="S1795" s="172"/>
      <c r="T1795" s="17"/>
      <c r="U1795" s="14"/>
      <c r="V1795" s="16">
        <f t="shared" si="205"/>
        <v>0</v>
      </c>
      <c r="W1795" s="16">
        <f t="shared" si="206"/>
        <v>7</v>
      </c>
      <c r="X1795" s="16">
        <f t="shared" si="207"/>
        <v>2</v>
      </c>
      <c r="Y1795" s="15"/>
      <c r="Z1795" s="177"/>
      <c r="AA1795" s="170"/>
      <c r="AB1795" s="170"/>
      <c r="AC1795" s="170"/>
      <c r="AD1795" s="170"/>
      <c r="AE1795" s="15"/>
      <c r="AF1795" s="177"/>
      <c r="AG1795" s="177">
        <f t="shared" si="208"/>
        <v>0</v>
      </c>
      <c r="AH1795" s="177">
        <f t="shared" si="209"/>
        <v>0</v>
      </c>
      <c r="AK1795" s="176"/>
      <c r="AL1795" s="176"/>
    </row>
    <row r="1796" spans="1:38" ht="36" customHeight="1" x14ac:dyDescent="0.2">
      <c r="A1796" s="176"/>
      <c r="B1796" s="212"/>
      <c r="C1796" s="14"/>
      <c r="D1796" s="14"/>
      <c r="E1796" s="14"/>
      <c r="F1796" s="14"/>
      <c r="G1796" s="179">
        <v>681795</v>
      </c>
      <c r="H1796" s="176"/>
      <c r="I1796" s="176"/>
      <c r="J1796" s="176"/>
      <c r="K1796" s="176"/>
      <c r="L1796" s="40"/>
      <c r="M1796" s="40"/>
      <c r="N1796" s="14"/>
      <c r="O1796" s="14"/>
      <c r="P1796" s="14"/>
      <c r="Q1796" s="14"/>
      <c r="R1796" s="17"/>
      <c r="S1796" s="172"/>
      <c r="T1796" s="17"/>
      <c r="U1796" s="14"/>
      <c r="V1796" s="16">
        <f t="shared" si="205"/>
        <v>0</v>
      </c>
      <c r="W1796" s="16">
        <f t="shared" si="206"/>
        <v>7</v>
      </c>
      <c r="X1796" s="16">
        <f t="shared" si="207"/>
        <v>2</v>
      </c>
      <c r="Y1796" s="15"/>
      <c r="Z1796" s="177"/>
      <c r="AA1796" s="170"/>
      <c r="AB1796" s="170"/>
      <c r="AC1796" s="170"/>
      <c r="AD1796" s="170"/>
      <c r="AE1796" s="15"/>
      <c r="AF1796" s="177"/>
      <c r="AG1796" s="177">
        <f t="shared" si="208"/>
        <v>0</v>
      </c>
      <c r="AH1796" s="177">
        <f t="shared" si="209"/>
        <v>0</v>
      </c>
      <c r="AK1796" s="176"/>
      <c r="AL1796" s="176"/>
    </row>
    <row r="1797" spans="1:38" ht="36" customHeight="1" x14ac:dyDescent="0.2">
      <c r="A1797" s="176"/>
      <c r="B1797" s="212"/>
      <c r="C1797" s="14"/>
      <c r="D1797" s="14"/>
      <c r="E1797" s="14"/>
      <c r="F1797" s="14"/>
      <c r="G1797" s="179">
        <v>681796</v>
      </c>
      <c r="H1797" s="176"/>
      <c r="I1797" s="176"/>
      <c r="J1797" s="176"/>
      <c r="K1797" s="176"/>
      <c r="L1797" s="40"/>
      <c r="M1797" s="40"/>
      <c r="N1797" s="14"/>
      <c r="O1797" s="14"/>
      <c r="P1797" s="14"/>
      <c r="Q1797" s="14"/>
      <c r="R1797" s="17"/>
      <c r="S1797" s="172"/>
      <c r="T1797" s="17"/>
      <c r="U1797" s="14"/>
      <c r="V1797" s="16">
        <f t="shared" si="205"/>
        <v>0</v>
      </c>
      <c r="W1797" s="16">
        <f t="shared" si="206"/>
        <v>7</v>
      </c>
      <c r="X1797" s="16">
        <f t="shared" si="207"/>
        <v>2</v>
      </c>
      <c r="Y1797" s="15"/>
      <c r="Z1797" s="177"/>
      <c r="AA1797" s="170"/>
      <c r="AB1797" s="170"/>
      <c r="AC1797" s="170"/>
      <c r="AD1797" s="170"/>
      <c r="AE1797" s="15"/>
      <c r="AF1797" s="177"/>
      <c r="AG1797" s="177">
        <f t="shared" si="208"/>
        <v>0</v>
      </c>
      <c r="AH1797" s="177">
        <f t="shared" si="209"/>
        <v>0</v>
      </c>
      <c r="AK1797" s="176"/>
      <c r="AL1797" s="176"/>
    </row>
    <row r="1798" spans="1:38" ht="36" customHeight="1" x14ac:dyDescent="0.2">
      <c r="A1798" s="176"/>
      <c r="B1798" s="212"/>
      <c r="C1798" s="14"/>
      <c r="D1798" s="14"/>
      <c r="E1798" s="14"/>
      <c r="F1798" s="14"/>
      <c r="G1798" s="179">
        <v>681797</v>
      </c>
      <c r="H1798" s="176"/>
      <c r="I1798" s="176"/>
      <c r="J1798" s="176"/>
      <c r="K1798" s="176"/>
      <c r="L1798" s="40"/>
      <c r="M1798" s="40"/>
      <c r="N1798" s="14"/>
      <c r="O1798" s="14"/>
      <c r="P1798" s="14"/>
      <c r="Q1798" s="14"/>
      <c r="R1798" s="17"/>
      <c r="S1798" s="172"/>
      <c r="T1798" s="17"/>
      <c r="U1798" s="14"/>
      <c r="V1798" s="16">
        <f t="shared" si="205"/>
        <v>0</v>
      </c>
      <c r="W1798" s="16">
        <f t="shared" si="206"/>
        <v>7</v>
      </c>
      <c r="X1798" s="16">
        <f t="shared" si="207"/>
        <v>2</v>
      </c>
      <c r="Y1798" s="15"/>
      <c r="Z1798" s="177"/>
      <c r="AA1798" s="170"/>
      <c r="AB1798" s="170"/>
      <c r="AC1798" s="170"/>
      <c r="AD1798" s="170"/>
      <c r="AE1798" s="15"/>
      <c r="AF1798" s="177"/>
      <c r="AG1798" s="177">
        <f t="shared" si="208"/>
        <v>0</v>
      </c>
      <c r="AH1798" s="177">
        <f t="shared" si="209"/>
        <v>0</v>
      </c>
      <c r="AK1798" s="176"/>
      <c r="AL1798" s="176"/>
    </row>
    <row r="1799" spans="1:38" ht="36" customHeight="1" x14ac:dyDescent="0.2">
      <c r="A1799" s="176"/>
      <c r="B1799" s="212"/>
      <c r="C1799" s="14"/>
      <c r="D1799" s="14"/>
      <c r="E1799" s="14"/>
      <c r="F1799" s="14"/>
      <c r="G1799" s="179">
        <v>681798</v>
      </c>
      <c r="H1799" s="176"/>
      <c r="I1799" s="176"/>
      <c r="J1799" s="176"/>
      <c r="K1799" s="176"/>
      <c r="L1799" s="40"/>
      <c r="M1799" s="40"/>
      <c r="N1799" s="14"/>
      <c r="O1799" s="14"/>
      <c r="P1799" s="14"/>
      <c r="Q1799" s="14"/>
      <c r="R1799" s="17"/>
      <c r="S1799" s="172"/>
      <c r="T1799" s="17"/>
      <c r="U1799" s="14"/>
      <c r="V1799" s="16">
        <f t="shared" si="205"/>
        <v>0</v>
      </c>
      <c r="W1799" s="16">
        <f t="shared" si="206"/>
        <v>7</v>
      </c>
      <c r="X1799" s="16">
        <f t="shared" si="207"/>
        <v>2</v>
      </c>
      <c r="Y1799" s="15"/>
      <c r="Z1799" s="177"/>
      <c r="AA1799" s="170"/>
      <c r="AB1799" s="170"/>
      <c r="AC1799" s="170"/>
      <c r="AD1799" s="170"/>
      <c r="AE1799" s="15"/>
      <c r="AF1799" s="177"/>
      <c r="AG1799" s="177">
        <f t="shared" si="208"/>
        <v>0</v>
      </c>
      <c r="AH1799" s="177">
        <f t="shared" si="209"/>
        <v>0</v>
      </c>
      <c r="AK1799" s="176"/>
      <c r="AL1799" s="176"/>
    </row>
    <row r="1800" spans="1:38" ht="36" customHeight="1" x14ac:dyDescent="0.2">
      <c r="A1800" s="176"/>
      <c r="B1800" s="212"/>
      <c r="C1800" s="14"/>
      <c r="D1800" s="14"/>
      <c r="E1800" s="14"/>
      <c r="F1800" s="14"/>
      <c r="G1800" s="179">
        <v>681799</v>
      </c>
      <c r="H1800" s="176"/>
      <c r="I1800" s="176"/>
      <c r="J1800" s="176"/>
      <c r="K1800" s="176"/>
      <c r="L1800" s="40"/>
      <c r="M1800" s="40"/>
      <c r="N1800" s="14"/>
      <c r="O1800" s="14"/>
      <c r="P1800" s="14"/>
      <c r="Q1800" s="14"/>
      <c r="R1800" s="17"/>
      <c r="S1800" s="172"/>
      <c r="T1800" s="17"/>
      <c r="U1800" s="14"/>
      <c r="V1800" s="16">
        <f t="shared" si="205"/>
        <v>0</v>
      </c>
      <c r="W1800" s="16">
        <f t="shared" si="206"/>
        <v>7</v>
      </c>
      <c r="X1800" s="16">
        <f t="shared" si="207"/>
        <v>2</v>
      </c>
      <c r="Y1800" s="15"/>
      <c r="Z1800" s="177"/>
      <c r="AA1800" s="170"/>
      <c r="AB1800" s="170"/>
      <c r="AC1800" s="170"/>
      <c r="AD1800" s="170"/>
      <c r="AE1800" s="15"/>
      <c r="AF1800" s="177"/>
      <c r="AG1800" s="177">
        <f t="shared" si="208"/>
        <v>0</v>
      </c>
      <c r="AH1800" s="177">
        <f t="shared" si="209"/>
        <v>0</v>
      </c>
      <c r="AK1800" s="176"/>
      <c r="AL1800" s="176"/>
    </row>
    <row r="1801" spans="1:38" ht="36" customHeight="1" x14ac:dyDescent="0.2">
      <c r="A1801" s="176"/>
      <c r="B1801" s="212"/>
      <c r="C1801" s="14"/>
      <c r="D1801" s="14"/>
      <c r="E1801" s="14"/>
      <c r="F1801" s="14"/>
      <c r="G1801" s="179">
        <v>681800</v>
      </c>
      <c r="H1801" s="176"/>
      <c r="I1801" s="176"/>
      <c r="J1801" s="176"/>
      <c r="K1801" s="176"/>
      <c r="L1801" s="40"/>
      <c r="M1801" s="40"/>
      <c r="N1801" s="14"/>
      <c r="O1801" s="14"/>
      <c r="P1801" s="14"/>
      <c r="Q1801" s="14"/>
      <c r="R1801" s="17"/>
      <c r="S1801" s="172"/>
      <c r="T1801" s="17"/>
      <c r="U1801" s="14"/>
      <c r="V1801" s="16">
        <f t="shared" si="205"/>
        <v>0</v>
      </c>
      <c r="W1801" s="16">
        <f t="shared" si="206"/>
        <v>7</v>
      </c>
      <c r="X1801" s="16">
        <f t="shared" si="207"/>
        <v>2</v>
      </c>
      <c r="Y1801" s="15"/>
      <c r="Z1801" s="177"/>
      <c r="AA1801" s="170"/>
      <c r="AB1801" s="170"/>
      <c r="AC1801" s="170"/>
      <c r="AD1801" s="170"/>
      <c r="AE1801" s="15"/>
      <c r="AF1801" s="177"/>
      <c r="AG1801" s="177">
        <f t="shared" si="208"/>
        <v>0</v>
      </c>
      <c r="AH1801" s="177">
        <f t="shared" si="209"/>
        <v>0</v>
      </c>
      <c r="AK1801" s="176"/>
      <c r="AL1801" s="176"/>
    </row>
    <row r="1802" spans="1:38" ht="36" customHeight="1" x14ac:dyDescent="0.2">
      <c r="A1802" s="176"/>
      <c r="B1802" s="212"/>
      <c r="C1802" s="14"/>
      <c r="D1802" s="14"/>
      <c r="E1802" s="14"/>
      <c r="F1802" s="14"/>
      <c r="G1802" s="179">
        <v>681801</v>
      </c>
      <c r="H1802" s="176"/>
      <c r="I1802" s="176"/>
      <c r="J1802" s="176"/>
      <c r="K1802" s="176"/>
      <c r="L1802" s="40"/>
      <c r="M1802" s="40"/>
      <c r="N1802" s="14"/>
      <c r="O1802" s="14"/>
      <c r="P1802" s="14"/>
      <c r="Q1802" s="14"/>
      <c r="R1802" s="17"/>
      <c r="S1802" s="172"/>
      <c r="T1802" s="17"/>
      <c r="U1802" s="14"/>
      <c r="V1802" s="16">
        <f t="shared" si="205"/>
        <v>0</v>
      </c>
      <c r="W1802" s="16">
        <f t="shared" si="206"/>
        <v>7</v>
      </c>
      <c r="X1802" s="16">
        <f t="shared" si="207"/>
        <v>2</v>
      </c>
      <c r="Y1802" s="15"/>
      <c r="Z1802" s="177"/>
      <c r="AA1802" s="170"/>
      <c r="AB1802" s="170"/>
      <c r="AC1802" s="170"/>
      <c r="AD1802" s="170"/>
      <c r="AE1802" s="15"/>
      <c r="AF1802" s="177"/>
      <c r="AG1802" s="177">
        <f t="shared" si="208"/>
        <v>0</v>
      </c>
      <c r="AH1802" s="177">
        <f t="shared" si="209"/>
        <v>0</v>
      </c>
      <c r="AK1802" s="176"/>
      <c r="AL1802" s="176"/>
    </row>
    <row r="1803" spans="1:38" ht="36" customHeight="1" x14ac:dyDescent="0.2">
      <c r="A1803" s="176"/>
      <c r="B1803" s="212"/>
      <c r="C1803" s="14"/>
      <c r="D1803" s="14"/>
      <c r="E1803" s="14"/>
      <c r="F1803" s="14"/>
      <c r="G1803" s="179">
        <v>681802</v>
      </c>
      <c r="H1803" s="176"/>
      <c r="I1803" s="176"/>
      <c r="J1803" s="176"/>
      <c r="K1803" s="176"/>
      <c r="L1803" s="40"/>
      <c r="M1803" s="40"/>
      <c r="N1803" s="14"/>
      <c r="O1803" s="14"/>
      <c r="P1803" s="14"/>
      <c r="Q1803" s="14"/>
      <c r="R1803" s="17"/>
      <c r="S1803" s="172"/>
      <c r="T1803" s="17"/>
      <c r="U1803" s="14"/>
      <c r="V1803" s="16">
        <f t="shared" si="205"/>
        <v>0</v>
      </c>
      <c r="W1803" s="16">
        <f t="shared" si="206"/>
        <v>7</v>
      </c>
      <c r="X1803" s="16">
        <f t="shared" si="207"/>
        <v>2</v>
      </c>
      <c r="Y1803" s="15"/>
      <c r="Z1803" s="177"/>
      <c r="AA1803" s="170"/>
      <c r="AB1803" s="170"/>
      <c r="AC1803" s="170"/>
      <c r="AD1803" s="170"/>
      <c r="AE1803" s="15"/>
      <c r="AF1803" s="177"/>
      <c r="AG1803" s="177">
        <f t="shared" si="208"/>
        <v>0</v>
      </c>
      <c r="AH1803" s="177">
        <f t="shared" si="209"/>
        <v>0</v>
      </c>
      <c r="AK1803" s="176"/>
      <c r="AL1803" s="176"/>
    </row>
    <row r="1804" spans="1:38" ht="36" customHeight="1" x14ac:dyDescent="0.2">
      <c r="A1804" s="176"/>
      <c r="B1804" s="212"/>
      <c r="C1804" s="14"/>
      <c r="D1804" s="14"/>
      <c r="E1804" s="14"/>
      <c r="F1804" s="14"/>
      <c r="G1804" s="179">
        <v>681803</v>
      </c>
      <c r="H1804" s="176"/>
      <c r="I1804" s="176"/>
      <c r="J1804" s="176"/>
      <c r="K1804" s="176"/>
      <c r="L1804" s="40"/>
      <c r="M1804" s="40"/>
      <c r="N1804" s="14"/>
      <c r="O1804" s="14"/>
      <c r="P1804" s="14"/>
      <c r="Q1804" s="14"/>
      <c r="R1804" s="17"/>
      <c r="S1804" s="172"/>
      <c r="T1804" s="17"/>
      <c r="U1804" s="14"/>
      <c r="V1804" s="16">
        <f t="shared" si="205"/>
        <v>0</v>
      </c>
      <c r="W1804" s="16">
        <f t="shared" si="206"/>
        <v>7</v>
      </c>
      <c r="X1804" s="16">
        <f t="shared" si="207"/>
        <v>2</v>
      </c>
      <c r="Y1804" s="15"/>
      <c r="Z1804" s="177"/>
      <c r="AA1804" s="170"/>
      <c r="AB1804" s="170"/>
      <c r="AC1804" s="170"/>
      <c r="AD1804" s="170"/>
      <c r="AE1804" s="15"/>
      <c r="AF1804" s="177"/>
      <c r="AG1804" s="177">
        <f t="shared" si="208"/>
        <v>0</v>
      </c>
      <c r="AH1804" s="177">
        <f t="shared" si="209"/>
        <v>0</v>
      </c>
      <c r="AK1804" s="176"/>
      <c r="AL1804" s="176"/>
    </row>
    <row r="1805" spans="1:38" ht="36" customHeight="1" x14ac:dyDescent="0.2">
      <c r="A1805" s="176"/>
      <c r="B1805" s="212"/>
      <c r="C1805" s="14"/>
      <c r="D1805" s="14"/>
      <c r="E1805" s="14"/>
      <c r="F1805" s="14"/>
      <c r="G1805" s="179">
        <v>681804</v>
      </c>
      <c r="H1805" s="176"/>
      <c r="I1805" s="176"/>
      <c r="J1805" s="176"/>
      <c r="K1805" s="176"/>
      <c r="L1805" s="40"/>
      <c r="M1805" s="40"/>
      <c r="N1805" s="14"/>
      <c r="O1805" s="14"/>
      <c r="P1805" s="14"/>
      <c r="Q1805" s="14"/>
      <c r="R1805" s="17"/>
      <c r="S1805" s="172"/>
      <c r="T1805" s="17"/>
      <c r="U1805" s="14"/>
      <c r="V1805" s="16">
        <f t="shared" si="205"/>
        <v>0</v>
      </c>
      <c r="W1805" s="16">
        <f t="shared" si="206"/>
        <v>7</v>
      </c>
      <c r="X1805" s="16">
        <f t="shared" si="207"/>
        <v>2</v>
      </c>
      <c r="Y1805" s="15"/>
      <c r="Z1805" s="177"/>
      <c r="AA1805" s="170"/>
      <c r="AB1805" s="170"/>
      <c r="AC1805" s="170"/>
      <c r="AD1805" s="170"/>
      <c r="AE1805" s="15"/>
      <c r="AF1805" s="177"/>
      <c r="AG1805" s="177">
        <f t="shared" si="208"/>
        <v>0</v>
      </c>
      <c r="AH1805" s="177">
        <f t="shared" si="209"/>
        <v>0</v>
      </c>
      <c r="AK1805" s="176"/>
      <c r="AL1805" s="176"/>
    </row>
    <row r="1806" spans="1:38" ht="36" customHeight="1" x14ac:dyDescent="0.2">
      <c r="A1806" s="176"/>
      <c r="B1806" s="212"/>
      <c r="C1806" s="14"/>
      <c r="D1806" s="14"/>
      <c r="E1806" s="14"/>
      <c r="F1806" s="14"/>
      <c r="G1806" s="179">
        <v>681805</v>
      </c>
      <c r="H1806" s="176"/>
      <c r="I1806" s="176"/>
      <c r="J1806" s="176"/>
      <c r="K1806" s="176"/>
      <c r="L1806" s="40"/>
      <c r="M1806" s="40"/>
      <c r="N1806" s="14"/>
      <c r="O1806" s="14"/>
      <c r="P1806" s="14"/>
      <c r="Q1806" s="14"/>
      <c r="R1806" s="17"/>
      <c r="S1806" s="172"/>
      <c r="T1806" s="17"/>
      <c r="U1806" s="14"/>
      <c r="V1806" s="16">
        <f t="shared" si="205"/>
        <v>0</v>
      </c>
      <c r="W1806" s="16">
        <f t="shared" si="206"/>
        <v>7</v>
      </c>
      <c r="X1806" s="16">
        <f t="shared" si="207"/>
        <v>2</v>
      </c>
      <c r="Y1806" s="15"/>
      <c r="Z1806" s="177"/>
      <c r="AA1806" s="170"/>
      <c r="AB1806" s="170"/>
      <c r="AC1806" s="170"/>
      <c r="AD1806" s="170"/>
      <c r="AE1806" s="15"/>
      <c r="AF1806" s="177"/>
      <c r="AG1806" s="177">
        <f t="shared" si="208"/>
        <v>0</v>
      </c>
      <c r="AH1806" s="177">
        <f t="shared" si="209"/>
        <v>0</v>
      </c>
      <c r="AK1806" s="176"/>
      <c r="AL1806" s="176"/>
    </row>
    <row r="1807" spans="1:38" ht="36" customHeight="1" x14ac:dyDescent="0.2">
      <c r="A1807" s="176"/>
      <c r="B1807" s="212"/>
      <c r="C1807" s="14"/>
      <c r="D1807" s="14"/>
      <c r="E1807" s="14"/>
      <c r="F1807" s="14"/>
      <c r="G1807" s="179">
        <v>681806</v>
      </c>
      <c r="H1807" s="176"/>
      <c r="I1807" s="176"/>
      <c r="J1807" s="176"/>
      <c r="K1807" s="176"/>
      <c r="L1807" s="40"/>
      <c r="M1807" s="40"/>
      <c r="N1807" s="14"/>
      <c r="O1807" s="14"/>
      <c r="P1807" s="14"/>
      <c r="Q1807" s="14"/>
      <c r="R1807" s="17"/>
      <c r="S1807" s="172"/>
      <c r="T1807" s="17"/>
      <c r="U1807" s="14"/>
      <c r="V1807" s="16">
        <f t="shared" si="205"/>
        <v>0</v>
      </c>
      <c r="W1807" s="16">
        <f t="shared" si="206"/>
        <v>7</v>
      </c>
      <c r="X1807" s="16">
        <f t="shared" si="207"/>
        <v>2</v>
      </c>
      <c r="Y1807" s="15"/>
      <c r="Z1807" s="177"/>
      <c r="AA1807" s="170"/>
      <c r="AB1807" s="170"/>
      <c r="AC1807" s="170"/>
      <c r="AD1807" s="170"/>
      <c r="AE1807" s="15"/>
      <c r="AF1807" s="177"/>
      <c r="AG1807" s="177">
        <f t="shared" si="208"/>
        <v>0</v>
      </c>
      <c r="AH1807" s="177">
        <f t="shared" si="209"/>
        <v>0</v>
      </c>
      <c r="AK1807" s="176"/>
      <c r="AL1807" s="176"/>
    </row>
    <row r="1808" spans="1:38" ht="36" customHeight="1" x14ac:dyDescent="0.2">
      <c r="A1808" s="176"/>
      <c r="B1808" s="212"/>
      <c r="C1808" s="14"/>
      <c r="D1808" s="14"/>
      <c r="E1808" s="14"/>
      <c r="F1808" s="14"/>
      <c r="G1808" s="179">
        <v>681807</v>
      </c>
      <c r="H1808" s="176"/>
      <c r="I1808" s="176"/>
      <c r="J1808" s="176"/>
      <c r="K1808" s="176"/>
      <c r="L1808" s="40"/>
      <c r="M1808" s="40"/>
      <c r="N1808" s="14"/>
      <c r="O1808" s="14"/>
      <c r="P1808" s="14"/>
      <c r="Q1808" s="14"/>
      <c r="R1808" s="17"/>
      <c r="S1808" s="172"/>
      <c r="T1808" s="17"/>
      <c r="U1808" s="14"/>
      <c r="V1808" s="16">
        <f t="shared" si="205"/>
        <v>0</v>
      </c>
      <c r="W1808" s="16">
        <f t="shared" si="206"/>
        <v>7</v>
      </c>
      <c r="X1808" s="16">
        <f t="shared" si="207"/>
        <v>2</v>
      </c>
      <c r="Y1808" s="15"/>
      <c r="Z1808" s="177"/>
      <c r="AA1808" s="170"/>
      <c r="AB1808" s="170"/>
      <c r="AC1808" s="170"/>
      <c r="AD1808" s="170"/>
      <c r="AE1808" s="15"/>
      <c r="AF1808" s="177"/>
      <c r="AG1808" s="177">
        <f t="shared" si="208"/>
        <v>0</v>
      </c>
      <c r="AH1808" s="177">
        <f t="shared" si="209"/>
        <v>0</v>
      </c>
      <c r="AK1808" s="176"/>
      <c r="AL1808" s="176"/>
    </row>
    <row r="1809" spans="1:38" ht="36" customHeight="1" x14ac:dyDescent="0.2">
      <c r="A1809" s="176"/>
      <c r="B1809" s="212"/>
      <c r="C1809" s="14"/>
      <c r="D1809" s="14"/>
      <c r="E1809" s="14"/>
      <c r="F1809" s="14"/>
      <c r="G1809" s="179">
        <v>681808</v>
      </c>
      <c r="H1809" s="176"/>
      <c r="I1809" s="176"/>
      <c r="J1809" s="176"/>
      <c r="K1809" s="176"/>
      <c r="L1809" s="40"/>
      <c r="M1809" s="40"/>
      <c r="N1809" s="14"/>
      <c r="O1809" s="14"/>
      <c r="P1809" s="14"/>
      <c r="Q1809" s="14"/>
      <c r="R1809" s="17"/>
      <c r="S1809" s="172"/>
      <c r="T1809" s="17"/>
      <c r="U1809" s="14"/>
      <c r="V1809" s="16">
        <f t="shared" si="205"/>
        <v>0</v>
      </c>
      <c r="W1809" s="16">
        <f t="shared" si="206"/>
        <v>7</v>
      </c>
      <c r="X1809" s="16">
        <f t="shared" si="207"/>
        <v>2</v>
      </c>
      <c r="Y1809" s="15"/>
      <c r="Z1809" s="177"/>
      <c r="AA1809" s="170"/>
      <c r="AB1809" s="170"/>
      <c r="AC1809" s="170"/>
      <c r="AD1809" s="170"/>
      <c r="AE1809" s="15"/>
      <c r="AF1809" s="177"/>
      <c r="AG1809" s="177">
        <f t="shared" si="208"/>
        <v>0</v>
      </c>
      <c r="AH1809" s="177">
        <f t="shared" si="209"/>
        <v>0</v>
      </c>
      <c r="AK1809" s="176"/>
      <c r="AL1809" s="176"/>
    </row>
    <row r="1810" spans="1:38" ht="36" customHeight="1" x14ac:dyDescent="0.2">
      <c r="A1810" s="176"/>
      <c r="B1810" s="212"/>
      <c r="C1810" s="14"/>
      <c r="D1810" s="14"/>
      <c r="E1810" s="14"/>
      <c r="F1810" s="14"/>
      <c r="G1810" s="179">
        <v>681809</v>
      </c>
      <c r="H1810" s="176"/>
      <c r="I1810" s="176"/>
      <c r="J1810" s="176"/>
      <c r="K1810" s="176"/>
      <c r="L1810" s="40"/>
      <c r="M1810" s="40"/>
      <c r="N1810" s="14"/>
      <c r="O1810" s="14"/>
      <c r="P1810" s="14"/>
      <c r="Q1810" s="14"/>
      <c r="R1810" s="17"/>
      <c r="S1810" s="172"/>
      <c r="T1810" s="17"/>
      <c r="U1810" s="14"/>
      <c r="V1810" s="16">
        <f t="shared" si="205"/>
        <v>0</v>
      </c>
      <c r="W1810" s="16">
        <f t="shared" si="206"/>
        <v>7</v>
      </c>
      <c r="X1810" s="16">
        <f t="shared" si="207"/>
        <v>2</v>
      </c>
      <c r="Y1810" s="15"/>
      <c r="Z1810" s="177"/>
      <c r="AA1810" s="170"/>
      <c r="AB1810" s="170"/>
      <c r="AC1810" s="170"/>
      <c r="AD1810" s="170"/>
      <c r="AE1810" s="15"/>
      <c r="AF1810" s="177"/>
      <c r="AG1810" s="177">
        <f t="shared" si="208"/>
        <v>0</v>
      </c>
      <c r="AH1810" s="177">
        <f t="shared" si="209"/>
        <v>0</v>
      </c>
      <c r="AK1810" s="176"/>
      <c r="AL1810" s="176"/>
    </row>
    <row r="1811" spans="1:38" ht="36" customHeight="1" x14ac:dyDescent="0.2">
      <c r="A1811" s="176"/>
      <c r="B1811" s="212"/>
      <c r="C1811" s="14"/>
      <c r="D1811" s="14"/>
      <c r="E1811" s="14"/>
      <c r="F1811" s="14"/>
      <c r="G1811" s="179">
        <v>681810</v>
      </c>
      <c r="H1811" s="176"/>
      <c r="I1811" s="176"/>
      <c r="J1811" s="176"/>
      <c r="K1811" s="176"/>
      <c r="L1811" s="40"/>
      <c r="M1811" s="40"/>
      <c r="N1811" s="14"/>
      <c r="O1811" s="14"/>
      <c r="P1811" s="14"/>
      <c r="Q1811" s="14"/>
      <c r="R1811" s="17"/>
      <c r="S1811" s="172"/>
      <c r="T1811" s="17"/>
      <c r="U1811" s="14"/>
      <c r="V1811" s="16">
        <f t="shared" si="205"/>
        <v>0</v>
      </c>
      <c r="W1811" s="16">
        <f t="shared" si="206"/>
        <v>7</v>
      </c>
      <c r="X1811" s="16">
        <f t="shared" si="207"/>
        <v>2</v>
      </c>
      <c r="Y1811" s="15"/>
      <c r="Z1811" s="177"/>
      <c r="AA1811" s="170"/>
      <c r="AB1811" s="170"/>
      <c r="AC1811" s="170"/>
      <c r="AD1811" s="170"/>
      <c r="AE1811" s="15"/>
      <c r="AF1811" s="177"/>
      <c r="AG1811" s="177">
        <f t="shared" si="208"/>
        <v>0</v>
      </c>
      <c r="AH1811" s="177">
        <f t="shared" si="209"/>
        <v>0</v>
      </c>
      <c r="AK1811" s="176"/>
      <c r="AL1811" s="176"/>
    </row>
    <row r="1812" spans="1:38" ht="36" customHeight="1" x14ac:dyDescent="0.2">
      <c r="A1812" s="176"/>
      <c r="B1812" s="212"/>
      <c r="C1812" s="14"/>
      <c r="D1812" s="14"/>
      <c r="E1812" s="14"/>
      <c r="F1812" s="14"/>
      <c r="G1812" s="179">
        <v>681811</v>
      </c>
      <c r="H1812" s="176"/>
      <c r="I1812" s="176"/>
      <c r="J1812" s="176"/>
      <c r="K1812" s="176"/>
      <c r="L1812" s="40"/>
      <c r="M1812" s="40"/>
      <c r="N1812" s="14"/>
      <c r="O1812" s="14"/>
      <c r="P1812" s="14"/>
      <c r="Q1812" s="14"/>
      <c r="R1812" s="17"/>
      <c r="S1812" s="172"/>
      <c r="T1812" s="17"/>
      <c r="U1812" s="14"/>
      <c r="V1812" s="16">
        <f t="shared" si="205"/>
        <v>0</v>
      </c>
      <c r="W1812" s="16">
        <f t="shared" si="206"/>
        <v>7</v>
      </c>
      <c r="X1812" s="16">
        <f t="shared" si="207"/>
        <v>2</v>
      </c>
      <c r="Y1812" s="15"/>
      <c r="Z1812" s="177"/>
      <c r="AA1812" s="170"/>
      <c r="AB1812" s="170"/>
      <c r="AC1812" s="170"/>
      <c r="AD1812" s="170"/>
      <c r="AE1812" s="15"/>
      <c r="AF1812" s="177"/>
      <c r="AG1812" s="177">
        <f t="shared" si="208"/>
        <v>0</v>
      </c>
      <c r="AH1812" s="177">
        <f t="shared" si="209"/>
        <v>0</v>
      </c>
      <c r="AK1812" s="176"/>
      <c r="AL1812" s="176"/>
    </row>
    <row r="1813" spans="1:38" ht="36" customHeight="1" x14ac:dyDescent="0.2">
      <c r="A1813" s="176"/>
      <c r="B1813" s="212"/>
      <c r="C1813" s="14"/>
      <c r="D1813" s="14"/>
      <c r="E1813" s="14"/>
      <c r="F1813" s="14"/>
      <c r="G1813" s="179">
        <v>681812</v>
      </c>
      <c r="H1813" s="176"/>
      <c r="I1813" s="176"/>
      <c r="J1813" s="176"/>
      <c r="K1813" s="176"/>
      <c r="L1813" s="40"/>
      <c r="M1813" s="40"/>
      <c r="N1813" s="14"/>
      <c r="O1813" s="14"/>
      <c r="P1813" s="14"/>
      <c r="Q1813" s="14"/>
      <c r="R1813" s="17"/>
      <c r="S1813" s="172"/>
      <c r="T1813" s="17"/>
      <c r="U1813" s="14"/>
      <c r="V1813" s="16">
        <f t="shared" si="205"/>
        <v>0</v>
      </c>
      <c r="W1813" s="16">
        <f t="shared" si="206"/>
        <v>7</v>
      </c>
      <c r="X1813" s="16">
        <f t="shared" si="207"/>
        <v>2</v>
      </c>
      <c r="Y1813" s="15"/>
      <c r="Z1813" s="177"/>
      <c r="AA1813" s="170"/>
      <c r="AB1813" s="170"/>
      <c r="AC1813" s="170"/>
      <c r="AD1813" s="170"/>
      <c r="AE1813" s="15"/>
      <c r="AF1813" s="177"/>
      <c r="AG1813" s="177">
        <f t="shared" si="208"/>
        <v>0</v>
      </c>
      <c r="AH1813" s="177">
        <f t="shared" si="209"/>
        <v>0</v>
      </c>
      <c r="AK1813" s="176"/>
      <c r="AL1813" s="176"/>
    </row>
    <row r="1814" spans="1:38" ht="36" customHeight="1" x14ac:dyDescent="0.2">
      <c r="A1814" s="176"/>
      <c r="B1814" s="212"/>
      <c r="C1814" s="14"/>
      <c r="D1814" s="14"/>
      <c r="E1814" s="14"/>
      <c r="F1814" s="14"/>
      <c r="G1814" s="179">
        <v>681813</v>
      </c>
      <c r="H1814" s="176"/>
      <c r="I1814" s="176"/>
      <c r="J1814" s="176"/>
      <c r="K1814" s="176"/>
      <c r="L1814" s="40"/>
      <c r="M1814" s="40"/>
      <c r="N1814" s="14"/>
      <c r="O1814" s="14"/>
      <c r="P1814" s="14"/>
      <c r="Q1814" s="14"/>
      <c r="R1814" s="17"/>
      <c r="S1814" s="172"/>
      <c r="T1814" s="17"/>
      <c r="U1814" s="14"/>
      <c r="V1814" s="16">
        <f t="shared" si="205"/>
        <v>0</v>
      </c>
      <c r="W1814" s="16">
        <f t="shared" si="206"/>
        <v>7</v>
      </c>
      <c r="X1814" s="16">
        <f t="shared" si="207"/>
        <v>2</v>
      </c>
      <c r="Y1814" s="15"/>
      <c r="Z1814" s="177"/>
      <c r="AA1814" s="170"/>
      <c r="AB1814" s="170"/>
      <c r="AC1814" s="170"/>
      <c r="AD1814" s="170"/>
      <c r="AE1814" s="15"/>
      <c r="AF1814" s="177"/>
      <c r="AG1814" s="177">
        <f t="shared" si="208"/>
        <v>0</v>
      </c>
      <c r="AH1814" s="177">
        <f t="shared" si="209"/>
        <v>0</v>
      </c>
      <c r="AK1814" s="176"/>
      <c r="AL1814" s="176"/>
    </row>
    <row r="1815" spans="1:38" ht="36" customHeight="1" x14ac:dyDescent="0.2">
      <c r="A1815" s="176"/>
      <c r="B1815" s="212"/>
      <c r="C1815" s="14"/>
      <c r="D1815" s="14"/>
      <c r="E1815" s="14"/>
      <c r="F1815" s="14"/>
      <c r="G1815" s="179">
        <v>681814</v>
      </c>
      <c r="H1815" s="176"/>
      <c r="I1815" s="176"/>
      <c r="J1815" s="176"/>
      <c r="K1815" s="176"/>
      <c r="L1815" s="40"/>
      <c r="M1815" s="40"/>
      <c r="N1815" s="14"/>
      <c r="O1815" s="14"/>
      <c r="P1815" s="14"/>
      <c r="Q1815" s="14"/>
      <c r="R1815" s="17"/>
      <c r="S1815" s="172"/>
      <c r="T1815" s="17"/>
      <c r="U1815" s="14"/>
      <c r="V1815" s="16">
        <f t="shared" si="205"/>
        <v>0</v>
      </c>
      <c r="W1815" s="16">
        <f t="shared" si="206"/>
        <v>7</v>
      </c>
      <c r="X1815" s="16">
        <f t="shared" si="207"/>
        <v>2</v>
      </c>
      <c r="Y1815" s="15"/>
      <c r="Z1815" s="177"/>
      <c r="AA1815" s="170"/>
      <c r="AB1815" s="170"/>
      <c r="AC1815" s="170"/>
      <c r="AD1815" s="170"/>
      <c r="AE1815" s="15"/>
      <c r="AF1815" s="177"/>
      <c r="AG1815" s="177">
        <f t="shared" si="208"/>
        <v>0</v>
      </c>
      <c r="AH1815" s="177">
        <f t="shared" si="209"/>
        <v>0</v>
      </c>
      <c r="AK1815" s="176"/>
      <c r="AL1815" s="176"/>
    </row>
    <row r="1816" spans="1:38" ht="36" customHeight="1" x14ac:dyDescent="0.2">
      <c r="A1816" s="176"/>
      <c r="B1816" s="212"/>
      <c r="C1816" s="14"/>
      <c r="D1816" s="14"/>
      <c r="E1816" s="14"/>
      <c r="F1816" s="14"/>
      <c r="G1816" s="179">
        <v>681815</v>
      </c>
      <c r="H1816" s="176"/>
      <c r="I1816" s="176"/>
      <c r="J1816" s="176"/>
      <c r="K1816" s="176"/>
      <c r="L1816" s="40"/>
      <c r="M1816" s="40"/>
      <c r="N1816" s="14"/>
      <c r="O1816" s="14"/>
      <c r="P1816" s="14"/>
      <c r="Q1816" s="14"/>
      <c r="R1816" s="17"/>
      <c r="S1816" s="172"/>
      <c r="T1816" s="17"/>
      <c r="U1816" s="14"/>
      <c r="V1816" s="16">
        <f t="shared" si="205"/>
        <v>0</v>
      </c>
      <c r="W1816" s="16">
        <f t="shared" si="206"/>
        <v>7</v>
      </c>
      <c r="X1816" s="16">
        <f t="shared" si="207"/>
        <v>2</v>
      </c>
      <c r="Y1816" s="15"/>
      <c r="Z1816" s="177"/>
      <c r="AA1816" s="170"/>
      <c r="AB1816" s="170"/>
      <c r="AC1816" s="170"/>
      <c r="AD1816" s="170"/>
      <c r="AE1816" s="15"/>
      <c r="AF1816" s="177"/>
      <c r="AG1816" s="177">
        <f t="shared" si="208"/>
        <v>0</v>
      </c>
      <c r="AH1816" s="177">
        <f t="shared" si="209"/>
        <v>0</v>
      </c>
      <c r="AK1816" s="176"/>
      <c r="AL1816" s="176"/>
    </row>
    <row r="1817" spans="1:38" ht="36" customHeight="1" x14ac:dyDescent="0.2">
      <c r="A1817" s="176"/>
      <c r="B1817" s="212"/>
      <c r="C1817" s="14"/>
      <c r="D1817" s="14"/>
      <c r="E1817" s="14"/>
      <c r="F1817" s="14"/>
      <c r="G1817" s="179">
        <v>681816</v>
      </c>
      <c r="H1817" s="176"/>
      <c r="I1817" s="176"/>
      <c r="J1817" s="176"/>
      <c r="K1817" s="176"/>
      <c r="L1817" s="40"/>
      <c r="M1817" s="40"/>
      <c r="N1817" s="14"/>
      <c r="O1817" s="14"/>
      <c r="P1817" s="14"/>
      <c r="Q1817" s="14"/>
      <c r="R1817" s="17"/>
      <c r="S1817" s="172"/>
      <c r="T1817" s="17"/>
      <c r="U1817" s="14"/>
      <c r="V1817" s="16">
        <f t="shared" si="205"/>
        <v>0</v>
      </c>
      <c r="W1817" s="16">
        <f t="shared" si="206"/>
        <v>7</v>
      </c>
      <c r="X1817" s="16">
        <f t="shared" si="207"/>
        <v>2</v>
      </c>
      <c r="Y1817" s="15"/>
      <c r="Z1817" s="177"/>
      <c r="AA1817" s="170"/>
      <c r="AB1817" s="170"/>
      <c r="AC1817" s="170"/>
      <c r="AD1817" s="170"/>
      <c r="AE1817" s="15"/>
      <c r="AF1817" s="177"/>
      <c r="AG1817" s="177">
        <f t="shared" si="208"/>
        <v>0</v>
      </c>
      <c r="AH1817" s="177">
        <f t="shared" si="209"/>
        <v>0</v>
      </c>
      <c r="AK1817" s="176"/>
      <c r="AL1817" s="176"/>
    </row>
    <row r="1818" spans="1:38" ht="36" customHeight="1" x14ac:dyDescent="0.2">
      <c r="A1818" s="176"/>
      <c r="B1818" s="212"/>
      <c r="C1818" s="14"/>
      <c r="D1818" s="14"/>
      <c r="E1818" s="14"/>
      <c r="F1818" s="14"/>
      <c r="G1818" s="179">
        <v>681817</v>
      </c>
      <c r="H1818" s="176"/>
      <c r="I1818" s="176"/>
      <c r="J1818" s="176"/>
      <c r="K1818" s="176"/>
      <c r="L1818" s="40"/>
      <c r="M1818" s="40"/>
      <c r="N1818" s="14"/>
      <c r="O1818" s="14"/>
      <c r="P1818" s="14"/>
      <c r="Q1818" s="14"/>
      <c r="R1818" s="17"/>
      <c r="S1818" s="172"/>
      <c r="T1818" s="17"/>
      <c r="U1818" s="14"/>
      <c r="V1818" s="16">
        <f t="shared" si="205"/>
        <v>0</v>
      </c>
      <c r="W1818" s="16">
        <f t="shared" si="206"/>
        <v>7</v>
      </c>
      <c r="X1818" s="16">
        <f t="shared" si="207"/>
        <v>2</v>
      </c>
      <c r="Y1818" s="15"/>
      <c r="Z1818" s="177"/>
      <c r="AA1818" s="170"/>
      <c r="AB1818" s="170"/>
      <c r="AC1818" s="170"/>
      <c r="AD1818" s="170"/>
      <c r="AE1818" s="15"/>
      <c r="AF1818" s="177"/>
      <c r="AG1818" s="177">
        <f t="shared" si="208"/>
        <v>0</v>
      </c>
      <c r="AH1818" s="177">
        <f t="shared" si="209"/>
        <v>0</v>
      </c>
      <c r="AK1818" s="176"/>
      <c r="AL1818" s="176"/>
    </row>
    <row r="1819" spans="1:38" ht="36" customHeight="1" x14ac:dyDescent="0.2">
      <c r="A1819" s="176"/>
      <c r="B1819" s="212"/>
      <c r="C1819" s="14"/>
      <c r="D1819" s="14"/>
      <c r="E1819" s="14"/>
      <c r="F1819" s="14"/>
      <c r="G1819" s="179">
        <v>681818</v>
      </c>
      <c r="H1819" s="176"/>
      <c r="I1819" s="176"/>
      <c r="J1819" s="176"/>
      <c r="K1819" s="176"/>
      <c r="L1819" s="40"/>
      <c r="M1819" s="40"/>
      <c r="N1819" s="14"/>
      <c r="O1819" s="14"/>
      <c r="P1819" s="14"/>
      <c r="Q1819" s="14"/>
      <c r="R1819" s="17"/>
      <c r="S1819" s="172"/>
      <c r="T1819" s="17"/>
      <c r="U1819" s="14"/>
      <c r="V1819" s="16">
        <f t="shared" si="205"/>
        <v>0</v>
      </c>
      <c r="W1819" s="16">
        <f t="shared" si="206"/>
        <v>7</v>
      </c>
      <c r="X1819" s="16">
        <f t="shared" si="207"/>
        <v>2</v>
      </c>
      <c r="Y1819" s="15"/>
      <c r="Z1819" s="177"/>
      <c r="AA1819" s="170"/>
      <c r="AB1819" s="170"/>
      <c r="AC1819" s="170"/>
      <c r="AD1819" s="170"/>
      <c r="AE1819" s="15"/>
      <c r="AF1819" s="177"/>
      <c r="AG1819" s="177">
        <f t="shared" si="208"/>
        <v>0</v>
      </c>
      <c r="AH1819" s="177">
        <f t="shared" si="209"/>
        <v>0</v>
      </c>
      <c r="AK1819" s="176"/>
      <c r="AL1819" s="176"/>
    </row>
    <row r="1820" spans="1:38" ht="36" customHeight="1" x14ac:dyDescent="0.2">
      <c r="A1820" s="176"/>
      <c r="B1820" s="212"/>
      <c r="C1820" s="14"/>
      <c r="D1820" s="14"/>
      <c r="E1820" s="14"/>
      <c r="F1820" s="14"/>
      <c r="G1820" s="179">
        <v>681819</v>
      </c>
      <c r="H1820" s="176"/>
      <c r="I1820" s="176"/>
      <c r="J1820" s="176"/>
      <c r="K1820" s="176"/>
      <c r="L1820" s="40"/>
      <c r="M1820" s="40"/>
      <c r="N1820" s="14"/>
      <c r="O1820" s="14"/>
      <c r="P1820" s="14"/>
      <c r="Q1820" s="14"/>
      <c r="R1820" s="17"/>
      <c r="S1820" s="172"/>
      <c r="T1820" s="17"/>
      <c r="U1820" s="14"/>
      <c r="V1820" s="16">
        <f t="shared" si="205"/>
        <v>0</v>
      </c>
      <c r="W1820" s="16">
        <f t="shared" si="206"/>
        <v>7</v>
      </c>
      <c r="X1820" s="16">
        <f t="shared" si="207"/>
        <v>2</v>
      </c>
      <c r="Y1820" s="15"/>
      <c r="Z1820" s="177"/>
      <c r="AA1820" s="170"/>
      <c r="AB1820" s="170"/>
      <c r="AC1820" s="170"/>
      <c r="AD1820" s="170"/>
      <c r="AE1820" s="15"/>
      <c r="AF1820" s="177"/>
      <c r="AG1820" s="177">
        <f t="shared" si="208"/>
        <v>0</v>
      </c>
      <c r="AH1820" s="177">
        <f t="shared" si="209"/>
        <v>0</v>
      </c>
      <c r="AK1820" s="176"/>
      <c r="AL1820" s="176"/>
    </row>
    <row r="1821" spans="1:38" ht="36" customHeight="1" x14ac:dyDescent="0.2">
      <c r="A1821" s="176"/>
      <c r="B1821" s="212"/>
      <c r="C1821" s="14"/>
      <c r="D1821" s="14"/>
      <c r="E1821" s="14"/>
      <c r="F1821" s="14"/>
      <c r="G1821" s="179">
        <v>681820</v>
      </c>
      <c r="H1821" s="176"/>
      <c r="I1821" s="176"/>
      <c r="J1821" s="176"/>
      <c r="K1821" s="176"/>
      <c r="L1821" s="40"/>
      <c r="M1821" s="40"/>
      <c r="N1821" s="14"/>
      <c r="O1821" s="14"/>
      <c r="P1821" s="14"/>
      <c r="Q1821" s="14"/>
      <c r="R1821" s="17"/>
      <c r="S1821" s="172"/>
      <c r="T1821" s="17"/>
      <c r="U1821" s="14"/>
      <c r="V1821" s="16">
        <f t="shared" si="205"/>
        <v>0</v>
      </c>
      <c r="W1821" s="16">
        <f t="shared" si="206"/>
        <v>7</v>
      </c>
      <c r="X1821" s="16">
        <f t="shared" si="207"/>
        <v>2</v>
      </c>
      <c r="Y1821" s="15"/>
      <c r="Z1821" s="177"/>
      <c r="AA1821" s="170"/>
      <c r="AB1821" s="170"/>
      <c r="AC1821" s="170"/>
      <c r="AD1821" s="170"/>
      <c r="AE1821" s="15"/>
      <c r="AF1821" s="177"/>
      <c r="AG1821" s="177">
        <f t="shared" si="208"/>
        <v>0</v>
      </c>
      <c r="AH1821" s="177">
        <f t="shared" si="209"/>
        <v>0</v>
      </c>
      <c r="AK1821" s="176"/>
      <c r="AL1821" s="176"/>
    </row>
    <row r="1822" spans="1:38" ht="36" customHeight="1" x14ac:dyDescent="0.2">
      <c r="A1822" s="176"/>
      <c r="B1822" s="212"/>
      <c r="C1822" s="14"/>
      <c r="D1822" s="14"/>
      <c r="E1822" s="14"/>
      <c r="F1822" s="14"/>
      <c r="G1822" s="179">
        <v>681821</v>
      </c>
      <c r="H1822" s="176"/>
      <c r="I1822" s="176"/>
      <c r="J1822" s="176"/>
      <c r="K1822" s="176"/>
      <c r="L1822" s="40"/>
      <c r="M1822" s="40"/>
      <c r="N1822" s="14"/>
      <c r="O1822" s="14"/>
      <c r="P1822" s="14"/>
      <c r="Q1822" s="14"/>
      <c r="R1822" s="17"/>
      <c r="S1822" s="172"/>
      <c r="T1822" s="17"/>
      <c r="U1822" s="14"/>
      <c r="V1822" s="16">
        <f t="shared" si="205"/>
        <v>0</v>
      </c>
      <c r="W1822" s="16">
        <f t="shared" si="206"/>
        <v>7</v>
      </c>
      <c r="X1822" s="16">
        <f t="shared" si="207"/>
        <v>2</v>
      </c>
      <c r="Y1822" s="15"/>
      <c r="Z1822" s="177"/>
      <c r="AA1822" s="170"/>
      <c r="AB1822" s="170"/>
      <c r="AC1822" s="170"/>
      <c r="AD1822" s="170"/>
      <c r="AE1822" s="15"/>
      <c r="AF1822" s="177"/>
      <c r="AG1822" s="177">
        <f t="shared" si="208"/>
        <v>0</v>
      </c>
      <c r="AH1822" s="177">
        <f t="shared" si="209"/>
        <v>0</v>
      </c>
      <c r="AK1822" s="176"/>
      <c r="AL1822" s="176"/>
    </row>
    <row r="1823" spans="1:38" ht="36" customHeight="1" x14ac:dyDescent="0.2">
      <c r="A1823" s="176"/>
      <c r="B1823" s="212"/>
      <c r="C1823" s="14"/>
      <c r="D1823" s="14"/>
      <c r="E1823" s="14"/>
      <c r="F1823" s="14"/>
      <c r="G1823" s="179">
        <v>681822</v>
      </c>
      <c r="H1823" s="176"/>
      <c r="I1823" s="176"/>
      <c r="J1823" s="176"/>
      <c r="K1823" s="176"/>
      <c r="L1823" s="40"/>
      <c r="M1823" s="40"/>
      <c r="N1823" s="14"/>
      <c r="O1823" s="14"/>
      <c r="P1823" s="14"/>
      <c r="Q1823" s="14"/>
      <c r="R1823" s="17"/>
      <c r="S1823" s="172"/>
      <c r="T1823" s="17"/>
      <c r="U1823" s="14"/>
      <c r="V1823" s="16">
        <f t="shared" si="205"/>
        <v>0</v>
      </c>
      <c r="W1823" s="16">
        <f t="shared" si="206"/>
        <v>7</v>
      </c>
      <c r="X1823" s="16">
        <f t="shared" si="207"/>
        <v>2</v>
      </c>
      <c r="Y1823" s="15"/>
      <c r="Z1823" s="177"/>
      <c r="AA1823" s="170"/>
      <c r="AB1823" s="170"/>
      <c r="AC1823" s="170"/>
      <c r="AD1823" s="170"/>
      <c r="AE1823" s="15"/>
      <c r="AF1823" s="177"/>
      <c r="AG1823" s="177">
        <f t="shared" si="208"/>
        <v>0</v>
      </c>
      <c r="AH1823" s="177">
        <f t="shared" si="209"/>
        <v>0</v>
      </c>
      <c r="AK1823" s="176"/>
      <c r="AL1823" s="176"/>
    </row>
    <row r="1824" spans="1:38" ht="36" customHeight="1" x14ac:dyDescent="0.2">
      <c r="A1824" s="176"/>
      <c r="B1824" s="212"/>
      <c r="C1824" s="14"/>
      <c r="D1824" s="14"/>
      <c r="E1824" s="14"/>
      <c r="F1824" s="14"/>
      <c r="G1824" s="179">
        <v>681823</v>
      </c>
      <c r="H1824" s="176"/>
      <c r="I1824" s="176"/>
      <c r="J1824" s="176"/>
      <c r="K1824" s="176"/>
      <c r="L1824" s="40"/>
      <c r="M1824" s="40"/>
      <c r="N1824" s="14"/>
      <c r="O1824" s="14"/>
      <c r="P1824" s="14"/>
      <c r="Q1824" s="14"/>
      <c r="R1824" s="17"/>
      <c r="S1824" s="172"/>
      <c r="T1824" s="17"/>
      <c r="U1824" s="14"/>
      <c r="V1824" s="16">
        <f t="shared" si="205"/>
        <v>0</v>
      </c>
      <c r="W1824" s="16">
        <f t="shared" si="206"/>
        <v>7</v>
      </c>
      <c r="X1824" s="16">
        <f t="shared" si="207"/>
        <v>2</v>
      </c>
      <c r="Y1824" s="15"/>
      <c r="Z1824" s="177"/>
      <c r="AA1824" s="170"/>
      <c r="AB1824" s="170"/>
      <c r="AC1824" s="170"/>
      <c r="AD1824" s="170"/>
      <c r="AE1824" s="15"/>
      <c r="AF1824" s="177"/>
      <c r="AG1824" s="177">
        <f t="shared" si="208"/>
        <v>0</v>
      </c>
      <c r="AH1824" s="177">
        <f t="shared" si="209"/>
        <v>0</v>
      </c>
      <c r="AK1824" s="176"/>
      <c r="AL1824" s="176"/>
    </row>
    <row r="1825" spans="1:38" ht="36" customHeight="1" x14ac:dyDescent="0.2">
      <c r="A1825" s="176"/>
      <c r="B1825" s="212"/>
      <c r="C1825" s="14"/>
      <c r="D1825" s="14"/>
      <c r="E1825" s="14"/>
      <c r="F1825" s="14"/>
      <c r="G1825" s="179">
        <v>681824</v>
      </c>
      <c r="H1825" s="176"/>
      <c r="I1825" s="176"/>
      <c r="J1825" s="176"/>
      <c r="K1825" s="176"/>
      <c r="L1825" s="40"/>
      <c r="M1825" s="40"/>
      <c r="N1825" s="14"/>
      <c r="O1825" s="14"/>
      <c r="P1825" s="14"/>
      <c r="Q1825" s="14"/>
      <c r="R1825" s="17"/>
      <c r="S1825" s="172"/>
      <c r="T1825" s="17"/>
      <c r="U1825" s="14"/>
      <c r="V1825" s="16">
        <f t="shared" si="205"/>
        <v>0</v>
      </c>
      <c r="W1825" s="16">
        <f t="shared" si="206"/>
        <v>7</v>
      </c>
      <c r="X1825" s="16">
        <f t="shared" si="207"/>
        <v>2</v>
      </c>
      <c r="Y1825" s="15"/>
      <c r="Z1825" s="177"/>
      <c r="AA1825" s="170"/>
      <c r="AB1825" s="170"/>
      <c r="AC1825" s="170"/>
      <c r="AD1825" s="170"/>
      <c r="AE1825" s="15"/>
      <c r="AF1825" s="177"/>
      <c r="AG1825" s="177">
        <f t="shared" si="208"/>
        <v>0</v>
      </c>
      <c r="AH1825" s="177">
        <f t="shared" si="209"/>
        <v>0</v>
      </c>
      <c r="AK1825" s="176"/>
      <c r="AL1825" s="176"/>
    </row>
    <row r="1826" spans="1:38" ht="36" customHeight="1" x14ac:dyDescent="0.2">
      <c r="A1826" s="176"/>
      <c r="B1826" s="212"/>
      <c r="C1826" s="14"/>
      <c r="D1826" s="14"/>
      <c r="E1826" s="14"/>
      <c r="F1826" s="14"/>
      <c r="G1826" s="179">
        <v>681825</v>
      </c>
      <c r="H1826" s="176"/>
      <c r="I1826" s="176"/>
      <c r="J1826" s="176"/>
      <c r="K1826" s="176"/>
      <c r="L1826" s="40"/>
      <c r="M1826" s="40"/>
      <c r="N1826" s="14"/>
      <c r="O1826" s="14"/>
      <c r="P1826" s="14"/>
      <c r="Q1826" s="14"/>
      <c r="R1826" s="17"/>
      <c r="S1826" s="172"/>
      <c r="T1826" s="17"/>
      <c r="U1826" s="14"/>
      <c r="V1826" s="16">
        <f t="shared" si="205"/>
        <v>0</v>
      </c>
      <c r="W1826" s="16">
        <f t="shared" si="206"/>
        <v>7</v>
      </c>
      <c r="X1826" s="16">
        <f t="shared" si="207"/>
        <v>2</v>
      </c>
      <c r="Y1826" s="15"/>
      <c r="Z1826" s="177"/>
      <c r="AA1826" s="170"/>
      <c r="AB1826" s="170"/>
      <c r="AC1826" s="170"/>
      <c r="AD1826" s="170"/>
      <c r="AE1826" s="15"/>
      <c r="AF1826" s="177"/>
      <c r="AG1826" s="177">
        <f t="shared" si="208"/>
        <v>0</v>
      </c>
      <c r="AH1826" s="177">
        <f t="shared" si="209"/>
        <v>0</v>
      </c>
      <c r="AK1826" s="176"/>
      <c r="AL1826" s="176"/>
    </row>
    <row r="1827" spans="1:38" ht="36" customHeight="1" x14ac:dyDescent="0.2">
      <c r="A1827" s="176"/>
      <c r="B1827" s="212"/>
      <c r="C1827" s="14"/>
      <c r="D1827" s="14"/>
      <c r="E1827" s="14"/>
      <c r="F1827" s="14"/>
      <c r="G1827" s="179">
        <v>681826</v>
      </c>
      <c r="H1827" s="176"/>
      <c r="I1827" s="176"/>
      <c r="J1827" s="176"/>
      <c r="K1827" s="176"/>
      <c r="L1827" s="40"/>
      <c r="M1827" s="40"/>
      <c r="N1827" s="14"/>
      <c r="O1827" s="14"/>
      <c r="P1827" s="14"/>
      <c r="Q1827" s="14"/>
      <c r="R1827" s="17"/>
      <c r="S1827" s="172"/>
      <c r="T1827" s="17"/>
      <c r="U1827" s="14"/>
      <c r="V1827" s="16">
        <f t="shared" si="205"/>
        <v>0</v>
      </c>
      <c r="W1827" s="16">
        <f t="shared" si="206"/>
        <v>7</v>
      </c>
      <c r="X1827" s="16">
        <f t="shared" si="207"/>
        <v>2</v>
      </c>
      <c r="Y1827" s="15"/>
      <c r="Z1827" s="177"/>
      <c r="AA1827" s="170"/>
      <c r="AB1827" s="170"/>
      <c r="AC1827" s="170"/>
      <c r="AD1827" s="170"/>
      <c r="AE1827" s="15"/>
      <c r="AF1827" s="177"/>
      <c r="AG1827" s="177">
        <f t="shared" si="208"/>
        <v>0</v>
      </c>
      <c r="AH1827" s="177">
        <f t="shared" si="209"/>
        <v>0</v>
      </c>
      <c r="AK1827" s="176"/>
      <c r="AL1827" s="176"/>
    </row>
    <row r="1828" spans="1:38" ht="36" customHeight="1" x14ac:dyDescent="0.2">
      <c r="A1828" s="176"/>
      <c r="B1828" s="212"/>
      <c r="C1828" s="14"/>
      <c r="D1828" s="14"/>
      <c r="E1828" s="14"/>
      <c r="F1828" s="14"/>
      <c r="G1828" s="179">
        <v>681827</v>
      </c>
      <c r="H1828" s="176"/>
      <c r="I1828" s="176"/>
      <c r="J1828" s="176"/>
      <c r="K1828" s="176"/>
      <c r="L1828" s="40"/>
      <c r="M1828" s="40"/>
      <c r="N1828" s="14"/>
      <c r="O1828" s="14"/>
      <c r="P1828" s="14"/>
      <c r="Q1828" s="14"/>
      <c r="R1828" s="17"/>
      <c r="S1828" s="172"/>
      <c r="T1828" s="17"/>
      <c r="U1828" s="14"/>
      <c r="V1828" s="16">
        <f t="shared" si="205"/>
        <v>0</v>
      </c>
      <c r="W1828" s="16">
        <f t="shared" si="206"/>
        <v>7</v>
      </c>
      <c r="X1828" s="16">
        <f t="shared" si="207"/>
        <v>2</v>
      </c>
      <c r="Y1828" s="15"/>
      <c r="Z1828" s="177"/>
      <c r="AA1828" s="170"/>
      <c r="AB1828" s="170"/>
      <c r="AC1828" s="170"/>
      <c r="AD1828" s="170"/>
      <c r="AE1828" s="15"/>
      <c r="AF1828" s="177"/>
      <c r="AG1828" s="177">
        <f t="shared" si="208"/>
        <v>0</v>
      </c>
      <c r="AH1828" s="177">
        <f t="shared" si="209"/>
        <v>0</v>
      </c>
      <c r="AK1828" s="176"/>
      <c r="AL1828" s="176"/>
    </row>
    <row r="1829" spans="1:38" ht="36" customHeight="1" x14ac:dyDescent="0.2">
      <c r="A1829" s="176"/>
      <c r="B1829" s="212"/>
      <c r="C1829" s="14"/>
      <c r="D1829" s="14"/>
      <c r="E1829" s="14"/>
      <c r="F1829" s="14"/>
      <c r="G1829" s="179">
        <v>681828</v>
      </c>
      <c r="H1829" s="176"/>
      <c r="I1829" s="176"/>
      <c r="J1829" s="176"/>
      <c r="K1829" s="176"/>
      <c r="L1829" s="40"/>
      <c r="M1829" s="40"/>
      <c r="N1829" s="14"/>
      <c r="O1829" s="14"/>
      <c r="P1829" s="14"/>
      <c r="Q1829" s="14"/>
      <c r="R1829" s="17"/>
      <c r="S1829" s="172"/>
      <c r="T1829" s="17"/>
      <c r="U1829" s="14"/>
      <c r="V1829" s="16">
        <f t="shared" si="205"/>
        <v>0</v>
      </c>
      <c r="W1829" s="16">
        <f t="shared" si="206"/>
        <v>7</v>
      </c>
      <c r="X1829" s="16">
        <f t="shared" si="207"/>
        <v>2</v>
      </c>
      <c r="Y1829" s="15"/>
      <c r="Z1829" s="177"/>
      <c r="AA1829" s="170"/>
      <c r="AB1829" s="170"/>
      <c r="AC1829" s="170"/>
      <c r="AD1829" s="170"/>
      <c r="AE1829" s="15"/>
      <c r="AF1829" s="177"/>
      <c r="AG1829" s="177">
        <f t="shared" si="208"/>
        <v>0</v>
      </c>
      <c r="AH1829" s="177">
        <f t="shared" si="209"/>
        <v>0</v>
      </c>
      <c r="AK1829" s="176"/>
      <c r="AL1829" s="176"/>
    </row>
    <row r="1830" spans="1:38" ht="36" customHeight="1" x14ac:dyDescent="0.2">
      <c r="A1830" s="176"/>
      <c r="B1830" s="212"/>
      <c r="C1830" s="14"/>
      <c r="D1830" s="14"/>
      <c r="E1830" s="14"/>
      <c r="F1830" s="14"/>
      <c r="G1830" s="179">
        <v>681829</v>
      </c>
      <c r="H1830" s="176"/>
      <c r="I1830" s="176"/>
      <c r="J1830" s="176"/>
      <c r="K1830" s="176"/>
      <c r="L1830" s="40"/>
      <c r="M1830" s="40"/>
      <c r="N1830" s="14"/>
      <c r="O1830" s="14"/>
      <c r="P1830" s="14"/>
      <c r="Q1830" s="14"/>
      <c r="R1830" s="17"/>
      <c r="S1830" s="172"/>
      <c r="T1830" s="17"/>
      <c r="U1830" s="14"/>
      <c r="V1830" s="16">
        <f t="shared" si="205"/>
        <v>0</v>
      </c>
      <c r="W1830" s="16">
        <f t="shared" si="206"/>
        <v>7</v>
      </c>
      <c r="X1830" s="16">
        <f t="shared" si="207"/>
        <v>2</v>
      </c>
      <c r="Y1830" s="15"/>
      <c r="Z1830" s="177"/>
      <c r="AA1830" s="170"/>
      <c r="AB1830" s="170"/>
      <c r="AC1830" s="170"/>
      <c r="AD1830" s="170"/>
      <c r="AE1830" s="15"/>
      <c r="AF1830" s="177"/>
      <c r="AG1830" s="177">
        <f t="shared" si="208"/>
        <v>0</v>
      </c>
      <c r="AH1830" s="177">
        <f t="shared" si="209"/>
        <v>0</v>
      </c>
      <c r="AK1830" s="176"/>
      <c r="AL1830" s="176"/>
    </row>
    <row r="1831" spans="1:38" ht="36" customHeight="1" x14ac:dyDescent="0.2">
      <c r="A1831" s="176"/>
      <c r="B1831" s="212"/>
      <c r="C1831" s="14"/>
      <c r="D1831" s="14"/>
      <c r="E1831" s="14"/>
      <c r="F1831" s="14"/>
      <c r="G1831" s="179">
        <v>681830</v>
      </c>
      <c r="H1831" s="176"/>
      <c r="I1831" s="176"/>
      <c r="J1831" s="176"/>
      <c r="K1831" s="176"/>
      <c r="L1831" s="40"/>
      <c r="M1831" s="40"/>
      <c r="N1831" s="14"/>
      <c r="O1831" s="14"/>
      <c r="P1831" s="14"/>
      <c r="Q1831" s="14"/>
      <c r="R1831" s="17"/>
      <c r="S1831" s="172"/>
      <c r="T1831" s="17"/>
      <c r="U1831" s="14"/>
      <c r="V1831" s="16">
        <f t="shared" si="205"/>
        <v>0</v>
      </c>
      <c r="W1831" s="16">
        <f t="shared" si="206"/>
        <v>7</v>
      </c>
      <c r="X1831" s="16">
        <f t="shared" si="207"/>
        <v>2</v>
      </c>
      <c r="Y1831" s="15"/>
      <c r="Z1831" s="177"/>
      <c r="AA1831" s="170"/>
      <c r="AB1831" s="170"/>
      <c r="AC1831" s="170"/>
      <c r="AD1831" s="170"/>
      <c r="AE1831" s="15"/>
      <c r="AF1831" s="177"/>
      <c r="AG1831" s="177">
        <f t="shared" si="208"/>
        <v>0</v>
      </c>
      <c r="AH1831" s="177">
        <f t="shared" si="209"/>
        <v>0</v>
      </c>
      <c r="AK1831" s="176"/>
      <c r="AL1831" s="176"/>
    </row>
    <row r="1832" spans="1:38" ht="36" customHeight="1" x14ac:dyDescent="0.2">
      <c r="A1832" s="176"/>
      <c r="B1832" s="212"/>
      <c r="C1832" s="14"/>
      <c r="D1832" s="14"/>
      <c r="E1832" s="14"/>
      <c r="F1832" s="14"/>
      <c r="G1832" s="179">
        <v>681831</v>
      </c>
      <c r="H1832" s="176"/>
      <c r="I1832" s="176"/>
      <c r="J1832" s="176"/>
      <c r="K1832" s="176"/>
      <c r="L1832" s="40"/>
      <c r="M1832" s="40"/>
      <c r="N1832" s="14"/>
      <c r="O1832" s="14"/>
      <c r="P1832" s="14"/>
      <c r="Q1832" s="14"/>
      <c r="R1832" s="17"/>
      <c r="S1832" s="172"/>
      <c r="T1832" s="17"/>
      <c r="U1832" s="14"/>
      <c r="V1832" s="16">
        <f t="shared" si="205"/>
        <v>0</v>
      </c>
      <c r="W1832" s="16">
        <f t="shared" si="206"/>
        <v>7</v>
      </c>
      <c r="X1832" s="16">
        <f t="shared" si="207"/>
        <v>2</v>
      </c>
      <c r="Y1832" s="15"/>
      <c r="Z1832" s="177"/>
      <c r="AA1832" s="170"/>
      <c r="AB1832" s="170"/>
      <c r="AC1832" s="170"/>
      <c r="AD1832" s="170"/>
      <c r="AE1832" s="15"/>
      <c r="AF1832" s="177"/>
      <c r="AG1832" s="177">
        <f t="shared" si="208"/>
        <v>0</v>
      </c>
      <c r="AH1832" s="177">
        <f t="shared" si="209"/>
        <v>0</v>
      </c>
      <c r="AK1832" s="176"/>
      <c r="AL1832" s="176"/>
    </row>
    <row r="1833" spans="1:38" ht="36" customHeight="1" x14ac:dyDescent="0.2">
      <c r="A1833" s="176"/>
      <c r="B1833" s="212"/>
      <c r="C1833" s="14"/>
      <c r="D1833" s="14"/>
      <c r="E1833" s="14"/>
      <c r="F1833" s="14"/>
      <c r="G1833" s="179">
        <v>681832</v>
      </c>
      <c r="H1833" s="176"/>
      <c r="I1833" s="176"/>
      <c r="J1833" s="176"/>
      <c r="K1833" s="176"/>
      <c r="L1833" s="40"/>
      <c r="M1833" s="40"/>
      <c r="N1833" s="14"/>
      <c r="O1833" s="14"/>
      <c r="P1833" s="14"/>
      <c r="Q1833" s="14"/>
      <c r="R1833" s="17"/>
      <c r="S1833" s="172"/>
      <c r="T1833" s="17"/>
      <c r="U1833" s="14"/>
      <c r="V1833" s="16">
        <f t="shared" si="205"/>
        <v>0</v>
      </c>
      <c r="W1833" s="16">
        <f t="shared" si="206"/>
        <v>7</v>
      </c>
      <c r="X1833" s="16">
        <f t="shared" si="207"/>
        <v>2</v>
      </c>
      <c r="Y1833" s="15"/>
      <c r="Z1833" s="177"/>
      <c r="AA1833" s="170"/>
      <c r="AB1833" s="170"/>
      <c r="AC1833" s="170"/>
      <c r="AD1833" s="170"/>
      <c r="AE1833" s="15"/>
      <c r="AF1833" s="177"/>
      <c r="AG1833" s="177">
        <f t="shared" si="208"/>
        <v>0</v>
      </c>
      <c r="AH1833" s="177">
        <f t="shared" si="209"/>
        <v>0</v>
      </c>
      <c r="AK1833" s="176"/>
      <c r="AL1833" s="176"/>
    </row>
    <row r="1834" spans="1:38" ht="36" customHeight="1" x14ac:dyDescent="0.2">
      <c r="A1834" s="176"/>
      <c r="B1834" s="212"/>
      <c r="C1834" s="14"/>
      <c r="D1834" s="14"/>
      <c r="E1834" s="14"/>
      <c r="F1834" s="14"/>
      <c r="G1834" s="179">
        <v>681833</v>
      </c>
      <c r="H1834" s="176"/>
      <c r="I1834" s="176"/>
      <c r="J1834" s="176"/>
      <c r="K1834" s="176"/>
      <c r="L1834" s="40"/>
      <c r="M1834" s="40"/>
      <c r="N1834" s="14"/>
      <c r="O1834" s="14"/>
      <c r="P1834" s="14"/>
      <c r="Q1834" s="14"/>
      <c r="R1834" s="17"/>
      <c r="S1834" s="172"/>
      <c r="T1834" s="17"/>
      <c r="U1834" s="14"/>
      <c r="V1834" s="16">
        <f t="shared" si="205"/>
        <v>0</v>
      </c>
      <c r="W1834" s="16">
        <f t="shared" si="206"/>
        <v>7</v>
      </c>
      <c r="X1834" s="16">
        <f t="shared" si="207"/>
        <v>2</v>
      </c>
      <c r="Y1834" s="15"/>
      <c r="Z1834" s="177"/>
      <c r="AA1834" s="170"/>
      <c r="AB1834" s="170"/>
      <c r="AC1834" s="170"/>
      <c r="AD1834" s="170"/>
      <c r="AE1834" s="15"/>
      <c r="AF1834" s="177"/>
      <c r="AG1834" s="177">
        <f t="shared" si="208"/>
        <v>0</v>
      </c>
      <c r="AH1834" s="177">
        <f t="shared" si="209"/>
        <v>0</v>
      </c>
      <c r="AK1834" s="176"/>
      <c r="AL1834" s="176"/>
    </row>
    <row r="1835" spans="1:38" ht="36" customHeight="1" x14ac:dyDescent="0.2">
      <c r="A1835" s="176"/>
      <c r="B1835" s="212"/>
      <c r="C1835" s="14"/>
      <c r="D1835" s="14"/>
      <c r="E1835" s="14"/>
      <c r="F1835" s="14"/>
      <c r="G1835" s="179">
        <v>681834</v>
      </c>
      <c r="H1835" s="176"/>
      <c r="I1835" s="176"/>
      <c r="J1835" s="176"/>
      <c r="K1835" s="176"/>
      <c r="L1835" s="40"/>
      <c r="M1835" s="40"/>
      <c r="N1835" s="14"/>
      <c r="O1835" s="14"/>
      <c r="P1835" s="14"/>
      <c r="Q1835" s="14"/>
      <c r="R1835" s="17"/>
      <c r="S1835" s="172"/>
      <c r="T1835" s="17"/>
      <c r="U1835" s="14"/>
      <c r="V1835" s="16">
        <f t="shared" si="205"/>
        <v>0</v>
      </c>
      <c r="W1835" s="16">
        <f t="shared" si="206"/>
        <v>7</v>
      </c>
      <c r="X1835" s="16">
        <f t="shared" si="207"/>
        <v>2</v>
      </c>
      <c r="Y1835" s="15"/>
      <c r="Z1835" s="177"/>
      <c r="AA1835" s="170"/>
      <c r="AB1835" s="170"/>
      <c r="AC1835" s="170"/>
      <c r="AD1835" s="170"/>
      <c r="AE1835" s="15"/>
      <c r="AF1835" s="177"/>
      <c r="AG1835" s="177">
        <f t="shared" si="208"/>
        <v>0</v>
      </c>
      <c r="AH1835" s="177">
        <f t="shared" si="209"/>
        <v>0</v>
      </c>
      <c r="AK1835" s="176"/>
      <c r="AL1835" s="176"/>
    </row>
    <row r="1836" spans="1:38" ht="36" customHeight="1" x14ac:dyDescent="0.2">
      <c r="A1836" s="176"/>
      <c r="B1836" s="212"/>
      <c r="C1836" s="14"/>
      <c r="D1836" s="14"/>
      <c r="E1836" s="14"/>
      <c r="F1836" s="14"/>
      <c r="G1836" s="179">
        <v>681835</v>
      </c>
      <c r="H1836" s="176"/>
      <c r="I1836" s="176"/>
      <c r="J1836" s="176"/>
      <c r="K1836" s="176"/>
      <c r="L1836" s="40"/>
      <c r="M1836" s="40"/>
      <c r="N1836" s="14"/>
      <c r="O1836" s="14"/>
      <c r="P1836" s="14"/>
      <c r="Q1836" s="14"/>
      <c r="R1836" s="17"/>
      <c r="S1836" s="172"/>
      <c r="T1836" s="17"/>
      <c r="U1836" s="14"/>
      <c r="V1836" s="16">
        <f t="shared" si="205"/>
        <v>0</v>
      </c>
      <c r="W1836" s="16">
        <f t="shared" si="206"/>
        <v>7</v>
      </c>
      <c r="X1836" s="16">
        <f t="shared" si="207"/>
        <v>2</v>
      </c>
      <c r="Y1836" s="15"/>
      <c r="Z1836" s="177"/>
      <c r="AA1836" s="170"/>
      <c r="AB1836" s="170"/>
      <c r="AC1836" s="170"/>
      <c r="AD1836" s="170"/>
      <c r="AE1836" s="15"/>
      <c r="AF1836" s="177"/>
      <c r="AG1836" s="177">
        <f t="shared" si="208"/>
        <v>0</v>
      </c>
      <c r="AH1836" s="177">
        <f t="shared" si="209"/>
        <v>0</v>
      </c>
      <c r="AK1836" s="176"/>
      <c r="AL1836" s="176"/>
    </row>
    <row r="1837" spans="1:38" ht="36" customHeight="1" x14ac:dyDescent="0.2">
      <c r="A1837" s="176"/>
      <c r="B1837" s="212"/>
      <c r="C1837" s="14"/>
      <c r="D1837" s="14"/>
      <c r="E1837" s="14"/>
      <c r="F1837" s="14"/>
      <c r="G1837" s="179">
        <v>681836</v>
      </c>
      <c r="H1837" s="176"/>
      <c r="I1837" s="176"/>
      <c r="J1837" s="176"/>
      <c r="K1837" s="176"/>
      <c r="L1837" s="40"/>
      <c r="M1837" s="40"/>
      <c r="N1837" s="14"/>
      <c r="O1837" s="14"/>
      <c r="P1837" s="14"/>
      <c r="Q1837" s="14"/>
      <c r="R1837" s="17"/>
      <c r="S1837" s="172"/>
      <c r="T1837" s="17"/>
      <c r="U1837" s="14"/>
      <c r="V1837" s="16">
        <f t="shared" si="205"/>
        <v>0</v>
      </c>
      <c r="W1837" s="16">
        <f t="shared" si="206"/>
        <v>7</v>
      </c>
      <c r="X1837" s="16">
        <f t="shared" si="207"/>
        <v>2</v>
      </c>
      <c r="Y1837" s="15"/>
      <c r="Z1837" s="177"/>
      <c r="AA1837" s="170"/>
      <c r="AB1837" s="170"/>
      <c r="AC1837" s="170"/>
      <c r="AD1837" s="170"/>
      <c r="AE1837" s="15"/>
      <c r="AF1837" s="177"/>
      <c r="AG1837" s="177">
        <f t="shared" si="208"/>
        <v>0</v>
      </c>
      <c r="AH1837" s="177">
        <f t="shared" si="209"/>
        <v>0</v>
      </c>
      <c r="AK1837" s="176"/>
      <c r="AL1837" s="176"/>
    </row>
    <row r="1838" spans="1:38" ht="36" customHeight="1" x14ac:dyDescent="0.2">
      <c r="A1838" s="176"/>
      <c r="B1838" s="212"/>
      <c r="C1838" s="14"/>
      <c r="D1838" s="14"/>
      <c r="E1838" s="14"/>
      <c r="F1838" s="14"/>
      <c r="G1838" s="179">
        <v>681837</v>
      </c>
      <c r="H1838" s="176"/>
      <c r="I1838" s="176"/>
      <c r="J1838" s="176"/>
      <c r="K1838" s="176"/>
      <c r="L1838" s="40"/>
      <c r="M1838" s="40"/>
      <c r="N1838" s="14"/>
      <c r="O1838" s="14"/>
      <c r="P1838" s="14"/>
      <c r="Q1838" s="14"/>
      <c r="R1838" s="17"/>
      <c r="S1838" s="172"/>
      <c r="T1838" s="17"/>
      <c r="U1838" s="14"/>
      <c r="V1838" s="16">
        <f t="shared" si="205"/>
        <v>0</v>
      </c>
      <c r="W1838" s="16">
        <f t="shared" si="206"/>
        <v>7</v>
      </c>
      <c r="X1838" s="16">
        <f t="shared" si="207"/>
        <v>2</v>
      </c>
      <c r="Y1838" s="15"/>
      <c r="Z1838" s="177"/>
      <c r="AA1838" s="170"/>
      <c r="AB1838" s="170"/>
      <c r="AC1838" s="170"/>
      <c r="AD1838" s="170"/>
      <c r="AE1838" s="15"/>
      <c r="AF1838" s="177"/>
      <c r="AG1838" s="177">
        <f t="shared" si="208"/>
        <v>0</v>
      </c>
      <c r="AH1838" s="177">
        <f t="shared" si="209"/>
        <v>0</v>
      </c>
      <c r="AK1838" s="176"/>
      <c r="AL1838" s="176"/>
    </row>
    <row r="1839" spans="1:38" ht="36" customHeight="1" x14ac:dyDescent="0.2">
      <c r="A1839" s="176"/>
      <c r="B1839" s="212"/>
      <c r="C1839" s="14"/>
      <c r="D1839" s="14"/>
      <c r="E1839" s="14"/>
      <c r="F1839" s="14"/>
      <c r="G1839" s="179">
        <v>681838</v>
      </c>
      <c r="H1839" s="176"/>
      <c r="I1839" s="176"/>
      <c r="J1839" s="176"/>
      <c r="K1839" s="176"/>
      <c r="L1839" s="40"/>
      <c r="M1839" s="40"/>
      <c r="N1839" s="14"/>
      <c r="O1839" s="14"/>
      <c r="P1839" s="14"/>
      <c r="Q1839" s="14"/>
      <c r="R1839" s="17"/>
      <c r="S1839" s="172"/>
      <c r="T1839" s="17"/>
      <c r="U1839" s="14"/>
      <c r="V1839" s="16">
        <f t="shared" si="205"/>
        <v>0</v>
      </c>
      <c r="W1839" s="16">
        <f t="shared" si="206"/>
        <v>7</v>
      </c>
      <c r="X1839" s="16">
        <f t="shared" si="207"/>
        <v>2</v>
      </c>
      <c r="Y1839" s="15"/>
      <c r="Z1839" s="177"/>
      <c r="AA1839" s="170"/>
      <c r="AB1839" s="170"/>
      <c r="AC1839" s="170"/>
      <c r="AD1839" s="170"/>
      <c r="AE1839" s="15"/>
      <c r="AF1839" s="177"/>
      <c r="AG1839" s="177">
        <f t="shared" si="208"/>
        <v>0</v>
      </c>
      <c r="AH1839" s="177">
        <f t="shared" si="209"/>
        <v>0</v>
      </c>
      <c r="AK1839" s="176"/>
      <c r="AL1839" s="176"/>
    </row>
    <row r="1840" spans="1:38" ht="36" customHeight="1" x14ac:dyDescent="0.2">
      <c r="A1840" s="176"/>
      <c r="B1840" s="212"/>
      <c r="C1840" s="14"/>
      <c r="D1840" s="14"/>
      <c r="E1840" s="14"/>
      <c r="F1840" s="14"/>
      <c r="G1840" s="179">
        <v>681839</v>
      </c>
      <c r="H1840" s="176"/>
      <c r="I1840" s="176"/>
      <c r="J1840" s="176"/>
      <c r="K1840" s="176"/>
      <c r="L1840" s="40"/>
      <c r="M1840" s="40"/>
      <c r="N1840" s="14"/>
      <c r="O1840" s="14"/>
      <c r="P1840" s="14"/>
      <c r="Q1840" s="14"/>
      <c r="R1840" s="17"/>
      <c r="S1840" s="172"/>
      <c r="T1840" s="17"/>
      <c r="U1840" s="14"/>
      <c r="V1840" s="16">
        <f t="shared" si="205"/>
        <v>0</v>
      </c>
      <c r="W1840" s="16">
        <f t="shared" si="206"/>
        <v>7</v>
      </c>
      <c r="X1840" s="16">
        <f t="shared" si="207"/>
        <v>2</v>
      </c>
      <c r="Y1840" s="15"/>
      <c r="Z1840" s="177"/>
      <c r="AA1840" s="170"/>
      <c r="AB1840" s="170"/>
      <c r="AC1840" s="170"/>
      <c r="AD1840" s="170"/>
      <c r="AE1840" s="15"/>
      <c r="AF1840" s="177"/>
      <c r="AG1840" s="177">
        <f t="shared" si="208"/>
        <v>0</v>
      </c>
      <c r="AH1840" s="177">
        <f t="shared" si="209"/>
        <v>0</v>
      </c>
      <c r="AK1840" s="176"/>
      <c r="AL1840" s="176"/>
    </row>
    <row r="1841" spans="1:38" ht="36" customHeight="1" x14ac:dyDescent="0.2">
      <c r="A1841" s="176"/>
      <c r="B1841" s="212"/>
      <c r="C1841" s="14"/>
      <c r="D1841" s="14"/>
      <c r="E1841" s="14"/>
      <c r="F1841" s="14"/>
      <c r="G1841" s="179">
        <v>681840</v>
      </c>
      <c r="H1841" s="176"/>
      <c r="I1841" s="176"/>
      <c r="J1841" s="176"/>
      <c r="K1841" s="176"/>
      <c r="L1841" s="40"/>
      <c r="M1841" s="40"/>
      <c r="N1841" s="14"/>
      <c r="O1841" s="14"/>
      <c r="P1841" s="14"/>
      <c r="Q1841" s="14"/>
      <c r="R1841" s="17"/>
      <c r="S1841" s="172"/>
      <c r="T1841" s="17"/>
      <c r="U1841" s="14"/>
      <c r="V1841" s="16">
        <f t="shared" si="205"/>
        <v>0</v>
      </c>
      <c r="W1841" s="16">
        <f t="shared" si="206"/>
        <v>7</v>
      </c>
      <c r="X1841" s="16">
        <f t="shared" si="207"/>
        <v>2</v>
      </c>
      <c r="Y1841" s="15"/>
      <c r="Z1841" s="177"/>
      <c r="AA1841" s="170"/>
      <c r="AB1841" s="170"/>
      <c r="AC1841" s="170"/>
      <c r="AD1841" s="170"/>
      <c r="AE1841" s="15"/>
      <c r="AF1841" s="177"/>
      <c r="AG1841" s="177">
        <f t="shared" si="208"/>
        <v>0</v>
      </c>
      <c r="AH1841" s="177">
        <f t="shared" si="209"/>
        <v>0</v>
      </c>
      <c r="AK1841" s="176"/>
      <c r="AL1841" s="176"/>
    </row>
    <row r="1842" spans="1:38" ht="36" customHeight="1" x14ac:dyDescent="0.2">
      <c r="A1842" s="176"/>
      <c r="B1842" s="212"/>
      <c r="C1842" s="14"/>
      <c r="D1842" s="14"/>
      <c r="E1842" s="14"/>
      <c r="F1842" s="14"/>
      <c r="G1842" s="179">
        <v>681841</v>
      </c>
      <c r="H1842" s="176"/>
      <c r="I1842" s="176"/>
      <c r="J1842" s="176"/>
      <c r="K1842" s="176"/>
      <c r="L1842" s="40"/>
      <c r="M1842" s="40"/>
      <c r="N1842" s="14"/>
      <c r="O1842" s="14"/>
      <c r="P1842" s="14"/>
      <c r="Q1842" s="14"/>
      <c r="R1842" s="17"/>
      <c r="S1842" s="172"/>
      <c r="T1842" s="17"/>
      <c r="U1842" s="14"/>
      <c r="V1842" s="16">
        <f t="shared" si="205"/>
        <v>0</v>
      </c>
      <c r="W1842" s="16">
        <f t="shared" si="206"/>
        <v>7</v>
      </c>
      <c r="X1842" s="16">
        <f t="shared" si="207"/>
        <v>2</v>
      </c>
      <c r="Y1842" s="15"/>
      <c r="Z1842" s="177"/>
      <c r="AA1842" s="170"/>
      <c r="AB1842" s="170"/>
      <c r="AC1842" s="170"/>
      <c r="AD1842" s="170"/>
      <c r="AE1842" s="15"/>
      <c r="AF1842" s="177"/>
      <c r="AG1842" s="177">
        <f t="shared" si="208"/>
        <v>0</v>
      </c>
      <c r="AH1842" s="177">
        <f t="shared" si="209"/>
        <v>0</v>
      </c>
      <c r="AK1842" s="176"/>
      <c r="AL1842" s="176"/>
    </row>
    <row r="1843" spans="1:38" ht="36" customHeight="1" x14ac:dyDescent="0.2">
      <c r="A1843" s="176"/>
      <c r="B1843" s="212"/>
      <c r="C1843" s="14"/>
      <c r="D1843" s="14"/>
      <c r="E1843" s="14"/>
      <c r="F1843" s="14"/>
      <c r="G1843" s="179">
        <v>681842</v>
      </c>
      <c r="H1843" s="176"/>
      <c r="I1843" s="176"/>
      <c r="J1843" s="176"/>
      <c r="K1843" s="176"/>
      <c r="L1843" s="40"/>
      <c r="M1843" s="40"/>
      <c r="N1843" s="14"/>
      <c r="O1843" s="14"/>
      <c r="P1843" s="14"/>
      <c r="Q1843" s="14"/>
      <c r="R1843" s="17"/>
      <c r="S1843" s="172"/>
      <c r="T1843" s="17"/>
      <c r="U1843" s="14"/>
      <c r="V1843" s="16">
        <f t="shared" si="205"/>
        <v>0</v>
      </c>
      <c r="W1843" s="16">
        <f t="shared" si="206"/>
        <v>7</v>
      </c>
      <c r="X1843" s="16">
        <f t="shared" si="207"/>
        <v>2</v>
      </c>
      <c r="Y1843" s="15"/>
      <c r="Z1843" s="177"/>
      <c r="AA1843" s="170"/>
      <c r="AB1843" s="170"/>
      <c r="AC1843" s="170"/>
      <c r="AD1843" s="170"/>
      <c r="AE1843" s="15"/>
      <c r="AF1843" s="177"/>
      <c r="AG1843" s="177">
        <f t="shared" si="208"/>
        <v>0</v>
      </c>
      <c r="AH1843" s="177">
        <f t="shared" si="209"/>
        <v>0</v>
      </c>
      <c r="AK1843" s="176"/>
      <c r="AL1843" s="176"/>
    </row>
    <row r="1844" spans="1:38" ht="36" customHeight="1" x14ac:dyDescent="0.2">
      <c r="A1844" s="176"/>
      <c r="B1844" s="212"/>
      <c r="C1844" s="14"/>
      <c r="D1844" s="14"/>
      <c r="E1844" s="14"/>
      <c r="F1844" s="14"/>
      <c r="G1844" s="179">
        <v>681843</v>
      </c>
      <c r="H1844" s="176"/>
      <c r="I1844" s="176"/>
      <c r="J1844" s="176"/>
      <c r="K1844" s="176"/>
      <c r="L1844" s="40"/>
      <c r="M1844" s="40"/>
      <c r="N1844" s="14"/>
      <c r="O1844" s="14"/>
      <c r="P1844" s="14"/>
      <c r="Q1844" s="14"/>
      <c r="R1844" s="17"/>
      <c r="S1844" s="172"/>
      <c r="T1844" s="17"/>
      <c r="U1844" s="14"/>
      <c r="V1844" s="16">
        <f t="shared" si="205"/>
        <v>0</v>
      </c>
      <c r="W1844" s="16">
        <f t="shared" si="206"/>
        <v>7</v>
      </c>
      <c r="X1844" s="16">
        <f t="shared" si="207"/>
        <v>2</v>
      </c>
      <c r="Y1844" s="15"/>
      <c r="Z1844" s="177"/>
      <c r="AA1844" s="170"/>
      <c r="AB1844" s="170"/>
      <c r="AC1844" s="170"/>
      <c r="AD1844" s="170"/>
      <c r="AE1844" s="15"/>
      <c r="AF1844" s="177"/>
      <c r="AG1844" s="177">
        <f t="shared" si="208"/>
        <v>0</v>
      </c>
      <c r="AH1844" s="177">
        <f t="shared" si="209"/>
        <v>0</v>
      </c>
      <c r="AK1844" s="176"/>
      <c r="AL1844" s="176"/>
    </row>
    <row r="1845" spans="1:38" ht="36" customHeight="1" x14ac:dyDescent="0.2">
      <c r="A1845" s="176"/>
      <c r="B1845" s="212"/>
      <c r="C1845" s="14"/>
      <c r="D1845" s="14"/>
      <c r="E1845" s="14"/>
      <c r="F1845" s="14"/>
      <c r="G1845" s="179">
        <v>681844</v>
      </c>
      <c r="H1845" s="176"/>
      <c r="I1845" s="176"/>
      <c r="J1845" s="176"/>
      <c r="K1845" s="176"/>
      <c r="L1845" s="40"/>
      <c r="M1845" s="40"/>
      <c r="N1845" s="14"/>
      <c r="O1845" s="14"/>
      <c r="P1845" s="14"/>
      <c r="Q1845" s="14"/>
      <c r="R1845" s="17"/>
      <c r="S1845" s="172"/>
      <c r="T1845" s="17"/>
      <c r="U1845" s="14"/>
      <c r="V1845" s="16">
        <f t="shared" si="205"/>
        <v>0</v>
      </c>
      <c r="W1845" s="16">
        <f t="shared" si="206"/>
        <v>7</v>
      </c>
      <c r="X1845" s="16">
        <f t="shared" si="207"/>
        <v>2</v>
      </c>
      <c r="Y1845" s="15"/>
      <c r="Z1845" s="177"/>
      <c r="AA1845" s="170"/>
      <c r="AB1845" s="170"/>
      <c r="AC1845" s="170"/>
      <c r="AD1845" s="170"/>
      <c r="AE1845" s="15"/>
      <c r="AF1845" s="177"/>
      <c r="AG1845" s="177">
        <f t="shared" si="208"/>
        <v>0</v>
      </c>
      <c r="AH1845" s="177">
        <f t="shared" si="209"/>
        <v>0</v>
      </c>
      <c r="AK1845" s="176"/>
      <c r="AL1845" s="176"/>
    </row>
    <row r="1846" spans="1:38" ht="36" customHeight="1" x14ac:dyDescent="0.2">
      <c r="A1846" s="176"/>
      <c r="B1846" s="212"/>
      <c r="C1846" s="14"/>
      <c r="D1846" s="14"/>
      <c r="E1846" s="14"/>
      <c r="F1846" s="14"/>
      <c r="G1846" s="179">
        <v>681845</v>
      </c>
      <c r="H1846" s="176"/>
      <c r="I1846" s="176"/>
      <c r="J1846" s="176"/>
      <c r="K1846" s="176"/>
      <c r="L1846" s="40"/>
      <c r="M1846" s="40"/>
      <c r="N1846" s="14"/>
      <c r="O1846" s="14"/>
      <c r="P1846" s="14"/>
      <c r="Q1846" s="14"/>
      <c r="R1846" s="17"/>
      <c r="S1846" s="172"/>
      <c r="T1846" s="17"/>
      <c r="U1846" s="14"/>
      <c r="V1846" s="16">
        <f t="shared" si="205"/>
        <v>0</v>
      </c>
      <c r="W1846" s="16">
        <f t="shared" si="206"/>
        <v>7</v>
      </c>
      <c r="X1846" s="16">
        <f t="shared" si="207"/>
        <v>2</v>
      </c>
      <c r="Y1846" s="15"/>
      <c r="Z1846" s="177"/>
      <c r="AA1846" s="170"/>
      <c r="AB1846" s="170"/>
      <c r="AC1846" s="170"/>
      <c r="AD1846" s="170"/>
      <c r="AE1846" s="15"/>
      <c r="AF1846" s="177"/>
      <c r="AG1846" s="177">
        <f t="shared" si="208"/>
        <v>0</v>
      </c>
      <c r="AH1846" s="177">
        <f t="shared" si="209"/>
        <v>0</v>
      </c>
      <c r="AK1846" s="176"/>
      <c r="AL1846" s="176"/>
    </row>
    <row r="1847" spans="1:38" ht="36" customHeight="1" x14ac:dyDescent="0.2">
      <c r="A1847" s="176"/>
      <c r="B1847" s="212"/>
      <c r="C1847" s="14"/>
      <c r="D1847" s="14"/>
      <c r="E1847" s="14"/>
      <c r="F1847" s="14"/>
      <c r="G1847" s="179">
        <v>681846</v>
      </c>
      <c r="H1847" s="176"/>
      <c r="I1847" s="176"/>
      <c r="J1847" s="176"/>
      <c r="K1847" s="176"/>
      <c r="L1847" s="40"/>
      <c r="M1847" s="40"/>
      <c r="N1847" s="14"/>
      <c r="O1847" s="14"/>
      <c r="P1847" s="14"/>
      <c r="Q1847" s="14"/>
      <c r="R1847" s="17"/>
      <c r="S1847" s="172"/>
      <c r="T1847" s="17"/>
      <c r="U1847" s="14"/>
      <c r="V1847" s="16">
        <f t="shared" si="205"/>
        <v>0</v>
      </c>
      <c r="W1847" s="16">
        <f t="shared" si="206"/>
        <v>7</v>
      </c>
      <c r="X1847" s="16">
        <f t="shared" si="207"/>
        <v>2</v>
      </c>
      <c r="Y1847" s="15"/>
      <c r="Z1847" s="177"/>
      <c r="AA1847" s="170"/>
      <c r="AB1847" s="170"/>
      <c r="AC1847" s="170"/>
      <c r="AD1847" s="170"/>
      <c r="AE1847" s="15"/>
      <c r="AF1847" s="177"/>
      <c r="AG1847" s="177">
        <f t="shared" si="208"/>
        <v>0</v>
      </c>
      <c r="AH1847" s="177">
        <f t="shared" si="209"/>
        <v>0</v>
      </c>
      <c r="AK1847" s="176"/>
      <c r="AL1847" s="176"/>
    </row>
    <row r="1848" spans="1:38" ht="36" customHeight="1" x14ac:dyDescent="0.2">
      <c r="A1848" s="176"/>
      <c r="B1848" s="212"/>
      <c r="C1848" s="14"/>
      <c r="D1848" s="14"/>
      <c r="E1848" s="14"/>
      <c r="F1848" s="14"/>
      <c r="G1848" s="179">
        <v>681847</v>
      </c>
      <c r="H1848" s="176"/>
      <c r="I1848" s="176"/>
      <c r="J1848" s="176"/>
      <c r="K1848" s="176"/>
      <c r="L1848" s="40"/>
      <c r="M1848" s="40"/>
      <c r="N1848" s="14"/>
      <c r="O1848" s="14"/>
      <c r="P1848" s="14"/>
      <c r="Q1848" s="14"/>
      <c r="R1848" s="17"/>
      <c r="S1848" s="172"/>
      <c r="T1848" s="17"/>
      <c r="U1848" s="14"/>
      <c r="V1848" s="16">
        <f t="shared" si="205"/>
        <v>0</v>
      </c>
      <c r="W1848" s="16">
        <f t="shared" si="206"/>
        <v>7</v>
      </c>
      <c r="X1848" s="16">
        <f t="shared" si="207"/>
        <v>2</v>
      </c>
      <c r="Y1848" s="15"/>
      <c r="Z1848" s="177"/>
      <c r="AA1848" s="170"/>
      <c r="AB1848" s="170"/>
      <c r="AC1848" s="170"/>
      <c r="AD1848" s="170"/>
      <c r="AE1848" s="15"/>
      <c r="AF1848" s="177"/>
      <c r="AG1848" s="177">
        <f t="shared" si="208"/>
        <v>0</v>
      </c>
      <c r="AH1848" s="177">
        <f t="shared" si="209"/>
        <v>0</v>
      </c>
      <c r="AK1848" s="176"/>
      <c r="AL1848" s="176"/>
    </row>
    <row r="1849" spans="1:38" ht="36" customHeight="1" x14ac:dyDescent="0.2">
      <c r="A1849" s="176"/>
      <c r="B1849" s="212"/>
      <c r="C1849" s="14"/>
      <c r="D1849" s="14"/>
      <c r="E1849" s="14"/>
      <c r="F1849" s="14"/>
      <c r="G1849" s="179">
        <v>681848</v>
      </c>
      <c r="H1849" s="176"/>
      <c r="I1849" s="176"/>
      <c r="J1849" s="176"/>
      <c r="K1849" s="176"/>
      <c r="L1849" s="40"/>
      <c r="M1849" s="40"/>
      <c r="N1849" s="14"/>
      <c r="O1849" s="14"/>
      <c r="P1849" s="14"/>
      <c r="Q1849" s="14"/>
      <c r="R1849" s="17"/>
      <c r="S1849" s="172"/>
      <c r="T1849" s="17"/>
      <c r="U1849" s="14"/>
      <c r="V1849" s="16">
        <f t="shared" si="205"/>
        <v>0</v>
      </c>
      <c r="W1849" s="16">
        <f t="shared" si="206"/>
        <v>7</v>
      </c>
      <c r="X1849" s="16">
        <f t="shared" si="207"/>
        <v>2</v>
      </c>
      <c r="Y1849" s="15"/>
      <c r="Z1849" s="177"/>
      <c r="AA1849" s="170"/>
      <c r="AB1849" s="170"/>
      <c r="AC1849" s="170"/>
      <c r="AD1849" s="170"/>
      <c r="AE1849" s="15"/>
      <c r="AF1849" s="177"/>
      <c r="AG1849" s="177">
        <f t="shared" si="208"/>
        <v>0</v>
      </c>
      <c r="AH1849" s="177">
        <f t="shared" si="209"/>
        <v>0</v>
      </c>
      <c r="AK1849" s="176"/>
      <c r="AL1849" s="176"/>
    </row>
    <row r="1850" spans="1:38" ht="36" customHeight="1" x14ac:dyDescent="0.2">
      <c r="A1850" s="176"/>
      <c r="B1850" s="212"/>
      <c r="C1850" s="14"/>
      <c r="D1850" s="14"/>
      <c r="E1850" s="14"/>
      <c r="F1850" s="14"/>
      <c r="G1850" s="179">
        <v>681849</v>
      </c>
      <c r="H1850" s="176"/>
      <c r="I1850" s="176"/>
      <c r="J1850" s="176"/>
      <c r="K1850" s="176"/>
      <c r="L1850" s="40"/>
      <c r="M1850" s="40"/>
      <c r="N1850" s="14"/>
      <c r="O1850" s="14"/>
      <c r="P1850" s="14"/>
      <c r="Q1850" s="14"/>
      <c r="R1850" s="17"/>
      <c r="S1850" s="172"/>
      <c r="T1850" s="17"/>
      <c r="U1850" s="14"/>
      <c r="V1850" s="16">
        <f t="shared" si="205"/>
        <v>0</v>
      </c>
      <c r="W1850" s="16">
        <f t="shared" si="206"/>
        <v>7</v>
      </c>
      <c r="X1850" s="16">
        <f t="shared" si="207"/>
        <v>2</v>
      </c>
      <c r="Y1850" s="15"/>
      <c r="Z1850" s="177"/>
      <c r="AA1850" s="170"/>
      <c r="AB1850" s="170"/>
      <c r="AC1850" s="170"/>
      <c r="AD1850" s="170"/>
      <c r="AE1850" s="15"/>
      <c r="AF1850" s="177"/>
      <c r="AG1850" s="177">
        <f t="shared" si="208"/>
        <v>0</v>
      </c>
      <c r="AH1850" s="177">
        <f t="shared" si="209"/>
        <v>0</v>
      </c>
      <c r="AK1850" s="176"/>
      <c r="AL1850" s="176"/>
    </row>
    <row r="1851" spans="1:38" ht="36" customHeight="1" x14ac:dyDescent="0.2">
      <c r="A1851" s="176"/>
      <c r="B1851" s="212"/>
      <c r="C1851" s="14"/>
      <c r="D1851" s="14"/>
      <c r="E1851" s="14"/>
      <c r="F1851" s="14"/>
      <c r="G1851" s="179">
        <v>681850</v>
      </c>
      <c r="H1851" s="176"/>
      <c r="I1851" s="176"/>
      <c r="J1851" s="176"/>
      <c r="K1851" s="176"/>
      <c r="L1851" s="40"/>
      <c r="M1851" s="40"/>
      <c r="N1851" s="14"/>
      <c r="O1851" s="14"/>
      <c r="P1851" s="14"/>
      <c r="Q1851" s="14"/>
      <c r="R1851" s="17"/>
      <c r="S1851" s="172"/>
      <c r="T1851" s="17"/>
      <c r="U1851" s="14"/>
      <c r="V1851" s="16">
        <f t="shared" si="205"/>
        <v>0</v>
      </c>
      <c r="W1851" s="16">
        <f t="shared" si="206"/>
        <v>7</v>
      </c>
      <c r="X1851" s="16">
        <f t="shared" si="207"/>
        <v>2</v>
      </c>
      <c r="Y1851" s="15"/>
      <c r="Z1851" s="177"/>
      <c r="AA1851" s="170"/>
      <c r="AB1851" s="170"/>
      <c r="AC1851" s="170"/>
      <c r="AD1851" s="170"/>
      <c r="AE1851" s="15"/>
      <c r="AF1851" s="177"/>
      <c r="AG1851" s="177">
        <f t="shared" si="208"/>
        <v>0</v>
      </c>
      <c r="AH1851" s="177">
        <f t="shared" si="209"/>
        <v>0</v>
      </c>
      <c r="AK1851" s="176"/>
      <c r="AL1851" s="176"/>
    </row>
    <row r="1852" spans="1:38" ht="36" customHeight="1" x14ac:dyDescent="0.2">
      <c r="A1852" s="176"/>
      <c r="B1852" s="212"/>
      <c r="C1852" s="14"/>
      <c r="D1852" s="14"/>
      <c r="E1852" s="14"/>
      <c r="F1852" s="14"/>
      <c r="G1852" s="179">
        <v>681851</v>
      </c>
      <c r="H1852" s="176"/>
      <c r="I1852" s="176"/>
      <c r="J1852" s="176"/>
      <c r="K1852" s="176"/>
      <c r="L1852" s="40"/>
      <c r="M1852" s="40"/>
      <c r="N1852" s="14"/>
      <c r="O1852" s="14"/>
      <c r="P1852" s="14"/>
      <c r="Q1852" s="14"/>
      <c r="R1852" s="17"/>
      <c r="S1852" s="172"/>
      <c r="T1852" s="17"/>
      <c r="U1852" s="14"/>
      <c r="V1852" s="16">
        <f t="shared" si="205"/>
        <v>0</v>
      </c>
      <c r="W1852" s="16">
        <f t="shared" si="206"/>
        <v>7</v>
      </c>
      <c r="X1852" s="16">
        <f t="shared" si="207"/>
        <v>2</v>
      </c>
      <c r="Y1852" s="15"/>
      <c r="Z1852" s="177"/>
      <c r="AA1852" s="170"/>
      <c r="AB1852" s="170"/>
      <c r="AC1852" s="170"/>
      <c r="AD1852" s="170"/>
      <c r="AE1852" s="15"/>
      <c r="AF1852" s="177"/>
      <c r="AG1852" s="177">
        <f t="shared" si="208"/>
        <v>0</v>
      </c>
      <c r="AH1852" s="177">
        <f t="shared" si="209"/>
        <v>0</v>
      </c>
      <c r="AK1852" s="176"/>
      <c r="AL1852" s="176"/>
    </row>
    <row r="1853" spans="1:38" ht="36" customHeight="1" x14ac:dyDescent="0.2">
      <c r="A1853" s="176"/>
      <c r="B1853" s="212"/>
      <c r="C1853" s="14"/>
      <c r="D1853" s="14"/>
      <c r="E1853" s="14"/>
      <c r="F1853" s="14"/>
      <c r="G1853" s="179">
        <v>681852</v>
      </c>
      <c r="H1853" s="176"/>
      <c r="I1853" s="176"/>
      <c r="J1853" s="176"/>
      <c r="K1853" s="176"/>
      <c r="L1853" s="40"/>
      <c r="M1853" s="40"/>
      <c r="N1853" s="14"/>
      <c r="O1853" s="14"/>
      <c r="P1853" s="14"/>
      <c r="Q1853" s="14"/>
      <c r="R1853" s="17"/>
      <c r="S1853" s="172"/>
      <c r="T1853" s="17"/>
      <c r="U1853" s="14"/>
      <c r="V1853" s="16">
        <f t="shared" si="205"/>
        <v>0</v>
      </c>
      <c r="W1853" s="16">
        <f t="shared" si="206"/>
        <v>7</v>
      </c>
      <c r="X1853" s="16">
        <f t="shared" si="207"/>
        <v>2</v>
      </c>
      <c r="Y1853" s="15"/>
      <c r="Z1853" s="177"/>
      <c r="AA1853" s="170"/>
      <c r="AB1853" s="170"/>
      <c r="AC1853" s="170"/>
      <c r="AD1853" s="170"/>
      <c r="AE1853" s="15"/>
      <c r="AF1853" s="177"/>
      <c r="AG1853" s="177">
        <f t="shared" si="208"/>
        <v>0</v>
      </c>
      <c r="AH1853" s="177">
        <f t="shared" si="209"/>
        <v>0</v>
      </c>
      <c r="AK1853" s="176"/>
      <c r="AL1853" s="176"/>
    </row>
    <row r="1854" spans="1:38" ht="36" customHeight="1" x14ac:dyDescent="0.2">
      <c r="A1854" s="176"/>
      <c r="B1854" s="212"/>
      <c r="C1854" s="14"/>
      <c r="D1854" s="14"/>
      <c r="E1854" s="14"/>
      <c r="F1854" s="14"/>
      <c r="G1854" s="179">
        <v>681853</v>
      </c>
      <c r="H1854" s="176"/>
      <c r="I1854" s="176"/>
      <c r="J1854" s="176"/>
      <c r="K1854" s="176"/>
      <c r="L1854" s="40"/>
      <c r="M1854" s="40"/>
      <c r="N1854" s="14"/>
      <c r="O1854" s="14"/>
      <c r="P1854" s="14"/>
      <c r="Q1854" s="14"/>
      <c r="R1854" s="17"/>
      <c r="S1854" s="172"/>
      <c r="T1854" s="17"/>
      <c r="U1854" s="14"/>
      <c r="V1854" s="16">
        <f t="shared" si="205"/>
        <v>0</v>
      </c>
      <c r="W1854" s="16">
        <f t="shared" si="206"/>
        <v>7</v>
      </c>
      <c r="X1854" s="16">
        <f t="shared" si="207"/>
        <v>2</v>
      </c>
      <c r="Y1854" s="15"/>
      <c r="Z1854" s="177"/>
      <c r="AA1854" s="170"/>
      <c r="AB1854" s="170"/>
      <c r="AC1854" s="170"/>
      <c r="AD1854" s="170"/>
      <c r="AE1854" s="15"/>
      <c r="AF1854" s="177"/>
      <c r="AG1854" s="177">
        <f t="shared" si="208"/>
        <v>0</v>
      </c>
      <c r="AH1854" s="177">
        <f t="shared" si="209"/>
        <v>0</v>
      </c>
      <c r="AK1854" s="176"/>
      <c r="AL1854" s="176"/>
    </row>
    <row r="1855" spans="1:38" ht="36" customHeight="1" x14ac:dyDescent="0.2">
      <c r="A1855" s="176"/>
      <c r="B1855" s="212"/>
      <c r="C1855" s="14"/>
      <c r="D1855" s="14"/>
      <c r="E1855" s="14"/>
      <c r="F1855" s="14"/>
      <c r="G1855" s="179">
        <v>681854</v>
      </c>
      <c r="H1855" s="176"/>
      <c r="I1855" s="176"/>
      <c r="J1855" s="176"/>
      <c r="K1855" s="176"/>
      <c r="L1855" s="40"/>
      <c r="M1855" s="40"/>
      <c r="N1855" s="14"/>
      <c r="O1855" s="14"/>
      <c r="P1855" s="14"/>
      <c r="Q1855" s="14"/>
      <c r="R1855" s="17"/>
      <c r="S1855" s="172"/>
      <c r="T1855" s="17"/>
      <c r="U1855" s="14"/>
      <c r="V1855" s="16">
        <f t="shared" si="205"/>
        <v>0</v>
      </c>
      <c r="W1855" s="16">
        <f t="shared" si="206"/>
        <v>7</v>
      </c>
      <c r="X1855" s="16">
        <f t="shared" si="207"/>
        <v>2</v>
      </c>
      <c r="Y1855" s="15"/>
      <c r="Z1855" s="177"/>
      <c r="AA1855" s="170"/>
      <c r="AB1855" s="170"/>
      <c r="AC1855" s="170"/>
      <c r="AD1855" s="170"/>
      <c r="AE1855" s="15"/>
      <c r="AF1855" s="177"/>
      <c r="AG1855" s="177">
        <f t="shared" si="208"/>
        <v>0</v>
      </c>
      <c r="AH1855" s="177">
        <f t="shared" si="209"/>
        <v>0</v>
      </c>
      <c r="AK1855" s="176"/>
      <c r="AL1855" s="176"/>
    </row>
    <row r="1856" spans="1:38" ht="36" customHeight="1" x14ac:dyDescent="0.2">
      <c r="A1856" s="176"/>
      <c r="B1856" s="212"/>
      <c r="C1856" s="14"/>
      <c r="D1856" s="14"/>
      <c r="E1856" s="14"/>
      <c r="F1856" s="14"/>
      <c r="G1856" s="179">
        <v>681855</v>
      </c>
      <c r="H1856" s="176"/>
      <c r="I1856" s="176"/>
      <c r="J1856" s="176"/>
      <c r="K1856" s="176"/>
      <c r="L1856" s="40"/>
      <c r="M1856" s="40"/>
      <c r="N1856" s="14"/>
      <c r="O1856" s="14"/>
      <c r="P1856" s="14"/>
      <c r="Q1856" s="14"/>
      <c r="R1856" s="17"/>
      <c r="S1856" s="172"/>
      <c r="T1856" s="17"/>
      <c r="U1856" s="14"/>
      <c r="V1856" s="16">
        <f t="shared" si="205"/>
        <v>0</v>
      </c>
      <c r="W1856" s="16">
        <f t="shared" si="206"/>
        <v>7</v>
      </c>
      <c r="X1856" s="16">
        <f t="shared" si="207"/>
        <v>2</v>
      </c>
      <c r="Y1856" s="15"/>
      <c r="Z1856" s="177"/>
      <c r="AA1856" s="170"/>
      <c r="AB1856" s="170"/>
      <c r="AC1856" s="170"/>
      <c r="AD1856" s="170"/>
      <c r="AE1856" s="15"/>
      <c r="AF1856" s="177"/>
      <c r="AG1856" s="177">
        <f t="shared" si="208"/>
        <v>0</v>
      </c>
      <c r="AH1856" s="177">
        <f t="shared" si="209"/>
        <v>0</v>
      </c>
      <c r="AK1856" s="176"/>
      <c r="AL1856" s="176"/>
    </row>
    <row r="1857" spans="1:38" ht="36" customHeight="1" x14ac:dyDescent="0.2">
      <c r="A1857" s="176"/>
      <c r="B1857" s="212"/>
      <c r="C1857" s="14"/>
      <c r="D1857" s="14"/>
      <c r="E1857" s="14"/>
      <c r="F1857" s="14"/>
      <c r="G1857" s="179">
        <v>681856</v>
      </c>
      <c r="H1857" s="176"/>
      <c r="I1857" s="176"/>
      <c r="J1857" s="176"/>
      <c r="K1857" s="176"/>
      <c r="L1857" s="40"/>
      <c r="M1857" s="40"/>
      <c r="N1857" s="14"/>
      <c r="O1857" s="14"/>
      <c r="P1857" s="14"/>
      <c r="Q1857" s="14"/>
      <c r="R1857" s="17"/>
      <c r="S1857" s="172"/>
      <c r="T1857" s="17"/>
      <c r="U1857" s="14"/>
      <c r="V1857" s="16">
        <f t="shared" ref="V1857:V1920" si="210">B1857</f>
        <v>0</v>
      </c>
      <c r="W1857" s="16">
        <f t="shared" ref="W1857:W1920" si="211">B1857+7</f>
        <v>7</v>
      </c>
      <c r="X1857" s="16">
        <f t="shared" ref="X1857:X1920" si="212">V1857+2</f>
        <v>2</v>
      </c>
      <c r="Y1857" s="15"/>
      <c r="Z1857" s="177"/>
      <c r="AA1857" s="170"/>
      <c r="AB1857" s="170"/>
      <c r="AC1857" s="170"/>
      <c r="AD1857" s="170"/>
      <c r="AE1857" s="15"/>
      <c r="AF1857" s="177"/>
      <c r="AG1857" s="177">
        <f t="shared" ref="AG1857:AG1920" si="213">AE1857</f>
        <v>0</v>
      </c>
      <c r="AH1857" s="177">
        <f t="shared" ref="AH1857:AH1920" si="214">AF1857</f>
        <v>0</v>
      </c>
      <c r="AK1857" s="176"/>
      <c r="AL1857" s="176"/>
    </row>
    <row r="1858" spans="1:38" ht="36" customHeight="1" x14ac:dyDescent="0.2">
      <c r="A1858" s="176"/>
      <c r="B1858" s="212"/>
      <c r="C1858" s="14"/>
      <c r="D1858" s="14"/>
      <c r="E1858" s="14"/>
      <c r="F1858" s="14"/>
      <c r="G1858" s="179">
        <v>681857</v>
      </c>
      <c r="H1858" s="176"/>
      <c r="I1858" s="176"/>
      <c r="J1858" s="176"/>
      <c r="K1858" s="176"/>
      <c r="L1858" s="40"/>
      <c r="M1858" s="40"/>
      <c r="N1858" s="14"/>
      <c r="O1858" s="14"/>
      <c r="P1858" s="14"/>
      <c r="Q1858" s="14"/>
      <c r="R1858" s="17"/>
      <c r="S1858" s="172"/>
      <c r="T1858" s="17"/>
      <c r="U1858" s="14"/>
      <c r="V1858" s="16">
        <f t="shared" si="210"/>
        <v>0</v>
      </c>
      <c r="W1858" s="16">
        <f t="shared" si="211"/>
        <v>7</v>
      </c>
      <c r="X1858" s="16">
        <f t="shared" si="212"/>
        <v>2</v>
      </c>
      <c r="Y1858" s="15"/>
      <c r="Z1858" s="177"/>
      <c r="AA1858" s="170"/>
      <c r="AB1858" s="170"/>
      <c r="AC1858" s="170"/>
      <c r="AD1858" s="170"/>
      <c r="AE1858" s="15"/>
      <c r="AF1858" s="177"/>
      <c r="AG1858" s="177">
        <f t="shared" si="213"/>
        <v>0</v>
      </c>
      <c r="AH1858" s="177">
        <f t="shared" si="214"/>
        <v>0</v>
      </c>
      <c r="AK1858" s="176"/>
      <c r="AL1858" s="176"/>
    </row>
    <row r="1859" spans="1:38" ht="36" customHeight="1" x14ac:dyDescent="0.2">
      <c r="A1859" s="176"/>
      <c r="B1859" s="212"/>
      <c r="C1859" s="14"/>
      <c r="D1859" s="14"/>
      <c r="E1859" s="14"/>
      <c r="F1859" s="14"/>
      <c r="G1859" s="179">
        <v>681858</v>
      </c>
      <c r="H1859" s="176"/>
      <c r="I1859" s="176"/>
      <c r="J1859" s="176"/>
      <c r="K1859" s="176"/>
      <c r="L1859" s="40"/>
      <c r="M1859" s="40"/>
      <c r="N1859" s="14"/>
      <c r="O1859" s="14"/>
      <c r="P1859" s="14"/>
      <c r="Q1859" s="14"/>
      <c r="R1859" s="17"/>
      <c r="S1859" s="172"/>
      <c r="T1859" s="17"/>
      <c r="U1859" s="14"/>
      <c r="V1859" s="16">
        <f t="shared" si="210"/>
        <v>0</v>
      </c>
      <c r="W1859" s="16">
        <f t="shared" si="211"/>
        <v>7</v>
      </c>
      <c r="X1859" s="16">
        <f t="shared" si="212"/>
        <v>2</v>
      </c>
      <c r="Y1859" s="15"/>
      <c r="Z1859" s="177"/>
      <c r="AA1859" s="170"/>
      <c r="AB1859" s="170"/>
      <c r="AC1859" s="170"/>
      <c r="AD1859" s="170"/>
      <c r="AE1859" s="15"/>
      <c r="AF1859" s="177"/>
      <c r="AG1859" s="177">
        <f t="shared" si="213"/>
        <v>0</v>
      </c>
      <c r="AH1859" s="177">
        <f t="shared" si="214"/>
        <v>0</v>
      </c>
      <c r="AK1859" s="176"/>
      <c r="AL1859" s="176"/>
    </row>
    <row r="1860" spans="1:38" ht="36" customHeight="1" x14ac:dyDescent="0.2">
      <c r="A1860" s="176"/>
      <c r="B1860" s="212"/>
      <c r="C1860" s="14"/>
      <c r="D1860" s="14"/>
      <c r="E1860" s="14"/>
      <c r="F1860" s="14"/>
      <c r="G1860" s="179">
        <v>681859</v>
      </c>
      <c r="H1860" s="176"/>
      <c r="I1860" s="176"/>
      <c r="J1860" s="176"/>
      <c r="K1860" s="176"/>
      <c r="L1860" s="40"/>
      <c r="M1860" s="40"/>
      <c r="N1860" s="14"/>
      <c r="O1860" s="14"/>
      <c r="P1860" s="14"/>
      <c r="Q1860" s="14"/>
      <c r="R1860" s="17"/>
      <c r="S1860" s="172"/>
      <c r="T1860" s="17"/>
      <c r="U1860" s="14"/>
      <c r="V1860" s="16">
        <f t="shared" si="210"/>
        <v>0</v>
      </c>
      <c r="W1860" s="16">
        <f t="shared" si="211"/>
        <v>7</v>
      </c>
      <c r="X1860" s="16">
        <f t="shared" si="212"/>
        <v>2</v>
      </c>
      <c r="Y1860" s="15"/>
      <c r="Z1860" s="177"/>
      <c r="AA1860" s="170"/>
      <c r="AB1860" s="170"/>
      <c r="AC1860" s="170"/>
      <c r="AD1860" s="170"/>
      <c r="AE1860" s="15"/>
      <c r="AF1860" s="177"/>
      <c r="AG1860" s="177">
        <f t="shared" si="213"/>
        <v>0</v>
      </c>
      <c r="AH1860" s="177">
        <f t="shared" si="214"/>
        <v>0</v>
      </c>
      <c r="AK1860" s="176"/>
      <c r="AL1860" s="176"/>
    </row>
    <row r="1861" spans="1:38" ht="36" customHeight="1" x14ac:dyDescent="0.2">
      <c r="A1861" s="176"/>
      <c r="B1861" s="212"/>
      <c r="C1861" s="14"/>
      <c r="D1861" s="14"/>
      <c r="E1861" s="14"/>
      <c r="F1861" s="14"/>
      <c r="G1861" s="179">
        <v>681860</v>
      </c>
      <c r="H1861" s="176"/>
      <c r="I1861" s="176"/>
      <c r="J1861" s="176"/>
      <c r="K1861" s="176"/>
      <c r="L1861" s="40"/>
      <c r="M1861" s="40"/>
      <c r="N1861" s="14"/>
      <c r="O1861" s="14"/>
      <c r="P1861" s="14"/>
      <c r="Q1861" s="14"/>
      <c r="R1861" s="17"/>
      <c r="S1861" s="172"/>
      <c r="T1861" s="17"/>
      <c r="U1861" s="14"/>
      <c r="V1861" s="16">
        <f t="shared" si="210"/>
        <v>0</v>
      </c>
      <c r="W1861" s="16">
        <f t="shared" si="211"/>
        <v>7</v>
      </c>
      <c r="X1861" s="16">
        <f t="shared" si="212"/>
        <v>2</v>
      </c>
      <c r="Y1861" s="15"/>
      <c r="Z1861" s="177"/>
      <c r="AA1861" s="170"/>
      <c r="AB1861" s="170"/>
      <c r="AC1861" s="170"/>
      <c r="AD1861" s="170"/>
      <c r="AE1861" s="15"/>
      <c r="AF1861" s="177"/>
      <c r="AG1861" s="177">
        <f t="shared" si="213"/>
        <v>0</v>
      </c>
      <c r="AH1861" s="177">
        <f t="shared" si="214"/>
        <v>0</v>
      </c>
      <c r="AK1861" s="176"/>
      <c r="AL1861" s="176"/>
    </row>
    <row r="1862" spans="1:38" ht="36" customHeight="1" x14ac:dyDescent="0.2">
      <c r="A1862" s="176"/>
      <c r="B1862" s="212"/>
      <c r="C1862" s="14"/>
      <c r="D1862" s="14"/>
      <c r="E1862" s="14"/>
      <c r="F1862" s="14"/>
      <c r="G1862" s="179">
        <v>681861</v>
      </c>
      <c r="H1862" s="176"/>
      <c r="I1862" s="176"/>
      <c r="J1862" s="176"/>
      <c r="K1862" s="176"/>
      <c r="L1862" s="40"/>
      <c r="M1862" s="40"/>
      <c r="N1862" s="14"/>
      <c r="O1862" s="14"/>
      <c r="P1862" s="14"/>
      <c r="Q1862" s="14"/>
      <c r="R1862" s="17"/>
      <c r="S1862" s="172"/>
      <c r="T1862" s="17"/>
      <c r="U1862" s="14"/>
      <c r="V1862" s="16">
        <f t="shared" si="210"/>
        <v>0</v>
      </c>
      <c r="W1862" s="16">
        <f t="shared" si="211"/>
        <v>7</v>
      </c>
      <c r="X1862" s="16">
        <f t="shared" si="212"/>
        <v>2</v>
      </c>
      <c r="Y1862" s="15"/>
      <c r="Z1862" s="177"/>
      <c r="AA1862" s="170"/>
      <c r="AB1862" s="170"/>
      <c r="AC1862" s="170"/>
      <c r="AD1862" s="170"/>
      <c r="AE1862" s="15"/>
      <c r="AF1862" s="177"/>
      <c r="AG1862" s="177">
        <f t="shared" si="213"/>
        <v>0</v>
      </c>
      <c r="AH1862" s="177">
        <f t="shared" si="214"/>
        <v>0</v>
      </c>
      <c r="AK1862" s="176"/>
      <c r="AL1862" s="176"/>
    </row>
    <row r="1863" spans="1:38" ht="36" customHeight="1" x14ac:dyDescent="0.2">
      <c r="A1863" s="176"/>
      <c r="B1863" s="212"/>
      <c r="C1863" s="14"/>
      <c r="D1863" s="14"/>
      <c r="E1863" s="14"/>
      <c r="F1863" s="14"/>
      <c r="G1863" s="179">
        <v>681862</v>
      </c>
      <c r="H1863" s="176"/>
      <c r="I1863" s="176"/>
      <c r="J1863" s="176"/>
      <c r="K1863" s="176"/>
      <c r="L1863" s="40"/>
      <c r="M1863" s="40"/>
      <c r="N1863" s="14"/>
      <c r="O1863" s="14"/>
      <c r="P1863" s="14"/>
      <c r="Q1863" s="14"/>
      <c r="R1863" s="17"/>
      <c r="S1863" s="172"/>
      <c r="T1863" s="17"/>
      <c r="U1863" s="14"/>
      <c r="V1863" s="16">
        <f t="shared" si="210"/>
        <v>0</v>
      </c>
      <c r="W1863" s="16">
        <f t="shared" si="211"/>
        <v>7</v>
      </c>
      <c r="X1863" s="16">
        <f t="shared" si="212"/>
        <v>2</v>
      </c>
      <c r="Y1863" s="15"/>
      <c r="Z1863" s="177"/>
      <c r="AA1863" s="170"/>
      <c r="AB1863" s="170"/>
      <c r="AC1863" s="170"/>
      <c r="AD1863" s="170"/>
      <c r="AE1863" s="15"/>
      <c r="AF1863" s="177"/>
      <c r="AG1863" s="177">
        <f t="shared" si="213"/>
        <v>0</v>
      </c>
      <c r="AH1863" s="177">
        <f t="shared" si="214"/>
        <v>0</v>
      </c>
      <c r="AK1863" s="176"/>
      <c r="AL1863" s="176"/>
    </row>
    <row r="1864" spans="1:38" ht="36" customHeight="1" x14ac:dyDescent="0.2">
      <c r="A1864" s="176"/>
      <c r="B1864" s="212"/>
      <c r="C1864" s="14"/>
      <c r="D1864" s="14"/>
      <c r="E1864" s="14"/>
      <c r="F1864" s="14"/>
      <c r="G1864" s="179">
        <v>681863</v>
      </c>
      <c r="H1864" s="176"/>
      <c r="I1864" s="176"/>
      <c r="J1864" s="176"/>
      <c r="K1864" s="176"/>
      <c r="L1864" s="40"/>
      <c r="M1864" s="40"/>
      <c r="N1864" s="14"/>
      <c r="O1864" s="14"/>
      <c r="P1864" s="14"/>
      <c r="Q1864" s="14"/>
      <c r="R1864" s="17"/>
      <c r="S1864" s="172"/>
      <c r="T1864" s="17"/>
      <c r="U1864" s="14"/>
      <c r="V1864" s="16">
        <f t="shared" si="210"/>
        <v>0</v>
      </c>
      <c r="W1864" s="16">
        <f t="shared" si="211"/>
        <v>7</v>
      </c>
      <c r="X1864" s="16">
        <f t="shared" si="212"/>
        <v>2</v>
      </c>
      <c r="Y1864" s="15"/>
      <c r="Z1864" s="177"/>
      <c r="AA1864" s="170"/>
      <c r="AB1864" s="170"/>
      <c r="AC1864" s="170"/>
      <c r="AD1864" s="170"/>
      <c r="AE1864" s="15"/>
      <c r="AF1864" s="177"/>
      <c r="AG1864" s="177">
        <f t="shared" si="213"/>
        <v>0</v>
      </c>
      <c r="AH1864" s="177">
        <f t="shared" si="214"/>
        <v>0</v>
      </c>
      <c r="AK1864" s="176"/>
      <c r="AL1864" s="176"/>
    </row>
    <row r="1865" spans="1:38" ht="36" customHeight="1" x14ac:dyDescent="0.2">
      <c r="A1865" s="176"/>
      <c r="B1865" s="212"/>
      <c r="C1865" s="14"/>
      <c r="D1865" s="14"/>
      <c r="E1865" s="14"/>
      <c r="F1865" s="14"/>
      <c r="G1865" s="179">
        <v>681864</v>
      </c>
      <c r="H1865" s="176"/>
      <c r="I1865" s="176"/>
      <c r="J1865" s="176"/>
      <c r="K1865" s="176"/>
      <c r="L1865" s="40"/>
      <c r="M1865" s="40"/>
      <c r="N1865" s="14"/>
      <c r="O1865" s="14"/>
      <c r="P1865" s="14"/>
      <c r="Q1865" s="14"/>
      <c r="R1865" s="17"/>
      <c r="S1865" s="172"/>
      <c r="T1865" s="17"/>
      <c r="U1865" s="14"/>
      <c r="V1865" s="16">
        <f t="shared" si="210"/>
        <v>0</v>
      </c>
      <c r="W1865" s="16">
        <f t="shared" si="211"/>
        <v>7</v>
      </c>
      <c r="X1865" s="16">
        <f t="shared" si="212"/>
        <v>2</v>
      </c>
      <c r="Y1865" s="15"/>
      <c r="Z1865" s="177"/>
      <c r="AA1865" s="170"/>
      <c r="AB1865" s="170"/>
      <c r="AC1865" s="170"/>
      <c r="AD1865" s="170"/>
      <c r="AE1865" s="15"/>
      <c r="AF1865" s="177"/>
      <c r="AG1865" s="177">
        <f t="shared" si="213"/>
        <v>0</v>
      </c>
      <c r="AH1865" s="177">
        <f t="shared" si="214"/>
        <v>0</v>
      </c>
      <c r="AK1865" s="176"/>
      <c r="AL1865" s="176"/>
    </row>
    <row r="1866" spans="1:38" ht="36" customHeight="1" x14ac:dyDescent="0.2">
      <c r="A1866" s="176"/>
      <c r="B1866" s="212"/>
      <c r="C1866" s="14"/>
      <c r="D1866" s="14"/>
      <c r="E1866" s="14"/>
      <c r="F1866" s="14"/>
      <c r="G1866" s="179">
        <v>681865</v>
      </c>
      <c r="H1866" s="176"/>
      <c r="I1866" s="176"/>
      <c r="J1866" s="176"/>
      <c r="K1866" s="176"/>
      <c r="L1866" s="40"/>
      <c r="M1866" s="40"/>
      <c r="N1866" s="14"/>
      <c r="O1866" s="14"/>
      <c r="P1866" s="14"/>
      <c r="Q1866" s="14"/>
      <c r="R1866" s="17"/>
      <c r="S1866" s="172"/>
      <c r="T1866" s="17"/>
      <c r="U1866" s="14"/>
      <c r="V1866" s="16">
        <f t="shared" si="210"/>
        <v>0</v>
      </c>
      <c r="W1866" s="16">
        <f t="shared" si="211"/>
        <v>7</v>
      </c>
      <c r="X1866" s="16">
        <f t="shared" si="212"/>
        <v>2</v>
      </c>
      <c r="Y1866" s="15"/>
      <c r="Z1866" s="177"/>
      <c r="AA1866" s="170"/>
      <c r="AB1866" s="170"/>
      <c r="AC1866" s="170"/>
      <c r="AD1866" s="170"/>
      <c r="AE1866" s="15"/>
      <c r="AF1866" s="177"/>
      <c r="AG1866" s="177">
        <f t="shared" si="213"/>
        <v>0</v>
      </c>
      <c r="AH1866" s="177">
        <f t="shared" si="214"/>
        <v>0</v>
      </c>
      <c r="AK1866" s="176"/>
      <c r="AL1866" s="176"/>
    </row>
    <row r="1867" spans="1:38" ht="36" customHeight="1" x14ac:dyDescent="0.2">
      <c r="A1867" s="176"/>
      <c r="B1867" s="212"/>
      <c r="C1867" s="14"/>
      <c r="D1867" s="14"/>
      <c r="E1867" s="14"/>
      <c r="F1867" s="14"/>
      <c r="G1867" s="179">
        <v>681866</v>
      </c>
      <c r="H1867" s="176"/>
      <c r="I1867" s="176"/>
      <c r="J1867" s="176"/>
      <c r="K1867" s="176"/>
      <c r="L1867" s="40"/>
      <c r="M1867" s="40"/>
      <c r="N1867" s="14"/>
      <c r="O1867" s="14"/>
      <c r="P1867" s="14"/>
      <c r="Q1867" s="14"/>
      <c r="R1867" s="17"/>
      <c r="S1867" s="172"/>
      <c r="T1867" s="17"/>
      <c r="U1867" s="14"/>
      <c r="V1867" s="16">
        <f t="shared" si="210"/>
        <v>0</v>
      </c>
      <c r="W1867" s="16">
        <f t="shared" si="211"/>
        <v>7</v>
      </c>
      <c r="X1867" s="16">
        <f t="shared" si="212"/>
        <v>2</v>
      </c>
      <c r="Y1867" s="15"/>
      <c r="Z1867" s="177"/>
      <c r="AA1867" s="170"/>
      <c r="AB1867" s="170"/>
      <c r="AC1867" s="170"/>
      <c r="AD1867" s="170"/>
      <c r="AE1867" s="15"/>
      <c r="AF1867" s="177"/>
      <c r="AG1867" s="177">
        <f t="shared" si="213"/>
        <v>0</v>
      </c>
      <c r="AH1867" s="177">
        <f t="shared" si="214"/>
        <v>0</v>
      </c>
      <c r="AK1867" s="176"/>
      <c r="AL1867" s="176"/>
    </row>
    <row r="1868" spans="1:38" ht="36" customHeight="1" x14ac:dyDescent="0.2">
      <c r="A1868" s="176"/>
      <c r="B1868" s="212"/>
      <c r="C1868" s="14"/>
      <c r="D1868" s="14"/>
      <c r="E1868" s="14"/>
      <c r="F1868" s="14"/>
      <c r="G1868" s="179">
        <v>681867</v>
      </c>
      <c r="H1868" s="176"/>
      <c r="I1868" s="176"/>
      <c r="J1868" s="176"/>
      <c r="K1868" s="176"/>
      <c r="L1868" s="40"/>
      <c r="M1868" s="40"/>
      <c r="N1868" s="14"/>
      <c r="O1868" s="14"/>
      <c r="P1868" s="14"/>
      <c r="Q1868" s="14"/>
      <c r="R1868" s="17"/>
      <c r="S1868" s="172"/>
      <c r="T1868" s="17"/>
      <c r="U1868" s="14"/>
      <c r="V1868" s="16">
        <f t="shared" si="210"/>
        <v>0</v>
      </c>
      <c r="W1868" s="16">
        <f t="shared" si="211"/>
        <v>7</v>
      </c>
      <c r="X1868" s="16">
        <f t="shared" si="212"/>
        <v>2</v>
      </c>
      <c r="Y1868" s="15"/>
      <c r="Z1868" s="177"/>
      <c r="AA1868" s="170"/>
      <c r="AB1868" s="170"/>
      <c r="AC1868" s="170"/>
      <c r="AD1868" s="170"/>
      <c r="AE1868" s="15"/>
      <c r="AF1868" s="177"/>
      <c r="AG1868" s="177">
        <f t="shared" si="213"/>
        <v>0</v>
      </c>
      <c r="AH1868" s="177">
        <f t="shared" si="214"/>
        <v>0</v>
      </c>
      <c r="AK1868" s="176"/>
      <c r="AL1868" s="176"/>
    </row>
    <row r="1869" spans="1:38" ht="36" customHeight="1" x14ac:dyDescent="0.2">
      <c r="A1869" s="176"/>
      <c r="B1869" s="212"/>
      <c r="C1869" s="14"/>
      <c r="D1869" s="14"/>
      <c r="E1869" s="14"/>
      <c r="F1869" s="14"/>
      <c r="G1869" s="179">
        <v>681868</v>
      </c>
      <c r="H1869" s="176"/>
      <c r="I1869" s="176"/>
      <c r="J1869" s="176"/>
      <c r="K1869" s="176"/>
      <c r="L1869" s="40"/>
      <c r="M1869" s="40"/>
      <c r="N1869" s="14"/>
      <c r="O1869" s="14"/>
      <c r="P1869" s="14"/>
      <c r="Q1869" s="14"/>
      <c r="R1869" s="17"/>
      <c r="S1869" s="172"/>
      <c r="T1869" s="17"/>
      <c r="U1869" s="14"/>
      <c r="V1869" s="16">
        <f t="shared" si="210"/>
        <v>0</v>
      </c>
      <c r="W1869" s="16">
        <f t="shared" si="211"/>
        <v>7</v>
      </c>
      <c r="X1869" s="16">
        <f t="shared" si="212"/>
        <v>2</v>
      </c>
      <c r="Y1869" s="15"/>
      <c r="Z1869" s="177"/>
      <c r="AA1869" s="170"/>
      <c r="AB1869" s="170"/>
      <c r="AC1869" s="170"/>
      <c r="AD1869" s="170"/>
      <c r="AE1869" s="15"/>
      <c r="AF1869" s="177"/>
      <c r="AG1869" s="177">
        <f t="shared" si="213"/>
        <v>0</v>
      </c>
      <c r="AH1869" s="177">
        <f t="shared" si="214"/>
        <v>0</v>
      </c>
      <c r="AK1869" s="176"/>
      <c r="AL1869" s="176"/>
    </row>
    <row r="1870" spans="1:38" ht="36" customHeight="1" x14ac:dyDescent="0.2">
      <c r="A1870" s="176"/>
      <c r="B1870" s="212"/>
      <c r="C1870" s="14"/>
      <c r="D1870" s="14"/>
      <c r="E1870" s="14"/>
      <c r="F1870" s="14"/>
      <c r="G1870" s="179">
        <v>681869</v>
      </c>
      <c r="H1870" s="176"/>
      <c r="I1870" s="176"/>
      <c r="J1870" s="176"/>
      <c r="K1870" s="176"/>
      <c r="L1870" s="40"/>
      <c r="M1870" s="40"/>
      <c r="N1870" s="14"/>
      <c r="O1870" s="14"/>
      <c r="P1870" s="14"/>
      <c r="Q1870" s="14"/>
      <c r="R1870" s="17"/>
      <c r="S1870" s="172"/>
      <c r="T1870" s="17"/>
      <c r="U1870" s="14"/>
      <c r="V1870" s="16">
        <f t="shared" si="210"/>
        <v>0</v>
      </c>
      <c r="W1870" s="16">
        <f t="shared" si="211"/>
        <v>7</v>
      </c>
      <c r="X1870" s="16">
        <f t="shared" si="212"/>
        <v>2</v>
      </c>
      <c r="Y1870" s="15"/>
      <c r="Z1870" s="177"/>
      <c r="AA1870" s="170"/>
      <c r="AB1870" s="170"/>
      <c r="AC1870" s="170"/>
      <c r="AD1870" s="170"/>
      <c r="AE1870" s="15"/>
      <c r="AF1870" s="177"/>
      <c r="AG1870" s="177">
        <f t="shared" si="213"/>
        <v>0</v>
      </c>
      <c r="AH1870" s="177">
        <f t="shared" si="214"/>
        <v>0</v>
      </c>
      <c r="AK1870" s="176"/>
      <c r="AL1870" s="176"/>
    </row>
    <row r="1871" spans="1:38" ht="36" customHeight="1" x14ac:dyDescent="0.2">
      <c r="A1871" s="176"/>
      <c r="B1871" s="212"/>
      <c r="C1871" s="14"/>
      <c r="D1871" s="14"/>
      <c r="E1871" s="14"/>
      <c r="F1871" s="14"/>
      <c r="G1871" s="179">
        <v>681870</v>
      </c>
      <c r="H1871" s="176"/>
      <c r="I1871" s="176"/>
      <c r="J1871" s="176"/>
      <c r="K1871" s="176"/>
      <c r="L1871" s="40"/>
      <c r="M1871" s="40"/>
      <c r="N1871" s="14"/>
      <c r="O1871" s="14"/>
      <c r="P1871" s="14"/>
      <c r="Q1871" s="14"/>
      <c r="R1871" s="17"/>
      <c r="S1871" s="172"/>
      <c r="T1871" s="17"/>
      <c r="U1871" s="14"/>
      <c r="V1871" s="16">
        <f t="shared" si="210"/>
        <v>0</v>
      </c>
      <c r="W1871" s="16">
        <f t="shared" si="211"/>
        <v>7</v>
      </c>
      <c r="X1871" s="16">
        <f t="shared" si="212"/>
        <v>2</v>
      </c>
      <c r="Y1871" s="15"/>
      <c r="Z1871" s="177"/>
      <c r="AA1871" s="170"/>
      <c r="AB1871" s="170"/>
      <c r="AC1871" s="170"/>
      <c r="AD1871" s="170"/>
      <c r="AE1871" s="15"/>
      <c r="AF1871" s="177"/>
      <c r="AG1871" s="177">
        <f t="shared" si="213"/>
        <v>0</v>
      </c>
      <c r="AH1871" s="177">
        <f t="shared" si="214"/>
        <v>0</v>
      </c>
      <c r="AK1871" s="176"/>
      <c r="AL1871" s="176"/>
    </row>
    <row r="1872" spans="1:38" ht="36" customHeight="1" x14ac:dyDescent="0.2">
      <c r="A1872" s="176"/>
      <c r="B1872" s="212"/>
      <c r="C1872" s="14"/>
      <c r="D1872" s="14"/>
      <c r="E1872" s="14"/>
      <c r="F1872" s="14"/>
      <c r="G1872" s="179">
        <v>681871</v>
      </c>
      <c r="H1872" s="176"/>
      <c r="I1872" s="176"/>
      <c r="J1872" s="176"/>
      <c r="K1872" s="176"/>
      <c r="L1872" s="40"/>
      <c r="M1872" s="40"/>
      <c r="N1872" s="14"/>
      <c r="O1872" s="14"/>
      <c r="P1872" s="14"/>
      <c r="Q1872" s="14"/>
      <c r="R1872" s="17"/>
      <c r="S1872" s="172"/>
      <c r="T1872" s="17"/>
      <c r="U1872" s="14"/>
      <c r="V1872" s="16">
        <f t="shared" si="210"/>
        <v>0</v>
      </c>
      <c r="W1872" s="16">
        <f t="shared" si="211"/>
        <v>7</v>
      </c>
      <c r="X1872" s="16">
        <f t="shared" si="212"/>
        <v>2</v>
      </c>
      <c r="Y1872" s="15"/>
      <c r="Z1872" s="177"/>
      <c r="AA1872" s="170"/>
      <c r="AB1872" s="170"/>
      <c r="AC1872" s="170"/>
      <c r="AD1872" s="170"/>
      <c r="AE1872" s="15"/>
      <c r="AF1872" s="177"/>
      <c r="AG1872" s="177">
        <f t="shared" si="213"/>
        <v>0</v>
      </c>
      <c r="AH1872" s="177">
        <f t="shared" si="214"/>
        <v>0</v>
      </c>
      <c r="AK1872" s="176"/>
      <c r="AL1872" s="176"/>
    </row>
    <row r="1873" spans="1:38" ht="36" customHeight="1" x14ac:dyDescent="0.2">
      <c r="A1873" s="176"/>
      <c r="B1873" s="212"/>
      <c r="C1873" s="14"/>
      <c r="D1873" s="14"/>
      <c r="E1873" s="14"/>
      <c r="F1873" s="14"/>
      <c r="G1873" s="179">
        <v>681872</v>
      </c>
      <c r="H1873" s="176"/>
      <c r="I1873" s="176"/>
      <c r="J1873" s="176"/>
      <c r="K1873" s="176"/>
      <c r="L1873" s="40"/>
      <c r="M1873" s="40"/>
      <c r="N1873" s="14"/>
      <c r="O1873" s="14"/>
      <c r="P1873" s="14"/>
      <c r="Q1873" s="14"/>
      <c r="R1873" s="17"/>
      <c r="S1873" s="172"/>
      <c r="T1873" s="17"/>
      <c r="U1873" s="14"/>
      <c r="V1873" s="16">
        <f t="shared" si="210"/>
        <v>0</v>
      </c>
      <c r="W1873" s="16">
        <f t="shared" si="211"/>
        <v>7</v>
      </c>
      <c r="X1873" s="16">
        <f t="shared" si="212"/>
        <v>2</v>
      </c>
      <c r="Y1873" s="15"/>
      <c r="Z1873" s="177"/>
      <c r="AA1873" s="170"/>
      <c r="AB1873" s="170"/>
      <c r="AC1873" s="170"/>
      <c r="AD1873" s="170"/>
      <c r="AE1873" s="15"/>
      <c r="AF1873" s="177"/>
      <c r="AG1873" s="177">
        <f t="shared" si="213"/>
        <v>0</v>
      </c>
      <c r="AH1873" s="177">
        <f t="shared" si="214"/>
        <v>0</v>
      </c>
      <c r="AK1873" s="176"/>
      <c r="AL1873" s="176"/>
    </row>
    <row r="1874" spans="1:38" ht="36" customHeight="1" x14ac:dyDescent="0.2">
      <c r="A1874" s="176"/>
      <c r="B1874" s="212"/>
      <c r="C1874" s="14"/>
      <c r="D1874" s="14"/>
      <c r="E1874" s="14"/>
      <c r="F1874" s="14"/>
      <c r="G1874" s="179">
        <v>681873</v>
      </c>
      <c r="H1874" s="176"/>
      <c r="I1874" s="176"/>
      <c r="J1874" s="176"/>
      <c r="K1874" s="176"/>
      <c r="L1874" s="40"/>
      <c r="M1874" s="40"/>
      <c r="N1874" s="14"/>
      <c r="O1874" s="14"/>
      <c r="P1874" s="14"/>
      <c r="Q1874" s="14"/>
      <c r="R1874" s="17"/>
      <c r="S1874" s="172"/>
      <c r="T1874" s="17"/>
      <c r="U1874" s="14"/>
      <c r="V1874" s="16">
        <f t="shared" si="210"/>
        <v>0</v>
      </c>
      <c r="W1874" s="16">
        <f t="shared" si="211"/>
        <v>7</v>
      </c>
      <c r="X1874" s="16">
        <f t="shared" si="212"/>
        <v>2</v>
      </c>
      <c r="Y1874" s="15"/>
      <c r="Z1874" s="177"/>
      <c r="AA1874" s="170"/>
      <c r="AB1874" s="170"/>
      <c r="AC1874" s="170"/>
      <c r="AD1874" s="170"/>
      <c r="AE1874" s="15"/>
      <c r="AF1874" s="177"/>
      <c r="AG1874" s="177">
        <f t="shared" si="213"/>
        <v>0</v>
      </c>
      <c r="AH1874" s="177">
        <f t="shared" si="214"/>
        <v>0</v>
      </c>
      <c r="AK1874" s="176"/>
      <c r="AL1874" s="176"/>
    </row>
    <row r="1875" spans="1:38" ht="36" customHeight="1" x14ac:dyDescent="0.2">
      <c r="A1875" s="176"/>
      <c r="B1875" s="212"/>
      <c r="C1875" s="14"/>
      <c r="D1875" s="14"/>
      <c r="E1875" s="14"/>
      <c r="F1875" s="14"/>
      <c r="G1875" s="179">
        <v>681874</v>
      </c>
      <c r="H1875" s="176"/>
      <c r="I1875" s="176"/>
      <c r="J1875" s="176"/>
      <c r="K1875" s="176"/>
      <c r="L1875" s="40"/>
      <c r="M1875" s="40"/>
      <c r="N1875" s="14"/>
      <c r="O1875" s="14"/>
      <c r="P1875" s="14"/>
      <c r="Q1875" s="14"/>
      <c r="R1875" s="17"/>
      <c r="S1875" s="172"/>
      <c r="T1875" s="17"/>
      <c r="U1875" s="14"/>
      <c r="V1875" s="16">
        <f t="shared" si="210"/>
        <v>0</v>
      </c>
      <c r="W1875" s="16">
        <f t="shared" si="211"/>
        <v>7</v>
      </c>
      <c r="X1875" s="16">
        <f t="shared" si="212"/>
        <v>2</v>
      </c>
      <c r="Y1875" s="15"/>
      <c r="Z1875" s="177"/>
      <c r="AA1875" s="170"/>
      <c r="AB1875" s="170"/>
      <c r="AC1875" s="170"/>
      <c r="AD1875" s="170"/>
      <c r="AE1875" s="15"/>
      <c r="AF1875" s="177"/>
      <c r="AG1875" s="177">
        <f t="shared" si="213"/>
        <v>0</v>
      </c>
      <c r="AH1875" s="177">
        <f t="shared" si="214"/>
        <v>0</v>
      </c>
      <c r="AK1875" s="176"/>
      <c r="AL1875" s="176"/>
    </row>
    <row r="1876" spans="1:38" ht="36" customHeight="1" x14ac:dyDescent="0.2">
      <c r="A1876" s="176"/>
      <c r="B1876" s="212"/>
      <c r="C1876" s="14"/>
      <c r="D1876" s="14"/>
      <c r="E1876" s="14"/>
      <c r="F1876" s="14"/>
      <c r="G1876" s="179">
        <v>681875</v>
      </c>
      <c r="H1876" s="176"/>
      <c r="I1876" s="176"/>
      <c r="J1876" s="176"/>
      <c r="K1876" s="176"/>
      <c r="L1876" s="40"/>
      <c r="M1876" s="40"/>
      <c r="N1876" s="14"/>
      <c r="O1876" s="14"/>
      <c r="P1876" s="14"/>
      <c r="Q1876" s="14"/>
      <c r="R1876" s="17"/>
      <c r="S1876" s="172"/>
      <c r="T1876" s="17"/>
      <c r="U1876" s="14"/>
      <c r="V1876" s="16">
        <f t="shared" si="210"/>
        <v>0</v>
      </c>
      <c r="W1876" s="16">
        <f t="shared" si="211"/>
        <v>7</v>
      </c>
      <c r="X1876" s="16">
        <f t="shared" si="212"/>
        <v>2</v>
      </c>
      <c r="Y1876" s="15"/>
      <c r="Z1876" s="177"/>
      <c r="AA1876" s="170"/>
      <c r="AB1876" s="170"/>
      <c r="AC1876" s="170"/>
      <c r="AD1876" s="170"/>
      <c r="AE1876" s="15"/>
      <c r="AF1876" s="177"/>
      <c r="AG1876" s="177">
        <f t="shared" si="213"/>
        <v>0</v>
      </c>
      <c r="AH1876" s="177">
        <f t="shared" si="214"/>
        <v>0</v>
      </c>
      <c r="AK1876" s="176"/>
      <c r="AL1876" s="176"/>
    </row>
    <row r="1877" spans="1:38" ht="36" customHeight="1" x14ac:dyDescent="0.2">
      <c r="A1877" s="176"/>
      <c r="B1877" s="212"/>
      <c r="C1877" s="14"/>
      <c r="D1877" s="14"/>
      <c r="E1877" s="14"/>
      <c r="F1877" s="14"/>
      <c r="G1877" s="179">
        <v>681876</v>
      </c>
      <c r="H1877" s="176"/>
      <c r="I1877" s="176"/>
      <c r="J1877" s="176"/>
      <c r="K1877" s="176"/>
      <c r="L1877" s="40"/>
      <c r="M1877" s="40"/>
      <c r="N1877" s="14"/>
      <c r="O1877" s="14"/>
      <c r="P1877" s="14"/>
      <c r="Q1877" s="14"/>
      <c r="R1877" s="17"/>
      <c r="S1877" s="172"/>
      <c r="T1877" s="17"/>
      <c r="U1877" s="14"/>
      <c r="V1877" s="16">
        <f t="shared" si="210"/>
        <v>0</v>
      </c>
      <c r="W1877" s="16">
        <f t="shared" si="211"/>
        <v>7</v>
      </c>
      <c r="X1877" s="16">
        <f t="shared" si="212"/>
        <v>2</v>
      </c>
      <c r="Y1877" s="15"/>
      <c r="Z1877" s="177"/>
      <c r="AA1877" s="170"/>
      <c r="AB1877" s="170"/>
      <c r="AC1877" s="170"/>
      <c r="AD1877" s="170"/>
      <c r="AE1877" s="15"/>
      <c r="AF1877" s="177"/>
      <c r="AG1877" s="177">
        <f t="shared" si="213"/>
        <v>0</v>
      </c>
      <c r="AH1877" s="177">
        <f t="shared" si="214"/>
        <v>0</v>
      </c>
      <c r="AK1877" s="176"/>
      <c r="AL1877" s="176"/>
    </row>
    <row r="1878" spans="1:38" ht="36" customHeight="1" x14ac:dyDescent="0.2">
      <c r="A1878" s="176"/>
      <c r="B1878" s="212"/>
      <c r="C1878" s="14"/>
      <c r="D1878" s="14"/>
      <c r="E1878" s="14"/>
      <c r="F1878" s="14"/>
      <c r="G1878" s="179">
        <v>681877</v>
      </c>
      <c r="H1878" s="176"/>
      <c r="I1878" s="176"/>
      <c r="J1878" s="176"/>
      <c r="K1878" s="176"/>
      <c r="L1878" s="40"/>
      <c r="M1878" s="40"/>
      <c r="N1878" s="14"/>
      <c r="O1878" s="14"/>
      <c r="P1878" s="14"/>
      <c r="Q1878" s="14"/>
      <c r="R1878" s="17"/>
      <c r="S1878" s="172"/>
      <c r="T1878" s="17"/>
      <c r="U1878" s="14"/>
      <c r="V1878" s="16">
        <f t="shared" si="210"/>
        <v>0</v>
      </c>
      <c r="W1878" s="16">
        <f t="shared" si="211"/>
        <v>7</v>
      </c>
      <c r="X1878" s="16">
        <f t="shared" si="212"/>
        <v>2</v>
      </c>
      <c r="Y1878" s="15"/>
      <c r="Z1878" s="177"/>
      <c r="AA1878" s="170"/>
      <c r="AB1878" s="170"/>
      <c r="AC1878" s="170"/>
      <c r="AD1878" s="170"/>
      <c r="AE1878" s="15"/>
      <c r="AF1878" s="177"/>
      <c r="AG1878" s="177">
        <f t="shared" si="213"/>
        <v>0</v>
      </c>
      <c r="AH1878" s="177">
        <f t="shared" si="214"/>
        <v>0</v>
      </c>
      <c r="AK1878" s="176"/>
      <c r="AL1878" s="176"/>
    </row>
    <row r="1879" spans="1:38" ht="36" customHeight="1" x14ac:dyDescent="0.2">
      <c r="A1879" s="176"/>
      <c r="B1879" s="212"/>
      <c r="C1879" s="14"/>
      <c r="D1879" s="14"/>
      <c r="E1879" s="14"/>
      <c r="F1879" s="14"/>
      <c r="G1879" s="179">
        <v>681878</v>
      </c>
      <c r="H1879" s="176"/>
      <c r="I1879" s="176"/>
      <c r="J1879" s="176"/>
      <c r="K1879" s="176"/>
      <c r="L1879" s="40"/>
      <c r="M1879" s="40"/>
      <c r="N1879" s="14"/>
      <c r="O1879" s="14"/>
      <c r="P1879" s="14"/>
      <c r="Q1879" s="14"/>
      <c r="R1879" s="17"/>
      <c r="S1879" s="172"/>
      <c r="T1879" s="17"/>
      <c r="U1879" s="14"/>
      <c r="V1879" s="16">
        <f t="shared" si="210"/>
        <v>0</v>
      </c>
      <c r="W1879" s="16">
        <f t="shared" si="211"/>
        <v>7</v>
      </c>
      <c r="X1879" s="16">
        <f t="shared" si="212"/>
        <v>2</v>
      </c>
      <c r="Y1879" s="15"/>
      <c r="Z1879" s="177"/>
      <c r="AA1879" s="170"/>
      <c r="AB1879" s="170"/>
      <c r="AC1879" s="170"/>
      <c r="AD1879" s="170"/>
      <c r="AE1879" s="15"/>
      <c r="AF1879" s="177"/>
      <c r="AG1879" s="177">
        <f t="shared" si="213"/>
        <v>0</v>
      </c>
      <c r="AH1879" s="177">
        <f t="shared" si="214"/>
        <v>0</v>
      </c>
      <c r="AK1879" s="176"/>
      <c r="AL1879" s="176"/>
    </row>
    <row r="1880" spans="1:38" ht="36" customHeight="1" x14ac:dyDescent="0.2">
      <c r="A1880" s="176"/>
      <c r="B1880" s="212"/>
      <c r="C1880" s="14"/>
      <c r="D1880" s="14"/>
      <c r="E1880" s="14"/>
      <c r="F1880" s="14"/>
      <c r="G1880" s="179">
        <v>681879</v>
      </c>
      <c r="H1880" s="176"/>
      <c r="I1880" s="176"/>
      <c r="J1880" s="176"/>
      <c r="K1880" s="176"/>
      <c r="L1880" s="40"/>
      <c r="M1880" s="40"/>
      <c r="N1880" s="14"/>
      <c r="O1880" s="14"/>
      <c r="P1880" s="14"/>
      <c r="Q1880" s="14"/>
      <c r="R1880" s="17"/>
      <c r="S1880" s="172"/>
      <c r="T1880" s="17"/>
      <c r="U1880" s="14"/>
      <c r="V1880" s="16">
        <f t="shared" si="210"/>
        <v>0</v>
      </c>
      <c r="W1880" s="16">
        <f t="shared" si="211"/>
        <v>7</v>
      </c>
      <c r="X1880" s="16">
        <f t="shared" si="212"/>
        <v>2</v>
      </c>
      <c r="Y1880" s="15"/>
      <c r="Z1880" s="177"/>
      <c r="AA1880" s="170"/>
      <c r="AB1880" s="170"/>
      <c r="AC1880" s="170"/>
      <c r="AD1880" s="170"/>
      <c r="AE1880" s="15"/>
      <c r="AF1880" s="177"/>
      <c r="AG1880" s="177">
        <f t="shared" si="213"/>
        <v>0</v>
      </c>
      <c r="AH1880" s="177">
        <f t="shared" si="214"/>
        <v>0</v>
      </c>
      <c r="AK1880" s="176"/>
      <c r="AL1880" s="176"/>
    </row>
    <row r="1881" spans="1:38" ht="36" customHeight="1" x14ac:dyDescent="0.2">
      <c r="A1881" s="176"/>
      <c r="B1881" s="212"/>
      <c r="C1881" s="14"/>
      <c r="D1881" s="14"/>
      <c r="E1881" s="14"/>
      <c r="F1881" s="14"/>
      <c r="G1881" s="179">
        <v>681880</v>
      </c>
      <c r="H1881" s="176"/>
      <c r="I1881" s="176"/>
      <c r="J1881" s="176"/>
      <c r="K1881" s="176"/>
      <c r="L1881" s="40"/>
      <c r="M1881" s="40"/>
      <c r="N1881" s="14"/>
      <c r="O1881" s="14"/>
      <c r="P1881" s="14"/>
      <c r="Q1881" s="14"/>
      <c r="R1881" s="17"/>
      <c r="S1881" s="172"/>
      <c r="T1881" s="17"/>
      <c r="U1881" s="14"/>
      <c r="V1881" s="16">
        <f t="shared" si="210"/>
        <v>0</v>
      </c>
      <c r="W1881" s="16">
        <f t="shared" si="211"/>
        <v>7</v>
      </c>
      <c r="X1881" s="16">
        <f t="shared" si="212"/>
        <v>2</v>
      </c>
      <c r="Y1881" s="15"/>
      <c r="Z1881" s="177"/>
      <c r="AA1881" s="170"/>
      <c r="AB1881" s="170"/>
      <c r="AC1881" s="170"/>
      <c r="AD1881" s="170"/>
      <c r="AE1881" s="15"/>
      <c r="AF1881" s="177"/>
      <c r="AG1881" s="177">
        <f t="shared" si="213"/>
        <v>0</v>
      </c>
      <c r="AH1881" s="177">
        <f t="shared" si="214"/>
        <v>0</v>
      </c>
      <c r="AK1881" s="176"/>
      <c r="AL1881" s="176"/>
    </row>
    <row r="1882" spans="1:38" ht="36" customHeight="1" x14ac:dyDescent="0.2">
      <c r="A1882" s="176"/>
      <c r="B1882" s="212"/>
      <c r="C1882" s="14"/>
      <c r="D1882" s="14"/>
      <c r="E1882" s="14"/>
      <c r="F1882" s="14"/>
      <c r="G1882" s="179">
        <v>681881</v>
      </c>
      <c r="H1882" s="176"/>
      <c r="I1882" s="176"/>
      <c r="J1882" s="176"/>
      <c r="K1882" s="176"/>
      <c r="L1882" s="40"/>
      <c r="M1882" s="40"/>
      <c r="N1882" s="14"/>
      <c r="O1882" s="14"/>
      <c r="P1882" s="14"/>
      <c r="Q1882" s="14"/>
      <c r="R1882" s="17"/>
      <c r="S1882" s="172"/>
      <c r="T1882" s="17"/>
      <c r="U1882" s="14"/>
      <c r="V1882" s="16">
        <f t="shared" si="210"/>
        <v>0</v>
      </c>
      <c r="W1882" s="16">
        <f t="shared" si="211"/>
        <v>7</v>
      </c>
      <c r="X1882" s="16">
        <f t="shared" si="212"/>
        <v>2</v>
      </c>
      <c r="Y1882" s="15"/>
      <c r="Z1882" s="177"/>
      <c r="AA1882" s="170"/>
      <c r="AB1882" s="170"/>
      <c r="AC1882" s="170"/>
      <c r="AD1882" s="170"/>
      <c r="AE1882" s="15"/>
      <c r="AF1882" s="177"/>
      <c r="AG1882" s="177">
        <f t="shared" si="213"/>
        <v>0</v>
      </c>
      <c r="AH1882" s="177">
        <f t="shared" si="214"/>
        <v>0</v>
      </c>
      <c r="AK1882" s="176"/>
      <c r="AL1882" s="176"/>
    </row>
    <row r="1883" spans="1:38" ht="36" customHeight="1" x14ac:dyDescent="0.2">
      <c r="A1883" s="176"/>
      <c r="B1883" s="212"/>
      <c r="C1883" s="14"/>
      <c r="D1883" s="14"/>
      <c r="E1883" s="14"/>
      <c r="F1883" s="14"/>
      <c r="G1883" s="179">
        <v>681882</v>
      </c>
      <c r="H1883" s="176"/>
      <c r="I1883" s="176"/>
      <c r="J1883" s="176"/>
      <c r="K1883" s="176"/>
      <c r="L1883" s="40"/>
      <c r="M1883" s="40"/>
      <c r="N1883" s="14"/>
      <c r="O1883" s="14"/>
      <c r="P1883" s="14"/>
      <c r="Q1883" s="14"/>
      <c r="R1883" s="17"/>
      <c r="S1883" s="172"/>
      <c r="T1883" s="17"/>
      <c r="U1883" s="14"/>
      <c r="V1883" s="16">
        <f t="shared" si="210"/>
        <v>0</v>
      </c>
      <c r="W1883" s="16">
        <f t="shared" si="211"/>
        <v>7</v>
      </c>
      <c r="X1883" s="16">
        <f t="shared" si="212"/>
        <v>2</v>
      </c>
      <c r="Y1883" s="15"/>
      <c r="Z1883" s="177"/>
      <c r="AA1883" s="170"/>
      <c r="AB1883" s="170"/>
      <c r="AC1883" s="170"/>
      <c r="AD1883" s="170"/>
      <c r="AE1883" s="15"/>
      <c r="AF1883" s="177"/>
      <c r="AG1883" s="177">
        <f t="shared" si="213"/>
        <v>0</v>
      </c>
      <c r="AH1883" s="177">
        <f t="shared" si="214"/>
        <v>0</v>
      </c>
      <c r="AK1883" s="176"/>
      <c r="AL1883" s="176"/>
    </row>
    <row r="1884" spans="1:38" ht="36" customHeight="1" x14ac:dyDescent="0.2">
      <c r="A1884" s="176"/>
      <c r="B1884" s="212"/>
      <c r="C1884" s="14"/>
      <c r="D1884" s="14"/>
      <c r="E1884" s="14"/>
      <c r="F1884" s="14"/>
      <c r="G1884" s="179">
        <v>681883</v>
      </c>
      <c r="H1884" s="176"/>
      <c r="I1884" s="176"/>
      <c r="J1884" s="176"/>
      <c r="K1884" s="176"/>
      <c r="L1884" s="40"/>
      <c r="M1884" s="40"/>
      <c r="N1884" s="14"/>
      <c r="O1884" s="14"/>
      <c r="P1884" s="14"/>
      <c r="Q1884" s="14"/>
      <c r="R1884" s="17"/>
      <c r="S1884" s="172"/>
      <c r="T1884" s="17"/>
      <c r="U1884" s="14"/>
      <c r="V1884" s="16">
        <f t="shared" si="210"/>
        <v>0</v>
      </c>
      <c r="W1884" s="16">
        <f t="shared" si="211"/>
        <v>7</v>
      </c>
      <c r="X1884" s="16">
        <f t="shared" si="212"/>
        <v>2</v>
      </c>
      <c r="Y1884" s="15"/>
      <c r="Z1884" s="177"/>
      <c r="AA1884" s="170"/>
      <c r="AB1884" s="170"/>
      <c r="AC1884" s="170"/>
      <c r="AD1884" s="170"/>
      <c r="AE1884" s="15"/>
      <c r="AF1884" s="177"/>
      <c r="AG1884" s="177">
        <f t="shared" si="213"/>
        <v>0</v>
      </c>
      <c r="AH1884" s="177">
        <f t="shared" si="214"/>
        <v>0</v>
      </c>
      <c r="AK1884" s="176"/>
      <c r="AL1884" s="176"/>
    </row>
    <row r="1885" spans="1:38" ht="36" customHeight="1" x14ac:dyDescent="0.2">
      <c r="A1885" s="176"/>
      <c r="B1885" s="212"/>
      <c r="C1885" s="14"/>
      <c r="D1885" s="14"/>
      <c r="E1885" s="14"/>
      <c r="F1885" s="14"/>
      <c r="G1885" s="179">
        <v>681884</v>
      </c>
      <c r="H1885" s="176"/>
      <c r="I1885" s="176"/>
      <c r="J1885" s="176"/>
      <c r="K1885" s="176"/>
      <c r="L1885" s="40"/>
      <c r="M1885" s="40"/>
      <c r="N1885" s="14"/>
      <c r="O1885" s="14"/>
      <c r="P1885" s="14"/>
      <c r="Q1885" s="14"/>
      <c r="R1885" s="17"/>
      <c r="S1885" s="172"/>
      <c r="T1885" s="17"/>
      <c r="U1885" s="14"/>
      <c r="V1885" s="16">
        <f t="shared" si="210"/>
        <v>0</v>
      </c>
      <c r="W1885" s="16">
        <f t="shared" si="211"/>
        <v>7</v>
      </c>
      <c r="X1885" s="16">
        <f t="shared" si="212"/>
        <v>2</v>
      </c>
      <c r="Y1885" s="15"/>
      <c r="Z1885" s="177"/>
      <c r="AA1885" s="170"/>
      <c r="AB1885" s="170"/>
      <c r="AC1885" s="170"/>
      <c r="AD1885" s="170"/>
      <c r="AE1885" s="15"/>
      <c r="AF1885" s="177"/>
      <c r="AG1885" s="177">
        <f t="shared" si="213"/>
        <v>0</v>
      </c>
      <c r="AH1885" s="177">
        <f t="shared" si="214"/>
        <v>0</v>
      </c>
      <c r="AK1885" s="176"/>
      <c r="AL1885" s="176"/>
    </row>
    <row r="1886" spans="1:38" ht="36" customHeight="1" x14ac:dyDescent="0.2">
      <c r="A1886" s="176"/>
      <c r="B1886" s="212"/>
      <c r="C1886" s="14"/>
      <c r="D1886" s="14"/>
      <c r="E1886" s="14"/>
      <c r="F1886" s="14"/>
      <c r="G1886" s="179">
        <v>681885</v>
      </c>
      <c r="H1886" s="176"/>
      <c r="I1886" s="176"/>
      <c r="J1886" s="176"/>
      <c r="K1886" s="176"/>
      <c r="L1886" s="40"/>
      <c r="M1886" s="40"/>
      <c r="N1886" s="14"/>
      <c r="O1886" s="14"/>
      <c r="P1886" s="14"/>
      <c r="Q1886" s="14"/>
      <c r="R1886" s="17"/>
      <c r="S1886" s="172"/>
      <c r="T1886" s="17"/>
      <c r="U1886" s="14"/>
      <c r="V1886" s="16">
        <f t="shared" si="210"/>
        <v>0</v>
      </c>
      <c r="W1886" s="16">
        <f t="shared" si="211"/>
        <v>7</v>
      </c>
      <c r="X1886" s="16">
        <f t="shared" si="212"/>
        <v>2</v>
      </c>
      <c r="Y1886" s="15"/>
      <c r="Z1886" s="177"/>
      <c r="AA1886" s="170"/>
      <c r="AB1886" s="170"/>
      <c r="AC1886" s="170"/>
      <c r="AD1886" s="170"/>
      <c r="AE1886" s="15"/>
      <c r="AF1886" s="177"/>
      <c r="AG1886" s="177">
        <f t="shared" si="213"/>
        <v>0</v>
      </c>
      <c r="AH1886" s="177">
        <f t="shared" si="214"/>
        <v>0</v>
      </c>
      <c r="AK1886" s="176"/>
      <c r="AL1886" s="176"/>
    </row>
    <row r="1887" spans="1:38" ht="36" customHeight="1" x14ac:dyDescent="0.2">
      <c r="A1887" s="176"/>
      <c r="B1887" s="212"/>
      <c r="C1887" s="14"/>
      <c r="D1887" s="14"/>
      <c r="E1887" s="14"/>
      <c r="F1887" s="14"/>
      <c r="G1887" s="179">
        <v>681886</v>
      </c>
      <c r="H1887" s="176"/>
      <c r="I1887" s="176"/>
      <c r="J1887" s="176"/>
      <c r="K1887" s="176"/>
      <c r="L1887" s="40"/>
      <c r="M1887" s="40"/>
      <c r="N1887" s="14"/>
      <c r="O1887" s="14"/>
      <c r="P1887" s="14"/>
      <c r="Q1887" s="14"/>
      <c r="R1887" s="17"/>
      <c r="S1887" s="172"/>
      <c r="T1887" s="17"/>
      <c r="U1887" s="14"/>
      <c r="V1887" s="16">
        <f t="shared" si="210"/>
        <v>0</v>
      </c>
      <c r="W1887" s="16">
        <f t="shared" si="211"/>
        <v>7</v>
      </c>
      <c r="X1887" s="16">
        <f t="shared" si="212"/>
        <v>2</v>
      </c>
      <c r="Y1887" s="15"/>
      <c r="Z1887" s="177"/>
      <c r="AA1887" s="170"/>
      <c r="AB1887" s="170"/>
      <c r="AC1887" s="170"/>
      <c r="AD1887" s="170"/>
      <c r="AE1887" s="15"/>
      <c r="AF1887" s="177"/>
      <c r="AG1887" s="177">
        <f t="shared" si="213"/>
        <v>0</v>
      </c>
      <c r="AH1887" s="177">
        <f t="shared" si="214"/>
        <v>0</v>
      </c>
      <c r="AK1887" s="176"/>
      <c r="AL1887" s="176"/>
    </row>
    <row r="1888" spans="1:38" ht="36" customHeight="1" x14ac:dyDescent="0.2">
      <c r="A1888" s="176"/>
      <c r="B1888" s="212"/>
      <c r="C1888" s="14"/>
      <c r="D1888" s="14"/>
      <c r="E1888" s="14"/>
      <c r="F1888" s="14"/>
      <c r="G1888" s="179">
        <v>681887</v>
      </c>
      <c r="H1888" s="176"/>
      <c r="I1888" s="176"/>
      <c r="J1888" s="176"/>
      <c r="K1888" s="176"/>
      <c r="L1888" s="40"/>
      <c r="M1888" s="40"/>
      <c r="N1888" s="14"/>
      <c r="O1888" s="14"/>
      <c r="P1888" s="14"/>
      <c r="Q1888" s="14"/>
      <c r="R1888" s="17"/>
      <c r="S1888" s="172"/>
      <c r="T1888" s="17"/>
      <c r="U1888" s="14"/>
      <c r="V1888" s="16">
        <f t="shared" si="210"/>
        <v>0</v>
      </c>
      <c r="W1888" s="16">
        <f t="shared" si="211"/>
        <v>7</v>
      </c>
      <c r="X1888" s="16">
        <f t="shared" si="212"/>
        <v>2</v>
      </c>
      <c r="Y1888" s="15"/>
      <c r="Z1888" s="177"/>
      <c r="AA1888" s="170"/>
      <c r="AB1888" s="170"/>
      <c r="AC1888" s="170"/>
      <c r="AD1888" s="170"/>
      <c r="AE1888" s="15"/>
      <c r="AF1888" s="177"/>
      <c r="AG1888" s="177">
        <f t="shared" si="213"/>
        <v>0</v>
      </c>
      <c r="AH1888" s="177">
        <f t="shared" si="214"/>
        <v>0</v>
      </c>
      <c r="AK1888" s="176"/>
      <c r="AL1888" s="176"/>
    </row>
    <row r="1889" spans="1:38" ht="36" customHeight="1" x14ac:dyDescent="0.2">
      <c r="A1889" s="176"/>
      <c r="B1889" s="212"/>
      <c r="C1889" s="14"/>
      <c r="D1889" s="14"/>
      <c r="E1889" s="14"/>
      <c r="F1889" s="14"/>
      <c r="G1889" s="179">
        <v>681888</v>
      </c>
      <c r="H1889" s="176"/>
      <c r="I1889" s="176"/>
      <c r="J1889" s="176"/>
      <c r="K1889" s="176"/>
      <c r="L1889" s="40"/>
      <c r="M1889" s="40"/>
      <c r="N1889" s="14"/>
      <c r="O1889" s="14"/>
      <c r="P1889" s="14"/>
      <c r="Q1889" s="14"/>
      <c r="R1889" s="17"/>
      <c r="S1889" s="172"/>
      <c r="T1889" s="17"/>
      <c r="U1889" s="14"/>
      <c r="V1889" s="16">
        <f t="shared" si="210"/>
        <v>0</v>
      </c>
      <c r="W1889" s="16">
        <f t="shared" si="211"/>
        <v>7</v>
      </c>
      <c r="X1889" s="16">
        <f t="shared" si="212"/>
        <v>2</v>
      </c>
      <c r="Y1889" s="15"/>
      <c r="Z1889" s="177"/>
      <c r="AA1889" s="170"/>
      <c r="AB1889" s="170"/>
      <c r="AC1889" s="170"/>
      <c r="AD1889" s="170"/>
      <c r="AE1889" s="15"/>
      <c r="AF1889" s="177"/>
      <c r="AG1889" s="177">
        <f t="shared" si="213"/>
        <v>0</v>
      </c>
      <c r="AH1889" s="177">
        <f t="shared" si="214"/>
        <v>0</v>
      </c>
      <c r="AK1889" s="176"/>
      <c r="AL1889" s="176"/>
    </row>
    <row r="1890" spans="1:38" ht="36" customHeight="1" x14ac:dyDescent="0.2">
      <c r="A1890" s="176"/>
      <c r="B1890" s="212"/>
      <c r="C1890" s="14"/>
      <c r="D1890" s="14"/>
      <c r="E1890" s="14"/>
      <c r="F1890" s="14"/>
      <c r="G1890" s="179">
        <v>681889</v>
      </c>
      <c r="H1890" s="176"/>
      <c r="I1890" s="176"/>
      <c r="J1890" s="176"/>
      <c r="K1890" s="176"/>
      <c r="L1890" s="40"/>
      <c r="M1890" s="40"/>
      <c r="N1890" s="14"/>
      <c r="O1890" s="14"/>
      <c r="P1890" s="14"/>
      <c r="Q1890" s="14"/>
      <c r="R1890" s="17"/>
      <c r="S1890" s="172"/>
      <c r="T1890" s="17"/>
      <c r="U1890" s="14"/>
      <c r="V1890" s="16">
        <f t="shared" si="210"/>
        <v>0</v>
      </c>
      <c r="W1890" s="16">
        <f t="shared" si="211"/>
        <v>7</v>
      </c>
      <c r="X1890" s="16">
        <f t="shared" si="212"/>
        <v>2</v>
      </c>
      <c r="Y1890" s="15"/>
      <c r="Z1890" s="177"/>
      <c r="AA1890" s="170"/>
      <c r="AB1890" s="170"/>
      <c r="AC1890" s="170"/>
      <c r="AD1890" s="170"/>
      <c r="AE1890" s="15"/>
      <c r="AF1890" s="177"/>
      <c r="AG1890" s="177">
        <f t="shared" si="213"/>
        <v>0</v>
      </c>
      <c r="AH1890" s="177">
        <f t="shared" si="214"/>
        <v>0</v>
      </c>
      <c r="AK1890" s="176"/>
      <c r="AL1890" s="176"/>
    </row>
    <row r="1891" spans="1:38" ht="36" customHeight="1" x14ac:dyDescent="0.2">
      <c r="A1891" s="176"/>
      <c r="B1891" s="212"/>
      <c r="C1891" s="14"/>
      <c r="D1891" s="14"/>
      <c r="E1891" s="14"/>
      <c r="F1891" s="14"/>
      <c r="G1891" s="179">
        <v>681890</v>
      </c>
      <c r="H1891" s="176"/>
      <c r="I1891" s="176"/>
      <c r="J1891" s="176"/>
      <c r="K1891" s="176"/>
      <c r="L1891" s="40"/>
      <c r="M1891" s="40"/>
      <c r="N1891" s="14"/>
      <c r="O1891" s="14"/>
      <c r="P1891" s="14"/>
      <c r="Q1891" s="14"/>
      <c r="R1891" s="17"/>
      <c r="S1891" s="172"/>
      <c r="T1891" s="17"/>
      <c r="U1891" s="14"/>
      <c r="V1891" s="16">
        <f t="shared" si="210"/>
        <v>0</v>
      </c>
      <c r="W1891" s="16">
        <f t="shared" si="211"/>
        <v>7</v>
      </c>
      <c r="X1891" s="16">
        <f t="shared" si="212"/>
        <v>2</v>
      </c>
      <c r="Y1891" s="15"/>
      <c r="Z1891" s="177"/>
      <c r="AA1891" s="170"/>
      <c r="AB1891" s="170"/>
      <c r="AC1891" s="170"/>
      <c r="AD1891" s="170"/>
      <c r="AE1891" s="15"/>
      <c r="AF1891" s="177"/>
      <c r="AG1891" s="177">
        <f t="shared" si="213"/>
        <v>0</v>
      </c>
      <c r="AH1891" s="177">
        <f t="shared" si="214"/>
        <v>0</v>
      </c>
      <c r="AK1891" s="176"/>
      <c r="AL1891" s="176"/>
    </row>
    <row r="1892" spans="1:38" ht="36" customHeight="1" x14ac:dyDescent="0.2">
      <c r="A1892" s="176"/>
      <c r="B1892" s="212"/>
      <c r="C1892" s="14"/>
      <c r="D1892" s="14"/>
      <c r="E1892" s="14"/>
      <c r="F1892" s="14"/>
      <c r="G1892" s="179">
        <v>681891</v>
      </c>
      <c r="H1892" s="176"/>
      <c r="I1892" s="176"/>
      <c r="J1892" s="176"/>
      <c r="K1892" s="176"/>
      <c r="L1892" s="40"/>
      <c r="M1892" s="40"/>
      <c r="N1892" s="14"/>
      <c r="O1892" s="14"/>
      <c r="P1892" s="14"/>
      <c r="Q1892" s="14"/>
      <c r="R1892" s="17"/>
      <c r="S1892" s="172"/>
      <c r="T1892" s="17"/>
      <c r="U1892" s="14"/>
      <c r="V1892" s="16">
        <f t="shared" si="210"/>
        <v>0</v>
      </c>
      <c r="W1892" s="16">
        <f t="shared" si="211"/>
        <v>7</v>
      </c>
      <c r="X1892" s="16">
        <f t="shared" si="212"/>
        <v>2</v>
      </c>
      <c r="Y1892" s="15"/>
      <c r="Z1892" s="177"/>
      <c r="AA1892" s="170"/>
      <c r="AB1892" s="170"/>
      <c r="AC1892" s="170"/>
      <c r="AD1892" s="170"/>
      <c r="AE1892" s="15"/>
      <c r="AF1892" s="177"/>
      <c r="AG1892" s="177">
        <f t="shared" si="213"/>
        <v>0</v>
      </c>
      <c r="AH1892" s="177">
        <f t="shared" si="214"/>
        <v>0</v>
      </c>
      <c r="AK1892" s="176"/>
      <c r="AL1892" s="176"/>
    </row>
    <row r="1893" spans="1:38" ht="36" customHeight="1" x14ac:dyDescent="0.2">
      <c r="A1893" s="176"/>
      <c r="B1893" s="212"/>
      <c r="C1893" s="14"/>
      <c r="D1893" s="14"/>
      <c r="E1893" s="14"/>
      <c r="F1893" s="14"/>
      <c r="G1893" s="179">
        <v>681892</v>
      </c>
      <c r="H1893" s="176"/>
      <c r="I1893" s="176"/>
      <c r="J1893" s="176"/>
      <c r="K1893" s="176"/>
      <c r="L1893" s="40"/>
      <c r="M1893" s="40"/>
      <c r="N1893" s="14"/>
      <c r="O1893" s="14"/>
      <c r="P1893" s="14"/>
      <c r="Q1893" s="14"/>
      <c r="R1893" s="17"/>
      <c r="S1893" s="172"/>
      <c r="T1893" s="17"/>
      <c r="U1893" s="14"/>
      <c r="V1893" s="16">
        <f t="shared" si="210"/>
        <v>0</v>
      </c>
      <c r="W1893" s="16">
        <f t="shared" si="211"/>
        <v>7</v>
      </c>
      <c r="X1893" s="16">
        <f t="shared" si="212"/>
        <v>2</v>
      </c>
      <c r="Y1893" s="15"/>
      <c r="Z1893" s="177"/>
      <c r="AA1893" s="170"/>
      <c r="AB1893" s="170"/>
      <c r="AC1893" s="170"/>
      <c r="AD1893" s="170"/>
      <c r="AE1893" s="15"/>
      <c r="AF1893" s="177"/>
      <c r="AG1893" s="177">
        <f t="shared" si="213"/>
        <v>0</v>
      </c>
      <c r="AH1893" s="177">
        <f t="shared" si="214"/>
        <v>0</v>
      </c>
      <c r="AK1893" s="176"/>
      <c r="AL1893" s="176"/>
    </row>
    <row r="1894" spans="1:38" ht="36" customHeight="1" x14ac:dyDescent="0.2">
      <c r="A1894" s="176"/>
      <c r="B1894" s="212"/>
      <c r="C1894" s="14"/>
      <c r="D1894" s="14"/>
      <c r="E1894" s="14"/>
      <c r="F1894" s="14"/>
      <c r="G1894" s="179">
        <v>681893</v>
      </c>
      <c r="H1894" s="176"/>
      <c r="I1894" s="176"/>
      <c r="J1894" s="176"/>
      <c r="K1894" s="176"/>
      <c r="L1894" s="40"/>
      <c r="M1894" s="40"/>
      <c r="N1894" s="14"/>
      <c r="O1894" s="14"/>
      <c r="P1894" s="14"/>
      <c r="Q1894" s="14"/>
      <c r="R1894" s="17"/>
      <c r="S1894" s="172"/>
      <c r="T1894" s="17"/>
      <c r="U1894" s="14"/>
      <c r="V1894" s="16">
        <f t="shared" si="210"/>
        <v>0</v>
      </c>
      <c r="W1894" s="16">
        <f t="shared" si="211"/>
        <v>7</v>
      </c>
      <c r="X1894" s="16">
        <f t="shared" si="212"/>
        <v>2</v>
      </c>
      <c r="Y1894" s="15"/>
      <c r="Z1894" s="177"/>
      <c r="AA1894" s="170"/>
      <c r="AB1894" s="170"/>
      <c r="AC1894" s="170"/>
      <c r="AD1894" s="170"/>
      <c r="AE1894" s="15"/>
      <c r="AF1894" s="177"/>
      <c r="AG1894" s="177">
        <f t="shared" si="213"/>
        <v>0</v>
      </c>
      <c r="AH1894" s="177">
        <f t="shared" si="214"/>
        <v>0</v>
      </c>
      <c r="AK1894" s="176"/>
      <c r="AL1894" s="176"/>
    </row>
    <row r="1895" spans="1:38" ht="36" customHeight="1" x14ac:dyDescent="0.2">
      <c r="A1895" s="176"/>
      <c r="B1895" s="212"/>
      <c r="C1895" s="14"/>
      <c r="D1895" s="14"/>
      <c r="E1895" s="14"/>
      <c r="F1895" s="14"/>
      <c r="G1895" s="179">
        <v>681894</v>
      </c>
      <c r="H1895" s="176"/>
      <c r="I1895" s="176"/>
      <c r="J1895" s="176"/>
      <c r="K1895" s="176"/>
      <c r="L1895" s="40"/>
      <c r="M1895" s="40"/>
      <c r="N1895" s="14"/>
      <c r="O1895" s="14"/>
      <c r="P1895" s="14"/>
      <c r="Q1895" s="14"/>
      <c r="R1895" s="17"/>
      <c r="S1895" s="172"/>
      <c r="T1895" s="17"/>
      <c r="U1895" s="14"/>
      <c r="V1895" s="16">
        <f t="shared" si="210"/>
        <v>0</v>
      </c>
      <c r="W1895" s="16">
        <f t="shared" si="211"/>
        <v>7</v>
      </c>
      <c r="X1895" s="16">
        <f t="shared" si="212"/>
        <v>2</v>
      </c>
      <c r="Y1895" s="15"/>
      <c r="Z1895" s="177"/>
      <c r="AA1895" s="170"/>
      <c r="AB1895" s="170"/>
      <c r="AC1895" s="170"/>
      <c r="AD1895" s="170"/>
      <c r="AE1895" s="15"/>
      <c r="AF1895" s="177"/>
      <c r="AG1895" s="177">
        <f t="shared" si="213"/>
        <v>0</v>
      </c>
      <c r="AH1895" s="177">
        <f t="shared" si="214"/>
        <v>0</v>
      </c>
      <c r="AK1895" s="176"/>
      <c r="AL1895" s="176"/>
    </row>
    <row r="1896" spans="1:38" ht="36" customHeight="1" x14ac:dyDescent="0.2">
      <c r="A1896" s="176"/>
      <c r="B1896" s="212"/>
      <c r="C1896" s="14"/>
      <c r="D1896" s="14"/>
      <c r="E1896" s="14"/>
      <c r="F1896" s="14"/>
      <c r="G1896" s="179">
        <v>681895</v>
      </c>
      <c r="H1896" s="176"/>
      <c r="I1896" s="176"/>
      <c r="J1896" s="176"/>
      <c r="K1896" s="176"/>
      <c r="L1896" s="40"/>
      <c r="M1896" s="40"/>
      <c r="N1896" s="14"/>
      <c r="O1896" s="14"/>
      <c r="P1896" s="14"/>
      <c r="Q1896" s="14"/>
      <c r="R1896" s="17"/>
      <c r="S1896" s="172"/>
      <c r="T1896" s="17"/>
      <c r="U1896" s="14"/>
      <c r="V1896" s="16">
        <f t="shared" si="210"/>
        <v>0</v>
      </c>
      <c r="W1896" s="16">
        <f t="shared" si="211"/>
        <v>7</v>
      </c>
      <c r="X1896" s="16">
        <f t="shared" si="212"/>
        <v>2</v>
      </c>
      <c r="Y1896" s="15"/>
      <c r="Z1896" s="177"/>
      <c r="AA1896" s="170"/>
      <c r="AB1896" s="170"/>
      <c r="AC1896" s="170"/>
      <c r="AD1896" s="170"/>
      <c r="AE1896" s="15"/>
      <c r="AF1896" s="177"/>
      <c r="AG1896" s="177">
        <f t="shared" si="213"/>
        <v>0</v>
      </c>
      <c r="AH1896" s="177">
        <f t="shared" si="214"/>
        <v>0</v>
      </c>
      <c r="AK1896" s="176"/>
      <c r="AL1896" s="176"/>
    </row>
    <row r="1897" spans="1:38" ht="36" customHeight="1" x14ac:dyDescent="0.2">
      <c r="A1897" s="176"/>
      <c r="B1897" s="212"/>
      <c r="C1897" s="14"/>
      <c r="D1897" s="14"/>
      <c r="E1897" s="14"/>
      <c r="F1897" s="14"/>
      <c r="G1897" s="179">
        <v>681896</v>
      </c>
      <c r="H1897" s="176"/>
      <c r="I1897" s="176"/>
      <c r="J1897" s="176"/>
      <c r="K1897" s="176"/>
      <c r="L1897" s="40"/>
      <c r="M1897" s="40"/>
      <c r="N1897" s="14"/>
      <c r="O1897" s="14"/>
      <c r="P1897" s="14"/>
      <c r="Q1897" s="14"/>
      <c r="R1897" s="17"/>
      <c r="S1897" s="172"/>
      <c r="T1897" s="17"/>
      <c r="U1897" s="14"/>
      <c r="V1897" s="16">
        <f t="shared" si="210"/>
        <v>0</v>
      </c>
      <c r="W1897" s="16">
        <f t="shared" si="211"/>
        <v>7</v>
      </c>
      <c r="X1897" s="16">
        <f t="shared" si="212"/>
        <v>2</v>
      </c>
      <c r="Y1897" s="15"/>
      <c r="Z1897" s="177"/>
      <c r="AA1897" s="170"/>
      <c r="AB1897" s="170"/>
      <c r="AC1897" s="170"/>
      <c r="AD1897" s="170"/>
      <c r="AE1897" s="15"/>
      <c r="AF1897" s="177"/>
      <c r="AG1897" s="177">
        <f t="shared" si="213"/>
        <v>0</v>
      </c>
      <c r="AH1897" s="177">
        <f t="shared" si="214"/>
        <v>0</v>
      </c>
      <c r="AK1897" s="176"/>
      <c r="AL1897" s="176"/>
    </row>
    <row r="1898" spans="1:38" ht="36" customHeight="1" x14ac:dyDescent="0.2">
      <c r="A1898" s="176"/>
      <c r="B1898" s="212"/>
      <c r="C1898" s="14"/>
      <c r="D1898" s="14"/>
      <c r="E1898" s="14"/>
      <c r="F1898" s="14"/>
      <c r="G1898" s="179">
        <v>681897</v>
      </c>
      <c r="H1898" s="176"/>
      <c r="I1898" s="176"/>
      <c r="J1898" s="176"/>
      <c r="K1898" s="176"/>
      <c r="L1898" s="40"/>
      <c r="M1898" s="40"/>
      <c r="N1898" s="14"/>
      <c r="O1898" s="14"/>
      <c r="P1898" s="14"/>
      <c r="Q1898" s="14"/>
      <c r="R1898" s="17"/>
      <c r="S1898" s="172"/>
      <c r="T1898" s="17"/>
      <c r="U1898" s="14"/>
      <c r="V1898" s="16">
        <f t="shared" si="210"/>
        <v>0</v>
      </c>
      <c r="W1898" s="16">
        <f t="shared" si="211"/>
        <v>7</v>
      </c>
      <c r="X1898" s="16">
        <f t="shared" si="212"/>
        <v>2</v>
      </c>
      <c r="Y1898" s="15"/>
      <c r="Z1898" s="177"/>
      <c r="AA1898" s="170"/>
      <c r="AB1898" s="170"/>
      <c r="AC1898" s="170"/>
      <c r="AD1898" s="170"/>
      <c r="AE1898" s="15"/>
      <c r="AF1898" s="177"/>
      <c r="AG1898" s="177">
        <f t="shared" si="213"/>
        <v>0</v>
      </c>
      <c r="AH1898" s="177">
        <f t="shared" si="214"/>
        <v>0</v>
      </c>
      <c r="AK1898" s="176"/>
      <c r="AL1898" s="176"/>
    </row>
    <row r="1899" spans="1:38" ht="36" customHeight="1" x14ac:dyDescent="0.2">
      <c r="A1899" s="176"/>
      <c r="B1899" s="212"/>
      <c r="C1899" s="14"/>
      <c r="D1899" s="14"/>
      <c r="E1899" s="14"/>
      <c r="F1899" s="14"/>
      <c r="G1899" s="179">
        <v>681898</v>
      </c>
      <c r="H1899" s="176"/>
      <c r="I1899" s="176"/>
      <c r="J1899" s="176"/>
      <c r="K1899" s="176"/>
      <c r="L1899" s="40"/>
      <c r="M1899" s="40"/>
      <c r="N1899" s="14"/>
      <c r="O1899" s="14"/>
      <c r="P1899" s="14"/>
      <c r="Q1899" s="14"/>
      <c r="R1899" s="17"/>
      <c r="S1899" s="172"/>
      <c r="T1899" s="17"/>
      <c r="U1899" s="14"/>
      <c r="V1899" s="16">
        <f t="shared" si="210"/>
        <v>0</v>
      </c>
      <c r="W1899" s="16">
        <f t="shared" si="211"/>
        <v>7</v>
      </c>
      <c r="X1899" s="16">
        <f t="shared" si="212"/>
        <v>2</v>
      </c>
      <c r="Y1899" s="15"/>
      <c r="Z1899" s="177"/>
      <c r="AA1899" s="170"/>
      <c r="AB1899" s="170"/>
      <c r="AC1899" s="170"/>
      <c r="AD1899" s="170"/>
      <c r="AE1899" s="15"/>
      <c r="AF1899" s="177"/>
      <c r="AG1899" s="177">
        <f t="shared" si="213"/>
        <v>0</v>
      </c>
      <c r="AH1899" s="177">
        <f t="shared" si="214"/>
        <v>0</v>
      </c>
      <c r="AK1899" s="176"/>
      <c r="AL1899" s="176"/>
    </row>
    <row r="1900" spans="1:38" ht="36" customHeight="1" x14ac:dyDescent="0.2">
      <c r="A1900" s="176"/>
      <c r="B1900" s="212"/>
      <c r="C1900" s="14"/>
      <c r="D1900" s="14"/>
      <c r="E1900" s="14"/>
      <c r="F1900" s="14"/>
      <c r="G1900" s="179">
        <v>681899</v>
      </c>
      <c r="H1900" s="176"/>
      <c r="I1900" s="176"/>
      <c r="J1900" s="176"/>
      <c r="K1900" s="176"/>
      <c r="L1900" s="40"/>
      <c r="M1900" s="40"/>
      <c r="N1900" s="14"/>
      <c r="O1900" s="14"/>
      <c r="P1900" s="14"/>
      <c r="Q1900" s="14"/>
      <c r="R1900" s="17"/>
      <c r="S1900" s="172"/>
      <c r="T1900" s="17"/>
      <c r="U1900" s="14"/>
      <c r="V1900" s="16">
        <f t="shared" si="210"/>
        <v>0</v>
      </c>
      <c r="W1900" s="16">
        <f t="shared" si="211"/>
        <v>7</v>
      </c>
      <c r="X1900" s="16">
        <f t="shared" si="212"/>
        <v>2</v>
      </c>
      <c r="Y1900" s="15"/>
      <c r="Z1900" s="177"/>
      <c r="AA1900" s="170"/>
      <c r="AB1900" s="170"/>
      <c r="AC1900" s="170"/>
      <c r="AD1900" s="170"/>
      <c r="AE1900" s="15"/>
      <c r="AF1900" s="177"/>
      <c r="AG1900" s="177">
        <f t="shared" si="213"/>
        <v>0</v>
      </c>
      <c r="AH1900" s="177">
        <f t="shared" si="214"/>
        <v>0</v>
      </c>
      <c r="AK1900" s="176"/>
      <c r="AL1900" s="176"/>
    </row>
    <row r="1901" spans="1:38" ht="36" customHeight="1" x14ac:dyDescent="0.2">
      <c r="A1901" s="176"/>
      <c r="B1901" s="212"/>
      <c r="C1901" s="14"/>
      <c r="D1901" s="14"/>
      <c r="E1901" s="14"/>
      <c r="F1901" s="14"/>
      <c r="G1901" s="179">
        <v>681900</v>
      </c>
      <c r="H1901" s="176"/>
      <c r="I1901" s="176"/>
      <c r="J1901" s="176"/>
      <c r="K1901" s="176"/>
      <c r="L1901" s="40"/>
      <c r="M1901" s="40"/>
      <c r="N1901" s="14"/>
      <c r="O1901" s="14"/>
      <c r="P1901" s="14"/>
      <c r="Q1901" s="14"/>
      <c r="R1901" s="17"/>
      <c r="S1901" s="172"/>
      <c r="T1901" s="17"/>
      <c r="U1901" s="14"/>
      <c r="V1901" s="16">
        <f t="shared" si="210"/>
        <v>0</v>
      </c>
      <c r="W1901" s="16">
        <f t="shared" si="211"/>
        <v>7</v>
      </c>
      <c r="X1901" s="16">
        <f t="shared" si="212"/>
        <v>2</v>
      </c>
      <c r="Y1901" s="15"/>
      <c r="Z1901" s="177"/>
      <c r="AA1901" s="170"/>
      <c r="AB1901" s="170"/>
      <c r="AC1901" s="170"/>
      <c r="AD1901" s="170"/>
      <c r="AE1901" s="15"/>
      <c r="AF1901" s="177"/>
      <c r="AG1901" s="177">
        <f t="shared" si="213"/>
        <v>0</v>
      </c>
      <c r="AH1901" s="177">
        <f t="shared" si="214"/>
        <v>0</v>
      </c>
      <c r="AK1901" s="176"/>
      <c r="AL1901" s="176"/>
    </row>
    <row r="1902" spans="1:38" ht="36" customHeight="1" x14ac:dyDescent="0.2">
      <c r="A1902" s="176"/>
      <c r="B1902" s="212"/>
      <c r="C1902" s="14"/>
      <c r="D1902" s="14"/>
      <c r="E1902" s="14"/>
      <c r="F1902" s="14"/>
      <c r="G1902" s="179">
        <v>681901</v>
      </c>
      <c r="H1902" s="176"/>
      <c r="I1902" s="176"/>
      <c r="J1902" s="176"/>
      <c r="K1902" s="176"/>
      <c r="L1902" s="40"/>
      <c r="M1902" s="40"/>
      <c r="N1902" s="14"/>
      <c r="O1902" s="14"/>
      <c r="P1902" s="14"/>
      <c r="Q1902" s="14"/>
      <c r="R1902" s="17"/>
      <c r="S1902" s="172"/>
      <c r="T1902" s="17"/>
      <c r="U1902" s="14"/>
      <c r="V1902" s="16">
        <f t="shared" si="210"/>
        <v>0</v>
      </c>
      <c r="W1902" s="16">
        <f t="shared" si="211"/>
        <v>7</v>
      </c>
      <c r="X1902" s="16">
        <f t="shared" si="212"/>
        <v>2</v>
      </c>
      <c r="Y1902" s="15"/>
      <c r="Z1902" s="177"/>
      <c r="AA1902" s="170"/>
      <c r="AB1902" s="170"/>
      <c r="AC1902" s="170"/>
      <c r="AD1902" s="170"/>
      <c r="AE1902" s="15"/>
      <c r="AF1902" s="177"/>
      <c r="AG1902" s="177">
        <f t="shared" si="213"/>
        <v>0</v>
      </c>
      <c r="AH1902" s="177">
        <f t="shared" si="214"/>
        <v>0</v>
      </c>
      <c r="AK1902" s="176"/>
      <c r="AL1902" s="176"/>
    </row>
    <row r="1903" spans="1:38" ht="36" customHeight="1" x14ac:dyDescent="0.2">
      <c r="A1903" s="176"/>
      <c r="B1903" s="212"/>
      <c r="C1903" s="14"/>
      <c r="D1903" s="14"/>
      <c r="E1903" s="14"/>
      <c r="F1903" s="14"/>
      <c r="G1903" s="179">
        <v>681902</v>
      </c>
      <c r="H1903" s="176"/>
      <c r="I1903" s="176"/>
      <c r="J1903" s="176"/>
      <c r="K1903" s="176"/>
      <c r="L1903" s="40"/>
      <c r="M1903" s="40"/>
      <c r="N1903" s="14"/>
      <c r="O1903" s="14"/>
      <c r="P1903" s="14"/>
      <c r="Q1903" s="14"/>
      <c r="R1903" s="17"/>
      <c r="S1903" s="172"/>
      <c r="T1903" s="17"/>
      <c r="U1903" s="14"/>
      <c r="V1903" s="16">
        <f t="shared" si="210"/>
        <v>0</v>
      </c>
      <c r="W1903" s="16">
        <f t="shared" si="211"/>
        <v>7</v>
      </c>
      <c r="X1903" s="16">
        <f t="shared" si="212"/>
        <v>2</v>
      </c>
      <c r="Y1903" s="15"/>
      <c r="Z1903" s="177"/>
      <c r="AA1903" s="170"/>
      <c r="AB1903" s="170"/>
      <c r="AC1903" s="170"/>
      <c r="AD1903" s="170"/>
      <c r="AE1903" s="15"/>
      <c r="AF1903" s="177"/>
      <c r="AG1903" s="177">
        <f t="shared" si="213"/>
        <v>0</v>
      </c>
      <c r="AH1903" s="177">
        <f t="shared" si="214"/>
        <v>0</v>
      </c>
      <c r="AK1903" s="176"/>
      <c r="AL1903" s="176"/>
    </row>
    <row r="1904" spans="1:38" ht="36" customHeight="1" x14ac:dyDescent="0.2">
      <c r="A1904" s="176"/>
      <c r="B1904" s="212"/>
      <c r="C1904" s="14"/>
      <c r="D1904" s="14"/>
      <c r="E1904" s="14"/>
      <c r="F1904" s="14"/>
      <c r="G1904" s="179">
        <v>681903</v>
      </c>
      <c r="H1904" s="176"/>
      <c r="I1904" s="176"/>
      <c r="J1904" s="176"/>
      <c r="K1904" s="176"/>
      <c r="L1904" s="40"/>
      <c r="M1904" s="40"/>
      <c r="N1904" s="14"/>
      <c r="O1904" s="14"/>
      <c r="P1904" s="14"/>
      <c r="Q1904" s="14"/>
      <c r="R1904" s="17"/>
      <c r="S1904" s="172"/>
      <c r="T1904" s="17"/>
      <c r="U1904" s="14"/>
      <c r="V1904" s="16">
        <f t="shared" si="210"/>
        <v>0</v>
      </c>
      <c r="W1904" s="16">
        <f t="shared" si="211"/>
        <v>7</v>
      </c>
      <c r="X1904" s="16">
        <f t="shared" si="212"/>
        <v>2</v>
      </c>
      <c r="Y1904" s="15"/>
      <c r="Z1904" s="177"/>
      <c r="AA1904" s="170"/>
      <c r="AB1904" s="170"/>
      <c r="AC1904" s="170"/>
      <c r="AD1904" s="170"/>
      <c r="AE1904" s="15"/>
      <c r="AF1904" s="177"/>
      <c r="AG1904" s="177">
        <f t="shared" si="213"/>
        <v>0</v>
      </c>
      <c r="AH1904" s="177">
        <f t="shared" si="214"/>
        <v>0</v>
      </c>
      <c r="AK1904" s="176"/>
      <c r="AL1904" s="176"/>
    </row>
    <row r="1905" spans="1:38" ht="36" customHeight="1" x14ac:dyDescent="0.2">
      <c r="A1905" s="176"/>
      <c r="B1905" s="212"/>
      <c r="C1905" s="14"/>
      <c r="D1905" s="14"/>
      <c r="E1905" s="14"/>
      <c r="F1905" s="14"/>
      <c r="G1905" s="179">
        <v>681904</v>
      </c>
      <c r="H1905" s="176"/>
      <c r="I1905" s="176"/>
      <c r="J1905" s="176"/>
      <c r="K1905" s="176"/>
      <c r="L1905" s="40"/>
      <c r="M1905" s="40"/>
      <c r="N1905" s="14"/>
      <c r="O1905" s="14"/>
      <c r="P1905" s="14"/>
      <c r="Q1905" s="14"/>
      <c r="R1905" s="17"/>
      <c r="S1905" s="172"/>
      <c r="T1905" s="17"/>
      <c r="U1905" s="14"/>
      <c r="V1905" s="16">
        <f t="shared" si="210"/>
        <v>0</v>
      </c>
      <c r="W1905" s="16">
        <f t="shared" si="211"/>
        <v>7</v>
      </c>
      <c r="X1905" s="16">
        <f t="shared" si="212"/>
        <v>2</v>
      </c>
      <c r="Y1905" s="15"/>
      <c r="Z1905" s="177"/>
      <c r="AA1905" s="170"/>
      <c r="AB1905" s="170"/>
      <c r="AC1905" s="170"/>
      <c r="AD1905" s="170"/>
      <c r="AE1905" s="15"/>
      <c r="AF1905" s="177"/>
      <c r="AG1905" s="177">
        <f t="shared" si="213"/>
        <v>0</v>
      </c>
      <c r="AH1905" s="177">
        <f t="shared" si="214"/>
        <v>0</v>
      </c>
      <c r="AK1905" s="176"/>
      <c r="AL1905" s="176"/>
    </row>
    <row r="1906" spans="1:38" ht="36" customHeight="1" x14ac:dyDescent="0.2">
      <c r="A1906" s="176"/>
      <c r="B1906" s="212"/>
      <c r="C1906" s="14"/>
      <c r="D1906" s="14"/>
      <c r="E1906" s="14"/>
      <c r="F1906" s="14"/>
      <c r="G1906" s="179">
        <v>681905</v>
      </c>
      <c r="H1906" s="176"/>
      <c r="I1906" s="176"/>
      <c r="J1906" s="176"/>
      <c r="K1906" s="176"/>
      <c r="L1906" s="40"/>
      <c r="M1906" s="40"/>
      <c r="N1906" s="14"/>
      <c r="O1906" s="14"/>
      <c r="P1906" s="14"/>
      <c r="Q1906" s="14"/>
      <c r="R1906" s="17"/>
      <c r="S1906" s="172"/>
      <c r="T1906" s="17"/>
      <c r="U1906" s="14"/>
      <c r="V1906" s="16">
        <f t="shared" si="210"/>
        <v>0</v>
      </c>
      <c r="W1906" s="16">
        <f t="shared" si="211"/>
        <v>7</v>
      </c>
      <c r="X1906" s="16">
        <f t="shared" si="212"/>
        <v>2</v>
      </c>
      <c r="Y1906" s="15"/>
      <c r="Z1906" s="177"/>
      <c r="AA1906" s="170"/>
      <c r="AB1906" s="170"/>
      <c r="AC1906" s="170"/>
      <c r="AD1906" s="170"/>
      <c r="AE1906" s="15"/>
      <c r="AF1906" s="177"/>
      <c r="AG1906" s="177">
        <f t="shared" si="213"/>
        <v>0</v>
      </c>
      <c r="AH1906" s="177">
        <f t="shared" si="214"/>
        <v>0</v>
      </c>
      <c r="AK1906" s="176"/>
      <c r="AL1906" s="176"/>
    </row>
    <row r="1907" spans="1:38" ht="36" customHeight="1" x14ac:dyDescent="0.2">
      <c r="A1907" s="176"/>
      <c r="B1907" s="212"/>
      <c r="C1907" s="14"/>
      <c r="D1907" s="14"/>
      <c r="E1907" s="14"/>
      <c r="F1907" s="14"/>
      <c r="G1907" s="179">
        <v>681906</v>
      </c>
      <c r="H1907" s="176"/>
      <c r="I1907" s="176"/>
      <c r="J1907" s="176"/>
      <c r="K1907" s="176"/>
      <c r="L1907" s="40"/>
      <c r="M1907" s="40"/>
      <c r="N1907" s="14"/>
      <c r="O1907" s="14"/>
      <c r="P1907" s="14"/>
      <c r="Q1907" s="14"/>
      <c r="R1907" s="17"/>
      <c r="S1907" s="172"/>
      <c r="T1907" s="17"/>
      <c r="U1907" s="14"/>
      <c r="V1907" s="16">
        <f t="shared" si="210"/>
        <v>0</v>
      </c>
      <c r="W1907" s="16">
        <f t="shared" si="211"/>
        <v>7</v>
      </c>
      <c r="X1907" s="16">
        <f t="shared" si="212"/>
        <v>2</v>
      </c>
      <c r="Y1907" s="15"/>
      <c r="Z1907" s="177"/>
      <c r="AA1907" s="170"/>
      <c r="AB1907" s="170"/>
      <c r="AC1907" s="170"/>
      <c r="AD1907" s="170"/>
      <c r="AE1907" s="15"/>
      <c r="AF1907" s="177"/>
      <c r="AG1907" s="177">
        <f t="shared" si="213"/>
        <v>0</v>
      </c>
      <c r="AH1907" s="177">
        <f t="shared" si="214"/>
        <v>0</v>
      </c>
      <c r="AK1907" s="176"/>
      <c r="AL1907" s="176"/>
    </row>
    <row r="1908" spans="1:38" ht="36" customHeight="1" x14ac:dyDescent="0.2">
      <c r="A1908" s="176"/>
      <c r="B1908" s="212"/>
      <c r="C1908" s="14"/>
      <c r="D1908" s="14"/>
      <c r="E1908" s="14"/>
      <c r="F1908" s="14"/>
      <c r="G1908" s="179">
        <v>681907</v>
      </c>
      <c r="H1908" s="176"/>
      <c r="I1908" s="176"/>
      <c r="J1908" s="176"/>
      <c r="K1908" s="176"/>
      <c r="L1908" s="40"/>
      <c r="M1908" s="40"/>
      <c r="N1908" s="14"/>
      <c r="O1908" s="14"/>
      <c r="P1908" s="14"/>
      <c r="Q1908" s="14"/>
      <c r="R1908" s="17"/>
      <c r="S1908" s="172"/>
      <c r="T1908" s="17"/>
      <c r="U1908" s="14"/>
      <c r="V1908" s="16">
        <f t="shared" si="210"/>
        <v>0</v>
      </c>
      <c r="W1908" s="16">
        <f t="shared" si="211"/>
        <v>7</v>
      </c>
      <c r="X1908" s="16">
        <f t="shared" si="212"/>
        <v>2</v>
      </c>
      <c r="Y1908" s="15"/>
      <c r="Z1908" s="177"/>
      <c r="AA1908" s="170"/>
      <c r="AB1908" s="170"/>
      <c r="AC1908" s="170"/>
      <c r="AD1908" s="170"/>
      <c r="AE1908" s="15"/>
      <c r="AF1908" s="177"/>
      <c r="AG1908" s="177">
        <f t="shared" si="213"/>
        <v>0</v>
      </c>
      <c r="AH1908" s="177">
        <f t="shared" si="214"/>
        <v>0</v>
      </c>
      <c r="AK1908" s="176"/>
      <c r="AL1908" s="176"/>
    </row>
    <row r="1909" spans="1:38" ht="36" customHeight="1" x14ac:dyDescent="0.2">
      <c r="A1909" s="176"/>
      <c r="B1909" s="212"/>
      <c r="C1909" s="14"/>
      <c r="D1909" s="14"/>
      <c r="E1909" s="14"/>
      <c r="F1909" s="14"/>
      <c r="G1909" s="179">
        <v>681908</v>
      </c>
      <c r="H1909" s="176"/>
      <c r="I1909" s="176"/>
      <c r="J1909" s="176"/>
      <c r="K1909" s="176"/>
      <c r="L1909" s="40"/>
      <c r="M1909" s="40"/>
      <c r="N1909" s="14"/>
      <c r="O1909" s="14"/>
      <c r="P1909" s="14"/>
      <c r="Q1909" s="14"/>
      <c r="R1909" s="17"/>
      <c r="S1909" s="172"/>
      <c r="T1909" s="17"/>
      <c r="U1909" s="14"/>
      <c r="V1909" s="16">
        <f t="shared" si="210"/>
        <v>0</v>
      </c>
      <c r="W1909" s="16">
        <f t="shared" si="211"/>
        <v>7</v>
      </c>
      <c r="X1909" s="16">
        <f t="shared" si="212"/>
        <v>2</v>
      </c>
      <c r="Y1909" s="15"/>
      <c r="Z1909" s="177"/>
      <c r="AA1909" s="170"/>
      <c r="AB1909" s="170"/>
      <c r="AC1909" s="170"/>
      <c r="AD1909" s="170"/>
      <c r="AE1909" s="15"/>
      <c r="AF1909" s="177"/>
      <c r="AG1909" s="177">
        <f t="shared" si="213"/>
        <v>0</v>
      </c>
      <c r="AH1909" s="177">
        <f t="shared" si="214"/>
        <v>0</v>
      </c>
      <c r="AK1909" s="176"/>
      <c r="AL1909" s="176"/>
    </row>
    <row r="1910" spans="1:38" ht="36" customHeight="1" x14ac:dyDescent="0.2">
      <c r="A1910" s="176"/>
      <c r="B1910" s="212"/>
      <c r="C1910" s="14"/>
      <c r="D1910" s="14"/>
      <c r="E1910" s="14"/>
      <c r="F1910" s="14"/>
      <c r="G1910" s="179">
        <v>681909</v>
      </c>
      <c r="H1910" s="176"/>
      <c r="I1910" s="176"/>
      <c r="J1910" s="176"/>
      <c r="K1910" s="176"/>
      <c r="L1910" s="40"/>
      <c r="M1910" s="40"/>
      <c r="N1910" s="14"/>
      <c r="O1910" s="14"/>
      <c r="P1910" s="14"/>
      <c r="Q1910" s="14"/>
      <c r="R1910" s="17"/>
      <c r="S1910" s="172"/>
      <c r="T1910" s="17"/>
      <c r="U1910" s="14"/>
      <c r="V1910" s="16">
        <f t="shared" si="210"/>
        <v>0</v>
      </c>
      <c r="W1910" s="16">
        <f t="shared" si="211"/>
        <v>7</v>
      </c>
      <c r="X1910" s="16">
        <f t="shared" si="212"/>
        <v>2</v>
      </c>
      <c r="Y1910" s="15"/>
      <c r="Z1910" s="177"/>
      <c r="AA1910" s="170"/>
      <c r="AB1910" s="170"/>
      <c r="AC1910" s="170"/>
      <c r="AD1910" s="170"/>
      <c r="AE1910" s="15"/>
      <c r="AF1910" s="177"/>
      <c r="AG1910" s="177">
        <f t="shared" si="213"/>
        <v>0</v>
      </c>
      <c r="AH1910" s="177">
        <f t="shared" si="214"/>
        <v>0</v>
      </c>
      <c r="AK1910" s="176"/>
      <c r="AL1910" s="176"/>
    </row>
    <row r="1911" spans="1:38" ht="36" customHeight="1" x14ac:dyDescent="0.2">
      <c r="A1911" s="176"/>
      <c r="B1911" s="212"/>
      <c r="C1911" s="14"/>
      <c r="D1911" s="14"/>
      <c r="E1911" s="14"/>
      <c r="F1911" s="14"/>
      <c r="G1911" s="179">
        <v>681910</v>
      </c>
      <c r="H1911" s="176"/>
      <c r="I1911" s="176"/>
      <c r="J1911" s="176"/>
      <c r="K1911" s="176"/>
      <c r="L1911" s="40"/>
      <c r="M1911" s="40"/>
      <c r="N1911" s="14"/>
      <c r="O1911" s="14"/>
      <c r="P1911" s="14"/>
      <c r="Q1911" s="14"/>
      <c r="R1911" s="17"/>
      <c r="S1911" s="172"/>
      <c r="T1911" s="17"/>
      <c r="U1911" s="14"/>
      <c r="V1911" s="16">
        <f t="shared" si="210"/>
        <v>0</v>
      </c>
      <c r="W1911" s="16">
        <f t="shared" si="211"/>
        <v>7</v>
      </c>
      <c r="X1911" s="16">
        <f t="shared" si="212"/>
        <v>2</v>
      </c>
      <c r="Y1911" s="15"/>
      <c r="Z1911" s="177"/>
      <c r="AA1911" s="170"/>
      <c r="AB1911" s="170"/>
      <c r="AC1911" s="170"/>
      <c r="AD1911" s="170"/>
      <c r="AE1911" s="15"/>
      <c r="AF1911" s="177"/>
      <c r="AG1911" s="177">
        <f t="shared" si="213"/>
        <v>0</v>
      </c>
      <c r="AH1911" s="177">
        <f t="shared" si="214"/>
        <v>0</v>
      </c>
      <c r="AK1911" s="176"/>
      <c r="AL1911" s="176"/>
    </row>
    <row r="1912" spans="1:38" ht="36" customHeight="1" x14ac:dyDescent="0.2">
      <c r="A1912" s="176"/>
      <c r="B1912" s="212"/>
      <c r="C1912" s="14"/>
      <c r="D1912" s="14"/>
      <c r="E1912" s="14"/>
      <c r="F1912" s="14"/>
      <c r="G1912" s="179">
        <v>681911</v>
      </c>
      <c r="H1912" s="176"/>
      <c r="I1912" s="176"/>
      <c r="J1912" s="176"/>
      <c r="K1912" s="176"/>
      <c r="L1912" s="40"/>
      <c r="M1912" s="40"/>
      <c r="N1912" s="14"/>
      <c r="O1912" s="14"/>
      <c r="P1912" s="14"/>
      <c r="Q1912" s="14"/>
      <c r="R1912" s="17"/>
      <c r="S1912" s="172"/>
      <c r="T1912" s="17"/>
      <c r="U1912" s="14"/>
      <c r="V1912" s="16">
        <f t="shared" si="210"/>
        <v>0</v>
      </c>
      <c r="W1912" s="16">
        <f t="shared" si="211"/>
        <v>7</v>
      </c>
      <c r="X1912" s="16">
        <f t="shared" si="212"/>
        <v>2</v>
      </c>
      <c r="Y1912" s="15"/>
      <c r="Z1912" s="177"/>
      <c r="AA1912" s="170"/>
      <c r="AB1912" s="170"/>
      <c r="AC1912" s="170"/>
      <c r="AD1912" s="170"/>
      <c r="AE1912" s="15"/>
      <c r="AF1912" s="177"/>
      <c r="AG1912" s="177">
        <f t="shared" si="213"/>
        <v>0</v>
      </c>
      <c r="AH1912" s="177">
        <f t="shared" si="214"/>
        <v>0</v>
      </c>
      <c r="AK1912" s="176"/>
      <c r="AL1912" s="176"/>
    </row>
    <row r="1913" spans="1:38" ht="36" customHeight="1" x14ac:dyDescent="0.2">
      <c r="A1913" s="176"/>
      <c r="B1913" s="212"/>
      <c r="C1913" s="14"/>
      <c r="D1913" s="14"/>
      <c r="E1913" s="14"/>
      <c r="F1913" s="14"/>
      <c r="G1913" s="179">
        <v>681912</v>
      </c>
      <c r="H1913" s="176"/>
      <c r="I1913" s="176"/>
      <c r="J1913" s="176"/>
      <c r="K1913" s="176"/>
      <c r="L1913" s="40"/>
      <c r="M1913" s="40"/>
      <c r="N1913" s="14"/>
      <c r="O1913" s="14"/>
      <c r="P1913" s="14"/>
      <c r="Q1913" s="14"/>
      <c r="R1913" s="17"/>
      <c r="S1913" s="172"/>
      <c r="T1913" s="17"/>
      <c r="U1913" s="14"/>
      <c r="V1913" s="16">
        <f t="shared" si="210"/>
        <v>0</v>
      </c>
      <c r="W1913" s="16">
        <f t="shared" si="211"/>
        <v>7</v>
      </c>
      <c r="X1913" s="16">
        <f t="shared" si="212"/>
        <v>2</v>
      </c>
      <c r="Y1913" s="15"/>
      <c r="Z1913" s="177"/>
      <c r="AA1913" s="170"/>
      <c r="AB1913" s="170"/>
      <c r="AC1913" s="170"/>
      <c r="AD1913" s="170"/>
      <c r="AE1913" s="15"/>
      <c r="AF1913" s="177"/>
      <c r="AG1913" s="177">
        <f t="shared" si="213"/>
        <v>0</v>
      </c>
      <c r="AH1913" s="177">
        <f t="shared" si="214"/>
        <v>0</v>
      </c>
      <c r="AK1913" s="176"/>
      <c r="AL1913" s="176"/>
    </row>
    <row r="1914" spans="1:38" ht="36" customHeight="1" x14ac:dyDescent="0.2">
      <c r="A1914" s="176"/>
      <c r="B1914" s="212"/>
      <c r="C1914" s="14"/>
      <c r="D1914" s="14"/>
      <c r="E1914" s="14"/>
      <c r="F1914" s="14"/>
      <c r="G1914" s="179">
        <v>681913</v>
      </c>
      <c r="H1914" s="176"/>
      <c r="I1914" s="176"/>
      <c r="J1914" s="176"/>
      <c r="K1914" s="176"/>
      <c r="L1914" s="40"/>
      <c r="M1914" s="40"/>
      <c r="N1914" s="14"/>
      <c r="O1914" s="14"/>
      <c r="P1914" s="14"/>
      <c r="Q1914" s="14"/>
      <c r="R1914" s="17"/>
      <c r="S1914" s="172"/>
      <c r="T1914" s="17"/>
      <c r="U1914" s="14"/>
      <c r="V1914" s="16">
        <f t="shared" si="210"/>
        <v>0</v>
      </c>
      <c r="W1914" s="16">
        <f t="shared" si="211"/>
        <v>7</v>
      </c>
      <c r="X1914" s="16">
        <f t="shared" si="212"/>
        <v>2</v>
      </c>
      <c r="Y1914" s="15"/>
      <c r="Z1914" s="177"/>
      <c r="AA1914" s="170"/>
      <c r="AB1914" s="170"/>
      <c r="AC1914" s="170"/>
      <c r="AD1914" s="170"/>
      <c r="AE1914" s="15"/>
      <c r="AF1914" s="177"/>
      <c r="AG1914" s="177">
        <f t="shared" si="213"/>
        <v>0</v>
      </c>
      <c r="AH1914" s="177">
        <f t="shared" si="214"/>
        <v>0</v>
      </c>
      <c r="AK1914" s="176"/>
      <c r="AL1914" s="176"/>
    </row>
    <row r="1915" spans="1:38" ht="36" customHeight="1" x14ac:dyDescent="0.2">
      <c r="A1915" s="176"/>
      <c r="B1915" s="212"/>
      <c r="C1915" s="14"/>
      <c r="D1915" s="14"/>
      <c r="E1915" s="14"/>
      <c r="F1915" s="14"/>
      <c r="G1915" s="179">
        <v>681914</v>
      </c>
      <c r="H1915" s="176"/>
      <c r="I1915" s="176"/>
      <c r="J1915" s="176"/>
      <c r="K1915" s="176"/>
      <c r="L1915" s="40"/>
      <c r="M1915" s="40"/>
      <c r="N1915" s="14"/>
      <c r="O1915" s="14"/>
      <c r="P1915" s="14"/>
      <c r="Q1915" s="14"/>
      <c r="R1915" s="17"/>
      <c r="S1915" s="172"/>
      <c r="T1915" s="17"/>
      <c r="U1915" s="14"/>
      <c r="V1915" s="16">
        <f t="shared" si="210"/>
        <v>0</v>
      </c>
      <c r="W1915" s="16">
        <f t="shared" si="211"/>
        <v>7</v>
      </c>
      <c r="X1915" s="16">
        <f t="shared" si="212"/>
        <v>2</v>
      </c>
      <c r="Y1915" s="15"/>
      <c r="Z1915" s="177"/>
      <c r="AA1915" s="170"/>
      <c r="AB1915" s="170"/>
      <c r="AC1915" s="170"/>
      <c r="AD1915" s="170"/>
      <c r="AE1915" s="15"/>
      <c r="AF1915" s="177"/>
      <c r="AG1915" s="177">
        <f t="shared" si="213"/>
        <v>0</v>
      </c>
      <c r="AH1915" s="177">
        <f t="shared" si="214"/>
        <v>0</v>
      </c>
      <c r="AK1915" s="176"/>
      <c r="AL1915" s="176"/>
    </row>
    <row r="1916" spans="1:38" ht="36" customHeight="1" x14ac:dyDescent="0.2">
      <c r="A1916" s="176"/>
      <c r="B1916" s="212"/>
      <c r="C1916" s="14"/>
      <c r="D1916" s="14"/>
      <c r="E1916" s="14"/>
      <c r="F1916" s="14"/>
      <c r="G1916" s="179">
        <v>681915</v>
      </c>
      <c r="H1916" s="176"/>
      <c r="I1916" s="176"/>
      <c r="J1916" s="176"/>
      <c r="K1916" s="176"/>
      <c r="L1916" s="40"/>
      <c r="M1916" s="40"/>
      <c r="N1916" s="14"/>
      <c r="O1916" s="14"/>
      <c r="P1916" s="14"/>
      <c r="Q1916" s="14"/>
      <c r="R1916" s="17"/>
      <c r="S1916" s="172"/>
      <c r="T1916" s="17"/>
      <c r="U1916" s="14"/>
      <c r="V1916" s="16">
        <f t="shared" si="210"/>
        <v>0</v>
      </c>
      <c r="W1916" s="16">
        <f t="shared" si="211"/>
        <v>7</v>
      </c>
      <c r="X1916" s="16">
        <f t="shared" si="212"/>
        <v>2</v>
      </c>
      <c r="Y1916" s="15"/>
      <c r="Z1916" s="177"/>
      <c r="AA1916" s="170"/>
      <c r="AB1916" s="170"/>
      <c r="AC1916" s="170"/>
      <c r="AD1916" s="170"/>
      <c r="AE1916" s="15"/>
      <c r="AF1916" s="177"/>
      <c r="AG1916" s="177">
        <f t="shared" si="213"/>
        <v>0</v>
      </c>
      <c r="AH1916" s="177">
        <f t="shared" si="214"/>
        <v>0</v>
      </c>
      <c r="AK1916" s="176"/>
      <c r="AL1916" s="176"/>
    </row>
    <row r="1917" spans="1:38" ht="36" customHeight="1" x14ac:dyDescent="0.2">
      <c r="A1917" s="176"/>
      <c r="B1917" s="212"/>
      <c r="C1917" s="14"/>
      <c r="D1917" s="14"/>
      <c r="E1917" s="14"/>
      <c r="F1917" s="14"/>
      <c r="G1917" s="179">
        <v>681916</v>
      </c>
      <c r="H1917" s="176"/>
      <c r="I1917" s="176"/>
      <c r="J1917" s="176"/>
      <c r="K1917" s="176"/>
      <c r="L1917" s="40"/>
      <c r="M1917" s="40"/>
      <c r="N1917" s="14"/>
      <c r="O1917" s="14"/>
      <c r="P1917" s="14"/>
      <c r="Q1917" s="14"/>
      <c r="R1917" s="17"/>
      <c r="S1917" s="172"/>
      <c r="T1917" s="17"/>
      <c r="U1917" s="14"/>
      <c r="V1917" s="16">
        <f t="shared" si="210"/>
        <v>0</v>
      </c>
      <c r="W1917" s="16">
        <f t="shared" si="211"/>
        <v>7</v>
      </c>
      <c r="X1917" s="16">
        <f t="shared" si="212"/>
        <v>2</v>
      </c>
      <c r="Y1917" s="15"/>
      <c r="Z1917" s="177"/>
      <c r="AA1917" s="170"/>
      <c r="AB1917" s="170"/>
      <c r="AC1917" s="170"/>
      <c r="AD1917" s="170"/>
      <c r="AE1917" s="15"/>
      <c r="AF1917" s="177"/>
      <c r="AG1917" s="177">
        <f t="shared" si="213"/>
        <v>0</v>
      </c>
      <c r="AH1917" s="177">
        <f t="shared" si="214"/>
        <v>0</v>
      </c>
      <c r="AK1917" s="176"/>
      <c r="AL1917" s="176"/>
    </row>
    <row r="1918" spans="1:38" ht="36" customHeight="1" x14ac:dyDescent="0.2">
      <c r="A1918" s="176"/>
      <c r="B1918" s="212"/>
      <c r="C1918" s="14"/>
      <c r="D1918" s="14"/>
      <c r="E1918" s="14"/>
      <c r="F1918" s="14"/>
      <c r="G1918" s="179">
        <v>681917</v>
      </c>
      <c r="H1918" s="176"/>
      <c r="I1918" s="176"/>
      <c r="J1918" s="176"/>
      <c r="K1918" s="176"/>
      <c r="L1918" s="40"/>
      <c r="M1918" s="40"/>
      <c r="N1918" s="14"/>
      <c r="O1918" s="14"/>
      <c r="P1918" s="14"/>
      <c r="Q1918" s="14"/>
      <c r="R1918" s="17"/>
      <c r="S1918" s="172"/>
      <c r="T1918" s="17"/>
      <c r="U1918" s="14"/>
      <c r="V1918" s="16">
        <f t="shared" si="210"/>
        <v>0</v>
      </c>
      <c r="W1918" s="16">
        <f t="shared" si="211"/>
        <v>7</v>
      </c>
      <c r="X1918" s="16">
        <f t="shared" si="212"/>
        <v>2</v>
      </c>
      <c r="Y1918" s="15"/>
      <c r="Z1918" s="177"/>
      <c r="AA1918" s="170"/>
      <c r="AB1918" s="170"/>
      <c r="AC1918" s="170"/>
      <c r="AD1918" s="170"/>
      <c r="AE1918" s="15"/>
      <c r="AF1918" s="177"/>
      <c r="AG1918" s="177">
        <f t="shared" si="213"/>
        <v>0</v>
      </c>
      <c r="AH1918" s="177">
        <f t="shared" si="214"/>
        <v>0</v>
      </c>
      <c r="AK1918" s="176"/>
      <c r="AL1918" s="176"/>
    </row>
    <row r="1919" spans="1:38" ht="36" customHeight="1" x14ac:dyDescent="0.2">
      <c r="A1919" s="176"/>
      <c r="B1919" s="212"/>
      <c r="C1919" s="14"/>
      <c r="D1919" s="14"/>
      <c r="E1919" s="14"/>
      <c r="F1919" s="14"/>
      <c r="G1919" s="179">
        <v>681918</v>
      </c>
      <c r="H1919" s="176"/>
      <c r="I1919" s="176"/>
      <c r="J1919" s="176"/>
      <c r="K1919" s="176"/>
      <c r="L1919" s="40"/>
      <c r="M1919" s="40"/>
      <c r="N1919" s="14"/>
      <c r="O1919" s="14"/>
      <c r="P1919" s="14"/>
      <c r="Q1919" s="14"/>
      <c r="R1919" s="17"/>
      <c r="S1919" s="172"/>
      <c r="T1919" s="17"/>
      <c r="U1919" s="14"/>
      <c r="V1919" s="16">
        <f t="shared" si="210"/>
        <v>0</v>
      </c>
      <c r="W1919" s="16">
        <f t="shared" si="211"/>
        <v>7</v>
      </c>
      <c r="X1919" s="16">
        <f t="shared" si="212"/>
        <v>2</v>
      </c>
      <c r="Y1919" s="15"/>
      <c r="Z1919" s="177"/>
      <c r="AA1919" s="170"/>
      <c r="AB1919" s="170"/>
      <c r="AC1919" s="170"/>
      <c r="AD1919" s="170"/>
      <c r="AE1919" s="15"/>
      <c r="AF1919" s="177"/>
      <c r="AG1919" s="177">
        <f t="shared" si="213"/>
        <v>0</v>
      </c>
      <c r="AH1919" s="177">
        <f t="shared" si="214"/>
        <v>0</v>
      </c>
      <c r="AK1919" s="176"/>
      <c r="AL1919" s="176"/>
    </row>
    <row r="1920" spans="1:38" ht="36" customHeight="1" x14ac:dyDescent="0.2">
      <c r="A1920" s="176"/>
      <c r="B1920" s="212"/>
      <c r="C1920" s="14"/>
      <c r="D1920" s="14"/>
      <c r="E1920" s="14"/>
      <c r="F1920" s="14"/>
      <c r="G1920" s="179">
        <v>681919</v>
      </c>
      <c r="H1920" s="176"/>
      <c r="I1920" s="176"/>
      <c r="J1920" s="176"/>
      <c r="K1920" s="176"/>
      <c r="L1920" s="40"/>
      <c r="M1920" s="40"/>
      <c r="N1920" s="14"/>
      <c r="O1920" s="14"/>
      <c r="P1920" s="14"/>
      <c r="Q1920" s="14"/>
      <c r="R1920" s="17"/>
      <c r="S1920" s="172"/>
      <c r="T1920" s="17"/>
      <c r="U1920" s="14"/>
      <c r="V1920" s="16">
        <f t="shared" si="210"/>
        <v>0</v>
      </c>
      <c r="W1920" s="16">
        <f t="shared" si="211"/>
        <v>7</v>
      </c>
      <c r="X1920" s="16">
        <f t="shared" si="212"/>
        <v>2</v>
      </c>
      <c r="Y1920" s="15"/>
      <c r="Z1920" s="177"/>
      <c r="AA1920" s="170"/>
      <c r="AB1920" s="170"/>
      <c r="AC1920" s="170"/>
      <c r="AD1920" s="170"/>
      <c r="AE1920" s="15"/>
      <c r="AF1920" s="177"/>
      <c r="AG1920" s="177">
        <f t="shared" si="213"/>
        <v>0</v>
      </c>
      <c r="AH1920" s="177">
        <f t="shared" si="214"/>
        <v>0</v>
      </c>
      <c r="AK1920" s="176"/>
      <c r="AL1920" s="176"/>
    </row>
    <row r="1921" spans="1:38" ht="36" customHeight="1" x14ac:dyDescent="0.2">
      <c r="A1921" s="176"/>
      <c r="B1921" s="212"/>
      <c r="C1921" s="14"/>
      <c r="D1921" s="14"/>
      <c r="E1921" s="14"/>
      <c r="F1921" s="14"/>
      <c r="G1921" s="179">
        <v>681920</v>
      </c>
      <c r="H1921" s="176"/>
      <c r="I1921" s="176"/>
      <c r="J1921" s="176"/>
      <c r="K1921" s="176"/>
      <c r="L1921" s="40"/>
      <c r="M1921" s="40"/>
      <c r="N1921" s="14"/>
      <c r="O1921" s="14"/>
      <c r="P1921" s="14"/>
      <c r="Q1921" s="14"/>
      <c r="R1921" s="17"/>
      <c r="S1921" s="172"/>
      <c r="T1921" s="17"/>
      <c r="U1921" s="14"/>
      <c r="V1921" s="16">
        <f t="shared" ref="V1921:V1984" si="215">B1921</f>
        <v>0</v>
      </c>
      <c r="W1921" s="16">
        <f t="shared" ref="W1921:W1984" si="216">B1921+7</f>
        <v>7</v>
      </c>
      <c r="X1921" s="16">
        <f t="shared" ref="X1921:X1984" si="217">V1921+2</f>
        <v>2</v>
      </c>
      <c r="Y1921" s="15"/>
      <c r="Z1921" s="177"/>
      <c r="AA1921" s="170"/>
      <c r="AB1921" s="170"/>
      <c r="AC1921" s="170"/>
      <c r="AD1921" s="170"/>
      <c r="AE1921" s="15"/>
      <c r="AF1921" s="177"/>
      <c r="AG1921" s="177">
        <f t="shared" ref="AG1921:AG1984" si="218">AE1921</f>
        <v>0</v>
      </c>
      <c r="AH1921" s="177">
        <f t="shared" ref="AH1921:AH1984" si="219">AF1921</f>
        <v>0</v>
      </c>
      <c r="AK1921" s="176"/>
      <c r="AL1921" s="176"/>
    </row>
    <row r="1922" spans="1:38" ht="36" customHeight="1" x14ac:dyDescent="0.2">
      <c r="A1922" s="176"/>
      <c r="B1922" s="212"/>
      <c r="C1922" s="14"/>
      <c r="D1922" s="14"/>
      <c r="E1922" s="14"/>
      <c r="F1922" s="14"/>
      <c r="G1922" s="179">
        <v>681921</v>
      </c>
      <c r="H1922" s="176"/>
      <c r="I1922" s="176"/>
      <c r="J1922" s="176"/>
      <c r="K1922" s="176"/>
      <c r="L1922" s="40"/>
      <c r="M1922" s="40"/>
      <c r="N1922" s="14"/>
      <c r="O1922" s="14"/>
      <c r="P1922" s="14"/>
      <c r="Q1922" s="14"/>
      <c r="R1922" s="17"/>
      <c r="S1922" s="172"/>
      <c r="T1922" s="17"/>
      <c r="U1922" s="14"/>
      <c r="V1922" s="16">
        <f t="shared" si="215"/>
        <v>0</v>
      </c>
      <c r="W1922" s="16">
        <f t="shared" si="216"/>
        <v>7</v>
      </c>
      <c r="X1922" s="16">
        <f t="shared" si="217"/>
        <v>2</v>
      </c>
      <c r="Y1922" s="15"/>
      <c r="Z1922" s="177"/>
      <c r="AA1922" s="170"/>
      <c r="AB1922" s="170"/>
      <c r="AC1922" s="170"/>
      <c r="AD1922" s="170"/>
      <c r="AE1922" s="15"/>
      <c r="AF1922" s="177"/>
      <c r="AG1922" s="177">
        <f t="shared" si="218"/>
        <v>0</v>
      </c>
      <c r="AH1922" s="177">
        <f t="shared" si="219"/>
        <v>0</v>
      </c>
      <c r="AK1922" s="176"/>
      <c r="AL1922" s="176"/>
    </row>
    <row r="1923" spans="1:38" ht="36" customHeight="1" x14ac:dyDescent="0.2">
      <c r="A1923" s="176"/>
      <c r="B1923" s="212"/>
      <c r="C1923" s="14"/>
      <c r="D1923" s="14"/>
      <c r="E1923" s="14"/>
      <c r="F1923" s="14"/>
      <c r="G1923" s="179">
        <v>681922</v>
      </c>
      <c r="H1923" s="176"/>
      <c r="I1923" s="176"/>
      <c r="J1923" s="176"/>
      <c r="K1923" s="176"/>
      <c r="L1923" s="40"/>
      <c r="M1923" s="40"/>
      <c r="N1923" s="14"/>
      <c r="O1923" s="14"/>
      <c r="P1923" s="14"/>
      <c r="Q1923" s="14"/>
      <c r="R1923" s="17"/>
      <c r="S1923" s="172"/>
      <c r="T1923" s="17"/>
      <c r="U1923" s="14"/>
      <c r="V1923" s="16">
        <f t="shared" si="215"/>
        <v>0</v>
      </c>
      <c r="W1923" s="16">
        <f t="shared" si="216"/>
        <v>7</v>
      </c>
      <c r="X1923" s="16">
        <f t="shared" si="217"/>
        <v>2</v>
      </c>
      <c r="Y1923" s="15"/>
      <c r="Z1923" s="177"/>
      <c r="AA1923" s="170"/>
      <c r="AB1923" s="170"/>
      <c r="AC1923" s="170"/>
      <c r="AD1923" s="170"/>
      <c r="AE1923" s="15"/>
      <c r="AF1923" s="177"/>
      <c r="AG1923" s="177">
        <f t="shared" si="218"/>
        <v>0</v>
      </c>
      <c r="AH1923" s="177">
        <f t="shared" si="219"/>
        <v>0</v>
      </c>
      <c r="AK1923" s="176"/>
      <c r="AL1923" s="176"/>
    </row>
    <row r="1924" spans="1:38" ht="36" customHeight="1" x14ac:dyDescent="0.2">
      <c r="A1924" s="176"/>
      <c r="B1924" s="212"/>
      <c r="C1924" s="14"/>
      <c r="D1924" s="14"/>
      <c r="E1924" s="14"/>
      <c r="F1924" s="14"/>
      <c r="G1924" s="179">
        <v>681923</v>
      </c>
      <c r="H1924" s="176"/>
      <c r="I1924" s="176"/>
      <c r="J1924" s="176"/>
      <c r="K1924" s="176"/>
      <c r="L1924" s="40"/>
      <c r="M1924" s="40"/>
      <c r="N1924" s="14"/>
      <c r="O1924" s="14"/>
      <c r="P1924" s="14"/>
      <c r="Q1924" s="14"/>
      <c r="R1924" s="17"/>
      <c r="S1924" s="172"/>
      <c r="T1924" s="17"/>
      <c r="U1924" s="14"/>
      <c r="V1924" s="16">
        <f t="shared" si="215"/>
        <v>0</v>
      </c>
      <c r="W1924" s="16">
        <f t="shared" si="216"/>
        <v>7</v>
      </c>
      <c r="X1924" s="16">
        <f t="shared" si="217"/>
        <v>2</v>
      </c>
      <c r="Y1924" s="15"/>
      <c r="Z1924" s="177"/>
      <c r="AA1924" s="170"/>
      <c r="AB1924" s="170"/>
      <c r="AC1924" s="170"/>
      <c r="AD1924" s="170"/>
      <c r="AE1924" s="15"/>
      <c r="AF1924" s="177"/>
      <c r="AG1924" s="177">
        <f t="shared" si="218"/>
        <v>0</v>
      </c>
      <c r="AH1924" s="177">
        <f t="shared" si="219"/>
        <v>0</v>
      </c>
      <c r="AK1924" s="176"/>
      <c r="AL1924" s="176"/>
    </row>
    <row r="1925" spans="1:38" ht="36" customHeight="1" x14ac:dyDescent="0.2">
      <c r="A1925" s="176"/>
      <c r="B1925" s="212"/>
      <c r="C1925" s="14"/>
      <c r="D1925" s="14"/>
      <c r="E1925" s="14"/>
      <c r="F1925" s="14"/>
      <c r="G1925" s="179">
        <v>681924</v>
      </c>
      <c r="H1925" s="176"/>
      <c r="I1925" s="176"/>
      <c r="J1925" s="176"/>
      <c r="K1925" s="176"/>
      <c r="L1925" s="40"/>
      <c r="M1925" s="40"/>
      <c r="N1925" s="14"/>
      <c r="O1925" s="14"/>
      <c r="P1925" s="14"/>
      <c r="Q1925" s="14"/>
      <c r="R1925" s="17"/>
      <c r="S1925" s="172"/>
      <c r="T1925" s="17"/>
      <c r="U1925" s="14"/>
      <c r="V1925" s="16">
        <f t="shared" si="215"/>
        <v>0</v>
      </c>
      <c r="W1925" s="16">
        <f t="shared" si="216"/>
        <v>7</v>
      </c>
      <c r="X1925" s="16">
        <f t="shared" si="217"/>
        <v>2</v>
      </c>
      <c r="Y1925" s="15"/>
      <c r="Z1925" s="177"/>
      <c r="AA1925" s="170"/>
      <c r="AB1925" s="170"/>
      <c r="AC1925" s="170"/>
      <c r="AD1925" s="170"/>
      <c r="AE1925" s="15"/>
      <c r="AF1925" s="177"/>
      <c r="AG1925" s="177">
        <f t="shared" si="218"/>
        <v>0</v>
      </c>
      <c r="AH1925" s="177">
        <f t="shared" si="219"/>
        <v>0</v>
      </c>
      <c r="AK1925" s="176"/>
      <c r="AL1925" s="176"/>
    </row>
    <row r="1926" spans="1:38" ht="36" customHeight="1" x14ac:dyDescent="0.2">
      <c r="A1926" s="176"/>
      <c r="B1926" s="212"/>
      <c r="C1926" s="14"/>
      <c r="D1926" s="14"/>
      <c r="E1926" s="14"/>
      <c r="F1926" s="14"/>
      <c r="G1926" s="179">
        <v>681925</v>
      </c>
      <c r="H1926" s="176"/>
      <c r="I1926" s="176"/>
      <c r="J1926" s="176"/>
      <c r="K1926" s="176"/>
      <c r="L1926" s="40"/>
      <c r="M1926" s="40"/>
      <c r="N1926" s="14"/>
      <c r="O1926" s="14"/>
      <c r="P1926" s="14"/>
      <c r="Q1926" s="14"/>
      <c r="R1926" s="17"/>
      <c r="S1926" s="172"/>
      <c r="T1926" s="17"/>
      <c r="U1926" s="14"/>
      <c r="V1926" s="16">
        <f t="shared" si="215"/>
        <v>0</v>
      </c>
      <c r="W1926" s="16">
        <f t="shared" si="216"/>
        <v>7</v>
      </c>
      <c r="X1926" s="16">
        <f t="shared" si="217"/>
        <v>2</v>
      </c>
      <c r="Y1926" s="15"/>
      <c r="Z1926" s="177"/>
      <c r="AA1926" s="170"/>
      <c r="AB1926" s="170"/>
      <c r="AC1926" s="170"/>
      <c r="AD1926" s="170"/>
      <c r="AE1926" s="15"/>
      <c r="AF1926" s="177"/>
      <c r="AG1926" s="177">
        <f t="shared" si="218"/>
        <v>0</v>
      </c>
      <c r="AH1926" s="177">
        <f t="shared" si="219"/>
        <v>0</v>
      </c>
      <c r="AK1926" s="176"/>
      <c r="AL1926" s="176"/>
    </row>
    <row r="1927" spans="1:38" ht="36" customHeight="1" x14ac:dyDescent="0.2">
      <c r="A1927" s="176"/>
      <c r="B1927" s="212"/>
      <c r="C1927" s="14"/>
      <c r="D1927" s="14"/>
      <c r="E1927" s="14"/>
      <c r="F1927" s="14"/>
      <c r="G1927" s="179">
        <v>681926</v>
      </c>
      <c r="H1927" s="176"/>
      <c r="I1927" s="176"/>
      <c r="J1927" s="176"/>
      <c r="K1927" s="176"/>
      <c r="L1927" s="40"/>
      <c r="M1927" s="40"/>
      <c r="N1927" s="14"/>
      <c r="O1927" s="14"/>
      <c r="P1927" s="14"/>
      <c r="Q1927" s="14"/>
      <c r="R1927" s="17"/>
      <c r="S1927" s="172"/>
      <c r="T1927" s="17"/>
      <c r="U1927" s="14"/>
      <c r="V1927" s="16">
        <f t="shared" si="215"/>
        <v>0</v>
      </c>
      <c r="W1927" s="16">
        <f t="shared" si="216"/>
        <v>7</v>
      </c>
      <c r="X1927" s="16">
        <f t="shared" si="217"/>
        <v>2</v>
      </c>
      <c r="Y1927" s="15"/>
      <c r="Z1927" s="177"/>
      <c r="AA1927" s="170"/>
      <c r="AB1927" s="170"/>
      <c r="AC1927" s="170"/>
      <c r="AD1927" s="170"/>
      <c r="AE1927" s="15"/>
      <c r="AF1927" s="177"/>
      <c r="AG1927" s="177">
        <f t="shared" si="218"/>
        <v>0</v>
      </c>
      <c r="AH1927" s="177">
        <f t="shared" si="219"/>
        <v>0</v>
      </c>
      <c r="AK1927" s="176"/>
      <c r="AL1927" s="176"/>
    </row>
    <row r="1928" spans="1:38" ht="36" customHeight="1" x14ac:dyDescent="0.2">
      <c r="A1928" s="176"/>
      <c r="B1928" s="212"/>
      <c r="C1928" s="14"/>
      <c r="D1928" s="14"/>
      <c r="E1928" s="14"/>
      <c r="F1928" s="14"/>
      <c r="G1928" s="179">
        <v>681927</v>
      </c>
      <c r="H1928" s="176"/>
      <c r="I1928" s="176"/>
      <c r="J1928" s="176"/>
      <c r="K1928" s="176"/>
      <c r="L1928" s="40"/>
      <c r="M1928" s="40"/>
      <c r="N1928" s="14"/>
      <c r="O1928" s="14"/>
      <c r="P1928" s="14"/>
      <c r="Q1928" s="14"/>
      <c r="R1928" s="17"/>
      <c r="S1928" s="172"/>
      <c r="T1928" s="17"/>
      <c r="U1928" s="14"/>
      <c r="V1928" s="16">
        <f t="shared" si="215"/>
        <v>0</v>
      </c>
      <c r="W1928" s="16">
        <f t="shared" si="216"/>
        <v>7</v>
      </c>
      <c r="X1928" s="16">
        <f t="shared" si="217"/>
        <v>2</v>
      </c>
      <c r="Y1928" s="15"/>
      <c r="Z1928" s="177"/>
      <c r="AA1928" s="170"/>
      <c r="AB1928" s="170"/>
      <c r="AC1928" s="170"/>
      <c r="AD1928" s="170"/>
      <c r="AE1928" s="15"/>
      <c r="AF1928" s="177"/>
      <c r="AG1928" s="177">
        <f t="shared" si="218"/>
        <v>0</v>
      </c>
      <c r="AH1928" s="177">
        <f t="shared" si="219"/>
        <v>0</v>
      </c>
      <c r="AK1928" s="176"/>
      <c r="AL1928" s="176"/>
    </row>
    <row r="1929" spans="1:38" ht="36" customHeight="1" x14ac:dyDescent="0.2">
      <c r="A1929" s="176"/>
      <c r="B1929" s="212"/>
      <c r="C1929" s="14"/>
      <c r="D1929" s="14"/>
      <c r="E1929" s="14"/>
      <c r="F1929" s="14"/>
      <c r="G1929" s="179">
        <v>681928</v>
      </c>
      <c r="H1929" s="176"/>
      <c r="I1929" s="176"/>
      <c r="J1929" s="176"/>
      <c r="K1929" s="176"/>
      <c r="L1929" s="40"/>
      <c r="M1929" s="40"/>
      <c r="N1929" s="14"/>
      <c r="O1929" s="14"/>
      <c r="P1929" s="14"/>
      <c r="Q1929" s="14"/>
      <c r="R1929" s="17"/>
      <c r="S1929" s="172"/>
      <c r="T1929" s="17"/>
      <c r="U1929" s="14"/>
      <c r="V1929" s="16">
        <f t="shared" si="215"/>
        <v>0</v>
      </c>
      <c r="W1929" s="16">
        <f t="shared" si="216"/>
        <v>7</v>
      </c>
      <c r="X1929" s="16">
        <f t="shared" si="217"/>
        <v>2</v>
      </c>
      <c r="Y1929" s="15"/>
      <c r="Z1929" s="177"/>
      <c r="AA1929" s="170"/>
      <c r="AB1929" s="170"/>
      <c r="AC1929" s="170"/>
      <c r="AD1929" s="170"/>
      <c r="AE1929" s="15"/>
      <c r="AF1929" s="177"/>
      <c r="AG1929" s="177">
        <f t="shared" si="218"/>
        <v>0</v>
      </c>
      <c r="AH1929" s="177">
        <f t="shared" si="219"/>
        <v>0</v>
      </c>
      <c r="AK1929" s="176"/>
      <c r="AL1929" s="176"/>
    </row>
    <row r="1930" spans="1:38" ht="36" customHeight="1" x14ac:dyDescent="0.2">
      <c r="A1930" s="176"/>
      <c r="B1930" s="212"/>
      <c r="C1930" s="14"/>
      <c r="D1930" s="14"/>
      <c r="E1930" s="14"/>
      <c r="F1930" s="14"/>
      <c r="G1930" s="179">
        <v>681929</v>
      </c>
      <c r="H1930" s="176"/>
      <c r="I1930" s="176"/>
      <c r="J1930" s="176"/>
      <c r="K1930" s="176"/>
      <c r="L1930" s="40"/>
      <c r="M1930" s="40"/>
      <c r="N1930" s="14"/>
      <c r="O1930" s="14"/>
      <c r="P1930" s="14"/>
      <c r="Q1930" s="14"/>
      <c r="R1930" s="17"/>
      <c r="S1930" s="172"/>
      <c r="T1930" s="17"/>
      <c r="U1930" s="14"/>
      <c r="V1930" s="16">
        <f t="shared" si="215"/>
        <v>0</v>
      </c>
      <c r="W1930" s="16">
        <f t="shared" si="216"/>
        <v>7</v>
      </c>
      <c r="X1930" s="16">
        <f t="shared" si="217"/>
        <v>2</v>
      </c>
      <c r="Y1930" s="15"/>
      <c r="Z1930" s="177"/>
      <c r="AA1930" s="170"/>
      <c r="AB1930" s="170"/>
      <c r="AC1930" s="170"/>
      <c r="AD1930" s="170"/>
      <c r="AE1930" s="15"/>
      <c r="AF1930" s="177"/>
      <c r="AG1930" s="177">
        <f t="shared" si="218"/>
        <v>0</v>
      </c>
      <c r="AH1930" s="177">
        <f t="shared" si="219"/>
        <v>0</v>
      </c>
      <c r="AK1930" s="176"/>
      <c r="AL1930" s="176"/>
    </row>
    <row r="1931" spans="1:38" ht="36" customHeight="1" x14ac:dyDescent="0.2">
      <c r="A1931" s="176"/>
      <c r="B1931" s="212"/>
      <c r="C1931" s="14"/>
      <c r="D1931" s="14"/>
      <c r="E1931" s="14"/>
      <c r="F1931" s="14"/>
      <c r="G1931" s="179">
        <v>681930</v>
      </c>
      <c r="H1931" s="176"/>
      <c r="I1931" s="176"/>
      <c r="J1931" s="176"/>
      <c r="K1931" s="176"/>
      <c r="L1931" s="40"/>
      <c r="M1931" s="40"/>
      <c r="N1931" s="14"/>
      <c r="O1931" s="14"/>
      <c r="P1931" s="14"/>
      <c r="Q1931" s="14"/>
      <c r="R1931" s="17"/>
      <c r="S1931" s="172"/>
      <c r="T1931" s="17"/>
      <c r="U1931" s="14"/>
      <c r="V1931" s="16">
        <f t="shared" si="215"/>
        <v>0</v>
      </c>
      <c r="W1931" s="16">
        <f t="shared" si="216"/>
        <v>7</v>
      </c>
      <c r="X1931" s="16">
        <f t="shared" si="217"/>
        <v>2</v>
      </c>
      <c r="Y1931" s="15"/>
      <c r="Z1931" s="177"/>
      <c r="AA1931" s="170"/>
      <c r="AB1931" s="170"/>
      <c r="AC1931" s="170"/>
      <c r="AD1931" s="170"/>
      <c r="AE1931" s="15"/>
      <c r="AF1931" s="177"/>
      <c r="AG1931" s="177">
        <f t="shared" si="218"/>
        <v>0</v>
      </c>
      <c r="AH1931" s="177">
        <f t="shared" si="219"/>
        <v>0</v>
      </c>
      <c r="AK1931" s="176"/>
      <c r="AL1931" s="176"/>
    </row>
    <row r="1932" spans="1:38" ht="36" customHeight="1" x14ac:dyDescent="0.2">
      <c r="A1932" s="176"/>
      <c r="B1932" s="212"/>
      <c r="C1932" s="14"/>
      <c r="D1932" s="14"/>
      <c r="E1932" s="14"/>
      <c r="F1932" s="14"/>
      <c r="G1932" s="179">
        <v>681931</v>
      </c>
      <c r="H1932" s="176"/>
      <c r="I1932" s="176"/>
      <c r="J1932" s="176"/>
      <c r="K1932" s="176"/>
      <c r="L1932" s="40"/>
      <c r="M1932" s="40"/>
      <c r="N1932" s="14"/>
      <c r="O1932" s="14"/>
      <c r="P1932" s="14"/>
      <c r="Q1932" s="14"/>
      <c r="R1932" s="17"/>
      <c r="S1932" s="172"/>
      <c r="T1932" s="17"/>
      <c r="U1932" s="14"/>
      <c r="V1932" s="16">
        <f t="shared" si="215"/>
        <v>0</v>
      </c>
      <c r="W1932" s="16">
        <f t="shared" si="216"/>
        <v>7</v>
      </c>
      <c r="X1932" s="16">
        <f t="shared" si="217"/>
        <v>2</v>
      </c>
      <c r="Y1932" s="15"/>
      <c r="Z1932" s="177"/>
      <c r="AA1932" s="170"/>
      <c r="AB1932" s="170"/>
      <c r="AC1932" s="170"/>
      <c r="AD1932" s="170"/>
      <c r="AE1932" s="15"/>
      <c r="AF1932" s="177"/>
      <c r="AG1932" s="177">
        <f t="shared" si="218"/>
        <v>0</v>
      </c>
      <c r="AH1932" s="177">
        <f t="shared" si="219"/>
        <v>0</v>
      </c>
      <c r="AK1932" s="176"/>
      <c r="AL1932" s="176"/>
    </row>
    <row r="1933" spans="1:38" ht="36" customHeight="1" x14ac:dyDescent="0.2">
      <c r="A1933" s="176"/>
      <c r="B1933" s="212"/>
      <c r="C1933" s="14"/>
      <c r="D1933" s="14"/>
      <c r="E1933" s="14"/>
      <c r="F1933" s="14"/>
      <c r="G1933" s="179">
        <v>681932</v>
      </c>
      <c r="H1933" s="176"/>
      <c r="I1933" s="176"/>
      <c r="J1933" s="176"/>
      <c r="K1933" s="176"/>
      <c r="L1933" s="40"/>
      <c r="M1933" s="40"/>
      <c r="N1933" s="14"/>
      <c r="O1933" s="14"/>
      <c r="P1933" s="14"/>
      <c r="Q1933" s="14"/>
      <c r="R1933" s="17"/>
      <c r="S1933" s="172"/>
      <c r="T1933" s="17"/>
      <c r="U1933" s="14"/>
      <c r="V1933" s="16">
        <f t="shared" si="215"/>
        <v>0</v>
      </c>
      <c r="W1933" s="16">
        <f t="shared" si="216"/>
        <v>7</v>
      </c>
      <c r="X1933" s="16">
        <f t="shared" si="217"/>
        <v>2</v>
      </c>
      <c r="Y1933" s="15"/>
      <c r="Z1933" s="177"/>
      <c r="AA1933" s="170"/>
      <c r="AB1933" s="170"/>
      <c r="AC1933" s="170"/>
      <c r="AD1933" s="170"/>
      <c r="AE1933" s="15"/>
      <c r="AF1933" s="177"/>
      <c r="AG1933" s="177">
        <f t="shared" si="218"/>
        <v>0</v>
      </c>
      <c r="AH1933" s="177">
        <f t="shared" si="219"/>
        <v>0</v>
      </c>
      <c r="AK1933" s="176"/>
      <c r="AL1933" s="176"/>
    </row>
    <row r="1934" spans="1:38" ht="36" customHeight="1" x14ac:dyDescent="0.2">
      <c r="A1934" s="176"/>
      <c r="B1934" s="212"/>
      <c r="C1934" s="14"/>
      <c r="D1934" s="14"/>
      <c r="E1934" s="14"/>
      <c r="F1934" s="14"/>
      <c r="G1934" s="179">
        <v>681933</v>
      </c>
      <c r="H1934" s="176"/>
      <c r="I1934" s="176"/>
      <c r="J1934" s="176"/>
      <c r="K1934" s="176"/>
      <c r="L1934" s="40"/>
      <c r="M1934" s="40"/>
      <c r="N1934" s="14"/>
      <c r="O1934" s="14"/>
      <c r="P1934" s="14"/>
      <c r="Q1934" s="14"/>
      <c r="R1934" s="17"/>
      <c r="S1934" s="172"/>
      <c r="T1934" s="17"/>
      <c r="U1934" s="14"/>
      <c r="V1934" s="16">
        <f t="shared" si="215"/>
        <v>0</v>
      </c>
      <c r="W1934" s="16">
        <f t="shared" si="216"/>
        <v>7</v>
      </c>
      <c r="X1934" s="16">
        <f t="shared" si="217"/>
        <v>2</v>
      </c>
      <c r="Y1934" s="15"/>
      <c r="Z1934" s="177"/>
      <c r="AA1934" s="170"/>
      <c r="AB1934" s="170"/>
      <c r="AC1934" s="170"/>
      <c r="AD1934" s="170"/>
      <c r="AE1934" s="15"/>
      <c r="AF1934" s="177"/>
      <c r="AG1934" s="177">
        <f t="shared" si="218"/>
        <v>0</v>
      </c>
      <c r="AH1934" s="177">
        <f t="shared" si="219"/>
        <v>0</v>
      </c>
      <c r="AK1934" s="176"/>
      <c r="AL1934" s="176"/>
    </row>
    <row r="1935" spans="1:38" ht="36" customHeight="1" x14ac:dyDescent="0.2">
      <c r="A1935" s="176"/>
      <c r="B1935" s="212"/>
      <c r="C1935" s="14"/>
      <c r="D1935" s="14"/>
      <c r="E1935" s="14"/>
      <c r="F1935" s="14"/>
      <c r="G1935" s="179">
        <v>681934</v>
      </c>
      <c r="H1935" s="176"/>
      <c r="I1935" s="176"/>
      <c r="J1935" s="176"/>
      <c r="K1935" s="176"/>
      <c r="L1935" s="40"/>
      <c r="M1935" s="40"/>
      <c r="N1935" s="14"/>
      <c r="O1935" s="14"/>
      <c r="P1935" s="14"/>
      <c r="Q1935" s="14"/>
      <c r="R1935" s="17"/>
      <c r="S1935" s="172"/>
      <c r="T1935" s="17"/>
      <c r="U1935" s="14"/>
      <c r="V1935" s="16">
        <f t="shared" si="215"/>
        <v>0</v>
      </c>
      <c r="W1935" s="16">
        <f t="shared" si="216"/>
        <v>7</v>
      </c>
      <c r="X1935" s="16">
        <f t="shared" si="217"/>
        <v>2</v>
      </c>
      <c r="Y1935" s="15"/>
      <c r="Z1935" s="177"/>
      <c r="AA1935" s="170"/>
      <c r="AB1935" s="170"/>
      <c r="AC1935" s="170"/>
      <c r="AD1935" s="170"/>
      <c r="AE1935" s="15"/>
      <c r="AF1935" s="177"/>
      <c r="AG1935" s="177">
        <f t="shared" si="218"/>
        <v>0</v>
      </c>
      <c r="AH1935" s="177">
        <f t="shared" si="219"/>
        <v>0</v>
      </c>
      <c r="AK1935" s="176"/>
      <c r="AL1935" s="176"/>
    </row>
    <row r="1936" spans="1:38" ht="36" customHeight="1" x14ac:dyDescent="0.2">
      <c r="A1936" s="176"/>
      <c r="B1936" s="212"/>
      <c r="C1936" s="14"/>
      <c r="D1936" s="14"/>
      <c r="E1936" s="14"/>
      <c r="F1936" s="14"/>
      <c r="G1936" s="179">
        <v>681935</v>
      </c>
      <c r="H1936" s="176"/>
      <c r="I1936" s="176"/>
      <c r="J1936" s="176"/>
      <c r="K1936" s="176"/>
      <c r="L1936" s="40"/>
      <c r="M1936" s="40"/>
      <c r="N1936" s="14"/>
      <c r="O1936" s="14"/>
      <c r="P1936" s="14"/>
      <c r="Q1936" s="14"/>
      <c r="R1936" s="17"/>
      <c r="S1936" s="172"/>
      <c r="T1936" s="17"/>
      <c r="U1936" s="14"/>
      <c r="V1936" s="16">
        <f t="shared" si="215"/>
        <v>0</v>
      </c>
      <c r="W1936" s="16">
        <f t="shared" si="216"/>
        <v>7</v>
      </c>
      <c r="X1936" s="16">
        <f t="shared" si="217"/>
        <v>2</v>
      </c>
      <c r="Y1936" s="15"/>
      <c r="Z1936" s="177"/>
      <c r="AA1936" s="170"/>
      <c r="AB1936" s="170"/>
      <c r="AC1936" s="170"/>
      <c r="AD1936" s="170"/>
      <c r="AE1936" s="15"/>
      <c r="AF1936" s="177"/>
      <c r="AG1936" s="177">
        <f t="shared" si="218"/>
        <v>0</v>
      </c>
      <c r="AH1936" s="177">
        <f t="shared" si="219"/>
        <v>0</v>
      </c>
      <c r="AK1936" s="176"/>
      <c r="AL1936" s="176"/>
    </row>
    <row r="1937" spans="1:38" ht="36" customHeight="1" x14ac:dyDescent="0.2">
      <c r="A1937" s="176"/>
      <c r="B1937" s="212"/>
      <c r="C1937" s="14"/>
      <c r="D1937" s="14"/>
      <c r="E1937" s="14"/>
      <c r="F1937" s="14"/>
      <c r="G1937" s="179">
        <v>681936</v>
      </c>
      <c r="H1937" s="176"/>
      <c r="I1937" s="176"/>
      <c r="J1937" s="176"/>
      <c r="K1937" s="176"/>
      <c r="L1937" s="40"/>
      <c r="M1937" s="40"/>
      <c r="N1937" s="14"/>
      <c r="O1937" s="14"/>
      <c r="P1937" s="14"/>
      <c r="Q1937" s="14"/>
      <c r="R1937" s="17"/>
      <c r="S1937" s="172"/>
      <c r="T1937" s="17"/>
      <c r="U1937" s="14"/>
      <c r="V1937" s="16">
        <f t="shared" si="215"/>
        <v>0</v>
      </c>
      <c r="W1937" s="16">
        <f t="shared" si="216"/>
        <v>7</v>
      </c>
      <c r="X1937" s="16">
        <f t="shared" si="217"/>
        <v>2</v>
      </c>
      <c r="Y1937" s="15"/>
      <c r="Z1937" s="177"/>
      <c r="AA1937" s="170"/>
      <c r="AB1937" s="170"/>
      <c r="AC1937" s="170"/>
      <c r="AD1937" s="170"/>
      <c r="AE1937" s="15"/>
      <c r="AF1937" s="177"/>
      <c r="AG1937" s="177">
        <f t="shared" si="218"/>
        <v>0</v>
      </c>
      <c r="AH1937" s="177">
        <f t="shared" si="219"/>
        <v>0</v>
      </c>
      <c r="AK1937" s="176"/>
      <c r="AL1937" s="176"/>
    </row>
    <row r="1938" spans="1:38" ht="36" customHeight="1" x14ac:dyDescent="0.2">
      <c r="A1938" s="176"/>
      <c r="B1938" s="212"/>
      <c r="C1938" s="14"/>
      <c r="D1938" s="14"/>
      <c r="E1938" s="14"/>
      <c r="F1938" s="14"/>
      <c r="G1938" s="179">
        <v>681937</v>
      </c>
      <c r="H1938" s="176"/>
      <c r="I1938" s="176"/>
      <c r="J1938" s="176"/>
      <c r="K1938" s="176"/>
      <c r="L1938" s="40"/>
      <c r="M1938" s="40"/>
      <c r="N1938" s="14"/>
      <c r="O1938" s="14"/>
      <c r="P1938" s="14"/>
      <c r="Q1938" s="14"/>
      <c r="R1938" s="17"/>
      <c r="S1938" s="172"/>
      <c r="T1938" s="17"/>
      <c r="U1938" s="14"/>
      <c r="V1938" s="16">
        <f t="shared" si="215"/>
        <v>0</v>
      </c>
      <c r="W1938" s="16">
        <f t="shared" si="216"/>
        <v>7</v>
      </c>
      <c r="X1938" s="16">
        <f t="shared" si="217"/>
        <v>2</v>
      </c>
      <c r="Y1938" s="15"/>
      <c r="Z1938" s="177"/>
      <c r="AA1938" s="170"/>
      <c r="AB1938" s="170"/>
      <c r="AC1938" s="170"/>
      <c r="AD1938" s="170"/>
      <c r="AE1938" s="15"/>
      <c r="AF1938" s="177"/>
      <c r="AG1938" s="177">
        <f t="shared" si="218"/>
        <v>0</v>
      </c>
      <c r="AH1938" s="177">
        <f t="shared" si="219"/>
        <v>0</v>
      </c>
      <c r="AK1938" s="176"/>
      <c r="AL1938" s="176"/>
    </row>
    <row r="1939" spans="1:38" ht="36" customHeight="1" x14ac:dyDescent="0.2">
      <c r="A1939" s="176"/>
      <c r="B1939" s="212"/>
      <c r="C1939" s="14"/>
      <c r="D1939" s="14"/>
      <c r="E1939" s="14"/>
      <c r="F1939" s="14"/>
      <c r="G1939" s="179">
        <v>681938</v>
      </c>
      <c r="H1939" s="176"/>
      <c r="I1939" s="176"/>
      <c r="J1939" s="176"/>
      <c r="K1939" s="176"/>
      <c r="L1939" s="40"/>
      <c r="M1939" s="40"/>
      <c r="N1939" s="14"/>
      <c r="O1939" s="14"/>
      <c r="P1939" s="14"/>
      <c r="Q1939" s="14"/>
      <c r="R1939" s="17"/>
      <c r="S1939" s="172"/>
      <c r="T1939" s="17"/>
      <c r="U1939" s="14"/>
      <c r="V1939" s="16">
        <f t="shared" si="215"/>
        <v>0</v>
      </c>
      <c r="W1939" s="16">
        <f t="shared" si="216"/>
        <v>7</v>
      </c>
      <c r="X1939" s="16">
        <f t="shared" si="217"/>
        <v>2</v>
      </c>
      <c r="Y1939" s="15"/>
      <c r="Z1939" s="177"/>
      <c r="AA1939" s="170"/>
      <c r="AB1939" s="170"/>
      <c r="AC1939" s="170"/>
      <c r="AD1939" s="170"/>
      <c r="AE1939" s="15"/>
      <c r="AF1939" s="177"/>
      <c r="AG1939" s="177">
        <f t="shared" si="218"/>
        <v>0</v>
      </c>
      <c r="AH1939" s="177">
        <f t="shared" si="219"/>
        <v>0</v>
      </c>
      <c r="AK1939" s="176"/>
      <c r="AL1939" s="176"/>
    </row>
    <row r="1940" spans="1:38" ht="36" customHeight="1" x14ac:dyDescent="0.2">
      <c r="A1940" s="176"/>
      <c r="B1940" s="212"/>
      <c r="C1940" s="14"/>
      <c r="D1940" s="14"/>
      <c r="E1940" s="14"/>
      <c r="F1940" s="14"/>
      <c r="G1940" s="179">
        <v>681939</v>
      </c>
      <c r="H1940" s="176"/>
      <c r="I1940" s="176"/>
      <c r="J1940" s="176"/>
      <c r="K1940" s="176"/>
      <c r="L1940" s="40"/>
      <c r="M1940" s="40"/>
      <c r="N1940" s="14"/>
      <c r="O1940" s="14"/>
      <c r="P1940" s="14"/>
      <c r="Q1940" s="14"/>
      <c r="R1940" s="17"/>
      <c r="S1940" s="172"/>
      <c r="T1940" s="17"/>
      <c r="U1940" s="14"/>
      <c r="V1940" s="16">
        <f t="shared" si="215"/>
        <v>0</v>
      </c>
      <c r="W1940" s="16">
        <f t="shared" si="216"/>
        <v>7</v>
      </c>
      <c r="X1940" s="16">
        <f t="shared" si="217"/>
        <v>2</v>
      </c>
      <c r="Y1940" s="15"/>
      <c r="Z1940" s="177"/>
      <c r="AA1940" s="170"/>
      <c r="AB1940" s="170"/>
      <c r="AC1940" s="170"/>
      <c r="AD1940" s="170"/>
      <c r="AE1940" s="15"/>
      <c r="AF1940" s="177"/>
      <c r="AG1940" s="177">
        <f t="shared" si="218"/>
        <v>0</v>
      </c>
      <c r="AH1940" s="177">
        <f t="shared" si="219"/>
        <v>0</v>
      </c>
      <c r="AK1940" s="176"/>
      <c r="AL1940" s="176"/>
    </row>
    <row r="1941" spans="1:38" ht="36" customHeight="1" x14ac:dyDescent="0.2">
      <c r="A1941" s="176"/>
      <c r="B1941" s="212"/>
      <c r="C1941" s="14"/>
      <c r="D1941" s="14"/>
      <c r="E1941" s="14"/>
      <c r="F1941" s="14"/>
      <c r="G1941" s="179">
        <v>681940</v>
      </c>
      <c r="H1941" s="176"/>
      <c r="I1941" s="176"/>
      <c r="J1941" s="176"/>
      <c r="K1941" s="176"/>
      <c r="L1941" s="40"/>
      <c r="M1941" s="40"/>
      <c r="N1941" s="14"/>
      <c r="O1941" s="14"/>
      <c r="P1941" s="14"/>
      <c r="Q1941" s="14"/>
      <c r="R1941" s="17"/>
      <c r="S1941" s="172"/>
      <c r="T1941" s="17"/>
      <c r="U1941" s="14"/>
      <c r="V1941" s="16">
        <f t="shared" si="215"/>
        <v>0</v>
      </c>
      <c r="W1941" s="16">
        <f t="shared" si="216"/>
        <v>7</v>
      </c>
      <c r="X1941" s="16">
        <f t="shared" si="217"/>
        <v>2</v>
      </c>
      <c r="Y1941" s="15"/>
      <c r="Z1941" s="177"/>
      <c r="AA1941" s="170"/>
      <c r="AB1941" s="170"/>
      <c r="AC1941" s="170"/>
      <c r="AD1941" s="170"/>
      <c r="AE1941" s="15"/>
      <c r="AF1941" s="177"/>
      <c r="AG1941" s="177">
        <f t="shared" si="218"/>
        <v>0</v>
      </c>
      <c r="AH1941" s="177">
        <f t="shared" si="219"/>
        <v>0</v>
      </c>
      <c r="AK1941" s="176"/>
      <c r="AL1941" s="176"/>
    </row>
    <row r="1942" spans="1:38" ht="36" customHeight="1" x14ac:dyDescent="0.2">
      <c r="A1942" s="176"/>
      <c r="B1942" s="212"/>
      <c r="C1942" s="14"/>
      <c r="D1942" s="14"/>
      <c r="E1942" s="14"/>
      <c r="F1942" s="14"/>
      <c r="G1942" s="179">
        <v>681941</v>
      </c>
      <c r="H1942" s="176"/>
      <c r="I1942" s="176"/>
      <c r="J1942" s="176"/>
      <c r="K1942" s="176"/>
      <c r="L1942" s="40"/>
      <c r="M1942" s="40"/>
      <c r="N1942" s="14"/>
      <c r="O1942" s="14"/>
      <c r="P1942" s="14"/>
      <c r="Q1942" s="14"/>
      <c r="R1942" s="17"/>
      <c r="S1942" s="172"/>
      <c r="T1942" s="17"/>
      <c r="U1942" s="14"/>
      <c r="V1942" s="16">
        <f t="shared" si="215"/>
        <v>0</v>
      </c>
      <c r="W1942" s="16">
        <f t="shared" si="216"/>
        <v>7</v>
      </c>
      <c r="X1942" s="16">
        <f t="shared" si="217"/>
        <v>2</v>
      </c>
      <c r="Y1942" s="15"/>
      <c r="Z1942" s="177"/>
      <c r="AA1942" s="170"/>
      <c r="AB1942" s="170"/>
      <c r="AC1942" s="170"/>
      <c r="AD1942" s="170"/>
      <c r="AE1942" s="15"/>
      <c r="AF1942" s="177"/>
      <c r="AG1942" s="177">
        <f t="shared" si="218"/>
        <v>0</v>
      </c>
      <c r="AH1942" s="177">
        <f t="shared" si="219"/>
        <v>0</v>
      </c>
      <c r="AK1942" s="176"/>
      <c r="AL1942" s="176"/>
    </row>
    <row r="1943" spans="1:38" ht="36" customHeight="1" x14ac:dyDescent="0.2">
      <c r="A1943" s="176"/>
      <c r="B1943" s="212"/>
      <c r="C1943" s="14"/>
      <c r="D1943" s="14"/>
      <c r="E1943" s="14"/>
      <c r="F1943" s="14"/>
      <c r="G1943" s="179">
        <v>681942</v>
      </c>
      <c r="H1943" s="176"/>
      <c r="I1943" s="176"/>
      <c r="J1943" s="176"/>
      <c r="K1943" s="176"/>
      <c r="L1943" s="40"/>
      <c r="M1943" s="40"/>
      <c r="N1943" s="14"/>
      <c r="O1943" s="14"/>
      <c r="P1943" s="14"/>
      <c r="Q1943" s="14"/>
      <c r="R1943" s="17"/>
      <c r="S1943" s="172"/>
      <c r="T1943" s="17"/>
      <c r="U1943" s="14"/>
      <c r="V1943" s="16">
        <f t="shared" si="215"/>
        <v>0</v>
      </c>
      <c r="W1943" s="16">
        <f t="shared" si="216"/>
        <v>7</v>
      </c>
      <c r="X1943" s="16">
        <f t="shared" si="217"/>
        <v>2</v>
      </c>
      <c r="Y1943" s="15"/>
      <c r="Z1943" s="177"/>
      <c r="AA1943" s="170"/>
      <c r="AB1943" s="170"/>
      <c r="AC1943" s="170"/>
      <c r="AD1943" s="170"/>
      <c r="AE1943" s="15"/>
      <c r="AF1943" s="177"/>
      <c r="AG1943" s="177">
        <f t="shared" si="218"/>
        <v>0</v>
      </c>
      <c r="AH1943" s="177">
        <f t="shared" si="219"/>
        <v>0</v>
      </c>
      <c r="AK1943" s="176"/>
      <c r="AL1943" s="176"/>
    </row>
    <row r="1944" spans="1:38" ht="36" customHeight="1" x14ac:dyDescent="0.2">
      <c r="A1944" s="176"/>
      <c r="B1944" s="212"/>
      <c r="C1944" s="14"/>
      <c r="D1944" s="14"/>
      <c r="E1944" s="14"/>
      <c r="F1944" s="14"/>
      <c r="G1944" s="179">
        <v>681943</v>
      </c>
      <c r="H1944" s="176"/>
      <c r="I1944" s="176"/>
      <c r="J1944" s="176"/>
      <c r="K1944" s="176"/>
      <c r="L1944" s="40"/>
      <c r="M1944" s="40"/>
      <c r="N1944" s="14"/>
      <c r="O1944" s="14"/>
      <c r="P1944" s="14"/>
      <c r="Q1944" s="14"/>
      <c r="R1944" s="17"/>
      <c r="S1944" s="172"/>
      <c r="T1944" s="17"/>
      <c r="U1944" s="14"/>
      <c r="V1944" s="16">
        <f t="shared" si="215"/>
        <v>0</v>
      </c>
      <c r="W1944" s="16">
        <f t="shared" si="216"/>
        <v>7</v>
      </c>
      <c r="X1944" s="16">
        <f t="shared" si="217"/>
        <v>2</v>
      </c>
      <c r="Y1944" s="15"/>
      <c r="Z1944" s="177"/>
      <c r="AA1944" s="170"/>
      <c r="AB1944" s="170"/>
      <c r="AC1944" s="170"/>
      <c r="AD1944" s="170"/>
      <c r="AE1944" s="15"/>
      <c r="AF1944" s="177"/>
      <c r="AG1944" s="177">
        <f t="shared" si="218"/>
        <v>0</v>
      </c>
      <c r="AH1944" s="177">
        <f t="shared" si="219"/>
        <v>0</v>
      </c>
      <c r="AK1944" s="176"/>
      <c r="AL1944" s="176"/>
    </row>
    <row r="1945" spans="1:38" ht="36" customHeight="1" x14ac:dyDescent="0.2">
      <c r="A1945" s="176"/>
      <c r="B1945" s="212"/>
      <c r="C1945" s="14"/>
      <c r="D1945" s="14"/>
      <c r="E1945" s="14"/>
      <c r="F1945" s="14"/>
      <c r="G1945" s="179">
        <v>681944</v>
      </c>
      <c r="H1945" s="176"/>
      <c r="I1945" s="176"/>
      <c r="J1945" s="176"/>
      <c r="K1945" s="176"/>
      <c r="L1945" s="40"/>
      <c r="M1945" s="40"/>
      <c r="N1945" s="14"/>
      <c r="O1945" s="14"/>
      <c r="P1945" s="14"/>
      <c r="Q1945" s="14"/>
      <c r="R1945" s="17"/>
      <c r="S1945" s="172"/>
      <c r="T1945" s="17"/>
      <c r="U1945" s="14"/>
      <c r="V1945" s="16">
        <f t="shared" si="215"/>
        <v>0</v>
      </c>
      <c r="W1945" s="16">
        <f t="shared" si="216"/>
        <v>7</v>
      </c>
      <c r="X1945" s="16">
        <f t="shared" si="217"/>
        <v>2</v>
      </c>
      <c r="Y1945" s="15"/>
      <c r="Z1945" s="177"/>
      <c r="AA1945" s="170"/>
      <c r="AB1945" s="170"/>
      <c r="AC1945" s="170"/>
      <c r="AD1945" s="170"/>
      <c r="AE1945" s="15"/>
      <c r="AF1945" s="177"/>
      <c r="AG1945" s="177">
        <f t="shared" si="218"/>
        <v>0</v>
      </c>
      <c r="AH1945" s="177">
        <f t="shared" si="219"/>
        <v>0</v>
      </c>
      <c r="AK1945" s="176"/>
      <c r="AL1945" s="176"/>
    </row>
    <row r="1946" spans="1:38" ht="36" customHeight="1" x14ac:dyDescent="0.2">
      <c r="A1946" s="176"/>
      <c r="B1946" s="212"/>
      <c r="C1946" s="14"/>
      <c r="D1946" s="14"/>
      <c r="E1946" s="14"/>
      <c r="F1946" s="14"/>
      <c r="G1946" s="179">
        <v>681945</v>
      </c>
      <c r="H1946" s="176"/>
      <c r="I1946" s="176"/>
      <c r="J1946" s="176"/>
      <c r="K1946" s="176"/>
      <c r="L1946" s="40"/>
      <c r="M1946" s="40"/>
      <c r="N1946" s="14"/>
      <c r="O1946" s="14"/>
      <c r="P1946" s="14"/>
      <c r="Q1946" s="14"/>
      <c r="R1946" s="17"/>
      <c r="S1946" s="172"/>
      <c r="T1946" s="17"/>
      <c r="U1946" s="14"/>
      <c r="V1946" s="16">
        <f t="shared" si="215"/>
        <v>0</v>
      </c>
      <c r="W1946" s="16">
        <f t="shared" si="216"/>
        <v>7</v>
      </c>
      <c r="X1946" s="16">
        <f t="shared" si="217"/>
        <v>2</v>
      </c>
      <c r="Y1946" s="15"/>
      <c r="Z1946" s="177"/>
      <c r="AA1946" s="170"/>
      <c r="AB1946" s="170"/>
      <c r="AC1946" s="170"/>
      <c r="AD1946" s="170"/>
      <c r="AE1946" s="15"/>
      <c r="AF1946" s="177"/>
      <c r="AG1946" s="177">
        <f t="shared" si="218"/>
        <v>0</v>
      </c>
      <c r="AH1946" s="177">
        <f t="shared" si="219"/>
        <v>0</v>
      </c>
      <c r="AK1946" s="176"/>
      <c r="AL1946" s="176"/>
    </row>
    <row r="1947" spans="1:38" ht="36" customHeight="1" x14ac:dyDescent="0.2">
      <c r="A1947" s="176"/>
      <c r="B1947" s="212"/>
      <c r="C1947" s="14"/>
      <c r="D1947" s="14"/>
      <c r="E1947" s="14"/>
      <c r="F1947" s="14"/>
      <c r="G1947" s="179">
        <v>681946</v>
      </c>
      <c r="H1947" s="176"/>
      <c r="I1947" s="176"/>
      <c r="J1947" s="176"/>
      <c r="K1947" s="176"/>
      <c r="L1947" s="40"/>
      <c r="M1947" s="40"/>
      <c r="N1947" s="14"/>
      <c r="O1947" s="14"/>
      <c r="P1947" s="14"/>
      <c r="Q1947" s="14"/>
      <c r="R1947" s="17"/>
      <c r="S1947" s="172"/>
      <c r="T1947" s="17"/>
      <c r="U1947" s="14"/>
      <c r="V1947" s="16">
        <f t="shared" si="215"/>
        <v>0</v>
      </c>
      <c r="W1947" s="16">
        <f t="shared" si="216"/>
        <v>7</v>
      </c>
      <c r="X1947" s="16">
        <f t="shared" si="217"/>
        <v>2</v>
      </c>
      <c r="Y1947" s="15"/>
      <c r="Z1947" s="177"/>
      <c r="AA1947" s="170"/>
      <c r="AB1947" s="170"/>
      <c r="AC1947" s="170"/>
      <c r="AD1947" s="170"/>
      <c r="AE1947" s="15"/>
      <c r="AF1947" s="177"/>
      <c r="AG1947" s="177">
        <f t="shared" si="218"/>
        <v>0</v>
      </c>
      <c r="AH1947" s="177">
        <f t="shared" si="219"/>
        <v>0</v>
      </c>
      <c r="AK1947" s="176"/>
      <c r="AL1947" s="176"/>
    </row>
    <row r="1948" spans="1:38" ht="36" customHeight="1" x14ac:dyDescent="0.2">
      <c r="A1948" s="176"/>
      <c r="B1948" s="212"/>
      <c r="C1948" s="14"/>
      <c r="D1948" s="14"/>
      <c r="E1948" s="14"/>
      <c r="F1948" s="14"/>
      <c r="G1948" s="179">
        <v>681947</v>
      </c>
      <c r="H1948" s="176"/>
      <c r="I1948" s="176"/>
      <c r="J1948" s="176"/>
      <c r="K1948" s="176"/>
      <c r="L1948" s="40"/>
      <c r="M1948" s="40"/>
      <c r="N1948" s="14"/>
      <c r="O1948" s="14"/>
      <c r="P1948" s="14"/>
      <c r="Q1948" s="14"/>
      <c r="R1948" s="17"/>
      <c r="S1948" s="172"/>
      <c r="T1948" s="17"/>
      <c r="U1948" s="14"/>
      <c r="V1948" s="16">
        <f t="shared" si="215"/>
        <v>0</v>
      </c>
      <c r="W1948" s="16">
        <f t="shared" si="216"/>
        <v>7</v>
      </c>
      <c r="X1948" s="16">
        <f t="shared" si="217"/>
        <v>2</v>
      </c>
      <c r="Y1948" s="15"/>
      <c r="Z1948" s="177"/>
      <c r="AA1948" s="170"/>
      <c r="AB1948" s="170"/>
      <c r="AC1948" s="170"/>
      <c r="AD1948" s="170"/>
      <c r="AE1948" s="15"/>
      <c r="AF1948" s="177"/>
      <c r="AG1948" s="177">
        <f t="shared" si="218"/>
        <v>0</v>
      </c>
      <c r="AH1948" s="177">
        <f t="shared" si="219"/>
        <v>0</v>
      </c>
      <c r="AK1948" s="176"/>
      <c r="AL1948" s="176"/>
    </row>
    <row r="1949" spans="1:38" ht="36" customHeight="1" x14ac:dyDescent="0.2">
      <c r="A1949" s="176"/>
      <c r="B1949" s="212"/>
      <c r="C1949" s="14"/>
      <c r="D1949" s="14"/>
      <c r="E1949" s="14"/>
      <c r="F1949" s="14"/>
      <c r="G1949" s="179">
        <v>681948</v>
      </c>
      <c r="H1949" s="176"/>
      <c r="I1949" s="176"/>
      <c r="J1949" s="176"/>
      <c r="K1949" s="176"/>
      <c r="L1949" s="40"/>
      <c r="M1949" s="40"/>
      <c r="N1949" s="14"/>
      <c r="O1949" s="14"/>
      <c r="P1949" s="14"/>
      <c r="Q1949" s="14"/>
      <c r="R1949" s="17"/>
      <c r="S1949" s="172"/>
      <c r="T1949" s="17"/>
      <c r="U1949" s="14"/>
      <c r="V1949" s="16">
        <f t="shared" si="215"/>
        <v>0</v>
      </c>
      <c r="W1949" s="16">
        <f t="shared" si="216"/>
        <v>7</v>
      </c>
      <c r="X1949" s="16">
        <f t="shared" si="217"/>
        <v>2</v>
      </c>
      <c r="Y1949" s="15"/>
      <c r="Z1949" s="177"/>
      <c r="AA1949" s="170"/>
      <c r="AB1949" s="170"/>
      <c r="AC1949" s="170"/>
      <c r="AD1949" s="170"/>
      <c r="AE1949" s="15"/>
      <c r="AF1949" s="177"/>
      <c r="AG1949" s="177">
        <f t="shared" si="218"/>
        <v>0</v>
      </c>
      <c r="AH1949" s="177">
        <f t="shared" si="219"/>
        <v>0</v>
      </c>
      <c r="AK1949" s="176"/>
      <c r="AL1949" s="176"/>
    </row>
    <row r="1950" spans="1:38" ht="36" customHeight="1" x14ac:dyDescent="0.2">
      <c r="A1950" s="176"/>
      <c r="B1950" s="212"/>
      <c r="C1950" s="14"/>
      <c r="D1950" s="14"/>
      <c r="E1950" s="14"/>
      <c r="F1950" s="14"/>
      <c r="G1950" s="179">
        <v>681949</v>
      </c>
      <c r="H1950" s="176"/>
      <c r="I1950" s="176"/>
      <c r="J1950" s="176"/>
      <c r="K1950" s="176"/>
      <c r="L1950" s="40"/>
      <c r="M1950" s="40"/>
      <c r="N1950" s="14"/>
      <c r="O1950" s="14"/>
      <c r="P1950" s="14"/>
      <c r="Q1950" s="14"/>
      <c r="R1950" s="17"/>
      <c r="S1950" s="172"/>
      <c r="T1950" s="17"/>
      <c r="U1950" s="14"/>
      <c r="V1950" s="16">
        <f t="shared" si="215"/>
        <v>0</v>
      </c>
      <c r="W1950" s="16">
        <f t="shared" si="216"/>
        <v>7</v>
      </c>
      <c r="X1950" s="16">
        <f t="shared" si="217"/>
        <v>2</v>
      </c>
      <c r="Y1950" s="15"/>
      <c r="Z1950" s="177"/>
      <c r="AA1950" s="170"/>
      <c r="AB1950" s="170"/>
      <c r="AC1950" s="170"/>
      <c r="AD1950" s="170"/>
      <c r="AE1950" s="15"/>
      <c r="AF1950" s="177"/>
      <c r="AG1950" s="177">
        <f t="shared" si="218"/>
        <v>0</v>
      </c>
      <c r="AH1950" s="177">
        <f t="shared" si="219"/>
        <v>0</v>
      </c>
      <c r="AK1950" s="176"/>
      <c r="AL1950" s="176"/>
    </row>
    <row r="1951" spans="1:38" ht="36" customHeight="1" x14ac:dyDescent="0.2">
      <c r="A1951" s="176"/>
      <c r="B1951" s="212"/>
      <c r="C1951" s="14"/>
      <c r="D1951" s="14"/>
      <c r="E1951" s="14"/>
      <c r="F1951" s="14"/>
      <c r="G1951" s="179">
        <v>681950</v>
      </c>
      <c r="H1951" s="176"/>
      <c r="I1951" s="176"/>
      <c r="J1951" s="176"/>
      <c r="K1951" s="176"/>
      <c r="L1951" s="40"/>
      <c r="M1951" s="40"/>
      <c r="N1951" s="14"/>
      <c r="O1951" s="14"/>
      <c r="P1951" s="14"/>
      <c r="Q1951" s="14"/>
      <c r="R1951" s="17"/>
      <c r="S1951" s="172"/>
      <c r="T1951" s="17"/>
      <c r="U1951" s="14"/>
      <c r="V1951" s="16">
        <f t="shared" si="215"/>
        <v>0</v>
      </c>
      <c r="W1951" s="16">
        <f t="shared" si="216"/>
        <v>7</v>
      </c>
      <c r="X1951" s="16">
        <f t="shared" si="217"/>
        <v>2</v>
      </c>
      <c r="Y1951" s="15"/>
      <c r="Z1951" s="177"/>
      <c r="AA1951" s="170"/>
      <c r="AB1951" s="170"/>
      <c r="AC1951" s="170"/>
      <c r="AD1951" s="170"/>
      <c r="AE1951" s="15"/>
      <c r="AF1951" s="177"/>
      <c r="AG1951" s="177">
        <f t="shared" si="218"/>
        <v>0</v>
      </c>
      <c r="AH1951" s="177">
        <f t="shared" si="219"/>
        <v>0</v>
      </c>
      <c r="AK1951" s="176"/>
      <c r="AL1951" s="176"/>
    </row>
    <row r="1952" spans="1:38" ht="36" customHeight="1" x14ac:dyDescent="0.2">
      <c r="A1952" s="176"/>
      <c r="B1952" s="212"/>
      <c r="C1952" s="14"/>
      <c r="D1952" s="14"/>
      <c r="E1952" s="14"/>
      <c r="F1952" s="14"/>
      <c r="G1952" s="179">
        <v>681951</v>
      </c>
      <c r="H1952" s="176"/>
      <c r="I1952" s="176"/>
      <c r="J1952" s="176"/>
      <c r="K1952" s="176"/>
      <c r="L1952" s="40"/>
      <c r="M1952" s="40"/>
      <c r="N1952" s="14"/>
      <c r="O1952" s="14"/>
      <c r="P1952" s="14"/>
      <c r="Q1952" s="14"/>
      <c r="R1952" s="17"/>
      <c r="S1952" s="172"/>
      <c r="T1952" s="17"/>
      <c r="U1952" s="14"/>
      <c r="V1952" s="16">
        <f t="shared" si="215"/>
        <v>0</v>
      </c>
      <c r="W1952" s="16">
        <f t="shared" si="216"/>
        <v>7</v>
      </c>
      <c r="X1952" s="16">
        <f t="shared" si="217"/>
        <v>2</v>
      </c>
      <c r="Y1952" s="15"/>
      <c r="Z1952" s="177"/>
      <c r="AA1952" s="170"/>
      <c r="AB1952" s="170"/>
      <c r="AC1952" s="170"/>
      <c r="AD1952" s="170"/>
      <c r="AE1952" s="15"/>
      <c r="AF1952" s="177"/>
      <c r="AG1952" s="177">
        <f t="shared" si="218"/>
        <v>0</v>
      </c>
      <c r="AH1952" s="177">
        <f t="shared" si="219"/>
        <v>0</v>
      </c>
      <c r="AK1952" s="176"/>
      <c r="AL1952" s="176"/>
    </row>
    <row r="1953" spans="1:38" ht="36" customHeight="1" x14ac:dyDescent="0.2">
      <c r="A1953" s="176"/>
      <c r="B1953" s="212"/>
      <c r="C1953" s="14"/>
      <c r="D1953" s="14"/>
      <c r="E1953" s="14"/>
      <c r="F1953" s="14"/>
      <c r="G1953" s="179">
        <v>681952</v>
      </c>
      <c r="H1953" s="176"/>
      <c r="I1953" s="176"/>
      <c r="J1953" s="176"/>
      <c r="K1953" s="176"/>
      <c r="L1953" s="40"/>
      <c r="M1953" s="40"/>
      <c r="N1953" s="14"/>
      <c r="O1953" s="14"/>
      <c r="P1953" s="14"/>
      <c r="Q1953" s="14"/>
      <c r="R1953" s="17"/>
      <c r="S1953" s="172"/>
      <c r="T1953" s="17"/>
      <c r="U1953" s="14"/>
      <c r="V1953" s="16">
        <f t="shared" si="215"/>
        <v>0</v>
      </c>
      <c r="W1953" s="16">
        <f t="shared" si="216"/>
        <v>7</v>
      </c>
      <c r="X1953" s="16">
        <f t="shared" si="217"/>
        <v>2</v>
      </c>
      <c r="Y1953" s="15"/>
      <c r="Z1953" s="177"/>
      <c r="AA1953" s="170"/>
      <c r="AB1953" s="170"/>
      <c r="AC1953" s="170"/>
      <c r="AD1953" s="170"/>
      <c r="AE1953" s="15"/>
      <c r="AF1953" s="177"/>
      <c r="AG1953" s="177">
        <f t="shared" si="218"/>
        <v>0</v>
      </c>
      <c r="AH1953" s="177">
        <f t="shared" si="219"/>
        <v>0</v>
      </c>
      <c r="AK1953" s="176"/>
      <c r="AL1953" s="176"/>
    </row>
    <row r="1954" spans="1:38" ht="36" customHeight="1" x14ac:dyDescent="0.2">
      <c r="A1954" s="176"/>
      <c r="B1954" s="212"/>
      <c r="C1954" s="14"/>
      <c r="D1954" s="14"/>
      <c r="E1954" s="14"/>
      <c r="F1954" s="14"/>
      <c r="G1954" s="179">
        <v>681953</v>
      </c>
      <c r="H1954" s="176"/>
      <c r="I1954" s="176"/>
      <c r="J1954" s="176"/>
      <c r="K1954" s="176"/>
      <c r="L1954" s="40"/>
      <c r="M1954" s="40"/>
      <c r="N1954" s="14"/>
      <c r="O1954" s="14"/>
      <c r="P1954" s="14"/>
      <c r="Q1954" s="14"/>
      <c r="R1954" s="17"/>
      <c r="S1954" s="172"/>
      <c r="T1954" s="17"/>
      <c r="U1954" s="14"/>
      <c r="V1954" s="16">
        <f t="shared" si="215"/>
        <v>0</v>
      </c>
      <c r="W1954" s="16">
        <f t="shared" si="216"/>
        <v>7</v>
      </c>
      <c r="X1954" s="16">
        <f t="shared" si="217"/>
        <v>2</v>
      </c>
      <c r="Y1954" s="15"/>
      <c r="Z1954" s="177"/>
      <c r="AA1954" s="170"/>
      <c r="AB1954" s="170"/>
      <c r="AC1954" s="170"/>
      <c r="AD1954" s="170"/>
      <c r="AE1954" s="15"/>
      <c r="AF1954" s="177"/>
      <c r="AG1954" s="177">
        <f t="shared" si="218"/>
        <v>0</v>
      </c>
      <c r="AH1954" s="177">
        <f t="shared" si="219"/>
        <v>0</v>
      </c>
      <c r="AK1954" s="176"/>
      <c r="AL1954" s="176"/>
    </row>
    <row r="1955" spans="1:38" ht="36" customHeight="1" x14ac:dyDescent="0.2">
      <c r="A1955" s="176"/>
      <c r="B1955" s="212"/>
      <c r="C1955" s="14"/>
      <c r="D1955" s="14"/>
      <c r="E1955" s="14"/>
      <c r="F1955" s="14"/>
      <c r="G1955" s="179">
        <v>681954</v>
      </c>
      <c r="H1955" s="176"/>
      <c r="I1955" s="176"/>
      <c r="J1955" s="176"/>
      <c r="K1955" s="176"/>
      <c r="L1955" s="40"/>
      <c r="M1955" s="40"/>
      <c r="N1955" s="14"/>
      <c r="O1955" s="14"/>
      <c r="P1955" s="14"/>
      <c r="Q1955" s="14"/>
      <c r="R1955" s="17"/>
      <c r="S1955" s="172"/>
      <c r="T1955" s="17"/>
      <c r="U1955" s="14"/>
      <c r="V1955" s="16">
        <f t="shared" si="215"/>
        <v>0</v>
      </c>
      <c r="W1955" s="16">
        <f t="shared" si="216"/>
        <v>7</v>
      </c>
      <c r="X1955" s="16">
        <f t="shared" si="217"/>
        <v>2</v>
      </c>
      <c r="Y1955" s="15"/>
      <c r="Z1955" s="177"/>
      <c r="AA1955" s="170"/>
      <c r="AB1955" s="170"/>
      <c r="AC1955" s="170"/>
      <c r="AD1955" s="170"/>
      <c r="AE1955" s="15"/>
      <c r="AF1955" s="177"/>
      <c r="AG1955" s="177">
        <f t="shared" si="218"/>
        <v>0</v>
      </c>
      <c r="AH1955" s="177">
        <f t="shared" si="219"/>
        <v>0</v>
      </c>
      <c r="AK1955" s="176"/>
      <c r="AL1955" s="176"/>
    </row>
    <row r="1956" spans="1:38" ht="36" customHeight="1" x14ac:dyDescent="0.2">
      <c r="A1956" s="176"/>
      <c r="B1956" s="212"/>
      <c r="C1956" s="14"/>
      <c r="D1956" s="14"/>
      <c r="E1956" s="14"/>
      <c r="F1956" s="14"/>
      <c r="G1956" s="179">
        <v>681955</v>
      </c>
      <c r="H1956" s="176"/>
      <c r="I1956" s="176"/>
      <c r="J1956" s="176"/>
      <c r="K1956" s="176"/>
      <c r="L1956" s="40"/>
      <c r="M1956" s="40"/>
      <c r="N1956" s="14"/>
      <c r="O1956" s="14"/>
      <c r="P1956" s="14"/>
      <c r="Q1956" s="14"/>
      <c r="R1956" s="17"/>
      <c r="S1956" s="172"/>
      <c r="T1956" s="17"/>
      <c r="U1956" s="14"/>
      <c r="V1956" s="16">
        <f t="shared" si="215"/>
        <v>0</v>
      </c>
      <c r="W1956" s="16">
        <f t="shared" si="216"/>
        <v>7</v>
      </c>
      <c r="X1956" s="16">
        <f t="shared" si="217"/>
        <v>2</v>
      </c>
      <c r="Y1956" s="15"/>
      <c r="Z1956" s="177"/>
      <c r="AA1956" s="170"/>
      <c r="AB1956" s="170"/>
      <c r="AC1956" s="170"/>
      <c r="AD1956" s="170"/>
      <c r="AE1956" s="15"/>
      <c r="AF1956" s="177"/>
      <c r="AG1956" s="177">
        <f t="shared" si="218"/>
        <v>0</v>
      </c>
      <c r="AH1956" s="177">
        <f t="shared" si="219"/>
        <v>0</v>
      </c>
      <c r="AK1956" s="176"/>
      <c r="AL1956" s="176"/>
    </row>
    <row r="1957" spans="1:38" ht="36" customHeight="1" x14ac:dyDescent="0.2">
      <c r="A1957" s="176"/>
      <c r="B1957" s="212"/>
      <c r="C1957" s="14"/>
      <c r="D1957" s="14"/>
      <c r="E1957" s="14"/>
      <c r="F1957" s="14"/>
      <c r="G1957" s="179">
        <v>681956</v>
      </c>
      <c r="H1957" s="176"/>
      <c r="I1957" s="176"/>
      <c r="J1957" s="176"/>
      <c r="K1957" s="176"/>
      <c r="L1957" s="40"/>
      <c r="M1957" s="40"/>
      <c r="N1957" s="14"/>
      <c r="O1957" s="14"/>
      <c r="P1957" s="14"/>
      <c r="Q1957" s="14"/>
      <c r="R1957" s="17"/>
      <c r="S1957" s="172"/>
      <c r="T1957" s="17"/>
      <c r="U1957" s="14"/>
      <c r="V1957" s="16">
        <f t="shared" si="215"/>
        <v>0</v>
      </c>
      <c r="W1957" s="16">
        <f t="shared" si="216"/>
        <v>7</v>
      </c>
      <c r="X1957" s="16">
        <f t="shared" si="217"/>
        <v>2</v>
      </c>
      <c r="Y1957" s="15"/>
      <c r="Z1957" s="177"/>
      <c r="AA1957" s="170"/>
      <c r="AB1957" s="170"/>
      <c r="AC1957" s="170"/>
      <c r="AD1957" s="170"/>
      <c r="AE1957" s="15"/>
      <c r="AF1957" s="177"/>
      <c r="AG1957" s="177">
        <f t="shared" si="218"/>
        <v>0</v>
      </c>
      <c r="AH1957" s="177">
        <f t="shared" si="219"/>
        <v>0</v>
      </c>
      <c r="AK1957" s="176"/>
      <c r="AL1957" s="176"/>
    </row>
    <row r="1958" spans="1:38" ht="36" customHeight="1" x14ac:dyDescent="0.2">
      <c r="A1958" s="176"/>
      <c r="B1958" s="212"/>
      <c r="C1958" s="14"/>
      <c r="D1958" s="14"/>
      <c r="E1958" s="14"/>
      <c r="F1958" s="14"/>
      <c r="G1958" s="179">
        <v>681957</v>
      </c>
      <c r="H1958" s="176"/>
      <c r="I1958" s="176"/>
      <c r="J1958" s="176"/>
      <c r="K1958" s="176"/>
      <c r="L1958" s="40"/>
      <c r="M1958" s="40"/>
      <c r="N1958" s="14"/>
      <c r="O1958" s="14"/>
      <c r="P1958" s="14"/>
      <c r="Q1958" s="14"/>
      <c r="R1958" s="17"/>
      <c r="S1958" s="172"/>
      <c r="T1958" s="17"/>
      <c r="U1958" s="14"/>
      <c r="V1958" s="16">
        <f t="shared" si="215"/>
        <v>0</v>
      </c>
      <c r="W1958" s="16">
        <f t="shared" si="216"/>
        <v>7</v>
      </c>
      <c r="X1958" s="16">
        <f t="shared" si="217"/>
        <v>2</v>
      </c>
      <c r="Y1958" s="15"/>
      <c r="Z1958" s="177"/>
      <c r="AA1958" s="170"/>
      <c r="AB1958" s="170"/>
      <c r="AC1958" s="170"/>
      <c r="AD1958" s="170"/>
      <c r="AE1958" s="15"/>
      <c r="AF1958" s="177"/>
      <c r="AG1958" s="177">
        <f t="shared" si="218"/>
        <v>0</v>
      </c>
      <c r="AH1958" s="177">
        <f t="shared" si="219"/>
        <v>0</v>
      </c>
      <c r="AK1958" s="176"/>
      <c r="AL1958" s="176"/>
    </row>
    <row r="1959" spans="1:38" ht="36" customHeight="1" x14ac:dyDescent="0.2">
      <c r="A1959" s="176"/>
      <c r="B1959" s="212"/>
      <c r="C1959" s="14"/>
      <c r="D1959" s="14"/>
      <c r="E1959" s="14"/>
      <c r="F1959" s="14"/>
      <c r="G1959" s="179">
        <v>681958</v>
      </c>
      <c r="H1959" s="176"/>
      <c r="I1959" s="176"/>
      <c r="J1959" s="176"/>
      <c r="K1959" s="176"/>
      <c r="L1959" s="40"/>
      <c r="M1959" s="40"/>
      <c r="N1959" s="14"/>
      <c r="O1959" s="14"/>
      <c r="P1959" s="14"/>
      <c r="Q1959" s="14"/>
      <c r="R1959" s="17"/>
      <c r="S1959" s="172"/>
      <c r="T1959" s="17"/>
      <c r="U1959" s="14"/>
      <c r="V1959" s="16">
        <f t="shared" si="215"/>
        <v>0</v>
      </c>
      <c r="W1959" s="16">
        <f t="shared" si="216"/>
        <v>7</v>
      </c>
      <c r="X1959" s="16">
        <f t="shared" si="217"/>
        <v>2</v>
      </c>
      <c r="Y1959" s="15"/>
      <c r="Z1959" s="177"/>
      <c r="AA1959" s="170"/>
      <c r="AB1959" s="170"/>
      <c r="AC1959" s="170"/>
      <c r="AD1959" s="170"/>
      <c r="AE1959" s="15"/>
      <c r="AF1959" s="177"/>
      <c r="AG1959" s="177">
        <f t="shared" si="218"/>
        <v>0</v>
      </c>
      <c r="AH1959" s="177">
        <f t="shared" si="219"/>
        <v>0</v>
      </c>
      <c r="AK1959" s="176"/>
      <c r="AL1959" s="176"/>
    </row>
    <row r="1960" spans="1:38" ht="36" customHeight="1" x14ac:dyDescent="0.2">
      <c r="A1960" s="176"/>
      <c r="B1960" s="212"/>
      <c r="C1960" s="14"/>
      <c r="D1960" s="14"/>
      <c r="E1960" s="14"/>
      <c r="F1960" s="14"/>
      <c r="G1960" s="179">
        <v>681959</v>
      </c>
      <c r="H1960" s="176"/>
      <c r="I1960" s="176"/>
      <c r="J1960" s="176"/>
      <c r="K1960" s="176"/>
      <c r="L1960" s="40"/>
      <c r="M1960" s="40"/>
      <c r="N1960" s="14"/>
      <c r="O1960" s="14"/>
      <c r="P1960" s="14"/>
      <c r="Q1960" s="14"/>
      <c r="R1960" s="17"/>
      <c r="S1960" s="172"/>
      <c r="T1960" s="17"/>
      <c r="U1960" s="14"/>
      <c r="V1960" s="16">
        <f t="shared" si="215"/>
        <v>0</v>
      </c>
      <c r="W1960" s="16">
        <f t="shared" si="216"/>
        <v>7</v>
      </c>
      <c r="X1960" s="16">
        <f t="shared" si="217"/>
        <v>2</v>
      </c>
      <c r="Y1960" s="15"/>
      <c r="Z1960" s="177"/>
      <c r="AA1960" s="170"/>
      <c r="AB1960" s="170"/>
      <c r="AC1960" s="170"/>
      <c r="AD1960" s="170"/>
      <c r="AE1960" s="15"/>
      <c r="AF1960" s="177"/>
      <c r="AG1960" s="177">
        <f t="shared" si="218"/>
        <v>0</v>
      </c>
      <c r="AH1960" s="177">
        <f t="shared" si="219"/>
        <v>0</v>
      </c>
      <c r="AK1960" s="176"/>
      <c r="AL1960" s="176"/>
    </row>
    <row r="1961" spans="1:38" ht="36" customHeight="1" x14ac:dyDescent="0.2">
      <c r="A1961" s="176"/>
      <c r="B1961" s="212"/>
      <c r="C1961" s="14"/>
      <c r="D1961" s="14"/>
      <c r="E1961" s="14"/>
      <c r="F1961" s="14"/>
      <c r="G1961" s="179">
        <v>681960</v>
      </c>
      <c r="H1961" s="176"/>
      <c r="I1961" s="176"/>
      <c r="J1961" s="176"/>
      <c r="K1961" s="176"/>
      <c r="L1961" s="40"/>
      <c r="M1961" s="40"/>
      <c r="N1961" s="14"/>
      <c r="O1961" s="14"/>
      <c r="P1961" s="14"/>
      <c r="Q1961" s="14"/>
      <c r="R1961" s="17"/>
      <c r="S1961" s="172"/>
      <c r="T1961" s="17"/>
      <c r="U1961" s="14"/>
      <c r="V1961" s="16">
        <f t="shared" si="215"/>
        <v>0</v>
      </c>
      <c r="W1961" s="16">
        <f t="shared" si="216"/>
        <v>7</v>
      </c>
      <c r="X1961" s="16">
        <f t="shared" si="217"/>
        <v>2</v>
      </c>
      <c r="Y1961" s="15"/>
      <c r="Z1961" s="177"/>
      <c r="AA1961" s="170"/>
      <c r="AB1961" s="170"/>
      <c r="AC1961" s="170"/>
      <c r="AD1961" s="170"/>
      <c r="AE1961" s="15"/>
      <c r="AF1961" s="177"/>
      <c r="AG1961" s="177">
        <f t="shared" si="218"/>
        <v>0</v>
      </c>
      <c r="AH1961" s="177">
        <f t="shared" si="219"/>
        <v>0</v>
      </c>
      <c r="AK1961" s="176"/>
      <c r="AL1961" s="176"/>
    </row>
    <row r="1962" spans="1:38" ht="36" customHeight="1" x14ac:dyDescent="0.2">
      <c r="A1962" s="176"/>
      <c r="B1962" s="212"/>
      <c r="C1962" s="14"/>
      <c r="D1962" s="14"/>
      <c r="E1962" s="14"/>
      <c r="F1962" s="14"/>
      <c r="G1962" s="179">
        <v>681961</v>
      </c>
      <c r="H1962" s="176"/>
      <c r="I1962" s="176"/>
      <c r="J1962" s="176"/>
      <c r="K1962" s="176"/>
      <c r="L1962" s="40"/>
      <c r="M1962" s="40"/>
      <c r="N1962" s="14"/>
      <c r="O1962" s="14"/>
      <c r="P1962" s="14"/>
      <c r="Q1962" s="14"/>
      <c r="R1962" s="17"/>
      <c r="S1962" s="172"/>
      <c r="T1962" s="17"/>
      <c r="U1962" s="14"/>
      <c r="V1962" s="16">
        <f t="shared" si="215"/>
        <v>0</v>
      </c>
      <c r="W1962" s="16">
        <f t="shared" si="216"/>
        <v>7</v>
      </c>
      <c r="X1962" s="16">
        <f t="shared" si="217"/>
        <v>2</v>
      </c>
      <c r="Y1962" s="15"/>
      <c r="Z1962" s="177"/>
      <c r="AA1962" s="170"/>
      <c r="AB1962" s="170"/>
      <c r="AC1962" s="170"/>
      <c r="AD1962" s="170"/>
      <c r="AE1962" s="15"/>
      <c r="AF1962" s="177"/>
      <c r="AG1962" s="177">
        <f t="shared" si="218"/>
        <v>0</v>
      </c>
      <c r="AH1962" s="177">
        <f t="shared" si="219"/>
        <v>0</v>
      </c>
      <c r="AK1962" s="176"/>
      <c r="AL1962" s="176"/>
    </row>
    <row r="1963" spans="1:38" ht="36" customHeight="1" x14ac:dyDescent="0.2">
      <c r="A1963" s="176"/>
      <c r="B1963" s="212"/>
      <c r="C1963" s="14"/>
      <c r="D1963" s="14"/>
      <c r="E1963" s="14"/>
      <c r="F1963" s="14"/>
      <c r="G1963" s="179">
        <v>681962</v>
      </c>
      <c r="H1963" s="176"/>
      <c r="I1963" s="176"/>
      <c r="J1963" s="176"/>
      <c r="K1963" s="176"/>
      <c r="L1963" s="40"/>
      <c r="M1963" s="40"/>
      <c r="N1963" s="14"/>
      <c r="O1963" s="14"/>
      <c r="P1963" s="14"/>
      <c r="Q1963" s="14"/>
      <c r="R1963" s="17"/>
      <c r="S1963" s="172"/>
      <c r="T1963" s="17"/>
      <c r="U1963" s="14"/>
      <c r="V1963" s="16">
        <f t="shared" si="215"/>
        <v>0</v>
      </c>
      <c r="W1963" s="16">
        <f t="shared" si="216"/>
        <v>7</v>
      </c>
      <c r="X1963" s="16">
        <f t="shared" si="217"/>
        <v>2</v>
      </c>
      <c r="Y1963" s="15"/>
      <c r="Z1963" s="177"/>
      <c r="AA1963" s="170"/>
      <c r="AB1963" s="170"/>
      <c r="AC1963" s="170"/>
      <c r="AD1963" s="170"/>
      <c r="AE1963" s="15"/>
      <c r="AF1963" s="177"/>
      <c r="AG1963" s="177">
        <f t="shared" si="218"/>
        <v>0</v>
      </c>
      <c r="AH1963" s="177">
        <f t="shared" si="219"/>
        <v>0</v>
      </c>
      <c r="AK1963" s="176"/>
      <c r="AL1963" s="176"/>
    </row>
    <row r="1964" spans="1:38" ht="36" customHeight="1" x14ac:dyDescent="0.2">
      <c r="A1964" s="176"/>
      <c r="B1964" s="212"/>
      <c r="C1964" s="14"/>
      <c r="D1964" s="14"/>
      <c r="E1964" s="14"/>
      <c r="F1964" s="14"/>
      <c r="G1964" s="179">
        <v>681963</v>
      </c>
      <c r="H1964" s="176"/>
      <c r="I1964" s="176"/>
      <c r="J1964" s="176"/>
      <c r="K1964" s="176"/>
      <c r="L1964" s="40"/>
      <c r="M1964" s="40"/>
      <c r="N1964" s="14"/>
      <c r="O1964" s="14"/>
      <c r="P1964" s="14"/>
      <c r="Q1964" s="14"/>
      <c r="R1964" s="17"/>
      <c r="S1964" s="172"/>
      <c r="T1964" s="17"/>
      <c r="U1964" s="14"/>
      <c r="V1964" s="16">
        <f t="shared" si="215"/>
        <v>0</v>
      </c>
      <c r="W1964" s="16">
        <f t="shared" si="216"/>
        <v>7</v>
      </c>
      <c r="X1964" s="16">
        <f t="shared" si="217"/>
        <v>2</v>
      </c>
      <c r="Y1964" s="15"/>
      <c r="Z1964" s="177"/>
      <c r="AA1964" s="170"/>
      <c r="AB1964" s="170"/>
      <c r="AC1964" s="170"/>
      <c r="AD1964" s="170"/>
      <c r="AE1964" s="15"/>
      <c r="AF1964" s="177"/>
      <c r="AG1964" s="177">
        <f t="shared" si="218"/>
        <v>0</v>
      </c>
      <c r="AH1964" s="177">
        <f t="shared" si="219"/>
        <v>0</v>
      </c>
      <c r="AK1964" s="176"/>
      <c r="AL1964" s="176"/>
    </row>
    <row r="1965" spans="1:38" ht="36" customHeight="1" x14ac:dyDescent="0.2">
      <c r="A1965" s="176"/>
      <c r="B1965" s="212"/>
      <c r="C1965" s="14"/>
      <c r="D1965" s="14"/>
      <c r="E1965" s="14"/>
      <c r="F1965" s="14"/>
      <c r="G1965" s="179">
        <v>681964</v>
      </c>
      <c r="H1965" s="176"/>
      <c r="I1965" s="176"/>
      <c r="J1965" s="176"/>
      <c r="K1965" s="176"/>
      <c r="L1965" s="40"/>
      <c r="M1965" s="40"/>
      <c r="N1965" s="14"/>
      <c r="O1965" s="14"/>
      <c r="P1965" s="14"/>
      <c r="Q1965" s="14"/>
      <c r="R1965" s="17"/>
      <c r="S1965" s="172"/>
      <c r="T1965" s="17"/>
      <c r="U1965" s="14"/>
      <c r="V1965" s="16">
        <f t="shared" si="215"/>
        <v>0</v>
      </c>
      <c r="W1965" s="16">
        <f t="shared" si="216"/>
        <v>7</v>
      </c>
      <c r="X1965" s="16">
        <f t="shared" si="217"/>
        <v>2</v>
      </c>
      <c r="Y1965" s="15"/>
      <c r="Z1965" s="177"/>
      <c r="AA1965" s="170"/>
      <c r="AB1965" s="170"/>
      <c r="AC1965" s="170"/>
      <c r="AD1965" s="170"/>
      <c r="AE1965" s="15"/>
      <c r="AF1965" s="177"/>
      <c r="AG1965" s="177">
        <f t="shared" si="218"/>
        <v>0</v>
      </c>
      <c r="AH1965" s="177">
        <f t="shared" si="219"/>
        <v>0</v>
      </c>
      <c r="AK1965" s="176"/>
      <c r="AL1965" s="176"/>
    </row>
    <row r="1966" spans="1:38" ht="36" customHeight="1" x14ac:dyDescent="0.2">
      <c r="A1966" s="176"/>
      <c r="B1966" s="212"/>
      <c r="C1966" s="14"/>
      <c r="D1966" s="14"/>
      <c r="E1966" s="14"/>
      <c r="F1966" s="14"/>
      <c r="G1966" s="179">
        <v>681965</v>
      </c>
      <c r="H1966" s="176"/>
      <c r="I1966" s="176"/>
      <c r="J1966" s="176"/>
      <c r="K1966" s="176"/>
      <c r="L1966" s="40"/>
      <c r="M1966" s="40"/>
      <c r="N1966" s="14"/>
      <c r="O1966" s="14"/>
      <c r="P1966" s="14"/>
      <c r="Q1966" s="14"/>
      <c r="R1966" s="17"/>
      <c r="S1966" s="172"/>
      <c r="T1966" s="17"/>
      <c r="U1966" s="14"/>
      <c r="V1966" s="16">
        <f t="shared" si="215"/>
        <v>0</v>
      </c>
      <c r="W1966" s="16">
        <f t="shared" si="216"/>
        <v>7</v>
      </c>
      <c r="X1966" s="16">
        <f t="shared" si="217"/>
        <v>2</v>
      </c>
      <c r="Y1966" s="15"/>
      <c r="Z1966" s="177"/>
      <c r="AA1966" s="170"/>
      <c r="AB1966" s="170"/>
      <c r="AC1966" s="170"/>
      <c r="AD1966" s="170"/>
      <c r="AE1966" s="15"/>
      <c r="AF1966" s="177"/>
      <c r="AG1966" s="177">
        <f t="shared" si="218"/>
        <v>0</v>
      </c>
      <c r="AH1966" s="177">
        <f t="shared" si="219"/>
        <v>0</v>
      </c>
      <c r="AK1966" s="176"/>
      <c r="AL1966" s="176"/>
    </row>
    <row r="1967" spans="1:38" ht="36" customHeight="1" x14ac:dyDescent="0.2">
      <c r="A1967" s="176"/>
      <c r="B1967" s="212"/>
      <c r="C1967" s="14"/>
      <c r="D1967" s="14"/>
      <c r="E1967" s="14"/>
      <c r="F1967" s="14"/>
      <c r="G1967" s="179">
        <v>681966</v>
      </c>
      <c r="H1967" s="176"/>
      <c r="I1967" s="176"/>
      <c r="J1967" s="176"/>
      <c r="K1967" s="176"/>
      <c r="L1967" s="40"/>
      <c r="M1967" s="40"/>
      <c r="N1967" s="14"/>
      <c r="O1967" s="14"/>
      <c r="P1967" s="14"/>
      <c r="Q1967" s="14"/>
      <c r="R1967" s="17"/>
      <c r="S1967" s="172"/>
      <c r="T1967" s="17"/>
      <c r="U1967" s="14"/>
      <c r="V1967" s="16">
        <f t="shared" si="215"/>
        <v>0</v>
      </c>
      <c r="W1967" s="16">
        <f t="shared" si="216"/>
        <v>7</v>
      </c>
      <c r="X1967" s="16">
        <f t="shared" si="217"/>
        <v>2</v>
      </c>
      <c r="Y1967" s="15"/>
      <c r="Z1967" s="177"/>
      <c r="AA1967" s="170"/>
      <c r="AB1967" s="170"/>
      <c r="AC1967" s="170"/>
      <c r="AD1967" s="170"/>
      <c r="AE1967" s="15"/>
      <c r="AF1967" s="177"/>
      <c r="AG1967" s="177">
        <f t="shared" si="218"/>
        <v>0</v>
      </c>
      <c r="AH1967" s="177">
        <f t="shared" si="219"/>
        <v>0</v>
      </c>
      <c r="AK1967" s="176"/>
      <c r="AL1967" s="176"/>
    </row>
    <row r="1968" spans="1:38" ht="36" customHeight="1" x14ac:dyDescent="0.2">
      <c r="A1968" s="176"/>
      <c r="B1968" s="212"/>
      <c r="C1968" s="14"/>
      <c r="D1968" s="14"/>
      <c r="E1968" s="14"/>
      <c r="F1968" s="14"/>
      <c r="G1968" s="179">
        <v>681967</v>
      </c>
      <c r="H1968" s="176"/>
      <c r="I1968" s="176"/>
      <c r="J1968" s="176"/>
      <c r="K1968" s="176"/>
      <c r="L1968" s="40"/>
      <c r="M1968" s="40"/>
      <c r="N1968" s="14"/>
      <c r="O1968" s="14"/>
      <c r="P1968" s="14"/>
      <c r="Q1968" s="14"/>
      <c r="R1968" s="17"/>
      <c r="S1968" s="172"/>
      <c r="T1968" s="17"/>
      <c r="U1968" s="14"/>
      <c r="V1968" s="16">
        <f t="shared" si="215"/>
        <v>0</v>
      </c>
      <c r="W1968" s="16">
        <f t="shared" si="216"/>
        <v>7</v>
      </c>
      <c r="X1968" s="16">
        <f t="shared" si="217"/>
        <v>2</v>
      </c>
      <c r="Y1968" s="15"/>
      <c r="Z1968" s="177"/>
      <c r="AA1968" s="170"/>
      <c r="AB1968" s="170"/>
      <c r="AC1968" s="170"/>
      <c r="AD1968" s="170"/>
      <c r="AE1968" s="15"/>
      <c r="AF1968" s="177"/>
      <c r="AG1968" s="177">
        <f t="shared" si="218"/>
        <v>0</v>
      </c>
      <c r="AH1968" s="177">
        <f t="shared" si="219"/>
        <v>0</v>
      </c>
      <c r="AK1968" s="176"/>
      <c r="AL1968" s="176"/>
    </row>
    <row r="1969" spans="1:38" ht="36" customHeight="1" x14ac:dyDescent="0.2">
      <c r="A1969" s="176"/>
      <c r="B1969" s="212"/>
      <c r="C1969" s="14"/>
      <c r="D1969" s="14"/>
      <c r="E1969" s="14"/>
      <c r="F1969" s="14"/>
      <c r="G1969" s="179">
        <v>681968</v>
      </c>
      <c r="H1969" s="176"/>
      <c r="I1969" s="176"/>
      <c r="J1969" s="176"/>
      <c r="K1969" s="176"/>
      <c r="L1969" s="40"/>
      <c r="M1969" s="40"/>
      <c r="N1969" s="14"/>
      <c r="O1969" s="14"/>
      <c r="P1969" s="14"/>
      <c r="Q1969" s="14"/>
      <c r="R1969" s="17"/>
      <c r="S1969" s="172"/>
      <c r="T1969" s="17"/>
      <c r="U1969" s="14"/>
      <c r="V1969" s="16">
        <f t="shared" si="215"/>
        <v>0</v>
      </c>
      <c r="W1969" s="16">
        <f t="shared" si="216"/>
        <v>7</v>
      </c>
      <c r="X1969" s="16">
        <f t="shared" si="217"/>
        <v>2</v>
      </c>
      <c r="Y1969" s="15"/>
      <c r="Z1969" s="177"/>
      <c r="AA1969" s="170"/>
      <c r="AB1969" s="170"/>
      <c r="AC1969" s="170"/>
      <c r="AD1969" s="170"/>
      <c r="AE1969" s="15"/>
      <c r="AF1969" s="177"/>
      <c r="AG1969" s="177">
        <f t="shared" si="218"/>
        <v>0</v>
      </c>
      <c r="AH1969" s="177">
        <f t="shared" si="219"/>
        <v>0</v>
      </c>
      <c r="AK1969" s="176"/>
      <c r="AL1969" s="176"/>
    </row>
    <row r="1970" spans="1:38" ht="36" customHeight="1" x14ac:dyDescent="0.2">
      <c r="A1970" s="176"/>
      <c r="B1970" s="212"/>
      <c r="C1970" s="14"/>
      <c r="D1970" s="14"/>
      <c r="E1970" s="14"/>
      <c r="F1970" s="14"/>
      <c r="G1970" s="179">
        <v>681969</v>
      </c>
      <c r="H1970" s="176"/>
      <c r="I1970" s="176"/>
      <c r="J1970" s="176"/>
      <c r="K1970" s="176"/>
      <c r="L1970" s="40"/>
      <c r="M1970" s="40"/>
      <c r="N1970" s="14"/>
      <c r="O1970" s="14"/>
      <c r="P1970" s="14"/>
      <c r="Q1970" s="14"/>
      <c r="R1970" s="17"/>
      <c r="S1970" s="172"/>
      <c r="T1970" s="17"/>
      <c r="U1970" s="14"/>
      <c r="V1970" s="16">
        <f t="shared" si="215"/>
        <v>0</v>
      </c>
      <c r="W1970" s="16">
        <f t="shared" si="216"/>
        <v>7</v>
      </c>
      <c r="X1970" s="16">
        <f t="shared" si="217"/>
        <v>2</v>
      </c>
      <c r="Y1970" s="15"/>
      <c r="Z1970" s="177"/>
      <c r="AA1970" s="170"/>
      <c r="AB1970" s="170"/>
      <c r="AC1970" s="170"/>
      <c r="AD1970" s="170"/>
      <c r="AE1970" s="15"/>
      <c r="AF1970" s="177"/>
      <c r="AG1970" s="177">
        <f t="shared" si="218"/>
        <v>0</v>
      </c>
      <c r="AH1970" s="177">
        <f t="shared" si="219"/>
        <v>0</v>
      </c>
      <c r="AK1970" s="176"/>
      <c r="AL1970" s="176"/>
    </row>
    <row r="1971" spans="1:38" ht="36" customHeight="1" x14ac:dyDescent="0.2">
      <c r="A1971" s="176"/>
      <c r="B1971" s="212"/>
      <c r="C1971" s="14"/>
      <c r="D1971" s="14"/>
      <c r="E1971" s="14"/>
      <c r="F1971" s="14"/>
      <c r="G1971" s="179">
        <v>681970</v>
      </c>
      <c r="H1971" s="176"/>
      <c r="I1971" s="176"/>
      <c r="J1971" s="176"/>
      <c r="K1971" s="176"/>
      <c r="L1971" s="40"/>
      <c r="M1971" s="40"/>
      <c r="N1971" s="14"/>
      <c r="O1971" s="14"/>
      <c r="P1971" s="14"/>
      <c r="Q1971" s="14"/>
      <c r="R1971" s="17"/>
      <c r="S1971" s="172"/>
      <c r="T1971" s="17"/>
      <c r="U1971" s="14"/>
      <c r="V1971" s="16">
        <f t="shared" si="215"/>
        <v>0</v>
      </c>
      <c r="W1971" s="16">
        <f t="shared" si="216"/>
        <v>7</v>
      </c>
      <c r="X1971" s="16">
        <f t="shared" si="217"/>
        <v>2</v>
      </c>
      <c r="Y1971" s="15"/>
      <c r="Z1971" s="177"/>
      <c r="AA1971" s="170"/>
      <c r="AB1971" s="170"/>
      <c r="AC1971" s="170"/>
      <c r="AD1971" s="170"/>
      <c r="AE1971" s="15"/>
      <c r="AF1971" s="177"/>
      <c r="AG1971" s="177">
        <f t="shared" si="218"/>
        <v>0</v>
      </c>
      <c r="AH1971" s="177">
        <f t="shared" si="219"/>
        <v>0</v>
      </c>
      <c r="AK1971" s="176"/>
      <c r="AL1971" s="176"/>
    </row>
    <row r="1972" spans="1:38" ht="36" customHeight="1" x14ac:dyDescent="0.2">
      <c r="A1972" s="176"/>
      <c r="B1972" s="212"/>
      <c r="C1972" s="14"/>
      <c r="D1972" s="14"/>
      <c r="E1972" s="14"/>
      <c r="F1972" s="14"/>
      <c r="G1972" s="179">
        <v>681971</v>
      </c>
      <c r="H1972" s="176"/>
      <c r="I1972" s="176"/>
      <c r="J1972" s="176"/>
      <c r="K1972" s="176"/>
      <c r="L1972" s="40"/>
      <c r="M1972" s="40"/>
      <c r="N1972" s="14"/>
      <c r="O1972" s="14"/>
      <c r="P1972" s="14"/>
      <c r="Q1972" s="14"/>
      <c r="R1972" s="17"/>
      <c r="S1972" s="172"/>
      <c r="T1972" s="17"/>
      <c r="U1972" s="14"/>
      <c r="V1972" s="16">
        <f t="shared" si="215"/>
        <v>0</v>
      </c>
      <c r="W1972" s="16">
        <f t="shared" si="216"/>
        <v>7</v>
      </c>
      <c r="X1972" s="16">
        <f t="shared" si="217"/>
        <v>2</v>
      </c>
      <c r="Y1972" s="15"/>
      <c r="Z1972" s="177"/>
      <c r="AA1972" s="170"/>
      <c r="AB1972" s="170"/>
      <c r="AC1972" s="170"/>
      <c r="AD1972" s="170"/>
      <c r="AE1972" s="15"/>
      <c r="AF1972" s="177"/>
      <c r="AG1972" s="177">
        <f t="shared" si="218"/>
        <v>0</v>
      </c>
      <c r="AH1972" s="177">
        <f t="shared" si="219"/>
        <v>0</v>
      </c>
      <c r="AK1972" s="176"/>
      <c r="AL1972" s="176"/>
    </row>
    <row r="1973" spans="1:38" ht="36" customHeight="1" x14ac:dyDescent="0.2">
      <c r="A1973" s="176"/>
      <c r="B1973" s="212"/>
      <c r="C1973" s="14"/>
      <c r="D1973" s="14"/>
      <c r="E1973" s="14"/>
      <c r="F1973" s="14"/>
      <c r="G1973" s="179">
        <v>681972</v>
      </c>
      <c r="H1973" s="176"/>
      <c r="I1973" s="176"/>
      <c r="J1973" s="176"/>
      <c r="K1973" s="176"/>
      <c r="L1973" s="40"/>
      <c r="M1973" s="40"/>
      <c r="N1973" s="14"/>
      <c r="O1973" s="14"/>
      <c r="P1973" s="14"/>
      <c r="Q1973" s="14"/>
      <c r="R1973" s="17"/>
      <c r="S1973" s="172"/>
      <c r="T1973" s="17"/>
      <c r="U1973" s="14"/>
      <c r="V1973" s="16">
        <f t="shared" si="215"/>
        <v>0</v>
      </c>
      <c r="W1973" s="16">
        <f t="shared" si="216"/>
        <v>7</v>
      </c>
      <c r="X1973" s="16">
        <f t="shared" si="217"/>
        <v>2</v>
      </c>
      <c r="Y1973" s="15"/>
      <c r="Z1973" s="177"/>
      <c r="AA1973" s="170"/>
      <c r="AB1973" s="170"/>
      <c r="AC1973" s="170"/>
      <c r="AD1973" s="170"/>
      <c r="AE1973" s="15"/>
      <c r="AF1973" s="177"/>
      <c r="AG1973" s="177">
        <f t="shared" si="218"/>
        <v>0</v>
      </c>
      <c r="AH1973" s="177">
        <f t="shared" si="219"/>
        <v>0</v>
      </c>
      <c r="AK1973" s="176"/>
      <c r="AL1973" s="176"/>
    </row>
    <row r="1974" spans="1:38" ht="36" customHeight="1" x14ac:dyDescent="0.2">
      <c r="A1974" s="176"/>
      <c r="B1974" s="212"/>
      <c r="C1974" s="14"/>
      <c r="D1974" s="14"/>
      <c r="E1974" s="14"/>
      <c r="F1974" s="14"/>
      <c r="G1974" s="179">
        <v>681973</v>
      </c>
      <c r="H1974" s="176"/>
      <c r="I1974" s="176"/>
      <c r="J1974" s="176"/>
      <c r="K1974" s="176"/>
      <c r="L1974" s="40"/>
      <c r="M1974" s="40"/>
      <c r="N1974" s="14"/>
      <c r="O1974" s="14"/>
      <c r="P1974" s="14"/>
      <c r="Q1974" s="14"/>
      <c r="R1974" s="17"/>
      <c r="S1974" s="172"/>
      <c r="T1974" s="17"/>
      <c r="U1974" s="14"/>
      <c r="V1974" s="16">
        <f t="shared" si="215"/>
        <v>0</v>
      </c>
      <c r="W1974" s="16">
        <f t="shared" si="216"/>
        <v>7</v>
      </c>
      <c r="X1974" s="16">
        <f t="shared" si="217"/>
        <v>2</v>
      </c>
      <c r="Y1974" s="15"/>
      <c r="Z1974" s="177"/>
      <c r="AA1974" s="170"/>
      <c r="AB1974" s="170"/>
      <c r="AC1974" s="170"/>
      <c r="AD1974" s="170"/>
      <c r="AE1974" s="15"/>
      <c r="AF1974" s="177"/>
      <c r="AG1974" s="177">
        <f t="shared" si="218"/>
        <v>0</v>
      </c>
      <c r="AH1974" s="177">
        <f t="shared" si="219"/>
        <v>0</v>
      </c>
      <c r="AK1974" s="176"/>
      <c r="AL1974" s="176"/>
    </row>
    <row r="1975" spans="1:38" ht="36" customHeight="1" x14ac:dyDescent="0.2">
      <c r="A1975" s="176"/>
      <c r="B1975" s="212"/>
      <c r="C1975" s="14"/>
      <c r="D1975" s="14"/>
      <c r="E1975" s="14"/>
      <c r="F1975" s="14"/>
      <c r="G1975" s="179">
        <v>681974</v>
      </c>
      <c r="H1975" s="176"/>
      <c r="I1975" s="176"/>
      <c r="J1975" s="176"/>
      <c r="K1975" s="176"/>
      <c r="L1975" s="40"/>
      <c r="M1975" s="40"/>
      <c r="N1975" s="14"/>
      <c r="O1975" s="14"/>
      <c r="P1975" s="14"/>
      <c r="Q1975" s="14"/>
      <c r="R1975" s="17"/>
      <c r="S1975" s="172"/>
      <c r="T1975" s="17"/>
      <c r="U1975" s="14"/>
      <c r="V1975" s="16">
        <f t="shared" si="215"/>
        <v>0</v>
      </c>
      <c r="W1975" s="16">
        <f t="shared" si="216"/>
        <v>7</v>
      </c>
      <c r="X1975" s="16">
        <f t="shared" si="217"/>
        <v>2</v>
      </c>
      <c r="Y1975" s="15"/>
      <c r="Z1975" s="177"/>
      <c r="AA1975" s="170"/>
      <c r="AB1975" s="170"/>
      <c r="AC1975" s="170"/>
      <c r="AD1975" s="170"/>
      <c r="AE1975" s="15"/>
      <c r="AF1975" s="177"/>
      <c r="AG1975" s="177">
        <f t="shared" si="218"/>
        <v>0</v>
      </c>
      <c r="AH1975" s="177">
        <f t="shared" si="219"/>
        <v>0</v>
      </c>
      <c r="AK1975" s="176"/>
      <c r="AL1975" s="176"/>
    </row>
    <row r="1976" spans="1:38" ht="36" customHeight="1" x14ac:dyDescent="0.2">
      <c r="A1976" s="176"/>
      <c r="B1976" s="212"/>
      <c r="C1976" s="14"/>
      <c r="D1976" s="14"/>
      <c r="E1976" s="14"/>
      <c r="F1976" s="14"/>
      <c r="G1976" s="179">
        <v>681975</v>
      </c>
      <c r="H1976" s="176"/>
      <c r="I1976" s="176"/>
      <c r="J1976" s="176"/>
      <c r="K1976" s="176"/>
      <c r="L1976" s="40"/>
      <c r="M1976" s="40"/>
      <c r="N1976" s="14"/>
      <c r="O1976" s="14"/>
      <c r="P1976" s="14"/>
      <c r="Q1976" s="14"/>
      <c r="R1976" s="17"/>
      <c r="S1976" s="172"/>
      <c r="T1976" s="17"/>
      <c r="U1976" s="14"/>
      <c r="V1976" s="16">
        <f t="shared" si="215"/>
        <v>0</v>
      </c>
      <c r="W1976" s="16">
        <f t="shared" si="216"/>
        <v>7</v>
      </c>
      <c r="X1976" s="16">
        <f t="shared" si="217"/>
        <v>2</v>
      </c>
      <c r="Y1976" s="15"/>
      <c r="Z1976" s="177"/>
      <c r="AA1976" s="170"/>
      <c r="AB1976" s="170"/>
      <c r="AC1976" s="170"/>
      <c r="AD1976" s="170"/>
      <c r="AE1976" s="15"/>
      <c r="AF1976" s="177"/>
      <c r="AG1976" s="177">
        <f t="shared" si="218"/>
        <v>0</v>
      </c>
      <c r="AH1976" s="177">
        <f t="shared" si="219"/>
        <v>0</v>
      </c>
      <c r="AK1976" s="176"/>
      <c r="AL1976" s="176"/>
    </row>
    <row r="1977" spans="1:38" ht="36" customHeight="1" x14ac:dyDescent="0.2">
      <c r="A1977" s="176"/>
      <c r="B1977" s="212"/>
      <c r="C1977" s="14"/>
      <c r="D1977" s="14"/>
      <c r="E1977" s="14"/>
      <c r="F1977" s="14"/>
      <c r="G1977" s="179">
        <v>681976</v>
      </c>
      <c r="H1977" s="176"/>
      <c r="I1977" s="176"/>
      <c r="J1977" s="176"/>
      <c r="K1977" s="176"/>
      <c r="L1977" s="40"/>
      <c r="M1977" s="40"/>
      <c r="N1977" s="14"/>
      <c r="O1977" s="14"/>
      <c r="P1977" s="14"/>
      <c r="Q1977" s="14"/>
      <c r="R1977" s="17"/>
      <c r="S1977" s="172"/>
      <c r="T1977" s="17"/>
      <c r="U1977" s="14"/>
      <c r="V1977" s="16">
        <f t="shared" si="215"/>
        <v>0</v>
      </c>
      <c r="W1977" s="16">
        <f t="shared" si="216"/>
        <v>7</v>
      </c>
      <c r="X1977" s="16">
        <f t="shared" si="217"/>
        <v>2</v>
      </c>
      <c r="Y1977" s="15"/>
      <c r="Z1977" s="177"/>
      <c r="AA1977" s="170"/>
      <c r="AB1977" s="170"/>
      <c r="AC1977" s="170"/>
      <c r="AD1977" s="170"/>
      <c r="AE1977" s="15"/>
      <c r="AF1977" s="177"/>
      <c r="AG1977" s="177">
        <f t="shared" si="218"/>
        <v>0</v>
      </c>
      <c r="AH1977" s="177">
        <f t="shared" si="219"/>
        <v>0</v>
      </c>
      <c r="AK1977" s="176"/>
      <c r="AL1977" s="176"/>
    </row>
    <row r="1978" spans="1:38" ht="36" customHeight="1" x14ac:dyDescent="0.2">
      <c r="A1978" s="176"/>
      <c r="B1978" s="212"/>
      <c r="C1978" s="14"/>
      <c r="D1978" s="14"/>
      <c r="E1978" s="14"/>
      <c r="F1978" s="14"/>
      <c r="G1978" s="179">
        <v>681977</v>
      </c>
      <c r="H1978" s="176"/>
      <c r="I1978" s="176"/>
      <c r="J1978" s="176"/>
      <c r="K1978" s="176"/>
      <c r="L1978" s="40"/>
      <c r="M1978" s="40"/>
      <c r="N1978" s="14"/>
      <c r="O1978" s="14"/>
      <c r="P1978" s="14"/>
      <c r="Q1978" s="14"/>
      <c r="R1978" s="17"/>
      <c r="S1978" s="172"/>
      <c r="T1978" s="17"/>
      <c r="U1978" s="14"/>
      <c r="V1978" s="16">
        <f t="shared" si="215"/>
        <v>0</v>
      </c>
      <c r="W1978" s="16">
        <f t="shared" si="216"/>
        <v>7</v>
      </c>
      <c r="X1978" s="16">
        <f t="shared" si="217"/>
        <v>2</v>
      </c>
      <c r="Y1978" s="15"/>
      <c r="Z1978" s="177"/>
      <c r="AA1978" s="170"/>
      <c r="AB1978" s="170"/>
      <c r="AC1978" s="170"/>
      <c r="AD1978" s="170"/>
      <c r="AE1978" s="15"/>
      <c r="AF1978" s="177"/>
      <c r="AG1978" s="177">
        <f t="shared" si="218"/>
        <v>0</v>
      </c>
      <c r="AH1978" s="177">
        <f t="shared" si="219"/>
        <v>0</v>
      </c>
      <c r="AK1978" s="176"/>
      <c r="AL1978" s="176"/>
    </row>
    <row r="1979" spans="1:38" ht="36" customHeight="1" x14ac:dyDescent="0.2">
      <c r="A1979" s="176"/>
      <c r="B1979" s="212"/>
      <c r="C1979" s="14"/>
      <c r="D1979" s="14"/>
      <c r="E1979" s="14"/>
      <c r="F1979" s="14"/>
      <c r="G1979" s="179">
        <v>681978</v>
      </c>
      <c r="H1979" s="176"/>
      <c r="I1979" s="176"/>
      <c r="J1979" s="176"/>
      <c r="K1979" s="176"/>
      <c r="L1979" s="40"/>
      <c r="M1979" s="40"/>
      <c r="N1979" s="14"/>
      <c r="O1979" s="14"/>
      <c r="P1979" s="14"/>
      <c r="Q1979" s="14"/>
      <c r="R1979" s="17"/>
      <c r="S1979" s="172"/>
      <c r="T1979" s="17"/>
      <c r="U1979" s="14"/>
      <c r="V1979" s="16">
        <f t="shared" si="215"/>
        <v>0</v>
      </c>
      <c r="W1979" s="16">
        <f t="shared" si="216"/>
        <v>7</v>
      </c>
      <c r="X1979" s="16">
        <f t="shared" si="217"/>
        <v>2</v>
      </c>
      <c r="Y1979" s="15"/>
      <c r="Z1979" s="177"/>
      <c r="AA1979" s="170"/>
      <c r="AB1979" s="170"/>
      <c r="AC1979" s="170"/>
      <c r="AD1979" s="170"/>
      <c r="AE1979" s="15"/>
      <c r="AF1979" s="177"/>
      <c r="AG1979" s="177">
        <f t="shared" si="218"/>
        <v>0</v>
      </c>
      <c r="AH1979" s="177">
        <f t="shared" si="219"/>
        <v>0</v>
      </c>
      <c r="AK1979" s="176"/>
      <c r="AL1979" s="176"/>
    </row>
    <row r="1980" spans="1:38" ht="36" customHeight="1" x14ac:dyDescent="0.2">
      <c r="A1980" s="176"/>
      <c r="B1980" s="212"/>
      <c r="C1980" s="14"/>
      <c r="D1980" s="14"/>
      <c r="E1980" s="14"/>
      <c r="F1980" s="14"/>
      <c r="G1980" s="179">
        <v>681979</v>
      </c>
      <c r="H1980" s="176"/>
      <c r="I1980" s="176"/>
      <c r="J1980" s="176"/>
      <c r="K1980" s="176"/>
      <c r="L1980" s="40"/>
      <c r="M1980" s="40"/>
      <c r="N1980" s="14"/>
      <c r="O1980" s="14"/>
      <c r="P1980" s="14"/>
      <c r="Q1980" s="14"/>
      <c r="R1980" s="17"/>
      <c r="S1980" s="172"/>
      <c r="T1980" s="17"/>
      <c r="U1980" s="14"/>
      <c r="V1980" s="16">
        <f t="shared" si="215"/>
        <v>0</v>
      </c>
      <c r="W1980" s="16">
        <f t="shared" si="216"/>
        <v>7</v>
      </c>
      <c r="X1980" s="16">
        <f t="shared" si="217"/>
        <v>2</v>
      </c>
      <c r="Y1980" s="15"/>
      <c r="Z1980" s="177"/>
      <c r="AA1980" s="170"/>
      <c r="AB1980" s="170"/>
      <c r="AC1980" s="170"/>
      <c r="AD1980" s="170"/>
      <c r="AE1980" s="15"/>
      <c r="AF1980" s="177"/>
      <c r="AG1980" s="177">
        <f t="shared" si="218"/>
        <v>0</v>
      </c>
      <c r="AH1980" s="177">
        <f t="shared" si="219"/>
        <v>0</v>
      </c>
      <c r="AK1980" s="176"/>
      <c r="AL1980" s="176"/>
    </row>
    <row r="1981" spans="1:38" ht="36" customHeight="1" x14ac:dyDescent="0.2">
      <c r="A1981" s="176"/>
      <c r="B1981" s="212"/>
      <c r="C1981" s="14"/>
      <c r="D1981" s="14"/>
      <c r="E1981" s="14"/>
      <c r="F1981" s="14"/>
      <c r="G1981" s="179">
        <v>681980</v>
      </c>
      <c r="H1981" s="176"/>
      <c r="I1981" s="176"/>
      <c r="J1981" s="176"/>
      <c r="K1981" s="176"/>
      <c r="L1981" s="40"/>
      <c r="M1981" s="40"/>
      <c r="N1981" s="14"/>
      <c r="O1981" s="14"/>
      <c r="P1981" s="14"/>
      <c r="Q1981" s="14"/>
      <c r="R1981" s="17"/>
      <c r="S1981" s="172"/>
      <c r="T1981" s="17"/>
      <c r="U1981" s="14"/>
      <c r="V1981" s="16">
        <f t="shared" si="215"/>
        <v>0</v>
      </c>
      <c r="W1981" s="16">
        <f t="shared" si="216"/>
        <v>7</v>
      </c>
      <c r="X1981" s="16">
        <f t="shared" si="217"/>
        <v>2</v>
      </c>
      <c r="Y1981" s="15"/>
      <c r="Z1981" s="177"/>
      <c r="AA1981" s="170"/>
      <c r="AB1981" s="170"/>
      <c r="AC1981" s="170"/>
      <c r="AD1981" s="170"/>
      <c r="AE1981" s="15"/>
      <c r="AF1981" s="177"/>
      <c r="AG1981" s="177">
        <f t="shared" si="218"/>
        <v>0</v>
      </c>
      <c r="AH1981" s="177">
        <f t="shared" si="219"/>
        <v>0</v>
      </c>
      <c r="AK1981" s="176"/>
      <c r="AL1981" s="176"/>
    </row>
    <row r="1982" spans="1:38" ht="36" customHeight="1" x14ac:dyDescent="0.2">
      <c r="A1982" s="176"/>
      <c r="B1982" s="212"/>
      <c r="C1982" s="14"/>
      <c r="D1982" s="14"/>
      <c r="E1982" s="14"/>
      <c r="F1982" s="14"/>
      <c r="G1982" s="179">
        <v>681981</v>
      </c>
      <c r="H1982" s="176"/>
      <c r="I1982" s="176"/>
      <c r="J1982" s="176"/>
      <c r="K1982" s="176"/>
      <c r="L1982" s="40"/>
      <c r="M1982" s="40"/>
      <c r="N1982" s="14"/>
      <c r="O1982" s="14"/>
      <c r="P1982" s="14"/>
      <c r="Q1982" s="14"/>
      <c r="R1982" s="17"/>
      <c r="S1982" s="172"/>
      <c r="T1982" s="17"/>
      <c r="U1982" s="14"/>
      <c r="V1982" s="16">
        <f t="shared" si="215"/>
        <v>0</v>
      </c>
      <c r="W1982" s="16">
        <f t="shared" si="216"/>
        <v>7</v>
      </c>
      <c r="X1982" s="16">
        <f t="shared" si="217"/>
        <v>2</v>
      </c>
      <c r="Y1982" s="15"/>
      <c r="Z1982" s="177"/>
      <c r="AA1982" s="170"/>
      <c r="AB1982" s="170"/>
      <c r="AC1982" s="170"/>
      <c r="AD1982" s="170"/>
      <c r="AE1982" s="15"/>
      <c r="AF1982" s="177"/>
      <c r="AG1982" s="177">
        <f t="shared" si="218"/>
        <v>0</v>
      </c>
      <c r="AH1982" s="177">
        <f t="shared" si="219"/>
        <v>0</v>
      </c>
      <c r="AK1982" s="176"/>
      <c r="AL1982" s="176"/>
    </row>
    <row r="1983" spans="1:38" ht="36" customHeight="1" x14ac:dyDescent="0.2">
      <c r="A1983" s="176"/>
      <c r="B1983" s="212"/>
      <c r="C1983" s="14"/>
      <c r="D1983" s="14"/>
      <c r="E1983" s="14"/>
      <c r="F1983" s="14"/>
      <c r="G1983" s="179">
        <v>681982</v>
      </c>
      <c r="H1983" s="176"/>
      <c r="I1983" s="176"/>
      <c r="J1983" s="176"/>
      <c r="K1983" s="176"/>
      <c r="L1983" s="40"/>
      <c r="M1983" s="40"/>
      <c r="N1983" s="14"/>
      <c r="O1983" s="14"/>
      <c r="P1983" s="14"/>
      <c r="Q1983" s="14"/>
      <c r="R1983" s="17"/>
      <c r="S1983" s="172"/>
      <c r="T1983" s="17"/>
      <c r="U1983" s="14"/>
      <c r="V1983" s="16">
        <f t="shared" si="215"/>
        <v>0</v>
      </c>
      <c r="W1983" s="16">
        <f t="shared" si="216"/>
        <v>7</v>
      </c>
      <c r="X1983" s="16">
        <f t="shared" si="217"/>
        <v>2</v>
      </c>
      <c r="Y1983" s="15"/>
      <c r="Z1983" s="177"/>
      <c r="AA1983" s="170"/>
      <c r="AB1983" s="170"/>
      <c r="AC1983" s="170"/>
      <c r="AD1983" s="170"/>
      <c r="AE1983" s="15"/>
      <c r="AF1983" s="177"/>
      <c r="AG1983" s="177">
        <f t="shared" si="218"/>
        <v>0</v>
      </c>
      <c r="AH1983" s="177">
        <f t="shared" si="219"/>
        <v>0</v>
      </c>
      <c r="AK1983" s="176"/>
      <c r="AL1983" s="176"/>
    </row>
    <row r="1984" spans="1:38" ht="36" customHeight="1" x14ac:dyDescent="0.2">
      <c r="A1984" s="176"/>
      <c r="B1984" s="212"/>
      <c r="C1984" s="14"/>
      <c r="D1984" s="14"/>
      <c r="E1984" s="14"/>
      <c r="F1984" s="14"/>
      <c r="G1984" s="179">
        <v>681983</v>
      </c>
      <c r="H1984" s="176"/>
      <c r="I1984" s="176"/>
      <c r="J1984" s="176"/>
      <c r="K1984" s="176"/>
      <c r="L1984" s="40"/>
      <c r="M1984" s="40"/>
      <c r="N1984" s="14"/>
      <c r="O1984" s="14"/>
      <c r="P1984" s="14"/>
      <c r="Q1984" s="14"/>
      <c r="R1984" s="17"/>
      <c r="S1984" s="172"/>
      <c r="T1984" s="17"/>
      <c r="U1984" s="14"/>
      <c r="V1984" s="16">
        <f t="shared" si="215"/>
        <v>0</v>
      </c>
      <c r="W1984" s="16">
        <f t="shared" si="216"/>
        <v>7</v>
      </c>
      <c r="X1984" s="16">
        <f t="shared" si="217"/>
        <v>2</v>
      </c>
      <c r="Y1984" s="15"/>
      <c r="Z1984" s="177"/>
      <c r="AA1984" s="170"/>
      <c r="AB1984" s="170"/>
      <c r="AC1984" s="170"/>
      <c r="AD1984" s="170"/>
      <c r="AE1984" s="15"/>
      <c r="AF1984" s="177"/>
      <c r="AG1984" s="177">
        <f t="shared" si="218"/>
        <v>0</v>
      </c>
      <c r="AH1984" s="177">
        <f t="shared" si="219"/>
        <v>0</v>
      </c>
      <c r="AK1984" s="176"/>
      <c r="AL1984" s="176"/>
    </row>
    <row r="1985" spans="1:38" ht="36" customHeight="1" x14ac:dyDescent="0.2">
      <c r="A1985" s="176"/>
      <c r="B1985" s="212"/>
      <c r="C1985" s="14"/>
      <c r="D1985" s="14"/>
      <c r="E1985" s="14"/>
      <c r="F1985" s="14"/>
      <c r="G1985" s="179">
        <v>681984</v>
      </c>
      <c r="H1985" s="176"/>
      <c r="I1985" s="176"/>
      <c r="J1985" s="176"/>
      <c r="K1985" s="176"/>
      <c r="L1985" s="40"/>
      <c r="M1985" s="40"/>
      <c r="N1985" s="14"/>
      <c r="O1985" s="14"/>
      <c r="P1985" s="14"/>
      <c r="Q1985" s="14"/>
      <c r="R1985" s="17"/>
      <c r="S1985" s="172"/>
      <c r="T1985" s="17"/>
      <c r="U1985" s="14"/>
      <c r="V1985" s="16">
        <f t="shared" ref="V1985:V2001" si="220">B1985</f>
        <v>0</v>
      </c>
      <c r="W1985" s="16">
        <f t="shared" ref="W1985:W2001" si="221">B1985+7</f>
        <v>7</v>
      </c>
      <c r="X1985" s="16">
        <f t="shared" ref="X1985:X2001" si="222">V1985+2</f>
        <v>2</v>
      </c>
      <c r="Y1985" s="15"/>
      <c r="Z1985" s="177"/>
      <c r="AA1985" s="170"/>
      <c r="AB1985" s="170"/>
      <c r="AC1985" s="170"/>
      <c r="AD1985" s="170"/>
      <c r="AE1985" s="15"/>
      <c r="AF1985" s="177"/>
      <c r="AG1985" s="177">
        <f t="shared" ref="AG1985:AG2001" si="223">AE1985</f>
        <v>0</v>
      </c>
      <c r="AH1985" s="177">
        <f t="shared" ref="AH1985:AH2001" si="224">AF1985</f>
        <v>0</v>
      </c>
      <c r="AK1985" s="176"/>
      <c r="AL1985" s="176"/>
    </row>
    <row r="1986" spans="1:38" ht="36" customHeight="1" x14ac:dyDescent="0.2">
      <c r="A1986" s="176"/>
      <c r="B1986" s="212"/>
      <c r="C1986" s="14"/>
      <c r="D1986" s="14"/>
      <c r="E1986" s="14"/>
      <c r="F1986" s="14"/>
      <c r="G1986" s="179">
        <v>681985</v>
      </c>
      <c r="H1986" s="176"/>
      <c r="I1986" s="176"/>
      <c r="J1986" s="176"/>
      <c r="K1986" s="176"/>
      <c r="L1986" s="40"/>
      <c r="M1986" s="40"/>
      <c r="N1986" s="14"/>
      <c r="O1986" s="14"/>
      <c r="P1986" s="14"/>
      <c r="Q1986" s="14"/>
      <c r="R1986" s="17"/>
      <c r="S1986" s="172"/>
      <c r="T1986" s="17"/>
      <c r="U1986" s="14"/>
      <c r="V1986" s="16">
        <f t="shared" si="220"/>
        <v>0</v>
      </c>
      <c r="W1986" s="16">
        <f t="shared" si="221"/>
        <v>7</v>
      </c>
      <c r="X1986" s="16">
        <f t="shared" si="222"/>
        <v>2</v>
      </c>
      <c r="Y1986" s="15"/>
      <c r="Z1986" s="177"/>
      <c r="AA1986" s="170"/>
      <c r="AB1986" s="170"/>
      <c r="AC1986" s="170"/>
      <c r="AD1986" s="170"/>
      <c r="AE1986" s="15"/>
      <c r="AF1986" s="177"/>
      <c r="AG1986" s="177">
        <f t="shared" si="223"/>
        <v>0</v>
      </c>
      <c r="AH1986" s="177">
        <f t="shared" si="224"/>
        <v>0</v>
      </c>
      <c r="AK1986" s="176"/>
      <c r="AL1986" s="176"/>
    </row>
    <row r="1987" spans="1:38" ht="36" customHeight="1" x14ac:dyDescent="0.2">
      <c r="A1987" s="176"/>
      <c r="B1987" s="212"/>
      <c r="C1987" s="14"/>
      <c r="D1987" s="14"/>
      <c r="E1987" s="14"/>
      <c r="F1987" s="14"/>
      <c r="G1987" s="179">
        <v>681986</v>
      </c>
      <c r="H1987" s="176"/>
      <c r="I1987" s="176"/>
      <c r="J1987" s="176"/>
      <c r="K1987" s="176"/>
      <c r="L1987" s="40"/>
      <c r="M1987" s="40"/>
      <c r="N1987" s="14"/>
      <c r="O1987" s="14"/>
      <c r="P1987" s="14"/>
      <c r="Q1987" s="14"/>
      <c r="R1987" s="17"/>
      <c r="S1987" s="172"/>
      <c r="T1987" s="17"/>
      <c r="U1987" s="14"/>
      <c r="V1987" s="16">
        <f t="shared" si="220"/>
        <v>0</v>
      </c>
      <c r="W1987" s="16">
        <f t="shared" si="221"/>
        <v>7</v>
      </c>
      <c r="X1987" s="16">
        <f t="shared" si="222"/>
        <v>2</v>
      </c>
      <c r="Y1987" s="15"/>
      <c r="Z1987" s="177"/>
      <c r="AA1987" s="170"/>
      <c r="AB1987" s="170"/>
      <c r="AC1987" s="170"/>
      <c r="AD1987" s="170"/>
      <c r="AE1987" s="15"/>
      <c r="AF1987" s="177"/>
      <c r="AG1987" s="177">
        <f t="shared" si="223"/>
        <v>0</v>
      </c>
      <c r="AH1987" s="177">
        <f t="shared" si="224"/>
        <v>0</v>
      </c>
      <c r="AK1987" s="176"/>
      <c r="AL1987" s="176"/>
    </row>
    <row r="1988" spans="1:38" ht="36" customHeight="1" x14ac:dyDescent="0.2">
      <c r="A1988" s="176"/>
      <c r="B1988" s="212"/>
      <c r="C1988" s="14"/>
      <c r="D1988" s="14"/>
      <c r="E1988" s="14"/>
      <c r="F1988" s="14"/>
      <c r="G1988" s="179">
        <v>681987</v>
      </c>
      <c r="H1988" s="176"/>
      <c r="I1988" s="176"/>
      <c r="J1988" s="176"/>
      <c r="K1988" s="176"/>
      <c r="L1988" s="40"/>
      <c r="M1988" s="40"/>
      <c r="N1988" s="14"/>
      <c r="O1988" s="14"/>
      <c r="P1988" s="14"/>
      <c r="Q1988" s="14"/>
      <c r="R1988" s="17"/>
      <c r="S1988" s="172"/>
      <c r="T1988" s="17"/>
      <c r="U1988" s="14"/>
      <c r="V1988" s="16">
        <f t="shared" si="220"/>
        <v>0</v>
      </c>
      <c r="W1988" s="16">
        <f t="shared" si="221"/>
        <v>7</v>
      </c>
      <c r="X1988" s="16">
        <f t="shared" si="222"/>
        <v>2</v>
      </c>
      <c r="Y1988" s="15"/>
      <c r="Z1988" s="177"/>
      <c r="AA1988" s="170"/>
      <c r="AB1988" s="170"/>
      <c r="AC1988" s="170"/>
      <c r="AD1988" s="170"/>
      <c r="AE1988" s="15"/>
      <c r="AF1988" s="177"/>
      <c r="AG1988" s="177">
        <f t="shared" si="223"/>
        <v>0</v>
      </c>
      <c r="AH1988" s="177">
        <f t="shared" si="224"/>
        <v>0</v>
      </c>
      <c r="AK1988" s="176"/>
      <c r="AL1988" s="176"/>
    </row>
    <row r="1989" spans="1:38" ht="36" customHeight="1" x14ac:dyDescent="0.2">
      <c r="A1989" s="176"/>
      <c r="B1989" s="212"/>
      <c r="C1989" s="14"/>
      <c r="D1989" s="14"/>
      <c r="E1989" s="14"/>
      <c r="F1989" s="14"/>
      <c r="G1989" s="179">
        <v>681988</v>
      </c>
      <c r="H1989" s="176"/>
      <c r="I1989" s="176"/>
      <c r="J1989" s="176"/>
      <c r="K1989" s="176"/>
      <c r="L1989" s="40"/>
      <c r="M1989" s="40"/>
      <c r="N1989" s="14"/>
      <c r="O1989" s="14"/>
      <c r="P1989" s="14"/>
      <c r="Q1989" s="14"/>
      <c r="R1989" s="17"/>
      <c r="S1989" s="172"/>
      <c r="T1989" s="17"/>
      <c r="U1989" s="14"/>
      <c r="V1989" s="16">
        <f t="shared" si="220"/>
        <v>0</v>
      </c>
      <c r="W1989" s="16">
        <f t="shared" si="221"/>
        <v>7</v>
      </c>
      <c r="X1989" s="16">
        <f t="shared" si="222"/>
        <v>2</v>
      </c>
      <c r="Y1989" s="15"/>
      <c r="Z1989" s="177"/>
      <c r="AA1989" s="170"/>
      <c r="AB1989" s="170"/>
      <c r="AC1989" s="170"/>
      <c r="AD1989" s="170"/>
      <c r="AE1989" s="15"/>
      <c r="AF1989" s="177"/>
      <c r="AG1989" s="177">
        <f t="shared" si="223"/>
        <v>0</v>
      </c>
      <c r="AH1989" s="177">
        <f t="shared" si="224"/>
        <v>0</v>
      </c>
      <c r="AK1989" s="176"/>
      <c r="AL1989" s="176"/>
    </row>
    <row r="1990" spans="1:38" ht="36" customHeight="1" x14ac:dyDescent="0.2">
      <c r="A1990" s="176"/>
      <c r="B1990" s="212"/>
      <c r="C1990" s="14"/>
      <c r="D1990" s="14"/>
      <c r="E1990" s="14"/>
      <c r="F1990" s="14"/>
      <c r="G1990" s="179">
        <v>681989</v>
      </c>
      <c r="H1990" s="176"/>
      <c r="I1990" s="176"/>
      <c r="J1990" s="176"/>
      <c r="K1990" s="176"/>
      <c r="L1990" s="40"/>
      <c r="M1990" s="40"/>
      <c r="N1990" s="14"/>
      <c r="O1990" s="14"/>
      <c r="P1990" s="14"/>
      <c r="Q1990" s="14"/>
      <c r="R1990" s="17"/>
      <c r="S1990" s="172"/>
      <c r="T1990" s="17"/>
      <c r="U1990" s="14"/>
      <c r="V1990" s="16">
        <f t="shared" si="220"/>
        <v>0</v>
      </c>
      <c r="W1990" s="16">
        <f t="shared" si="221"/>
        <v>7</v>
      </c>
      <c r="X1990" s="16">
        <f t="shared" si="222"/>
        <v>2</v>
      </c>
      <c r="Y1990" s="15"/>
      <c r="Z1990" s="177"/>
      <c r="AA1990" s="170"/>
      <c r="AB1990" s="170"/>
      <c r="AC1990" s="170"/>
      <c r="AD1990" s="170"/>
      <c r="AE1990" s="15"/>
      <c r="AF1990" s="177"/>
      <c r="AG1990" s="177">
        <f t="shared" si="223"/>
        <v>0</v>
      </c>
      <c r="AH1990" s="177">
        <f t="shared" si="224"/>
        <v>0</v>
      </c>
      <c r="AK1990" s="176"/>
      <c r="AL1990" s="176"/>
    </row>
    <row r="1991" spans="1:38" ht="36" customHeight="1" x14ac:dyDescent="0.2">
      <c r="A1991" s="176"/>
      <c r="B1991" s="212"/>
      <c r="C1991" s="14"/>
      <c r="D1991" s="14"/>
      <c r="E1991" s="14"/>
      <c r="F1991" s="14"/>
      <c r="G1991" s="179">
        <v>681990</v>
      </c>
      <c r="H1991" s="176"/>
      <c r="I1991" s="176"/>
      <c r="J1991" s="176"/>
      <c r="K1991" s="176"/>
      <c r="L1991" s="40"/>
      <c r="M1991" s="40"/>
      <c r="N1991" s="14"/>
      <c r="O1991" s="14"/>
      <c r="P1991" s="14"/>
      <c r="Q1991" s="14"/>
      <c r="R1991" s="17"/>
      <c r="S1991" s="172"/>
      <c r="T1991" s="17"/>
      <c r="U1991" s="14"/>
      <c r="V1991" s="16">
        <f t="shared" si="220"/>
        <v>0</v>
      </c>
      <c r="W1991" s="16">
        <f t="shared" si="221"/>
        <v>7</v>
      </c>
      <c r="X1991" s="16">
        <f t="shared" si="222"/>
        <v>2</v>
      </c>
      <c r="Y1991" s="15"/>
      <c r="Z1991" s="177"/>
      <c r="AA1991" s="170"/>
      <c r="AB1991" s="170"/>
      <c r="AC1991" s="170"/>
      <c r="AD1991" s="170"/>
      <c r="AE1991" s="15"/>
      <c r="AF1991" s="177"/>
      <c r="AG1991" s="177">
        <f t="shared" si="223"/>
        <v>0</v>
      </c>
      <c r="AH1991" s="177">
        <f t="shared" si="224"/>
        <v>0</v>
      </c>
      <c r="AK1991" s="176"/>
      <c r="AL1991" s="176"/>
    </row>
    <row r="1992" spans="1:38" ht="36" customHeight="1" x14ac:dyDescent="0.2">
      <c r="A1992" s="176"/>
      <c r="B1992" s="212"/>
      <c r="C1992" s="14"/>
      <c r="D1992" s="14"/>
      <c r="E1992" s="14"/>
      <c r="F1992" s="14"/>
      <c r="G1992" s="179">
        <v>681991</v>
      </c>
      <c r="H1992" s="176"/>
      <c r="I1992" s="176"/>
      <c r="J1992" s="176"/>
      <c r="K1992" s="176"/>
      <c r="L1992" s="40"/>
      <c r="M1992" s="40"/>
      <c r="N1992" s="14"/>
      <c r="O1992" s="14"/>
      <c r="P1992" s="14"/>
      <c r="Q1992" s="14"/>
      <c r="R1992" s="17"/>
      <c r="S1992" s="172"/>
      <c r="T1992" s="17"/>
      <c r="U1992" s="14"/>
      <c r="V1992" s="16">
        <f t="shared" si="220"/>
        <v>0</v>
      </c>
      <c r="W1992" s="16">
        <f t="shared" si="221"/>
        <v>7</v>
      </c>
      <c r="X1992" s="16">
        <f t="shared" si="222"/>
        <v>2</v>
      </c>
      <c r="Y1992" s="15"/>
      <c r="Z1992" s="177"/>
      <c r="AA1992" s="170"/>
      <c r="AB1992" s="170"/>
      <c r="AC1992" s="170"/>
      <c r="AD1992" s="170"/>
      <c r="AE1992" s="15"/>
      <c r="AF1992" s="177"/>
      <c r="AG1992" s="177">
        <f t="shared" si="223"/>
        <v>0</v>
      </c>
      <c r="AH1992" s="177">
        <f t="shared" si="224"/>
        <v>0</v>
      </c>
      <c r="AK1992" s="176"/>
      <c r="AL1992" s="176"/>
    </row>
    <row r="1993" spans="1:38" ht="36" customHeight="1" x14ac:dyDescent="0.2">
      <c r="A1993" s="176"/>
      <c r="B1993" s="212"/>
      <c r="C1993" s="14"/>
      <c r="D1993" s="14"/>
      <c r="E1993" s="14"/>
      <c r="F1993" s="14"/>
      <c r="G1993" s="179">
        <v>681992</v>
      </c>
      <c r="H1993" s="176"/>
      <c r="I1993" s="176"/>
      <c r="J1993" s="176"/>
      <c r="K1993" s="176"/>
      <c r="L1993" s="40"/>
      <c r="M1993" s="40"/>
      <c r="N1993" s="14"/>
      <c r="O1993" s="14"/>
      <c r="P1993" s="14"/>
      <c r="Q1993" s="14"/>
      <c r="R1993" s="17"/>
      <c r="S1993" s="172"/>
      <c r="T1993" s="17"/>
      <c r="U1993" s="14"/>
      <c r="V1993" s="16">
        <f t="shared" si="220"/>
        <v>0</v>
      </c>
      <c r="W1993" s="16">
        <f t="shared" si="221"/>
        <v>7</v>
      </c>
      <c r="X1993" s="16">
        <f t="shared" si="222"/>
        <v>2</v>
      </c>
      <c r="Y1993" s="15"/>
      <c r="Z1993" s="177"/>
      <c r="AA1993" s="170"/>
      <c r="AB1993" s="170"/>
      <c r="AC1993" s="170"/>
      <c r="AD1993" s="170"/>
      <c r="AE1993" s="15"/>
      <c r="AF1993" s="177"/>
      <c r="AG1993" s="177">
        <f t="shared" si="223"/>
        <v>0</v>
      </c>
      <c r="AH1993" s="177">
        <f t="shared" si="224"/>
        <v>0</v>
      </c>
      <c r="AK1993" s="176"/>
      <c r="AL1993" s="176"/>
    </row>
    <row r="1994" spans="1:38" ht="36" customHeight="1" x14ac:dyDescent="0.2">
      <c r="A1994" s="176"/>
      <c r="B1994" s="212"/>
      <c r="C1994" s="14"/>
      <c r="D1994" s="14"/>
      <c r="E1994" s="14"/>
      <c r="F1994" s="14"/>
      <c r="G1994" s="179">
        <v>681993</v>
      </c>
      <c r="H1994" s="176"/>
      <c r="I1994" s="176"/>
      <c r="J1994" s="176"/>
      <c r="K1994" s="176"/>
      <c r="L1994" s="40"/>
      <c r="M1994" s="40"/>
      <c r="N1994" s="14"/>
      <c r="O1994" s="14"/>
      <c r="P1994" s="14"/>
      <c r="Q1994" s="14"/>
      <c r="R1994" s="17"/>
      <c r="S1994" s="172"/>
      <c r="T1994" s="17"/>
      <c r="U1994" s="14"/>
      <c r="V1994" s="16">
        <f t="shared" si="220"/>
        <v>0</v>
      </c>
      <c r="W1994" s="16">
        <f t="shared" si="221"/>
        <v>7</v>
      </c>
      <c r="X1994" s="16">
        <f t="shared" si="222"/>
        <v>2</v>
      </c>
      <c r="Y1994" s="15"/>
      <c r="Z1994" s="177"/>
      <c r="AA1994" s="170"/>
      <c r="AB1994" s="170"/>
      <c r="AC1994" s="170"/>
      <c r="AD1994" s="170"/>
      <c r="AE1994" s="15"/>
      <c r="AF1994" s="177"/>
      <c r="AG1994" s="177">
        <f t="shared" si="223"/>
        <v>0</v>
      </c>
      <c r="AH1994" s="177">
        <f t="shared" si="224"/>
        <v>0</v>
      </c>
      <c r="AK1994" s="176"/>
      <c r="AL1994" s="176"/>
    </row>
    <row r="1995" spans="1:38" ht="36" customHeight="1" x14ac:dyDescent="0.2">
      <c r="A1995" s="176"/>
      <c r="B1995" s="212"/>
      <c r="C1995" s="14"/>
      <c r="D1995" s="14"/>
      <c r="E1995" s="14"/>
      <c r="F1995" s="14"/>
      <c r="G1995" s="179">
        <v>681994</v>
      </c>
      <c r="H1995" s="176"/>
      <c r="I1995" s="176"/>
      <c r="J1995" s="176"/>
      <c r="K1995" s="176"/>
      <c r="L1995" s="40"/>
      <c r="M1995" s="40"/>
      <c r="N1995" s="14"/>
      <c r="O1995" s="14"/>
      <c r="P1995" s="14"/>
      <c r="Q1995" s="14"/>
      <c r="R1995" s="17"/>
      <c r="S1995" s="172"/>
      <c r="T1995" s="17"/>
      <c r="U1995" s="14"/>
      <c r="V1995" s="16">
        <f t="shared" si="220"/>
        <v>0</v>
      </c>
      <c r="W1995" s="16">
        <f t="shared" si="221"/>
        <v>7</v>
      </c>
      <c r="X1995" s="16">
        <f t="shared" si="222"/>
        <v>2</v>
      </c>
      <c r="Y1995" s="15"/>
      <c r="Z1995" s="177"/>
      <c r="AA1995" s="170"/>
      <c r="AB1995" s="170"/>
      <c r="AC1995" s="170"/>
      <c r="AD1995" s="170"/>
      <c r="AE1995" s="15"/>
      <c r="AF1995" s="177"/>
      <c r="AG1995" s="177">
        <f t="shared" si="223"/>
        <v>0</v>
      </c>
      <c r="AH1995" s="177">
        <f t="shared" si="224"/>
        <v>0</v>
      </c>
      <c r="AK1995" s="176"/>
      <c r="AL1995" s="176"/>
    </row>
    <row r="1996" spans="1:38" ht="36" customHeight="1" x14ac:dyDescent="0.2">
      <c r="A1996" s="176"/>
      <c r="B1996" s="212"/>
      <c r="C1996" s="14"/>
      <c r="D1996" s="14"/>
      <c r="E1996" s="14"/>
      <c r="F1996" s="14"/>
      <c r="G1996" s="179">
        <v>681995</v>
      </c>
      <c r="H1996" s="176"/>
      <c r="I1996" s="176"/>
      <c r="J1996" s="176"/>
      <c r="K1996" s="176"/>
      <c r="L1996" s="40"/>
      <c r="M1996" s="40"/>
      <c r="N1996" s="14"/>
      <c r="O1996" s="14"/>
      <c r="P1996" s="14"/>
      <c r="Q1996" s="14"/>
      <c r="R1996" s="17"/>
      <c r="S1996" s="172"/>
      <c r="T1996" s="17"/>
      <c r="U1996" s="14"/>
      <c r="V1996" s="16">
        <f t="shared" si="220"/>
        <v>0</v>
      </c>
      <c r="W1996" s="16">
        <f t="shared" si="221"/>
        <v>7</v>
      </c>
      <c r="X1996" s="16">
        <f t="shared" si="222"/>
        <v>2</v>
      </c>
      <c r="Y1996" s="15"/>
      <c r="Z1996" s="177"/>
      <c r="AA1996" s="170"/>
      <c r="AB1996" s="170"/>
      <c r="AC1996" s="170"/>
      <c r="AD1996" s="170"/>
      <c r="AE1996" s="15"/>
      <c r="AF1996" s="177"/>
      <c r="AG1996" s="177">
        <f t="shared" si="223"/>
        <v>0</v>
      </c>
      <c r="AH1996" s="177">
        <f t="shared" si="224"/>
        <v>0</v>
      </c>
      <c r="AK1996" s="176"/>
      <c r="AL1996" s="176"/>
    </row>
    <row r="1997" spans="1:38" ht="36" customHeight="1" x14ac:dyDescent="0.2">
      <c r="A1997" s="176"/>
      <c r="B1997" s="212"/>
      <c r="C1997" s="14"/>
      <c r="D1997" s="14"/>
      <c r="E1997" s="14"/>
      <c r="F1997" s="14"/>
      <c r="G1997" s="179">
        <v>681996</v>
      </c>
      <c r="H1997" s="176"/>
      <c r="I1997" s="176"/>
      <c r="J1997" s="176"/>
      <c r="K1997" s="176"/>
      <c r="L1997" s="40"/>
      <c r="M1997" s="40"/>
      <c r="N1997" s="14"/>
      <c r="O1997" s="14"/>
      <c r="P1997" s="14"/>
      <c r="Q1997" s="14"/>
      <c r="R1997" s="17"/>
      <c r="S1997" s="172"/>
      <c r="T1997" s="17"/>
      <c r="U1997" s="14"/>
      <c r="V1997" s="16">
        <f t="shared" si="220"/>
        <v>0</v>
      </c>
      <c r="W1997" s="16">
        <f t="shared" si="221"/>
        <v>7</v>
      </c>
      <c r="X1997" s="16">
        <f t="shared" si="222"/>
        <v>2</v>
      </c>
      <c r="Y1997" s="15"/>
      <c r="Z1997" s="177"/>
      <c r="AA1997" s="170"/>
      <c r="AB1997" s="170"/>
      <c r="AC1997" s="170"/>
      <c r="AD1997" s="170"/>
      <c r="AE1997" s="15"/>
      <c r="AF1997" s="177"/>
      <c r="AG1997" s="177">
        <f t="shared" si="223"/>
        <v>0</v>
      </c>
      <c r="AH1997" s="177">
        <f t="shared" si="224"/>
        <v>0</v>
      </c>
      <c r="AK1997" s="176"/>
      <c r="AL1997" s="176"/>
    </row>
    <row r="1998" spans="1:38" ht="36" customHeight="1" x14ac:dyDescent="0.2">
      <c r="A1998" s="176"/>
      <c r="B1998" s="212"/>
      <c r="C1998" s="14"/>
      <c r="D1998" s="14"/>
      <c r="E1998" s="14"/>
      <c r="F1998" s="14"/>
      <c r="G1998" s="179">
        <v>681997</v>
      </c>
      <c r="H1998" s="176"/>
      <c r="I1998" s="176"/>
      <c r="J1998" s="176"/>
      <c r="K1998" s="176"/>
      <c r="L1998" s="40"/>
      <c r="M1998" s="40"/>
      <c r="N1998" s="14"/>
      <c r="O1998" s="14"/>
      <c r="P1998" s="14"/>
      <c r="Q1998" s="14"/>
      <c r="R1998" s="17"/>
      <c r="S1998" s="172"/>
      <c r="T1998" s="17"/>
      <c r="U1998" s="14"/>
      <c r="V1998" s="16">
        <f t="shared" si="220"/>
        <v>0</v>
      </c>
      <c r="W1998" s="16">
        <f t="shared" si="221"/>
        <v>7</v>
      </c>
      <c r="X1998" s="16">
        <f t="shared" si="222"/>
        <v>2</v>
      </c>
      <c r="Y1998" s="15"/>
      <c r="Z1998" s="177"/>
      <c r="AA1998" s="170"/>
      <c r="AB1998" s="170"/>
      <c r="AC1998" s="170"/>
      <c r="AD1998" s="170"/>
      <c r="AE1998" s="15"/>
      <c r="AF1998" s="177"/>
      <c r="AG1998" s="177">
        <f t="shared" si="223"/>
        <v>0</v>
      </c>
      <c r="AH1998" s="177">
        <f t="shared" si="224"/>
        <v>0</v>
      </c>
      <c r="AK1998" s="176"/>
      <c r="AL1998" s="176"/>
    </row>
    <row r="1999" spans="1:38" ht="36" customHeight="1" x14ac:dyDescent="0.2">
      <c r="A1999" s="176"/>
      <c r="B1999" s="212"/>
      <c r="C1999" s="14"/>
      <c r="D1999" s="14"/>
      <c r="E1999" s="14"/>
      <c r="F1999" s="14"/>
      <c r="G1999" s="179">
        <v>681998</v>
      </c>
      <c r="H1999" s="176"/>
      <c r="I1999" s="176"/>
      <c r="J1999" s="176"/>
      <c r="K1999" s="176"/>
      <c r="L1999" s="40"/>
      <c r="M1999" s="40"/>
      <c r="N1999" s="14"/>
      <c r="O1999" s="14"/>
      <c r="P1999" s="14"/>
      <c r="Q1999" s="14"/>
      <c r="R1999" s="17"/>
      <c r="S1999" s="172"/>
      <c r="T1999" s="17"/>
      <c r="U1999" s="14"/>
      <c r="V1999" s="16">
        <f t="shared" si="220"/>
        <v>0</v>
      </c>
      <c r="W1999" s="16">
        <f t="shared" si="221"/>
        <v>7</v>
      </c>
      <c r="X1999" s="16">
        <f t="shared" si="222"/>
        <v>2</v>
      </c>
      <c r="Y1999" s="15"/>
      <c r="Z1999" s="177"/>
      <c r="AA1999" s="170"/>
      <c r="AB1999" s="170"/>
      <c r="AC1999" s="170"/>
      <c r="AD1999" s="170"/>
      <c r="AE1999" s="15"/>
      <c r="AF1999" s="177"/>
      <c r="AG1999" s="177">
        <f t="shared" si="223"/>
        <v>0</v>
      </c>
      <c r="AH1999" s="177">
        <f t="shared" si="224"/>
        <v>0</v>
      </c>
      <c r="AK1999" s="176"/>
      <c r="AL1999" s="176"/>
    </row>
    <row r="2000" spans="1:38" ht="36" customHeight="1" x14ac:dyDescent="0.2">
      <c r="A2000" s="176"/>
      <c r="B2000" s="212"/>
      <c r="C2000" s="14"/>
      <c r="D2000" s="14"/>
      <c r="E2000" s="14"/>
      <c r="F2000" s="14"/>
      <c r="G2000" s="179">
        <v>681999</v>
      </c>
      <c r="H2000" s="176"/>
      <c r="I2000" s="176"/>
      <c r="J2000" s="176"/>
      <c r="K2000" s="176"/>
      <c r="L2000" s="40"/>
      <c r="M2000" s="40"/>
      <c r="N2000" s="14"/>
      <c r="O2000" s="14"/>
      <c r="P2000" s="14"/>
      <c r="Q2000" s="14"/>
      <c r="R2000" s="17"/>
      <c r="S2000" s="172"/>
      <c r="T2000" s="17"/>
      <c r="U2000" s="14"/>
      <c r="V2000" s="16">
        <f t="shared" si="220"/>
        <v>0</v>
      </c>
      <c r="W2000" s="16">
        <f t="shared" si="221"/>
        <v>7</v>
      </c>
      <c r="X2000" s="16">
        <f t="shared" si="222"/>
        <v>2</v>
      </c>
      <c r="Y2000" s="15"/>
      <c r="Z2000" s="177"/>
      <c r="AA2000" s="170"/>
      <c r="AB2000" s="170"/>
      <c r="AC2000" s="170"/>
      <c r="AD2000" s="170"/>
      <c r="AE2000" s="15"/>
      <c r="AF2000" s="177"/>
      <c r="AG2000" s="177">
        <f t="shared" si="223"/>
        <v>0</v>
      </c>
      <c r="AH2000" s="177">
        <f t="shared" si="224"/>
        <v>0</v>
      </c>
      <c r="AK2000" s="176"/>
      <c r="AL2000" s="176"/>
    </row>
    <row r="2001" spans="1:38" ht="36" customHeight="1" x14ac:dyDescent="0.2">
      <c r="A2001" s="176"/>
      <c r="B2001" s="212"/>
      <c r="C2001" s="14"/>
      <c r="D2001" s="14"/>
      <c r="E2001" s="14"/>
      <c r="F2001" s="14"/>
      <c r="G2001" s="179">
        <v>682000</v>
      </c>
      <c r="H2001" s="176"/>
      <c r="I2001" s="176"/>
      <c r="J2001" s="176"/>
      <c r="K2001" s="176"/>
      <c r="L2001" s="40"/>
      <c r="M2001" s="40"/>
      <c r="N2001" s="14"/>
      <c r="O2001" s="14"/>
      <c r="P2001" s="14"/>
      <c r="Q2001" s="14"/>
      <c r="R2001" s="17"/>
      <c r="S2001" s="172"/>
      <c r="T2001" s="17"/>
      <c r="U2001" s="14"/>
      <c r="V2001" s="16">
        <f t="shared" si="220"/>
        <v>0</v>
      </c>
      <c r="W2001" s="16">
        <f t="shared" si="221"/>
        <v>7</v>
      </c>
      <c r="X2001" s="16">
        <f t="shared" si="222"/>
        <v>2</v>
      </c>
      <c r="Y2001" s="15"/>
      <c r="Z2001" s="177"/>
      <c r="AA2001" s="170"/>
      <c r="AB2001" s="170"/>
      <c r="AC2001" s="170"/>
      <c r="AD2001" s="170"/>
      <c r="AE2001" s="15"/>
      <c r="AF2001" s="177"/>
      <c r="AG2001" s="177">
        <f t="shared" si="223"/>
        <v>0</v>
      </c>
      <c r="AH2001" s="177">
        <f t="shared" si="224"/>
        <v>0</v>
      </c>
      <c r="AK2001" s="176"/>
      <c r="AL2001" s="176"/>
    </row>
  </sheetData>
  <autoFilter ref="A1:AM2001" xr:uid="{00000000-0009-0000-0000-000003000000}"/>
  <phoneticPr fontId="22" type="noConversion"/>
  <conditionalFormatting sqref="AM1:AM1048576">
    <cfRule type="cellIs" dxfId="19" priority="1" operator="lessThan">
      <formula>7</formula>
    </cfRule>
    <cfRule type="cellIs" dxfId="18" priority="2" operator="equal">
      <formula>7</formula>
    </cfRule>
    <cfRule type="cellIs" dxfId="17" priority="3" operator="greaterThan">
      <formula>7</formula>
    </cfRule>
    <cfRule type="cellIs" dxfId="16" priority="4" operator="lessThan">
      <formula>7</formula>
    </cfRule>
    <cfRule type="cellIs" dxfId="15" priority="5" operator="greaterThan">
      <formula>7</formula>
    </cfRule>
  </conditionalFormatting>
  <dataValidations count="4">
    <dataValidation type="list" allowBlank="1" showInputMessage="1" showErrorMessage="1" sqref="A2:A1732" xr:uid="{00000000-0002-0000-0300-000001000000}">
      <formula1>เดือน</formula1>
    </dataValidation>
    <dataValidation type="list" allowBlank="1" showInputMessage="1" showErrorMessage="1" sqref="Y2:Y2001 AE2:AE2001" xr:uid="{00000000-0002-0000-0300-000003000000}">
      <formula1>สถานะ</formula1>
    </dataValidation>
    <dataValidation type="list" allowBlank="1" showInputMessage="1" showErrorMessage="1" sqref="E2:E2001" xr:uid="{00000000-0002-0000-0300-000000000000}">
      <formula1>แผนก</formula1>
    </dataValidation>
    <dataValidation type="list" allowBlank="1" showInputMessage="1" showErrorMessage="1" sqref="U2:U851 U857 U874:U905 U943:U944 U972:U2001" xr:uid="{00000000-0002-0000-0300-000002000000}">
      <formula1>หน่วย</formula1>
    </dataValidation>
  </dataValidations>
  <pageMargins left="0.15748031496062992" right="0.15748031496062992" top="0.31496062992125984" bottom="0.15748031496062992" header="0.19685039370078741" footer="0.15748031496062992"/>
  <pageSetup paperSize="9" scale="57" orientation="landscape" horizontalDpi="300" verticalDpi="300" r:id="rId1"/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FFFF00"/>
  </sheetPr>
  <dimension ref="A1:AN307"/>
  <sheetViews>
    <sheetView workbookViewId="0">
      <selection activeCell="C4" sqref="C4"/>
    </sheetView>
  </sheetViews>
  <sheetFormatPr defaultRowHeight="14.25" x14ac:dyDescent="0.2"/>
  <cols>
    <col min="1" max="1" width="6.625" style="70" bestFit="1" customWidth="1"/>
    <col min="2" max="2" width="6.25" style="70" bestFit="1" customWidth="1"/>
    <col min="3" max="3" width="13.625" style="70" customWidth="1"/>
    <col min="4" max="4" width="8.625" style="70" customWidth="1"/>
    <col min="5" max="5" width="8.75" style="70"/>
    <col min="6" max="6" width="4" style="70" bestFit="1" customWidth="1"/>
    <col min="7" max="7" width="12" style="70" bestFit="1" customWidth="1"/>
    <col min="8" max="8" width="42.625" style="70" customWidth="1"/>
    <col min="9" max="9" width="38.25" style="70" bestFit="1" customWidth="1"/>
    <col min="10" max="10" width="4.75" style="70" customWidth="1"/>
    <col min="11" max="11" width="10.75" style="70" customWidth="1"/>
    <col min="12" max="12" width="6.875" style="70" customWidth="1"/>
    <col min="13" max="13" width="6.5" style="70" customWidth="1"/>
    <col min="14" max="14" width="16.25" style="70" bestFit="1" customWidth="1"/>
    <col min="15" max="15" width="8.75" style="70"/>
    <col min="16" max="16" width="9.375" bestFit="1" customWidth="1"/>
    <col min="22" max="22" width="9.375" bestFit="1" customWidth="1"/>
  </cols>
  <sheetData>
    <row r="1" spans="1:40" ht="31.5" x14ac:dyDescent="0.65">
      <c r="A1" s="296" t="s">
        <v>120</v>
      </c>
      <c r="B1" s="296"/>
      <c r="C1" s="296"/>
      <c r="D1" s="56"/>
      <c r="E1" s="57"/>
      <c r="F1" s="57"/>
      <c r="G1" s="57"/>
      <c r="H1" s="57"/>
      <c r="I1" s="57"/>
      <c r="J1" s="68"/>
      <c r="K1" s="68"/>
      <c r="L1" s="68"/>
      <c r="M1" s="68"/>
      <c r="N1" s="68"/>
      <c r="R1" s="8"/>
      <c r="S1" s="8"/>
      <c r="T1" s="11"/>
      <c r="W1" s="10"/>
      <c r="X1" s="11"/>
    </row>
    <row r="2" spans="1:40" ht="38.25" x14ac:dyDescent="0.2">
      <c r="A2" s="59"/>
      <c r="B2" s="59"/>
      <c r="C2" s="59"/>
      <c r="D2" s="76" t="s">
        <v>95</v>
      </c>
      <c r="E2" s="76"/>
      <c r="F2" s="297" t="s">
        <v>265</v>
      </c>
      <c r="G2" s="297"/>
      <c r="H2" s="297"/>
      <c r="I2" s="297"/>
      <c r="J2" s="69"/>
      <c r="K2" s="69"/>
      <c r="L2" s="69"/>
      <c r="M2" s="69"/>
      <c r="N2" s="69"/>
      <c r="P2" t="s">
        <v>555</v>
      </c>
      <c r="R2" s="9"/>
      <c r="S2" s="9"/>
    </row>
    <row r="3" spans="1:40" ht="29.25" x14ac:dyDescent="0.4">
      <c r="A3" s="223" t="s">
        <v>701</v>
      </c>
      <c r="B3" s="59"/>
      <c r="C3" s="224">
        <v>10</v>
      </c>
      <c r="D3" s="59" t="s">
        <v>51</v>
      </c>
      <c r="E3" s="59"/>
      <c r="F3" s="59"/>
      <c r="G3" s="77" t="s">
        <v>84</v>
      </c>
      <c r="H3" s="78" t="str">
        <f>P6</f>
        <v>มกราคม</v>
      </c>
      <c r="I3" s="79">
        <v>2558</v>
      </c>
      <c r="J3" s="59"/>
      <c r="L3" s="64"/>
      <c r="M3" s="64"/>
      <c r="N3" s="64"/>
      <c r="P3" s="204">
        <v>243994</v>
      </c>
      <c r="R3" s="9"/>
      <c r="S3" s="9"/>
      <c r="T3" s="11"/>
    </row>
    <row r="4" spans="1:40" ht="29.25" x14ac:dyDescent="0.4">
      <c r="A4" s="156"/>
      <c r="B4" s="65"/>
      <c r="C4" s="65"/>
      <c r="D4" s="65"/>
      <c r="E4" s="65"/>
      <c r="F4" s="65"/>
      <c r="G4" s="80"/>
      <c r="H4" s="80"/>
      <c r="I4" s="80"/>
      <c r="J4" s="65"/>
      <c r="K4" s="65"/>
      <c r="L4" s="65"/>
      <c r="M4" s="65"/>
      <c r="N4" s="65"/>
      <c r="R4" s="9"/>
      <c r="S4" s="9"/>
      <c r="T4" s="12"/>
      <c r="U4" s="13"/>
    </row>
    <row r="5" spans="1:40" ht="69" x14ac:dyDescent="0.2">
      <c r="A5" s="55" t="s">
        <v>96</v>
      </c>
      <c r="B5" s="55" t="s">
        <v>272</v>
      </c>
      <c r="C5" s="55" t="s">
        <v>29</v>
      </c>
      <c r="D5" s="55" t="s">
        <v>30</v>
      </c>
      <c r="E5" s="55" t="s">
        <v>31</v>
      </c>
      <c r="F5" s="55" t="s">
        <v>32</v>
      </c>
      <c r="G5" s="55" t="s">
        <v>77</v>
      </c>
      <c r="H5" s="55" t="s">
        <v>34</v>
      </c>
      <c r="I5" s="55" t="s">
        <v>80</v>
      </c>
      <c r="J5" s="55" t="s">
        <v>36</v>
      </c>
      <c r="K5" s="99" t="s">
        <v>273</v>
      </c>
      <c r="L5" s="154" t="s">
        <v>252</v>
      </c>
      <c r="M5" s="55" t="s">
        <v>2</v>
      </c>
      <c r="N5" s="206" t="s">
        <v>556</v>
      </c>
      <c r="P5" s="18" t="s">
        <v>8</v>
      </c>
      <c r="Q5" s="19" t="s">
        <v>7</v>
      </c>
      <c r="R5" s="19" t="s">
        <v>246</v>
      </c>
      <c r="S5" s="19" t="s">
        <v>267</v>
      </c>
      <c r="T5" s="20" t="s">
        <v>1</v>
      </c>
      <c r="U5" s="20" t="s">
        <v>197</v>
      </c>
      <c r="V5" s="178" t="s">
        <v>270</v>
      </c>
      <c r="W5" s="22" t="s">
        <v>275</v>
      </c>
      <c r="X5" s="22" t="s">
        <v>266</v>
      </c>
      <c r="Y5" s="23" t="s">
        <v>31</v>
      </c>
      <c r="Z5" s="24" t="s">
        <v>30</v>
      </c>
      <c r="AA5" s="90" t="s">
        <v>32</v>
      </c>
      <c r="AB5" s="90" t="s">
        <v>33</v>
      </c>
      <c r="AC5" s="26" t="s">
        <v>269</v>
      </c>
      <c r="AD5" s="27" t="s">
        <v>76</v>
      </c>
      <c r="AE5" s="27" t="s">
        <v>511</v>
      </c>
      <c r="AF5" s="28" t="s">
        <v>85</v>
      </c>
      <c r="AG5" s="29" t="s">
        <v>35</v>
      </c>
      <c r="AH5" s="29" t="s">
        <v>36</v>
      </c>
      <c r="AI5" s="169" t="s">
        <v>245</v>
      </c>
      <c r="AJ5" s="169" t="s">
        <v>36</v>
      </c>
      <c r="AK5" s="30" t="s">
        <v>3</v>
      </c>
      <c r="AL5" s="31" t="s">
        <v>2</v>
      </c>
      <c r="AM5" s="25" t="s">
        <v>6</v>
      </c>
    </row>
    <row r="6" spans="1:40" ht="45.75" customHeight="1" x14ac:dyDescent="0.2">
      <c r="A6" s="83">
        <f>Q6</f>
        <v>243989</v>
      </c>
      <c r="B6" s="84">
        <f>V6</f>
        <v>680007</v>
      </c>
      <c r="C6" s="85" t="str">
        <f>W6</f>
        <v>เพอเฟคค์914</v>
      </c>
      <c r="D6" s="84" t="str">
        <f>Z6</f>
        <v>PD468010305</v>
      </c>
      <c r="E6" s="208">
        <f>V6</f>
        <v>680007</v>
      </c>
      <c r="F6" s="225" t="str">
        <f>AA6</f>
        <v>PT9</v>
      </c>
      <c r="G6" s="88" t="str">
        <f>AB6</f>
        <v>สีลงเต็มสม่ำเสมอ งานพิมพ์ชัดเจน</v>
      </c>
      <c r="H6" s="153" t="str">
        <f>AC6</f>
        <v>พบสีแดงอ่อน จำนวน 800 ใบ</v>
      </c>
      <c r="I6" s="84" t="str">
        <f>AF6</f>
        <v>แยกเลทระบุปัญหาแจ้งขนส่ง</v>
      </c>
      <c r="J6" s="84">
        <f>AG6</f>
        <v>800</v>
      </c>
      <c r="K6" s="153" t="str">
        <f>AD6</f>
        <v>**แยกเลทระบุปัญหาแจ้งขนส่ง**</v>
      </c>
      <c r="L6" s="86">
        <f>AM6</f>
        <v>243991</v>
      </c>
      <c r="M6" s="83">
        <f>AL6</f>
        <v>243996</v>
      </c>
      <c r="N6" s="207">
        <f>DATEDIF(L6,$P$3,"D")</f>
        <v>3</v>
      </c>
      <c r="P6" s="14" t="s">
        <v>17</v>
      </c>
      <c r="Q6" s="212">
        <v>243989</v>
      </c>
      <c r="R6" s="14" t="s">
        <v>547</v>
      </c>
      <c r="S6" s="14" t="s">
        <v>268</v>
      </c>
      <c r="T6" s="14" t="s">
        <v>14</v>
      </c>
      <c r="U6" s="14" t="s">
        <v>324</v>
      </c>
      <c r="V6" s="179">
        <v>680007</v>
      </c>
      <c r="W6" s="176" t="s">
        <v>626</v>
      </c>
      <c r="X6" s="176" t="s">
        <v>630</v>
      </c>
      <c r="Y6" s="176" t="s">
        <v>520</v>
      </c>
      <c r="Z6" s="176" t="s">
        <v>636</v>
      </c>
      <c r="AA6" s="40" t="s">
        <v>124</v>
      </c>
      <c r="AB6" s="40" t="s">
        <v>341</v>
      </c>
      <c r="AC6" s="14" t="s">
        <v>640</v>
      </c>
      <c r="AD6" s="14" t="s">
        <v>647</v>
      </c>
      <c r="AE6" s="14" t="s">
        <v>651</v>
      </c>
      <c r="AF6" s="14" t="s">
        <v>655</v>
      </c>
      <c r="AG6" s="17">
        <v>800</v>
      </c>
      <c r="AH6" s="172" t="s">
        <v>51</v>
      </c>
      <c r="AI6" s="17">
        <v>1883</v>
      </c>
      <c r="AJ6" s="14" t="s">
        <v>51</v>
      </c>
      <c r="AK6" s="16">
        <v>243989</v>
      </c>
      <c r="AL6" s="16">
        <v>243996</v>
      </c>
      <c r="AM6" s="16">
        <v>243991</v>
      </c>
      <c r="AN6" s="16"/>
    </row>
    <row r="7" spans="1:40" ht="45.75" customHeight="1" x14ac:dyDescent="0.2">
      <c r="A7" s="83">
        <f t="shared" ref="A7:A12" si="0">Q7</f>
        <v>243989</v>
      </c>
      <c r="B7" s="84">
        <f t="shared" ref="B7:B12" si="1">V7</f>
        <v>680009</v>
      </c>
      <c r="C7" s="85" t="str">
        <f t="shared" ref="C7:C12" si="2">W7</f>
        <v>สุบรรณ222</v>
      </c>
      <c r="D7" s="84" t="str">
        <f t="shared" ref="D7:D12" si="3">Z7</f>
        <v>PD468010401</v>
      </c>
      <c r="E7" s="208">
        <f t="shared" ref="E7:E12" si="4">V7</f>
        <v>680009</v>
      </c>
      <c r="F7" s="225" t="str">
        <f t="shared" ref="F7:F12" si="5">AA7</f>
        <v>PT3</v>
      </c>
      <c r="G7" s="88" t="str">
        <f t="shared" ref="G7:G12" si="6">AB7</f>
        <v>สีลงเต็มสม่ำเสมอ งานพิมพ์ชัดเจน</v>
      </c>
      <c r="H7" s="153" t="str">
        <f t="shared" ref="H7:H12" si="7">AC7</f>
        <v>พบพิมพ์เสีย 130 ใบ และมีรอยฟ้าผ่า 112 ใบ</v>
      </c>
      <c r="I7" s="84" t="str">
        <f t="shared" ref="I7:I12" si="8">AF7</f>
        <v>คัดแยกออก</v>
      </c>
      <c r="J7" s="84">
        <f t="shared" ref="J7:J12" si="9">AG7</f>
        <v>112</v>
      </c>
      <c r="K7" s="153" t="str">
        <f t="shared" ref="K7:K12" si="10">AD7</f>
        <v>**คัดแยกออก**</v>
      </c>
      <c r="L7" s="86">
        <f t="shared" ref="L7:L60" si="11">AM7</f>
        <v>243991</v>
      </c>
      <c r="M7" s="83">
        <f t="shared" ref="M7:M60" si="12">AL7</f>
        <v>243996</v>
      </c>
      <c r="N7" s="207">
        <f t="shared" ref="N7:N60" si="13">DATEDIF(L7,$P$3,"D")</f>
        <v>3</v>
      </c>
      <c r="P7" s="14" t="s">
        <v>17</v>
      </c>
      <c r="Q7" s="212">
        <v>243989</v>
      </c>
      <c r="R7" s="14" t="s">
        <v>547</v>
      </c>
      <c r="S7" s="14" t="s">
        <v>268</v>
      </c>
      <c r="T7" s="14" t="s">
        <v>14</v>
      </c>
      <c r="U7" s="14" t="s">
        <v>324</v>
      </c>
      <c r="V7" s="179">
        <v>680009</v>
      </c>
      <c r="W7" s="176" t="s">
        <v>627</v>
      </c>
      <c r="X7" s="176" t="s">
        <v>630</v>
      </c>
      <c r="Y7" s="176" t="s">
        <v>520</v>
      </c>
      <c r="Z7" s="176" t="s">
        <v>637</v>
      </c>
      <c r="AA7" s="40" t="s">
        <v>105</v>
      </c>
      <c r="AB7" s="40" t="s">
        <v>341</v>
      </c>
      <c r="AC7" s="14" t="s">
        <v>642</v>
      </c>
      <c r="AD7" s="14" t="s">
        <v>527</v>
      </c>
      <c r="AE7" s="14" t="s">
        <v>518</v>
      </c>
      <c r="AF7" s="14" t="s">
        <v>542</v>
      </c>
      <c r="AG7" s="17">
        <v>112</v>
      </c>
      <c r="AH7" s="172" t="s">
        <v>51</v>
      </c>
      <c r="AI7" s="17">
        <v>2120</v>
      </c>
      <c r="AJ7" s="14" t="s">
        <v>51</v>
      </c>
      <c r="AK7" s="16">
        <v>243989</v>
      </c>
      <c r="AL7" s="16">
        <v>243996</v>
      </c>
      <c r="AM7" s="16">
        <v>243991</v>
      </c>
    </row>
    <row r="8" spans="1:40" ht="45.75" customHeight="1" x14ac:dyDescent="0.2">
      <c r="A8" s="83">
        <f t="shared" si="0"/>
        <v>243989</v>
      </c>
      <c r="B8" s="84">
        <f t="shared" si="1"/>
        <v>680010</v>
      </c>
      <c r="C8" s="85" t="str">
        <f t="shared" si="2"/>
        <v>สุบรรณ222</v>
      </c>
      <c r="D8" s="84" t="str">
        <f t="shared" si="3"/>
        <v>PD468010401</v>
      </c>
      <c r="E8" s="208">
        <f t="shared" si="4"/>
        <v>680010</v>
      </c>
      <c r="F8" s="225" t="str">
        <f t="shared" si="5"/>
        <v>PT3</v>
      </c>
      <c r="G8" s="88" t="str">
        <f t="shared" si="6"/>
        <v>สีลงเต็มสม่ำเสมอ งานพิมพ์ชัดเจน</v>
      </c>
      <c r="H8" s="153" t="str">
        <f t="shared" si="7"/>
        <v>พบเปื้อนสี จำนวน 360 ใบ</v>
      </c>
      <c r="I8" s="84" t="str">
        <f t="shared" si="8"/>
        <v>ส่งลบสี</v>
      </c>
      <c r="J8" s="84">
        <f t="shared" si="9"/>
        <v>360</v>
      </c>
      <c r="K8" s="153" t="str">
        <f t="shared" si="10"/>
        <v>**ส่งลบสี**</v>
      </c>
      <c r="L8" s="86">
        <f t="shared" si="11"/>
        <v>243991</v>
      </c>
      <c r="M8" s="83">
        <f t="shared" si="12"/>
        <v>243996</v>
      </c>
      <c r="N8" s="207">
        <f t="shared" si="13"/>
        <v>3</v>
      </c>
      <c r="O8" s="81"/>
      <c r="P8" s="14" t="s">
        <v>17</v>
      </c>
      <c r="Q8" s="212">
        <v>243989</v>
      </c>
      <c r="R8" s="14" t="s">
        <v>547</v>
      </c>
      <c r="S8" s="14" t="s">
        <v>268</v>
      </c>
      <c r="T8" s="14" t="s">
        <v>14</v>
      </c>
      <c r="U8" s="14" t="s">
        <v>324</v>
      </c>
      <c r="V8" s="179">
        <v>680010</v>
      </c>
      <c r="W8" s="176" t="s">
        <v>627</v>
      </c>
      <c r="X8" s="176" t="s">
        <v>630</v>
      </c>
      <c r="Y8" s="176" t="s">
        <v>520</v>
      </c>
      <c r="Z8" s="176" t="s">
        <v>637</v>
      </c>
      <c r="AA8" s="40" t="s">
        <v>105</v>
      </c>
      <c r="AB8" s="40" t="s">
        <v>341</v>
      </c>
      <c r="AC8" s="14" t="s">
        <v>643</v>
      </c>
      <c r="AD8" s="14" t="s">
        <v>552</v>
      </c>
      <c r="AE8" s="14" t="s">
        <v>519</v>
      </c>
      <c r="AF8" s="14" t="s">
        <v>553</v>
      </c>
      <c r="AG8" s="17">
        <v>360</v>
      </c>
      <c r="AH8" s="172" t="s">
        <v>51</v>
      </c>
      <c r="AI8" s="17">
        <v>2030</v>
      </c>
      <c r="AJ8" s="14" t="s">
        <v>51</v>
      </c>
      <c r="AK8" s="16">
        <v>243989</v>
      </c>
      <c r="AL8" s="16">
        <v>243996</v>
      </c>
      <c r="AM8" s="16">
        <v>243991</v>
      </c>
    </row>
    <row r="9" spans="1:40" ht="45.75" customHeight="1" x14ac:dyDescent="0.2">
      <c r="A9" s="83">
        <f t="shared" si="0"/>
        <v>243989</v>
      </c>
      <c r="B9" s="84">
        <f t="shared" si="1"/>
        <v>680011</v>
      </c>
      <c r="C9" s="85" t="str">
        <f t="shared" si="2"/>
        <v>เพอเฟคค์914</v>
      </c>
      <c r="D9" s="84" t="str">
        <f t="shared" si="3"/>
        <v>PD468010305</v>
      </c>
      <c r="E9" s="208">
        <f t="shared" si="4"/>
        <v>680011</v>
      </c>
      <c r="F9" s="225" t="str">
        <f t="shared" si="5"/>
        <v>PT9</v>
      </c>
      <c r="G9" s="88" t="str">
        <f t="shared" si="6"/>
        <v>สีลงเต็มสม่ำเสมอ งานพิมพ์ชัดเจน</v>
      </c>
      <c r="H9" s="153" t="str">
        <f t="shared" si="7"/>
        <v>พบสีลงไม่เต็ม จำนวน 680 ใบ</v>
      </c>
      <c r="I9" s="84" t="str">
        <f t="shared" si="8"/>
        <v>ผสมแยกเลทระบุปัญหาแจ้งขนส่ง</v>
      </c>
      <c r="J9" s="84">
        <f t="shared" si="9"/>
        <v>680</v>
      </c>
      <c r="K9" s="153" t="str">
        <f t="shared" si="10"/>
        <v>**ผสมแยกเลทระบุปัญหาแจ้งขนส่ง**</v>
      </c>
      <c r="L9" s="86">
        <f t="shared" si="11"/>
        <v>243991</v>
      </c>
      <c r="M9" s="83">
        <f t="shared" si="12"/>
        <v>243996</v>
      </c>
      <c r="N9" s="207">
        <f t="shared" si="13"/>
        <v>3</v>
      </c>
      <c r="O9" s="81"/>
      <c r="P9" s="14" t="s">
        <v>17</v>
      </c>
      <c r="Q9" s="212">
        <v>243989</v>
      </c>
      <c r="R9" s="14" t="s">
        <v>547</v>
      </c>
      <c r="S9" s="14" t="s">
        <v>268</v>
      </c>
      <c r="T9" s="14" t="s">
        <v>14</v>
      </c>
      <c r="U9" s="14" t="s">
        <v>324</v>
      </c>
      <c r="V9" s="179">
        <v>680011</v>
      </c>
      <c r="W9" s="176" t="s">
        <v>626</v>
      </c>
      <c r="X9" s="176" t="s">
        <v>630</v>
      </c>
      <c r="Y9" s="176" t="s">
        <v>520</v>
      </c>
      <c r="Z9" s="176" t="s">
        <v>636</v>
      </c>
      <c r="AA9" s="40" t="s">
        <v>124</v>
      </c>
      <c r="AB9" s="40" t="s">
        <v>341</v>
      </c>
      <c r="AC9" s="14" t="s">
        <v>644</v>
      </c>
      <c r="AD9" s="14" t="s">
        <v>648</v>
      </c>
      <c r="AE9" s="14" t="s">
        <v>313</v>
      </c>
      <c r="AF9" s="14" t="s">
        <v>656</v>
      </c>
      <c r="AG9" s="17">
        <v>680</v>
      </c>
      <c r="AH9" s="172" t="s">
        <v>51</v>
      </c>
      <c r="AI9" s="17">
        <v>1961</v>
      </c>
      <c r="AJ9" s="14" t="s">
        <v>51</v>
      </c>
      <c r="AK9" s="16">
        <v>243989</v>
      </c>
      <c r="AL9" s="16">
        <v>243996</v>
      </c>
      <c r="AM9" s="16">
        <v>243991</v>
      </c>
    </row>
    <row r="10" spans="1:40" ht="45.75" customHeight="1" x14ac:dyDescent="0.2">
      <c r="A10" s="83">
        <f t="shared" si="0"/>
        <v>243989</v>
      </c>
      <c r="B10" s="84">
        <f t="shared" si="1"/>
        <v>680012</v>
      </c>
      <c r="C10" s="85" t="str">
        <f t="shared" si="2"/>
        <v>เพอเฟคค์914</v>
      </c>
      <c r="D10" s="84" t="str">
        <f t="shared" si="3"/>
        <v>PD468010305</v>
      </c>
      <c r="E10" s="208">
        <f t="shared" si="4"/>
        <v>680012</v>
      </c>
      <c r="F10" s="225" t="str">
        <f t="shared" si="5"/>
        <v>PT9</v>
      </c>
      <c r="G10" s="88" t="str">
        <f t="shared" si="6"/>
        <v>สีลงเต็มสม่ำเสมอ งานพิมพ์ชัดเจน</v>
      </c>
      <c r="H10" s="153" t="str">
        <f t="shared" si="7"/>
        <v>พบสี 2 ข้างไม่เหมือนกันอีกข้างเข้มอีกข้างอ่อนและสีน้ำเงินด้านหลังอ่อน ม้วนที่9/2=290ใบ 9/3=370ใบ</v>
      </c>
      <c r="I10" s="84" t="str">
        <f t="shared" si="8"/>
        <v>ไม่สามารถส่งได้</v>
      </c>
      <c r="J10" s="84">
        <f t="shared" si="9"/>
        <v>660</v>
      </c>
      <c r="K10" s="153" t="str">
        <f t="shared" si="10"/>
        <v>**ไม่สามารถส่งได้**</v>
      </c>
      <c r="L10" s="86">
        <f t="shared" si="11"/>
        <v>243991</v>
      </c>
      <c r="M10" s="83">
        <f t="shared" si="12"/>
        <v>243996</v>
      </c>
      <c r="N10" s="207">
        <f t="shared" si="13"/>
        <v>3</v>
      </c>
      <c r="P10" s="14" t="s">
        <v>17</v>
      </c>
      <c r="Q10" s="212">
        <v>243989</v>
      </c>
      <c r="R10" s="14" t="s">
        <v>547</v>
      </c>
      <c r="S10" s="14" t="s">
        <v>268</v>
      </c>
      <c r="T10" s="14" t="s">
        <v>14</v>
      </c>
      <c r="U10" s="14" t="s">
        <v>324</v>
      </c>
      <c r="V10" s="179">
        <v>680012</v>
      </c>
      <c r="W10" s="176" t="s">
        <v>626</v>
      </c>
      <c r="X10" s="176" t="s">
        <v>630</v>
      </c>
      <c r="Y10" s="176" t="s">
        <v>520</v>
      </c>
      <c r="Z10" s="176" t="s">
        <v>636</v>
      </c>
      <c r="AA10" s="40" t="s">
        <v>124</v>
      </c>
      <c r="AB10" s="40" t="s">
        <v>341</v>
      </c>
      <c r="AC10" s="14" t="s">
        <v>645</v>
      </c>
      <c r="AD10" s="14" t="s">
        <v>649</v>
      </c>
      <c r="AE10" s="14" t="s">
        <v>653</v>
      </c>
      <c r="AF10" s="14" t="s">
        <v>657</v>
      </c>
      <c r="AG10" s="17">
        <v>660</v>
      </c>
      <c r="AH10" s="172" t="s">
        <v>51</v>
      </c>
      <c r="AI10" s="17">
        <v>1961</v>
      </c>
      <c r="AJ10" s="14" t="s">
        <v>51</v>
      </c>
      <c r="AK10" s="16">
        <v>243989</v>
      </c>
      <c r="AL10" s="16">
        <v>243996</v>
      </c>
      <c r="AM10" s="16">
        <v>243991</v>
      </c>
    </row>
    <row r="11" spans="1:40" ht="45.75" customHeight="1" x14ac:dyDescent="0.2">
      <c r="A11" s="83">
        <f t="shared" si="0"/>
        <v>243990</v>
      </c>
      <c r="B11" s="84">
        <f t="shared" si="1"/>
        <v>680014</v>
      </c>
      <c r="C11" s="85" t="str">
        <f t="shared" si="2"/>
        <v>ฟีล กู๊ดพี3</v>
      </c>
      <c r="D11" s="84" t="str">
        <f t="shared" si="3"/>
        <v>PD468010405</v>
      </c>
      <c r="E11" s="208">
        <f t="shared" si="4"/>
        <v>680014</v>
      </c>
      <c r="F11" s="225" t="str">
        <f t="shared" si="5"/>
        <v>PT3</v>
      </c>
      <c r="G11" s="88" t="str">
        <f t="shared" si="6"/>
        <v>สีลงเต็มสม่ำเสมอ งานพิมพ์ชัดเจน</v>
      </c>
      <c r="H11" s="153" t="str">
        <f t="shared" si="7"/>
        <v>พบเปื้อนสีเป็นทางยาวและมีรอยพยาธิด้านข้าง 100 ใบ และเป็นรอยพยาธิด้านข้าง 450 ใบ</v>
      </c>
      <c r="I11" s="84" t="str">
        <f t="shared" si="8"/>
        <v>ปรึกษาฝ่ายขายให้ผสม50/50</v>
      </c>
      <c r="J11" s="84">
        <f t="shared" si="9"/>
        <v>550</v>
      </c>
      <c r="K11" s="153" t="str">
        <f t="shared" si="10"/>
        <v>**ปรึกษาฝ่ายขายให้ผสม50/50**</v>
      </c>
      <c r="L11" s="86">
        <f t="shared" si="11"/>
        <v>243992</v>
      </c>
      <c r="M11" s="83">
        <f t="shared" si="12"/>
        <v>243997</v>
      </c>
      <c r="N11" s="207">
        <f t="shared" si="13"/>
        <v>2</v>
      </c>
      <c r="P11" s="14" t="s">
        <v>17</v>
      </c>
      <c r="Q11" s="212">
        <v>243990</v>
      </c>
      <c r="R11" s="14" t="s">
        <v>547</v>
      </c>
      <c r="S11" s="14" t="s">
        <v>268</v>
      </c>
      <c r="T11" s="14" t="s">
        <v>14</v>
      </c>
      <c r="U11" s="14" t="s">
        <v>324</v>
      </c>
      <c r="V11" s="179">
        <v>680014</v>
      </c>
      <c r="W11" s="176" t="s">
        <v>658</v>
      </c>
      <c r="X11" s="176" t="s">
        <v>612</v>
      </c>
      <c r="Y11" s="176" t="s">
        <v>665</v>
      </c>
      <c r="Z11" s="176" t="s">
        <v>667</v>
      </c>
      <c r="AA11" s="40" t="s">
        <v>105</v>
      </c>
      <c r="AB11" s="40" t="s">
        <v>341</v>
      </c>
      <c r="AC11" s="14" t="s">
        <v>673</v>
      </c>
      <c r="AD11" s="14" t="s">
        <v>681</v>
      </c>
      <c r="AE11" s="14" t="s">
        <v>683</v>
      </c>
      <c r="AF11" s="14" t="s">
        <v>689</v>
      </c>
      <c r="AG11" s="17">
        <v>550</v>
      </c>
      <c r="AH11" s="172" t="s">
        <v>51</v>
      </c>
      <c r="AI11" s="17">
        <v>1925</v>
      </c>
      <c r="AJ11" s="14" t="s">
        <v>51</v>
      </c>
      <c r="AK11" s="16">
        <v>243990</v>
      </c>
      <c r="AL11" s="16">
        <v>243997</v>
      </c>
      <c r="AM11" s="16">
        <v>243992</v>
      </c>
    </row>
    <row r="12" spans="1:40" ht="45.75" customHeight="1" x14ac:dyDescent="0.2">
      <c r="A12" s="83">
        <f t="shared" si="0"/>
        <v>243990</v>
      </c>
      <c r="B12" s="84">
        <f t="shared" si="1"/>
        <v>680018</v>
      </c>
      <c r="C12" s="85" t="str">
        <f t="shared" si="2"/>
        <v>เฟิร์สช้อย915</v>
      </c>
      <c r="D12" s="84" t="str">
        <f t="shared" si="3"/>
        <v>PD468010605</v>
      </c>
      <c r="E12" s="208">
        <f t="shared" si="4"/>
        <v>680018</v>
      </c>
      <c r="F12" s="225" t="str">
        <f t="shared" si="5"/>
        <v>PT9</v>
      </c>
      <c r="G12" s="88" t="str">
        <f t="shared" si="6"/>
        <v>สีลงเต็มสม่ำเสมอ งานพิมพ์ชัดเจน</v>
      </c>
      <c r="H12" s="153" t="str">
        <f t="shared" si="7"/>
        <v>พบมีรอยอัด จำนวน 125 ใบ</v>
      </c>
      <c r="I12" s="84" t="str">
        <f t="shared" si="8"/>
        <v>ขาวมากคัดแยกออก</v>
      </c>
      <c r="J12" s="84">
        <f t="shared" si="9"/>
        <v>125</v>
      </c>
      <c r="K12" s="153" t="str">
        <f t="shared" si="10"/>
        <v>**ขาวมากคัดแยกออก**</v>
      </c>
      <c r="L12" s="86">
        <f t="shared" si="11"/>
        <v>243992</v>
      </c>
      <c r="M12" s="83">
        <f t="shared" si="12"/>
        <v>243997</v>
      </c>
      <c r="N12" s="207">
        <f t="shared" si="13"/>
        <v>2</v>
      </c>
      <c r="P12" s="14" t="s">
        <v>17</v>
      </c>
      <c r="Q12" s="212">
        <v>243990</v>
      </c>
      <c r="R12" s="14" t="s">
        <v>547</v>
      </c>
      <c r="S12" s="14" t="s">
        <v>268</v>
      </c>
      <c r="T12" s="14" t="s">
        <v>14</v>
      </c>
      <c r="U12" s="14" t="s">
        <v>324</v>
      </c>
      <c r="V12" s="179">
        <v>680018</v>
      </c>
      <c r="W12" s="176" t="s">
        <v>661</v>
      </c>
      <c r="X12" s="176" t="s">
        <v>630</v>
      </c>
      <c r="Y12" s="176" t="s">
        <v>520</v>
      </c>
      <c r="Z12" s="176" t="s">
        <v>670</v>
      </c>
      <c r="AA12" s="40" t="s">
        <v>124</v>
      </c>
      <c r="AB12" s="40" t="s">
        <v>341</v>
      </c>
      <c r="AC12" s="14" t="s">
        <v>677</v>
      </c>
      <c r="AD12" s="14" t="s">
        <v>682</v>
      </c>
      <c r="AE12" s="14" t="s">
        <v>686</v>
      </c>
      <c r="AF12" s="14" t="s">
        <v>690</v>
      </c>
      <c r="AG12" s="17">
        <v>125</v>
      </c>
      <c r="AH12" s="172" t="s">
        <v>51</v>
      </c>
      <c r="AI12" s="17">
        <v>1260</v>
      </c>
      <c r="AJ12" s="14" t="s">
        <v>51</v>
      </c>
      <c r="AK12" s="16">
        <v>243990</v>
      </c>
      <c r="AL12" s="16">
        <v>243997</v>
      </c>
      <c r="AM12" s="16">
        <v>243992</v>
      </c>
    </row>
    <row r="13" spans="1:40" ht="45.75" customHeight="1" x14ac:dyDescent="0.2">
      <c r="A13" s="83">
        <f t="shared" ref="A13:A31" si="14">Q13</f>
        <v>243990</v>
      </c>
      <c r="B13" s="84">
        <f t="shared" ref="B13:B31" si="15">V13</f>
        <v>680022</v>
      </c>
      <c r="C13" s="85" t="str">
        <f t="shared" ref="C13:C31" si="16">W13</f>
        <v>เพอเฟคค์664HP</v>
      </c>
      <c r="D13" s="84" t="str">
        <f t="shared" ref="D13:D31" si="17">Z13</f>
        <v>PD468010610</v>
      </c>
      <c r="E13" s="208">
        <f t="shared" ref="E13:E31" si="18">V13</f>
        <v>680022</v>
      </c>
      <c r="F13" s="225" t="str">
        <f t="shared" ref="F13:F31" si="19">AA13</f>
        <v>PT9</v>
      </c>
      <c r="G13" s="88" t="str">
        <f t="shared" ref="G13:G31" si="20">AB13</f>
        <v>สีลงเต็มสม่ำเสมอ งานพิมพ์ชัดเจน</v>
      </c>
      <c r="H13" s="153" t="str">
        <f t="shared" ref="H13:H31" si="21">AC13</f>
        <v>พบมีรอยเส้นเทปติดด้านหลังและสีซึมเป็นทุกใบ+สีหายด้านหน้าแปะ 1 เป็น 6-8 ใบ จำนวน 720 ใบ</v>
      </c>
      <c r="I13" s="84" t="str">
        <f t="shared" ref="I13:I31" si="22">AF13</f>
        <v>ผสม3/1มัดแยกเลทติดป้ายระบุปัญหาแจ้งขนส่ง</v>
      </c>
      <c r="J13" s="84">
        <f t="shared" ref="J13:J31" si="23">AG13</f>
        <v>720</v>
      </c>
      <c r="K13" s="153" t="str">
        <f t="shared" ref="K13:K31" si="24">AD13</f>
        <v>**ผสม3/1มัดแยกเลทติดป้ายระบุปัญหาแจ้งขนส่ง**</v>
      </c>
      <c r="L13" s="86">
        <f t="shared" si="11"/>
        <v>243992</v>
      </c>
      <c r="M13" s="83">
        <f t="shared" si="12"/>
        <v>243997</v>
      </c>
      <c r="N13" s="207">
        <f t="shared" si="13"/>
        <v>2</v>
      </c>
      <c r="P13" s="14" t="s">
        <v>17</v>
      </c>
      <c r="Q13" s="212">
        <v>243990</v>
      </c>
      <c r="R13" s="14" t="s">
        <v>547</v>
      </c>
      <c r="S13" s="14" t="s">
        <v>268</v>
      </c>
      <c r="T13" s="14" t="s">
        <v>14</v>
      </c>
      <c r="U13" s="14" t="s">
        <v>324</v>
      </c>
      <c r="V13" s="179">
        <v>680022</v>
      </c>
      <c r="W13" s="176" t="s">
        <v>663</v>
      </c>
      <c r="X13" s="176" t="s">
        <v>630</v>
      </c>
      <c r="Y13" s="176" t="s">
        <v>123</v>
      </c>
      <c r="Z13" s="176" t="s">
        <v>672</v>
      </c>
      <c r="AA13" s="40" t="s">
        <v>124</v>
      </c>
      <c r="AB13" s="40" t="s">
        <v>341</v>
      </c>
      <c r="AC13" s="14" t="s">
        <v>691</v>
      </c>
      <c r="AD13" s="14" t="s">
        <v>693</v>
      </c>
      <c r="AE13" s="14" t="s">
        <v>694</v>
      </c>
      <c r="AF13" s="14" t="s">
        <v>696</v>
      </c>
      <c r="AG13" s="17">
        <v>720</v>
      </c>
      <c r="AH13" s="172" t="s">
        <v>51</v>
      </c>
      <c r="AI13" s="17">
        <v>1383</v>
      </c>
      <c r="AJ13" s="14" t="s">
        <v>51</v>
      </c>
      <c r="AK13" s="16">
        <v>243990</v>
      </c>
      <c r="AL13" s="16">
        <v>243997</v>
      </c>
      <c r="AM13" s="16">
        <v>243992</v>
      </c>
    </row>
    <row r="14" spans="1:40" ht="45.75" customHeight="1" x14ac:dyDescent="0.2">
      <c r="A14" s="83">
        <f t="shared" si="14"/>
        <v>243990</v>
      </c>
      <c r="B14" s="84">
        <f t="shared" si="15"/>
        <v>680023</v>
      </c>
      <c r="C14" s="85" t="str">
        <f t="shared" si="16"/>
        <v>เพอเฟคค์664HP</v>
      </c>
      <c r="D14" s="84" t="str">
        <f t="shared" si="17"/>
        <v>PD468010610</v>
      </c>
      <c r="E14" s="208">
        <f t="shared" si="18"/>
        <v>680023</v>
      </c>
      <c r="F14" s="225" t="str">
        <f t="shared" si="19"/>
        <v>PT9</v>
      </c>
      <c r="G14" s="88" t="str">
        <f t="shared" si="20"/>
        <v>สีลงเต็มสม่ำเสมอ งานพิมพ์ชัดเจน</v>
      </c>
      <c r="H14" s="153" t="str">
        <f t="shared" si="21"/>
        <v>มีรอยเส้นเทปติดด้านหน้า จำนวน 300 ใบ</v>
      </c>
      <c r="I14" s="84" t="str">
        <f t="shared" si="22"/>
        <v>ผสม3/1</v>
      </c>
      <c r="J14" s="84">
        <f t="shared" si="23"/>
        <v>300</v>
      </c>
      <c r="K14" s="153" t="str">
        <f t="shared" si="24"/>
        <v>**ผสม3/1**</v>
      </c>
      <c r="L14" s="86">
        <f t="shared" si="11"/>
        <v>243992</v>
      </c>
      <c r="M14" s="83">
        <f t="shared" si="12"/>
        <v>243997</v>
      </c>
      <c r="N14" s="207">
        <f t="shared" si="13"/>
        <v>2</v>
      </c>
      <c r="P14" s="14" t="s">
        <v>17</v>
      </c>
      <c r="Q14" s="212">
        <v>243990</v>
      </c>
      <c r="R14" s="14" t="s">
        <v>547</v>
      </c>
      <c r="S14" s="14" t="s">
        <v>268</v>
      </c>
      <c r="T14" s="14" t="s">
        <v>14</v>
      </c>
      <c r="U14" s="14" t="s">
        <v>324</v>
      </c>
      <c r="V14" s="179">
        <v>680023</v>
      </c>
      <c r="W14" s="176" t="s">
        <v>663</v>
      </c>
      <c r="X14" s="176" t="s">
        <v>630</v>
      </c>
      <c r="Y14" s="176" t="s">
        <v>123</v>
      </c>
      <c r="Z14" s="176" t="s">
        <v>672</v>
      </c>
      <c r="AA14" s="40" t="s">
        <v>124</v>
      </c>
      <c r="AB14" s="40" t="s">
        <v>341</v>
      </c>
      <c r="AC14" s="14" t="s">
        <v>692</v>
      </c>
      <c r="AD14" s="14" t="s">
        <v>543</v>
      </c>
      <c r="AE14" s="14" t="s">
        <v>695</v>
      </c>
      <c r="AF14" s="14" t="s">
        <v>529</v>
      </c>
      <c r="AG14" s="17">
        <v>300</v>
      </c>
      <c r="AH14" s="172" t="s">
        <v>51</v>
      </c>
      <c r="AI14" s="17">
        <v>1020</v>
      </c>
      <c r="AJ14" s="14" t="s">
        <v>51</v>
      </c>
      <c r="AK14" s="16">
        <v>243990</v>
      </c>
      <c r="AL14" s="16">
        <v>243997</v>
      </c>
      <c r="AM14" s="16">
        <v>243992</v>
      </c>
    </row>
    <row r="15" spans="1:40" ht="45.75" customHeight="1" x14ac:dyDescent="0.2">
      <c r="A15" s="83">
        <f t="shared" si="14"/>
        <v>243992</v>
      </c>
      <c r="B15" s="84">
        <f t="shared" si="15"/>
        <v>680030</v>
      </c>
      <c r="C15" s="85" t="str">
        <f t="shared" si="16"/>
        <v>VIVO200</v>
      </c>
      <c r="D15" s="84" t="str">
        <f t="shared" si="17"/>
        <v>PD468010810</v>
      </c>
      <c r="E15" s="208">
        <f t="shared" si="18"/>
        <v>680030</v>
      </c>
      <c r="F15" s="225" t="str">
        <f t="shared" si="19"/>
        <v>PT1</v>
      </c>
      <c r="G15" s="88" t="str">
        <f t="shared" si="20"/>
        <v>สีลงเต็มสม่ำเสมอ งานพิมพ์ชัดเจน</v>
      </c>
      <c r="H15" s="153" t="str">
        <f t="shared" si="21"/>
        <v>พบม้วนนี้ครึ่งม้วนหลังสีลงไม่เต็มเป็นเกร็ดขาวและมีรอยอัด จำนวน 600 ใบ</v>
      </c>
      <c r="I15" s="84" t="str">
        <f t="shared" si="22"/>
        <v>ผสม25/75</v>
      </c>
      <c r="J15" s="84">
        <f t="shared" si="23"/>
        <v>600</v>
      </c>
      <c r="K15" s="153" t="str">
        <f t="shared" si="24"/>
        <v>**ผสม25/75**</v>
      </c>
      <c r="L15" s="86">
        <f t="shared" si="11"/>
        <v>243994</v>
      </c>
      <c r="M15" s="83">
        <f t="shared" si="12"/>
        <v>243999</v>
      </c>
      <c r="N15" s="207">
        <f t="shared" si="13"/>
        <v>0</v>
      </c>
      <c r="P15" s="14" t="s">
        <v>17</v>
      </c>
      <c r="Q15" s="212">
        <v>243992</v>
      </c>
      <c r="R15" s="14" t="s">
        <v>547</v>
      </c>
      <c r="S15" s="14" t="s">
        <v>268</v>
      </c>
      <c r="T15" s="14" t="s">
        <v>14</v>
      </c>
      <c r="U15" s="14" t="s">
        <v>324</v>
      </c>
      <c r="V15" s="179">
        <v>680030</v>
      </c>
      <c r="W15" s="176" t="s">
        <v>721</v>
      </c>
      <c r="X15" s="176" t="s">
        <v>664</v>
      </c>
      <c r="Y15" s="176" t="s">
        <v>123</v>
      </c>
      <c r="Z15" s="176" t="s">
        <v>730</v>
      </c>
      <c r="AA15" s="40" t="s">
        <v>45</v>
      </c>
      <c r="AB15" s="40" t="s">
        <v>341</v>
      </c>
      <c r="AC15" s="14" t="s">
        <v>734</v>
      </c>
      <c r="AD15" s="14" t="s">
        <v>528</v>
      </c>
      <c r="AE15" s="14" t="s">
        <v>741</v>
      </c>
      <c r="AF15" s="14" t="s">
        <v>541</v>
      </c>
      <c r="AG15" s="17">
        <v>600</v>
      </c>
      <c r="AH15" s="172" t="s">
        <v>51</v>
      </c>
      <c r="AI15" s="17">
        <v>1328</v>
      </c>
      <c r="AJ15" s="14" t="s">
        <v>51</v>
      </c>
      <c r="AK15" s="16">
        <v>243992</v>
      </c>
      <c r="AL15" s="16">
        <v>243999</v>
      </c>
      <c r="AM15" s="16">
        <v>243994</v>
      </c>
    </row>
    <row r="16" spans="1:40" ht="45.75" hidden="1" customHeight="1" x14ac:dyDescent="0.2">
      <c r="A16" s="83">
        <f t="shared" si="14"/>
        <v>243991</v>
      </c>
      <c r="B16" s="84">
        <f t="shared" si="15"/>
        <v>680027</v>
      </c>
      <c r="C16" s="85" t="str">
        <f t="shared" si="16"/>
        <v>แดนโกรวบรีดเดอร์70</v>
      </c>
      <c r="D16" s="84" t="str">
        <f t="shared" si="17"/>
        <v>PD468010703</v>
      </c>
      <c r="E16" s="208">
        <f t="shared" si="18"/>
        <v>680027</v>
      </c>
      <c r="F16" s="225" t="str">
        <f t="shared" si="19"/>
        <v>PT1</v>
      </c>
      <c r="G16" s="88" t="str">
        <f t="shared" si="20"/>
        <v>สีลงเต็มสม่ำเสมอ งานพิมพ์ชัดเจน</v>
      </c>
      <c r="H16" s="153" t="str">
        <f t="shared" si="21"/>
        <v>พบสีหายด้านข้าง จำนวน 100 ใบ</v>
      </c>
      <c r="I16" s="84" t="str">
        <f t="shared" si="22"/>
        <v>สีหายด้านข้าง</v>
      </c>
      <c r="J16" s="84">
        <f t="shared" si="23"/>
        <v>100</v>
      </c>
      <c r="K16" s="153" t="str">
        <f t="shared" si="24"/>
        <v>**ผสม3/1**</v>
      </c>
      <c r="L16" s="86">
        <f t="shared" si="11"/>
        <v>243993</v>
      </c>
      <c r="M16" s="83">
        <f t="shared" si="12"/>
        <v>243998</v>
      </c>
      <c r="N16" s="207">
        <f t="shared" si="13"/>
        <v>1</v>
      </c>
      <c r="P16" s="14" t="s">
        <v>17</v>
      </c>
      <c r="Q16" s="171">
        <v>243991</v>
      </c>
      <c r="R16" s="14" t="s">
        <v>547</v>
      </c>
      <c r="S16" s="14" t="s">
        <v>268</v>
      </c>
      <c r="T16" s="14" t="s">
        <v>14</v>
      </c>
      <c r="U16" s="14" t="s">
        <v>324</v>
      </c>
      <c r="V16" s="179">
        <v>680027</v>
      </c>
      <c r="W16" s="14" t="s">
        <v>704</v>
      </c>
      <c r="X16" s="201" t="s">
        <v>664</v>
      </c>
      <c r="Y16" s="14" t="s">
        <v>123</v>
      </c>
      <c r="Z16" s="14" t="s">
        <v>718</v>
      </c>
      <c r="AA16" s="181" t="s">
        <v>45</v>
      </c>
      <c r="AB16" s="40" t="s">
        <v>341</v>
      </c>
      <c r="AC16" s="173" t="s">
        <v>713</v>
      </c>
      <c r="AD16" s="173" t="s">
        <v>543</v>
      </c>
      <c r="AE16" s="173" t="s">
        <v>715</v>
      </c>
      <c r="AF16" s="38" t="s">
        <v>715</v>
      </c>
      <c r="AG16" s="14">
        <v>100</v>
      </c>
      <c r="AH16" s="14" t="s">
        <v>51</v>
      </c>
      <c r="AI16" s="196">
        <v>1098</v>
      </c>
      <c r="AJ16" s="14" t="s">
        <v>51</v>
      </c>
      <c r="AK16" s="16">
        <v>243991</v>
      </c>
      <c r="AL16" s="16">
        <v>243998</v>
      </c>
      <c r="AM16" s="16">
        <v>243993</v>
      </c>
    </row>
    <row r="17" spans="1:39" ht="45.75" hidden="1" customHeight="1" x14ac:dyDescent="0.2">
      <c r="A17" s="83">
        <f t="shared" si="14"/>
        <v>0</v>
      </c>
      <c r="B17" s="84">
        <f t="shared" si="15"/>
        <v>0</v>
      </c>
      <c r="C17" s="85">
        <f t="shared" si="16"/>
        <v>0</v>
      </c>
      <c r="D17" s="84">
        <f t="shared" si="17"/>
        <v>0</v>
      </c>
      <c r="E17" s="208">
        <f t="shared" si="18"/>
        <v>0</v>
      </c>
      <c r="F17" s="84">
        <f t="shared" si="19"/>
        <v>0</v>
      </c>
      <c r="G17" s="88">
        <f t="shared" si="20"/>
        <v>0</v>
      </c>
      <c r="H17" s="153">
        <f t="shared" si="21"/>
        <v>0</v>
      </c>
      <c r="I17" s="84">
        <f t="shared" si="22"/>
        <v>0</v>
      </c>
      <c r="J17" s="84">
        <f t="shared" si="23"/>
        <v>0</v>
      </c>
      <c r="K17" s="153">
        <f t="shared" si="24"/>
        <v>0</v>
      </c>
      <c r="L17" s="86">
        <f t="shared" si="11"/>
        <v>0</v>
      </c>
      <c r="M17" s="83">
        <f t="shared" si="12"/>
        <v>0</v>
      </c>
      <c r="N17" s="207">
        <f t="shared" si="13"/>
        <v>243994</v>
      </c>
      <c r="P17" s="14"/>
      <c r="Q17" s="171"/>
      <c r="R17" s="14"/>
      <c r="S17" s="14"/>
      <c r="T17" s="14"/>
      <c r="U17" s="14"/>
      <c r="V17" s="179"/>
      <c r="W17" s="14"/>
      <c r="X17" s="201"/>
      <c r="Y17" s="172"/>
      <c r="Z17" s="14"/>
      <c r="AA17" s="181"/>
      <c r="AB17" s="40"/>
      <c r="AC17" s="173"/>
      <c r="AD17" s="183"/>
      <c r="AE17" s="172"/>
      <c r="AF17" s="38"/>
      <c r="AG17" s="17"/>
      <c r="AH17" s="14"/>
      <c r="AI17" s="196"/>
      <c r="AJ17" s="14"/>
      <c r="AK17" s="16"/>
      <c r="AL17" s="16"/>
      <c r="AM17" s="16"/>
    </row>
    <row r="18" spans="1:39" ht="45.75" hidden="1" customHeight="1" x14ac:dyDescent="0.2">
      <c r="A18" s="83">
        <f t="shared" si="14"/>
        <v>0</v>
      </c>
      <c r="B18" s="84">
        <f t="shared" si="15"/>
        <v>0</v>
      </c>
      <c r="C18" s="85">
        <f t="shared" si="16"/>
        <v>0</v>
      </c>
      <c r="D18" s="84">
        <f t="shared" si="17"/>
        <v>0</v>
      </c>
      <c r="E18" s="208">
        <f t="shared" si="18"/>
        <v>0</v>
      </c>
      <c r="F18" s="84">
        <f t="shared" si="19"/>
        <v>0</v>
      </c>
      <c r="G18" s="88">
        <f t="shared" si="20"/>
        <v>0</v>
      </c>
      <c r="H18" s="153">
        <f t="shared" si="21"/>
        <v>0</v>
      </c>
      <c r="I18" s="84">
        <f t="shared" si="22"/>
        <v>0</v>
      </c>
      <c r="J18" s="84">
        <f t="shared" si="23"/>
        <v>0</v>
      </c>
      <c r="K18" s="153">
        <f t="shared" si="24"/>
        <v>0</v>
      </c>
      <c r="L18" s="86">
        <f t="shared" si="11"/>
        <v>0</v>
      </c>
      <c r="M18" s="83">
        <f t="shared" si="12"/>
        <v>0</v>
      </c>
      <c r="N18" s="207">
        <f t="shared" si="13"/>
        <v>243994</v>
      </c>
      <c r="P18" s="14"/>
      <c r="Q18" s="15"/>
      <c r="R18" s="14"/>
      <c r="S18" s="14"/>
      <c r="T18" s="14"/>
      <c r="U18" s="14"/>
      <c r="V18" s="179"/>
      <c r="W18" s="14"/>
      <c r="X18" s="201"/>
      <c r="Y18" s="14"/>
      <c r="Z18" s="14"/>
      <c r="AA18" s="181"/>
      <c r="AB18" s="40"/>
      <c r="AC18" s="38"/>
      <c r="AD18" s="172"/>
      <c r="AE18" s="172"/>
      <c r="AF18" s="38"/>
      <c r="AG18" s="14"/>
      <c r="AH18" s="14"/>
      <c r="AI18" s="17"/>
      <c r="AJ18" s="14"/>
      <c r="AK18" s="16"/>
      <c r="AL18" s="16"/>
      <c r="AM18" s="16"/>
    </row>
    <row r="19" spans="1:39" ht="45.75" hidden="1" customHeight="1" x14ac:dyDescent="0.2">
      <c r="A19" s="83">
        <f t="shared" si="14"/>
        <v>0</v>
      </c>
      <c r="B19" s="84">
        <f t="shared" si="15"/>
        <v>0</v>
      </c>
      <c r="C19" s="85">
        <f t="shared" si="16"/>
        <v>0</v>
      </c>
      <c r="D19" s="84">
        <f t="shared" si="17"/>
        <v>0</v>
      </c>
      <c r="E19" s="208">
        <f t="shared" si="18"/>
        <v>0</v>
      </c>
      <c r="F19" s="84">
        <f t="shared" si="19"/>
        <v>0</v>
      </c>
      <c r="G19" s="88">
        <f t="shared" si="20"/>
        <v>0</v>
      </c>
      <c r="H19" s="153">
        <f t="shared" si="21"/>
        <v>0</v>
      </c>
      <c r="I19" s="84">
        <f t="shared" si="22"/>
        <v>0</v>
      </c>
      <c r="J19" s="84">
        <f t="shared" si="23"/>
        <v>0</v>
      </c>
      <c r="K19" s="153">
        <f t="shared" si="24"/>
        <v>0</v>
      </c>
      <c r="L19" s="86">
        <f t="shared" si="11"/>
        <v>0</v>
      </c>
      <c r="M19" s="83">
        <f t="shared" si="12"/>
        <v>0</v>
      </c>
      <c r="N19" s="207">
        <f t="shared" si="13"/>
        <v>243994</v>
      </c>
      <c r="P19" s="14"/>
      <c r="Q19" s="15"/>
      <c r="R19" s="14"/>
      <c r="S19" s="14"/>
      <c r="T19" s="14"/>
      <c r="U19" s="14"/>
      <c r="V19" s="179"/>
      <c r="W19" s="14"/>
      <c r="X19" s="201"/>
      <c r="Y19" s="14"/>
      <c r="Z19" s="14"/>
      <c r="AA19" s="181"/>
      <c r="AB19" s="40"/>
      <c r="AC19" s="38"/>
      <c r="AD19" s="172"/>
      <c r="AE19" s="172"/>
      <c r="AF19" s="38"/>
      <c r="AG19" s="14"/>
      <c r="AH19" s="14"/>
      <c r="AI19" s="17"/>
      <c r="AJ19" s="14"/>
      <c r="AK19" s="16"/>
      <c r="AL19" s="16"/>
      <c r="AM19" s="16"/>
    </row>
    <row r="20" spans="1:39" ht="45.75" hidden="1" customHeight="1" x14ac:dyDescent="0.2">
      <c r="A20" s="83">
        <f t="shared" si="14"/>
        <v>0</v>
      </c>
      <c r="B20" s="84">
        <f t="shared" si="15"/>
        <v>0</v>
      </c>
      <c r="C20" s="85">
        <f t="shared" si="16"/>
        <v>0</v>
      </c>
      <c r="D20" s="84">
        <f t="shared" si="17"/>
        <v>0</v>
      </c>
      <c r="E20" s="208">
        <f t="shared" si="18"/>
        <v>0</v>
      </c>
      <c r="F20" s="84">
        <f t="shared" si="19"/>
        <v>0</v>
      </c>
      <c r="G20" s="88">
        <f t="shared" si="20"/>
        <v>0</v>
      </c>
      <c r="H20" s="153">
        <f t="shared" si="21"/>
        <v>0</v>
      </c>
      <c r="I20" s="84">
        <f t="shared" si="22"/>
        <v>0</v>
      </c>
      <c r="J20" s="84">
        <f t="shared" si="23"/>
        <v>0</v>
      </c>
      <c r="K20" s="153">
        <f t="shared" si="24"/>
        <v>0</v>
      </c>
      <c r="L20" s="86">
        <f t="shared" si="11"/>
        <v>0</v>
      </c>
      <c r="M20" s="83">
        <f t="shared" si="12"/>
        <v>0</v>
      </c>
      <c r="N20" s="207">
        <f t="shared" si="13"/>
        <v>243994</v>
      </c>
      <c r="P20" s="14"/>
      <c r="Q20" s="15"/>
      <c r="R20" s="14"/>
      <c r="S20" s="14"/>
      <c r="T20" s="14"/>
      <c r="U20" s="14"/>
      <c r="V20" s="179"/>
      <c r="W20" s="14"/>
      <c r="X20" s="201"/>
      <c r="Y20" s="14"/>
      <c r="Z20" s="14"/>
      <c r="AA20" s="181"/>
      <c r="AB20" s="40"/>
      <c r="AC20" s="38"/>
      <c r="AD20" s="172"/>
      <c r="AE20" s="172"/>
      <c r="AF20" s="38"/>
      <c r="AG20" s="14"/>
      <c r="AH20" s="14"/>
      <c r="AI20" s="17"/>
      <c r="AJ20" s="14"/>
      <c r="AK20" s="16"/>
      <c r="AL20" s="16"/>
      <c r="AM20" s="16"/>
    </row>
    <row r="21" spans="1:39" ht="45.75" hidden="1" customHeight="1" x14ac:dyDescent="0.2">
      <c r="A21" s="83">
        <f t="shared" si="14"/>
        <v>0</v>
      </c>
      <c r="B21" s="84">
        <f t="shared" si="15"/>
        <v>0</v>
      </c>
      <c r="C21" s="85">
        <f t="shared" si="16"/>
        <v>0</v>
      </c>
      <c r="D21" s="84">
        <f t="shared" si="17"/>
        <v>0</v>
      </c>
      <c r="E21" s="208">
        <f t="shared" si="18"/>
        <v>0</v>
      </c>
      <c r="F21" s="84">
        <f t="shared" si="19"/>
        <v>0</v>
      </c>
      <c r="G21" s="88">
        <f t="shared" si="20"/>
        <v>0</v>
      </c>
      <c r="H21" s="153">
        <f t="shared" si="21"/>
        <v>0</v>
      </c>
      <c r="I21" s="84">
        <f t="shared" si="22"/>
        <v>0</v>
      </c>
      <c r="J21" s="84">
        <f t="shared" si="23"/>
        <v>0</v>
      </c>
      <c r="K21" s="153">
        <f t="shared" si="24"/>
        <v>0</v>
      </c>
      <c r="L21" s="86">
        <f t="shared" si="11"/>
        <v>0</v>
      </c>
      <c r="M21" s="83">
        <f t="shared" si="12"/>
        <v>0</v>
      </c>
      <c r="N21" s="207">
        <f t="shared" si="13"/>
        <v>243994</v>
      </c>
      <c r="P21" s="14"/>
      <c r="Q21" s="15"/>
      <c r="R21" s="14"/>
      <c r="S21" s="14"/>
      <c r="T21" s="14"/>
      <c r="U21" s="14"/>
      <c r="V21" s="179"/>
      <c r="W21" s="14"/>
      <c r="X21" s="201"/>
      <c r="Y21" s="14"/>
      <c r="Z21" s="14"/>
      <c r="AA21" s="181"/>
      <c r="AB21" s="40"/>
      <c r="AC21" s="38"/>
      <c r="AD21" s="14"/>
      <c r="AE21" s="14"/>
      <c r="AF21" s="38"/>
      <c r="AG21" s="14"/>
      <c r="AH21" s="14"/>
      <c r="AI21" s="17"/>
      <c r="AJ21" s="14"/>
      <c r="AK21" s="16"/>
      <c r="AL21" s="16"/>
      <c r="AM21" s="16"/>
    </row>
    <row r="22" spans="1:39" ht="51.75" hidden="1" x14ac:dyDescent="0.2">
      <c r="A22" s="83">
        <f t="shared" si="14"/>
        <v>0</v>
      </c>
      <c r="B22" s="84">
        <f t="shared" si="15"/>
        <v>0</v>
      </c>
      <c r="C22" s="85">
        <f t="shared" si="16"/>
        <v>0</v>
      </c>
      <c r="D22" s="84">
        <f t="shared" si="17"/>
        <v>0</v>
      </c>
      <c r="E22" s="208">
        <f t="shared" si="18"/>
        <v>0</v>
      </c>
      <c r="F22" s="84">
        <f t="shared" si="19"/>
        <v>0</v>
      </c>
      <c r="G22" s="88">
        <f t="shared" si="20"/>
        <v>0</v>
      </c>
      <c r="H22" s="153">
        <f t="shared" si="21"/>
        <v>0</v>
      </c>
      <c r="I22" s="84">
        <f t="shared" si="22"/>
        <v>0</v>
      </c>
      <c r="J22" s="84">
        <f t="shared" si="23"/>
        <v>0</v>
      </c>
      <c r="K22" s="153">
        <f t="shared" si="24"/>
        <v>0</v>
      </c>
      <c r="L22" s="86">
        <f t="shared" si="11"/>
        <v>0</v>
      </c>
      <c r="M22" s="83">
        <f t="shared" si="12"/>
        <v>0</v>
      </c>
      <c r="N22" s="207">
        <f t="shared" si="13"/>
        <v>243994</v>
      </c>
      <c r="P22" s="14"/>
      <c r="Q22" s="15"/>
      <c r="R22" s="14"/>
      <c r="S22" s="14"/>
      <c r="T22" s="14"/>
      <c r="U22" s="14"/>
      <c r="V22" s="179"/>
      <c r="W22" s="14"/>
      <c r="X22" s="201"/>
      <c r="Y22" s="14"/>
      <c r="Z22" s="14"/>
      <c r="AA22" s="181"/>
      <c r="AB22" s="40"/>
      <c r="AC22" s="38"/>
      <c r="AD22" s="173"/>
      <c r="AE22" s="172"/>
      <c r="AF22" s="38"/>
      <c r="AG22" s="14"/>
      <c r="AH22" s="14"/>
      <c r="AI22" s="17"/>
      <c r="AJ22" s="14"/>
      <c r="AK22" s="16"/>
      <c r="AL22" s="16"/>
      <c r="AM22" s="16"/>
    </row>
    <row r="23" spans="1:39" ht="51.75" hidden="1" x14ac:dyDescent="0.2">
      <c r="A23" s="83">
        <f t="shared" si="14"/>
        <v>0</v>
      </c>
      <c r="B23" s="84">
        <f t="shared" si="15"/>
        <v>0</v>
      </c>
      <c r="C23" s="85">
        <f t="shared" si="16"/>
        <v>0</v>
      </c>
      <c r="D23" s="84">
        <f t="shared" si="17"/>
        <v>0</v>
      </c>
      <c r="E23" s="208">
        <f t="shared" si="18"/>
        <v>0</v>
      </c>
      <c r="F23" s="84">
        <f t="shared" si="19"/>
        <v>0</v>
      </c>
      <c r="G23" s="88">
        <f t="shared" si="20"/>
        <v>0</v>
      </c>
      <c r="H23" s="153">
        <f t="shared" si="21"/>
        <v>0</v>
      </c>
      <c r="I23" s="84">
        <f t="shared" si="22"/>
        <v>0</v>
      </c>
      <c r="J23" s="84">
        <f t="shared" si="23"/>
        <v>0</v>
      </c>
      <c r="K23" s="153">
        <f t="shared" si="24"/>
        <v>0</v>
      </c>
      <c r="L23" s="86">
        <f t="shared" si="11"/>
        <v>0</v>
      </c>
      <c r="M23" s="83">
        <f t="shared" si="12"/>
        <v>0</v>
      </c>
      <c r="N23" s="207">
        <f t="shared" si="13"/>
        <v>243994</v>
      </c>
      <c r="P23" s="14"/>
      <c r="Q23" s="15"/>
      <c r="R23" s="14"/>
      <c r="S23" s="14"/>
      <c r="T23" s="14"/>
      <c r="U23" s="14"/>
      <c r="V23" s="179"/>
      <c r="W23" s="14"/>
      <c r="X23" s="202"/>
      <c r="Y23" s="14"/>
      <c r="Z23" s="14"/>
      <c r="AA23" s="181"/>
      <c r="AB23" s="40"/>
      <c r="AC23" s="38"/>
      <c r="AD23" s="14"/>
      <c r="AE23" s="14"/>
      <c r="AF23" s="38"/>
      <c r="AG23" s="17"/>
      <c r="AH23" s="14"/>
      <c r="AI23" s="17"/>
      <c r="AJ23" s="14"/>
      <c r="AK23" s="16"/>
      <c r="AL23" s="16"/>
      <c r="AM23" s="16"/>
    </row>
    <row r="24" spans="1:39" ht="51.75" hidden="1" x14ac:dyDescent="0.2">
      <c r="A24" s="83">
        <f t="shared" si="14"/>
        <v>0</v>
      </c>
      <c r="B24" s="84">
        <f t="shared" si="15"/>
        <v>0</v>
      </c>
      <c r="C24" s="85">
        <f t="shared" si="16"/>
        <v>0</v>
      </c>
      <c r="D24" s="84">
        <f t="shared" si="17"/>
        <v>0</v>
      </c>
      <c r="E24" s="208">
        <f t="shared" si="18"/>
        <v>0</v>
      </c>
      <c r="F24" s="84">
        <f t="shared" si="19"/>
        <v>0</v>
      </c>
      <c r="G24" s="88">
        <f t="shared" si="20"/>
        <v>0</v>
      </c>
      <c r="H24" s="153">
        <f t="shared" si="21"/>
        <v>0</v>
      </c>
      <c r="I24" s="84">
        <f t="shared" si="22"/>
        <v>0</v>
      </c>
      <c r="J24" s="84">
        <f t="shared" si="23"/>
        <v>0</v>
      </c>
      <c r="K24" s="153">
        <f t="shared" si="24"/>
        <v>0</v>
      </c>
      <c r="L24" s="86">
        <f t="shared" si="11"/>
        <v>0</v>
      </c>
      <c r="M24" s="83">
        <f t="shared" si="12"/>
        <v>0</v>
      </c>
      <c r="N24" s="207">
        <f t="shared" si="13"/>
        <v>243994</v>
      </c>
      <c r="P24" s="14"/>
      <c r="Q24" s="15"/>
      <c r="R24" s="14"/>
      <c r="S24" s="14"/>
      <c r="T24" s="14"/>
      <c r="U24" s="14"/>
      <c r="V24" s="179"/>
      <c r="W24" s="14"/>
      <c r="X24" s="201"/>
      <c r="Y24" s="14"/>
      <c r="Z24" s="14"/>
      <c r="AA24" s="181"/>
      <c r="AB24" s="40"/>
      <c r="AC24" s="38"/>
      <c r="AD24" s="14"/>
      <c r="AE24" s="14"/>
      <c r="AF24" s="38"/>
      <c r="AG24" s="14"/>
      <c r="AH24" s="14"/>
      <c r="AI24" s="17"/>
      <c r="AJ24" s="14"/>
      <c r="AK24" s="16"/>
      <c r="AL24" s="16"/>
      <c r="AM24" s="16"/>
    </row>
    <row r="25" spans="1:39" ht="51.75" hidden="1" x14ac:dyDescent="0.2">
      <c r="A25" s="83">
        <f t="shared" si="14"/>
        <v>0</v>
      </c>
      <c r="B25" s="84">
        <f t="shared" si="15"/>
        <v>0</v>
      </c>
      <c r="C25" s="85">
        <f t="shared" si="16"/>
        <v>0</v>
      </c>
      <c r="D25" s="84">
        <f t="shared" si="17"/>
        <v>0</v>
      </c>
      <c r="E25" s="208">
        <f t="shared" si="18"/>
        <v>0</v>
      </c>
      <c r="F25" s="84">
        <f t="shared" si="19"/>
        <v>0</v>
      </c>
      <c r="G25" s="88">
        <f t="shared" si="20"/>
        <v>0</v>
      </c>
      <c r="H25" s="153">
        <f t="shared" si="21"/>
        <v>0</v>
      </c>
      <c r="I25" s="84">
        <f t="shared" si="22"/>
        <v>0</v>
      </c>
      <c r="J25" s="84">
        <f t="shared" si="23"/>
        <v>0</v>
      </c>
      <c r="K25" s="153">
        <f t="shared" si="24"/>
        <v>0</v>
      </c>
      <c r="L25" s="86">
        <f t="shared" si="11"/>
        <v>0</v>
      </c>
      <c r="M25" s="83">
        <f t="shared" si="12"/>
        <v>0</v>
      </c>
      <c r="N25" s="207">
        <f t="shared" si="13"/>
        <v>243994</v>
      </c>
      <c r="P25" s="14"/>
      <c r="Q25" s="15"/>
      <c r="R25" s="14"/>
      <c r="S25" s="14"/>
      <c r="T25" s="14"/>
      <c r="U25" s="14"/>
      <c r="V25" s="179"/>
      <c r="W25" s="14"/>
      <c r="X25" s="201"/>
      <c r="Y25" s="14"/>
      <c r="Z25" s="14"/>
      <c r="AA25" s="181"/>
      <c r="AB25" s="40"/>
      <c r="AC25" s="14"/>
      <c r="AD25" s="14"/>
      <c r="AE25" s="14"/>
      <c r="AF25" s="38"/>
      <c r="AG25" s="17"/>
      <c r="AH25" s="14"/>
      <c r="AI25" s="17"/>
      <c r="AJ25" s="14"/>
      <c r="AK25" s="16"/>
      <c r="AL25" s="16"/>
      <c r="AM25" s="16"/>
    </row>
    <row r="26" spans="1:39" ht="51.75" hidden="1" x14ac:dyDescent="0.2">
      <c r="A26" s="83">
        <f t="shared" si="14"/>
        <v>0</v>
      </c>
      <c r="B26" s="84">
        <f t="shared" si="15"/>
        <v>0</v>
      </c>
      <c r="C26" s="85">
        <f t="shared" si="16"/>
        <v>0</v>
      </c>
      <c r="D26" s="84">
        <f t="shared" si="17"/>
        <v>0</v>
      </c>
      <c r="E26" s="208">
        <f t="shared" si="18"/>
        <v>0</v>
      </c>
      <c r="F26" s="84">
        <f t="shared" si="19"/>
        <v>0</v>
      </c>
      <c r="G26" s="88">
        <f t="shared" si="20"/>
        <v>0</v>
      </c>
      <c r="H26" s="153">
        <f t="shared" si="21"/>
        <v>0</v>
      </c>
      <c r="I26" s="84">
        <f t="shared" si="22"/>
        <v>0</v>
      </c>
      <c r="J26" s="84">
        <f t="shared" si="23"/>
        <v>0</v>
      </c>
      <c r="K26" s="153">
        <f t="shared" si="24"/>
        <v>0</v>
      </c>
      <c r="L26" s="86">
        <f t="shared" si="11"/>
        <v>0</v>
      </c>
      <c r="M26" s="83">
        <f t="shared" si="12"/>
        <v>0</v>
      </c>
      <c r="N26" s="207">
        <f t="shared" si="13"/>
        <v>243994</v>
      </c>
      <c r="P26" s="14"/>
      <c r="Q26" s="15"/>
      <c r="R26" s="14"/>
      <c r="S26" s="14"/>
      <c r="T26" s="14"/>
      <c r="U26" s="14"/>
      <c r="V26" s="179"/>
      <c r="W26" s="14"/>
      <c r="X26" s="201"/>
      <c r="Y26" s="14"/>
      <c r="Z26" s="14"/>
      <c r="AA26" s="181"/>
      <c r="AB26" s="40"/>
      <c r="AC26" s="14"/>
      <c r="AD26" s="14"/>
      <c r="AE26" s="14"/>
      <c r="AF26" s="38"/>
      <c r="AG26" s="17"/>
      <c r="AH26" s="14"/>
      <c r="AI26" s="17"/>
      <c r="AJ26" s="14"/>
      <c r="AK26" s="16"/>
      <c r="AL26" s="16"/>
      <c r="AM26" s="16"/>
    </row>
    <row r="27" spans="1:39" ht="51.75" hidden="1" x14ac:dyDescent="0.2">
      <c r="A27" s="83">
        <f t="shared" si="14"/>
        <v>0</v>
      </c>
      <c r="B27" s="84">
        <f t="shared" si="15"/>
        <v>0</v>
      </c>
      <c r="C27" s="85">
        <f t="shared" si="16"/>
        <v>0</v>
      </c>
      <c r="D27" s="84">
        <f t="shared" si="17"/>
        <v>0</v>
      </c>
      <c r="E27" s="208">
        <f t="shared" si="18"/>
        <v>0</v>
      </c>
      <c r="F27" s="84">
        <f t="shared" si="19"/>
        <v>0</v>
      </c>
      <c r="G27" s="88">
        <f t="shared" si="20"/>
        <v>0</v>
      </c>
      <c r="H27" s="153">
        <f t="shared" si="21"/>
        <v>0</v>
      </c>
      <c r="I27" s="84">
        <f t="shared" si="22"/>
        <v>0</v>
      </c>
      <c r="J27" s="84">
        <f t="shared" si="23"/>
        <v>0</v>
      </c>
      <c r="K27" s="153">
        <f t="shared" si="24"/>
        <v>0</v>
      </c>
      <c r="L27" s="86">
        <f t="shared" si="11"/>
        <v>0</v>
      </c>
      <c r="M27" s="83">
        <f t="shared" si="12"/>
        <v>0</v>
      </c>
      <c r="N27" s="207">
        <f t="shared" si="13"/>
        <v>243994</v>
      </c>
      <c r="P27" s="14"/>
      <c r="Q27" s="15"/>
      <c r="R27" s="14"/>
      <c r="S27" s="14"/>
      <c r="T27" s="14"/>
      <c r="U27" s="14"/>
      <c r="V27" s="179"/>
      <c r="W27" s="14"/>
      <c r="X27" s="201"/>
      <c r="Y27" s="14"/>
      <c r="Z27" s="14"/>
      <c r="AA27" s="181"/>
      <c r="AB27" s="40"/>
      <c r="AC27" s="14"/>
      <c r="AD27" s="14"/>
      <c r="AE27" s="14"/>
      <c r="AF27" s="14"/>
      <c r="AG27" s="14"/>
      <c r="AH27" s="14"/>
      <c r="AI27" s="17"/>
      <c r="AJ27" s="14"/>
      <c r="AK27" s="16"/>
      <c r="AL27" s="16"/>
      <c r="AM27" s="16"/>
    </row>
    <row r="28" spans="1:39" ht="51.75" hidden="1" x14ac:dyDescent="0.2">
      <c r="A28" s="83">
        <f t="shared" si="14"/>
        <v>0</v>
      </c>
      <c r="B28" s="84">
        <f t="shared" si="15"/>
        <v>0</v>
      </c>
      <c r="C28" s="85">
        <f t="shared" si="16"/>
        <v>0</v>
      </c>
      <c r="D28" s="84">
        <f t="shared" si="17"/>
        <v>0</v>
      </c>
      <c r="E28" s="208">
        <f t="shared" si="18"/>
        <v>0</v>
      </c>
      <c r="F28" s="84">
        <f t="shared" si="19"/>
        <v>0</v>
      </c>
      <c r="G28" s="88">
        <f t="shared" si="20"/>
        <v>0</v>
      </c>
      <c r="H28" s="153">
        <f t="shared" si="21"/>
        <v>0</v>
      </c>
      <c r="I28" s="84">
        <f t="shared" si="22"/>
        <v>0</v>
      </c>
      <c r="J28" s="84">
        <f t="shared" si="23"/>
        <v>0</v>
      </c>
      <c r="K28" s="153">
        <f t="shared" si="24"/>
        <v>0</v>
      </c>
      <c r="L28" s="86">
        <f t="shared" si="11"/>
        <v>0</v>
      </c>
      <c r="M28" s="83">
        <f t="shared" si="12"/>
        <v>0</v>
      </c>
      <c r="N28" s="207">
        <f t="shared" si="13"/>
        <v>243994</v>
      </c>
      <c r="P28" s="14"/>
      <c r="Q28" s="15"/>
      <c r="R28" s="14"/>
      <c r="S28" s="14"/>
      <c r="T28" s="14"/>
      <c r="U28" s="14"/>
      <c r="V28" s="179"/>
      <c r="W28" s="14"/>
      <c r="X28" s="201"/>
      <c r="Y28" s="14"/>
      <c r="Z28" s="14"/>
      <c r="AA28" s="181"/>
      <c r="AB28" s="40"/>
      <c r="AC28" s="14"/>
      <c r="AD28" s="14"/>
      <c r="AE28" s="14"/>
      <c r="AF28" s="38"/>
      <c r="AG28" s="17"/>
      <c r="AH28" s="14"/>
      <c r="AI28" s="17"/>
      <c r="AJ28" s="14"/>
      <c r="AK28" s="16"/>
      <c r="AL28" s="16"/>
      <c r="AM28" s="16"/>
    </row>
    <row r="29" spans="1:39" ht="51.75" hidden="1" x14ac:dyDescent="0.2">
      <c r="A29" s="83">
        <f t="shared" si="14"/>
        <v>0</v>
      </c>
      <c r="B29" s="84">
        <f t="shared" si="15"/>
        <v>0</v>
      </c>
      <c r="C29" s="85">
        <f t="shared" si="16"/>
        <v>0</v>
      </c>
      <c r="D29" s="84">
        <f t="shared" si="17"/>
        <v>0</v>
      </c>
      <c r="E29" s="208">
        <f t="shared" si="18"/>
        <v>0</v>
      </c>
      <c r="F29" s="84">
        <f t="shared" si="19"/>
        <v>0</v>
      </c>
      <c r="G29" s="88">
        <f t="shared" si="20"/>
        <v>0</v>
      </c>
      <c r="H29" s="153">
        <f t="shared" si="21"/>
        <v>0</v>
      </c>
      <c r="I29" s="84">
        <f t="shared" si="22"/>
        <v>0</v>
      </c>
      <c r="J29" s="84">
        <f t="shared" si="23"/>
        <v>0</v>
      </c>
      <c r="K29" s="153">
        <f t="shared" si="24"/>
        <v>0</v>
      </c>
      <c r="L29" s="86">
        <f t="shared" si="11"/>
        <v>0</v>
      </c>
      <c r="M29" s="83">
        <f t="shared" si="12"/>
        <v>0</v>
      </c>
      <c r="N29" s="207">
        <f t="shared" si="13"/>
        <v>243994</v>
      </c>
      <c r="P29" s="14"/>
      <c r="Q29" s="15"/>
      <c r="R29" s="14"/>
      <c r="S29" s="14"/>
      <c r="T29" s="14"/>
      <c r="U29" s="14"/>
      <c r="V29" s="179"/>
      <c r="W29" s="14"/>
      <c r="X29" s="201"/>
      <c r="Y29" s="14"/>
      <c r="Z29" s="14"/>
      <c r="AA29" s="181"/>
      <c r="AB29" s="40"/>
      <c r="AC29" s="74"/>
      <c r="AD29" s="14"/>
      <c r="AE29" s="14"/>
      <c r="AF29" s="14"/>
      <c r="AG29" s="17"/>
      <c r="AH29" s="14"/>
      <c r="AI29" s="17"/>
      <c r="AJ29" s="14"/>
      <c r="AK29" s="16"/>
      <c r="AL29" s="16"/>
      <c r="AM29" s="16"/>
    </row>
    <row r="30" spans="1:39" ht="51.75" hidden="1" x14ac:dyDescent="0.2">
      <c r="A30" s="83">
        <f t="shared" si="14"/>
        <v>0</v>
      </c>
      <c r="B30" s="84">
        <f t="shared" si="15"/>
        <v>0</v>
      </c>
      <c r="C30" s="85">
        <f t="shared" si="16"/>
        <v>0</v>
      </c>
      <c r="D30" s="84">
        <f t="shared" si="17"/>
        <v>0</v>
      </c>
      <c r="E30" s="208">
        <f t="shared" si="18"/>
        <v>0</v>
      </c>
      <c r="F30" s="84">
        <f t="shared" si="19"/>
        <v>0</v>
      </c>
      <c r="G30" s="88">
        <f t="shared" si="20"/>
        <v>0</v>
      </c>
      <c r="H30" s="153">
        <f t="shared" si="21"/>
        <v>0</v>
      </c>
      <c r="I30" s="84">
        <f t="shared" si="22"/>
        <v>0</v>
      </c>
      <c r="J30" s="84">
        <f t="shared" si="23"/>
        <v>0</v>
      </c>
      <c r="K30" s="153">
        <f t="shared" si="24"/>
        <v>0</v>
      </c>
      <c r="L30" s="86">
        <f t="shared" si="11"/>
        <v>0</v>
      </c>
      <c r="M30" s="83">
        <f t="shared" si="12"/>
        <v>0</v>
      </c>
      <c r="N30" s="207">
        <f t="shared" si="13"/>
        <v>243994</v>
      </c>
      <c r="P30" s="14"/>
      <c r="Q30" s="15"/>
      <c r="R30" s="14"/>
      <c r="S30" s="14"/>
      <c r="T30" s="14"/>
      <c r="U30" s="14"/>
      <c r="V30" s="179"/>
      <c r="W30" s="14"/>
      <c r="X30" s="14"/>
      <c r="Y30" s="14"/>
      <c r="Z30" s="14"/>
      <c r="AA30" s="181"/>
      <c r="AB30" s="40"/>
      <c r="AC30" s="74"/>
      <c r="AD30" s="14"/>
      <c r="AE30" s="14"/>
      <c r="AF30" s="38"/>
      <c r="AG30" s="14"/>
      <c r="AH30" s="14"/>
      <c r="AI30" s="17"/>
      <c r="AJ30" s="14"/>
      <c r="AK30" s="16"/>
      <c r="AL30" s="16"/>
      <c r="AM30" s="16"/>
    </row>
    <row r="31" spans="1:39" ht="51.75" hidden="1" x14ac:dyDescent="0.2">
      <c r="A31" s="83">
        <f t="shared" si="14"/>
        <v>0</v>
      </c>
      <c r="B31" s="84">
        <f t="shared" si="15"/>
        <v>0</v>
      </c>
      <c r="C31" s="85">
        <f t="shared" si="16"/>
        <v>0</v>
      </c>
      <c r="D31" s="84">
        <f t="shared" si="17"/>
        <v>0</v>
      </c>
      <c r="E31" s="208">
        <f t="shared" si="18"/>
        <v>0</v>
      </c>
      <c r="F31" s="84">
        <f t="shared" si="19"/>
        <v>0</v>
      </c>
      <c r="G31" s="88">
        <f t="shared" si="20"/>
        <v>0</v>
      </c>
      <c r="H31" s="153">
        <f t="shared" si="21"/>
        <v>0</v>
      </c>
      <c r="I31" s="84">
        <f t="shared" si="22"/>
        <v>0</v>
      </c>
      <c r="J31" s="84">
        <f t="shared" si="23"/>
        <v>0</v>
      </c>
      <c r="K31" s="153">
        <f t="shared" si="24"/>
        <v>0</v>
      </c>
      <c r="L31" s="86">
        <f t="shared" si="11"/>
        <v>0</v>
      </c>
      <c r="M31" s="83">
        <f t="shared" si="12"/>
        <v>0</v>
      </c>
      <c r="N31" s="207">
        <f t="shared" si="13"/>
        <v>243994</v>
      </c>
      <c r="P31" s="14"/>
      <c r="Q31" s="15"/>
      <c r="R31" s="14"/>
      <c r="S31" s="14"/>
      <c r="T31" s="14"/>
      <c r="U31" s="14"/>
      <c r="V31" s="179"/>
      <c r="W31" s="14"/>
      <c r="X31" s="201"/>
      <c r="Y31" s="14"/>
      <c r="Z31" s="14"/>
      <c r="AA31" s="181"/>
      <c r="AB31" s="40"/>
      <c r="AC31" s="14"/>
      <c r="AD31" s="14"/>
      <c r="AE31" s="14"/>
      <c r="AF31" s="38"/>
      <c r="AG31" s="14"/>
      <c r="AH31" s="14"/>
      <c r="AI31" s="17"/>
      <c r="AJ31" s="14"/>
      <c r="AK31" s="16"/>
      <c r="AL31" s="16"/>
      <c r="AM31" s="16"/>
    </row>
    <row r="32" spans="1:39" ht="51.75" hidden="1" x14ac:dyDescent="0.35">
      <c r="A32" s="83">
        <f t="shared" ref="A32:A33" si="25">Q32</f>
        <v>0</v>
      </c>
      <c r="B32" s="84">
        <f t="shared" ref="B32:B33" si="26">V32</f>
        <v>0</v>
      </c>
      <c r="C32" s="85">
        <f t="shared" ref="C32:C33" si="27">W32</f>
        <v>0</v>
      </c>
      <c r="D32" s="84">
        <f t="shared" ref="D32:D33" si="28">Z32</f>
        <v>0</v>
      </c>
      <c r="E32" s="208">
        <f t="shared" ref="E32:E33" si="29">V32</f>
        <v>0</v>
      </c>
      <c r="F32" s="84">
        <f t="shared" ref="F32:F33" si="30">AA32</f>
        <v>0</v>
      </c>
      <c r="G32" s="88">
        <f t="shared" ref="G32:G33" si="31">AB32</f>
        <v>0</v>
      </c>
      <c r="H32" s="153">
        <f t="shared" ref="H32:H33" si="32">AC32</f>
        <v>0</v>
      </c>
      <c r="I32" s="84">
        <f t="shared" ref="I32:I33" si="33">AF32</f>
        <v>0</v>
      </c>
      <c r="J32" s="84">
        <f t="shared" ref="J32:J33" si="34">AG32</f>
        <v>0</v>
      </c>
      <c r="K32" s="153">
        <f t="shared" ref="K32:K33" si="35">AD32</f>
        <v>0</v>
      </c>
      <c r="L32" s="86">
        <f t="shared" si="11"/>
        <v>0</v>
      </c>
      <c r="M32" s="83">
        <f t="shared" si="12"/>
        <v>0</v>
      </c>
      <c r="N32" s="207">
        <f t="shared" si="13"/>
        <v>243994</v>
      </c>
      <c r="O32" s="205"/>
      <c r="P32" s="14"/>
      <c r="Q32" s="15"/>
      <c r="R32" s="14"/>
      <c r="S32" s="14"/>
      <c r="T32" s="14"/>
      <c r="U32" s="14"/>
      <c r="V32" s="179"/>
      <c r="W32" s="14"/>
      <c r="X32" s="201"/>
      <c r="Y32" s="14"/>
      <c r="Z32" s="14"/>
      <c r="AA32" s="181"/>
      <c r="AB32" s="40"/>
      <c r="AC32" s="38"/>
      <c r="AD32" s="14"/>
      <c r="AE32" s="14"/>
      <c r="AF32" s="38"/>
      <c r="AG32" s="17"/>
      <c r="AH32" s="14"/>
      <c r="AI32" s="17"/>
      <c r="AJ32" s="14"/>
      <c r="AK32" s="16"/>
      <c r="AL32" s="16"/>
      <c r="AM32" s="16"/>
    </row>
    <row r="33" spans="1:39" ht="76.5" hidden="1" customHeight="1" x14ac:dyDescent="0.35">
      <c r="A33" s="83">
        <f t="shared" si="25"/>
        <v>0</v>
      </c>
      <c r="B33" s="84">
        <f t="shared" si="26"/>
        <v>0</v>
      </c>
      <c r="C33" s="85">
        <f t="shared" si="27"/>
        <v>0</v>
      </c>
      <c r="D33" s="84">
        <f t="shared" si="28"/>
        <v>0</v>
      </c>
      <c r="E33" s="208">
        <f t="shared" si="29"/>
        <v>0</v>
      </c>
      <c r="F33" s="84">
        <f t="shared" si="30"/>
        <v>0</v>
      </c>
      <c r="G33" s="88">
        <f t="shared" si="31"/>
        <v>0</v>
      </c>
      <c r="H33" s="153">
        <f t="shared" si="32"/>
        <v>0</v>
      </c>
      <c r="I33" s="84">
        <f t="shared" si="33"/>
        <v>0</v>
      </c>
      <c r="J33" s="84">
        <f t="shared" si="34"/>
        <v>0</v>
      </c>
      <c r="K33" s="153">
        <f t="shared" si="35"/>
        <v>0</v>
      </c>
      <c r="L33" s="86">
        <f t="shared" si="11"/>
        <v>0</v>
      </c>
      <c r="M33" s="83">
        <f t="shared" si="12"/>
        <v>0</v>
      </c>
      <c r="N33" s="207">
        <f t="shared" si="13"/>
        <v>243994</v>
      </c>
      <c r="O33" s="205"/>
      <c r="P33" s="14"/>
      <c r="Q33" s="15"/>
      <c r="R33" s="14"/>
      <c r="S33" s="14"/>
      <c r="T33" s="14"/>
      <c r="U33" s="14"/>
      <c r="V33" s="179"/>
      <c r="W33" s="14"/>
      <c r="X33" s="201"/>
      <c r="Y33" s="14"/>
      <c r="Z33" s="14"/>
      <c r="AA33" s="181"/>
      <c r="AB33" s="40"/>
      <c r="AC33" s="38"/>
      <c r="AD33" s="14"/>
      <c r="AE33" s="14"/>
      <c r="AF33" s="38"/>
      <c r="AG33" s="17"/>
      <c r="AH33" s="14"/>
      <c r="AI33" s="17"/>
      <c r="AJ33" s="14"/>
      <c r="AK33" s="16"/>
      <c r="AL33" s="16"/>
      <c r="AM33" s="16"/>
    </row>
    <row r="34" spans="1:39" ht="51.75" hidden="1" x14ac:dyDescent="0.35">
      <c r="A34" s="83">
        <f t="shared" ref="A34:A55" si="36">Q34</f>
        <v>0</v>
      </c>
      <c r="B34" s="84">
        <f t="shared" ref="B34:B55" si="37">V34</f>
        <v>0</v>
      </c>
      <c r="C34" s="85">
        <f t="shared" ref="C34:C55" si="38">W34</f>
        <v>0</v>
      </c>
      <c r="D34" s="84">
        <f t="shared" ref="D34:D55" si="39">Z34</f>
        <v>0</v>
      </c>
      <c r="E34" s="208">
        <f t="shared" ref="E34:E55" si="40">V34</f>
        <v>0</v>
      </c>
      <c r="F34" s="84">
        <f t="shared" ref="F34:F55" si="41">AA34</f>
        <v>0</v>
      </c>
      <c r="G34" s="88">
        <f t="shared" ref="G34:G55" si="42">AB34</f>
        <v>0</v>
      </c>
      <c r="H34" s="153">
        <f t="shared" ref="H34:H55" si="43">AC34</f>
        <v>0</v>
      </c>
      <c r="I34" s="84">
        <f t="shared" ref="I34:I55" si="44">AF34</f>
        <v>0</v>
      </c>
      <c r="J34" s="84">
        <f t="shared" ref="J34:J55" si="45">AG34</f>
        <v>0</v>
      </c>
      <c r="K34" s="153">
        <f t="shared" ref="K34:K55" si="46">AD34</f>
        <v>0</v>
      </c>
      <c r="L34" s="86">
        <f t="shared" si="11"/>
        <v>0</v>
      </c>
      <c r="M34" s="83">
        <f t="shared" si="12"/>
        <v>0</v>
      </c>
      <c r="N34" s="207">
        <f t="shared" si="13"/>
        <v>243994</v>
      </c>
      <c r="O34" s="205"/>
      <c r="P34" s="14"/>
      <c r="Q34" s="15"/>
      <c r="R34" s="14"/>
      <c r="S34" s="14"/>
      <c r="T34" s="14"/>
      <c r="U34" s="14"/>
      <c r="V34" s="179"/>
      <c r="W34" s="14"/>
      <c r="X34" s="203"/>
      <c r="Y34" s="14"/>
      <c r="Z34" s="14"/>
      <c r="AA34" s="181"/>
      <c r="AB34" s="40"/>
      <c r="AC34" s="38"/>
      <c r="AD34" s="38"/>
      <c r="AE34" s="14"/>
      <c r="AF34" s="38"/>
      <c r="AG34" s="14"/>
      <c r="AH34" s="14"/>
      <c r="AI34" s="17"/>
      <c r="AJ34" s="14"/>
      <c r="AK34" s="16"/>
      <c r="AL34" s="16"/>
      <c r="AM34" s="16"/>
    </row>
    <row r="35" spans="1:39" ht="51.75" hidden="1" x14ac:dyDescent="0.35">
      <c r="A35" s="83">
        <f t="shared" si="36"/>
        <v>0</v>
      </c>
      <c r="B35" s="84">
        <f t="shared" si="37"/>
        <v>0</v>
      </c>
      <c r="C35" s="85">
        <f t="shared" si="38"/>
        <v>0</v>
      </c>
      <c r="D35" s="84">
        <f t="shared" si="39"/>
        <v>0</v>
      </c>
      <c r="E35" s="208">
        <f t="shared" si="40"/>
        <v>0</v>
      </c>
      <c r="F35" s="84">
        <f t="shared" si="41"/>
        <v>0</v>
      </c>
      <c r="G35" s="88">
        <f t="shared" si="42"/>
        <v>0</v>
      </c>
      <c r="H35" s="153">
        <f t="shared" si="43"/>
        <v>0</v>
      </c>
      <c r="I35" s="84">
        <f t="shared" si="44"/>
        <v>0</v>
      </c>
      <c r="J35" s="84">
        <f t="shared" si="45"/>
        <v>0</v>
      </c>
      <c r="K35" s="153">
        <f t="shared" si="46"/>
        <v>0</v>
      </c>
      <c r="L35" s="86">
        <f t="shared" si="11"/>
        <v>0</v>
      </c>
      <c r="M35" s="83">
        <f t="shared" si="12"/>
        <v>0</v>
      </c>
      <c r="N35" s="207">
        <f t="shared" si="13"/>
        <v>243994</v>
      </c>
      <c r="O35" s="205"/>
      <c r="P35" s="14"/>
      <c r="Q35" s="15"/>
      <c r="R35" s="14"/>
      <c r="S35" s="14"/>
      <c r="T35" s="14"/>
      <c r="U35" s="14"/>
      <c r="V35" s="179"/>
      <c r="W35" s="14"/>
      <c r="X35" s="201"/>
      <c r="Y35" s="14"/>
      <c r="Z35" s="14"/>
      <c r="AA35" s="181"/>
      <c r="AB35" s="40"/>
      <c r="AC35" s="38"/>
      <c r="AD35" s="14"/>
      <c r="AE35" s="14"/>
      <c r="AF35" s="38"/>
      <c r="AG35" s="199"/>
      <c r="AH35" s="14"/>
      <c r="AI35" s="17"/>
      <c r="AJ35" s="14"/>
      <c r="AK35" s="16"/>
      <c r="AL35" s="16"/>
      <c r="AM35" s="16"/>
    </row>
    <row r="36" spans="1:39" ht="51.75" hidden="1" x14ac:dyDescent="0.35">
      <c r="A36" s="83">
        <f t="shared" si="36"/>
        <v>0</v>
      </c>
      <c r="B36" s="84">
        <f t="shared" si="37"/>
        <v>0</v>
      </c>
      <c r="C36" s="85">
        <f t="shared" si="38"/>
        <v>0</v>
      </c>
      <c r="D36" s="84">
        <f t="shared" si="39"/>
        <v>0</v>
      </c>
      <c r="E36" s="208">
        <f t="shared" si="40"/>
        <v>0</v>
      </c>
      <c r="F36" s="84">
        <f t="shared" si="41"/>
        <v>0</v>
      </c>
      <c r="G36" s="88">
        <f t="shared" si="42"/>
        <v>0</v>
      </c>
      <c r="H36" s="153">
        <f t="shared" si="43"/>
        <v>0</v>
      </c>
      <c r="I36" s="84">
        <f t="shared" si="44"/>
        <v>0</v>
      </c>
      <c r="J36" s="84">
        <f t="shared" si="45"/>
        <v>0</v>
      </c>
      <c r="K36" s="153">
        <f t="shared" si="46"/>
        <v>0</v>
      </c>
      <c r="L36" s="86">
        <f t="shared" si="11"/>
        <v>0</v>
      </c>
      <c r="M36" s="83">
        <f t="shared" si="12"/>
        <v>0</v>
      </c>
      <c r="N36" s="207">
        <f t="shared" si="13"/>
        <v>243994</v>
      </c>
      <c r="O36" s="205"/>
      <c r="P36" s="14"/>
      <c r="Q36" s="15"/>
      <c r="R36" s="14"/>
      <c r="S36" s="14"/>
      <c r="T36" s="14"/>
      <c r="U36" s="14"/>
      <c r="V36" s="179"/>
      <c r="W36" s="14"/>
      <c r="X36" s="201"/>
      <c r="Y36" s="14"/>
      <c r="Z36" s="14"/>
      <c r="AA36" s="181"/>
      <c r="AB36" s="40"/>
      <c r="AC36" s="38"/>
      <c r="AD36" s="14"/>
      <c r="AE36" s="14"/>
      <c r="AF36" s="38"/>
      <c r="AG36" s="14"/>
      <c r="AH36" s="14"/>
      <c r="AI36" s="17"/>
      <c r="AJ36" s="14"/>
      <c r="AK36" s="16"/>
      <c r="AL36" s="16"/>
      <c r="AM36" s="16"/>
    </row>
    <row r="37" spans="1:39" ht="51.75" hidden="1" x14ac:dyDescent="0.35">
      <c r="A37" s="83">
        <f t="shared" si="36"/>
        <v>0</v>
      </c>
      <c r="B37" s="84">
        <f t="shared" si="37"/>
        <v>0</v>
      </c>
      <c r="C37" s="85">
        <f t="shared" si="38"/>
        <v>0</v>
      </c>
      <c r="D37" s="84">
        <f t="shared" si="39"/>
        <v>0</v>
      </c>
      <c r="E37" s="208">
        <f t="shared" si="40"/>
        <v>0</v>
      </c>
      <c r="F37" s="84">
        <f t="shared" si="41"/>
        <v>0</v>
      </c>
      <c r="G37" s="88">
        <f t="shared" si="42"/>
        <v>0</v>
      </c>
      <c r="H37" s="153">
        <f t="shared" si="43"/>
        <v>0</v>
      </c>
      <c r="I37" s="84">
        <f t="shared" si="44"/>
        <v>0</v>
      </c>
      <c r="J37" s="84">
        <f t="shared" si="45"/>
        <v>0</v>
      </c>
      <c r="K37" s="153">
        <f t="shared" si="46"/>
        <v>0</v>
      </c>
      <c r="L37" s="86">
        <f t="shared" si="11"/>
        <v>0</v>
      </c>
      <c r="M37" s="83">
        <f t="shared" si="12"/>
        <v>0</v>
      </c>
      <c r="N37" s="207">
        <f t="shared" si="13"/>
        <v>243994</v>
      </c>
      <c r="O37" s="205"/>
      <c r="P37" s="14"/>
      <c r="Q37" s="15"/>
      <c r="R37" s="14"/>
      <c r="S37" s="14"/>
      <c r="T37" s="14"/>
      <c r="U37" s="14"/>
      <c r="V37" s="179"/>
      <c r="W37" s="14"/>
      <c r="X37" s="201"/>
      <c r="Y37" s="14"/>
      <c r="Z37" s="14"/>
      <c r="AA37" s="181"/>
      <c r="AB37" s="40"/>
      <c r="AC37" s="38"/>
      <c r="AD37" s="14"/>
      <c r="AE37" s="14"/>
      <c r="AF37" s="38"/>
      <c r="AG37" s="14"/>
      <c r="AH37" s="14"/>
      <c r="AI37" s="17"/>
      <c r="AJ37" s="14"/>
      <c r="AK37" s="16"/>
      <c r="AL37" s="16"/>
      <c r="AM37" s="16"/>
    </row>
    <row r="38" spans="1:39" ht="51.75" hidden="1" x14ac:dyDescent="0.35">
      <c r="A38" s="83">
        <f t="shared" si="36"/>
        <v>0</v>
      </c>
      <c r="B38" s="84">
        <f t="shared" si="37"/>
        <v>0</v>
      </c>
      <c r="C38" s="85">
        <f t="shared" si="38"/>
        <v>0</v>
      </c>
      <c r="D38" s="84">
        <f t="shared" si="39"/>
        <v>0</v>
      </c>
      <c r="E38" s="208">
        <f t="shared" si="40"/>
        <v>0</v>
      </c>
      <c r="F38" s="84">
        <f t="shared" si="41"/>
        <v>0</v>
      </c>
      <c r="G38" s="88">
        <f t="shared" si="42"/>
        <v>0</v>
      </c>
      <c r="H38" s="153">
        <f t="shared" si="43"/>
        <v>0</v>
      </c>
      <c r="I38" s="84">
        <f t="shared" si="44"/>
        <v>0</v>
      </c>
      <c r="J38" s="84">
        <f t="shared" si="45"/>
        <v>0</v>
      </c>
      <c r="K38" s="153">
        <f t="shared" si="46"/>
        <v>0</v>
      </c>
      <c r="L38" s="86">
        <f t="shared" si="11"/>
        <v>0</v>
      </c>
      <c r="M38" s="83">
        <f t="shared" si="12"/>
        <v>0</v>
      </c>
      <c r="N38" s="207">
        <f t="shared" si="13"/>
        <v>243994</v>
      </c>
      <c r="O38" s="205"/>
      <c r="P38" s="14"/>
      <c r="Q38" s="15"/>
      <c r="R38" s="14"/>
      <c r="S38" s="14"/>
      <c r="T38" s="14"/>
      <c r="U38" s="14"/>
      <c r="V38" s="179"/>
      <c r="W38" s="14"/>
      <c r="X38" s="201"/>
      <c r="Y38" s="14"/>
      <c r="Z38" s="14"/>
      <c r="AA38" s="181"/>
      <c r="AB38" s="40"/>
      <c r="AC38" s="38"/>
      <c r="AD38" s="14"/>
      <c r="AE38" s="14"/>
      <c r="AF38" s="38"/>
      <c r="AG38" s="14"/>
      <c r="AH38" s="14"/>
      <c r="AI38" s="17"/>
      <c r="AJ38" s="14"/>
      <c r="AK38" s="16"/>
      <c r="AL38" s="16"/>
      <c r="AM38" s="16"/>
    </row>
    <row r="39" spans="1:39" ht="51.75" hidden="1" x14ac:dyDescent="0.35">
      <c r="A39" s="83">
        <f t="shared" si="36"/>
        <v>0</v>
      </c>
      <c r="B39" s="84">
        <f t="shared" si="37"/>
        <v>0</v>
      </c>
      <c r="C39" s="85">
        <f t="shared" si="38"/>
        <v>0</v>
      </c>
      <c r="D39" s="84">
        <f t="shared" si="39"/>
        <v>0</v>
      </c>
      <c r="E39" s="208">
        <f t="shared" si="40"/>
        <v>0</v>
      </c>
      <c r="F39" s="84">
        <f t="shared" si="41"/>
        <v>0</v>
      </c>
      <c r="G39" s="88">
        <f t="shared" si="42"/>
        <v>0</v>
      </c>
      <c r="H39" s="153">
        <f t="shared" si="43"/>
        <v>0</v>
      </c>
      <c r="I39" s="84">
        <f t="shared" si="44"/>
        <v>0</v>
      </c>
      <c r="J39" s="84">
        <f t="shared" si="45"/>
        <v>0</v>
      </c>
      <c r="K39" s="153">
        <f t="shared" si="46"/>
        <v>0</v>
      </c>
      <c r="L39" s="86">
        <f t="shared" si="11"/>
        <v>0</v>
      </c>
      <c r="M39" s="83">
        <f t="shared" si="12"/>
        <v>0</v>
      </c>
      <c r="N39" s="207">
        <f t="shared" si="13"/>
        <v>243994</v>
      </c>
      <c r="O39" s="205"/>
      <c r="P39" s="14"/>
      <c r="Q39" s="15"/>
      <c r="R39" s="14"/>
      <c r="S39" s="14"/>
      <c r="T39" s="14"/>
      <c r="U39" s="14"/>
      <c r="V39" s="179"/>
      <c r="W39" s="14"/>
      <c r="X39" s="201"/>
      <c r="Y39" s="14"/>
      <c r="Z39" s="14"/>
      <c r="AA39" s="181"/>
      <c r="AB39" s="40"/>
      <c r="AC39" s="14"/>
      <c r="AD39" s="14"/>
      <c r="AE39" s="14"/>
      <c r="AF39" s="38"/>
      <c r="AG39" s="14"/>
      <c r="AH39" s="14"/>
      <c r="AI39" s="17"/>
      <c r="AJ39" s="14"/>
      <c r="AK39" s="16"/>
      <c r="AL39" s="16"/>
      <c r="AM39" s="16"/>
    </row>
    <row r="40" spans="1:39" ht="51.75" hidden="1" x14ac:dyDescent="0.35">
      <c r="A40" s="83">
        <f t="shared" si="36"/>
        <v>0</v>
      </c>
      <c r="B40" s="84">
        <f t="shared" si="37"/>
        <v>0</v>
      </c>
      <c r="C40" s="85">
        <f t="shared" si="38"/>
        <v>0</v>
      </c>
      <c r="D40" s="84">
        <f t="shared" si="39"/>
        <v>0</v>
      </c>
      <c r="E40" s="208">
        <f t="shared" si="40"/>
        <v>0</v>
      </c>
      <c r="F40" s="84">
        <f t="shared" si="41"/>
        <v>0</v>
      </c>
      <c r="G40" s="88">
        <f t="shared" si="42"/>
        <v>0</v>
      </c>
      <c r="H40" s="153">
        <f t="shared" si="43"/>
        <v>0</v>
      </c>
      <c r="I40" s="84">
        <f t="shared" si="44"/>
        <v>0</v>
      </c>
      <c r="J40" s="84">
        <f t="shared" si="45"/>
        <v>0</v>
      </c>
      <c r="K40" s="153">
        <f t="shared" si="46"/>
        <v>0</v>
      </c>
      <c r="L40" s="86">
        <f t="shared" si="11"/>
        <v>0</v>
      </c>
      <c r="M40" s="83">
        <f t="shared" si="12"/>
        <v>0</v>
      </c>
      <c r="N40" s="207">
        <f t="shared" si="13"/>
        <v>243994</v>
      </c>
      <c r="O40" s="205"/>
      <c r="P40" s="14"/>
      <c r="Q40" s="15"/>
      <c r="R40" s="14"/>
      <c r="S40" s="14"/>
      <c r="T40" s="14"/>
      <c r="U40" s="14"/>
      <c r="V40" s="179"/>
      <c r="W40" s="14"/>
      <c r="X40" s="201"/>
      <c r="Y40" s="14"/>
      <c r="Z40" s="14"/>
      <c r="AA40" s="181"/>
      <c r="AB40" s="40"/>
      <c r="AC40" s="14"/>
      <c r="AD40" s="14"/>
      <c r="AE40" s="14"/>
      <c r="AF40" s="38"/>
      <c r="AG40" s="17"/>
      <c r="AH40" s="14"/>
      <c r="AI40" s="17"/>
      <c r="AJ40" s="14"/>
      <c r="AK40" s="16"/>
      <c r="AL40" s="16"/>
      <c r="AM40" s="16"/>
    </row>
    <row r="41" spans="1:39" ht="51.75" hidden="1" x14ac:dyDescent="0.35">
      <c r="A41" s="83">
        <f t="shared" si="36"/>
        <v>0</v>
      </c>
      <c r="B41" s="84">
        <f t="shared" si="37"/>
        <v>0</v>
      </c>
      <c r="C41" s="85">
        <f t="shared" si="38"/>
        <v>0</v>
      </c>
      <c r="D41" s="84">
        <f t="shared" si="39"/>
        <v>0</v>
      </c>
      <c r="E41" s="208">
        <f t="shared" si="40"/>
        <v>0</v>
      </c>
      <c r="F41" s="84">
        <f t="shared" si="41"/>
        <v>0</v>
      </c>
      <c r="G41" s="88">
        <f t="shared" si="42"/>
        <v>0</v>
      </c>
      <c r="H41" s="153">
        <f t="shared" si="43"/>
        <v>0</v>
      </c>
      <c r="I41" s="84">
        <f t="shared" si="44"/>
        <v>0</v>
      </c>
      <c r="J41" s="84">
        <f t="shared" si="45"/>
        <v>0</v>
      </c>
      <c r="K41" s="153">
        <f t="shared" si="46"/>
        <v>0</v>
      </c>
      <c r="L41" s="86">
        <f t="shared" si="11"/>
        <v>0</v>
      </c>
      <c r="M41" s="83">
        <f t="shared" si="12"/>
        <v>0</v>
      </c>
      <c r="N41" s="207">
        <f t="shared" si="13"/>
        <v>243994</v>
      </c>
      <c r="O41" s="205"/>
      <c r="P41" s="14"/>
      <c r="Q41" s="15"/>
      <c r="R41" s="14"/>
      <c r="S41" s="14"/>
      <c r="T41" s="14"/>
      <c r="U41" s="14"/>
      <c r="V41" s="179"/>
      <c r="W41" s="14"/>
      <c r="X41" s="201"/>
      <c r="Y41" s="14"/>
      <c r="Z41" s="14"/>
      <c r="AA41" s="181"/>
      <c r="AB41" s="40"/>
      <c r="AC41" s="14"/>
      <c r="AD41" s="14"/>
      <c r="AE41" s="14"/>
      <c r="AF41" s="38"/>
      <c r="AG41" s="17"/>
      <c r="AH41" s="14"/>
      <c r="AI41" s="17"/>
      <c r="AJ41" s="14"/>
      <c r="AK41" s="16"/>
      <c r="AL41" s="16"/>
      <c r="AM41" s="16"/>
    </row>
    <row r="42" spans="1:39" ht="51.75" hidden="1" x14ac:dyDescent="0.35">
      <c r="A42" s="83">
        <f t="shared" si="36"/>
        <v>0</v>
      </c>
      <c r="B42" s="84">
        <f t="shared" si="37"/>
        <v>0</v>
      </c>
      <c r="C42" s="85">
        <f t="shared" si="38"/>
        <v>0</v>
      </c>
      <c r="D42" s="84">
        <f t="shared" si="39"/>
        <v>0</v>
      </c>
      <c r="E42" s="208">
        <f t="shared" si="40"/>
        <v>0</v>
      </c>
      <c r="F42" s="84">
        <f t="shared" si="41"/>
        <v>0</v>
      </c>
      <c r="G42" s="88">
        <f t="shared" si="42"/>
        <v>0</v>
      </c>
      <c r="H42" s="153">
        <f t="shared" si="43"/>
        <v>0</v>
      </c>
      <c r="I42" s="84">
        <f t="shared" si="44"/>
        <v>0</v>
      </c>
      <c r="J42" s="84">
        <f t="shared" si="45"/>
        <v>0</v>
      </c>
      <c r="K42" s="153">
        <f t="shared" si="46"/>
        <v>0</v>
      </c>
      <c r="L42" s="86">
        <f t="shared" si="11"/>
        <v>0</v>
      </c>
      <c r="M42" s="83">
        <f t="shared" si="12"/>
        <v>0</v>
      </c>
      <c r="N42" s="207">
        <f t="shared" si="13"/>
        <v>243994</v>
      </c>
      <c r="O42" s="205"/>
      <c r="P42" s="14"/>
      <c r="Q42" s="15"/>
      <c r="R42" s="14"/>
      <c r="S42" s="14"/>
      <c r="T42" s="14"/>
      <c r="U42" s="14"/>
      <c r="V42" s="179"/>
      <c r="W42" s="14"/>
      <c r="X42" s="201"/>
      <c r="Y42" s="14"/>
      <c r="Z42" s="14"/>
      <c r="AA42" s="181"/>
      <c r="AB42" s="40"/>
      <c r="AC42" s="14"/>
      <c r="AD42" s="14"/>
      <c r="AE42" s="14"/>
      <c r="AF42" s="14"/>
      <c r="AG42" s="14"/>
      <c r="AH42" s="14"/>
      <c r="AI42" s="17"/>
      <c r="AJ42" s="14"/>
      <c r="AK42" s="16"/>
      <c r="AL42" s="16"/>
      <c r="AM42" s="16"/>
    </row>
    <row r="43" spans="1:39" ht="51.75" hidden="1" x14ac:dyDescent="0.35">
      <c r="A43" s="83">
        <f t="shared" si="36"/>
        <v>0</v>
      </c>
      <c r="B43" s="84">
        <f t="shared" si="37"/>
        <v>0</v>
      </c>
      <c r="C43" s="85">
        <f t="shared" si="38"/>
        <v>0</v>
      </c>
      <c r="D43" s="84">
        <f t="shared" si="39"/>
        <v>0</v>
      </c>
      <c r="E43" s="208">
        <f t="shared" si="40"/>
        <v>0</v>
      </c>
      <c r="F43" s="84">
        <f t="shared" si="41"/>
        <v>0</v>
      </c>
      <c r="G43" s="88">
        <f t="shared" si="42"/>
        <v>0</v>
      </c>
      <c r="H43" s="153">
        <f t="shared" si="43"/>
        <v>0</v>
      </c>
      <c r="I43" s="84">
        <f t="shared" si="44"/>
        <v>0</v>
      </c>
      <c r="J43" s="84">
        <f t="shared" si="45"/>
        <v>0</v>
      </c>
      <c r="K43" s="153">
        <f t="shared" si="46"/>
        <v>0</v>
      </c>
      <c r="L43" s="86">
        <f t="shared" si="11"/>
        <v>0</v>
      </c>
      <c r="M43" s="83">
        <f t="shared" si="12"/>
        <v>0</v>
      </c>
      <c r="N43" s="207">
        <f t="shared" si="13"/>
        <v>243994</v>
      </c>
      <c r="O43" s="205"/>
      <c r="P43" s="14"/>
      <c r="Q43" s="15"/>
      <c r="R43" s="14"/>
      <c r="S43" s="14"/>
      <c r="T43" s="14"/>
      <c r="U43" s="14"/>
      <c r="V43" s="179"/>
      <c r="W43" s="14"/>
      <c r="X43" s="201"/>
      <c r="Y43" s="14"/>
      <c r="Z43" s="14"/>
      <c r="AA43" s="181"/>
      <c r="AB43" s="40"/>
      <c r="AC43" s="14"/>
      <c r="AD43" s="14"/>
      <c r="AE43" s="14"/>
      <c r="AF43" s="38"/>
      <c r="AG43" s="17"/>
      <c r="AH43" s="14"/>
      <c r="AI43" s="17"/>
      <c r="AJ43" s="14"/>
      <c r="AK43" s="16"/>
      <c r="AL43" s="16"/>
      <c r="AM43" s="16"/>
    </row>
    <row r="44" spans="1:39" ht="51.75" hidden="1" x14ac:dyDescent="0.35">
      <c r="A44" s="83">
        <f t="shared" si="36"/>
        <v>0</v>
      </c>
      <c r="B44" s="84">
        <f t="shared" si="37"/>
        <v>0</v>
      </c>
      <c r="C44" s="85">
        <f t="shared" si="38"/>
        <v>0</v>
      </c>
      <c r="D44" s="84">
        <f t="shared" si="39"/>
        <v>0</v>
      </c>
      <c r="E44" s="208">
        <f t="shared" si="40"/>
        <v>0</v>
      </c>
      <c r="F44" s="84">
        <f t="shared" si="41"/>
        <v>0</v>
      </c>
      <c r="G44" s="88">
        <f t="shared" si="42"/>
        <v>0</v>
      </c>
      <c r="H44" s="153">
        <f t="shared" si="43"/>
        <v>0</v>
      </c>
      <c r="I44" s="84">
        <f t="shared" si="44"/>
        <v>0</v>
      </c>
      <c r="J44" s="84">
        <f t="shared" si="45"/>
        <v>0</v>
      </c>
      <c r="K44" s="153">
        <f t="shared" si="46"/>
        <v>0</v>
      </c>
      <c r="L44" s="86">
        <f t="shared" si="11"/>
        <v>0</v>
      </c>
      <c r="M44" s="83">
        <f t="shared" si="12"/>
        <v>0</v>
      </c>
      <c r="N44" s="207">
        <f t="shared" si="13"/>
        <v>243994</v>
      </c>
      <c r="O44" s="205"/>
      <c r="P44" s="14"/>
      <c r="Q44" s="15"/>
      <c r="R44" s="14"/>
      <c r="S44" s="14"/>
      <c r="T44" s="14"/>
      <c r="U44" s="14"/>
      <c r="V44" s="179"/>
      <c r="W44" s="14"/>
      <c r="X44" s="201"/>
      <c r="Y44" s="14"/>
      <c r="Z44" s="14"/>
      <c r="AA44" s="181"/>
      <c r="AB44" s="40"/>
      <c r="AC44" s="74"/>
      <c r="AD44" s="14"/>
      <c r="AE44" s="14"/>
      <c r="AF44" s="14"/>
      <c r="AG44" s="17"/>
      <c r="AH44" s="14"/>
      <c r="AI44" s="17"/>
      <c r="AJ44" s="14"/>
      <c r="AK44" s="16"/>
      <c r="AL44" s="16"/>
      <c r="AM44" s="16"/>
    </row>
    <row r="45" spans="1:39" ht="51.75" hidden="1" x14ac:dyDescent="0.35">
      <c r="A45" s="83">
        <f t="shared" si="36"/>
        <v>0</v>
      </c>
      <c r="B45" s="84">
        <f t="shared" si="37"/>
        <v>0</v>
      </c>
      <c r="C45" s="85">
        <f t="shared" si="38"/>
        <v>0</v>
      </c>
      <c r="D45" s="84">
        <f t="shared" si="39"/>
        <v>0</v>
      </c>
      <c r="E45" s="208">
        <f t="shared" si="40"/>
        <v>0</v>
      </c>
      <c r="F45" s="84">
        <f t="shared" si="41"/>
        <v>0</v>
      </c>
      <c r="G45" s="88">
        <f t="shared" si="42"/>
        <v>0</v>
      </c>
      <c r="H45" s="153">
        <f t="shared" si="43"/>
        <v>0</v>
      </c>
      <c r="I45" s="84">
        <f t="shared" si="44"/>
        <v>0</v>
      </c>
      <c r="J45" s="84">
        <f t="shared" si="45"/>
        <v>0</v>
      </c>
      <c r="K45" s="153">
        <f t="shared" si="46"/>
        <v>0</v>
      </c>
      <c r="L45" s="86">
        <f t="shared" si="11"/>
        <v>0</v>
      </c>
      <c r="M45" s="83">
        <f t="shared" si="12"/>
        <v>0</v>
      </c>
      <c r="N45" s="207">
        <f t="shared" si="13"/>
        <v>243994</v>
      </c>
      <c r="O45" s="205"/>
      <c r="P45" s="14"/>
      <c r="Q45" s="15"/>
      <c r="R45" s="14"/>
      <c r="S45" s="14"/>
      <c r="T45" s="14"/>
      <c r="U45" s="14"/>
      <c r="V45" s="179"/>
      <c r="W45" s="14"/>
      <c r="X45" s="14"/>
      <c r="Y45" s="14"/>
      <c r="Z45" s="14"/>
      <c r="AA45" s="181"/>
      <c r="AB45" s="40"/>
      <c r="AC45" s="74"/>
      <c r="AD45" s="14"/>
      <c r="AE45" s="14"/>
      <c r="AF45" s="38"/>
      <c r="AG45" s="14"/>
      <c r="AH45" s="14"/>
      <c r="AI45" s="17"/>
      <c r="AJ45" s="14"/>
      <c r="AK45" s="16"/>
      <c r="AL45" s="16"/>
      <c r="AM45" s="16"/>
    </row>
    <row r="46" spans="1:39" ht="51.75" hidden="1" x14ac:dyDescent="0.35">
      <c r="A46" s="83">
        <f t="shared" si="36"/>
        <v>0</v>
      </c>
      <c r="B46" s="84">
        <f t="shared" si="37"/>
        <v>0</v>
      </c>
      <c r="C46" s="85">
        <f t="shared" si="38"/>
        <v>0</v>
      </c>
      <c r="D46" s="84">
        <f t="shared" si="39"/>
        <v>0</v>
      </c>
      <c r="E46" s="208">
        <f t="shared" si="40"/>
        <v>0</v>
      </c>
      <c r="F46" s="84">
        <f t="shared" si="41"/>
        <v>0</v>
      </c>
      <c r="G46" s="88">
        <f t="shared" si="42"/>
        <v>0</v>
      </c>
      <c r="H46" s="153">
        <f t="shared" si="43"/>
        <v>0</v>
      </c>
      <c r="I46" s="84">
        <f t="shared" si="44"/>
        <v>0</v>
      </c>
      <c r="J46" s="84">
        <f t="shared" si="45"/>
        <v>0</v>
      </c>
      <c r="K46" s="153">
        <f t="shared" si="46"/>
        <v>0</v>
      </c>
      <c r="L46" s="86">
        <f t="shared" si="11"/>
        <v>0</v>
      </c>
      <c r="M46" s="83">
        <f t="shared" si="12"/>
        <v>0</v>
      </c>
      <c r="N46" s="207">
        <f t="shared" si="13"/>
        <v>243994</v>
      </c>
      <c r="O46" s="205"/>
      <c r="P46" s="14"/>
      <c r="Q46" s="15"/>
      <c r="R46" s="14"/>
      <c r="S46" s="14"/>
      <c r="T46" s="14"/>
      <c r="U46" s="14"/>
      <c r="V46" s="179"/>
      <c r="W46" s="14"/>
      <c r="X46" s="201"/>
      <c r="Y46" s="14"/>
      <c r="Z46" s="14"/>
      <c r="AA46" s="181"/>
      <c r="AB46" s="40"/>
      <c r="AC46" s="14"/>
      <c r="AD46" s="14"/>
      <c r="AE46" s="14"/>
      <c r="AF46" s="38"/>
      <c r="AG46" s="14"/>
      <c r="AH46" s="14"/>
      <c r="AI46" s="17"/>
      <c r="AJ46" s="14"/>
      <c r="AK46" s="16"/>
      <c r="AL46" s="16"/>
      <c r="AM46" s="16"/>
    </row>
    <row r="47" spans="1:39" ht="51.75" hidden="1" x14ac:dyDescent="0.35">
      <c r="A47" s="83">
        <f t="shared" si="36"/>
        <v>0</v>
      </c>
      <c r="B47" s="84">
        <f t="shared" si="37"/>
        <v>0</v>
      </c>
      <c r="C47" s="85">
        <f t="shared" si="38"/>
        <v>0</v>
      </c>
      <c r="D47" s="84">
        <f t="shared" si="39"/>
        <v>0</v>
      </c>
      <c r="E47" s="208">
        <f t="shared" si="40"/>
        <v>0</v>
      </c>
      <c r="F47" s="84">
        <f t="shared" si="41"/>
        <v>0</v>
      </c>
      <c r="G47" s="88">
        <f t="shared" si="42"/>
        <v>0</v>
      </c>
      <c r="H47" s="153">
        <f t="shared" si="43"/>
        <v>0</v>
      </c>
      <c r="I47" s="84">
        <f t="shared" si="44"/>
        <v>0</v>
      </c>
      <c r="J47" s="84">
        <f t="shared" si="45"/>
        <v>0</v>
      </c>
      <c r="K47" s="153">
        <f t="shared" si="46"/>
        <v>0</v>
      </c>
      <c r="L47" s="86">
        <f t="shared" si="11"/>
        <v>0</v>
      </c>
      <c r="M47" s="83">
        <f t="shared" si="12"/>
        <v>0</v>
      </c>
      <c r="N47" s="207">
        <f t="shared" si="13"/>
        <v>243994</v>
      </c>
      <c r="O47" s="205"/>
      <c r="P47" s="14"/>
      <c r="Q47" s="15"/>
      <c r="R47" s="14"/>
      <c r="S47" s="14"/>
      <c r="T47" s="14"/>
      <c r="U47" s="14"/>
      <c r="V47" s="179"/>
      <c r="W47" s="14"/>
      <c r="X47" s="201"/>
      <c r="Y47" s="14"/>
      <c r="Z47" s="14"/>
      <c r="AA47" s="181"/>
      <c r="AB47" s="40"/>
      <c r="AC47" s="38"/>
      <c r="AD47" s="14"/>
      <c r="AE47" s="14"/>
      <c r="AF47" s="38"/>
      <c r="AG47" s="17"/>
      <c r="AH47" s="14"/>
      <c r="AI47" s="17"/>
      <c r="AJ47" s="14"/>
      <c r="AK47" s="16"/>
      <c r="AL47" s="16"/>
      <c r="AM47" s="16"/>
    </row>
    <row r="48" spans="1:39" ht="51.75" hidden="1" x14ac:dyDescent="0.35">
      <c r="A48" s="83">
        <f t="shared" si="36"/>
        <v>0</v>
      </c>
      <c r="B48" s="84">
        <f t="shared" si="37"/>
        <v>0</v>
      </c>
      <c r="C48" s="85">
        <f t="shared" si="38"/>
        <v>0</v>
      </c>
      <c r="D48" s="84">
        <f t="shared" si="39"/>
        <v>0</v>
      </c>
      <c r="E48" s="208">
        <f t="shared" si="40"/>
        <v>0</v>
      </c>
      <c r="F48" s="84">
        <f t="shared" si="41"/>
        <v>0</v>
      </c>
      <c r="G48" s="88">
        <f t="shared" si="42"/>
        <v>0</v>
      </c>
      <c r="H48" s="153">
        <f t="shared" si="43"/>
        <v>0</v>
      </c>
      <c r="I48" s="84">
        <f t="shared" si="44"/>
        <v>0</v>
      </c>
      <c r="J48" s="84">
        <f t="shared" si="45"/>
        <v>0</v>
      </c>
      <c r="K48" s="153">
        <f t="shared" si="46"/>
        <v>0</v>
      </c>
      <c r="L48" s="86">
        <f t="shared" si="11"/>
        <v>0</v>
      </c>
      <c r="M48" s="83">
        <f t="shared" si="12"/>
        <v>0</v>
      </c>
      <c r="N48" s="207">
        <f t="shared" si="13"/>
        <v>243994</v>
      </c>
      <c r="O48" s="205"/>
      <c r="P48" s="14"/>
      <c r="Q48" s="15"/>
      <c r="R48" s="14"/>
      <c r="S48" s="14"/>
      <c r="T48" s="14"/>
      <c r="U48" s="14"/>
      <c r="V48" s="179"/>
      <c r="W48" s="14"/>
      <c r="X48" s="201"/>
      <c r="Y48" s="14"/>
      <c r="Z48" s="14"/>
      <c r="AA48" s="181"/>
      <c r="AB48" s="40"/>
      <c r="AC48" s="38"/>
      <c r="AD48" s="14"/>
      <c r="AE48" s="14"/>
      <c r="AF48" s="38"/>
      <c r="AG48" s="17"/>
      <c r="AH48" s="14"/>
      <c r="AI48" s="17"/>
      <c r="AJ48" s="14"/>
      <c r="AK48" s="16"/>
      <c r="AL48" s="16"/>
      <c r="AM48" s="16"/>
    </row>
    <row r="49" spans="1:39" ht="92.25" hidden="1" customHeight="1" x14ac:dyDescent="0.35">
      <c r="A49" s="83">
        <f t="shared" si="36"/>
        <v>0</v>
      </c>
      <c r="B49" s="84">
        <f t="shared" si="37"/>
        <v>0</v>
      </c>
      <c r="C49" s="85">
        <f t="shared" si="38"/>
        <v>0</v>
      </c>
      <c r="D49" s="84">
        <f t="shared" si="39"/>
        <v>0</v>
      </c>
      <c r="E49" s="208">
        <f t="shared" si="40"/>
        <v>0</v>
      </c>
      <c r="F49" s="84">
        <f t="shared" si="41"/>
        <v>0</v>
      </c>
      <c r="G49" s="88">
        <f t="shared" si="42"/>
        <v>0</v>
      </c>
      <c r="H49" s="153">
        <f t="shared" si="43"/>
        <v>0</v>
      </c>
      <c r="I49" s="84">
        <f t="shared" si="44"/>
        <v>0</v>
      </c>
      <c r="J49" s="84">
        <f t="shared" si="45"/>
        <v>0</v>
      </c>
      <c r="K49" s="153">
        <f t="shared" si="46"/>
        <v>0</v>
      </c>
      <c r="L49" s="86">
        <f t="shared" si="11"/>
        <v>0</v>
      </c>
      <c r="M49" s="83">
        <f t="shared" si="12"/>
        <v>0</v>
      </c>
      <c r="N49" s="207">
        <f t="shared" si="13"/>
        <v>243994</v>
      </c>
      <c r="O49" s="205"/>
      <c r="P49" s="14"/>
      <c r="Q49" s="15"/>
      <c r="R49" s="14"/>
      <c r="S49" s="14"/>
      <c r="T49" s="14"/>
      <c r="U49" s="14"/>
      <c r="V49" s="179"/>
      <c r="W49" s="14"/>
      <c r="X49" s="203"/>
      <c r="Y49" s="14"/>
      <c r="Z49" s="14"/>
      <c r="AA49" s="181"/>
      <c r="AB49" s="40"/>
      <c r="AC49" s="38"/>
      <c r="AD49" s="38"/>
      <c r="AE49" s="14"/>
      <c r="AF49" s="38"/>
      <c r="AG49" s="14"/>
      <c r="AH49" s="14"/>
      <c r="AI49" s="17"/>
      <c r="AJ49" s="14"/>
      <c r="AK49" s="16"/>
      <c r="AL49" s="16"/>
      <c r="AM49" s="16"/>
    </row>
    <row r="50" spans="1:39" ht="51.75" hidden="1" x14ac:dyDescent="0.35">
      <c r="A50" s="83">
        <f t="shared" si="36"/>
        <v>0</v>
      </c>
      <c r="B50" s="84">
        <f t="shared" si="37"/>
        <v>0</v>
      </c>
      <c r="C50" s="85">
        <f t="shared" si="38"/>
        <v>0</v>
      </c>
      <c r="D50" s="84">
        <f t="shared" si="39"/>
        <v>0</v>
      </c>
      <c r="E50" s="208">
        <f t="shared" si="40"/>
        <v>0</v>
      </c>
      <c r="F50" s="84">
        <f t="shared" si="41"/>
        <v>0</v>
      </c>
      <c r="G50" s="88">
        <f t="shared" si="42"/>
        <v>0</v>
      </c>
      <c r="H50" s="153">
        <f t="shared" si="43"/>
        <v>0</v>
      </c>
      <c r="I50" s="84">
        <f t="shared" si="44"/>
        <v>0</v>
      </c>
      <c r="J50" s="84">
        <f t="shared" si="45"/>
        <v>0</v>
      </c>
      <c r="K50" s="153">
        <f t="shared" si="46"/>
        <v>0</v>
      </c>
      <c r="L50" s="86">
        <f t="shared" si="11"/>
        <v>0</v>
      </c>
      <c r="M50" s="83">
        <f t="shared" si="12"/>
        <v>0</v>
      </c>
      <c r="N50" s="207">
        <f t="shared" si="13"/>
        <v>243994</v>
      </c>
      <c r="O50" s="205"/>
      <c r="P50" s="14"/>
      <c r="Q50" s="15"/>
      <c r="R50" s="14"/>
      <c r="S50" s="14"/>
      <c r="T50" s="14"/>
      <c r="U50" s="14"/>
      <c r="V50" s="179"/>
      <c r="W50" s="14"/>
      <c r="X50" s="201"/>
      <c r="Y50" s="14"/>
      <c r="Z50" s="14"/>
      <c r="AA50" s="181"/>
      <c r="AB50" s="40"/>
      <c r="AC50" s="14"/>
      <c r="AD50" s="14"/>
      <c r="AE50" s="172"/>
      <c r="AF50" s="38"/>
      <c r="AG50" s="14"/>
      <c r="AH50" s="14"/>
      <c r="AI50" s="17"/>
      <c r="AJ50" s="14"/>
      <c r="AK50" s="16"/>
      <c r="AL50" s="16"/>
      <c r="AM50" s="16"/>
    </row>
    <row r="51" spans="1:39" ht="51.75" hidden="1" x14ac:dyDescent="0.35">
      <c r="A51" s="83">
        <f t="shared" si="36"/>
        <v>0</v>
      </c>
      <c r="B51" s="84">
        <f t="shared" si="37"/>
        <v>0</v>
      </c>
      <c r="C51" s="85">
        <f t="shared" si="38"/>
        <v>0</v>
      </c>
      <c r="D51" s="84">
        <f t="shared" si="39"/>
        <v>0</v>
      </c>
      <c r="E51" s="208">
        <f t="shared" si="40"/>
        <v>0</v>
      </c>
      <c r="F51" s="84">
        <f t="shared" si="41"/>
        <v>0</v>
      </c>
      <c r="G51" s="88">
        <f t="shared" si="42"/>
        <v>0</v>
      </c>
      <c r="H51" s="153">
        <f t="shared" si="43"/>
        <v>0</v>
      </c>
      <c r="I51" s="84">
        <f t="shared" si="44"/>
        <v>0</v>
      </c>
      <c r="J51" s="84">
        <f t="shared" si="45"/>
        <v>0</v>
      </c>
      <c r="K51" s="153">
        <f t="shared" si="46"/>
        <v>0</v>
      </c>
      <c r="L51" s="86">
        <f t="shared" si="11"/>
        <v>0</v>
      </c>
      <c r="M51" s="83">
        <f t="shared" si="12"/>
        <v>0</v>
      </c>
      <c r="N51" s="207">
        <f t="shared" si="13"/>
        <v>243994</v>
      </c>
      <c r="O51" s="205"/>
      <c r="P51" s="14"/>
      <c r="Q51" s="15"/>
      <c r="R51" s="14"/>
      <c r="S51" s="14"/>
      <c r="T51" s="14"/>
      <c r="U51" s="14"/>
      <c r="V51" s="179"/>
      <c r="W51" s="14"/>
      <c r="X51" s="201"/>
      <c r="Y51" s="14"/>
      <c r="Z51" s="14"/>
      <c r="AA51" s="181"/>
      <c r="AB51" s="40"/>
      <c r="AC51" s="172"/>
      <c r="AD51" s="14"/>
      <c r="AE51" s="14"/>
      <c r="AF51" s="38"/>
      <c r="AG51" s="14"/>
      <c r="AH51" s="14"/>
      <c r="AI51" s="17"/>
      <c r="AJ51" s="14"/>
      <c r="AK51" s="16"/>
      <c r="AL51" s="16"/>
      <c r="AM51" s="16"/>
    </row>
    <row r="52" spans="1:39" ht="36" hidden="1" customHeight="1" x14ac:dyDescent="0.35">
      <c r="A52" s="83">
        <f t="shared" si="36"/>
        <v>0</v>
      </c>
      <c r="B52" s="84">
        <f t="shared" si="37"/>
        <v>0</v>
      </c>
      <c r="C52" s="85">
        <f t="shared" si="38"/>
        <v>0</v>
      </c>
      <c r="D52" s="84">
        <f t="shared" si="39"/>
        <v>0</v>
      </c>
      <c r="E52" s="208">
        <f t="shared" si="40"/>
        <v>0</v>
      </c>
      <c r="F52" s="84">
        <f t="shared" si="41"/>
        <v>0</v>
      </c>
      <c r="G52" s="88">
        <f t="shared" si="42"/>
        <v>0</v>
      </c>
      <c r="H52" s="153">
        <f t="shared" si="43"/>
        <v>0</v>
      </c>
      <c r="I52" s="84">
        <f t="shared" si="44"/>
        <v>0</v>
      </c>
      <c r="J52" s="84">
        <f t="shared" si="45"/>
        <v>0</v>
      </c>
      <c r="K52" s="153">
        <f t="shared" si="46"/>
        <v>0</v>
      </c>
      <c r="L52" s="86">
        <f t="shared" si="11"/>
        <v>0</v>
      </c>
      <c r="M52" s="83">
        <f t="shared" si="12"/>
        <v>0</v>
      </c>
      <c r="N52" s="207">
        <f t="shared" si="13"/>
        <v>243994</v>
      </c>
      <c r="O52" s="205"/>
      <c r="P52" s="14"/>
      <c r="Q52" s="15"/>
      <c r="R52" s="14"/>
      <c r="S52" s="14"/>
      <c r="T52" s="14"/>
      <c r="U52" s="14"/>
      <c r="V52" s="179"/>
      <c r="W52" s="14"/>
      <c r="X52" s="201"/>
      <c r="Y52" s="14"/>
      <c r="Z52" s="14"/>
      <c r="AA52" s="181"/>
      <c r="AB52" s="40"/>
      <c r="AC52" s="14"/>
      <c r="AD52" s="14"/>
      <c r="AE52" s="14"/>
      <c r="AF52" s="38"/>
      <c r="AG52" s="14"/>
      <c r="AH52" s="14"/>
      <c r="AI52" s="17"/>
      <c r="AJ52" s="14"/>
      <c r="AK52" s="16"/>
      <c r="AL52" s="16"/>
      <c r="AM52" s="16"/>
    </row>
    <row r="53" spans="1:39" ht="36" hidden="1" customHeight="1" x14ac:dyDescent="0.2">
      <c r="A53" s="83">
        <f t="shared" si="36"/>
        <v>0</v>
      </c>
      <c r="B53" s="84">
        <f t="shared" si="37"/>
        <v>0</v>
      </c>
      <c r="C53" s="85">
        <f t="shared" si="38"/>
        <v>0</v>
      </c>
      <c r="D53" s="84">
        <f t="shared" si="39"/>
        <v>0</v>
      </c>
      <c r="E53" s="208">
        <f t="shared" si="40"/>
        <v>0</v>
      </c>
      <c r="F53" s="84">
        <f t="shared" si="41"/>
        <v>0</v>
      </c>
      <c r="G53" s="88">
        <f t="shared" si="42"/>
        <v>0</v>
      </c>
      <c r="H53" s="153">
        <f t="shared" si="43"/>
        <v>0</v>
      </c>
      <c r="I53" s="84">
        <f t="shared" si="44"/>
        <v>0</v>
      </c>
      <c r="J53" s="84">
        <f t="shared" si="45"/>
        <v>0</v>
      </c>
      <c r="K53" s="153">
        <f t="shared" si="46"/>
        <v>0</v>
      </c>
      <c r="L53" s="86">
        <f t="shared" si="11"/>
        <v>0</v>
      </c>
      <c r="M53" s="83">
        <f t="shared" si="12"/>
        <v>0</v>
      </c>
      <c r="N53" s="207">
        <f t="shared" si="13"/>
        <v>243994</v>
      </c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</row>
    <row r="54" spans="1:39" ht="51.75" hidden="1" x14ac:dyDescent="0.2">
      <c r="A54" s="83">
        <f t="shared" si="36"/>
        <v>0</v>
      </c>
      <c r="B54" s="84">
        <f t="shared" si="37"/>
        <v>0</v>
      </c>
      <c r="C54" s="85">
        <f t="shared" si="38"/>
        <v>0</v>
      </c>
      <c r="D54" s="84">
        <f t="shared" si="39"/>
        <v>0</v>
      </c>
      <c r="E54" s="208">
        <f t="shared" si="40"/>
        <v>0</v>
      </c>
      <c r="F54" s="84">
        <f t="shared" si="41"/>
        <v>0</v>
      </c>
      <c r="G54" s="88">
        <f t="shared" si="42"/>
        <v>0</v>
      </c>
      <c r="H54" s="153">
        <f t="shared" si="43"/>
        <v>0</v>
      </c>
      <c r="I54" s="84">
        <f t="shared" si="44"/>
        <v>0</v>
      </c>
      <c r="J54" s="84">
        <f t="shared" si="45"/>
        <v>0</v>
      </c>
      <c r="K54" s="153">
        <f t="shared" si="46"/>
        <v>0</v>
      </c>
      <c r="L54" s="86">
        <f t="shared" si="11"/>
        <v>0</v>
      </c>
      <c r="M54" s="83">
        <f t="shared" si="12"/>
        <v>0</v>
      </c>
      <c r="N54" s="207">
        <f t="shared" si="13"/>
        <v>243994</v>
      </c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</row>
    <row r="55" spans="1:39" ht="51.75" hidden="1" x14ac:dyDescent="0.2">
      <c r="A55" s="83">
        <f t="shared" si="36"/>
        <v>0</v>
      </c>
      <c r="B55" s="84">
        <f t="shared" si="37"/>
        <v>0</v>
      </c>
      <c r="C55" s="85">
        <f t="shared" si="38"/>
        <v>0</v>
      </c>
      <c r="D55" s="84">
        <f t="shared" si="39"/>
        <v>0</v>
      </c>
      <c r="E55" s="208">
        <f t="shared" si="40"/>
        <v>0</v>
      </c>
      <c r="F55" s="84">
        <f t="shared" si="41"/>
        <v>0</v>
      </c>
      <c r="G55" s="88">
        <f t="shared" si="42"/>
        <v>0</v>
      </c>
      <c r="H55" s="153">
        <f t="shared" si="43"/>
        <v>0</v>
      </c>
      <c r="I55" s="84">
        <f t="shared" si="44"/>
        <v>0</v>
      </c>
      <c r="J55" s="84">
        <f t="shared" si="45"/>
        <v>0</v>
      </c>
      <c r="K55" s="153">
        <f t="shared" si="46"/>
        <v>0</v>
      </c>
      <c r="L55" s="86">
        <f t="shared" si="11"/>
        <v>0</v>
      </c>
      <c r="M55" s="83">
        <f t="shared" si="12"/>
        <v>0</v>
      </c>
      <c r="N55" s="207">
        <f t="shared" si="13"/>
        <v>243994</v>
      </c>
    </row>
    <row r="56" spans="1:39" ht="51.75" hidden="1" x14ac:dyDescent="0.2">
      <c r="A56" s="83">
        <f t="shared" ref="A56:A60" si="47">Q56</f>
        <v>0</v>
      </c>
      <c r="B56" s="84">
        <f t="shared" ref="B56:B60" si="48">V56</f>
        <v>0</v>
      </c>
      <c r="C56" s="85">
        <f t="shared" ref="C56:C60" si="49">W56</f>
        <v>0</v>
      </c>
      <c r="D56" s="84">
        <f t="shared" ref="D56:D60" si="50">Z56</f>
        <v>0</v>
      </c>
      <c r="E56" s="208">
        <f t="shared" ref="E56:E60" si="51">V56</f>
        <v>0</v>
      </c>
      <c r="F56" s="84">
        <f t="shared" ref="F56:F60" si="52">AA56</f>
        <v>0</v>
      </c>
      <c r="G56" s="88">
        <f t="shared" ref="G56:G60" si="53">AB56</f>
        <v>0</v>
      </c>
      <c r="H56" s="153">
        <f t="shared" ref="H56:H60" si="54">AC56</f>
        <v>0</v>
      </c>
      <c r="I56" s="84">
        <f t="shared" ref="I56:I60" si="55">AF56</f>
        <v>0</v>
      </c>
      <c r="J56" s="84">
        <f t="shared" ref="J56:J60" si="56">AG56</f>
        <v>0</v>
      </c>
      <c r="K56" s="153">
        <f t="shared" ref="K56:K60" si="57">AD56</f>
        <v>0</v>
      </c>
      <c r="L56" s="86">
        <f t="shared" si="11"/>
        <v>0</v>
      </c>
      <c r="M56" s="83">
        <f t="shared" si="12"/>
        <v>0</v>
      </c>
      <c r="N56" s="207">
        <f t="shared" si="13"/>
        <v>243994</v>
      </c>
    </row>
    <row r="57" spans="1:39" ht="51.75" hidden="1" x14ac:dyDescent="0.2">
      <c r="A57" s="83">
        <f t="shared" si="47"/>
        <v>0</v>
      </c>
      <c r="B57" s="84">
        <f t="shared" si="48"/>
        <v>0</v>
      </c>
      <c r="C57" s="85">
        <f t="shared" si="49"/>
        <v>0</v>
      </c>
      <c r="D57" s="84">
        <f t="shared" si="50"/>
        <v>0</v>
      </c>
      <c r="E57" s="208">
        <f t="shared" si="51"/>
        <v>0</v>
      </c>
      <c r="F57" s="84">
        <f t="shared" si="52"/>
        <v>0</v>
      </c>
      <c r="G57" s="88">
        <f t="shared" si="53"/>
        <v>0</v>
      </c>
      <c r="H57" s="153">
        <f t="shared" si="54"/>
        <v>0</v>
      </c>
      <c r="I57" s="84">
        <f t="shared" si="55"/>
        <v>0</v>
      </c>
      <c r="J57" s="84">
        <f t="shared" si="56"/>
        <v>0</v>
      </c>
      <c r="K57" s="153">
        <f t="shared" si="57"/>
        <v>0</v>
      </c>
      <c r="L57" s="86">
        <f t="shared" si="11"/>
        <v>0</v>
      </c>
      <c r="M57" s="83">
        <f t="shared" si="12"/>
        <v>0</v>
      </c>
      <c r="N57" s="207">
        <f t="shared" si="13"/>
        <v>243994</v>
      </c>
    </row>
    <row r="58" spans="1:39" ht="51.75" hidden="1" x14ac:dyDescent="0.2">
      <c r="A58" s="83">
        <f t="shared" si="47"/>
        <v>0</v>
      </c>
      <c r="B58" s="84">
        <f t="shared" si="48"/>
        <v>0</v>
      </c>
      <c r="C58" s="85">
        <f t="shared" si="49"/>
        <v>0</v>
      </c>
      <c r="D58" s="84">
        <f t="shared" si="50"/>
        <v>0</v>
      </c>
      <c r="E58" s="208">
        <f t="shared" si="51"/>
        <v>0</v>
      </c>
      <c r="F58" s="84">
        <f t="shared" si="52"/>
        <v>0</v>
      </c>
      <c r="G58" s="88">
        <f t="shared" si="53"/>
        <v>0</v>
      </c>
      <c r="H58" s="153">
        <f t="shared" si="54"/>
        <v>0</v>
      </c>
      <c r="I58" s="84">
        <f t="shared" si="55"/>
        <v>0</v>
      </c>
      <c r="J58" s="84">
        <f t="shared" si="56"/>
        <v>0</v>
      </c>
      <c r="K58" s="153">
        <f t="shared" si="57"/>
        <v>0</v>
      </c>
      <c r="L58" s="86">
        <f t="shared" si="11"/>
        <v>0</v>
      </c>
      <c r="M58" s="83">
        <f t="shared" si="12"/>
        <v>0</v>
      </c>
      <c r="N58" s="207">
        <f t="shared" si="13"/>
        <v>243994</v>
      </c>
    </row>
    <row r="59" spans="1:39" ht="51.75" hidden="1" x14ac:dyDescent="0.2">
      <c r="A59" s="83">
        <f t="shared" si="47"/>
        <v>0</v>
      </c>
      <c r="B59" s="84">
        <f t="shared" si="48"/>
        <v>0</v>
      </c>
      <c r="C59" s="85">
        <f t="shared" si="49"/>
        <v>0</v>
      </c>
      <c r="D59" s="84">
        <f t="shared" si="50"/>
        <v>0</v>
      </c>
      <c r="E59" s="208">
        <f t="shared" si="51"/>
        <v>0</v>
      </c>
      <c r="F59" s="84">
        <f t="shared" si="52"/>
        <v>0</v>
      </c>
      <c r="G59" s="88">
        <f t="shared" si="53"/>
        <v>0</v>
      </c>
      <c r="H59" s="153">
        <f t="shared" si="54"/>
        <v>0</v>
      </c>
      <c r="I59" s="84">
        <f t="shared" si="55"/>
        <v>0</v>
      </c>
      <c r="J59" s="84">
        <f t="shared" si="56"/>
        <v>0</v>
      </c>
      <c r="K59" s="153">
        <f t="shared" si="57"/>
        <v>0</v>
      </c>
      <c r="L59" s="86">
        <f t="shared" si="11"/>
        <v>0</v>
      </c>
      <c r="M59" s="83">
        <f t="shared" si="12"/>
        <v>0</v>
      </c>
      <c r="N59" s="207">
        <f t="shared" si="13"/>
        <v>243994</v>
      </c>
    </row>
    <row r="60" spans="1:39" ht="51.75" hidden="1" x14ac:dyDescent="0.2">
      <c r="A60" s="83">
        <f t="shared" si="47"/>
        <v>0</v>
      </c>
      <c r="B60" s="84">
        <f t="shared" si="48"/>
        <v>0</v>
      </c>
      <c r="C60" s="85">
        <f t="shared" si="49"/>
        <v>0</v>
      </c>
      <c r="D60" s="84">
        <f t="shared" si="50"/>
        <v>0</v>
      </c>
      <c r="E60" s="208">
        <f t="shared" si="51"/>
        <v>0</v>
      </c>
      <c r="F60" s="84">
        <f t="shared" si="52"/>
        <v>0</v>
      </c>
      <c r="G60" s="88">
        <f t="shared" si="53"/>
        <v>0</v>
      </c>
      <c r="H60" s="153">
        <f t="shared" si="54"/>
        <v>0</v>
      </c>
      <c r="I60" s="84">
        <f t="shared" si="55"/>
        <v>0</v>
      </c>
      <c r="J60" s="84">
        <f t="shared" si="56"/>
        <v>0</v>
      </c>
      <c r="K60" s="153">
        <f t="shared" si="57"/>
        <v>0</v>
      </c>
      <c r="L60" s="86">
        <f t="shared" si="11"/>
        <v>0</v>
      </c>
      <c r="M60" s="83">
        <f t="shared" si="12"/>
        <v>0</v>
      </c>
      <c r="N60" s="207">
        <f t="shared" si="13"/>
        <v>243994</v>
      </c>
    </row>
    <row r="61" spans="1:39" ht="29.25" x14ac:dyDescent="0.6">
      <c r="A61" s="210" t="s">
        <v>101</v>
      </c>
      <c r="B61" s="210"/>
      <c r="C61" s="210"/>
      <c r="D61" s="210"/>
      <c r="E61" s="210"/>
      <c r="F61" s="210"/>
      <c r="G61" s="210"/>
      <c r="H61" s="209"/>
      <c r="I61" s="209"/>
      <c r="J61" s="209"/>
      <c r="K61" s="294" t="s">
        <v>86</v>
      </c>
      <c r="L61" s="294"/>
      <c r="M61" s="294"/>
      <c r="N61" s="294"/>
    </row>
    <row r="62" spans="1:39" ht="29.25" x14ac:dyDescent="0.2">
      <c r="A62" s="211" t="s">
        <v>100</v>
      </c>
      <c r="B62" s="211"/>
      <c r="C62" s="211"/>
      <c r="D62" s="211"/>
      <c r="E62" s="211"/>
      <c r="F62" s="211"/>
      <c r="G62" s="211"/>
      <c r="H62" s="209"/>
      <c r="I62" s="209"/>
      <c r="J62" s="209"/>
      <c r="K62" s="295" t="s">
        <v>87</v>
      </c>
      <c r="L62" s="295"/>
      <c r="M62" s="295"/>
      <c r="N62" s="295"/>
    </row>
    <row r="63" spans="1:39" ht="29.25" x14ac:dyDescent="0.2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93">
        <f ca="1">TODAY()</f>
        <v>46017</v>
      </c>
      <c r="L63" s="293"/>
      <c r="M63" s="293"/>
      <c r="N63" s="293"/>
    </row>
    <row r="64" spans="1:39" ht="29.25" x14ac:dyDescent="0.2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</row>
    <row r="65" spans="1:14" ht="29.25" x14ac:dyDescent="0.2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</row>
    <row r="66" spans="1:14" ht="29.25" x14ac:dyDescent="0.2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</row>
    <row r="67" spans="1:14" ht="18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 ht="18" x14ac:dyDescent="0.2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</row>
    <row r="69" spans="1:14" ht="18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 spans="1:14" ht="18" x14ac:dyDescent="0.2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</row>
    <row r="71" spans="1:14" ht="18" x14ac:dyDescent="0.2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</row>
    <row r="72" spans="1:14" ht="18" x14ac:dyDescent="0.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 ht="18" x14ac:dyDescent="0.2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</row>
    <row r="74" spans="1:14" ht="18" x14ac:dyDescent="0.2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</row>
    <row r="75" spans="1:14" ht="18" x14ac:dyDescent="0.2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</row>
    <row r="76" spans="1:14" ht="18" x14ac:dyDescent="0.2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</row>
    <row r="77" spans="1:14" ht="18" x14ac:dyDescent="0.2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 ht="18" x14ac:dyDescent="0.2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</row>
    <row r="79" spans="1:14" ht="18" x14ac:dyDescent="0.2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</row>
    <row r="80" spans="1:14" ht="18" x14ac:dyDescent="0.2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</row>
    <row r="81" spans="1:14" ht="18" x14ac:dyDescent="0.2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</row>
    <row r="82" spans="1:14" ht="18" x14ac:dyDescent="0.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</row>
    <row r="83" spans="1:14" ht="18" x14ac:dyDescent="0.2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</row>
    <row r="84" spans="1:14" ht="18" x14ac:dyDescent="0.2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</row>
    <row r="85" spans="1:14" ht="18" x14ac:dyDescent="0.2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</row>
    <row r="86" spans="1:14" ht="18" x14ac:dyDescent="0.2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</row>
    <row r="87" spans="1:14" ht="18" x14ac:dyDescent="0.2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</row>
    <row r="88" spans="1:14" ht="18" x14ac:dyDescent="0.2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</row>
    <row r="89" spans="1:14" ht="18" x14ac:dyDescent="0.2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</row>
    <row r="90" spans="1:14" ht="18" x14ac:dyDescent="0.2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</row>
    <row r="91" spans="1:14" ht="18" x14ac:dyDescent="0.2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1:14" ht="18" x14ac:dyDescent="0.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</row>
    <row r="93" spans="1:14" ht="18" x14ac:dyDescent="0.2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</row>
    <row r="94" spans="1:14" ht="18" x14ac:dyDescent="0.2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</row>
    <row r="95" spans="1:14" ht="18" x14ac:dyDescent="0.2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</row>
    <row r="96" spans="1:14" ht="18" x14ac:dyDescent="0.2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</row>
    <row r="97" spans="1:14" ht="18" x14ac:dyDescent="0.2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</row>
    <row r="98" spans="1:14" ht="18" x14ac:dyDescent="0.2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</row>
    <row r="99" spans="1:14" ht="18" x14ac:dyDescent="0.2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</row>
    <row r="100" spans="1:14" ht="18" x14ac:dyDescent="0.2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</row>
    <row r="101" spans="1:14" ht="18" x14ac:dyDescent="0.2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</row>
    <row r="102" spans="1:14" ht="18" x14ac:dyDescent="0.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</row>
    <row r="103" spans="1:14" ht="18" x14ac:dyDescent="0.2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</row>
    <row r="104" spans="1:14" ht="18" x14ac:dyDescent="0.2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</row>
    <row r="105" spans="1:14" ht="18" x14ac:dyDescent="0.2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</row>
    <row r="106" spans="1:14" ht="18" x14ac:dyDescent="0.2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</row>
    <row r="107" spans="1:14" ht="18" x14ac:dyDescent="0.2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</row>
    <row r="108" spans="1:14" ht="18" x14ac:dyDescent="0.2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</row>
    <row r="109" spans="1:14" ht="18" x14ac:dyDescent="0.2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</row>
    <row r="110" spans="1:14" ht="18" x14ac:dyDescent="0.2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</row>
    <row r="111" spans="1:14" ht="18" x14ac:dyDescent="0.2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</row>
    <row r="112" spans="1:14" ht="18" x14ac:dyDescent="0.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</row>
    <row r="113" spans="1:14" ht="18" x14ac:dyDescent="0.2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</row>
    <row r="114" spans="1:14" ht="18" x14ac:dyDescent="0.2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</row>
    <row r="115" spans="1:14" ht="18" x14ac:dyDescent="0.2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</row>
    <row r="116" spans="1:14" ht="18" x14ac:dyDescent="0.2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</row>
    <row r="117" spans="1:14" ht="18" x14ac:dyDescent="0.2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</row>
    <row r="118" spans="1:14" ht="18" x14ac:dyDescent="0.2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</row>
    <row r="119" spans="1:14" ht="18" x14ac:dyDescent="0.2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</row>
    <row r="120" spans="1:14" ht="18" x14ac:dyDescent="0.2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</row>
    <row r="121" spans="1:14" ht="18" x14ac:dyDescent="0.2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</row>
    <row r="122" spans="1:14" ht="18" x14ac:dyDescent="0.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</row>
    <row r="123" spans="1:14" ht="18" x14ac:dyDescent="0.2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</row>
    <row r="124" spans="1:14" ht="18" x14ac:dyDescent="0.2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</row>
    <row r="125" spans="1:14" ht="18" x14ac:dyDescent="0.2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</row>
    <row r="126" spans="1:14" ht="18" x14ac:dyDescent="0.2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</row>
    <row r="127" spans="1:14" ht="18" x14ac:dyDescent="0.2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</row>
    <row r="128" spans="1:14" ht="18" x14ac:dyDescent="0.2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</row>
    <row r="129" spans="1:14" ht="18" x14ac:dyDescent="0.2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</row>
    <row r="130" spans="1:14" ht="18" x14ac:dyDescent="0.2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</row>
    <row r="131" spans="1:14" ht="18" x14ac:dyDescent="0.2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</row>
    <row r="132" spans="1:14" ht="18" x14ac:dyDescent="0.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</row>
    <row r="133" spans="1:14" ht="18" x14ac:dyDescent="0.2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</row>
    <row r="134" spans="1:14" ht="18" x14ac:dyDescent="0.2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</row>
    <row r="135" spans="1:14" ht="18" x14ac:dyDescent="0.2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</row>
    <row r="136" spans="1:14" ht="18" x14ac:dyDescent="0.2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</row>
    <row r="137" spans="1:14" ht="18" x14ac:dyDescent="0.2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</row>
    <row r="138" spans="1:14" ht="18" x14ac:dyDescent="0.2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</row>
    <row r="139" spans="1:14" ht="18" x14ac:dyDescent="0.2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</row>
    <row r="140" spans="1:14" ht="18" x14ac:dyDescent="0.2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</row>
    <row r="141" spans="1:14" ht="18" x14ac:dyDescent="0.2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</row>
    <row r="142" spans="1:14" ht="18" x14ac:dyDescent="0.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</row>
    <row r="143" spans="1:14" ht="18" x14ac:dyDescent="0.2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</row>
    <row r="144" spans="1:14" ht="18" x14ac:dyDescent="0.2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</row>
    <row r="145" spans="1:14" ht="18" x14ac:dyDescent="0.2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</row>
    <row r="146" spans="1:14" ht="18" x14ac:dyDescent="0.2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</row>
    <row r="147" spans="1:14" ht="18" x14ac:dyDescent="0.2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</row>
    <row r="148" spans="1:14" ht="18" x14ac:dyDescent="0.2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</row>
    <row r="149" spans="1:14" ht="18" x14ac:dyDescent="0.2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</row>
    <row r="150" spans="1:14" ht="18" x14ac:dyDescent="0.2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</row>
    <row r="151" spans="1:14" ht="18" x14ac:dyDescent="0.2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</row>
    <row r="152" spans="1:14" ht="18" x14ac:dyDescent="0.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</row>
    <row r="153" spans="1:14" ht="18" x14ac:dyDescent="0.2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</row>
    <row r="154" spans="1:14" ht="18" x14ac:dyDescent="0.2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</row>
    <row r="155" spans="1:14" ht="18" x14ac:dyDescent="0.2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</row>
    <row r="156" spans="1:14" ht="18" x14ac:dyDescent="0.2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</row>
    <row r="157" spans="1:14" ht="18" x14ac:dyDescent="0.2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</row>
    <row r="158" spans="1:14" ht="18" x14ac:dyDescent="0.2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</row>
    <row r="159" spans="1:14" ht="18" x14ac:dyDescent="0.2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</row>
    <row r="160" spans="1:14" ht="18" x14ac:dyDescent="0.2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</row>
    <row r="161" spans="1:14" ht="18" x14ac:dyDescent="0.2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</row>
    <row r="162" spans="1:14" ht="18" x14ac:dyDescent="0.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</row>
    <row r="163" spans="1:14" ht="18" x14ac:dyDescent="0.2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</row>
    <row r="164" spans="1:14" ht="18" x14ac:dyDescent="0.2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</row>
    <row r="165" spans="1:14" ht="18" x14ac:dyDescent="0.2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</row>
    <row r="166" spans="1:14" ht="18" x14ac:dyDescent="0.2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</row>
    <row r="167" spans="1:14" ht="18" x14ac:dyDescent="0.2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</row>
    <row r="168" spans="1:14" ht="18" x14ac:dyDescent="0.2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</row>
    <row r="169" spans="1:14" ht="18" x14ac:dyDescent="0.2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</row>
    <row r="170" spans="1:14" ht="18" x14ac:dyDescent="0.2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</row>
    <row r="171" spans="1:14" ht="18" x14ac:dyDescent="0.2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</row>
    <row r="172" spans="1:14" ht="18" x14ac:dyDescent="0.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</row>
    <row r="173" spans="1:14" ht="18" x14ac:dyDescent="0.2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</row>
    <row r="174" spans="1:14" ht="18" x14ac:dyDescent="0.2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</row>
    <row r="175" spans="1:14" ht="18" x14ac:dyDescent="0.2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</row>
    <row r="176" spans="1:14" ht="18" x14ac:dyDescent="0.2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</row>
    <row r="177" spans="1:14" ht="18" x14ac:dyDescent="0.2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</row>
    <row r="178" spans="1:14" ht="18" x14ac:dyDescent="0.2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</row>
    <row r="179" spans="1:14" ht="18" x14ac:dyDescent="0.2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</row>
    <row r="180" spans="1:14" ht="18" x14ac:dyDescent="0.2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</row>
    <row r="181" spans="1:14" ht="18" x14ac:dyDescent="0.2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</row>
    <row r="182" spans="1:14" ht="18" x14ac:dyDescent="0.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</row>
    <row r="183" spans="1:14" ht="18" x14ac:dyDescent="0.2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</row>
    <row r="184" spans="1:14" ht="18" x14ac:dyDescent="0.2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</row>
    <row r="185" spans="1:14" ht="18" x14ac:dyDescent="0.2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</row>
    <row r="186" spans="1:14" ht="18" x14ac:dyDescent="0.2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</row>
    <row r="187" spans="1:14" ht="18" x14ac:dyDescent="0.2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</row>
    <row r="188" spans="1:14" ht="18" x14ac:dyDescent="0.2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</row>
    <row r="189" spans="1:14" ht="18" x14ac:dyDescent="0.2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</row>
    <row r="190" spans="1:14" ht="18" x14ac:dyDescent="0.2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</row>
    <row r="191" spans="1:14" ht="18" x14ac:dyDescent="0.2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</row>
    <row r="192" spans="1:14" ht="18" x14ac:dyDescent="0.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</row>
    <row r="193" spans="1:14" ht="18" x14ac:dyDescent="0.2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</row>
    <row r="194" spans="1:14" ht="18" x14ac:dyDescent="0.2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</row>
    <row r="195" spans="1:14" ht="18" x14ac:dyDescent="0.2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</row>
    <row r="196" spans="1:14" ht="18" x14ac:dyDescent="0.2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</row>
    <row r="197" spans="1:14" ht="18" x14ac:dyDescent="0.2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</row>
    <row r="198" spans="1:14" ht="18" x14ac:dyDescent="0.2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</row>
    <row r="199" spans="1:14" ht="18" x14ac:dyDescent="0.2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</row>
    <row r="200" spans="1:14" ht="18" x14ac:dyDescent="0.2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</row>
    <row r="201" spans="1:14" ht="18" x14ac:dyDescent="0.2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</row>
    <row r="202" spans="1:14" ht="18" x14ac:dyDescent="0.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</row>
    <row r="203" spans="1:14" ht="18" x14ac:dyDescent="0.2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</row>
    <row r="204" spans="1:14" ht="18" x14ac:dyDescent="0.2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</row>
    <row r="205" spans="1:14" ht="18" x14ac:dyDescent="0.2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</row>
    <row r="206" spans="1:14" ht="18" x14ac:dyDescent="0.2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</row>
    <row r="207" spans="1:14" ht="18" x14ac:dyDescent="0.2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</row>
    <row r="208" spans="1:14" ht="18" x14ac:dyDescent="0.2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</row>
    <row r="209" spans="1:14" ht="18" x14ac:dyDescent="0.2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</row>
    <row r="210" spans="1:14" ht="18" x14ac:dyDescent="0.2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</row>
    <row r="211" spans="1:14" ht="18" x14ac:dyDescent="0.2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</row>
    <row r="212" spans="1:14" ht="18" x14ac:dyDescent="0.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</row>
    <row r="213" spans="1:14" ht="18" x14ac:dyDescent="0.2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</row>
    <row r="214" spans="1:14" ht="18" x14ac:dyDescent="0.2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</row>
    <row r="215" spans="1:14" ht="18" x14ac:dyDescent="0.2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</row>
    <row r="216" spans="1:14" ht="18" x14ac:dyDescent="0.2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</row>
    <row r="217" spans="1:14" ht="18" x14ac:dyDescent="0.2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</row>
    <row r="218" spans="1:14" ht="18" x14ac:dyDescent="0.2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</row>
    <row r="219" spans="1:14" ht="18" x14ac:dyDescent="0.2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</row>
    <row r="220" spans="1:14" ht="18" x14ac:dyDescent="0.2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</row>
    <row r="221" spans="1:14" ht="18" x14ac:dyDescent="0.2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</row>
    <row r="222" spans="1:14" ht="18" x14ac:dyDescent="0.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</row>
    <row r="223" spans="1:14" ht="18" x14ac:dyDescent="0.2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</row>
    <row r="224" spans="1:14" ht="18" x14ac:dyDescent="0.2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</row>
    <row r="225" spans="1:14" ht="18" x14ac:dyDescent="0.2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</row>
    <row r="226" spans="1:14" ht="18" x14ac:dyDescent="0.2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</row>
    <row r="227" spans="1:14" ht="18" x14ac:dyDescent="0.2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</row>
    <row r="228" spans="1:14" ht="18" x14ac:dyDescent="0.2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</row>
    <row r="229" spans="1:14" ht="18" x14ac:dyDescent="0.2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</row>
    <row r="230" spans="1:14" ht="18" x14ac:dyDescent="0.2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</row>
    <row r="231" spans="1:14" ht="18" x14ac:dyDescent="0.2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</row>
    <row r="232" spans="1:14" ht="18" x14ac:dyDescent="0.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</row>
    <row r="233" spans="1:14" ht="18" x14ac:dyDescent="0.2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</row>
    <row r="234" spans="1:14" ht="18" x14ac:dyDescent="0.2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</row>
    <row r="235" spans="1:14" ht="18" x14ac:dyDescent="0.2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</row>
    <row r="236" spans="1:14" ht="18" x14ac:dyDescent="0.2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</row>
    <row r="237" spans="1:14" ht="18" x14ac:dyDescent="0.2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</row>
    <row r="238" spans="1:14" ht="18" x14ac:dyDescent="0.2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</row>
    <row r="239" spans="1:14" ht="18" x14ac:dyDescent="0.2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</row>
    <row r="240" spans="1:14" ht="18" x14ac:dyDescent="0.2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</row>
    <row r="241" spans="1:14" ht="18" x14ac:dyDescent="0.2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</row>
    <row r="242" spans="1:14" ht="18" x14ac:dyDescent="0.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</row>
    <row r="243" spans="1:14" ht="18" x14ac:dyDescent="0.2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</row>
    <row r="244" spans="1:14" ht="18" x14ac:dyDescent="0.2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</row>
    <row r="245" spans="1:14" ht="18" x14ac:dyDescent="0.2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</row>
    <row r="246" spans="1:14" ht="18" x14ac:dyDescent="0.2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</row>
    <row r="247" spans="1:14" ht="18" x14ac:dyDescent="0.2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</row>
    <row r="248" spans="1:14" ht="18" x14ac:dyDescent="0.2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</row>
    <row r="249" spans="1:14" ht="18" x14ac:dyDescent="0.2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</row>
    <row r="250" spans="1:14" ht="18" x14ac:dyDescent="0.2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</row>
    <row r="251" spans="1:14" ht="18" x14ac:dyDescent="0.2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</row>
    <row r="252" spans="1:14" ht="18" x14ac:dyDescent="0.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</row>
    <row r="253" spans="1:14" ht="18" x14ac:dyDescent="0.2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</row>
    <row r="254" spans="1:14" ht="18" x14ac:dyDescent="0.2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</row>
    <row r="255" spans="1:14" ht="18" x14ac:dyDescent="0.2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</row>
    <row r="256" spans="1:14" ht="18" x14ac:dyDescent="0.2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</row>
    <row r="257" spans="1:14" ht="18" x14ac:dyDescent="0.2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</row>
    <row r="258" spans="1:14" ht="18" x14ac:dyDescent="0.2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</row>
    <row r="259" spans="1:14" ht="18" x14ac:dyDescent="0.2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</row>
    <row r="260" spans="1:14" ht="18" x14ac:dyDescent="0.2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</row>
    <row r="261" spans="1:14" ht="18" x14ac:dyDescent="0.2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</row>
    <row r="262" spans="1:14" ht="18" x14ac:dyDescent="0.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</row>
    <row r="263" spans="1:14" ht="18" x14ac:dyDescent="0.2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</row>
    <row r="264" spans="1:14" ht="18" x14ac:dyDescent="0.2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</row>
    <row r="265" spans="1:14" ht="18" x14ac:dyDescent="0.2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</row>
    <row r="266" spans="1:14" ht="18" x14ac:dyDescent="0.2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</row>
    <row r="267" spans="1:14" ht="18" x14ac:dyDescent="0.2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</row>
    <row r="268" spans="1:14" ht="18" x14ac:dyDescent="0.2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</row>
    <row r="269" spans="1:14" ht="18" x14ac:dyDescent="0.2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</row>
    <row r="270" spans="1:14" ht="18" x14ac:dyDescent="0.2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</row>
    <row r="271" spans="1:14" ht="18" x14ac:dyDescent="0.2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</row>
    <row r="272" spans="1:14" ht="18" x14ac:dyDescent="0.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</row>
    <row r="273" spans="1:14" ht="18" x14ac:dyDescent="0.2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</row>
    <row r="274" spans="1:14" ht="18" x14ac:dyDescent="0.2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</row>
    <row r="275" spans="1:14" ht="18" x14ac:dyDescent="0.2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</row>
    <row r="276" spans="1:14" ht="18" x14ac:dyDescent="0.2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</row>
    <row r="277" spans="1:14" ht="18" x14ac:dyDescent="0.2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</row>
    <row r="278" spans="1:14" ht="18" x14ac:dyDescent="0.2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</row>
    <row r="279" spans="1:14" ht="18" x14ac:dyDescent="0.2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</row>
    <row r="280" spans="1:14" ht="18" x14ac:dyDescent="0.2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</row>
    <row r="281" spans="1:14" ht="18" x14ac:dyDescent="0.2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</row>
    <row r="282" spans="1:14" ht="18" x14ac:dyDescent="0.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</row>
    <row r="283" spans="1:14" ht="18" x14ac:dyDescent="0.2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</row>
    <row r="284" spans="1:14" ht="18" x14ac:dyDescent="0.2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</row>
    <row r="285" spans="1:14" ht="18" x14ac:dyDescent="0.2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</row>
    <row r="286" spans="1:14" ht="18" x14ac:dyDescent="0.2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</row>
    <row r="287" spans="1:14" ht="18" x14ac:dyDescent="0.2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</row>
    <row r="288" spans="1:14" ht="18" x14ac:dyDescent="0.2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</row>
    <row r="289" spans="1:14" ht="18" x14ac:dyDescent="0.2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</row>
    <row r="290" spans="1:14" ht="18" x14ac:dyDescent="0.2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</row>
    <row r="291" spans="1:14" ht="18" x14ac:dyDescent="0.2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</row>
    <row r="292" spans="1:14" ht="18" x14ac:dyDescent="0.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</row>
    <row r="293" spans="1:14" ht="18" x14ac:dyDescent="0.2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</row>
    <row r="294" spans="1:14" ht="18" x14ac:dyDescent="0.2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</row>
    <row r="295" spans="1:14" ht="18" x14ac:dyDescent="0.2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</row>
    <row r="296" spans="1:14" ht="18" x14ac:dyDescent="0.2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</row>
    <row r="297" spans="1:14" ht="18" x14ac:dyDescent="0.2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</row>
    <row r="298" spans="1:14" ht="18" x14ac:dyDescent="0.2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</row>
    <row r="299" spans="1:14" ht="18" x14ac:dyDescent="0.2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</row>
    <row r="300" spans="1:14" ht="18" x14ac:dyDescent="0.2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</row>
    <row r="301" spans="1:14" ht="18" x14ac:dyDescent="0.2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</row>
    <row r="302" spans="1:14" ht="18" x14ac:dyDescent="0.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</row>
    <row r="303" spans="1:14" ht="18" x14ac:dyDescent="0.2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</row>
    <row r="304" spans="1:14" ht="18" x14ac:dyDescent="0.2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</row>
    <row r="305" spans="1:14" ht="18" x14ac:dyDescent="0.2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</row>
    <row r="306" spans="1:14" ht="18" x14ac:dyDescent="0.2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</row>
    <row r="307" spans="1:14" ht="18" x14ac:dyDescent="0.2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</row>
  </sheetData>
  <mergeCells count="5">
    <mergeCell ref="K63:N63"/>
    <mergeCell ref="K61:N61"/>
    <mergeCell ref="K62:N62"/>
    <mergeCell ref="A1:C1"/>
    <mergeCell ref="F2:I2"/>
  </mergeCells>
  <dataValidations count="4">
    <dataValidation type="list" allowBlank="1" showInputMessage="1" showErrorMessage="1" sqref="AJ6:AJ52 AH16:AH52" xr:uid="{00000000-0002-0000-0600-000000000000}">
      <formula1>หน่วย</formula1>
    </dataValidation>
    <dataValidation type="list" allowBlank="1" showInputMessage="1" showErrorMessage="1" sqref="AN6 Q18:Q52" xr:uid="{00000000-0002-0000-0600-000001000000}">
      <formula1>วันที่</formula1>
    </dataValidation>
    <dataValidation type="list" allowBlank="1" showInputMessage="1" showErrorMessage="1" sqref="P6:P52" xr:uid="{00000000-0002-0000-0600-000002000000}">
      <formula1>เดือน</formula1>
    </dataValidation>
    <dataValidation type="list" allowBlank="1" showInputMessage="1" showErrorMessage="1" sqref="T6:T52" xr:uid="{00000000-0002-0000-0600-000003000000}">
      <formula1>แผนก</formula1>
    </dataValidation>
  </dataValidations>
  <pageMargins left="0.23622047244094491" right="0.11811023622047245" top="0.15748031496062992" bottom="0.15748031496062992" header="0.35433070866141736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42B5-559B-4576-9235-D5B4AF13AD70}">
  <sheetPr>
    <tabColor theme="1"/>
  </sheetPr>
  <dimension ref="A1:O1268"/>
  <sheetViews>
    <sheetView workbookViewId="0">
      <pane xSplit="8" ySplit="6" topLeftCell="I10" activePane="bottomRight" state="frozen"/>
      <selection pane="topRight" activeCell="G1" sqref="G1"/>
      <selection pane="bottomLeft" activeCell="A7" sqref="A7"/>
      <selection pane="bottomRight" activeCell="N14" sqref="N14"/>
    </sheetView>
  </sheetViews>
  <sheetFormatPr defaultRowHeight="16.5" x14ac:dyDescent="0.2"/>
  <cols>
    <col min="1" max="1" width="9" style="215"/>
    <col min="2" max="2" width="7.125" style="215" customWidth="1"/>
    <col min="3" max="3" width="4.875" style="215" customWidth="1"/>
    <col min="4" max="4" width="6" style="215" customWidth="1"/>
    <col min="5" max="5" width="7.25" style="215" customWidth="1"/>
    <col min="6" max="6" width="5.5" style="215" bestFit="1" customWidth="1"/>
    <col min="7" max="7" width="5.5" style="215" customWidth="1"/>
    <col min="8" max="8" width="20" style="215" customWidth="1"/>
    <col min="9" max="9" width="13.125" style="215" bestFit="1" customWidth="1"/>
    <col min="10" max="10" width="10" style="215" bestFit="1" customWidth="1"/>
    <col min="11" max="11" width="4.375" style="215" customWidth="1"/>
    <col min="12" max="12" width="5.625" style="215" bestFit="1" customWidth="1"/>
    <col min="13" max="13" width="19.75" style="215" bestFit="1" customWidth="1"/>
    <col min="14" max="14" width="13.25" style="215" bestFit="1" customWidth="1"/>
    <col min="15" max="15" width="21.125" style="215" customWidth="1"/>
    <col min="16" max="16384" width="9" style="216"/>
  </cols>
  <sheetData>
    <row r="1" spans="1:15" s="213" customFormat="1" ht="18" x14ac:dyDescent="0.2">
      <c r="A1" s="218"/>
      <c r="B1" s="218"/>
      <c r="C1" s="218" t="s">
        <v>576</v>
      </c>
      <c r="D1" s="218"/>
      <c r="E1" s="218"/>
      <c r="F1" s="218"/>
      <c r="G1" s="218"/>
      <c r="H1" s="218"/>
      <c r="I1" s="218" t="s">
        <v>585</v>
      </c>
      <c r="J1" s="218" t="s">
        <v>567</v>
      </c>
      <c r="K1" s="218" t="s">
        <v>588</v>
      </c>
      <c r="L1" s="218"/>
      <c r="M1" s="218" t="s">
        <v>573</v>
      </c>
      <c r="N1" s="218" t="s">
        <v>581</v>
      </c>
      <c r="O1" s="218"/>
    </row>
    <row r="2" spans="1:15" s="213" customFormat="1" ht="18" x14ac:dyDescent="0.2">
      <c r="A2" s="218"/>
      <c r="B2" s="218"/>
      <c r="C2" s="218" t="s">
        <v>577</v>
      </c>
      <c r="D2" s="218"/>
      <c r="E2" s="218"/>
      <c r="F2" s="218"/>
      <c r="G2" s="218"/>
      <c r="H2" s="218"/>
      <c r="I2" s="218" t="s">
        <v>565</v>
      </c>
      <c r="J2" s="218" t="s">
        <v>569</v>
      </c>
      <c r="K2" s="218" t="s">
        <v>589</v>
      </c>
      <c r="L2" s="218"/>
      <c r="M2" s="218" t="s">
        <v>574</v>
      </c>
      <c r="N2" s="218" t="s">
        <v>579</v>
      </c>
      <c r="O2" s="218"/>
    </row>
    <row r="3" spans="1:15" s="213" customFormat="1" ht="18" x14ac:dyDescent="0.2">
      <c r="A3" s="218"/>
      <c r="B3" s="218"/>
      <c r="C3" s="218"/>
      <c r="D3" s="218"/>
      <c r="E3" s="218"/>
      <c r="F3" s="218"/>
      <c r="G3" s="218"/>
      <c r="H3" s="218"/>
      <c r="I3" s="218" t="s">
        <v>586</v>
      </c>
      <c r="J3" s="218" t="s">
        <v>568</v>
      </c>
      <c r="K3" s="218"/>
      <c r="L3" s="218"/>
      <c r="M3" s="218" t="s">
        <v>575</v>
      </c>
      <c r="N3" s="218"/>
      <c r="O3" s="218"/>
    </row>
    <row r="4" spans="1:15" s="213" customFormat="1" ht="18" x14ac:dyDescent="0.2">
      <c r="A4" s="218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 t="s">
        <v>580</v>
      </c>
      <c r="N4" s="218"/>
      <c r="O4" s="218"/>
    </row>
    <row r="5" spans="1:15" s="213" customFormat="1" ht="18" x14ac:dyDescent="0.2">
      <c r="A5" s="218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 t="s">
        <v>582</v>
      </c>
      <c r="N5" s="218"/>
      <c r="O5" s="218"/>
    </row>
    <row r="6" spans="1:15" s="215" customFormat="1" x14ac:dyDescent="0.2">
      <c r="A6" s="214"/>
      <c r="B6" s="214" t="s">
        <v>0</v>
      </c>
      <c r="C6" s="214" t="s">
        <v>561</v>
      </c>
      <c r="D6" s="214" t="s">
        <v>578</v>
      </c>
      <c r="E6" s="214" t="s">
        <v>562</v>
      </c>
      <c r="F6" s="214" t="s">
        <v>563</v>
      </c>
      <c r="G6" s="214"/>
      <c r="H6" s="214" t="s">
        <v>564</v>
      </c>
      <c r="I6" s="214" t="s">
        <v>570</v>
      </c>
      <c r="J6" s="214" t="s">
        <v>566</v>
      </c>
      <c r="K6" s="214" t="s">
        <v>587</v>
      </c>
      <c r="L6" s="214" t="s">
        <v>590</v>
      </c>
      <c r="M6" s="214" t="s">
        <v>572</v>
      </c>
      <c r="N6" s="214" t="s">
        <v>571</v>
      </c>
      <c r="O6" s="214" t="s">
        <v>560</v>
      </c>
    </row>
    <row r="7" spans="1:15" x14ac:dyDescent="0.2">
      <c r="A7" s="214" t="s">
        <v>598</v>
      </c>
      <c r="B7" s="219">
        <v>243989</v>
      </c>
      <c r="C7" s="214" t="s">
        <v>576</v>
      </c>
      <c r="D7" s="214">
        <v>8.32</v>
      </c>
      <c r="E7" s="214" t="s">
        <v>595</v>
      </c>
      <c r="F7" s="214" t="s">
        <v>584</v>
      </c>
      <c r="G7" s="214" t="s">
        <v>1252</v>
      </c>
      <c r="H7" s="214" t="s">
        <v>1253</v>
      </c>
      <c r="I7" s="214" t="s">
        <v>1255</v>
      </c>
      <c r="J7" s="214" t="s">
        <v>568</v>
      </c>
      <c r="K7" s="214" t="s">
        <v>588</v>
      </c>
      <c r="L7" s="214" t="s">
        <v>1254</v>
      </c>
      <c r="M7" s="214" t="s">
        <v>1256</v>
      </c>
      <c r="N7" s="214" t="s">
        <v>581</v>
      </c>
      <c r="O7" s="214"/>
    </row>
    <row r="8" spans="1:15" ht="18" x14ac:dyDescent="0.2">
      <c r="A8" s="214" t="s">
        <v>599</v>
      </c>
      <c r="B8" s="219">
        <v>243994</v>
      </c>
      <c r="C8" s="214" t="s">
        <v>576</v>
      </c>
      <c r="D8" s="214">
        <v>13.18</v>
      </c>
      <c r="E8" s="214" t="s">
        <v>594</v>
      </c>
      <c r="F8" s="214" t="s">
        <v>584</v>
      </c>
      <c r="G8" s="214" t="s">
        <v>597</v>
      </c>
      <c r="H8" s="214" t="s">
        <v>772</v>
      </c>
      <c r="I8" s="214" t="s">
        <v>585</v>
      </c>
      <c r="J8" s="214" t="s">
        <v>568</v>
      </c>
      <c r="K8" s="214" t="s">
        <v>588</v>
      </c>
      <c r="L8" s="214" t="s">
        <v>592</v>
      </c>
      <c r="M8" s="4" t="s">
        <v>575</v>
      </c>
      <c r="N8" s="2" t="s">
        <v>579</v>
      </c>
      <c r="O8" s="214"/>
    </row>
    <row r="9" spans="1:15" ht="18" x14ac:dyDescent="0.2">
      <c r="A9" s="214" t="s">
        <v>600</v>
      </c>
      <c r="B9" s="219">
        <v>243997</v>
      </c>
      <c r="C9" s="214" t="s">
        <v>576</v>
      </c>
      <c r="D9" s="214">
        <v>13.48</v>
      </c>
      <c r="E9" s="214" t="s">
        <v>583</v>
      </c>
      <c r="F9" s="214" t="s">
        <v>584</v>
      </c>
      <c r="G9" s="214" t="s">
        <v>134</v>
      </c>
      <c r="H9" s="214" t="s">
        <v>849</v>
      </c>
      <c r="I9" s="214" t="s">
        <v>585</v>
      </c>
      <c r="J9" s="214" t="s">
        <v>568</v>
      </c>
      <c r="K9" s="214" t="s">
        <v>589</v>
      </c>
      <c r="L9" s="214" t="s">
        <v>591</v>
      </c>
      <c r="M9" s="4" t="s">
        <v>580</v>
      </c>
      <c r="N9" s="226"/>
      <c r="O9" s="214"/>
    </row>
    <row r="10" spans="1:15" x14ac:dyDescent="0.2">
      <c r="A10" s="214" t="s">
        <v>601</v>
      </c>
      <c r="B10" s="219">
        <v>244003</v>
      </c>
      <c r="C10" s="214" t="s">
        <v>576</v>
      </c>
      <c r="D10" s="214">
        <v>15.48</v>
      </c>
      <c r="E10" s="214" t="s">
        <v>595</v>
      </c>
      <c r="F10" s="214" t="s">
        <v>584</v>
      </c>
      <c r="G10" s="214" t="s">
        <v>134</v>
      </c>
      <c r="H10" s="214" t="s">
        <v>1257</v>
      </c>
      <c r="I10" s="214" t="s">
        <v>585</v>
      </c>
      <c r="J10" s="214" t="s">
        <v>569</v>
      </c>
      <c r="K10" s="214" t="s">
        <v>589</v>
      </c>
      <c r="L10" s="214" t="s">
        <v>592</v>
      </c>
      <c r="M10" s="220" t="s">
        <v>574</v>
      </c>
      <c r="N10" s="214" t="s">
        <v>581</v>
      </c>
      <c r="O10" s="217"/>
    </row>
    <row r="11" spans="1:15" ht="18" x14ac:dyDescent="0.2">
      <c r="A11" s="214" t="s">
        <v>602</v>
      </c>
      <c r="B11" s="219">
        <v>244025</v>
      </c>
      <c r="C11" s="214" t="s">
        <v>576</v>
      </c>
      <c r="D11" s="214">
        <v>15.21</v>
      </c>
      <c r="E11" s="214" t="s">
        <v>583</v>
      </c>
      <c r="F11" s="214" t="s">
        <v>584</v>
      </c>
      <c r="G11" s="214" t="s">
        <v>593</v>
      </c>
      <c r="H11" s="214" t="s">
        <v>1258</v>
      </c>
      <c r="I11" s="214" t="s">
        <v>585</v>
      </c>
      <c r="J11" s="214" t="s">
        <v>568</v>
      </c>
      <c r="K11" s="214" t="s">
        <v>588</v>
      </c>
      <c r="L11" s="214" t="s">
        <v>1259</v>
      </c>
      <c r="M11" s="2" t="s">
        <v>574</v>
      </c>
      <c r="N11" s="214" t="s">
        <v>581</v>
      </c>
      <c r="O11" s="214"/>
    </row>
    <row r="12" spans="1:15" x14ac:dyDescent="0.2">
      <c r="A12" s="214" t="s">
        <v>603</v>
      </c>
      <c r="B12" s="219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7"/>
    </row>
    <row r="13" spans="1:15" x14ac:dyDescent="0.2">
      <c r="A13" s="214" t="s">
        <v>604</v>
      </c>
      <c r="B13" s="219"/>
      <c r="C13" s="214"/>
      <c r="D13" s="221"/>
      <c r="E13" s="214"/>
      <c r="F13" s="214"/>
      <c r="G13" s="214"/>
      <c r="H13" s="214"/>
      <c r="I13" s="214"/>
      <c r="J13" s="214"/>
      <c r="K13" s="214"/>
      <c r="L13" s="214"/>
      <c r="M13" s="220"/>
      <c r="N13" s="214"/>
      <c r="O13" s="214"/>
    </row>
    <row r="14" spans="1:15" x14ac:dyDescent="0.2">
      <c r="A14" s="214" t="s">
        <v>605</v>
      </c>
      <c r="B14" s="219"/>
      <c r="C14" s="214"/>
      <c r="D14" s="221"/>
      <c r="E14" s="214"/>
      <c r="F14" s="214"/>
      <c r="G14" s="214"/>
      <c r="H14" s="214"/>
      <c r="I14" s="214"/>
      <c r="J14" s="214"/>
      <c r="K14" s="214"/>
      <c r="L14" s="214"/>
      <c r="M14" s="220"/>
      <c r="N14" s="214"/>
      <c r="O14" s="217"/>
    </row>
    <row r="15" spans="1:15" x14ac:dyDescent="0.2">
      <c r="A15" s="214" t="s">
        <v>606</v>
      </c>
      <c r="B15" s="219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</row>
    <row r="16" spans="1:15" x14ac:dyDescent="0.2">
      <c r="A16" s="214" t="s">
        <v>607</v>
      </c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</row>
    <row r="17" spans="1:15" x14ac:dyDescent="0.2">
      <c r="A17" s="214" t="s">
        <v>608</v>
      </c>
      <c r="B17" s="219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</row>
    <row r="18" spans="1:15" x14ac:dyDescent="0.2">
      <c r="A18" s="214"/>
      <c r="B18" s="219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</row>
    <row r="19" spans="1:15" x14ac:dyDescent="0.2">
      <c r="A19" s="214"/>
      <c r="B19" s="219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</row>
    <row r="20" spans="1:15" ht="18" x14ac:dyDescent="0.2">
      <c r="A20" s="214"/>
      <c r="B20" s="219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"/>
      <c r="N20" s="214"/>
      <c r="O20" s="214"/>
    </row>
    <row r="21" spans="1:15" ht="18" x14ac:dyDescent="0.2">
      <c r="A21" s="214"/>
      <c r="B21" s="219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22"/>
      <c r="N21" s="2"/>
      <c r="O21" s="214"/>
    </row>
    <row r="22" spans="1:15" ht="18" x14ac:dyDescent="0.2">
      <c r="A22" s="214"/>
      <c r="B22" s="219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"/>
      <c r="N22" s="214"/>
      <c r="O22" s="214"/>
    </row>
    <row r="23" spans="1:15" x14ac:dyDescent="0.2">
      <c r="A23" s="214"/>
      <c r="B23" s="219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</row>
    <row r="24" spans="1:15" x14ac:dyDescent="0.2">
      <c r="A24" s="214"/>
      <c r="B24" s="219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</row>
    <row r="25" spans="1:15" x14ac:dyDescent="0.2">
      <c r="A25" s="214"/>
      <c r="B25" s="219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20"/>
      <c r="N25" s="214"/>
      <c r="O25" s="214"/>
    </row>
    <row r="26" spans="1:15" x14ac:dyDescent="0.2">
      <c r="A26" s="214"/>
      <c r="B26" s="219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</row>
    <row r="27" spans="1:15" x14ac:dyDescent="0.2">
      <c r="A27" s="214"/>
      <c r="B27" s="219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7"/>
      <c r="N27" s="214"/>
      <c r="O27" s="214"/>
    </row>
    <row r="28" spans="1:15" x14ac:dyDescent="0.2">
      <c r="A28" s="214"/>
      <c r="B28" s="219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</row>
    <row r="29" spans="1:15" x14ac:dyDescent="0.2">
      <c r="A29" s="214"/>
      <c r="B29" s="219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</row>
    <row r="30" spans="1:15" x14ac:dyDescent="0.2">
      <c r="A30" s="214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</row>
    <row r="31" spans="1:15" x14ac:dyDescent="0.2">
      <c r="A31" s="214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</row>
    <row r="32" spans="1:15" x14ac:dyDescent="0.2">
      <c r="A32" s="214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</row>
    <row r="33" spans="1:15" x14ac:dyDescent="0.2">
      <c r="A33" s="214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</row>
    <row r="34" spans="1:15" x14ac:dyDescent="0.2">
      <c r="A34" s="214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</row>
    <row r="35" spans="1:15" x14ac:dyDescent="0.2">
      <c r="A35" s="214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</row>
    <row r="36" spans="1:15" x14ac:dyDescent="0.2">
      <c r="A36" s="214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</row>
    <row r="37" spans="1:15" x14ac:dyDescent="0.2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</row>
    <row r="38" spans="1:15" x14ac:dyDescent="0.2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</row>
    <row r="39" spans="1:15" x14ac:dyDescent="0.2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</row>
    <row r="40" spans="1:15" x14ac:dyDescent="0.2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</row>
    <row r="41" spans="1:15" x14ac:dyDescent="0.2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</row>
    <row r="42" spans="1:15" x14ac:dyDescent="0.2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</row>
    <row r="43" spans="1:15" x14ac:dyDescent="0.2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</row>
    <row r="44" spans="1:15" x14ac:dyDescent="0.2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</row>
    <row r="45" spans="1:15" x14ac:dyDescent="0.2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</row>
    <row r="46" spans="1:15" x14ac:dyDescent="0.2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</row>
    <row r="47" spans="1:15" x14ac:dyDescent="0.2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</row>
    <row r="48" spans="1:15" x14ac:dyDescent="0.2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</row>
    <row r="49" spans="1:15" x14ac:dyDescent="0.2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</row>
    <row r="50" spans="1:15" x14ac:dyDescent="0.2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</row>
    <row r="51" spans="1:15" x14ac:dyDescent="0.2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</row>
    <row r="52" spans="1:15" x14ac:dyDescent="0.2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</row>
    <row r="53" spans="1:15" x14ac:dyDescent="0.2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</row>
    <row r="54" spans="1:15" x14ac:dyDescent="0.2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</row>
    <row r="55" spans="1:15" x14ac:dyDescent="0.2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</row>
    <row r="56" spans="1:15" x14ac:dyDescent="0.2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</row>
    <row r="57" spans="1:15" x14ac:dyDescent="0.2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</row>
    <row r="58" spans="1:15" x14ac:dyDescent="0.2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</row>
    <row r="59" spans="1:15" x14ac:dyDescent="0.2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</row>
    <row r="60" spans="1:15" x14ac:dyDescent="0.2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</row>
    <row r="61" spans="1:15" x14ac:dyDescent="0.2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</row>
    <row r="62" spans="1:15" x14ac:dyDescent="0.2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</row>
    <row r="63" spans="1:15" x14ac:dyDescent="0.2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</row>
    <row r="64" spans="1:15" x14ac:dyDescent="0.2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</row>
    <row r="65" spans="1:15" x14ac:dyDescent="0.2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</row>
    <row r="66" spans="1:15" x14ac:dyDescent="0.2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</row>
    <row r="67" spans="1:15" x14ac:dyDescent="0.2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</row>
    <row r="68" spans="1:15" x14ac:dyDescent="0.2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</row>
    <row r="69" spans="1:15" x14ac:dyDescent="0.2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x14ac:dyDescent="0.2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x14ac:dyDescent="0.2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</row>
    <row r="72" spans="1:15" x14ac:dyDescent="0.2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</row>
    <row r="73" spans="1:15" x14ac:dyDescent="0.2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</row>
    <row r="74" spans="1:15" x14ac:dyDescent="0.2"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</row>
    <row r="75" spans="1:15" x14ac:dyDescent="0.2"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</row>
    <row r="76" spans="1:15" x14ac:dyDescent="0.2"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</row>
    <row r="77" spans="1:15" x14ac:dyDescent="0.2"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</row>
    <row r="78" spans="1:15" x14ac:dyDescent="0.2"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</row>
    <row r="79" spans="1:15" x14ac:dyDescent="0.2"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</row>
    <row r="80" spans="1:15" x14ac:dyDescent="0.2"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</row>
    <row r="81" spans="2:15" x14ac:dyDescent="0.2"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</row>
    <row r="82" spans="2:15" x14ac:dyDescent="0.2"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</row>
    <row r="83" spans="2:15" x14ac:dyDescent="0.2"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</row>
    <row r="84" spans="2:15" x14ac:dyDescent="0.2"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</row>
    <row r="85" spans="2:15" x14ac:dyDescent="0.2"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</row>
    <row r="86" spans="2:15" x14ac:dyDescent="0.2"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</row>
    <row r="87" spans="2:15" x14ac:dyDescent="0.2"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</row>
    <row r="88" spans="2:15" x14ac:dyDescent="0.2"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</row>
    <row r="89" spans="2:15" x14ac:dyDescent="0.2"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</row>
    <row r="90" spans="2:15" x14ac:dyDescent="0.2"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</row>
    <row r="91" spans="2:15" x14ac:dyDescent="0.2"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</row>
    <row r="92" spans="2:15" x14ac:dyDescent="0.2"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</row>
    <row r="93" spans="2:15" x14ac:dyDescent="0.2"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</row>
    <row r="94" spans="2:15" x14ac:dyDescent="0.2"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</row>
    <row r="95" spans="2:15" x14ac:dyDescent="0.2"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</row>
    <row r="96" spans="2:15" x14ac:dyDescent="0.2"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</row>
    <row r="97" spans="2:15" x14ac:dyDescent="0.2"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</row>
    <row r="98" spans="2:15" x14ac:dyDescent="0.2"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</row>
    <row r="99" spans="2:15" x14ac:dyDescent="0.2"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</row>
    <row r="100" spans="2:15" x14ac:dyDescent="0.2"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</row>
    <row r="101" spans="2:15" x14ac:dyDescent="0.2"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</row>
    <row r="102" spans="2:15" x14ac:dyDescent="0.2"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</row>
    <row r="103" spans="2:15" x14ac:dyDescent="0.2"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</row>
    <row r="104" spans="2:15" x14ac:dyDescent="0.2"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</row>
    <row r="105" spans="2:15" x14ac:dyDescent="0.2"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</row>
    <row r="106" spans="2:15" x14ac:dyDescent="0.2"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</row>
    <row r="107" spans="2:15" x14ac:dyDescent="0.2"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</row>
    <row r="108" spans="2:15" x14ac:dyDescent="0.2"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</row>
    <row r="109" spans="2:15" x14ac:dyDescent="0.2"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</row>
    <row r="110" spans="2:15" x14ac:dyDescent="0.2"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</row>
    <row r="111" spans="2:15" x14ac:dyDescent="0.2"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</row>
    <row r="112" spans="2:15" x14ac:dyDescent="0.2"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</row>
    <row r="113" spans="2:15" x14ac:dyDescent="0.2"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</row>
    <row r="114" spans="2:15" x14ac:dyDescent="0.2"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</row>
    <row r="115" spans="2:15" x14ac:dyDescent="0.2"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</row>
    <row r="116" spans="2:15" x14ac:dyDescent="0.2"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</row>
    <row r="117" spans="2:15" x14ac:dyDescent="0.2"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</row>
    <row r="118" spans="2:15" x14ac:dyDescent="0.2"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</row>
    <row r="119" spans="2:15" x14ac:dyDescent="0.2"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</row>
    <row r="120" spans="2:15" x14ac:dyDescent="0.2"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</row>
    <row r="121" spans="2:15" x14ac:dyDescent="0.2"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</row>
    <row r="122" spans="2:15" x14ac:dyDescent="0.2"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</row>
    <row r="123" spans="2:15" x14ac:dyDescent="0.2"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</row>
    <row r="124" spans="2:15" x14ac:dyDescent="0.2"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</row>
    <row r="125" spans="2:15" x14ac:dyDescent="0.2"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</row>
    <row r="126" spans="2:15" x14ac:dyDescent="0.2"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</row>
    <row r="127" spans="2:15" x14ac:dyDescent="0.2"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</row>
    <row r="128" spans="2:15" x14ac:dyDescent="0.2"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</row>
    <row r="129" spans="2:15" x14ac:dyDescent="0.2"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</row>
    <row r="130" spans="2:15" x14ac:dyDescent="0.2"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</row>
    <row r="131" spans="2:15" x14ac:dyDescent="0.2"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</row>
    <row r="132" spans="2:15" x14ac:dyDescent="0.2"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</row>
    <row r="133" spans="2:15" x14ac:dyDescent="0.2"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</row>
    <row r="134" spans="2:15" x14ac:dyDescent="0.2"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</row>
    <row r="135" spans="2:15" x14ac:dyDescent="0.2"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</row>
    <row r="136" spans="2:15" x14ac:dyDescent="0.2"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</row>
    <row r="137" spans="2:15" x14ac:dyDescent="0.2"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</row>
    <row r="138" spans="2:15" x14ac:dyDescent="0.2"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</row>
    <row r="139" spans="2:15" x14ac:dyDescent="0.2"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</row>
    <row r="140" spans="2:15" x14ac:dyDescent="0.2"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</row>
    <row r="141" spans="2:15" x14ac:dyDescent="0.2"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</row>
    <row r="142" spans="2:15" x14ac:dyDescent="0.2"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</row>
    <row r="143" spans="2:15" x14ac:dyDescent="0.2"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</row>
    <row r="144" spans="2:15" x14ac:dyDescent="0.2"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</row>
    <row r="145" spans="2:15" x14ac:dyDescent="0.2"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</row>
    <row r="146" spans="2:15" x14ac:dyDescent="0.2"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</row>
    <row r="147" spans="2:15" x14ac:dyDescent="0.2"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</row>
    <row r="148" spans="2:15" x14ac:dyDescent="0.2"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</row>
    <row r="149" spans="2:15" x14ac:dyDescent="0.2"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</row>
    <row r="150" spans="2:15" x14ac:dyDescent="0.2"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</row>
    <row r="151" spans="2:15" x14ac:dyDescent="0.2"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</row>
    <row r="152" spans="2:15" x14ac:dyDescent="0.2"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</row>
    <row r="153" spans="2:15" x14ac:dyDescent="0.2"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</row>
    <row r="154" spans="2:15" x14ac:dyDescent="0.2"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</row>
    <row r="155" spans="2:15" x14ac:dyDescent="0.2"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</row>
    <row r="156" spans="2:15" x14ac:dyDescent="0.2"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</row>
    <row r="157" spans="2:15" x14ac:dyDescent="0.2"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</row>
    <row r="158" spans="2:15" x14ac:dyDescent="0.2"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</row>
    <row r="159" spans="2:15" x14ac:dyDescent="0.2"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</row>
    <row r="160" spans="2:15" x14ac:dyDescent="0.2"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</row>
    <row r="161" spans="2:15" x14ac:dyDescent="0.2"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</row>
    <row r="162" spans="2:15" x14ac:dyDescent="0.2"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</row>
    <row r="163" spans="2:15" x14ac:dyDescent="0.2"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</row>
    <row r="164" spans="2:15" x14ac:dyDescent="0.2"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</row>
    <row r="165" spans="2:15" x14ac:dyDescent="0.2"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</row>
    <row r="166" spans="2:15" x14ac:dyDescent="0.2"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</row>
    <row r="167" spans="2:15" x14ac:dyDescent="0.2"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</row>
    <row r="168" spans="2:15" x14ac:dyDescent="0.2"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</row>
    <row r="169" spans="2:15" x14ac:dyDescent="0.2"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</row>
    <row r="170" spans="2:15" x14ac:dyDescent="0.2"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</row>
    <row r="171" spans="2:15" x14ac:dyDescent="0.2"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</row>
    <row r="172" spans="2:15" x14ac:dyDescent="0.2"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</row>
    <row r="173" spans="2:15" x14ac:dyDescent="0.2"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</row>
    <row r="174" spans="2:15" x14ac:dyDescent="0.2"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</row>
    <row r="175" spans="2:15" x14ac:dyDescent="0.2"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</row>
    <row r="176" spans="2:15" x14ac:dyDescent="0.2"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</row>
    <row r="177" spans="2:15" x14ac:dyDescent="0.2"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</row>
    <row r="178" spans="2:15" x14ac:dyDescent="0.2"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</row>
    <row r="179" spans="2:15" x14ac:dyDescent="0.2"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</row>
    <row r="180" spans="2:15" x14ac:dyDescent="0.2"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</row>
    <row r="181" spans="2:15" x14ac:dyDescent="0.2"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</row>
    <row r="182" spans="2:15" x14ac:dyDescent="0.2"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</row>
    <row r="183" spans="2:15" x14ac:dyDescent="0.2"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</row>
    <row r="184" spans="2:15" x14ac:dyDescent="0.2"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</row>
    <row r="185" spans="2:15" x14ac:dyDescent="0.2"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</row>
    <row r="186" spans="2:15" x14ac:dyDescent="0.2"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</row>
    <row r="187" spans="2:15" x14ac:dyDescent="0.2"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</row>
    <row r="188" spans="2:15" x14ac:dyDescent="0.2"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</row>
    <row r="189" spans="2:15" x14ac:dyDescent="0.2"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</row>
    <row r="190" spans="2:15" x14ac:dyDescent="0.2"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</row>
    <row r="191" spans="2:15" x14ac:dyDescent="0.2"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</row>
    <row r="192" spans="2:15" x14ac:dyDescent="0.2"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</row>
    <row r="193" spans="2:15" x14ac:dyDescent="0.2"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</row>
    <row r="194" spans="2:15" x14ac:dyDescent="0.2"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</row>
    <row r="195" spans="2:15" x14ac:dyDescent="0.2"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</row>
    <row r="196" spans="2:15" x14ac:dyDescent="0.2"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</row>
    <row r="197" spans="2:15" x14ac:dyDescent="0.2"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</row>
    <row r="198" spans="2:15" x14ac:dyDescent="0.2"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</row>
    <row r="199" spans="2:15" x14ac:dyDescent="0.2"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</row>
    <row r="200" spans="2:15" x14ac:dyDescent="0.2"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</row>
    <row r="201" spans="2:15" x14ac:dyDescent="0.2"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</row>
    <row r="202" spans="2:15" x14ac:dyDescent="0.2"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</row>
    <row r="203" spans="2:15" x14ac:dyDescent="0.2"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</row>
    <row r="204" spans="2:15" x14ac:dyDescent="0.2"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</row>
    <row r="205" spans="2:15" x14ac:dyDescent="0.2"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</row>
    <row r="206" spans="2:15" x14ac:dyDescent="0.2"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</row>
    <row r="207" spans="2:15" x14ac:dyDescent="0.2"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</row>
    <row r="208" spans="2:15" x14ac:dyDescent="0.2"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</row>
    <row r="209" spans="2:15" x14ac:dyDescent="0.2"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</row>
    <row r="210" spans="2:15" x14ac:dyDescent="0.2"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</row>
    <row r="211" spans="2:15" x14ac:dyDescent="0.2"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</row>
    <row r="212" spans="2:15" x14ac:dyDescent="0.2"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</row>
    <row r="213" spans="2:15" x14ac:dyDescent="0.2"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</row>
    <row r="214" spans="2:15" x14ac:dyDescent="0.2"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</row>
    <row r="215" spans="2:15" x14ac:dyDescent="0.2"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</row>
    <row r="216" spans="2:15" x14ac:dyDescent="0.2"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</row>
    <row r="217" spans="2:15" x14ac:dyDescent="0.2"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</row>
    <row r="218" spans="2:15" x14ac:dyDescent="0.2"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</row>
    <row r="219" spans="2:15" x14ac:dyDescent="0.2"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</row>
    <row r="220" spans="2:15" x14ac:dyDescent="0.2"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</row>
    <row r="221" spans="2:15" x14ac:dyDescent="0.2"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</row>
    <row r="222" spans="2:15" x14ac:dyDescent="0.2"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</row>
    <row r="223" spans="2:15" x14ac:dyDescent="0.2"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</row>
    <row r="224" spans="2:15" x14ac:dyDescent="0.2"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</row>
    <row r="225" spans="2:15" x14ac:dyDescent="0.2"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</row>
    <row r="226" spans="2:15" x14ac:dyDescent="0.2"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</row>
    <row r="227" spans="2:15" x14ac:dyDescent="0.2"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</row>
    <row r="228" spans="2:15" x14ac:dyDescent="0.2"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</row>
    <row r="229" spans="2:15" x14ac:dyDescent="0.2"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</row>
    <row r="230" spans="2:15" x14ac:dyDescent="0.2"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</row>
    <row r="231" spans="2:15" x14ac:dyDescent="0.2"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</row>
    <row r="232" spans="2:15" x14ac:dyDescent="0.2"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</row>
    <row r="233" spans="2:15" x14ac:dyDescent="0.2"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</row>
    <row r="234" spans="2:15" x14ac:dyDescent="0.2"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</row>
    <row r="235" spans="2:15" x14ac:dyDescent="0.2"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</row>
    <row r="236" spans="2:15" x14ac:dyDescent="0.2"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</row>
    <row r="237" spans="2:15" x14ac:dyDescent="0.2"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</row>
    <row r="238" spans="2:15" x14ac:dyDescent="0.2"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</row>
    <row r="239" spans="2:15" x14ac:dyDescent="0.2"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</row>
    <row r="240" spans="2:15" x14ac:dyDescent="0.2"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</row>
    <row r="241" spans="2:15" x14ac:dyDescent="0.2"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</row>
    <row r="242" spans="2:15" x14ac:dyDescent="0.2"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</row>
    <row r="243" spans="2:15" x14ac:dyDescent="0.2"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</row>
    <row r="244" spans="2:15" x14ac:dyDescent="0.2"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</row>
    <row r="245" spans="2:15" x14ac:dyDescent="0.2"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</row>
    <row r="246" spans="2:15" x14ac:dyDescent="0.2"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</row>
    <row r="247" spans="2:15" x14ac:dyDescent="0.2"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</row>
    <row r="248" spans="2:15" x14ac:dyDescent="0.2"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</row>
    <row r="249" spans="2:15" x14ac:dyDescent="0.2"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</row>
    <row r="250" spans="2:15" x14ac:dyDescent="0.2"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</row>
    <row r="251" spans="2:15" x14ac:dyDescent="0.2"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</row>
    <row r="252" spans="2:15" x14ac:dyDescent="0.2"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</row>
    <row r="253" spans="2:15" x14ac:dyDescent="0.2"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</row>
    <row r="254" spans="2:15" x14ac:dyDescent="0.2"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</row>
    <row r="255" spans="2:15" x14ac:dyDescent="0.2"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</row>
    <row r="256" spans="2:15" x14ac:dyDescent="0.2"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</row>
    <row r="257" spans="2:15" x14ac:dyDescent="0.2"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</row>
    <row r="258" spans="2:15" x14ac:dyDescent="0.2"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</row>
    <row r="259" spans="2:15" x14ac:dyDescent="0.2"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</row>
    <row r="260" spans="2:15" x14ac:dyDescent="0.2"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</row>
    <row r="261" spans="2:15" x14ac:dyDescent="0.2"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</row>
    <row r="262" spans="2:15" x14ac:dyDescent="0.2"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</row>
    <row r="263" spans="2:15" x14ac:dyDescent="0.2"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</row>
    <row r="264" spans="2:15" x14ac:dyDescent="0.2"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</row>
    <row r="265" spans="2:15" x14ac:dyDescent="0.2"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</row>
    <row r="266" spans="2:15" x14ac:dyDescent="0.2"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</row>
    <row r="267" spans="2:15" x14ac:dyDescent="0.2"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</row>
    <row r="268" spans="2:15" x14ac:dyDescent="0.2"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</row>
    <row r="269" spans="2:15" x14ac:dyDescent="0.2"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</row>
    <row r="270" spans="2:15" x14ac:dyDescent="0.2"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</row>
    <row r="271" spans="2:15" x14ac:dyDescent="0.2"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</row>
    <row r="272" spans="2:15" x14ac:dyDescent="0.2"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</row>
    <row r="273" spans="2:15" x14ac:dyDescent="0.2"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</row>
    <row r="274" spans="2:15" x14ac:dyDescent="0.2"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</row>
    <row r="275" spans="2:15" x14ac:dyDescent="0.2"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</row>
    <row r="276" spans="2:15" x14ac:dyDescent="0.2"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</row>
    <row r="277" spans="2:15" x14ac:dyDescent="0.2"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</row>
    <row r="278" spans="2:15" x14ac:dyDescent="0.2"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</row>
    <row r="279" spans="2:15" x14ac:dyDescent="0.2"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</row>
    <row r="280" spans="2:15" x14ac:dyDescent="0.2"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</row>
    <row r="281" spans="2:15" x14ac:dyDescent="0.2"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</row>
    <row r="282" spans="2:15" x14ac:dyDescent="0.2"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</row>
    <row r="283" spans="2:15" x14ac:dyDescent="0.2"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</row>
    <row r="284" spans="2:15" x14ac:dyDescent="0.2"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</row>
    <row r="285" spans="2:15" x14ac:dyDescent="0.2"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</row>
    <row r="286" spans="2:15" x14ac:dyDescent="0.2"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</row>
    <row r="287" spans="2:15" x14ac:dyDescent="0.2"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</row>
    <row r="288" spans="2:15" x14ac:dyDescent="0.2"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</row>
    <row r="289" spans="2:15" x14ac:dyDescent="0.2"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</row>
    <row r="290" spans="2:15" x14ac:dyDescent="0.2"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</row>
    <row r="291" spans="2:15" x14ac:dyDescent="0.2"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</row>
    <row r="292" spans="2:15" x14ac:dyDescent="0.2"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</row>
    <row r="293" spans="2:15" x14ac:dyDescent="0.2"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</row>
    <row r="294" spans="2:15" x14ac:dyDescent="0.2"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</row>
    <row r="295" spans="2:15" x14ac:dyDescent="0.2"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</row>
    <row r="296" spans="2:15" x14ac:dyDescent="0.2"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</row>
    <row r="297" spans="2:15" x14ac:dyDescent="0.2"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</row>
    <row r="298" spans="2:15" x14ac:dyDescent="0.2"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</row>
    <row r="299" spans="2:15" x14ac:dyDescent="0.2"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</row>
    <row r="300" spans="2:15" x14ac:dyDescent="0.2"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</row>
    <row r="301" spans="2:15" x14ac:dyDescent="0.2"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</row>
    <row r="302" spans="2:15" x14ac:dyDescent="0.2"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</row>
    <row r="303" spans="2:15" x14ac:dyDescent="0.2"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</row>
    <row r="304" spans="2:15" x14ac:dyDescent="0.2"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</row>
    <row r="305" spans="2:15" x14ac:dyDescent="0.2"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</row>
    <row r="306" spans="2:15" x14ac:dyDescent="0.2"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</row>
    <row r="307" spans="2:15" x14ac:dyDescent="0.2"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</row>
    <row r="308" spans="2:15" x14ac:dyDescent="0.2"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</row>
    <row r="309" spans="2:15" x14ac:dyDescent="0.2"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</row>
    <row r="310" spans="2:15" x14ac:dyDescent="0.2"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</row>
    <row r="311" spans="2:15" x14ac:dyDescent="0.2"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</row>
    <row r="312" spans="2:15" x14ac:dyDescent="0.2"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</row>
    <row r="313" spans="2:15" x14ac:dyDescent="0.2"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</row>
    <row r="314" spans="2:15" x14ac:dyDescent="0.2"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</row>
    <row r="315" spans="2:15" x14ac:dyDescent="0.2"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</row>
    <row r="316" spans="2:15" x14ac:dyDescent="0.2"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</row>
    <row r="317" spans="2:15" x14ac:dyDescent="0.2"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</row>
    <row r="318" spans="2:15" x14ac:dyDescent="0.2"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</row>
    <row r="319" spans="2:15" x14ac:dyDescent="0.2"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</row>
    <row r="320" spans="2:15" x14ac:dyDescent="0.2"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</row>
    <row r="321" spans="2:15" x14ac:dyDescent="0.2"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</row>
    <row r="322" spans="2:15" x14ac:dyDescent="0.2"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</row>
    <row r="323" spans="2:15" x14ac:dyDescent="0.2"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</row>
    <row r="324" spans="2:15" x14ac:dyDescent="0.2"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</row>
    <row r="325" spans="2:15" x14ac:dyDescent="0.2"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</row>
    <row r="326" spans="2:15" x14ac:dyDescent="0.2"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</row>
    <row r="327" spans="2:15" x14ac:dyDescent="0.2"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</row>
    <row r="328" spans="2:15" x14ac:dyDescent="0.2"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</row>
    <row r="329" spans="2:15" x14ac:dyDescent="0.2"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</row>
    <row r="330" spans="2:15" x14ac:dyDescent="0.2"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</row>
    <row r="331" spans="2:15" x14ac:dyDescent="0.2"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</row>
    <row r="332" spans="2:15" x14ac:dyDescent="0.2"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</row>
    <row r="333" spans="2:15" x14ac:dyDescent="0.2"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</row>
    <row r="334" spans="2:15" x14ac:dyDescent="0.2"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</row>
    <row r="335" spans="2:15" x14ac:dyDescent="0.2"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</row>
    <row r="336" spans="2:15" x14ac:dyDescent="0.2"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</row>
    <row r="337" spans="2:15" x14ac:dyDescent="0.2"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</row>
    <row r="338" spans="2:15" x14ac:dyDescent="0.2"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</row>
    <row r="339" spans="2:15" x14ac:dyDescent="0.2"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</row>
    <row r="340" spans="2:15" x14ac:dyDescent="0.2"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</row>
    <row r="341" spans="2:15" x14ac:dyDescent="0.2"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</row>
    <row r="342" spans="2:15" x14ac:dyDescent="0.2"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</row>
    <row r="343" spans="2:15" x14ac:dyDescent="0.2"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</row>
    <row r="344" spans="2:15" x14ac:dyDescent="0.2"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</row>
    <row r="345" spans="2:15" x14ac:dyDescent="0.2"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</row>
    <row r="346" spans="2:15" x14ac:dyDescent="0.2"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</row>
    <row r="347" spans="2:15" x14ac:dyDescent="0.2"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</row>
    <row r="348" spans="2:15" x14ac:dyDescent="0.2"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</row>
    <row r="349" spans="2:15" x14ac:dyDescent="0.2"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</row>
    <row r="350" spans="2:15" x14ac:dyDescent="0.2"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2:15" x14ac:dyDescent="0.2"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</row>
    <row r="352" spans="2:15" x14ac:dyDescent="0.2"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</row>
    <row r="353" spans="2:15" x14ac:dyDescent="0.2"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</row>
    <row r="354" spans="2:15" x14ac:dyDescent="0.2"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</row>
    <row r="355" spans="2:15" x14ac:dyDescent="0.2"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</row>
    <row r="356" spans="2:15" x14ac:dyDescent="0.2"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</row>
    <row r="357" spans="2:15" x14ac:dyDescent="0.2"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</row>
    <row r="358" spans="2:15" x14ac:dyDescent="0.2"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</row>
    <row r="359" spans="2:15" x14ac:dyDescent="0.2"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</row>
    <row r="360" spans="2:15" x14ac:dyDescent="0.2"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</row>
    <row r="361" spans="2:15" x14ac:dyDescent="0.2"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</row>
    <row r="362" spans="2:15" x14ac:dyDescent="0.2"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</row>
    <row r="363" spans="2:15" x14ac:dyDescent="0.2"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</row>
    <row r="364" spans="2:15" x14ac:dyDescent="0.2"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</row>
    <row r="365" spans="2:15" x14ac:dyDescent="0.2"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</row>
    <row r="366" spans="2:15" x14ac:dyDescent="0.2"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</row>
    <row r="367" spans="2:15" x14ac:dyDescent="0.2"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</row>
    <row r="368" spans="2:15" x14ac:dyDescent="0.2"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</row>
    <row r="369" spans="2:15" x14ac:dyDescent="0.2"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</row>
    <row r="370" spans="2:15" x14ac:dyDescent="0.2"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</row>
    <row r="371" spans="2:15" x14ac:dyDescent="0.2"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</row>
    <row r="372" spans="2:15" x14ac:dyDescent="0.2"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</row>
    <row r="373" spans="2:15" x14ac:dyDescent="0.2"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</row>
    <row r="374" spans="2:15" x14ac:dyDescent="0.2"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</row>
    <row r="375" spans="2:15" x14ac:dyDescent="0.2"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</row>
    <row r="376" spans="2:15" x14ac:dyDescent="0.2"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</row>
    <row r="377" spans="2:15" x14ac:dyDescent="0.2"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</row>
    <row r="378" spans="2:15" x14ac:dyDescent="0.2"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</row>
    <row r="379" spans="2:15" x14ac:dyDescent="0.2"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</row>
    <row r="380" spans="2:15" x14ac:dyDescent="0.2"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</row>
    <row r="381" spans="2:15" x14ac:dyDescent="0.2"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</row>
    <row r="382" spans="2:15" x14ac:dyDescent="0.2"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</row>
    <row r="383" spans="2:15" x14ac:dyDescent="0.2"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</row>
    <row r="384" spans="2:15" x14ac:dyDescent="0.2"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</row>
    <row r="385" spans="2:15" x14ac:dyDescent="0.2"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</row>
    <row r="386" spans="2:15" x14ac:dyDescent="0.2"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</row>
    <row r="387" spans="2:15" x14ac:dyDescent="0.2"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</row>
    <row r="388" spans="2:15" x14ac:dyDescent="0.2"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</row>
    <row r="389" spans="2:15" x14ac:dyDescent="0.2"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</row>
    <row r="390" spans="2:15" x14ac:dyDescent="0.2"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</row>
    <row r="391" spans="2:15" x14ac:dyDescent="0.2"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</row>
    <row r="392" spans="2:15" x14ac:dyDescent="0.2"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</row>
    <row r="393" spans="2:15" x14ac:dyDescent="0.2"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</row>
    <row r="394" spans="2:15" x14ac:dyDescent="0.2"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</row>
    <row r="395" spans="2:15" x14ac:dyDescent="0.2"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</row>
    <row r="396" spans="2:15" x14ac:dyDescent="0.2"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</row>
    <row r="397" spans="2:15" x14ac:dyDescent="0.2"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</row>
    <row r="398" spans="2:15" x14ac:dyDescent="0.2"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</row>
    <row r="399" spans="2:15" x14ac:dyDescent="0.2"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</row>
    <row r="400" spans="2:15" x14ac:dyDescent="0.2"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</row>
    <row r="401" spans="2:15" x14ac:dyDescent="0.2"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</row>
    <row r="402" spans="2:15" x14ac:dyDescent="0.2"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</row>
    <row r="403" spans="2:15" x14ac:dyDescent="0.2"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</row>
    <row r="404" spans="2:15" x14ac:dyDescent="0.2"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</row>
    <row r="405" spans="2:15" x14ac:dyDescent="0.2"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</row>
    <row r="406" spans="2:15" x14ac:dyDescent="0.2"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</row>
    <row r="407" spans="2:15" x14ac:dyDescent="0.2"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</row>
    <row r="408" spans="2:15" x14ac:dyDescent="0.2"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</row>
    <row r="409" spans="2:15" x14ac:dyDescent="0.2"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</row>
    <row r="410" spans="2:15" x14ac:dyDescent="0.2"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</row>
    <row r="411" spans="2:15" x14ac:dyDescent="0.2"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</row>
    <row r="412" spans="2:15" x14ac:dyDescent="0.2"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</row>
    <row r="413" spans="2:15" x14ac:dyDescent="0.2"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</row>
    <row r="414" spans="2:15" x14ac:dyDescent="0.2"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</row>
    <row r="415" spans="2:15" x14ac:dyDescent="0.2"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</row>
    <row r="416" spans="2:15" x14ac:dyDescent="0.2"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</row>
    <row r="417" spans="2:15" x14ac:dyDescent="0.2"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</row>
    <row r="418" spans="2:15" x14ac:dyDescent="0.2"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</row>
    <row r="419" spans="2:15" x14ac:dyDescent="0.2"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</row>
    <row r="420" spans="2:15" x14ac:dyDescent="0.2"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</row>
    <row r="421" spans="2:15" x14ac:dyDescent="0.2"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</row>
    <row r="422" spans="2:15" x14ac:dyDescent="0.2"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</row>
    <row r="423" spans="2:15" x14ac:dyDescent="0.2"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</row>
    <row r="424" spans="2:15" x14ac:dyDescent="0.2"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</row>
    <row r="425" spans="2:15" x14ac:dyDescent="0.2"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</row>
    <row r="426" spans="2:15" x14ac:dyDescent="0.2"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</row>
    <row r="427" spans="2:15" x14ac:dyDescent="0.2"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</row>
    <row r="428" spans="2:15" x14ac:dyDescent="0.2"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</row>
    <row r="429" spans="2:15" x14ac:dyDescent="0.2"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</row>
    <row r="430" spans="2:15" x14ac:dyDescent="0.2"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</row>
    <row r="431" spans="2:15" x14ac:dyDescent="0.2"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</row>
    <row r="432" spans="2:15" x14ac:dyDescent="0.2"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</row>
    <row r="433" spans="2:15" x14ac:dyDescent="0.2"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</row>
    <row r="434" spans="2:15" x14ac:dyDescent="0.2"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</row>
    <row r="435" spans="2:15" x14ac:dyDescent="0.2"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</row>
    <row r="436" spans="2:15" x14ac:dyDescent="0.2"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</row>
    <row r="437" spans="2:15" x14ac:dyDescent="0.2"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</row>
    <row r="438" spans="2:15" x14ac:dyDescent="0.2"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</row>
    <row r="439" spans="2:15" x14ac:dyDescent="0.2"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</row>
    <row r="440" spans="2:15" x14ac:dyDescent="0.2"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</row>
    <row r="441" spans="2:15" x14ac:dyDescent="0.2"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</row>
    <row r="442" spans="2:15" x14ac:dyDescent="0.2"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</row>
    <row r="443" spans="2:15" x14ac:dyDescent="0.2"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</row>
    <row r="444" spans="2:15" x14ac:dyDescent="0.2"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</row>
    <row r="445" spans="2:15" x14ac:dyDescent="0.2"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</row>
    <row r="446" spans="2:15" x14ac:dyDescent="0.2"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</row>
    <row r="447" spans="2:15" x14ac:dyDescent="0.2"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</row>
    <row r="448" spans="2:15" x14ac:dyDescent="0.2"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</row>
    <row r="449" spans="2:15" x14ac:dyDescent="0.2"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</row>
    <row r="450" spans="2:15" x14ac:dyDescent="0.2"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</row>
    <row r="451" spans="2:15" x14ac:dyDescent="0.2"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</row>
    <row r="452" spans="2:15" x14ac:dyDescent="0.2"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</row>
    <row r="453" spans="2:15" x14ac:dyDescent="0.2"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</row>
    <row r="454" spans="2:15" x14ac:dyDescent="0.2"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</row>
    <row r="455" spans="2:15" x14ac:dyDescent="0.2"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</row>
    <row r="456" spans="2:15" x14ac:dyDescent="0.2"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</row>
    <row r="457" spans="2:15" x14ac:dyDescent="0.2"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</row>
    <row r="458" spans="2:15" x14ac:dyDescent="0.2"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</row>
    <row r="459" spans="2:15" x14ac:dyDescent="0.2"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</row>
    <row r="460" spans="2:15" x14ac:dyDescent="0.2"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</row>
    <row r="461" spans="2:15" x14ac:dyDescent="0.2"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</row>
    <row r="462" spans="2:15" x14ac:dyDescent="0.2"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</row>
    <row r="463" spans="2:15" x14ac:dyDescent="0.2"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</row>
    <row r="464" spans="2:15" x14ac:dyDescent="0.2"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</row>
    <row r="465" spans="2:15" x14ac:dyDescent="0.2"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</row>
    <row r="466" spans="2:15" x14ac:dyDescent="0.2"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</row>
    <row r="467" spans="2:15" x14ac:dyDescent="0.2"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</row>
    <row r="468" spans="2:15" x14ac:dyDescent="0.2"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</row>
    <row r="469" spans="2:15" x14ac:dyDescent="0.2"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</row>
    <row r="470" spans="2:15" x14ac:dyDescent="0.2"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</row>
    <row r="471" spans="2:15" x14ac:dyDescent="0.2"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</row>
    <row r="472" spans="2:15" x14ac:dyDescent="0.2"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</row>
    <row r="473" spans="2:15" x14ac:dyDescent="0.2"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</row>
    <row r="474" spans="2:15" x14ac:dyDescent="0.2"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</row>
    <row r="475" spans="2:15" x14ac:dyDescent="0.2"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</row>
    <row r="476" spans="2:15" x14ac:dyDescent="0.2"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</row>
    <row r="477" spans="2:15" x14ac:dyDescent="0.2"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</row>
    <row r="478" spans="2:15" x14ac:dyDescent="0.2"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</row>
    <row r="479" spans="2:15" x14ac:dyDescent="0.2"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</row>
    <row r="480" spans="2:15" x14ac:dyDescent="0.2"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</row>
    <row r="481" spans="2:15" x14ac:dyDescent="0.2"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</row>
    <row r="482" spans="2:15" x14ac:dyDescent="0.2"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</row>
    <row r="483" spans="2:15" x14ac:dyDescent="0.2"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</row>
    <row r="484" spans="2:15" x14ac:dyDescent="0.2"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</row>
    <row r="485" spans="2:15" x14ac:dyDescent="0.2"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</row>
    <row r="486" spans="2:15" x14ac:dyDescent="0.2"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</row>
    <row r="487" spans="2:15" x14ac:dyDescent="0.2"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</row>
    <row r="488" spans="2:15" x14ac:dyDescent="0.2"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</row>
    <row r="489" spans="2:15" x14ac:dyDescent="0.2"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</row>
    <row r="490" spans="2:15" x14ac:dyDescent="0.2"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</row>
    <row r="491" spans="2:15" x14ac:dyDescent="0.2"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</row>
    <row r="492" spans="2:15" x14ac:dyDescent="0.2"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</row>
    <row r="493" spans="2:15" x14ac:dyDescent="0.2"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</row>
    <row r="494" spans="2:15" x14ac:dyDescent="0.2"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</row>
    <row r="495" spans="2:15" x14ac:dyDescent="0.2"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</row>
    <row r="496" spans="2:15" x14ac:dyDescent="0.2"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</row>
    <row r="497" spans="2:15" x14ac:dyDescent="0.2"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</row>
    <row r="498" spans="2:15" x14ac:dyDescent="0.2"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</row>
    <row r="499" spans="2:15" x14ac:dyDescent="0.2"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</row>
    <row r="500" spans="2:15" x14ac:dyDescent="0.2"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</row>
    <row r="501" spans="2:15" x14ac:dyDescent="0.2"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</row>
    <row r="502" spans="2:15" x14ac:dyDescent="0.2"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</row>
    <row r="503" spans="2:15" x14ac:dyDescent="0.2"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</row>
    <row r="504" spans="2:15" x14ac:dyDescent="0.2"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</row>
    <row r="505" spans="2:15" x14ac:dyDescent="0.2"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</row>
    <row r="506" spans="2:15" x14ac:dyDescent="0.2"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</row>
    <row r="507" spans="2:15" x14ac:dyDescent="0.2"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</row>
    <row r="508" spans="2:15" x14ac:dyDescent="0.2"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</row>
    <row r="509" spans="2:15" x14ac:dyDescent="0.2"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</row>
    <row r="510" spans="2:15" x14ac:dyDescent="0.2"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</row>
    <row r="511" spans="2:15" x14ac:dyDescent="0.2"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</row>
    <row r="512" spans="2:15" x14ac:dyDescent="0.2"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</row>
    <row r="513" spans="2:15" x14ac:dyDescent="0.2"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</row>
    <row r="514" spans="2:15" x14ac:dyDescent="0.2"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</row>
    <row r="515" spans="2:15" x14ac:dyDescent="0.2"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</row>
    <row r="516" spans="2:15" x14ac:dyDescent="0.2"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</row>
    <row r="517" spans="2:15" x14ac:dyDescent="0.2"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</row>
    <row r="518" spans="2:15" x14ac:dyDescent="0.2"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</row>
    <row r="519" spans="2:15" x14ac:dyDescent="0.2"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</row>
    <row r="520" spans="2:15" x14ac:dyDescent="0.2"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</row>
    <row r="521" spans="2:15" x14ac:dyDescent="0.2"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</row>
    <row r="522" spans="2:15" x14ac:dyDescent="0.2"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</row>
    <row r="523" spans="2:15" x14ac:dyDescent="0.2"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</row>
    <row r="524" spans="2:15" x14ac:dyDescent="0.2"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</row>
    <row r="525" spans="2:15" x14ac:dyDescent="0.2"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</row>
    <row r="526" spans="2:15" x14ac:dyDescent="0.2"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</row>
    <row r="527" spans="2:15" x14ac:dyDescent="0.2"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</row>
    <row r="528" spans="2:15" x14ac:dyDescent="0.2"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</row>
    <row r="529" spans="2:15" x14ac:dyDescent="0.2"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</row>
    <row r="530" spans="2:15" x14ac:dyDescent="0.2"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</row>
    <row r="531" spans="2:15" x14ac:dyDescent="0.2"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</row>
    <row r="532" spans="2:15" x14ac:dyDescent="0.2"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</row>
    <row r="533" spans="2:15" x14ac:dyDescent="0.2"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</row>
    <row r="534" spans="2:15" x14ac:dyDescent="0.2"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</row>
    <row r="535" spans="2:15" x14ac:dyDescent="0.2"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</row>
    <row r="536" spans="2:15" x14ac:dyDescent="0.2"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</row>
    <row r="537" spans="2:15" x14ac:dyDescent="0.2"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</row>
    <row r="538" spans="2:15" x14ac:dyDescent="0.2"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</row>
    <row r="539" spans="2:15" x14ac:dyDescent="0.2"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</row>
    <row r="540" spans="2:15" x14ac:dyDescent="0.2"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</row>
    <row r="541" spans="2:15" x14ac:dyDescent="0.2"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</row>
    <row r="542" spans="2:15" x14ac:dyDescent="0.2"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</row>
    <row r="543" spans="2:15" x14ac:dyDescent="0.2"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</row>
    <row r="544" spans="2:15" x14ac:dyDescent="0.2"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</row>
    <row r="545" spans="2:15" x14ac:dyDescent="0.2"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</row>
    <row r="546" spans="2:15" x14ac:dyDescent="0.2"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</row>
    <row r="547" spans="2:15" x14ac:dyDescent="0.2"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</row>
    <row r="548" spans="2:15" x14ac:dyDescent="0.2"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</row>
    <row r="549" spans="2:15" x14ac:dyDescent="0.2"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</row>
    <row r="550" spans="2:15" x14ac:dyDescent="0.2"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</row>
    <row r="551" spans="2:15" x14ac:dyDescent="0.2"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</row>
    <row r="552" spans="2:15" x14ac:dyDescent="0.2"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</row>
    <row r="553" spans="2:15" x14ac:dyDescent="0.2"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</row>
    <row r="554" spans="2:15" x14ac:dyDescent="0.2"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</row>
    <row r="555" spans="2:15" x14ac:dyDescent="0.2"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</row>
    <row r="556" spans="2:15" x14ac:dyDescent="0.2"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</row>
    <row r="557" spans="2:15" x14ac:dyDescent="0.2"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</row>
    <row r="558" spans="2:15" x14ac:dyDescent="0.2"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</row>
    <row r="559" spans="2:15" x14ac:dyDescent="0.2"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</row>
    <row r="560" spans="2:15" x14ac:dyDescent="0.2"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</row>
    <row r="561" spans="2:15" x14ac:dyDescent="0.2"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</row>
    <row r="562" spans="2:15" x14ac:dyDescent="0.2"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</row>
    <row r="563" spans="2:15" x14ac:dyDescent="0.2"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</row>
    <row r="564" spans="2:15" x14ac:dyDescent="0.2"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</row>
    <row r="565" spans="2:15" x14ac:dyDescent="0.2"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</row>
    <row r="566" spans="2:15" x14ac:dyDescent="0.2"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</row>
    <row r="567" spans="2:15" x14ac:dyDescent="0.2"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</row>
    <row r="568" spans="2:15" x14ac:dyDescent="0.2"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</row>
    <row r="569" spans="2:15" x14ac:dyDescent="0.2"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</row>
    <row r="570" spans="2:15" x14ac:dyDescent="0.2"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</row>
    <row r="571" spans="2:15" x14ac:dyDescent="0.2"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</row>
    <row r="572" spans="2:15" x14ac:dyDescent="0.2"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</row>
    <row r="573" spans="2:15" x14ac:dyDescent="0.2"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</row>
    <row r="574" spans="2:15" x14ac:dyDescent="0.2"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</row>
    <row r="575" spans="2:15" x14ac:dyDescent="0.2"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</row>
    <row r="576" spans="2:15" x14ac:dyDescent="0.2"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</row>
    <row r="577" spans="2:15" x14ac:dyDescent="0.2"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</row>
    <row r="578" spans="2:15" x14ac:dyDescent="0.2"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</row>
    <row r="579" spans="2:15" x14ac:dyDescent="0.2"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</row>
    <row r="580" spans="2:15" x14ac:dyDescent="0.2"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</row>
    <row r="581" spans="2:15" x14ac:dyDescent="0.2"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</row>
    <row r="582" spans="2:15" x14ac:dyDescent="0.2"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</row>
    <row r="583" spans="2:15" x14ac:dyDescent="0.2"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</row>
    <row r="584" spans="2:15" x14ac:dyDescent="0.2"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</row>
    <row r="585" spans="2:15" x14ac:dyDescent="0.2"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</row>
    <row r="586" spans="2:15" x14ac:dyDescent="0.2"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</row>
    <row r="587" spans="2:15" x14ac:dyDescent="0.2"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</row>
    <row r="588" spans="2:15" x14ac:dyDescent="0.2"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</row>
    <row r="589" spans="2:15" x14ac:dyDescent="0.2"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</row>
    <row r="590" spans="2:15" x14ac:dyDescent="0.2"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</row>
    <row r="591" spans="2:15" x14ac:dyDescent="0.2"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</row>
    <row r="592" spans="2:15" x14ac:dyDescent="0.2"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</row>
    <row r="593" spans="2:15" x14ac:dyDescent="0.2"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</row>
    <row r="594" spans="2:15" x14ac:dyDescent="0.2"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</row>
    <row r="595" spans="2:15" x14ac:dyDescent="0.2"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</row>
    <row r="596" spans="2:15" x14ac:dyDescent="0.2"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</row>
    <row r="597" spans="2:15" x14ac:dyDescent="0.2"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</row>
    <row r="598" spans="2:15" x14ac:dyDescent="0.2"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</row>
    <row r="599" spans="2:15" x14ac:dyDescent="0.2"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</row>
    <row r="600" spans="2:15" x14ac:dyDescent="0.2"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</row>
    <row r="601" spans="2:15" x14ac:dyDescent="0.2"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</row>
    <row r="602" spans="2:15" x14ac:dyDescent="0.2"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</row>
    <row r="603" spans="2:15" x14ac:dyDescent="0.2"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</row>
    <row r="604" spans="2:15" x14ac:dyDescent="0.2"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</row>
    <row r="605" spans="2:15" x14ac:dyDescent="0.2"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</row>
    <row r="606" spans="2:15" x14ac:dyDescent="0.2"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</row>
    <row r="607" spans="2:15" x14ac:dyDescent="0.2"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</row>
    <row r="608" spans="2:15" x14ac:dyDescent="0.2"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</row>
    <row r="609" spans="2:15" x14ac:dyDescent="0.2"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</row>
    <row r="610" spans="2:15" x14ac:dyDescent="0.2"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</row>
    <row r="611" spans="2:15" x14ac:dyDescent="0.2"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</row>
    <row r="612" spans="2:15" x14ac:dyDescent="0.2"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</row>
    <row r="613" spans="2:15" x14ac:dyDescent="0.2"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</row>
    <row r="614" spans="2:15" x14ac:dyDescent="0.2"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</row>
    <row r="615" spans="2:15" x14ac:dyDescent="0.2"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</row>
    <row r="616" spans="2:15" x14ac:dyDescent="0.2"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</row>
    <row r="617" spans="2:15" x14ac:dyDescent="0.2"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</row>
    <row r="618" spans="2:15" x14ac:dyDescent="0.2"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</row>
    <row r="619" spans="2:15" x14ac:dyDescent="0.2"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</row>
    <row r="620" spans="2:15" x14ac:dyDescent="0.2"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</row>
    <row r="621" spans="2:15" x14ac:dyDescent="0.2"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</row>
    <row r="622" spans="2:15" x14ac:dyDescent="0.2"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</row>
    <row r="623" spans="2:15" x14ac:dyDescent="0.2"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</row>
    <row r="624" spans="2:15" x14ac:dyDescent="0.2"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</row>
    <row r="625" spans="2:15" x14ac:dyDescent="0.2"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</row>
    <row r="626" spans="2:15" x14ac:dyDescent="0.2"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</row>
    <row r="627" spans="2:15" x14ac:dyDescent="0.2"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</row>
    <row r="628" spans="2:15" x14ac:dyDescent="0.2"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</row>
    <row r="629" spans="2:15" x14ac:dyDescent="0.2"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</row>
    <row r="630" spans="2:15" x14ac:dyDescent="0.2"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</row>
    <row r="631" spans="2:15" x14ac:dyDescent="0.2"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</row>
    <row r="632" spans="2:15" x14ac:dyDescent="0.2"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</row>
    <row r="633" spans="2:15" x14ac:dyDescent="0.2"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</row>
    <row r="634" spans="2:15" x14ac:dyDescent="0.2"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</row>
    <row r="635" spans="2:15" x14ac:dyDescent="0.2"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</row>
    <row r="636" spans="2:15" x14ac:dyDescent="0.2"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</row>
    <row r="637" spans="2:15" x14ac:dyDescent="0.2"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</row>
    <row r="638" spans="2:15" x14ac:dyDescent="0.2"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</row>
    <row r="639" spans="2:15" x14ac:dyDescent="0.2"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</row>
    <row r="640" spans="2:15" x14ac:dyDescent="0.2"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</row>
    <row r="641" spans="2:15" x14ac:dyDescent="0.2"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</row>
    <row r="642" spans="2:15" x14ac:dyDescent="0.2"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</row>
    <row r="643" spans="2:15" x14ac:dyDescent="0.2"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</row>
    <row r="644" spans="2:15" x14ac:dyDescent="0.2"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</row>
    <row r="645" spans="2:15" x14ac:dyDescent="0.2"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</row>
    <row r="646" spans="2:15" x14ac:dyDescent="0.2"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</row>
    <row r="647" spans="2:15" x14ac:dyDescent="0.2"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</row>
    <row r="648" spans="2:15" x14ac:dyDescent="0.2"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</row>
    <row r="649" spans="2:15" x14ac:dyDescent="0.2"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</row>
    <row r="650" spans="2:15" x14ac:dyDescent="0.2"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</row>
    <row r="651" spans="2:15" x14ac:dyDescent="0.2"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</row>
    <row r="652" spans="2:15" x14ac:dyDescent="0.2"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</row>
    <row r="653" spans="2:15" x14ac:dyDescent="0.2"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</row>
    <row r="654" spans="2:15" x14ac:dyDescent="0.2"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</row>
    <row r="655" spans="2:15" x14ac:dyDescent="0.2"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</row>
    <row r="656" spans="2:15" x14ac:dyDescent="0.2"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</row>
    <row r="657" spans="2:15" x14ac:dyDescent="0.2"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</row>
    <row r="658" spans="2:15" x14ac:dyDescent="0.2"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</row>
    <row r="659" spans="2:15" x14ac:dyDescent="0.2"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</row>
    <row r="660" spans="2:15" x14ac:dyDescent="0.2"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</row>
    <row r="661" spans="2:15" x14ac:dyDescent="0.2"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</row>
    <row r="662" spans="2:15" x14ac:dyDescent="0.2"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</row>
    <row r="663" spans="2:15" x14ac:dyDescent="0.2"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</row>
    <row r="664" spans="2:15" x14ac:dyDescent="0.2"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</row>
    <row r="665" spans="2:15" x14ac:dyDescent="0.2"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</row>
    <row r="666" spans="2:15" x14ac:dyDescent="0.2"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</row>
    <row r="667" spans="2:15" x14ac:dyDescent="0.2"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</row>
    <row r="668" spans="2:15" x14ac:dyDescent="0.2"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</row>
    <row r="669" spans="2:15" x14ac:dyDescent="0.2"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</row>
    <row r="670" spans="2:15" x14ac:dyDescent="0.2"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</row>
    <row r="671" spans="2:15" x14ac:dyDescent="0.2"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</row>
    <row r="672" spans="2:15" x14ac:dyDescent="0.2"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</row>
    <row r="673" spans="2:15" x14ac:dyDescent="0.2"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</row>
    <row r="674" spans="2:15" x14ac:dyDescent="0.2"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</row>
    <row r="675" spans="2:15" x14ac:dyDescent="0.2"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</row>
    <row r="676" spans="2:15" x14ac:dyDescent="0.2"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</row>
    <row r="677" spans="2:15" x14ac:dyDescent="0.2"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</row>
    <row r="678" spans="2:15" x14ac:dyDescent="0.2"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</row>
    <row r="679" spans="2:15" x14ac:dyDescent="0.2"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</row>
    <row r="680" spans="2:15" x14ac:dyDescent="0.2"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</row>
    <row r="681" spans="2:15" x14ac:dyDescent="0.2"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</row>
    <row r="682" spans="2:15" x14ac:dyDescent="0.2"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</row>
    <row r="683" spans="2:15" x14ac:dyDescent="0.2"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</row>
    <row r="684" spans="2:15" x14ac:dyDescent="0.2"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</row>
    <row r="685" spans="2:15" x14ac:dyDescent="0.2"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</row>
    <row r="686" spans="2:15" x14ac:dyDescent="0.2"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</row>
    <row r="687" spans="2:15" x14ac:dyDescent="0.2"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</row>
    <row r="688" spans="2:15" x14ac:dyDescent="0.2"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</row>
    <row r="689" spans="2:15" x14ac:dyDescent="0.2"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</row>
    <row r="690" spans="2:15" x14ac:dyDescent="0.2"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</row>
    <row r="691" spans="2:15" x14ac:dyDescent="0.2"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</row>
    <row r="692" spans="2:15" x14ac:dyDescent="0.2"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</row>
    <row r="693" spans="2:15" x14ac:dyDescent="0.2"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</row>
    <row r="694" spans="2:15" x14ac:dyDescent="0.2"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</row>
    <row r="695" spans="2:15" x14ac:dyDescent="0.2"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</row>
    <row r="696" spans="2:15" x14ac:dyDescent="0.2"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</row>
    <row r="697" spans="2:15" x14ac:dyDescent="0.2"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</row>
    <row r="698" spans="2:15" x14ac:dyDescent="0.2"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</row>
    <row r="699" spans="2:15" x14ac:dyDescent="0.2"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</row>
    <row r="700" spans="2:15" x14ac:dyDescent="0.2"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</row>
    <row r="701" spans="2:15" x14ac:dyDescent="0.2"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</row>
    <row r="702" spans="2:15" x14ac:dyDescent="0.2"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</row>
    <row r="703" spans="2:15" x14ac:dyDescent="0.2"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</row>
    <row r="704" spans="2:15" x14ac:dyDescent="0.2"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</row>
    <row r="705" spans="2:15" x14ac:dyDescent="0.2"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</row>
    <row r="706" spans="2:15" x14ac:dyDescent="0.2"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</row>
    <row r="707" spans="2:15" x14ac:dyDescent="0.2"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</row>
    <row r="708" spans="2:15" x14ac:dyDescent="0.2"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</row>
    <row r="709" spans="2:15" x14ac:dyDescent="0.2"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</row>
    <row r="710" spans="2:15" x14ac:dyDescent="0.2"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</row>
    <row r="711" spans="2:15" x14ac:dyDescent="0.2"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</row>
    <row r="712" spans="2:15" x14ac:dyDescent="0.2"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</row>
    <row r="713" spans="2:15" x14ac:dyDescent="0.2"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</row>
    <row r="714" spans="2:15" x14ac:dyDescent="0.2"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</row>
    <row r="715" spans="2:15" x14ac:dyDescent="0.2"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</row>
    <row r="716" spans="2:15" x14ac:dyDescent="0.2"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</row>
    <row r="717" spans="2:15" x14ac:dyDescent="0.2"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</row>
    <row r="718" spans="2:15" x14ac:dyDescent="0.2"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</row>
    <row r="719" spans="2:15" x14ac:dyDescent="0.2"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</row>
    <row r="720" spans="2:15" x14ac:dyDescent="0.2"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</row>
    <row r="721" spans="2:15" x14ac:dyDescent="0.2"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</row>
    <row r="722" spans="2:15" x14ac:dyDescent="0.2"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</row>
    <row r="723" spans="2:15" x14ac:dyDescent="0.2"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</row>
    <row r="724" spans="2:15" x14ac:dyDescent="0.2"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</row>
    <row r="725" spans="2:15" x14ac:dyDescent="0.2"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</row>
    <row r="726" spans="2:15" x14ac:dyDescent="0.2"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</row>
    <row r="727" spans="2:15" x14ac:dyDescent="0.2"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</row>
    <row r="728" spans="2:15" x14ac:dyDescent="0.2"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</row>
    <row r="729" spans="2:15" x14ac:dyDescent="0.2"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</row>
    <row r="730" spans="2:15" x14ac:dyDescent="0.2"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</row>
    <row r="731" spans="2:15" x14ac:dyDescent="0.2"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</row>
    <row r="732" spans="2:15" x14ac:dyDescent="0.2"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</row>
    <row r="733" spans="2:15" x14ac:dyDescent="0.2"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</row>
    <row r="734" spans="2:15" x14ac:dyDescent="0.2"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</row>
    <row r="735" spans="2:15" x14ac:dyDescent="0.2"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</row>
    <row r="736" spans="2:15" x14ac:dyDescent="0.2"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</row>
    <row r="737" spans="2:15" x14ac:dyDescent="0.2"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</row>
    <row r="738" spans="2:15" x14ac:dyDescent="0.2"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</row>
    <row r="739" spans="2:15" x14ac:dyDescent="0.2"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</row>
    <row r="740" spans="2:15" x14ac:dyDescent="0.2"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</row>
    <row r="741" spans="2:15" x14ac:dyDescent="0.2"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</row>
    <row r="742" spans="2:15" x14ac:dyDescent="0.2"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</row>
    <row r="743" spans="2:15" x14ac:dyDescent="0.2"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</row>
    <row r="744" spans="2:15" x14ac:dyDescent="0.2"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</row>
    <row r="745" spans="2:15" x14ac:dyDescent="0.2"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</row>
    <row r="746" spans="2:15" x14ac:dyDescent="0.2"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</row>
    <row r="747" spans="2:15" x14ac:dyDescent="0.2"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</row>
    <row r="748" spans="2:15" x14ac:dyDescent="0.2"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</row>
    <row r="749" spans="2:15" x14ac:dyDescent="0.2"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</row>
    <row r="750" spans="2:15" x14ac:dyDescent="0.2"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</row>
    <row r="751" spans="2:15" x14ac:dyDescent="0.2"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</row>
    <row r="752" spans="2:15" x14ac:dyDescent="0.2"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</row>
    <row r="753" spans="2:15" x14ac:dyDescent="0.2"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</row>
    <row r="754" spans="2:15" x14ac:dyDescent="0.2"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</row>
    <row r="755" spans="2:15" x14ac:dyDescent="0.2"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</row>
    <row r="756" spans="2:15" x14ac:dyDescent="0.2"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</row>
    <row r="757" spans="2:15" x14ac:dyDescent="0.2"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</row>
    <row r="758" spans="2:15" x14ac:dyDescent="0.2"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</row>
    <row r="759" spans="2:15" x14ac:dyDescent="0.2"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</row>
    <row r="760" spans="2:15" x14ac:dyDescent="0.2"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</row>
    <row r="761" spans="2:15" x14ac:dyDescent="0.2"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</row>
    <row r="762" spans="2:15" x14ac:dyDescent="0.2"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</row>
    <row r="763" spans="2:15" x14ac:dyDescent="0.2"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</row>
    <row r="764" spans="2:15" x14ac:dyDescent="0.2"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</row>
    <row r="765" spans="2:15" x14ac:dyDescent="0.2"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</row>
    <row r="766" spans="2:15" x14ac:dyDescent="0.2"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</row>
    <row r="767" spans="2:15" x14ac:dyDescent="0.2"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</row>
    <row r="768" spans="2:15" x14ac:dyDescent="0.2"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</row>
    <row r="769" spans="2:15" x14ac:dyDescent="0.2"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</row>
    <row r="770" spans="2:15" x14ac:dyDescent="0.2"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</row>
    <row r="771" spans="2:15" x14ac:dyDescent="0.2"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</row>
    <row r="772" spans="2:15" x14ac:dyDescent="0.2"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</row>
    <row r="773" spans="2:15" x14ac:dyDescent="0.2"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</row>
    <row r="774" spans="2:15" x14ac:dyDescent="0.2"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</row>
    <row r="775" spans="2:15" x14ac:dyDescent="0.2"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</row>
    <row r="776" spans="2:15" x14ac:dyDescent="0.2"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</row>
    <row r="777" spans="2:15" x14ac:dyDescent="0.2"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</row>
    <row r="778" spans="2:15" x14ac:dyDescent="0.2"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</row>
    <row r="779" spans="2:15" x14ac:dyDescent="0.2"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</row>
    <row r="780" spans="2:15" x14ac:dyDescent="0.2"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</row>
    <row r="781" spans="2:15" x14ac:dyDescent="0.2"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</row>
    <row r="782" spans="2:15" x14ac:dyDescent="0.2"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</row>
    <row r="783" spans="2:15" x14ac:dyDescent="0.2"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</row>
    <row r="784" spans="2:15" x14ac:dyDescent="0.2"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</row>
    <row r="785" spans="2:15" x14ac:dyDescent="0.2"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</row>
    <row r="786" spans="2:15" x14ac:dyDescent="0.2"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</row>
    <row r="787" spans="2:15" x14ac:dyDescent="0.2"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</row>
    <row r="788" spans="2:15" x14ac:dyDescent="0.2"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</row>
    <row r="789" spans="2:15" x14ac:dyDescent="0.2"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</row>
    <row r="790" spans="2:15" x14ac:dyDescent="0.2"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</row>
    <row r="791" spans="2:15" x14ac:dyDescent="0.2"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</row>
    <row r="792" spans="2:15" x14ac:dyDescent="0.2"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</row>
    <row r="793" spans="2:15" x14ac:dyDescent="0.2"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</row>
    <row r="794" spans="2:15" x14ac:dyDescent="0.2"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</row>
    <row r="795" spans="2:15" x14ac:dyDescent="0.2"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</row>
    <row r="796" spans="2:15" x14ac:dyDescent="0.2"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</row>
    <row r="797" spans="2:15" x14ac:dyDescent="0.2"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</row>
    <row r="798" spans="2:15" x14ac:dyDescent="0.2"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</row>
    <row r="799" spans="2:15" x14ac:dyDescent="0.2"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</row>
    <row r="800" spans="2:15" x14ac:dyDescent="0.2"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</row>
    <row r="801" spans="2:15" x14ac:dyDescent="0.2"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</row>
    <row r="802" spans="2:15" x14ac:dyDescent="0.2"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</row>
    <row r="803" spans="2:15" x14ac:dyDescent="0.2"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</row>
    <row r="804" spans="2:15" x14ac:dyDescent="0.2"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</row>
    <row r="805" spans="2:15" x14ac:dyDescent="0.2"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</row>
    <row r="806" spans="2:15" x14ac:dyDescent="0.2"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</row>
    <row r="807" spans="2:15" x14ac:dyDescent="0.2"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</row>
    <row r="808" spans="2:15" x14ac:dyDescent="0.2"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</row>
    <row r="809" spans="2:15" x14ac:dyDescent="0.2"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</row>
    <row r="810" spans="2:15" x14ac:dyDescent="0.2"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</row>
    <row r="811" spans="2:15" x14ac:dyDescent="0.2"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</row>
    <row r="812" spans="2:15" x14ac:dyDescent="0.2"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</row>
    <row r="813" spans="2:15" x14ac:dyDescent="0.2"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</row>
    <row r="814" spans="2:15" x14ac:dyDescent="0.2"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</row>
    <row r="815" spans="2:15" x14ac:dyDescent="0.2"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</row>
    <row r="816" spans="2:15" x14ac:dyDescent="0.2"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</row>
    <row r="817" spans="2:15" x14ac:dyDescent="0.2"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</row>
    <row r="818" spans="2:15" x14ac:dyDescent="0.2"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</row>
    <row r="819" spans="2:15" x14ac:dyDescent="0.2"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</row>
    <row r="820" spans="2:15" x14ac:dyDescent="0.2"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</row>
    <row r="821" spans="2:15" x14ac:dyDescent="0.2"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</row>
    <row r="822" spans="2:15" x14ac:dyDescent="0.2"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</row>
    <row r="823" spans="2:15" x14ac:dyDescent="0.2"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</row>
    <row r="824" spans="2:15" x14ac:dyDescent="0.2"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</row>
    <row r="825" spans="2:15" x14ac:dyDescent="0.2"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</row>
    <row r="826" spans="2:15" x14ac:dyDescent="0.2"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</row>
    <row r="827" spans="2:15" x14ac:dyDescent="0.2"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</row>
    <row r="828" spans="2:15" x14ac:dyDescent="0.2"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</row>
    <row r="829" spans="2:15" x14ac:dyDescent="0.2"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</row>
    <row r="830" spans="2:15" x14ac:dyDescent="0.2"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</row>
    <row r="831" spans="2:15" x14ac:dyDescent="0.2"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</row>
    <row r="832" spans="2:15" x14ac:dyDescent="0.2"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</row>
    <row r="833" spans="2:15" x14ac:dyDescent="0.2"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</row>
    <row r="834" spans="2:15" x14ac:dyDescent="0.2"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</row>
    <row r="835" spans="2:15" x14ac:dyDescent="0.2"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</row>
    <row r="836" spans="2:15" x14ac:dyDescent="0.2"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</row>
    <row r="837" spans="2:15" x14ac:dyDescent="0.2"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</row>
    <row r="838" spans="2:15" x14ac:dyDescent="0.2"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</row>
    <row r="839" spans="2:15" x14ac:dyDescent="0.2"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</row>
    <row r="840" spans="2:15" x14ac:dyDescent="0.2"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</row>
    <row r="841" spans="2:15" x14ac:dyDescent="0.2"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</row>
    <row r="842" spans="2:15" x14ac:dyDescent="0.2"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</row>
    <row r="843" spans="2:15" x14ac:dyDescent="0.2"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</row>
    <row r="844" spans="2:15" x14ac:dyDescent="0.2"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</row>
    <row r="845" spans="2:15" x14ac:dyDescent="0.2"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</row>
    <row r="846" spans="2:15" x14ac:dyDescent="0.2"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</row>
    <row r="847" spans="2:15" x14ac:dyDescent="0.2"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</row>
    <row r="848" spans="2:15" x14ac:dyDescent="0.2"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</row>
    <row r="849" spans="2:15" x14ac:dyDescent="0.2"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</row>
    <row r="850" spans="2:15" x14ac:dyDescent="0.2"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</row>
    <row r="851" spans="2:15" x14ac:dyDescent="0.2"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</row>
    <row r="852" spans="2:15" x14ac:dyDescent="0.2"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</row>
    <row r="853" spans="2:15" x14ac:dyDescent="0.2"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</row>
    <row r="854" spans="2:15" x14ac:dyDescent="0.2"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</row>
    <row r="855" spans="2:15" x14ac:dyDescent="0.2"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</row>
    <row r="856" spans="2:15" x14ac:dyDescent="0.2"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</row>
    <row r="857" spans="2:15" x14ac:dyDescent="0.2"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</row>
    <row r="858" spans="2:15" x14ac:dyDescent="0.2"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</row>
    <row r="859" spans="2:15" x14ac:dyDescent="0.2"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</row>
    <row r="860" spans="2:15" x14ac:dyDescent="0.2"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</row>
    <row r="861" spans="2:15" x14ac:dyDescent="0.2"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</row>
    <row r="862" spans="2:15" x14ac:dyDescent="0.2"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</row>
    <row r="863" spans="2:15" x14ac:dyDescent="0.2"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</row>
    <row r="864" spans="2:15" x14ac:dyDescent="0.2"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</row>
    <row r="865" spans="2:15" x14ac:dyDescent="0.2"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</row>
    <row r="866" spans="2:15" x14ac:dyDescent="0.2"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</row>
    <row r="867" spans="2:15" x14ac:dyDescent="0.2"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</row>
    <row r="868" spans="2:15" x14ac:dyDescent="0.2"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</row>
    <row r="869" spans="2:15" x14ac:dyDescent="0.2"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</row>
    <row r="870" spans="2:15" x14ac:dyDescent="0.2"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</row>
    <row r="871" spans="2:15" x14ac:dyDescent="0.2"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</row>
    <row r="872" spans="2:15" x14ac:dyDescent="0.2"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</row>
    <row r="873" spans="2:15" x14ac:dyDescent="0.2"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</row>
    <row r="874" spans="2:15" x14ac:dyDescent="0.2"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</row>
    <row r="875" spans="2:15" x14ac:dyDescent="0.2"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</row>
    <row r="876" spans="2:15" x14ac:dyDescent="0.2"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</row>
    <row r="877" spans="2:15" x14ac:dyDescent="0.2"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</row>
    <row r="878" spans="2:15" x14ac:dyDescent="0.2"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</row>
    <row r="879" spans="2:15" x14ac:dyDescent="0.2"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</row>
    <row r="880" spans="2:15" x14ac:dyDescent="0.2"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</row>
    <row r="881" spans="2:15" x14ac:dyDescent="0.2"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</row>
    <row r="882" spans="2:15" x14ac:dyDescent="0.2"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</row>
    <row r="883" spans="2:15" x14ac:dyDescent="0.2"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</row>
    <row r="884" spans="2:15" x14ac:dyDescent="0.2"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</row>
    <row r="885" spans="2:15" x14ac:dyDescent="0.2"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</row>
    <row r="886" spans="2:15" x14ac:dyDescent="0.2"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</row>
    <row r="887" spans="2:15" x14ac:dyDescent="0.2"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</row>
    <row r="888" spans="2:15" x14ac:dyDescent="0.2"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</row>
    <row r="889" spans="2:15" x14ac:dyDescent="0.2"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</row>
    <row r="890" spans="2:15" x14ac:dyDescent="0.2"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</row>
    <row r="891" spans="2:15" x14ac:dyDescent="0.2"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</row>
    <row r="892" spans="2:15" x14ac:dyDescent="0.2"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</row>
    <row r="893" spans="2:15" x14ac:dyDescent="0.2"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</row>
    <row r="894" spans="2:15" x14ac:dyDescent="0.2"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</row>
    <row r="895" spans="2:15" x14ac:dyDescent="0.2"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</row>
    <row r="896" spans="2:15" x14ac:dyDescent="0.2"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</row>
    <row r="897" spans="2:15" x14ac:dyDescent="0.2"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</row>
    <row r="898" spans="2:15" x14ac:dyDescent="0.2"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</row>
    <row r="899" spans="2:15" x14ac:dyDescent="0.2"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</row>
    <row r="900" spans="2:15" x14ac:dyDescent="0.2"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</row>
    <row r="901" spans="2:15" x14ac:dyDescent="0.2"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</row>
    <row r="902" spans="2:15" x14ac:dyDescent="0.2"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</row>
    <row r="903" spans="2:15" x14ac:dyDescent="0.2"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</row>
    <row r="904" spans="2:15" x14ac:dyDescent="0.2"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</row>
    <row r="905" spans="2:15" x14ac:dyDescent="0.2"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</row>
    <row r="906" spans="2:15" x14ac:dyDescent="0.2"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</row>
    <row r="907" spans="2:15" x14ac:dyDescent="0.2"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</row>
    <row r="908" spans="2:15" x14ac:dyDescent="0.2"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</row>
    <row r="909" spans="2:15" x14ac:dyDescent="0.2"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</row>
    <row r="910" spans="2:15" x14ac:dyDescent="0.2"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</row>
    <row r="911" spans="2:15" x14ac:dyDescent="0.2"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</row>
    <row r="912" spans="2:15" x14ac:dyDescent="0.2"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</row>
    <row r="913" spans="2:15" x14ac:dyDescent="0.2"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</row>
    <row r="914" spans="2:15" x14ac:dyDescent="0.2"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</row>
    <row r="915" spans="2:15" x14ac:dyDescent="0.2"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</row>
    <row r="916" spans="2:15" x14ac:dyDescent="0.2"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</row>
    <row r="917" spans="2:15" x14ac:dyDescent="0.2"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</row>
    <row r="918" spans="2:15" x14ac:dyDescent="0.2"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</row>
    <row r="919" spans="2:15" x14ac:dyDescent="0.2"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</row>
    <row r="920" spans="2:15" x14ac:dyDescent="0.2"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</row>
    <row r="921" spans="2:15" x14ac:dyDescent="0.2"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</row>
    <row r="922" spans="2:15" x14ac:dyDescent="0.2"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</row>
    <row r="923" spans="2:15" x14ac:dyDescent="0.2"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</row>
    <row r="924" spans="2:15" x14ac:dyDescent="0.2"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</row>
    <row r="925" spans="2:15" x14ac:dyDescent="0.2"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</row>
    <row r="926" spans="2:15" x14ac:dyDescent="0.2"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</row>
    <row r="927" spans="2:15" x14ac:dyDescent="0.2"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</row>
    <row r="928" spans="2:15" x14ac:dyDescent="0.2"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</row>
    <row r="929" spans="2:15" x14ac:dyDescent="0.2"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</row>
    <row r="930" spans="2:15" x14ac:dyDescent="0.2"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</row>
    <row r="931" spans="2:15" x14ac:dyDescent="0.2"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</row>
    <row r="932" spans="2:15" x14ac:dyDescent="0.2"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</row>
    <row r="933" spans="2:15" x14ac:dyDescent="0.2"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</row>
    <row r="934" spans="2:15" x14ac:dyDescent="0.2"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</row>
    <row r="935" spans="2:15" x14ac:dyDescent="0.2"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</row>
    <row r="936" spans="2:15" x14ac:dyDescent="0.2"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</row>
    <row r="937" spans="2:15" x14ac:dyDescent="0.2"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</row>
    <row r="938" spans="2:15" x14ac:dyDescent="0.2"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</row>
    <row r="939" spans="2:15" x14ac:dyDescent="0.2"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</row>
    <row r="940" spans="2:15" x14ac:dyDescent="0.2"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</row>
    <row r="941" spans="2:15" x14ac:dyDescent="0.2"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</row>
    <row r="942" spans="2:15" x14ac:dyDescent="0.2"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</row>
    <row r="943" spans="2:15" x14ac:dyDescent="0.2"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</row>
    <row r="944" spans="2:15" x14ac:dyDescent="0.2"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</row>
    <row r="945" spans="2:15" x14ac:dyDescent="0.2"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</row>
    <row r="946" spans="2:15" x14ac:dyDescent="0.2"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</row>
    <row r="947" spans="2:15" x14ac:dyDescent="0.2"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</row>
    <row r="948" spans="2:15" x14ac:dyDescent="0.2"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</row>
    <row r="949" spans="2:15" x14ac:dyDescent="0.2"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</row>
    <row r="950" spans="2:15" x14ac:dyDescent="0.2"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</row>
    <row r="951" spans="2:15" x14ac:dyDescent="0.2"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</row>
    <row r="952" spans="2:15" x14ac:dyDescent="0.2"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</row>
    <row r="953" spans="2:15" x14ac:dyDescent="0.2"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</row>
    <row r="954" spans="2:15" x14ac:dyDescent="0.2"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</row>
    <row r="955" spans="2:15" x14ac:dyDescent="0.2"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</row>
    <row r="956" spans="2:15" x14ac:dyDescent="0.2"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</row>
    <row r="957" spans="2:15" x14ac:dyDescent="0.2"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</row>
    <row r="958" spans="2:15" x14ac:dyDescent="0.2"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</row>
    <row r="959" spans="2:15" x14ac:dyDescent="0.2"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</row>
    <row r="960" spans="2:15" x14ac:dyDescent="0.2"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</row>
    <row r="961" spans="2:15" x14ac:dyDescent="0.2"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</row>
    <row r="962" spans="2:15" x14ac:dyDescent="0.2"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</row>
    <row r="963" spans="2:15" x14ac:dyDescent="0.2"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</row>
    <row r="964" spans="2:15" x14ac:dyDescent="0.2"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</row>
    <row r="965" spans="2:15" x14ac:dyDescent="0.2"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</row>
    <row r="966" spans="2:15" x14ac:dyDescent="0.2"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</row>
    <row r="967" spans="2:15" x14ac:dyDescent="0.2"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</row>
    <row r="968" spans="2:15" x14ac:dyDescent="0.2"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</row>
    <row r="969" spans="2:15" x14ac:dyDescent="0.2"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</row>
    <row r="970" spans="2:15" x14ac:dyDescent="0.2"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</row>
    <row r="971" spans="2:15" x14ac:dyDescent="0.2"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</row>
    <row r="972" spans="2:15" x14ac:dyDescent="0.2"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</row>
    <row r="973" spans="2:15" x14ac:dyDescent="0.2"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</row>
    <row r="974" spans="2:15" x14ac:dyDescent="0.2"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</row>
    <row r="975" spans="2:15" x14ac:dyDescent="0.2"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</row>
    <row r="976" spans="2:15" x14ac:dyDescent="0.2"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</row>
    <row r="977" spans="2:15" x14ac:dyDescent="0.2"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</row>
    <row r="978" spans="2:15" x14ac:dyDescent="0.2"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</row>
    <row r="979" spans="2:15" x14ac:dyDescent="0.2"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</row>
    <row r="980" spans="2:15" x14ac:dyDescent="0.2"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</row>
    <row r="981" spans="2:15" x14ac:dyDescent="0.2"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</row>
    <row r="982" spans="2:15" x14ac:dyDescent="0.2"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</row>
    <row r="983" spans="2:15" x14ac:dyDescent="0.2"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</row>
    <row r="984" spans="2:15" x14ac:dyDescent="0.2"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</row>
    <row r="985" spans="2:15" x14ac:dyDescent="0.2"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</row>
    <row r="986" spans="2:15" x14ac:dyDescent="0.2"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</row>
    <row r="987" spans="2:15" x14ac:dyDescent="0.2"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</row>
    <row r="988" spans="2:15" x14ac:dyDescent="0.2"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</row>
    <row r="989" spans="2:15" x14ac:dyDescent="0.2"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</row>
    <row r="990" spans="2:15" x14ac:dyDescent="0.2"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</row>
    <row r="991" spans="2:15" x14ac:dyDescent="0.2"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</row>
    <row r="992" spans="2:15" x14ac:dyDescent="0.2"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</row>
    <row r="993" spans="2:15" x14ac:dyDescent="0.2"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</row>
    <row r="994" spans="2:15" x14ac:dyDescent="0.2"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</row>
    <row r="995" spans="2:15" x14ac:dyDescent="0.2"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</row>
    <row r="996" spans="2:15" x14ac:dyDescent="0.2"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</row>
    <row r="997" spans="2:15" x14ac:dyDescent="0.2"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</row>
    <row r="998" spans="2:15" x14ac:dyDescent="0.2"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</row>
    <row r="999" spans="2:15" x14ac:dyDescent="0.2"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</row>
    <row r="1000" spans="2:15" x14ac:dyDescent="0.2"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</row>
    <row r="1001" spans="2:15" x14ac:dyDescent="0.2">
      <c r="B1001" s="214"/>
      <c r="C1001" s="214"/>
      <c r="D1001" s="214"/>
      <c r="E1001" s="214"/>
      <c r="F1001" s="214"/>
      <c r="G1001" s="214"/>
      <c r="H1001" s="214"/>
      <c r="I1001" s="214"/>
      <c r="J1001" s="214"/>
      <c r="K1001" s="214"/>
      <c r="L1001" s="214"/>
      <c r="M1001" s="214"/>
      <c r="N1001" s="214"/>
      <c r="O1001" s="214"/>
    </row>
    <row r="1002" spans="2:15" x14ac:dyDescent="0.2">
      <c r="B1002" s="214"/>
      <c r="C1002" s="214"/>
      <c r="D1002" s="214"/>
      <c r="E1002" s="214"/>
      <c r="F1002" s="214"/>
      <c r="G1002" s="214"/>
      <c r="H1002" s="214"/>
      <c r="I1002" s="214"/>
      <c r="J1002" s="214"/>
      <c r="K1002" s="214"/>
      <c r="L1002" s="214"/>
      <c r="M1002" s="214"/>
      <c r="N1002" s="214"/>
      <c r="O1002" s="214"/>
    </row>
    <row r="1003" spans="2:15" x14ac:dyDescent="0.2">
      <c r="B1003" s="214"/>
      <c r="C1003" s="214"/>
      <c r="D1003" s="214"/>
      <c r="E1003" s="214"/>
      <c r="F1003" s="214"/>
      <c r="G1003" s="214"/>
      <c r="H1003" s="214"/>
      <c r="I1003" s="214"/>
      <c r="J1003" s="214"/>
      <c r="K1003" s="214"/>
      <c r="L1003" s="214"/>
      <c r="M1003" s="214"/>
      <c r="N1003" s="214"/>
      <c r="O1003" s="214"/>
    </row>
    <row r="1004" spans="2:15" x14ac:dyDescent="0.2">
      <c r="B1004" s="214"/>
      <c r="C1004" s="214"/>
      <c r="D1004" s="214"/>
      <c r="E1004" s="214"/>
      <c r="F1004" s="214"/>
      <c r="G1004" s="214"/>
      <c r="H1004" s="214"/>
      <c r="I1004" s="214"/>
      <c r="J1004" s="214"/>
      <c r="K1004" s="214"/>
      <c r="L1004" s="214"/>
      <c r="M1004" s="214"/>
      <c r="N1004" s="214"/>
      <c r="O1004" s="214"/>
    </row>
    <row r="1005" spans="2:15" x14ac:dyDescent="0.2">
      <c r="B1005" s="214"/>
      <c r="C1005" s="214"/>
      <c r="D1005" s="214"/>
      <c r="E1005" s="214"/>
      <c r="F1005" s="214"/>
      <c r="G1005" s="214"/>
      <c r="H1005" s="214"/>
      <c r="I1005" s="214"/>
      <c r="J1005" s="214"/>
      <c r="K1005" s="214"/>
      <c r="L1005" s="214"/>
      <c r="M1005" s="214"/>
      <c r="N1005" s="214"/>
      <c r="O1005" s="214"/>
    </row>
    <row r="1006" spans="2:15" x14ac:dyDescent="0.2">
      <c r="B1006" s="214"/>
      <c r="C1006" s="214"/>
      <c r="D1006" s="214"/>
      <c r="E1006" s="214"/>
      <c r="F1006" s="214"/>
      <c r="G1006" s="214"/>
      <c r="H1006" s="214"/>
      <c r="I1006" s="214"/>
      <c r="J1006" s="214"/>
      <c r="K1006" s="214"/>
      <c r="L1006" s="214"/>
      <c r="M1006" s="214"/>
      <c r="N1006" s="214"/>
      <c r="O1006" s="214"/>
    </row>
    <row r="1007" spans="2:15" x14ac:dyDescent="0.2">
      <c r="B1007" s="214"/>
      <c r="C1007" s="214"/>
      <c r="D1007" s="214"/>
      <c r="E1007" s="214"/>
      <c r="F1007" s="214"/>
      <c r="G1007" s="214"/>
      <c r="H1007" s="214"/>
      <c r="I1007" s="214"/>
      <c r="J1007" s="214"/>
      <c r="K1007" s="214"/>
      <c r="L1007" s="214"/>
      <c r="M1007" s="214"/>
      <c r="N1007" s="214"/>
      <c r="O1007" s="214"/>
    </row>
    <row r="1008" spans="2:15" x14ac:dyDescent="0.2">
      <c r="B1008" s="214"/>
      <c r="C1008" s="214"/>
      <c r="D1008" s="214"/>
      <c r="E1008" s="214"/>
      <c r="F1008" s="214"/>
      <c r="G1008" s="214"/>
      <c r="H1008" s="214"/>
      <c r="I1008" s="214"/>
      <c r="J1008" s="214"/>
      <c r="K1008" s="214"/>
      <c r="L1008" s="214"/>
      <c r="M1008" s="214"/>
      <c r="N1008" s="214"/>
      <c r="O1008" s="214"/>
    </row>
    <row r="1009" spans="2:15" x14ac:dyDescent="0.2">
      <c r="B1009" s="214"/>
      <c r="C1009" s="214"/>
      <c r="D1009" s="214"/>
      <c r="E1009" s="214"/>
      <c r="F1009" s="214"/>
      <c r="G1009" s="214"/>
      <c r="H1009" s="214"/>
      <c r="I1009" s="214"/>
      <c r="J1009" s="214"/>
      <c r="K1009" s="214"/>
      <c r="L1009" s="214"/>
      <c r="M1009" s="214"/>
      <c r="N1009" s="214"/>
      <c r="O1009" s="214"/>
    </row>
    <row r="1010" spans="2:15" x14ac:dyDescent="0.2">
      <c r="B1010" s="214"/>
      <c r="C1010" s="214"/>
      <c r="D1010" s="214"/>
      <c r="E1010" s="214"/>
      <c r="F1010" s="214"/>
      <c r="G1010" s="214"/>
      <c r="H1010" s="214"/>
      <c r="I1010" s="214"/>
      <c r="J1010" s="214"/>
      <c r="K1010" s="214"/>
      <c r="L1010" s="214"/>
      <c r="M1010" s="214"/>
      <c r="N1010" s="214"/>
      <c r="O1010" s="214"/>
    </row>
    <row r="1011" spans="2:15" x14ac:dyDescent="0.2">
      <c r="B1011" s="214"/>
      <c r="C1011" s="214"/>
      <c r="D1011" s="214"/>
      <c r="E1011" s="214"/>
      <c r="F1011" s="214"/>
      <c r="G1011" s="214"/>
      <c r="H1011" s="214"/>
      <c r="I1011" s="214"/>
      <c r="J1011" s="214"/>
      <c r="K1011" s="214"/>
      <c r="L1011" s="214"/>
      <c r="M1011" s="214"/>
      <c r="N1011" s="214"/>
      <c r="O1011" s="214"/>
    </row>
    <row r="1012" spans="2:15" x14ac:dyDescent="0.2">
      <c r="B1012" s="214"/>
      <c r="C1012" s="214"/>
      <c r="D1012" s="214"/>
      <c r="E1012" s="214"/>
      <c r="F1012" s="214"/>
      <c r="G1012" s="214"/>
      <c r="H1012" s="214"/>
      <c r="I1012" s="214"/>
      <c r="J1012" s="214"/>
      <c r="K1012" s="214"/>
      <c r="L1012" s="214"/>
      <c r="M1012" s="214"/>
      <c r="N1012" s="214"/>
      <c r="O1012" s="214"/>
    </row>
    <row r="1013" spans="2:15" x14ac:dyDescent="0.2">
      <c r="B1013" s="214"/>
      <c r="C1013" s="214"/>
      <c r="D1013" s="214"/>
      <c r="E1013" s="214"/>
      <c r="F1013" s="214"/>
      <c r="G1013" s="214"/>
      <c r="H1013" s="214"/>
      <c r="I1013" s="214"/>
      <c r="J1013" s="214"/>
      <c r="K1013" s="214"/>
      <c r="L1013" s="214"/>
      <c r="M1013" s="214"/>
      <c r="N1013" s="214"/>
      <c r="O1013" s="214"/>
    </row>
    <row r="1014" spans="2:15" x14ac:dyDescent="0.2">
      <c r="B1014" s="214"/>
      <c r="C1014" s="214"/>
      <c r="D1014" s="214"/>
      <c r="E1014" s="214"/>
      <c r="F1014" s="214"/>
      <c r="G1014" s="214"/>
      <c r="H1014" s="214"/>
      <c r="I1014" s="214"/>
      <c r="J1014" s="214"/>
      <c r="K1014" s="214"/>
      <c r="L1014" s="214"/>
      <c r="M1014" s="214"/>
      <c r="N1014" s="214"/>
      <c r="O1014" s="214"/>
    </row>
    <row r="1015" spans="2:15" x14ac:dyDescent="0.2">
      <c r="B1015" s="214"/>
      <c r="C1015" s="214"/>
      <c r="D1015" s="214"/>
      <c r="E1015" s="214"/>
      <c r="F1015" s="214"/>
      <c r="G1015" s="214"/>
      <c r="H1015" s="214"/>
      <c r="I1015" s="214"/>
      <c r="J1015" s="214"/>
      <c r="K1015" s="214"/>
      <c r="L1015" s="214"/>
      <c r="M1015" s="214"/>
      <c r="N1015" s="214"/>
      <c r="O1015" s="214"/>
    </row>
    <row r="1016" spans="2:15" x14ac:dyDescent="0.2">
      <c r="B1016" s="214"/>
      <c r="C1016" s="214"/>
      <c r="D1016" s="214"/>
      <c r="E1016" s="214"/>
      <c r="F1016" s="214"/>
      <c r="G1016" s="214"/>
      <c r="H1016" s="214"/>
      <c r="I1016" s="214"/>
      <c r="J1016" s="214"/>
      <c r="K1016" s="214"/>
      <c r="L1016" s="214"/>
      <c r="M1016" s="214"/>
      <c r="N1016" s="214"/>
      <c r="O1016" s="214"/>
    </row>
    <row r="1017" spans="2:15" x14ac:dyDescent="0.2">
      <c r="B1017" s="214"/>
      <c r="C1017" s="214"/>
      <c r="D1017" s="214"/>
      <c r="E1017" s="214"/>
      <c r="F1017" s="214"/>
      <c r="G1017" s="214"/>
      <c r="H1017" s="214"/>
      <c r="I1017" s="214"/>
      <c r="J1017" s="214"/>
      <c r="K1017" s="214"/>
      <c r="L1017" s="214"/>
      <c r="M1017" s="214"/>
      <c r="N1017" s="214"/>
      <c r="O1017" s="214"/>
    </row>
    <row r="1018" spans="2:15" x14ac:dyDescent="0.2">
      <c r="B1018" s="214"/>
      <c r="C1018" s="214"/>
      <c r="D1018" s="214"/>
      <c r="E1018" s="214"/>
      <c r="F1018" s="214"/>
      <c r="G1018" s="214"/>
      <c r="H1018" s="214"/>
      <c r="I1018" s="214"/>
      <c r="J1018" s="214"/>
      <c r="K1018" s="214"/>
      <c r="L1018" s="214"/>
      <c r="M1018" s="214"/>
      <c r="N1018" s="214"/>
      <c r="O1018" s="214"/>
    </row>
    <row r="1019" spans="2:15" x14ac:dyDescent="0.2">
      <c r="B1019" s="214"/>
      <c r="C1019" s="214"/>
      <c r="D1019" s="214"/>
      <c r="E1019" s="214"/>
      <c r="F1019" s="214"/>
      <c r="G1019" s="214"/>
      <c r="H1019" s="214"/>
      <c r="I1019" s="214"/>
      <c r="J1019" s="214"/>
      <c r="K1019" s="214"/>
      <c r="L1019" s="214"/>
      <c r="M1019" s="214"/>
      <c r="N1019" s="214"/>
      <c r="O1019" s="214"/>
    </row>
    <row r="1020" spans="2:15" x14ac:dyDescent="0.2">
      <c r="B1020" s="214"/>
      <c r="C1020" s="214"/>
      <c r="D1020" s="214"/>
      <c r="E1020" s="214"/>
      <c r="F1020" s="214"/>
      <c r="G1020" s="214"/>
      <c r="H1020" s="214"/>
      <c r="I1020" s="214"/>
      <c r="J1020" s="214"/>
      <c r="K1020" s="214"/>
      <c r="L1020" s="214"/>
      <c r="M1020" s="214"/>
      <c r="N1020" s="214"/>
      <c r="O1020" s="214"/>
    </row>
    <row r="1021" spans="2:15" x14ac:dyDescent="0.2">
      <c r="B1021" s="214"/>
      <c r="C1021" s="214"/>
      <c r="D1021" s="214"/>
      <c r="E1021" s="214"/>
      <c r="F1021" s="214"/>
      <c r="G1021" s="214"/>
      <c r="H1021" s="214"/>
      <c r="I1021" s="214"/>
      <c r="J1021" s="214"/>
      <c r="K1021" s="214"/>
      <c r="L1021" s="214"/>
      <c r="M1021" s="214"/>
      <c r="N1021" s="214"/>
      <c r="O1021" s="214"/>
    </row>
    <row r="1022" spans="2:15" x14ac:dyDescent="0.2">
      <c r="B1022" s="214"/>
      <c r="C1022" s="214"/>
      <c r="D1022" s="214"/>
      <c r="E1022" s="214"/>
      <c r="F1022" s="214"/>
      <c r="G1022" s="214"/>
      <c r="H1022" s="214"/>
      <c r="I1022" s="214"/>
      <c r="J1022" s="214"/>
      <c r="K1022" s="214"/>
      <c r="L1022" s="214"/>
      <c r="M1022" s="214"/>
      <c r="N1022" s="214"/>
      <c r="O1022" s="214"/>
    </row>
    <row r="1023" spans="2:15" x14ac:dyDescent="0.2">
      <c r="B1023" s="214"/>
      <c r="C1023" s="214"/>
      <c r="D1023" s="214"/>
      <c r="E1023" s="214"/>
      <c r="F1023" s="214"/>
      <c r="G1023" s="214"/>
      <c r="H1023" s="214"/>
      <c r="I1023" s="214"/>
      <c r="J1023" s="214"/>
      <c r="K1023" s="214"/>
      <c r="L1023" s="214"/>
      <c r="M1023" s="214"/>
      <c r="N1023" s="214"/>
      <c r="O1023" s="214"/>
    </row>
    <row r="1024" spans="2:15" x14ac:dyDescent="0.2">
      <c r="B1024" s="214"/>
      <c r="C1024" s="214"/>
      <c r="D1024" s="214"/>
      <c r="E1024" s="214"/>
      <c r="F1024" s="214"/>
      <c r="G1024" s="214"/>
      <c r="H1024" s="214"/>
      <c r="I1024" s="214"/>
      <c r="J1024" s="214"/>
      <c r="K1024" s="214"/>
      <c r="L1024" s="214"/>
      <c r="M1024" s="214"/>
      <c r="N1024" s="214"/>
      <c r="O1024" s="214"/>
    </row>
    <row r="1025" spans="2:15" x14ac:dyDescent="0.2">
      <c r="B1025" s="214"/>
      <c r="C1025" s="214"/>
      <c r="D1025" s="214"/>
      <c r="E1025" s="214"/>
      <c r="F1025" s="214"/>
      <c r="G1025" s="214"/>
      <c r="H1025" s="214"/>
      <c r="I1025" s="214"/>
      <c r="J1025" s="214"/>
      <c r="K1025" s="214"/>
      <c r="L1025" s="214"/>
      <c r="M1025" s="214"/>
      <c r="N1025" s="214"/>
      <c r="O1025" s="214"/>
    </row>
    <row r="1026" spans="2:15" x14ac:dyDescent="0.2">
      <c r="B1026" s="214"/>
      <c r="C1026" s="214"/>
      <c r="D1026" s="214"/>
      <c r="E1026" s="214"/>
      <c r="F1026" s="214"/>
      <c r="G1026" s="214"/>
      <c r="H1026" s="214"/>
      <c r="I1026" s="214"/>
      <c r="J1026" s="214"/>
      <c r="K1026" s="214"/>
      <c r="L1026" s="214"/>
      <c r="M1026" s="214"/>
      <c r="N1026" s="214"/>
      <c r="O1026" s="214"/>
    </row>
    <row r="1027" spans="2:15" x14ac:dyDescent="0.2">
      <c r="B1027" s="214"/>
      <c r="C1027" s="214"/>
      <c r="D1027" s="214"/>
      <c r="E1027" s="214"/>
      <c r="F1027" s="214"/>
      <c r="G1027" s="214"/>
      <c r="H1027" s="214"/>
      <c r="I1027" s="214"/>
      <c r="J1027" s="214"/>
      <c r="K1027" s="214"/>
      <c r="L1027" s="214"/>
      <c r="M1027" s="214"/>
      <c r="N1027" s="214"/>
      <c r="O1027" s="214"/>
    </row>
    <row r="1028" spans="2:15" x14ac:dyDescent="0.2">
      <c r="B1028" s="214"/>
      <c r="C1028" s="214"/>
      <c r="D1028" s="214"/>
      <c r="E1028" s="214"/>
      <c r="F1028" s="214"/>
      <c r="G1028" s="214"/>
      <c r="H1028" s="214"/>
      <c r="I1028" s="214"/>
      <c r="J1028" s="214"/>
      <c r="K1028" s="214"/>
      <c r="L1028" s="214"/>
      <c r="M1028" s="214"/>
      <c r="N1028" s="214"/>
      <c r="O1028" s="214"/>
    </row>
    <row r="1029" spans="2:15" x14ac:dyDescent="0.2">
      <c r="B1029" s="214"/>
      <c r="C1029" s="214"/>
      <c r="D1029" s="214"/>
      <c r="E1029" s="214"/>
      <c r="F1029" s="214"/>
      <c r="G1029" s="214"/>
      <c r="H1029" s="214"/>
      <c r="I1029" s="214"/>
      <c r="J1029" s="214"/>
      <c r="K1029" s="214"/>
      <c r="L1029" s="214"/>
      <c r="M1029" s="214"/>
      <c r="N1029" s="214"/>
      <c r="O1029" s="214"/>
    </row>
    <row r="1030" spans="2:15" x14ac:dyDescent="0.2">
      <c r="B1030" s="214"/>
      <c r="C1030" s="214"/>
      <c r="D1030" s="214"/>
      <c r="E1030" s="214"/>
      <c r="F1030" s="214"/>
      <c r="G1030" s="214"/>
      <c r="H1030" s="214"/>
      <c r="I1030" s="214"/>
      <c r="J1030" s="214"/>
      <c r="K1030" s="214"/>
      <c r="L1030" s="214"/>
      <c r="M1030" s="214"/>
      <c r="N1030" s="214"/>
      <c r="O1030" s="214"/>
    </row>
    <row r="1031" spans="2:15" x14ac:dyDescent="0.2">
      <c r="B1031" s="214"/>
      <c r="C1031" s="214"/>
      <c r="D1031" s="214"/>
      <c r="E1031" s="214"/>
      <c r="F1031" s="214"/>
      <c r="G1031" s="214"/>
      <c r="H1031" s="214"/>
      <c r="I1031" s="214"/>
      <c r="J1031" s="214"/>
      <c r="K1031" s="214"/>
      <c r="L1031" s="214"/>
      <c r="M1031" s="214"/>
      <c r="N1031" s="214"/>
      <c r="O1031" s="214"/>
    </row>
    <row r="1032" spans="2:15" x14ac:dyDescent="0.2">
      <c r="B1032" s="214"/>
      <c r="C1032" s="214"/>
      <c r="D1032" s="214"/>
      <c r="E1032" s="214"/>
      <c r="F1032" s="214"/>
      <c r="G1032" s="214"/>
      <c r="H1032" s="214"/>
      <c r="I1032" s="214"/>
      <c r="J1032" s="214"/>
      <c r="K1032" s="214"/>
      <c r="L1032" s="214"/>
      <c r="M1032" s="214"/>
      <c r="N1032" s="214"/>
      <c r="O1032" s="214"/>
    </row>
    <row r="1033" spans="2:15" x14ac:dyDescent="0.2">
      <c r="B1033" s="214"/>
      <c r="C1033" s="214"/>
      <c r="D1033" s="214"/>
      <c r="E1033" s="214"/>
      <c r="F1033" s="214"/>
      <c r="G1033" s="214"/>
      <c r="H1033" s="214"/>
      <c r="I1033" s="214"/>
      <c r="J1033" s="214"/>
      <c r="K1033" s="214"/>
      <c r="L1033" s="214"/>
      <c r="M1033" s="214"/>
      <c r="N1033" s="214"/>
      <c r="O1033" s="214"/>
    </row>
    <row r="1034" spans="2:15" x14ac:dyDescent="0.2">
      <c r="B1034" s="214"/>
      <c r="C1034" s="214"/>
      <c r="D1034" s="214"/>
      <c r="E1034" s="214"/>
      <c r="F1034" s="214"/>
      <c r="G1034" s="214"/>
      <c r="H1034" s="214"/>
      <c r="I1034" s="214"/>
      <c r="J1034" s="214"/>
      <c r="K1034" s="214"/>
      <c r="L1034" s="214"/>
      <c r="M1034" s="214"/>
      <c r="N1034" s="214"/>
      <c r="O1034" s="214"/>
    </row>
    <row r="1035" spans="2:15" x14ac:dyDescent="0.2">
      <c r="B1035" s="214"/>
      <c r="C1035" s="214"/>
      <c r="D1035" s="214"/>
      <c r="E1035" s="214"/>
      <c r="F1035" s="214"/>
      <c r="G1035" s="214"/>
      <c r="H1035" s="214"/>
      <c r="I1035" s="214"/>
      <c r="J1035" s="214"/>
      <c r="K1035" s="214"/>
      <c r="L1035" s="214"/>
      <c r="M1035" s="214"/>
      <c r="N1035" s="214"/>
      <c r="O1035" s="214"/>
    </row>
    <row r="1036" spans="2:15" x14ac:dyDescent="0.2">
      <c r="B1036" s="214"/>
      <c r="C1036" s="214"/>
      <c r="D1036" s="214"/>
      <c r="E1036" s="214"/>
      <c r="F1036" s="214"/>
      <c r="G1036" s="214"/>
      <c r="H1036" s="214"/>
      <c r="I1036" s="214"/>
      <c r="J1036" s="214"/>
      <c r="K1036" s="214"/>
      <c r="L1036" s="214"/>
      <c r="M1036" s="214"/>
      <c r="N1036" s="214"/>
      <c r="O1036" s="214"/>
    </row>
    <row r="1037" spans="2:15" x14ac:dyDescent="0.2">
      <c r="B1037" s="214"/>
      <c r="C1037" s="214"/>
      <c r="D1037" s="214"/>
      <c r="E1037" s="214"/>
      <c r="F1037" s="214"/>
      <c r="G1037" s="214"/>
      <c r="H1037" s="214"/>
      <c r="I1037" s="214"/>
      <c r="J1037" s="214"/>
      <c r="K1037" s="214"/>
      <c r="L1037" s="214"/>
      <c r="M1037" s="214"/>
      <c r="N1037" s="214"/>
      <c r="O1037" s="214"/>
    </row>
    <row r="1038" spans="2:15" x14ac:dyDescent="0.2">
      <c r="B1038" s="214"/>
      <c r="C1038" s="214"/>
      <c r="D1038" s="214"/>
      <c r="E1038" s="214"/>
      <c r="F1038" s="214"/>
      <c r="G1038" s="214"/>
      <c r="H1038" s="214"/>
      <c r="I1038" s="214"/>
      <c r="J1038" s="214"/>
      <c r="K1038" s="214"/>
      <c r="L1038" s="214"/>
      <c r="M1038" s="214"/>
      <c r="N1038" s="214"/>
      <c r="O1038" s="214"/>
    </row>
    <row r="1039" spans="2:15" x14ac:dyDescent="0.2">
      <c r="B1039" s="214"/>
      <c r="C1039" s="214"/>
      <c r="D1039" s="214"/>
      <c r="E1039" s="214"/>
      <c r="F1039" s="214"/>
      <c r="G1039" s="214"/>
      <c r="H1039" s="214"/>
      <c r="I1039" s="214"/>
      <c r="J1039" s="214"/>
      <c r="K1039" s="214"/>
      <c r="L1039" s="214"/>
      <c r="M1039" s="214"/>
      <c r="N1039" s="214"/>
      <c r="O1039" s="214"/>
    </row>
    <row r="1040" spans="2:15" x14ac:dyDescent="0.2">
      <c r="B1040" s="214"/>
      <c r="C1040" s="214"/>
      <c r="D1040" s="214"/>
      <c r="E1040" s="214"/>
      <c r="F1040" s="214"/>
      <c r="G1040" s="214"/>
      <c r="H1040" s="214"/>
      <c r="I1040" s="214"/>
      <c r="J1040" s="214"/>
      <c r="K1040" s="214"/>
      <c r="L1040" s="214"/>
      <c r="M1040" s="214"/>
      <c r="N1040" s="214"/>
      <c r="O1040" s="214"/>
    </row>
    <row r="1041" spans="2:15" x14ac:dyDescent="0.2">
      <c r="B1041" s="214"/>
      <c r="C1041" s="214"/>
      <c r="D1041" s="214"/>
      <c r="E1041" s="214"/>
      <c r="F1041" s="214"/>
      <c r="G1041" s="214"/>
      <c r="H1041" s="214"/>
      <c r="I1041" s="214"/>
      <c r="J1041" s="214"/>
      <c r="K1041" s="214"/>
      <c r="L1041" s="214"/>
      <c r="M1041" s="214"/>
      <c r="N1041" s="214"/>
      <c r="O1041" s="214"/>
    </row>
    <row r="1042" spans="2:15" x14ac:dyDescent="0.2">
      <c r="B1042" s="214"/>
      <c r="C1042" s="214"/>
      <c r="D1042" s="214"/>
      <c r="E1042" s="214"/>
      <c r="F1042" s="214"/>
      <c r="G1042" s="214"/>
      <c r="H1042" s="214"/>
      <c r="I1042" s="214"/>
      <c r="J1042" s="214"/>
      <c r="K1042" s="214"/>
      <c r="L1042" s="214"/>
      <c r="M1042" s="214"/>
      <c r="N1042" s="214"/>
      <c r="O1042" s="214"/>
    </row>
    <row r="1043" spans="2:15" x14ac:dyDescent="0.2">
      <c r="B1043" s="214"/>
      <c r="C1043" s="214"/>
      <c r="D1043" s="214"/>
      <c r="E1043" s="214"/>
      <c r="F1043" s="214"/>
      <c r="G1043" s="214"/>
      <c r="H1043" s="214"/>
      <c r="I1043" s="214"/>
      <c r="J1043" s="214"/>
      <c r="K1043" s="214"/>
      <c r="L1043" s="214"/>
      <c r="M1043" s="214"/>
      <c r="N1043" s="214"/>
      <c r="O1043" s="214"/>
    </row>
    <row r="1044" spans="2:15" x14ac:dyDescent="0.2">
      <c r="B1044" s="214"/>
      <c r="C1044" s="214"/>
      <c r="D1044" s="214"/>
      <c r="E1044" s="214"/>
      <c r="F1044" s="214"/>
      <c r="G1044" s="214"/>
      <c r="H1044" s="214"/>
      <c r="I1044" s="214"/>
      <c r="J1044" s="214"/>
      <c r="K1044" s="214"/>
      <c r="L1044" s="214"/>
      <c r="M1044" s="214"/>
      <c r="N1044" s="214"/>
      <c r="O1044" s="214"/>
    </row>
    <row r="1045" spans="2:15" x14ac:dyDescent="0.2">
      <c r="B1045" s="214"/>
      <c r="C1045" s="214"/>
      <c r="D1045" s="214"/>
      <c r="E1045" s="214"/>
      <c r="F1045" s="214"/>
      <c r="G1045" s="214"/>
      <c r="H1045" s="214"/>
      <c r="I1045" s="214"/>
      <c r="J1045" s="214"/>
      <c r="K1045" s="214"/>
      <c r="L1045" s="214"/>
      <c r="M1045" s="214"/>
      <c r="N1045" s="214"/>
      <c r="O1045" s="214"/>
    </row>
    <row r="1046" spans="2:15" x14ac:dyDescent="0.2">
      <c r="B1046" s="214"/>
      <c r="C1046" s="214"/>
      <c r="D1046" s="214"/>
      <c r="E1046" s="214"/>
      <c r="F1046" s="214"/>
      <c r="G1046" s="214"/>
      <c r="H1046" s="214"/>
      <c r="I1046" s="214"/>
      <c r="J1046" s="214"/>
      <c r="K1046" s="214"/>
      <c r="L1046" s="214"/>
      <c r="M1046" s="214"/>
      <c r="N1046" s="214"/>
      <c r="O1046" s="214"/>
    </row>
    <row r="1047" spans="2:15" x14ac:dyDescent="0.2">
      <c r="B1047" s="214"/>
      <c r="C1047" s="214"/>
      <c r="D1047" s="214"/>
      <c r="E1047" s="214"/>
      <c r="F1047" s="214"/>
      <c r="G1047" s="214"/>
      <c r="H1047" s="214"/>
      <c r="I1047" s="214"/>
      <c r="J1047" s="214"/>
      <c r="K1047" s="214"/>
      <c r="L1047" s="214"/>
      <c r="M1047" s="214"/>
      <c r="N1047" s="214"/>
      <c r="O1047" s="214"/>
    </row>
    <row r="1048" spans="2:15" x14ac:dyDescent="0.2">
      <c r="B1048" s="214"/>
      <c r="C1048" s="214"/>
      <c r="D1048" s="214"/>
      <c r="E1048" s="214"/>
      <c r="F1048" s="214"/>
      <c r="G1048" s="214"/>
      <c r="H1048" s="214"/>
      <c r="I1048" s="214"/>
      <c r="J1048" s="214"/>
      <c r="K1048" s="214"/>
      <c r="L1048" s="214"/>
      <c r="M1048" s="214"/>
      <c r="N1048" s="214"/>
      <c r="O1048" s="214"/>
    </row>
    <row r="1049" spans="2:15" x14ac:dyDescent="0.2">
      <c r="B1049" s="214"/>
      <c r="C1049" s="214"/>
      <c r="D1049" s="214"/>
      <c r="E1049" s="214"/>
      <c r="F1049" s="214"/>
      <c r="G1049" s="214"/>
      <c r="H1049" s="214"/>
      <c r="I1049" s="214"/>
      <c r="J1049" s="214"/>
      <c r="K1049" s="214"/>
      <c r="L1049" s="214"/>
      <c r="M1049" s="214"/>
      <c r="N1049" s="214"/>
      <c r="O1049" s="214"/>
    </row>
    <row r="1050" spans="2:15" x14ac:dyDescent="0.2">
      <c r="B1050" s="214"/>
      <c r="C1050" s="214"/>
      <c r="D1050" s="214"/>
      <c r="E1050" s="214"/>
      <c r="F1050" s="214"/>
      <c r="G1050" s="214"/>
      <c r="H1050" s="214"/>
      <c r="I1050" s="214"/>
      <c r="J1050" s="214"/>
      <c r="K1050" s="214"/>
      <c r="L1050" s="214"/>
      <c r="M1050" s="214"/>
      <c r="N1050" s="214"/>
      <c r="O1050" s="214"/>
    </row>
    <row r="1051" spans="2:15" x14ac:dyDescent="0.2">
      <c r="B1051" s="214"/>
      <c r="C1051" s="214"/>
      <c r="D1051" s="214"/>
      <c r="E1051" s="214"/>
      <c r="F1051" s="214"/>
      <c r="G1051" s="214"/>
      <c r="H1051" s="214"/>
      <c r="I1051" s="214"/>
      <c r="J1051" s="214"/>
      <c r="K1051" s="214"/>
      <c r="L1051" s="214"/>
      <c r="M1051" s="214"/>
      <c r="N1051" s="214"/>
      <c r="O1051" s="214"/>
    </row>
    <row r="1052" spans="2:15" x14ac:dyDescent="0.2">
      <c r="B1052" s="214"/>
      <c r="C1052" s="214"/>
      <c r="D1052" s="214"/>
      <c r="E1052" s="214"/>
      <c r="F1052" s="214"/>
      <c r="G1052" s="214"/>
      <c r="H1052" s="214"/>
      <c r="I1052" s="214"/>
      <c r="J1052" s="214"/>
      <c r="K1052" s="214"/>
      <c r="L1052" s="214"/>
      <c r="M1052" s="214"/>
      <c r="N1052" s="214"/>
      <c r="O1052" s="214"/>
    </row>
    <row r="1053" spans="2:15" x14ac:dyDescent="0.2">
      <c r="B1053" s="214"/>
      <c r="C1053" s="214"/>
      <c r="D1053" s="214"/>
      <c r="E1053" s="214"/>
      <c r="F1053" s="214"/>
      <c r="G1053" s="214"/>
      <c r="H1053" s="214"/>
      <c r="I1053" s="214"/>
      <c r="J1053" s="214"/>
      <c r="K1053" s="214"/>
      <c r="L1053" s="214"/>
      <c r="M1053" s="214"/>
      <c r="N1053" s="214"/>
      <c r="O1053" s="214"/>
    </row>
    <row r="1054" spans="2:15" x14ac:dyDescent="0.2">
      <c r="B1054" s="214"/>
      <c r="C1054" s="214"/>
      <c r="D1054" s="214"/>
      <c r="E1054" s="214"/>
      <c r="F1054" s="214"/>
      <c r="G1054" s="214"/>
      <c r="H1054" s="214"/>
      <c r="I1054" s="214"/>
      <c r="J1054" s="214"/>
      <c r="K1054" s="214"/>
      <c r="L1054" s="214"/>
      <c r="M1054" s="214"/>
      <c r="N1054" s="214"/>
      <c r="O1054" s="214"/>
    </row>
    <row r="1055" spans="2:15" x14ac:dyDescent="0.2">
      <c r="B1055" s="214"/>
      <c r="C1055" s="214"/>
      <c r="D1055" s="214"/>
      <c r="E1055" s="214"/>
      <c r="F1055" s="214"/>
      <c r="G1055" s="214"/>
      <c r="H1055" s="214"/>
      <c r="I1055" s="214"/>
      <c r="J1055" s="214"/>
      <c r="K1055" s="214"/>
      <c r="L1055" s="214"/>
      <c r="M1055" s="214"/>
      <c r="N1055" s="214"/>
      <c r="O1055" s="214"/>
    </row>
    <row r="1056" spans="2:15" x14ac:dyDescent="0.2">
      <c r="B1056" s="214"/>
      <c r="C1056" s="214"/>
      <c r="D1056" s="214"/>
      <c r="E1056" s="214"/>
      <c r="F1056" s="214"/>
      <c r="G1056" s="214"/>
      <c r="H1056" s="214"/>
      <c r="I1056" s="214"/>
      <c r="J1056" s="214"/>
      <c r="K1056" s="214"/>
      <c r="L1056" s="214"/>
      <c r="M1056" s="214"/>
      <c r="N1056" s="214"/>
      <c r="O1056" s="214"/>
    </row>
    <row r="1057" spans="2:15" x14ac:dyDescent="0.2">
      <c r="B1057" s="214"/>
      <c r="C1057" s="214"/>
      <c r="D1057" s="214"/>
      <c r="E1057" s="214"/>
      <c r="F1057" s="214"/>
      <c r="G1057" s="214"/>
      <c r="H1057" s="214"/>
      <c r="I1057" s="214"/>
      <c r="J1057" s="214"/>
      <c r="K1057" s="214"/>
      <c r="L1057" s="214"/>
      <c r="M1057" s="214"/>
      <c r="N1057" s="214"/>
      <c r="O1057" s="214"/>
    </row>
    <row r="1058" spans="2:15" x14ac:dyDescent="0.2">
      <c r="B1058" s="214"/>
      <c r="C1058" s="214"/>
      <c r="D1058" s="214"/>
      <c r="E1058" s="214"/>
      <c r="F1058" s="214"/>
      <c r="G1058" s="214"/>
      <c r="H1058" s="214"/>
      <c r="I1058" s="214"/>
      <c r="J1058" s="214"/>
      <c r="K1058" s="214"/>
      <c r="L1058" s="214"/>
      <c r="M1058" s="214"/>
      <c r="N1058" s="214"/>
      <c r="O1058" s="214"/>
    </row>
    <row r="1059" spans="2:15" x14ac:dyDescent="0.2">
      <c r="B1059" s="214"/>
      <c r="C1059" s="214"/>
      <c r="D1059" s="214"/>
      <c r="E1059" s="214"/>
      <c r="F1059" s="214"/>
      <c r="G1059" s="214"/>
      <c r="H1059" s="214"/>
      <c r="I1059" s="214"/>
      <c r="J1059" s="214"/>
      <c r="K1059" s="214"/>
      <c r="L1059" s="214"/>
      <c r="M1059" s="214"/>
      <c r="N1059" s="214"/>
      <c r="O1059" s="214"/>
    </row>
    <row r="1060" spans="2:15" x14ac:dyDescent="0.2">
      <c r="B1060" s="214"/>
      <c r="C1060" s="214"/>
      <c r="D1060" s="214"/>
      <c r="E1060" s="214"/>
      <c r="F1060" s="214"/>
      <c r="G1060" s="214"/>
      <c r="H1060" s="214"/>
      <c r="I1060" s="214"/>
      <c r="J1060" s="214"/>
      <c r="K1060" s="214"/>
      <c r="L1060" s="214"/>
      <c r="M1060" s="214"/>
      <c r="N1060" s="214"/>
      <c r="O1060" s="214"/>
    </row>
    <row r="1061" spans="2:15" x14ac:dyDescent="0.2">
      <c r="B1061" s="214"/>
      <c r="C1061" s="214"/>
      <c r="D1061" s="214"/>
      <c r="E1061" s="214"/>
      <c r="F1061" s="214"/>
      <c r="G1061" s="214"/>
      <c r="H1061" s="214"/>
      <c r="I1061" s="214"/>
      <c r="J1061" s="214"/>
      <c r="K1061" s="214"/>
      <c r="L1061" s="214"/>
      <c r="M1061" s="214"/>
      <c r="N1061" s="214"/>
      <c r="O1061" s="214"/>
    </row>
    <row r="1062" spans="2:15" x14ac:dyDescent="0.2">
      <c r="B1062" s="214"/>
      <c r="C1062" s="214"/>
      <c r="D1062" s="214"/>
      <c r="E1062" s="214"/>
      <c r="F1062" s="214"/>
      <c r="G1062" s="214"/>
      <c r="H1062" s="214"/>
      <c r="I1062" s="214"/>
      <c r="J1062" s="214"/>
      <c r="K1062" s="214"/>
      <c r="L1062" s="214"/>
      <c r="M1062" s="214"/>
      <c r="N1062" s="214"/>
      <c r="O1062" s="214"/>
    </row>
    <row r="1063" spans="2:15" x14ac:dyDescent="0.2">
      <c r="B1063" s="214"/>
      <c r="C1063" s="214"/>
      <c r="D1063" s="214"/>
      <c r="E1063" s="214"/>
      <c r="F1063" s="214"/>
      <c r="G1063" s="214"/>
      <c r="H1063" s="214"/>
      <c r="I1063" s="214"/>
      <c r="J1063" s="214"/>
      <c r="K1063" s="214"/>
      <c r="L1063" s="214"/>
      <c r="M1063" s="214"/>
      <c r="N1063" s="214"/>
      <c r="O1063" s="214"/>
    </row>
    <row r="1064" spans="2:15" x14ac:dyDescent="0.2">
      <c r="B1064" s="214"/>
      <c r="C1064" s="214"/>
      <c r="D1064" s="214"/>
      <c r="E1064" s="214"/>
      <c r="F1064" s="214"/>
      <c r="G1064" s="214"/>
      <c r="H1064" s="214"/>
      <c r="I1064" s="214"/>
      <c r="J1064" s="214"/>
      <c r="K1064" s="214"/>
      <c r="L1064" s="214"/>
      <c r="M1064" s="214"/>
      <c r="N1064" s="214"/>
      <c r="O1064" s="214"/>
    </row>
    <row r="1065" spans="2:15" x14ac:dyDescent="0.2">
      <c r="B1065" s="214"/>
      <c r="C1065" s="214"/>
      <c r="D1065" s="214"/>
      <c r="E1065" s="214"/>
      <c r="F1065" s="214"/>
      <c r="G1065" s="214"/>
      <c r="H1065" s="214"/>
      <c r="I1065" s="214"/>
      <c r="J1065" s="214"/>
      <c r="K1065" s="214"/>
      <c r="L1065" s="214"/>
      <c r="M1065" s="214"/>
      <c r="N1065" s="214"/>
      <c r="O1065" s="214"/>
    </row>
    <row r="1066" spans="2:15" x14ac:dyDescent="0.2">
      <c r="B1066" s="214"/>
      <c r="C1066" s="214"/>
      <c r="D1066" s="214"/>
      <c r="E1066" s="214"/>
      <c r="F1066" s="214"/>
      <c r="G1066" s="214"/>
      <c r="H1066" s="214"/>
      <c r="I1066" s="214"/>
      <c r="J1066" s="214"/>
      <c r="K1066" s="214"/>
      <c r="L1066" s="214"/>
      <c r="M1066" s="214"/>
      <c r="N1066" s="214"/>
      <c r="O1066" s="214"/>
    </row>
    <row r="1067" spans="2:15" x14ac:dyDescent="0.2">
      <c r="B1067" s="214"/>
      <c r="C1067" s="214"/>
      <c r="D1067" s="214"/>
      <c r="E1067" s="214"/>
      <c r="F1067" s="214"/>
      <c r="G1067" s="214"/>
      <c r="H1067" s="214"/>
      <c r="I1067" s="214"/>
      <c r="J1067" s="214"/>
      <c r="K1067" s="214"/>
      <c r="L1067" s="214"/>
      <c r="M1067" s="214"/>
      <c r="N1067" s="214"/>
      <c r="O1067" s="214"/>
    </row>
    <row r="1068" spans="2:15" x14ac:dyDescent="0.2">
      <c r="B1068" s="214"/>
      <c r="C1068" s="214"/>
      <c r="D1068" s="214"/>
      <c r="E1068" s="214"/>
      <c r="F1068" s="214"/>
      <c r="G1068" s="214"/>
      <c r="H1068" s="214"/>
      <c r="I1068" s="214"/>
      <c r="J1068" s="214"/>
      <c r="K1068" s="214"/>
      <c r="L1068" s="214"/>
      <c r="M1068" s="214"/>
      <c r="N1068" s="214"/>
      <c r="O1068" s="214"/>
    </row>
    <row r="1069" spans="2:15" x14ac:dyDescent="0.2">
      <c r="B1069" s="214"/>
      <c r="C1069" s="214"/>
      <c r="D1069" s="214"/>
      <c r="E1069" s="214"/>
      <c r="F1069" s="214"/>
      <c r="G1069" s="214"/>
      <c r="H1069" s="214"/>
      <c r="I1069" s="214"/>
      <c r="J1069" s="214"/>
      <c r="K1069" s="214"/>
      <c r="L1069" s="214"/>
      <c r="M1069" s="214"/>
      <c r="N1069" s="214"/>
      <c r="O1069" s="214"/>
    </row>
    <row r="1070" spans="2:15" x14ac:dyDescent="0.2">
      <c r="B1070" s="214"/>
      <c r="C1070" s="214"/>
      <c r="D1070" s="214"/>
      <c r="E1070" s="214"/>
      <c r="F1070" s="214"/>
      <c r="G1070" s="214"/>
      <c r="H1070" s="214"/>
      <c r="I1070" s="214"/>
      <c r="J1070" s="214"/>
      <c r="K1070" s="214"/>
      <c r="L1070" s="214"/>
      <c r="M1070" s="214"/>
      <c r="N1070" s="214"/>
      <c r="O1070" s="214"/>
    </row>
    <row r="1071" spans="2:15" x14ac:dyDescent="0.2">
      <c r="B1071" s="214"/>
      <c r="C1071" s="214"/>
      <c r="D1071" s="214"/>
      <c r="E1071" s="214"/>
      <c r="F1071" s="214"/>
      <c r="G1071" s="214"/>
      <c r="H1071" s="214"/>
      <c r="I1071" s="214"/>
      <c r="J1071" s="214"/>
      <c r="K1071" s="214"/>
      <c r="L1071" s="214"/>
      <c r="M1071" s="214"/>
      <c r="N1071" s="214"/>
      <c r="O1071" s="214"/>
    </row>
    <row r="1072" spans="2:15" x14ac:dyDescent="0.2">
      <c r="B1072" s="214"/>
      <c r="C1072" s="214"/>
      <c r="D1072" s="214"/>
      <c r="E1072" s="214"/>
      <c r="F1072" s="214"/>
      <c r="G1072" s="214"/>
      <c r="H1072" s="214"/>
      <c r="I1072" s="214"/>
      <c r="J1072" s="214"/>
      <c r="K1072" s="214"/>
      <c r="L1072" s="214"/>
      <c r="M1072" s="214"/>
      <c r="N1072" s="214"/>
      <c r="O1072" s="214"/>
    </row>
    <row r="1073" spans="2:15" x14ac:dyDescent="0.2">
      <c r="B1073" s="214"/>
      <c r="C1073" s="214"/>
      <c r="D1073" s="214"/>
      <c r="E1073" s="214"/>
      <c r="F1073" s="214"/>
      <c r="G1073" s="214"/>
      <c r="H1073" s="214"/>
      <c r="I1073" s="214"/>
      <c r="J1073" s="214"/>
      <c r="K1073" s="214"/>
      <c r="L1073" s="214"/>
      <c r="M1073" s="214"/>
      <c r="N1073" s="214"/>
      <c r="O1073" s="214"/>
    </row>
    <row r="1074" spans="2:15" x14ac:dyDescent="0.2">
      <c r="B1074" s="214"/>
      <c r="C1074" s="214"/>
      <c r="D1074" s="214"/>
      <c r="E1074" s="214"/>
      <c r="F1074" s="214"/>
      <c r="G1074" s="214"/>
      <c r="H1074" s="214"/>
      <c r="I1074" s="214"/>
      <c r="J1074" s="214"/>
      <c r="K1074" s="214"/>
      <c r="L1074" s="214"/>
      <c r="M1074" s="214"/>
      <c r="N1074" s="214"/>
      <c r="O1074" s="214"/>
    </row>
    <row r="1075" spans="2:15" x14ac:dyDescent="0.2">
      <c r="B1075" s="214"/>
      <c r="C1075" s="214"/>
      <c r="D1075" s="214"/>
      <c r="E1075" s="214"/>
      <c r="F1075" s="214"/>
      <c r="G1075" s="214"/>
      <c r="H1075" s="214"/>
      <c r="I1075" s="214"/>
      <c r="J1075" s="214"/>
      <c r="K1075" s="214"/>
      <c r="L1075" s="214"/>
      <c r="M1075" s="214"/>
      <c r="N1075" s="214"/>
      <c r="O1075" s="214"/>
    </row>
    <row r="1076" spans="2:15" x14ac:dyDescent="0.2">
      <c r="B1076" s="214"/>
      <c r="C1076" s="214"/>
      <c r="D1076" s="214"/>
      <c r="E1076" s="214"/>
      <c r="F1076" s="214"/>
      <c r="G1076" s="214"/>
      <c r="H1076" s="214"/>
      <c r="I1076" s="214"/>
      <c r="J1076" s="214"/>
      <c r="K1076" s="214"/>
      <c r="L1076" s="214"/>
      <c r="M1076" s="214"/>
      <c r="N1076" s="214"/>
      <c r="O1076" s="214"/>
    </row>
    <row r="1077" spans="2:15" x14ac:dyDescent="0.2">
      <c r="B1077" s="214"/>
      <c r="C1077" s="214"/>
      <c r="D1077" s="214"/>
      <c r="E1077" s="214"/>
      <c r="F1077" s="214"/>
      <c r="G1077" s="214"/>
      <c r="H1077" s="214"/>
      <c r="I1077" s="214"/>
      <c r="J1077" s="214"/>
      <c r="K1077" s="214"/>
      <c r="L1077" s="214"/>
      <c r="M1077" s="214"/>
      <c r="N1077" s="214"/>
      <c r="O1077" s="214"/>
    </row>
    <row r="1078" spans="2:15" x14ac:dyDescent="0.2">
      <c r="B1078" s="214"/>
      <c r="C1078" s="214"/>
      <c r="D1078" s="214"/>
      <c r="E1078" s="214"/>
      <c r="F1078" s="214"/>
      <c r="G1078" s="214"/>
      <c r="H1078" s="214"/>
      <c r="I1078" s="214"/>
      <c r="J1078" s="214"/>
      <c r="K1078" s="214"/>
      <c r="L1078" s="214"/>
      <c r="M1078" s="214"/>
      <c r="N1078" s="214"/>
      <c r="O1078" s="214"/>
    </row>
    <row r="1079" spans="2:15" x14ac:dyDescent="0.2">
      <c r="B1079" s="214"/>
      <c r="C1079" s="214"/>
      <c r="D1079" s="214"/>
      <c r="E1079" s="214"/>
      <c r="F1079" s="214"/>
      <c r="G1079" s="214"/>
      <c r="H1079" s="214"/>
      <c r="I1079" s="214"/>
      <c r="J1079" s="214"/>
      <c r="K1079" s="214"/>
      <c r="L1079" s="214"/>
      <c r="M1079" s="214"/>
      <c r="N1079" s="214"/>
      <c r="O1079" s="214"/>
    </row>
    <row r="1080" spans="2:15" x14ac:dyDescent="0.2">
      <c r="B1080" s="214"/>
      <c r="C1080" s="214"/>
      <c r="D1080" s="214"/>
      <c r="E1080" s="214"/>
      <c r="F1080" s="214"/>
      <c r="G1080" s="214"/>
      <c r="H1080" s="214"/>
      <c r="I1080" s="214"/>
      <c r="J1080" s="214"/>
      <c r="K1080" s="214"/>
      <c r="L1080" s="214"/>
      <c r="M1080" s="214"/>
      <c r="N1080" s="214"/>
      <c r="O1080" s="214"/>
    </row>
    <row r="1081" spans="2:15" x14ac:dyDescent="0.2">
      <c r="B1081" s="214"/>
      <c r="C1081" s="214"/>
      <c r="D1081" s="214"/>
      <c r="E1081" s="214"/>
      <c r="F1081" s="214"/>
      <c r="G1081" s="214"/>
      <c r="H1081" s="214"/>
      <c r="I1081" s="214"/>
      <c r="J1081" s="214"/>
      <c r="K1081" s="214"/>
      <c r="L1081" s="214"/>
      <c r="M1081" s="214"/>
      <c r="N1081" s="214"/>
      <c r="O1081" s="214"/>
    </row>
    <row r="1082" spans="2:15" x14ac:dyDescent="0.2">
      <c r="B1082" s="214"/>
      <c r="C1082" s="214"/>
      <c r="D1082" s="214"/>
      <c r="E1082" s="214"/>
      <c r="F1082" s="214"/>
      <c r="G1082" s="214"/>
      <c r="H1082" s="214"/>
      <c r="I1082" s="214"/>
      <c r="J1082" s="214"/>
      <c r="K1082" s="214"/>
      <c r="L1082" s="214"/>
      <c r="M1082" s="214"/>
      <c r="N1082" s="214"/>
      <c r="O1082" s="214"/>
    </row>
    <row r="1083" spans="2:15" x14ac:dyDescent="0.2">
      <c r="B1083" s="214"/>
      <c r="C1083" s="214"/>
      <c r="D1083" s="214"/>
      <c r="E1083" s="214"/>
      <c r="F1083" s="214"/>
      <c r="G1083" s="214"/>
      <c r="H1083" s="214"/>
      <c r="I1083" s="214"/>
      <c r="J1083" s="214"/>
      <c r="K1083" s="214"/>
      <c r="L1083" s="214"/>
      <c r="M1083" s="214"/>
      <c r="N1083" s="214"/>
      <c r="O1083" s="214"/>
    </row>
    <row r="1084" spans="2:15" x14ac:dyDescent="0.2">
      <c r="B1084" s="214"/>
      <c r="C1084" s="214"/>
      <c r="D1084" s="214"/>
      <c r="E1084" s="214"/>
      <c r="F1084" s="214"/>
      <c r="G1084" s="214"/>
      <c r="H1084" s="214"/>
      <c r="I1084" s="214"/>
      <c r="J1084" s="214"/>
      <c r="K1084" s="214"/>
      <c r="L1084" s="214"/>
      <c r="M1084" s="214"/>
      <c r="N1084" s="214"/>
      <c r="O1084" s="214"/>
    </row>
    <row r="1085" spans="2:15" x14ac:dyDescent="0.2">
      <c r="B1085" s="214"/>
      <c r="C1085" s="214"/>
      <c r="D1085" s="214"/>
      <c r="E1085" s="214"/>
      <c r="F1085" s="214"/>
      <c r="G1085" s="214"/>
      <c r="H1085" s="214"/>
      <c r="I1085" s="214"/>
      <c r="J1085" s="214"/>
      <c r="K1085" s="214"/>
      <c r="L1085" s="214"/>
      <c r="M1085" s="214"/>
      <c r="N1085" s="214"/>
      <c r="O1085" s="214"/>
    </row>
    <row r="1086" spans="2:15" x14ac:dyDescent="0.2">
      <c r="B1086" s="214"/>
      <c r="C1086" s="214"/>
      <c r="D1086" s="214"/>
      <c r="E1086" s="214"/>
      <c r="F1086" s="214"/>
      <c r="G1086" s="214"/>
      <c r="H1086" s="214"/>
      <c r="I1086" s="214"/>
      <c r="J1086" s="214"/>
      <c r="K1086" s="214"/>
      <c r="L1086" s="214"/>
      <c r="M1086" s="214"/>
      <c r="N1086" s="214"/>
      <c r="O1086" s="214"/>
    </row>
    <row r="1087" spans="2:15" x14ac:dyDescent="0.2">
      <c r="B1087" s="214"/>
      <c r="C1087" s="214"/>
      <c r="D1087" s="214"/>
      <c r="E1087" s="214"/>
      <c r="F1087" s="214"/>
      <c r="G1087" s="214"/>
      <c r="H1087" s="214"/>
      <c r="I1087" s="214"/>
      <c r="J1087" s="214"/>
      <c r="K1087" s="214"/>
      <c r="L1087" s="214"/>
      <c r="M1087" s="214"/>
      <c r="N1087" s="214"/>
      <c r="O1087" s="214"/>
    </row>
    <row r="1088" spans="2:15" x14ac:dyDescent="0.2">
      <c r="B1088" s="214"/>
      <c r="C1088" s="214"/>
      <c r="D1088" s="214"/>
      <c r="E1088" s="214"/>
      <c r="F1088" s="214"/>
      <c r="G1088" s="214"/>
      <c r="H1088" s="214"/>
      <c r="I1088" s="214"/>
      <c r="J1088" s="214"/>
      <c r="K1088" s="214"/>
      <c r="L1088" s="214"/>
      <c r="M1088" s="214"/>
      <c r="N1088" s="214"/>
      <c r="O1088" s="214"/>
    </row>
    <row r="1089" spans="2:15" x14ac:dyDescent="0.2">
      <c r="B1089" s="214"/>
      <c r="C1089" s="214"/>
      <c r="D1089" s="214"/>
      <c r="E1089" s="214"/>
      <c r="F1089" s="214"/>
      <c r="G1089" s="214"/>
      <c r="H1089" s="214"/>
      <c r="I1089" s="214"/>
      <c r="J1089" s="214"/>
      <c r="K1089" s="214"/>
      <c r="L1089" s="214"/>
      <c r="M1089" s="214"/>
      <c r="N1089" s="214"/>
      <c r="O1089" s="214"/>
    </row>
    <row r="1090" spans="2:15" x14ac:dyDescent="0.2">
      <c r="B1090" s="214"/>
      <c r="C1090" s="214"/>
      <c r="D1090" s="214"/>
      <c r="E1090" s="214"/>
      <c r="F1090" s="214"/>
      <c r="G1090" s="214"/>
      <c r="H1090" s="214"/>
      <c r="I1090" s="214"/>
      <c r="J1090" s="214"/>
      <c r="K1090" s="214"/>
      <c r="L1090" s="214"/>
      <c r="M1090" s="214"/>
      <c r="N1090" s="214"/>
      <c r="O1090" s="214"/>
    </row>
    <row r="1091" spans="2:15" x14ac:dyDescent="0.2">
      <c r="B1091" s="214"/>
      <c r="C1091" s="214"/>
      <c r="D1091" s="214"/>
      <c r="E1091" s="214"/>
      <c r="F1091" s="214"/>
      <c r="G1091" s="214"/>
      <c r="H1091" s="214"/>
      <c r="I1091" s="214"/>
      <c r="J1091" s="214"/>
      <c r="K1091" s="214"/>
      <c r="L1091" s="214"/>
      <c r="M1091" s="214"/>
      <c r="N1091" s="214"/>
      <c r="O1091" s="214"/>
    </row>
    <row r="1092" spans="2:15" x14ac:dyDescent="0.2">
      <c r="B1092" s="214"/>
      <c r="C1092" s="214"/>
      <c r="D1092" s="214"/>
      <c r="E1092" s="214"/>
      <c r="F1092" s="214"/>
      <c r="G1092" s="214"/>
      <c r="H1092" s="214"/>
      <c r="I1092" s="214"/>
      <c r="J1092" s="214"/>
      <c r="K1092" s="214"/>
      <c r="L1092" s="214"/>
      <c r="M1092" s="214"/>
      <c r="N1092" s="214"/>
      <c r="O1092" s="214"/>
    </row>
    <row r="1093" spans="2:15" x14ac:dyDescent="0.2">
      <c r="B1093" s="214"/>
      <c r="C1093" s="214"/>
      <c r="D1093" s="214"/>
      <c r="E1093" s="214"/>
      <c r="F1093" s="214"/>
      <c r="G1093" s="214"/>
      <c r="H1093" s="214"/>
      <c r="I1093" s="214"/>
      <c r="J1093" s="214"/>
      <c r="K1093" s="214"/>
      <c r="L1093" s="214"/>
      <c r="M1093" s="214"/>
      <c r="N1093" s="214"/>
      <c r="O1093" s="214"/>
    </row>
    <row r="1094" spans="2:15" x14ac:dyDescent="0.2">
      <c r="B1094" s="214"/>
      <c r="C1094" s="214"/>
      <c r="D1094" s="214"/>
      <c r="E1094" s="214"/>
      <c r="F1094" s="214"/>
      <c r="G1094" s="214"/>
      <c r="H1094" s="214"/>
      <c r="I1094" s="214"/>
      <c r="J1094" s="214"/>
      <c r="K1094" s="214"/>
      <c r="L1094" s="214"/>
      <c r="M1094" s="214"/>
      <c r="N1094" s="214"/>
      <c r="O1094" s="214"/>
    </row>
    <row r="1095" spans="2:15" x14ac:dyDescent="0.2">
      <c r="B1095" s="214"/>
      <c r="C1095" s="214"/>
      <c r="D1095" s="214"/>
      <c r="E1095" s="214"/>
      <c r="F1095" s="214"/>
      <c r="G1095" s="214"/>
      <c r="H1095" s="214"/>
      <c r="I1095" s="214"/>
      <c r="J1095" s="214"/>
      <c r="K1095" s="214"/>
      <c r="L1095" s="214"/>
      <c r="M1095" s="214"/>
      <c r="N1095" s="214"/>
      <c r="O1095" s="214"/>
    </row>
    <row r="1096" spans="2:15" x14ac:dyDescent="0.2">
      <c r="B1096" s="214"/>
      <c r="C1096" s="214"/>
      <c r="D1096" s="214"/>
      <c r="E1096" s="214"/>
      <c r="F1096" s="214"/>
      <c r="G1096" s="214"/>
      <c r="H1096" s="214"/>
      <c r="I1096" s="214"/>
      <c r="J1096" s="214"/>
      <c r="K1096" s="214"/>
      <c r="L1096" s="214"/>
      <c r="M1096" s="214"/>
      <c r="N1096" s="214"/>
      <c r="O1096" s="214"/>
    </row>
    <row r="1097" spans="2:15" x14ac:dyDescent="0.2">
      <c r="B1097" s="214"/>
      <c r="C1097" s="214"/>
      <c r="D1097" s="214"/>
      <c r="E1097" s="214"/>
      <c r="F1097" s="214"/>
      <c r="G1097" s="214"/>
      <c r="H1097" s="214"/>
      <c r="I1097" s="214"/>
      <c r="J1097" s="214"/>
      <c r="K1097" s="214"/>
      <c r="L1097" s="214"/>
      <c r="M1097" s="214"/>
      <c r="N1097" s="214"/>
      <c r="O1097" s="214"/>
    </row>
    <row r="1098" spans="2:15" x14ac:dyDescent="0.2">
      <c r="B1098" s="214"/>
      <c r="C1098" s="214"/>
      <c r="D1098" s="214"/>
      <c r="E1098" s="214"/>
      <c r="F1098" s="214"/>
      <c r="G1098" s="214"/>
      <c r="H1098" s="214"/>
      <c r="I1098" s="214"/>
      <c r="J1098" s="214"/>
      <c r="K1098" s="214"/>
      <c r="L1098" s="214"/>
      <c r="M1098" s="214"/>
      <c r="N1098" s="214"/>
      <c r="O1098" s="214"/>
    </row>
    <row r="1099" spans="2:15" x14ac:dyDescent="0.2">
      <c r="B1099" s="214"/>
      <c r="C1099" s="214"/>
      <c r="D1099" s="214"/>
      <c r="E1099" s="214"/>
      <c r="F1099" s="214"/>
      <c r="G1099" s="214"/>
      <c r="H1099" s="214"/>
      <c r="I1099" s="214"/>
      <c r="J1099" s="214"/>
      <c r="K1099" s="214"/>
      <c r="L1099" s="214"/>
      <c r="M1099" s="214"/>
      <c r="N1099" s="214"/>
      <c r="O1099" s="214"/>
    </row>
    <row r="1100" spans="2:15" x14ac:dyDescent="0.2">
      <c r="B1100" s="214"/>
      <c r="C1100" s="214"/>
      <c r="D1100" s="214"/>
      <c r="E1100" s="214"/>
      <c r="F1100" s="214"/>
      <c r="G1100" s="214"/>
      <c r="H1100" s="214"/>
      <c r="I1100" s="214"/>
      <c r="J1100" s="214"/>
      <c r="K1100" s="214"/>
      <c r="L1100" s="214"/>
      <c r="M1100" s="214"/>
      <c r="N1100" s="214"/>
      <c r="O1100" s="214"/>
    </row>
    <row r="1101" spans="2:15" x14ac:dyDescent="0.2">
      <c r="B1101" s="214"/>
      <c r="C1101" s="214"/>
      <c r="D1101" s="214"/>
      <c r="E1101" s="214"/>
      <c r="F1101" s="214"/>
      <c r="G1101" s="214"/>
      <c r="H1101" s="214"/>
      <c r="I1101" s="214"/>
      <c r="J1101" s="214"/>
      <c r="K1101" s="214"/>
      <c r="L1101" s="214"/>
      <c r="M1101" s="214"/>
      <c r="N1101" s="214"/>
      <c r="O1101" s="214"/>
    </row>
    <row r="1102" spans="2:15" x14ac:dyDescent="0.2">
      <c r="B1102" s="214"/>
      <c r="C1102" s="214"/>
      <c r="D1102" s="214"/>
      <c r="E1102" s="214"/>
      <c r="F1102" s="214"/>
      <c r="G1102" s="214"/>
      <c r="H1102" s="214"/>
      <c r="I1102" s="214"/>
      <c r="J1102" s="214"/>
      <c r="K1102" s="214"/>
      <c r="L1102" s="214"/>
      <c r="M1102" s="214"/>
      <c r="N1102" s="214"/>
      <c r="O1102" s="214"/>
    </row>
    <row r="1103" spans="2:15" x14ac:dyDescent="0.2">
      <c r="B1103" s="214"/>
      <c r="C1103" s="214"/>
      <c r="D1103" s="214"/>
      <c r="E1103" s="214"/>
      <c r="F1103" s="214"/>
      <c r="G1103" s="214"/>
      <c r="H1103" s="214"/>
      <c r="I1103" s="214"/>
      <c r="J1103" s="214"/>
      <c r="K1103" s="214"/>
      <c r="L1103" s="214"/>
      <c r="M1103" s="214"/>
      <c r="N1103" s="214"/>
      <c r="O1103" s="214"/>
    </row>
    <row r="1104" spans="2:15" x14ac:dyDescent="0.2">
      <c r="B1104" s="214"/>
      <c r="C1104" s="214"/>
      <c r="D1104" s="214"/>
      <c r="E1104" s="214"/>
      <c r="F1104" s="214"/>
      <c r="G1104" s="214"/>
      <c r="H1104" s="214"/>
      <c r="I1104" s="214"/>
      <c r="J1104" s="214"/>
      <c r="K1104" s="214"/>
      <c r="L1104" s="214"/>
      <c r="M1104" s="214"/>
      <c r="N1104" s="214"/>
      <c r="O1104" s="214"/>
    </row>
    <row r="1105" spans="2:15" x14ac:dyDescent="0.2">
      <c r="B1105" s="214"/>
      <c r="C1105" s="214"/>
      <c r="D1105" s="214"/>
      <c r="E1105" s="214"/>
      <c r="F1105" s="214"/>
      <c r="G1105" s="214"/>
      <c r="H1105" s="214"/>
      <c r="I1105" s="214"/>
      <c r="J1105" s="214"/>
      <c r="K1105" s="214"/>
      <c r="L1105" s="214"/>
      <c r="M1105" s="214"/>
      <c r="N1105" s="214"/>
      <c r="O1105" s="214"/>
    </row>
    <row r="1106" spans="2:15" x14ac:dyDescent="0.2">
      <c r="B1106" s="214"/>
      <c r="C1106" s="214"/>
      <c r="D1106" s="214"/>
      <c r="E1106" s="214"/>
      <c r="F1106" s="214"/>
      <c r="G1106" s="214"/>
      <c r="H1106" s="214"/>
      <c r="I1106" s="214"/>
      <c r="J1106" s="214"/>
      <c r="K1106" s="214"/>
      <c r="L1106" s="214"/>
      <c r="M1106" s="214"/>
      <c r="N1106" s="214"/>
      <c r="O1106" s="214"/>
    </row>
    <row r="1107" spans="2:15" x14ac:dyDescent="0.2">
      <c r="B1107" s="214"/>
      <c r="C1107" s="214"/>
      <c r="D1107" s="214"/>
      <c r="E1107" s="214"/>
      <c r="F1107" s="214"/>
      <c r="G1107" s="214"/>
      <c r="H1107" s="214"/>
      <c r="I1107" s="214"/>
      <c r="J1107" s="214"/>
      <c r="K1107" s="214"/>
      <c r="L1107" s="214"/>
      <c r="M1107" s="214"/>
      <c r="N1107" s="214"/>
      <c r="O1107" s="214"/>
    </row>
    <row r="1108" spans="2:15" x14ac:dyDescent="0.2">
      <c r="B1108" s="214"/>
      <c r="C1108" s="214"/>
      <c r="D1108" s="214"/>
      <c r="E1108" s="214"/>
      <c r="F1108" s="214"/>
      <c r="G1108" s="214"/>
      <c r="H1108" s="214"/>
      <c r="I1108" s="214"/>
      <c r="J1108" s="214"/>
      <c r="K1108" s="214"/>
      <c r="L1108" s="214"/>
      <c r="M1108" s="214"/>
      <c r="N1108" s="214"/>
      <c r="O1108" s="214"/>
    </row>
    <row r="1109" spans="2:15" x14ac:dyDescent="0.2">
      <c r="B1109" s="214"/>
      <c r="C1109" s="214"/>
      <c r="D1109" s="214"/>
      <c r="E1109" s="214"/>
      <c r="F1109" s="214"/>
      <c r="G1109" s="214"/>
      <c r="H1109" s="214"/>
      <c r="I1109" s="214"/>
      <c r="J1109" s="214"/>
      <c r="K1109" s="214"/>
      <c r="L1109" s="214"/>
      <c r="M1109" s="214"/>
      <c r="N1109" s="214"/>
      <c r="O1109" s="214"/>
    </row>
    <row r="1110" spans="2:15" x14ac:dyDescent="0.2">
      <c r="B1110" s="214"/>
      <c r="C1110" s="214"/>
      <c r="D1110" s="214"/>
      <c r="E1110" s="214"/>
      <c r="F1110" s="214"/>
      <c r="G1110" s="214"/>
      <c r="H1110" s="214"/>
      <c r="I1110" s="214"/>
      <c r="J1110" s="214"/>
      <c r="K1110" s="214"/>
      <c r="L1110" s="214"/>
      <c r="M1110" s="214"/>
      <c r="N1110" s="214"/>
      <c r="O1110" s="214"/>
    </row>
    <row r="1111" spans="2:15" x14ac:dyDescent="0.2">
      <c r="B1111" s="214"/>
      <c r="C1111" s="214"/>
      <c r="D1111" s="214"/>
      <c r="E1111" s="214"/>
      <c r="F1111" s="214"/>
      <c r="G1111" s="214"/>
      <c r="H1111" s="214"/>
      <c r="I1111" s="214"/>
      <c r="J1111" s="214"/>
      <c r="K1111" s="214"/>
      <c r="L1111" s="214"/>
      <c r="M1111" s="214"/>
      <c r="N1111" s="214"/>
      <c r="O1111" s="214"/>
    </row>
    <row r="1112" spans="2:15" x14ac:dyDescent="0.2">
      <c r="B1112" s="214"/>
      <c r="C1112" s="214"/>
      <c r="D1112" s="214"/>
      <c r="E1112" s="214"/>
      <c r="F1112" s="214"/>
      <c r="G1112" s="214"/>
      <c r="H1112" s="214"/>
      <c r="I1112" s="214"/>
      <c r="J1112" s="214"/>
      <c r="K1112" s="214"/>
      <c r="L1112" s="214"/>
      <c r="M1112" s="214"/>
      <c r="N1112" s="214"/>
      <c r="O1112" s="214"/>
    </row>
    <row r="1113" spans="2:15" x14ac:dyDescent="0.2">
      <c r="B1113" s="214"/>
      <c r="C1113" s="214"/>
      <c r="D1113" s="214"/>
      <c r="E1113" s="214"/>
      <c r="F1113" s="214"/>
      <c r="G1113" s="214"/>
      <c r="H1113" s="214"/>
      <c r="I1113" s="214"/>
      <c r="J1113" s="214"/>
      <c r="K1113" s="214"/>
      <c r="L1113" s="214"/>
      <c r="M1113" s="214"/>
      <c r="N1113" s="214"/>
      <c r="O1113" s="214"/>
    </row>
    <row r="1114" spans="2:15" x14ac:dyDescent="0.2">
      <c r="B1114" s="214"/>
      <c r="C1114" s="214"/>
      <c r="D1114" s="214"/>
      <c r="E1114" s="214"/>
      <c r="F1114" s="214"/>
      <c r="G1114" s="214"/>
      <c r="H1114" s="214"/>
      <c r="I1114" s="214"/>
      <c r="J1114" s="214"/>
      <c r="K1114" s="214"/>
      <c r="L1114" s="214"/>
      <c r="M1114" s="214"/>
      <c r="N1114" s="214"/>
      <c r="O1114" s="214"/>
    </row>
    <row r="1115" spans="2:15" x14ac:dyDescent="0.2">
      <c r="B1115" s="214"/>
      <c r="C1115" s="214"/>
      <c r="D1115" s="214"/>
      <c r="E1115" s="214"/>
      <c r="F1115" s="214"/>
      <c r="G1115" s="214"/>
      <c r="H1115" s="214"/>
      <c r="I1115" s="214"/>
      <c r="J1115" s="214"/>
      <c r="K1115" s="214"/>
      <c r="L1115" s="214"/>
      <c r="M1115" s="214"/>
      <c r="N1115" s="214"/>
      <c r="O1115" s="214"/>
    </row>
    <row r="1116" spans="2:15" x14ac:dyDescent="0.2">
      <c r="B1116" s="214"/>
      <c r="C1116" s="214"/>
      <c r="D1116" s="214"/>
      <c r="E1116" s="214"/>
      <c r="F1116" s="214"/>
      <c r="G1116" s="214"/>
      <c r="H1116" s="214"/>
      <c r="I1116" s="214"/>
      <c r="J1116" s="214"/>
      <c r="K1116" s="214"/>
      <c r="L1116" s="214"/>
      <c r="M1116" s="214"/>
      <c r="N1116" s="214"/>
      <c r="O1116" s="214"/>
    </row>
    <row r="1117" spans="2:15" x14ac:dyDescent="0.2">
      <c r="B1117" s="214"/>
      <c r="C1117" s="214"/>
      <c r="D1117" s="214"/>
      <c r="E1117" s="214"/>
      <c r="F1117" s="214"/>
      <c r="G1117" s="214"/>
      <c r="H1117" s="214"/>
      <c r="I1117" s="214"/>
      <c r="J1117" s="214"/>
      <c r="K1117" s="214"/>
      <c r="L1117" s="214"/>
      <c r="M1117" s="214"/>
      <c r="N1117" s="214"/>
      <c r="O1117" s="214"/>
    </row>
    <row r="1118" spans="2:15" x14ac:dyDescent="0.2">
      <c r="B1118" s="214"/>
      <c r="C1118" s="214"/>
      <c r="D1118" s="214"/>
      <c r="E1118" s="214"/>
      <c r="F1118" s="214"/>
      <c r="G1118" s="214"/>
      <c r="H1118" s="214"/>
      <c r="I1118" s="214"/>
      <c r="J1118" s="214"/>
      <c r="K1118" s="214"/>
      <c r="L1118" s="214"/>
      <c r="M1118" s="214"/>
      <c r="N1118" s="214"/>
      <c r="O1118" s="214"/>
    </row>
    <row r="1119" spans="2:15" x14ac:dyDescent="0.2">
      <c r="B1119" s="214"/>
      <c r="C1119" s="214"/>
      <c r="D1119" s="214"/>
      <c r="E1119" s="214"/>
      <c r="F1119" s="214"/>
      <c r="G1119" s="214"/>
      <c r="H1119" s="214"/>
      <c r="I1119" s="214"/>
      <c r="J1119" s="214"/>
      <c r="K1119" s="214"/>
      <c r="L1119" s="214"/>
      <c r="M1119" s="214"/>
      <c r="N1119" s="214"/>
      <c r="O1119" s="214"/>
    </row>
    <row r="1120" spans="2:15" x14ac:dyDescent="0.2">
      <c r="B1120" s="214"/>
      <c r="C1120" s="214"/>
      <c r="D1120" s="214"/>
      <c r="E1120" s="214"/>
      <c r="F1120" s="214"/>
      <c r="G1120" s="214"/>
      <c r="H1120" s="214"/>
      <c r="I1120" s="214"/>
      <c r="J1120" s="214"/>
      <c r="K1120" s="214"/>
      <c r="L1120" s="214"/>
      <c r="M1120" s="214"/>
      <c r="N1120" s="214"/>
      <c r="O1120" s="214"/>
    </row>
    <row r="1121" spans="2:15" x14ac:dyDescent="0.2">
      <c r="B1121" s="214"/>
      <c r="C1121" s="214"/>
      <c r="D1121" s="214"/>
      <c r="E1121" s="214"/>
      <c r="F1121" s="214"/>
      <c r="G1121" s="214"/>
      <c r="H1121" s="214"/>
      <c r="I1121" s="214"/>
      <c r="J1121" s="214"/>
      <c r="K1121" s="214"/>
      <c r="L1121" s="214"/>
      <c r="M1121" s="214"/>
      <c r="N1121" s="214"/>
      <c r="O1121" s="214"/>
    </row>
    <row r="1122" spans="2:15" x14ac:dyDescent="0.2">
      <c r="B1122" s="214"/>
      <c r="C1122" s="214"/>
      <c r="D1122" s="214"/>
      <c r="E1122" s="214"/>
      <c r="F1122" s="214"/>
      <c r="G1122" s="214"/>
      <c r="H1122" s="214"/>
      <c r="I1122" s="214"/>
      <c r="J1122" s="214"/>
      <c r="K1122" s="214"/>
      <c r="L1122" s="214"/>
      <c r="M1122" s="214"/>
      <c r="N1122" s="214"/>
      <c r="O1122" s="214"/>
    </row>
    <row r="1123" spans="2:15" x14ac:dyDescent="0.2">
      <c r="B1123" s="214"/>
      <c r="C1123" s="214"/>
      <c r="D1123" s="214"/>
      <c r="E1123" s="214"/>
      <c r="F1123" s="214"/>
      <c r="G1123" s="214"/>
      <c r="H1123" s="214"/>
      <c r="I1123" s="214"/>
      <c r="J1123" s="214"/>
      <c r="K1123" s="214"/>
      <c r="L1123" s="214"/>
      <c r="M1123" s="214"/>
      <c r="N1123" s="214"/>
      <c r="O1123" s="214"/>
    </row>
    <row r="1124" spans="2:15" x14ac:dyDescent="0.2">
      <c r="B1124" s="214"/>
      <c r="C1124" s="214"/>
      <c r="D1124" s="214"/>
      <c r="E1124" s="214"/>
      <c r="F1124" s="214"/>
      <c r="G1124" s="214"/>
      <c r="H1124" s="214"/>
      <c r="I1124" s="214"/>
      <c r="J1124" s="214"/>
      <c r="K1124" s="214"/>
      <c r="L1124" s="214"/>
      <c r="M1124" s="214"/>
      <c r="N1124" s="214"/>
      <c r="O1124" s="214"/>
    </row>
    <row r="1125" spans="2:15" x14ac:dyDescent="0.2">
      <c r="B1125" s="214"/>
      <c r="C1125" s="214"/>
      <c r="D1125" s="214"/>
      <c r="E1125" s="214"/>
      <c r="F1125" s="214"/>
      <c r="G1125" s="214"/>
      <c r="H1125" s="214"/>
      <c r="I1125" s="214"/>
      <c r="J1125" s="214"/>
      <c r="K1125" s="214"/>
      <c r="L1125" s="214"/>
      <c r="M1125" s="214"/>
      <c r="N1125" s="214"/>
      <c r="O1125" s="214"/>
    </row>
    <row r="1126" spans="2:15" x14ac:dyDescent="0.2">
      <c r="B1126" s="214"/>
      <c r="C1126" s="214"/>
      <c r="D1126" s="214"/>
      <c r="E1126" s="214"/>
      <c r="F1126" s="214"/>
      <c r="G1126" s="214"/>
      <c r="H1126" s="214"/>
      <c r="I1126" s="214"/>
      <c r="J1126" s="214"/>
      <c r="K1126" s="214"/>
      <c r="L1126" s="214"/>
      <c r="M1126" s="214"/>
      <c r="N1126" s="214"/>
      <c r="O1126" s="214"/>
    </row>
    <row r="1127" spans="2:15" x14ac:dyDescent="0.2">
      <c r="B1127" s="214"/>
      <c r="C1127" s="214"/>
      <c r="D1127" s="214"/>
      <c r="E1127" s="214"/>
      <c r="F1127" s="214"/>
      <c r="G1127" s="214"/>
      <c r="H1127" s="214"/>
      <c r="I1127" s="214"/>
      <c r="J1127" s="214"/>
      <c r="K1127" s="214"/>
      <c r="L1127" s="214"/>
      <c r="M1127" s="214"/>
      <c r="N1127" s="214"/>
      <c r="O1127" s="214"/>
    </row>
    <row r="1128" spans="2:15" x14ac:dyDescent="0.2">
      <c r="B1128" s="214"/>
      <c r="C1128" s="214"/>
      <c r="D1128" s="214"/>
      <c r="E1128" s="214"/>
      <c r="F1128" s="214"/>
      <c r="G1128" s="214"/>
      <c r="H1128" s="214"/>
      <c r="I1128" s="214"/>
      <c r="J1128" s="214"/>
      <c r="K1128" s="214"/>
      <c r="L1128" s="214"/>
      <c r="M1128" s="214"/>
      <c r="N1128" s="214"/>
      <c r="O1128" s="214"/>
    </row>
    <row r="1129" spans="2:15" x14ac:dyDescent="0.2">
      <c r="B1129" s="214"/>
      <c r="C1129" s="214"/>
      <c r="D1129" s="214"/>
      <c r="E1129" s="214"/>
      <c r="F1129" s="214"/>
      <c r="G1129" s="214"/>
      <c r="H1129" s="214"/>
      <c r="I1129" s="214"/>
      <c r="J1129" s="214"/>
      <c r="K1129" s="214"/>
      <c r="L1129" s="214"/>
      <c r="M1129" s="214"/>
      <c r="N1129" s="214"/>
      <c r="O1129" s="214"/>
    </row>
    <row r="1130" spans="2:15" x14ac:dyDescent="0.2">
      <c r="B1130" s="214"/>
      <c r="C1130" s="214"/>
      <c r="D1130" s="214"/>
      <c r="E1130" s="214"/>
      <c r="F1130" s="214"/>
      <c r="G1130" s="214"/>
      <c r="H1130" s="214"/>
      <c r="I1130" s="214"/>
      <c r="J1130" s="214"/>
      <c r="K1130" s="214"/>
      <c r="L1130" s="214"/>
      <c r="M1130" s="214"/>
      <c r="N1130" s="214"/>
      <c r="O1130" s="214"/>
    </row>
    <row r="1131" spans="2:15" x14ac:dyDescent="0.2">
      <c r="B1131" s="214"/>
      <c r="C1131" s="214"/>
      <c r="D1131" s="214"/>
      <c r="E1131" s="214"/>
      <c r="F1131" s="214"/>
      <c r="G1131" s="214"/>
      <c r="H1131" s="214"/>
      <c r="I1131" s="214"/>
      <c r="J1131" s="214"/>
      <c r="K1131" s="214"/>
      <c r="L1131" s="214"/>
      <c r="M1131" s="214"/>
      <c r="N1131" s="214"/>
      <c r="O1131" s="214"/>
    </row>
    <row r="1132" spans="2:15" x14ac:dyDescent="0.2">
      <c r="B1132" s="214"/>
      <c r="C1132" s="214"/>
      <c r="D1132" s="214"/>
      <c r="E1132" s="214"/>
      <c r="F1132" s="214"/>
      <c r="G1132" s="214"/>
      <c r="H1132" s="214"/>
      <c r="I1132" s="214"/>
      <c r="J1132" s="214"/>
      <c r="K1132" s="214"/>
      <c r="L1132" s="214"/>
      <c r="M1132" s="214"/>
      <c r="N1132" s="214"/>
      <c r="O1132" s="214"/>
    </row>
    <row r="1133" spans="2:15" x14ac:dyDescent="0.2">
      <c r="B1133" s="214"/>
      <c r="C1133" s="214"/>
      <c r="D1133" s="214"/>
      <c r="E1133" s="214"/>
      <c r="F1133" s="214"/>
      <c r="G1133" s="214"/>
      <c r="H1133" s="214"/>
      <c r="I1133" s="214"/>
      <c r="J1133" s="214"/>
      <c r="K1133" s="214"/>
      <c r="L1133" s="214"/>
      <c r="M1133" s="214"/>
      <c r="N1133" s="214"/>
      <c r="O1133" s="214"/>
    </row>
    <row r="1134" spans="2:15" x14ac:dyDescent="0.2">
      <c r="B1134" s="214"/>
      <c r="C1134" s="214"/>
      <c r="D1134" s="214"/>
      <c r="E1134" s="214"/>
      <c r="F1134" s="214"/>
      <c r="G1134" s="214"/>
      <c r="H1134" s="214"/>
      <c r="I1134" s="214"/>
      <c r="J1134" s="214"/>
      <c r="K1134" s="214"/>
      <c r="L1134" s="214"/>
      <c r="M1134" s="214"/>
      <c r="N1134" s="214"/>
      <c r="O1134" s="214"/>
    </row>
    <row r="1135" spans="2:15" x14ac:dyDescent="0.2">
      <c r="B1135" s="214"/>
      <c r="C1135" s="214"/>
      <c r="D1135" s="214"/>
      <c r="E1135" s="214"/>
      <c r="F1135" s="214"/>
      <c r="G1135" s="214"/>
      <c r="H1135" s="214"/>
      <c r="I1135" s="214"/>
      <c r="J1135" s="214"/>
      <c r="K1135" s="214"/>
      <c r="L1135" s="214"/>
      <c r="M1135" s="214"/>
      <c r="N1135" s="214"/>
      <c r="O1135" s="214"/>
    </row>
    <row r="1136" spans="2:15" x14ac:dyDescent="0.2">
      <c r="B1136" s="214"/>
      <c r="C1136" s="214"/>
      <c r="D1136" s="214"/>
      <c r="E1136" s="214"/>
      <c r="F1136" s="214"/>
      <c r="G1136" s="214"/>
      <c r="H1136" s="214"/>
      <c r="I1136" s="214"/>
      <c r="J1136" s="214"/>
      <c r="K1136" s="214"/>
      <c r="L1136" s="214"/>
      <c r="M1136" s="214"/>
      <c r="N1136" s="214"/>
      <c r="O1136" s="214"/>
    </row>
    <row r="1137" spans="2:15" x14ac:dyDescent="0.2">
      <c r="B1137" s="214"/>
      <c r="C1137" s="214"/>
      <c r="D1137" s="214"/>
      <c r="E1137" s="214"/>
      <c r="F1137" s="214"/>
      <c r="G1137" s="214"/>
      <c r="H1137" s="214"/>
      <c r="I1137" s="214"/>
      <c r="J1137" s="214"/>
      <c r="K1137" s="214"/>
      <c r="L1137" s="214"/>
      <c r="M1137" s="214"/>
      <c r="N1137" s="214"/>
      <c r="O1137" s="214"/>
    </row>
    <row r="1138" spans="2:15" x14ac:dyDescent="0.2">
      <c r="B1138" s="214"/>
      <c r="C1138" s="214"/>
      <c r="D1138" s="214"/>
      <c r="E1138" s="214"/>
      <c r="F1138" s="214"/>
      <c r="G1138" s="214"/>
      <c r="H1138" s="214"/>
      <c r="I1138" s="214"/>
      <c r="J1138" s="214"/>
      <c r="K1138" s="214"/>
      <c r="L1138" s="214"/>
      <c r="M1138" s="214"/>
      <c r="N1138" s="214"/>
      <c r="O1138" s="214"/>
    </row>
    <row r="1139" spans="2:15" x14ac:dyDescent="0.2">
      <c r="B1139" s="214"/>
      <c r="C1139" s="214"/>
      <c r="D1139" s="214"/>
      <c r="E1139" s="214"/>
      <c r="F1139" s="214"/>
      <c r="G1139" s="214"/>
      <c r="H1139" s="214"/>
      <c r="I1139" s="214"/>
      <c r="J1139" s="214"/>
      <c r="K1139" s="214"/>
      <c r="L1139" s="214"/>
      <c r="M1139" s="214"/>
      <c r="N1139" s="214"/>
      <c r="O1139" s="214"/>
    </row>
    <row r="1140" spans="2:15" x14ac:dyDescent="0.2">
      <c r="B1140" s="214"/>
      <c r="C1140" s="214"/>
      <c r="D1140" s="214"/>
      <c r="E1140" s="214"/>
      <c r="F1140" s="214"/>
      <c r="G1140" s="214"/>
      <c r="H1140" s="214"/>
      <c r="I1140" s="214"/>
      <c r="J1140" s="214"/>
      <c r="K1140" s="214"/>
      <c r="L1140" s="214"/>
      <c r="M1140" s="214"/>
      <c r="N1140" s="214"/>
      <c r="O1140" s="214"/>
    </row>
    <row r="1141" spans="2:15" x14ac:dyDescent="0.2">
      <c r="B1141" s="214"/>
      <c r="C1141" s="214"/>
      <c r="D1141" s="214"/>
      <c r="E1141" s="214"/>
      <c r="F1141" s="214"/>
      <c r="G1141" s="214"/>
      <c r="H1141" s="214"/>
      <c r="I1141" s="214"/>
      <c r="J1141" s="214"/>
      <c r="K1141" s="214"/>
      <c r="L1141" s="214"/>
      <c r="M1141" s="214"/>
      <c r="N1141" s="214"/>
      <c r="O1141" s="214"/>
    </row>
    <row r="1142" spans="2:15" x14ac:dyDescent="0.2">
      <c r="B1142" s="214"/>
      <c r="C1142" s="214"/>
      <c r="D1142" s="214"/>
      <c r="E1142" s="214"/>
      <c r="F1142" s="214"/>
      <c r="G1142" s="214"/>
      <c r="H1142" s="214"/>
      <c r="I1142" s="214"/>
      <c r="J1142" s="214"/>
      <c r="K1142" s="214"/>
      <c r="L1142" s="214"/>
      <c r="M1142" s="214"/>
      <c r="N1142" s="214"/>
      <c r="O1142" s="214"/>
    </row>
    <row r="1143" spans="2:15" x14ac:dyDescent="0.2">
      <c r="B1143" s="214"/>
      <c r="C1143" s="214"/>
      <c r="D1143" s="214"/>
      <c r="E1143" s="214"/>
      <c r="F1143" s="214"/>
      <c r="G1143" s="214"/>
      <c r="H1143" s="214"/>
      <c r="I1143" s="214"/>
      <c r="J1143" s="214"/>
      <c r="K1143" s="214"/>
      <c r="L1143" s="214"/>
      <c r="M1143" s="214"/>
      <c r="N1143" s="214"/>
      <c r="O1143" s="214"/>
    </row>
    <row r="1144" spans="2:15" x14ac:dyDescent="0.2">
      <c r="B1144" s="214"/>
      <c r="C1144" s="214"/>
      <c r="D1144" s="214"/>
      <c r="E1144" s="214"/>
      <c r="F1144" s="214"/>
      <c r="G1144" s="214"/>
      <c r="H1144" s="214"/>
      <c r="I1144" s="214"/>
      <c r="J1144" s="214"/>
      <c r="K1144" s="214"/>
      <c r="L1144" s="214"/>
      <c r="M1144" s="214"/>
      <c r="N1144" s="214"/>
      <c r="O1144" s="214"/>
    </row>
    <row r="1145" spans="2:15" x14ac:dyDescent="0.2">
      <c r="B1145" s="214"/>
      <c r="C1145" s="214"/>
      <c r="D1145" s="214"/>
      <c r="E1145" s="214"/>
      <c r="F1145" s="214"/>
      <c r="G1145" s="214"/>
      <c r="H1145" s="214"/>
      <c r="I1145" s="214"/>
      <c r="J1145" s="214"/>
      <c r="K1145" s="214"/>
      <c r="L1145" s="214"/>
      <c r="M1145" s="214"/>
      <c r="N1145" s="214"/>
      <c r="O1145" s="214"/>
    </row>
    <row r="1146" spans="2:15" x14ac:dyDescent="0.2">
      <c r="B1146" s="214"/>
      <c r="C1146" s="214"/>
      <c r="D1146" s="214"/>
      <c r="E1146" s="214"/>
      <c r="F1146" s="214"/>
      <c r="G1146" s="214"/>
      <c r="H1146" s="214"/>
      <c r="I1146" s="214"/>
      <c r="J1146" s="214"/>
      <c r="K1146" s="214"/>
      <c r="L1146" s="214"/>
      <c r="M1146" s="214"/>
      <c r="N1146" s="214"/>
      <c r="O1146" s="214"/>
    </row>
    <row r="1147" spans="2:15" x14ac:dyDescent="0.2">
      <c r="B1147" s="214"/>
      <c r="C1147" s="214"/>
      <c r="D1147" s="214"/>
      <c r="E1147" s="214"/>
      <c r="F1147" s="214"/>
      <c r="G1147" s="214"/>
      <c r="H1147" s="214"/>
      <c r="I1147" s="214"/>
      <c r="J1147" s="214"/>
      <c r="K1147" s="214"/>
      <c r="L1147" s="214"/>
      <c r="M1147" s="214"/>
      <c r="N1147" s="214"/>
      <c r="O1147" s="214"/>
    </row>
    <row r="1148" spans="2:15" x14ac:dyDescent="0.2">
      <c r="B1148" s="214"/>
      <c r="C1148" s="214"/>
      <c r="D1148" s="214"/>
      <c r="E1148" s="214"/>
      <c r="F1148" s="214"/>
      <c r="G1148" s="214"/>
      <c r="H1148" s="214"/>
      <c r="I1148" s="214"/>
      <c r="J1148" s="214"/>
      <c r="K1148" s="214"/>
      <c r="L1148" s="214"/>
      <c r="M1148" s="214"/>
      <c r="N1148" s="214"/>
      <c r="O1148" s="214"/>
    </row>
    <row r="1149" spans="2:15" x14ac:dyDescent="0.2">
      <c r="B1149" s="214"/>
      <c r="C1149" s="214"/>
      <c r="D1149" s="214"/>
      <c r="E1149" s="214"/>
      <c r="F1149" s="214"/>
      <c r="G1149" s="214"/>
      <c r="H1149" s="214"/>
      <c r="I1149" s="214"/>
      <c r="J1149" s="214"/>
      <c r="K1149" s="214"/>
      <c r="L1149" s="214"/>
      <c r="M1149" s="214"/>
      <c r="N1149" s="214"/>
      <c r="O1149" s="214"/>
    </row>
    <row r="1150" spans="2:15" x14ac:dyDescent="0.2">
      <c r="B1150" s="214"/>
      <c r="C1150" s="214"/>
      <c r="D1150" s="214"/>
      <c r="E1150" s="214"/>
      <c r="F1150" s="214"/>
      <c r="G1150" s="214"/>
      <c r="H1150" s="214"/>
      <c r="I1150" s="214"/>
      <c r="J1150" s="214"/>
      <c r="K1150" s="214"/>
      <c r="L1150" s="214"/>
      <c r="M1150" s="214"/>
      <c r="N1150" s="214"/>
      <c r="O1150" s="214"/>
    </row>
    <row r="1151" spans="2:15" x14ac:dyDescent="0.2">
      <c r="B1151" s="214"/>
      <c r="C1151" s="214"/>
      <c r="D1151" s="214"/>
      <c r="E1151" s="214"/>
      <c r="F1151" s="214"/>
      <c r="G1151" s="214"/>
      <c r="H1151" s="214"/>
      <c r="I1151" s="214"/>
      <c r="J1151" s="214"/>
      <c r="K1151" s="214"/>
      <c r="L1151" s="214"/>
      <c r="M1151" s="214"/>
      <c r="N1151" s="214"/>
      <c r="O1151" s="214"/>
    </row>
    <row r="1152" spans="2:15" x14ac:dyDescent="0.2">
      <c r="B1152" s="214"/>
      <c r="C1152" s="214"/>
      <c r="D1152" s="214"/>
      <c r="E1152" s="214"/>
      <c r="F1152" s="214"/>
      <c r="G1152" s="214"/>
      <c r="H1152" s="214"/>
      <c r="I1152" s="214"/>
      <c r="J1152" s="214"/>
      <c r="K1152" s="214"/>
      <c r="L1152" s="214"/>
      <c r="M1152" s="214"/>
      <c r="N1152" s="214"/>
      <c r="O1152" s="214"/>
    </row>
    <row r="1153" spans="2:15" x14ac:dyDescent="0.2">
      <c r="B1153" s="214"/>
      <c r="C1153" s="214"/>
      <c r="D1153" s="214"/>
      <c r="E1153" s="214"/>
      <c r="F1153" s="214"/>
      <c r="G1153" s="214"/>
      <c r="H1153" s="214"/>
      <c r="I1153" s="214"/>
      <c r="J1153" s="214"/>
      <c r="K1153" s="214"/>
      <c r="L1153" s="214"/>
      <c r="M1153" s="214"/>
      <c r="N1153" s="214"/>
      <c r="O1153" s="214"/>
    </row>
    <row r="1154" spans="2:15" x14ac:dyDescent="0.2">
      <c r="B1154" s="214"/>
      <c r="C1154" s="214"/>
      <c r="D1154" s="214"/>
      <c r="E1154" s="214"/>
      <c r="F1154" s="214"/>
      <c r="G1154" s="214"/>
      <c r="H1154" s="214"/>
      <c r="I1154" s="214"/>
      <c r="J1154" s="214"/>
      <c r="K1154" s="214"/>
      <c r="L1154" s="214"/>
      <c r="M1154" s="214"/>
      <c r="N1154" s="214"/>
      <c r="O1154" s="214"/>
    </row>
    <row r="1155" spans="2:15" x14ac:dyDescent="0.2">
      <c r="B1155" s="214"/>
      <c r="C1155" s="214"/>
      <c r="D1155" s="214"/>
      <c r="E1155" s="214"/>
      <c r="F1155" s="214"/>
      <c r="G1155" s="214"/>
      <c r="H1155" s="214"/>
      <c r="I1155" s="214"/>
      <c r="J1155" s="214"/>
      <c r="K1155" s="214"/>
      <c r="L1155" s="214"/>
      <c r="M1155" s="214"/>
      <c r="N1155" s="214"/>
      <c r="O1155" s="214"/>
    </row>
    <row r="1156" spans="2:15" x14ac:dyDescent="0.2">
      <c r="B1156" s="214"/>
      <c r="C1156" s="214"/>
      <c r="D1156" s="214"/>
      <c r="E1156" s="214"/>
      <c r="F1156" s="214"/>
      <c r="G1156" s="214"/>
      <c r="H1156" s="214"/>
      <c r="I1156" s="214"/>
      <c r="J1156" s="214"/>
      <c r="K1156" s="214"/>
      <c r="L1156" s="214"/>
      <c r="M1156" s="214"/>
      <c r="N1156" s="214"/>
      <c r="O1156" s="214"/>
    </row>
    <row r="1157" spans="2:15" x14ac:dyDescent="0.2">
      <c r="B1157" s="214"/>
      <c r="C1157" s="214"/>
      <c r="D1157" s="214"/>
      <c r="E1157" s="214"/>
      <c r="F1157" s="214"/>
      <c r="G1157" s="214"/>
      <c r="H1157" s="214"/>
      <c r="I1157" s="214"/>
      <c r="J1157" s="214"/>
      <c r="K1157" s="214"/>
      <c r="L1157" s="214"/>
      <c r="M1157" s="214"/>
      <c r="N1157" s="214"/>
      <c r="O1157" s="214"/>
    </row>
    <row r="1158" spans="2:15" x14ac:dyDescent="0.2">
      <c r="B1158" s="214"/>
      <c r="C1158" s="214"/>
      <c r="D1158" s="214"/>
      <c r="E1158" s="214"/>
      <c r="F1158" s="214"/>
      <c r="G1158" s="214"/>
      <c r="H1158" s="214"/>
      <c r="I1158" s="214"/>
      <c r="J1158" s="214"/>
      <c r="K1158" s="214"/>
      <c r="L1158" s="214"/>
      <c r="M1158" s="214"/>
      <c r="N1158" s="214"/>
      <c r="O1158" s="214"/>
    </row>
    <row r="1159" spans="2:15" x14ac:dyDescent="0.2">
      <c r="B1159" s="214"/>
      <c r="C1159" s="214"/>
      <c r="D1159" s="214"/>
      <c r="E1159" s="214"/>
      <c r="F1159" s="214"/>
      <c r="G1159" s="214"/>
      <c r="H1159" s="214"/>
      <c r="I1159" s="214"/>
      <c r="J1159" s="214"/>
      <c r="K1159" s="214"/>
      <c r="L1159" s="214"/>
      <c r="M1159" s="214"/>
      <c r="N1159" s="214"/>
      <c r="O1159" s="214"/>
    </row>
    <row r="1160" spans="2:15" x14ac:dyDescent="0.2">
      <c r="B1160" s="214"/>
      <c r="C1160" s="214"/>
      <c r="D1160" s="214"/>
      <c r="E1160" s="214"/>
      <c r="F1160" s="214"/>
      <c r="G1160" s="214"/>
      <c r="H1160" s="214"/>
      <c r="I1160" s="214"/>
      <c r="J1160" s="214"/>
      <c r="K1160" s="214"/>
      <c r="L1160" s="214"/>
      <c r="M1160" s="214"/>
      <c r="N1160" s="214"/>
      <c r="O1160" s="214"/>
    </row>
    <row r="1161" spans="2:15" x14ac:dyDescent="0.2">
      <c r="B1161" s="214"/>
      <c r="C1161" s="214"/>
      <c r="D1161" s="214"/>
      <c r="E1161" s="214"/>
      <c r="F1161" s="214"/>
      <c r="G1161" s="214"/>
      <c r="H1161" s="214"/>
      <c r="I1161" s="214"/>
      <c r="J1161" s="214"/>
      <c r="K1161" s="214"/>
      <c r="L1161" s="214"/>
      <c r="M1161" s="214"/>
      <c r="N1161" s="214"/>
      <c r="O1161" s="214"/>
    </row>
    <row r="1162" spans="2:15" x14ac:dyDescent="0.2">
      <c r="B1162" s="214"/>
      <c r="C1162" s="214"/>
      <c r="D1162" s="214"/>
      <c r="E1162" s="214"/>
      <c r="F1162" s="214"/>
      <c r="G1162" s="214"/>
      <c r="H1162" s="214"/>
      <c r="I1162" s="214"/>
      <c r="J1162" s="214"/>
      <c r="K1162" s="214"/>
      <c r="L1162" s="214"/>
      <c r="M1162" s="214"/>
      <c r="N1162" s="214"/>
      <c r="O1162" s="214"/>
    </row>
    <row r="1163" spans="2:15" x14ac:dyDescent="0.2">
      <c r="B1163" s="214"/>
      <c r="C1163" s="214"/>
      <c r="D1163" s="214"/>
      <c r="E1163" s="214"/>
      <c r="F1163" s="214"/>
      <c r="G1163" s="214"/>
      <c r="H1163" s="214"/>
      <c r="I1163" s="214"/>
      <c r="J1163" s="214"/>
      <c r="K1163" s="214"/>
      <c r="L1163" s="214"/>
      <c r="M1163" s="214"/>
      <c r="N1163" s="214"/>
      <c r="O1163" s="214"/>
    </row>
    <row r="1164" spans="2:15" x14ac:dyDescent="0.2">
      <c r="B1164" s="214"/>
      <c r="C1164" s="214"/>
      <c r="D1164" s="214"/>
      <c r="E1164" s="214"/>
      <c r="F1164" s="214"/>
      <c r="G1164" s="214"/>
      <c r="H1164" s="214"/>
      <c r="I1164" s="214"/>
      <c r="J1164" s="214"/>
      <c r="K1164" s="214"/>
      <c r="L1164" s="214"/>
      <c r="M1164" s="214"/>
      <c r="N1164" s="214"/>
      <c r="O1164" s="214"/>
    </row>
    <row r="1165" spans="2:15" x14ac:dyDescent="0.2">
      <c r="B1165" s="214"/>
      <c r="C1165" s="214"/>
      <c r="D1165" s="214"/>
      <c r="E1165" s="214"/>
      <c r="F1165" s="214"/>
      <c r="G1165" s="214"/>
      <c r="H1165" s="214"/>
      <c r="I1165" s="214"/>
      <c r="J1165" s="214"/>
      <c r="K1165" s="214"/>
      <c r="L1165" s="214"/>
      <c r="M1165" s="214"/>
      <c r="N1165" s="214"/>
      <c r="O1165" s="214"/>
    </row>
    <row r="1166" spans="2:15" x14ac:dyDescent="0.2">
      <c r="B1166" s="214"/>
      <c r="C1166" s="214"/>
      <c r="D1166" s="214"/>
      <c r="E1166" s="214"/>
      <c r="F1166" s="214"/>
      <c r="G1166" s="214"/>
      <c r="H1166" s="214"/>
      <c r="I1166" s="214"/>
      <c r="J1166" s="214"/>
      <c r="K1166" s="214"/>
      <c r="L1166" s="214"/>
      <c r="M1166" s="214"/>
      <c r="N1166" s="214"/>
      <c r="O1166" s="214"/>
    </row>
    <row r="1167" spans="2:15" x14ac:dyDescent="0.2">
      <c r="B1167" s="214"/>
      <c r="C1167" s="214"/>
      <c r="D1167" s="214"/>
      <c r="E1167" s="214"/>
      <c r="F1167" s="214"/>
      <c r="G1167" s="214"/>
      <c r="H1167" s="214"/>
      <c r="I1167" s="214"/>
      <c r="J1167" s="214"/>
      <c r="K1167" s="214"/>
      <c r="L1167" s="214"/>
      <c r="M1167" s="214"/>
      <c r="N1167" s="214"/>
      <c r="O1167" s="214"/>
    </row>
    <row r="1168" spans="2:15" x14ac:dyDescent="0.2">
      <c r="B1168" s="214"/>
      <c r="C1168" s="214"/>
      <c r="D1168" s="214"/>
      <c r="E1168" s="214"/>
      <c r="F1168" s="214"/>
      <c r="G1168" s="214"/>
      <c r="H1168" s="214"/>
      <c r="I1168" s="214"/>
      <c r="J1168" s="214"/>
      <c r="K1168" s="214"/>
      <c r="L1168" s="214"/>
      <c r="M1168" s="214"/>
      <c r="N1168" s="214"/>
      <c r="O1168" s="214"/>
    </row>
    <row r="1169" spans="2:15" x14ac:dyDescent="0.2">
      <c r="B1169" s="214"/>
      <c r="C1169" s="214"/>
      <c r="D1169" s="214"/>
      <c r="E1169" s="214"/>
      <c r="F1169" s="214"/>
      <c r="G1169" s="214"/>
      <c r="H1169" s="214"/>
      <c r="I1169" s="214"/>
      <c r="J1169" s="214"/>
      <c r="K1169" s="214"/>
      <c r="L1169" s="214"/>
      <c r="M1169" s="214"/>
      <c r="N1169" s="214"/>
      <c r="O1169" s="214"/>
    </row>
    <row r="1170" spans="2:15" x14ac:dyDescent="0.2">
      <c r="B1170" s="214"/>
      <c r="C1170" s="214"/>
      <c r="D1170" s="214"/>
      <c r="E1170" s="214"/>
      <c r="F1170" s="214"/>
      <c r="G1170" s="214"/>
      <c r="H1170" s="214"/>
      <c r="I1170" s="214"/>
      <c r="J1170" s="214"/>
      <c r="K1170" s="214"/>
      <c r="L1170" s="214"/>
      <c r="M1170" s="214"/>
      <c r="N1170" s="214"/>
      <c r="O1170" s="214"/>
    </row>
    <row r="1171" spans="2:15" x14ac:dyDescent="0.2">
      <c r="B1171" s="214"/>
      <c r="C1171" s="214"/>
      <c r="D1171" s="214"/>
      <c r="E1171" s="214"/>
      <c r="F1171" s="214"/>
      <c r="G1171" s="214"/>
      <c r="H1171" s="214"/>
      <c r="I1171" s="214"/>
      <c r="J1171" s="214"/>
      <c r="K1171" s="214"/>
      <c r="L1171" s="214"/>
      <c r="M1171" s="214"/>
      <c r="N1171" s="214"/>
      <c r="O1171" s="214"/>
    </row>
    <row r="1172" spans="2:15" x14ac:dyDescent="0.2">
      <c r="B1172" s="214"/>
      <c r="C1172" s="214"/>
      <c r="D1172" s="214"/>
      <c r="E1172" s="214"/>
      <c r="F1172" s="214"/>
      <c r="G1172" s="214"/>
      <c r="H1172" s="214"/>
      <c r="I1172" s="214"/>
      <c r="J1172" s="214"/>
      <c r="K1172" s="214"/>
      <c r="L1172" s="214"/>
      <c r="M1172" s="214"/>
      <c r="N1172" s="214"/>
      <c r="O1172" s="214"/>
    </row>
    <row r="1173" spans="2:15" x14ac:dyDescent="0.2">
      <c r="B1173" s="214"/>
      <c r="C1173" s="214"/>
      <c r="D1173" s="214"/>
      <c r="E1173" s="214"/>
      <c r="F1173" s="214"/>
      <c r="G1173" s="214"/>
      <c r="H1173" s="214"/>
      <c r="I1173" s="214"/>
      <c r="J1173" s="214"/>
      <c r="K1173" s="214"/>
      <c r="L1173" s="214"/>
      <c r="M1173" s="214"/>
      <c r="N1173" s="214"/>
      <c r="O1173" s="214"/>
    </row>
    <row r="1174" spans="2:15" x14ac:dyDescent="0.2">
      <c r="B1174" s="214"/>
      <c r="C1174" s="214"/>
      <c r="D1174" s="214"/>
      <c r="E1174" s="214"/>
      <c r="F1174" s="214"/>
      <c r="G1174" s="214"/>
      <c r="H1174" s="214"/>
      <c r="I1174" s="214"/>
      <c r="J1174" s="214"/>
      <c r="K1174" s="214"/>
      <c r="L1174" s="214"/>
      <c r="M1174" s="214"/>
      <c r="N1174" s="214"/>
      <c r="O1174" s="214"/>
    </row>
    <row r="1175" spans="2:15" x14ac:dyDescent="0.2">
      <c r="B1175" s="214"/>
      <c r="C1175" s="214"/>
      <c r="D1175" s="214"/>
      <c r="E1175" s="214"/>
      <c r="F1175" s="214"/>
      <c r="G1175" s="214"/>
      <c r="H1175" s="214"/>
      <c r="I1175" s="214"/>
      <c r="J1175" s="214"/>
      <c r="K1175" s="214"/>
      <c r="L1175" s="214"/>
      <c r="M1175" s="214"/>
      <c r="N1175" s="214"/>
      <c r="O1175" s="214"/>
    </row>
    <row r="1176" spans="2:15" x14ac:dyDescent="0.2">
      <c r="B1176" s="214"/>
      <c r="C1176" s="214"/>
      <c r="D1176" s="214"/>
      <c r="E1176" s="214"/>
      <c r="F1176" s="214"/>
      <c r="G1176" s="214"/>
      <c r="H1176" s="214"/>
      <c r="I1176" s="214"/>
      <c r="J1176" s="214"/>
      <c r="K1176" s="214"/>
      <c r="L1176" s="214"/>
      <c r="M1176" s="214"/>
      <c r="N1176" s="214"/>
      <c r="O1176" s="214"/>
    </row>
    <row r="1177" spans="2:15" x14ac:dyDescent="0.2">
      <c r="B1177" s="214"/>
      <c r="C1177" s="214"/>
      <c r="D1177" s="214"/>
      <c r="E1177" s="214"/>
      <c r="F1177" s="214"/>
      <c r="G1177" s="214"/>
      <c r="H1177" s="214"/>
      <c r="I1177" s="214"/>
      <c r="J1177" s="214"/>
      <c r="K1177" s="214"/>
      <c r="L1177" s="214"/>
      <c r="M1177" s="214"/>
      <c r="N1177" s="214"/>
      <c r="O1177" s="214"/>
    </row>
    <row r="1178" spans="2:15" x14ac:dyDescent="0.2">
      <c r="B1178" s="214"/>
      <c r="C1178" s="214"/>
      <c r="D1178" s="214"/>
      <c r="E1178" s="214"/>
      <c r="F1178" s="214"/>
      <c r="G1178" s="214"/>
      <c r="H1178" s="214"/>
      <c r="I1178" s="214"/>
      <c r="J1178" s="214"/>
      <c r="K1178" s="214"/>
      <c r="L1178" s="214"/>
      <c r="M1178" s="214"/>
      <c r="N1178" s="214"/>
      <c r="O1178" s="214"/>
    </row>
    <row r="1179" spans="2:15" x14ac:dyDescent="0.2">
      <c r="B1179" s="214"/>
      <c r="C1179" s="214"/>
      <c r="D1179" s="214"/>
      <c r="E1179" s="214"/>
      <c r="F1179" s="214"/>
      <c r="G1179" s="214"/>
      <c r="H1179" s="214"/>
      <c r="I1179" s="214"/>
      <c r="J1179" s="214"/>
      <c r="K1179" s="214"/>
      <c r="L1179" s="214"/>
      <c r="M1179" s="214"/>
      <c r="N1179" s="214"/>
      <c r="O1179" s="214"/>
    </row>
    <row r="1180" spans="2:15" x14ac:dyDescent="0.2">
      <c r="B1180" s="214"/>
      <c r="C1180" s="214"/>
      <c r="D1180" s="214"/>
      <c r="E1180" s="214"/>
      <c r="F1180" s="214"/>
      <c r="G1180" s="214"/>
      <c r="H1180" s="214"/>
      <c r="I1180" s="214"/>
      <c r="J1180" s="214"/>
      <c r="K1180" s="214"/>
      <c r="L1180" s="214"/>
      <c r="M1180" s="214"/>
      <c r="N1180" s="214"/>
      <c r="O1180" s="214"/>
    </row>
    <row r="1181" spans="2:15" x14ac:dyDescent="0.2">
      <c r="B1181" s="214"/>
      <c r="C1181" s="214"/>
      <c r="D1181" s="214"/>
      <c r="E1181" s="214"/>
      <c r="F1181" s="214"/>
      <c r="G1181" s="214"/>
      <c r="H1181" s="214"/>
      <c r="I1181" s="214"/>
      <c r="J1181" s="214"/>
      <c r="K1181" s="214"/>
      <c r="L1181" s="214"/>
      <c r="M1181" s="214"/>
      <c r="N1181" s="214"/>
      <c r="O1181" s="214"/>
    </row>
    <row r="1182" spans="2:15" x14ac:dyDescent="0.2">
      <c r="B1182" s="214"/>
      <c r="C1182" s="214"/>
      <c r="D1182" s="214"/>
      <c r="E1182" s="214"/>
      <c r="F1182" s="214"/>
      <c r="G1182" s="214"/>
      <c r="H1182" s="214"/>
      <c r="I1182" s="214"/>
      <c r="J1182" s="214"/>
      <c r="K1182" s="214"/>
      <c r="L1182" s="214"/>
      <c r="M1182" s="214"/>
      <c r="N1182" s="214"/>
      <c r="O1182" s="214"/>
    </row>
    <row r="1183" spans="2:15" x14ac:dyDescent="0.2">
      <c r="B1183" s="214"/>
      <c r="C1183" s="214"/>
      <c r="D1183" s="214"/>
      <c r="E1183" s="214"/>
      <c r="F1183" s="214"/>
      <c r="G1183" s="214"/>
      <c r="H1183" s="214"/>
      <c r="I1183" s="214"/>
      <c r="J1183" s="214"/>
      <c r="K1183" s="214"/>
      <c r="L1183" s="214"/>
      <c r="M1183" s="214"/>
      <c r="N1183" s="214"/>
      <c r="O1183" s="214"/>
    </row>
    <row r="1184" spans="2:15" x14ac:dyDescent="0.2">
      <c r="B1184" s="214"/>
      <c r="C1184" s="214"/>
      <c r="D1184" s="214"/>
      <c r="E1184" s="214"/>
      <c r="F1184" s="214"/>
      <c r="G1184" s="214"/>
      <c r="H1184" s="214"/>
      <c r="I1184" s="214"/>
      <c r="J1184" s="214"/>
      <c r="K1184" s="214"/>
      <c r="L1184" s="214"/>
      <c r="M1184" s="214"/>
      <c r="N1184" s="214"/>
      <c r="O1184" s="214"/>
    </row>
    <row r="1185" spans="2:15" x14ac:dyDescent="0.2">
      <c r="B1185" s="214"/>
      <c r="C1185" s="214"/>
      <c r="D1185" s="214"/>
      <c r="E1185" s="214"/>
      <c r="F1185" s="214"/>
      <c r="G1185" s="214"/>
      <c r="H1185" s="214"/>
      <c r="I1185" s="214"/>
      <c r="J1185" s="214"/>
      <c r="K1185" s="214"/>
      <c r="L1185" s="214"/>
      <c r="M1185" s="214"/>
      <c r="N1185" s="214"/>
      <c r="O1185" s="214"/>
    </row>
    <row r="1186" spans="2:15" x14ac:dyDescent="0.2">
      <c r="B1186" s="214"/>
      <c r="C1186" s="214"/>
      <c r="D1186" s="214"/>
      <c r="E1186" s="214"/>
      <c r="F1186" s="214"/>
      <c r="G1186" s="214"/>
      <c r="H1186" s="214"/>
      <c r="I1186" s="214"/>
      <c r="J1186" s="214"/>
      <c r="K1186" s="214"/>
      <c r="L1186" s="214"/>
      <c r="M1186" s="214"/>
      <c r="N1186" s="214"/>
      <c r="O1186" s="214"/>
    </row>
    <row r="1187" spans="2:15" x14ac:dyDescent="0.2">
      <c r="B1187" s="214"/>
      <c r="C1187" s="214"/>
      <c r="D1187" s="214"/>
      <c r="E1187" s="214"/>
      <c r="F1187" s="214"/>
      <c r="G1187" s="214"/>
      <c r="H1187" s="214"/>
      <c r="I1187" s="214"/>
      <c r="J1187" s="214"/>
      <c r="K1187" s="214"/>
      <c r="L1187" s="214"/>
      <c r="M1187" s="214"/>
      <c r="N1187" s="214"/>
      <c r="O1187" s="214"/>
    </row>
    <row r="1188" spans="2:15" x14ac:dyDescent="0.2">
      <c r="B1188" s="214"/>
      <c r="C1188" s="214"/>
      <c r="D1188" s="214"/>
      <c r="E1188" s="214"/>
      <c r="F1188" s="214"/>
      <c r="G1188" s="214"/>
      <c r="H1188" s="214"/>
      <c r="I1188" s="214"/>
      <c r="J1188" s="214"/>
      <c r="K1188" s="214"/>
      <c r="L1188" s="214"/>
      <c r="M1188" s="214"/>
      <c r="N1188" s="214"/>
      <c r="O1188" s="214"/>
    </row>
    <row r="1189" spans="2:15" x14ac:dyDescent="0.2">
      <c r="B1189" s="214"/>
      <c r="C1189" s="214"/>
      <c r="D1189" s="214"/>
      <c r="E1189" s="214"/>
      <c r="F1189" s="214"/>
      <c r="G1189" s="214"/>
      <c r="H1189" s="214"/>
      <c r="I1189" s="214"/>
      <c r="J1189" s="214"/>
      <c r="K1189" s="214"/>
      <c r="L1189" s="214"/>
      <c r="M1189" s="214"/>
      <c r="N1189" s="214"/>
      <c r="O1189" s="214"/>
    </row>
    <row r="1190" spans="2:15" x14ac:dyDescent="0.2">
      <c r="B1190" s="214"/>
      <c r="C1190" s="214"/>
      <c r="D1190" s="214"/>
      <c r="E1190" s="214"/>
      <c r="F1190" s="214"/>
      <c r="G1190" s="214"/>
      <c r="H1190" s="214"/>
      <c r="I1190" s="214"/>
      <c r="J1190" s="214"/>
      <c r="K1190" s="214"/>
      <c r="L1190" s="214"/>
      <c r="M1190" s="214"/>
      <c r="N1190" s="214"/>
      <c r="O1190" s="214"/>
    </row>
    <row r="1191" spans="2:15" x14ac:dyDescent="0.2">
      <c r="B1191" s="214"/>
      <c r="C1191" s="214"/>
      <c r="D1191" s="214"/>
      <c r="E1191" s="214"/>
      <c r="F1191" s="214"/>
      <c r="G1191" s="214"/>
      <c r="H1191" s="214"/>
      <c r="I1191" s="214"/>
      <c r="J1191" s="214"/>
      <c r="K1191" s="214"/>
      <c r="L1191" s="214"/>
      <c r="M1191" s="214"/>
      <c r="N1191" s="214"/>
      <c r="O1191" s="214"/>
    </row>
    <row r="1192" spans="2:15" x14ac:dyDescent="0.2">
      <c r="B1192" s="214"/>
      <c r="C1192" s="214"/>
      <c r="D1192" s="214"/>
      <c r="E1192" s="214"/>
      <c r="F1192" s="214"/>
      <c r="G1192" s="214"/>
      <c r="H1192" s="214"/>
      <c r="I1192" s="214"/>
      <c r="J1192" s="214"/>
      <c r="K1192" s="214"/>
      <c r="L1192" s="214"/>
      <c r="M1192" s="214"/>
      <c r="N1192" s="214"/>
      <c r="O1192" s="214"/>
    </row>
    <row r="1193" spans="2:15" x14ac:dyDescent="0.2">
      <c r="B1193" s="214"/>
      <c r="C1193" s="214"/>
      <c r="D1193" s="214"/>
      <c r="E1193" s="214"/>
      <c r="F1193" s="214"/>
      <c r="G1193" s="214"/>
      <c r="H1193" s="214"/>
      <c r="I1193" s="214"/>
      <c r="J1193" s="214"/>
      <c r="K1193" s="214"/>
      <c r="L1193" s="214"/>
      <c r="M1193" s="214"/>
      <c r="N1193" s="214"/>
      <c r="O1193" s="214"/>
    </row>
    <row r="1194" spans="2:15" x14ac:dyDescent="0.2">
      <c r="B1194" s="214"/>
      <c r="C1194" s="214"/>
      <c r="D1194" s="214"/>
      <c r="E1194" s="214"/>
      <c r="F1194" s="214"/>
      <c r="G1194" s="214"/>
      <c r="H1194" s="214"/>
      <c r="I1194" s="214"/>
      <c r="J1194" s="214"/>
      <c r="K1194" s="214"/>
      <c r="L1194" s="214"/>
      <c r="M1194" s="214"/>
      <c r="N1194" s="214"/>
      <c r="O1194" s="214"/>
    </row>
    <row r="1195" spans="2:15" x14ac:dyDescent="0.2">
      <c r="B1195" s="214"/>
      <c r="C1195" s="214"/>
      <c r="D1195" s="214"/>
      <c r="E1195" s="214"/>
      <c r="F1195" s="214"/>
      <c r="G1195" s="214"/>
      <c r="H1195" s="214"/>
      <c r="I1195" s="214"/>
      <c r="J1195" s="214"/>
      <c r="K1195" s="214"/>
      <c r="L1195" s="214"/>
      <c r="M1195" s="214"/>
      <c r="N1195" s="214"/>
      <c r="O1195" s="214"/>
    </row>
    <row r="1196" spans="2:15" x14ac:dyDescent="0.2">
      <c r="B1196" s="214"/>
      <c r="C1196" s="214"/>
      <c r="D1196" s="214"/>
      <c r="E1196" s="214"/>
      <c r="F1196" s="214"/>
      <c r="G1196" s="214"/>
      <c r="H1196" s="214"/>
      <c r="I1196" s="214"/>
      <c r="J1196" s="214"/>
      <c r="K1196" s="214"/>
      <c r="L1196" s="214"/>
      <c r="M1196" s="214"/>
      <c r="N1196" s="214"/>
      <c r="O1196" s="214"/>
    </row>
    <row r="1197" spans="2:15" x14ac:dyDescent="0.2">
      <c r="B1197" s="214"/>
      <c r="C1197" s="214"/>
      <c r="D1197" s="214"/>
      <c r="E1197" s="214"/>
      <c r="F1197" s="214"/>
      <c r="G1197" s="214"/>
      <c r="H1197" s="214"/>
      <c r="I1197" s="214"/>
      <c r="J1197" s="214"/>
      <c r="K1197" s="214"/>
      <c r="L1197" s="214"/>
      <c r="M1197" s="214"/>
      <c r="N1197" s="214"/>
      <c r="O1197" s="214"/>
    </row>
    <row r="1198" spans="2:15" x14ac:dyDescent="0.2">
      <c r="B1198" s="214"/>
      <c r="C1198" s="214"/>
      <c r="D1198" s="214"/>
      <c r="E1198" s="214"/>
      <c r="F1198" s="214"/>
      <c r="G1198" s="214"/>
      <c r="H1198" s="214"/>
      <c r="I1198" s="214"/>
      <c r="J1198" s="214"/>
      <c r="K1198" s="214"/>
      <c r="L1198" s="214"/>
      <c r="M1198" s="214"/>
      <c r="N1198" s="214"/>
      <c r="O1198" s="214"/>
    </row>
    <row r="1199" spans="2:15" x14ac:dyDescent="0.2">
      <c r="B1199" s="214"/>
      <c r="C1199" s="214"/>
      <c r="D1199" s="214"/>
      <c r="E1199" s="214"/>
      <c r="F1199" s="214"/>
      <c r="G1199" s="214"/>
      <c r="H1199" s="214"/>
      <c r="I1199" s="214"/>
      <c r="J1199" s="214"/>
      <c r="K1199" s="214"/>
      <c r="L1199" s="214"/>
      <c r="M1199" s="214"/>
      <c r="N1199" s="214"/>
      <c r="O1199" s="214"/>
    </row>
    <row r="1200" spans="2:15" x14ac:dyDescent="0.2">
      <c r="B1200" s="214"/>
      <c r="C1200" s="214"/>
      <c r="D1200" s="214"/>
      <c r="E1200" s="214"/>
      <c r="F1200" s="214"/>
      <c r="G1200" s="214"/>
      <c r="H1200" s="214"/>
      <c r="I1200" s="214"/>
      <c r="J1200" s="214"/>
      <c r="K1200" s="214"/>
      <c r="L1200" s="214"/>
      <c r="M1200" s="214"/>
      <c r="N1200" s="214"/>
      <c r="O1200" s="214"/>
    </row>
    <row r="1201" spans="2:15" x14ac:dyDescent="0.2">
      <c r="B1201" s="214"/>
      <c r="C1201" s="214"/>
      <c r="D1201" s="214"/>
      <c r="E1201" s="214"/>
      <c r="F1201" s="214"/>
      <c r="G1201" s="214"/>
      <c r="H1201" s="214"/>
      <c r="I1201" s="214"/>
      <c r="J1201" s="214"/>
      <c r="K1201" s="214"/>
      <c r="L1201" s="214"/>
      <c r="M1201" s="214"/>
      <c r="N1201" s="214"/>
      <c r="O1201" s="214"/>
    </row>
    <row r="1202" spans="2:15" x14ac:dyDescent="0.2">
      <c r="B1202" s="214"/>
      <c r="C1202" s="214"/>
      <c r="D1202" s="214"/>
      <c r="E1202" s="214"/>
      <c r="F1202" s="214"/>
      <c r="G1202" s="214"/>
      <c r="H1202" s="214"/>
      <c r="I1202" s="214"/>
      <c r="J1202" s="214"/>
      <c r="K1202" s="214"/>
      <c r="L1202" s="214"/>
      <c r="M1202" s="214"/>
      <c r="N1202" s="214"/>
      <c r="O1202" s="214"/>
    </row>
    <row r="1203" spans="2:15" x14ac:dyDescent="0.2">
      <c r="B1203" s="214"/>
      <c r="C1203" s="214"/>
      <c r="D1203" s="214"/>
      <c r="E1203" s="214"/>
      <c r="F1203" s="214"/>
      <c r="G1203" s="214"/>
      <c r="H1203" s="214"/>
      <c r="I1203" s="214"/>
      <c r="J1203" s="214"/>
      <c r="K1203" s="214"/>
      <c r="L1203" s="214"/>
      <c r="M1203" s="214"/>
      <c r="N1203" s="214"/>
      <c r="O1203" s="214"/>
    </row>
    <row r="1204" spans="2:15" x14ac:dyDescent="0.2">
      <c r="B1204" s="214"/>
      <c r="C1204" s="214"/>
      <c r="D1204" s="214"/>
      <c r="E1204" s="214"/>
      <c r="F1204" s="214"/>
      <c r="G1204" s="214"/>
      <c r="H1204" s="214"/>
      <c r="I1204" s="214"/>
      <c r="J1204" s="214"/>
      <c r="K1204" s="214"/>
      <c r="L1204" s="214"/>
      <c r="M1204" s="214"/>
      <c r="N1204" s="214"/>
      <c r="O1204" s="214"/>
    </row>
    <row r="1205" spans="2:15" x14ac:dyDescent="0.2">
      <c r="B1205" s="214"/>
      <c r="C1205" s="214"/>
      <c r="D1205" s="214"/>
      <c r="E1205" s="214"/>
      <c r="F1205" s="214"/>
      <c r="G1205" s="214"/>
      <c r="H1205" s="214"/>
      <c r="I1205" s="214"/>
      <c r="J1205" s="214"/>
      <c r="K1205" s="214"/>
      <c r="L1205" s="214"/>
      <c r="M1205" s="214"/>
      <c r="N1205" s="214"/>
      <c r="O1205" s="214"/>
    </row>
    <row r="1206" spans="2:15" x14ac:dyDescent="0.2">
      <c r="B1206" s="214"/>
      <c r="C1206" s="214"/>
      <c r="D1206" s="214"/>
      <c r="E1206" s="214"/>
      <c r="F1206" s="214"/>
      <c r="G1206" s="214"/>
      <c r="H1206" s="214"/>
      <c r="I1206" s="214"/>
      <c r="J1206" s="214"/>
      <c r="K1206" s="214"/>
      <c r="L1206" s="214"/>
      <c r="M1206" s="214"/>
      <c r="N1206" s="214"/>
      <c r="O1206" s="214"/>
    </row>
    <row r="1207" spans="2:15" x14ac:dyDescent="0.2">
      <c r="B1207" s="214"/>
      <c r="C1207" s="214"/>
      <c r="D1207" s="214"/>
      <c r="E1207" s="214"/>
      <c r="F1207" s="214"/>
      <c r="G1207" s="214"/>
      <c r="H1207" s="214"/>
      <c r="I1207" s="214"/>
      <c r="J1207" s="214"/>
      <c r="K1207" s="214"/>
      <c r="L1207" s="214"/>
      <c r="M1207" s="214"/>
      <c r="N1207" s="214"/>
      <c r="O1207" s="214"/>
    </row>
    <row r="1208" spans="2:15" x14ac:dyDescent="0.2">
      <c r="B1208" s="214"/>
      <c r="C1208" s="214"/>
      <c r="D1208" s="214"/>
      <c r="E1208" s="214"/>
      <c r="F1208" s="214"/>
      <c r="G1208" s="214"/>
      <c r="H1208" s="214"/>
      <c r="I1208" s="214"/>
      <c r="J1208" s="214"/>
      <c r="K1208" s="214"/>
      <c r="L1208" s="214"/>
      <c r="M1208" s="214"/>
      <c r="N1208" s="214"/>
      <c r="O1208" s="214"/>
    </row>
    <row r="1209" spans="2:15" x14ac:dyDescent="0.2">
      <c r="B1209" s="214"/>
      <c r="C1209" s="214"/>
      <c r="D1209" s="214"/>
      <c r="E1209" s="214"/>
      <c r="F1209" s="214"/>
      <c r="G1209" s="214"/>
      <c r="H1209" s="214"/>
      <c r="I1209" s="214"/>
      <c r="J1209" s="214"/>
      <c r="K1209" s="214"/>
      <c r="L1209" s="214"/>
      <c r="M1209" s="214"/>
      <c r="N1209" s="214"/>
      <c r="O1209" s="214"/>
    </row>
    <row r="1210" spans="2:15" x14ac:dyDescent="0.2">
      <c r="B1210" s="214"/>
      <c r="C1210" s="214"/>
      <c r="D1210" s="214"/>
      <c r="E1210" s="214"/>
      <c r="F1210" s="214"/>
      <c r="G1210" s="214"/>
      <c r="H1210" s="214"/>
      <c r="I1210" s="214"/>
      <c r="J1210" s="214"/>
      <c r="K1210" s="214"/>
      <c r="L1210" s="214"/>
      <c r="M1210" s="214"/>
      <c r="N1210" s="214"/>
      <c r="O1210" s="214"/>
    </row>
    <row r="1211" spans="2:15" x14ac:dyDescent="0.2">
      <c r="B1211" s="214"/>
      <c r="C1211" s="214"/>
      <c r="D1211" s="214"/>
      <c r="E1211" s="214"/>
      <c r="F1211" s="214"/>
      <c r="G1211" s="214"/>
      <c r="H1211" s="214"/>
      <c r="I1211" s="214"/>
      <c r="J1211" s="214"/>
      <c r="K1211" s="214"/>
      <c r="L1211" s="214"/>
      <c r="M1211" s="214"/>
      <c r="N1211" s="214"/>
      <c r="O1211" s="214"/>
    </row>
    <row r="1212" spans="2:15" x14ac:dyDescent="0.2">
      <c r="B1212" s="214"/>
      <c r="C1212" s="214"/>
      <c r="D1212" s="214"/>
      <c r="E1212" s="214"/>
      <c r="F1212" s="214"/>
      <c r="G1212" s="214"/>
      <c r="H1212" s="214"/>
      <c r="I1212" s="214"/>
      <c r="J1212" s="214"/>
      <c r="K1212" s="214"/>
      <c r="L1212" s="214"/>
      <c r="M1212" s="214"/>
      <c r="N1212" s="214"/>
      <c r="O1212" s="214"/>
    </row>
    <row r="1213" spans="2:15" x14ac:dyDescent="0.2">
      <c r="B1213" s="214"/>
      <c r="C1213" s="214"/>
      <c r="D1213" s="214"/>
      <c r="E1213" s="214"/>
      <c r="F1213" s="214"/>
      <c r="G1213" s="214"/>
      <c r="H1213" s="214"/>
      <c r="I1213" s="214"/>
      <c r="J1213" s="214"/>
      <c r="K1213" s="214"/>
      <c r="L1213" s="214"/>
      <c r="M1213" s="214"/>
      <c r="N1213" s="214"/>
      <c r="O1213" s="214"/>
    </row>
    <row r="1214" spans="2:15" x14ac:dyDescent="0.2">
      <c r="B1214" s="214"/>
      <c r="C1214" s="214"/>
      <c r="D1214" s="214"/>
      <c r="E1214" s="214"/>
      <c r="F1214" s="214"/>
      <c r="G1214" s="214"/>
      <c r="H1214" s="214"/>
      <c r="I1214" s="214"/>
      <c r="J1214" s="214"/>
      <c r="K1214" s="214"/>
      <c r="L1214" s="214"/>
      <c r="M1214" s="214"/>
      <c r="N1214" s="214"/>
      <c r="O1214" s="214"/>
    </row>
    <row r="1215" spans="2:15" x14ac:dyDescent="0.2">
      <c r="B1215" s="214"/>
      <c r="C1215" s="214"/>
      <c r="D1215" s="214"/>
      <c r="E1215" s="214"/>
      <c r="F1215" s="214"/>
      <c r="G1215" s="214"/>
      <c r="H1215" s="214"/>
      <c r="I1215" s="214"/>
      <c r="J1215" s="214"/>
      <c r="K1215" s="214"/>
      <c r="L1215" s="214"/>
      <c r="M1215" s="214"/>
      <c r="N1215" s="214"/>
      <c r="O1215" s="214"/>
    </row>
    <row r="1216" spans="2:15" x14ac:dyDescent="0.2">
      <c r="B1216" s="214"/>
      <c r="C1216" s="214"/>
      <c r="D1216" s="214"/>
      <c r="E1216" s="214"/>
      <c r="F1216" s="214"/>
      <c r="G1216" s="214"/>
      <c r="H1216" s="214"/>
      <c r="I1216" s="214"/>
      <c r="J1216" s="214"/>
      <c r="K1216" s="214"/>
      <c r="L1216" s="214"/>
      <c r="M1216" s="214"/>
      <c r="N1216" s="214"/>
      <c r="O1216" s="214"/>
    </row>
    <row r="1217" spans="2:15" x14ac:dyDescent="0.2">
      <c r="B1217" s="214"/>
      <c r="C1217" s="214"/>
      <c r="D1217" s="214"/>
      <c r="E1217" s="214"/>
      <c r="F1217" s="214"/>
      <c r="G1217" s="214"/>
      <c r="H1217" s="214"/>
      <c r="I1217" s="214"/>
      <c r="J1217" s="214"/>
      <c r="K1217" s="214"/>
      <c r="L1217" s="214"/>
      <c r="M1217" s="214"/>
      <c r="N1217" s="214"/>
      <c r="O1217" s="214"/>
    </row>
    <row r="1218" spans="2:15" x14ac:dyDescent="0.2">
      <c r="B1218" s="214"/>
      <c r="C1218" s="214"/>
      <c r="D1218" s="214"/>
      <c r="E1218" s="214"/>
      <c r="F1218" s="214"/>
      <c r="G1218" s="214"/>
      <c r="H1218" s="214"/>
      <c r="I1218" s="214"/>
      <c r="J1218" s="214"/>
      <c r="K1218" s="214"/>
      <c r="L1218" s="214"/>
      <c r="M1218" s="214"/>
      <c r="N1218" s="214"/>
      <c r="O1218" s="214"/>
    </row>
    <row r="1219" spans="2:15" x14ac:dyDescent="0.2">
      <c r="B1219" s="214"/>
      <c r="C1219" s="214"/>
      <c r="D1219" s="214"/>
      <c r="E1219" s="214"/>
      <c r="F1219" s="214"/>
      <c r="G1219" s="214"/>
      <c r="H1219" s="214"/>
      <c r="I1219" s="214"/>
      <c r="J1219" s="214"/>
      <c r="K1219" s="214"/>
      <c r="L1219" s="214"/>
      <c r="M1219" s="214"/>
      <c r="N1219" s="214"/>
      <c r="O1219" s="214"/>
    </row>
    <row r="1220" spans="2:15" x14ac:dyDescent="0.2">
      <c r="B1220" s="214"/>
      <c r="C1220" s="214"/>
      <c r="D1220" s="214"/>
      <c r="E1220" s="214"/>
      <c r="F1220" s="214"/>
      <c r="G1220" s="214"/>
      <c r="H1220" s="214"/>
      <c r="I1220" s="214"/>
      <c r="J1220" s="214"/>
      <c r="K1220" s="214"/>
      <c r="L1220" s="214"/>
      <c r="M1220" s="214"/>
      <c r="N1220" s="214"/>
      <c r="O1220" s="214"/>
    </row>
    <row r="1221" spans="2:15" x14ac:dyDescent="0.2">
      <c r="B1221" s="214"/>
      <c r="C1221" s="214"/>
      <c r="D1221" s="214"/>
      <c r="E1221" s="214"/>
      <c r="F1221" s="214"/>
      <c r="G1221" s="214"/>
      <c r="H1221" s="214"/>
      <c r="I1221" s="214"/>
      <c r="J1221" s="214"/>
      <c r="K1221" s="214"/>
      <c r="L1221" s="214"/>
      <c r="M1221" s="214"/>
      <c r="N1221" s="214"/>
      <c r="O1221" s="214"/>
    </row>
    <row r="1222" spans="2:15" x14ac:dyDescent="0.2">
      <c r="B1222" s="214"/>
      <c r="C1222" s="214"/>
      <c r="D1222" s="214"/>
      <c r="E1222" s="214"/>
      <c r="F1222" s="214"/>
      <c r="G1222" s="214"/>
      <c r="H1222" s="214"/>
      <c r="I1222" s="214"/>
      <c r="J1222" s="214"/>
      <c r="K1222" s="214"/>
      <c r="L1222" s="214"/>
      <c r="M1222" s="214"/>
      <c r="N1222" s="214"/>
      <c r="O1222" s="214"/>
    </row>
    <row r="1223" spans="2:15" x14ac:dyDescent="0.2">
      <c r="B1223" s="214"/>
      <c r="C1223" s="214"/>
      <c r="D1223" s="214"/>
      <c r="E1223" s="214"/>
      <c r="F1223" s="214"/>
      <c r="G1223" s="214"/>
      <c r="H1223" s="214"/>
      <c r="I1223" s="214"/>
      <c r="J1223" s="214"/>
      <c r="K1223" s="214"/>
      <c r="L1223" s="214"/>
      <c r="M1223" s="214"/>
      <c r="N1223" s="214"/>
      <c r="O1223" s="214"/>
    </row>
    <row r="1224" spans="2:15" x14ac:dyDescent="0.2">
      <c r="B1224" s="214"/>
      <c r="C1224" s="214"/>
      <c r="D1224" s="214"/>
      <c r="E1224" s="214"/>
      <c r="F1224" s="214"/>
      <c r="G1224" s="214"/>
      <c r="H1224" s="214"/>
      <c r="I1224" s="214"/>
      <c r="J1224" s="214"/>
      <c r="K1224" s="214"/>
      <c r="L1224" s="214"/>
      <c r="M1224" s="214"/>
      <c r="N1224" s="214"/>
      <c r="O1224" s="214"/>
    </row>
    <row r="1225" spans="2:15" x14ac:dyDescent="0.2">
      <c r="B1225" s="214"/>
      <c r="C1225" s="214"/>
      <c r="D1225" s="214"/>
      <c r="E1225" s="214"/>
      <c r="F1225" s="214"/>
      <c r="G1225" s="214"/>
      <c r="H1225" s="214"/>
      <c r="I1225" s="214"/>
      <c r="J1225" s="214"/>
      <c r="K1225" s="214"/>
      <c r="L1225" s="214"/>
      <c r="M1225" s="214"/>
      <c r="N1225" s="214"/>
      <c r="O1225" s="214"/>
    </row>
    <row r="1226" spans="2:15" x14ac:dyDescent="0.2">
      <c r="B1226" s="214"/>
      <c r="C1226" s="214"/>
      <c r="D1226" s="214"/>
      <c r="E1226" s="214"/>
      <c r="F1226" s="214"/>
      <c r="G1226" s="214"/>
      <c r="H1226" s="214"/>
      <c r="I1226" s="214"/>
      <c r="J1226" s="214"/>
      <c r="K1226" s="214"/>
      <c r="L1226" s="214"/>
      <c r="M1226" s="214"/>
      <c r="N1226" s="214"/>
      <c r="O1226" s="214"/>
    </row>
    <row r="1227" spans="2:15" x14ac:dyDescent="0.2">
      <c r="B1227" s="214"/>
      <c r="C1227" s="214"/>
      <c r="D1227" s="214"/>
      <c r="E1227" s="214"/>
      <c r="F1227" s="214"/>
      <c r="G1227" s="214"/>
      <c r="H1227" s="214"/>
      <c r="I1227" s="214"/>
      <c r="J1227" s="214"/>
      <c r="K1227" s="214"/>
      <c r="L1227" s="214"/>
      <c r="M1227" s="214"/>
      <c r="N1227" s="214"/>
      <c r="O1227" s="214"/>
    </row>
    <row r="1228" spans="2:15" x14ac:dyDescent="0.2">
      <c r="B1228" s="214"/>
      <c r="C1228" s="214"/>
      <c r="D1228" s="214"/>
      <c r="E1228" s="214"/>
      <c r="F1228" s="214"/>
      <c r="G1228" s="214"/>
      <c r="H1228" s="214"/>
      <c r="I1228" s="214"/>
      <c r="J1228" s="214"/>
      <c r="K1228" s="214"/>
      <c r="L1228" s="214"/>
      <c r="M1228" s="214"/>
      <c r="N1228" s="214"/>
      <c r="O1228" s="214"/>
    </row>
    <row r="1229" spans="2:15" x14ac:dyDescent="0.2">
      <c r="B1229" s="214"/>
      <c r="C1229" s="214"/>
      <c r="D1229" s="214"/>
      <c r="E1229" s="214"/>
      <c r="F1229" s="214"/>
      <c r="G1229" s="214"/>
      <c r="H1229" s="214"/>
      <c r="I1229" s="214"/>
      <c r="J1229" s="214"/>
      <c r="K1229" s="214"/>
      <c r="L1229" s="214"/>
      <c r="M1229" s="214"/>
      <c r="N1229" s="214"/>
      <c r="O1229" s="214"/>
    </row>
    <row r="1230" spans="2:15" x14ac:dyDescent="0.2">
      <c r="B1230" s="214"/>
      <c r="C1230" s="214"/>
      <c r="D1230" s="214"/>
      <c r="E1230" s="214"/>
      <c r="F1230" s="214"/>
      <c r="G1230" s="214"/>
      <c r="H1230" s="214"/>
      <c r="I1230" s="214"/>
      <c r="J1230" s="214"/>
      <c r="K1230" s="214"/>
      <c r="L1230" s="214"/>
      <c r="M1230" s="214"/>
      <c r="N1230" s="214"/>
      <c r="O1230" s="214"/>
    </row>
    <row r="1231" spans="2:15" x14ac:dyDescent="0.2">
      <c r="B1231" s="214"/>
      <c r="C1231" s="214"/>
      <c r="D1231" s="214"/>
      <c r="E1231" s="214"/>
      <c r="F1231" s="214"/>
      <c r="G1231" s="214"/>
      <c r="H1231" s="214"/>
      <c r="I1231" s="214"/>
      <c r="J1231" s="214"/>
      <c r="K1231" s="214"/>
      <c r="L1231" s="214"/>
      <c r="M1231" s="214"/>
      <c r="N1231" s="214"/>
      <c r="O1231" s="214"/>
    </row>
    <row r="1232" spans="2:15" x14ac:dyDescent="0.2">
      <c r="B1232" s="214"/>
      <c r="C1232" s="214"/>
      <c r="D1232" s="214"/>
      <c r="E1232" s="214"/>
      <c r="F1232" s="214"/>
      <c r="G1232" s="214"/>
      <c r="H1232" s="214"/>
      <c r="I1232" s="214"/>
      <c r="J1232" s="214"/>
      <c r="K1232" s="214"/>
      <c r="L1232" s="214"/>
      <c r="M1232" s="214"/>
      <c r="N1232" s="214"/>
      <c r="O1232" s="214"/>
    </row>
    <row r="1233" spans="2:15" x14ac:dyDescent="0.2">
      <c r="B1233" s="214"/>
      <c r="C1233" s="214"/>
      <c r="D1233" s="214"/>
      <c r="E1233" s="214"/>
      <c r="F1233" s="214"/>
      <c r="G1233" s="214"/>
      <c r="H1233" s="214"/>
      <c r="I1233" s="214"/>
      <c r="J1233" s="214"/>
      <c r="K1233" s="214"/>
      <c r="L1233" s="214"/>
      <c r="M1233" s="214"/>
      <c r="N1233" s="214"/>
      <c r="O1233" s="214"/>
    </row>
    <row r="1234" spans="2:15" x14ac:dyDescent="0.2">
      <c r="B1234" s="214"/>
      <c r="C1234" s="214"/>
      <c r="D1234" s="214"/>
      <c r="E1234" s="214"/>
      <c r="F1234" s="214"/>
      <c r="G1234" s="214"/>
      <c r="H1234" s="214"/>
      <c r="I1234" s="214"/>
      <c r="J1234" s="214"/>
      <c r="K1234" s="214"/>
      <c r="L1234" s="214"/>
      <c r="M1234" s="214"/>
      <c r="N1234" s="214"/>
      <c r="O1234" s="214"/>
    </row>
    <row r="1235" spans="2:15" x14ac:dyDescent="0.2">
      <c r="B1235" s="214"/>
      <c r="C1235" s="214"/>
      <c r="D1235" s="214"/>
      <c r="E1235" s="214"/>
      <c r="F1235" s="214"/>
      <c r="G1235" s="214"/>
      <c r="H1235" s="214"/>
      <c r="I1235" s="214"/>
      <c r="J1235" s="214"/>
      <c r="K1235" s="214"/>
      <c r="L1235" s="214"/>
      <c r="M1235" s="214"/>
      <c r="N1235" s="214"/>
      <c r="O1235" s="214"/>
    </row>
    <row r="1236" spans="2:15" x14ac:dyDescent="0.2">
      <c r="B1236" s="214"/>
      <c r="C1236" s="214"/>
      <c r="D1236" s="214"/>
      <c r="E1236" s="214"/>
      <c r="F1236" s="214"/>
      <c r="G1236" s="214"/>
      <c r="H1236" s="214"/>
      <c r="I1236" s="214"/>
      <c r="J1236" s="214"/>
      <c r="K1236" s="214"/>
      <c r="L1236" s="214"/>
      <c r="M1236" s="214"/>
      <c r="N1236" s="214"/>
      <c r="O1236" s="214"/>
    </row>
    <row r="1237" spans="2:15" x14ac:dyDescent="0.2">
      <c r="B1237" s="214"/>
      <c r="C1237" s="214"/>
      <c r="D1237" s="214"/>
      <c r="E1237" s="214"/>
      <c r="F1237" s="214"/>
      <c r="G1237" s="214"/>
      <c r="H1237" s="214"/>
      <c r="I1237" s="214"/>
      <c r="J1237" s="214"/>
      <c r="K1237" s="214"/>
      <c r="L1237" s="214"/>
      <c r="M1237" s="214"/>
      <c r="N1237" s="214"/>
      <c r="O1237" s="214"/>
    </row>
    <row r="1238" spans="2:15" x14ac:dyDescent="0.2">
      <c r="B1238" s="214"/>
      <c r="C1238" s="214"/>
      <c r="D1238" s="214"/>
      <c r="E1238" s="214"/>
      <c r="F1238" s="214"/>
      <c r="G1238" s="214"/>
      <c r="H1238" s="214"/>
      <c r="I1238" s="214"/>
      <c r="J1238" s="214"/>
      <c r="K1238" s="214"/>
      <c r="L1238" s="214"/>
      <c r="M1238" s="214"/>
      <c r="N1238" s="214"/>
      <c r="O1238" s="214"/>
    </row>
    <row r="1239" spans="2:15" x14ac:dyDescent="0.2">
      <c r="B1239" s="214"/>
      <c r="C1239" s="214"/>
      <c r="D1239" s="214"/>
      <c r="E1239" s="214"/>
      <c r="F1239" s="214"/>
      <c r="G1239" s="214"/>
      <c r="H1239" s="214"/>
      <c r="I1239" s="214"/>
      <c r="J1239" s="214"/>
      <c r="K1239" s="214"/>
      <c r="L1239" s="214"/>
      <c r="M1239" s="214"/>
      <c r="N1239" s="214"/>
      <c r="O1239" s="214"/>
    </row>
    <row r="1240" spans="2:15" x14ac:dyDescent="0.2">
      <c r="B1240" s="214"/>
      <c r="C1240" s="214"/>
      <c r="D1240" s="214"/>
      <c r="E1240" s="214"/>
      <c r="F1240" s="214"/>
      <c r="G1240" s="214"/>
      <c r="H1240" s="214"/>
      <c r="I1240" s="214"/>
      <c r="J1240" s="214"/>
      <c r="K1240" s="214"/>
      <c r="L1240" s="214"/>
      <c r="M1240" s="214"/>
      <c r="N1240" s="214"/>
      <c r="O1240" s="214"/>
    </row>
    <row r="1241" spans="2:15" x14ac:dyDescent="0.2">
      <c r="B1241" s="214"/>
      <c r="C1241" s="214"/>
      <c r="D1241" s="214"/>
      <c r="E1241" s="214"/>
      <c r="F1241" s="214"/>
      <c r="G1241" s="214"/>
      <c r="H1241" s="214"/>
      <c r="I1241" s="214"/>
      <c r="J1241" s="214"/>
      <c r="K1241" s="214"/>
      <c r="L1241" s="214"/>
      <c r="M1241" s="214"/>
      <c r="N1241" s="214"/>
      <c r="O1241" s="214"/>
    </row>
    <row r="1242" spans="2:15" x14ac:dyDescent="0.2">
      <c r="B1242" s="214"/>
      <c r="C1242" s="214"/>
      <c r="D1242" s="214"/>
      <c r="E1242" s="214"/>
      <c r="F1242" s="214"/>
      <c r="G1242" s="214"/>
      <c r="H1242" s="214"/>
      <c r="I1242" s="214"/>
      <c r="J1242" s="214"/>
      <c r="K1242" s="214"/>
      <c r="L1242" s="214"/>
      <c r="M1242" s="214"/>
      <c r="N1242" s="214"/>
      <c r="O1242" s="214"/>
    </row>
    <row r="1243" spans="2:15" x14ac:dyDescent="0.2">
      <c r="B1243" s="214"/>
      <c r="C1243" s="214"/>
      <c r="D1243" s="214"/>
      <c r="E1243" s="214"/>
      <c r="F1243" s="214"/>
      <c r="G1243" s="214"/>
      <c r="H1243" s="214"/>
      <c r="I1243" s="214"/>
      <c r="J1243" s="214"/>
      <c r="K1243" s="214"/>
      <c r="L1243" s="214"/>
      <c r="M1243" s="214"/>
      <c r="N1243" s="214"/>
      <c r="O1243" s="214"/>
    </row>
    <row r="1244" spans="2:15" x14ac:dyDescent="0.2">
      <c r="B1244" s="214"/>
      <c r="C1244" s="214"/>
      <c r="D1244" s="214"/>
      <c r="E1244" s="214"/>
      <c r="F1244" s="214"/>
      <c r="G1244" s="214"/>
      <c r="H1244" s="214"/>
      <c r="I1244" s="214"/>
      <c r="J1244" s="214"/>
      <c r="K1244" s="214"/>
      <c r="L1244" s="214"/>
      <c r="M1244" s="214"/>
      <c r="N1244" s="214"/>
      <c r="O1244" s="214"/>
    </row>
    <row r="1245" spans="2:15" x14ac:dyDescent="0.2">
      <c r="B1245" s="214"/>
      <c r="C1245" s="214"/>
      <c r="D1245" s="214"/>
      <c r="E1245" s="214"/>
      <c r="F1245" s="214"/>
      <c r="G1245" s="214"/>
      <c r="H1245" s="214"/>
      <c r="I1245" s="214"/>
      <c r="J1245" s="214"/>
      <c r="K1245" s="214"/>
      <c r="L1245" s="214"/>
      <c r="M1245" s="214"/>
      <c r="N1245" s="214"/>
      <c r="O1245" s="214"/>
    </row>
    <row r="1246" spans="2:15" x14ac:dyDescent="0.2">
      <c r="B1246" s="214"/>
      <c r="C1246" s="214"/>
      <c r="D1246" s="214"/>
      <c r="E1246" s="214"/>
      <c r="F1246" s="214"/>
      <c r="G1246" s="214"/>
      <c r="H1246" s="214"/>
      <c r="I1246" s="214"/>
      <c r="J1246" s="214"/>
      <c r="K1246" s="214"/>
      <c r="L1246" s="214"/>
      <c r="M1246" s="214"/>
      <c r="N1246" s="214"/>
      <c r="O1246" s="214"/>
    </row>
    <row r="1247" spans="2:15" x14ac:dyDescent="0.2">
      <c r="B1247" s="214"/>
      <c r="C1247" s="214"/>
      <c r="D1247" s="214"/>
      <c r="E1247" s="214"/>
      <c r="F1247" s="214"/>
      <c r="G1247" s="214"/>
      <c r="H1247" s="214"/>
      <c r="I1247" s="214"/>
      <c r="J1247" s="214"/>
      <c r="K1247" s="214"/>
      <c r="L1247" s="214"/>
      <c r="M1247" s="214"/>
      <c r="N1247" s="214"/>
      <c r="O1247" s="214"/>
    </row>
    <row r="1248" spans="2:15" x14ac:dyDescent="0.2">
      <c r="B1248" s="214"/>
      <c r="C1248" s="214"/>
      <c r="D1248" s="214"/>
      <c r="E1248" s="214"/>
      <c r="F1248" s="214"/>
      <c r="G1248" s="214"/>
      <c r="H1248" s="214"/>
      <c r="I1248" s="214"/>
      <c r="J1248" s="214"/>
      <c r="K1248" s="214"/>
      <c r="L1248" s="214"/>
      <c r="M1248" s="214"/>
      <c r="N1248" s="214"/>
      <c r="O1248" s="214"/>
    </row>
    <row r="1249" spans="2:15" x14ac:dyDescent="0.2">
      <c r="B1249" s="214"/>
      <c r="C1249" s="214"/>
      <c r="D1249" s="214"/>
      <c r="E1249" s="214"/>
      <c r="F1249" s="214"/>
      <c r="G1249" s="214"/>
      <c r="H1249" s="214"/>
      <c r="I1249" s="214"/>
      <c r="J1249" s="214"/>
      <c r="K1249" s="214"/>
      <c r="L1249" s="214"/>
      <c r="M1249" s="214"/>
      <c r="N1249" s="214"/>
      <c r="O1249" s="214"/>
    </row>
    <row r="1250" spans="2:15" x14ac:dyDescent="0.2">
      <c r="B1250" s="214"/>
      <c r="C1250" s="214"/>
      <c r="D1250" s="214"/>
      <c r="E1250" s="214"/>
      <c r="F1250" s="214"/>
      <c r="G1250" s="214"/>
      <c r="H1250" s="214"/>
      <c r="I1250" s="214"/>
      <c r="J1250" s="214"/>
      <c r="K1250" s="214"/>
      <c r="L1250" s="214"/>
      <c r="M1250" s="214"/>
      <c r="N1250" s="214"/>
      <c r="O1250" s="214"/>
    </row>
    <row r="1251" spans="2:15" x14ac:dyDescent="0.2">
      <c r="B1251" s="214"/>
      <c r="C1251" s="214"/>
      <c r="D1251" s="214"/>
      <c r="E1251" s="214"/>
      <c r="F1251" s="214"/>
      <c r="G1251" s="214"/>
      <c r="H1251" s="214"/>
      <c r="I1251" s="214"/>
      <c r="J1251" s="214"/>
      <c r="K1251" s="214"/>
      <c r="L1251" s="214"/>
      <c r="M1251" s="214"/>
      <c r="N1251" s="214"/>
      <c r="O1251" s="214"/>
    </row>
    <row r="1252" spans="2:15" x14ac:dyDescent="0.2">
      <c r="B1252" s="214"/>
      <c r="C1252" s="214"/>
      <c r="D1252" s="214"/>
      <c r="E1252" s="214"/>
      <c r="F1252" s="214"/>
      <c r="G1252" s="214"/>
      <c r="H1252" s="214"/>
      <c r="I1252" s="214"/>
      <c r="J1252" s="214"/>
      <c r="K1252" s="214"/>
      <c r="L1252" s="214"/>
      <c r="M1252" s="214"/>
      <c r="N1252" s="214"/>
      <c r="O1252" s="214"/>
    </row>
    <row r="1253" spans="2:15" x14ac:dyDescent="0.2">
      <c r="B1253" s="214"/>
      <c r="C1253" s="214"/>
      <c r="D1253" s="214"/>
      <c r="E1253" s="214"/>
      <c r="F1253" s="214"/>
      <c r="G1253" s="214"/>
      <c r="H1253" s="214"/>
      <c r="I1253" s="214"/>
      <c r="J1253" s="214"/>
      <c r="K1253" s="214"/>
      <c r="L1253" s="214"/>
      <c r="M1253" s="214"/>
      <c r="N1253" s="214"/>
      <c r="O1253" s="214"/>
    </row>
    <row r="1254" spans="2:15" x14ac:dyDescent="0.2">
      <c r="B1254" s="214"/>
      <c r="C1254" s="214"/>
      <c r="D1254" s="214"/>
      <c r="E1254" s="214"/>
      <c r="F1254" s="214"/>
      <c r="G1254" s="214"/>
      <c r="H1254" s="214"/>
      <c r="I1254" s="214"/>
      <c r="J1254" s="214"/>
      <c r="K1254" s="214"/>
      <c r="L1254" s="214"/>
      <c r="M1254" s="214"/>
      <c r="N1254" s="214"/>
      <c r="O1254" s="214"/>
    </row>
    <row r="1255" spans="2:15" x14ac:dyDescent="0.2">
      <c r="B1255" s="214"/>
      <c r="C1255" s="214"/>
      <c r="D1255" s="214"/>
      <c r="E1255" s="214"/>
      <c r="F1255" s="214"/>
      <c r="G1255" s="214"/>
      <c r="H1255" s="214"/>
      <c r="I1255" s="214"/>
      <c r="J1255" s="214"/>
      <c r="K1255" s="214"/>
      <c r="L1255" s="214"/>
      <c r="M1255" s="214"/>
      <c r="N1255" s="214"/>
      <c r="O1255" s="214"/>
    </row>
    <row r="1256" spans="2:15" x14ac:dyDescent="0.2">
      <c r="B1256" s="214"/>
      <c r="C1256" s="214"/>
      <c r="D1256" s="214"/>
      <c r="E1256" s="214"/>
      <c r="F1256" s="214"/>
      <c r="G1256" s="214"/>
      <c r="H1256" s="214"/>
      <c r="I1256" s="214"/>
      <c r="J1256" s="214"/>
      <c r="K1256" s="214"/>
      <c r="L1256" s="214"/>
      <c r="M1256" s="214"/>
      <c r="N1256" s="214"/>
      <c r="O1256" s="214"/>
    </row>
    <row r="1257" spans="2:15" x14ac:dyDescent="0.2">
      <c r="B1257" s="214"/>
      <c r="C1257" s="214"/>
      <c r="D1257" s="214"/>
      <c r="E1257" s="214"/>
      <c r="F1257" s="214"/>
      <c r="G1257" s="214"/>
      <c r="H1257" s="214"/>
      <c r="I1257" s="214"/>
      <c r="J1257" s="214"/>
      <c r="K1257" s="214"/>
      <c r="L1257" s="214"/>
      <c r="M1257" s="214"/>
      <c r="N1257" s="214"/>
      <c r="O1257" s="214"/>
    </row>
    <row r="1258" spans="2:15" x14ac:dyDescent="0.2">
      <c r="B1258" s="214"/>
      <c r="C1258" s="214"/>
      <c r="D1258" s="214"/>
      <c r="E1258" s="214"/>
      <c r="F1258" s="214"/>
      <c r="G1258" s="214"/>
      <c r="H1258" s="214"/>
      <c r="I1258" s="214"/>
      <c r="J1258" s="214"/>
      <c r="K1258" s="214"/>
      <c r="L1258" s="214"/>
      <c r="M1258" s="214"/>
      <c r="N1258" s="214"/>
      <c r="O1258" s="214"/>
    </row>
    <row r="1259" spans="2:15" x14ac:dyDescent="0.2">
      <c r="B1259" s="214"/>
      <c r="C1259" s="214"/>
      <c r="D1259" s="214"/>
      <c r="E1259" s="214"/>
      <c r="F1259" s="214"/>
      <c r="G1259" s="214"/>
      <c r="H1259" s="214"/>
      <c r="I1259" s="214"/>
      <c r="J1259" s="214"/>
      <c r="K1259" s="214"/>
      <c r="L1259" s="214"/>
      <c r="M1259" s="214"/>
      <c r="N1259" s="214"/>
      <c r="O1259" s="214"/>
    </row>
    <row r="1260" spans="2:15" x14ac:dyDescent="0.2">
      <c r="B1260" s="214"/>
      <c r="C1260" s="214"/>
      <c r="D1260" s="214"/>
      <c r="E1260" s="214"/>
      <c r="F1260" s="214"/>
      <c r="G1260" s="214"/>
      <c r="H1260" s="214"/>
      <c r="I1260" s="214"/>
      <c r="J1260" s="214"/>
      <c r="K1260" s="214"/>
      <c r="L1260" s="214"/>
      <c r="M1260" s="214"/>
      <c r="N1260" s="214"/>
      <c r="O1260" s="214"/>
    </row>
    <row r="1261" spans="2:15" x14ac:dyDescent="0.2">
      <c r="B1261" s="214"/>
      <c r="C1261" s="214"/>
      <c r="D1261" s="214"/>
      <c r="E1261" s="214"/>
      <c r="F1261" s="214"/>
      <c r="G1261" s="214"/>
      <c r="H1261" s="214"/>
      <c r="I1261" s="214"/>
      <c r="J1261" s="214"/>
      <c r="K1261" s="214"/>
      <c r="L1261" s="214"/>
      <c r="M1261" s="214"/>
      <c r="N1261" s="214"/>
      <c r="O1261" s="214"/>
    </row>
    <row r="1262" spans="2:15" x14ac:dyDescent="0.2">
      <c r="B1262" s="214"/>
      <c r="C1262" s="214"/>
      <c r="D1262" s="214"/>
      <c r="E1262" s="214"/>
      <c r="F1262" s="214"/>
      <c r="G1262" s="214"/>
      <c r="H1262" s="214"/>
      <c r="I1262" s="214"/>
      <c r="J1262" s="214"/>
      <c r="K1262" s="214"/>
      <c r="L1262" s="214"/>
      <c r="M1262" s="214"/>
      <c r="N1262" s="214"/>
      <c r="O1262" s="214"/>
    </row>
    <row r="1263" spans="2:15" x14ac:dyDescent="0.2">
      <c r="B1263" s="214"/>
      <c r="C1263" s="214"/>
      <c r="D1263" s="214"/>
      <c r="E1263" s="214"/>
      <c r="F1263" s="214"/>
      <c r="G1263" s="214"/>
      <c r="H1263" s="214"/>
      <c r="I1263" s="214"/>
      <c r="J1263" s="214"/>
      <c r="K1263" s="214"/>
      <c r="L1263" s="214"/>
      <c r="M1263" s="214"/>
      <c r="N1263" s="214"/>
      <c r="O1263" s="214"/>
    </row>
    <row r="1264" spans="2:15" x14ac:dyDescent="0.2">
      <c r="B1264" s="214"/>
      <c r="C1264" s="214"/>
      <c r="D1264" s="214"/>
      <c r="E1264" s="214"/>
      <c r="F1264" s="214"/>
      <c r="G1264" s="214"/>
      <c r="H1264" s="214"/>
      <c r="I1264" s="214"/>
      <c r="J1264" s="214"/>
      <c r="K1264" s="214"/>
      <c r="L1264" s="214"/>
      <c r="M1264" s="214"/>
      <c r="N1264" s="214"/>
      <c r="O1264" s="214"/>
    </row>
    <row r="1265" spans="2:15" x14ac:dyDescent="0.2">
      <c r="B1265" s="214"/>
      <c r="C1265" s="214"/>
      <c r="D1265" s="214"/>
      <c r="E1265" s="214"/>
      <c r="F1265" s="214"/>
      <c r="G1265" s="214"/>
      <c r="H1265" s="214"/>
      <c r="I1265" s="214"/>
      <c r="J1265" s="214"/>
      <c r="K1265" s="214"/>
      <c r="L1265" s="214"/>
      <c r="M1265" s="214"/>
      <c r="N1265" s="214"/>
      <c r="O1265" s="214"/>
    </row>
    <row r="1266" spans="2:15" x14ac:dyDescent="0.2">
      <c r="B1266" s="214"/>
      <c r="C1266" s="214"/>
      <c r="D1266" s="214"/>
      <c r="E1266" s="214"/>
      <c r="F1266" s="214"/>
      <c r="G1266" s="214"/>
      <c r="H1266" s="214"/>
      <c r="I1266" s="214"/>
      <c r="J1266" s="214"/>
      <c r="K1266" s="214"/>
      <c r="L1266" s="214"/>
      <c r="M1266" s="214"/>
      <c r="N1266" s="214"/>
      <c r="O1266" s="214"/>
    </row>
    <row r="1267" spans="2:15" x14ac:dyDescent="0.2">
      <c r="B1267" s="214"/>
      <c r="C1267" s="214"/>
      <c r="D1267" s="214"/>
      <c r="E1267" s="214"/>
      <c r="F1267" s="214"/>
      <c r="G1267" s="214"/>
      <c r="H1267" s="214"/>
      <c r="I1267" s="214"/>
      <c r="J1267" s="214"/>
      <c r="K1267" s="214"/>
      <c r="L1267" s="214"/>
      <c r="M1267" s="214"/>
      <c r="N1267" s="214"/>
      <c r="O1267" s="214"/>
    </row>
    <row r="1268" spans="2:15" x14ac:dyDescent="0.2">
      <c r="B1268" s="214"/>
      <c r="C1268" s="214"/>
      <c r="D1268" s="214"/>
      <c r="E1268" s="214"/>
      <c r="F1268" s="214"/>
      <c r="G1268" s="214"/>
      <c r="H1268" s="214"/>
      <c r="I1268" s="214"/>
      <c r="J1268" s="214"/>
      <c r="K1268" s="214"/>
      <c r="L1268" s="214"/>
      <c r="M1268" s="214"/>
      <c r="N1268" s="214"/>
      <c r="O1268" s="214"/>
    </row>
  </sheetData>
  <phoneticPr fontId="22" type="noConversion"/>
  <pageMargins left="0.19685039370078741" right="0.19685039370078741" top="0.19685039370078741" bottom="0.19685039370078741" header="0.31496062992125984" footer="0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CC99FF"/>
  </sheetPr>
  <dimension ref="A1:AX287"/>
  <sheetViews>
    <sheetView zoomScale="95" zoomScaleNormal="95" workbookViewId="0">
      <selection activeCell="G14" sqref="G14"/>
    </sheetView>
  </sheetViews>
  <sheetFormatPr defaultRowHeight="14.25" x14ac:dyDescent="0.2"/>
  <cols>
    <col min="1" max="1" width="7.375" customWidth="1"/>
    <col min="2" max="2" width="6.25" customWidth="1"/>
    <col min="3" max="3" width="14.375" customWidth="1"/>
    <col min="4" max="4" width="12.5" customWidth="1"/>
    <col min="5" max="5" width="8.375" customWidth="1"/>
    <col min="6" max="6" width="5.625" customWidth="1"/>
    <col min="7" max="7" width="24" customWidth="1"/>
    <col min="8" max="8" width="25.875" customWidth="1"/>
    <col min="9" max="9" width="7.5" customWidth="1"/>
    <col min="10" max="10" width="7.875" customWidth="1"/>
    <col min="11" max="11" width="11.875" customWidth="1"/>
    <col min="12" max="12" width="10" customWidth="1"/>
    <col min="17" max="17" width="9.5" bestFit="1" customWidth="1"/>
    <col min="18" max="18" width="11.125" bestFit="1" customWidth="1"/>
    <col min="19" max="19" width="15.375" customWidth="1"/>
    <col min="20" max="20" width="9.375" bestFit="1" customWidth="1"/>
    <col min="22" max="22" width="10.375" customWidth="1"/>
    <col min="23" max="23" width="14.75" customWidth="1"/>
    <col min="24" max="24" width="17.125" customWidth="1"/>
    <col min="26" max="26" width="10" customWidth="1"/>
    <col min="27" max="27" width="15.125" bestFit="1" customWidth="1"/>
    <col min="28" max="28" width="12.75" bestFit="1" customWidth="1"/>
    <col min="29" max="29" width="10.625" customWidth="1"/>
    <col min="30" max="30" width="11.75" customWidth="1"/>
    <col min="33" max="33" width="12.5" bestFit="1" customWidth="1"/>
    <col min="34" max="34" width="5.75" bestFit="1" customWidth="1"/>
    <col min="35" max="35" width="7.875" bestFit="1" customWidth="1"/>
    <col min="36" max="36" width="9.125" bestFit="1" customWidth="1"/>
    <col min="37" max="37" width="14.375" bestFit="1" customWidth="1"/>
  </cols>
  <sheetData>
    <row r="1" spans="1:50" ht="23.25" x14ac:dyDescent="0.5">
      <c r="A1" s="299" t="s">
        <v>135</v>
      </c>
      <c r="B1" s="299"/>
      <c r="C1" s="299"/>
      <c r="D1" s="299"/>
      <c r="E1" s="299"/>
      <c r="F1" s="57"/>
      <c r="G1" s="57"/>
      <c r="H1" s="57"/>
      <c r="I1" s="57"/>
      <c r="J1" s="58" t="s">
        <v>274</v>
      </c>
      <c r="K1" s="58" t="s">
        <v>6</v>
      </c>
      <c r="L1" s="58" t="s">
        <v>2</v>
      </c>
      <c r="N1" s="46" t="s">
        <v>118</v>
      </c>
      <c r="O1" s="47"/>
      <c r="P1" s="48"/>
      <c r="Q1" s="48"/>
      <c r="R1" s="49"/>
      <c r="U1" s="10"/>
      <c r="V1" s="11"/>
    </row>
    <row r="2" spans="1:50" ht="31.5" x14ac:dyDescent="0.2">
      <c r="A2" s="59"/>
      <c r="B2" s="59"/>
      <c r="C2" s="59"/>
      <c r="D2" s="59"/>
      <c r="E2" s="59"/>
      <c r="G2" s="59"/>
      <c r="H2" s="157" t="s">
        <v>271</v>
      </c>
      <c r="I2" s="73"/>
      <c r="J2" s="60">
        <f>O6</f>
        <v>244343</v>
      </c>
      <c r="K2" s="61">
        <f>J2+2</f>
        <v>244345</v>
      </c>
      <c r="L2" s="60">
        <f>J2+7</f>
        <v>244350</v>
      </c>
      <c r="N2" s="50" t="s">
        <v>115</v>
      </c>
      <c r="O2" s="47"/>
      <c r="P2" s="51"/>
      <c r="Q2" s="51"/>
      <c r="R2" s="47"/>
    </row>
    <row r="3" spans="1:50" ht="47.25" customHeight="1" x14ac:dyDescent="0.4">
      <c r="A3" s="57"/>
      <c r="B3" s="59"/>
      <c r="C3" s="59"/>
      <c r="D3" s="59"/>
      <c r="E3" s="59"/>
      <c r="F3" s="59"/>
      <c r="G3" s="76" t="s">
        <v>84</v>
      </c>
      <c r="H3" s="76" t="str">
        <f>N6&amp;M6</f>
        <v>ธันวาคม2568</v>
      </c>
      <c r="I3" s="62"/>
      <c r="J3" s="59"/>
      <c r="K3" s="63" t="s">
        <v>89</v>
      </c>
      <c r="L3" s="75" t="s">
        <v>88</v>
      </c>
      <c r="N3" s="50" t="s">
        <v>116</v>
      </c>
      <c r="O3" s="47"/>
      <c r="P3" s="51"/>
      <c r="Q3" s="51"/>
      <c r="R3" s="49"/>
    </row>
    <row r="4" spans="1:50" ht="23.25" x14ac:dyDescent="0.4">
      <c r="A4" s="298" t="str">
        <f>R6</f>
        <v>PD3พิมพ์</v>
      </c>
      <c r="B4" s="298"/>
      <c r="C4" s="298"/>
      <c r="D4" s="65"/>
      <c r="E4" s="65"/>
      <c r="F4" s="65"/>
      <c r="G4" s="65"/>
      <c r="H4" s="65"/>
      <c r="I4" s="65"/>
      <c r="J4" s="65"/>
      <c r="K4" s="65"/>
      <c r="L4" s="65"/>
      <c r="M4" t="s">
        <v>141</v>
      </c>
      <c r="N4" s="52" t="s">
        <v>117</v>
      </c>
      <c r="O4" s="47"/>
      <c r="P4" s="51"/>
      <c r="Q4" s="51"/>
      <c r="R4" s="53"/>
      <c r="S4" s="13"/>
    </row>
    <row r="5" spans="1:50" ht="30" customHeight="1" x14ac:dyDescent="0.2">
      <c r="A5" s="55" t="s">
        <v>0</v>
      </c>
      <c r="B5" s="66" t="s">
        <v>270</v>
      </c>
      <c r="C5" s="55" t="s">
        <v>521</v>
      </c>
      <c r="D5" s="54" t="s">
        <v>31</v>
      </c>
      <c r="E5" s="54" t="s">
        <v>30</v>
      </c>
      <c r="F5" s="55" t="s">
        <v>32</v>
      </c>
      <c r="G5" s="55" t="s">
        <v>77</v>
      </c>
      <c r="H5" s="55" t="s">
        <v>34</v>
      </c>
      <c r="I5" s="300" t="s">
        <v>80</v>
      </c>
      <c r="J5" s="301"/>
      <c r="K5" s="300" t="s">
        <v>76</v>
      </c>
      <c r="L5" s="301"/>
      <c r="N5" s="18" t="s">
        <v>8</v>
      </c>
      <c r="O5" s="19" t="s">
        <v>7</v>
      </c>
      <c r="P5" s="19" t="s">
        <v>246</v>
      </c>
      <c r="Q5" s="19" t="s">
        <v>267</v>
      </c>
      <c r="R5" s="20" t="s">
        <v>1</v>
      </c>
      <c r="S5" s="20" t="s">
        <v>197</v>
      </c>
      <c r="T5" s="178" t="s">
        <v>270</v>
      </c>
      <c r="U5" s="22" t="s">
        <v>275</v>
      </c>
      <c r="V5" s="22" t="s">
        <v>266</v>
      </c>
      <c r="W5" s="23" t="s">
        <v>31</v>
      </c>
      <c r="X5" s="24" t="s">
        <v>30</v>
      </c>
      <c r="Y5" s="90" t="s">
        <v>32</v>
      </c>
      <c r="Z5" s="90" t="s">
        <v>33</v>
      </c>
      <c r="AA5" s="26" t="s">
        <v>269</v>
      </c>
      <c r="AB5" s="27" t="s">
        <v>76</v>
      </c>
      <c r="AC5" s="27" t="s">
        <v>511</v>
      </c>
      <c r="AD5" s="28" t="s">
        <v>85</v>
      </c>
      <c r="AE5" s="29" t="s">
        <v>35</v>
      </c>
      <c r="AF5" s="29" t="s">
        <v>36</v>
      </c>
      <c r="AG5" s="169" t="s">
        <v>245</v>
      </c>
      <c r="AH5" s="169" t="s">
        <v>36</v>
      </c>
      <c r="AI5" s="30" t="s">
        <v>3</v>
      </c>
      <c r="AJ5" s="31" t="s">
        <v>2</v>
      </c>
      <c r="AK5" s="25" t="s">
        <v>6</v>
      </c>
      <c r="AL5" s="16"/>
      <c r="AM5" s="15"/>
      <c r="AN5" s="16"/>
      <c r="AO5" s="15"/>
      <c r="AP5" s="16"/>
      <c r="AQ5" s="14"/>
      <c r="AR5" s="36" t="e">
        <f t="shared" ref="AR5" si="0">AN5-AC5</f>
        <v>#VALUE!</v>
      </c>
    </row>
    <row r="6" spans="1:50" s="70" customFormat="1" ht="31.5" customHeight="1" x14ac:dyDescent="0.2">
      <c r="A6" s="92">
        <f t="shared" ref="A6:A13" si="1">O6</f>
        <v>244343</v>
      </c>
      <c r="B6" s="93">
        <f t="shared" ref="B6:C13" si="2">T6</f>
        <v>681729</v>
      </c>
      <c r="C6" s="94" t="str">
        <f t="shared" si="2"/>
        <v>VC100</v>
      </c>
      <c r="D6" s="93" t="str">
        <f t="shared" ref="D6:H9" si="3">W6</f>
        <v>FWBWT2037100PL</v>
      </c>
      <c r="E6" s="93" t="str">
        <f t="shared" si="3"/>
        <v>PD468122213</v>
      </c>
      <c r="F6" s="93" t="str">
        <f t="shared" si="3"/>
        <v>PT2</v>
      </c>
      <c r="G6" s="95" t="str">
        <f t="shared" si="3"/>
        <v>สีลงเต็มสม่ำเสมอ งานพิมพ์ชัดเจน</v>
      </c>
      <c r="H6" s="96" t="str">
        <f t="shared" si="3"/>
        <v>พบเปื้อนสีด้านหลัง ม้วนที่ 2/4=116ใบ 2/6=33ใบ</v>
      </c>
      <c r="I6" s="95">
        <f t="shared" ref="I6:J13" si="4">AE6</f>
        <v>152</v>
      </c>
      <c r="J6" s="93" t="str">
        <f t="shared" si="4"/>
        <v>ใบ</v>
      </c>
      <c r="K6" s="304" t="str">
        <f t="shared" ref="K6:K13" si="5">AB6</f>
        <v>**ส่งลบสี**</v>
      </c>
      <c r="L6" s="305"/>
      <c r="M6" s="152">
        <v>2568</v>
      </c>
      <c r="N6" s="14" t="s">
        <v>28</v>
      </c>
      <c r="O6" s="212">
        <v>244343</v>
      </c>
      <c r="P6" s="14" t="s">
        <v>547</v>
      </c>
      <c r="Q6" s="14" t="s">
        <v>268</v>
      </c>
      <c r="R6" s="14" t="s">
        <v>14</v>
      </c>
      <c r="S6" s="14" t="s">
        <v>324</v>
      </c>
      <c r="T6" s="179">
        <v>681729</v>
      </c>
      <c r="U6" s="176" t="s">
        <v>1041</v>
      </c>
      <c r="V6" s="176" t="s">
        <v>908</v>
      </c>
      <c r="W6" s="176" t="s">
        <v>133</v>
      </c>
      <c r="X6" s="176" t="s">
        <v>4891</v>
      </c>
      <c r="Y6" s="40" t="s">
        <v>46</v>
      </c>
      <c r="Z6" s="40" t="s">
        <v>341</v>
      </c>
      <c r="AA6" s="14" t="s">
        <v>4894</v>
      </c>
      <c r="AB6" s="14" t="s">
        <v>552</v>
      </c>
      <c r="AC6" s="14" t="s">
        <v>1489</v>
      </c>
      <c r="AD6" s="14" t="s">
        <v>553</v>
      </c>
      <c r="AE6" s="17">
        <v>152</v>
      </c>
      <c r="AF6" s="172" t="s">
        <v>51</v>
      </c>
      <c r="AG6" s="17">
        <v>1960</v>
      </c>
      <c r="AH6" s="14" t="s">
        <v>51</v>
      </c>
      <c r="AI6" s="16">
        <f t="shared" ref="AI6:AI8" si="6">O6</f>
        <v>244343</v>
      </c>
      <c r="AJ6" s="16">
        <f t="shared" ref="AJ6:AJ8" si="7">O6+7</f>
        <v>244350</v>
      </c>
      <c r="AK6" s="16">
        <f t="shared" ref="AK6:AK8" si="8">AI6+2</f>
        <v>244345</v>
      </c>
      <c r="AL6" s="16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3"/>
      <c r="AX6" s="170"/>
    </row>
    <row r="7" spans="1:50" s="70" customFormat="1" ht="35.25" customHeight="1" x14ac:dyDescent="0.2">
      <c r="A7" s="227">
        <f t="shared" si="1"/>
        <v>244343</v>
      </c>
      <c r="B7" s="228">
        <f t="shared" si="2"/>
        <v>681730</v>
      </c>
      <c r="C7" s="229" t="str">
        <f t="shared" si="2"/>
        <v>แถบส้ม</v>
      </c>
      <c r="D7" s="228" t="str">
        <f t="shared" si="3"/>
        <v>FWBWT203882P</v>
      </c>
      <c r="E7" s="228" t="str">
        <f t="shared" si="3"/>
        <v>PD468122305</v>
      </c>
      <c r="F7" s="228" t="str">
        <f t="shared" si="3"/>
        <v>PT1</v>
      </c>
      <c r="G7" s="230" t="str">
        <f t="shared" si="3"/>
        <v>สีลงเต็มสม่ำเสมอ งานพิมพ์ชัดเจน</v>
      </c>
      <c r="H7" s="231" t="str">
        <f t="shared" si="3"/>
        <v>พบพิมพ์เสีย จำนวน 156 ใบ</v>
      </c>
      <c r="I7" s="230">
        <f t="shared" si="4"/>
        <v>156</v>
      </c>
      <c r="J7" s="228" t="str">
        <f t="shared" si="4"/>
        <v>ใบ</v>
      </c>
      <c r="K7" s="306" t="str">
        <f t="shared" si="5"/>
        <v>**ลดเกรด**</v>
      </c>
      <c r="L7" s="307"/>
      <c r="M7" s="89"/>
      <c r="N7" s="14" t="s">
        <v>28</v>
      </c>
      <c r="O7" s="212">
        <v>244343</v>
      </c>
      <c r="P7" s="14" t="s">
        <v>547</v>
      </c>
      <c r="Q7" s="14" t="s">
        <v>268</v>
      </c>
      <c r="R7" s="14" t="s">
        <v>14</v>
      </c>
      <c r="S7" s="14" t="s">
        <v>324</v>
      </c>
      <c r="T7" s="179">
        <v>681730</v>
      </c>
      <c r="U7" s="176" t="s">
        <v>888</v>
      </c>
      <c r="V7" s="176" t="s">
        <v>802</v>
      </c>
      <c r="W7" s="176" t="s">
        <v>882</v>
      </c>
      <c r="X7" s="176" t="s">
        <v>4892</v>
      </c>
      <c r="Y7" s="40" t="s">
        <v>45</v>
      </c>
      <c r="Z7" s="40" t="s">
        <v>341</v>
      </c>
      <c r="AA7" s="14" t="s">
        <v>1175</v>
      </c>
      <c r="AB7" s="14" t="s">
        <v>548</v>
      </c>
      <c r="AC7" s="14" t="s">
        <v>717</v>
      </c>
      <c r="AD7" s="14" t="s">
        <v>549</v>
      </c>
      <c r="AE7" s="17">
        <v>156</v>
      </c>
      <c r="AF7" s="172" t="s">
        <v>51</v>
      </c>
      <c r="AG7" s="17">
        <v>2405</v>
      </c>
      <c r="AH7" s="14" t="s">
        <v>51</v>
      </c>
      <c r="AI7" s="16">
        <f t="shared" si="6"/>
        <v>244343</v>
      </c>
      <c r="AJ7" s="16">
        <f t="shared" si="7"/>
        <v>244350</v>
      </c>
      <c r="AK7" s="16">
        <f t="shared" si="8"/>
        <v>244345</v>
      </c>
      <c r="AL7" s="16"/>
      <c r="AM7" s="15"/>
      <c r="AN7" s="15"/>
      <c r="AO7" s="15"/>
      <c r="AP7" s="15"/>
      <c r="AQ7" s="15"/>
      <c r="AR7" s="16"/>
      <c r="AS7" s="15"/>
      <c r="AT7" s="16"/>
      <c r="AU7" s="15"/>
      <c r="AV7" s="15"/>
      <c r="AW7" s="14" t="s">
        <v>191</v>
      </c>
      <c r="AX7" s="14">
        <f>AT7-AI9</f>
        <v>-244340</v>
      </c>
    </row>
    <row r="8" spans="1:50" s="70" customFormat="1" ht="31.5" customHeight="1" x14ac:dyDescent="0.2">
      <c r="A8" s="238">
        <f t="shared" si="1"/>
        <v>244343</v>
      </c>
      <c r="B8" s="239">
        <f t="shared" si="2"/>
        <v>681731</v>
      </c>
      <c r="C8" s="240" t="str">
        <f t="shared" si="2"/>
        <v>PORTARYTE C15</v>
      </c>
      <c r="D8" s="239" t="str">
        <f t="shared" si="3"/>
        <v>FWBWT183074PL</v>
      </c>
      <c r="E8" s="239" t="str">
        <f t="shared" si="3"/>
        <v>PD468122307</v>
      </c>
      <c r="F8" s="239" t="str">
        <f t="shared" si="3"/>
        <v>PT8</v>
      </c>
      <c r="G8" s="241" t="str">
        <f t="shared" si="3"/>
        <v>สีลงเต็มสม่ำเสมอ งานพิมพ์ชัดเจน</v>
      </c>
      <c r="H8" s="242" t="str">
        <f t="shared" si="3"/>
        <v>พบเปื้อนสีด้านหน้าและด้านหลัง จำนวน 425 ใบ</v>
      </c>
      <c r="I8" s="241">
        <f t="shared" si="4"/>
        <v>425</v>
      </c>
      <c r="J8" s="239" t="str">
        <f t="shared" si="4"/>
        <v>ใบ</v>
      </c>
      <c r="K8" s="308" t="str">
        <f t="shared" si="5"/>
        <v>**ส่งลบสี**</v>
      </c>
      <c r="L8" s="309"/>
      <c r="M8" s="82"/>
      <c r="N8" s="14" t="s">
        <v>28</v>
      </c>
      <c r="O8" s="212">
        <v>244343</v>
      </c>
      <c r="P8" s="14" t="s">
        <v>547</v>
      </c>
      <c r="Q8" s="14" t="s">
        <v>268</v>
      </c>
      <c r="R8" s="14" t="s">
        <v>14</v>
      </c>
      <c r="S8" s="14" t="s">
        <v>324</v>
      </c>
      <c r="T8" s="179">
        <v>681731</v>
      </c>
      <c r="U8" s="176" t="s">
        <v>4890</v>
      </c>
      <c r="V8" s="176" t="s">
        <v>1189</v>
      </c>
      <c r="W8" s="176" t="s">
        <v>1210</v>
      </c>
      <c r="X8" s="176" t="s">
        <v>4893</v>
      </c>
      <c r="Y8" s="40" t="s">
        <v>108</v>
      </c>
      <c r="Z8" s="40" t="s">
        <v>341</v>
      </c>
      <c r="AA8" s="14" t="s">
        <v>2186</v>
      </c>
      <c r="AB8" s="14" t="s">
        <v>552</v>
      </c>
      <c r="AC8" s="14" t="s">
        <v>685</v>
      </c>
      <c r="AD8" s="14" t="s">
        <v>553</v>
      </c>
      <c r="AE8" s="17">
        <v>425</v>
      </c>
      <c r="AF8" s="172" t="s">
        <v>51</v>
      </c>
      <c r="AG8" s="17">
        <v>2430</v>
      </c>
      <c r="AH8" s="14" t="s">
        <v>51</v>
      </c>
      <c r="AI8" s="16">
        <f t="shared" si="6"/>
        <v>244343</v>
      </c>
      <c r="AJ8" s="16">
        <f t="shared" si="7"/>
        <v>244350</v>
      </c>
      <c r="AK8" s="16">
        <f t="shared" si="8"/>
        <v>244345</v>
      </c>
      <c r="AL8" s="16"/>
      <c r="AM8" s="15"/>
      <c r="AN8" s="15"/>
      <c r="AO8" s="15"/>
      <c r="AP8" s="15"/>
      <c r="AQ8" s="15"/>
      <c r="AR8" s="16"/>
      <c r="AS8" s="15"/>
      <c r="AT8" s="16"/>
      <c r="AU8" s="15"/>
      <c r="AV8" s="15"/>
      <c r="AW8" s="14" t="s">
        <v>153</v>
      </c>
      <c r="AX8" s="14">
        <f>AT8-AI10</f>
        <v>-244340</v>
      </c>
    </row>
    <row r="9" spans="1:50" s="70" customFormat="1" ht="31.5" customHeight="1" x14ac:dyDescent="0.2">
      <c r="A9" s="232">
        <f t="shared" si="1"/>
        <v>244340</v>
      </c>
      <c r="B9" s="233">
        <f t="shared" si="2"/>
        <v>681720</v>
      </c>
      <c r="C9" s="234" t="str">
        <f t="shared" si="2"/>
        <v>ดาว 20กก.</v>
      </c>
      <c r="D9" s="233" t="str">
        <f t="shared" si="3"/>
        <v>FWBWT182850P</v>
      </c>
      <c r="E9" s="233" t="str">
        <f t="shared" si="3"/>
        <v>PD468121810</v>
      </c>
      <c r="F9" s="233" t="str">
        <f t="shared" si="3"/>
        <v>PT8</v>
      </c>
      <c r="G9" s="235" t="str">
        <f t="shared" si="3"/>
        <v>สีลงเต็มสม่ำเสมอ งานพิมพ์ชัดเจน</v>
      </c>
      <c r="H9" s="236" t="str">
        <f t="shared" si="3"/>
        <v>พบสีหายตรงตัว "R" จำนวน 1,750 ใบ</v>
      </c>
      <c r="I9" s="237">
        <f t="shared" si="4"/>
        <v>1750</v>
      </c>
      <c r="J9" s="233" t="str">
        <f t="shared" si="4"/>
        <v>ใบ</v>
      </c>
      <c r="K9" s="302" t="str">
        <f t="shared" si="5"/>
        <v>**ผสม3/1**</v>
      </c>
      <c r="L9" s="303"/>
      <c r="M9" s="81"/>
      <c r="N9" s="14" t="s">
        <v>28</v>
      </c>
      <c r="O9" s="212">
        <v>244340</v>
      </c>
      <c r="P9" s="14" t="s">
        <v>547</v>
      </c>
      <c r="Q9" s="14" t="s">
        <v>268</v>
      </c>
      <c r="R9" s="14" t="s">
        <v>14</v>
      </c>
      <c r="S9" s="14" t="s">
        <v>324</v>
      </c>
      <c r="T9" s="179">
        <v>681720</v>
      </c>
      <c r="U9" s="176" t="s">
        <v>4786</v>
      </c>
      <c r="V9" s="176" t="s">
        <v>705</v>
      </c>
      <c r="W9" s="176" t="s">
        <v>707</v>
      </c>
      <c r="X9" s="176" t="s">
        <v>4864</v>
      </c>
      <c r="Y9" s="40" t="s">
        <v>108</v>
      </c>
      <c r="Z9" s="40" t="s">
        <v>341</v>
      </c>
      <c r="AA9" s="14" t="s">
        <v>4869</v>
      </c>
      <c r="AB9" s="14" t="s">
        <v>543</v>
      </c>
      <c r="AC9" s="14" t="s">
        <v>4872</v>
      </c>
      <c r="AD9" s="14" t="s">
        <v>529</v>
      </c>
      <c r="AE9" s="17">
        <v>1750</v>
      </c>
      <c r="AF9" s="172" t="s">
        <v>51</v>
      </c>
      <c r="AG9" s="17">
        <v>3070</v>
      </c>
      <c r="AH9" s="14" t="s">
        <v>51</v>
      </c>
      <c r="AI9" s="16">
        <f t="shared" ref="AI9:AI13" si="9">O9</f>
        <v>244340</v>
      </c>
      <c r="AJ9" s="16">
        <f t="shared" ref="AJ9:AJ13" si="10">O9+7</f>
        <v>244347</v>
      </c>
      <c r="AK9" s="16">
        <f t="shared" ref="AK9:AK13" si="11">AI9+2</f>
        <v>244342</v>
      </c>
      <c r="AL9" s="16"/>
      <c r="AM9" s="15"/>
      <c r="AN9" s="15"/>
      <c r="AO9" s="15"/>
      <c r="AP9" s="15"/>
      <c r="AQ9" s="15"/>
      <c r="AR9" s="16"/>
      <c r="AS9" s="15"/>
      <c r="AT9" s="16"/>
      <c r="AU9" s="15"/>
      <c r="AV9" s="15"/>
      <c r="AW9" s="14"/>
      <c r="AX9" s="14">
        <f>AT9-AI10</f>
        <v>-244340</v>
      </c>
    </row>
    <row r="10" spans="1:50" s="70" customFormat="1" ht="31.5" customHeight="1" x14ac:dyDescent="0.2">
      <c r="A10" s="232">
        <f t="shared" si="1"/>
        <v>244340</v>
      </c>
      <c r="B10" s="233">
        <f t="shared" si="2"/>
        <v>681721</v>
      </c>
      <c r="C10" s="234" t="str">
        <f t="shared" si="2"/>
        <v>ถุงเขียว(คัดพิเศษ)</v>
      </c>
      <c r="D10" s="233" t="str">
        <f t="shared" ref="D10:F13" si="12">W10</f>
        <v>FWBWT233468P</v>
      </c>
      <c r="E10" s="233" t="str">
        <f t="shared" si="12"/>
        <v>PD468121804</v>
      </c>
      <c r="F10" s="233" t="str">
        <f t="shared" si="12"/>
        <v>PT4</v>
      </c>
      <c r="G10" s="235" t="str">
        <f>Z11</f>
        <v>สีลงเต็มสม่ำเสมอ งานพิมพ์ชัดเจน</v>
      </c>
      <c r="H10" s="236" t="str">
        <f>AA10</f>
        <v>พบผ้าพับ จำนวน 800 ใบ</v>
      </c>
      <c r="I10" s="235">
        <f t="shared" si="4"/>
        <v>800</v>
      </c>
      <c r="J10" s="233" t="str">
        <f t="shared" si="4"/>
        <v>ใบ</v>
      </c>
      <c r="K10" s="302" t="str">
        <f t="shared" si="5"/>
        <v>**ผสม3/1**</v>
      </c>
      <c r="L10" s="303"/>
      <c r="M10" s="82"/>
      <c r="N10" s="14" t="s">
        <v>28</v>
      </c>
      <c r="O10" s="212">
        <v>244340</v>
      </c>
      <c r="P10" s="14" t="s">
        <v>547</v>
      </c>
      <c r="Q10" s="14" t="s">
        <v>268</v>
      </c>
      <c r="R10" s="14" t="s">
        <v>14</v>
      </c>
      <c r="S10" s="14" t="s">
        <v>324</v>
      </c>
      <c r="T10" s="179">
        <v>681721</v>
      </c>
      <c r="U10" s="176" t="s">
        <v>4863</v>
      </c>
      <c r="V10" s="176" t="s">
        <v>1794</v>
      </c>
      <c r="W10" s="176" t="s">
        <v>130</v>
      </c>
      <c r="X10" s="176" t="s">
        <v>4865</v>
      </c>
      <c r="Y10" s="40" t="s">
        <v>106</v>
      </c>
      <c r="Z10" s="40" t="s">
        <v>341</v>
      </c>
      <c r="AA10" s="14" t="s">
        <v>4870</v>
      </c>
      <c r="AB10" s="14" t="s">
        <v>543</v>
      </c>
      <c r="AC10" s="14" t="s">
        <v>818</v>
      </c>
      <c r="AD10" s="14" t="s">
        <v>529</v>
      </c>
      <c r="AE10" s="17">
        <v>800</v>
      </c>
      <c r="AF10" s="172" t="s">
        <v>51</v>
      </c>
      <c r="AG10" s="17">
        <v>1535</v>
      </c>
      <c r="AH10" s="14" t="s">
        <v>51</v>
      </c>
      <c r="AI10" s="16">
        <f t="shared" si="9"/>
        <v>244340</v>
      </c>
      <c r="AJ10" s="16">
        <f t="shared" si="10"/>
        <v>244347</v>
      </c>
      <c r="AK10" s="16">
        <f t="shared" si="11"/>
        <v>244342</v>
      </c>
      <c r="AL10" s="16"/>
      <c r="AM10" s="15"/>
      <c r="AN10" s="15"/>
      <c r="AO10" s="15"/>
      <c r="AP10" s="15"/>
      <c r="AQ10" s="15"/>
      <c r="AR10" s="16"/>
      <c r="AS10" s="15"/>
      <c r="AT10" s="16"/>
      <c r="AU10" s="15"/>
      <c r="AV10" s="15"/>
      <c r="AW10" s="14" t="s">
        <v>323</v>
      </c>
      <c r="AX10" s="14">
        <f>AT10-AI12</f>
        <v>-244340</v>
      </c>
    </row>
    <row r="11" spans="1:50" s="70" customFormat="1" ht="31.5" customHeight="1" x14ac:dyDescent="0.2">
      <c r="A11" s="232">
        <f t="shared" si="1"/>
        <v>244340</v>
      </c>
      <c r="B11" s="233">
        <f t="shared" si="2"/>
        <v>681722</v>
      </c>
      <c r="C11" s="234" t="str">
        <f t="shared" si="2"/>
        <v>ขุนศึกเบอร์1</v>
      </c>
      <c r="D11" s="233" t="str">
        <f t="shared" si="12"/>
        <v>FWBWT2038100PLM</v>
      </c>
      <c r="E11" s="233" t="str">
        <f t="shared" si="12"/>
        <v>PD468121906</v>
      </c>
      <c r="F11" s="233" t="str">
        <f t="shared" si="12"/>
        <v>PT1</v>
      </c>
      <c r="G11" s="235" t="str">
        <f>Z12</f>
        <v>สีลงเต็มสม่ำเสมอ งานพิมพ์ชัดเจน</v>
      </c>
      <c r="H11" s="236" t="str">
        <f>AA11</f>
        <v>พบพิมพ์เสีย จำนวน 148 ใบ</v>
      </c>
      <c r="I11" s="235">
        <f t="shared" si="4"/>
        <v>148</v>
      </c>
      <c r="J11" s="233" t="str">
        <f t="shared" si="4"/>
        <v>ใบ</v>
      </c>
      <c r="K11" s="302" t="str">
        <f t="shared" si="5"/>
        <v>**ลดเกรด**</v>
      </c>
      <c r="L11" s="303"/>
      <c r="M11" s="82"/>
      <c r="N11" s="14" t="s">
        <v>28</v>
      </c>
      <c r="O11" s="212">
        <v>244340</v>
      </c>
      <c r="P11" s="14" t="s">
        <v>547</v>
      </c>
      <c r="Q11" s="14" t="s">
        <v>268</v>
      </c>
      <c r="R11" s="14" t="s">
        <v>14</v>
      </c>
      <c r="S11" s="14" t="s">
        <v>324</v>
      </c>
      <c r="T11" s="179">
        <v>681722</v>
      </c>
      <c r="U11" s="176" t="s">
        <v>848</v>
      </c>
      <c r="V11" s="176" t="s">
        <v>802</v>
      </c>
      <c r="W11" s="176" t="s">
        <v>131</v>
      </c>
      <c r="X11" s="176" t="s">
        <v>4866</v>
      </c>
      <c r="Y11" s="40" t="s">
        <v>45</v>
      </c>
      <c r="Z11" s="40" t="s">
        <v>341</v>
      </c>
      <c r="AA11" s="14" t="s">
        <v>2748</v>
      </c>
      <c r="AB11" s="14" t="s">
        <v>548</v>
      </c>
      <c r="AC11" s="14" t="s">
        <v>518</v>
      </c>
      <c r="AD11" s="14" t="s">
        <v>549</v>
      </c>
      <c r="AE11" s="17">
        <v>148</v>
      </c>
      <c r="AF11" s="172" t="s">
        <v>51</v>
      </c>
      <c r="AG11" s="17">
        <v>1320</v>
      </c>
      <c r="AH11" s="14" t="s">
        <v>51</v>
      </c>
      <c r="AI11" s="16">
        <f t="shared" si="9"/>
        <v>244340</v>
      </c>
      <c r="AJ11" s="16">
        <f t="shared" si="10"/>
        <v>244347</v>
      </c>
      <c r="AK11" s="16">
        <f t="shared" si="11"/>
        <v>244342</v>
      </c>
      <c r="AL11" s="16"/>
      <c r="AM11" s="15"/>
      <c r="AN11" s="15"/>
      <c r="AO11" s="15"/>
      <c r="AP11" s="15"/>
      <c r="AQ11" s="15"/>
      <c r="AR11" s="16"/>
      <c r="AS11" s="15"/>
      <c r="AT11" s="16"/>
      <c r="AU11" s="15"/>
      <c r="AV11" s="15"/>
      <c r="AW11" s="14"/>
      <c r="AX11" s="14">
        <f>AT11-AI13</f>
        <v>-244340</v>
      </c>
    </row>
    <row r="12" spans="1:50" ht="31.5" customHeight="1" x14ac:dyDescent="0.2">
      <c r="A12" s="232">
        <f t="shared" si="1"/>
        <v>244340</v>
      </c>
      <c r="B12" s="233">
        <f t="shared" si="2"/>
        <v>681723</v>
      </c>
      <c r="C12" s="234" t="str">
        <f t="shared" si="2"/>
        <v>935เอ</v>
      </c>
      <c r="D12" s="233" t="str">
        <f t="shared" si="12"/>
        <v>FWBWT203780P</v>
      </c>
      <c r="E12" s="233" t="str">
        <f t="shared" si="12"/>
        <v>PD468121908</v>
      </c>
      <c r="F12" s="233" t="str">
        <f t="shared" si="12"/>
        <v>PT2</v>
      </c>
      <c r="G12" s="235" t="str">
        <f>Z13</f>
        <v>สีลงเต็มสม่ำเสมอ งานพิมพ์ชัดเจน</v>
      </c>
      <c r="H12" s="236" t="str">
        <f>AA12</f>
        <v>พบมีรอยเส้นเทปติด+สีตาย จำนวน 2,200 ใบ</v>
      </c>
      <c r="I12" s="235">
        <f t="shared" si="4"/>
        <v>2200</v>
      </c>
      <c r="J12" s="233" t="str">
        <f t="shared" si="4"/>
        <v>ใบ</v>
      </c>
      <c r="K12" s="302" t="str">
        <f t="shared" si="5"/>
        <v>**ผสม3/1**</v>
      </c>
      <c r="L12" s="303"/>
      <c r="M12" s="82"/>
      <c r="N12" s="14" t="s">
        <v>28</v>
      </c>
      <c r="O12" s="212">
        <v>244340</v>
      </c>
      <c r="P12" s="14" t="s">
        <v>547</v>
      </c>
      <c r="Q12" s="14" t="s">
        <v>268</v>
      </c>
      <c r="R12" s="14" t="s">
        <v>14</v>
      </c>
      <c r="S12" s="14" t="s">
        <v>324</v>
      </c>
      <c r="T12" s="179">
        <v>681723</v>
      </c>
      <c r="U12" s="176" t="s">
        <v>1368</v>
      </c>
      <c r="V12" s="176" t="s">
        <v>802</v>
      </c>
      <c r="W12" s="176" t="s">
        <v>128</v>
      </c>
      <c r="X12" s="176" t="s">
        <v>4867</v>
      </c>
      <c r="Y12" s="40" t="s">
        <v>46</v>
      </c>
      <c r="Z12" s="40" t="s">
        <v>341</v>
      </c>
      <c r="AA12" s="14" t="s">
        <v>4871</v>
      </c>
      <c r="AB12" s="14" t="s">
        <v>543</v>
      </c>
      <c r="AC12" s="14" t="s">
        <v>4873</v>
      </c>
      <c r="AD12" s="14" t="s">
        <v>529</v>
      </c>
      <c r="AE12" s="17">
        <v>2200</v>
      </c>
      <c r="AF12" s="172" t="s">
        <v>51</v>
      </c>
      <c r="AG12" s="17">
        <v>2320</v>
      </c>
      <c r="AH12" s="14" t="s">
        <v>51</v>
      </c>
      <c r="AI12" s="16">
        <f t="shared" si="9"/>
        <v>244340</v>
      </c>
      <c r="AJ12" s="16">
        <f t="shared" si="10"/>
        <v>244347</v>
      </c>
      <c r="AK12" s="16">
        <f t="shared" si="11"/>
        <v>244342</v>
      </c>
    </row>
    <row r="13" spans="1:50" ht="31.5" customHeight="1" x14ac:dyDescent="0.2">
      <c r="A13" s="232">
        <f t="shared" si="1"/>
        <v>244340</v>
      </c>
      <c r="B13" s="233">
        <f t="shared" si="2"/>
        <v>681724</v>
      </c>
      <c r="C13" s="234" t="str">
        <f t="shared" si="2"/>
        <v>ขุนศึกเบอร์1</v>
      </c>
      <c r="D13" s="233" t="str">
        <f t="shared" si="12"/>
        <v>FWBWT2038100PLM</v>
      </c>
      <c r="E13" s="233" t="str">
        <f t="shared" si="12"/>
        <v>PD468121906</v>
      </c>
      <c r="F13" s="233" t="str">
        <f t="shared" si="12"/>
        <v>PT1</v>
      </c>
      <c r="G13" s="235" t="str">
        <f>Z13</f>
        <v>สีลงเต็มสม่ำเสมอ งานพิมพ์ชัดเจน</v>
      </c>
      <c r="H13" s="236" t="str">
        <f>AA13</f>
        <v>พบลายอัดเยอะและขาว จำนวน 200 ใบ</v>
      </c>
      <c r="I13" s="235">
        <f t="shared" si="4"/>
        <v>200</v>
      </c>
      <c r="J13" s="233" t="str">
        <f t="shared" si="4"/>
        <v>ใบ</v>
      </c>
      <c r="K13" s="302" t="str">
        <f t="shared" si="5"/>
        <v>**คัดแยกออก**</v>
      </c>
      <c r="L13" s="303"/>
      <c r="M13" s="82"/>
      <c r="N13" s="14" t="s">
        <v>28</v>
      </c>
      <c r="O13" s="212">
        <v>244340</v>
      </c>
      <c r="P13" s="14" t="s">
        <v>547</v>
      </c>
      <c r="Q13" s="14" t="s">
        <v>268</v>
      </c>
      <c r="R13" s="14" t="s">
        <v>14</v>
      </c>
      <c r="S13" s="14" t="s">
        <v>324</v>
      </c>
      <c r="T13" s="179">
        <v>681724</v>
      </c>
      <c r="U13" s="176" t="s">
        <v>848</v>
      </c>
      <c r="V13" s="176" t="s">
        <v>802</v>
      </c>
      <c r="W13" s="176" t="s">
        <v>131</v>
      </c>
      <c r="X13" s="176" t="s">
        <v>4866</v>
      </c>
      <c r="Y13" s="40" t="s">
        <v>45</v>
      </c>
      <c r="Z13" s="40" t="s">
        <v>341</v>
      </c>
      <c r="AA13" s="14" t="s">
        <v>4874</v>
      </c>
      <c r="AB13" s="14" t="s">
        <v>527</v>
      </c>
      <c r="AC13" s="14" t="s">
        <v>4875</v>
      </c>
      <c r="AD13" s="14" t="s">
        <v>542</v>
      </c>
      <c r="AE13" s="17">
        <v>200</v>
      </c>
      <c r="AF13" s="172" t="s">
        <v>51</v>
      </c>
      <c r="AG13" s="17">
        <v>927</v>
      </c>
      <c r="AH13" s="14" t="s">
        <v>51</v>
      </c>
      <c r="AI13" s="16">
        <f t="shared" si="9"/>
        <v>244340</v>
      </c>
      <c r="AJ13" s="16">
        <f t="shared" si="10"/>
        <v>244347</v>
      </c>
      <c r="AK13" s="16">
        <f t="shared" si="11"/>
        <v>244342</v>
      </c>
    </row>
    <row r="14" spans="1:50" ht="31.5" customHeight="1" x14ac:dyDescent="0.2">
      <c r="A14" s="232">
        <f t="shared" ref="A14" si="13">O14</f>
        <v>244335</v>
      </c>
      <c r="B14" s="233">
        <f t="shared" ref="B14:B15" si="14">T14</f>
        <v>681699</v>
      </c>
      <c r="C14" s="234" t="str">
        <f t="shared" ref="C14:C15" si="15">U14</f>
        <v>บะหมี่เตี๊ยว</v>
      </c>
      <c r="D14" s="233" t="str">
        <f t="shared" ref="D14" si="16">W14</f>
        <v>FWBWT193267P</v>
      </c>
      <c r="E14" s="233" t="str">
        <f t="shared" ref="E14:E15" si="17">X14</f>
        <v>PD468121509</v>
      </c>
      <c r="F14" s="233" t="str">
        <f t="shared" ref="F14:F15" si="18">Y14</f>
        <v>PT4</v>
      </c>
      <c r="G14" s="235" t="str">
        <f>Z15</f>
        <v>สีลงเต็มสม่ำเสมอ งานพิมพ์ชัดเจน</v>
      </c>
      <c r="H14" s="236" t="str">
        <f>AA14</f>
        <v>พบบล็อคเลื่อน จำนวน 300 ใบ</v>
      </c>
      <c r="I14" s="235">
        <f>AE14</f>
        <v>300</v>
      </c>
      <c r="J14" s="233" t="str">
        <f t="shared" ref="J14:J15" si="19">AF14</f>
        <v>ใบ</v>
      </c>
      <c r="K14" s="302" t="str">
        <f t="shared" ref="K14:K15" si="20">AB14</f>
        <v>**ผสม25/75**</v>
      </c>
      <c r="L14" s="303"/>
      <c r="M14" s="82"/>
      <c r="N14" s="14" t="s">
        <v>28</v>
      </c>
      <c r="O14" s="212">
        <v>244335</v>
      </c>
      <c r="P14" s="14" t="s">
        <v>547</v>
      </c>
      <c r="Q14" s="14" t="s">
        <v>268</v>
      </c>
      <c r="R14" s="14" t="s">
        <v>14</v>
      </c>
      <c r="S14" s="14" t="s">
        <v>324</v>
      </c>
      <c r="T14" s="179">
        <v>681699</v>
      </c>
      <c r="U14" s="176" t="s">
        <v>1777</v>
      </c>
      <c r="V14" s="176" t="s">
        <v>551</v>
      </c>
      <c r="W14" s="176" t="s">
        <v>832</v>
      </c>
      <c r="X14" s="176" t="s">
        <v>4818</v>
      </c>
      <c r="Y14" s="40" t="s">
        <v>106</v>
      </c>
      <c r="Z14" s="40" t="s">
        <v>341</v>
      </c>
      <c r="AA14" s="14" t="s">
        <v>4830</v>
      </c>
      <c r="AB14" s="14" t="s">
        <v>528</v>
      </c>
      <c r="AC14" s="14" t="s">
        <v>4267</v>
      </c>
      <c r="AD14" s="14" t="s">
        <v>541</v>
      </c>
      <c r="AE14" s="17">
        <v>300</v>
      </c>
      <c r="AF14" s="172" t="s">
        <v>51</v>
      </c>
      <c r="AG14" s="17">
        <v>2734</v>
      </c>
      <c r="AH14" s="14" t="s">
        <v>51</v>
      </c>
      <c r="AI14" s="16">
        <f t="shared" ref="AI14:AI16" si="21">O14</f>
        <v>244335</v>
      </c>
      <c r="AJ14" s="16">
        <f t="shared" ref="AJ14:AJ16" si="22">O14+7</f>
        <v>244342</v>
      </c>
      <c r="AK14" s="16">
        <f t="shared" ref="AK14:AK16" si="23">AI14+2</f>
        <v>244337</v>
      </c>
    </row>
    <row r="15" spans="1:50" ht="31.5" customHeight="1" x14ac:dyDescent="0.2">
      <c r="A15" s="232">
        <f t="shared" ref="A15" si="24">O15</f>
        <v>244335</v>
      </c>
      <c r="B15" s="233">
        <f t="shared" si="14"/>
        <v>681700</v>
      </c>
      <c r="C15" s="234">
        <f t="shared" si="15"/>
        <v>935</v>
      </c>
      <c r="D15" s="233" t="str">
        <f t="shared" ref="D15" si="25">W15</f>
        <v>FWBWT203780P</v>
      </c>
      <c r="E15" s="233" t="str">
        <f t="shared" si="17"/>
        <v>PD468121512</v>
      </c>
      <c r="F15" s="233" t="str">
        <f t="shared" si="18"/>
        <v>PT2</v>
      </c>
      <c r="G15" s="235" t="str">
        <f t="shared" ref="G15:G16" si="26">Z16</f>
        <v>สีลงเต็มสม่ำเสมอ งานพิมพ์ชัดเจน</v>
      </c>
      <c r="H15" s="236" t="str">
        <f t="shared" ref="H15" si="27">AA15</f>
        <v>พบรอยเส้นเทป จำนวน 2,400 ใบ</v>
      </c>
      <c r="I15" s="235">
        <f t="shared" ref="I15:I16" si="28">AE15</f>
        <v>2400</v>
      </c>
      <c r="J15" s="233" t="str">
        <f t="shared" si="19"/>
        <v>ใบ</v>
      </c>
      <c r="K15" s="302" t="str">
        <f t="shared" si="20"/>
        <v>**ผสม25/75**</v>
      </c>
      <c r="L15" s="303"/>
      <c r="N15" s="14" t="s">
        <v>28</v>
      </c>
      <c r="O15" s="212">
        <v>244335</v>
      </c>
      <c r="P15" s="14" t="s">
        <v>547</v>
      </c>
      <c r="Q15" s="14" t="s">
        <v>268</v>
      </c>
      <c r="R15" s="14" t="s">
        <v>14</v>
      </c>
      <c r="S15" s="14" t="s">
        <v>324</v>
      </c>
      <c r="T15" s="179">
        <v>681700</v>
      </c>
      <c r="U15" s="176">
        <v>935</v>
      </c>
      <c r="V15" s="176" t="s">
        <v>802</v>
      </c>
      <c r="W15" s="176" t="s">
        <v>128</v>
      </c>
      <c r="X15" s="176" t="s">
        <v>4816</v>
      </c>
      <c r="Y15" s="40" t="s">
        <v>46</v>
      </c>
      <c r="Z15" s="40" t="s">
        <v>341</v>
      </c>
      <c r="AA15" s="14" t="s">
        <v>4831</v>
      </c>
      <c r="AB15" s="14" t="s">
        <v>528</v>
      </c>
      <c r="AC15" s="14" t="s">
        <v>1152</v>
      </c>
      <c r="AD15" s="14" t="s">
        <v>541</v>
      </c>
      <c r="AE15" s="17">
        <v>2400</v>
      </c>
      <c r="AF15" s="172" t="s">
        <v>51</v>
      </c>
      <c r="AG15" s="17">
        <v>2475</v>
      </c>
      <c r="AH15" s="14" t="s">
        <v>51</v>
      </c>
      <c r="AI15" s="16">
        <f t="shared" si="21"/>
        <v>244335</v>
      </c>
      <c r="AJ15" s="16">
        <f t="shared" si="22"/>
        <v>244342</v>
      </c>
      <c r="AK15" s="16">
        <f t="shared" si="23"/>
        <v>244337</v>
      </c>
    </row>
    <row r="16" spans="1:50" ht="31.5" customHeight="1" x14ac:dyDescent="0.2">
      <c r="A16" s="232">
        <f t="shared" ref="A16" si="29">O16</f>
        <v>244335</v>
      </c>
      <c r="B16" s="233">
        <f t="shared" ref="B16" si="30">T16</f>
        <v>681701</v>
      </c>
      <c r="C16" s="234" t="str">
        <f t="shared" ref="C16" si="31">U16</f>
        <v>ดอกไม้เขียว</v>
      </c>
      <c r="D16" s="233" t="str">
        <f t="shared" ref="D16" si="32">W16</f>
        <v>FWBWT193267P</v>
      </c>
      <c r="E16" s="233" t="str">
        <f t="shared" ref="E16" si="33">X16</f>
        <v>PD468121505</v>
      </c>
      <c r="F16" s="233" t="str">
        <f t="shared" ref="F16" si="34">Y16</f>
        <v>PT4</v>
      </c>
      <c r="G16" s="235" t="str">
        <f t="shared" si="26"/>
        <v>สีลงเต็มสม่ำเสมอ งานพิมพ์ชัดเจน</v>
      </c>
      <c r="H16" s="236" t="str">
        <f t="shared" ref="H16" si="35">AA16</f>
        <v>พบรอยเส้นเทป จำนวน 900 ใบ</v>
      </c>
      <c r="I16" s="235">
        <f t="shared" si="28"/>
        <v>900</v>
      </c>
      <c r="J16" s="233" t="str">
        <f>AF16</f>
        <v>ใบ</v>
      </c>
      <c r="K16" s="302" t="str">
        <f t="shared" ref="K16" si="36">AB16</f>
        <v>**ผสม25/75**</v>
      </c>
      <c r="L16" s="303"/>
      <c r="N16" s="14" t="s">
        <v>28</v>
      </c>
      <c r="O16" s="212">
        <v>244335</v>
      </c>
      <c r="P16" s="14" t="s">
        <v>547</v>
      </c>
      <c r="Q16" s="14" t="s">
        <v>268</v>
      </c>
      <c r="R16" s="14" t="s">
        <v>14</v>
      </c>
      <c r="S16" s="14" t="s">
        <v>324</v>
      </c>
      <c r="T16" s="179">
        <v>681701</v>
      </c>
      <c r="U16" s="176" t="s">
        <v>861</v>
      </c>
      <c r="V16" s="176" t="s">
        <v>551</v>
      </c>
      <c r="W16" s="176" t="s">
        <v>832</v>
      </c>
      <c r="X16" s="176" t="s">
        <v>4828</v>
      </c>
      <c r="Y16" s="40" t="s">
        <v>106</v>
      </c>
      <c r="Z16" s="40" t="s">
        <v>341</v>
      </c>
      <c r="AA16" s="14" t="s">
        <v>4832</v>
      </c>
      <c r="AB16" s="14" t="s">
        <v>528</v>
      </c>
      <c r="AC16" s="14" t="s">
        <v>1152</v>
      </c>
      <c r="AD16" s="14" t="s">
        <v>541</v>
      </c>
      <c r="AE16" s="17">
        <v>900</v>
      </c>
      <c r="AF16" s="172" t="s">
        <v>51</v>
      </c>
      <c r="AG16" s="17">
        <v>2825</v>
      </c>
      <c r="AH16" s="14" t="s">
        <v>51</v>
      </c>
      <c r="AI16" s="16">
        <f t="shared" si="21"/>
        <v>244335</v>
      </c>
      <c r="AJ16" s="16">
        <f t="shared" si="22"/>
        <v>244342</v>
      </c>
      <c r="AK16" s="16">
        <f t="shared" si="23"/>
        <v>244337</v>
      </c>
    </row>
    <row r="17" spans="1:37" ht="16.5" customHeight="1" x14ac:dyDescent="0.2">
      <c r="A17" s="37"/>
      <c r="B17" s="37"/>
      <c r="C17" s="37"/>
      <c r="D17" s="37"/>
      <c r="E17" s="37"/>
      <c r="F17" s="37"/>
      <c r="G17" s="37"/>
      <c r="H17" s="37"/>
      <c r="I17" s="37"/>
      <c r="J17" s="37"/>
      <c r="L17" s="37"/>
      <c r="N17" s="14" t="s">
        <v>23</v>
      </c>
      <c r="O17" s="15">
        <v>243094</v>
      </c>
      <c r="P17" s="14" t="s">
        <v>515</v>
      </c>
      <c r="Q17" s="14" t="s">
        <v>268</v>
      </c>
      <c r="R17" s="14" t="s">
        <v>14</v>
      </c>
      <c r="S17" s="14" t="s">
        <v>324</v>
      </c>
      <c r="T17" s="179">
        <v>650274</v>
      </c>
      <c r="U17" s="14" t="s">
        <v>277</v>
      </c>
      <c r="V17" s="14" t="s">
        <v>545</v>
      </c>
      <c r="W17" s="14" t="s">
        <v>127</v>
      </c>
      <c r="X17" s="14" t="s">
        <v>546</v>
      </c>
      <c r="Y17" s="40">
        <v>8</v>
      </c>
      <c r="Z17" s="40" t="s">
        <v>341</v>
      </c>
      <c r="AA17" s="14" t="s">
        <v>544</v>
      </c>
      <c r="AB17" s="14" t="s">
        <v>523</v>
      </c>
      <c r="AC17" s="14" t="s">
        <v>517</v>
      </c>
      <c r="AD17" s="14" t="s">
        <v>323</v>
      </c>
      <c r="AE17" s="17">
        <v>375</v>
      </c>
      <c r="AF17" s="14" t="s">
        <v>51</v>
      </c>
      <c r="AG17" s="17">
        <v>2728</v>
      </c>
      <c r="AH17" s="14" t="s">
        <v>51</v>
      </c>
      <c r="AI17" s="16">
        <f t="shared" ref="AI17" si="37">O17</f>
        <v>243094</v>
      </c>
      <c r="AJ17" s="16">
        <f t="shared" ref="AJ17" si="38">AI17+7</f>
        <v>243101</v>
      </c>
      <c r="AK17" s="16">
        <f t="shared" ref="AK17" si="39">AI17+2</f>
        <v>243096</v>
      </c>
    </row>
    <row r="18" spans="1:37" ht="12.75" customHeight="1" x14ac:dyDescent="0.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41" t="s">
        <v>86</v>
      </c>
      <c r="L18" s="37"/>
      <c r="N18" s="14" t="s">
        <v>21</v>
      </c>
      <c r="O18" s="15">
        <v>243041</v>
      </c>
      <c r="P18" s="14" t="s">
        <v>515</v>
      </c>
      <c r="Q18" s="14" t="s">
        <v>268</v>
      </c>
      <c r="R18" s="14" t="s">
        <v>14</v>
      </c>
      <c r="S18" s="14" t="s">
        <v>324</v>
      </c>
      <c r="T18" s="179">
        <v>650187</v>
      </c>
      <c r="U18" s="14" t="s">
        <v>537</v>
      </c>
      <c r="V18" s="14" t="s">
        <v>532</v>
      </c>
      <c r="W18" s="14" t="s">
        <v>139</v>
      </c>
      <c r="X18" s="14" t="s">
        <v>540</v>
      </c>
      <c r="Y18" s="181">
        <v>9</v>
      </c>
      <c r="Z18" s="40" t="s">
        <v>341</v>
      </c>
      <c r="AA18" s="14" t="s">
        <v>538</v>
      </c>
      <c r="AB18" s="14" t="s">
        <v>522</v>
      </c>
      <c r="AC18" s="38" t="s">
        <v>539</v>
      </c>
      <c r="AD18" s="38" t="s">
        <v>323</v>
      </c>
      <c r="AE18" s="14">
        <v>2100</v>
      </c>
      <c r="AF18" s="14" t="s">
        <v>51</v>
      </c>
      <c r="AG18" s="17">
        <v>2232</v>
      </c>
      <c r="AH18" s="14" t="s">
        <v>51</v>
      </c>
      <c r="AI18" s="16">
        <f t="shared" ref="AI18" si="40">O18</f>
        <v>243041</v>
      </c>
      <c r="AJ18" s="16">
        <f t="shared" ref="AJ18" si="41">AI18+7</f>
        <v>243048</v>
      </c>
      <c r="AK18" s="16">
        <f t="shared" ref="AK18" si="42">AI18+2</f>
        <v>243043</v>
      </c>
    </row>
    <row r="19" spans="1:37" ht="18" customHeight="1" x14ac:dyDescent="0.2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42" t="s">
        <v>87</v>
      </c>
      <c r="L19" s="37"/>
      <c r="N19" s="14" t="s">
        <v>21</v>
      </c>
      <c r="O19" s="15">
        <v>243027</v>
      </c>
      <c r="P19" s="14" t="s">
        <v>515</v>
      </c>
      <c r="Q19" s="14" t="s">
        <v>268</v>
      </c>
      <c r="R19" s="14" t="s">
        <v>14</v>
      </c>
      <c r="S19" s="14" t="s">
        <v>324</v>
      </c>
      <c r="T19" s="179">
        <v>650151</v>
      </c>
      <c r="U19" s="14" t="s">
        <v>530</v>
      </c>
      <c r="V19" s="195" t="s">
        <v>516</v>
      </c>
      <c r="W19" s="67" t="s">
        <v>128</v>
      </c>
      <c r="X19" s="14" t="s">
        <v>535</v>
      </c>
      <c r="Y19" s="181">
        <v>1</v>
      </c>
      <c r="Z19" s="40" t="s">
        <v>341</v>
      </c>
      <c r="AA19" s="14" t="s">
        <v>533</v>
      </c>
      <c r="AB19" s="14" t="s">
        <v>525</v>
      </c>
      <c r="AC19" s="14" t="s">
        <v>517</v>
      </c>
      <c r="AD19" s="38" t="s">
        <v>526</v>
      </c>
      <c r="AE19" s="14">
        <v>4450</v>
      </c>
      <c r="AF19" s="14" t="s">
        <v>51</v>
      </c>
      <c r="AG19" s="17">
        <v>5190</v>
      </c>
      <c r="AH19" s="14" t="s">
        <v>51</v>
      </c>
      <c r="AI19" s="16">
        <f t="shared" ref="AI19:AI20" si="43">O19</f>
        <v>243027</v>
      </c>
      <c r="AJ19" s="16">
        <f t="shared" ref="AJ19:AJ20" si="44">AI19+7</f>
        <v>243034</v>
      </c>
      <c r="AK19" s="16">
        <f t="shared" ref="AK19:AK20" si="45">AI19+2</f>
        <v>243029</v>
      </c>
    </row>
    <row r="20" spans="1:37" ht="21" customHeight="1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43">
        <f ca="1">TODAY()</f>
        <v>46017</v>
      </c>
      <c r="L20" s="37"/>
      <c r="N20" s="14" t="s">
        <v>21</v>
      </c>
      <c r="O20" s="15">
        <v>243027</v>
      </c>
      <c r="P20" s="14" t="s">
        <v>515</v>
      </c>
      <c r="Q20" s="14" t="s">
        <v>268</v>
      </c>
      <c r="R20" s="14" t="s">
        <v>14</v>
      </c>
      <c r="S20" s="14" t="s">
        <v>324</v>
      </c>
      <c r="T20" s="179">
        <v>650152</v>
      </c>
      <c r="U20" s="14" t="s">
        <v>531</v>
      </c>
      <c r="V20" s="14" t="s">
        <v>514</v>
      </c>
      <c r="W20" s="67" t="s">
        <v>337</v>
      </c>
      <c r="X20" s="14" t="s">
        <v>536</v>
      </c>
      <c r="Y20" s="181">
        <v>9</v>
      </c>
      <c r="Z20" s="40" t="s">
        <v>341</v>
      </c>
      <c r="AA20" s="38" t="s">
        <v>534</v>
      </c>
      <c r="AB20" s="14" t="s">
        <v>524</v>
      </c>
      <c r="AC20" s="14" t="s">
        <v>519</v>
      </c>
      <c r="AD20" s="38" t="s">
        <v>347</v>
      </c>
      <c r="AE20" s="14">
        <v>4500</v>
      </c>
      <c r="AF20" s="14" t="s">
        <v>51</v>
      </c>
      <c r="AG20" s="17">
        <v>1501</v>
      </c>
      <c r="AH20" s="14" t="s">
        <v>51</v>
      </c>
      <c r="AI20" s="16">
        <f t="shared" si="43"/>
        <v>243027</v>
      </c>
      <c r="AJ20" s="16">
        <f t="shared" si="44"/>
        <v>243034</v>
      </c>
      <c r="AK20" s="16">
        <f t="shared" si="45"/>
        <v>243029</v>
      </c>
    </row>
    <row r="21" spans="1:37" ht="21" customHeight="1" x14ac:dyDescent="0.2">
      <c r="A21" s="37"/>
      <c r="B21" s="37"/>
      <c r="C21" s="37"/>
      <c r="D21" s="37"/>
      <c r="E21" s="37"/>
      <c r="F21" s="37"/>
      <c r="G21" s="37"/>
      <c r="H21" s="37"/>
      <c r="I21" s="37"/>
      <c r="J21" s="37"/>
      <c r="L21" s="37"/>
      <c r="N21" s="149"/>
      <c r="O21" s="148"/>
      <c r="P21" s="149"/>
      <c r="Q21" s="150"/>
      <c r="R21" s="149"/>
      <c r="S21" s="149"/>
      <c r="T21" s="149"/>
      <c r="U21" s="149"/>
      <c r="V21" s="149"/>
      <c r="W21" s="151"/>
      <c r="X21" s="149"/>
      <c r="Y21" s="151"/>
      <c r="Z21" s="149"/>
      <c r="AA21" s="149"/>
      <c r="AB21" s="148"/>
      <c r="AC21" s="148"/>
      <c r="AD21" s="148"/>
      <c r="AE21" s="148"/>
    </row>
    <row r="22" spans="1:37" ht="36" customHeight="1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N22" s="149"/>
      <c r="O22" s="148"/>
      <c r="P22" s="149"/>
      <c r="Q22" s="150"/>
      <c r="R22" s="149"/>
      <c r="S22" s="149"/>
      <c r="T22" s="149"/>
      <c r="U22" s="149"/>
      <c r="V22" s="149"/>
      <c r="W22" s="151"/>
      <c r="X22" s="149"/>
      <c r="Y22" s="151"/>
      <c r="Z22" s="149"/>
      <c r="AA22" s="149"/>
      <c r="AB22" s="148"/>
      <c r="AC22" s="148"/>
      <c r="AD22" s="148"/>
      <c r="AE22" s="148"/>
    </row>
    <row r="23" spans="1:37" ht="36" customHeight="1" x14ac:dyDescent="0.2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N23" s="149"/>
      <c r="O23" s="148"/>
      <c r="P23" s="149"/>
      <c r="Q23" s="150"/>
      <c r="R23" s="149"/>
      <c r="S23" s="149"/>
      <c r="T23" s="149"/>
      <c r="U23" s="149"/>
      <c r="V23" s="149"/>
      <c r="W23" s="151"/>
      <c r="X23" s="149"/>
      <c r="Y23" s="151"/>
      <c r="Z23" s="149"/>
      <c r="AA23" s="149"/>
      <c r="AB23" s="148"/>
      <c r="AC23" s="148"/>
      <c r="AD23" s="148"/>
      <c r="AE23" s="148"/>
    </row>
    <row r="24" spans="1:37" ht="36" customHeight="1" x14ac:dyDescent="0.2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N24" s="149"/>
      <c r="O24" s="148"/>
      <c r="P24" s="149"/>
      <c r="Q24" s="150"/>
      <c r="R24" s="149"/>
      <c r="S24" s="149"/>
      <c r="T24" s="149"/>
      <c r="U24" s="149"/>
      <c r="V24" s="149"/>
      <c r="W24" s="151"/>
      <c r="X24" s="149"/>
      <c r="Y24" s="151"/>
      <c r="Z24" s="149"/>
      <c r="AA24" s="149"/>
      <c r="AB24" s="148"/>
      <c r="AC24" s="148"/>
      <c r="AD24" s="148"/>
    </row>
    <row r="25" spans="1:37" ht="21" customHeight="1" x14ac:dyDescent="0.2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N25" s="149"/>
      <c r="O25" s="148"/>
      <c r="P25" s="149"/>
      <c r="Q25" s="150"/>
      <c r="R25" s="149"/>
      <c r="S25" s="149"/>
      <c r="T25" s="149"/>
      <c r="U25" s="149"/>
      <c r="V25" s="149"/>
      <c r="W25" s="151"/>
      <c r="X25" s="149"/>
      <c r="Y25" s="151"/>
      <c r="Z25" s="149"/>
      <c r="AA25" s="149"/>
      <c r="AB25" s="148"/>
      <c r="AC25" s="148"/>
      <c r="AD25" s="148"/>
    </row>
    <row r="26" spans="1:37" ht="18" x14ac:dyDescent="0.2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1:37" ht="18" x14ac:dyDescent="0.2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37" ht="18" x14ac:dyDescent="0.2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37" ht="18" x14ac:dyDescent="0.2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spans="1:37" ht="18" x14ac:dyDescent="0.2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37" ht="18" x14ac:dyDescent="0.2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1:37" ht="18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spans="1:12" ht="18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1:12" ht="18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18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1:12" ht="18" x14ac:dyDescent="0.2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18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spans="1:12" ht="18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1:12" ht="18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1:12" ht="18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spans="1:12" ht="18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1:12" ht="18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1:12" ht="18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18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2" ht="18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1:12" ht="18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1:12" ht="18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2" ht="18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1:12" ht="18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spans="1:12" ht="18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18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spans="1:12" ht="18" x14ac:dyDescent="0.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</row>
    <row r="53" spans="1:12" ht="18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 spans="1:12" ht="18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spans="1:12" ht="18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spans="1:12" ht="18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spans="1:12" ht="18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spans="1:12" ht="18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spans="1:12" ht="18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spans="1:12" ht="18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spans="1:12" ht="18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spans="1:12" ht="18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spans="1:12" ht="18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spans="1:12" ht="18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spans="1:12" ht="18" x14ac:dyDescent="0.2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1:12" ht="18" x14ac:dyDescent="0.2">
      <c r="A66" s="37"/>
      <c r="B66" s="37"/>
      <c r="C66" s="37"/>
      <c r="D66" s="37"/>
      <c r="E66" s="37"/>
      <c r="F66" s="37"/>
      <c r="G66" s="10"/>
      <c r="H66" s="37"/>
      <c r="I66" s="37"/>
      <c r="J66" s="37"/>
      <c r="K66" s="37"/>
      <c r="L66" s="37"/>
    </row>
    <row r="67" spans="1:12" ht="18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8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8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8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8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8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8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8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8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8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8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8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8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8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8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8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8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8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8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8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8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8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8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8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8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8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8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8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8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8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8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8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8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8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8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8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8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8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8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8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8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8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8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8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8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8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8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8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8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8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8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8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8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8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8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8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8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8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8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8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8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8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8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8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8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8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8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8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8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8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8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8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8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8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8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8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8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8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8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8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8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8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8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8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8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8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8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8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8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8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8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8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8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8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8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8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8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8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8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8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8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8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8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8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8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8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8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8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8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8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8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8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8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8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8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8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8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8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8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8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8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8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8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8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8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8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8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8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8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8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8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8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8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8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8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8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8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8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8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8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8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8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8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8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8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8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8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8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8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8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8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8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8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8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8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8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8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8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8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8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8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8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8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8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8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8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8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8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8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8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8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8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8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8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8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8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8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8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8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8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8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8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8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8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8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8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8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8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8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8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8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8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8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8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8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8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8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8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8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8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8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8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8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8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8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8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8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8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8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8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8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8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8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8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8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8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8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8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8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8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8" x14ac:dyDescent="0.2">
      <c r="A287" s="10"/>
      <c r="B287" s="10"/>
      <c r="C287" s="10"/>
      <c r="D287" s="10"/>
      <c r="E287" s="10"/>
      <c r="F287" s="10"/>
      <c r="H287" s="10"/>
      <c r="I287" s="10"/>
      <c r="J287" s="10"/>
      <c r="K287" s="10"/>
      <c r="L287" s="10"/>
    </row>
  </sheetData>
  <mergeCells count="15">
    <mergeCell ref="K16:L16"/>
    <mergeCell ref="K14:L14"/>
    <mergeCell ref="K15:L15"/>
    <mergeCell ref="K13:L13"/>
    <mergeCell ref="I5:J5"/>
    <mergeCell ref="A4:C4"/>
    <mergeCell ref="A1:E1"/>
    <mergeCell ref="K5:L5"/>
    <mergeCell ref="K11:L11"/>
    <mergeCell ref="K12:L12"/>
    <mergeCell ref="K6:L6"/>
    <mergeCell ref="K7:L7"/>
    <mergeCell ref="K8:L8"/>
    <mergeCell ref="K9:L9"/>
    <mergeCell ref="K10:L10"/>
  </mergeCells>
  <phoneticPr fontId="22" type="noConversion"/>
  <conditionalFormatting sqref="AR5">
    <cfRule type="cellIs" dxfId="14" priority="181" operator="lessThan">
      <formula>7</formula>
    </cfRule>
    <cfRule type="cellIs" dxfId="13" priority="182" operator="equal">
      <formula>7</formula>
    </cfRule>
    <cfRule type="cellIs" dxfId="12" priority="183" operator="greaterThan">
      <formula>7</formula>
    </cfRule>
    <cfRule type="cellIs" dxfId="11" priority="184" operator="lessThan">
      <formula>7</formula>
    </cfRule>
    <cfRule type="cellIs" dxfId="10" priority="185" operator="greaterThan">
      <formula>7</formula>
    </cfRule>
  </conditionalFormatting>
  <conditionalFormatting sqref="AX6:AX11">
    <cfRule type="cellIs" dxfId="9" priority="1" operator="lessThan">
      <formula>7</formula>
    </cfRule>
    <cfRule type="cellIs" dxfId="8" priority="2" operator="equal">
      <formula>7</formula>
    </cfRule>
    <cfRule type="cellIs" dxfId="7" priority="3" operator="greaterThan">
      <formula>7</formula>
    </cfRule>
    <cfRule type="cellIs" dxfId="6" priority="4" operator="lessThan">
      <formula>7</formula>
    </cfRule>
    <cfRule type="cellIs" dxfId="5" priority="5" operator="greaterThan">
      <formula>7</formula>
    </cfRule>
  </conditionalFormatting>
  <dataValidations count="8">
    <dataValidation type="list" allowBlank="1" showInputMessage="1" showErrorMessage="1" sqref="AT7:AT11 AR7:AR11 AP7:AP11 AN7:AN11 AV7:AV11 AL5:AL11 AN5 AP5 O17:O25" xr:uid="{00000000-0002-0000-0400-000000000000}">
      <formula1>วันที่</formula1>
    </dataValidation>
    <dataValidation type="list" allowBlank="1" showInputMessage="1" showErrorMessage="1" sqref="AM5 AU7:AU11 AM7:AM11 AO7:AO11 AS7:AS11 AO5 AQ7:AQ11 AE21:AE23" xr:uid="{00000000-0002-0000-0400-000001000000}">
      <formula1>สถานะ</formula1>
    </dataValidation>
    <dataValidation type="list" allowBlank="1" showInputMessage="1" showErrorMessage="1" sqref="U21:U23" xr:uid="{00000000-0002-0000-0400-000002000000}">
      <formula1>เครื่อง</formula1>
    </dataValidation>
    <dataValidation type="list" allowBlank="1" showInputMessage="1" showErrorMessage="1" sqref="AA21:AA25 AF17:AF20 AH6:AH20" xr:uid="{00000000-0002-0000-0400-000003000000}">
      <formula1>หน่วย</formula1>
    </dataValidation>
    <dataValidation type="list" allowBlank="1" showInputMessage="1" showErrorMessage="1" sqref="X21:X23" xr:uid="{00000000-0002-0000-0400-000004000000}">
      <formula1>ปัญหา</formula1>
    </dataValidation>
    <dataValidation type="list" allowBlank="1" showInputMessage="1" showErrorMessage="1" sqref="V21:V23" xr:uid="{00000000-0002-0000-0400-000005000000}">
      <formula1>สเปค</formula1>
    </dataValidation>
    <dataValidation type="list" allowBlank="1" showInputMessage="1" showErrorMessage="1" sqref="P21:P25 R6:R20" xr:uid="{00000000-0002-0000-0400-000006000000}">
      <formula1>แผนก</formula1>
    </dataValidation>
    <dataValidation type="list" allowBlank="1" showInputMessage="1" showErrorMessage="1" sqref="N6:N25" xr:uid="{00000000-0002-0000-0400-000007000000}">
      <formula1>เดือน</formula1>
    </dataValidation>
  </dataValidations>
  <pageMargins left="0.26" right="0.11811023622047245" top="0.28000000000000003" bottom="0" header="0.31496062992125984" footer="0.15748031496062992"/>
  <pageSetup paperSize="9" scale="9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92D050"/>
  </sheetPr>
  <dimension ref="A1:BC54"/>
  <sheetViews>
    <sheetView zoomScale="93" zoomScaleNormal="93" workbookViewId="0">
      <selection activeCell="L2" sqref="L2:AI2"/>
    </sheetView>
  </sheetViews>
  <sheetFormatPr defaultRowHeight="23.25" x14ac:dyDescent="0.2"/>
  <cols>
    <col min="1" max="1" width="18.125" style="105" customWidth="1"/>
    <col min="2" max="2" width="11.625" style="105" customWidth="1"/>
    <col min="3" max="3" width="7.75" style="105" customWidth="1"/>
    <col min="4" max="4" width="8.625" style="105" customWidth="1"/>
    <col min="5" max="5" width="1.25" style="105" customWidth="1"/>
    <col min="6" max="6" width="8.75" style="105" customWidth="1"/>
    <col min="7" max="7" width="12.75" style="105" customWidth="1"/>
    <col min="8" max="8" width="11.875" style="105" customWidth="1"/>
    <col min="9" max="9" width="9.75" style="105" customWidth="1"/>
    <col min="10" max="10" width="23.25" style="105" customWidth="1"/>
    <col min="11" max="11" width="9.75" style="105" customWidth="1"/>
    <col min="12" max="15" width="9" style="105"/>
    <col min="16" max="16" width="5.875" style="105" bestFit="1" customWidth="1"/>
    <col min="17" max="18" width="9.375" style="105" bestFit="1" customWidth="1"/>
    <col min="19" max="19" width="6.5" style="105" bestFit="1" customWidth="1"/>
    <col min="20" max="20" width="9.125" style="105" bestFit="1" customWidth="1"/>
    <col min="21" max="21" width="12" style="105" bestFit="1" customWidth="1"/>
    <col min="22" max="22" width="8.25" style="105" bestFit="1" customWidth="1"/>
    <col min="23" max="23" width="9" style="105"/>
    <col min="24" max="24" width="19.25" style="105" bestFit="1" customWidth="1"/>
    <col min="25" max="25" width="53.5" style="105" bestFit="1" customWidth="1"/>
    <col min="26" max="26" width="18.625" style="105" bestFit="1" customWidth="1"/>
    <col min="27" max="220" width="9" style="105"/>
    <col min="221" max="221" width="13.625" style="105" customWidth="1"/>
    <col min="222" max="222" width="12.75" style="105" customWidth="1"/>
    <col min="223" max="223" width="8.125" style="105" customWidth="1"/>
    <col min="224" max="224" width="9.5" style="105" customWidth="1"/>
    <col min="225" max="225" width="1.25" style="105" customWidth="1"/>
    <col min="226" max="226" width="7.875" style="105" customWidth="1"/>
    <col min="227" max="229" width="9.75" style="105" customWidth="1"/>
    <col min="230" max="230" width="21.625" style="105" customWidth="1"/>
    <col min="231" max="231" width="9.75" style="105" customWidth="1"/>
    <col min="232" max="476" width="9" style="105"/>
    <col min="477" max="477" width="13.625" style="105" customWidth="1"/>
    <col min="478" max="478" width="12.75" style="105" customWidth="1"/>
    <col min="479" max="479" width="8.125" style="105" customWidth="1"/>
    <col min="480" max="480" width="9.5" style="105" customWidth="1"/>
    <col min="481" max="481" width="1.25" style="105" customWidth="1"/>
    <col min="482" max="482" width="7.875" style="105" customWidth="1"/>
    <col min="483" max="485" width="9.75" style="105" customWidth="1"/>
    <col min="486" max="486" width="21.625" style="105" customWidth="1"/>
    <col min="487" max="487" width="9.75" style="105" customWidth="1"/>
    <col min="488" max="732" width="9" style="105"/>
    <col min="733" max="733" width="13.625" style="105" customWidth="1"/>
    <col min="734" max="734" width="12.75" style="105" customWidth="1"/>
    <col min="735" max="735" width="8.125" style="105" customWidth="1"/>
    <col min="736" max="736" width="9.5" style="105" customWidth="1"/>
    <col min="737" max="737" width="1.25" style="105" customWidth="1"/>
    <col min="738" max="738" width="7.875" style="105" customWidth="1"/>
    <col min="739" max="741" width="9.75" style="105" customWidth="1"/>
    <col min="742" max="742" width="21.625" style="105" customWidth="1"/>
    <col min="743" max="743" width="9.75" style="105" customWidth="1"/>
    <col min="744" max="988" width="9" style="105"/>
    <col min="989" max="989" width="13.625" style="105" customWidth="1"/>
    <col min="990" max="990" width="12.75" style="105" customWidth="1"/>
    <col min="991" max="991" width="8.125" style="105" customWidth="1"/>
    <col min="992" max="992" width="9.5" style="105" customWidth="1"/>
    <col min="993" max="993" width="1.25" style="105" customWidth="1"/>
    <col min="994" max="994" width="7.875" style="105" customWidth="1"/>
    <col min="995" max="997" width="9.75" style="105" customWidth="1"/>
    <col min="998" max="998" width="21.625" style="105" customWidth="1"/>
    <col min="999" max="999" width="9.75" style="105" customWidth="1"/>
    <col min="1000" max="1244" width="9" style="105"/>
    <col min="1245" max="1245" width="13.625" style="105" customWidth="1"/>
    <col min="1246" max="1246" width="12.75" style="105" customWidth="1"/>
    <col min="1247" max="1247" width="8.125" style="105" customWidth="1"/>
    <col min="1248" max="1248" width="9.5" style="105" customWidth="1"/>
    <col min="1249" max="1249" width="1.25" style="105" customWidth="1"/>
    <col min="1250" max="1250" width="7.875" style="105" customWidth="1"/>
    <col min="1251" max="1253" width="9.75" style="105" customWidth="1"/>
    <col min="1254" max="1254" width="21.625" style="105" customWidth="1"/>
    <col min="1255" max="1255" width="9.75" style="105" customWidth="1"/>
    <col min="1256" max="1500" width="9" style="105"/>
    <col min="1501" max="1501" width="13.625" style="105" customWidth="1"/>
    <col min="1502" max="1502" width="12.75" style="105" customWidth="1"/>
    <col min="1503" max="1503" width="8.125" style="105" customWidth="1"/>
    <col min="1504" max="1504" width="9.5" style="105" customWidth="1"/>
    <col min="1505" max="1505" width="1.25" style="105" customWidth="1"/>
    <col min="1506" max="1506" width="7.875" style="105" customWidth="1"/>
    <col min="1507" max="1509" width="9.75" style="105" customWidth="1"/>
    <col min="1510" max="1510" width="21.625" style="105" customWidth="1"/>
    <col min="1511" max="1511" width="9.75" style="105" customWidth="1"/>
    <col min="1512" max="1756" width="9" style="105"/>
    <col min="1757" max="1757" width="13.625" style="105" customWidth="1"/>
    <col min="1758" max="1758" width="12.75" style="105" customWidth="1"/>
    <col min="1759" max="1759" width="8.125" style="105" customWidth="1"/>
    <col min="1760" max="1760" width="9.5" style="105" customWidth="1"/>
    <col min="1761" max="1761" width="1.25" style="105" customWidth="1"/>
    <col min="1762" max="1762" width="7.875" style="105" customWidth="1"/>
    <col min="1763" max="1765" width="9.75" style="105" customWidth="1"/>
    <col min="1766" max="1766" width="21.625" style="105" customWidth="1"/>
    <col min="1767" max="1767" width="9.75" style="105" customWidth="1"/>
    <col min="1768" max="2012" width="9" style="105"/>
    <col min="2013" max="2013" width="13.625" style="105" customWidth="1"/>
    <col min="2014" max="2014" width="12.75" style="105" customWidth="1"/>
    <col min="2015" max="2015" width="8.125" style="105" customWidth="1"/>
    <col min="2016" max="2016" width="9.5" style="105" customWidth="1"/>
    <col min="2017" max="2017" width="1.25" style="105" customWidth="1"/>
    <col min="2018" max="2018" width="7.875" style="105" customWidth="1"/>
    <col min="2019" max="2021" width="9.75" style="105" customWidth="1"/>
    <col min="2022" max="2022" width="21.625" style="105" customWidth="1"/>
    <col min="2023" max="2023" width="9.75" style="105" customWidth="1"/>
    <col min="2024" max="2268" width="9" style="105"/>
    <col min="2269" max="2269" width="13.625" style="105" customWidth="1"/>
    <col min="2270" max="2270" width="12.75" style="105" customWidth="1"/>
    <col min="2271" max="2271" width="8.125" style="105" customWidth="1"/>
    <col min="2272" max="2272" width="9.5" style="105" customWidth="1"/>
    <col min="2273" max="2273" width="1.25" style="105" customWidth="1"/>
    <col min="2274" max="2274" width="7.875" style="105" customWidth="1"/>
    <col min="2275" max="2277" width="9.75" style="105" customWidth="1"/>
    <col min="2278" max="2278" width="21.625" style="105" customWidth="1"/>
    <col min="2279" max="2279" width="9.75" style="105" customWidth="1"/>
    <col min="2280" max="2524" width="9" style="105"/>
    <col min="2525" max="2525" width="13.625" style="105" customWidth="1"/>
    <col min="2526" max="2526" width="12.75" style="105" customWidth="1"/>
    <col min="2527" max="2527" width="8.125" style="105" customWidth="1"/>
    <col min="2528" max="2528" width="9.5" style="105" customWidth="1"/>
    <col min="2529" max="2529" width="1.25" style="105" customWidth="1"/>
    <col min="2530" max="2530" width="7.875" style="105" customWidth="1"/>
    <col min="2531" max="2533" width="9.75" style="105" customWidth="1"/>
    <col min="2534" max="2534" width="21.625" style="105" customWidth="1"/>
    <col min="2535" max="2535" width="9.75" style="105" customWidth="1"/>
    <col min="2536" max="2780" width="9" style="105"/>
    <col min="2781" max="2781" width="13.625" style="105" customWidth="1"/>
    <col min="2782" max="2782" width="12.75" style="105" customWidth="1"/>
    <col min="2783" max="2783" width="8.125" style="105" customWidth="1"/>
    <col min="2784" max="2784" width="9.5" style="105" customWidth="1"/>
    <col min="2785" max="2785" width="1.25" style="105" customWidth="1"/>
    <col min="2786" max="2786" width="7.875" style="105" customWidth="1"/>
    <col min="2787" max="2789" width="9.75" style="105" customWidth="1"/>
    <col min="2790" max="2790" width="21.625" style="105" customWidth="1"/>
    <col min="2791" max="2791" width="9.75" style="105" customWidth="1"/>
    <col min="2792" max="3036" width="9" style="105"/>
    <col min="3037" max="3037" width="13.625" style="105" customWidth="1"/>
    <col min="3038" max="3038" width="12.75" style="105" customWidth="1"/>
    <col min="3039" max="3039" width="8.125" style="105" customWidth="1"/>
    <col min="3040" max="3040" width="9.5" style="105" customWidth="1"/>
    <col min="3041" max="3041" width="1.25" style="105" customWidth="1"/>
    <col min="3042" max="3042" width="7.875" style="105" customWidth="1"/>
    <col min="3043" max="3045" width="9.75" style="105" customWidth="1"/>
    <col min="3046" max="3046" width="21.625" style="105" customWidth="1"/>
    <col min="3047" max="3047" width="9.75" style="105" customWidth="1"/>
    <col min="3048" max="3292" width="9" style="105"/>
    <col min="3293" max="3293" width="13.625" style="105" customWidth="1"/>
    <col min="3294" max="3294" width="12.75" style="105" customWidth="1"/>
    <col min="3295" max="3295" width="8.125" style="105" customWidth="1"/>
    <col min="3296" max="3296" width="9.5" style="105" customWidth="1"/>
    <col min="3297" max="3297" width="1.25" style="105" customWidth="1"/>
    <col min="3298" max="3298" width="7.875" style="105" customWidth="1"/>
    <col min="3299" max="3301" width="9.75" style="105" customWidth="1"/>
    <col min="3302" max="3302" width="21.625" style="105" customWidth="1"/>
    <col min="3303" max="3303" width="9.75" style="105" customWidth="1"/>
    <col min="3304" max="3548" width="9" style="105"/>
    <col min="3549" max="3549" width="13.625" style="105" customWidth="1"/>
    <col min="3550" max="3550" width="12.75" style="105" customWidth="1"/>
    <col min="3551" max="3551" width="8.125" style="105" customWidth="1"/>
    <col min="3552" max="3552" width="9.5" style="105" customWidth="1"/>
    <col min="3553" max="3553" width="1.25" style="105" customWidth="1"/>
    <col min="3554" max="3554" width="7.875" style="105" customWidth="1"/>
    <col min="3555" max="3557" width="9.75" style="105" customWidth="1"/>
    <col min="3558" max="3558" width="21.625" style="105" customWidth="1"/>
    <col min="3559" max="3559" width="9.75" style="105" customWidth="1"/>
    <col min="3560" max="3804" width="9" style="105"/>
    <col min="3805" max="3805" width="13.625" style="105" customWidth="1"/>
    <col min="3806" max="3806" width="12.75" style="105" customWidth="1"/>
    <col min="3807" max="3807" width="8.125" style="105" customWidth="1"/>
    <col min="3808" max="3808" width="9.5" style="105" customWidth="1"/>
    <col min="3809" max="3809" width="1.25" style="105" customWidth="1"/>
    <col min="3810" max="3810" width="7.875" style="105" customWidth="1"/>
    <col min="3811" max="3813" width="9.75" style="105" customWidth="1"/>
    <col min="3814" max="3814" width="21.625" style="105" customWidth="1"/>
    <col min="3815" max="3815" width="9.75" style="105" customWidth="1"/>
    <col min="3816" max="4060" width="9" style="105"/>
    <col min="4061" max="4061" width="13.625" style="105" customWidth="1"/>
    <col min="4062" max="4062" width="12.75" style="105" customWidth="1"/>
    <col min="4063" max="4063" width="8.125" style="105" customWidth="1"/>
    <col min="4064" max="4064" width="9.5" style="105" customWidth="1"/>
    <col min="4065" max="4065" width="1.25" style="105" customWidth="1"/>
    <col min="4066" max="4066" width="7.875" style="105" customWidth="1"/>
    <col min="4067" max="4069" width="9.75" style="105" customWidth="1"/>
    <col min="4070" max="4070" width="21.625" style="105" customWidth="1"/>
    <col min="4071" max="4071" width="9.75" style="105" customWidth="1"/>
    <col min="4072" max="4316" width="9" style="105"/>
    <col min="4317" max="4317" width="13.625" style="105" customWidth="1"/>
    <col min="4318" max="4318" width="12.75" style="105" customWidth="1"/>
    <col min="4319" max="4319" width="8.125" style="105" customWidth="1"/>
    <col min="4320" max="4320" width="9.5" style="105" customWidth="1"/>
    <col min="4321" max="4321" width="1.25" style="105" customWidth="1"/>
    <col min="4322" max="4322" width="7.875" style="105" customWidth="1"/>
    <col min="4323" max="4325" width="9.75" style="105" customWidth="1"/>
    <col min="4326" max="4326" width="21.625" style="105" customWidth="1"/>
    <col min="4327" max="4327" width="9.75" style="105" customWidth="1"/>
    <col min="4328" max="4572" width="9" style="105"/>
    <col min="4573" max="4573" width="13.625" style="105" customWidth="1"/>
    <col min="4574" max="4574" width="12.75" style="105" customWidth="1"/>
    <col min="4575" max="4575" width="8.125" style="105" customWidth="1"/>
    <col min="4576" max="4576" width="9.5" style="105" customWidth="1"/>
    <col min="4577" max="4577" width="1.25" style="105" customWidth="1"/>
    <col min="4578" max="4578" width="7.875" style="105" customWidth="1"/>
    <col min="4579" max="4581" width="9.75" style="105" customWidth="1"/>
    <col min="4582" max="4582" width="21.625" style="105" customWidth="1"/>
    <col min="4583" max="4583" width="9.75" style="105" customWidth="1"/>
    <col min="4584" max="4828" width="9" style="105"/>
    <col min="4829" max="4829" width="13.625" style="105" customWidth="1"/>
    <col min="4830" max="4830" width="12.75" style="105" customWidth="1"/>
    <col min="4831" max="4831" width="8.125" style="105" customWidth="1"/>
    <col min="4832" max="4832" width="9.5" style="105" customWidth="1"/>
    <col min="4833" max="4833" width="1.25" style="105" customWidth="1"/>
    <col min="4834" max="4834" width="7.875" style="105" customWidth="1"/>
    <col min="4835" max="4837" width="9.75" style="105" customWidth="1"/>
    <col min="4838" max="4838" width="21.625" style="105" customWidth="1"/>
    <col min="4839" max="4839" width="9.75" style="105" customWidth="1"/>
    <col min="4840" max="5084" width="9" style="105"/>
    <col min="5085" max="5085" width="13.625" style="105" customWidth="1"/>
    <col min="5086" max="5086" width="12.75" style="105" customWidth="1"/>
    <col min="5087" max="5087" width="8.125" style="105" customWidth="1"/>
    <col min="5088" max="5088" width="9.5" style="105" customWidth="1"/>
    <col min="5089" max="5089" width="1.25" style="105" customWidth="1"/>
    <col min="5090" max="5090" width="7.875" style="105" customWidth="1"/>
    <col min="5091" max="5093" width="9.75" style="105" customWidth="1"/>
    <col min="5094" max="5094" width="21.625" style="105" customWidth="1"/>
    <col min="5095" max="5095" width="9.75" style="105" customWidth="1"/>
    <col min="5096" max="5340" width="9" style="105"/>
    <col min="5341" max="5341" width="13.625" style="105" customWidth="1"/>
    <col min="5342" max="5342" width="12.75" style="105" customWidth="1"/>
    <col min="5343" max="5343" width="8.125" style="105" customWidth="1"/>
    <col min="5344" max="5344" width="9.5" style="105" customWidth="1"/>
    <col min="5345" max="5345" width="1.25" style="105" customWidth="1"/>
    <col min="5346" max="5346" width="7.875" style="105" customWidth="1"/>
    <col min="5347" max="5349" width="9.75" style="105" customWidth="1"/>
    <col min="5350" max="5350" width="21.625" style="105" customWidth="1"/>
    <col min="5351" max="5351" width="9.75" style="105" customWidth="1"/>
    <col min="5352" max="5596" width="9" style="105"/>
    <col min="5597" max="5597" width="13.625" style="105" customWidth="1"/>
    <col min="5598" max="5598" width="12.75" style="105" customWidth="1"/>
    <col min="5599" max="5599" width="8.125" style="105" customWidth="1"/>
    <col min="5600" max="5600" width="9.5" style="105" customWidth="1"/>
    <col min="5601" max="5601" width="1.25" style="105" customWidth="1"/>
    <col min="5602" max="5602" width="7.875" style="105" customWidth="1"/>
    <col min="5603" max="5605" width="9.75" style="105" customWidth="1"/>
    <col min="5606" max="5606" width="21.625" style="105" customWidth="1"/>
    <col min="5607" max="5607" width="9.75" style="105" customWidth="1"/>
    <col min="5608" max="5852" width="9" style="105"/>
    <col min="5853" max="5853" width="13.625" style="105" customWidth="1"/>
    <col min="5854" max="5854" width="12.75" style="105" customWidth="1"/>
    <col min="5855" max="5855" width="8.125" style="105" customWidth="1"/>
    <col min="5856" max="5856" width="9.5" style="105" customWidth="1"/>
    <col min="5857" max="5857" width="1.25" style="105" customWidth="1"/>
    <col min="5858" max="5858" width="7.875" style="105" customWidth="1"/>
    <col min="5859" max="5861" width="9.75" style="105" customWidth="1"/>
    <col min="5862" max="5862" width="21.625" style="105" customWidth="1"/>
    <col min="5863" max="5863" width="9.75" style="105" customWidth="1"/>
    <col min="5864" max="6108" width="9" style="105"/>
    <col min="6109" max="6109" width="13.625" style="105" customWidth="1"/>
    <col min="6110" max="6110" width="12.75" style="105" customWidth="1"/>
    <col min="6111" max="6111" width="8.125" style="105" customWidth="1"/>
    <col min="6112" max="6112" width="9.5" style="105" customWidth="1"/>
    <col min="6113" max="6113" width="1.25" style="105" customWidth="1"/>
    <col min="6114" max="6114" width="7.875" style="105" customWidth="1"/>
    <col min="6115" max="6117" width="9.75" style="105" customWidth="1"/>
    <col min="6118" max="6118" width="21.625" style="105" customWidth="1"/>
    <col min="6119" max="6119" width="9.75" style="105" customWidth="1"/>
    <col min="6120" max="6364" width="9" style="105"/>
    <col min="6365" max="6365" width="13.625" style="105" customWidth="1"/>
    <col min="6366" max="6366" width="12.75" style="105" customWidth="1"/>
    <col min="6367" max="6367" width="8.125" style="105" customWidth="1"/>
    <col min="6368" max="6368" width="9.5" style="105" customWidth="1"/>
    <col min="6369" max="6369" width="1.25" style="105" customWidth="1"/>
    <col min="6370" max="6370" width="7.875" style="105" customWidth="1"/>
    <col min="6371" max="6373" width="9.75" style="105" customWidth="1"/>
    <col min="6374" max="6374" width="21.625" style="105" customWidth="1"/>
    <col min="6375" max="6375" width="9.75" style="105" customWidth="1"/>
    <col min="6376" max="6620" width="9" style="105"/>
    <col min="6621" max="6621" width="13.625" style="105" customWidth="1"/>
    <col min="6622" max="6622" width="12.75" style="105" customWidth="1"/>
    <col min="6623" max="6623" width="8.125" style="105" customWidth="1"/>
    <col min="6624" max="6624" width="9.5" style="105" customWidth="1"/>
    <col min="6625" max="6625" width="1.25" style="105" customWidth="1"/>
    <col min="6626" max="6626" width="7.875" style="105" customWidth="1"/>
    <col min="6627" max="6629" width="9.75" style="105" customWidth="1"/>
    <col min="6630" max="6630" width="21.625" style="105" customWidth="1"/>
    <col min="6631" max="6631" width="9.75" style="105" customWidth="1"/>
    <col min="6632" max="6876" width="9" style="105"/>
    <col min="6877" max="6877" width="13.625" style="105" customWidth="1"/>
    <col min="6878" max="6878" width="12.75" style="105" customWidth="1"/>
    <col min="6879" max="6879" width="8.125" style="105" customWidth="1"/>
    <col min="6880" max="6880" width="9.5" style="105" customWidth="1"/>
    <col min="6881" max="6881" width="1.25" style="105" customWidth="1"/>
    <col min="6882" max="6882" width="7.875" style="105" customWidth="1"/>
    <col min="6883" max="6885" width="9.75" style="105" customWidth="1"/>
    <col min="6886" max="6886" width="21.625" style="105" customWidth="1"/>
    <col min="6887" max="6887" width="9.75" style="105" customWidth="1"/>
    <col min="6888" max="7132" width="9" style="105"/>
    <col min="7133" max="7133" width="13.625" style="105" customWidth="1"/>
    <col min="7134" max="7134" width="12.75" style="105" customWidth="1"/>
    <col min="7135" max="7135" width="8.125" style="105" customWidth="1"/>
    <col min="7136" max="7136" width="9.5" style="105" customWidth="1"/>
    <col min="7137" max="7137" width="1.25" style="105" customWidth="1"/>
    <col min="7138" max="7138" width="7.875" style="105" customWidth="1"/>
    <col min="7139" max="7141" width="9.75" style="105" customWidth="1"/>
    <col min="7142" max="7142" width="21.625" style="105" customWidth="1"/>
    <col min="7143" max="7143" width="9.75" style="105" customWidth="1"/>
    <col min="7144" max="7388" width="9" style="105"/>
    <col min="7389" max="7389" width="13.625" style="105" customWidth="1"/>
    <col min="7390" max="7390" width="12.75" style="105" customWidth="1"/>
    <col min="7391" max="7391" width="8.125" style="105" customWidth="1"/>
    <col min="7392" max="7392" width="9.5" style="105" customWidth="1"/>
    <col min="7393" max="7393" width="1.25" style="105" customWidth="1"/>
    <col min="7394" max="7394" width="7.875" style="105" customWidth="1"/>
    <col min="7395" max="7397" width="9.75" style="105" customWidth="1"/>
    <col min="7398" max="7398" width="21.625" style="105" customWidth="1"/>
    <col min="7399" max="7399" width="9.75" style="105" customWidth="1"/>
    <col min="7400" max="7644" width="9" style="105"/>
    <col min="7645" max="7645" width="13.625" style="105" customWidth="1"/>
    <col min="7646" max="7646" width="12.75" style="105" customWidth="1"/>
    <col min="7647" max="7647" width="8.125" style="105" customWidth="1"/>
    <col min="7648" max="7648" width="9.5" style="105" customWidth="1"/>
    <col min="7649" max="7649" width="1.25" style="105" customWidth="1"/>
    <col min="7650" max="7650" width="7.875" style="105" customWidth="1"/>
    <col min="7651" max="7653" width="9.75" style="105" customWidth="1"/>
    <col min="7654" max="7654" width="21.625" style="105" customWidth="1"/>
    <col min="7655" max="7655" width="9.75" style="105" customWidth="1"/>
    <col min="7656" max="7900" width="9" style="105"/>
    <col min="7901" max="7901" width="13.625" style="105" customWidth="1"/>
    <col min="7902" max="7902" width="12.75" style="105" customWidth="1"/>
    <col min="7903" max="7903" width="8.125" style="105" customWidth="1"/>
    <col min="7904" max="7904" width="9.5" style="105" customWidth="1"/>
    <col min="7905" max="7905" width="1.25" style="105" customWidth="1"/>
    <col min="7906" max="7906" width="7.875" style="105" customWidth="1"/>
    <col min="7907" max="7909" width="9.75" style="105" customWidth="1"/>
    <col min="7910" max="7910" width="21.625" style="105" customWidth="1"/>
    <col min="7911" max="7911" width="9.75" style="105" customWidth="1"/>
    <col min="7912" max="8156" width="9" style="105"/>
    <col min="8157" max="8157" width="13.625" style="105" customWidth="1"/>
    <col min="8158" max="8158" width="12.75" style="105" customWidth="1"/>
    <col min="8159" max="8159" width="8.125" style="105" customWidth="1"/>
    <col min="8160" max="8160" width="9.5" style="105" customWidth="1"/>
    <col min="8161" max="8161" width="1.25" style="105" customWidth="1"/>
    <col min="8162" max="8162" width="7.875" style="105" customWidth="1"/>
    <col min="8163" max="8165" width="9.75" style="105" customWidth="1"/>
    <col min="8166" max="8166" width="21.625" style="105" customWidth="1"/>
    <col min="8167" max="8167" width="9.75" style="105" customWidth="1"/>
    <col min="8168" max="8412" width="9" style="105"/>
    <col min="8413" max="8413" width="13.625" style="105" customWidth="1"/>
    <col min="8414" max="8414" width="12.75" style="105" customWidth="1"/>
    <col min="8415" max="8415" width="8.125" style="105" customWidth="1"/>
    <col min="8416" max="8416" width="9.5" style="105" customWidth="1"/>
    <col min="8417" max="8417" width="1.25" style="105" customWidth="1"/>
    <col min="8418" max="8418" width="7.875" style="105" customWidth="1"/>
    <col min="8419" max="8421" width="9.75" style="105" customWidth="1"/>
    <col min="8422" max="8422" width="21.625" style="105" customWidth="1"/>
    <col min="8423" max="8423" width="9.75" style="105" customWidth="1"/>
    <col min="8424" max="8668" width="9" style="105"/>
    <col min="8669" max="8669" width="13.625" style="105" customWidth="1"/>
    <col min="8670" max="8670" width="12.75" style="105" customWidth="1"/>
    <col min="8671" max="8671" width="8.125" style="105" customWidth="1"/>
    <col min="8672" max="8672" width="9.5" style="105" customWidth="1"/>
    <col min="8673" max="8673" width="1.25" style="105" customWidth="1"/>
    <col min="8674" max="8674" width="7.875" style="105" customWidth="1"/>
    <col min="8675" max="8677" width="9.75" style="105" customWidth="1"/>
    <col min="8678" max="8678" width="21.625" style="105" customWidth="1"/>
    <col min="8679" max="8679" width="9.75" style="105" customWidth="1"/>
    <col min="8680" max="8924" width="9" style="105"/>
    <col min="8925" max="8925" width="13.625" style="105" customWidth="1"/>
    <col min="8926" max="8926" width="12.75" style="105" customWidth="1"/>
    <col min="8927" max="8927" width="8.125" style="105" customWidth="1"/>
    <col min="8928" max="8928" width="9.5" style="105" customWidth="1"/>
    <col min="8929" max="8929" width="1.25" style="105" customWidth="1"/>
    <col min="8930" max="8930" width="7.875" style="105" customWidth="1"/>
    <col min="8931" max="8933" width="9.75" style="105" customWidth="1"/>
    <col min="8934" max="8934" width="21.625" style="105" customWidth="1"/>
    <col min="8935" max="8935" width="9.75" style="105" customWidth="1"/>
    <col min="8936" max="9180" width="9" style="105"/>
    <col min="9181" max="9181" width="13.625" style="105" customWidth="1"/>
    <col min="9182" max="9182" width="12.75" style="105" customWidth="1"/>
    <col min="9183" max="9183" width="8.125" style="105" customWidth="1"/>
    <col min="9184" max="9184" width="9.5" style="105" customWidth="1"/>
    <col min="9185" max="9185" width="1.25" style="105" customWidth="1"/>
    <col min="9186" max="9186" width="7.875" style="105" customWidth="1"/>
    <col min="9187" max="9189" width="9.75" style="105" customWidth="1"/>
    <col min="9190" max="9190" width="21.625" style="105" customWidth="1"/>
    <col min="9191" max="9191" width="9.75" style="105" customWidth="1"/>
    <col min="9192" max="9436" width="9" style="105"/>
    <col min="9437" max="9437" width="13.625" style="105" customWidth="1"/>
    <col min="9438" max="9438" width="12.75" style="105" customWidth="1"/>
    <col min="9439" max="9439" width="8.125" style="105" customWidth="1"/>
    <col min="9440" max="9440" width="9.5" style="105" customWidth="1"/>
    <col min="9441" max="9441" width="1.25" style="105" customWidth="1"/>
    <col min="9442" max="9442" width="7.875" style="105" customWidth="1"/>
    <col min="9443" max="9445" width="9.75" style="105" customWidth="1"/>
    <col min="9446" max="9446" width="21.625" style="105" customWidth="1"/>
    <col min="9447" max="9447" width="9.75" style="105" customWidth="1"/>
    <col min="9448" max="9692" width="9" style="105"/>
    <col min="9693" max="9693" width="13.625" style="105" customWidth="1"/>
    <col min="9694" max="9694" width="12.75" style="105" customWidth="1"/>
    <col min="9695" max="9695" width="8.125" style="105" customWidth="1"/>
    <col min="9696" max="9696" width="9.5" style="105" customWidth="1"/>
    <col min="9697" max="9697" width="1.25" style="105" customWidth="1"/>
    <col min="9698" max="9698" width="7.875" style="105" customWidth="1"/>
    <col min="9699" max="9701" width="9.75" style="105" customWidth="1"/>
    <col min="9702" max="9702" width="21.625" style="105" customWidth="1"/>
    <col min="9703" max="9703" width="9.75" style="105" customWidth="1"/>
    <col min="9704" max="9948" width="9" style="105"/>
    <col min="9949" max="9949" width="13.625" style="105" customWidth="1"/>
    <col min="9950" max="9950" width="12.75" style="105" customWidth="1"/>
    <col min="9951" max="9951" width="8.125" style="105" customWidth="1"/>
    <col min="9952" max="9952" width="9.5" style="105" customWidth="1"/>
    <col min="9953" max="9953" width="1.25" style="105" customWidth="1"/>
    <col min="9954" max="9954" width="7.875" style="105" customWidth="1"/>
    <col min="9955" max="9957" width="9.75" style="105" customWidth="1"/>
    <col min="9958" max="9958" width="21.625" style="105" customWidth="1"/>
    <col min="9959" max="9959" width="9.75" style="105" customWidth="1"/>
    <col min="9960" max="10204" width="9" style="105"/>
    <col min="10205" max="10205" width="13.625" style="105" customWidth="1"/>
    <col min="10206" max="10206" width="12.75" style="105" customWidth="1"/>
    <col min="10207" max="10207" width="8.125" style="105" customWidth="1"/>
    <col min="10208" max="10208" width="9.5" style="105" customWidth="1"/>
    <col min="10209" max="10209" width="1.25" style="105" customWidth="1"/>
    <col min="10210" max="10210" width="7.875" style="105" customWidth="1"/>
    <col min="10211" max="10213" width="9.75" style="105" customWidth="1"/>
    <col min="10214" max="10214" width="21.625" style="105" customWidth="1"/>
    <col min="10215" max="10215" width="9.75" style="105" customWidth="1"/>
    <col min="10216" max="10460" width="9" style="105"/>
    <col min="10461" max="10461" width="13.625" style="105" customWidth="1"/>
    <col min="10462" max="10462" width="12.75" style="105" customWidth="1"/>
    <col min="10463" max="10463" width="8.125" style="105" customWidth="1"/>
    <col min="10464" max="10464" width="9.5" style="105" customWidth="1"/>
    <col min="10465" max="10465" width="1.25" style="105" customWidth="1"/>
    <col min="10466" max="10466" width="7.875" style="105" customWidth="1"/>
    <col min="10467" max="10469" width="9.75" style="105" customWidth="1"/>
    <col min="10470" max="10470" width="21.625" style="105" customWidth="1"/>
    <col min="10471" max="10471" width="9.75" style="105" customWidth="1"/>
    <col min="10472" max="10716" width="9" style="105"/>
    <col min="10717" max="10717" width="13.625" style="105" customWidth="1"/>
    <col min="10718" max="10718" width="12.75" style="105" customWidth="1"/>
    <col min="10719" max="10719" width="8.125" style="105" customWidth="1"/>
    <col min="10720" max="10720" width="9.5" style="105" customWidth="1"/>
    <col min="10721" max="10721" width="1.25" style="105" customWidth="1"/>
    <col min="10722" max="10722" width="7.875" style="105" customWidth="1"/>
    <col min="10723" max="10725" width="9.75" style="105" customWidth="1"/>
    <col min="10726" max="10726" width="21.625" style="105" customWidth="1"/>
    <col min="10727" max="10727" width="9.75" style="105" customWidth="1"/>
    <col min="10728" max="10972" width="9" style="105"/>
    <col min="10973" max="10973" width="13.625" style="105" customWidth="1"/>
    <col min="10974" max="10974" width="12.75" style="105" customWidth="1"/>
    <col min="10975" max="10975" width="8.125" style="105" customWidth="1"/>
    <col min="10976" max="10976" width="9.5" style="105" customWidth="1"/>
    <col min="10977" max="10977" width="1.25" style="105" customWidth="1"/>
    <col min="10978" max="10978" width="7.875" style="105" customWidth="1"/>
    <col min="10979" max="10981" width="9.75" style="105" customWidth="1"/>
    <col min="10982" max="10982" width="21.625" style="105" customWidth="1"/>
    <col min="10983" max="10983" width="9.75" style="105" customWidth="1"/>
    <col min="10984" max="11228" width="9" style="105"/>
    <col min="11229" max="11229" width="13.625" style="105" customWidth="1"/>
    <col min="11230" max="11230" width="12.75" style="105" customWidth="1"/>
    <col min="11231" max="11231" width="8.125" style="105" customWidth="1"/>
    <col min="11232" max="11232" width="9.5" style="105" customWidth="1"/>
    <col min="11233" max="11233" width="1.25" style="105" customWidth="1"/>
    <col min="11234" max="11234" width="7.875" style="105" customWidth="1"/>
    <col min="11235" max="11237" width="9.75" style="105" customWidth="1"/>
    <col min="11238" max="11238" width="21.625" style="105" customWidth="1"/>
    <col min="11239" max="11239" width="9.75" style="105" customWidth="1"/>
    <col min="11240" max="11484" width="9" style="105"/>
    <col min="11485" max="11485" width="13.625" style="105" customWidth="1"/>
    <col min="11486" max="11486" width="12.75" style="105" customWidth="1"/>
    <col min="11487" max="11487" width="8.125" style="105" customWidth="1"/>
    <col min="11488" max="11488" width="9.5" style="105" customWidth="1"/>
    <col min="11489" max="11489" width="1.25" style="105" customWidth="1"/>
    <col min="11490" max="11490" width="7.875" style="105" customWidth="1"/>
    <col min="11491" max="11493" width="9.75" style="105" customWidth="1"/>
    <col min="11494" max="11494" width="21.625" style="105" customWidth="1"/>
    <col min="11495" max="11495" width="9.75" style="105" customWidth="1"/>
    <col min="11496" max="11740" width="9" style="105"/>
    <col min="11741" max="11741" width="13.625" style="105" customWidth="1"/>
    <col min="11742" max="11742" width="12.75" style="105" customWidth="1"/>
    <col min="11743" max="11743" width="8.125" style="105" customWidth="1"/>
    <col min="11744" max="11744" width="9.5" style="105" customWidth="1"/>
    <col min="11745" max="11745" width="1.25" style="105" customWidth="1"/>
    <col min="11746" max="11746" width="7.875" style="105" customWidth="1"/>
    <col min="11747" max="11749" width="9.75" style="105" customWidth="1"/>
    <col min="11750" max="11750" width="21.625" style="105" customWidth="1"/>
    <col min="11751" max="11751" width="9.75" style="105" customWidth="1"/>
    <col min="11752" max="11996" width="9" style="105"/>
    <col min="11997" max="11997" width="13.625" style="105" customWidth="1"/>
    <col min="11998" max="11998" width="12.75" style="105" customWidth="1"/>
    <col min="11999" max="11999" width="8.125" style="105" customWidth="1"/>
    <col min="12000" max="12000" width="9.5" style="105" customWidth="1"/>
    <col min="12001" max="12001" width="1.25" style="105" customWidth="1"/>
    <col min="12002" max="12002" width="7.875" style="105" customWidth="1"/>
    <col min="12003" max="12005" width="9.75" style="105" customWidth="1"/>
    <col min="12006" max="12006" width="21.625" style="105" customWidth="1"/>
    <col min="12007" max="12007" width="9.75" style="105" customWidth="1"/>
    <col min="12008" max="12252" width="9" style="105"/>
    <col min="12253" max="12253" width="13.625" style="105" customWidth="1"/>
    <col min="12254" max="12254" width="12.75" style="105" customWidth="1"/>
    <col min="12255" max="12255" width="8.125" style="105" customWidth="1"/>
    <col min="12256" max="12256" width="9.5" style="105" customWidth="1"/>
    <col min="12257" max="12257" width="1.25" style="105" customWidth="1"/>
    <col min="12258" max="12258" width="7.875" style="105" customWidth="1"/>
    <col min="12259" max="12261" width="9.75" style="105" customWidth="1"/>
    <col min="12262" max="12262" width="21.625" style="105" customWidth="1"/>
    <col min="12263" max="12263" width="9.75" style="105" customWidth="1"/>
    <col min="12264" max="12508" width="9" style="105"/>
    <col min="12509" max="12509" width="13.625" style="105" customWidth="1"/>
    <col min="12510" max="12510" width="12.75" style="105" customWidth="1"/>
    <col min="12511" max="12511" width="8.125" style="105" customWidth="1"/>
    <col min="12512" max="12512" width="9.5" style="105" customWidth="1"/>
    <col min="12513" max="12513" width="1.25" style="105" customWidth="1"/>
    <col min="12514" max="12514" width="7.875" style="105" customWidth="1"/>
    <col min="12515" max="12517" width="9.75" style="105" customWidth="1"/>
    <col min="12518" max="12518" width="21.625" style="105" customWidth="1"/>
    <col min="12519" max="12519" width="9.75" style="105" customWidth="1"/>
    <col min="12520" max="12764" width="9" style="105"/>
    <col min="12765" max="12765" width="13.625" style="105" customWidth="1"/>
    <col min="12766" max="12766" width="12.75" style="105" customWidth="1"/>
    <col min="12767" max="12767" width="8.125" style="105" customWidth="1"/>
    <col min="12768" max="12768" width="9.5" style="105" customWidth="1"/>
    <col min="12769" max="12769" width="1.25" style="105" customWidth="1"/>
    <col min="12770" max="12770" width="7.875" style="105" customWidth="1"/>
    <col min="12771" max="12773" width="9.75" style="105" customWidth="1"/>
    <col min="12774" max="12774" width="21.625" style="105" customWidth="1"/>
    <col min="12775" max="12775" width="9.75" style="105" customWidth="1"/>
    <col min="12776" max="13020" width="9" style="105"/>
    <col min="13021" max="13021" width="13.625" style="105" customWidth="1"/>
    <col min="13022" max="13022" width="12.75" style="105" customWidth="1"/>
    <col min="13023" max="13023" width="8.125" style="105" customWidth="1"/>
    <col min="13024" max="13024" width="9.5" style="105" customWidth="1"/>
    <col min="13025" max="13025" width="1.25" style="105" customWidth="1"/>
    <col min="13026" max="13026" width="7.875" style="105" customWidth="1"/>
    <col min="13027" max="13029" width="9.75" style="105" customWidth="1"/>
    <col min="13030" max="13030" width="21.625" style="105" customWidth="1"/>
    <col min="13031" max="13031" width="9.75" style="105" customWidth="1"/>
    <col min="13032" max="13276" width="9" style="105"/>
    <col min="13277" max="13277" width="13.625" style="105" customWidth="1"/>
    <col min="13278" max="13278" width="12.75" style="105" customWidth="1"/>
    <col min="13279" max="13279" width="8.125" style="105" customWidth="1"/>
    <col min="13280" max="13280" width="9.5" style="105" customWidth="1"/>
    <col min="13281" max="13281" width="1.25" style="105" customWidth="1"/>
    <col min="13282" max="13282" width="7.875" style="105" customWidth="1"/>
    <col min="13283" max="13285" width="9.75" style="105" customWidth="1"/>
    <col min="13286" max="13286" width="21.625" style="105" customWidth="1"/>
    <col min="13287" max="13287" width="9.75" style="105" customWidth="1"/>
    <col min="13288" max="13532" width="9" style="105"/>
    <col min="13533" max="13533" width="13.625" style="105" customWidth="1"/>
    <col min="13534" max="13534" width="12.75" style="105" customWidth="1"/>
    <col min="13535" max="13535" width="8.125" style="105" customWidth="1"/>
    <col min="13536" max="13536" width="9.5" style="105" customWidth="1"/>
    <col min="13537" max="13537" width="1.25" style="105" customWidth="1"/>
    <col min="13538" max="13538" width="7.875" style="105" customWidth="1"/>
    <col min="13539" max="13541" width="9.75" style="105" customWidth="1"/>
    <col min="13542" max="13542" width="21.625" style="105" customWidth="1"/>
    <col min="13543" max="13543" width="9.75" style="105" customWidth="1"/>
    <col min="13544" max="13788" width="9" style="105"/>
    <col min="13789" max="13789" width="13.625" style="105" customWidth="1"/>
    <col min="13790" max="13790" width="12.75" style="105" customWidth="1"/>
    <col min="13791" max="13791" width="8.125" style="105" customWidth="1"/>
    <col min="13792" max="13792" width="9.5" style="105" customWidth="1"/>
    <col min="13793" max="13793" width="1.25" style="105" customWidth="1"/>
    <col min="13794" max="13794" width="7.875" style="105" customWidth="1"/>
    <col min="13795" max="13797" width="9.75" style="105" customWidth="1"/>
    <col min="13798" max="13798" width="21.625" style="105" customWidth="1"/>
    <col min="13799" max="13799" width="9.75" style="105" customWidth="1"/>
    <col min="13800" max="14044" width="9" style="105"/>
    <col min="14045" max="14045" width="13.625" style="105" customWidth="1"/>
    <col min="14046" max="14046" width="12.75" style="105" customWidth="1"/>
    <col min="14047" max="14047" width="8.125" style="105" customWidth="1"/>
    <col min="14048" max="14048" width="9.5" style="105" customWidth="1"/>
    <col min="14049" max="14049" width="1.25" style="105" customWidth="1"/>
    <col min="14050" max="14050" width="7.875" style="105" customWidth="1"/>
    <col min="14051" max="14053" width="9.75" style="105" customWidth="1"/>
    <col min="14054" max="14054" width="21.625" style="105" customWidth="1"/>
    <col min="14055" max="14055" width="9.75" style="105" customWidth="1"/>
    <col min="14056" max="14300" width="9" style="105"/>
    <col min="14301" max="14301" width="13.625" style="105" customWidth="1"/>
    <col min="14302" max="14302" width="12.75" style="105" customWidth="1"/>
    <col min="14303" max="14303" width="8.125" style="105" customWidth="1"/>
    <col min="14304" max="14304" width="9.5" style="105" customWidth="1"/>
    <col min="14305" max="14305" width="1.25" style="105" customWidth="1"/>
    <col min="14306" max="14306" width="7.875" style="105" customWidth="1"/>
    <col min="14307" max="14309" width="9.75" style="105" customWidth="1"/>
    <col min="14310" max="14310" width="21.625" style="105" customWidth="1"/>
    <col min="14311" max="14311" width="9.75" style="105" customWidth="1"/>
    <col min="14312" max="14556" width="9" style="105"/>
    <col min="14557" max="14557" width="13.625" style="105" customWidth="1"/>
    <col min="14558" max="14558" width="12.75" style="105" customWidth="1"/>
    <col min="14559" max="14559" width="8.125" style="105" customWidth="1"/>
    <col min="14560" max="14560" width="9.5" style="105" customWidth="1"/>
    <col min="14561" max="14561" width="1.25" style="105" customWidth="1"/>
    <col min="14562" max="14562" width="7.875" style="105" customWidth="1"/>
    <col min="14563" max="14565" width="9.75" style="105" customWidth="1"/>
    <col min="14566" max="14566" width="21.625" style="105" customWidth="1"/>
    <col min="14567" max="14567" width="9.75" style="105" customWidth="1"/>
    <col min="14568" max="14812" width="9" style="105"/>
    <col min="14813" max="14813" width="13.625" style="105" customWidth="1"/>
    <col min="14814" max="14814" width="12.75" style="105" customWidth="1"/>
    <col min="14815" max="14815" width="8.125" style="105" customWidth="1"/>
    <col min="14816" max="14816" width="9.5" style="105" customWidth="1"/>
    <col min="14817" max="14817" width="1.25" style="105" customWidth="1"/>
    <col min="14818" max="14818" width="7.875" style="105" customWidth="1"/>
    <col min="14819" max="14821" width="9.75" style="105" customWidth="1"/>
    <col min="14822" max="14822" width="21.625" style="105" customWidth="1"/>
    <col min="14823" max="14823" width="9.75" style="105" customWidth="1"/>
    <col min="14824" max="15068" width="9" style="105"/>
    <col min="15069" max="15069" width="13.625" style="105" customWidth="1"/>
    <col min="15070" max="15070" width="12.75" style="105" customWidth="1"/>
    <col min="15071" max="15071" width="8.125" style="105" customWidth="1"/>
    <col min="15072" max="15072" width="9.5" style="105" customWidth="1"/>
    <col min="15073" max="15073" width="1.25" style="105" customWidth="1"/>
    <col min="15074" max="15074" width="7.875" style="105" customWidth="1"/>
    <col min="15075" max="15077" width="9.75" style="105" customWidth="1"/>
    <col min="15078" max="15078" width="21.625" style="105" customWidth="1"/>
    <col min="15079" max="15079" width="9.75" style="105" customWidth="1"/>
    <col min="15080" max="15324" width="9" style="105"/>
    <col min="15325" max="15325" width="13.625" style="105" customWidth="1"/>
    <col min="15326" max="15326" width="12.75" style="105" customWidth="1"/>
    <col min="15327" max="15327" width="8.125" style="105" customWidth="1"/>
    <col min="15328" max="15328" width="9.5" style="105" customWidth="1"/>
    <col min="15329" max="15329" width="1.25" style="105" customWidth="1"/>
    <col min="15330" max="15330" width="7.875" style="105" customWidth="1"/>
    <col min="15331" max="15333" width="9.75" style="105" customWidth="1"/>
    <col min="15334" max="15334" width="21.625" style="105" customWidth="1"/>
    <col min="15335" max="15335" width="9.75" style="105" customWidth="1"/>
    <col min="15336" max="15580" width="9" style="105"/>
    <col min="15581" max="15581" width="13.625" style="105" customWidth="1"/>
    <col min="15582" max="15582" width="12.75" style="105" customWidth="1"/>
    <col min="15583" max="15583" width="8.125" style="105" customWidth="1"/>
    <col min="15584" max="15584" width="9.5" style="105" customWidth="1"/>
    <col min="15585" max="15585" width="1.25" style="105" customWidth="1"/>
    <col min="15586" max="15586" width="7.875" style="105" customWidth="1"/>
    <col min="15587" max="15589" width="9.75" style="105" customWidth="1"/>
    <col min="15590" max="15590" width="21.625" style="105" customWidth="1"/>
    <col min="15591" max="15591" width="9.75" style="105" customWidth="1"/>
    <col min="15592" max="15836" width="9" style="105"/>
    <col min="15837" max="15837" width="13.625" style="105" customWidth="1"/>
    <col min="15838" max="15838" width="12.75" style="105" customWidth="1"/>
    <col min="15839" max="15839" width="8.125" style="105" customWidth="1"/>
    <col min="15840" max="15840" width="9.5" style="105" customWidth="1"/>
    <col min="15841" max="15841" width="1.25" style="105" customWidth="1"/>
    <col min="15842" max="15842" width="7.875" style="105" customWidth="1"/>
    <col min="15843" max="15845" width="9.75" style="105" customWidth="1"/>
    <col min="15846" max="15846" width="21.625" style="105" customWidth="1"/>
    <col min="15847" max="15847" width="9.75" style="105" customWidth="1"/>
    <col min="15848" max="16092" width="9" style="105"/>
    <col min="16093" max="16093" width="13.625" style="105" customWidth="1"/>
    <col min="16094" max="16094" width="12.75" style="105" customWidth="1"/>
    <col min="16095" max="16095" width="8.125" style="105" customWidth="1"/>
    <col min="16096" max="16096" width="9.5" style="105" customWidth="1"/>
    <col min="16097" max="16097" width="1.25" style="105" customWidth="1"/>
    <col min="16098" max="16098" width="7.875" style="105" customWidth="1"/>
    <col min="16099" max="16101" width="9.75" style="105" customWidth="1"/>
    <col min="16102" max="16102" width="21.625" style="105" customWidth="1"/>
    <col min="16103" max="16103" width="9.75" style="105" customWidth="1"/>
    <col min="16104" max="16384" width="9" style="105"/>
  </cols>
  <sheetData>
    <row r="1" spans="1:55" ht="23.25" customHeight="1" x14ac:dyDescent="0.2">
      <c r="A1" s="125"/>
      <c r="B1" s="126"/>
      <c r="C1" s="310" t="s">
        <v>259</v>
      </c>
      <c r="D1" s="310"/>
      <c r="E1" s="310"/>
      <c r="F1" s="310"/>
      <c r="G1" s="310"/>
      <c r="H1" s="310"/>
      <c r="I1" s="127"/>
      <c r="J1" s="115"/>
      <c r="L1" s="18" t="s">
        <v>8</v>
      </c>
      <c r="M1" s="19" t="s">
        <v>7</v>
      </c>
      <c r="N1" s="19" t="s">
        <v>246</v>
      </c>
      <c r="O1" s="19" t="s">
        <v>267</v>
      </c>
      <c r="P1" s="20" t="s">
        <v>1</v>
      </c>
      <c r="Q1" s="20" t="s">
        <v>197</v>
      </c>
      <c r="R1" s="178" t="s">
        <v>270</v>
      </c>
      <c r="S1" s="22" t="s">
        <v>275</v>
      </c>
      <c r="T1" s="22" t="s">
        <v>266</v>
      </c>
      <c r="U1" s="23" t="s">
        <v>31</v>
      </c>
      <c r="V1" s="24" t="s">
        <v>30</v>
      </c>
      <c r="W1" s="90" t="s">
        <v>32</v>
      </c>
      <c r="X1" s="90" t="s">
        <v>33</v>
      </c>
      <c r="Y1" s="26" t="s">
        <v>269</v>
      </c>
      <c r="Z1" s="27" t="s">
        <v>76</v>
      </c>
      <c r="AA1" s="27" t="s">
        <v>511</v>
      </c>
      <c r="AB1" s="28" t="s">
        <v>85</v>
      </c>
      <c r="AC1" s="29" t="s">
        <v>35</v>
      </c>
      <c r="AD1" s="29" t="s">
        <v>36</v>
      </c>
      <c r="AE1" s="169" t="s">
        <v>245</v>
      </c>
      <c r="AF1" s="169" t="s">
        <v>36</v>
      </c>
      <c r="AG1" s="30" t="s">
        <v>3</v>
      </c>
      <c r="AH1" s="31" t="s">
        <v>2</v>
      </c>
      <c r="AI1" s="25" t="s">
        <v>6</v>
      </c>
    </row>
    <row r="2" spans="1:55" ht="21.75" customHeight="1" x14ac:dyDescent="0.2">
      <c r="A2" s="103"/>
      <c r="C2" s="143"/>
      <c r="D2" s="143"/>
      <c r="E2" s="143"/>
      <c r="F2" s="143"/>
      <c r="G2" s="143"/>
      <c r="H2" s="143"/>
      <c r="I2" s="117" t="s">
        <v>241</v>
      </c>
      <c r="J2" s="147">
        <f>R2</f>
        <v>681731</v>
      </c>
      <c r="L2" s="14" t="s">
        <v>28</v>
      </c>
      <c r="M2" s="212">
        <v>244343</v>
      </c>
      <c r="N2" s="14" t="s">
        <v>547</v>
      </c>
      <c r="O2" s="14" t="s">
        <v>268</v>
      </c>
      <c r="P2" s="14" t="s">
        <v>14</v>
      </c>
      <c r="Q2" s="14" t="s">
        <v>324</v>
      </c>
      <c r="R2" s="179">
        <v>681731</v>
      </c>
      <c r="S2" s="176" t="s">
        <v>4890</v>
      </c>
      <c r="T2" s="176" t="s">
        <v>1189</v>
      </c>
      <c r="U2" s="176" t="s">
        <v>1210</v>
      </c>
      <c r="V2" s="176" t="s">
        <v>4893</v>
      </c>
      <c r="W2" s="40" t="s">
        <v>108</v>
      </c>
      <c r="X2" s="40" t="s">
        <v>341</v>
      </c>
      <c r="Y2" s="14" t="s">
        <v>2186</v>
      </c>
      <c r="Z2" s="14" t="s">
        <v>552</v>
      </c>
      <c r="AA2" s="14" t="s">
        <v>685</v>
      </c>
      <c r="AB2" s="14" t="s">
        <v>553</v>
      </c>
      <c r="AC2" s="17">
        <v>425</v>
      </c>
      <c r="AD2" s="172" t="s">
        <v>51</v>
      </c>
      <c r="AE2" s="17">
        <v>2430</v>
      </c>
      <c r="AF2" s="14" t="s">
        <v>51</v>
      </c>
      <c r="AG2" s="16">
        <f t="shared" ref="AG2" si="0">M2</f>
        <v>244343</v>
      </c>
      <c r="AH2" s="16">
        <f t="shared" ref="AH2" si="1">M2+7</f>
        <v>244350</v>
      </c>
      <c r="AI2" s="16">
        <f t="shared" ref="AI2" si="2">AG2+2</f>
        <v>244345</v>
      </c>
      <c r="AJ2" s="15"/>
      <c r="AK2" s="177"/>
      <c r="AL2" s="170"/>
      <c r="AM2" s="170"/>
      <c r="AN2" s="170"/>
      <c r="AO2" s="170"/>
      <c r="AP2" s="15"/>
      <c r="AQ2" s="177"/>
      <c r="AR2" s="177">
        <f t="shared" ref="AR2:AS2" si="3">AP2</f>
        <v>0</v>
      </c>
      <c r="AS2" s="177">
        <f t="shared" si="3"/>
        <v>0</v>
      </c>
      <c r="AT2" s="170"/>
      <c r="AU2" s="173"/>
      <c r="AV2" s="170"/>
      <c r="AW2" s="44"/>
      <c r="AX2" s="44"/>
      <c r="AY2" s="44"/>
      <c r="AZ2" s="44"/>
      <c r="BA2" s="44"/>
      <c r="BB2" s="44"/>
      <c r="BC2" s="44"/>
    </row>
    <row r="3" spans="1:55" ht="21.75" customHeight="1" x14ac:dyDescent="0.2">
      <c r="A3" s="103" t="s">
        <v>196</v>
      </c>
      <c r="B3" s="288">
        <f>M2</f>
        <v>244343</v>
      </c>
      <c r="C3" s="252"/>
      <c r="D3" s="252" t="s">
        <v>242</v>
      </c>
      <c r="E3" s="252"/>
      <c r="F3" s="252"/>
      <c r="G3" s="197" t="str">
        <f>P2</f>
        <v>PD3พิมพ์</v>
      </c>
      <c r="H3" s="198" t="str">
        <f>W2</f>
        <v>PT8</v>
      </c>
      <c r="I3" s="117" t="s">
        <v>197</v>
      </c>
      <c r="J3" s="131" t="str">
        <f>Q2</f>
        <v>คุณภานุมาส</v>
      </c>
      <c r="L3" s="149"/>
      <c r="M3" s="148"/>
      <c r="N3" s="149"/>
      <c r="O3" s="149"/>
      <c r="P3" s="149"/>
      <c r="Q3" s="149"/>
      <c r="R3" s="193"/>
      <c r="S3" s="149"/>
      <c r="T3" s="149"/>
      <c r="U3" s="149"/>
      <c r="V3" s="149"/>
      <c r="W3" s="149"/>
      <c r="X3" s="149"/>
      <c r="Y3" s="149"/>
      <c r="Z3" s="151"/>
      <c r="AA3" s="151"/>
      <c r="AB3" s="149"/>
      <c r="AC3" s="149"/>
      <c r="AD3" s="149"/>
      <c r="AE3" s="149"/>
      <c r="AF3" s="148"/>
      <c r="AG3" s="148"/>
      <c r="AH3" s="148"/>
      <c r="AJ3" s="126"/>
    </row>
    <row r="4" spans="1:55" ht="21.75" customHeight="1" x14ac:dyDescent="0.2">
      <c r="A4" s="103" t="s">
        <v>252</v>
      </c>
      <c r="B4" s="289">
        <f>B3+2</f>
        <v>244345</v>
      </c>
      <c r="C4" s="264"/>
      <c r="D4" s="252" t="s">
        <v>2</v>
      </c>
      <c r="E4" s="252"/>
      <c r="F4" s="252"/>
      <c r="G4" s="290">
        <f>B3+7</f>
        <v>244350</v>
      </c>
      <c r="H4" s="273"/>
      <c r="J4" s="104"/>
      <c r="L4" s="149"/>
      <c r="M4" s="148"/>
      <c r="N4" s="149"/>
      <c r="O4" s="149"/>
      <c r="P4" s="149"/>
      <c r="Q4" s="149"/>
      <c r="R4" s="193"/>
      <c r="S4" s="149"/>
      <c r="T4" s="149"/>
      <c r="U4" s="149"/>
      <c r="V4" s="149"/>
      <c r="W4" s="149"/>
      <c r="X4" s="149"/>
      <c r="Y4" s="151"/>
      <c r="Z4" s="151"/>
      <c r="AA4" s="151"/>
      <c r="AB4" s="149"/>
      <c r="AC4" s="149"/>
      <c r="AD4" s="149"/>
      <c r="AE4" s="149"/>
      <c r="AF4" s="148"/>
      <c r="AG4" s="148"/>
      <c r="AH4" s="148"/>
    </row>
    <row r="5" spans="1:55" ht="6.75" customHeight="1" x14ac:dyDescent="0.2">
      <c r="A5" s="103"/>
      <c r="B5" s="129"/>
      <c r="C5" s="129"/>
      <c r="G5" s="116"/>
      <c r="H5" s="116"/>
      <c r="J5" s="104"/>
      <c r="L5" s="149"/>
      <c r="M5" s="148"/>
      <c r="N5" s="149"/>
      <c r="O5" s="149"/>
      <c r="P5" s="149"/>
      <c r="Q5" s="149"/>
      <c r="R5" s="193"/>
      <c r="S5" s="149"/>
      <c r="T5" s="149"/>
      <c r="U5" s="149"/>
      <c r="V5" s="149"/>
      <c r="W5" s="149"/>
      <c r="X5" s="149"/>
      <c r="Y5" s="151"/>
      <c r="Z5" s="151"/>
      <c r="AA5" s="149"/>
      <c r="AB5" s="149"/>
      <c r="AC5" s="149"/>
      <c r="AD5" s="149"/>
      <c r="AE5" s="149"/>
      <c r="AF5" s="148"/>
      <c r="AG5" s="148"/>
      <c r="AH5" s="148"/>
    </row>
    <row r="6" spans="1:55" ht="19.5" customHeight="1" x14ac:dyDescent="0.2">
      <c r="A6" s="122" t="s">
        <v>198</v>
      </c>
      <c r="B6" s="123"/>
      <c r="C6" s="123"/>
      <c r="D6" s="123"/>
      <c r="E6" s="123"/>
      <c r="F6" s="123"/>
      <c r="G6" s="123"/>
      <c r="H6" s="123"/>
      <c r="I6" s="123"/>
      <c r="J6" s="124"/>
      <c r="L6" s="149"/>
      <c r="M6" s="148"/>
      <c r="N6" s="149"/>
      <c r="O6" s="149"/>
      <c r="P6" s="149"/>
      <c r="Q6" s="149"/>
      <c r="R6" s="193"/>
      <c r="S6" s="149"/>
      <c r="T6" s="149"/>
      <c r="U6" s="149"/>
      <c r="V6" s="149"/>
      <c r="W6" s="149"/>
      <c r="X6" s="149"/>
      <c r="Y6" s="151"/>
      <c r="Z6" s="151"/>
      <c r="AA6" s="149"/>
      <c r="AB6" s="149"/>
      <c r="AC6" s="149"/>
      <c r="AD6" s="149"/>
      <c r="AE6" s="149"/>
      <c r="AF6" s="148"/>
      <c r="AG6" s="148"/>
      <c r="AH6" s="148"/>
    </row>
    <row r="7" spans="1:55" ht="19.5" customHeight="1" x14ac:dyDescent="0.2">
      <c r="A7" s="128" t="s">
        <v>243</v>
      </c>
      <c r="B7" s="311" t="str">
        <f>S2</f>
        <v>PORTARYTE C15</v>
      </c>
      <c r="C7" s="311"/>
      <c r="D7" s="243" t="s">
        <v>244</v>
      </c>
      <c r="E7" s="243"/>
      <c r="F7" s="312" t="str">
        <f>T2</f>
        <v>บริษัท ซิเบลโก้ มิเนอร์รัลส์(ประเทศไทย)</v>
      </c>
      <c r="G7" s="312"/>
      <c r="H7" s="243" t="s">
        <v>263</v>
      </c>
      <c r="I7" s="243"/>
      <c r="J7" s="131" t="str">
        <f>V2</f>
        <v>PD468122307</v>
      </c>
      <c r="L7" s="149"/>
      <c r="M7" s="148"/>
      <c r="N7" s="149"/>
      <c r="O7" s="149"/>
      <c r="P7" s="149"/>
      <c r="Q7" s="149"/>
      <c r="R7" s="193"/>
      <c r="S7" s="149"/>
      <c r="T7" s="149"/>
      <c r="U7" s="149"/>
      <c r="V7" s="149"/>
      <c r="W7" s="149"/>
      <c r="X7" s="149"/>
      <c r="Y7" s="151"/>
      <c r="Z7" s="151"/>
      <c r="AA7" s="149"/>
      <c r="AB7" s="149"/>
      <c r="AC7" s="149"/>
      <c r="AD7" s="149"/>
      <c r="AE7" s="149"/>
      <c r="AF7" s="148"/>
      <c r="AG7" s="148"/>
      <c r="AH7" s="148"/>
    </row>
    <row r="8" spans="1:55" ht="19.5" customHeight="1" x14ac:dyDescent="0.2">
      <c r="A8" s="128" t="s">
        <v>29</v>
      </c>
      <c r="B8" s="264" t="str">
        <f>U2</f>
        <v>FWBWT183074PL</v>
      </c>
      <c r="C8" s="264"/>
      <c r="D8" s="286" t="s">
        <v>240</v>
      </c>
      <c r="E8" s="286"/>
      <c r="F8" s="313" t="str">
        <f>AC2&amp;AD2</f>
        <v>425ใบ</v>
      </c>
      <c r="G8" s="313"/>
      <c r="H8" s="243" t="s">
        <v>245</v>
      </c>
      <c r="I8" s="243"/>
      <c r="J8" s="146" t="str">
        <f>AE2&amp;AF2</f>
        <v>2430ใบ</v>
      </c>
      <c r="L8" s="149"/>
      <c r="M8" s="148"/>
      <c r="N8" s="149"/>
      <c r="O8" s="149"/>
      <c r="P8" s="149"/>
      <c r="Q8" s="149"/>
      <c r="R8" s="193"/>
      <c r="S8" s="149"/>
      <c r="T8" s="149"/>
      <c r="U8" s="149"/>
      <c r="V8" s="149"/>
      <c r="W8" s="149"/>
      <c r="X8" s="149"/>
      <c r="Y8" s="149"/>
      <c r="Z8" s="151"/>
      <c r="AA8" s="151"/>
      <c r="AB8" s="149"/>
      <c r="AC8" s="149"/>
      <c r="AD8" s="149"/>
      <c r="AE8" s="149"/>
      <c r="AF8" s="148"/>
      <c r="AG8" s="148"/>
      <c r="AH8" s="148"/>
    </row>
    <row r="9" spans="1:55" ht="6.75" customHeight="1" x14ac:dyDescent="0.2">
      <c r="A9" s="118"/>
      <c r="B9" s="132"/>
      <c r="C9" s="132"/>
      <c r="D9" s="119"/>
      <c r="E9" s="119"/>
      <c r="F9" s="119"/>
      <c r="G9" s="119"/>
      <c r="H9" s="119"/>
      <c r="I9" s="119"/>
      <c r="J9" s="120"/>
    </row>
    <row r="10" spans="1:55" ht="20.25" customHeight="1" x14ac:dyDescent="0.2">
      <c r="A10" s="133" t="s">
        <v>199</v>
      </c>
      <c r="B10" s="314"/>
      <c r="C10" s="315"/>
      <c r="D10" s="315"/>
      <c r="E10" s="315"/>
      <c r="F10" s="315"/>
      <c r="G10" s="315"/>
      <c r="H10" s="315"/>
      <c r="I10" s="315"/>
      <c r="J10" s="316"/>
      <c r="L10" s="149"/>
      <c r="M10" s="148"/>
      <c r="N10" s="149"/>
      <c r="O10" s="149"/>
      <c r="P10" s="149"/>
      <c r="Q10" s="149"/>
      <c r="R10" s="193"/>
      <c r="S10" s="149"/>
      <c r="T10" s="149"/>
      <c r="U10" s="149"/>
      <c r="V10" s="149"/>
      <c r="W10" s="149"/>
      <c r="X10" s="149"/>
      <c r="Y10" s="151"/>
      <c r="Z10" s="151"/>
      <c r="AA10" s="149"/>
      <c r="AB10" s="194"/>
      <c r="AC10" s="149"/>
      <c r="AD10" s="194"/>
      <c r="AE10" s="149"/>
      <c r="AF10" s="148"/>
      <c r="AG10" s="148"/>
      <c r="AH10" s="148"/>
    </row>
    <row r="11" spans="1:55" ht="19.5" customHeight="1" x14ac:dyDescent="0.2">
      <c r="A11" s="317" t="str">
        <f>Y2&amp;Z2</f>
        <v>พบเปื้อนสีด้านหน้าและด้านหลัง จำนวน 425 ใบ**ส่งลบสี**</v>
      </c>
      <c r="B11" s="318"/>
      <c r="C11" s="318"/>
      <c r="D11" s="318"/>
      <c r="E11" s="318"/>
      <c r="F11" s="318"/>
      <c r="G11" s="318"/>
      <c r="H11" s="318"/>
      <c r="I11" s="318"/>
      <c r="J11" s="319"/>
      <c r="L11" s="149"/>
      <c r="M11" s="148"/>
      <c r="N11" s="149"/>
      <c r="O11" s="149"/>
      <c r="P11" s="149"/>
      <c r="Q11" s="149"/>
      <c r="R11" s="193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94"/>
      <c r="AE11" s="149"/>
      <c r="AF11" s="148"/>
      <c r="AG11" s="148"/>
      <c r="AH11" s="148"/>
    </row>
    <row r="12" spans="1:55" ht="19.5" customHeight="1" x14ac:dyDescent="0.2">
      <c r="A12" s="317"/>
      <c r="B12" s="318"/>
      <c r="C12" s="318"/>
      <c r="D12" s="318"/>
      <c r="E12" s="318"/>
      <c r="F12" s="318"/>
      <c r="G12" s="318"/>
      <c r="H12" s="318"/>
      <c r="I12" s="318"/>
      <c r="J12" s="319"/>
      <c r="L12" s="149"/>
      <c r="M12" s="148"/>
      <c r="N12" s="149"/>
      <c r="O12" s="149"/>
      <c r="P12" s="149"/>
      <c r="Q12" s="149"/>
      <c r="R12" s="193"/>
      <c r="S12" s="149"/>
      <c r="T12" s="149"/>
      <c r="U12" s="149"/>
      <c r="V12" s="149"/>
      <c r="W12" s="149"/>
      <c r="X12" s="149"/>
      <c r="Y12" s="149"/>
      <c r="Z12" s="149"/>
      <c r="AA12" s="149"/>
      <c r="AB12" s="194"/>
      <c r="AC12" s="149"/>
      <c r="AD12" s="194"/>
      <c r="AE12" s="149"/>
      <c r="AF12" s="148"/>
      <c r="AG12" s="148"/>
      <c r="AH12" s="148"/>
    </row>
    <row r="13" spans="1:55" ht="19.5" customHeight="1" x14ac:dyDescent="0.2">
      <c r="A13" s="317"/>
      <c r="B13" s="318"/>
      <c r="C13" s="318"/>
      <c r="D13" s="318"/>
      <c r="E13" s="318"/>
      <c r="F13" s="318"/>
      <c r="G13" s="318"/>
      <c r="H13" s="318"/>
      <c r="I13" s="318"/>
      <c r="J13" s="319"/>
      <c r="L13" s="149"/>
      <c r="M13" s="148"/>
      <c r="N13" s="149"/>
      <c r="O13" s="149"/>
      <c r="P13" s="149"/>
      <c r="Q13" s="149"/>
      <c r="R13" s="193"/>
      <c r="S13" s="149"/>
      <c r="T13" s="149"/>
      <c r="U13" s="149"/>
      <c r="V13" s="149"/>
      <c r="W13" s="149"/>
      <c r="X13" s="149"/>
      <c r="Y13" s="149"/>
      <c r="Z13" s="151"/>
      <c r="AA13" s="151"/>
      <c r="AB13" s="149"/>
      <c r="AC13" s="149"/>
      <c r="AD13" s="194"/>
      <c r="AE13" s="149"/>
      <c r="AF13" s="148"/>
      <c r="AG13" s="148"/>
      <c r="AH13" s="148"/>
    </row>
    <row r="14" spans="1:55" ht="19.5" customHeight="1" x14ac:dyDescent="0.2">
      <c r="A14" s="317"/>
      <c r="B14" s="318"/>
      <c r="C14" s="318"/>
      <c r="D14" s="318"/>
      <c r="E14" s="318"/>
      <c r="F14" s="318"/>
      <c r="G14" s="318"/>
      <c r="H14" s="318"/>
      <c r="I14" s="318"/>
      <c r="J14" s="319"/>
      <c r="L14" s="149"/>
      <c r="M14" s="148"/>
      <c r="N14" s="149"/>
      <c r="O14" s="149"/>
      <c r="P14" s="149"/>
      <c r="Q14" s="149"/>
      <c r="R14" s="193"/>
      <c r="S14" s="149"/>
      <c r="T14" s="149"/>
      <c r="U14" s="149"/>
      <c r="V14" s="149"/>
      <c r="W14" s="149"/>
      <c r="X14" s="149"/>
      <c r="Y14" s="151"/>
      <c r="Z14" s="151"/>
      <c r="AA14" s="149"/>
      <c r="AB14" s="149"/>
      <c r="AC14" s="149"/>
      <c r="AD14" s="194"/>
      <c r="AE14" s="149"/>
      <c r="AF14" s="148"/>
      <c r="AG14" s="148"/>
      <c r="AH14" s="148"/>
    </row>
    <row r="15" spans="1:55" ht="19.5" customHeight="1" x14ac:dyDescent="0.2">
      <c r="A15" s="317"/>
      <c r="B15" s="318"/>
      <c r="C15" s="318"/>
      <c r="D15" s="318"/>
      <c r="E15" s="318"/>
      <c r="F15" s="318"/>
      <c r="G15" s="318"/>
      <c r="H15" s="318"/>
      <c r="I15" s="318"/>
      <c r="J15" s="319"/>
      <c r="L15" s="149"/>
      <c r="M15" s="148"/>
      <c r="N15" s="149"/>
      <c r="O15" s="149"/>
      <c r="P15" s="149"/>
      <c r="Q15" s="149"/>
      <c r="R15" s="193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94"/>
      <c r="AE15" s="149"/>
      <c r="AF15" s="148"/>
      <c r="AG15" s="148"/>
      <c r="AH15" s="148"/>
    </row>
    <row r="16" spans="1:55" ht="19.5" customHeight="1" x14ac:dyDescent="0.2">
      <c r="A16" s="266"/>
      <c r="B16" s="252"/>
      <c r="C16" s="252"/>
      <c r="D16" s="252"/>
      <c r="E16" s="252"/>
      <c r="F16" s="252"/>
      <c r="G16" s="252"/>
      <c r="H16" s="243" t="s">
        <v>251</v>
      </c>
      <c r="I16" s="243"/>
      <c r="J16" s="131" t="str">
        <f>N2</f>
        <v>ชญาดา</v>
      </c>
      <c r="L16" s="149"/>
      <c r="M16" s="148"/>
      <c r="N16" s="149"/>
      <c r="O16" s="149"/>
      <c r="P16" s="149"/>
      <c r="Q16" s="149"/>
      <c r="R16" s="193"/>
      <c r="S16" s="149"/>
      <c r="T16" s="149"/>
      <c r="U16" s="149"/>
      <c r="V16" s="149"/>
      <c r="W16" s="149"/>
      <c r="X16" s="149"/>
      <c r="Y16" s="149"/>
      <c r="Z16" s="151"/>
      <c r="AA16" s="151"/>
      <c r="AB16" s="149"/>
      <c r="AC16" s="149"/>
      <c r="AD16" s="194"/>
      <c r="AE16" s="149"/>
      <c r="AF16" s="148"/>
      <c r="AG16" s="148"/>
      <c r="AH16" s="148"/>
    </row>
    <row r="17" spans="1:34" ht="7.5" customHeight="1" x14ac:dyDescent="0.2">
      <c r="A17" s="118"/>
      <c r="B17" s="119"/>
      <c r="C17" s="119"/>
      <c r="D17" s="119"/>
      <c r="E17" s="119"/>
      <c r="F17" s="119"/>
      <c r="G17" s="119"/>
      <c r="H17" s="119"/>
      <c r="I17" s="119"/>
      <c r="J17" s="120"/>
      <c r="L17" s="149"/>
      <c r="M17" s="148"/>
      <c r="N17" s="149"/>
      <c r="O17" s="149"/>
      <c r="P17" s="149"/>
      <c r="Q17" s="149"/>
      <c r="R17" s="193"/>
      <c r="S17" s="149"/>
      <c r="T17" s="149"/>
      <c r="U17" s="149"/>
      <c r="V17" s="149"/>
      <c r="W17" s="149"/>
      <c r="X17" s="149"/>
      <c r="Y17" s="151"/>
      <c r="Z17" s="149"/>
      <c r="AA17" s="149"/>
      <c r="AB17" s="149"/>
      <c r="AC17" s="149"/>
      <c r="AD17" s="194"/>
      <c r="AE17" s="149"/>
      <c r="AF17" s="148"/>
      <c r="AG17" s="148"/>
      <c r="AH17" s="148"/>
    </row>
    <row r="18" spans="1:34" ht="21" customHeight="1" x14ac:dyDescent="0.2">
      <c r="A18" s="283" t="s">
        <v>201</v>
      </c>
      <c r="B18" s="284"/>
      <c r="C18" s="284"/>
      <c r="D18" s="284"/>
      <c r="E18" s="284"/>
      <c r="F18" s="284"/>
      <c r="G18" s="284"/>
      <c r="H18" s="284"/>
      <c r="I18" s="284"/>
      <c r="J18" s="285"/>
      <c r="L18" s="149"/>
      <c r="M18" s="148"/>
      <c r="N18" s="149"/>
      <c r="O18" s="149"/>
      <c r="P18" s="149"/>
      <c r="Q18" s="149"/>
      <c r="R18" s="193"/>
      <c r="S18" s="149"/>
      <c r="T18" s="149"/>
      <c r="U18" s="149"/>
      <c r="V18" s="149"/>
      <c r="W18" s="149"/>
      <c r="X18" s="149"/>
      <c r="Y18" s="149"/>
      <c r="Z18" s="151"/>
      <c r="AA18" s="151"/>
      <c r="AB18" s="194"/>
      <c r="AC18" s="149"/>
      <c r="AD18" s="194"/>
      <c r="AE18" s="149"/>
      <c r="AF18" s="148"/>
      <c r="AG18" s="148"/>
      <c r="AH18" s="148"/>
    </row>
    <row r="19" spans="1:34" ht="19.5" customHeight="1" x14ac:dyDescent="0.2">
      <c r="A19" s="134" t="s">
        <v>202</v>
      </c>
      <c r="B19" s="279"/>
      <c r="C19" s="279"/>
      <c r="D19" s="279"/>
      <c r="E19" s="279"/>
      <c r="F19" s="279"/>
      <c r="G19" s="279"/>
      <c r="H19" s="279"/>
      <c r="I19" s="279"/>
      <c r="J19" s="137"/>
      <c r="L19" s="149"/>
      <c r="M19" s="148"/>
      <c r="N19" s="149"/>
      <c r="O19" s="149"/>
      <c r="P19" s="149"/>
      <c r="Q19" s="149"/>
      <c r="R19" s="193"/>
      <c r="S19" s="149"/>
      <c r="T19" s="149"/>
      <c r="U19" s="149"/>
      <c r="V19" s="149"/>
      <c r="W19" s="149"/>
      <c r="X19" s="149"/>
      <c r="Y19" s="151"/>
      <c r="Z19" s="151"/>
      <c r="AA19" s="149"/>
      <c r="AB19" s="149"/>
      <c r="AC19" s="149"/>
      <c r="AD19" s="194"/>
      <c r="AE19" s="149"/>
      <c r="AF19" s="148"/>
      <c r="AG19" s="148"/>
      <c r="AH19" s="148"/>
    </row>
    <row r="20" spans="1:34" ht="20.45" customHeight="1" x14ac:dyDescent="0.2">
      <c r="A20" s="268"/>
      <c r="B20" s="277"/>
      <c r="C20" s="277"/>
      <c r="D20" s="277"/>
      <c r="E20" s="277"/>
      <c r="F20" s="277"/>
      <c r="G20" s="277"/>
      <c r="H20" s="277"/>
      <c r="I20" s="277"/>
      <c r="J20" s="106"/>
    </row>
    <row r="21" spans="1:34" ht="20.45" customHeight="1" x14ac:dyDescent="0.2">
      <c r="A21" s="266"/>
      <c r="B21" s="252"/>
      <c r="C21" s="252"/>
      <c r="D21" s="252"/>
      <c r="E21" s="252"/>
      <c r="F21" s="252"/>
      <c r="G21" s="252"/>
      <c r="H21" s="252"/>
      <c r="I21" s="252"/>
      <c r="J21" s="106" t="s">
        <v>246</v>
      </c>
    </row>
    <row r="22" spans="1:34" ht="20.45" customHeight="1" x14ac:dyDescent="0.2">
      <c r="A22" s="272"/>
      <c r="B22" s="273"/>
      <c r="C22" s="273"/>
      <c r="D22" s="273"/>
      <c r="E22" s="273"/>
      <c r="F22" s="273"/>
      <c r="G22" s="273"/>
      <c r="H22" s="273"/>
      <c r="I22" s="273"/>
      <c r="J22" s="138"/>
    </row>
    <row r="23" spans="1:34" ht="20.45" customHeight="1" x14ac:dyDescent="0.2">
      <c r="A23" s="272"/>
      <c r="B23" s="273"/>
      <c r="C23" s="273"/>
      <c r="D23" s="273"/>
      <c r="E23" s="273"/>
      <c r="F23" s="273"/>
      <c r="G23" s="273"/>
      <c r="H23" s="273"/>
      <c r="I23" s="273"/>
      <c r="J23" s="138" t="s">
        <v>248</v>
      </c>
    </row>
    <row r="24" spans="1:34" ht="20.45" customHeight="1" x14ac:dyDescent="0.2">
      <c r="A24" s="266"/>
      <c r="B24" s="252"/>
      <c r="C24" s="252"/>
      <c r="D24" s="252"/>
      <c r="E24" s="252"/>
      <c r="F24" s="252"/>
      <c r="G24" s="252"/>
      <c r="H24" s="252"/>
      <c r="I24" s="252"/>
      <c r="J24" s="138" t="s">
        <v>247</v>
      </c>
    </row>
    <row r="25" spans="1:34" ht="20.45" customHeight="1" x14ac:dyDescent="0.2">
      <c r="A25" s="272"/>
      <c r="B25" s="273"/>
      <c r="C25" s="273"/>
      <c r="D25" s="273"/>
      <c r="E25" s="273"/>
      <c r="F25" s="273"/>
      <c r="G25" s="273"/>
      <c r="H25" s="273"/>
      <c r="I25" s="273"/>
      <c r="J25" s="139"/>
    </row>
    <row r="26" spans="1:34" ht="20.45" customHeight="1" x14ac:dyDescent="0.2">
      <c r="A26" s="272"/>
      <c r="B26" s="273"/>
      <c r="C26" s="273"/>
      <c r="D26" s="273"/>
      <c r="E26" s="273"/>
      <c r="F26" s="273"/>
      <c r="G26" s="273"/>
      <c r="H26" s="273"/>
      <c r="I26" s="273"/>
      <c r="J26" s="139"/>
    </row>
    <row r="27" spans="1:34" ht="6.75" customHeight="1" x14ac:dyDescent="0.2">
      <c r="A27" s="278"/>
      <c r="B27" s="275"/>
      <c r="C27" s="275"/>
      <c r="D27" s="275"/>
      <c r="E27" s="275"/>
      <c r="F27" s="275"/>
      <c r="G27" s="275"/>
      <c r="H27" s="275"/>
      <c r="I27" s="275"/>
      <c r="J27" s="140"/>
    </row>
    <row r="28" spans="1:34" ht="20.45" customHeight="1" x14ac:dyDescent="0.2">
      <c r="A28" s="125" t="s">
        <v>203</v>
      </c>
      <c r="B28" s="279"/>
      <c r="C28" s="279"/>
      <c r="D28" s="279"/>
      <c r="E28" s="279"/>
      <c r="F28" s="279"/>
      <c r="G28" s="279"/>
      <c r="H28" s="279"/>
      <c r="I28" s="279"/>
      <c r="J28" s="137" t="s">
        <v>204</v>
      </c>
    </row>
    <row r="29" spans="1:34" ht="20.45" customHeight="1" x14ac:dyDescent="0.2">
      <c r="A29" s="266"/>
      <c r="B29" s="252"/>
      <c r="C29" s="252"/>
      <c r="D29" s="252"/>
      <c r="E29" s="252"/>
      <c r="F29" s="252"/>
      <c r="G29" s="252"/>
      <c r="H29" s="252"/>
      <c r="I29" s="252"/>
      <c r="J29" s="138" t="s">
        <v>247</v>
      </c>
    </row>
    <row r="30" spans="1:34" ht="20.45" customHeight="1" x14ac:dyDescent="0.2">
      <c r="A30" s="263"/>
      <c r="B30" s="264"/>
      <c r="C30" s="264"/>
      <c r="D30" s="264"/>
      <c r="E30" s="264"/>
      <c r="F30" s="264"/>
      <c r="G30" s="264"/>
      <c r="H30" s="264"/>
      <c r="I30" s="264"/>
      <c r="J30" s="106" t="s">
        <v>197</v>
      </c>
    </row>
    <row r="31" spans="1:34" ht="20.45" customHeight="1" x14ac:dyDescent="0.2">
      <c r="A31" s="272"/>
      <c r="B31" s="273"/>
      <c r="C31" s="273"/>
      <c r="D31" s="273"/>
      <c r="E31" s="273"/>
      <c r="F31" s="273"/>
      <c r="G31" s="273"/>
      <c r="H31" s="273"/>
      <c r="I31" s="274"/>
      <c r="J31" s="106"/>
    </row>
    <row r="32" spans="1:34" ht="20.45" customHeight="1" x14ac:dyDescent="0.2">
      <c r="A32" s="263"/>
      <c r="B32" s="264"/>
      <c r="C32" s="264"/>
      <c r="D32" s="264"/>
      <c r="E32" s="264"/>
      <c r="F32" s="264"/>
      <c r="G32" s="264"/>
      <c r="H32" s="264"/>
      <c r="I32" s="264"/>
      <c r="J32" s="138" t="s">
        <v>248</v>
      </c>
    </row>
    <row r="33" spans="1:10" ht="20.45" customHeight="1" x14ac:dyDescent="0.2">
      <c r="A33" s="263"/>
      <c r="B33" s="264"/>
      <c r="C33" s="264"/>
      <c r="D33" s="264"/>
      <c r="E33" s="264"/>
      <c r="F33" s="264"/>
      <c r="G33" s="264"/>
      <c r="H33" s="264"/>
      <c r="I33" s="264"/>
      <c r="J33" s="106"/>
    </row>
    <row r="34" spans="1:10" ht="20.45" customHeight="1" x14ac:dyDescent="0.2">
      <c r="A34" s="272"/>
      <c r="B34" s="273"/>
      <c r="C34" s="273"/>
      <c r="D34" s="273"/>
      <c r="E34" s="273"/>
      <c r="F34" s="273"/>
      <c r="G34" s="273"/>
      <c r="H34" s="273"/>
      <c r="I34" s="273"/>
      <c r="J34" s="106" t="s">
        <v>249</v>
      </c>
    </row>
    <row r="35" spans="1:10" ht="20.45" customHeight="1" x14ac:dyDescent="0.2">
      <c r="A35" s="272"/>
      <c r="B35" s="273"/>
      <c r="C35" s="273"/>
      <c r="D35" s="273"/>
      <c r="E35" s="273"/>
      <c r="F35" s="273"/>
      <c r="G35" s="273"/>
      <c r="H35" s="273"/>
      <c r="I35" s="274"/>
      <c r="J35" s="106"/>
    </row>
    <row r="36" spans="1:10" ht="20.45" customHeight="1" x14ac:dyDescent="0.2">
      <c r="A36" s="272"/>
      <c r="B36" s="273"/>
      <c r="C36" s="273"/>
      <c r="D36" s="273"/>
      <c r="E36" s="273"/>
      <c r="F36" s="273"/>
      <c r="G36" s="273"/>
      <c r="H36" s="273"/>
      <c r="I36" s="273"/>
      <c r="J36" s="138" t="s">
        <v>248</v>
      </c>
    </row>
    <row r="37" spans="1:10" ht="20.45" customHeight="1" x14ac:dyDescent="0.2">
      <c r="A37" s="272"/>
      <c r="B37" s="273"/>
      <c r="C37" s="273"/>
      <c r="D37" s="273"/>
      <c r="E37" s="273"/>
      <c r="F37" s="273"/>
      <c r="G37" s="273"/>
      <c r="H37" s="273"/>
      <c r="I37" s="273"/>
      <c r="J37" s="138" t="s">
        <v>247</v>
      </c>
    </row>
    <row r="38" spans="1:10" ht="6" customHeight="1" x14ac:dyDescent="0.2">
      <c r="A38" s="118"/>
      <c r="B38" s="275"/>
      <c r="C38" s="275"/>
      <c r="D38" s="275"/>
      <c r="E38" s="275"/>
      <c r="F38" s="275"/>
      <c r="G38" s="275"/>
      <c r="H38" s="119"/>
      <c r="I38" s="119"/>
      <c r="J38" s="141"/>
    </row>
    <row r="39" spans="1:10" ht="19.5" customHeight="1" x14ac:dyDescent="0.2">
      <c r="A39" s="270" t="s">
        <v>205</v>
      </c>
      <c r="B39" s="271"/>
      <c r="C39" s="270" t="s">
        <v>206</v>
      </c>
      <c r="D39" s="276"/>
      <c r="E39" s="276"/>
      <c r="F39" s="271"/>
      <c r="G39" s="270" t="s">
        <v>207</v>
      </c>
      <c r="H39" s="271"/>
      <c r="I39" s="270" t="s">
        <v>208</v>
      </c>
      <c r="J39" s="271"/>
    </row>
    <row r="40" spans="1:10" ht="19.5" customHeight="1" x14ac:dyDescent="0.2">
      <c r="A40" s="260"/>
      <c r="B40" s="262"/>
      <c r="C40" s="266" t="s">
        <v>209</v>
      </c>
      <c r="D40" s="252"/>
      <c r="E40" s="252"/>
      <c r="F40" s="267"/>
      <c r="G40" s="266" t="s">
        <v>209</v>
      </c>
      <c r="H40" s="267"/>
      <c r="I40" s="266" t="s">
        <v>209</v>
      </c>
      <c r="J40" s="267"/>
    </row>
    <row r="41" spans="1:10" ht="19.5" customHeight="1" x14ac:dyDescent="0.2">
      <c r="A41" s="103" t="s">
        <v>253</v>
      </c>
      <c r="B41" s="104"/>
      <c r="C41" s="266"/>
      <c r="D41" s="252"/>
      <c r="E41" s="252"/>
      <c r="F41" s="267"/>
      <c r="G41" s="266"/>
      <c r="H41" s="267"/>
      <c r="I41" s="268"/>
      <c r="J41" s="269"/>
    </row>
    <row r="42" spans="1:10" ht="19.5" customHeight="1" x14ac:dyDescent="0.2">
      <c r="A42" s="103" t="s">
        <v>254</v>
      </c>
      <c r="B42" s="104"/>
      <c r="C42" s="263"/>
      <c r="D42" s="264"/>
      <c r="E42" s="264"/>
      <c r="F42" s="265"/>
      <c r="G42" s="263"/>
      <c r="H42" s="265"/>
      <c r="I42" s="266"/>
      <c r="J42" s="267"/>
    </row>
    <row r="43" spans="1:10" ht="19.5" customHeight="1" x14ac:dyDescent="0.2">
      <c r="A43" s="103" t="s">
        <v>255</v>
      </c>
      <c r="B43" s="104"/>
      <c r="C43" s="263"/>
      <c r="D43" s="264"/>
      <c r="E43" s="264"/>
      <c r="F43" s="265"/>
      <c r="G43" s="263"/>
      <c r="H43" s="265"/>
      <c r="I43" s="263" t="s">
        <v>256</v>
      </c>
      <c r="J43" s="265"/>
    </row>
    <row r="44" spans="1:10" ht="19.5" customHeight="1" x14ac:dyDescent="0.2">
      <c r="A44" s="103" t="s">
        <v>257</v>
      </c>
      <c r="B44" s="104"/>
      <c r="C44" s="263"/>
      <c r="D44" s="264"/>
      <c r="E44" s="264"/>
      <c r="F44" s="265"/>
      <c r="G44" s="263"/>
      <c r="H44" s="265"/>
      <c r="I44" s="266"/>
      <c r="J44" s="267"/>
    </row>
    <row r="45" spans="1:10" ht="19.5" customHeight="1" x14ac:dyDescent="0.45">
      <c r="A45" s="103" t="s">
        <v>260</v>
      </c>
      <c r="B45" s="104"/>
      <c r="C45" s="255" t="s">
        <v>261</v>
      </c>
      <c r="D45" s="256"/>
      <c r="E45" s="256"/>
      <c r="F45" s="257"/>
      <c r="G45" s="258" t="s">
        <v>262</v>
      </c>
      <c r="H45" s="259"/>
      <c r="I45" s="258" t="s">
        <v>261</v>
      </c>
      <c r="J45" s="259"/>
    </row>
    <row r="46" spans="1:10" ht="19.5" customHeight="1" x14ac:dyDescent="0.2">
      <c r="A46" s="101" t="s">
        <v>210</v>
      </c>
      <c r="B46" s="102"/>
      <c r="C46" s="260" t="s">
        <v>250</v>
      </c>
      <c r="D46" s="261"/>
      <c r="E46" s="261"/>
      <c r="F46" s="262"/>
      <c r="G46" s="260" t="s">
        <v>211</v>
      </c>
      <c r="H46" s="262"/>
      <c r="I46" s="260" t="s">
        <v>212</v>
      </c>
      <c r="J46" s="262"/>
    </row>
    <row r="47" spans="1:10" ht="9.75" customHeight="1" x14ac:dyDescent="0.2">
      <c r="A47" s="118"/>
      <c r="B47" s="120"/>
      <c r="C47" s="118"/>
      <c r="D47" s="135"/>
      <c r="E47" s="135"/>
      <c r="F47" s="136"/>
      <c r="G47" s="144"/>
      <c r="H47" s="136"/>
      <c r="I47" s="144"/>
      <c r="J47" s="136"/>
    </row>
    <row r="48" spans="1:10" ht="19.5" customHeight="1" x14ac:dyDescent="0.2">
      <c r="A48" s="121" t="s">
        <v>200</v>
      </c>
      <c r="B48" s="244"/>
      <c r="C48" s="244"/>
      <c r="D48" s="244"/>
      <c r="E48" s="244"/>
      <c r="F48" s="244"/>
      <c r="G48" s="244"/>
      <c r="H48" s="244"/>
      <c r="I48" s="244"/>
      <c r="J48" s="245"/>
    </row>
    <row r="49" spans="1:10" ht="19.5" customHeight="1" x14ac:dyDescent="0.2">
      <c r="A49" s="246"/>
      <c r="B49" s="247"/>
      <c r="C49" s="247"/>
      <c r="D49" s="247"/>
      <c r="E49" s="247"/>
      <c r="F49" s="247"/>
      <c r="G49" s="247"/>
      <c r="H49" s="247"/>
      <c r="I49" s="247"/>
      <c r="J49" s="248"/>
    </row>
    <row r="50" spans="1:10" ht="19.5" customHeight="1" x14ac:dyDescent="0.2">
      <c r="A50" s="249"/>
      <c r="B50" s="250"/>
      <c r="C50" s="250"/>
      <c r="D50" s="250"/>
      <c r="E50" s="250"/>
      <c r="F50" s="250"/>
      <c r="G50" s="250"/>
      <c r="H50" s="250"/>
      <c r="I50" s="250"/>
      <c r="J50" s="251"/>
    </row>
    <row r="51" spans="1:10" ht="30" customHeight="1" x14ac:dyDescent="0.2">
      <c r="A51" s="103"/>
      <c r="D51" s="243" t="s">
        <v>258</v>
      </c>
      <c r="E51" s="243"/>
      <c r="F51" s="252"/>
      <c r="G51" s="252"/>
      <c r="H51" s="105" t="s">
        <v>211</v>
      </c>
      <c r="I51" s="142"/>
      <c r="J51" s="130"/>
    </row>
    <row r="52" spans="1:10" ht="5.25" customHeight="1" x14ac:dyDescent="0.2">
      <c r="A52" s="118"/>
      <c r="B52" s="119"/>
      <c r="C52" s="119"/>
      <c r="D52" s="253"/>
      <c r="E52" s="253"/>
      <c r="F52" s="254"/>
      <c r="G52" s="254"/>
      <c r="H52" s="119"/>
      <c r="I52" s="119"/>
      <c r="J52" s="120"/>
    </row>
    <row r="53" spans="1:10" ht="19.5" customHeight="1" x14ac:dyDescent="0.2">
      <c r="I53" s="243"/>
      <c r="J53" s="243"/>
    </row>
    <row r="54" spans="1:10" ht="19.5" customHeight="1" x14ac:dyDescent="0.2"/>
  </sheetData>
  <mergeCells count="73">
    <mergeCell ref="I53:J53"/>
    <mergeCell ref="B48:J48"/>
    <mergeCell ref="A49:J49"/>
    <mergeCell ref="A50:J50"/>
    <mergeCell ref="D51:E51"/>
    <mergeCell ref="F51:G51"/>
    <mergeCell ref="D52:E52"/>
    <mergeCell ref="F52:G52"/>
    <mergeCell ref="C45:F45"/>
    <mergeCell ref="G45:H45"/>
    <mergeCell ref="I45:J45"/>
    <mergeCell ref="C46:F46"/>
    <mergeCell ref="G46:H46"/>
    <mergeCell ref="I46:J46"/>
    <mergeCell ref="C43:F43"/>
    <mergeCell ref="G43:H43"/>
    <mergeCell ref="I43:J43"/>
    <mergeCell ref="C44:F44"/>
    <mergeCell ref="G44:H44"/>
    <mergeCell ref="I44:J44"/>
    <mergeCell ref="C41:F41"/>
    <mergeCell ref="G41:H41"/>
    <mergeCell ref="I41:J41"/>
    <mergeCell ref="C42:F42"/>
    <mergeCell ref="G42:H42"/>
    <mergeCell ref="I42:J42"/>
    <mergeCell ref="A39:B40"/>
    <mergeCell ref="C39:F39"/>
    <mergeCell ref="G39:H39"/>
    <mergeCell ref="I39:J39"/>
    <mergeCell ref="C40:F40"/>
    <mergeCell ref="G40:H40"/>
    <mergeCell ref="I40:J40"/>
    <mergeCell ref="A34:I34"/>
    <mergeCell ref="A35:I35"/>
    <mergeCell ref="A36:I36"/>
    <mergeCell ref="A37:I37"/>
    <mergeCell ref="B38:C38"/>
    <mergeCell ref="D38:G38"/>
    <mergeCell ref="A33:I33"/>
    <mergeCell ref="A22:I22"/>
    <mergeCell ref="A23:I23"/>
    <mergeCell ref="A24:I24"/>
    <mergeCell ref="A25:I25"/>
    <mergeCell ref="A26:I26"/>
    <mergeCell ref="A27:I27"/>
    <mergeCell ref="B28:I28"/>
    <mergeCell ref="A29:I29"/>
    <mergeCell ref="A30:I30"/>
    <mergeCell ref="A31:I31"/>
    <mergeCell ref="A32:I32"/>
    <mergeCell ref="A21:I21"/>
    <mergeCell ref="B10:J10"/>
    <mergeCell ref="A11:J15"/>
    <mergeCell ref="A16:G16"/>
    <mergeCell ref="H16:I16"/>
    <mergeCell ref="A18:J18"/>
    <mergeCell ref="B19:I19"/>
    <mergeCell ref="A20:I20"/>
    <mergeCell ref="B7:C7"/>
    <mergeCell ref="D7:E7"/>
    <mergeCell ref="F7:G7"/>
    <mergeCell ref="H7:I7"/>
    <mergeCell ref="B8:C8"/>
    <mergeCell ref="D8:E8"/>
    <mergeCell ref="F8:G8"/>
    <mergeCell ref="H8:I8"/>
    <mergeCell ref="C1:H1"/>
    <mergeCell ref="B3:C3"/>
    <mergeCell ref="D3:F3"/>
    <mergeCell ref="B4:C4"/>
    <mergeCell ref="D4:F4"/>
    <mergeCell ref="G4:H4"/>
  </mergeCells>
  <conditionalFormatting sqref="AV2">
    <cfRule type="cellIs" dxfId="4" priority="1" operator="lessThan">
      <formula>7</formula>
    </cfRule>
    <cfRule type="cellIs" dxfId="3" priority="2" operator="equal">
      <formula>7</formula>
    </cfRule>
    <cfRule type="cellIs" dxfId="2" priority="3" operator="greaterThan">
      <formula>7</formula>
    </cfRule>
    <cfRule type="cellIs" dxfId="1" priority="4" operator="lessThan">
      <formula>7</formula>
    </cfRule>
    <cfRule type="cellIs" dxfId="0" priority="5" operator="greaterThan">
      <formula>7</formula>
    </cfRule>
  </conditionalFormatting>
  <dataValidations count="5">
    <dataValidation type="list" allowBlank="1" showInputMessage="1" showErrorMessage="1" sqref="L10:L19 L2:L8" xr:uid="{00000000-0002-0000-0500-000000000000}">
      <formula1>เดือน</formula1>
    </dataValidation>
    <dataValidation type="list" allowBlank="1" showInputMessage="1" showErrorMessage="1" sqref="P10:P19 P2:P8" xr:uid="{00000000-0002-0000-0500-000001000000}">
      <formula1>แผนก</formula1>
    </dataValidation>
    <dataValidation type="list" allowBlank="1" showInputMessage="1" showErrorMessage="1" sqref="M3:M8 M10:M19" xr:uid="{00000000-0002-0000-0500-000002000000}">
      <formula1>วันที่</formula1>
    </dataValidation>
    <dataValidation type="list" allowBlank="1" showInputMessage="1" showErrorMessage="1" sqref="AC3:AC8 AE10:AE19 AC10:AC19 AE3:AE8 AF2" xr:uid="{00000000-0002-0000-0500-000003000000}">
      <formula1>หน่วย</formula1>
    </dataValidation>
    <dataValidation type="list" allowBlank="1" showInputMessage="1" showErrorMessage="1" sqref="AP2 AJ2" xr:uid="{1086A040-EFA0-455D-8F75-E9826761EC28}">
      <formula1>สถานะ</formula1>
    </dataValidation>
  </dataValidations>
  <printOptions horizontalCentered="1" verticalCentered="1"/>
  <pageMargins left="0.11811023622047245" right="0.11811023622047245" top="0.19685039370078741" bottom="0" header="0" footer="0"/>
  <pageSetup paperSize="9" scale="84" orientation="portrait" verticalDpi="18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285"/>
  <sheetViews>
    <sheetView zoomScaleNormal="100" workbookViewId="0">
      <pane ySplit="2" topLeftCell="A12" activePane="bottomLeft" state="frozen"/>
      <selection pane="bottomLeft" activeCell="I6" sqref="I6"/>
    </sheetView>
  </sheetViews>
  <sheetFormatPr defaultRowHeight="14.25" x14ac:dyDescent="0.2"/>
  <cols>
    <col min="1" max="1" width="8" customWidth="1"/>
    <col min="2" max="2" width="10.75" bestFit="1" customWidth="1"/>
    <col min="3" max="3" width="14.125" customWidth="1"/>
    <col min="4" max="4" width="12.75" customWidth="1"/>
    <col min="5" max="5" width="9.5" bestFit="1" customWidth="1"/>
    <col min="6" max="6" width="8.75" bestFit="1" customWidth="1"/>
    <col min="7" max="7" width="3.5" customWidth="1"/>
    <col min="8" max="8" width="17.875" hidden="1" customWidth="1"/>
    <col min="9" max="9" width="28.5" bestFit="1" customWidth="1"/>
    <col min="10" max="10" width="8.125" customWidth="1"/>
    <col min="11" max="11" width="5.5" customWidth="1"/>
    <col min="12" max="12" width="10.125" customWidth="1"/>
    <col min="13" max="13" width="18.375" customWidth="1"/>
    <col min="14" max="14" width="17.125" customWidth="1"/>
  </cols>
  <sheetData>
    <row r="1" spans="1:15" ht="31.5" x14ac:dyDescent="0.2">
      <c r="A1" s="59"/>
      <c r="B1" s="59"/>
      <c r="C1" s="59"/>
      <c r="D1" s="59"/>
      <c r="E1" s="59"/>
      <c r="F1" s="320" t="s">
        <v>213</v>
      </c>
      <c r="G1" s="320"/>
      <c r="H1" s="320"/>
      <c r="I1" s="320"/>
      <c r="J1" s="320"/>
      <c r="K1" s="320"/>
      <c r="L1" s="107"/>
      <c r="M1" s="108"/>
      <c r="N1" s="108"/>
    </row>
    <row r="2" spans="1:15" ht="27" customHeight="1" x14ac:dyDescent="0.2">
      <c r="A2" s="55" t="s">
        <v>0</v>
      </c>
      <c r="B2" s="66" t="s">
        <v>79</v>
      </c>
      <c r="C2" s="55" t="s">
        <v>29</v>
      </c>
      <c r="D2" s="54" t="s">
        <v>31</v>
      </c>
      <c r="E2" s="54" t="s">
        <v>30</v>
      </c>
      <c r="F2" s="55" t="s">
        <v>32</v>
      </c>
      <c r="G2" s="55"/>
      <c r="H2" s="55" t="s">
        <v>77</v>
      </c>
      <c r="I2" s="55" t="s">
        <v>34</v>
      </c>
      <c r="J2" s="114" t="s">
        <v>239</v>
      </c>
      <c r="K2" s="300" t="s">
        <v>240</v>
      </c>
      <c r="L2" s="301"/>
      <c r="M2" s="55" t="s">
        <v>78</v>
      </c>
      <c r="N2" s="55" t="s">
        <v>85</v>
      </c>
      <c r="O2" s="16"/>
    </row>
    <row r="3" spans="1:15" ht="22.5" customHeight="1" x14ac:dyDescent="0.2">
      <c r="A3" s="92">
        <v>242374</v>
      </c>
      <c r="B3" s="93">
        <v>630643</v>
      </c>
      <c r="C3" s="93" t="s">
        <v>125</v>
      </c>
      <c r="D3" s="93" t="s">
        <v>132</v>
      </c>
      <c r="E3" s="93" t="s">
        <v>144</v>
      </c>
      <c r="F3" s="93" t="s">
        <v>145</v>
      </c>
      <c r="G3" s="93">
        <v>3</v>
      </c>
      <c r="H3" s="95" t="s">
        <v>138</v>
      </c>
      <c r="I3" s="96" t="s">
        <v>157</v>
      </c>
      <c r="J3" s="111">
        <v>5100</v>
      </c>
      <c r="K3" s="167" t="s">
        <v>147</v>
      </c>
      <c r="L3" s="168"/>
      <c r="M3" s="93" t="s">
        <v>122</v>
      </c>
      <c r="N3" s="93" t="s">
        <v>146</v>
      </c>
    </row>
    <row r="4" spans="1:15" ht="22.5" customHeight="1" x14ac:dyDescent="0.2">
      <c r="A4" s="92">
        <v>242375</v>
      </c>
      <c r="B4" s="93">
        <v>630648</v>
      </c>
      <c r="C4" s="93" t="s">
        <v>140</v>
      </c>
      <c r="D4" s="93" t="s">
        <v>139</v>
      </c>
      <c r="E4" s="93" t="s">
        <v>154</v>
      </c>
      <c r="F4" s="93" t="s">
        <v>134</v>
      </c>
      <c r="G4" s="93">
        <v>1</v>
      </c>
      <c r="H4" s="95" t="s">
        <v>138</v>
      </c>
      <c r="I4" s="96" t="s">
        <v>157</v>
      </c>
      <c r="J4" s="112">
        <v>25740</v>
      </c>
      <c r="K4" s="93">
        <v>600</v>
      </c>
      <c r="L4" s="93" t="s">
        <v>51</v>
      </c>
      <c r="M4" s="93" t="s">
        <v>122</v>
      </c>
      <c r="N4" s="93" t="s">
        <v>136</v>
      </c>
    </row>
    <row r="5" spans="1:15" ht="22.5" customHeight="1" x14ac:dyDescent="0.2">
      <c r="A5" s="92">
        <v>242375</v>
      </c>
      <c r="B5" s="93">
        <v>630646</v>
      </c>
      <c r="C5" s="93" t="s">
        <v>148</v>
      </c>
      <c r="D5" s="93" t="s">
        <v>149</v>
      </c>
      <c r="E5" s="93" t="s">
        <v>150</v>
      </c>
      <c r="F5" s="93" t="s">
        <v>151</v>
      </c>
      <c r="G5" s="93">
        <v>2</v>
      </c>
      <c r="H5" s="95" t="s">
        <v>138</v>
      </c>
      <c r="I5" s="93" t="s">
        <v>152</v>
      </c>
      <c r="J5" s="112">
        <v>8300</v>
      </c>
      <c r="K5" s="93">
        <v>2400</v>
      </c>
      <c r="L5" s="93" t="s">
        <v>51</v>
      </c>
      <c r="M5" s="93" t="s">
        <v>122</v>
      </c>
      <c r="N5" s="93" t="s">
        <v>153</v>
      </c>
    </row>
    <row r="6" spans="1:15" s="70" customFormat="1" ht="22.5" customHeight="1" x14ac:dyDescent="0.2">
      <c r="A6" s="92">
        <v>242381</v>
      </c>
      <c r="B6" s="93">
        <v>630659</v>
      </c>
      <c r="C6" s="94" t="s">
        <v>155</v>
      </c>
      <c r="D6" s="93" t="s">
        <v>130</v>
      </c>
      <c r="E6" s="93" t="s">
        <v>156</v>
      </c>
      <c r="F6" s="93" t="s">
        <v>45</v>
      </c>
      <c r="G6" s="93">
        <v>1</v>
      </c>
      <c r="H6" s="95" t="s">
        <v>138</v>
      </c>
      <c r="I6" s="96" t="s">
        <v>157</v>
      </c>
      <c r="J6" s="111">
        <v>15450</v>
      </c>
      <c r="K6" s="95">
        <v>350</v>
      </c>
      <c r="L6" s="93" t="s">
        <v>51</v>
      </c>
      <c r="M6" s="95" t="s">
        <v>158</v>
      </c>
      <c r="N6" s="96" t="s">
        <v>153</v>
      </c>
    </row>
    <row r="7" spans="1:15" s="70" customFormat="1" ht="22.5" customHeight="1" x14ac:dyDescent="0.2">
      <c r="A7" s="97">
        <v>242381</v>
      </c>
      <c r="B7" s="55">
        <v>630661</v>
      </c>
      <c r="C7" s="98" t="s">
        <v>126</v>
      </c>
      <c r="D7" s="66" t="s">
        <v>159</v>
      </c>
      <c r="E7" s="55" t="s">
        <v>160</v>
      </c>
      <c r="F7" s="55" t="s">
        <v>46</v>
      </c>
      <c r="G7" s="55">
        <v>2</v>
      </c>
      <c r="H7" s="99" t="s">
        <v>138</v>
      </c>
      <c r="I7" s="100" t="s">
        <v>161</v>
      </c>
      <c r="J7" s="112">
        <v>10560</v>
      </c>
      <c r="K7" s="99">
        <v>818</v>
      </c>
      <c r="L7" s="55" t="s">
        <v>51</v>
      </c>
      <c r="M7" s="99" t="s">
        <v>158</v>
      </c>
      <c r="N7" s="100" t="s">
        <v>153</v>
      </c>
    </row>
    <row r="8" spans="1:15" s="70" customFormat="1" ht="22.5" customHeight="1" x14ac:dyDescent="0.2">
      <c r="A8" s="97">
        <v>242389</v>
      </c>
      <c r="B8" s="55">
        <v>630672</v>
      </c>
      <c r="C8" s="98" t="s">
        <v>183</v>
      </c>
      <c r="D8" s="66" t="s">
        <v>133</v>
      </c>
      <c r="E8" s="55" t="s">
        <v>184</v>
      </c>
      <c r="F8" s="55" t="s">
        <v>185</v>
      </c>
      <c r="G8" s="55">
        <v>1</v>
      </c>
      <c r="H8" s="99" t="s">
        <v>138</v>
      </c>
      <c r="I8" s="100" t="s">
        <v>186</v>
      </c>
      <c r="J8" s="112">
        <v>5250</v>
      </c>
      <c r="K8" s="99">
        <v>500</v>
      </c>
      <c r="L8" s="55" t="s">
        <v>51</v>
      </c>
      <c r="M8" s="99" t="s">
        <v>158</v>
      </c>
      <c r="N8" s="100" t="s">
        <v>166</v>
      </c>
    </row>
    <row r="9" spans="1:15" s="70" customFormat="1" ht="22.5" customHeight="1" x14ac:dyDescent="0.2">
      <c r="A9" s="97">
        <v>242389</v>
      </c>
      <c r="B9" s="55">
        <v>630673</v>
      </c>
      <c r="C9" s="98" t="s">
        <v>178</v>
      </c>
      <c r="D9" s="66" t="s">
        <v>143</v>
      </c>
      <c r="E9" s="55" t="s">
        <v>179</v>
      </c>
      <c r="F9" s="55" t="s">
        <v>180</v>
      </c>
      <c r="G9" s="55">
        <v>3</v>
      </c>
      <c r="H9" s="99" t="s">
        <v>138</v>
      </c>
      <c r="I9" s="100" t="s">
        <v>181</v>
      </c>
      <c r="J9" s="112">
        <v>10400</v>
      </c>
      <c r="K9" s="99">
        <v>875</v>
      </c>
      <c r="L9" s="55" t="s">
        <v>51</v>
      </c>
      <c r="M9" s="99" t="s">
        <v>158</v>
      </c>
      <c r="N9" s="100" t="s">
        <v>182</v>
      </c>
    </row>
    <row r="10" spans="1:15" s="70" customFormat="1" ht="22.5" customHeight="1" x14ac:dyDescent="0.2">
      <c r="A10" s="97">
        <v>242389</v>
      </c>
      <c r="B10" s="55">
        <v>630674</v>
      </c>
      <c r="C10" s="98" t="s">
        <v>174</v>
      </c>
      <c r="D10" s="66" t="s">
        <v>132</v>
      </c>
      <c r="E10" s="55" t="s">
        <v>175</v>
      </c>
      <c r="F10" s="55" t="s">
        <v>176</v>
      </c>
      <c r="G10" s="55">
        <v>3</v>
      </c>
      <c r="H10" s="99" t="s">
        <v>138</v>
      </c>
      <c r="I10" s="100" t="s">
        <v>177</v>
      </c>
      <c r="J10" s="112">
        <v>5100</v>
      </c>
      <c r="K10" s="99">
        <v>325</v>
      </c>
      <c r="L10" s="55" t="s">
        <v>51</v>
      </c>
      <c r="M10" s="99" t="s">
        <v>158</v>
      </c>
      <c r="N10" s="100" t="s">
        <v>166</v>
      </c>
    </row>
    <row r="11" spans="1:15" s="70" customFormat="1" ht="22.5" customHeight="1" x14ac:dyDescent="0.2">
      <c r="A11" s="97">
        <v>242389</v>
      </c>
      <c r="B11" s="55">
        <v>630679</v>
      </c>
      <c r="C11" s="98" t="s">
        <v>142</v>
      </c>
      <c r="D11" s="66" t="s">
        <v>127</v>
      </c>
      <c r="E11" s="55" t="s">
        <v>168</v>
      </c>
      <c r="F11" s="55" t="s">
        <v>169</v>
      </c>
      <c r="G11" s="55">
        <v>4</v>
      </c>
      <c r="H11" s="99" t="s">
        <v>167</v>
      </c>
      <c r="I11" s="100" t="s">
        <v>170</v>
      </c>
      <c r="J11" s="112">
        <v>5250</v>
      </c>
      <c r="K11" s="99">
        <v>266</v>
      </c>
      <c r="L11" s="55" t="s">
        <v>51</v>
      </c>
      <c r="M11" s="99" t="s">
        <v>158</v>
      </c>
      <c r="N11" s="100" t="s">
        <v>171</v>
      </c>
    </row>
    <row r="12" spans="1:15" s="70" customFormat="1" ht="22.5" customHeight="1" x14ac:dyDescent="0.2">
      <c r="A12" s="97">
        <v>242389</v>
      </c>
      <c r="B12" s="55">
        <v>630678</v>
      </c>
      <c r="C12" s="98" t="s">
        <v>137</v>
      </c>
      <c r="D12" s="66" t="s">
        <v>131</v>
      </c>
      <c r="E12" s="55" t="s">
        <v>172</v>
      </c>
      <c r="F12" s="55" t="s">
        <v>164</v>
      </c>
      <c r="G12" s="55">
        <v>9</v>
      </c>
      <c r="H12" s="99" t="s">
        <v>167</v>
      </c>
      <c r="I12" s="100" t="s">
        <v>173</v>
      </c>
      <c r="J12" s="112">
        <v>5100</v>
      </c>
      <c r="K12" s="99">
        <v>250</v>
      </c>
      <c r="L12" s="55" t="s">
        <v>51</v>
      </c>
      <c r="M12" s="99" t="s">
        <v>158</v>
      </c>
      <c r="N12" s="100" t="s">
        <v>166</v>
      </c>
    </row>
    <row r="13" spans="1:15" ht="22.5" customHeight="1" x14ac:dyDescent="0.2">
      <c r="A13" s="97">
        <v>242389</v>
      </c>
      <c r="B13" s="55">
        <v>630681</v>
      </c>
      <c r="C13" s="98" t="s">
        <v>162</v>
      </c>
      <c r="D13" s="66" t="s">
        <v>139</v>
      </c>
      <c r="E13" s="55" t="s">
        <v>163</v>
      </c>
      <c r="F13" s="55" t="s">
        <v>164</v>
      </c>
      <c r="G13" s="55">
        <v>9</v>
      </c>
      <c r="H13" s="99" t="s">
        <v>138</v>
      </c>
      <c r="I13" s="100" t="s">
        <v>165</v>
      </c>
      <c r="J13" s="112">
        <v>5244</v>
      </c>
      <c r="K13" s="99">
        <v>375</v>
      </c>
      <c r="L13" s="55" t="s">
        <v>51</v>
      </c>
      <c r="M13" s="99" t="s">
        <v>158</v>
      </c>
      <c r="N13" s="100" t="s">
        <v>166</v>
      </c>
    </row>
    <row r="14" spans="1:15" ht="22.5" customHeight="1" x14ac:dyDescent="0.4">
      <c r="A14" s="97">
        <v>242398</v>
      </c>
      <c r="B14" s="93">
        <v>630701</v>
      </c>
      <c r="C14" s="93" t="s">
        <v>187</v>
      </c>
      <c r="D14" s="93" t="s">
        <v>128</v>
      </c>
      <c r="E14" s="93" t="s">
        <v>188</v>
      </c>
      <c r="F14" s="93" t="s">
        <v>45</v>
      </c>
      <c r="G14" s="93">
        <v>1</v>
      </c>
      <c r="H14" s="99" t="s">
        <v>167</v>
      </c>
      <c r="I14" s="93" t="s">
        <v>189</v>
      </c>
      <c r="J14" s="113">
        <v>20600</v>
      </c>
      <c r="K14" s="93">
        <v>275</v>
      </c>
      <c r="L14" s="93" t="s">
        <v>51</v>
      </c>
      <c r="M14" s="109" t="s">
        <v>190</v>
      </c>
      <c r="N14" s="93" t="s">
        <v>191</v>
      </c>
    </row>
    <row r="15" spans="1:15" ht="22.5" customHeight="1" x14ac:dyDescent="0.2">
      <c r="A15" s="97">
        <v>242398</v>
      </c>
      <c r="B15" s="93">
        <v>630702</v>
      </c>
      <c r="C15" s="93" t="s">
        <v>192</v>
      </c>
      <c r="D15" s="93" t="s">
        <v>123</v>
      </c>
      <c r="E15" s="93" t="s">
        <v>193</v>
      </c>
      <c r="F15" s="93" t="s">
        <v>45</v>
      </c>
      <c r="G15" s="93">
        <v>1</v>
      </c>
      <c r="H15" s="99" t="s">
        <v>167</v>
      </c>
      <c r="I15" s="93" t="s">
        <v>194</v>
      </c>
      <c r="J15" s="113">
        <v>5155</v>
      </c>
      <c r="K15" s="93">
        <v>528</v>
      </c>
      <c r="L15" s="93" t="s">
        <v>51</v>
      </c>
      <c r="M15" s="110" t="s">
        <v>190</v>
      </c>
      <c r="N15" s="93" t="s">
        <v>191</v>
      </c>
    </row>
    <row r="16" spans="1:15" ht="22.5" customHeight="1" x14ac:dyDescent="0.2">
      <c r="A16" s="97">
        <v>242404</v>
      </c>
      <c r="B16" s="93">
        <v>630728</v>
      </c>
      <c r="C16" s="93" t="s">
        <v>214</v>
      </c>
      <c r="D16" s="93" t="s">
        <v>159</v>
      </c>
      <c r="E16" s="93" t="s">
        <v>291</v>
      </c>
      <c r="F16" s="93" t="s">
        <v>46</v>
      </c>
      <c r="G16" s="93">
        <v>2</v>
      </c>
      <c r="H16" s="99" t="s">
        <v>167</v>
      </c>
      <c r="I16" s="100" t="s">
        <v>195</v>
      </c>
      <c r="J16" s="111">
        <v>10500</v>
      </c>
      <c r="K16" s="93">
        <v>500</v>
      </c>
      <c r="L16" s="93" t="s">
        <v>51</v>
      </c>
      <c r="M16" s="110" t="s">
        <v>190</v>
      </c>
      <c r="N16" s="100" t="s">
        <v>166</v>
      </c>
    </row>
    <row r="17" spans="1:14" ht="22.5" customHeight="1" x14ac:dyDescent="0.2">
      <c r="A17" s="97">
        <v>242405</v>
      </c>
      <c r="B17" s="93" t="s">
        <v>315</v>
      </c>
      <c r="C17" s="93" t="s">
        <v>215</v>
      </c>
      <c r="D17" s="93" t="s">
        <v>131</v>
      </c>
      <c r="E17" s="93" t="s">
        <v>292</v>
      </c>
      <c r="F17" s="93" t="s">
        <v>46</v>
      </c>
      <c r="G17" s="93">
        <v>2</v>
      </c>
      <c r="H17" s="99" t="s">
        <v>167</v>
      </c>
      <c r="I17" s="100" t="s">
        <v>225</v>
      </c>
      <c r="J17" s="112">
        <v>5100</v>
      </c>
      <c r="K17" s="93">
        <v>150</v>
      </c>
      <c r="L17" s="93" t="s">
        <v>51</v>
      </c>
      <c r="M17" s="110" t="s">
        <v>190</v>
      </c>
      <c r="N17" s="100" t="s">
        <v>166</v>
      </c>
    </row>
    <row r="18" spans="1:14" ht="22.5" customHeight="1" x14ac:dyDescent="0.2">
      <c r="A18" s="97">
        <v>242405</v>
      </c>
      <c r="B18" s="93" t="s">
        <v>315</v>
      </c>
      <c r="C18" s="93" t="s">
        <v>216</v>
      </c>
      <c r="D18" s="93" t="s">
        <v>131</v>
      </c>
      <c r="E18" s="93" t="s">
        <v>293</v>
      </c>
      <c r="F18" s="93" t="s">
        <v>46</v>
      </c>
      <c r="G18" s="93">
        <v>2</v>
      </c>
      <c r="H18" s="99" t="s">
        <v>167</v>
      </c>
      <c r="I18" s="93" t="s">
        <v>226</v>
      </c>
      <c r="J18" s="112">
        <v>8200</v>
      </c>
      <c r="K18" s="93">
        <v>200</v>
      </c>
      <c r="L18" s="93" t="s">
        <v>51</v>
      </c>
      <c r="M18" s="110" t="s">
        <v>190</v>
      </c>
      <c r="N18" s="100" t="s">
        <v>166</v>
      </c>
    </row>
    <row r="19" spans="1:14" ht="22.5" customHeight="1" x14ac:dyDescent="0.2">
      <c r="A19" s="97">
        <v>242407</v>
      </c>
      <c r="B19" s="93" t="s">
        <v>315</v>
      </c>
      <c r="C19" s="93" t="s">
        <v>217</v>
      </c>
      <c r="D19" s="93" t="s">
        <v>133</v>
      </c>
      <c r="E19" s="93" t="s">
        <v>294</v>
      </c>
      <c r="F19" s="93" t="s">
        <v>45</v>
      </c>
      <c r="G19" s="93">
        <v>1</v>
      </c>
      <c r="H19" s="99" t="s">
        <v>167</v>
      </c>
      <c r="I19" s="93" t="s">
        <v>227</v>
      </c>
      <c r="J19" s="112">
        <v>5285</v>
      </c>
      <c r="K19" s="93">
        <v>150</v>
      </c>
      <c r="L19" s="93" t="s">
        <v>51</v>
      </c>
      <c r="M19" s="110" t="s">
        <v>190</v>
      </c>
      <c r="N19" s="100" t="s">
        <v>166</v>
      </c>
    </row>
    <row r="20" spans="1:14" ht="22.5" customHeight="1" x14ac:dyDescent="0.2">
      <c r="A20" s="97">
        <v>242407</v>
      </c>
      <c r="B20" s="93" t="s">
        <v>315</v>
      </c>
      <c r="C20" s="93" t="s">
        <v>129</v>
      </c>
      <c r="D20" s="93" t="s">
        <v>286</v>
      </c>
      <c r="E20" s="93" t="s">
        <v>295</v>
      </c>
      <c r="F20" s="93" t="s">
        <v>45</v>
      </c>
      <c r="G20" s="93">
        <v>1</v>
      </c>
      <c r="H20" s="99" t="s">
        <v>167</v>
      </c>
      <c r="I20" s="100" t="s">
        <v>228</v>
      </c>
      <c r="J20" s="112">
        <v>10070</v>
      </c>
      <c r="K20" s="93">
        <v>400</v>
      </c>
      <c r="L20" s="93" t="s">
        <v>51</v>
      </c>
      <c r="M20" s="110" t="s">
        <v>190</v>
      </c>
      <c r="N20" s="100" t="s">
        <v>166</v>
      </c>
    </row>
    <row r="21" spans="1:14" ht="22.5" customHeight="1" x14ac:dyDescent="0.2">
      <c r="A21" s="97">
        <v>242409</v>
      </c>
      <c r="B21" s="93" t="s">
        <v>315</v>
      </c>
      <c r="C21" s="93" t="s">
        <v>218</v>
      </c>
      <c r="D21" s="93" t="s">
        <v>128</v>
      </c>
      <c r="E21" s="93" t="s">
        <v>296</v>
      </c>
      <c r="F21" s="93" t="s">
        <v>224</v>
      </c>
      <c r="G21" s="93">
        <v>4</v>
      </c>
      <c r="H21" s="99" t="s">
        <v>167</v>
      </c>
      <c r="I21" s="100" t="s">
        <v>229</v>
      </c>
      <c r="J21" s="112">
        <v>20500</v>
      </c>
      <c r="K21" s="174" t="s">
        <v>236</v>
      </c>
      <c r="L21" s="168"/>
      <c r="M21" s="110" t="s">
        <v>190</v>
      </c>
      <c r="N21" s="93" t="s">
        <v>237</v>
      </c>
    </row>
    <row r="22" spans="1:14" ht="22.5" customHeight="1" x14ac:dyDescent="0.2">
      <c r="A22" s="97">
        <v>242411</v>
      </c>
      <c r="B22" s="93" t="s">
        <v>315</v>
      </c>
      <c r="C22" s="93" t="s">
        <v>220</v>
      </c>
      <c r="D22" s="93" t="s">
        <v>123</v>
      </c>
      <c r="E22" s="93" t="s">
        <v>297</v>
      </c>
      <c r="F22" s="93" t="s">
        <v>45</v>
      </c>
      <c r="G22" s="93">
        <v>1</v>
      </c>
      <c r="H22" s="99" t="s">
        <v>167</v>
      </c>
      <c r="I22" s="100" t="s">
        <v>231</v>
      </c>
      <c r="J22" s="112">
        <v>5250</v>
      </c>
      <c r="K22" s="93">
        <v>200</v>
      </c>
      <c r="L22" s="93" t="s">
        <v>51</v>
      </c>
      <c r="M22" s="110" t="s">
        <v>190</v>
      </c>
      <c r="N22" s="93" t="s">
        <v>238</v>
      </c>
    </row>
    <row r="23" spans="1:14" ht="22.5" customHeight="1" x14ac:dyDescent="0.2">
      <c r="A23" s="97">
        <v>242411</v>
      </c>
      <c r="B23" s="93" t="s">
        <v>315</v>
      </c>
      <c r="C23" s="93" t="s">
        <v>219</v>
      </c>
      <c r="D23" s="93" t="s">
        <v>287</v>
      </c>
      <c r="E23" s="93" t="s">
        <v>298</v>
      </c>
      <c r="F23" s="93" t="s">
        <v>105</v>
      </c>
      <c r="G23" s="93">
        <v>3</v>
      </c>
      <c r="H23" s="99" t="s">
        <v>167</v>
      </c>
      <c r="I23" s="100" t="s">
        <v>230</v>
      </c>
      <c r="J23" s="112">
        <v>10000</v>
      </c>
      <c r="K23" s="93">
        <v>275</v>
      </c>
      <c r="L23" s="93" t="s">
        <v>51</v>
      </c>
      <c r="M23" s="110" t="s">
        <v>190</v>
      </c>
      <c r="N23" s="93" t="s">
        <v>191</v>
      </c>
    </row>
    <row r="24" spans="1:14" ht="22.5" customHeight="1" x14ac:dyDescent="0.2">
      <c r="A24" s="97">
        <v>242412</v>
      </c>
      <c r="B24" s="93" t="s">
        <v>315</v>
      </c>
      <c r="C24" s="93" t="s">
        <v>221</v>
      </c>
      <c r="D24" s="93" t="s">
        <v>133</v>
      </c>
      <c r="E24" s="93" t="s">
        <v>299</v>
      </c>
      <c r="F24" s="93" t="s">
        <v>45</v>
      </c>
      <c r="G24" s="93">
        <v>1</v>
      </c>
      <c r="H24" s="99" t="s">
        <v>167</v>
      </c>
      <c r="I24" s="100" t="s">
        <v>232</v>
      </c>
      <c r="J24" s="113">
        <v>5250</v>
      </c>
      <c r="K24" s="93">
        <v>175</v>
      </c>
      <c r="L24" s="93" t="s">
        <v>51</v>
      </c>
      <c r="M24" s="110" t="s">
        <v>190</v>
      </c>
      <c r="N24" s="100" t="s">
        <v>166</v>
      </c>
    </row>
    <row r="25" spans="1:14" ht="22.5" customHeight="1" x14ac:dyDescent="0.2">
      <c r="A25" s="97">
        <v>242416</v>
      </c>
      <c r="B25" s="93" t="s">
        <v>315</v>
      </c>
      <c r="C25" s="93" t="s">
        <v>223</v>
      </c>
      <c r="D25" s="93" t="s">
        <v>288</v>
      </c>
      <c r="E25" s="93" t="s">
        <v>300</v>
      </c>
      <c r="F25" s="93" t="s">
        <v>45</v>
      </c>
      <c r="G25" s="93">
        <v>1</v>
      </c>
      <c r="H25" s="99" t="s">
        <v>167</v>
      </c>
      <c r="I25" s="100" t="s">
        <v>235</v>
      </c>
      <c r="J25" s="112">
        <v>20485</v>
      </c>
      <c r="K25" s="93">
        <v>200</v>
      </c>
      <c r="L25" s="93" t="s">
        <v>51</v>
      </c>
      <c r="M25" s="110" t="s">
        <v>190</v>
      </c>
      <c r="N25" s="100" t="s">
        <v>166</v>
      </c>
    </row>
    <row r="26" spans="1:14" ht="22.5" customHeight="1" x14ac:dyDescent="0.2">
      <c r="A26" s="97">
        <v>242416</v>
      </c>
      <c r="B26" s="93" t="s">
        <v>315</v>
      </c>
      <c r="C26" s="93" t="s">
        <v>222</v>
      </c>
      <c r="D26" s="93" t="s">
        <v>127</v>
      </c>
      <c r="E26" s="93" t="s">
        <v>301</v>
      </c>
      <c r="F26" s="93" t="s">
        <v>106</v>
      </c>
      <c r="G26" s="93">
        <v>4</v>
      </c>
      <c r="H26" s="99" t="s">
        <v>167</v>
      </c>
      <c r="I26" s="100" t="s">
        <v>233</v>
      </c>
      <c r="J26" s="113">
        <v>20600</v>
      </c>
      <c r="K26" s="93">
        <v>257</v>
      </c>
      <c r="L26" s="93" t="s">
        <v>51</v>
      </c>
      <c r="M26" s="110" t="s">
        <v>190</v>
      </c>
      <c r="N26" s="100" t="s">
        <v>166</v>
      </c>
    </row>
    <row r="27" spans="1:14" ht="22.5" customHeight="1" x14ac:dyDescent="0.2">
      <c r="A27" s="97">
        <v>242416</v>
      </c>
      <c r="B27" s="93" t="s">
        <v>315</v>
      </c>
      <c r="C27" s="93" t="s">
        <v>222</v>
      </c>
      <c r="D27" s="93" t="s">
        <v>127</v>
      </c>
      <c r="E27" s="93" t="s">
        <v>301</v>
      </c>
      <c r="F27" s="93" t="s">
        <v>106</v>
      </c>
      <c r="G27" s="93">
        <v>4</v>
      </c>
      <c r="H27" s="99" t="s">
        <v>167</v>
      </c>
      <c r="I27" s="100" t="s">
        <v>234</v>
      </c>
      <c r="J27" s="112">
        <v>20600</v>
      </c>
      <c r="K27" s="93">
        <v>400</v>
      </c>
      <c r="L27" s="93" t="s">
        <v>51</v>
      </c>
      <c r="M27" s="110" t="s">
        <v>190</v>
      </c>
      <c r="N27" s="100" t="s">
        <v>166</v>
      </c>
    </row>
    <row r="28" spans="1:14" ht="22.5" customHeight="1" x14ac:dyDescent="0.2">
      <c r="A28" s="97">
        <v>242416</v>
      </c>
      <c r="B28" s="93" t="s">
        <v>315</v>
      </c>
      <c r="C28" s="93" t="s">
        <v>276</v>
      </c>
      <c r="D28" s="93" t="s">
        <v>289</v>
      </c>
      <c r="E28" s="93" t="s">
        <v>302</v>
      </c>
      <c r="F28" s="93" t="s">
        <v>46</v>
      </c>
      <c r="G28" s="93">
        <v>2</v>
      </c>
      <c r="H28" s="93"/>
      <c r="I28" s="93" t="s">
        <v>278</v>
      </c>
      <c r="J28" s="93">
        <v>1365</v>
      </c>
      <c r="K28" s="93">
        <v>800</v>
      </c>
      <c r="L28" s="93" t="s">
        <v>51</v>
      </c>
      <c r="M28" s="110" t="s">
        <v>190</v>
      </c>
      <c r="N28" s="93" t="s">
        <v>280</v>
      </c>
    </row>
    <row r="29" spans="1:14" ht="22.5" customHeight="1" x14ac:dyDescent="0.2">
      <c r="A29" s="97">
        <v>242416</v>
      </c>
      <c r="B29" s="93" t="s">
        <v>315</v>
      </c>
      <c r="C29" s="93" t="s">
        <v>277</v>
      </c>
      <c r="D29" s="93" t="s">
        <v>127</v>
      </c>
      <c r="E29" s="93" t="s">
        <v>303</v>
      </c>
      <c r="F29" s="93" t="s">
        <v>106</v>
      </c>
      <c r="G29" s="93">
        <v>4</v>
      </c>
      <c r="H29" s="93"/>
      <c r="I29" s="93" t="s">
        <v>279</v>
      </c>
      <c r="J29" s="93"/>
      <c r="K29" s="93">
        <v>400</v>
      </c>
      <c r="L29" s="93" t="s">
        <v>51</v>
      </c>
      <c r="M29" s="110" t="s">
        <v>190</v>
      </c>
      <c r="N29" s="100" t="s">
        <v>166</v>
      </c>
    </row>
    <row r="30" spans="1:14" ht="22.5" customHeight="1" x14ac:dyDescent="0.2">
      <c r="A30" s="97">
        <v>242417</v>
      </c>
      <c r="B30" s="93" t="s">
        <v>315</v>
      </c>
      <c r="C30" s="93" t="s">
        <v>281</v>
      </c>
      <c r="D30" s="93" t="s">
        <v>130</v>
      </c>
      <c r="E30" s="93" t="s">
        <v>307</v>
      </c>
      <c r="F30" s="93" t="s">
        <v>106</v>
      </c>
      <c r="G30" s="93">
        <v>4</v>
      </c>
      <c r="H30" s="93"/>
      <c r="I30" s="93" t="s">
        <v>309</v>
      </c>
      <c r="J30" s="93">
        <v>2552</v>
      </c>
      <c r="K30" s="93">
        <v>225</v>
      </c>
      <c r="L30" s="93" t="s">
        <v>51</v>
      </c>
      <c r="M30" s="110" t="s">
        <v>190</v>
      </c>
      <c r="N30" s="100" t="s">
        <v>166</v>
      </c>
    </row>
    <row r="31" spans="1:14" ht="22.5" customHeight="1" x14ac:dyDescent="0.2">
      <c r="A31" s="97">
        <v>242417</v>
      </c>
      <c r="B31" s="93" t="s">
        <v>315</v>
      </c>
      <c r="C31" s="93" t="s">
        <v>282</v>
      </c>
      <c r="D31" s="93" t="s">
        <v>128</v>
      </c>
      <c r="E31" s="93" t="s">
        <v>308</v>
      </c>
      <c r="F31" s="93" t="s">
        <v>45</v>
      </c>
      <c r="G31" s="93">
        <v>1</v>
      </c>
      <c r="H31" s="93"/>
      <c r="I31" s="93" t="s">
        <v>310</v>
      </c>
      <c r="J31" s="93">
        <v>2140</v>
      </c>
      <c r="K31" s="93">
        <v>1000</v>
      </c>
      <c r="L31" s="93" t="s">
        <v>51</v>
      </c>
      <c r="M31" s="110" t="s">
        <v>190</v>
      </c>
      <c r="N31" s="100" t="s">
        <v>166</v>
      </c>
    </row>
    <row r="32" spans="1:14" ht="22.5" customHeight="1" x14ac:dyDescent="0.2">
      <c r="A32" s="97">
        <v>242418</v>
      </c>
      <c r="B32" s="93" t="s">
        <v>315</v>
      </c>
      <c r="C32" s="93" t="s">
        <v>283</v>
      </c>
      <c r="D32" s="93" t="s">
        <v>128</v>
      </c>
      <c r="E32" s="93" t="s">
        <v>304</v>
      </c>
      <c r="F32" s="93" t="s">
        <v>45</v>
      </c>
      <c r="G32" s="93">
        <v>1</v>
      </c>
      <c r="H32" s="93"/>
      <c r="I32" s="93" t="s">
        <v>311</v>
      </c>
      <c r="J32" s="93"/>
      <c r="K32" s="93">
        <v>70</v>
      </c>
      <c r="L32" s="93" t="s">
        <v>51</v>
      </c>
      <c r="M32" s="110" t="s">
        <v>190</v>
      </c>
      <c r="N32" s="93" t="s">
        <v>314</v>
      </c>
    </row>
    <row r="33" spans="1:14" ht="22.5" customHeight="1" x14ac:dyDescent="0.2">
      <c r="A33" s="97">
        <v>242418</v>
      </c>
      <c r="B33" s="93" t="s">
        <v>315</v>
      </c>
      <c r="C33" s="93" t="s">
        <v>284</v>
      </c>
      <c r="D33" s="93" t="s">
        <v>286</v>
      </c>
      <c r="E33" s="93" t="s">
        <v>305</v>
      </c>
      <c r="F33" s="93" t="s">
        <v>124</v>
      </c>
      <c r="G33" s="93">
        <v>9</v>
      </c>
      <c r="H33" s="93"/>
      <c r="I33" s="93" t="s">
        <v>312</v>
      </c>
      <c r="J33" s="93">
        <v>1229</v>
      </c>
      <c r="K33" s="93">
        <v>59</v>
      </c>
      <c r="L33" s="93" t="s">
        <v>51</v>
      </c>
      <c r="M33" s="110" t="s">
        <v>190</v>
      </c>
      <c r="N33" s="93" t="s">
        <v>238</v>
      </c>
    </row>
    <row r="34" spans="1:14" ht="22.5" customHeight="1" x14ac:dyDescent="0.2">
      <c r="A34" s="97">
        <v>242418</v>
      </c>
      <c r="B34" s="93" t="s">
        <v>315</v>
      </c>
      <c r="C34" s="93" t="s">
        <v>285</v>
      </c>
      <c r="D34" s="93" t="s">
        <v>290</v>
      </c>
      <c r="E34" s="93" t="s">
        <v>306</v>
      </c>
      <c r="F34" s="93" t="s">
        <v>105</v>
      </c>
      <c r="G34" s="93">
        <v>3</v>
      </c>
      <c r="H34" s="93"/>
      <c r="I34" s="93" t="s">
        <v>313</v>
      </c>
      <c r="J34" s="93">
        <v>2300</v>
      </c>
      <c r="K34" s="93">
        <v>175</v>
      </c>
      <c r="L34" s="93" t="s">
        <v>51</v>
      </c>
      <c r="M34" s="110" t="s">
        <v>190</v>
      </c>
      <c r="N34" s="100" t="s">
        <v>166</v>
      </c>
    </row>
    <row r="35" spans="1:14" ht="22.5" customHeight="1" x14ac:dyDescent="0.2">
      <c r="A35" s="97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</row>
    <row r="36" spans="1:14" ht="22.5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</row>
    <row r="37" spans="1:14" ht="22.5" customHeight="1" x14ac:dyDescent="0.2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14" ht="22.5" customHeight="1" x14ac:dyDescent="0.2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</row>
    <row r="39" spans="1:14" ht="22.5" customHeight="1" x14ac:dyDescent="0.2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14" ht="22.5" customHeight="1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</row>
    <row r="41" spans="1:14" ht="22.5" customHeight="1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</row>
    <row r="42" spans="1:14" ht="22.5" customHeight="1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</row>
    <row r="43" spans="1:14" ht="22.5" customHeight="1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</row>
    <row r="44" spans="1:14" ht="22.5" customHeight="1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  <row r="45" spans="1:14" ht="22.5" customHeight="1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</row>
    <row r="46" spans="1:14" ht="22.5" customHeight="1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4" ht="22.5" customHeight="1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spans="1:14" ht="22.5" customHeight="1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spans="1:14" ht="22.5" customHeight="1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0" spans="1:14" ht="22.5" customHeight="1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1:14" ht="22.5" customHeight="1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</row>
    <row r="52" spans="1:14" ht="22.5" customHeight="1" x14ac:dyDescent="0.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</row>
    <row r="53" spans="1:14" ht="22.5" customHeight="1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22.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</row>
    <row r="55" spans="1:14" ht="22.5" customHeight="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</row>
    <row r="56" spans="1:14" ht="22.5" customHeight="1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22.5" customHeight="1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</row>
    <row r="58" spans="1:14" ht="22.5" customHeight="1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</row>
    <row r="59" spans="1:14" ht="22.5" customHeight="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22.5" customHeight="1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</row>
    <row r="61" spans="1:14" ht="22.5" customHeight="1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</row>
    <row r="62" spans="1:14" ht="22.5" customHeight="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</row>
    <row r="63" spans="1:14" ht="22.5" customHeight="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</row>
    <row r="64" spans="1:14" ht="22.5" customHeight="1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</row>
    <row r="65" spans="1:14" ht="22.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22.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22.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22.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22.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22.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22.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22.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22.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22.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22.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22.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22.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22.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22.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22.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22.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22.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22.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22.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22.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22.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22.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22.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22.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22.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22.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22.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22.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22.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22.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22.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22.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22.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22.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22.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22.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22.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22.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22.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22.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22.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22.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22.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22.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22.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22.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22.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22.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22.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22.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22.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22.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22.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22.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22.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22.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22.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22.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22.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22.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22.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22.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22.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22.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22.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22.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22.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22.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22.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8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8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8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8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8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8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8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8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8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8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8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8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8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8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8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8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8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8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8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8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8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8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8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8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8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8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8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8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8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8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8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8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8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8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8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8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8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8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8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8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8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8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8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8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8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8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8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8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8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8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8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8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8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8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8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8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8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8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8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8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8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8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8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8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8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8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8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8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8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8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8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8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8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8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8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8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8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8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8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8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8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8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8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8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8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8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8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8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8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8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8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8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8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8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8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8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8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8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8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8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8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8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8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8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8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8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8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8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8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8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8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8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8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8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8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8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8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8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8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8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8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8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8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8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8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8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8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8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8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8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8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8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8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8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8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8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8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8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8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8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8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8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8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8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8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8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8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8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8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8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8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</sheetData>
  <autoFilter ref="A2:N2" xr:uid="{00000000-0009-0000-0000-000007000000}">
    <filterColumn colId="10" showButton="0"/>
    <sortState xmlns:xlrd2="http://schemas.microsoft.com/office/spreadsheetml/2017/richdata2" ref="A3:N27">
      <sortCondition ref="A2"/>
    </sortState>
  </autoFilter>
  <mergeCells count="2">
    <mergeCell ref="F1:K1"/>
    <mergeCell ref="K2:L2"/>
  </mergeCells>
  <phoneticPr fontId="22" type="noConversion"/>
  <dataValidations count="1">
    <dataValidation type="list" allowBlank="1" showInputMessage="1" showErrorMessage="1" sqref="O2" xr:uid="{00000000-0002-0000-0700-000000000000}">
      <formula1>วันที่</formula1>
    </dataValidation>
  </dataValidations>
  <pageMargins left="0.27559055118110237" right="0.11811023622047245" top="0.70866141732283472" bottom="0.11811023622047245" header="0.31496062992125984" footer="0.15748031496062992"/>
  <pageSetup paperSize="9" scale="8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16"/>
  <sheetViews>
    <sheetView workbookViewId="0">
      <pane xSplit="8" ySplit="3" topLeftCell="I25" activePane="bottomRight" state="frozen"/>
      <selection pane="topRight" activeCell="I1" sqref="I1"/>
      <selection pane="bottomLeft" activeCell="A4" sqref="A4"/>
      <selection pane="bottomRight" activeCell="J55" sqref="J55"/>
    </sheetView>
  </sheetViews>
  <sheetFormatPr defaultRowHeight="14.25" x14ac:dyDescent="0.2"/>
  <cols>
    <col min="1" max="1" width="62.5" style="192" customWidth="1"/>
    <col min="2" max="2" width="15.625" bestFit="1" customWidth="1"/>
    <col min="3" max="3" width="9.75" bestFit="1" customWidth="1"/>
    <col min="4" max="4" width="7.375" bestFit="1" customWidth="1"/>
    <col min="5" max="5" width="7.875" bestFit="1" customWidth="1"/>
    <col min="6" max="6" width="10" bestFit="1" customWidth="1"/>
    <col min="7" max="7" width="5.875" bestFit="1" customWidth="1"/>
    <col min="8" max="8" width="13.375" bestFit="1" customWidth="1"/>
  </cols>
  <sheetData>
    <row r="1" spans="1:8" x14ac:dyDescent="0.2">
      <c r="A1" s="188" t="s">
        <v>510</v>
      </c>
      <c r="B1" s="182" t="s">
        <v>509</v>
      </c>
    </row>
    <row r="2" spans="1:8" x14ac:dyDescent="0.2">
      <c r="A2" s="188" t="s">
        <v>506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507</v>
      </c>
      <c r="H2" t="s">
        <v>508</v>
      </c>
    </row>
    <row r="3" spans="1:8" x14ac:dyDescent="0.2">
      <c r="A3" s="189" t="s">
        <v>45</v>
      </c>
      <c r="B3" s="184">
        <v>994</v>
      </c>
      <c r="C3" s="184">
        <v>3520</v>
      </c>
      <c r="D3" s="184">
        <v>6918</v>
      </c>
      <c r="E3" s="185">
        <v>2765</v>
      </c>
      <c r="F3" s="185">
        <v>5685</v>
      </c>
      <c r="G3" s="184"/>
      <c r="H3" s="184">
        <v>19882</v>
      </c>
    </row>
    <row r="4" spans="1:8" x14ac:dyDescent="0.2">
      <c r="A4" s="189">
        <v>1</v>
      </c>
      <c r="B4" s="184">
        <v>444</v>
      </c>
      <c r="C4" s="184"/>
      <c r="D4" s="184">
        <v>4125</v>
      </c>
      <c r="E4" s="186">
        <v>404</v>
      </c>
      <c r="F4" s="186">
        <v>300</v>
      </c>
      <c r="G4" s="184"/>
      <c r="H4" s="184">
        <v>5273</v>
      </c>
    </row>
    <row r="5" spans="1:8" x14ac:dyDescent="0.2">
      <c r="A5" s="189" t="s">
        <v>407</v>
      </c>
      <c r="B5" s="184"/>
      <c r="C5" s="184"/>
      <c r="D5" s="187">
        <v>775</v>
      </c>
      <c r="E5" s="184"/>
      <c r="F5" s="184"/>
      <c r="G5" s="184"/>
      <c r="H5" s="184">
        <v>775</v>
      </c>
    </row>
    <row r="6" spans="1:8" x14ac:dyDescent="0.2">
      <c r="A6" s="189" t="s">
        <v>330</v>
      </c>
      <c r="B6" s="184">
        <v>200</v>
      </c>
      <c r="C6" s="184"/>
      <c r="D6" s="184"/>
      <c r="E6" s="184"/>
      <c r="F6" s="184"/>
      <c r="G6" s="184"/>
      <c r="H6" s="184">
        <v>200</v>
      </c>
    </row>
    <row r="7" spans="1:8" x14ac:dyDescent="0.2">
      <c r="A7" s="189" t="s">
        <v>333</v>
      </c>
      <c r="B7" s="184">
        <v>244</v>
      </c>
      <c r="C7" s="184"/>
      <c r="D7" s="184"/>
      <c r="E7" s="184"/>
      <c r="F7" s="184"/>
      <c r="G7" s="184"/>
      <c r="H7" s="184">
        <v>244</v>
      </c>
    </row>
    <row r="8" spans="1:8" x14ac:dyDescent="0.2">
      <c r="A8" s="189" t="s">
        <v>421</v>
      </c>
      <c r="B8" s="184"/>
      <c r="C8" s="184"/>
      <c r="D8" s="184">
        <v>1900</v>
      </c>
      <c r="E8" s="184"/>
      <c r="F8" s="184"/>
      <c r="G8" s="184"/>
      <c r="H8" s="184">
        <v>1900</v>
      </c>
    </row>
    <row r="9" spans="1:8" x14ac:dyDescent="0.2">
      <c r="A9" s="189" t="s">
        <v>457</v>
      </c>
      <c r="B9" s="184"/>
      <c r="C9" s="184"/>
      <c r="D9" s="184"/>
      <c r="E9" s="184">
        <v>279</v>
      </c>
      <c r="F9" s="184"/>
      <c r="G9" s="184"/>
      <c r="H9" s="184">
        <v>279</v>
      </c>
    </row>
    <row r="10" spans="1:8" x14ac:dyDescent="0.2">
      <c r="A10" s="189" t="s">
        <v>467</v>
      </c>
      <c r="B10" s="184"/>
      <c r="C10" s="184"/>
      <c r="D10" s="184"/>
      <c r="E10" s="184"/>
      <c r="F10" s="184">
        <v>300</v>
      </c>
      <c r="G10" s="184"/>
      <c r="H10" s="184">
        <v>300</v>
      </c>
    </row>
    <row r="11" spans="1:8" x14ac:dyDescent="0.2">
      <c r="A11" s="189" t="s">
        <v>426</v>
      </c>
      <c r="B11" s="184"/>
      <c r="C11" s="184"/>
      <c r="D11" s="184">
        <v>375</v>
      </c>
      <c r="E11" s="184"/>
      <c r="F11" s="184"/>
      <c r="G11" s="184"/>
      <c r="H11" s="184">
        <v>375</v>
      </c>
    </row>
    <row r="12" spans="1:8" x14ac:dyDescent="0.2">
      <c r="A12" s="189" t="s">
        <v>402</v>
      </c>
      <c r="B12" s="184"/>
      <c r="C12" s="184"/>
      <c r="D12" s="184">
        <v>475</v>
      </c>
      <c r="E12" s="184"/>
      <c r="F12" s="184"/>
      <c r="G12" s="184"/>
      <c r="H12" s="184">
        <v>475</v>
      </c>
    </row>
    <row r="13" spans="1:8" x14ac:dyDescent="0.2">
      <c r="A13" s="189" t="s">
        <v>429</v>
      </c>
      <c r="B13" s="184"/>
      <c r="C13" s="184"/>
      <c r="D13" s="184">
        <v>600</v>
      </c>
      <c r="E13" s="184"/>
      <c r="F13" s="184"/>
      <c r="G13" s="184"/>
      <c r="H13" s="184">
        <v>600</v>
      </c>
    </row>
    <row r="14" spans="1:8" x14ac:dyDescent="0.2">
      <c r="A14" s="189" t="s">
        <v>443</v>
      </c>
      <c r="B14" s="184"/>
      <c r="C14" s="184"/>
      <c r="D14" s="184"/>
      <c r="E14" s="187">
        <v>125</v>
      </c>
      <c r="F14" s="184"/>
      <c r="G14" s="184"/>
      <c r="H14" s="184">
        <v>125</v>
      </c>
    </row>
    <row r="15" spans="1:8" x14ac:dyDescent="0.2">
      <c r="A15" s="189">
        <v>2</v>
      </c>
      <c r="B15" s="184">
        <v>550</v>
      </c>
      <c r="C15" s="184">
        <v>3520</v>
      </c>
      <c r="D15" s="184">
        <v>2600</v>
      </c>
      <c r="E15" s="186">
        <v>2223</v>
      </c>
      <c r="F15" s="186">
        <v>5225</v>
      </c>
      <c r="G15" s="184"/>
      <c r="H15" s="184">
        <v>14118</v>
      </c>
    </row>
    <row r="16" spans="1:8" ht="28.5" x14ac:dyDescent="0.2">
      <c r="A16" s="189" t="s">
        <v>366</v>
      </c>
      <c r="B16" s="184"/>
      <c r="C16" s="184">
        <v>2495</v>
      </c>
      <c r="D16" s="184"/>
      <c r="E16" s="184"/>
      <c r="F16" s="184"/>
      <c r="G16" s="184"/>
      <c r="H16" s="184">
        <v>2495</v>
      </c>
    </row>
    <row r="17" spans="1:8" x14ac:dyDescent="0.2">
      <c r="A17" s="189" t="s">
        <v>327</v>
      </c>
      <c r="B17" s="187">
        <v>200</v>
      </c>
      <c r="C17" s="184"/>
      <c r="D17" s="184"/>
      <c r="E17" s="184"/>
      <c r="F17" s="184"/>
      <c r="G17" s="184"/>
      <c r="H17" s="184">
        <v>200</v>
      </c>
    </row>
    <row r="18" spans="1:8" x14ac:dyDescent="0.2">
      <c r="A18" s="189" t="s">
        <v>345</v>
      </c>
      <c r="B18" s="184"/>
      <c r="C18" s="184">
        <v>200</v>
      </c>
      <c r="D18" s="184"/>
      <c r="E18" s="184"/>
      <c r="F18" s="184"/>
      <c r="G18" s="184"/>
      <c r="H18" s="184">
        <v>200</v>
      </c>
    </row>
    <row r="19" spans="1:8" ht="28.5" x14ac:dyDescent="0.2">
      <c r="A19" s="189" t="s">
        <v>483</v>
      </c>
      <c r="B19" s="184"/>
      <c r="C19" s="184"/>
      <c r="D19" s="184"/>
      <c r="E19" s="184"/>
      <c r="F19" s="187">
        <v>100</v>
      </c>
      <c r="G19" s="184"/>
      <c r="H19" s="184">
        <v>100</v>
      </c>
    </row>
    <row r="20" spans="1:8" x14ac:dyDescent="0.2">
      <c r="A20" s="189" t="s">
        <v>392</v>
      </c>
      <c r="B20" s="184"/>
      <c r="C20" s="184"/>
      <c r="D20" s="187">
        <v>400</v>
      </c>
      <c r="E20" s="184"/>
      <c r="F20" s="184"/>
      <c r="G20" s="184"/>
      <c r="H20" s="184">
        <v>400</v>
      </c>
    </row>
    <row r="21" spans="1:8" x14ac:dyDescent="0.2">
      <c r="A21" s="189" t="s">
        <v>497</v>
      </c>
      <c r="B21" s="184"/>
      <c r="C21" s="184"/>
      <c r="D21" s="184"/>
      <c r="E21" s="184"/>
      <c r="F21" s="187">
        <v>2000</v>
      </c>
      <c r="G21" s="184"/>
      <c r="H21" s="184">
        <v>2000</v>
      </c>
    </row>
    <row r="22" spans="1:8" x14ac:dyDescent="0.2">
      <c r="A22" s="189" t="s">
        <v>448</v>
      </c>
      <c r="B22" s="184"/>
      <c r="C22" s="184"/>
      <c r="D22" s="184"/>
      <c r="E22" s="184">
        <v>275</v>
      </c>
      <c r="F22" s="184"/>
      <c r="G22" s="184"/>
      <c r="H22" s="184">
        <v>275</v>
      </c>
    </row>
    <row r="23" spans="1:8" x14ac:dyDescent="0.2">
      <c r="A23" s="189" t="s">
        <v>472</v>
      </c>
      <c r="B23" s="184"/>
      <c r="C23" s="184"/>
      <c r="D23" s="184"/>
      <c r="E23" s="184">
        <v>218</v>
      </c>
      <c r="F23" s="184"/>
      <c r="G23" s="184"/>
      <c r="H23" s="184">
        <v>218</v>
      </c>
    </row>
    <row r="24" spans="1:8" x14ac:dyDescent="0.2">
      <c r="A24" s="189" t="s">
        <v>351</v>
      </c>
      <c r="B24" s="184"/>
      <c r="C24" s="184">
        <v>200</v>
      </c>
      <c r="D24" s="184"/>
      <c r="E24" s="184"/>
      <c r="F24" s="184"/>
      <c r="G24" s="184"/>
      <c r="H24" s="184">
        <v>200</v>
      </c>
    </row>
    <row r="25" spans="1:8" x14ac:dyDescent="0.2">
      <c r="A25" s="189" t="s">
        <v>338</v>
      </c>
      <c r="B25" s="187">
        <v>350</v>
      </c>
      <c r="C25" s="184"/>
      <c r="D25" s="184"/>
      <c r="E25" s="184"/>
      <c r="F25" s="184"/>
      <c r="G25" s="184"/>
      <c r="H25" s="184">
        <v>350</v>
      </c>
    </row>
    <row r="26" spans="1:8" x14ac:dyDescent="0.2">
      <c r="A26" s="190" t="s">
        <v>352</v>
      </c>
      <c r="B26" s="184"/>
      <c r="C26" s="184">
        <v>0</v>
      </c>
      <c r="D26" s="184"/>
      <c r="E26" s="184"/>
      <c r="F26" s="184"/>
      <c r="G26" s="184"/>
      <c r="H26" s="184">
        <v>0</v>
      </c>
    </row>
    <row r="27" spans="1:8" x14ac:dyDescent="0.2">
      <c r="A27" s="189" t="s">
        <v>389</v>
      </c>
      <c r="B27" s="184"/>
      <c r="C27" s="184"/>
      <c r="D27" s="184">
        <v>400</v>
      </c>
      <c r="E27" s="184"/>
      <c r="F27" s="184"/>
      <c r="G27" s="184"/>
      <c r="H27" s="184">
        <v>400</v>
      </c>
    </row>
    <row r="28" spans="1:8" x14ac:dyDescent="0.2">
      <c r="A28" s="189" t="s">
        <v>368</v>
      </c>
      <c r="B28" s="184"/>
      <c r="C28" s="187">
        <v>300</v>
      </c>
      <c r="D28" s="184"/>
      <c r="E28" s="184"/>
      <c r="F28" s="184"/>
      <c r="G28" s="184"/>
      <c r="H28" s="184">
        <v>300</v>
      </c>
    </row>
    <row r="29" spans="1:8" x14ac:dyDescent="0.2">
      <c r="A29" s="189" t="s">
        <v>418</v>
      </c>
      <c r="B29" s="184"/>
      <c r="C29" s="184"/>
      <c r="D29" s="184">
        <v>700</v>
      </c>
      <c r="E29" s="184"/>
      <c r="F29" s="184"/>
      <c r="G29" s="184"/>
      <c r="H29" s="184">
        <v>700</v>
      </c>
    </row>
    <row r="30" spans="1:8" x14ac:dyDescent="0.2">
      <c r="A30" s="189" t="s">
        <v>456</v>
      </c>
      <c r="B30" s="184"/>
      <c r="C30" s="184"/>
      <c r="D30" s="184"/>
      <c r="E30" s="187">
        <v>150</v>
      </c>
      <c r="F30" s="184"/>
      <c r="G30" s="184"/>
      <c r="H30" s="184">
        <v>150</v>
      </c>
    </row>
    <row r="31" spans="1:8" x14ac:dyDescent="0.2">
      <c r="A31" s="189" t="s">
        <v>477</v>
      </c>
      <c r="B31" s="184"/>
      <c r="C31" s="184"/>
      <c r="D31" s="184"/>
      <c r="E31" s="184">
        <v>1580</v>
      </c>
      <c r="F31" s="184"/>
      <c r="G31" s="184"/>
      <c r="H31" s="184">
        <v>1580</v>
      </c>
    </row>
    <row r="32" spans="1:8" x14ac:dyDescent="0.2">
      <c r="A32" s="189" t="s">
        <v>484</v>
      </c>
      <c r="B32" s="184"/>
      <c r="C32" s="184"/>
      <c r="D32" s="184"/>
      <c r="E32" s="184"/>
      <c r="F32" s="184">
        <v>2600</v>
      </c>
      <c r="G32" s="184"/>
      <c r="H32" s="184">
        <v>2600</v>
      </c>
    </row>
    <row r="33" spans="1:8" x14ac:dyDescent="0.2">
      <c r="A33" s="189" t="s">
        <v>491</v>
      </c>
      <c r="B33" s="184"/>
      <c r="C33" s="184"/>
      <c r="D33" s="184"/>
      <c r="E33" s="184"/>
      <c r="F33" s="184">
        <v>525</v>
      </c>
      <c r="G33" s="184"/>
      <c r="H33" s="184">
        <v>525</v>
      </c>
    </row>
    <row r="34" spans="1:8" x14ac:dyDescent="0.2">
      <c r="A34" s="189" t="s">
        <v>363</v>
      </c>
      <c r="B34" s="184"/>
      <c r="C34" s="187">
        <v>325</v>
      </c>
      <c r="D34" s="184"/>
      <c r="E34" s="184"/>
      <c r="F34" s="184"/>
      <c r="G34" s="184"/>
      <c r="H34" s="184">
        <v>325</v>
      </c>
    </row>
    <row r="35" spans="1:8" x14ac:dyDescent="0.2">
      <c r="A35" s="189" t="s">
        <v>399</v>
      </c>
      <c r="B35" s="184"/>
      <c r="C35" s="184"/>
      <c r="D35" s="187">
        <v>1100</v>
      </c>
      <c r="E35" s="184"/>
      <c r="F35" s="184"/>
      <c r="G35" s="184"/>
      <c r="H35" s="184">
        <v>1100</v>
      </c>
    </row>
    <row r="36" spans="1:8" x14ac:dyDescent="0.2">
      <c r="A36" s="189">
        <v>3</v>
      </c>
      <c r="B36" s="184"/>
      <c r="C36" s="184"/>
      <c r="D36" s="184">
        <v>193</v>
      </c>
      <c r="E36" s="186">
        <v>138</v>
      </c>
      <c r="F36" s="186">
        <v>160</v>
      </c>
      <c r="G36" s="184"/>
      <c r="H36" s="184">
        <v>491</v>
      </c>
    </row>
    <row r="37" spans="1:8" x14ac:dyDescent="0.2">
      <c r="A37" s="189" t="s">
        <v>422</v>
      </c>
      <c r="B37" s="184"/>
      <c r="C37" s="184"/>
      <c r="D37" s="184">
        <v>193</v>
      </c>
      <c r="E37" s="184"/>
      <c r="F37" s="184"/>
      <c r="G37" s="184"/>
      <c r="H37" s="184">
        <v>193</v>
      </c>
    </row>
    <row r="38" spans="1:8" x14ac:dyDescent="0.2">
      <c r="A38" s="189" t="s">
        <v>445</v>
      </c>
      <c r="B38" s="184"/>
      <c r="C38" s="184"/>
      <c r="D38" s="184"/>
      <c r="E38" s="184">
        <v>138</v>
      </c>
      <c r="F38" s="184"/>
      <c r="G38" s="184"/>
      <c r="H38" s="184">
        <v>138</v>
      </c>
    </row>
    <row r="39" spans="1:8" x14ac:dyDescent="0.2">
      <c r="A39" s="189" t="s">
        <v>408</v>
      </c>
      <c r="B39" s="184"/>
      <c r="C39" s="184"/>
      <c r="D39" s="184"/>
      <c r="E39" s="184"/>
      <c r="F39" s="184">
        <v>160</v>
      </c>
      <c r="G39" s="184"/>
      <c r="H39" s="184">
        <v>160</v>
      </c>
    </row>
    <row r="40" spans="1:8" x14ac:dyDescent="0.2">
      <c r="A40" s="189" t="s">
        <v>46</v>
      </c>
      <c r="B40" s="184">
        <v>1850</v>
      </c>
      <c r="C40" s="184">
        <v>7695</v>
      </c>
      <c r="D40" s="184">
        <v>4025</v>
      </c>
      <c r="E40" s="185">
        <v>8380</v>
      </c>
      <c r="F40" s="185">
        <v>14883</v>
      </c>
      <c r="G40" s="184"/>
      <c r="H40" s="184">
        <v>36833</v>
      </c>
    </row>
    <row r="41" spans="1:8" x14ac:dyDescent="0.2">
      <c r="A41" s="189">
        <v>1</v>
      </c>
      <c r="B41" s="184"/>
      <c r="C41" s="184">
        <v>2145</v>
      </c>
      <c r="D41" s="184">
        <v>2525</v>
      </c>
      <c r="E41" s="186">
        <v>3750</v>
      </c>
      <c r="F41" s="186">
        <v>275</v>
      </c>
      <c r="G41" s="184"/>
      <c r="H41" s="184">
        <v>8695</v>
      </c>
    </row>
    <row r="42" spans="1:8" x14ac:dyDescent="0.2">
      <c r="A42" s="189" t="s">
        <v>446</v>
      </c>
      <c r="B42" s="184"/>
      <c r="C42" s="184"/>
      <c r="D42" s="184"/>
      <c r="E42" s="187">
        <v>750</v>
      </c>
      <c r="F42" s="184"/>
      <c r="G42" s="184"/>
      <c r="H42" s="184">
        <v>750</v>
      </c>
    </row>
    <row r="43" spans="1:8" x14ac:dyDescent="0.2">
      <c r="A43" s="189" t="s">
        <v>451</v>
      </c>
      <c r="B43" s="184"/>
      <c r="C43" s="184"/>
      <c r="D43" s="184"/>
      <c r="E43" s="184">
        <v>450</v>
      </c>
      <c r="F43" s="184"/>
      <c r="G43" s="184"/>
      <c r="H43" s="184">
        <v>450</v>
      </c>
    </row>
    <row r="44" spans="1:8" x14ac:dyDescent="0.2">
      <c r="A44" s="189" t="s">
        <v>432</v>
      </c>
      <c r="B44" s="184"/>
      <c r="C44" s="184"/>
      <c r="D44" s="184">
        <v>125</v>
      </c>
      <c r="E44" s="184"/>
      <c r="F44" s="184"/>
      <c r="G44" s="184"/>
      <c r="H44" s="184">
        <v>125</v>
      </c>
    </row>
    <row r="45" spans="1:8" x14ac:dyDescent="0.2">
      <c r="A45" s="189" t="s">
        <v>406</v>
      </c>
      <c r="B45" s="184"/>
      <c r="C45" s="184"/>
      <c r="D45" s="184">
        <v>850</v>
      </c>
      <c r="E45" s="184"/>
      <c r="F45" s="184"/>
      <c r="G45" s="184"/>
      <c r="H45" s="184">
        <v>850</v>
      </c>
    </row>
    <row r="46" spans="1:8" x14ac:dyDescent="0.2">
      <c r="A46" s="189" t="s">
        <v>428</v>
      </c>
      <c r="B46" s="184"/>
      <c r="C46" s="184"/>
      <c r="D46" s="184">
        <v>1350</v>
      </c>
      <c r="E46" s="184"/>
      <c r="F46" s="184"/>
      <c r="G46" s="184"/>
      <c r="H46" s="184">
        <v>1350</v>
      </c>
    </row>
    <row r="47" spans="1:8" x14ac:dyDescent="0.2">
      <c r="A47" s="189" t="s">
        <v>376</v>
      </c>
      <c r="B47" s="184"/>
      <c r="C47" s="184">
        <v>1895</v>
      </c>
      <c r="D47" s="184"/>
      <c r="E47" s="184"/>
      <c r="F47" s="184"/>
      <c r="G47" s="184"/>
      <c r="H47" s="184">
        <v>1895</v>
      </c>
    </row>
    <row r="48" spans="1:8" x14ac:dyDescent="0.2">
      <c r="A48" s="189" t="s">
        <v>471</v>
      </c>
      <c r="B48" s="184"/>
      <c r="C48" s="184"/>
      <c r="D48" s="184"/>
      <c r="E48" s="184">
        <v>200</v>
      </c>
      <c r="F48" s="184"/>
      <c r="G48" s="184"/>
      <c r="H48" s="184">
        <v>200</v>
      </c>
    </row>
    <row r="49" spans="1:8" x14ac:dyDescent="0.2">
      <c r="A49" s="189" t="s">
        <v>420</v>
      </c>
      <c r="B49" s="184"/>
      <c r="C49" s="184"/>
      <c r="D49" s="184">
        <v>200</v>
      </c>
      <c r="E49" s="184"/>
      <c r="F49" s="184"/>
      <c r="G49" s="184"/>
      <c r="H49" s="184">
        <v>200</v>
      </c>
    </row>
    <row r="50" spans="1:8" x14ac:dyDescent="0.2">
      <c r="A50" s="189" t="s">
        <v>464</v>
      </c>
      <c r="B50" s="184"/>
      <c r="C50" s="184"/>
      <c r="D50" s="184"/>
      <c r="E50" s="184">
        <v>500</v>
      </c>
      <c r="F50" s="184"/>
      <c r="G50" s="184"/>
      <c r="H50" s="184">
        <v>500</v>
      </c>
    </row>
    <row r="51" spans="1:8" x14ac:dyDescent="0.2">
      <c r="A51" s="189" t="s">
        <v>478</v>
      </c>
      <c r="B51" s="184"/>
      <c r="C51" s="184"/>
      <c r="D51" s="184"/>
      <c r="E51" s="184">
        <v>525</v>
      </c>
      <c r="F51" s="184"/>
      <c r="G51" s="184"/>
      <c r="H51" s="184">
        <v>525</v>
      </c>
    </row>
    <row r="52" spans="1:8" x14ac:dyDescent="0.2">
      <c r="A52" s="189" t="s">
        <v>461</v>
      </c>
      <c r="B52" s="184"/>
      <c r="C52" s="184"/>
      <c r="D52" s="184"/>
      <c r="E52" s="184">
        <v>650</v>
      </c>
      <c r="F52" s="184"/>
      <c r="G52" s="184"/>
      <c r="H52" s="184">
        <v>650</v>
      </c>
    </row>
    <row r="53" spans="1:8" x14ac:dyDescent="0.2">
      <c r="A53" s="189" t="s">
        <v>469</v>
      </c>
      <c r="B53" s="184"/>
      <c r="C53" s="184"/>
      <c r="D53" s="184"/>
      <c r="E53" s="184">
        <v>675</v>
      </c>
      <c r="F53" s="184"/>
      <c r="G53" s="184"/>
      <c r="H53" s="184">
        <v>675</v>
      </c>
    </row>
    <row r="54" spans="1:8" x14ac:dyDescent="0.2">
      <c r="A54" s="189" t="s">
        <v>493</v>
      </c>
      <c r="B54" s="184"/>
      <c r="C54" s="184"/>
      <c r="D54" s="184"/>
      <c r="E54" s="184"/>
      <c r="F54" s="187">
        <v>275</v>
      </c>
      <c r="G54" s="184"/>
      <c r="H54" s="184">
        <v>275</v>
      </c>
    </row>
    <row r="55" spans="1:8" x14ac:dyDescent="0.2">
      <c r="A55" s="189" t="s">
        <v>357</v>
      </c>
      <c r="B55" s="184"/>
      <c r="C55" s="187">
        <v>250</v>
      </c>
      <c r="D55" s="184"/>
      <c r="E55" s="184"/>
      <c r="F55" s="184"/>
      <c r="G55" s="184"/>
      <c r="H55" s="184">
        <v>250</v>
      </c>
    </row>
    <row r="56" spans="1:8" x14ac:dyDescent="0.2">
      <c r="A56" s="189">
        <v>2</v>
      </c>
      <c r="B56" s="184">
        <v>1850</v>
      </c>
      <c r="C56" s="184">
        <v>5550</v>
      </c>
      <c r="D56" s="184">
        <v>1500</v>
      </c>
      <c r="E56" s="186">
        <v>3930</v>
      </c>
      <c r="F56" s="186">
        <v>14336</v>
      </c>
      <c r="G56" s="184"/>
      <c r="H56" s="184">
        <v>27166</v>
      </c>
    </row>
    <row r="57" spans="1:8" x14ac:dyDescent="0.2">
      <c r="A57" s="189" t="s">
        <v>453</v>
      </c>
      <c r="B57" s="184"/>
      <c r="C57" s="184"/>
      <c r="D57" s="184"/>
      <c r="E57" s="184">
        <v>2500</v>
      </c>
      <c r="F57" s="184"/>
      <c r="G57" s="184"/>
      <c r="H57" s="184">
        <v>2500</v>
      </c>
    </row>
    <row r="58" spans="1:8" x14ac:dyDescent="0.2">
      <c r="A58" s="189" t="s">
        <v>364</v>
      </c>
      <c r="B58" s="184"/>
      <c r="C58" s="187">
        <v>175</v>
      </c>
      <c r="D58" s="184"/>
      <c r="E58" s="184"/>
      <c r="F58" s="184"/>
      <c r="G58" s="184"/>
      <c r="H58" s="184">
        <v>175</v>
      </c>
    </row>
    <row r="59" spans="1:8" x14ac:dyDescent="0.2">
      <c r="A59" s="189" t="s">
        <v>343</v>
      </c>
      <c r="B59" s="184"/>
      <c r="C59" s="187">
        <v>200</v>
      </c>
      <c r="D59" s="184"/>
      <c r="E59" s="184"/>
      <c r="F59" s="184"/>
      <c r="G59" s="184"/>
      <c r="H59" s="184">
        <v>200</v>
      </c>
    </row>
    <row r="60" spans="1:8" x14ac:dyDescent="0.2">
      <c r="A60" s="189" t="s">
        <v>398</v>
      </c>
      <c r="B60" s="184"/>
      <c r="C60" s="184"/>
      <c r="D60" s="184">
        <v>100</v>
      </c>
      <c r="E60" s="184"/>
      <c r="F60" s="184"/>
      <c r="G60" s="184"/>
      <c r="H60" s="184">
        <v>100</v>
      </c>
    </row>
    <row r="61" spans="1:8" x14ac:dyDescent="0.2">
      <c r="A61" s="189" t="s">
        <v>431</v>
      </c>
      <c r="B61" s="184"/>
      <c r="C61" s="184"/>
      <c r="D61" s="187">
        <v>200</v>
      </c>
      <c r="E61" s="184"/>
      <c r="F61" s="184"/>
      <c r="G61" s="184"/>
      <c r="H61" s="184">
        <v>200</v>
      </c>
    </row>
    <row r="62" spans="1:8" x14ac:dyDescent="0.2">
      <c r="A62" s="189" t="s">
        <v>348</v>
      </c>
      <c r="B62" s="184"/>
      <c r="C62" s="187">
        <v>700</v>
      </c>
      <c r="D62" s="184"/>
      <c r="E62" s="184"/>
      <c r="F62" s="184"/>
      <c r="G62" s="184"/>
      <c r="H62" s="184">
        <v>700</v>
      </c>
    </row>
    <row r="63" spans="1:8" x14ac:dyDescent="0.2">
      <c r="A63" s="189" t="s">
        <v>339</v>
      </c>
      <c r="B63" s="187">
        <v>1700</v>
      </c>
      <c r="C63" s="184"/>
      <c r="D63" s="184"/>
      <c r="E63" s="184"/>
      <c r="F63" s="184"/>
      <c r="G63" s="184"/>
      <c r="H63" s="184">
        <v>1700</v>
      </c>
    </row>
    <row r="64" spans="1:8" x14ac:dyDescent="0.2">
      <c r="A64" s="189" t="s">
        <v>386</v>
      </c>
      <c r="B64" s="184"/>
      <c r="C64" s="187">
        <v>1300</v>
      </c>
      <c r="D64" s="184"/>
      <c r="E64" s="184"/>
      <c r="F64" s="184"/>
      <c r="G64" s="184"/>
      <c r="H64" s="184">
        <v>1300</v>
      </c>
    </row>
    <row r="65" spans="1:8" x14ac:dyDescent="0.2">
      <c r="A65" s="189" t="s">
        <v>423</v>
      </c>
      <c r="B65" s="184"/>
      <c r="C65" s="184"/>
      <c r="D65" s="187">
        <v>400</v>
      </c>
      <c r="E65" s="184"/>
      <c r="F65" s="184"/>
      <c r="G65" s="184"/>
      <c r="H65" s="184">
        <v>400</v>
      </c>
    </row>
    <row r="66" spans="1:8" x14ac:dyDescent="0.2">
      <c r="A66" s="189" t="s">
        <v>419</v>
      </c>
      <c r="B66" s="184"/>
      <c r="C66" s="184"/>
      <c r="D66" s="187">
        <v>600</v>
      </c>
      <c r="E66" s="184"/>
      <c r="F66" s="184"/>
      <c r="G66" s="184"/>
      <c r="H66" s="184">
        <v>600</v>
      </c>
    </row>
    <row r="67" spans="1:8" x14ac:dyDescent="0.2">
      <c r="A67" s="189" t="s">
        <v>355</v>
      </c>
      <c r="B67" s="184"/>
      <c r="C67" s="184">
        <v>0</v>
      </c>
      <c r="D67" s="184"/>
      <c r="E67" s="184"/>
      <c r="F67" s="184"/>
      <c r="G67" s="184"/>
      <c r="H67" s="184">
        <v>0</v>
      </c>
    </row>
    <row r="68" spans="1:8" x14ac:dyDescent="0.2">
      <c r="A68" s="189" t="s">
        <v>331</v>
      </c>
      <c r="B68" s="184">
        <v>150</v>
      </c>
      <c r="C68" s="184"/>
      <c r="D68" s="184"/>
      <c r="E68" s="184"/>
      <c r="F68" s="184"/>
      <c r="G68" s="184"/>
      <c r="H68" s="184">
        <v>150</v>
      </c>
    </row>
    <row r="69" spans="1:8" x14ac:dyDescent="0.2">
      <c r="A69" s="189" t="s">
        <v>485</v>
      </c>
      <c r="B69" s="184"/>
      <c r="C69" s="184"/>
      <c r="D69" s="184"/>
      <c r="E69" s="184"/>
      <c r="F69" s="184">
        <v>300</v>
      </c>
      <c r="G69" s="184"/>
      <c r="H69" s="184">
        <v>300</v>
      </c>
    </row>
    <row r="70" spans="1:8" x14ac:dyDescent="0.2">
      <c r="A70" s="189" t="s">
        <v>482</v>
      </c>
      <c r="B70" s="184"/>
      <c r="C70" s="184"/>
      <c r="D70" s="184"/>
      <c r="E70" s="184">
        <v>180</v>
      </c>
      <c r="F70" s="184"/>
      <c r="G70" s="184"/>
      <c r="H70" s="184">
        <v>180</v>
      </c>
    </row>
    <row r="71" spans="1:8" x14ac:dyDescent="0.2">
      <c r="A71" s="189" t="s">
        <v>492</v>
      </c>
      <c r="B71" s="184"/>
      <c r="C71" s="184"/>
      <c r="D71" s="184"/>
      <c r="E71" s="184"/>
      <c r="F71" s="184">
        <v>825</v>
      </c>
      <c r="G71" s="184"/>
      <c r="H71" s="184">
        <v>825</v>
      </c>
    </row>
    <row r="72" spans="1:8" x14ac:dyDescent="0.2">
      <c r="A72" s="189" t="s">
        <v>487</v>
      </c>
      <c r="B72" s="184"/>
      <c r="C72" s="184"/>
      <c r="D72" s="184"/>
      <c r="E72" s="184"/>
      <c r="F72" s="184">
        <v>300</v>
      </c>
      <c r="G72" s="184"/>
      <c r="H72" s="184">
        <v>300</v>
      </c>
    </row>
    <row r="73" spans="1:8" x14ac:dyDescent="0.2">
      <c r="A73" s="189" t="s">
        <v>486</v>
      </c>
      <c r="B73" s="184"/>
      <c r="C73" s="184"/>
      <c r="D73" s="184"/>
      <c r="E73" s="184"/>
      <c r="F73" s="184">
        <v>400</v>
      </c>
      <c r="G73" s="184"/>
      <c r="H73" s="184">
        <v>400</v>
      </c>
    </row>
    <row r="74" spans="1:8" x14ac:dyDescent="0.2">
      <c r="A74" s="189" t="s">
        <v>360</v>
      </c>
      <c r="B74" s="184"/>
      <c r="C74" s="187">
        <v>1600</v>
      </c>
      <c r="D74" s="184"/>
      <c r="E74" s="184"/>
      <c r="F74" s="184"/>
      <c r="G74" s="184"/>
      <c r="H74" s="184">
        <v>1600</v>
      </c>
    </row>
    <row r="75" spans="1:8" ht="28.5" x14ac:dyDescent="0.2">
      <c r="A75" s="189" t="s">
        <v>499</v>
      </c>
      <c r="B75" s="184"/>
      <c r="C75" s="184"/>
      <c r="D75" s="184"/>
      <c r="E75" s="184"/>
      <c r="F75" s="187">
        <v>1500</v>
      </c>
      <c r="G75" s="184"/>
      <c r="H75" s="184">
        <v>1500</v>
      </c>
    </row>
    <row r="76" spans="1:8" x14ac:dyDescent="0.2">
      <c r="A76" s="189" t="s">
        <v>356</v>
      </c>
      <c r="B76" s="184"/>
      <c r="C76" s="187">
        <v>125</v>
      </c>
      <c r="D76" s="184"/>
      <c r="E76" s="184"/>
      <c r="F76" s="184"/>
      <c r="G76" s="184"/>
      <c r="H76" s="184">
        <v>125</v>
      </c>
    </row>
    <row r="77" spans="1:8" x14ac:dyDescent="0.2">
      <c r="A77" s="189" t="s">
        <v>501</v>
      </c>
      <c r="B77" s="184"/>
      <c r="C77" s="184"/>
      <c r="D77" s="184"/>
      <c r="E77" s="184"/>
      <c r="F77" s="187">
        <v>1600</v>
      </c>
      <c r="G77" s="184"/>
      <c r="H77" s="184">
        <v>1600</v>
      </c>
    </row>
    <row r="78" spans="1:8" x14ac:dyDescent="0.2">
      <c r="A78" s="189" t="s">
        <v>397</v>
      </c>
      <c r="B78" s="184"/>
      <c r="C78" s="184"/>
      <c r="D78" s="187">
        <v>200</v>
      </c>
      <c r="E78" s="184"/>
      <c r="F78" s="184"/>
      <c r="G78" s="184"/>
      <c r="H78" s="184">
        <v>200</v>
      </c>
    </row>
    <row r="79" spans="1:8" x14ac:dyDescent="0.2">
      <c r="A79" s="189" t="s">
        <v>452</v>
      </c>
      <c r="B79" s="184"/>
      <c r="C79" s="184"/>
      <c r="D79" s="184"/>
      <c r="E79" s="187">
        <v>300</v>
      </c>
      <c r="F79" s="184"/>
      <c r="G79" s="184"/>
      <c r="H79" s="184">
        <v>300</v>
      </c>
    </row>
    <row r="80" spans="1:8" x14ac:dyDescent="0.2">
      <c r="A80" s="189" t="s">
        <v>505</v>
      </c>
      <c r="B80" s="184"/>
      <c r="C80" s="184"/>
      <c r="D80" s="184"/>
      <c r="E80" s="184"/>
      <c r="F80" s="187">
        <v>132</v>
      </c>
      <c r="G80" s="184"/>
      <c r="H80" s="184">
        <v>132</v>
      </c>
    </row>
    <row r="81" spans="1:8" x14ac:dyDescent="0.2">
      <c r="A81" s="189" t="s">
        <v>359</v>
      </c>
      <c r="B81" s="184"/>
      <c r="C81" s="184">
        <v>500</v>
      </c>
      <c r="D81" s="184"/>
      <c r="E81" s="184"/>
      <c r="F81" s="184"/>
      <c r="G81" s="184"/>
      <c r="H81" s="184">
        <v>500</v>
      </c>
    </row>
    <row r="82" spans="1:8" x14ac:dyDescent="0.2">
      <c r="A82" s="189" t="s">
        <v>450</v>
      </c>
      <c r="B82" s="184"/>
      <c r="C82" s="184"/>
      <c r="D82" s="184"/>
      <c r="E82" s="187">
        <v>950</v>
      </c>
      <c r="F82" s="184"/>
      <c r="G82" s="184"/>
      <c r="H82" s="184">
        <v>950</v>
      </c>
    </row>
    <row r="83" spans="1:8" x14ac:dyDescent="0.2">
      <c r="A83" s="189" t="s">
        <v>384</v>
      </c>
      <c r="B83" s="184"/>
      <c r="C83" s="184">
        <v>700</v>
      </c>
      <c r="D83" s="184"/>
      <c r="E83" s="184"/>
      <c r="F83" s="184"/>
      <c r="G83" s="184"/>
      <c r="H83" s="184">
        <v>700</v>
      </c>
    </row>
    <row r="84" spans="1:8" x14ac:dyDescent="0.2">
      <c r="A84" s="189" t="s">
        <v>379</v>
      </c>
      <c r="B84" s="184"/>
      <c r="C84" s="184">
        <v>250</v>
      </c>
      <c r="D84" s="184"/>
      <c r="E84" s="184"/>
      <c r="F84" s="184"/>
      <c r="G84" s="184"/>
      <c r="H84" s="184">
        <v>250</v>
      </c>
    </row>
    <row r="85" spans="1:8" x14ac:dyDescent="0.2">
      <c r="A85" s="189" t="s">
        <v>512</v>
      </c>
      <c r="B85" s="184"/>
      <c r="C85" s="184"/>
      <c r="D85" s="184"/>
      <c r="E85" s="184"/>
      <c r="F85" s="187">
        <v>9279</v>
      </c>
      <c r="G85" s="184"/>
      <c r="H85" s="184">
        <v>9279</v>
      </c>
    </row>
    <row r="86" spans="1:8" x14ac:dyDescent="0.2">
      <c r="A86" s="189">
        <v>3</v>
      </c>
      <c r="B86" s="184"/>
      <c r="C86" s="184"/>
      <c r="D86" s="184"/>
      <c r="E86" s="186">
        <v>700</v>
      </c>
      <c r="F86" s="186">
        <v>272</v>
      </c>
      <c r="G86" s="184"/>
      <c r="H86" s="184">
        <v>972</v>
      </c>
    </row>
    <row r="87" spans="1:8" x14ac:dyDescent="0.2">
      <c r="A87" s="189" t="s">
        <v>494</v>
      </c>
      <c r="B87" s="184"/>
      <c r="C87" s="184"/>
      <c r="D87" s="184"/>
      <c r="E87" s="184"/>
      <c r="F87" s="184">
        <v>272</v>
      </c>
      <c r="G87" s="184"/>
      <c r="H87" s="184">
        <v>272</v>
      </c>
    </row>
    <row r="88" spans="1:8" ht="28.5" x14ac:dyDescent="0.2">
      <c r="A88" s="189" t="s">
        <v>480</v>
      </c>
      <c r="B88" s="184"/>
      <c r="C88" s="184"/>
      <c r="D88" s="184"/>
      <c r="E88" s="184">
        <v>700</v>
      </c>
      <c r="F88" s="184"/>
      <c r="G88" s="184"/>
      <c r="H88" s="184">
        <v>700</v>
      </c>
    </row>
    <row r="89" spans="1:8" x14ac:dyDescent="0.2">
      <c r="A89" s="189" t="s">
        <v>105</v>
      </c>
      <c r="B89" s="184">
        <v>2197</v>
      </c>
      <c r="C89" s="184">
        <v>6943</v>
      </c>
      <c r="D89" s="184">
        <v>9304</v>
      </c>
      <c r="E89" s="185">
        <v>7686</v>
      </c>
      <c r="F89" s="185">
        <v>7170</v>
      </c>
      <c r="G89" s="184"/>
      <c r="H89" s="184">
        <v>33300</v>
      </c>
    </row>
    <row r="90" spans="1:8" x14ac:dyDescent="0.2">
      <c r="A90" s="189">
        <v>1</v>
      </c>
      <c r="B90" s="184">
        <v>1400</v>
      </c>
      <c r="C90" s="184">
        <v>2714</v>
      </c>
      <c r="D90" s="184">
        <v>6640</v>
      </c>
      <c r="E90" s="186">
        <v>4356</v>
      </c>
      <c r="F90" s="186"/>
      <c r="G90" s="184"/>
      <c r="H90" s="184">
        <v>15110</v>
      </c>
    </row>
    <row r="91" spans="1:8" x14ac:dyDescent="0.2">
      <c r="A91" s="189" t="s">
        <v>387</v>
      </c>
      <c r="B91" s="184"/>
      <c r="C91" s="184"/>
      <c r="D91" s="187">
        <v>2175</v>
      </c>
      <c r="E91" s="184"/>
      <c r="F91" s="184"/>
      <c r="G91" s="184"/>
      <c r="H91" s="184">
        <v>2175</v>
      </c>
    </row>
    <row r="92" spans="1:8" x14ac:dyDescent="0.2">
      <c r="A92" s="189" t="s">
        <v>380</v>
      </c>
      <c r="B92" s="184"/>
      <c r="C92" s="187">
        <v>914</v>
      </c>
      <c r="D92" s="184"/>
      <c r="E92" s="184"/>
      <c r="F92" s="184"/>
      <c r="G92" s="184"/>
      <c r="H92" s="184">
        <v>914</v>
      </c>
    </row>
    <row r="93" spans="1:8" x14ac:dyDescent="0.2">
      <c r="A93" s="189" t="s">
        <v>394</v>
      </c>
      <c r="B93" s="184"/>
      <c r="C93" s="184"/>
      <c r="D93" s="187">
        <v>990</v>
      </c>
      <c r="E93" s="184"/>
      <c r="F93" s="184"/>
      <c r="G93" s="184"/>
      <c r="H93" s="184">
        <v>990</v>
      </c>
    </row>
    <row r="94" spans="1:8" x14ac:dyDescent="0.2">
      <c r="A94" s="189" t="s">
        <v>446</v>
      </c>
      <c r="B94" s="184"/>
      <c r="C94" s="184"/>
      <c r="D94" s="184"/>
      <c r="E94" s="187">
        <v>750</v>
      </c>
      <c r="F94" s="184"/>
      <c r="G94" s="184"/>
      <c r="H94" s="184">
        <v>750</v>
      </c>
    </row>
    <row r="95" spans="1:8" x14ac:dyDescent="0.2">
      <c r="A95" s="189" t="s">
        <v>349</v>
      </c>
      <c r="B95" s="184"/>
      <c r="C95" s="184">
        <v>250</v>
      </c>
      <c r="D95" s="184"/>
      <c r="E95" s="184"/>
      <c r="F95" s="184"/>
      <c r="G95" s="184"/>
      <c r="H95" s="184">
        <v>250</v>
      </c>
    </row>
    <row r="96" spans="1:8" x14ac:dyDescent="0.2">
      <c r="A96" s="189" t="s">
        <v>329</v>
      </c>
      <c r="B96" s="184">
        <v>1200</v>
      </c>
      <c r="C96" s="184"/>
      <c r="D96" s="184"/>
      <c r="E96" s="184"/>
      <c r="F96" s="184"/>
      <c r="G96" s="184"/>
      <c r="H96" s="184">
        <v>1200</v>
      </c>
    </row>
    <row r="97" spans="1:8" x14ac:dyDescent="0.2">
      <c r="A97" s="189" t="s">
        <v>335</v>
      </c>
      <c r="B97" s="184">
        <v>200</v>
      </c>
      <c r="C97" s="184"/>
      <c r="D97" s="184"/>
      <c r="E97" s="184"/>
      <c r="F97" s="184"/>
      <c r="G97" s="184"/>
      <c r="H97" s="184">
        <v>200</v>
      </c>
    </row>
    <row r="98" spans="1:8" x14ac:dyDescent="0.2">
      <c r="A98" s="189" t="s">
        <v>370</v>
      </c>
      <c r="B98" s="184"/>
      <c r="C98" s="184">
        <v>600</v>
      </c>
      <c r="D98" s="184"/>
      <c r="E98" s="184"/>
      <c r="F98" s="184"/>
      <c r="G98" s="184"/>
      <c r="H98" s="184">
        <v>600</v>
      </c>
    </row>
    <row r="99" spans="1:8" x14ac:dyDescent="0.2">
      <c r="A99" s="189" t="s">
        <v>459</v>
      </c>
      <c r="B99" s="184"/>
      <c r="C99" s="184"/>
      <c r="D99" s="184"/>
      <c r="E99" s="184">
        <v>300</v>
      </c>
      <c r="F99" s="184"/>
      <c r="G99" s="184"/>
      <c r="H99" s="184">
        <v>300</v>
      </c>
    </row>
    <row r="100" spans="1:8" x14ac:dyDescent="0.2">
      <c r="A100" s="189" t="s">
        <v>439</v>
      </c>
      <c r="B100" s="184"/>
      <c r="C100" s="184"/>
      <c r="D100" s="184"/>
      <c r="E100" s="184">
        <v>1225</v>
      </c>
      <c r="F100" s="184"/>
      <c r="G100" s="184"/>
      <c r="H100" s="184">
        <v>1225</v>
      </c>
    </row>
    <row r="101" spans="1:8" x14ac:dyDescent="0.2">
      <c r="A101" s="189" t="s">
        <v>462</v>
      </c>
      <c r="B101" s="184"/>
      <c r="C101" s="184"/>
      <c r="D101" s="184"/>
      <c r="E101" s="184">
        <v>1881</v>
      </c>
      <c r="F101" s="184"/>
      <c r="G101" s="184"/>
      <c r="H101" s="184">
        <v>1881</v>
      </c>
    </row>
    <row r="102" spans="1:8" x14ac:dyDescent="0.2">
      <c r="A102" s="189" t="s">
        <v>427</v>
      </c>
      <c r="B102" s="184"/>
      <c r="C102" s="184"/>
      <c r="D102" s="184">
        <v>3300</v>
      </c>
      <c r="E102" s="184"/>
      <c r="F102" s="184"/>
      <c r="G102" s="184"/>
      <c r="H102" s="184">
        <v>3300</v>
      </c>
    </row>
    <row r="103" spans="1:8" x14ac:dyDescent="0.2">
      <c r="A103" s="189" t="s">
        <v>373</v>
      </c>
      <c r="B103" s="184"/>
      <c r="C103" s="184">
        <v>350</v>
      </c>
      <c r="D103" s="184"/>
      <c r="E103" s="184"/>
      <c r="F103" s="184"/>
      <c r="G103" s="184"/>
      <c r="H103" s="184">
        <v>350</v>
      </c>
    </row>
    <row r="104" spans="1:8" x14ac:dyDescent="0.2">
      <c r="A104" s="189" t="s">
        <v>372</v>
      </c>
      <c r="B104" s="184"/>
      <c r="C104" s="184">
        <v>600</v>
      </c>
      <c r="D104" s="184"/>
      <c r="E104" s="184"/>
      <c r="F104" s="184"/>
      <c r="G104" s="184"/>
      <c r="H104" s="184">
        <v>600</v>
      </c>
    </row>
    <row r="105" spans="1:8" x14ac:dyDescent="0.2">
      <c r="A105" s="189" t="s">
        <v>417</v>
      </c>
      <c r="B105" s="184"/>
      <c r="C105" s="184"/>
      <c r="D105" s="187">
        <v>175</v>
      </c>
      <c r="E105" s="184"/>
      <c r="F105" s="184"/>
      <c r="G105" s="184"/>
      <c r="H105" s="184">
        <v>175</v>
      </c>
    </row>
    <row r="106" spans="1:8" ht="28.5" x14ac:dyDescent="0.2">
      <c r="A106" s="189" t="s">
        <v>361</v>
      </c>
      <c r="B106" s="184"/>
      <c r="C106" s="184">
        <v>0</v>
      </c>
      <c r="D106" s="184"/>
      <c r="E106" s="184"/>
      <c r="F106" s="184"/>
      <c r="G106" s="184"/>
      <c r="H106" s="184">
        <v>0</v>
      </c>
    </row>
    <row r="107" spans="1:8" x14ac:dyDescent="0.2">
      <c r="A107" s="189" t="s">
        <v>447</v>
      </c>
      <c r="B107" s="184"/>
      <c r="C107" s="184"/>
      <c r="D107" s="184"/>
      <c r="E107" s="187">
        <v>200</v>
      </c>
      <c r="F107" s="184"/>
      <c r="G107" s="184"/>
      <c r="H107" s="184">
        <v>200</v>
      </c>
    </row>
    <row r="108" spans="1:8" x14ac:dyDescent="0.2">
      <c r="A108" s="189">
        <v>2</v>
      </c>
      <c r="B108" s="184">
        <v>525</v>
      </c>
      <c r="C108" s="184">
        <v>4229</v>
      </c>
      <c r="D108" s="184">
        <v>2369</v>
      </c>
      <c r="E108" s="186">
        <v>2485</v>
      </c>
      <c r="F108" s="186">
        <v>7170</v>
      </c>
      <c r="G108" s="184"/>
      <c r="H108" s="184">
        <v>16778</v>
      </c>
    </row>
    <row r="109" spans="1:8" x14ac:dyDescent="0.2">
      <c r="A109" s="189" t="s">
        <v>332</v>
      </c>
      <c r="B109" s="187">
        <v>525</v>
      </c>
      <c r="C109" s="184"/>
      <c r="D109" s="184"/>
      <c r="E109" s="184"/>
      <c r="F109" s="184"/>
      <c r="G109" s="184"/>
      <c r="H109" s="184">
        <v>525</v>
      </c>
    </row>
    <row r="110" spans="1:8" x14ac:dyDescent="0.2">
      <c r="A110" s="189" t="s">
        <v>350</v>
      </c>
      <c r="B110" s="184"/>
      <c r="C110" s="184">
        <v>1179</v>
      </c>
      <c r="D110" s="184"/>
      <c r="E110" s="184"/>
      <c r="F110" s="184"/>
      <c r="G110" s="184"/>
      <c r="H110" s="184">
        <v>1179</v>
      </c>
    </row>
    <row r="111" spans="1:8" x14ac:dyDescent="0.2">
      <c r="A111" s="189" t="s">
        <v>490</v>
      </c>
      <c r="B111" s="184"/>
      <c r="C111" s="184"/>
      <c r="D111" s="184"/>
      <c r="E111" s="184"/>
      <c r="F111" s="187">
        <v>475</v>
      </c>
      <c r="G111" s="184"/>
      <c r="H111" s="184">
        <v>475</v>
      </c>
    </row>
    <row r="112" spans="1:8" x14ac:dyDescent="0.2">
      <c r="A112" s="189" t="s">
        <v>442</v>
      </c>
      <c r="B112" s="184"/>
      <c r="C112" s="184"/>
      <c r="D112" s="184"/>
      <c r="E112" s="187">
        <v>700</v>
      </c>
      <c r="F112" s="184"/>
      <c r="G112" s="184"/>
      <c r="H112" s="184">
        <v>700</v>
      </c>
    </row>
    <row r="113" spans="1:8" x14ac:dyDescent="0.2">
      <c r="A113" s="189" t="s">
        <v>413</v>
      </c>
      <c r="B113" s="184"/>
      <c r="C113" s="184"/>
      <c r="D113" s="184">
        <v>120</v>
      </c>
      <c r="E113" s="184"/>
      <c r="F113" s="184"/>
      <c r="G113" s="184"/>
      <c r="H113" s="184">
        <v>120</v>
      </c>
    </row>
    <row r="114" spans="1:8" x14ac:dyDescent="0.2">
      <c r="A114" s="189" t="s">
        <v>381</v>
      </c>
      <c r="B114" s="184"/>
      <c r="C114" s="184">
        <v>700</v>
      </c>
      <c r="D114" s="184"/>
      <c r="E114" s="184"/>
      <c r="F114" s="184"/>
      <c r="G114" s="184"/>
      <c r="H114" s="184">
        <v>700</v>
      </c>
    </row>
    <row r="115" spans="1:8" x14ac:dyDescent="0.2">
      <c r="A115" s="189" t="s">
        <v>476</v>
      </c>
      <c r="B115" s="184"/>
      <c r="C115" s="184"/>
      <c r="D115" s="184"/>
      <c r="E115" s="184">
        <v>125</v>
      </c>
      <c r="F115" s="184"/>
      <c r="G115" s="184"/>
      <c r="H115" s="184">
        <v>125</v>
      </c>
    </row>
    <row r="116" spans="1:8" x14ac:dyDescent="0.2">
      <c r="A116" s="189" t="s">
        <v>496</v>
      </c>
      <c r="B116" s="184"/>
      <c r="C116" s="184"/>
      <c r="D116" s="184"/>
      <c r="E116" s="184"/>
      <c r="F116" s="184">
        <v>143</v>
      </c>
      <c r="G116" s="184"/>
      <c r="H116" s="184">
        <v>143</v>
      </c>
    </row>
    <row r="117" spans="1:8" x14ac:dyDescent="0.2">
      <c r="A117" s="189" t="s">
        <v>500</v>
      </c>
      <c r="B117" s="184"/>
      <c r="C117" s="184"/>
      <c r="D117" s="184"/>
      <c r="E117" s="184"/>
      <c r="F117" s="184">
        <v>500</v>
      </c>
      <c r="G117" s="184"/>
      <c r="H117" s="184">
        <v>500</v>
      </c>
    </row>
    <row r="118" spans="1:8" x14ac:dyDescent="0.2">
      <c r="A118" s="191" t="s">
        <v>502</v>
      </c>
      <c r="B118" s="184"/>
      <c r="C118" s="184"/>
      <c r="D118" s="184"/>
      <c r="E118" s="184"/>
      <c r="F118" s="184">
        <v>187</v>
      </c>
      <c r="G118" s="184"/>
      <c r="H118" s="184">
        <v>187</v>
      </c>
    </row>
    <row r="119" spans="1:8" x14ac:dyDescent="0.2">
      <c r="A119" s="191" t="s">
        <v>489</v>
      </c>
      <c r="B119" s="184"/>
      <c r="C119" s="184"/>
      <c r="D119" s="184"/>
      <c r="E119" s="184"/>
      <c r="F119" s="184">
        <v>213</v>
      </c>
      <c r="G119" s="184"/>
      <c r="H119" s="184">
        <v>213</v>
      </c>
    </row>
    <row r="120" spans="1:8" x14ac:dyDescent="0.2">
      <c r="A120" s="189" t="s">
        <v>371</v>
      </c>
      <c r="B120" s="184"/>
      <c r="C120" s="187">
        <v>1625</v>
      </c>
      <c r="D120" s="184"/>
      <c r="E120" s="184"/>
      <c r="F120" s="184"/>
      <c r="G120" s="184"/>
      <c r="H120" s="184">
        <v>1625</v>
      </c>
    </row>
    <row r="121" spans="1:8" x14ac:dyDescent="0.2">
      <c r="A121" s="189" t="s">
        <v>460</v>
      </c>
      <c r="B121" s="184"/>
      <c r="C121" s="184"/>
      <c r="D121" s="184"/>
      <c r="E121" s="187">
        <v>150</v>
      </c>
      <c r="F121" s="184"/>
      <c r="G121" s="184"/>
      <c r="H121" s="184">
        <v>150</v>
      </c>
    </row>
    <row r="122" spans="1:8" x14ac:dyDescent="0.2">
      <c r="A122" s="189" t="s">
        <v>438</v>
      </c>
      <c r="B122" s="184"/>
      <c r="C122" s="184"/>
      <c r="D122" s="184"/>
      <c r="E122" s="187">
        <v>700</v>
      </c>
      <c r="F122" s="184"/>
      <c r="G122" s="184"/>
      <c r="H122" s="184">
        <v>700</v>
      </c>
    </row>
    <row r="123" spans="1:8" x14ac:dyDescent="0.2">
      <c r="A123" s="189" t="s">
        <v>441</v>
      </c>
      <c r="B123" s="184"/>
      <c r="C123" s="184"/>
      <c r="D123" s="184"/>
      <c r="E123" s="184">
        <v>200</v>
      </c>
      <c r="F123" s="184"/>
      <c r="G123" s="184"/>
      <c r="H123" s="184">
        <v>200</v>
      </c>
    </row>
    <row r="124" spans="1:8" ht="28.5" x14ac:dyDescent="0.2">
      <c r="A124" s="189" t="s">
        <v>504</v>
      </c>
      <c r="B124" s="184"/>
      <c r="C124" s="184"/>
      <c r="D124" s="184"/>
      <c r="E124" s="184"/>
      <c r="F124" s="184">
        <v>4000</v>
      </c>
      <c r="G124" s="184"/>
      <c r="H124" s="184">
        <v>4000</v>
      </c>
    </row>
    <row r="125" spans="1:8" x14ac:dyDescent="0.2">
      <c r="A125" s="189" t="s">
        <v>367</v>
      </c>
      <c r="B125" s="184"/>
      <c r="C125" s="184">
        <v>500</v>
      </c>
      <c r="D125" s="184"/>
      <c r="E125" s="184"/>
      <c r="F125" s="184"/>
      <c r="G125" s="184"/>
      <c r="H125" s="184">
        <v>500</v>
      </c>
    </row>
    <row r="126" spans="1:8" x14ac:dyDescent="0.2">
      <c r="A126" s="189" t="s">
        <v>455</v>
      </c>
      <c r="B126" s="184"/>
      <c r="C126" s="184"/>
      <c r="D126" s="184"/>
      <c r="E126" s="184">
        <v>160</v>
      </c>
      <c r="F126" s="184"/>
      <c r="G126" s="184"/>
      <c r="H126" s="184">
        <v>160</v>
      </c>
    </row>
    <row r="127" spans="1:8" x14ac:dyDescent="0.2">
      <c r="A127" s="189" t="s">
        <v>416</v>
      </c>
      <c r="B127" s="184"/>
      <c r="C127" s="184"/>
      <c r="D127" s="184">
        <v>1525</v>
      </c>
      <c r="E127" s="184"/>
      <c r="F127" s="184"/>
      <c r="G127" s="184"/>
      <c r="H127" s="184">
        <v>1525</v>
      </c>
    </row>
    <row r="128" spans="1:8" x14ac:dyDescent="0.2">
      <c r="A128" s="189" t="s">
        <v>498</v>
      </c>
      <c r="B128" s="184"/>
      <c r="C128" s="184"/>
      <c r="D128" s="184"/>
      <c r="E128" s="184"/>
      <c r="F128" s="184">
        <v>1052</v>
      </c>
      <c r="G128" s="184"/>
      <c r="H128" s="184">
        <v>1052</v>
      </c>
    </row>
    <row r="129" spans="1:8" x14ac:dyDescent="0.2">
      <c r="A129" s="189" t="s">
        <v>468</v>
      </c>
      <c r="B129" s="184"/>
      <c r="C129" s="184"/>
      <c r="D129" s="184"/>
      <c r="E129" s="184">
        <v>200</v>
      </c>
      <c r="F129" s="184"/>
      <c r="G129" s="184"/>
      <c r="H129" s="184">
        <v>200</v>
      </c>
    </row>
    <row r="130" spans="1:8" x14ac:dyDescent="0.2">
      <c r="A130" s="189" t="s">
        <v>503</v>
      </c>
      <c r="B130" s="184"/>
      <c r="C130" s="184"/>
      <c r="D130" s="184"/>
      <c r="E130" s="184"/>
      <c r="F130" s="184">
        <v>600</v>
      </c>
      <c r="G130" s="184"/>
      <c r="H130" s="184">
        <v>600</v>
      </c>
    </row>
    <row r="131" spans="1:8" x14ac:dyDescent="0.2">
      <c r="A131" s="189" t="s">
        <v>400</v>
      </c>
      <c r="B131" s="184"/>
      <c r="C131" s="184"/>
      <c r="D131" s="184">
        <v>724</v>
      </c>
      <c r="E131" s="184"/>
      <c r="F131" s="184"/>
      <c r="G131" s="184"/>
      <c r="H131" s="184">
        <v>724</v>
      </c>
    </row>
    <row r="132" spans="1:8" x14ac:dyDescent="0.2">
      <c r="A132" s="189" t="s">
        <v>365</v>
      </c>
      <c r="B132" s="184"/>
      <c r="C132" s="187">
        <v>225</v>
      </c>
      <c r="D132" s="184"/>
      <c r="E132" s="184"/>
      <c r="F132" s="184"/>
      <c r="G132" s="184"/>
      <c r="H132" s="184">
        <v>225</v>
      </c>
    </row>
    <row r="133" spans="1:8" x14ac:dyDescent="0.2">
      <c r="A133" s="189" t="s">
        <v>454</v>
      </c>
      <c r="B133" s="184"/>
      <c r="C133" s="184"/>
      <c r="D133" s="184"/>
      <c r="E133" s="187">
        <v>250</v>
      </c>
      <c r="F133" s="184"/>
      <c r="G133" s="184"/>
      <c r="H133" s="184">
        <v>250</v>
      </c>
    </row>
    <row r="134" spans="1:8" x14ac:dyDescent="0.2">
      <c r="A134" s="189">
        <v>3</v>
      </c>
      <c r="B134" s="184">
        <v>272</v>
      </c>
      <c r="C134" s="184"/>
      <c r="D134" s="184">
        <v>295</v>
      </c>
      <c r="E134" s="186">
        <v>845</v>
      </c>
      <c r="F134" s="186"/>
      <c r="G134" s="184"/>
      <c r="H134" s="184">
        <v>1412</v>
      </c>
    </row>
    <row r="135" spans="1:8" x14ac:dyDescent="0.2">
      <c r="A135" s="189" t="s">
        <v>393</v>
      </c>
      <c r="B135" s="184"/>
      <c r="C135" s="184"/>
      <c r="D135" s="184">
        <v>135</v>
      </c>
      <c r="E135" s="184"/>
      <c r="F135" s="184"/>
      <c r="G135" s="184"/>
      <c r="H135" s="184">
        <v>135</v>
      </c>
    </row>
    <row r="136" spans="1:8" x14ac:dyDescent="0.2">
      <c r="A136" s="189" t="s">
        <v>440</v>
      </c>
      <c r="B136" s="184"/>
      <c r="C136" s="184"/>
      <c r="D136" s="184"/>
      <c r="E136" s="184">
        <v>158</v>
      </c>
      <c r="F136" s="184"/>
      <c r="G136" s="184"/>
      <c r="H136" s="184">
        <v>158</v>
      </c>
    </row>
    <row r="137" spans="1:8" x14ac:dyDescent="0.2">
      <c r="A137" s="189" t="s">
        <v>408</v>
      </c>
      <c r="B137" s="184"/>
      <c r="C137" s="184"/>
      <c r="D137" s="184">
        <v>160</v>
      </c>
      <c r="E137" s="184"/>
      <c r="F137" s="184"/>
      <c r="G137" s="184"/>
      <c r="H137" s="184">
        <v>160</v>
      </c>
    </row>
    <row r="138" spans="1:8" x14ac:dyDescent="0.2">
      <c r="A138" s="189" t="s">
        <v>449</v>
      </c>
      <c r="B138" s="184"/>
      <c r="C138" s="184"/>
      <c r="D138" s="184"/>
      <c r="E138" s="184">
        <v>207</v>
      </c>
      <c r="F138" s="184"/>
      <c r="G138" s="184"/>
      <c r="H138" s="184">
        <v>207</v>
      </c>
    </row>
    <row r="139" spans="1:8" x14ac:dyDescent="0.2">
      <c r="A139" s="189" t="s">
        <v>463</v>
      </c>
      <c r="B139" s="184"/>
      <c r="C139" s="184"/>
      <c r="D139" s="184"/>
      <c r="E139" s="184">
        <v>480</v>
      </c>
      <c r="F139" s="184"/>
      <c r="G139" s="184"/>
      <c r="H139" s="184">
        <v>480</v>
      </c>
    </row>
    <row r="140" spans="1:8" x14ac:dyDescent="0.2">
      <c r="A140" s="189" t="s">
        <v>325</v>
      </c>
      <c r="B140" s="184">
        <v>272</v>
      </c>
      <c r="C140" s="184"/>
      <c r="D140" s="184"/>
      <c r="E140" s="184"/>
      <c r="F140" s="184"/>
      <c r="G140" s="184"/>
      <c r="H140" s="184">
        <v>272</v>
      </c>
    </row>
    <row r="141" spans="1:8" x14ac:dyDescent="0.2">
      <c r="A141" s="189" t="s">
        <v>106</v>
      </c>
      <c r="B141" s="184">
        <v>1700</v>
      </c>
      <c r="C141" s="184">
        <v>1615</v>
      </c>
      <c r="D141" s="184">
        <v>1098</v>
      </c>
      <c r="E141" s="185">
        <v>2200</v>
      </c>
      <c r="F141" s="185"/>
      <c r="G141" s="184"/>
      <c r="H141" s="184">
        <v>6613</v>
      </c>
    </row>
    <row r="142" spans="1:8" x14ac:dyDescent="0.2">
      <c r="A142" s="189">
        <v>1</v>
      </c>
      <c r="B142" s="184"/>
      <c r="C142" s="184"/>
      <c r="D142" s="184">
        <v>350</v>
      </c>
      <c r="E142" s="186"/>
      <c r="F142" s="186"/>
      <c r="G142" s="184"/>
      <c r="H142" s="184">
        <v>350</v>
      </c>
    </row>
    <row r="143" spans="1:8" x14ac:dyDescent="0.2">
      <c r="A143" s="189" t="s">
        <v>424</v>
      </c>
      <c r="B143" s="184"/>
      <c r="C143" s="184"/>
      <c r="D143" s="184">
        <v>350</v>
      </c>
      <c r="E143" s="184"/>
      <c r="F143" s="184"/>
      <c r="G143" s="184"/>
      <c r="H143" s="184">
        <v>350</v>
      </c>
    </row>
    <row r="144" spans="1:8" x14ac:dyDescent="0.2">
      <c r="A144" s="189">
        <v>2</v>
      </c>
      <c r="B144" s="184">
        <v>1700</v>
      </c>
      <c r="C144" s="184">
        <v>1615</v>
      </c>
      <c r="D144" s="184">
        <v>500</v>
      </c>
      <c r="E144" s="186">
        <v>2200</v>
      </c>
      <c r="F144" s="186"/>
      <c r="G144" s="184"/>
      <c r="H144" s="184">
        <v>6015</v>
      </c>
    </row>
    <row r="145" spans="1:8" x14ac:dyDescent="0.2">
      <c r="A145" s="189" t="s">
        <v>436</v>
      </c>
      <c r="B145" s="184"/>
      <c r="C145" s="184"/>
      <c r="D145" s="184"/>
      <c r="E145" s="187">
        <v>1300</v>
      </c>
      <c r="F145" s="184"/>
      <c r="G145" s="184"/>
      <c r="H145" s="184">
        <v>1300</v>
      </c>
    </row>
    <row r="146" spans="1:8" x14ac:dyDescent="0.2">
      <c r="A146" s="189" t="s">
        <v>340</v>
      </c>
      <c r="B146" s="184">
        <v>200</v>
      </c>
      <c r="C146" s="184"/>
      <c r="D146" s="184"/>
      <c r="E146" s="184"/>
      <c r="F146" s="184"/>
      <c r="G146" s="184"/>
      <c r="H146" s="184">
        <v>200</v>
      </c>
    </row>
    <row r="147" spans="1:8" x14ac:dyDescent="0.2">
      <c r="A147" s="189" t="s">
        <v>334</v>
      </c>
      <c r="B147" s="184">
        <v>400</v>
      </c>
      <c r="C147" s="184"/>
      <c r="D147" s="184"/>
      <c r="E147" s="184"/>
      <c r="F147" s="184"/>
      <c r="G147" s="184"/>
      <c r="H147" s="184">
        <v>400</v>
      </c>
    </row>
    <row r="148" spans="1:8" x14ac:dyDescent="0.2">
      <c r="A148" s="189" t="s">
        <v>362</v>
      </c>
      <c r="B148" s="184"/>
      <c r="C148" s="184">
        <v>165</v>
      </c>
      <c r="D148" s="184"/>
      <c r="E148" s="184"/>
      <c r="F148" s="184"/>
      <c r="G148" s="184"/>
      <c r="H148" s="184">
        <v>165</v>
      </c>
    </row>
    <row r="149" spans="1:8" x14ac:dyDescent="0.2">
      <c r="A149" s="189" t="s">
        <v>326</v>
      </c>
      <c r="B149" s="184">
        <v>1100</v>
      </c>
      <c r="C149" s="184"/>
      <c r="D149" s="184"/>
      <c r="E149" s="184"/>
      <c r="F149" s="184"/>
      <c r="G149" s="184"/>
      <c r="H149" s="184">
        <v>1100</v>
      </c>
    </row>
    <row r="150" spans="1:8" x14ac:dyDescent="0.2">
      <c r="A150" s="189" t="s">
        <v>419</v>
      </c>
      <c r="B150" s="184"/>
      <c r="C150" s="184"/>
      <c r="D150" s="184"/>
      <c r="E150" s="184">
        <v>600</v>
      </c>
      <c r="F150" s="184"/>
      <c r="G150" s="184"/>
      <c r="H150" s="184">
        <v>600</v>
      </c>
    </row>
    <row r="151" spans="1:8" x14ac:dyDescent="0.2">
      <c r="A151" s="189" t="s">
        <v>409</v>
      </c>
      <c r="B151" s="184"/>
      <c r="C151" s="184"/>
      <c r="D151" s="184">
        <v>500</v>
      </c>
      <c r="E151" s="184"/>
      <c r="F151" s="184"/>
      <c r="G151" s="184"/>
      <c r="H151" s="184">
        <v>500</v>
      </c>
    </row>
    <row r="152" spans="1:8" x14ac:dyDescent="0.2">
      <c r="A152" s="189" t="s">
        <v>358</v>
      </c>
      <c r="B152" s="184"/>
      <c r="C152" s="187">
        <v>1450</v>
      </c>
      <c r="D152" s="184"/>
      <c r="E152" s="184"/>
      <c r="F152" s="184"/>
      <c r="G152" s="184"/>
      <c r="H152" s="184">
        <v>1450</v>
      </c>
    </row>
    <row r="153" spans="1:8" x14ac:dyDescent="0.2">
      <c r="A153" s="189" t="s">
        <v>481</v>
      </c>
      <c r="B153" s="184"/>
      <c r="C153" s="184"/>
      <c r="D153" s="184"/>
      <c r="E153" s="187">
        <v>300</v>
      </c>
      <c r="F153" s="184"/>
      <c r="G153" s="184"/>
      <c r="H153" s="184">
        <v>300</v>
      </c>
    </row>
    <row r="154" spans="1:8" x14ac:dyDescent="0.2">
      <c r="A154" s="189">
        <v>3</v>
      </c>
      <c r="B154" s="184"/>
      <c r="C154" s="184"/>
      <c r="D154" s="184">
        <v>248</v>
      </c>
      <c r="E154" s="186"/>
      <c r="F154" s="186"/>
      <c r="G154" s="184"/>
      <c r="H154" s="184">
        <v>248</v>
      </c>
    </row>
    <row r="155" spans="1:8" x14ac:dyDescent="0.2">
      <c r="A155" s="189" t="s">
        <v>415</v>
      </c>
      <c r="B155" s="184"/>
      <c r="C155" s="184"/>
      <c r="D155" s="184">
        <v>168</v>
      </c>
      <c r="E155" s="184"/>
      <c r="F155" s="184"/>
      <c r="G155" s="184"/>
      <c r="H155" s="184">
        <v>168</v>
      </c>
    </row>
    <row r="156" spans="1:8" x14ac:dyDescent="0.2">
      <c r="A156" s="189" t="s">
        <v>405</v>
      </c>
      <c r="B156" s="184"/>
      <c r="C156" s="184"/>
      <c r="D156" s="184">
        <v>80</v>
      </c>
      <c r="E156" s="184"/>
      <c r="F156" s="184"/>
      <c r="G156" s="184"/>
      <c r="H156" s="184">
        <v>80</v>
      </c>
    </row>
    <row r="157" spans="1:8" x14ac:dyDescent="0.2">
      <c r="A157" s="189" t="s">
        <v>507</v>
      </c>
      <c r="B157" s="184"/>
      <c r="C157" s="184"/>
      <c r="D157" s="184"/>
      <c r="E157" s="184"/>
      <c r="F157" s="184"/>
      <c r="G157" s="184"/>
      <c r="H157" s="184"/>
    </row>
    <row r="158" spans="1:8" x14ac:dyDescent="0.2">
      <c r="A158" s="189" t="s">
        <v>513</v>
      </c>
      <c r="B158" s="184"/>
      <c r="C158" s="184"/>
      <c r="D158" s="184"/>
      <c r="E158" s="184"/>
      <c r="F158" s="184"/>
      <c r="G158" s="184"/>
      <c r="H158" s="184"/>
    </row>
    <row r="159" spans="1:8" x14ac:dyDescent="0.2">
      <c r="A159" s="189" t="s">
        <v>108</v>
      </c>
      <c r="B159" s="184">
        <v>900</v>
      </c>
      <c r="C159" s="184">
        <v>2575</v>
      </c>
      <c r="D159" s="184">
        <v>750</v>
      </c>
      <c r="E159" s="185">
        <v>7175</v>
      </c>
      <c r="F159" s="185"/>
      <c r="G159" s="184"/>
      <c r="H159" s="184">
        <v>11400</v>
      </c>
    </row>
    <row r="160" spans="1:8" x14ac:dyDescent="0.2">
      <c r="A160" s="189">
        <v>1</v>
      </c>
      <c r="B160" s="184"/>
      <c r="C160" s="184">
        <v>375</v>
      </c>
      <c r="D160" s="184">
        <v>150</v>
      </c>
      <c r="E160" s="186">
        <v>4875</v>
      </c>
      <c r="F160" s="186"/>
      <c r="G160" s="184"/>
      <c r="H160" s="184">
        <v>5400</v>
      </c>
    </row>
    <row r="161" spans="1:8" x14ac:dyDescent="0.2">
      <c r="A161" s="189" t="s">
        <v>344</v>
      </c>
      <c r="B161" s="184"/>
      <c r="C161" s="184">
        <v>375</v>
      </c>
      <c r="D161" s="184"/>
      <c r="E161" s="184"/>
      <c r="F161" s="184"/>
      <c r="G161" s="184"/>
      <c r="H161" s="184">
        <v>375</v>
      </c>
    </row>
    <row r="162" spans="1:8" x14ac:dyDescent="0.2">
      <c r="A162" s="189" t="s">
        <v>470</v>
      </c>
      <c r="B162" s="184"/>
      <c r="C162" s="184"/>
      <c r="D162" s="184"/>
      <c r="E162" s="184">
        <v>2150</v>
      </c>
      <c r="F162" s="184"/>
      <c r="G162" s="184"/>
      <c r="H162" s="184">
        <v>2150</v>
      </c>
    </row>
    <row r="163" spans="1:8" x14ac:dyDescent="0.2">
      <c r="A163" s="189" t="s">
        <v>474</v>
      </c>
      <c r="B163" s="184"/>
      <c r="C163" s="184"/>
      <c r="D163" s="184"/>
      <c r="E163" s="184">
        <v>2425</v>
      </c>
      <c r="F163" s="184"/>
      <c r="G163" s="184"/>
      <c r="H163" s="184">
        <v>2425</v>
      </c>
    </row>
    <row r="164" spans="1:8" x14ac:dyDescent="0.2">
      <c r="A164" s="189" t="s">
        <v>467</v>
      </c>
      <c r="B164" s="184"/>
      <c r="C164" s="184"/>
      <c r="D164" s="184"/>
      <c r="E164" s="184">
        <v>300</v>
      </c>
      <c r="F164" s="184"/>
      <c r="G164" s="184"/>
      <c r="H164" s="184">
        <v>300</v>
      </c>
    </row>
    <row r="165" spans="1:8" x14ac:dyDescent="0.2">
      <c r="A165" s="189" t="s">
        <v>388</v>
      </c>
      <c r="B165" s="184"/>
      <c r="C165" s="184"/>
      <c r="D165" s="187">
        <v>150</v>
      </c>
      <c r="E165" s="184"/>
      <c r="F165" s="184"/>
      <c r="G165" s="184"/>
      <c r="H165" s="184">
        <v>150</v>
      </c>
    </row>
    <row r="166" spans="1:8" x14ac:dyDescent="0.2">
      <c r="A166" s="189">
        <v>2</v>
      </c>
      <c r="B166" s="184">
        <v>900</v>
      </c>
      <c r="C166" s="184">
        <v>2200</v>
      </c>
      <c r="D166" s="184">
        <v>600</v>
      </c>
      <c r="E166" s="186">
        <v>2300</v>
      </c>
      <c r="F166" s="186"/>
      <c r="G166" s="184"/>
      <c r="H166" s="184">
        <v>6000</v>
      </c>
    </row>
    <row r="167" spans="1:8" x14ac:dyDescent="0.2">
      <c r="A167" s="189" t="s">
        <v>374</v>
      </c>
      <c r="B167" s="184"/>
      <c r="C167" s="187">
        <v>1600</v>
      </c>
      <c r="D167" s="184"/>
      <c r="E167" s="184"/>
      <c r="F167" s="184"/>
      <c r="G167" s="184"/>
      <c r="H167" s="184">
        <v>1600</v>
      </c>
    </row>
    <row r="168" spans="1:8" x14ac:dyDescent="0.2">
      <c r="A168" s="189" t="s">
        <v>328</v>
      </c>
      <c r="B168" s="184">
        <v>900</v>
      </c>
      <c r="C168" s="184"/>
      <c r="D168" s="184"/>
      <c r="E168" s="184"/>
      <c r="F168" s="184"/>
      <c r="G168" s="184"/>
      <c r="H168" s="184">
        <v>900</v>
      </c>
    </row>
    <row r="169" spans="1:8" x14ac:dyDescent="0.2">
      <c r="A169" s="189" t="s">
        <v>353</v>
      </c>
      <c r="B169" s="184"/>
      <c r="C169" s="184">
        <v>600</v>
      </c>
      <c r="D169" s="184"/>
      <c r="E169" s="184"/>
      <c r="F169" s="184"/>
      <c r="G169" s="184"/>
      <c r="H169" s="184">
        <v>600</v>
      </c>
    </row>
    <row r="170" spans="1:8" x14ac:dyDescent="0.2">
      <c r="A170" s="189" t="s">
        <v>391</v>
      </c>
      <c r="B170" s="184"/>
      <c r="C170" s="184"/>
      <c r="D170" s="187">
        <v>425</v>
      </c>
      <c r="E170" s="184"/>
      <c r="F170" s="184"/>
      <c r="G170" s="184"/>
      <c r="H170" s="184">
        <v>425</v>
      </c>
    </row>
    <row r="171" spans="1:8" x14ac:dyDescent="0.2">
      <c r="A171" s="189" t="s">
        <v>435</v>
      </c>
      <c r="B171" s="184"/>
      <c r="C171" s="184"/>
      <c r="D171" s="184"/>
      <c r="E171" s="184">
        <v>2300</v>
      </c>
      <c r="F171" s="184"/>
      <c r="G171" s="184"/>
      <c r="H171" s="184">
        <v>2300</v>
      </c>
    </row>
    <row r="172" spans="1:8" x14ac:dyDescent="0.2">
      <c r="A172" s="189" t="s">
        <v>414</v>
      </c>
      <c r="B172" s="184"/>
      <c r="C172" s="184"/>
      <c r="D172" s="184">
        <v>175</v>
      </c>
      <c r="E172" s="184"/>
      <c r="F172" s="184"/>
      <c r="G172" s="184"/>
      <c r="H172" s="184">
        <v>175</v>
      </c>
    </row>
    <row r="173" spans="1:8" x14ac:dyDescent="0.2">
      <c r="A173" s="189" t="s">
        <v>124</v>
      </c>
      <c r="B173" s="184">
        <v>1620</v>
      </c>
      <c r="C173" s="184">
        <v>15170</v>
      </c>
      <c r="D173" s="184">
        <v>17661</v>
      </c>
      <c r="E173" s="185">
        <v>4193</v>
      </c>
      <c r="F173" s="185">
        <v>1380</v>
      </c>
      <c r="G173" s="184"/>
      <c r="H173" s="184">
        <v>40024</v>
      </c>
    </row>
    <row r="174" spans="1:8" x14ac:dyDescent="0.2">
      <c r="A174" s="189">
        <v>1</v>
      </c>
      <c r="B174" s="184"/>
      <c r="C174" s="184">
        <v>11490</v>
      </c>
      <c r="D174" s="184">
        <v>5385</v>
      </c>
      <c r="E174" s="186">
        <v>3836</v>
      </c>
      <c r="F174" s="186">
        <v>1380</v>
      </c>
      <c r="G174" s="184"/>
      <c r="H174" s="184">
        <v>22091</v>
      </c>
    </row>
    <row r="175" spans="1:8" x14ac:dyDescent="0.2">
      <c r="A175" s="189" t="s">
        <v>458</v>
      </c>
      <c r="B175" s="184"/>
      <c r="C175" s="184"/>
      <c r="D175" s="184"/>
      <c r="E175" s="187">
        <v>1161</v>
      </c>
      <c r="F175" s="184"/>
      <c r="G175" s="184"/>
      <c r="H175" s="184">
        <v>1161</v>
      </c>
    </row>
    <row r="176" spans="1:8" x14ac:dyDescent="0.2">
      <c r="A176" s="189" t="s">
        <v>349</v>
      </c>
      <c r="B176" s="184"/>
      <c r="C176" s="184">
        <v>250</v>
      </c>
      <c r="D176" s="184"/>
      <c r="E176" s="184"/>
      <c r="F176" s="184"/>
      <c r="G176" s="184"/>
      <c r="H176" s="184">
        <v>250</v>
      </c>
    </row>
    <row r="177" spans="1:8" x14ac:dyDescent="0.2">
      <c r="A177" s="189" t="s">
        <v>344</v>
      </c>
      <c r="B177" s="184"/>
      <c r="C177" s="184">
        <v>375</v>
      </c>
      <c r="D177" s="184"/>
      <c r="E177" s="184"/>
      <c r="F177" s="184"/>
      <c r="G177" s="184"/>
      <c r="H177" s="184">
        <v>375</v>
      </c>
    </row>
    <row r="178" spans="1:8" x14ac:dyDescent="0.2">
      <c r="A178" s="189" t="s">
        <v>444</v>
      </c>
      <c r="B178" s="184"/>
      <c r="C178" s="184"/>
      <c r="D178" s="184"/>
      <c r="E178" s="184">
        <v>975</v>
      </c>
      <c r="F178" s="184"/>
      <c r="G178" s="184"/>
      <c r="H178" s="184">
        <v>975</v>
      </c>
    </row>
    <row r="179" spans="1:8" x14ac:dyDescent="0.2">
      <c r="A179" s="189" t="s">
        <v>401</v>
      </c>
      <c r="B179" s="184"/>
      <c r="C179" s="184"/>
      <c r="D179" s="184">
        <v>1750</v>
      </c>
      <c r="E179" s="184"/>
      <c r="F179" s="184"/>
      <c r="G179" s="184"/>
      <c r="H179" s="184">
        <v>1750</v>
      </c>
    </row>
    <row r="180" spans="1:8" x14ac:dyDescent="0.2">
      <c r="A180" s="189" t="s">
        <v>382</v>
      </c>
      <c r="B180" s="184"/>
      <c r="C180" s="184">
        <v>265</v>
      </c>
      <c r="D180" s="184"/>
      <c r="E180" s="184"/>
      <c r="F180" s="184"/>
      <c r="G180" s="184"/>
      <c r="H180" s="184">
        <v>265</v>
      </c>
    </row>
    <row r="181" spans="1:8" x14ac:dyDescent="0.2">
      <c r="A181" s="189" t="s">
        <v>404</v>
      </c>
      <c r="B181" s="184"/>
      <c r="C181" s="184"/>
      <c r="D181" s="184">
        <v>3260</v>
      </c>
      <c r="E181" s="184"/>
      <c r="F181" s="184"/>
      <c r="G181" s="184"/>
      <c r="H181" s="184">
        <v>3260</v>
      </c>
    </row>
    <row r="182" spans="1:8" x14ac:dyDescent="0.2">
      <c r="A182" s="189" t="s">
        <v>473</v>
      </c>
      <c r="B182" s="184"/>
      <c r="C182" s="184"/>
      <c r="D182" s="184"/>
      <c r="E182" s="184">
        <v>375</v>
      </c>
      <c r="F182" s="184"/>
      <c r="G182" s="184"/>
      <c r="H182" s="184">
        <v>375</v>
      </c>
    </row>
    <row r="183" spans="1:8" x14ac:dyDescent="0.2">
      <c r="A183" s="189" t="s">
        <v>465</v>
      </c>
      <c r="B183" s="184"/>
      <c r="C183" s="184"/>
      <c r="D183" s="184"/>
      <c r="E183" s="184">
        <v>375</v>
      </c>
      <c r="F183" s="184"/>
      <c r="G183" s="184"/>
      <c r="H183" s="184">
        <v>375</v>
      </c>
    </row>
    <row r="184" spans="1:8" x14ac:dyDescent="0.2">
      <c r="A184" s="189" t="s">
        <v>403</v>
      </c>
      <c r="B184" s="184"/>
      <c r="C184" s="184"/>
      <c r="D184" s="184">
        <v>375</v>
      </c>
      <c r="E184" s="184"/>
      <c r="F184" s="184"/>
      <c r="G184" s="184"/>
      <c r="H184" s="184">
        <v>375</v>
      </c>
    </row>
    <row r="185" spans="1:8" x14ac:dyDescent="0.2">
      <c r="A185" s="189" t="s">
        <v>495</v>
      </c>
      <c r="B185" s="184"/>
      <c r="C185" s="184"/>
      <c r="D185" s="184"/>
      <c r="E185" s="184"/>
      <c r="F185" s="184">
        <v>540</v>
      </c>
      <c r="G185" s="184"/>
      <c r="H185" s="184">
        <v>540</v>
      </c>
    </row>
    <row r="186" spans="1:8" x14ac:dyDescent="0.2">
      <c r="A186" s="189" t="s">
        <v>375</v>
      </c>
      <c r="B186" s="184"/>
      <c r="C186" s="184">
        <v>4875</v>
      </c>
      <c r="D186" s="184"/>
      <c r="E186" s="184"/>
      <c r="F186" s="184"/>
      <c r="G186" s="184"/>
      <c r="H186" s="184">
        <v>4875</v>
      </c>
    </row>
    <row r="187" spans="1:8" x14ac:dyDescent="0.2">
      <c r="A187" s="189" t="s">
        <v>378</v>
      </c>
      <c r="B187" s="184"/>
      <c r="C187" s="184">
        <v>5525</v>
      </c>
      <c r="D187" s="184"/>
      <c r="E187" s="184"/>
      <c r="F187" s="184"/>
      <c r="G187" s="184"/>
      <c r="H187" s="184">
        <v>5525</v>
      </c>
    </row>
    <row r="188" spans="1:8" x14ac:dyDescent="0.2">
      <c r="A188" s="189" t="s">
        <v>488</v>
      </c>
      <c r="B188" s="184"/>
      <c r="C188" s="184"/>
      <c r="D188" s="184"/>
      <c r="E188" s="184"/>
      <c r="F188" s="184">
        <v>840</v>
      </c>
      <c r="G188" s="184"/>
      <c r="H188" s="184">
        <v>840</v>
      </c>
    </row>
    <row r="189" spans="1:8" x14ac:dyDescent="0.2">
      <c r="A189" s="189" t="s">
        <v>383</v>
      </c>
      <c r="B189" s="184"/>
      <c r="C189" s="187">
        <v>200</v>
      </c>
      <c r="D189" s="184"/>
      <c r="E189" s="184"/>
      <c r="F189" s="184"/>
      <c r="G189" s="184"/>
      <c r="H189" s="184">
        <v>200</v>
      </c>
    </row>
    <row r="190" spans="1:8" x14ac:dyDescent="0.2">
      <c r="A190" s="189" t="s">
        <v>434</v>
      </c>
      <c r="B190" s="184"/>
      <c r="C190" s="184"/>
      <c r="D190" s="184"/>
      <c r="E190" s="187">
        <v>700</v>
      </c>
      <c r="F190" s="184"/>
      <c r="G190" s="184"/>
      <c r="H190" s="184">
        <v>700</v>
      </c>
    </row>
    <row r="191" spans="1:8" x14ac:dyDescent="0.2">
      <c r="A191" s="189" t="s">
        <v>437</v>
      </c>
      <c r="B191" s="184"/>
      <c r="C191" s="184"/>
      <c r="D191" s="184"/>
      <c r="E191" s="187">
        <v>250</v>
      </c>
      <c r="F191" s="184"/>
      <c r="G191" s="184"/>
      <c r="H191" s="184">
        <v>250</v>
      </c>
    </row>
    <row r="192" spans="1:8" x14ac:dyDescent="0.2">
      <c r="A192" s="189">
        <v>2</v>
      </c>
      <c r="B192" s="184">
        <v>1620</v>
      </c>
      <c r="C192" s="184">
        <v>3514</v>
      </c>
      <c r="D192" s="184">
        <v>11687</v>
      </c>
      <c r="E192" s="186">
        <v>246</v>
      </c>
      <c r="F192" s="186"/>
      <c r="G192" s="184"/>
      <c r="H192" s="184">
        <v>17067</v>
      </c>
    </row>
    <row r="193" spans="1:8" x14ac:dyDescent="0.2">
      <c r="A193" s="189" t="s">
        <v>369</v>
      </c>
      <c r="B193" s="184"/>
      <c r="C193" s="187">
        <v>300</v>
      </c>
      <c r="D193" s="184"/>
      <c r="E193" s="184"/>
      <c r="F193" s="184"/>
      <c r="G193" s="184"/>
      <c r="H193" s="184">
        <v>300</v>
      </c>
    </row>
    <row r="194" spans="1:8" x14ac:dyDescent="0.2">
      <c r="A194" s="189" t="s">
        <v>466</v>
      </c>
      <c r="B194" s="184"/>
      <c r="C194" s="184"/>
      <c r="D194" s="184"/>
      <c r="E194" s="184">
        <v>130</v>
      </c>
      <c r="F194" s="184"/>
      <c r="G194" s="184"/>
      <c r="H194" s="184">
        <v>130</v>
      </c>
    </row>
    <row r="195" spans="1:8" x14ac:dyDescent="0.2">
      <c r="A195" s="189" t="s">
        <v>425</v>
      </c>
      <c r="B195" s="184"/>
      <c r="C195" s="184"/>
      <c r="D195" s="184">
        <v>135</v>
      </c>
      <c r="E195" s="184"/>
      <c r="F195" s="184"/>
      <c r="G195" s="184"/>
      <c r="H195" s="184">
        <v>135</v>
      </c>
    </row>
    <row r="196" spans="1:8" x14ac:dyDescent="0.2">
      <c r="A196" s="189" t="s">
        <v>475</v>
      </c>
      <c r="B196" s="184"/>
      <c r="C196" s="184"/>
      <c r="D196" s="184"/>
      <c r="E196" s="184">
        <v>116</v>
      </c>
      <c r="F196" s="184"/>
      <c r="G196" s="184"/>
      <c r="H196" s="184">
        <v>116</v>
      </c>
    </row>
    <row r="197" spans="1:8" x14ac:dyDescent="0.2">
      <c r="A197" s="189" t="s">
        <v>336</v>
      </c>
      <c r="B197" s="187">
        <v>1200</v>
      </c>
      <c r="C197" s="184"/>
      <c r="D197" s="184"/>
      <c r="E197" s="184"/>
      <c r="F197" s="184"/>
      <c r="G197" s="184"/>
      <c r="H197" s="184">
        <v>1200</v>
      </c>
    </row>
    <row r="198" spans="1:8" x14ac:dyDescent="0.2">
      <c r="A198" s="189" t="s">
        <v>346</v>
      </c>
      <c r="B198" s="184"/>
      <c r="C198" s="184">
        <v>2790</v>
      </c>
      <c r="D198" s="184"/>
      <c r="E198" s="184"/>
      <c r="F198" s="184"/>
      <c r="G198" s="184"/>
      <c r="H198" s="184">
        <v>2790</v>
      </c>
    </row>
    <row r="199" spans="1:8" x14ac:dyDescent="0.2">
      <c r="A199" s="189" t="s">
        <v>342</v>
      </c>
      <c r="B199" s="184">
        <v>420</v>
      </c>
      <c r="C199" s="184"/>
      <c r="D199" s="184"/>
      <c r="E199" s="184"/>
      <c r="F199" s="184"/>
      <c r="G199" s="184"/>
      <c r="H199" s="184">
        <v>420</v>
      </c>
    </row>
    <row r="200" spans="1:8" x14ac:dyDescent="0.2">
      <c r="A200" s="189" t="s">
        <v>433</v>
      </c>
      <c r="B200" s="184"/>
      <c r="C200" s="184"/>
      <c r="D200" s="184">
        <v>6092</v>
      </c>
      <c r="E200" s="184"/>
      <c r="F200" s="184"/>
      <c r="G200" s="184"/>
      <c r="H200" s="184">
        <v>6092</v>
      </c>
    </row>
    <row r="201" spans="1:8" x14ac:dyDescent="0.2">
      <c r="A201" s="189" t="s">
        <v>396</v>
      </c>
      <c r="B201" s="184"/>
      <c r="C201" s="184"/>
      <c r="D201" s="184">
        <v>760</v>
      </c>
      <c r="E201" s="184"/>
      <c r="F201" s="184"/>
      <c r="G201" s="184"/>
      <c r="H201" s="184">
        <v>760</v>
      </c>
    </row>
    <row r="202" spans="1:8" x14ac:dyDescent="0.2">
      <c r="A202" s="189" t="s">
        <v>395</v>
      </c>
      <c r="B202" s="184"/>
      <c r="C202" s="184"/>
      <c r="D202" s="184">
        <v>4000</v>
      </c>
      <c r="E202" s="184"/>
      <c r="F202" s="184"/>
      <c r="G202" s="184"/>
      <c r="H202" s="184">
        <v>4000</v>
      </c>
    </row>
    <row r="203" spans="1:8" x14ac:dyDescent="0.2">
      <c r="A203" s="189" t="s">
        <v>385</v>
      </c>
      <c r="B203" s="184"/>
      <c r="C203" s="184">
        <v>174</v>
      </c>
      <c r="D203" s="184"/>
      <c r="E203" s="184"/>
      <c r="F203" s="184"/>
      <c r="G203" s="184"/>
      <c r="H203" s="184">
        <v>174</v>
      </c>
    </row>
    <row r="204" spans="1:8" x14ac:dyDescent="0.2">
      <c r="A204" s="189" t="s">
        <v>430</v>
      </c>
      <c r="B204" s="184"/>
      <c r="C204" s="184"/>
      <c r="D204" s="184">
        <v>700</v>
      </c>
      <c r="E204" s="184"/>
      <c r="F204" s="184"/>
      <c r="G204" s="184"/>
      <c r="H204" s="184">
        <v>700</v>
      </c>
    </row>
    <row r="205" spans="1:8" x14ac:dyDescent="0.2">
      <c r="A205" s="189" t="s">
        <v>354</v>
      </c>
      <c r="B205" s="184"/>
      <c r="C205" s="184">
        <v>250</v>
      </c>
      <c r="D205" s="184"/>
      <c r="E205" s="184"/>
      <c r="F205" s="184"/>
      <c r="G205" s="184"/>
      <c r="H205" s="184">
        <v>250</v>
      </c>
    </row>
    <row r="206" spans="1:8" x14ac:dyDescent="0.2">
      <c r="A206" s="189">
        <v>3</v>
      </c>
      <c r="B206" s="184"/>
      <c r="C206" s="184">
        <v>166</v>
      </c>
      <c r="D206" s="184">
        <v>589</v>
      </c>
      <c r="E206" s="186">
        <v>111</v>
      </c>
      <c r="F206" s="186"/>
      <c r="G206" s="184"/>
      <c r="H206" s="184">
        <v>866</v>
      </c>
    </row>
    <row r="207" spans="1:8" x14ac:dyDescent="0.2">
      <c r="A207" s="189" t="s">
        <v>479</v>
      </c>
      <c r="B207" s="184"/>
      <c r="C207" s="184"/>
      <c r="D207" s="184"/>
      <c r="E207" s="184">
        <v>111</v>
      </c>
      <c r="F207" s="184"/>
      <c r="G207" s="184"/>
      <c r="H207" s="184">
        <v>111</v>
      </c>
    </row>
    <row r="208" spans="1:8" x14ac:dyDescent="0.2">
      <c r="A208" s="189" t="s">
        <v>410</v>
      </c>
      <c r="B208" s="184"/>
      <c r="C208" s="184"/>
      <c r="D208" s="184">
        <v>132</v>
      </c>
      <c r="E208" s="184"/>
      <c r="F208" s="184"/>
      <c r="G208" s="184"/>
      <c r="H208" s="184">
        <v>132</v>
      </c>
    </row>
    <row r="209" spans="1:8" x14ac:dyDescent="0.2">
      <c r="A209" s="189" t="s">
        <v>411</v>
      </c>
      <c r="B209" s="184"/>
      <c r="C209" s="184"/>
      <c r="D209" s="184">
        <v>137</v>
      </c>
      <c r="E209" s="184"/>
      <c r="F209" s="184"/>
      <c r="G209" s="184"/>
      <c r="H209" s="184">
        <v>137</v>
      </c>
    </row>
    <row r="210" spans="1:8" x14ac:dyDescent="0.2">
      <c r="A210" s="189" t="s">
        <v>377</v>
      </c>
      <c r="B210" s="184"/>
      <c r="C210" s="184">
        <v>166</v>
      </c>
      <c r="D210" s="184"/>
      <c r="E210" s="184"/>
      <c r="F210" s="184"/>
      <c r="G210" s="184"/>
      <c r="H210" s="184">
        <v>166</v>
      </c>
    </row>
    <row r="211" spans="1:8" x14ac:dyDescent="0.2">
      <c r="A211" s="189" t="s">
        <v>390</v>
      </c>
      <c r="B211" s="184"/>
      <c r="C211" s="184"/>
      <c r="D211" s="184">
        <v>220</v>
      </c>
      <c r="E211" s="184"/>
      <c r="F211" s="184"/>
      <c r="G211" s="184"/>
      <c r="H211" s="184">
        <v>220</v>
      </c>
    </row>
    <row r="212" spans="1:8" x14ac:dyDescent="0.2">
      <c r="A212" s="189" t="s">
        <v>412</v>
      </c>
      <c r="B212" s="184"/>
      <c r="C212" s="184"/>
      <c r="D212" s="184">
        <v>100</v>
      </c>
      <c r="E212" s="184"/>
      <c r="F212" s="184"/>
      <c r="G212" s="184"/>
      <c r="H212" s="184">
        <v>100</v>
      </c>
    </row>
    <row r="213" spans="1:8" x14ac:dyDescent="0.2">
      <c r="A213" s="189" t="s">
        <v>507</v>
      </c>
      <c r="B213" s="184"/>
      <c r="C213" s="184"/>
      <c r="D213" s="184"/>
      <c r="E213" s="184"/>
      <c r="F213" s="184"/>
      <c r="G213" s="184"/>
      <c r="H213" s="184"/>
    </row>
    <row r="214" spans="1:8" x14ac:dyDescent="0.2">
      <c r="A214" s="189" t="s">
        <v>507</v>
      </c>
      <c r="B214" s="184"/>
      <c r="C214" s="184"/>
      <c r="D214" s="184"/>
      <c r="E214" s="184"/>
      <c r="F214" s="184"/>
      <c r="G214" s="184"/>
      <c r="H214" s="184"/>
    </row>
    <row r="215" spans="1:8" x14ac:dyDescent="0.2">
      <c r="A215" s="189" t="s">
        <v>507</v>
      </c>
      <c r="B215" s="184"/>
      <c r="C215" s="184"/>
      <c r="D215" s="184"/>
      <c r="E215" s="184"/>
      <c r="F215" s="184"/>
      <c r="G215" s="184"/>
      <c r="H215" s="184"/>
    </row>
    <row r="216" spans="1:8" x14ac:dyDescent="0.2">
      <c r="A216" s="189" t="s">
        <v>508</v>
      </c>
      <c r="B216" s="184">
        <v>9261</v>
      </c>
      <c r="C216" s="184">
        <v>37518</v>
      </c>
      <c r="D216" s="184">
        <v>39756</v>
      </c>
      <c r="E216" s="184">
        <v>32399</v>
      </c>
      <c r="F216" s="184">
        <v>29118</v>
      </c>
      <c r="G216" s="184"/>
      <c r="H216" s="184">
        <v>148052</v>
      </c>
    </row>
  </sheetData>
  <pageMargins left="0.19685039370078741" right="0.19685039370078741" top="0.19685039370078741" bottom="0.19685039370078741" header="0" footer="0"/>
  <pageSetup paperSize="9" scale="70" orientation="portrait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11</vt:i4>
      </vt:variant>
      <vt:variant>
        <vt:lpstr>ช่วงที่มีชื่อ</vt:lpstr>
      </vt:variant>
      <vt:variant>
        <vt:i4>10</vt:i4>
      </vt:variant>
    </vt:vector>
  </HeadingPairs>
  <TitlesOfParts>
    <vt:vector size="21" baseType="lpstr">
      <vt:lpstr>ฟอร์ม</vt:lpstr>
      <vt:lpstr>ข้อกำหนด</vt:lpstr>
      <vt:lpstr>Sheet3</vt:lpstr>
      <vt:lpstr>NC รวม</vt:lpstr>
      <vt:lpstr>ฟอร์มค้างตอบNC</vt:lpstr>
      <vt:lpstr>ลูกกลิ้งเป็นรอย</vt:lpstr>
      <vt:lpstr>ใบปะหน้า</vt:lpstr>
      <vt:lpstr>รายงานปัญหา</vt:lpstr>
      <vt:lpstr>ปัญหางานพิมพ์สีหาย</vt:lpstr>
      <vt:lpstr>Sheet1</vt:lpstr>
      <vt:lpstr>Sheet2</vt:lpstr>
      <vt:lpstr>'NC รวม'!Print_Area</vt:lpstr>
      <vt:lpstr>ค้างที่</vt:lpstr>
      <vt:lpstr>เครื่อง</vt:lpstr>
      <vt:lpstr>เดือน</vt:lpstr>
      <vt:lpstr>ปัญหา</vt:lpstr>
      <vt:lpstr>แผนก</vt:lpstr>
      <vt:lpstr>วันที่</vt:lpstr>
      <vt:lpstr>สถานะ</vt:lpstr>
      <vt:lpstr>สเปค</vt:lpstr>
      <vt:lpstr>หน่วย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QA-03</cp:lastModifiedBy>
  <cp:lastPrinted>2025-12-25T01:22:48Z</cp:lastPrinted>
  <dcterms:created xsi:type="dcterms:W3CDTF">2014-10-28T04:08:35Z</dcterms:created>
  <dcterms:modified xsi:type="dcterms:W3CDTF">2025-12-26T08:44:45Z</dcterms:modified>
</cp:coreProperties>
</file>