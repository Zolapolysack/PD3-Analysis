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fileSharing userName="QA-01" algorithmName="SHA-512" hashValue="WeEQU04y9xQ0qXaUenmZo9GPn6vdKEnWOPTdFm+oNmLtuFcGP+k49agJxEVT/1nKyNkZURSxeoC3+YoW98u2QQ==" saltValue="Kx5MkjGcgoLkTP+TCyXUGQ==" spinCount="100000"/>
  <workbookPr codeName="สมุดงานนี้" defaultThemeVersion="124226"/>
  <mc:AlternateContent xmlns:mc="http://schemas.openxmlformats.org/markup-compatibility/2006">
    <mc:Choice Requires="x15">
      <x15ac:absPath xmlns:x15ac="http://schemas.microsoft.com/office/spreadsheetml/2010/11/ac" url="Z:\1.งาน QA รายวัน\งาน QA รายวัน 2568\NCR 68\"/>
    </mc:Choice>
  </mc:AlternateContent>
  <xr:revisionPtr revIDLastSave="0" documentId="13_ncr:10001_{677577F2-A993-4900-8D09-128B0245C795}" xr6:coauthVersionLast="47" xr6:coauthVersionMax="47" xr10:uidLastSave="{00000000-0000-0000-0000-000000000000}"/>
  <workbookProtection workbookPassword="CC09" lockStructure="1"/>
  <bookViews>
    <workbookView xWindow="-120" yWindow="-120" windowWidth="24240" windowHeight="13140" tabRatio="598" xr2:uid="{00000000-000D-0000-FFFF-FFFF00000000}"/>
  </bookViews>
  <sheets>
    <sheet name="NCR รวม" sheetId="1" r:id="rId1"/>
    <sheet name="ฟอร์มส่งncr" sheetId="2" r:id="rId2"/>
    <sheet name="ฟอร์มค้างตอบNCR" sheetId="4" r:id="rId3"/>
    <sheet name="Sheet2" sheetId="6" r:id="rId4"/>
    <sheet name="Sheet3" sheetId="3" r:id="rId5"/>
    <sheet name="Sheet1" sheetId="5" r:id="rId6"/>
  </sheets>
  <definedNames>
    <definedName name="_xlnm._FilterDatabase" localSheetId="0" hidden="1">'NCR รวม'!$A$1:$AA$1045</definedName>
    <definedName name="_xlnm._FilterDatabase" localSheetId="1" hidden="1">ฟอร์มส่งncr!$A$1:$AD$18</definedName>
    <definedName name="_Hlk124761273" localSheetId="0">'NCR รวม'!$P$2</definedName>
    <definedName name="_xlnm.Print_Area" localSheetId="0">'NCR รวม'!$A$1:$AA$1290</definedName>
    <definedName name="ค้างที่">Sheet3!$K$1:$K$4</definedName>
    <definedName name="เครื่อง">Sheet3!$D$1:$D$17</definedName>
    <definedName name="เดือน">Sheet3!$C$1:$C$12</definedName>
    <definedName name="ปัญหา">Sheet3!$H$1:$H$10</definedName>
    <definedName name="แผนก">Sheet3!$A$1:$A$9</definedName>
    <definedName name="วันที่">Sheet3!$B$1:$B$366</definedName>
    <definedName name="สถานะ">Sheet3!$F$1:$F$3</definedName>
    <definedName name="สเปค">Sheet3!$G$1:$G$10</definedName>
    <definedName name="หน่วย">Sheet3!$E$1:$E$9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AD6" i="2" l="1"/>
  <c r="AC6" i="2"/>
  <c r="AB6" i="2"/>
  <c r="L988" i="1"/>
  <c r="L987" i="1"/>
  <c r="P986" i="1" l="1"/>
  <c r="O986" i="1"/>
  <c r="Q986" i="1" s="1"/>
  <c r="L986" i="1"/>
  <c r="L985" i="1"/>
  <c r="L984" i="1"/>
  <c r="L983" i="1"/>
  <c r="Q983" i="1"/>
  <c r="P983" i="1"/>
  <c r="O983" i="1"/>
  <c r="L982" i="1"/>
  <c r="L979" i="1"/>
  <c r="L978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AC11" i="2"/>
  <c r="AB11" i="2"/>
  <c r="AD11" i="2" s="1"/>
  <c r="Y11" i="2"/>
  <c r="AC10" i="2"/>
  <c r="AB10" i="2"/>
  <c r="AD10" i="2" s="1"/>
  <c r="Y10" i="2"/>
  <c r="AD9" i="2"/>
  <c r="AC9" i="2"/>
  <c r="AB9" i="2"/>
  <c r="Y9" i="2"/>
  <c r="L963" i="1"/>
  <c r="L962" i="1"/>
  <c r="L961" i="1"/>
  <c r="L960" i="1"/>
  <c r="L959" i="1"/>
  <c r="L958" i="1"/>
  <c r="L957" i="1"/>
  <c r="L956" i="1"/>
  <c r="L952" i="1"/>
  <c r="L954" i="1"/>
  <c r="L953" i="1"/>
  <c r="L951" i="1"/>
  <c r="L950" i="1"/>
  <c r="L949" i="1"/>
  <c r="L948" i="1"/>
  <c r="L947" i="1"/>
  <c r="L946" i="1"/>
  <c r="L944" i="1" l="1"/>
  <c r="L942" i="1"/>
  <c r="L941" i="1"/>
  <c r="L943" i="1"/>
  <c r="L940" i="1"/>
  <c r="L939" i="1"/>
  <c r="L938" i="1"/>
  <c r="L937" i="1"/>
  <c r="L936" i="1"/>
  <c r="L935" i="1"/>
  <c r="L934" i="1"/>
  <c r="L933" i="1"/>
  <c r="L932" i="1"/>
  <c r="L930" i="1"/>
  <c r="L931" i="1"/>
  <c r="L929" i="1"/>
  <c r="L928" i="1"/>
  <c r="L927" i="1"/>
  <c r="L925" i="1"/>
  <c r="P923" i="1"/>
  <c r="O923" i="1"/>
  <c r="Q923" i="1" s="1"/>
  <c r="P921" i="1"/>
  <c r="O921" i="1"/>
  <c r="Q921" i="1" s="1"/>
  <c r="P920" i="1"/>
  <c r="O920" i="1"/>
  <c r="Q920" i="1" s="1"/>
  <c r="P916" i="1"/>
  <c r="O916" i="1"/>
  <c r="Q916" i="1" s="1"/>
  <c r="L916" i="1"/>
  <c r="P915" i="1"/>
  <c r="O915" i="1"/>
  <c r="Q915" i="1" s="1"/>
  <c r="L915" i="1"/>
  <c r="P914" i="1"/>
  <c r="O914" i="1"/>
  <c r="Q914" i="1" s="1"/>
  <c r="L914" i="1"/>
  <c r="O919" i="1"/>
  <c r="Q919" i="1" s="1"/>
  <c r="P919" i="1"/>
  <c r="L917" i="1"/>
  <c r="L912" i="1"/>
  <c r="L911" i="1"/>
  <c r="P911" i="1"/>
  <c r="O911" i="1"/>
  <c r="Q911" i="1" s="1"/>
  <c r="L910" i="1"/>
  <c r="L909" i="1"/>
  <c r="L908" i="1"/>
  <c r="P907" i="1"/>
  <c r="O907" i="1"/>
  <c r="Q907" i="1" s="1"/>
  <c r="L907" i="1"/>
  <c r="L906" i="1"/>
  <c r="L905" i="1"/>
  <c r="L904" i="1"/>
  <c r="L900" i="1"/>
  <c r="L898" i="1"/>
  <c r="P902" i="1"/>
  <c r="O902" i="1"/>
  <c r="Q902" i="1" s="1"/>
  <c r="L902" i="1"/>
  <c r="L901" i="1"/>
  <c r="L899" i="1"/>
  <c r="L897" i="1"/>
  <c r="O896" i="1"/>
  <c r="Q896" i="1" s="1"/>
  <c r="P896" i="1"/>
  <c r="L896" i="1"/>
  <c r="L895" i="1"/>
  <c r="P895" i="1"/>
  <c r="O895" i="1"/>
  <c r="Q895" i="1" s="1"/>
  <c r="P894" i="1"/>
  <c r="O894" i="1"/>
  <c r="Q894" i="1" s="1"/>
  <c r="L894" i="1"/>
  <c r="L893" i="1"/>
  <c r="L892" i="1"/>
  <c r="L891" i="1"/>
  <c r="L890" i="1"/>
  <c r="L889" i="1"/>
  <c r="L888" i="1"/>
  <c r="L887" i="1"/>
  <c r="P886" i="1" l="1"/>
  <c r="O886" i="1"/>
  <c r="Q886" i="1" s="1"/>
  <c r="L886" i="1"/>
  <c r="L885" i="1"/>
  <c r="L884" i="1"/>
  <c r="P883" i="1"/>
  <c r="O883" i="1"/>
  <c r="Q883" i="1" s="1"/>
  <c r="L883" i="1"/>
  <c r="L882" i="1"/>
  <c r="A13" i="2"/>
  <c r="B13" i="2"/>
  <c r="C13" i="2"/>
  <c r="D13" i="2"/>
  <c r="E13" i="2"/>
  <c r="F13" i="2"/>
  <c r="G13" i="2"/>
  <c r="H13" i="2"/>
  <c r="I13" i="2"/>
  <c r="J13" i="2"/>
  <c r="K13" i="2"/>
  <c r="L13" i="2"/>
  <c r="P880" i="1"/>
  <c r="O880" i="1"/>
  <c r="Q880" i="1" s="1"/>
  <c r="L880" i="1"/>
  <c r="L879" i="1"/>
  <c r="AA878" i="1"/>
  <c r="P878" i="1"/>
  <c r="O878" i="1"/>
  <c r="Q878" i="1" s="1"/>
  <c r="L878" i="1"/>
  <c r="P877" i="1"/>
  <c r="O877" i="1"/>
  <c r="Q877" i="1" s="1"/>
  <c r="L877" i="1"/>
  <c r="P876" i="1"/>
  <c r="O876" i="1"/>
  <c r="Q876" i="1" s="1"/>
  <c r="L876" i="1"/>
  <c r="L875" i="1"/>
  <c r="L873" i="1"/>
  <c r="L872" i="1"/>
  <c r="L871" i="1"/>
  <c r="L870" i="1"/>
  <c r="L869" i="1"/>
  <c r="L868" i="1"/>
  <c r="L867" i="1"/>
  <c r="L866" i="1"/>
  <c r="L865" i="1"/>
  <c r="L864" i="1"/>
  <c r="P862" i="1"/>
  <c r="O862" i="1"/>
  <c r="Q862" i="1" s="1"/>
  <c r="L863" i="1"/>
  <c r="L862" i="1"/>
  <c r="L861" i="1"/>
  <c r="P860" i="1"/>
  <c r="O860" i="1"/>
  <c r="Q860" i="1" s="1"/>
  <c r="L860" i="1"/>
  <c r="P859" i="1"/>
  <c r="O859" i="1"/>
  <c r="Q859" i="1" s="1"/>
  <c r="L859" i="1"/>
  <c r="L858" i="1"/>
  <c r="L857" i="1"/>
  <c r="L856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P843" i="1"/>
  <c r="O843" i="1"/>
  <c r="Q843" i="1" s="1"/>
  <c r="L842" i="1"/>
  <c r="P841" i="1"/>
  <c r="O841" i="1"/>
  <c r="Q841" i="1" s="1"/>
  <c r="L841" i="1"/>
  <c r="L840" i="1"/>
  <c r="L839" i="1"/>
  <c r="L838" i="1"/>
  <c r="L837" i="1"/>
  <c r="L833" i="1"/>
  <c r="L832" i="1"/>
  <c r="L831" i="1"/>
  <c r="L830" i="1"/>
  <c r="L827" i="1"/>
  <c r="P826" i="1"/>
  <c r="O826" i="1"/>
  <c r="Q826" i="1" s="1"/>
  <c r="L826" i="1"/>
  <c r="P825" i="1"/>
  <c r="O825" i="1"/>
  <c r="Q825" i="1" s="1"/>
  <c r="L825" i="1"/>
  <c r="P824" i="1"/>
  <c r="O824" i="1"/>
  <c r="Q824" i="1" s="1"/>
  <c r="L824" i="1"/>
  <c r="P823" i="1"/>
  <c r="AA822" i="1" s="1"/>
  <c r="O823" i="1"/>
  <c r="Q823" i="1" s="1"/>
  <c r="L823" i="1"/>
  <c r="P822" i="1"/>
  <c r="O822" i="1"/>
  <c r="Q822" i="1" s="1"/>
  <c r="L822" i="1"/>
  <c r="L821" i="1"/>
  <c r="L819" i="1"/>
  <c r="O818" i="1"/>
  <c r="Q818" i="1" s="1"/>
  <c r="P818" i="1"/>
  <c r="O819" i="1"/>
  <c r="Q819" i="1" s="1"/>
  <c r="P819" i="1"/>
  <c r="O820" i="1"/>
  <c r="Q820" i="1" s="1"/>
  <c r="P820" i="1"/>
  <c r="L818" i="1"/>
  <c r="L817" i="1"/>
  <c r="L816" i="1"/>
  <c r="L814" i="1"/>
  <c r="L813" i="1"/>
  <c r="P810" i="1"/>
  <c r="O810" i="1"/>
  <c r="Q810" i="1" s="1"/>
  <c r="L810" i="1"/>
  <c r="L812" i="1"/>
  <c r="L811" i="1"/>
  <c r="P809" i="1"/>
  <c r="O809" i="1"/>
  <c r="Q809" i="1" s="1"/>
  <c r="L809" i="1"/>
  <c r="L808" i="1"/>
  <c r="P806" i="1"/>
  <c r="O806" i="1"/>
  <c r="Q806" i="1" s="1"/>
  <c r="L806" i="1"/>
  <c r="P805" i="1"/>
  <c r="AA803" i="1" s="1"/>
  <c r="O805" i="1"/>
  <c r="Q805" i="1" s="1"/>
  <c r="L805" i="1"/>
  <c r="P803" i="1"/>
  <c r="O803" i="1"/>
  <c r="Q803" i="1" s="1"/>
  <c r="L803" i="1"/>
  <c r="L804" i="1"/>
  <c r="L802" i="1"/>
  <c r="L800" i="1"/>
  <c r="P800" i="1"/>
  <c r="O800" i="1"/>
  <c r="Q800" i="1" s="1"/>
  <c r="AA799" i="1"/>
  <c r="P799" i="1"/>
  <c r="O799" i="1"/>
  <c r="Q799" i="1" s="1"/>
  <c r="L798" i="1"/>
  <c r="P798" i="1"/>
  <c r="O798" i="1"/>
  <c r="Q798" i="1" s="1"/>
  <c r="P797" i="1"/>
  <c r="O797" i="1"/>
  <c r="Q797" i="1" s="1"/>
  <c r="L797" i="1"/>
  <c r="P796" i="1"/>
  <c r="O796" i="1"/>
  <c r="Q796" i="1" s="1"/>
  <c r="L796" i="1"/>
  <c r="L795" i="1"/>
  <c r="L794" i="1"/>
  <c r="L793" i="1" l="1"/>
  <c r="L792" i="1" l="1"/>
  <c r="L791" i="1"/>
  <c r="L790" i="1"/>
  <c r="L789" i="1"/>
  <c r="L788" i="1"/>
  <c r="L786" i="1"/>
  <c r="P785" i="1"/>
  <c r="O785" i="1"/>
  <c r="Q785" i="1" s="1"/>
  <c r="L785" i="1"/>
  <c r="L784" i="1"/>
  <c r="L781" i="1"/>
  <c r="L780" i="1"/>
  <c r="L779" i="1"/>
  <c r="L778" i="1"/>
  <c r="L776" i="1"/>
  <c r="L775" i="1"/>
  <c r="AC15" i="2"/>
  <c r="AB15" i="2"/>
  <c r="AD15" i="2" s="1"/>
  <c r="Y15" i="2"/>
  <c r="L774" i="1"/>
  <c r="L773" i="1"/>
  <c r="L770" i="1" l="1"/>
  <c r="L772" i="1"/>
  <c r="L771" i="1"/>
  <c r="L769" i="1"/>
  <c r="L768" i="1"/>
  <c r="L767" i="1"/>
  <c r="L766" i="1"/>
  <c r="L765" i="1"/>
  <c r="P764" i="1"/>
  <c r="O764" i="1"/>
  <c r="Q764" i="1" s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 l="1"/>
  <c r="L750" i="1"/>
  <c r="P751" i="1"/>
  <c r="O751" i="1"/>
  <c r="Q751" i="1" s="1"/>
  <c r="P750" i="1"/>
  <c r="O750" i="1"/>
  <c r="Q750" i="1" s="1"/>
  <c r="P749" i="1"/>
  <c r="O749" i="1"/>
  <c r="Q749" i="1" s="1"/>
  <c r="L746" i="1"/>
  <c r="P744" i="1"/>
  <c r="O744" i="1"/>
  <c r="Q744" i="1" s="1"/>
  <c r="L744" i="1"/>
  <c r="L743" i="1"/>
  <c r="AC16" i="2"/>
  <c r="AB16" i="2"/>
  <c r="AD16" i="2" s="1"/>
  <c r="Y16" i="2"/>
  <c r="P742" i="1"/>
  <c r="O742" i="1"/>
  <c r="Q742" i="1" s="1"/>
  <c r="L742" i="1"/>
  <c r="L741" i="1"/>
  <c r="P739" i="1"/>
  <c r="O739" i="1"/>
  <c r="Q739" i="1" s="1"/>
  <c r="P738" i="1"/>
  <c r="O738" i="1"/>
  <c r="Q738" i="1" s="1"/>
  <c r="P736" i="1"/>
  <c r="O736" i="1"/>
  <c r="Q736" i="1" s="1"/>
  <c r="P735" i="1"/>
  <c r="O735" i="1"/>
  <c r="Q735" i="1" s="1"/>
  <c r="P734" i="1"/>
  <c r="O734" i="1"/>
  <c r="Q734" i="1" s="1"/>
  <c r="L731" i="1" l="1"/>
  <c r="L730" i="1"/>
  <c r="L729" i="1"/>
  <c r="L726" i="1"/>
  <c r="L725" i="1"/>
  <c r="L724" i="1"/>
  <c r="P721" i="1"/>
  <c r="O721" i="1"/>
  <c r="Q721" i="1" s="1"/>
  <c r="L720" i="1"/>
  <c r="L719" i="1"/>
  <c r="L718" i="1"/>
  <c r="L717" i="1"/>
  <c r="P703" i="1"/>
  <c r="O703" i="1"/>
  <c r="Q703" i="1" s="1"/>
  <c r="L703" i="1"/>
  <c r="P704" i="1"/>
  <c r="O704" i="1"/>
  <c r="Q704" i="1" s="1"/>
  <c r="L704" i="1"/>
  <c r="L705" i="1"/>
  <c r="L706" i="1"/>
  <c r="P711" i="1"/>
  <c r="O711" i="1"/>
  <c r="Q711" i="1" s="1"/>
  <c r="L711" i="1"/>
  <c r="P712" i="1"/>
  <c r="O712" i="1"/>
  <c r="Q712" i="1" s="1"/>
  <c r="L712" i="1"/>
  <c r="P713" i="1"/>
  <c r="O713" i="1"/>
  <c r="Q713" i="1" s="1"/>
  <c r="L713" i="1"/>
  <c r="L714" i="1"/>
  <c r="P707" i="1"/>
  <c r="O707" i="1"/>
  <c r="Q707" i="1" s="1"/>
  <c r="L707" i="1"/>
  <c r="P708" i="1"/>
  <c r="O708" i="1"/>
  <c r="Q708" i="1" s="1"/>
  <c r="L708" i="1"/>
  <c r="L709" i="1"/>
  <c r="L710" i="1"/>
  <c r="L701" i="1"/>
  <c r="L700" i="1"/>
  <c r="L699" i="1"/>
  <c r="L698" i="1"/>
  <c r="L697" i="1"/>
  <c r="P692" i="1"/>
  <c r="O692" i="1"/>
  <c r="Q692" i="1" s="1"/>
  <c r="L692" i="1"/>
  <c r="L696" i="1"/>
  <c r="L695" i="1"/>
  <c r="L693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7" i="1"/>
  <c r="L676" i="1"/>
  <c r="L672" i="1"/>
  <c r="L671" i="1"/>
  <c r="L670" i="1"/>
  <c r="L669" i="1"/>
  <c r="P663" i="1" l="1"/>
  <c r="O663" i="1"/>
  <c r="Q663" i="1" s="1"/>
  <c r="P662" i="1"/>
  <c r="O662" i="1"/>
  <c r="Q662" i="1" s="1"/>
  <c r="L660" i="1" l="1"/>
  <c r="L659" i="1"/>
  <c r="P658" i="1"/>
  <c r="O658" i="1"/>
  <c r="Q658" i="1" s="1"/>
  <c r="P657" i="1"/>
  <c r="O657" i="1"/>
  <c r="Q657" i="1" s="1"/>
  <c r="P656" i="1"/>
  <c r="O656" i="1"/>
  <c r="Q656" i="1" s="1"/>
  <c r="L653" i="1"/>
  <c r="L651" i="1"/>
  <c r="L649" i="1"/>
  <c r="L648" i="1"/>
  <c r="L646" i="1"/>
  <c r="O638" i="1"/>
  <c r="Q638" i="1" s="1"/>
  <c r="P638" i="1"/>
  <c r="O639" i="1"/>
  <c r="Q639" i="1" s="1"/>
  <c r="P639" i="1"/>
  <c r="O640" i="1"/>
  <c r="Q640" i="1" s="1"/>
  <c r="P640" i="1"/>
  <c r="P637" i="1"/>
  <c r="AA637" i="1" s="1"/>
  <c r="O637" i="1"/>
  <c r="Q637" i="1" s="1"/>
  <c r="L643" i="1"/>
  <c r="L642" i="1"/>
  <c r="L634" i="1"/>
  <c r="L633" i="1"/>
  <c r="L632" i="1"/>
  <c r="L630" i="1" l="1"/>
  <c r="L628" i="1" l="1"/>
  <c r="L627" i="1"/>
  <c r="L626" i="1"/>
  <c r="L625" i="1"/>
  <c r="L624" i="1"/>
  <c r="L623" i="1"/>
  <c r="L622" i="1"/>
  <c r="L621" i="1"/>
  <c r="L620" i="1"/>
  <c r="L618" i="1"/>
  <c r="L619" i="1"/>
  <c r="L617" i="1"/>
  <c r="L615" i="1"/>
  <c r="L614" i="1"/>
  <c r="L613" i="1"/>
  <c r="L612" i="1"/>
  <c r="L610" i="1"/>
  <c r="L611" i="1"/>
  <c r="L608" i="1" l="1"/>
  <c r="L605" i="1"/>
  <c r="L604" i="1"/>
  <c r="L603" i="1"/>
  <c r="L602" i="1"/>
  <c r="L600" i="1"/>
  <c r="P598" i="1"/>
  <c r="P599" i="1"/>
  <c r="AA599" i="1" s="1"/>
  <c r="O598" i="1"/>
  <c r="Q598" i="1" s="1"/>
  <c r="O599" i="1"/>
  <c r="Q599" i="1" s="1"/>
  <c r="L597" i="1" l="1"/>
  <c r="A7" i="2"/>
  <c r="B7" i="2"/>
  <c r="C7" i="2"/>
  <c r="D7" i="2"/>
  <c r="E7" i="2"/>
  <c r="F7" i="2"/>
  <c r="G7" i="2"/>
  <c r="H7" i="2"/>
  <c r="I7" i="2"/>
  <c r="J7" i="2"/>
  <c r="K7" i="2"/>
  <c r="L7" i="2"/>
  <c r="L594" i="1"/>
  <c r="L593" i="1"/>
  <c r="L591" i="1"/>
  <c r="L590" i="1"/>
  <c r="L588" i="1"/>
  <c r="L587" i="1"/>
  <c r="P586" i="1"/>
  <c r="O586" i="1"/>
  <c r="Q586" i="1" s="1"/>
  <c r="L586" i="1"/>
  <c r="L585" i="1"/>
  <c r="L581" i="1"/>
  <c r="L580" i="1"/>
  <c r="L579" i="1"/>
  <c r="L578" i="1"/>
  <c r="L577" i="1"/>
  <c r="Q460" i="1"/>
  <c r="L574" i="1" l="1"/>
  <c r="L571" i="1"/>
  <c r="AA459" i="1"/>
  <c r="AA460" i="1"/>
  <c r="AA598" i="1"/>
  <c r="L568" i="1"/>
  <c r="L566" i="1"/>
  <c r="P563" i="1"/>
  <c r="AA563" i="1" s="1"/>
  <c r="O563" i="1"/>
  <c r="Q563" i="1" s="1"/>
  <c r="L563" i="1"/>
  <c r="L564" i="1"/>
  <c r="L562" i="1"/>
  <c r="L6" i="2"/>
  <c r="L560" i="1"/>
  <c r="L559" i="1"/>
  <c r="L557" i="1"/>
  <c r="A8" i="2"/>
  <c r="B8" i="2"/>
  <c r="C8" i="2"/>
  <c r="D8" i="2"/>
  <c r="E8" i="2"/>
  <c r="F8" i="2"/>
  <c r="G8" i="2"/>
  <c r="H8" i="2"/>
  <c r="I8" i="2"/>
  <c r="J8" i="2"/>
  <c r="K8" i="2"/>
  <c r="L8" i="2"/>
  <c r="A6" i="2"/>
  <c r="B6" i="2"/>
  <c r="C6" i="2"/>
  <c r="D6" i="2"/>
  <c r="E6" i="2"/>
  <c r="F6" i="2"/>
  <c r="G6" i="2"/>
  <c r="H6" i="2"/>
  <c r="I6" i="2"/>
  <c r="J6" i="2"/>
  <c r="K6" i="2"/>
  <c r="P554" i="1"/>
  <c r="AA554" i="1" s="1"/>
  <c r="O554" i="1"/>
  <c r="Q554" i="1" s="1"/>
  <c r="L552" i="1"/>
  <c r="L551" i="1"/>
  <c r="P550" i="1" l="1"/>
  <c r="AA550" i="1" s="1"/>
  <c r="O550" i="1"/>
  <c r="Q550" i="1" s="1"/>
  <c r="L550" i="1"/>
  <c r="L549" i="1"/>
  <c r="P549" i="1"/>
  <c r="AA549" i="1" s="1"/>
  <c r="O549" i="1"/>
  <c r="Q549" i="1" s="1"/>
  <c r="L548" i="1"/>
  <c r="L547" i="1"/>
  <c r="L546" i="1"/>
  <c r="L543" i="1" l="1"/>
  <c r="L540" i="1"/>
  <c r="L538" i="1"/>
  <c r="L537" i="1"/>
  <c r="P493" i="1"/>
  <c r="AA493" i="1" s="1"/>
  <c r="P494" i="1"/>
  <c r="AA494" i="1" s="1"/>
  <c r="O493" i="1"/>
  <c r="Q493" i="1" s="1"/>
  <c r="O494" i="1"/>
  <c r="Q494" i="1" s="1"/>
  <c r="P535" i="1" l="1"/>
  <c r="AA535" i="1" s="1"/>
  <c r="O535" i="1"/>
  <c r="Q535" i="1" s="1"/>
  <c r="L535" i="1"/>
  <c r="L536" i="1"/>
  <c r="L534" i="1"/>
  <c r="P533" i="1"/>
  <c r="AA533" i="1" s="1"/>
  <c r="O533" i="1"/>
  <c r="Q533" i="1" s="1"/>
  <c r="L533" i="1"/>
  <c r="P532" i="1"/>
  <c r="AA532" i="1" s="1"/>
  <c r="O532" i="1"/>
  <c r="Q532" i="1" s="1"/>
  <c r="L532" i="1"/>
  <c r="L531" i="1"/>
  <c r="P531" i="1"/>
  <c r="AA531" i="1" s="1"/>
  <c r="O531" i="1"/>
  <c r="Q531" i="1" s="1"/>
  <c r="L530" i="1"/>
  <c r="L529" i="1" l="1"/>
  <c r="L528" i="1"/>
  <c r="L527" i="1"/>
  <c r="L526" i="1"/>
  <c r="L525" i="1"/>
  <c r="P524" i="1"/>
  <c r="AA524" i="1" s="1"/>
  <c r="O524" i="1"/>
  <c r="Q524" i="1" s="1"/>
  <c r="L524" i="1"/>
  <c r="P523" i="1"/>
  <c r="AA523" i="1" s="1"/>
  <c r="O523" i="1"/>
  <c r="Q523" i="1" s="1"/>
  <c r="L523" i="1"/>
  <c r="L522" i="1"/>
  <c r="L521" i="1"/>
  <c r="P519" i="1" l="1"/>
  <c r="AA519" i="1" s="1"/>
  <c r="O519" i="1"/>
  <c r="Q519" i="1" s="1"/>
  <c r="L520" i="1" l="1"/>
  <c r="L516" i="1"/>
  <c r="L515" i="1"/>
  <c r="L514" i="1"/>
  <c r="L513" i="1"/>
  <c r="L511" i="1"/>
  <c r="L512" i="1"/>
  <c r="L509" i="1"/>
  <c r="L508" i="1"/>
  <c r="L507" i="1"/>
  <c r="P507" i="1"/>
  <c r="AA507" i="1" s="1"/>
  <c r="O507" i="1"/>
  <c r="Q507" i="1" s="1"/>
  <c r="L505" i="1"/>
  <c r="L506" i="1"/>
  <c r="L504" i="1"/>
  <c r="L503" i="1"/>
  <c r="L502" i="1"/>
  <c r="L500" i="1" l="1"/>
  <c r="L499" i="1"/>
  <c r="L497" i="1"/>
  <c r="L496" i="1" l="1"/>
  <c r="P487" i="1"/>
  <c r="AA487" i="1" s="1"/>
  <c r="O487" i="1"/>
  <c r="Q487" i="1" s="1"/>
  <c r="L491" i="1" l="1"/>
  <c r="L490" i="1"/>
  <c r="P490" i="1"/>
  <c r="AA490" i="1" s="1"/>
  <c r="O490" i="1"/>
  <c r="Q490" i="1" s="1"/>
  <c r="L489" i="1"/>
  <c r="P485" i="1" l="1"/>
  <c r="AA485" i="1" s="1"/>
  <c r="O485" i="1"/>
  <c r="Q485" i="1" s="1"/>
  <c r="L485" i="1"/>
  <c r="L484" i="1" l="1"/>
  <c r="L483" i="1"/>
  <c r="P482" i="1"/>
  <c r="AA482" i="1" s="1"/>
  <c r="O482" i="1"/>
  <c r="Q482" i="1" s="1"/>
  <c r="L480" i="1" l="1"/>
  <c r="P477" i="1"/>
  <c r="AA477" i="1" s="1"/>
  <c r="O477" i="1"/>
  <c r="Q477" i="1" s="1"/>
  <c r="P475" i="1" l="1"/>
  <c r="AA475" i="1" s="1"/>
  <c r="O475" i="1"/>
  <c r="Q475" i="1" s="1"/>
  <c r="L473" i="1" l="1"/>
  <c r="L468" i="1"/>
  <c r="L429" i="1"/>
  <c r="L467" i="1"/>
  <c r="L466" i="1"/>
  <c r="P463" i="1"/>
  <c r="AA463" i="1" s="1"/>
  <c r="O463" i="1"/>
  <c r="Q463" i="1" s="1"/>
  <c r="L463" i="1"/>
  <c r="L464" i="1"/>
  <c r="L462" i="1"/>
  <c r="L457" i="1"/>
  <c r="L456" i="1"/>
  <c r="L12" i="2"/>
  <c r="L11" i="2"/>
  <c r="L10" i="2"/>
  <c r="K12" i="2"/>
  <c r="J12" i="2"/>
  <c r="I12" i="2"/>
  <c r="H12" i="2"/>
  <c r="G12" i="2"/>
  <c r="F12" i="2"/>
  <c r="E12" i="2"/>
  <c r="D12" i="2"/>
  <c r="C12" i="2"/>
  <c r="B12" i="2"/>
  <c r="A12" i="2"/>
  <c r="K11" i="2"/>
  <c r="J11" i="2"/>
  <c r="I11" i="2"/>
  <c r="H11" i="2"/>
  <c r="G11" i="2"/>
  <c r="F11" i="2"/>
  <c r="E11" i="2"/>
  <c r="D11" i="2"/>
  <c r="C11" i="2"/>
  <c r="B11" i="2"/>
  <c r="A11" i="2"/>
  <c r="K10" i="2"/>
  <c r="J10" i="2"/>
  <c r="I10" i="2"/>
  <c r="H10" i="2"/>
  <c r="G10" i="2"/>
  <c r="F10" i="2"/>
  <c r="E10" i="2"/>
  <c r="D10" i="2"/>
  <c r="C10" i="2"/>
  <c r="B10" i="2"/>
  <c r="A10" i="2"/>
  <c r="AC18" i="2"/>
  <c r="AB18" i="2"/>
  <c r="AD18" i="2" s="1"/>
  <c r="AC17" i="2"/>
  <c r="AB17" i="2"/>
  <c r="AD17" i="2" s="1"/>
  <c r="Y17" i="2"/>
  <c r="L453" i="1"/>
  <c r="L451" i="1"/>
  <c r="L450" i="1"/>
  <c r="L449" i="1"/>
  <c r="L447" i="1"/>
  <c r="L446" i="1"/>
  <c r="O446" i="1"/>
  <c r="Q446" i="1" s="1"/>
  <c r="P446" i="1"/>
  <c r="AA446" i="1" s="1"/>
  <c r="O447" i="1"/>
  <c r="Q447" i="1" s="1"/>
  <c r="P447" i="1"/>
  <c r="AA447" i="1" s="1"/>
  <c r="L445" i="1"/>
  <c r="L444" i="1"/>
  <c r="P442" i="1" l="1"/>
  <c r="AA442" i="1" s="1"/>
  <c r="O442" i="1"/>
  <c r="Q442" i="1" s="1"/>
  <c r="L442" i="1"/>
  <c r="L441" i="1" l="1"/>
  <c r="P440" i="1"/>
  <c r="AA440" i="1" s="1"/>
  <c r="O440" i="1"/>
  <c r="Q440" i="1" s="1"/>
  <c r="P431" i="1"/>
  <c r="AA431" i="1" s="1"/>
  <c r="O431" i="1"/>
  <c r="Q431" i="1" s="1"/>
  <c r="P433" i="1"/>
  <c r="AA433" i="1" s="1"/>
  <c r="O433" i="1"/>
  <c r="Q433" i="1" s="1"/>
  <c r="L433" i="1"/>
  <c r="O430" i="1"/>
  <c r="Q430" i="1" s="1"/>
  <c r="P430" i="1"/>
  <c r="AA430" i="1" s="1"/>
  <c r="L435" i="1"/>
  <c r="L434" i="1" l="1"/>
  <c r="L428" i="1"/>
  <c r="P424" i="1"/>
  <c r="AA424" i="1" s="1"/>
  <c r="O424" i="1"/>
  <c r="Q424" i="1" s="1"/>
  <c r="L424" i="1"/>
  <c r="L423" i="1"/>
  <c r="L422" i="1"/>
  <c r="L421" i="1"/>
  <c r="L420" i="1"/>
  <c r="P419" i="1"/>
  <c r="O419" i="1"/>
  <c r="Q419" i="1" s="1"/>
  <c r="L419" i="1"/>
  <c r="L418" i="1"/>
  <c r="P417" i="1"/>
  <c r="O417" i="1"/>
  <c r="Q417" i="1" s="1"/>
  <c r="L417" i="1"/>
  <c r="L416" i="1"/>
  <c r="L413" i="1" l="1"/>
  <c r="L412" i="1"/>
  <c r="L411" i="1"/>
  <c r="L410" i="1"/>
  <c r="P397" i="1"/>
  <c r="O397" i="1"/>
  <c r="Q397" i="1" s="1"/>
  <c r="P407" i="1"/>
  <c r="AA407" i="1" s="1"/>
  <c r="O407" i="1"/>
  <c r="Q407" i="1" s="1"/>
  <c r="L405" i="1" l="1"/>
  <c r="L403" i="1"/>
  <c r="L402" i="1"/>
  <c r="L401" i="1"/>
  <c r="L400" i="1"/>
  <c r="L399" i="1"/>
  <c r="L394" i="1"/>
  <c r="O394" i="1"/>
  <c r="L392" i="1"/>
  <c r="P390" i="1"/>
  <c r="AA390" i="1" s="1"/>
  <c r="O390" i="1"/>
  <c r="Q390" i="1" s="1"/>
  <c r="L387" i="1" l="1"/>
  <c r="L386" i="1"/>
  <c r="L385" i="1"/>
  <c r="P373" i="1"/>
  <c r="O373" i="1"/>
  <c r="Q373" i="1" s="1"/>
  <c r="L384" i="1" l="1"/>
  <c r="L383" i="1"/>
  <c r="L382" i="1"/>
  <c r="L381" i="1"/>
  <c r="L380" i="1"/>
  <c r="L378" i="1" l="1"/>
  <c r="L377" i="1"/>
  <c r="L376" i="1"/>
  <c r="L375" i="1"/>
  <c r="P369" i="1"/>
  <c r="O369" i="1"/>
  <c r="Q369" i="1" s="1"/>
  <c r="L369" i="1"/>
  <c r="L372" i="1"/>
  <c r="L371" i="1"/>
  <c r="L370" i="1"/>
  <c r="L368" i="1"/>
  <c r="L367" i="1"/>
  <c r="L366" i="1"/>
  <c r="L365" i="1"/>
  <c r="L364" i="1"/>
  <c r="L363" i="1"/>
  <c r="L361" i="1"/>
  <c r="L360" i="1"/>
  <c r="L359" i="1"/>
  <c r="L358" i="1"/>
  <c r="L357" i="1"/>
  <c r="L356" i="1"/>
  <c r="L355" i="1"/>
  <c r="L354" i="1"/>
  <c r="L349" i="1"/>
  <c r="P342" i="1" l="1"/>
  <c r="AA342" i="1" s="1"/>
  <c r="O342" i="1"/>
  <c r="Q342" i="1" s="1"/>
  <c r="L344" i="1" l="1"/>
  <c r="L347" i="1"/>
  <c r="L348" i="1"/>
  <c r="L343" i="1"/>
  <c r="L340" i="1"/>
  <c r="P338" i="1"/>
  <c r="AA338" i="1" s="1"/>
  <c r="O338" i="1"/>
  <c r="Q338" i="1" s="1"/>
  <c r="L338" i="1"/>
  <c r="L337" i="1"/>
  <c r="L336" i="1"/>
  <c r="P334" i="1" l="1"/>
  <c r="AA334" i="1" s="1"/>
  <c r="O334" i="1"/>
  <c r="Q334" i="1" s="1"/>
  <c r="P333" i="1"/>
  <c r="AA333" i="1" s="1"/>
  <c r="O333" i="1"/>
  <c r="Q333" i="1" s="1"/>
  <c r="P331" i="1"/>
  <c r="AA331" i="1" s="1"/>
  <c r="O331" i="1"/>
  <c r="Q331" i="1" s="1"/>
  <c r="L328" i="1" l="1"/>
  <c r="L326" i="1"/>
  <c r="L325" i="1"/>
  <c r="L323" i="1"/>
  <c r="L322" i="1"/>
  <c r="L321" i="1"/>
  <c r="L320" i="1"/>
  <c r="L317" i="1"/>
  <c r="P316" i="1"/>
  <c r="AA316" i="1" s="1"/>
  <c r="O316" i="1"/>
  <c r="Q316" i="1" s="1"/>
  <c r="L316" i="1"/>
  <c r="L315" i="1"/>
  <c r="L314" i="1"/>
  <c r="L313" i="1"/>
  <c r="L312" i="1"/>
  <c r="L311" i="1"/>
  <c r="L309" i="1"/>
  <c r="L308" i="1"/>
  <c r="L307" i="1"/>
  <c r="L306" i="1"/>
  <c r="P306" i="1"/>
  <c r="AA306" i="1" s="1"/>
  <c r="O306" i="1"/>
  <c r="Q306" i="1" s="1"/>
  <c r="L302" i="1" l="1"/>
  <c r="L298" i="1"/>
  <c r="L295" i="1"/>
  <c r="L293" i="1"/>
  <c r="P292" i="1"/>
  <c r="L292" i="1"/>
  <c r="L291" i="1"/>
  <c r="L290" i="1"/>
  <c r="L289" i="1"/>
  <c r="L288" i="1"/>
  <c r="L287" i="1"/>
  <c r="L286" i="1"/>
  <c r="L285" i="1" l="1"/>
  <c r="L284" i="1"/>
  <c r="L283" i="1"/>
  <c r="L282" i="1"/>
  <c r="L281" i="1"/>
  <c r="L280" i="1"/>
  <c r="L279" i="1"/>
  <c r="L278" i="1"/>
  <c r="L277" i="1"/>
  <c r="L275" i="1"/>
  <c r="L274" i="1"/>
  <c r="O272" i="1"/>
  <c r="Q272" i="1" s="1"/>
  <c r="P272" i="1"/>
  <c r="L270" i="1"/>
  <c r="L269" i="1"/>
  <c r="L268" i="1"/>
  <c r="L266" i="1" l="1"/>
  <c r="L264" i="1" l="1"/>
  <c r="L262" i="1"/>
  <c r="L261" i="1"/>
  <c r="L258" i="1"/>
  <c r="L255" i="1"/>
  <c r="L254" i="1"/>
  <c r="P252" i="1"/>
  <c r="AA252" i="1" s="1"/>
  <c r="O252" i="1"/>
  <c r="Q252" i="1" s="1"/>
  <c r="L251" i="1"/>
  <c r="P250" i="1"/>
  <c r="AA250" i="1" s="1"/>
  <c r="O250" i="1"/>
  <c r="Q250" i="1" s="1"/>
  <c r="P246" i="1" l="1"/>
  <c r="AA246" i="1" s="1"/>
  <c r="O246" i="1"/>
  <c r="Q246" i="1" s="1"/>
  <c r="P243" i="1" l="1"/>
  <c r="O243" i="1"/>
  <c r="Q243" i="1" s="1"/>
  <c r="L240" i="1" l="1"/>
  <c r="L238" i="1"/>
  <c r="L235" i="1"/>
  <c r="P234" i="1"/>
  <c r="AA234" i="1" s="1"/>
  <c r="O234" i="1"/>
  <c r="Q234" i="1" s="1"/>
  <c r="L234" i="1"/>
  <c r="L233" i="1"/>
  <c r="L228" i="1" l="1"/>
  <c r="L227" i="1"/>
  <c r="L224" i="1" l="1"/>
  <c r="L222" i="1" l="1"/>
  <c r="L221" i="1"/>
  <c r="L220" i="1"/>
  <c r="L219" i="1"/>
  <c r="P216" i="1"/>
  <c r="AA216" i="1" s="1"/>
  <c r="O216" i="1"/>
  <c r="Q216" i="1" s="1"/>
  <c r="L215" i="1"/>
  <c r="O215" i="1"/>
  <c r="Q215" i="1" s="1"/>
  <c r="P215" i="1"/>
  <c r="L214" i="1" l="1"/>
  <c r="L210" i="1"/>
  <c r="L209" i="1"/>
  <c r="L207" i="1"/>
  <c r="L205" i="1"/>
  <c r="L204" i="1"/>
  <c r="L203" i="1"/>
  <c r="L202" i="1"/>
  <c r="O143" i="1"/>
  <c r="Q143" i="1" s="1"/>
  <c r="P143" i="1"/>
  <c r="AA143" i="1" s="1"/>
  <c r="L201" i="1"/>
  <c r="L200" i="1"/>
  <c r="P201" i="1"/>
  <c r="O201" i="1"/>
  <c r="Q201" i="1" s="1"/>
  <c r="L199" i="1"/>
  <c r="L198" i="1"/>
  <c r="P196" i="1"/>
  <c r="AA196" i="1" s="1"/>
  <c r="O196" i="1"/>
  <c r="Q196" i="1" s="1"/>
  <c r="L196" i="1"/>
  <c r="L197" i="1"/>
  <c r="L195" i="1"/>
  <c r="L194" i="1"/>
  <c r="P193" i="1"/>
  <c r="O193" i="1"/>
  <c r="Q193" i="1" s="1"/>
  <c r="L193" i="1"/>
  <c r="L192" i="1"/>
  <c r="L191" i="1"/>
  <c r="L189" i="1"/>
  <c r="L188" i="1"/>
  <c r="L187" i="1"/>
  <c r="L186" i="1"/>
  <c r="P185" i="1"/>
  <c r="O185" i="1"/>
  <c r="Q185" i="1" s="1"/>
  <c r="L182" i="1" l="1"/>
  <c r="L181" i="1"/>
  <c r="P180" i="1"/>
  <c r="O180" i="1"/>
  <c r="Q180" i="1" s="1"/>
  <c r="L180" i="1"/>
  <c r="L179" i="1"/>
  <c r="L178" i="1"/>
  <c r="P161" i="1"/>
  <c r="O161" i="1"/>
  <c r="Q161" i="1" s="1"/>
  <c r="P177" i="1"/>
  <c r="O177" i="1"/>
  <c r="Q177" i="1" s="1"/>
  <c r="L174" i="1"/>
  <c r="L173" i="1"/>
  <c r="L172" i="1"/>
  <c r="L170" i="1"/>
  <c r="L167" i="1"/>
  <c r="P165" i="1"/>
  <c r="AA165" i="1" s="1"/>
  <c r="O165" i="1"/>
  <c r="Q165" i="1" s="1"/>
  <c r="L165" i="1"/>
  <c r="L166" i="1"/>
  <c r="L164" i="1"/>
  <c r="L163" i="1"/>
  <c r="L159" i="1"/>
  <c r="L156" i="1"/>
  <c r="P154" i="1"/>
  <c r="AA154" i="1" s="1"/>
  <c r="O154" i="1"/>
  <c r="Q154" i="1" s="1"/>
  <c r="L154" i="1"/>
  <c r="L155" i="1"/>
  <c r="L153" i="1"/>
  <c r="L152" i="1"/>
  <c r="L150" i="1"/>
  <c r="L149" i="1"/>
  <c r="P147" i="1"/>
  <c r="O147" i="1"/>
  <c r="Q147" i="1" s="1"/>
  <c r="P146" i="1"/>
  <c r="O146" i="1"/>
  <c r="Q146" i="1" s="1"/>
  <c r="L144" i="1" l="1"/>
  <c r="L141" i="1"/>
  <c r="L140" i="1"/>
  <c r="P134" i="1"/>
  <c r="O134" i="1"/>
  <c r="Q134" i="1" s="1"/>
  <c r="P136" i="1"/>
  <c r="AA136" i="1" s="1"/>
  <c r="O136" i="1"/>
  <c r="Q136" i="1" s="1"/>
  <c r="L136" i="1"/>
  <c r="L138" i="1"/>
  <c r="L137" i="1"/>
  <c r="P133" i="1"/>
  <c r="O133" i="1"/>
  <c r="Q133" i="1" s="1"/>
  <c r="P132" i="1"/>
  <c r="O132" i="1"/>
  <c r="Q132" i="1" s="1"/>
  <c r="L132" i="1"/>
  <c r="L131" i="1"/>
  <c r="L130" i="1"/>
  <c r="L129" i="1"/>
  <c r="L124" i="1"/>
  <c r="L126" i="1"/>
  <c r="L127" i="1"/>
  <c r="L125" i="1"/>
  <c r="L128" i="1"/>
  <c r="P127" i="1"/>
  <c r="AA127" i="1" s="1"/>
  <c r="O127" i="1"/>
  <c r="Q127" i="1" s="1"/>
  <c r="P126" i="1"/>
  <c r="AA126" i="1" s="1"/>
  <c r="O126" i="1"/>
  <c r="Q126" i="1" s="1"/>
  <c r="P125" i="1"/>
  <c r="AA125" i="1" s="1"/>
  <c r="O125" i="1"/>
  <c r="Q125" i="1" s="1"/>
  <c r="L123" i="1"/>
  <c r="P121" i="1"/>
  <c r="O121" i="1"/>
  <c r="Q121" i="1" s="1"/>
  <c r="L121" i="1"/>
  <c r="P120" i="1"/>
  <c r="O120" i="1"/>
  <c r="Q120" i="1" s="1"/>
  <c r="L120" i="1"/>
  <c r="L122" i="1"/>
  <c r="L119" i="1"/>
  <c r="P116" i="1"/>
  <c r="AA116" i="1" s="1"/>
  <c r="O116" i="1"/>
  <c r="Q116" i="1" s="1"/>
  <c r="P115" i="1"/>
  <c r="AA115" i="1" s="1"/>
  <c r="O115" i="1"/>
  <c r="Q115" i="1" s="1"/>
  <c r="L118" i="1"/>
  <c r="L114" i="1"/>
  <c r="L112" i="1"/>
  <c r="L113" i="1"/>
  <c r="P113" i="1"/>
  <c r="O113" i="1"/>
  <c r="Q113" i="1" s="1"/>
  <c r="P112" i="1"/>
  <c r="O112" i="1"/>
  <c r="Q112" i="1" s="1"/>
  <c r="L111" i="1"/>
  <c r="L110" i="1"/>
  <c r="L109" i="1"/>
  <c r="L103" i="1" l="1"/>
  <c r="P101" i="1"/>
  <c r="O101" i="1"/>
  <c r="Q101" i="1" s="1"/>
  <c r="P99" i="1"/>
  <c r="AA99" i="1" s="1"/>
  <c r="O99" i="1"/>
  <c r="Q99" i="1" s="1"/>
  <c r="L99" i="1"/>
  <c r="L100" i="1"/>
  <c r="L98" i="1"/>
  <c r="L95" i="1"/>
  <c r="P94" i="1"/>
  <c r="O94" i="1"/>
  <c r="Q94" i="1" s="1"/>
  <c r="P91" i="1"/>
  <c r="O91" i="1"/>
  <c r="Q91" i="1" s="1"/>
  <c r="L91" i="1"/>
  <c r="L92" i="1"/>
  <c r="L90" i="1"/>
  <c r="L89" i="1"/>
  <c r="L88" i="1"/>
  <c r="P85" i="1"/>
  <c r="O85" i="1"/>
  <c r="Q85" i="1" s="1"/>
  <c r="P84" i="1"/>
  <c r="O84" i="1"/>
  <c r="Q84" i="1" s="1"/>
  <c r="L86" i="1" l="1"/>
  <c r="L82" i="1"/>
  <c r="P80" i="1"/>
  <c r="O80" i="1"/>
  <c r="Q80" i="1" s="1"/>
  <c r="P79" i="1"/>
  <c r="O79" i="1"/>
  <c r="Q79" i="1" s="1"/>
  <c r="L80" i="1"/>
  <c r="L79" i="1"/>
  <c r="L78" i="1"/>
  <c r="L77" i="1"/>
  <c r="L76" i="1"/>
  <c r="L75" i="1"/>
  <c r="L74" i="1"/>
  <c r="P75" i="1"/>
  <c r="O75" i="1"/>
  <c r="Q75" i="1" s="1"/>
  <c r="P71" i="1"/>
  <c r="AA71" i="1" s="1"/>
  <c r="O71" i="1"/>
  <c r="Q71" i="1" s="1"/>
  <c r="L71" i="1"/>
  <c r="L72" i="1"/>
  <c r="L70" i="1"/>
  <c r="P69" i="1"/>
  <c r="O69" i="1"/>
  <c r="Q69" i="1" s="1"/>
  <c r="L69" i="1"/>
  <c r="L68" i="1"/>
  <c r="P67" i="1"/>
  <c r="O67" i="1"/>
  <c r="Q67" i="1" s="1"/>
  <c r="L67" i="1"/>
  <c r="L66" i="1"/>
  <c r="L64" i="1"/>
  <c r="L63" i="1"/>
  <c r="P62" i="1"/>
  <c r="O62" i="1"/>
  <c r="Q62" i="1" s="1"/>
  <c r="L62" i="1"/>
  <c r="L61" i="1"/>
  <c r="L40" i="1"/>
  <c r="L60" i="1"/>
  <c r="P59" i="1"/>
  <c r="O59" i="1"/>
  <c r="Q59" i="1" s="1"/>
  <c r="L59" i="1"/>
  <c r="L58" i="1"/>
  <c r="L57" i="1" l="1"/>
  <c r="L56" i="1"/>
  <c r="P54" i="1"/>
  <c r="AA54" i="1" s="1"/>
  <c r="O54" i="1"/>
  <c r="Q54" i="1" s="1"/>
  <c r="L53" i="1"/>
  <c r="L52" i="1"/>
  <c r="L49" i="1"/>
  <c r="O50" i="1"/>
  <c r="Q50" i="1" s="1"/>
  <c r="P50" i="1"/>
  <c r="L48" i="1"/>
  <c r="P46" i="1" l="1"/>
  <c r="AA46" i="1" s="1"/>
  <c r="O46" i="1"/>
  <c r="Q46" i="1" s="1"/>
  <c r="L44" i="1" l="1"/>
  <c r="L42" i="1"/>
  <c r="L39" i="1"/>
  <c r="L37" i="1"/>
  <c r="L38" i="1"/>
  <c r="P36" i="1"/>
  <c r="AA36" i="1" s="1"/>
  <c r="O36" i="1"/>
  <c r="Q36" i="1" s="1"/>
  <c r="P35" i="1"/>
  <c r="AA35" i="1" s="1"/>
  <c r="O35" i="1"/>
  <c r="Q35" i="1" s="1"/>
  <c r="P34" i="1"/>
  <c r="AA34" i="1" s="1"/>
  <c r="O34" i="1"/>
  <c r="Q34" i="1" s="1"/>
  <c r="L32" i="1" l="1"/>
  <c r="L31" i="1"/>
  <c r="L30" i="1"/>
  <c r="L29" i="1"/>
  <c r="L26" i="1"/>
  <c r="P24" i="1"/>
  <c r="O24" i="1"/>
  <c r="Q24" i="1" s="1"/>
  <c r="L24" i="1"/>
  <c r="L23" i="1"/>
  <c r="P22" i="1"/>
  <c r="O22" i="1"/>
  <c r="Q22" i="1" s="1"/>
  <c r="L22" i="1"/>
  <c r="L21" i="1"/>
  <c r="P19" i="1"/>
  <c r="AA19" i="1" s="1"/>
  <c r="O19" i="1"/>
  <c r="Q19" i="1" s="1"/>
  <c r="L19" i="1"/>
  <c r="L20" i="1"/>
  <c r="L18" i="1"/>
  <c r="P17" i="1"/>
  <c r="O17" i="1"/>
  <c r="Q17" i="1" s="1"/>
  <c r="L15" i="1"/>
  <c r="L14" i="1" l="1"/>
  <c r="L13" i="1"/>
  <c r="L12" i="1"/>
  <c r="L10" i="1"/>
  <c r="L4" i="1"/>
  <c r="L8" i="1"/>
  <c r="L7" i="1"/>
  <c r="P8" i="1"/>
  <c r="AA8" i="1" s="1"/>
  <c r="O8" i="1"/>
  <c r="Q8" i="1" s="1"/>
  <c r="P7" i="1"/>
  <c r="AA7" i="1" s="1"/>
  <c r="O7" i="1"/>
  <c r="Q7" i="1" s="1"/>
  <c r="O89" i="1"/>
  <c r="Q89" i="1" s="1"/>
  <c r="P89" i="1"/>
  <c r="O90" i="1"/>
  <c r="Q90" i="1" s="1"/>
  <c r="P90" i="1"/>
  <c r="O92" i="1"/>
  <c r="Q92" i="1" s="1"/>
  <c r="P92" i="1"/>
  <c r="O93" i="1"/>
  <c r="Q93" i="1" s="1"/>
  <c r="P93" i="1"/>
  <c r="O95" i="1"/>
  <c r="Q95" i="1" s="1"/>
  <c r="P95" i="1"/>
  <c r="O96" i="1"/>
  <c r="Q96" i="1" s="1"/>
  <c r="P96" i="1"/>
  <c r="O97" i="1"/>
  <c r="Q97" i="1" s="1"/>
  <c r="P97" i="1"/>
  <c r="O98" i="1"/>
  <c r="Q98" i="1" s="1"/>
  <c r="P98" i="1"/>
  <c r="O100" i="1"/>
  <c r="Q100" i="1" s="1"/>
  <c r="P100" i="1"/>
  <c r="O102" i="1"/>
  <c r="Q102" i="1" s="1"/>
  <c r="P102" i="1"/>
  <c r="O103" i="1"/>
  <c r="Q103" i="1" s="1"/>
  <c r="P103" i="1"/>
  <c r="O104" i="1"/>
  <c r="Q104" i="1" s="1"/>
  <c r="P104" i="1"/>
  <c r="O107" i="1"/>
  <c r="Q107" i="1" s="1"/>
  <c r="P107" i="1"/>
  <c r="O108" i="1"/>
  <c r="Q108" i="1" s="1"/>
  <c r="P108" i="1"/>
  <c r="O109" i="1"/>
  <c r="Q109" i="1" s="1"/>
  <c r="P109" i="1"/>
  <c r="O110" i="1"/>
  <c r="Q110" i="1" s="1"/>
  <c r="P110" i="1"/>
  <c r="O111" i="1"/>
  <c r="Q111" i="1" s="1"/>
  <c r="P111" i="1"/>
  <c r="O114" i="1"/>
  <c r="Q114" i="1" s="1"/>
  <c r="P114" i="1"/>
  <c r="O117" i="1"/>
  <c r="Q117" i="1" s="1"/>
  <c r="P117" i="1"/>
  <c r="O118" i="1"/>
  <c r="Q118" i="1" s="1"/>
  <c r="P118" i="1"/>
  <c r="O119" i="1"/>
  <c r="Q119" i="1" s="1"/>
  <c r="P119" i="1"/>
  <c r="O122" i="1"/>
  <c r="Q122" i="1" s="1"/>
  <c r="P122" i="1"/>
  <c r="O123" i="1"/>
  <c r="Q123" i="1" s="1"/>
  <c r="P123" i="1"/>
  <c r="O124" i="1"/>
  <c r="Q124" i="1" s="1"/>
  <c r="P124" i="1"/>
  <c r="O128" i="1"/>
  <c r="Q128" i="1" s="1"/>
  <c r="P128" i="1"/>
  <c r="O129" i="1"/>
  <c r="Q129" i="1" s="1"/>
  <c r="P129" i="1"/>
  <c r="O130" i="1"/>
  <c r="Q130" i="1" s="1"/>
  <c r="P130" i="1"/>
  <c r="O131" i="1"/>
  <c r="Q131" i="1" s="1"/>
  <c r="P131" i="1"/>
  <c r="O135" i="1"/>
  <c r="Q135" i="1" s="1"/>
  <c r="P135" i="1"/>
  <c r="O137" i="1"/>
  <c r="Q137" i="1" s="1"/>
  <c r="P137" i="1"/>
  <c r="O138" i="1"/>
  <c r="Q138" i="1" s="1"/>
  <c r="P138" i="1"/>
  <c r="O139" i="1"/>
  <c r="Q139" i="1" s="1"/>
  <c r="P139" i="1"/>
  <c r="O140" i="1"/>
  <c r="Q140" i="1" s="1"/>
  <c r="P140" i="1"/>
  <c r="O141" i="1"/>
  <c r="Q141" i="1" s="1"/>
  <c r="P141" i="1"/>
  <c r="O142" i="1"/>
  <c r="Q142" i="1" s="1"/>
  <c r="P142" i="1"/>
  <c r="O144" i="1"/>
  <c r="Q144" i="1" s="1"/>
  <c r="P144" i="1"/>
  <c r="O145" i="1"/>
  <c r="Q145" i="1" s="1"/>
  <c r="P145" i="1"/>
  <c r="O148" i="1"/>
  <c r="Q148" i="1" s="1"/>
  <c r="P148" i="1"/>
  <c r="O149" i="1"/>
  <c r="Q149" i="1" s="1"/>
  <c r="P149" i="1"/>
  <c r="O150" i="1"/>
  <c r="Q150" i="1" s="1"/>
  <c r="P150" i="1"/>
  <c r="O151" i="1"/>
  <c r="Q151" i="1" s="1"/>
  <c r="P151" i="1"/>
  <c r="O152" i="1"/>
  <c r="Q152" i="1" s="1"/>
  <c r="P152" i="1"/>
  <c r="O153" i="1"/>
  <c r="Q153" i="1" s="1"/>
  <c r="P153" i="1"/>
  <c r="O155" i="1"/>
  <c r="Q155" i="1" s="1"/>
  <c r="P155" i="1"/>
  <c r="O156" i="1"/>
  <c r="Q156" i="1" s="1"/>
  <c r="P156" i="1"/>
  <c r="O157" i="1"/>
  <c r="Q157" i="1" s="1"/>
  <c r="P157" i="1"/>
  <c r="O158" i="1"/>
  <c r="Q158" i="1" s="1"/>
  <c r="P158" i="1"/>
  <c r="O159" i="1"/>
  <c r="Q159" i="1" s="1"/>
  <c r="P159" i="1"/>
  <c r="O160" i="1"/>
  <c r="Q160" i="1" s="1"/>
  <c r="P160" i="1"/>
  <c r="O162" i="1"/>
  <c r="Q162" i="1" s="1"/>
  <c r="P162" i="1"/>
  <c r="O163" i="1"/>
  <c r="Q163" i="1" s="1"/>
  <c r="P163" i="1"/>
  <c r="O164" i="1"/>
  <c r="Q164" i="1" s="1"/>
  <c r="P164" i="1"/>
  <c r="O166" i="1"/>
  <c r="Q166" i="1" s="1"/>
  <c r="P166" i="1"/>
  <c r="O167" i="1"/>
  <c r="Q167" i="1" s="1"/>
  <c r="P167" i="1"/>
  <c r="O168" i="1"/>
  <c r="Q168" i="1" s="1"/>
  <c r="P168" i="1"/>
  <c r="O169" i="1"/>
  <c r="Q169" i="1" s="1"/>
  <c r="P169" i="1"/>
  <c r="O170" i="1"/>
  <c r="Q170" i="1" s="1"/>
  <c r="P170" i="1"/>
  <c r="O171" i="1"/>
  <c r="Q171" i="1" s="1"/>
  <c r="P171" i="1"/>
  <c r="O172" i="1"/>
  <c r="Q172" i="1" s="1"/>
  <c r="P172" i="1"/>
  <c r="O173" i="1"/>
  <c r="Q173" i="1" s="1"/>
  <c r="P173" i="1"/>
  <c r="O174" i="1"/>
  <c r="Q174" i="1" s="1"/>
  <c r="P174" i="1"/>
  <c r="O175" i="1"/>
  <c r="Q175" i="1" s="1"/>
  <c r="P175" i="1"/>
  <c r="O176" i="1"/>
  <c r="Q176" i="1" s="1"/>
  <c r="P176" i="1"/>
  <c r="O178" i="1"/>
  <c r="Q178" i="1" s="1"/>
  <c r="P178" i="1"/>
  <c r="O179" i="1"/>
  <c r="Q179" i="1" s="1"/>
  <c r="P179" i="1"/>
  <c r="O181" i="1"/>
  <c r="Q181" i="1" s="1"/>
  <c r="P181" i="1"/>
  <c r="O182" i="1"/>
  <c r="Q182" i="1" s="1"/>
  <c r="P182" i="1"/>
  <c r="O183" i="1"/>
  <c r="Q183" i="1" s="1"/>
  <c r="P183" i="1"/>
  <c r="O184" i="1"/>
  <c r="Q184" i="1" s="1"/>
  <c r="P184" i="1"/>
  <c r="O186" i="1"/>
  <c r="Q186" i="1" s="1"/>
  <c r="P186" i="1"/>
  <c r="O187" i="1"/>
  <c r="Q187" i="1" s="1"/>
  <c r="P187" i="1"/>
  <c r="O188" i="1"/>
  <c r="Q188" i="1" s="1"/>
  <c r="P188" i="1"/>
  <c r="O189" i="1"/>
  <c r="Q189" i="1" s="1"/>
  <c r="P189" i="1"/>
  <c r="O190" i="1"/>
  <c r="Q190" i="1" s="1"/>
  <c r="P190" i="1"/>
  <c r="O191" i="1"/>
  <c r="Q191" i="1" s="1"/>
  <c r="P191" i="1"/>
  <c r="O192" i="1"/>
  <c r="Q192" i="1" s="1"/>
  <c r="P192" i="1"/>
  <c r="O194" i="1"/>
  <c r="Q194" i="1" s="1"/>
  <c r="P194" i="1"/>
  <c r="O195" i="1"/>
  <c r="Q195" i="1" s="1"/>
  <c r="P195" i="1"/>
  <c r="O197" i="1"/>
  <c r="Q197" i="1" s="1"/>
  <c r="P197" i="1"/>
  <c r="O198" i="1"/>
  <c r="Q198" i="1" s="1"/>
  <c r="P198" i="1"/>
  <c r="O199" i="1"/>
  <c r="Q199" i="1" s="1"/>
  <c r="P199" i="1"/>
  <c r="O200" i="1"/>
  <c r="Q200" i="1" s="1"/>
  <c r="P200" i="1"/>
  <c r="O202" i="1"/>
  <c r="Q202" i="1" s="1"/>
  <c r="P202" i="1"/>
  <c r="O203" i="1"/>
  <c r="Q203" i="1" s="1"/>
  <c r="P203" i="1"/>
  <c r="O204" i="1"/>
  <c r="Q204" i="1" s="1"/>
  <c r="P204" i="1"/>
  <c r="O205" i="1"/>
  <c r="Q205" i="1" s="1"/>
  <c r="P205" i="1"/>
  <c r="O206" i="1"/>
  <c r="Q206" i="1" s="1"/>
  <c r="P206" i="1"/>
  <c r="O207" i="1"/>
  <c r="Q207" i="1" s="1"/>
  <c r="P207" i="1"/>
  <c r="O208" i="1"/>
  <c r="Q208" i="1" s="1"/>
  <c r="P208" i="1"/>
  <c r="O209" i="1"/>
  <c r="Q209" i="1" s="1"/>
  <c r="P209" i="1"/>
  <c r="O210" i="1"/>
  <c r="Q210" i="1" s="1"/>
  <c r="P210" i="1"/>
  <c r="O211" i="1"/>
  <c r="Q211" i="1" s="1"/>
  <c r="P211" i="1"/>
  <c r="O212" i="1"/>
  <c r="Q212" i="1" s="1"/>
  <c r="P212" i="1"/>
  <c r="O213" i="1"/>
  <c r="Q213" i="1" s="1"/>
  <c r="P213" i="1"/>
  <c r="O214" i="1"/>
  <c r="Q214" i="1" s="1"/>
  <c r="P214" i="1"/>
  <c r="O217" i="1"/>
  <c r="Q217" i="1" s="1"/>
  <c r="P217" i="1"/>
  <c r="O218" i="1"/>
  <c r="Q218" i="1" s="1"/>
  <c r="P218" i="1"/>
  <c r="O219" i="1"/>
  <c r="Q219" i="1" s="1"/>
  <c r="P219" i="1"/>
  <c r="O220" i="1"/>
  <c r="Q220" i="1" s="1"/>
  <c r="P220" i="1"/>
  <c r="O221" i="1"/>
  <c r="Q221" i="1" s="1"/>
  <c r="P221" i="1"/>
  <c r="O222" i="1"/>
  <c r="Q222" i="1" s="1"/>
  <c r="P222" i="1"/>
  <c r="O223" i="1"/>
  <c r="Q223" i="1" s="1"/>
  <c r="P223" i="1"/>
  <c r="O224" i="1"/>
  <c r="Q224" i="1" s="1"/>
  <c r="P224" i="1"/>
  <c r="O225" i="1"/>
  <c r="Q225" i="1" s="1"/>
  <c r="P225" i="1"/>
  <c r="O226" i="1"/>
  <c r="Q226" i="1" s="1"/>
  <c r="P226" i="1"/>
  <c r="O227" i="1"/>
  <c r="Q227" i="1" s="1"/>
  <c r="P227" i="1"/>
  <c r="O228" i="1"/>
  <c r="Q228" i="1" s="1"/>
  <c r="P228" i="1"/>
  <c r="O229" i="1"/>
  <c r="Q229" i="1" s="1"/>
  <c r="P229" i="1"/>
  <c r="O230" i="1"/>
  <c r="Q230" i="1" s="1"/>
  <c r="P230" i="1"/>
  <c r="O231" i="1"/>
  <c r="Q231" i="1" s="1"/>
  <c r="P231" i="1"/>
  <c r="O232" i="1"/>
  <c r="Q232" i="1" s="1"/>
  <c r="P232" i="1"/>
  <c r="O233" i="1"/>
  <c r="Q233" i="1" s="1"/>
  <c r="P233" i="1"/>
  <c r="O235" i="1"/>
  <c r="Q235" i="1" s="1"/>
  <c r="P235" i="1"/>
  <c r="O236" i="1"/>
  <c r="Q236" i="1" s="1"/>
  <c r="P236" i="1"/>
  <c r="O237" i="1"/>
  <c r="Q237" i="1" s="1"/>
  <c r="P237" i="1"/>
  <c r="O238" i="1"/>
  <c r="Q238" i="1" s="1"/>
  <c r="P238" i="1"/>
  <c r="O239" i="1"/>
  <c r="Q239" i="1" s="1"/>
  <c r="P239" i="1"/>
  <c r="O240" i="1"/>
  <c r="Q240" i="1" s="1"/>
  <c r="P240" i="1"/>
  <c r="O241" i="1"/>
  <c r="Q241" i="1" s="1"/>
  <c r="P241" i="1"/>
  <c r="O242" i="1"/>
  <c r="Q242" i="1" s="1"/>
  <c r="P242" i="1"/>
  <c r="O244" i="1"/>
  <c r="Q244" i="1" s="1"/>
  <c r="P244" i="1"/>
  <c r="O245" i="1"/>
  <c r="Q245" i="1" s="1"/>
  <c r="P245" i="1"/>
  <c r="O247" i="1"/>
  <c r="Q247" i="1" s="1"/>
  <c r="P247" i="1"/>
  <c r="O248" i="1"/>
  <c r="Q248" i="1" s="1"/>
  <c r="P248" i="1"/>
  <c r="O249" i="1"/>
  <c r="Q249" i="1" s="1"/>
  <c r="P249" i="1"/>
  <c r="O251" i="1"/>
  <c r="Q251" i="1" s="1"/>
  <c r="P251" i="1"/>
  <c r="O253" i="1"/>
  <c r="Q253" i="1" s="1"/>
  <c r="P253" i="1"/>
  <c r="O254" i="1"/>
  <c r="Q254" i="1" s="1"/>
  <c r="P254" i="1"/>
  <c r="O255" i="1"/>
  <c r="Q255" i="1" s="1"/>
  <c r="P255" i="1"/>
  <c r="O257" i="1"/>
  <c r="Q257" i="1" s="1"/>
  <c r="P257" i="1"/>
  <c r="O258" i="1"/>
  <c r="Q258" i="1" s="1"/>
  <c r="P258" i="1"/>
  <c r="O259" i="1"/>
  <c r="Q259" i="1" s="1"/>
  <c r="P259" i="1"/>
  <c r="O260" i="1"/>
  <c r="Q260" i="1" s="1"/>
  <c r="P260" i="1"/>
  <c r="O261" i="1"/>
  <c r="Q261" i="1" s="1"/>
  <c r="P261" i="1"/>
  <c r="O262" i="1"/>
  <c r="Q262" i="1" s="1"/>
  <c r="P262" i="1"/>
  <c r="O263" i="1"/>
  <c r="Q263" i="1" s="1"/>
  <c r="P263" i="1"/>
  <c r="O264" i="1"/>
  <c r="Q264" i="1" s="1"/>
  <c r="P264" i="1"/>
  <c r="O265" i="1"/>
  <c r="Q265" i="1" s="1"/>
  <c r="P265" i="1"/>
  <c r="O266" i="1"/>
  <c r="Q266" i="1" s="1"/>
  <c r="P266" i="1"/>
  <c r="O267" i="1"/>
  <c r="Q267" i="1" s="1"/>
  <c r="P267" i="1"/>
  <c r="O268" i="1"/>
  <c r="Q268" i="1" s="1"/>
  <c r="P268" i="1"/>
  <c r="O269" i="1"/>
  <c r="Q269" i="1" s="1"/>
  <c r="P269" i="1"/>
  <c r="O270" i="1"/>
  <c r="Q270" i="1" s="1"/>
  <c r="P270" i="1"/>
  <c r="O271" i="1"/>
  <c r="Q271" i="1" s="1"/>
  <c r="P271" i="1"/>
  <c r="O273" i="1"/>
  <c r="Q273" i="1" s="1"/>
  <c r="P273" i="1"/>
  <c r="O274" i="1"/>
  <c r="Q274" i="1" s="1"/>
  <c r="P274" i="1"/>
  <c r="O275" i="1"/>
  <c r="Q275" i="1" s="1"/>
  <c r="P275" i="1"/>
  <c r="O276" i="1"/>
  <c r="Q276" i="1" s="1"/>
  <c r="P276" i="1"/>
  <c r="O277" i="1"/>
  <c r="Q277" i="1" s="1"/>
  <c r="P277" i="1"/>
  <c r="O278" i="1"/>
  <c r="Q278" i="1" s="1"/>
  <c r="P278" i="1"/>
  <c r="O279" i="1"/>
  <c r="Q279" i="1" s="1"/>
  <c r="P279" i="1"/>
  <c r="O280" i="1"/>
  <c r="Q280" i="1" s="1"/>
  <c r="P280" i="1"/>
  <c r="O281" i="1"/>
  <c r="Q281" i="1" s="1"/>
  <c r="P281" i="1"/>
  <c r="O282" i="1"/>
  <c r="Q282" i="1" s="1"/>
  <c r="P282" i="1"/>
  <c r="O283" i="1"/>
  <c r="Q283" i="1" s="1"/>
  <c r="P283" i="1"/>
  <c r="O284" i="1"/>
  <c r="Q284" i="1" s="1"/>
  <c r="P284" i="1"/>
  <c r="O285" i="1"/>
  <c r="Q285" i="1" s="1"/>
  <c r="P285" i="1"/>
  <c r="O286" i="1"/>
  <c r="Q286" i="1" s="1"/>
  <c r="P286" i="1"/>
  <c r="O287" i="1"/>
  <c r="Q287" i="1" s="1"/>
  <c r="P287" i="1"/>
  <c r="O288" i="1"/>
  <c r="Q288" i="1" s="1"/>
  <c r="P288" i="1"/>
  <c r="O289" i="1"/>
  <c r="Q289" i="1" s="1"/>
  <c r="P289" i="1"/>
  <c r="O290" i="1"/>
  <c r="Q290" i="1" s="1"/>
  <c r="P290" i="1"/>
  <c r="O291" i="1"/>
  <c r="Q291" i="1" s="1"/>
  <c r="P291" i="1"/>
  <c r="O292" i="1"/>
  <c r="Q292" i="1" s="1"/>
  <c r="O293" i="1"/>
  <c r="Q293" i="1" s="1"/>
  <c r="P293" i="1"/>
  <c r="O294" i="1"/>
  <c r="Q294" i="1" s="1"/>
  <c r="P294" i="1"/>
  <c r="O295" i="1"/>
  <c r="Q295" i="1" s="1"/>
  <c r="P295" i="1"/>
  <c r="O296" i="1"/>
  <c r="Q296" i="1" s="1"/>
  <c r="P296" i="1"/>
  <c r="O297" i="1"/>
  <c r="Q297" i="1" s="1"/>
  <c r="P297" i="1"/>
  <c r="O298" i="1"/>
  <c r="Q298" i="1" s="1"/>
  <c r="P298" i="1"/>
  <c r="O299" i="1"/>
  <c r="Q299" i="1" s="1"/>
  <c r="P299" i="1"/>
  <c r="O300" i="1"/>
  <c r="Q300" i="1" s="1"/>
  <c r="P300" i="1"/>
  <c r="O301" i="1"/>
  <c r="Q301" i="1" s="1"/>
  <c r="P301" i="1"/>
  <c r="O302" i="1"/>
  <c r="Q302" i="1" s="1"/>
  <c r="P302" i="1"/>
  <c r="O303" i="1"/>
  <c r="Q303" i="1" s="1"/>
  <c r="P303" i="1"/>
  <c r="O304" i="1"/>
  <c r="Q304" i="1" s="1"/>
  <c r="P304" i="1"/>
  <c r="O305" i="1"/>
  <c r="Q305" i="1" s="1"/>
  <c r="P305" i="1"/>
  <c r="O307" i="1"/>
  <c r="Q307" i="1" s="1"/>
  <c r="P307" i="1"/>
  <c r="O308" i="1"/>
  <c r="Q308" i="1" s="1"/>
  <c r="P308" i="1"/>
  <c r="O309" i="1"/>
  <c r="Q309" i="1" s="1"/>
  <c r="P309" i="1"/>
  <c r="O310" i="1"/>
  <c r="Q310" i="1" s="1"/>
  <c r="P310" i="1"/>
  <c r="O311" i="1"/>
  <c r="Q311" i="1" s="1"/>
  <c r="P311" i="1"/>
  <c r="O312" i="1"/>
  <c r="Q312" i="1" s="1"/>
  <c r="P312" i="1"/>
  <c r="O313" i="1"/>
  <c r="Q313" i="1" s="1"/>
  <c r="P313" i="1"/>
  <c r="O314" i="1"/>
  <c r="Q314" i="1" s="1"/>
  <c r="P314" i="1"/>
  <c r="O315" i="1"/>
  <c r="Q315" i="1" s="1"/>
  <c r="P315" i="1"/>
  <c r="O317" i="1"/>
  <c r="Q317" i="1" s="1"/>
  <c r="P317" i="1"/>
  <c r="O318" i="1"/>
  <c r="Q318" i="1" s="1"/>
  <c r="P318" i="1"/>
  <c r="O319" i="1"/>
  <c r="Q319" i="1" s="1"/>
  <c r="P319" i="1"/>
  <c r="O320" i="1"/>
  <c r="Q320" i="1" s="1"/>
  <c r="P320" i="1"/>
  <c r="O321" i="1"/>
  <c r="Q321" i="1" s="1"/>
  <c r="P321" i="1"/>
  <c r="O322" i="1"/>
  <c r="Q322" i="1" s="1"/>
  <c r="P322" i="1"/>
  <c r="O323" i="1"/>
  <c r="Q323" i="1" s="1"/>
  <c r="P323" i="1"/>
  <c r="O324" i="1"/>
  <c r="Q324" i="1" s="1"/>
  <c r="P324" i="1"/>
  <c r="O325" i="1"/>
  <c r="Q325" i="1" s="1"/>
  <c r="P325" i="1"/>
  <c r="O326" i="1"/>
  <c r="Q326" i="1" s="1"/>
  <c r="P326" i="1"/>
  <c r="O327" i="1"/>
  <c r="Q327" i="1" s="1"/>
  <c r="P327" i="1"/>
  <c r="O328" i="1"/>
  <c r="Q328" i="1" s="1"/>
  <c r="P328" i="1"/>
  <c r="O329" i="1"/>
  <c r="Q329" i="1" s="1"/>
  <c r="P329" i="1"/>
  <c r="O330" i="1"/>
  <c r="Q330" i="1" s="1"/>
  <c r="P330" i="1"/>
  <c r="O332" i="1"/>
  <c r="Q332" i="1" s="1"/>
  <c r="P332" i="1"/>
  <c r="O335" i="1"/>
  <c r="Q335" i="1" s="1"/>
  <c r="P335" i="1"/>
  <c r="O336" i="1"/>
  <c r="Q336" i="1" s="1"/>
  <c r="P336" i="1"/>
  <c r="O337" i="1"/>
  <c r="Q337" i="1" s="1"/>
  <c r="P337" i="1"/>
  <c r="O339" i="1"/>
  <c r="Q339" i="1" s="1"/>
  <c r="P339" i="1"/>
  <c r="O340" i="1"/>
  <c r="Q340" i="1" s="1"/>
  <c r="P340" i="1"/>
  <c r="O341" i="1"/>
  <c r="Q341" i="1" s="1"/>
  <c r="P341" i="1"/>
  <c r="O343" i="1"/>
  <c r="Q343" i="1" s="1"/>
  <c r="P343" i="1"/>
  <c r="O344" i="1"/>
  <c r="Q344" i="1" s="1"/>
  <c r="P344" i="1"/>
  <c r="O345" i="1"/>
  <c r="Q345" i="1" s="1"/>
  <c r="P345" i="1"/>
  <c r="O346" i="1"/>
  <c r="Q346" i="1" s="1"/>
  <c r="P346" i="1"/>
  <c r="O347" i="1"/>
  <c r="Q347" i="1" s="1"/>
  <c r="P347" i="1"/>
  <c r="O348" i="1"/>
  <c r="Q348" i="1" s="1"/>
  <c r="P348" i="1"/>
  <c r="O349" i="1"/>
  <c r="Q349" i="1" s="1"/>
  <c r="P349" i="1"/>
  <c r="O350" i="1"/>
  <c r="Q350" i="1" s="1"/>
  <c r="P350" i="1"/>
  <c r="O351" i="1"/>
  <c r="Q351" i="1" s="1"/>
  <c r="P351" i="1"/>
  <c r="O352" i="1"/>
  <c r="Q352" i="1" s="1"/>
  <c r="P352" i="1"/>
  <c r="O353" i="1"/>
  <c r="Q353" i="1" s="1"/>
  <c r="P353" i="1"/>
  <c r="O354" i="1"/>
  <c r="Q354" i="1" s="1"/>
  <c r="P354" i="1"/>
  <c r="O355" i="1"/>
  <c r="Q355" i="1" s="1"/>
  <c r="P355" i="1"/>
  <c r="O356" i="1"/>
  <c r="Q356" i="1" s="1"/>
  <c r="P356" i="1"/>
  <c r="O357" i="1"/>
  <c r="Q357" i="1" s="1"/>
  <c r="P357" i="1"/>
  <c r="O358" i="1"/>
  <c r="Q358" i="1" s="1"/>
  <c r="P358" i="1"/>
  <c r="O359" i="1"/>
  <c r="Q359" i="1" s="1"/>
  <c r="P359" i="1"/>
  <c r="O360" i="1"/>
  <c r="Q360" i="1" s="1"/>
  <c r="P360" i="1"/>
  <c r="O361" i="1"/>
  <c r="Q361" i="1" s="1"/>
  <c r="P361" i="1"/>
  <c r="O362" i="1"/>
  <c r="Q362" i="1" s="1"/>
  <c r="P362" i="1"/>
  <c r="O363" i="1"/>
  <c r="Q363" i="1" s="1"/>
  <c r="P363" i="1"/>
  <c r="O364" i="1"/>
  <c r="Q364" i="1" s="1"/>
  <c r="P364" i="1"/>
  <c r="O365" i="1"/>
  <c r="Q365" i="1" s="1"/>
  <c r="P365" i="1"/>
  <c r="O366" i="1"/>
  <c r="Q366" i="1" s="1"/>
  <c r="P366" i="1"/>
  <c r="O367" i="1"/>
  <c r="Q367" i="1" s="1"/>
  <c r="P367" i="1"/>
  <c r="O368" i="1"/>
  <c r="Q368" i="1" s="1"/>
  <c r="P368" i="1"/>
  <c r="O370" i="1"/>
  <c r="Q370" i="1" s="1"/>
  <c r="P370" i="1"/>
  <c r="O371" i="1"/>
  <c r="Q371" i="1" s="1"/>
  <c r="P371" i="1"/>
  <c r="O372" i="1"/>
  <c r="Q372" i="1" s="1"/>
  <c r="P372" i="1"/>
  <c r="O374" i="1"/>
  <c r="Q374" i="1" s="1"/>
  <c r="P374" i="1"/>
  <c r="O375" i="1"/>
  <c r="Q375" i="1" s="1"/>
  <c r="P375" i="1"/>
  <c r="O376" i="1"/>
  <c r="Q376" i="1" s="1"/>
  <c r="P376" i="1"/>
  <c r="O377" i="1"/>
  <c r="Q377" i="1" s="1"/>
  <c r="P377" i="1"/>
  <c r="O378" i="1"/>
  <c r="Q378" i="1" s="1"/>
  <c r="P378" i="1"/>
  <c r="O379" i="1"/>
  <c r="Q379" i="1" s="1"/>
  <c r="P379" i="1"/>
  <c r="O380" i="1"/>
  <c r="Q380" i="1" s="1"/>
  <c r="P380" i="1"/>
  <c r="O381" i="1"/>
  <c r="Q381" i="1" s="1"/>
  <c r="P381" i="1"/>
  <c r="O382" i="1"/>
  <c r="Q382" i="1" s="1"/>
  <c r="P382" i="1"/>
  <c r="O383" i="1"/>
  <c r="Q383" i="1" s="1"/>
  <c r="P383" i="1"/>
  <c r="O384" i="1"/>
  <c r="Q384" i="1" s="1"/>
  <c r="P384" i="1"/>
  <c r="O385" i="1"/>
  <c r="Q385" i="1" s="1"/>
  <c r="P385" i="1"/>
  <c r="O386" i="1"/>
  <c r="Q386" i="1" s="1"/>
  <c r="P386" i="1"/>
  <c r="O387" i="1"/>
  <c r="Q387" i="1" s="1"/>
  <c r="P387" i="1"/>
  <c r="O388" i="1"/>
  <c r="Q388" i="1" s="1"/>
  <c r="P388" i="1"/>
  <c r="O389" i="1"/>
  <c r="Q389" i="1" s="1"/>
  <c r="P389" i="1"/>
  <c r="O391" i="1"/>
  <c r="Q391" i="1" s="1"/>
  <c r="P391" i="1"/>
  <c r="O392" i="1"/>
  <c r="Q392" i="1" s="1"/>
  <c r="P392" i="1"/>
  <c r="O393" i="1"/>
  <c r="Q393" i="1" s="1"/>
  <c r="P393" i="1"/>
  <c r="AA393" i="1" s="1"/>
  <c r="Q394" i="1"/>
  <c r="P394" i="1"/>
  <c r="O395" i="1"/>
  <c r="Q395" i="1" s="1"/>
  <c r="P395" i="1"/>
  <c r="O396" i="1"/>
  <c r="Q396" i="1" s="1"/>
  <c r="P396" i="1"/>
  <c r="O398" i="1"/>
  <c r="Q398" i="1" s="1"/>
  <c r="P398" i="1"/>
  <c r="O399" i="1"/>
  <c r="Q399" i="1" s="1"/>
  <c r="P399" i="1"/>
  <c r="O400" i="1"/>
  <c r="Q400" i="1" s="1"/>
  <c r="P400" i="1"/>
  <c r="O401" i="1"/>
  <c r="Q401" i="1" s="1"/>
  <c r="P401" i="1"/>
  <c r="O402" i="1"/>
  <c r="Q402" i="1" s="1"/>
  <c r="P402" i="1"/>
  <c r="O403" i="1"/>
  <c r="Q403" i="1" s="1"/>
  <c r="P403" i="1"/>
  <c r="O404" i="1"/>
  <c r="Q404" i="1" s="1"/>
  <c r="P404" i="1"/>
  <c r="O405" i="1"/>
  <c r="Q405" i="1" s="1"/>
  <c r="P405" i="1"/>
  <c r="O406" i="1"/>
  <c r="Q406" i="1" s="1"/>
  <c r="P406" i="1"/>
  <c r="O408" i="1"/>
  <c r="Q408" i="1" s="1"/>
  <c r="P408" i="1"/>
  <c r="O409" i="1"/>
  <c r="Q409" i="1" s="1"/>
  <c r="P409" i="1"/>
  <c r="O410" i="1"/>
  <c r="Q410" i="1" s="1"/>
  <c r="P410" i="1"/>
  <c r="O411" i="1"/>
  <c r="Q411" i="1" s="1"/>
  <c r="P411" i="1"/>
  <c r="O412" i="1"/>
  <c r="Q412" i="1" s="1"/>
  <c r="P412" i="1"/>
  <c r="O413" i="1"/>
  <c r="Q413" i="1" s="1"/>
  <c r="P413" i="1"/>
  <c r="O414" i="1"/>
  <c r="Q414" i="1" s="1"/>
  <c r="P414" i="1"/>
  <c r="O415" i="1"/>
  <c r="Q415" i="1" s="1"/>
  <c r="P415" i="1"/>
  <c r="O416" i="1"/>
  <c r="Q416" i="1" s="1"/>
  <c r="P416" i="1"/>
  <c r="O418" i="1"/>
  <c r="Q418" i="1" s="1"/>
  <c r="P418" i="1"/>
  <c r="O420" i="1"/>
  <c r="Q420" i="1" s="1"/>
  <c r="P420" i="1"/>
  <c r="O421" i="1"/>
  <c r="Q421" i="1" s="1"/>
  <c r="P421" i="1"/>
  <c r="O422" i="1"/>
  <c r="Q422" i="1" s="1"/>
  <c r="P422" i="1"/>
  <c r="O423" i="1"/>
  <c r="Q423" i="1" s="1"/>
  <c r="P423" i="1"/>
  <c r="AA423" i="1" s="1"/>
  <c r="O425" i="1"/>
  <c r="Q425" i="1" s="1"/>
  <c r="P425" i="1"/>
  <c r="AA425" i="1" s="1"/>
  <c r="O426" i="1"/>
  <c r="Q426" i="1" s="1"/>
  <c r="P426" i="1"/>
  <c r="AA426" i="1" s="1"/>
  <c r="O427" i="1"/>
  <c r="Q427" i="1" s="1"/>
  <c r="P427" i="1"/>
  <c r="AA427" i="1" s="1"/>
  <c r="O428" i="1"/>
  <c r="Q428" i="1" s="1"/>
  <c r="P428" i="1"/>
  <c r="AA428" i="1" s="1"/>
  <c r="O429" i="1"/>
  <c r="Q429" i="1" s="1"/>
  <c r="P429" i="1"/>
  <c r="AA429" i="1" s="1"/>
  <c r="O432" i="1"/>
  <c r="Q432" i="1" s="1"/>
  <c r="P432" i="1"/>
  <c r="AA432" i="1" s="1"/>
  <c r="O434" i="1"/>
  <c r="Q434" i="1" s="1"/>
  <c r="P434" i="1"/>
  <c r="AA434" i="1" s="1"/>
  <c r="O435" i="1"/>
  <c r="Q435" i="1" s="1"/>
  <c r="P435" i="1"/>
  <c r="AA435" i="1" s="1"/>
  <c r="O436" i="1"/>
  <c r="Q436" i="1" s="1"/>
  <c r="P436" i="1"/>
  <c r="AA436" i="1" s="1"/>
  <c r="O437" i="1"/>
  <c r="Q437" i="1" s="1"/>
  <c r="P437" i="1"/>
  <c r="AA437" i="1" s="1"/>
  <c r="O438" i="1"/>
  <c r="Q438" i="1" s="1"/>
  <c r="P438" i="1"/>
  <c r="AA438" i="1" s="1"/>
  <c r="O439" i="1"/>
  <c r="Q439" i="1" s="1"/>
  <c r="P439" i="1"/>
  <c r="AA439" i="1" s="1"/>
  <c r="O441" i="1"/>
  <c r="Q441" i="1" s="1"/>
  <c r="P441" i="1"/>
  <c r="AA441" i="1" s="1"/>
  <c r="O443" i="1"/>
  <c r="Q443" i="1" s="1"/>
  <c r="P443" i="1"/>
  <c r="AA443" i="1" s="1"/>
  <c r="O444" i="1"/>
  <c r="Q444" i="1" s="1"/>
  <c r="P444" i="1"/>
  <c r="AA444" i="1" s="1"/>
  <c r="O445" i="1"/>
  <c r="Q445" i="1" s="1"/>
  <c r="P445" i="1"/>
  <c r="AA445" i="1" s="1"/>
  <c r="O448" i="1"/>
  <c r="Q448" i="1" s="1"/>
  <c r="P448" i="1"/>
  <c r="AA448" i="1" s="1"/>
  <c r="O449" i="1"/>
  <c r="Q449" i="1" s="1"/>
  <c r="P449" i="1"/>
  <c r="AA449" i="1" s="1"/>
  <c r="O450" i="1"/>
  <c r="Q450" i="1" s="1"/>
  <c r="P450" i="1"/>
  <c r="AA450" i="1" s="1"/>
  <c r="O451" i="1"/>
  <c r="Q451" i="1" s="1"/>
  <c r="P451" i="1"/>
  <c r="AA451" i="1" s="1"/>
  <c r="O452" i="1"/>
  <c r="Q452" i="1" s="1"/>
  <c r="P452" i="1"/>
  <c r="AA452" i="1" s="1"/>
  <c r="O453" i="1"/>
  <c r="Q453" i="1" s="1"/>
  <c r="P453" i="1"/>
  <c r="AA453" i="1" s="1"/>
  <c r="O454" i="1"/>
  <c r="Q454" i="1" s="1"/>
  <c r="P454" i="1"/>
  <c r="AA454" i="1" s="1"/>
  <c r="O455" i="1"/>
  <c r="Q455" i="1" s="1"/>
  <c r="P455" i="1"/>
  <c r="AA455" i="1" s="1"/>
  <c r="O456" i="1"/>
  <c r="Q456" i="1" s="1"/>
  <c r="P456" i="1"/>
  <c r="AA456" i="1" s="1"/>
  <c r="O457" i="1"/>
  <c r="Q457" i="1" s="1"/>
  <c r="P457" i="1"/>
  <c r="AA457" i="1" s="1"/>
  <c r="O458" i="1"/>
  <c r="Q458" i="1" s="1"/>
  <c r="P458" i="1"/>
  <c r="AA458" i="1" s="1"/>
  <c r="O459" i="1"/>
  <c r="P459" i="1"/>
  <c r="AA461" i="1" s="1"/>
  <c r="O462" i="1"/>
  <c r="Q462" i="1" s="1"/>
  <c r="P462" i="1"/>
  <c r="AA462" i="1" s="1"/>
  <c r="O464" i="1"/>
  <c r="Q464" i="1" s="1"/>
  <c r="P464" i="1"/>
  <c r="AA464" i="1" s="1"/>
  <c r="O465" i="1"/>
  <c r="Q465" i="1" s="1"/>
  <c r="P465" i="1"/>
  <c r="AA465" i="1" s="1"/>
  <c r="O466" i="1"/>
  <c r="Q466" i="1" s="1"/>
  <c r="P466" i="1"/>
  <c r="AA466" i="1" s="1"/>
  <c r="O467" i="1"/>
  <c r="Q467" i="1" s="1"/>
  <c r="P467" i="1"/>
  <c r="AA467" i="1" s="1"/>
  <c r="O468" i="1"/>
  <c r="Q468" i="1" s="1"/>
  <c r="P468" i="1"/>
  <c r="AA468" i="1" s="1"/>
  <c r="O469" i="1"/>
  <c r="Q469" i="1" s="1"/>
  <c r="P469" i="1"/>
  <c r="AA469" i="1" s="1"/>
  <c r="O470" i="1"/>
  <c r="Q470" i="1" s="1"/>
  <c r="P470" i="1"/>
  <c r="AA470" i="1" s="1"/>
  <c r="O471" i="1"/>
  <c r="Q471" i="1" s="1"/>
  <c r="P471" i="1"/>
  <c r="AA471" i="1" s="1"/>
  <c r="O472" i="1"/>
  <c r="Q472" i="1" s="1"/>
  <c r="P472" i="1"/>
  <c r="AA472" i="1" s="1"/>
  <c r="O473" i="1"/>
  <c r="Q473" i="1" s="1"/>
  <c r="P473" i="1"/>
  <c r="AA473" i="1" s="1"/>
  <c r="O474" i="1"/>
  <c r="Q474" i="1" s="1"/>
  <c r="P474" i="1"/>
  <c r="AA474" i="1" s="1"/>
  <c r="O476" i="1"/>
  <c r="Q476" i="1" s="1"/>
  <c r="P476" i="1"/>
  <c r="AA476" i="1" s="1"/>
  <c r="O478" i="1"/>
  <c r="Q478" i="1" s="1"/>
  <c r="P478" i="1"/>
  <c r="AA478" i="1" s="1"/>
  <c r="O479" i="1"/>
  <c r="Q479" i="1" s="1"/>
  <c r="P479" i="1"/>
  <c r="AA479" i="1" s="1"/>
  <c r="O480" i="1"/>
  <c r="Q480" i="1" s="1"/>
  <c r="P480" i="1"/>
  <c r="AA480" i="1" s="1"/>
  <c r="O481" i="1"/>
  <c r="Q481" i="1" s="1"/>
  <c r="P481" i="1"/>
  <c r="AA481" i="1" s="1"/>
  <c r="O483" i="1"/>
  <c r="Q483" i="1" s="1"/>
  <c r="P483" i="1"/>
  <c r="AA483" i="1" s="1"/>
  <c r="O484" i="1"/>
  <c r="Q484" i="1" s="1"/>
  <c r="P484" i="1"/>
  <c r="AA484" i="1" s="1"/>
  <c r="O486" i="1"/>
  <c r="Q486" i="1" s="1"/>
  <c r="P486" i="1"/>
  <c r="AA486" i="1" s="1"/>
  <c r="O488" i="1"/>
  <c r="Q488" i="1" s="1"/>
  <c r="P488" i="1"/>
  <c r="AA488" i="1" s="1"/>
  <c r="O489" i="1"/>
  <c r="Q489" i="1" s="1"/>
  <c r="P489" i="1"/>
  <c r="AA489" i="1" s="1"/>
  <c r="O491" i="1"/>
  <c r="Q491" i="1" s="1"/>
  <c r="P491" i="1"/>
  <c r="AA491" i="1" s="1"/>
  <c r="O492" i="1"/>
  <c r="Q492" i="1" s="1"/>
  <c r="P492" i="1"/>
  <c r="AA492" i="1" s="1"/>
  <c r="O495" i="1"/>
  <c r="Q495" i="1" s="1"/>
  <c r="P495" i="1"/>
  <c r="AA495" i="1" s="1"/>
  <c r="O496" i="1"/>
  <c r="Q496" i="1" s="1"/>
  <c r="P496" i="1"/>
  <c r="AA496" i="1" s="1"/>
  <c r="O497" i="1"/>
  <c r="Q497" i="1" s="1"/>
  <c r="P497" i="1"/>
  <c r="AA497" i="1" s="1"/>
  <c r="O498" i="1"/>
  <c r="Q498" i="1" s="1"/>
  <c r="P498" i="1"/>
  <c r="AA498" i="1" s="1"/>
  <c r="O499" i="1"/>
  <c r="Q499" i="1" s="1"/>
  <c r="P499" i="1"/>
  <c r="AA499" i="1" s="1"/>
  <c r="O500" i="1"/>
  <c r="Q500" i="1" s="1"/>
  <c r="P500" i="1"/>
  <c r="AA500" i="1" s="1"/>
  <c r="O501" i="1"/>
  <c r="Q501" i="1" s="1"/>
  <c r="P501" i="1"/>
  <c r="AA501" i="1" s="1"/>
  <c r="O502" i="1"/>
  <c r="Q502" i="1" s="1"/>
  <c r="P502" i="1"/>
  <c r="AA502" i="1" s="1"/>
  <c r="O503" i="1"/>
  <c r="Q503" i="1" s="1"/>
  <c r="P503" i="1"/>
  <c r="AA503" i="1" s="1"/>
  <c r="O504" i="1"/>
  <c r="Q504" i="1" s="1"/>
  <c r="P504" i="1"/>
  <c r="AA504" i="1" s="1"/>
  <c r="O505" i="1"/>
  <c r="Q505" i="1" s="1"/>
  <c r="P505" i="1"/>
  <c r="AA505" i="1" s="1"/>
  <c r="O506" i="1"/>
  <c r="Q506" i="1" s="1"/>
  <c r="P506" i="1"/>
  <c r="AA506" i="1" s="1"/>
  <c r="O508" i="1"/>
  <c r="Q508" i="1" s="1"/>
  <c r="P508" i="1"/>
  <c r="AA508" i="1" s="1"/>
  <c r="O509" i="1"/>
  <c r="Q509" i="1" s="1"/>
  <c r="P509" i="1"/>
  <c r="AA509" i="1" s="1"/>
  <c r="O510" i="1"/>
  <c r="Q510" i="1" s="1"/>
  <c r="P510" i="1"/>
  <c r="AA510" i="1" s="1"/>
  <c r="O511" i="1"/>
  <c r="Q511" i="1" s="1"/>
  <c r="P511" i="1"/>
  <c r="AA511" i="1" s="1"/>
  <c r="O512" i="1"/>
  <c r="Q512" i="1" s="1"/>
  <c r="P512" i="1"/>
  <c r="AA512" i="1" s="1"/>
  <c r="O513" i="1"/>
  <c r="Q513" i="1" s="1"/>
  <c r="P513" i="1"/>
  <c r="AA513" i="1" s="1"/>
  <c r="O514" i="1"/>
  <c r="Q514" i="1" s="1"/>
  <c r="P514" i="1"/>
  <c r="AA514" i="1" s="1"/>
  <c r="O515" i="1"/>
  <c r="Q515" i="1" s="1"/>
  <c r="P515" i="1"/>
  <c r="AA515" i="1" s="1"/>
  <c r="O516" i="1"/>
  <c r="Q516" i="1" s="1"/>
  <c r="P516" i="1"/>
  <c r="AA516" i="1" s="1"/>
  <c r="O517" i="1"/>
  <c r="Q517" i="1" s="1"/>
  <c r="P517" i="1"/>
  <c r="AA517" i="1" s="1"/>
  <c r="O518" i="1"/>
  <c r="Q518" i="1" s="1"/>
  <c r="P518" i="1"/>
  <c r="AA518" i="1" s="1"/>
  <c r="O520" i="1"/>
  <c r="Q520" i="1" s="1"/>
  <c r="P520" i="1"/>
  <c r="AA520" i="1" s="1"/>
  <c r="O521" i="1"/>
  <c r="Q521" i="1" s="1"/>
  <c r="P521" i="1"/>
  <c r="AA521" i="1" s="1"/>
  <c r="O522" i="1"/>
  <c r="Q522" i="1" s="1"/>
  <c r="P522" i="1"/>
  <c r="AA522" i="1" s="1"/>
  <c r="O525" i="1"/>
  <c r="Q525" i="1" s="1"/>
  <c r="P525" i="1"/>
  <c r="AA525" i="1" s="1"/>
  <c r="O526" i="1"/>
  <c r="Q526" i="1" s="1"/>
  <c r="P526" i="1"/>
  <c r="AA526" i="1" s="1"/>
  <c r="O527" i="1"/>
  <c r="Q527" i="1" s="1"/>
  <c r="P527" i="1"/>
  <c r="AA527" i="1" s="1"/>
  <c r="O528" i="1"/>
  <c r="Q528" i="1" s="1"/>
  <c r="P528" i="1"/>
  <c r="AA528" i="1" s="1"/>
  <c r="O529" i="1"/>
  <c r="Q529" i="1" s="1"/>
  <c r="P529" i="1"/>
  <c r="AA529" i="1" s="1"/>
  <c r="O530" i="1"/>
  <c r="Q530" i="1" s="1"/>
  <c r="P530" i="1"/>
  <c r="AA530" i="1" s="1"/>
  <c r="O534" i="1"/>
  <c r="Q534" i="1" s="1"/>
  <c r="P534" i="1"/>
  <c r="AA534" i="1" s="1"/>
  <c r="O536" i="1"/>
  <c r="Q536" i="1" s="1"/>
  <c r="P536" i="1"/>
  <c r="AA536" i="1" s="1"/>
  <c r="O537" i="1"/>
  <c r="Q537" i="1" s="1"/>
  <c r="P537" i="1"/>
  <c r="AA537" i="1" s="1"/>
  <c r="O538" i="1"/>
  <c r="Q538" i="1" s="1"/>
  <c r="P538" i="1"/>
  <c r="AA538" i="1" s="1"/>
  <c r="O539" i="1"/>
  <c r="Q539" i="1" s="1"/>
  <c r="P539" i="1"/>
  <c r="AA539" i="1" s="1"/>
  <c r="O540" i="1"/>
  <c r="Q540" i="1" s="1"/>
  <c r="P540" i="1"/>
  <c r="AA540" i="1" s="1"/>
  <c r="O541" i="1"/>
  <c r="Q541" i="1" s="1"/>
  <c r="P541" i="1"/>
  <c r="AA541" i="1" s="1"/>
  <c r="O542" i="1"/>
  <c r="Q542" i="1" s="1"/>
  <c r="P542" i="1"/>
  <c r="AA542" i="1" s="1"/>
  <c r="O543" i="1"/>
  <c r="Q543" i="1" s="1"/>
  <c r="P543" i="1"/>
  <c r="AA543" i="1" s="1"/>
  <c r="O544" i="1"/>
  <c r="Q544" i="1" s="1"/>
  <c r="P544" i="1"/>
  <c r="AA544" i="1" s="1"/>
  <c r="O545" i="1"/>
  <c r="Q545" i="1" s="1"/>
  <c r="P545" i="1"/>
  <c r="AA545" i="1" s="1"/>
  <c r="O546" i="1"/>
  <c r="Q546" i="1" s="1"/>
  <c r="P546" i="1"/>
  <c r="AA546" i="1" s="1"/>
  <c r="O547" i="1"/>
  <c r="Q547" i="1" s="1"/>
  <c r="P547" i="1"/>
  <c r="AA547" i="1" s="1"/>
  <c r="O548" i="1"/>
  <c r="Q548" i="1" s="1"/>
  <c r="P548" i="1"/>
  <c r="AA548" i="1" s="1"/>
  <c r="P962" i="1"/>
  <c r="O962" i="1"/>
  <c r="Q962" i="1" s="1"/>
  <c r="P961" i="1"/>
  <c r="O961" i="1"/>
  <c r="Q961" i="1" s="1"/>
  <c r="P950" i="1"/>
  <c r="O950" i="1"/>
  <c r="Q950" i="1" s="1"/>
  <c r="P945" i="1"/>
  <c r="O945" i="1"/>
  <c r="Q945" i="1" s="1"/>
  <c r="P943" i="1"/>
  <c r="O943" i="1"/>
  <c r="Q943" i="1" s="1"/>
  <c r="Q461" i="1" l="1"/>
  <c r="Q459" i="1"/>
  <c r="P922" i="1"/>
  <c r="AA907" i="1" s="1"/>
  <c r="O922" i="1"/>
  <c r="Q922" i="1" s="1"/>
  <c r="P909" i="1"/>
  <c r="O909" i="1"/>
  <c r="Q909" i="1" s="1"/>
  <c r="P908" i="1"/>
  <c r="O908" i="1"/>
  <c r="Q908" i="1" s="1"/>
  <c r="P904" i="1"/>
  <c r="O904" i="1"/>
  <c r="Q904" i="1" s="1"/>
  <c r="P903" i="1"/>
  <c r="O903" i="1"/>
  <c r="Q903" i="1" s="1"/>
  <c r="P890" i="1" l="1"/>
  <c r="O890" i="1"/>
  <c r="Q890" i="1" s="1"/>
  <c r="P869" i="1"/>
  <c r="O869" i="1"/>
  <c r="Q869" i="1" s="1"/>
  <c r="P865" i="1"/>
  <c r="O865" i="1"/>
  <c r="Q865" i="1" s="1"/>
  <c r="P861" i="1" l="1"/>
  <c r="O861" i="1"/>
  <c r="Q861" i="1" s="1"/>
  <c r="P852" i="1" l="1"/>
  <c r="O852" i="1"/>
  <c r="Q852" i="1" s="1"/>
  <c r="O832" i="1"/>
  <c r="Q832" i="1" s="1"/>
  <c r="P832" i="1"/>
  <c r="AA826" i="1" s="1"/>
  <c r="O833" i="1"/>
  <c r="Q833" i="1" s="1"/>
  <c r="P833" i="1"/>
  <c r="P839" i="1"/>
  <c r="O839" i="1"/>
  <c r="Q839" i="1" s="1"/>
  <c r="P838" i="1"/>
  <c r="O838" i="1"/>
  <c r="Q838" i="1" s="1"/>
  <c r="P836" i="1" l="1"/>
  <c r="O836" i="1"/>
  <c r="Q836" i="1" s="1"/>
  <c r="O834" i="1"/>
  <c r="Q834" i="1" s="1"/>
  <c r="P834" i="1"/>
  <c r="P827" i="1" l="1"/>
  <c r="O827" i="1"/>
  <c r="Q827" i="1" s="1"/>
  <c r="P817" i="1"/>
  <c r="O817" i="1"/>
  <c r="Q817" i="1" s="1"/>
  <c r="AA800" i="1" l="1"/>
  <c r="P804" i="1"/>
  <c r="AA798" i="1" s="1"/>
  <c r="O804" i="1"/>
  <c r="Q804" i="1" s="1"/>
  <c r="P793" i="1"/>
  <c r="AA792" i="1" s="1"/>
  <c r="O793" i="1"/>
  <c r="Q793" i="1" s="1"/>
  <c r="P792" i="1"/>
  <c r="AA789" i="1" s="1"/>
  <c r="O792" i="1"/>
  <c r="Q792" i="1" s="1"/>
  <c r="P789" i="1"/>
  <c r="O789" i="1"/>
  <c r="Q789" i="1" s="1"/>
  <c r="P788" i="1"/>
  <c r="O788" i="1"/>
  <c r="Q788" i="1" s="1"/>
  <c r="P787" i="1"/>
  <c r="AA784" i="1" s="1"/>
  <c r="O787" i="1"/>
  <c r="Q787" i="1" s="1"/>
  <c r="P784" i="1"/>
  <c r="AA770" i="1" s="1"/>
  <c r="O784" i="1"/>
  <c r="Q784" i="1" s="1"/>
  <c r="P775" i="1"/>
  <c r="O775" i="1"/>
  <c r="Q775" i="1" s="1"/>
  <c r="P774" i="1"/>
  <c r="O774" i="1"/>
  <c r="Q774" i="1" s="1"/>
  <c r="AA775" i="1" l="1"/>
  <c r="AA785" i="1"/>
  <c r="P768" i="1"/>
  <c r="O768" i="1"/>
  <c r="Q768" i="1" s="1"/>
  <c r="P767" i="1"/>
  <c r="O767" i="1"/>
  <c r="Q767" i="1" s="1"/>
  <c r="P766" i="1"/>
  <c r="O766" i="1"/>
  <c r="Q766" i="1" s="1"/>
  <c r="P761" i="1"/>
  <c r="O761" i="1"/>
  <c r="Q761" i="1" s="1"/>
  <c r="P760" i="1"/>
  <c r="O760" i="1"/>
  <c r="Q760" i="1" s="1"/>
  <c r="P759" i="1"/>
  <c r="O759" i="1"/>
  <c r="Q759" i="1" s="1"/>
  <c r="P755" i="1"/>
  <c r="O755" i="1"/>
  <c r="Q755" i="1" s="1"/>
  <c r="P747" i="1" l="1"/>
  <c r="O747" i="1"/>
  <c r="Q747" i="1" s="1"/>
  <c r="P746" i="1"/>
  <c r="O746" i="1"/>
  <c r="Q746" i="1" s="1"/>
  <c r="P743" i="1"/>
  <c r="O743" i="1"/>
  <c r="Q743" i="1" s="1"/>
  <c r="P733" i="1"/>
  <c r="O733" i="1"/>
  <c r="Q733" i="1" s="1"/>
  <c r="P731" i="1"/>
  <c r="O731" i="1"/>
  <c r="Q731" i="1" s="1"/>
  <c r="P728" i="1"/>
  <c r="AA707" i="1" s="1"/>
  <c r="O728" i="1"/>
  <c r="Q728" i="1" s="1"/>
  <c r="P717" i="1" l="1"/>
  <c r="O717" i="1"/>
  <c r="Q717" i="1" s="1"/>
  <c r="P716" i="1" l="1"/>
  <c r="O716" i="1"/>
  <c r="Q716" i="1" s="1"/>
  <c r="P715" i="1"/>
  <c r="O715" i="1"/>
  <c r="Q715" i="1" s="1"/>
  <c r="P709" i="1"/>
  <c r="O709" i="1"/>
  <c r="Q709" i="1" s="1"/>
  <c r="P701" i="1" l="1"/>
  <c r="O701" i="1"/>
  <c r="Q701" i="1" s="1"/>
  <c r="P683" i="1" l="1"/>
  <c r="O683" i="1"/>
  <c r="Q683" i="1" s="1"/>
  <c r="P681" i="1"/>
  <c r="AA662" i="1" s="1"/>
  <c r="O681" i="1"/>
  <c r="Q681" i="1" s="1"/>
  <c r="P680" i="1"/>
  <c r="O680" i="1"/>
  <c r="Q680" i="1" s="1"/>
  <c r="P679" i="1"/>
  <c r="AA658" i="1" s="1"/>
  <c r="O679" i="1"/>
  <c r="Q679" i="1" s="1"/>
  <c r="P673" i="1" l="1"/>
  <c r="O673" i="1"/>
  <c r="Q673" i="1" s="1"/>
  <c r="P672" i="1"/>
  <c r="O672" i="1"/>
  <c r="Q672" i="1" s="1"/>
  <c r="P671" i="1"/>
  <c r="O671" i="1"/>
  <c r="Q671" i="1" s="1"/>
  <c r="P661" i="1" l="1"/>
  <c r="O661" i="1"/>
  <c r="Q661" i="1" s="1"/>
  <c r="P636" i="1" l="1"/>
  <c r="AA636" i="1" s="1"/>
  <c r="O636" i="1"/>
  <c r="Q636" i="1" s="1"/>
  <c r="P634" i="1" l="1"/>
  <c r="AA634" i="1" s="1"/>
  <c r="P633" i="1"/>
  <c r="AA633" i="1" s="1"/>
  <c r="P635" i="1"/>
  <c r="AA635" i="1" s="1"/>
  <c r="O634" i="1"/>
  <c r="Q634" i="1" s="1"/>
  <c r="O635" i="1"/>
  <c r="Q635" i="1" s="1"/>
  <c r="P619" i="1" l="1"/>
  <c r="AA619" i="1" s="1"/>
  <c r="O619" i="1"/>
  <c r="Q619" i="1" s="1"/>
  <c r="AA410" i="1" l="1"/>
  <c r="AA405" i="1"/>
  <c r="AA404" i="1"/>
  <c r="AA396" i="1" l="1"/>
  <c r="AA380" i="1"/>
  <c r="AA382" i="1"/>
  <c r="AA381" i="1"/>
  <c r="AA379" i="1"/>
  <c r="AA374" i="1"/>
  <c r="AA372" i="1"/>
  <c r="AA371" i="1"/>
  <c r="AA375" i="1"/>
  <c r="AA355" i="1" l="1"/>
  <c r="AA354" i="1"/>
  <c r="AA343" i="1" l="1"/>
  <c r="AA325" i="1" l="1"/>
  <c r="AA307" i="1" l="1"/>
  <c r="AA296" i="1" l="1"/>
  <c r="AA280" i="1" l="1"/>
  <c r="AA269" i="1"/>
  <c r="AA229" i="1" l="1"/>
  <c r="AA228" i="1"/>
  <c r="AA227" i="1"/>
  <c r="AA230" i="1"/>
  <c r="AA231" i="1"/>
  <c r="AA232" i="1"/>
  <c r="AA200" i="1" l="1"/>
  <c r="AA175" i="1"/>
  <c r="AA174" i="1"/>
  <c r="AA163" i="1" l="1"/>
  <c r="AA151" i="1" l="1"/>
  <c r="P87" i="1" l="1"/>
  <c r="O87" i="1"/>
  <c r="Q87" i="1" s="1"/>
  <c r="P68" i="1"/>
  <c r="O68" i="1"/>
  <c r="Q68" i="1" s="1"/>
  <c r="P66" i="1"/>
  <c r="O66" i="1"/>
  <c r="Q66" i="1" s="1"/>
  <c r="P61" i="1"/>
  <c r="AA61" i="1" s="1"/>
  <c r="O61" i="1"/>
  <c r="Q61" i="1" s="1"/>
  <c r="P60" i="1"/>
  <c r="AA60" i="1" s="1"/>
  <c r="O60" i="1"/>
  <c r="Q60" i="1" s="1"/>
  <c r="P49" i="1"/>
  <c r="P39" i="1"/>
  <c r="O39" i="1"/>
  <c r="Q39" i="1" s="1"/>
  <c r="K18" i="2" l="1"/>
  <c r="O1045" i="1"/>
  <c r="Q1045" i="1" s="1"/>
  <c r="O1044" i="1"/>
  <c r="Q1044" i="1" s="1"/>
  <c r="O1043" i="1"/>
  <c r="Q1043" i="1" s="1"/>
  <c r="O1042" i="1"/>
  <c r="Q1042" i="1" s="1"/>
  <c r="O1041" i="1"/>
  <c r="Q1041" i="1" s="1"/>
  <c r="O1040" i="1"/>
  <c r="Q1040" i="1" s="1"/>
  <c r="O1039" i="1"/>
  <c r="Q1039" i="1" s="1"/>
  <c r="O1038" i="1"/>
  <c r="Q1038" i="1" s="1"/>
  <c r="O1037" i="1"/>
  <c r="Q1037" i="1" s="1"/>
  <c r="O1036" i="1"/>
  <c r="Q1036" i="1" s="1"/>
  <c r="O1035" i="1"/>
  <c r="Q1035" i="1" s="1"/>
  <c r="O1034" i="1"/>
  <c r="Q1034" i="1" s="1"/>
  <c r="O1033" i="1"/>
  <c r="Q1033" i="1" s="1"/>
  <c r="O1032" i="1"/>
  <c r="Q1032" i="1" s="1"/>
  <c r="O1031" i="1"/>
  <c r="Q1031" i="1" s="1"/>
  <c r="O1030" i="1"/>
  <c r="Q1030" i="1" s="1"/>
  <c r="O1029" i="1"/>
  <c r="Q1029" i="1" s="1"/>
  <c r="O1028" i="1"/>
  <c r="Q1028" i="1" s="1"/>
  <c r="O1027" i="1"/>
  <c r="Q1027" i="1" s="1"/>
  <c r="O1026" i="1"/>
  <c r="Q1026" i="1" s="1"/>
  <c r="O1025" i="1"/>
  <c r="Q1025" i="1" s="1"/>
  <c r="O1024" i="1"/>
  <c r="Q1024" i="1" s="1"/>
  <c r="O1023" i="1"/>
  <c r="Q1023" i="1" s="1"/>
  <c r="O1022" i="1"/>
  <c r="Q1022" i="1" s="1"/>
  <c r="O1021" i="1"/>
  <c r="Q1021" i="1" s="1"/>
  <c r="O1020" i="1"/>
  <c r="Q1020" i="1" s="1"/>
  <c r="O1019" i="1"/>
  <c r="Q1019" i="1" s="1"/>
  <c r="O1018" i="1"/>
  <c r="Q1018" i="1" s="1"/>
  <c r="O1017" i="1"/>
  <c r="Q1017" i="1" s="1"/>
  <c r="O1016" i="1"/>
  <c r="Q1016" i="1" s="1"/>
  <c r="O1015" i="1"/>
  <c r="Q1015" i="1" s="1"/>
  <c r="O1014" i="1"/>
  <c r="Q1014" i="1" s="1"/>
  <c r="O1013" i="1"/>
  <c r="Q1013" i="1" s="1"/>
  <c r="O1012" i="1"/>
  <c r="Q1012" i="1" s="1"/>
  <c r="O1011" i="1"/>
  <c r="Q1011" i="1" s="1"/>
  <c r="O1010" i="1"/>
  <c r="Q1010" i="1" s="1"/>
  <c r="O1009" i="1"/>
  <c r="Q1009" i="1" s="1"/>
  <c r="O1008" i="1"/>
  <c r="Q1008" i="1" s="1"/>
  <c r="O1007" i="1"/>
  <c r="Q1007" i="1" s="1"/>
  <c r="O1006" i="1"/>
  <c r="Q1006" i="1" s="1"/>
  <c r="O1005" i="1"/>
  <c r="Q1005" i="1" s="1"/>
  <c r="O1004" i="1"/>
  <c r="Q1004" i="1" s="1"/>
  <c r="O1003" i="1"/>
  <c r="Q1003" i="1" s="1"/>
  <c r="O1002" i="1"/>
  <c r="Q1002" i="1" s="1"/>
  <c r="O1001" i="1"/>
  <c r="Q1001" i="1" s="1"/>
  <c r="O1000" i="1"/>
  <c r="Q1000" i="1" s="1"/>
  <c r="O999" i="1"/>
  <c r="Q999" i="1" s="1"/>
  <c r="O998" i="1"/>
  <c r="Q998" i="1" s="1"/>
  <c r="O997" i="1"/>
  <c r="Q997" i="1" s="1"/>
  <c r="O996" i="1"/>
  <c r="Q996" i="1" s="1"/>
  <c r="O995" i="1"/>
  <c r="Q995" i="1" s="1"/>
  <c r="O994" i="1"/>
  <c r="Q994" i="1" s="1"/>
  <c r="O993" i="1"/>
  <c r="Q993" i="1" s="1"/>
  <c r="O992" i="1"/>
  <c r="Q992" i="1" s="1"/>
  <c r="O991" i="1"/>
  <c r="Q991" i="1" s="1"/>
  <c r="O990" i="1"/>
  <c r="Q990" i="1" s="1"/>
  <c r="O989" i="1"/>
  <c r="Q989" i="1" s="1"/>
  <c r="O988" i="1"/>
  <c r="Q988" i="1" s="1"/>
  <c r="O987" i="1"/>
  <c r="Q987" i="1" s="1"/>
  <c r="O985" i="1"/>
  <c r="Q985" i="1" s="1"/>
  <c r="O984" i="1"/>
  <c r="Q984" i="1" s="1"/>
  <c r="O982" i="1"/>
  <c r="Q982" i="1" s="1"/>
  <c r="O981" i="1"/>
  <c r="Q981" i="1" s="1"/>
  <c r="O980" i="1"/>
  <c r="Q980" i="1" s="1"/>
  <c r="O979" i="1"/>
  <c r="Q979" i="1" s="1"/>
  <c r="O978" i="1"/>
  <c r="Q978" i="1" s="1"/>
  <c r="O977" i="1"/>
  <c r="Q977" i="1" s="1"/>
  <c r="O976" i="1"/>
  <c r="Q976" i="1" s="1"/>
  <c r="O975" i="1"/>
  <c r="Q975" i="1" s="1"/>
  <c r="O974" i="1"/>
  <c r="Q974" i="1" s="1"/>
  <c r="O973" i="1"/>
  <c r="Q973" i="1" s="1"/>
  <c r="O972" i="1"/>
  <c r="Q972" i="1" s="1"/>
  <c r="O971" i="1"/>
  <c r="Q971" i="1" s="1"/>
  <c r="O970" i="1"/>
  <c r="Q970" i="1" s="1"/>
  <c r="O969" i="1"/>
  <c r="Q969" i="1" s="1"/>
  <c r="O968" i="1"/>
  <c r="Q968" i="1" s="1"/>
  <c r="O967" i="1"/>
  <c r="Q967" i="1" s="1"/>
  <c r="O966" i="1"/>
  <c r="Q966" i="1" s="1"/>
  <c r="O965" i="1"/>
  <c r="Q965" i="1" s="1"/>
  <c r="O964" i="1"/>
  <c r="Q964" i="1" s="1"/>
  <c r="O963" i="1"/>
  <c r="Q963" i="1" s="1"/>
  <c r="O960" i="1"/>
  <c r="Q960" i="1" s="1"/>
  <c r="O959" i="1"/>
  <c r="Q959" i="1" s="1"/>
  <c r="O958" i="1"/>
  <c r="Q958" i="1" s="1"/>
  <c r="O957" i="1"/>
  <c r="Q957" i="1" s="1"/>
  <c r="O956" i="1"/>
  <c r="Q956" i="1" s="1"/>
  <c r="O955" i="1"/>
  <c r="Q955" i="1" s="1"/>
  <c r="O954" i="1"/>
  <c r="Q954" i="1" s="1"/>
  <c r="O953" i="1"/>
  <c r="Q953" i="1" s="1"/>
  <c r="O952" i="1"/>
  <c r="Q952" i="1" s="1"/>
  <c r="O951" i="1"/>
  <c r="Q951" i="1" s="1"/>
  <c r="O949" i="1"/>
  <c r="Q949" i="1" s="1"/>
  <c r="O948" i="1"/>
  <c r="Q948" i="1" s="1"/>
  <c r="O947" i="1"/>
  <c r="Q947" i="1" s="1"/>
  <c r="O946" i="1"/>
  <c r="Q946" i="1" s="1"/>
  <c r="O944" i="1"/>
  <c r="Q944" i="1" s="1"/>
  <c r="O942" i="1"/>
  <c r="Q942" i="1" s="1"/>
  <c r="O941" i="1"/>
  <c r="Q941" i="1" s="1"/>
  <c r="O940" i="1"/>
  <c r="Q940" i="1" s="1"/>
  <c r="O939" i="1"/>
  <c r="Q939" i="1" s="1"/>
  <c r="O938" i="1"/>
  <c r="Q938" i="1" s="1"/>
  <c r="O937" i="1"/>
  <c r="Q937" i="1" s="1"/>
  <c r="O936" i="1"/>
  <c r="Q936" i="1" s="1"/>
  <c r="O935" i="1"/>
  <c r="Q935" i="1" s="1"/>
  <c r="O934" i="1"/>
  <c r="Q934" i="1" s="1"/>
  <c r="O933" i="1"/>
  <c r="Q933" i="1" s="1"/>
  <c r="O932" i="1"/>
  <c r="Q932" i="1" s="1"/>
  <c r="O931" i="1"/>
  <c r="Q931" i="1" s="1"/>
  <c r="O930" i="1"/>
  <c r="Q930" i="1" s="1"/>
  <c r="O929" i="1"/>
  <c r="Q929" i="1" s="1"/>
  <c r="O928" i="1"/>
  <c r="Q928" i="1" s="1"/>
  <c r="O927" i="1"/>
  <c r="Q927" i="1" s="1"/>
  <c r="O926" i="1"/>
  <c r="Q926" i="1" s="1"/>
  <c r="O925" i="1"/>
  <c r="Q925" i="1" s="1"/>
  <c r="O924" i="1"/>
  <c r="Q924" i="1" s="1"/>
  <c r="O918" i="1"/>
  <c r="Q918" i="1" s="1"/>
  <c r="O917" i="1"/>
  <c r="Q917" i="1" s="1"/>
  <c r="O913" i="1"/>
  <c r="Q913" i="1" s="1"/>
  <c r="O912" i="1"/>
  <c r="Q912" i="1" s="1"/>
  <c r="O910" i="1"/>
  <c r="Q910" i="1" s="1"/>
  <c r="O906" i="1"/>
  <c r="Q906" i="1" s="1"/>
  <c r="O905" i="1"/>
  <c r="Q905" i="1" s="1"/>
  <c r="O901" i="1"/>
  <c r="Q901" i="1" s="1"/>
  <c r="O900" i="1"/>
  <c r="Q900" i="1" s="1"/>
  <c r="O899" i="1"/>
  <c r="Q899" i="1" s="1"/>
  <c r="O898" i="1"/>
  <c r="Q898" i="1" s="1"/>
  <c r="O897" i="1"/>
  <c r="Q897" i="1" s="1"/>
  <c r="O893" i="1"/>
  <c r="Q893" i="1" s="1"/>
  <c r="O892" i="1"/>
  <c r="Q892" i="1" s="1"/>
  <c r="O891" i="1"/>
  <c r="Q891" i="1" s="1"/>
  <c r="O889" i="1"/>
  <c r="Q889" i="1" s="1"/>
  <c r="O888" i="1"/>
  <c r="Q888" i="1" s="1"/>
  <c r="O887" i="1"/>
  <c r="Q887" i="1" s="1"/>
  <c r="O885" i="1"/>
  <c r="Q885" i="1" s="1"/>
  <c r="O884" i="1"/>
  <c r="Q884" i="1" s="1"/>
  <c r="O882" i="1"/>
  <c r="Q882" i="1" s="1"/>
  <c r="O881" i="1"/>
  <c r="Q881" i="1" s="1"/>
  <c r="O879" i="1"/>
  <c r="Q879" i="1" s="1"/>
  <c r="O875" i="1"/>
  <c r="Q875" i="1" s="1"/>
  <c r="O874" i="1"/>
  <c r="Q874" i="1" s="1"/>
  <c r="O873" i="1"/>
  <c r="Q873" i="1" s="1"/>
  <c r="O872" i="1"/>
  <c r="Q872" i="1" s="1"/>
  <c r="O871" i="1"/>
  <c r="Q871" i="1" s="1"/>
  <c r="O870" i="1"/>
  <c r="Q870" i="1" s="1"/>
  <c r="O868" i="1"/>
  <c r="Q868" i="1" s="1"/>
  <c r="O867" i="1"/>
  <c r="Q867" i="1" s="1"/>
  <c r="O866" i="1"/>
  <c r="Q866" i="1" s="1"/>
  <c r="O864" i="1"/>
  <c r="Q864" i="1" s="1"/>
  <c r="O863" i="1"/>
  <c r="Q863" i="1" s="1"/>
  <c r="O858" i="1"/>
  <c r="Q858" i="1" s="1"/>
  <c r="O857" i="1"/>
  <c r="Q857" i="1" s="1"/>
  <c r="O856" i="1"/>
  <c r="Q856" i="1" s="1"/>
  <c r="O855" i="1"/>
  <c r="Q855" i="1" s="1"/>
  <c r="O854" i="1"/>
  <c r="Q854" i="1" s="1"/>
  <c r="O853" i="1"/>
  <c r="Q853" i="1" s="1"/>
  <c r="O851" i="1"/>
  <c r="Q851" i="1" s="1"/>
  <c r="O850" i="1"/>
  <c r="Q850" i="1" s="1"/>
  <c r="O849" i="1"/>
  <c r="Q849" i="1" s="1"/>
  <c r="O848" i="1"/>
  <c r="Q848" i="1" s="1"/>
  <c r="O847" i="1"/>
  <c r="Q847" i="1" s="1"/>
  <c r="O846" i="1"/>
  <c r="Q846" i="1" s="1"/>
  <c r="O845" i="1"/>
  <c r="Q845" i="1" s="1"/>
  <c r="O844" i="1"/>
  <c r="Q844" i="1" s="1"/>
  <c r="O842" i="1"/>
  <c r="Q842" i="1" s="1"/>
  <c r="O840" i="1"/>
  <c r="Q840" i="1" s="1"/>
  <c r="O837" i="1"/>
  <c r="Q837" i="1" s="1"/>
  <c r="O835" i="1"/>
  <c r="Q835" i="1" s="1"/>
  <c r="O831" i="1"/>
  <c r="Q831" i="1" s="1"/>
  <c r="O830" i="1"/>
  <c r="Q830" i="1" s="1"/>
  <c r="O829" i="1"/>
  <c r="Q829" i="1" s="1"/>
  <c r="O821" i="1"/>
  <c r="Q821" i="1" s="1"/>
  <c r="O816" i="1"/>
  <c r="Q816" i="1" s="1"/>
  <c r="O815" i="1"/>
  <c r="Q815" i="1" s="1"/>
  <c r="O814" i="1"/>
  <c r="Q814" i="1" s="1"/>
  <c r="O813" i="1"/>
  <c r="Q813" i="1" s="1"/>
  <c r="O812" i="1"/>
  <c r="Q812" i="1" s="1"/>
  <c r="O811" i="1"/>
  <c r="Q811" i="1" s="1"/>
  <c r="O808" i="1"/>
  <c r="Q808" i="1" s="1"/>
  <c r="O807" i="1"/>
  <c r="Q807" i="1" s="1"/>
  <c r="O802" i="1"/>
  <c r="Q802" i="1" s="1"/>
  <c r="O801" i="1"/>
  <c r="Q801" i="1" s="1"/>
  <c r="O795" i="1"/>
  <c r="Q795" i="1" s="1"/>
  <c r="O794" i="1"/>
  <c r="Q794" i="1" s="1"/>
  <c r="O791" i="1"/>
  <c r="Q791" i="1" s="1"/>
  <c r="O790" i="1"/>
  <c r="Q790" i="1" s="1"/>
  <c r="O786" i="1"/>
  <c r="Q786" i="1" s="1"/>
  <c r="O783" i="1"/>
  <c r="Q783" i="1" s="1"/>
  <c r="O782" i="1"/>
  <c r="Q782" i="1" s="1"/>
  <c r="O781" i="1"/>
  <c r="Q781" i="1" s="1"/>
  <c r="O780" i="1"/>
  <c r="Q780" i="1" s="1"/>
  <c r="O779" i="1"/>
  <c r="Q779" i="1" s="1"/>
  <c r="O778" i="1"/>
  <c r="Q778" i="1" s="1"/>
  <c r="O777" i="1"/>
  <c r="Q777" i="1" s="1"/>
  <c r="O776" i="1"/>
  <c r="Q776" i="1" s="1"/>
  <c r="O773" i="1"/>
  <c r="Q773" i="1" s="1"/>
  <c r="O772" i="1"/>
  <c r="Q772" i="1" s="1"/>
  <c r="O771" i="1"/>
  <c r="Q771" i="1" s="1"/>
  <c r="O770" i="1"/>
  <c r="Q770" i="1" s="1"/>
  <c r="O769" i="1"/>
  <c r="Q769" i="1" s="1"/>
  <c r="O765" i="1"/>
  <c r="Q765" i="1" s="1"/>
  <c r="O763" i="1"/>
  <c r="Q763" i="1" s="1"/>
  <c r="O762" i="1"/>
  <c r="Q762" i="1" s="1"/>
  <c r="O758" i="1"/>
  <c r="Q758" i="1" s="1"/>
  <c r="O757" i="1"/>
  <c r="Q757" i="1" s="1"/>
  <c r="O756" i="1"/>
  <c r="Q756" i="1" s="1"/>
  <c r="O754" i="1"/>
  <c r="Q754" i="1" s="1"/>
  <c r="O753" i="1"/>
  <c r="Q753" i="1" s="1"/>
  <c r="O752" i="1"/>
  <c r="Q752" i="1" s="1"/>
  <c r="O748" i="1"/>
  <c r="Q748" i="1" s="1"/>
  <c r="O745" i="1"/>
  <c r="Q745" i="1" s="1"/>
  <c r="O741" i="1"/>
  <c r="Q741" i="1" s="1"/>
  <c r="O740" i="1"/>
  <c r="Q740" i="1" s="1"/>
  <c r="O737" i="1"/>
  <c r="Q737" i="1" s="1"/>
  <c r="O732" i="1"/>
  <c r="Q732" i="1" s="1"/>
  <c r="O730" i="1"/>
  <c r="Q730" i="1" s="1"/>
  <c r="O729" i="1"/>
  <c r="Q729" i="1" s="1"/>
  <c r="O727" i="1"/>
  <c r="Q727" i="1" s="1"/>
  <c r="O726" i="1"/>
  <c r="Q726" i="1" s="1"/>
  <c r="O725" i="1"/>
  <c r="Q725" i="1" s="1"/>
  <c r="O724" i="1"/>
  <c r="Q724" i="1" s="1"/>
  <c r="O723" i="1"/>
  <c r="Q723" i="1" s="1"/>
  <c r="O722" i="1"/>
  <c r="Q722" i="1" s="1"/>
  <c r="O720" i="1"/>
  <c r="Q720" i="1" s="1"/>
  <c r="O719" i="1"/>
  <c r="Q719" i="1" s="1"/>
  <c r="O718" i="1"/>
  <c r="Q718" i="1" s="1"/>
  <c r="O714" i="1"/>
  <c r="Q714" i="1" s="1"/>
  <c r="O710" i="1"/>
  <c r="Q710" i="1" s="1"/>
  <c r="O706" i="1"/>
  <c r="Q706" i="1" s="1"/>
  <c r="O705" i="1"/>
  <c r="Q705" i="1" s="1"/>
  <c r="O702" i="1"/>
  <c r="Q702" i="1" s="1"/>
  <c r="O700" i="1"/>
  <c r="Q700" i="1" s="1"/>
  <c r="O699" i="1"/>
  <c r="Q699" i="1" s="1"/>
  <c r="O698" i="1"/>
  <c r="Q698" i="1" s="1"/>
  <c r="O697" i="1"/>
  <c r="Q697" i="1" s="1"/>
  <c r="O696" i="1"/>
  <c r="Q696" i="1" s="1"/>
  <c r="O695" i="1"/>
  <c r="Q695" i="1" s="1"/>
  <c r="O694" i="1"/>
  <c r="Q694" i="1" s="1"/>
  <c r="O693" i="1"/>
  <c r="Q693" i="1" s="1"/>
  <c r="O691" i="1"/>
  <c r="Q691" i="1" s="1"/>
  <c r="O690" i="1"/>
  <c r="Q690" i="1" s="1"/>
  <c r="O689" i="1"/>
  <c r="Q689" i="1" s="1"/>
  <c r="O688" i="1"/>
  <c r="Q688" i="1" s="1"/>
  <c r="O687" i="1"/>
  <c r="Q687" i="1" s="1"/>
  <c r="O686" i="1"/>
  <c r="Q686" i="1" s="1"/>
  <c r="O685" i="1"/>
  <c r="Q685" i="1" s="1"/>
  <c r="O684" i="1"/>
  <c r="Q684" i="1" s="1"/>
  <c r="O682" i="1"/>
  <c r="Q682" i="1" s="1"/>
  <c r="O678" i="1"/>
  <c r="Q678" i="1" s="1"/>
  <c r="O677" i="1"/>
  <c r="Q677" i="1" s="1"/>
  <c r="O676" i="1"/>
  <c r="Q676" i="1" s="1"/>
  <c r="O675" i="1"/>
  <c r="Q675" i="1" s="1"/>
  <c r="O674" i="1"/>
  <c r="Q674" i="1" s="1"/>
  <c r="O670" i="1"/>
  <c r="Q670" i="1" s="1"/>
  <c r="O669" i="1"/>
  <c r="Q669" i="1" s="1"/>
  <c r="O668" i="1"/>
  <c r="Q668" i="1" s="1"/>
  <c r="O667" i="1"/>
  <c r="Q667" i="1" s="1"/>
  <c r="O666" i="1"/>
  <c r="Q666" i="1" s="1"/>
  <c r="O665" i="1"/>
  <c r="Q665" i="1" s="1"/>
  <c r="O660" i="1"/>
  <c r="Q660" i="1" s="1"/>
  <c r="O659" i="1"/>
  <c r="Q659" i="1" s="1"/>
  <c r="O655" i="1"/>
  <c r="Q655" i="1" s="1"/>
  <c r="O654" i="1"/>
  <c r="Q654" i="1" s="1"/>
  <c r="O653" i="1"/>
  <c r="Q653" i="1" s="1"/>
  <c r="O652" i="1"/>
  <c r="Q652" i="1" s="1"/>
  <c r="O651" i="1"/>
  <c r="Q651" i="1" s="1"/>
  <c r="O650" i="1"/>
  <c r="Q650" i="1" s="1"/>
  <c r="O649" i="1"/>
  <c r="Q649" i="1" s="1"/>
  <c r="O648" i="1"/>
  <c r="Q648" i="1" s="1"/>
  <c r="O647" i="1"/>
  <c r="Q647" i="1" s="1"/>
  <c r="O646" i="1"/>
  <c r="Q646" i="1" s="1"/>
  <c r="O645" i="1"/>
  <c r="Q645" i="1" s="1"/>
  <c r="O644" i="1"/>
  <c r="Q644" i="1" s="1"/>
  <c r="O643" i="1"/>
  <c r="Q643" i="1" s="1"/>
  <c r="O642" i="1"/>
  <c r="Q642" i="1" s="1"/>
  <c r="O641" i="1"/>
  <c r="Q641" i="1" s="1"/>
  <c r="O633" i="1"/>
  <c r="Q633" i="1" s="1"/>
  <c r="O632" i="1"/>
  <c r="Q632" i="1" s="1"/>
  <c r="O631" i="1"/>
  <c r="Q631" i="1" s="1"/>
  <c r="O630" i="1"/>
  <c r="Q630" i="1" s="1"/>
  <c r="O629" i="1"/>
  <c r="O628" i="1"/>
  <c r="Q628" i="1" s="1"/>
  <c r="O627" i="1"/>
  <c r="Q627" i="1" s="1"/>
  <c r="O626" i="1"/>
  <c r="Q626" i="1" s="1"/>
  <c r="O625" i="1"/>
  <c r="Q625" i="1" s="1"/>
  <c r="O624" i="1"/>
  <c r="Q624" i="1" s="1"/>
  <c r="O623" i="1"/>
  <c r="Q623" i="1" s="1"/>
  <c r="O622" i="1"/>
  <c r="Q622" i="1" s="1"/>
  <c r="O621" i="1"/>
  <c r="Q621" i="1" s="1"/>
  <c r="O620" i="1"/>
  <c r="Q620" i="1" s="1"/>
  <c r="O618" i="1"/>
  <c r="Q618" i="1" s="1"/>
  <c r="O617" i="1"/>
  <c r="Q617" i="1" s="1"/>
  <c r="O616" i="1"/>
  <c r="Q616" i="1" s="1"/>
  <c r="O615" i="1"/>
  <c r="Q615" i="1" s="1"/>
  <c r="O614" i="1"/>
  <c r="Q614" i="1" s="1"/>
  <c r="O613" i="1"/>
  <c r="Q613" i="1" s="1"/>
  <c r="O612" i="1"/>
  <c r="Q612" i="1" s="1"/>
  <c r="O611" i="1"/>
  <c r="Q611" i="1" s="1"/>
  <c r="O610" i="1"/>
  <c r="Q610" i="1" s="1"/>
  <c r="O609" i="1"/>
  <c r="Q609" i="1" s="1"/>
  <c r="O608" i="1"/>
  <c r="Q608" i="1" s="1"/>
  <c r="O607" i="1"/>
  <c r="Q607" i="1" s="1"/>
  <c r="O606" i="1"/>
  <c r="Q606" i="1" s="1"/>
  <c r="O605" i="1"/>
  <c r="Q605" i="1" s="1"/>
  <c r="O604" i="1"/>
  <c r="Q604" i="1" s="1"/>
  <c r="O603" i="1"/>
  <c r="Q603" i="1" s="1"/>
  <c r="O602" i="1"/>
  <c r="Q602" i="1" s="1"/>
  <c r="O601" i="1"/>
  <c r="Q601" i="1" s="1"/>
  <c r="O600" i="1"/>
  <c r="Q600" i="1" s="1"/>
  <c r="O597" i="1"/>
  <c r="Q597" i="1" s="1"/>
  <c r="O596" i="1"/>
  <c r="Q596" i="1" s="1"/>
  <c r="O595" i="1"/>
  <c r="Q595" i="1" s="1"/>
  <c r="O594" i="1"/>
  <c r="Q594" i="1" s="1"/>
  <c r="O593" i="1"/>
  <c r="Q593" i="1" s="1"/>
  <c r="O592" i="1"/>
  <c r="Q592" i="1" s="1"/>
  <c r="O591" i="1"/>
  <c r="Q591" i="1" s="1"/>
  <c r="O590" i="1"/>
  <c r="Q590" i="1" s="1"/>
  <c r="O589" i="1"/>
  <c r="Q589" i="1" s="1"/>
  <c r="O588" i="1"/>
  <c r="Q588" i="1" s="1"/>
  <c r="O587" i="1"/>
  <c r="Q587" i="1" s="1"/>
  <c r="O585" i="1"/>
  <c r="Q585" i="1" s="1"/>
  <c r="O584" i="1"/>
  <c r="Q584" i="1" s="1"/>
  <c r="O583" i="1"/>
  <c r="Q583" i="1" s="1"/>
  <c r="O582" i="1"/>
  <c r="Q582" i="1" s="1"/>
  <c r="O581" i="1"/>
  <c r="Q581" i="1" s="1"/>
  <c r="O580" i="1"/>
  <c r="Q580" i="1" s="1"/>
  <c r="O579" i="1"/>
  <c r="Q579" i="1" s="1"/>
  <c r="O578" i="1"/>
  <c r="Q578" i="1" s="1"/>
  <c r="O577" i="1"/>
  <c r="Q577" i="1" s="1"/>
  <c r="O576" i="1"/>
  <c r="Q576" i="1" s="1"/>
  <c r="O575" i="1"/>
  <c r="Q575" i="1" s="1"/>
  <c r="O574" i="1"/>
  <c r="Q574" i="1" s="1"/>
  <c r="O573" i="1"/>
  <c r="Q573" i="1" s="1"/>
  <c r="O572" i="1"/>
  <c r="Q572" i="1" s="1"/>
  <c r="O571" i="1"/>
  <c r="Q571" i="1" s="1"/>
  <c r="O570" i="1"/>
  <c r="Q570" i="1" s="1"/>
  <c r="O569" i="1"/>
  <c r="Q569" i="1" s="1"/>
  <c r="O568" i="1"/>
  <c r="Q568" i="1" s="1"/>
  <c r="O567" i="1"/>
  <c r="Q567" i="1" s="1"/>
  <c r="O566" i="1"/>
  <c r="Q566" i="1" s="1"/>
  <c r="O565" i="1"/>
  <c r="Q565" i="1" s="1"/>
  <c r="O564" i="1"/>
  <c r="Q564" i="1" s="1"/>
  <c r="O562" i="1"/>
  <c r="Q562" i="1" s="1"/>
  <c r="O561" i="1"/>
  <c r="Q561" i="1" s="1"/>
  <c r="O560" i="1"/>
  <c r="Q560" i="1" s="1"/>
  <c r="O559" i="1"/>
  <c r="Q559" i="1" s="1"/>
  <c r="O558" i="1"/>
  <c r="Q558" i="1" s="1"/>
  <c r="O557" i="1"/>
  <c r="Q557" i="1" s="1"/>
  <c r="O556" i="1"/>
  <c r="Q556" i="1" s="1"/>
  <c r="O555" i="1"/>
  <c r="Q555" i="1" s="1"/>
  <c r="O553" i="1"/>
  <c r="Q553" i="1" s="1"/>
  <c r="O552" i="1"/>
  <c r="Q552" i="1" s="1"/>
  <c r="O551" i="1"/>
  <c r="Q551" i="1" s="1"/>
  <c r="O88" i="1"/>
  <c r="Q88" i="1" s="1"/>
  <c r="O86" i="1"/>
  <c r="Q86" i="1" s="1"/>
  <c r="O83" i="1"/>
  <c r="Q83" i="1" s="1"/>
  <c r="O82" i="1"/>
  <c r="Q82" i="1" s="1"/>
  <c r="O81" i="1"/>
  <c r="Q81" i="1" s="1"/>
  <c r="O78" i="1"/>
  <c r="Q78" i="1" s="1"/>
  <c r="O77" i="1"/>
  <c r="Q77" i="1" s="1"/>
  <c r="O76" i="1"/>
  <c r="Q76" i="1" s="1"/>
  <c r="O74" i="1"/>
  <c r="Q74" i="1" s="1"/>
  <c r="O73" i="1"/>
  <c r="Q73" i="1" s="1"/>
  <c r="O72" i="1"/>
  <c r="Q72" i="1" s="1"/>
  <c r="O70" i="1"/>
  <c r="Q70" i="1" s="1"/>
  <c r="O65" i="1"/>
  <c r="Q65" i="1" s="1"/>
  <c r="O64" i="1"/>
  <c r="Q64" i="1" s="1"/>
  <c r="O63" i="1"/>
  <c r="Q63" i="1" s="1"/>
  <c r="O58" i="1"/>
  <c r="Q58" i="1" s="1"/>
  <c r="O57" i="1"/>
  <c r="Q57" i="1" s="1"/>
  <c r="O56" i="1"/>
  <c r="Q56" i="1" s="1"/>
  <c r="O55" i="1"/>
  <c r="Q55" i="1" s="1"/>
  <c r="O53" i="1"/>
  <c r="Q53" i="1" s="1"/>
  <c r="O52" i="1"/>
  <c r="Q52" i="1" s="1"/>
  <c r="O51" i="1"/>
  <c r="Q51" i="1" s="1"/>
  <c r="O49" i="1"/>
  <c r="Q49" i="1" s="1"/>
  <c r="O48" i="1"/>
  <c r="Q48" i="1" s="1"/>
  <c r="O47" i="1"/>
  <c r="Q47" i="1" s="1"/>
  <c r="O45" i="1"/>
  <c r="Q45" i="1" s="1"/>
  <c r="O44" i="1"/>
  <c r="Q44" i="1" s="1"/>
  <c r="O43" i="1"/>
  <c r="Q43" i="1" s="1"/>
  <c r="O42" i="1"/>
  <c r="Q42" i="1" s="1"/>
  <c r="O41" i="1"/>
  <c r="Q41" i="1" s="1"/>
  <c r="O40" i="1"/>
  <c r="Q40" i="1" s="1"/>
  <c r="O38" i="1"/>
  <c r="Q38" i="1" s="1"/>
  <c r="O37" i="1"/>
  <c r="Q37" i="1" s="1"/>
  <c r="O33" i="1"/>
  <c r="Q33" i="1" s="1"/>
  <c r="O32" i="1"/>
  <c r="Q32" i="1" s="1"/>
  <c r="O31" i="1"/>
  <c r="Q31" i="1" s="1"/>
  <c r="O30" i="1"/>
  <c r="Q30" i="1" s="1"/>
  <c r="O29" i="1"/>
  <c r="Q29" i="1" s="1"/>
  <c r="O28" i="1"/>
  <c r="Q28" i="1" s="1"/>
  <c r="O27" i="1"/>
  <c r="Q27" i="1" s="1"/>
  <c r="O26" i="1"/>
  <c r="Q26" i="1" s="1"/>
  <c r="O25" i="1"/>
  <c r="Q25" i="1" s="1"/>
  <c r="O23" i="1"/>
  <c r="Q23" i="1" s="1"/>
  <c r="O21" i="1"/>
  <c r="Q21" i="1" s="1"/>
  <c r="O20" i="1"/>
  <c r="Q20" i="1" s="1"/>
  <c r="O18" i="1"/>
  <c r="Q18" i="1" s="1"/>
  <c r="O16" i="1"/>
  <c r="Q16" i="1" s="1"/>
  <c r="O15" i="1"/>
  <c r="Q15" i="1" s="1"/>
  <c r="O14" i="1"/>
  <c r="Q14" i="1" s="1"/>
  <c r="O13" i="1"/>
  <c r="Q13" i="1" s="1"/>
  <c r="O12" i="1"/>
  <c r="Q12" i="1" s="1"/>
  <c r="O11" i="1"/>
  <c r="Q11" i="1" s="1"/>
  <c r="O10" i="1"/>
  <c r="Q10" i="1" s="1"/>
  <c r="O9" i="1"/>
  <c r="Q9" i="1" s="1"/>
  <c r="O6" i="1"/>
  <c r="Q6" i="1" s="1"/>
  <c r="O5" i="1"/>
  <c r="Q5" i="1" s="1"/>
  <c r="O4" i="1"/>
  <c r="Q4" i="1" s="1"/>
  <c r="O3" i="1"/>
  <c r="Q3" i="1" s="1"/>
  <c r="P3" i="1"/>
  <c r="P4" i="1"/>
  <c r="P5" i="1"/>
  <c r="P6" i="1"/>
  <c r="P9" i="1"/>
  <c r="P10" i="1"/>
  <c r="P11" i="1"/>
  <c r="P12" i="1"/>
  <c r="P13" i="1"/>
  <c r="P14" i="1"/>
  <c r="P15" i="1"/>
  <c r="P16" i="1"/>
  <c r="P18" i="1"/>
  <c r="P20" i="1"/>
  <c r="P21" i="1"/>
  <c r="P23" i="1"/>
  <c r="P25" i="1"/>
  <c r="P26" i="1"/>
  <c r="P27" i="1"/>
  <c r="P28" i="1"/>
  <c r="P29" i="1"/>
  <c r="P30" i="1"/>
  <c r="P31" i="1"/>
  <c r="AA31" i="1" s="1"/>
  <c r="P32" i="1"/>
  <c r="P33" i="1"/>
  <c r="P37" i="1"/>
  <c r="P38" i="1"/>
  <c r="P40" i="1"/>
  <c r="P41" i="1"/>
  <c r="P42" i="1"/>
  <c r="P43" i="1"/>
  <c r="P44" i="1"/>
  <c r="P45" i="1"/>
  <c r="P47" i="1"/>
  <c r="P48" i="1"/>
  <c r="P51" i="1"/>
  <c r="P52" i="1"/>
  <c r="P53" i="1"/>
  <c r="P55" i="1"/>
  <c r="P56" i="1"/>
  <c r="P57" i="1"/>
  <c r="P58" i="1"/>
  <c r="P63" i="1"/>
  <c r="P64" i="1"/>
  <c r="P65" i="1"/>
  <c r="P70" i="1"/>
  <c r="P72" i="1"/>
  <c r="P73" i="1"/>
  <c r="P74" i="1"/>
  <c r="P76" i="1"/>
  <c r="P77" i="1"/>
  <c r="P78" i="1"/>
  <c r="P81" i="1"/>
  <c r="P82" i="1"/>
  <c r="P83" i="1"/>
  <c r="P86" i="1"/>
  <c r="P88" i="1"/>
  <c r="AA197" i="1"/>
  <c r="AA273" i="1"/>
  <c r="AA282" i="1"/>
  <c r="AA283" i="1"/>
  <c r="AA383" i="1"/>
  <c r="P551" i="1"/>
  <c r="AA551" i="1" s="1"/>
  <c r="P552" i="1"/>
  <c r="AA552" i="1" s="1"/>
  <c r="P553" i="1"/>
  <c r="AA553" i="1" s="1"/>
  <c r="P555" i="1"/>
  <c r="AA555" i="1" s="1"/>
  <c r="P556" i="1"/>
  <c r="AA556" i="1" s="1"/>
  <c r="P557" i="1"/>
  <c r="AA557" i="1" s="1"/>
  <c r="P558" i="1"/>
  <c r="AA558" i="1" s="1"/>
  <c r="P559" i="1"/>
  <c r="AA559" i="1" s="1"/>
  <c r="P560" i="1"/>
  <c r="AA560" i="1" s="1"/>
  <c r="P561" i="1"/>
  <c r="AA561" i="1" s="1"/>
  <c r="P562" i="1"/>
  <c r="AA562" i="1" s="1"/>
  <c r="P564" i="1"/>
  <c r="AA564" i="1" s="1"/>
  <c r="P565" i="1"/>
  <c r="AA565" i="1" s="1"/>
  <c r="P566" i="1"/>
  <c r="AA566" i="1" s="1"/>
  <c r="P567" i="1"/>
  <c r="AA567" i="1" s="1"/>
  <c r="P568" i="1"/>
  <c r="AA568" i="1" s="1"/>
  <c r="P569" i="1"/>
  <c r="AA569" i="1" s="1"/>
  <c r="P570" i="1"/>
  <c r="AA570" i="1" s="1"/>
  <c r="P571" i="1"/>
  <c r="AA571" i="1" s="1"/>
  <c r="P572" i="1"/>
  <c r="AA572" i="1" s="1"/>
  <c r="P573" i="1"/>
  <c r="AA573" i="1" s="1"/>
  <c r="P574" i="1"/>
  <c r="AA574" i="1" s="1"/>
  <c r="P575" i="1"/>
  <c r="AA575" i="1" s="1"/>
  <c r="P576" i="1"/>
  <c r="AA576" i="1" s="1"/>
  <c r="P577" i="1"/>
  <c r="AA577" i="1" s="1"/>
  <c r="P578" i="1"/>
  <c r="AA578" i="1" s="1"/>
  <c r="P579" i="1"/>
  <c r="AA579" i="1" s="1"/>
  <c r="P580" i="1"/>
  <c r="AA580" i="1" s="1"/>
  <c r="P581" i="1"/>
  <c r="AA581" i="1" s="1"/>
  <c r="P582" i="1"/>
  <c r="AA582" i="1" s="1"/>
  <c r="P583" i="1"/>
  <c r="AA583" i="1" s="1"/>
  <c r="P584" i="1"/>
  <c r="AA584" i="1" s="1"/>
  <c r="P585" i="1"/>
  <c r="AA585" i="1" s="1"/>
  <c r="P587" i="1"/>
  <c r="AA587" i="1" s="1"/>
  <c r="P588" i="1"/>
  <c r="AA588" i="1" s="1"/>
  <c r="P589" i="1"/>
  <c r="AA589" i="1" s="1"/>
  <c r="P590" i="1"/>
  <c r="AA590" i="1" s="1"/>
  <c r="P591" i="1"/>
  <c r="AA591" i="1" s="1"/>
  <c r="P592" i="1"/>
  <c r="AA592" i="1" s="1"/>
  <c r="P593" i="1"/>
  <c r="AA593" i="1" s="1"/>
  <c r="P594" i="1"/>
  <c r="AA594" i="1" s="1"/>
  <c r="P595" i="1"/>
  <c r="AA595" i="1" s="1"/>
  <c r="P596" i="1"/>
  <c r="AA596" i="1" s="1"/>
  <c r="P597" i="1"/>
  <c r="AA597" i="1" s="1"/>
  <c r="P600" i="1"/>
  <c r="AA600" i="1" s="1"/>
  <c r="P601" i="1"/>
  <c r="AA601" i="1" s="1"/>
  <c r="P602" i="1"/>
  <c r="AA602" i="1" s="1"/>
  <c r="P603" i="1"/>
  <c r="AA603" i="1" s="1"/>
  <c r="P604" i="1"/>
  <c r="AA604" i="1" s="1"/>
  <c r="P605" i="1"/>
  <c r="AA605" i="1" s="1"/>
  <c r="P606" i="1"/>
  <c r="AA606" i="1" s="1"/>
  <c r="P607" i="1"/>
  <c r="AA607" i="1" s="1"/>
  <c r="P608" i="1"/>
  <c r="AA608" i="1" s="1"/>
  <c r="P609" i="1"/>
  <c r="AA609" i="1" s="1"/>
  <c r="P610" i="1"/>
  <c r="AA610" i="1" s="1"/>
  <c r="P611" i="1"/>
  <c r="AA611" i="1" s="1"/>
  <c r="P612" i="1"/>
  <c r="P613" i="1"/>
  <c r="AA613" i="1" s="1"/>
  <c r="P614" i="1"/>
  <c r="AA614" i="1" s="1"/>
  <c r="P615" i="1"/>
  <c r="AA615" i="1" s="1"/>
  <c r="P616" i="1"/>
  <c r="AA616" i="1" s="1"/>
  <c r="P617" i="1"/>
  <c r="AA617" i="1" s="1"/>
  <c r="P618" i="1"/>
  <c r="AA618" i="1" s="1"/>
  <c r="P620" i="1"/>
  <c r="AA620" i="1" s="1"/>
  <c r="P621" i="1"/>
  <c r="AA621" i="1" s="1"/>
  <c r="P622" i="1"/>
  <c r="AA622" i="1" s="1"/>
  <c r="P623" i="1"/>
  <c r="AA623" i="1" s="1"/>
  <c r="P624" i="1"/>
  <c r="AA624" i="1" s="1"/>
  <c r="P625" i="1"/>
  <c r="AA625" i="1" s="1"/>
  <c r="P626" i="1"/>
  <c r="AA626" i="1" s="1"/>
  <c r="P627" i="1"/>
  <c r="AA627" i="1" s="1"/>
  <c r="P628" i="1"/>
  <c r="AA628" i="1" s="1"/>
  <c r="P629" i="1"/>
  <c r="AA629" i="1" s="1"/>
  <c r="P630" i="1"/>
  <c r="AA630" i="1" s="1"/>
  <c r="P631" i="1"/>
  <c r="AA631" i="1" s="1"/>
  <c r="P632" i="1"/>
  <c r="AA632" i="1" s="1"/>
  <c r="P641" i="1"/>
  <c r="AA641" i="1" s="1"/>
  <c r="P642" i="1"/>
  <c r="AA642" i="1" s="1"/>
  <c r="P643" i="1"/>
  <c r="AA643" i="1" s="1"/>
  <c r="P644" i="1"/>
  <c r="AA644" i="1" s="1"/>
  <c r="P645" i="1"/>
  <c r="AA645" i="1" s="1"/>
  <c r="P646" i="1"/>
  <c r="AA646" i="1" s="1"/>
  <c r="P647" i="1"/>
  <c r="AA647" i="1" s="1"/>
  <c r="P648" i="1"/>
  <c r="AA648" i="1" s="1"/>
  <c r="P649" i="1"/>
  <c r="AA649" i="1" s="1"/>
  <c r="P650" i="1"/>
  <c r="P651" i="1"/>
  <c r="P652" i="1"/>
  <c r="P653" i="1"/>
  <c r="P654" i="1"/>
  <c r="P655" i="1"/>
  <c r="P659" i="1"/>
  <c r="P660" i="1"/>
  <c r="P665" i="1"/>
  <c r="P666" i="1"/>
  <c r="P667" i="1"/>
  <c r="P668" i="1"/>
  <c r="P669" i="1"/>
  <c r="P670" i="1"/>
  <c r="P674" i="1"/>
  <c r="P675" i="1"/>
  <c r="P676" i="1"/>
  <c r="P677" i="1"/>
  <c r="AA656" i="1" s="1"/>
  <c r="P678" i="1"/>
  <c r="AA657" i="1" s="1"/>
  <c r="AA661" i="1"/>
  <c r="P682" i="1"/>
  <c r="P684" i="1"/>
  <c r="P685" i="1"/>
  <c r="P686" i="1"/>
  <c r="P687" i="1"/>
  <c r="P688" i="1"/>
  <c r="AA671" i="1" s="1"/>
  <c r="P689" i="1"/>
  <c r="AA672" i="1" s="1"/>
  <c r="P690" i="1"/>
  <c r="P691" i="1"/>
  <c r="P693" i="1"/>
  <c r="P694" i="1"/>
  <c r="P695" i="1"/>
  <c r="P696" i="1"/>
  <c r="P697" i="1"/>
  <c r="AA679" i="1" s="1"/>
  <c r="P698" i="1"/>
  <c r="P699" i="1"/>
  <c r="AA681" i="1" s="1"/>
  <c r="P700" i="1"/>
  <c r="P702" i="1"/>
  <c r="P705" i="1"/>
  <c r="P706" i="1"/>
  <c r="P710" i="1"/>
  <c r="P714" i="1"/>
  <c r="P718" i="1"/>
  <c r="P719" i="1"/>
  <c r="P720" i="1"/>
  <c r="P722" i="1"/>
  <c r="P723" i="1"/>
  <c r="P724" i="1"/>
  <c r="P725" i="1"/>
  <c r="AA703" i="1" s="1"/>
  <c r="P726" i="1"/>
  <c r="P727" i="1"/>
  <c r="P729" i="1"/>
  <c r="AA708" i="1" s="1"/>
  <c r="P730" i="1"/>
  <c r="AA709" i="1" s="1"/>
  <c r="P732" i="1"/>
  <c r="P737" i="1"/>
  <c r="P740" i="1"/>
  <c r="P741" i="1"/>
  <c r="AA721" i="1" s="1"/>
  <c r="P745" i="1"/>
  <c r="P748" i="1"/>
  <c r="P752" i="1"/>
  <c r="P753" i="1"/>
  <c r="P754" i="1"/>
  <c r="AA742" i="1" s="1"/>
  <c r="P756" i="1"/>
  <c r="P757" i="1"/>
  <c r="P758" i="1"/>
  <c r="AA746" i="1" s="1"/>
  <c r="AA747" i="1"/>
  <c r="P762" i="1"/>
  <c r="AA749" i="1" s="1"/>
  <c r="P763" i="1"/>
  <c r="AA750" i="1" s="1"/>
  <c r="AA751" i="1"/>
  <c r="P765" i="1"/>
  <c r="P769" i="1"/>
  <c r="P770" i="1"/>
  <c r="AA759" i="1" s="1"/>
  <c r="P771" i="1"/>
  <c r="AA760" i="1" s="1"/>
  <c r="P772" i="1"/>
  <c r="AA761" i="1" s="1"/>
  <c r="P773" i="1"/>
  <c r="P776" i="1"/>
  <c r="P777" i="1"/>
  <c r="P778" i="1"/>
  <c r="P779" i="1"/>
  <c r="P780" i="1"/>
  <c r="P781" i="1"/>
  <c r="P782" i="1"/>
  <c r="P783" i="1"/>
  <c r="AA782" i="1" s="1"/>
  <c r="P786" i="1"/>
  <c r="AA774" i="1"/>
  <c r="P790" i="1"/>
  <c r="AA787" i="1" s="1"/>
  <c r="P791" i="1"/>
  <c r="AA788" i="1" s="1"/>
  <c r="P794" i="1"/>
  <c r="AA793" i="1" s="1"/>
  <c r="P795" i="1"/>
  <c r="P801" i="1"/>
  <c r="AA796" i="1" s="1"/>
  <c r="P802" i="1"/>
  <c r="AA797" i="1" s="1"/>
  <c r="AA804" i="1"/>
  <c r="P807" i="1"/>
  <c r="AA805" i="1" s="1"/>
  <c r="P808" i="1"/>
  <c r="AA806" i="1" s="1"/>
  <c r="P811" i="1"/>
  <c r="AA809" i="1" s="1"/>
  <c r="P812" i="1"/>
  <c r="P813" i="1"/>
  <c r="AA810" i="1" s="1"/>
  <c r="P814" i="1"/>
  <c r="P815" i="1"/>
  <c r="P816" i="1"/>
  <c r="P821" i="1"/>
  <c r="AA823" i="1"/>
  <c r="P829" i="1"/>
  <c r="P830" i="1"/>
  <c r="AA824" i="1" s="1"/>
  <c r="P831" i="1"/>
  <c r="AA825" i="1" s="1"/>
  <c r="P835" i="1"/>
  <c r="AA827" i="1"/>
  <c r="P837" i="1"/>
  <c r="P840" i="1"/>
  <c r="P842" i="1"/>
  <c r="AA839" i="1" s="1"/>
  <c r="P844" i="1"/>
  <c r="P845" i="1"/>
  <c r="P846" i="1"/>
  <c r="P847" i="1"/>
  <c r="AA841" i="1" s="1"/>
  <c r="P848" i="1"/>
  <c r="P849" i="1"/>
  <c r="P850" i="1"/>
  <c r="P851" i="1"/>
  <c r="P853" i="1"/>
  <c r="P854" i="1"/>
  <c r="P855" i="1"/>
  <c r="P856" i="1"/>
  <c r="P857" i="1"/>
  <c r="P858" i="1"/>
  <c r="P863" i="1"/>
  <c r="P864" i="1"/>
  <c r="P866" i="1"/>
  <c r="P867" i="1"/>
  <c r="P868" i="1"/>
  <c r="P870" i="1"/>
  <c r="P871" i="1"/>
  <c r="P872" i="1"/>
  <c r="P873" i="1"/>
  <c r="P874" i="1"/>
  <c r="P875" i="1"/>
  <c r="P879" i="1"/>
  <c r="P881" i="1"/>
  <c r="P882" i="1"/>
  <c r="P884" i="1"/>
  <c r="P885" i="1"/>
  <c r="P887" i="1"/>
  <c r="P888" i="1"/>
  <c r="P889" i="1"/>
  <c r="P891" i="1"/>
  <c r="P892" i="1"/>
  <c r="P893" i="1"/>
  <c r="P897" i="1"/>
  <c r="P898" i="1"/>
  <c r="P899" i="1"/>
  <c r="AA859" i="1" s="1"/>
  <c r="P900" i="1"/>
  <c r="AA860" i="1" s="1"/>
  <c r="P901" i="1"/>
  <c r="P905" i="1"/>
  <c r="AA894" i="1" s="1"/>
  <c r="P906" i="1"/>
  <c r="AA895" i="1" s="1"/>
  <c r="P910" i="1"/>
  <c r="P912" i="1"/>
  <c r="P913" i="1"/>
  <c r="P917" i="1"/>
  <c r="P918" i="1"/>
  <c r="AA911" i="1" s="1"/>
  <c r="P924" i="1"/>
  <c r="AA908" i="1" s="1"/>
  <c r="P925" i="1"/>
  <c r="AA909" i="1" s="1"/>
  <c r="P926" i="1"/>
  <c r="P927" i="1"/>
  <c r="P928" i="1"/>
  <c r="P929" i="1"/>
  <c r="P930" i="1"/>
  <c r="P931" i="1"/>
  <c r="P932" i="1"/>
  <c r="AA922" i="1" s="1"/>
  <c r="P933" i="1"/>
  <c r="AA923" i="1" s="1"/>
  <c r="P934" i="1"/>
  <c r="P935" i="1"/>
  <c r="P936" i="1"/>
  <c r="P937" i="1"/>
  <c r="P938" i="1"/>
  <c r="P939" i="1"/>
  <c r="P940" i="1"/>
  <c r="P941" i="1"/>
  <c r="P942" i="1"/>
  <c r="P944" i="1"/>
  <c r="P946" i="1"/>
  <c r="P947" i="1"/>
  <c r="P948" i="1"/>
  <c r="P949" i="1"/>
  <c r="P951" i="1"/>
  <c r="P952" i="1"/>
  <c r="P953" i="1"/>
  <c r="P954" i="1"/>
  <c r="AA950" i="1" s="1"/>
  <c r="P955" i="1"/>
  <c r="P956" i="1"/>
  <c r="P957" i="1"/>
  <c r="P958" i="1"/>
  <c r="P959" i="1"/>
  <c r="P960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4" i="1"/>
  <c r="AA983" i="1" s="1"/>
  <c r="P985" i="1"/>
  <c r="P987" i="1"/>
  <c r="P988" i="1"/>
  <c r="AA986" i="1" s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AA880" i="1" l="1"/>
  <c r="AA877" i="1"/>
  <c r="AA865" i="1"/>
  <c r="AA876" i="1"/>
  <c r="AA733" i="1"/>
  <c r="AA736" i="1"/>
  <c r="AA728" i="1"/>
  <c r="AA734" i="1"/>
  <c r="AA731" i="1"/>
  <c r="AA735" i="1"/>
  <c r="AA701" i="1"/>
  <c r="AA704" i="1"/>
  <c r="AA669" i="1"/>
  <c r="AA663" i="1"/>
  <c r="AA869" i="1"/>
  <c r="AA890" i="1"/>
  <c r="AA836" i="1"/>
  <c r="AA838" i="1"/>
  <c r="AA680" i="1"/>
  <c r="AA683" i="1"/>
  <c r="AA675" i="1"/>
  <c r="AA673" i="1"/>
  <c r="P2" i="1"/>
  <c r="O2" i="1"/>
  <c r="Q2" i="1" s="1"/>
  <c r="AA3" i="1" l="1"/>
  <c r="A41" i="4" l="1"/>
  <c r="B41" i="4"/>
  <c r="C41" i="4"/>
  <c r="D41" i="4"/>
  <c r="E41" i="4"/>
  <c r="F41" i="4"/>
  <c r="G41" i="4"/>
  <c r="H41" i="4"/>
  <c r="I41" i="4"/>
  <c r="J41" i="4"/>
  <c r="K41" i="4"/>
  <c r="L41" i="4"/>
  <c r="M41" i="4"/>
  <c r="P41" i="4" s="1"/>
  <c r="O41" i="4"/>
  <c r="A42" i="4"/>
  <c r="B42" i="4"/>
  <c r="C42" i="4"/>
  <c r="D42" i="4"/>
  <c r="E42" i="4"/>
  <c r="F42" i="4"/>
  <c r="G42" i="4"/>
  <c r="H42" i="4"/>
  <c r="I42" i="4"/>
  <c r="J42" i="4"/>
  <c r="K42" i="4"/>
  <c r="L42" i="4"/>
  <c r="M42" i="4"/>
  <c r="P42" i="4" s="1"/>
  <c r="O42" i="4"/>
  <c r="A43" i="4"/>
  <c r="B43" i="4"/>
  <c r="C43" i="4"/>
  <c r="D43" i="4"/>
  <c r="E43" i="4"/>
  <c r="F43" i="4"/>
  <c r="G43" i="4"/>
  <c r="H43" i="4"/>
  <c r="I43" i="4"/>
  <c r="J43" i="4"/>
  <c r="K43" i="4"/>
  <c r="L43" i="4"/>
  <c r="M43" i="4"/>
  <c r="P43" i="4" s="1"/>
  <c r="O43" i="4"/>
  <c r="A44" i="4"/>
  <c r="B44" i="4"/>
  <c r="C44" i="4"/>
  <c r="D44" i="4"/>
  <c r="E44" i="4"/>
  <c r="F44" i="4"/>
  <c r="G44" i="4"/>
  <c r="H44" i="4"/>
  <c r="I44" i="4"/>
  <c r="J44" i="4"/>
  <c r="K44" i="4"/>
  <c r="L44" i="4"/>
  <c r="M44" i="4"/>
  <c r="P44" i="4" s="1"/>
  <c r="O44" i="4"/>
  <c r="A45" i="4"/>
  <c r="B45" i="4"/>
  <c r="C45" i="4"/>
  <c r="D45" i="4"/>
  <c r="E45" i="4"/>
  <c r="F45" i="4"/>
  <c r="G45" i="4"/>
  <c r="H45" i="4"/>
  <c r="I45" i="4"/>
  <c r="J45" i="4"/>
  <c r="K45" i="4"/>
  <c r="L45" i="4"/>
  <c r="M45" i="4"/>
  <c r="P45" i="4" s="1"/>
  <c r="O45" i="4"/>
  <c r="A46" i="4"/>
  <c r="B46" i="4"/>
  <c r="C46" i="4"/>
  <c r="D46" i="4"/>
  <c r="E46" i="4"/>
  <c r="F46" i="4"/>
  <c r="G46" i="4"/>
  <c r="H46" i="4"/>
  <c r="I46" i="4"/>
  <c r="J46" i="4"/>
  <c r="K46" i="4"/>
  <c r="L46" i="4"/>
  <c r="M46" i="4"/>
  <c r="P46" i="4" s="1"/>
  <c r="O46" i="4"/>
  <c r="A47" i="4"/>
  <c r="B47" i="4"/>
  <c r="C47" i="4"/>
  <c r="D47" i="4"/>
  <c r="E47" i="4"/>
  <c r="F47" i="4"/>
  <c r="G47" i="4"/>
  <c r="H47" i="4"/>
  <c r="I47" i="4"/>
  <c r="J47" i="4"/>
  <c r="K47" i="4"/>
  <c r="L47" i="4"/>
  <c r="M47" i="4"/>
  <c r="P47" i="4" s="1"/>
  <c r="O47" i="4"/>
  <c r="A48" i="4"/>
  <c r="B48" i="4"/>
  <c r="C48" i="4"/>
  <c r="D48" i="4"/>
  <c r="E48" i="4"/>
  <c r="F48" i="4"/>
  <c r="G48" i="4"/>
  <c r="H48" i="4"/>
  <c r="I48" i="4"/>
  <c r="J48" i="4"/>
  <c r="K48" i="4"/>
  <c r="L48" i="4"/>
  <c r="M48" i="4"/>
  <c r="P48" i="4" s="1"/>
  <c r="O48" i="4"/>
  <c r="A49" i="4"/>
  <c r="B49" i="4"/>
  <c r="C49" i="4"/>
  <c r="D49" i="4"/>
  <c r="E49" i="4"/>
  <c r="F49" i="4"/>
  <c r="G49" i="4"/>
  <c r="H49" i="4"/>
  <c r="I49" i="4"/>
  <c r="J49" i="4"/>
  <c r="K49" i="4"/>
  <c r="L49" i="4"/>
  <c r="M49" i="4"/>
  <c r="P49" i="4" s="1"/>
  <c r="O49" i="4"/>
  <c r="A50" i="4"/>
  <c r="B50" i="4"/>
  <c r="C50" i="4"/>
  <c r="D50" i="4"/>
  <c r="E50" i="4"/>
  <c r="F50" i="4"/>
  <c r="G50" i="4"/>
  <c r="H50" i="4"/>
  <c r="I50" i="4"/>
  <c r="J50" i="4"/>
  <c r="K50" i="4"/>
  <c r="L50" i="4"/>
  <c r="M50" i="4"/>
  <c r="P50" i="4" s="1"/>
  <c r="O50" i="4"/>
  <c r="J30" i="4" l="1"/>
  <c r="A32" i="4"/>
  <c r="B32" i="4"/>
  <c r="C32" i="4"/>
  <c r="D32" i="4"/>
  <c r="E32" i="4"/>
  <c r="F32" i="4"/>
  <c r="G32" i="4"/>
  <c r="H32" i="4"/>
  <c r="I32" i="4"/>
  <c r="J32" i="4"/>
  <c r="K32" i="4"/>
  <c r="L32" i="4"/>
  <c r="M32" i="4"/>
  <c r="P32" i="4" s="1"/>
  <c r="O32" i="4"/>
  <c r="A33" i="4"/>
  <c r="B33" i="4"/>
  <c r="C33" i="4"/>
  <c r="D33" i="4"/>
  <c r="E33" i="4"/>
  <c r="F33" i="4"/>
  <c r="G33" i="4"/>
  <c r="H33" i="4"/>
  <c r="I33" i="4"/>
  <c r="J33" i="4"/>
  <c r="K33" i="4"/>
  <c r="L33" i="4"/>
  <c r="M33" i="4"/>
  <c r="P33" i="4" s="1"/>
  <c r="O33" i="4"/>
  <c r="A34" i="4"/>
  <c r="B34" i="4"/>
  <c r="C34" i="4"/>
  <c r="D34" i="4"/>
  <c r="E34" i="4"/>
  <c r="F34" i="4"/>
  <c r="G34" i="4"/>
  <c r="H34" i="4"/>
  <c r="I34" i="4"/>
  <c r="J34" i="4"/>
  <c r="K34" i="4"/>
  <c r="L34" i="4"/>
  <c r="M34" i="4"/>
  <c r="P34" i="4" s="1"/>
  <c r="O34" i="4"/>
  <c r="A35" i="4"/>
  <c r="B35" i="4"/>
  <c r="C35" i="4"/>
  <c r="D35" i="4"/>
  <c r="E35" i="4"/>
  <c r="F35" i="4"/>
  <c r="G35" i="4"/>
  <c r="H35" i="4"/>
  <c r="I35" i="4"/>
  <c r="J35" i="4"/>
  <c r="K35" i="4"/>
  <c r="L35" i="4"/>
  <c r="M35" i="4"/>
  <c r="P35" i="4" s="1"/>
  <c r="O35" i="4"/>
  <c r="A36" i="4"/>
  <c r="B36" i="4"/>
  <c r="C36" i="4"/>
  <c r="D36" i="4"/>
  <c r="E36" i="4"/>
  <c r="F36" i="4"/>
  <c r="G36" i="4"/>
  <c r="H36" i="4"/>
  <c r="I36" i="4"/>
  <c r="J36" i="4"/>
  <c r="K36" i="4"/>
  <c r="L36" i="4"/>
  <c r="M36" i="4"/>
  <c r="P36" i="4" s="1"/>
  <c r="O36" i="4"/>
  <c r="A37" i="4"/>
  <c r="B37" i="4"/>
  <c r="C37" i="4"/>
  <c r="D37" i="4"/>
  <c r="E37" i="4"/>
  <c r="F37" i="4"/>
  <c r="G37" i="4"/>
  <c r="H37" i="4"/>
  <c r="I37" i="4"/>
  <c r="J37" i="4"/>
  <c r="K37" i="4"/>
  <c r="L37" i="4"/>
  <c r="M37" i="4"/>
  <c r="P37" i="4" s="1"/>
  <c r="O37" i="4"/>
  <c r="A38" i="4"/>
  <c r="B38" i="4"/>
  <c r="C38" i="4"/>
  <c r="D38" i="4"/>
  <c r="E38" i="4"/>
  <c r="F38" i="4"/>
  <c r="G38" i="4"/>
  <c r="H38" i="4"/>
  <c r="I38" i="4"/>
  <c r="J38" i="4"/>
  <c r="K38" i="4"/>
  <c r="L38" i="4"/>
  <c r="M38" i="4"/>
  <c r="P38" i="4" s="1"/>
  <c r="O38" i="4"/>
  <c r="A39" i="4"/>
  <c r="B39" i="4"/>
  <c r="C39" i="4"/>
  <c r="D39" i="4"/>
  <c r="E39" i="4"/>
  <c r="F39" i="4"/>
  <c r="G39" i="4"/>
  <c r="H39" i="4"/>
  <c r="I39" i="4"/>
  <c r="J39" i="4"/>
  <c r="K39" i="4"/>
  <c r="L39" i="4"/>
  <c r="M39" i="4"/>
  <c r="P39" i="4" s="1"/>
  <c r="O39" i="4"/>
  <c r="A40" i="4"/>
  <c r="B40" i="4"/>
  <c r="C40" i="4"/>
  <c r="D40" i="4"/>
  <c r="E40" i="4"/>
  <c r="F40" i="4"/>
  <c r="G40" i="4"/>
  <c r="H40" i="4"/>
  <c r="I40" i="4"/>
  <c r="J40" i="4"/>
  <c r="K40" i="4"/>
  <c r="L40" i="4"/>
  <c r="M40" i="4"/>
  <c r="P40" i="4" s="1"/>
  <c r="O40" i="4"/>
  <c r="M54" i="4"/>
  <c r="O1074" i="1" l="1"/>
  <c r="Q1074" i="1" s="1"/>
  <c r="O1067" i="1"/>
  <c r="P1067" i="1" s="1"/>
  <c r="O1064" i="1"/>
  <c r="Q1064" i="1" s="1"/>
  <c r="Q1067" i="1" l="1"/>
  <c r="P1074" i="1"/>
  <c r="P1064" i="1"/>
  <c r="O1061" i="1"/>
  <c r="P1061" i="1" s="1"/>
  <c r="Q1061" i="1" l="1"/>
  <c r="O1049" i="1"/>
  <c r="P1049" i="1" s="1"/>
  <c r="Q1049" i="1" l="1"/>
  <c r="AA670" i="1" l="1"/>
  <c r="AA720" i="1"/>
  <c r="AA686" i="1" l="1"/>
  <c r="AA684" i="1"/>
  <c r="AA694" i="1"/>
  <c r="AA676" i="1"/>
  <c r="AA745" i="1"/>
  <c r="AA719" i="1"/>
  <c r="AA685" i="1"/>
  <c r="AA420" i="1" l="1"/>
  <c r="AA416" i="1"/>
  <c r="AA412" i="1"/>
  <c r="AA389" i="1"/>
  <c r="AA386" i="1" l="1"/>
  <c r="AA378" i="1"/>
  <c r="AA377" i="1"/>
  <c r="AA348" i="1" l="1"/>
  <c r="AA346" i="1" l="1"/>
  <c r="AA344" i="1"/>
  <c r="AA329" i="1" l="1"/>
  <c r="AA330" i="1"/>
  <c r="AA335" i="1"/>
  <c r="AA318" i="1"/>
  <c r="AA317" i="1" l="1"/>
  <c r="AA301" i="1"/>
  <c r="AA309" i="1" l="1"/>
  <c r="AA276" i="1" l="1"/>
  <c r="AA275" i="1"/>
  <c r="AA267" i="1" l="1"/>
  <c r="AA266" i="1"/>
  <c r="AA264" i="1"/>
  <c r="AA263" i="1"/>
  <c r="AA254" i="1"/>
  <c r="AA248" i="1"/>
  <c r="AA245" i="1"/>
  <c r="AA244" i="1"/>
  <c r="AA235" i="1" l="1"/>
  <c r="AA224" i="1" l="1"/>
  <c r="AA221" i="1"/>
  <c r="AA213" i="1" l="1"/>
  <c r="AA203" i="1" l="1"/>
  <c r="AA209" i="1"/>
  <c r="AA190" i="1" l="1"/>
  <c r="AA167" i="1" l="1"/>
  <c r="AA159" i="1" l="1"/>
  <c r="AA150" i="1"/>
  <c r="AA141" i="1" l="1"/>
  <c r="AA140" i="1"/>
  <c r="AA124" i="1" l="1"/>
  <c r="AA98" i="1" l="1"/>
  <c r="AA53" i="1" l="1"/>
  <c r="AA51" i="1"/>
  <c r="AA55" i="1"/>
  <c r="AA56" i="1"/>
  <c r="AA58" i="1"/>
  <c r="AA40" i="1"/>
  <c r="AA41" i="1"/>
  <c r="AA42" i="1"/>
  <c r="AA44" i="1"/>
  <c r="AA28" i="1" l="1"/>
  <c r="AN6" i="2" l="1"/>
  <c r="O1097" i="1" l="1"/>
  <c r="P1097" i="1" s="1"/>
  <c r="O1094" i="1"/>
  <c r="Q1094" i="1" s="1"/>
  <c r="Q1097" i="1" l="1"/>
  <c r="P1094" i="1"/>
  <c r="O1091" i="1"/>
  <c r="P1091" i="1" s="1"/>
  <c r="O1084" i="1"/>
  <c r="P1084" i="1" s="1"/>
  <c r="Q1091" i="1" l="1"/>
  <c r="Q1084" i="1"/>
  <c r="O1087" i="1"/>
  <c r="P1087" i="1" s="1"/>
  <c r="AA1086" i="1" s="1"/>
  <c r="O1086" i="1"/>
  <c r="P1086" i="1" s="1"/>
  <c r="Q1086" i="1" l="1"/>
  <c r="Q1087" i="1"/>
  <c r="O1078" i="1"/>
  <c r="P1078" i="1" s="1"/>
  <c r="O1076" i="1"/>
  <c r="P1076" i="1" s="1"/>
  <c r="AA1074" i="1" s="1"/>
  <c r="O1071" i="1"/>
  <c r="P1071" i="1" s="1"/>
  <c r="O1072" i="1"/>
  <c r="Q1072" i="1" s="1"/>
  <c r="O1070" i="1"/>
  <c r="Q1070" i="1" s="1"/>
  <c r="O1069" i="1"/>
  <c r="Q1069" i="1" s="1"/>
  <c r="O1063" i="1"/>
  <c r="Q1063" i="1" s="1"/>
  <c r="Q1076" i="1" l="1"/>
  <c r="Q1078" i="1"/>
  <c r="Q1071" i="1"/>
  <c r="P1072" i="1"/>
  <c r="P1070" i="1"/>
  <c r="P1069" i="1"/>
  <c r="P1063" i="1"/>
  <c r="O1055" i="1"/>
  <c r="P1055" i="1" s="1"/>
  <c r="O1054" i="1"/>
  <c r="P1054" i="1" s="1"/>
  <c r="Q1055" i="1" l="1"/>
  <c r="Q1054" i="1"/>
  <c r="AA985" i="1" l="1"/>
  <c r="AA984" i="1"/>
  <c r="AA867" i="1" l="1"/>
  <c r="AA879" i="1" l="1"/>
  <c r="AA816" i="1" l="1"/>
  <c r="AA763" i="1" l="1"/>
  <c r="AA421" i="1" l="1"/>
  <c r="AA408" i="1"/>
  <c r="AA406" i="1"/>
  <c r="AA394" i="1"/>
  <c r="AA411" i="1" l="1"/>
  <c r="AA418" i="1"/>
  <c r="AA392" i="1"/>
  <c r="AA370" i="1" l="1"/>
  <c r="AA364" i="1"/>
  <c r="AA345" i="1"/>
  <c r="AA347" i="1"/>
  <c r="AA332" i="1"/>
  <c r="AA336" i="1"/>
  <c r="AA339" i="1"/>
  <c r="AA341" i="1"/>
  <c r="AA326" i="1"/>
  <c r="AA218" i="1"/>
  <c r="AA219" i="1"/>
  <c r="AA220" i="1"/>
  <c r="AA222" i="1"/>
  <c r="AA223" i="1"/>
  <c r="AA225" i="1"/>
  <c r="AA226" i="1"/>
  <c r="AA233" i="1"/>
  <c r="AA236" i="1"/>
  <c r="AA237" i="1"/>
  <c r="AA238" i="1"/>
  <c r="AA247" i="1"/>
  <c r="AA249" i="1"/>
  <c r="AA251" i="1"/>
  <c r="AA253" i="1"/>
  <c r="AA217" i="1"/>
  <c r="AA311" i="1"/>
  <c r="AA314" i="1"/>
  <c r="AA303" i="1"/>
  <c r="AA363" i="1" l="1"/>
  <c r="AA337" i="1"/>
  <c r="AA328" i="1"/>
  <c r="AA340" i="1"/>
  <c r="AA313" i="1"/>
  <c r="AA312" i="1"/>
  <c r="AA281" i="1" l="1"/>
  <c r="AA274" i="1" l="1"/>
  <c r="AA262" i="1"/>
  <c r="AA261" i="1"/>
  <c r="AA205" i="1" l="1"/>
  <c r="AA206" i="1"/>
  <c r="AA207" i="1"/>
  <c r="AA198" i="1"/>
  <c r="AA189" i="1"/>
  <c r="AA191" i="1"/>
  <c r="AA181" i="1"/>
  <c r="AA183" i="1" l="1"/>
  <c r="AA169" i="1"/>
  <c r="AA170" i="1"/>
  <c r="AA171" i="1"/>
  <c r="AA172" i="1"/>
  <c r="AA152" i="1"/>
  <c r="AA155" i="1"/>
  <c r="AA156" i="1"/>
  <c r="AA158" i="1"/>
  <c r="AA148" i="1" l="1"/>
  <c r="AA137" i="1"/>
  <c r="AA128" i="1"/>
  <c r="AA129" i="1"/>
  <c r="AA119" i="1"/>
  <c r="AA117" i="1"/>
  <c r="AA114" i="1"/>
  <c r="AA111" i="1"/>
  <c r="AA110" i="1"/>
  <c r="AA108" i="1"/>
  <c r="AA100" i="1" l="1"/>
  <c r="AA90" i="1"/>
  <c r="AA96" i="1" l="1"/>
  <c r="AA97" i="1"/>
  <c r="AA78" i="1"/>
  <c r="AA77" i="1"/>
  <c r="AA73" i="1"/>
  <c r="AA65" i="1"/>
  <c r="AA63" i="1"/>
  <c r="AA52" i="1"/>
  <c r="AA38" i="1" l="1"/>
  <c r="AA33" i="1"/>
  <c r="AA32" i="1"/>
  <c r="AA29" i="1"/>
  <c r="AA27" i="1"/>
  <c r="AA16" i="1" l="1"/>
  <c r="AA18" i="1"/>
  <c r="AA14" i="1"/>
  <c r="AA9" i="1"/>
  <c r="L9" i="2" l="1"/>
  <c r="L15" i="2"/>
  <c r="L14" i="2"/>
  <c r="A9" i="2"/>
  <c r="B9" i="2"/>
  <c r="C9" i="2"/>
  <c r="D9" i="2"/>
  <c r="E9" i="2"/>
  <c r="F9" i="2"/>
  <c r="G9" i="2"/>
  <c r="H9" i="2"/>
  <c r="I9" i="2"/>
  <c r="J9" i="2"/>
  <c r="K9" i="2"/>
  <c r="A14" i="2"/>
  <c r="B14" i="2"/>
  <c r="C14" i="2"/>
  <c r="D14" i="2"/>
  <c r="E14" i="2"/>
  <c r="F14" i="2"/>
  <c r="G14" i="2"/>
  <c r="H14" i="2"/>
  <c r="I14" i="2"/>
  <c r="J14" i="2"/>
  <c r="K14" i="2"/>
  <c r="A15" i="2"/>
  <c r="B15" i="2"/>
  <c r="C15" i="2"/>
  <c r="D15" i="2"/>
  <c r="E15" i="2"/>
  <c r="F15" i="2"/>
  <c r="G15" i="2"/>
  <c r="H15" i="2"/>
  <c r="I15" i="2"/>
  <c r="J15" i="2"/>
  <c r="K15" i="2"/>
  <c r="AA5" i="1" l="1"/>
  <c r="AA4" i="1"/>
  <c r="A4" i="2" l="1"/>
  <c r="O1287" i="1" l="1"/>
  <c r="P1287" i="1" s="1"/>
  <c r="O1288" i="1"/>
  <c r="Q1288" i="1" s="1"/>
  <c r="Q1287" i="1" l="1"/>
  <c r="P1288" i="1"/>
  <c r="AA1287" i="1" s="1"/>
  <c r="A20" i="4" l="1"/>
  <c r="B20" i="4"/>
  <c r="C20" i="4"/>
  <c r="D20" i="4"/>
  <c r="E20" i="4"/>
  <c r="F20" i="4"/>
  <c r="G20" i="4"/>
  <c r="H20" i="4"/>
  <c r="I20" i="4"/>
  <c r="J20" i="4"/>
  <c r="K20" i="4"/>
  <c r="L20" i="4"/>
  <c r="M20" i="4"/>
  <c r="P20" i="4" s="1"/>
  <c r="O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P21" i="4" s="1"/>
  <c r="O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P22" i="4" s="1"/>
  <c r="O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P23" i="4" s="1"/>
  <c r="O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P24" i="4" s="1"/>
  <c r="O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P25" i="4" s="1"/>
  <c r="O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P26" i="4" s="1"/>
  <c r="O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P27" i="4" s="1"/>
  <c r="O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P28" i="4" s="1"/>
  <c r="O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P29" i="4" s="1"/>
  <c r="O29" i="4"/>
  <c r="A30" i="4"/>
  <c r="B30" i="4"/>
  <c r="C30" i="4"/>
  <c r="D30" i="4"/>
  <c r="E30" i="4"/>
  <c r="F30" i="4"/>
  <c r="G30" i="4"/>
  <c r="H30" i="4"/>
  <c r="I30" i="4"/>
  <c r="K30" i="4"/>
  <c r="L30" i="4"/>
  <c r="M30" i="4"/>
  <c r="P30" i="4" s="1"/>
  <c r="O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P31" i="4" s="1"/>
  <c r="O31" i="4"/>
  <c r="O1276" i="1" l="1"/>
  <c r="P1276" i="1" s="1"/>
  <c r="O1277" i="1"/>
  <c r="Q1277" i="1" s="1"/>
  <c r="Q1276" i="1" l="1"/>
  <c r="P1277" i="1"/>
  <c r="O1271" i="1" l="1"/>
  <c r="Q1271" i="1" s="1"/>
  <c r="P1271" i="1" l="1"/>
  <c r="O1258" i="1" l="1"/>
  <c r="Q1258" i="1" s="1"/>
  <c r="AR7" i="2" l="1"/>
  <c r="P1258" i="1"/>
  <c r="O1256" i="1"/>
  <c r="Q1256" i="1" s="1"/>
  <c r="P1256" i="1" l="1"/>
  <c r="O1242" i="1" l="1"/>
  <c r="P1242" i="1" s="1"/>
  <c r="O1243" i="1"/>
  <c r="P1243" i="1" s="1"/>
  <c r="O1244" i="1"/>
  <c r="P1244" i="1" s="1"/>
  <c r="Q1242" i="1" l="1"/>
  <c r="Q1243" i="1"/>
  <c r="Q1244" i="1"/>
  <c r="O1238" i="1" l="1"/>
  <c r="P1238" i="1" s="1"/>
  <c r="Q1238" i="1" l="1"/>
  <c r="O1237" i="1"/>
  <c r="Q1237" i="1" s="1"/>
  <c r="P1237" i="1" l="1"/>
  <c r="O1230" i="1"/>
  <c r="Q1230" i="1" s="1"/>
  <c r="P1230" i="1" l="1"/>
  <c r="O1228" i="1" l="1"/>
  <c r="P1228" i="1" s="1"/>
  <c r="O1227" i="1"/>
  <c r="P1227" i="1" s="1"/>
  <c r="Q1228" i="1" l="1"/>
  <c r="Q1227" i="1"/>
  <c r="O1204" i="1" l="1"/>
  <c r="Q1204" i="1" s="1"/>
  <c r="P1204" i="1" l="1"/>
  <c r="O1176" i="1" l="1"/>
  <c r="P1176" i="1" s="1"/>
  <c r="Q1176" i="1" l="1"/>
  <c r="O1156" i="1" l="1"/>
  <c r="P1156" i="1" s="1"/>
  <c r="O1157" i="1"/>
  <c r="Q1157" i="1" s="1"/>
  <c r="O1158" i="1"/>
  <c r="Q1158" i="1" s="1"/>
  <c r="O1159" i="1"/>
  <c r="Q1159" i="1" s="1"/>
  <c r="O1160" i="1"/>
  <c r="P1160" i="1" s="1"/>
  <c r="O1161" i="1"/>
  <c r="Q1161" i="1" s="1"/>
  <c r="O1162" i="1"/>
  <c r="Q1162" i="1" s="1"/>
  <c r="O1163" i="1"/>
  <c r="Q1163" i="1" s="1"/>
  <c r="O1164" i="1"/>
  <c r="P1164" i="1" s="1"/>
  <c r="O1165" i="1"/>
  <c r="P1165" i="1" s="1"/>
  <c r="O1166" i="1"/>
  <c r="Q1166" i="1" s="1"/>
  <c r="O1167" i="1"/>
  <c r="Q1167" i="1" s="1"/>
  <c r="O1168" i="1"/>
  <c r="P1168" i="1" s="1"/>
  <c r="O1169" i="1"/>
  <c r="P1169" i="1" s="1"/>
  <c r="O1170" i="1"/>
  <c r="Q1170" i="1" s="1"/>
  <c r="O1171" i="1"/>
  <c r="Q1171" i="1" s="1"/>
  <c r="O1172" i="1"/>
  <c r="Q1172" i="1" s="1"/>
  <c r="O1173" i="1"/>
  <c r="Q1173" i="1" s="1"/>
  <c r="O1174" i="1"/>
  <c r="Q1174" i="1" s="1"/>
  <c r="O1175" i="1"/>
  <c r="Q1175" i="1" s="1"/>
  <c r="O1177" i="1"/>
  <c r="P1177" i="1" s="1"/>
  <c r="O1178" i="1"/>
  <c r="Q1178" i="1" s="1"/>
  <c r="O1179" i="1"/>
  <c r="Q1179" i="1" s="1"/>
  <c r="O1180" i="1"/>
  <c r="Q1180" i="1" s="1"/>
  <c r="O1181" i="1"/>
  <c r="P1181" i="1" s="1"/>
  <c r="O1182" i="1"/>
  <c r="P1182" i="1" s="1"/>
  <c r="O1183" i="1"/>
  <c r="O1184" i="1"/>
  <c r="Q1184" i="1" s="1"/>
  <c r="O1185" i="1"/>
  <c r="P1185" i="1" s="1"/>
  <c r="O1186" i="1"/>
  <c r="P1186" i="1" s="1"/>
  <c r="O1187" i="1"/>
  <c r="O1188" i="1"/>
  <c r="Q1188" i="1" s="1"/>
  <c r="O1189" i="1"/>
  <c r="Q1189" i="1" s="1"/>
  <c r="O1190" i="1"/>
  <c r="P1190" i="1" s="1"/>
  <c r="O1191" i="1"/>
  <c r="O1192" i="1"/>
  <c r="Q1192" i="1" s="1"/>
  <c r="O1193" i="1"/>
  <c r="Q1193" i="1" s="1"/>
  <c r="O1194" i="1"/>
  <c r="P1194" i="1" s="1"/>
  <c r="O1195" i="1"/>
  <c r="O1196" i="1"/>
  <c r="Q1196" i="1" s="1"/>
  <c r="O1197" i="1"/>
  <c r="P1197" i="1" s="1"/>
  <c r="O1198" i="1"/>
  <c r="Q1198" i="1" s="1"/>
  <c r="O1199" i="1"/>
  <c r="O1200" i="1"/>
  <c r="Q1200" i="1" s="1"/>
  <c r="O1201" i="1"/>
  <c r="P1201" i="1" s="1"/>
  <c r="O1202" i="1"/>
  <c r="Q1202" i="1" s="1"/>
  <c r="O1203" i="1"/>
  <c r="O1205" i="1"/>
  <c r="Q1205" i="1" s="1"/>
  <c r="O1206" i="1"/>
  <c r="P1206" i="1" s="1"/>
  <c r="O1207" i="1"/>
  <c r="Q1207" i="1" s="1"/>
  <c r="O1208" i="1"/>
  <c r="O1209" i="1"/>
  <c r="Q1209" i="1" s="1"/>
  <c r="O1210" i="1"/>
  <c r="P1210" i="1" s="1"/>
  <c r="O1211" i="1"/>
  <c r="P1211" i="1" s="1"/>
  <c r="O1212" i="1"/>
  <c r="O1213" i="1"/>
  <c r="Q1213" i="1" s="1"/>
  <c r="O1214" i="1"/>
  <c r="Q1214" i="1" s="1"/>
  <c r="O1215" i="1"/>
  <c r="P1215" i="1" s="1"/>
  <c r="O1216" i="1"/>
  <c r="O1217" i="1"/>
  <c r="Q1217" i="1" s="1"/>
  <c r="O1218" i="1"/>
  <c r="Q1218" i="1" s="1"/>
  <c r="O1219" i="1"/>
  <c r="P1219" i="1" s="1"/>
  <c r="O1220" i="1"/>
  <c r="O1221" i="1"/>
  <c r="Q1221" i="1" s="1"/>
  <c r="O1222" i="1"/>
  <c r="Q1222" i="1" s="1"/>
  <c r="O1223" i="1"/>
  <c r="Q1223" i="1" s="1"/>
  <c r="O1224" i="1"/>
  <c r="O1225" i="1"/>
  <c r="Q1225" i="1" s="1"/>
  <c r="O1226" i="1"/>
  <c r="P1226" i="1" s="1"/>
  <c r="O1229" i="1"/>
  <c r="Q1229" i="1" s="1"/>
  <c r="O1231" i="1"/>
  <c r="O1232" i="1"/>
  <c r="Q1232" i="1" s="1"/>
  <c r="O1233" i="1"/>
  <c r="Q1233" i="1" s="1"/>
  <c r="O1234" i="1"/>
  <c r="P1234" i="1" s="1"/>
  <c r="AA1227" i="1" s="1"/>
  <c r="O1235" i="1"/>
  <c r="O1236" i="1"/>
  <c r="Q1236" i="1" s="1"/>
  <c r="O1239" i="1"/>
  <c r="P1239" i="1" s="1"/>
  <c r="O1240" i="1"/>
  <c r="P1240" i="1" s="1"/>
  <c r="O1241" i="1"/>
  <c r="O1245" i="1"/>
  <c r="Q1245" i="1" s="1"/>
  <c r="O1246" i="1"/>
  <c r="Q1246" i="1" s="1"/>
  <c r="O1247" i="1"/>
  <c r="P1247" i="1" s="1"/>
  <c r="AA1243" i="1" s="1"/>
  <c r="O1248" i="1"/>
  <c r="O1249" i="1"/>
  <c r="Q1249" i="1" s="1"/>
  <c r="O1250" i="1"/>
  <c r="P1250" i="1" s="1"/>
  <c r="AA1246" i="1" s="1"/>
  <c r="O1251" i="1"/>
  <c r="P1251" i="1" s="1"/>
  <c r="AA1247" i="1" s="1"/>
  <c r="O1252" i="1"/>
  <c r="O1253" i="1"/>
  <c r="Q1253" i="1" s="1"/>
  <c r="O1254" i="1"/>
  <c r="Q1254" i="1" s="1"/>
  <c r="O1255" i="1"/>
  <c r="P1255" i="1" s="1"/>
  <c r="O1257" i="1"/>
  <c r="O1259" i="1"/>
  <c r="Q1259" i="1" s="1"/>
  <c r="O1260" i="1"/>
  <c r="P1260" i="1" s="1"/>
  <c r="O1261" i="1"/>
  <c r="Q1261" i="1" s="1"/>
  <c r="O1262" i="1"/>
  <c r="O1263" i="1"/>
  <c r="Q1263" i="1" s="1"/>
  <c r="O1264" i="1"/>
  <c r="P1264" i="1" s="1"/>
  <c r="O1265" i="1"/>
  <c r="Q1265" i="1" s="1"/>
  <c r="O1266" i="1"/>
  <c r="O1267" i="1"/>
  <c r="Q1267" i="1" s="1"/>
  <c r="O1268" i="1"/>
  <c r="P1268" i="1" s="1"/>
  <c r="O1269" i="1"/>
  <c r="P1269" i="1" s="1"/>
  <c r="O1270" i="1"/>
  <c r="O1272" i="1"/>
  <c r="Q1272" i="1" s="1"/>
  <c r="O1273" i="1"/>
  <c r="Q1273" i="1" s="1"/>
  <c r="O1274" i="1"/>
  <c r="P1274" i="1" s="1"/>
  <c r="O1275" i="1"/>
  <c r="O1278" i="1"/>
  <c r="Q1278" i="1" s="1"/>
  <c r="O1279" i="1"/>
  <c r="Q1279" i="1" s="1"/>
  <c r="O1280" i="1"/>
  <c r="P1280" i="1" s="1"/>
  <c r="O1281" i="1"/>
  <c r="O1282" i="1"/>
  <c r="Q1282" i="1" s="1"/>
  <c r="O1283" i="1"/>
  <c r="Q1283" i="1" s="1"/>
  <c r="O1284" i="1"/>
  <c r="Q1284" i="1" s="1"/>
  <c r="O1285" i="1"/>
  <c r="O1286" i="1"/>
  <c r="Q1286" i="1" s="1"/>
  <c r="O1289" i="1"/>
  <c r="P1289" i="1" s="1"/>
  <c r="O1290" i="1"/>
  <c r="Q1290" i="1" s="1"/>
  <c r="AA1288" i="1" l="1"/>
  <c r="AA1286" i="1"/>
  <c r="P1232" i="1"/>
  <c r="P1173" i="1"/>
  <c r="P1157" i="1"/>
  <c r="P1223" i="1"/>
  <c r="AA1222" i="1" s="1"/>
  <c r="P1163" i="1"/>
  <c r="P1180" i="1"/>
  <c r="Q1210" i="1"/>
  <c r="P1207" i="1"/>
  <c r="AA1204" i="1" s="1"/>
  <c r="P1172" i="1"/>
  <c r="Q1169" i="1"/>
  <c r="P1273" i="1"/>
  <c r="P1218" i="1"/>
  <c r="Q1215" i="1"/>
  <c r="P1189" i="1"/>
  <c r="Q1186" i="1"/>
  <c r="P1267" i="1"/>
  <c r="P1254" i="1"/>
  <c r="P1283" i="1"/>
  <c r="P1246" i="1"/>
  <c r="AA1242" i="1" s="1"/>
  <c r="Q1268" i="1"/>
  <c r="Q1274" i="1"/>
  <c r="P1284" i="1"/>
  <c r="P1278" i="1"/>
  <c r="AA1276" i="1" s="1"/>
  <c r="P1229" i="1"/>
  <c r="Q1239" i="1"/>
  <c r="P1286" i="1"/>
  <c r="P1222" i="1"/>
  <c r="P1198" i="1"/>
  <c r="P1178" i="1"/>
  <c r="Q1280" i="1"/>
  <c r="Q1250" i="1"/>
  <c r="Q1168" i="1"/>
  <c r="P1261" i="1"/>
  <c r="P1233" i="1"/>
  <c r="P1225" i="1"/>
  <c r="P1214" i="1"/>
  <c r="P1193" i="1"/>
  <c r="Q1190" i="1"/>
  <c r="Q1181" i="1"/>
  <c r="P1175" i="1"/>
  <c r="Q1255" i="1"/>
  <c r="Q1251" i="1"/>
  <c r="Q1219" i="1"/>
  <c r="Q1194" i="1"/>
  <c r="Q1185" i="1"/>
  <c r="Q1164" i="1"/>
  <c r="P1290" i="1"/>
  <c r="P1279" i="1"/>
  <c r="AA1277" i="1" s="1"/>
  <c r="P1265" i="1"/>
  <c r="P1259" i="1"/>
  <c r="P1253" i="1"/>
  <c r="P1209" i="1"/>
  <c r="P1202" i="1"/>
  <c r="P1196" i="1"/>
  <c r="P1161" i="1"/>
  <c r="Q1289" i="1"/>
  <c r="Q1269" i="1"/>
  <c r="Q1264" i="1"/>
  <c r="Q1260" i="1"/>
  <c r="Q1247" i="1"/>
  <c r="Q1240" i="1"/>
  <c r="Q1234" i="1"/>
  <c r="Q1226" i="1"/>
  <c r="P1217" i="1"/>
  <c r="Q1211" i="1"/>
  <c r="Q1206" i="1"/>
  <c r="Q1201" i="1"/>
  <c r="Q1197" i="1"/>
  <c r="P1192" i="1"/>
  <c r="Q1182" i="1"/>
  <c r="Q1177" i="1"/>
  <c r="P1171" i="1"/>
  <c r="Q1165" i="1"/>
  <c r="Q1160" i="1"/>
  <c r="P1272" i="1"/>
  <c r="P1249" i="1"/>
  <c r="AA1245" i="1" s="1"/>
  <c r="P1213" i="1"/>
  <c r="P1184" i="1"/>
  <c r="P1167" i="1"/>
  <c r="P1159" i="1"/>
  <c r="Q1156" i="1"/>
  <c r="Q1275" i="1"/>
  <c r="P1275" i="1"/>
  <c r="Q1257" i="1"/>
  <c r="P1257" i="1"/>
  <c r="Q1235" i="1"/>
  <c r="P1235" i="1"/>
  <c r="AA1228" i="1" s="1"/>
  <c r="Q1216" i="1"/>
  <c r="P1216" i="1"/>
  <c r="Q1199" i="1"/>
  <c r="P1199" i="1"/>
  <c r="Q1183" i="1"/>
  <c r="P1183" i="1"/>
  <c r="P1282" i="1"/>
  <c r="Q1270" i="1"/>
  <c r="P1270" i="1"/>
  <c r="P1263" i="1"/>
  <c r="Q1252" i="1"/>
  <c r="P1252" i="1"/>
  <c r="P1245" i="1"/>
  <c r="AA1237" i="1" s="1"/>
  <c r="Q1231" i="1"/>
  <c r="P1231" i="1"/>
  <c r="P1221" i="1"/>
  <c r="Q1212" i="1"/>
  <c r="P1212" i="1"/>
  <c r="P1205" i="1"/>
  <c r="Q1195" i="1"/>
  <c r="P1195" i="1"/>
  <c r="P1188" i="1"/>
  <c r="Q1285" i="1"/>
  <c r="P1285" i="1"/>
  <c r="Q1266" i="1"/>
  <c r="P1266" i="1"/>
  <c r="Q1248" i="1"/>
  <c r="P1248" i="1"/>
  <c r="AA1244" i="1" s="1"/>
  <c r="P1236" i="1"/>
  <c r="Q1224" i="1"/>
  <c r="P1224" i="1"/>
  <c r="Q1208" i="1"/>
  <c r="P1208" i="1"/>
  <c r="P1200" i="1"/>
  <c r="Q1191" i="1"/>
  <c r="P1191" i="1"/>
  <c r="Q1281" i="1"/>
  <c r="P1281" i="1"/>
  <c r="Q1262" i="1"/>
  <c r="P1262" i="1"/>
  <c r="Q1241" i="1"/>
  <c r="P1241" i="1"/>
  <c r="AA1238" i="1" s="1"/>
  <c r="Q1220" i="1"/>
  <c r="P1220" i="1"/>
  <c r="Q1203" i="1"/>
  <c r="P1203" i="1"/>
  <c r="Q1187" i="1"/>
  <c r="P1187" i="1"/>
  <c r="P1179" i="1"/>
  <c r="P1174" i="1"/>
  <c r="P1170" i="1"/>
  <c r="P1166" i="1"/>
  <c r="P1162" i="1"/>
  <c r="P1158" i="1"/>
  <c r="AA1154" i="1" l="1"/>
  <c r="AA1155" i="1"/>
  <c r="AA1156" i="1"/>
  <c r="AA1157" i="1"/>
  <c r="AA1158" i="1"/>
  <c r="AA1159" i="1"/>
  <c r="AA1160" i="1"/>
  <c r="O1143" i="1" l="1"/>
  <c r="P1143" i="1" s="1"/>
  <c r="AA1141" i="1" s="1"/>
  <c r="O1144" i="1"/>
  <c r="Q1144" i="1" s="1"/>
  <c r="O1145" i="1"/>
  <c r="Q1145" i="1" s="1"/>
  <c r="O1146" i="1"/>
  <c r="Q1146" i="1" s="1"/>
  <c r="O1147" i="1"/>
  <c r="Q1147" i="1" s="1"/>
  <c r="O1148" i="1"/>
  <c r="P1148" i="1" s="1"/>
  <c r="AA1146" i="1" s="1"/>
  <c r="O1149" i="1"/>
  <c r="Q1149" i="1" s="1"/>
  <c r="O1150" i="1"/>
  <c r="Q1150" i="1" s="1"/>
  <c r="O1151" i="1"/>
  <c r="P1151" i="1" s="1"/>
  <c r="AA1149" i="1" s="1"/>
  <c r="O1152" i="1"/>
  <c r="Q1152" i="1" s="1"/>
  <c r="O1153" i="1"/>
  <c r="Q1153" i="1" s="1"/>
  <c r="O1154" i="1"/>
  <c r="Q1154" i="1" s="1"/>
  <c r="O1155" i="1"/>
  <c r="Q1155" i="1" s="1"/>
  <c r="P1154" i="1" l="1"/>
  <c r="AA1152" i="1" s="1"/>
  <c r="P1147" i="1"/>
  <c r="AA1145" i="1" s="1"/>
  <c r="P1144" i="1"/>
  <c r="AA1142" i="1" s="1"/>
  <c r="P1155" i="1"/>
  <c r="AA1153" i="1" s="1"/>
  <c r="P1152" i="1"/>
  <c r="AA1150" i="1" s="1"/>
  <c r="Q1151" i="1"/>
  <c r="P1146" i="1"/>
  <c r="AA1144" i="1" s="1"/>
  <c r="Q1148" i="1"/>
  <c r="Q1143" i="1"/>
  <c r="P1150" i="1"/>
  <c r="AA1148" i="1" s="1"/>
  <c r="P1153" i="1"/>
  <c r="AA1151" i="1" s="1"/>
  <c r="P1149" i="1"/>
  <c r="AA1147" i="1" s="1"/>
  <c r="P1145" i="1"/>
  <c r="AA1143" i="1" s="1"/>
  <c r="O1142" i="1" l="1"/>
  <c r="Q1142" i="1" s="1"/>
  <c r="P1142" i="1" l="1"/>
  <c r="AA1140" i="1" s="1"/>
  <c r="O1134" i="1" l="1"/>
  <c r="P1134" i="1" s="1"/>
  <c r="AA1132" i="1" s="1"/>
  <c r="O1135" i="1"/>
  <c r="P1135" i="1" s="1"/>
  <c r="AA1133" i="1" s="1"/>
  <c r="O1136" i="1"/>
  <c r="P1136" i="1" s="1"/>
  <c r="AA1134" i="1" s="1"/>
  <c r="O1137" i="1"/>
  <c r="Q1137" i="1" s="1"/>
  <c r="O1138" i="1"/>
  <c r="P1138" i="1" s="1"/>
  <c r="AA1136" i="1" s="1"/>
  <c r="O1139" i="1"/>
  <c r="P1139" i="1" s="1"/>
  <c r="AA1137" i="1" s="1"/>
  <c r="O1140" i="1"/>
  <c r="P1140" i="1" s="1"/>
  <c r="AA1138" i="1" s="1"/>
  <c r="O1141" i="1"/>
  <c r="Q1141" i="1" s="1"/>
  <c r="Q1134" i="1" l="1"/>
  <c r="P1137" i="1"/>
  <c r="AA1135" i="1" s="1"/>
  <c r="Q1138" i="1"/>
  <c r="Q1139" i="1"/>
  <c r="P1141" i="1"/>
  <c r="AA1139" i="1" s="1"/>
  <c r="Q1135" i="1"/>
  <c r="Q1140" i="1"/>
  <c r="Q1136" i="1"/>
  <c r="O1080" i="1" l="1"/>
  <c r="Q1080" i="1" s="1"/>
  <c r="P1080" i="1" l="1"/>
  <c r="O1075" i="1"/>
  <c r="Q1075" i="1" s="1"/>
  <c r="P1075" i="1" l="1"/>
  <c r="O1048" i="1" l="1"/>
  <c r="Q1048" i="1" s="1"/>
  <c r="P1048" i="1" l="1"/>
  <c r="O1047" i="1"/>
  <c r="P1047" i="1" s="1"/>
  <c r="Q1047" i="1" l="1"/>
  <c r="AA1022" i="1" l="1"/>
  <c r="AA1024" i="1"/>
  <c r="O1050" i="1"/>
  <c r="P1050" i="1" s="1"/>
  <c r="O1051" i="1"/>
  <c r="P1051" i="1" s="1"/>
  <c r="AA1039" i="1" s="1"/>
  <c r="O1052" i="1"/>
  <c r="P1052" i="1" s="1"/>
  <c r="O1053" i="1"/>
  <c r="Q1053" i="1" s="1"/>
  <c r="O1056" i="1"/>
  <c r="P1056" i="1" s="1"/>
  <c r="O1057" i="1"/>
  <c r="P1057" i="1" s="1"/>
  <c r="O1058" i="1"/>
  <c r="P1058" i="1" s="1"/>
  <c r="AA1048" i="1" s="1"/>
  <c r="O1059" i="1"/>
  <c r="Q1059" i="1" s="1"/>
  <c r="O1060" i="1"/>
  <c r="P1060" i="1" s="1"/>
  <c r="O1062" i="1"/>
  <c r="Q1062" i="1" s="1"/>
  <c r="O1065" i="1"/>
  <c r="P1065" i="1" s="1"/>
  <c r="O1066" i="1"/>
  <c r="Q1066" i="1" s="1"/>
  <c r="O1068" i="1"/>
  <c r="P1068" i="1" s="1"/>
  <c r="O1073" i="1"/>
  <c r="P1073" i="1" s="1"/>
  <c r="O1077" i="1"/>
  <c r="P1077" i="1" s="1"/>
  <c r="AA1076" i="1"/>
  <c r="O1079" i="1"/>
  <c r="P1079" i="1" s="1"/>
  <c r="O1081" i="1"/>
  <c r="Q1081" i="1" s="1"/>
  <c r="O1082" i="1"/>
  <c r="P1082" i="1" s="1"/>
  <c r="O1083" i="1"/>
  <c r="P1083" i="1" s="1"/>
  <c r="AA1080" i="1" s="1"/>
  <c r="O1085" i="1"/>
  <c r="P1085" i="1" s="1"/>
  <c r="O1088" i="1"/>
  <c r="Q1088" i="1" s="1"/>
  <c r="O1089" i="1"/>
  <c r="P1089" i="1" s="1"/>
  <c r="O1090" i="1"/>
  <c r="P1090" i="1" s="1"/>
  <c r="O1092" i="1"/>
  <c r="P1092" i="1" s="1"/>
  <c r="AA1084" i="1" s="1"/>
  <c r="O1093" i="1"/>
  <c r="Q1093" i="1" s="1"/>
  <c r="O1095" i="1"/>
  <c r="Q1095" i="1" s="1"/>
  <c r="O1096" i="1"/>
  <c r="P1096" i="1" s="1"/>
  <c r="O1098" i="1"/>
  <c r="Q1098" i="1" s="1"/>
  <c r="O1099" i="1"/>
  <c r="Q1099" i="1" s="1"/>
  <c r="O1100" i="1"/>
  <c r="P1100" i="1" s="1"/>
  <c r="O1101" i="1"/>
  <c r="P1101" i="1" s="1"/>
  <c r="O1102" i="1"/>
  <c r="P1102" i="1" s="1"/>
  <c r="O1103" i="1"/>
  <c r="Q1103" i="1" s="1"/>
  <c r="O1104" i="1"/>
  <c r="P1104" i="1" s="1"/>
  <c r="O1105" i="1"/>
  <c r="P1105" i="1" s="1"/>
  <c r="O1106" i="1"/>
  <c r="P1106" i="1" s="1"/>
  <c r="O1107" i="1"/>
  <c r="Q1107" i="1" s="1"/>
  <c r="O1108" i="1"/>
  <c r="P1108" i="1" s="1"/>
  <c r="AA1106" i="1" s="1"/>
  <c r="O1109" i="1"/>
  <c r="P1109" i="1" s="1"/>
  <c r="AA1107" i="1" s="1"/>
  <c r="O1110" i="1"/>
  <c r="Q1110" i="1" s="1"/>
  <c r="O1111" i="1"/>
  <c r="Q1111" i="1" s="1"/>
  <c r="O1112" i="1"/>
  <c r="P1112" i="1" s="1"/>
  <c r="AA1110" i="1" s="1"/>
  <c r="O1113" i="1"/>
  <c r="P1113" i="1" s="1"/>
  <c r="AA1111" i="1" s="1"/>
  <c r="O1114" i="1"/>
  <c r="Q1114" i="1" s="1"/>
  <c r="O1115" i="1"/>
  <c r="Q1115" i="1" s="1"/>
  <c r="O1116" i="1"/>
  <c r="P1116" i="1" s="1"/>
  <c r="AA1114" i="1" s="1"/>
  <c r="O1117" i="1"/>
  <c r="P1117" i="1" s="1"/>
  <c r="AA1115" i="1" s="1"/>
  <c r="O1118" i="1"/>
  <c r="Q1118" i="1" s="1"/>
  <c r="O1119" i="1"/>
  <c r="Q1119" i="1" s="1"/>
  <c r="O1120" i="1"/>
  <c r="Q1120" i="1" s="1"/>
  <c r="O1121" i="1"/>
  <c r="P1121" i="1" s="1"/>
  <c r="AA1119" i="1" s="1"/>
  <c r="O1122" i="1"/>
  <c r="P1122" i="1" s="1"/>
  <c r="AA1120" i="1" s="1"/>
  <c r="O1123" i="1"/>
  <c r="Q1123" i="1" s="1"/>
  <c r="O1124" i="1"/>
  <c r="P1124" i="1" s="1"/>
  <c r="AA1122" i="1" s="1"/>
  <c r="O1125" i="1"/>
  <c r="Q1125" i="1" s="1"/>
  <c r="O1126" i="1"/>
  <c r="P1126" i="1" s="1"/>
  <c r="AA1124" i="1" s="1"/>
  <c r="O1127" i="1"/>
  <c r="Q1127" i="1" s="1"/>
  <c r="O1128" i="1"/>
  <c r="Q1128" i="1" s="1"/>
  <c r="O1129" i="1"/>
  <c r="P1129" i="1" s="1"/>
  <c r="AA1127" i="1" s="1"/>
  <c r="O1130" i="1"/>
  <c r="P1130" i="1" s="1"/>
  <c r="AA1128" i="1" s="1"/>
  <c r="O1131" i="1"/>
  <c r="Q1131" i="1" s="1"/>
  <c r="O1132" i="1"/>
  <c r="P1132" i="1" s="1"/>
  <c r="AA1130" i="1" s="1"/>
  <c r="O1133" i="1"/>
  <c r="Q1133" i="1" s="1"/>
  <c r="AA1040" i="1" l="1"/>
  <c r="AA1044" i="1"/>
  <c r="AA1028" i="1"/>
  <c r="AA1019" i="1"/>
  <c r="AA1041" i="1"/>
  <c r="AA1045" i="1"/>
  <c r="P1125" i="1"/>
  <c r="AA1123" i="1" s="1"/>
  <c r="P1133" i="1"/>
  <c r="AA1131" i="1" s="1"/>
  <c r="P1128" i="1"/>
  <c r="AA1126" i="1" s="1"/>
  <c r="P1120" i="1"/>
  <c r="AA1118" i="1" s="1"/>
  <c r="Q1090" i="1"/>
  <c r="Q1132" i="1"/>
  <c r="P1127" i="1"/>
  <c r="AA1125" i="1" s="1"/>
  <c r="Q1113" i="1"/>
  <c r="Q1105" i="1"/>
  <c r="Q1121" i="1"/>
  <c r="Q1068" i="1"/>
  <c r="P1062" i="1"/>
  <c r="Q1060" i="1"/>
  <c r="Q1057" i="1"/>
  <c r="Q1056" i="1"/>
  <c r="P1119" i="1"/>
  <c r="AA1117" i="1" s="1"/>
  <c r="Q1109" i="1"/>
  <c r="Q1101" i="1"/>
  <c r="P1095" i="1"/>
  <c r="P1093" i="1"/>
  <c r="AA1091" i="1" s="1"/>
  <c r="Q1089" i="1"/>
  <c r="Q1083" i="1"/>
  <c r="Q1082" i="1"/>
  <c r="P1066" i="1"/>
  <c r="AA1025" i="1"/>
  <c r="Q1129" i="1"/>
  <c r="Q1124" i="1"/>
  <c r="Q1112" i="1"/>
  <c r="Q1104" i="1"/>
  <c r="P1131" i="1"/>
  <c r="AA1129" i="1" s="1"/>
  <c r="Q1116" i="1"/>
  <c r="Q1108" i="1"/>
  <c r="Q1100" i="1"/>
  <c r="Q1096" i="1"/>
  <c r="P1081" i="1"/>
  <c r="Q1050" i="1"/>
  <c r="Q1051" i="1"/>
  <c r="P1123" i="1"/>
  <c r="AA1121" i="1" s="1"/>
  <c r="Q1117" i="1"/>
  <c r="P1115" i="1"/>
  <c r="AA1113" i="1" s="1"/>
  <c r="P1111" i="1"/>
  <c r="AA1109" i="1" s="1"/>
  <c r="P1107" i="1"/>
  <c r="AA1105" i="1" s="1"/>
  <c r="P1103" i="1"/>
  <c r="AA1101" i="1" s="1"/>
  <c r="Q1077" i="1"/>
  <c r="P1053" i="1"/>
  <c r="AA1042" i="1" s="1"/>
  <c r="P1099" i="1"/>
  <c r="P1088" i="1"/>
  <c r="AA1087" i="1" s="1"/>
  <c r="P1059" i="1"/>
  <c r="AA1049" i="1" s="1"/>
  <c r="AA1020" i="1"/>
  <c r="Q1130" i="1"/>
  <c r="Q1126" i="1"/>
  <c r="Q1122" i="1"/>
  <c r="Q1106" i="1"/>
  <c r="Q1102" i="1"/>
  <c r="Q1092" i="1"/>
  <c r="Q1085" i="1"/>
  <c r="Q1079" i="1"/>
  <c r="Q1073" i="1"/>
  <c r="Q1065" i="1"/>
  <c r="Q1058" i="1"/>
  <c r="Q1052" i="1"/>
  <c r="P1118" i="1"/>
  <c r="AA1116" i="1" s="1"/>
  <c r="P1114" i="1"/>
  <c r="AA1112" i="1" s="1"/>
  <c r="P1110" i="1"/>
  <c r="AA1108" i="1" s="1"/>
  <c r="P1098" i="1"/>
  <c r="AA1026" i="1"/>
  <c r="AA1094" i="1" l="1"/>
  <c r="AA1097" i="1"/>
  <c r="AA1018" i="1"/>
  <c r="AA1027" i="1"/>
  <c r="AA1007" i="1" l="1"/>
  <c r="AA987" i="1" l="1"/>
  <c r="AA991" i="1"/>
  <c r="AA988" i="1"/>
  <c r="AA982" i="1" l="1"/>
  <c r="AA964" i="1" l="1"/>
  <c r="AA959" i="1" l="1"/>
  <c r="AA968" i="1"/>
  <c r="AA948" i="1"/>
  <c r="AA966" i="1" l="1"/>
  <c r="AA973" i="1"/>
  <c r="AA975" i="1"/>
  <c r="AA958" i="1" l="1"/>
  <c r="AA965" i="1"/>
  <c r="AA981" i="1"/>
  <c r="AA926" i="1" l="1"/>
  <c r="AA932" i="1"/>
  <c r="AA868" i="1"/>
  <c r="AA954" i="1" l="1"/>
  <c r="AA951" i="1"/>
  <c r="AA874" i="1"/>
  <c r="AA870" i="1"/>
  <c r="AA933" i="1"/>
  <c r="AA873" i="1"/>
  <c r="AA856" i="1" l="1"/>
  <c r="AA855" i="1"/>
  <c r="M8" i="4" l="1"/>
  <c r="P8" i="4" s="1"/>
  <c r="L8" i="4"/>
  <c r="M7" i="4"/>
  <c r="P7" i="4" s="1"/>
  <c r="O7" i="4"/>
  <c r="A6" i="4"/>
  <c r="B6" i="4"/>
  <c r="C6" i="4"/>
  <c r="D6" i="4"/>
  <c r="E6" i="4"/>
  <c r="F6" i="4"/>
  <c r="G6" i="4"/>
  <c r="H6" i="4"/>
  <c r="I6" i="4"/>
  <c r="J6" i="4"/>
  <c r="K6" i="4"/>
  <c r="L6" i="4"/>
  <c r="A7" i="4"/>
  <c r="B7" i="4"/>
  <c r="C7" i="4"/>
  <c r="D7" i="4"/>
  <c r="E7" i="4"/>
  <c r="F7" i="4"/>
  <c r="G7" i="4"/>
  <c r="H7" i="4"/>
  <c r="I7" i="4"/>
  <c r="J7" i="4"/>
  <c r="K7" i="4"/>
  <c r="L7" i="4"/>
  <c r="A8" i="4"/>
  <c r="B8" i="4"/>
  <c r="C8" i="4"/>
  <c r="D8" i="4"/>
  <c r="E8" i="4"/>
  <c r="F8" i="4"/>
  <c r="G8" i="4"/>
  <c r="H8" i="4"/>
  <c r="I8" i="4"/>
  <c r="J8" i="4"/>
  <c r="K8" i="4"/>
  <c r="O8" i="4" l="1"/>
  <c r="M6" i="4"/>
  <c r="P6" i="4" s="1"/>
  <c r="AA757" i="1" l="1"/>
  <c r="AA758" i="1"/>
  <c r="AA732" i="1"/>
  <c r="AA741" i="1"/>
  <c r="AA752" i="1"/>
  <c r="AA762" i="1"/>
  <c r="AA769" i="1"/>
  <c r="AA813" i="1"/>
  <c r="AA845" i="1" l="1"/>
  <c r="AA842" i="1"/>
  <c r="AA776" i="1"/>
  <c r="AA771" i="1"/>
  <c r="AA753" i="1"/>
  <c r="AA756" i="1"/>
  <c r="AA773" i="1"/>
  <c r="AA737" i="1"/>
  <c r="AA790" i="1"/>
  <c r="AA772" i="1"/>
  <c r="AA748" i="1"/>
  <c r="AA808" i="1" l="1"/>
  <c r="AA777" i="1"/>
  <c r="AA764" i="1"/>
  <c r="AA729" i="1"/>
  <c r="AA727" i="1" l="1"/>
  <c r="AA726" i="1"/>
  <c r="AA725" i="1" l="1"/>
  <c r="AA724" i="1"/>
  <c r="AA705" i="1" l="1"/>
  <c r="AA699" i="1"/>
  <c r="AA696" i="1" l="1"/>
  <c r="AA698" i="1"/>
  <c r="AA700" i="1"/>
  <c r="AA710" i="1"/>
  <c r="AA690" i="1"/>
  <c r="AA695" i="1"/>
  <c r="AA702" i="1" l="1"/>
  <c r="AA693" i="1"/>
  <c r="AA718" i="1"/>
  <c r="AA722" i="1"/>
  <c r="AA706" i="1"/>
  <c r="AA674" i="1" l="1"/>
  <c r="AA650" i="1" l="1"/>
  <c r="AA652" i="1"/>
  <c r="AA659" i="1"/>
  <c r="AA682" i="1"/>
  <c r="AA689" i="1"/>
  <c r="AA688" i="1" l="1"/>
  <c r="AA651" i="1"/>
  <c r="AA660" i="1"/>
  <c r="AA654" i="1"/>
  <c r="AA678" i="1"/>
  <c r="AA665" i="1"/>
  <c r="AA677" i="1"/>
  <c r="AA655" i="1"/>
  <c r="AA687" i="1"/>
  <c r="AA422" i="1" l="1"/>
  <c r="AA395" i="1" l="1"/>
  <c r="AA376" i="1" l="1"/>
  <c r="AA368" i="1"/>
  <c r="AA297" i="1" l="1"/>
  <c r="AA327" i="1" l="1"/>
  <c r="A9" i="4" l="1"/>
  <c r="B9" i="4"/>
  <c r="C9" i="4"/>
  <c r="D9" i="4"/>
  <c r="E9" i="4"/>
  <c r="F9" i="4"/>
  <c r="G9" i="4"/>
  <c r="H9" i="4"/>
  <c r="I9" i="4"/>
  <c r="J9" i="4"/>
  <c r="K9" i="4"/>
  <c r="L9" i="4"/>
  <c r="M9" i="4"/>
  <c r="P9" i="4" s="1"/>
  <c r="O9" i="4"/>
  <c r="AA310" i="1" l="1"/>
  <c r="AA305" i="1" l="1"/>
  <c r="AA299" i="1"/>
  <c r="AA294" i="1"/>
  <c r="AA308" i="1" l="1"/>
  <c r="AA295" i="1"/>
  <c r="AA291" i="1"/>
  <c r="AA387" i="1" l="1"/>
  <c r="AA388" i="1"/>
  <c r="AA391" i="1"/>
  <c r="AA403" i="1"/>
  <c r="AA414" i="1"/>
  <c r="AA352" i="1"/>
  <c r="AA353" i="1"/>
  <c r="AA366" i="1"/>
  <c r="AA315" i="1"/>
  <c r="AA320" i="1"/>
  <c r="AA321" i="1"/>
  <c r="AA322" i="1"/>
  <c r="AA279" i="1"/>
  <c r="AA288" i="1"/>
  <c r="AA289" i="1"/>
  <c r="AA290" i="1"/>
  <c r="AA292" i="1"/>
  <c r="AA293" i="1"/>
  <c r="AA298" i="1"/>
  <c r="AA300" i="1"/>
  <c r="AA304" i="1"/>
  <c r="AA271" i="1"/>
  <c r="AA277" i="1"/>
  <c r="AA319" i="1" l="1"/>
  <c r="AA323" i="1"/>
  <c r="AA399" i="1"/>
  <c r="AA324" i="1"/>
  <c r="AA349" i="1"/>
  <c r="AA415" i="1"/>
  <c r="AA402" i="1"/>
  <c r="AA302" i="1"/>
  <c r="AA287" i="1"/>
  <c r="AA358" i="1"/>
  <c r="AA413" i="1"/>
  <c r="AA265" i="1" l="1"/>
  <c r="AA268" i="1"/>
  <c r="AA270" i="1"/>
  <c r="A19" i="4" l="1"/>
  <c r="B19" i="4"/>
  <c r="C19" i="4"/>
  <c r="D19" i="4"/>
  <c r="E19" i="4"/>
  <c r="F19" i="4"/>
  <c r="G19" i="4"/>
  <c r="H19" i="4"/>
  <c r="I19" i="4"/>
  <c r="J19" i="4"/>
  <c r="K19" i="4"/>
  <c r="L19" i="4"/>
  <c r="M19" i="4"/>
  <c r="P19" i="4" s="1"/>
  <c r="O19" i="4"/>
  <c r="AA204" i="1" l="1"/>
  <c r="AA208" i="1"/>
  <c r="AA210" i="1"/>
  <c r="AA211" i="1"/>
  <c r="AA212" i="1"/>
  <c r="AA194" i="1" l="1"/>
  <c r="AA166" i="1" l="1"/>
  <c r="AA164" i="1"/>
  <c r="AA162" i="1"/>
  <c r="AA142" i="1" l="1"/>
  <c r="AA139" i="1"/>
  <c r="AA130" i="1"/>
  <c r="AA123" i="1"/>
  <c r="AA109" i="1"/>
  <c r="AA104" i="1" l="1"/>
  <c r="AA103" i="1"/>
  <c r="AA72" i="1" l="1"/>
  <c r="AA64" i="1"/>
  <c r="AA45" i="1" l="1"/>
  <c r="AA43" i="1"/>
  <c r="AA23" i="1" l="1"/>
  <c r="AA21" i="1" l="1"/>
  <c r="H3" i="4" l="1"/>
  <c r="AA6" i="1" l="1"/>
  <c r="AA12" i="1"/>
  <c r="AA15" i="1"/>
  <c r="AA20" i="1"/>
  <c r="AA26" i="1"/>
  <c r="AA30" i="1"/>
  <c r="AA37" i="1"/>
  <c r="AA47" i="1"/>
  <c r="AA48" i="1"/>
  <c r="AA49" i="1"/>
  <c r="AA50" i="1"/>
  <c r="AA57" i="1"/>
  <c r="AA74" i="1"/>
  <c r="AA76" i="1"/>
  <c r="AA93" i="1"/>
  <c r="AA95" i="1"/>
  <c r="AA107" i="1"/>
  <c r="AA138" i="1"/>
  <c r="AA149" i="1"/>
  <c r="AA160" i="1"/>
  <c r="AA168" i="1"/>
  <c r="AA173" i="1"/>
  <c r="AA182" i="1"/>
  <c r="AA192" i="1"/>
  <c r="AA195" i="1"/>
  <c r="AA202" i="1"/>
  <c r="AA214" i="1"/>
  <c r="AR5" i="2" l="1"/>
  <c r="AA1253" i="1" l="1"/>
  <c r="AA1252" i="1"/>
  <c r="AA1251" i="1"/>
  <c r="AA1254" i="1"/>
  <c r="AA1231" i="1" l="1"/>
  <c r="AA1161" i="1" l="1"/>
  <c r="AA1035" i="1" l="1"/>
  <c r="AA957" i="1" l="1"/>
  <c r="AA967" i="1" l="1"/>
  <c r="AA956" i="1" l="1"/>
  <c r="AA1194" i="1" l="1"/>
  <c r="AA1171" i="1" l="1"/>
  <c r="AA1167" i="1" l="1"/>
  <c r="AA1102" i="1" l="1"/>
  <c r="AA1081" i="1" l="1"/>
  <c r="AA1053" i="1" l="1"/>
  <c r="AA1052" i="1"/>
  <c r="AA1051" i="1" l="1"/>
  <c r="AA998" i="1" l="1"/>
  <c r="AA971" i="1" l="1"/>
  <c r="AA976" i="1" l="1"/>
  <c r="AA952" i="1"/>
  <c r="AA946" i="1" l="1"/>
  <c r="AA953" i="1" l="1"/>
  <c r="AA949" i="1"/>
  <c r="AA918" i="1" l="1"/>
  <c r="AA913" i="1"/>
  <c r="AA905" i="1"/>
  <c r="AA897" i="1" l="1"/>
  <c r="AA872" i="1"/>
  <c r="AA893" i="1"/>
  <c r="AA871" i="1"/>
  <c r="AA858" i="1"/>
  <c r="AA851" i="1" l="1"/>
  <c r="AA801" i="1" l="1"/>
  <c r="AA1289" i="1" l="1"/>
  <c r="AA1284" i="1"/>
  <c r="AA1281" i="1"/>
  <c r="AA1282" i="1"/>
  <c r="AA1239" i="1" l="1"/>
  <c r="AA1234" i="1"/>
  <c r="AA1232" i="1"/>
  <c r="AA1224" i="1"/>
  <c r="AA1219" i="1"/>
  <c r="AA1214" i="1"/>
  <c r="AA1213" i="1"/>
  <c r="AA1210" i="1"/>
  <c r="AA1207" i="1"/>
  <c r="AA1206" i="1"/>
  <c r="AA1197" i="1"/>
  <c r="AA1183" i="1"/>
  <c r="AA1182" i="1"/>
  <c r="AA1178" i="1"/>
  <c r="AA1180" i="1"/>
  <c r="AA1164" i="1"/>
  <c r="AA1165" i="1"/>
  <c r="AA1103" i="1"/>
  <c r="AA1093" i="1"/>
  <c r="AA1090" i="1"/>
  <c r="AA1077" i="1"/>
  <c r="AA1065" i="1"/>
  <c r="AA1034" i="1"/>
  <c r="AA1038" i="1"/>
  <c r="AA1016" i="1"/>
  <c r="AA1017" i="1"/>
  <c r="AA1006" i="1"/>
  <c r="AA1005" i="1"/>
  <c r="AA997" i="1"/>
  <c r="AA969" i="1"/>
  <c r="AA821" i="1"/>
  <c r="AA815" i="1"/>
  <c r="AA811" i="1"/>
  <c r="AA781" i="1"/>
  <c r="AA1223" i="1" l="1"/>
  <c r="AA1220" i="1"/>
  <c r="AA1217" i="1"/>
  <c r="AA1205" i="1"/>
  <c r="AA1203" i="1"/>
  <c r="AA977" i="1"/>
  <c r="AA974" i="1"/>
  <c r="AA1240" i="1"/>
  <c r="AA1241" i="1"/>
  <c r="AA1208" i="1"/>
  <c r="AA1209" i="1"/>
  <c r="AA1179" i="1"/>
  <c r="AA1177" i="1"/>
  <c r="AA1174" i="1"/>
  <c r="AA1172" i="1"/>
  <c r="AA1075" i="1"/>
  <c r="AA1073" i="1"/>
  <c r="AA1032" i="1"/>
  <c r="AA1030" i="1"/>
  <c r="AA863" i="1"/>
  <c r="AA850" i="1"/>
  <c r="AA848" i="1"/>
  <c r="AA849" i="1"/>
  <c r="AA847" i="1"/>
  <c r="AA807" i="1"/>
  <c r="AA791" i="1"/>
  <c r="AA795" i="1"/>
  <c r="AA802" i="1"/>
  <c r="AA834" i="1"/>
  <c r="AA846" i="1"/>
  <c r="AA857" i="1"/>
  <c r="AA919" i="1"/>
  <c r="AA928" i="1"/>
  <c r="AA944" i="1"/>
  <c r="AA960" i="1"/>
  <c r="AA963" i="1"/>
  <c r="AA1003" i="1"/>
  <c r="AA1014" i="1"/>
  <c r="AA1021" i="1"/>
  <c r="AA1023" i="1"/>
  <c r="AA1043" i="1"/>
  <c r="AA1059" i="1"/>
  <c r="AA1062" i="1"/>
  <c r="AA1066" i="1"/>
  <c r="AA1083" i="1"/>
  <c r="AA1092" i="1"/>
  <c r="AA1099" i="1"/>
  <c r="AA1169" i="1"/>
  <c r="AA1181" i="1"/>
  <c r="AA1185" i="1"/>
  <c r="AA1186" i="1"/>
  <c r="AA1191" i="1"/>
  <c r="AA1192" i="1"/>
  <c r="AA1201" i="1"/>
  <c r="AA1202" i="1"/>
  <c r="AA1211" i="1"/>
  <c r="AA1212" i="1"/>
  <c r="AA1215" i="1"/>
  <c r="AA1221" i="1"/>
  <c r="AA1225" i="1"/>
  <c r="AA1249" i="1"/>
  <c r="AA1275" i="1"/>
  <c r="AA1280" i="1"/>
  <c r="AA1283" i="1"/>
  <c r="AA1290" i="1"/>
  <c r="AA1285" i="1"/>
  <c r="AA1250" i="1"/>
  <c r="AA1248" i="1"/>
  <c r="AA1279" i="1" l="1"/>
  <c r="AA1278" i="1"/>
  <c r="AA1235" i="1"/>
  <c r="AA1236" i="1"/>
  <c r="AA1229" i="1"/>
  <c r="AA1226" i="1"/>
  <c r="AA1218" i="1"/>
  <c r="AA1216" i="1"/>
  <c r="AA1195" i="1"/>
  <c r="AA1193" i="1"/>
  <c r="AA1168" i="1"/>
  <c r="AA1166" i="1"/>
  <c r="AA1104" i="1"/>
  <c r="AA1100" i="1"/>
  <c r="AA1096" i="1"/>
  <c r="AA1098" i="1"/>
  <c r="AA1095" i="1"/>
  <c r="AA1082" i="1"/>
  <c r="AA1088" i="1"/>
  <c r="AA1079" i="1"/>
  <c r="AA1078" i="1"/>
  <c r="AA1060" i="1"/>
  <c r="AA1056" i="1"/>
  <c r="AA1050" i="1"/>
  <c r="AA1047" i="1"/>
  <c r="AA934" i="1"/>
  <c r="AA930" i="1"/>
  <c r="AA906" i="1"/>
  <c r="AA829" i="1"/>
  <c r="AA814" i="1"/>
  <c r="AA812" i="1"/>
  <c r="AA1173" i="1"/>
  <c r="AA1170" i="1"/>
  <c r="AA1089" i="1"/>
  <c r="AA1085" i="1"/>
  <c r="AA1072" i="1"/>
  <c r="AA1068" i="1"/>
  <c r="AA1058" i="1"/>
  <c r="AA1057" i="1"/>
  <c r="AA1033" i="1"/>
  <c r="AA1031" i="1"/>
  <c r="AA1029" i="1"/>
  <c r="AA1015" i="1"/>
  <c r="AA1012" i="1"/>
  <c r="AA1013" i="1"/>
  <c r="AA1011" i="1"/>
  <c r="AA978" i="1"/>
  <c r="AA955" i="1"/>
  <c r="AA931" i="1"/>
  <c r="AA910" i="1"/>
  <c r="AA900" i="1"/>
  <c r="AA898" i="1"/>
  <c r="AA891" i="1"/>
  <c r="AA866" i="1"/>
  <c r="AA875" i="1"/>
  <c r="AA864" i="1"/>
  <c r="AA840" i="1"/>
  <c r="AA837" i="1"/>
  <c r="AA835" i="1"/>
  <c r="AA819" i="1"/>
  <c r="AA818" i="1"/>
  <c r="AA783" i="1"/>
  <c r="AA786" i="1"/>
  <c r="AA778" i="1"/>
  <c r="AA779" i="1"/>
  <c r="AA2" i="1" l="1"/>
  <c r="A10" i="4" l="1"/>
  <c r="B10" i="4"/>
  <c r="C10" i="4"/>
  <c r="D10" i="4"/>
  <c r="E10" i="4"/>
  <c r="F10" i="4"/>
  <c r="G10" i="4"/>
  <c r="H10" i="4"/>
  <c r="I10" i="4"/>
  <c r="J10" i="4"/>
  <c r="K10" i="4"/>
  <c r="L10" i="4"/>
  <c r="M10" i="4"/>
  <c r="P10" i="4" s="1"/>
  <c r="O10" i="4"/>
  <c r="K11" i="4" l="1"/>
  <c r="K12" i="4"/>
  <c r="K13" i="4"/>
  <c r="K14" i="4"/>
  <c r="K15" i="4"/>
  <c r="K16" i="4"/>
  <c r="J11" i="4"/>
  <c r="J12" i="4"/>
  <c r="J13" i="4"/>
  <c r="J14" i="4"/>
  <c r="J15" i="4"/>
  <c r="J16" i="4"/>
  <c r="J17" i="4"/>
  <c r="J18" i="4"/>
  <c r="I11" i="4"/>
  <c r="I12" i="4"/>
  <c r="I13" i="4"/>
  <c r="I14" i="4"/>
  <c r="I15" i="4"/>
  <c r="I16" i="4"/>
  <c r="I17" i="4"/>
  <c r="I18" i="4"/>
  <c r="H11" i="4"/>
  <c r="G11" i="4"/>
  <c r="O18" i="4" l="1"/>
  <c r="M18" i="4"/>
  <c r="P18" i="4" s="1"/>
  <c r="L18" i="4"/>
  <c r="K18" i="4"/>
  <c r="H18" i="4"/>
  <c r="G18" i="4"/>
  <c r="F18" i="4"/>
  <c r="E18" i="4"/>
  <c r="D18" i="4"/>
  <c r="C18" i="4"/>
  <c r="B18" i="4"/>
  <c r="A18" i="4"/>
  <c r="O17" i="4"/>
  <c r="M17" i="4"/>
  <c r="P17" i="4" s="1"/>
  <c r="L17" i="4"/>
  <c r="K17" i="4"/>
  <c r="H17" i="4"/>
  <c r="G17" i="4"/>
  <c r="F17" i="4"/>
  <c r="E17" i="4"/>
  <c r="D17" i="4"/>
  <c r="C17" i="4"/>
  <c r="B17" i="4"/>
  <c r="A17" i="4"/>
  <c r="O16" i="4"/>
  <c r="M16" i="4"/>
  <c r="P16" i="4" s="1"/>
  <c r="L16" i="4"/>
  <c r="H16" i="4"/>
  <c r="G16" i="4"/>
  <c r="F16" i="4"/>
  <c r="E16" i="4"/>
  <c r="D16" i="4"/>
  <c r="C16" i="4"/>
  <c r="B16" i="4"/>
  <c r="A16" i="4"/>
  <c r="O15" i="4"/>
  <c r="M15" i="4"/>
  <c r="P15" i="4" s="1"/>
  <c r="L15" i="4"/>
  <c r="H15" i="4"/>
  <c r="G15" i="4"/>
  <c r="F15" i="4"/>
  <c r="E15" i="4"/>
  <c r="D15" i="4"/>
  <c r="C15" i="4"/>
  <c r="B15" i="4"/>
  <c r="A15" i="4"/>
  <c r="O14" i="4"/>
  <c r="M14" i="4"/>
  <c r="P14" i="4" s="1"/>
  <c r="L14" i="4"/>
  <c r="H14" i="4"/>
  <c r="G14" i="4"/>
  <c r="F14" i="4"/>
  <c r="E14" i="4"/>
  <c r="D14" i="4"/>
  <c r="C14" i="4"/>
  <c r="B14" i="4"/>
  <c r="A14" i="4"/>
  <c r="O13" i="4"/>
  <c r="M13" i="4"/>
  <c r="P13" i="4" s="1"/>
  <c r="L13" i="4"/>
  <c r="H13" i="4"/>
  <c r="G13" i="4"/>
  <c r="F13" i="4"/>
  <c r="E13" i="4"/>
  <c r="D13" i="4"/>
  <c r="C13" i="4"/>
  <c r="B13" i="4"/>
  <c r="A13" i="4"/>
  <c r="O12" i="4"/>
  <c r="M12" i="4"/>
  <c r="P12" i="4" s="1"/>
  <c r="L12" i="4"/>
  <c r="H12" i="4"/>
  <c r="G12" i="4"/>
  <c r="F12" i="4"/>
  <c r="E12" i="4"/>
  <c r="D12" i="4"/>
  <c r="C12" i="4"/>
  <c r="B12" i="4"/>
  <c r="A12" i="4"/>
  <c r="O11" i="4"/>
  <c r="M11" i="4"/>
  <c r="P11" i="4" s="1"/>
  <c r="L11" i="4"/>
  <c r="F11" i="4"/>
  <c r="E11" i="4"/>
  <c r="D11" i="4"/>
  <c r="C11" i="4"/>
  <c r="B11" i="4"/>
  <c r="A11" i="4"/>
  <c r="A4" i="4"/>
  <c r="J2" i="2" l="1"/>
  <c r="AR6" i="2"/>
  <c r="H3" i="2"/>
  <c r="K2" i="2" l="1"/>
  <c r="L2" i="2"/>
</calcChain>
</file>

<file path=xl/sharedStrings.xml><?xml version="1.0" encoding="utf-8"?>
<sst xmlns="http://schemas.openxmlformats.org/spreadsheetml/2006/main" count="13329" uniqueCount="2785">
  <si>
    <t>เลที่ NCR</t>
  </si>
  <si>
    <t>วันที่</t>
  </si>
  <si>
    <t>แผนก</t>
  </si>
  <si>
    <t>กำหนดปิด</t>
  </si>
  <si>
    <t>แจ้งNCR</t>
  </si>
  <si>
    <t>ปิด</t>
  </si>
  <si>
    <t>หมายเหตุ</t>
  </si>
  <si>
    <t>กำหนดตอบNCR</t>
  </si>
  <si>
    <t>D/M/Y</t>
  </si>
  <si>
    <t>เดือน</t>
  </si>
  <si>
    <t>Q.A.</t>
  </si>
  <si>
    <t>PD1รีดเส้น</t>
  </si>
  <si>
    <t>PD1เป่าถุง</t>
  </si>
  <si>
    <t>PD1เคลือบ</t>
  </si>
  <si>
    <t>PD2ทอ</t>
  </si>
  <si>
    <t>PD3พิมพ์</t>
  </si>
  <si>
    <t>PD4ตัดเย็บ</t>
  </si>
  <si>
    <t>PD4สำเร็จรูป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</si>
  <si>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</si>
  <si>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</si>
  <si>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</si>
  <si>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</si>
  <si>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</si>
  <si>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</si>
  <si>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</si>
  <si>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</si>
  <si>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</si>
  <si>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</si>
  <si>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</si>
  <si>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</si>
  <si>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รหัสสินค้า</t>
  </si>
  <si>
    <t>Lot No.</t>
  </si>
  <si>
    <t>เลขที่ผลิตภัณฑ์</t>
  </si>
  <si>
    <t>เครื่อง</t>
  </si>
  <si>
    <t>Spec</t>
  </si>
  <si>
    <t>ผลการตรวจสอบ</t>
  </si>
  <si>
    <t xml:space="preserve">จำนวน </t>
  </si>
  <si>
    <t>หน่วย</t>
  </si>
  <si>
    <t>TL1</t>
  </si>
  <si>
    <t>TL3</t>
  </si>
  <si>
    <t>LM1</t>
  </si>
  <si>
    <t>LM2</t>
  </si>
  <si>
    <t>FT1</t>
  </si>
  <si>
    <t>FT2</t>
  </si>
  <si>
    <t>เครื่องตัด1</t>
  </si>
  <si>
    <t>เครื่องตัด2</t>
  </si>
  <si>
    <t>PT1</t>
  </si>
  <si>
    <t>PT2</t>
  </si>
  <si>
    <t>CL</t>
  </si>
  <si>
    <t>CS</t>
  </si>
  <si>
    <t>เมตร</t>
  </si>
  <si>
    <t>ก.ก.</t>
  </si>
  <si>
    <t>ใบ</t>
  </si>
  <si>
    <t>กรง/ก.ก.</t>
  </si>
  <si>
    <t>ม้วน/เมตร</t>
  </si>
  <si>
    <t>Pass</t>
  </si>
  <si>
    <t>wait</t>
  </si>
  <si>
    <t>Approve</t>
  </si>
  <si>
    <t>PDตอบNCR</t>
  </si>
  <si>
    <t>สูง กว่ามาตรฐาน</t>
  </si>
  <si>
    <t>D</t>
  </si>
  <si>
    <t>Std. ไม่เกิน 30 D</t>
  </si>
  <si>
    <t>Std.เกินกว่ามาตรฐาน</t>
  </si>
  <si>
    <t>Dev ไม่เกิน 60 D</t>
  </si>
  <si>
    <t>Dev.เกินกว่ามาตรฐาน</t>
  </si>
  <si>
    <t>Elong  25-35 %</t>
  </si>
  <si>
    <t>ผ่าน</t>
  </si>
  <si>
    <t>%</t>
  </si>
  <si>
    <t>kgf.</t>
  </si>
  <si>
    <t>ไม่ผ่าน</t>
  </si>
  <si>
    <t>g/D</t>
  </si>
  <si>
    <t>ขนาดเส้นเทป(+-0.1 mm)</t>
  </si>
  <si>
    <t>mm.</t>
  </si>
  <si>
    <t>สีของเส้นเทป</t>
  </si>
  <si>
    <t>Kg f ≥(4.0xD/1000) kgf.</t>
  </si>
  <si>
    <t>Kg f ≥(4.3xD/1000) kgf.</t>
  </si>
  <si>
    <t>Avg of D +10,-20 D</t>
  </si>
  <si>
    <t>ผลการตัดสินใจ</t>
  </si>
  <si>
    <t>รายงานผลิตภัณฑ์ที่ไม่เป็นไปตามข้อกำหนด (NCR)</t>
  </si>
  <si>
    <t>SPEC</t>
  </si>
  <si>
    <t>สาเหตุของการออกเอกสาร  NCR</t>
  </si>
  <si>
    <t>เลขที่ NCR.</t>
  </si>
  <si>
    <t>จำนวน</t>
  </si>
  <si>
    <t>ถัง</t>
  </si>
  <si>
    <t>Tenacity ≥  4.0 g/D</t>
  </si>
  <si>
    <t>Tenacity ≥  4.3 g/D</t>
  </si>
  <si>
    <t xml:space="preserve">ประจำเดือน </t>
  </si>
  <si>
    <t>ผลต่าง</t>
  </si>
  <si>
    <t>ขอแสดงความนับถือ</t>
  </si>
  <si>
    <t>แผนกประกันคุณภาพ</t>
  </si>
  <si>
    <t>**ไม่เกิน 7 วัน หลังจากแจ้ง</t>
  </si>
  <si>
    <t>**ไม่เกิน 2 วันหลังจากแจ้ง</t>
  </si>
  <si>
    <t>กรัม/ใบ</t>
  </si>
  <si>
    <t>เมตร/ก.ก.</t>
  </si>
  <si>
    <t>เมตร/ใบ</t>
  </si>
  <si>
    <t>ผลการปิด</t>
  </si>
  <si>
    <t>พาสงาน</t>
  </si>
  <si>
    <t/>
  </si>
  <si>
    <t>วันที่แจ้ง</t>
  </si>
  <si>
    <t xml:space="preserve">         อนุมัติ          (คุณตาล)</t>
  </si>
  <si>
    <t>Elong ต่ำกว่ามาตรฐาน</t>
  </si>
  <si>
    <t>**กำหนดปิด               ไม่เกิน 7 วัน หลังจากแจ้ง</t>
  </si>
  <si>
    <t>**กำหนดตอบNCR    ไม่เกิน 2 วัน หลังจากแจ้ง</t>
  </si>
  <si>
    <t>ค้างที่</t>
  </si>
  <si>
    <t>คุณตาล</t>
  </si>
  <si>
    <t>คุณหน่อย</t>
  </si>
  <si>
    <t>ผลิต</t>
  </si>
  <si>
    <t>PT3</t>
  </si>
  <si>
    <t>PT4</t>
  </si>
  <si>
    <t>PT6</t>
  </si>
  <si>
    <t>PT8</t>
  </si>
  <si>
    <t>1 .</t>
  </si>
  <si>
    <t>2 .</t>
  </si>
  <si>
    <t>เลือกโฟเดอร์ QA</t>
  </si>
  <si>
    <t>3 .</t>
  </si>
  <si>
    <t>เลือกที่ NCR ตามงาน 58</t>
  </si>
  <si>
    <t/>
  </si>
  <si>
    <t>เข้าหน้า ไดรท์  Y:</t>
  </si>
  <si>
    <t>4 .</t>
  </si>
  <si>
    <t>เลือกชีท  NCR รวม</t>
  </si>
  <si>
    <t>ข้อมูลที่เกี่ยวกับ NCR ที่แสดง</t>
  </si>
  <si>
    <t>( เอกสารเป็นแบบอ่านอย่างเดียว )</t>
  </si>
  <si>
    <t>Elong สูงกว่ามาตรฐาน</t>
  </si>
  <si>
    <t>Avg สูงกว่ามาตรฐาน</t>
  </si>
  <si>
    <t>Avg ต่ำกว่ามาตรฐาน</t>
  </si>
  <si>
    <t>Kg.ต่ำกว่ามาตรฐาน</t>
  </si>
  <si>
    <t>Kg.สูงกว่ามาตรฐาน</t>
  </si>
  <si>
    <t>Tenacityต่ำกว่ามาตรฐาน</t>
  </si>
  <si>
    <t xml:space="preserve">ใช้การลบข้อมูลหรือแก้ไขในส่วนพื้นที่วางข้อมูลได้เท่านั้น  </t>
  </si>
  <si>
    <t>ส่วนในพื้นที่ผูกศูตรมีข้อมูลบางช่องไม่ต้องการให้แสดง</t>
  </si>
  <si>
    <t>ให้ใช้การปรับตัวอักษรให้เป็นสีขาวนะคะ</t>
  </si>
  <si>
    <r>
      <t xml:space="preserve">***ห้าม </t>
    </r>
    <r>
      <rPr>
        <b/>
        <i/>
        <u val="double"/>
        <sz val="16"/>
        <color rgb="FFC00000"/>
        <rFont val="Angsana New"/>
        <family val="1"/>
      </rPr>
      <t>แก้ไข ลบ แทรก ซ่อน</t>
    </r>
    <r>
      <rPr>
        <b/>
        <u/>
        <sz val="16"/>
        <color rgb="FFC00000"/>
        <rFont val="Angsana New"/>
        <family val="1"/>
      </rPr>
      <t xml:space="preserve"> ในช่องที่ทำการผูกสูตรไว้นะคะ</t>
    </r>
  </si>
  <si>
    <t>PD</t>
  </si>
  <si>
    <t>รายงานผลิตภัณฑ์ที่ไม่เป็นไปตามข้อกำหนด (NCR) เกินกำหนด</t>
  </si>
  <si>
    <t>เรียน  ฝ่ายงานที่เกี่ยวข้อง</t>
  </si>
  <si>
    <t>TL4</t>
  </si>
  <si>
    <t>ซันฟีด 935เอ</t>
  </si>
  <si>
    <t>งานพิมพ์ไม่สมบรูณ์</t>
  </si>
  <si>
    <t>PORTARYTE</t>
  </si>
  <si>
    <t>NB PROPLUS 888</t>
  </si>
  <si>
    <t>TGM</t>
  </si>
  <si>
    <t>เป็นรอยฟ้าผ่า สีลงไม่เต็ม/งานพิมพ์ไม่สมบรูณ์ตัวหนังสือไม่ชัดเจน</t>
  </si>
  <si>
    <t>VC 110</t>
  </si>
  <si>
    <t>VC 181</t>
  </si>
  <si>
    <t>งานพิมพ์เป็นรอยตะขาบ</t>
  </si>
  <si>
    <t>โกลเด้นโปร</t>
  </si>
  <si>
    <t>งานตีกลับจากลูกค้า</t>
  </si>
  <si>
    <t>แตงโมพันธุ์พันข้าว(ไม่มีโลโก้)</t>
  </si>
  <si>
    <t>ซันฟีด 952</t>
  </si>
  <si>
    <t>งานพิมพ์สีซีดกว่าตัวอย่าง</t>
  </si>
  <si>
    <t>งานพิมพ์เปื้อนสี</t>
  </si>
  <si>
    <t>TL1,CL87</t>
  </si>
  <si>
    <t>เบทาโกร 302</t>
  </si>
  <si>
    <t>งานพิมพ์ตัวหนังด้านหลังไม่ชัดเจนมีเส้นเทปติด</t>
  </si>
  <si>
    <t>บล็อกเลื่อน</t>
  </si>
  <si>
    <t>CERASIL 325</t>
  </si>
  <si>
    <t>เพอเฟคค์ 913</t>
  </si>
  <si>
    <t>เพอเฟคค์ 203P</t>
  </si>
  <si>
    <t>เบทาโกร 405</t>
  </si>
  <si>
    <t>PT9</t>
  </si>
  <si>
    <t>SPM 402</t>
  </si>
  <si>
    <t>ซันฟีด 935</t>
  </si>
  <si>
    <t>ซันฟีด 917</t>
  </si>
  <si>
    <t>ซันฟีด 935แอล</t>
  </si>
  <si>
    <t>ไทยลักซ์ 8941</t>
  </si>
  <si>
    <t>สีลอก</t>
  </si>
  <si>
    <t>เบทาโกร 104</t>
  </si>
  <si>
    <t>งานพิมพ์ไม่สมบรูณ์เนื่องจากบล็อกเลื่อน</t>
  </si>
  <si>
    <t>ศรีนครพันธุ์ข้าว</t>
  </si>
  <si>
    <t>งานพิมพ์ไม่สมบรูณ์เกิดจากการปรับแต่งบล็อกใหม่</t>
  </si>
  <si>
    <t>ไก่เหยียบศร(ศรีวรรณ)</t>
  </si>
  <si>
    <t>พบงานพิมพ์เสีย</t>
  </si>
  <si>
    <t>ซันฟีด ไก่ไข่</t>
  </si>
  <si>
    <t>เฟิร์สช้อย 914</t>
  </si>
  <si>
    <t>ทีจีเอ็ม 4-8-12</t>
  </si>
  <si>
    <t>ทีจีเอ็ม 12-3-9</t>
  </si>
  <si>
    <t>ซันฟีด 918</t>
  </si>
  <si>
    <t>ซันฟีด 952 เอส</t>
  </si>
  <si>
    <t>SPEED PLUS 304 เขมร</t>
  </si>
  <si>
    <t xml:space="preserve">งานพิมพ์ไม่ตรงตามอาร์ตบริเวณที่อยู่ คำว่า(หมู่)ติดบล็อกผลิต </t>
  </si>
  <si>
    <t>WHITE SUGAR สีเขียว</t>
  </si>
  <si>
    <t>เฟิร์สช้อย 913</t>
  </si>
  <si>
    <t>PT09</t>
  </si>
  <si>
    <t>โมโม่ 402 โกล</t>
  </si>
  <si>
    <t>PT02</t>
  </si>
  <si>
    <t>งานพิมพ์ไม่ตรงตามอาร์ตเวิร์ก คำว่า "โกล" ด้านหน้าหาย</t>
  </si>
  <si>
    <t>NS-GOLD</t>
  </si>
  <si>
    <t>CS05</t>
  </si>
  <si>
    <t>พบผงฝุ่นติดบนกระสอบเยอะมาก +ละอองสีเล็กๆติดด้านข้างกระสอบ</t>
  </si>
  <si>
    <t>TSP ฟูลแฟตซอย</t>
  </si>
  <si>
    <t>พบรูโคโลน่า</t>
  </si>
  <si>
    <t>เพอเฟคค์ 664</t>
  </si>
  <si>
    <t>ผ้าเป็นรอยฟ้าผ่า</t>
  </si>
  <si>
    <t>LION FISH 401</t>
  </si>
  <si>
    <t>WB ใช้ในฟาร์ม 204 SK.</t>
  </si>
  <si>
    <t>สีเข้มกว่าเฉดที่ลูกค้ากำหนด</t>
  </si>
  <si>
    <t>ผลรวมทั้งหมด</t>
  </si>
  <si>
    <t>ป้ายชื่อแถว</t>
  </si>
  <si>
    <t>(หลายรายการ)</t>
  </si>
  <si>
    <t xml:space="preserve">ผลรวม ของ จำนวน </t>
  </si>
  <si>
    <t>น้ำหนักสูงกว่ามาตรฐาน</t>
  </si>
  <si>
    <t>น้ำหนักต่ำกว่ามาตรฐาน</t>
  </si>
  <si>
    <t>เรียน กรรมการผู้จัดการ/รองกรรมการผู้จัดการ</t>
  </si>
  <si>
    <t>ต้องไม่มีสิ่งปนเปื้อน</t>
  </si>
  <si>
    <t xml:space="preserve"> </t>
  </si>
  <si>
    <t>CL60</t>
  </si>
  <si>
    <t>CL26</t>
  </si>
  <si>
    <t>น้ำหนักใบสูงกว่ามาตรฐาน</t>
  </si>
  <si>
    <t>CL27</t>
  </si>
  <si>
    <t>CL25</t>
  </si>
  <si>
    <t>CL44</t>
  </si>
  <si>
    <t>CL6</t>
  </si>
  <si>
    <t>CL94</t>
  </si>
  <si>
    <t>CL14</t>
  </si>
  <si>
    <t>CL83</t>
  </si>
  <si>
    <t>CL51</t>
  </si>
  <si>
    <t>เลขที่ NCR</t>
  </si>
  <si>
    <t>CL56</t>
  </si>
  <si>
    <t>CL52</t>
  </si>
  <si>
    <t>CL65</t>
  </si>
  <si>
    <t>CL92</t>
  </si>
  <si>
    <t>CL84</t>
  </si>
  <si>
    <t>CL39</t>
  </si>
  <si>
    <t>CL42</t>
  </si>
  <si>
    <t>CL75</t>
  </si>
  <si>
    <t>CL1</t>
  </si>
  <si>
    <t>CL2</t>
  </si>
  <si>
    <t>CL3</t>
  </si>
  <si>
    <t>CL4</t>
  </si>
  <si>
    <t>CL5</t>
  </si>
  <si>
    <t>CL7</t>
  </si>
  <si>
    <t>CL8</t>
  </si>
  <si>
    <t>CL9</t>
  </si>
  <si>
    <t>CL10</t>
  </si>
  <si>
    <t>CL11</t>
  </si>
  <si>
    <t>CL12</t>
  </si>
  <si>
    <t>CL13</t>
  </si>
  <si>
    <t>CL15</t>
  </si>
  <si>
    <t>CL16</t>
  </si>
  <si>
    <t>CL17</t>
  </si>
  <si>
    <t>CL18</t>
  </si>
  <si>
    <t>CL19</t>
  </si>
  <si>
    <t>CL20</t>
  </si>
  <si>
    <t>CL21</t>
  </si>
  <si>
    <t>CL22</t>
  </si>
  <si>
    <t>CL23</t>
  </si>
  <si>
    <t>CL24</t>
  </si>
  <si>
    <t>CL28</t>
  </si>
  <si>
    <t>CL29</t>
  </si>
  <si>
    <t>CL30</t>
  </si>
  <si>
    <t>CL31</t>
  </si>
  <si>
    <t>CL32</t>
  </si>
  <si>
    <t>CL33</t>
  </si>
  <si>
    <t>CL34</t>
  </si>
  <si>
    <t>CL35</t>
  </si>
  <si>
    <t>CL36</t>
  </si>
  <si>
    <t>CL37</t>
  </si>
  <si>
    <t>CL38</t>
  </si>
  <si>
    <t>CL40</t>
  </si>
  <si>
    <t>CL41</t>
  </si>
  <si>
    <t>CL43</t>
  </si>
  <si>
    <t>CL45</t>
  </si>
  <si>
    <t>CL46</t>
  </si>
  <si>
    <t>CL47</t>
  </si>
  <si>
    <t>CL48</t>
  </si>
  <si>
    <t>CL49</t>
  </si>
  <si>
    <t>CL50</t>
  </si>
  <si>
    <t>CL53</t>
  </si>
  <si>
    <t>CL54</t>
  </si>
  <si>
    <t>CL55</t>
  </si>
  <si>
    <t>CL57</t>
  </si>
  <si>
    <t>CL58</t>
  </si>
  <si>
    <t>CL59</t>
  </si>
  <si>
    <t>CL61</t>
  </si>
  <si>
    <t>CL62</t>
  </si>
  <si>
    <t>CL63</t>
  </si>
  <si>
    <t>CL64</t>
  </si>
  <si>
    <t>CL66</t>
  </si>
  <si>
    <t>CL67</t>
  </si>
  <si>
    <t>CL68</t>
  </si>
  <si>
    <t>CL69</t>
  </si>
  <si>
    <t>CL70</t>
  </si>
  <si>
    <t>CL71</t>
  </si>
  <si>
    <t>CL72</t>
  </si>
  <si>
    <t>CL73</t>
  </si>
  <si>
    <t>CL74</t>
  </si>
  <si>
    <t>CL76</t>
  </si>
  <si>
    <t>CL77</t>
  </si>
  <si>
    <t>CL78</t>
  </si>
  <si>
    <t>CL79</t>
  </si>
  <si>
    <t>CL80</t>
  </si>
  <si>
    <t>CL81</t>
  </si>
  <si>
    <t>CL82</t>
  </si>
  <si>
    <t>CL85</t>
  </si>
  <si>
    <t>CL86</t>
  </si>
  <si>
    <t>CL87</t>
  </si>
  <si>
    <t>CL88</t>
  </si>
  <si>
    <t>CL89</t>
  </si>
  <si>
    <t>CL90</t>
  </si>
  <si>
    <t>CL91</t>
  </si>
  <si>
    <t>CL93</t>
  </si>
  <si>
    <t>CL95</t>
  </si>
  <si>
    <t>Passก่อนตอบNcrนำผ้าไปใช้ก่อน</t>
  </si>
  <si>
    <t>จำนวนวันที่เกิน</t>
  </si>
  <si>
    <t>76-78</t>
  </si>
  <si>
    <t>67-70</t>
  </si>
  <si>
    <t>WSWT2025700</t>
  </si>
  <si>
    <t>WSWT1921720</t>
  </si>
  <si>
    <t>64-66</t>
  </si>
  <si>
    <t>WSWT2421112512551</t>
  </si>
  <si>
    <t>128-132</t>
  </si>
  <si>
    <t>62.33/43</t>
  </si>
  <si>
    <t>ค่าเฉลี่ย/ม้วนต่ำกว่ามาตนฐาน/ด้ายพุ้งได้น้อยกว่ามาตราฐาน</t>
  </si>
  <si>
    <t>1.67/ไม่ผ่าน</t>
  </si>
  <si>
    <t>923/71.9</t>
  </si>
  <si>
    <t>3/020168</t>
  </si>
  <si>
    <t>19/020168</t>
  </si>
  <si>
    <t>70.05/43</t>
  </si>
  <si>
    <t>น้ำหนักใบสูงกว่ามาตรฐาน/ด้ายพุ้งได้น้อยกว่ามาตราฐาน</t>
  </si>
  <si>
    <t>4.05/ไม่ผ่าน</t>
  </si>
  <si>
    <t>1003/82.2</t>
  </si>
  <si>
    <t>ผลิตขอใช้กับW30  2/1/268</t>
  </si>
  <si>
    <t>71/040168</t>
  </si>
  <si>
    <t>2506/187.4</t>
  </si>
  <si>
    <t>33/040168</t>
  </si>
  <si>
    <t>2500/200.1</t>
  </si>
  <si>
    <t>15/040168</t>
  </si>
  <si>
    <t>2500/188.7</t>
  </si>
  <si>
    <t>14/040168</t>
  </si>
  <si>
    <t>2500/189.8</t>
  </si>
  <si>
    <t>4/040168</t>
  </si>
  <si>
    <t>1535/200.8</t>
  </si>
  <si>
    <t>WSWT2625650</t>
  </si>
  <si>
    <t>6/040168</t>
  </si>
  <si>
    <t>2000/172.6</t>
  </si>
  <si>
    <t>หน้าผ้ากว้าง 26 นิ้ว</t>
  </si>
  <si>
    <t>ไม่ผ่านหน้าผ้าหด</t>
  </si>
  <si>
    <t>หน้าผ้าหด25 นิ้ว6หุน</t>
  </si>
  <si>
    <t>ผลิตขอใช้ตัดผ้าขาวอันดามัน26*43</t>
  </si>
  <si>
    <t>83/040168</t>
  </si>
  <si>
    <t>2410/204.4</t>
  </si>
  <si>
    <t>ฟีลกู๊ด พี3</t>
  </si>
  <si>
    <t>FWBWT2038100PL</t>
  </si>
  <si>
    <t>89/67121836</t>
  </si>
  <si>
    <t>PD468010405</t>
  </si>
  <si>
    <t>พบอะไหล่ทอติดมากับกระสอบเคลือบ</t>
  </si>
  <si>
    <t>คัดแยกออก</t>
  </si>
  <si>
    <t>ผลิตขอใช้เคอร์รี่</t>
  </si>
  <si>
    <t>ผลิตขอใช้ W30</t>
  </si>
  <si>
    <t>ผลิตขอใช้ WSWT2421112512551</t>
  </si>
  <si>
    <t>ผลิตขอใช้ เบทาโกร</t>
  </si>
  <si>
    <t>61/060168</t>
  </si>
  <si>
    <t>97-102</t>
  </si>
  <si>
    <t>1550/132.1</t>
  </si>
  <si>
    <t>81/060168</t>
  </si>
  <si>
    <t>1345/171.3</t>
  </si>
  <si>
    <t>WSWT2125800</t>
  </si>
  <si>
    <t>68/060168</t>
  </si>
  <si>
    <t>78-83</t>
  </si>
  <si>
    <t>1609/124.1</t>
  </si>
  <si>
    <t>ผลิตขอใช้ Lung shin 21*32 70g</t>
  </si>
  <si>
    <t>ผลิตขอใช้ตัดผ้าขาวคุณธนนนท์</t>
  </si>
  <si>
    <t>84/070168</t>
  </si>
  <si>
    <t>2500/181.8</t>
  </si>
  <si>
    <t>17/070168</t>
  </si>
  <si>
    <t>ผ้าทอ2/1</t>
  </si>
  <si>
    <t>ผ้าเป็นขนไม่ทราบจำนวนเมตร</t>
  </si>
  <si>
    <t>2500/198.7</t>
  </si>
  <si>
    <t>WSWT2121670SM</t>
  </si>
  <si>
    <t>31/070168</t>
  </si>
  <si>
    <t>ผ้าทฮเรียงเส้น</t>
  </si>
  <si>
    <t>ผ้ามีลายอัดไม่ทราบจำนวนเมตร</t>
  </si>
  <si>
    <t>1350/104.1</t>
  </si>
  <si>
    <t>ผลิตขอใช้ WB เบทาโกร 224F 30kg</t>
  </si>
  <si>
    <t>80/070168</t>
  </si>
  <si>
    <t>1600/207.8</t>
  </si>
  <si>
    <t>WSWT2625800</t>
  </si>
  <si>
    <t>1/070168</t>
  </si>
  <si>
    <t>111-116</t>
  </si>
  <si>
    <t>1046/109.2</t>
  </si>
  <si>
    <t>26/070168</t>
  </si>
  <si>
    <t>1104/114.6</t>
  </si>
  <si>
    <t>ผลิตขอใช้ตัดผ้าขาว7/1/68</t>
  </si>
  <si>
    <t>ผลิตขอใช้ตัดผ้าขาว8/1/68</t>
  </si>
  <si>
    <t>62/080168</t>
  </si>
  <si>
    <t>1000/102.6</t>
  </si>
  <si>
    <t>25/080168</t>
  </si>
  <si>
    <t>1048/108.9</t>
  </si>
  <si>
    <t>79/080168</t>
  </si>
  <si>
    <t>1825/134.7</t>
  </si>
  <si>
    <t>84/080168</t>
  </si>
  <si>
    <t>1429/104</t>
  </si>
  <si>
    <t>ผลิตขอใช้เบทาโกร 8/1/68</t>
  </si>
  <si>
    <t>WSWT2825850L</t>
  </si>
  <si>
    <t>LM03</t>
  </si>
  <si>
    <t>28*47  180+-5</t>
  </si>
  <si>
    <t>1466/202.7</t>
  </si>
  <si>
    <t>62/090168</t>
  </si>
  <si>
    <t>1500/155.7</t>
  </si>
  <si>
    <t>29/100168</t>
  </si>
  <si>
    <t>63-67(64-66)</t>
  </si>
  <si>
    <t>2500/194.2</t>
  </si>
  <si>
    <t>WSWT2125650</t>
  </si>
  <si>
    <t>56/100168</t>
  </si>
  <si>
    <t>62-67</t>
  </si>
  <si>
    <t>น้ำหนักใบ 76.61(AVG.71.33)</t>
  </si>
  <si>
    <t>1885/127.3</t>
  </si>
  <si>
    <t>ผลิตขอใช้ผ้าขาวเคอรี่เพิ่มตะเข็บเพิ่มความยาว</t>
  </si>
  <si>
    <t>ผลิตขอใช้ผ้าขาวหนองบัว</t>
  </si>
  <si>
    <t>04/110168</t>
  </si>
  <si>
    <t>CL04</t>
  </si>
  <si>
    <t>น้ำหนักใบต่ำกว่ามาตรฐาน</t>
  </si>
  <si>
    <t>500/65.5</t>
  </si>
  <si>
    <t>WSWT2025850</t>
  </si>
  <si>
    <t>85/110168</t>
  </si>
  <si>
    <t>79-80</t>
  </si>
  <si>
    <t>1470/119.0</t>
  </si>
  <si>
    <t>62/110168</t>
  </si>
  <si>
    <t>1500/154.2</t>
  </si>
  <si>
    <t>ผลิตขอใช้ 11/01/68 ใช้กับ 935</t>
  </si>
  <si>
    <t>WSWT2825850</t>
  </si>
  <si>
    <t>59/110168</t>
  </si>
  <si>
    <t>122-125</t>
  </si>
  <si>
    <t>1500/169.7</t>
  </si>
  <si>
    <t>WRWT211125</t>
  </si>
  <si>
    <t>TL680108</t>
  </si>
  <si>
    <t>WSWT2321112512551</t>
  </si>
  <si>
    <t>4/120168</t>
  </si>
  <si>
    <t>127-129</t>
  </si>
  <si>
    <t>1500/201.7</t>
  </si>
  <si>
    <t>1500/157.5</t>
  </si>
  <si>
    <t>1/567.9</t>
  </si>
  <si>
    <t>4/130168</t>
  </si>
  <si>
    <t>WSWT2025800</t>
  </si>
  <si>
    <t>71/130168</t>
  </si>
  <si>
    <t>880/118.3</t>
  </si>
  <si>
    <t>2542/211.8</t>
  </si>
  <si>
    <t xml:space="preserve">ผลิตขอใช้ 13/01/68 </t>
  </si>
  <si>
    <t>ผลิตขอใช้13/1/68กับTC</t>
  </si>
  <si>
    <t>ผลิตขอใช้13/1/68กับเคลือบTC</t>
  </si>
  <si>
    <t>ผลิตขอใช้13/1/68ใช้ผสม</t>
  </si>
  <si>
    <t>4/140168</t>
  </si>
  <si>
    <t>47*46</t>
  </si>
  <si>
    <t>ไม่ผ่านโครงสร้างด้ายพุ้งนับได้43</t>
  </si>
  <si>
    <t>2500/200.4</t>
  </si>
  <si>
    <t>15/140168</t>
  </si>
  <si>
    <t>นับด้ายพุ้งได้43</t>
  </si>
  <si>
    <t>1500/198.9</t>
  </si>
  <si>
    <t>ผลิตขอใช้14/1/2568ใช้กับตราหงส์แดง</t>
  </si>
  <si>
    <t>16/140168</t>
  </si>
  <si>
    <t>ทอ2/1</t>
  </si>
  <si>
    <t>ไม่ผ่านเส้นเทปแตกเป็นขุย</t>
  </si>
  <si>
    <t>2020/164</t>
  </si>
  <si>
    <t>ตรวจพบเส้นเทปแตกเป็นขุยไม่ทราบจำนวนเมตร</t>
  </si>
  <si>
    <t>62/140168</t>
  </si>
  <si>
    <t>C62</t>
  </si>
  <si>
    <t>1500/156.9</t>
  </si>
  <si>
    <t>WRWT25850</t>
  </si>
  <si>
    <t>9/150168</t>
  </si>
  <si>
    <t>ผลิตขอใช้15/1/2568ใช้กับ 915 P</t>
  </si>
  <si>
    <t>2410/200.3</t>
  </si>
  <si>
    <t>TL680111</t>
  </si>
  <si>
    <t>1/225.3</t>
  </si>
  <si>
    <t>ผลิตขอใช้ 15/1/2568</t>
  </si>
  <si>
    <t>62/150168</t>
  </si>
  <si>
    <t>1500/157.9</t>
  </si>
  <si>
    <t>4/150168</t>
  </si>
  <si>
    <t>1500/199.1</t>
  </si>
  <si>
    <t>17/150168</t>
  </si>
  <si>
    <t>1960/154.8</t>
  </si>
  <si>
    <t>ผลิตขอใช้ITEสวมถุง</t>
  </si>
  <si>
    <t>ผลิตขอใช้15/1/2568ใช้กับตัดผ้าขาวTC</t>
  </si>
  <si>
    <t>71/150168</t>
  </si>
  <si>
    <t>2033/171.4</t>
  </si>
  <si>
    <t>75/150168</t>
  </si>
  <si>
    <t>C75</t>
  </si>
  <si>
    <t>1400/179.3</t>
  </si>
  <si>
    <t>55/160168</t>
  </si>
  <si>
    <t>2390/166.4</t>
  </si>
  <si>
    <t>88/160168</t>
  </si>
  <si>
    <t>2500/203.9</t>
  </si>
  <si>
    <t>51/160168</t>
  </si>
  <si>
    <t>2510/204</t>
  </si>
  <si>
    <t>ผลิตขอใช้กับเพอเฟคค์664</t>
  </si>
  <si>
    <t>59/170168</t>
  </si>
  <si>
    <t>1500/174.4</t>
  </si>
  <si>
    <t>WSWT2625700</t>
  </si>
  <si>
    <t>07/170168</t>
  </si>
  <si>
    <t>CL07</t>
  </si>
  <si>
    <t>105-110</t>
  </si>
  <si>
    <t>1000/95.6</t>
  </si>
  <si>
    <t>81/170168</t>
  </si>
  <si>
    <t>1566/205.1</t>
  </si>
  <si>
    <t>75/170168</t>
  </si>
  <si>
    <t>1480/193</t>
  </si>
  <si>
    <t>55/180168</t>
  </si>
  <si>
    <t>1600/105.6</t>
  </si>
  <si>
    <t>54/180168</t>
  </si>
  <si>
    <t>2559/217.4</t>
  </si>
  <si>
    <t>88/180168</t>
  </si>
  <si>
    <t>2500/205.8</t>
  </si>
  <si>
    <t>62/180168</t>
  </si>
  <si>
    <t>1190/121.1</t>
  </si>
  <si>
    <t>ผลิตขอใช้กับเคมีแมน</t>
  </si>
  <si>
    <t>ผลิตขอใช้กับซันฟีด</t>
  </si>
  <si>
    <t>75/180168</t>
  </si>
  <si>
    <t>1500/194.4</t>
  </si>
  <si>
    <t>2500/212</t>
  </si>
  <si>
    <t>85/180168</t>
  </si>
  <si>
    <t>04/190168</t>
  </si>
  <si>
    <t>1500/194.8</t>
  </si>
  <si>
    <t>81/190168</t>
  </si>
  <si>
    <t>1525/199.2</t>
  </si>
  <si>
    <t>58/190168</t>
  </si>
  <si>
    <t>57/190168</t>
  </si>
  <si>
    <t>2313/192.5</t>
  </si>
  <si>
    <t>2581/215.7</t>
  </si>
  <si>
    <t>WSWT2325650</t>
  </si>
  <si>
    <t>60/190168</t>
  </si>
  <si>
    <t>63-68</t>
  </si>
  <si>
    <t>2500/181.1</t>
  </si>
  <si>
    <t>64/190168</t>
  </si>
  <si>
    <t>819/109.2</t>
  </si>
  <si>
    <t>75/190168</t>
  </si>
  <si>
    <t>1500/196.2</t>
  </si>
  <si>
    <t>2/190168</t>
  </si>
  <si>
    <t>2500/211.3</t>
  </si>
  <si>
    <t>25/200168</t>
  </si>
  <si>
    <t>26/200168</t>
  </si>
  <si>
    <t>940/69.8</t>
  </si>
  <si>
    <t>2150/156</t>
  </si>
  <si>
    <t>54/200168</t>
  </si>
  <si>
    <t>59/200168</t>
  </si>
  <si>
    <t>2519/212.8</t>
  </si>
  <si>
    <t>1500/175.6</t>
  </si>
  <si>
    <t>50/200168</t>
  </si>
  <si>
    <t>2525/210.2</t>
  </si>
  <si>
    <t>84/200168</t>
  </si>
  <si>
    <t>2023/164.7</t>
  </si>
  <si>
    <t>71/200168</t>
  </si>
  <si>
    <t>2523/215.2</t>
  </si>
  <si>
    <t>74/200168</t>
  </si>
  <si>
    <t>1130/91</t>
  </si>
  <si>
    <t>โครงสร้างด้ายพุ่งไม่ได้ นับได้42</t>
  </si>
  <si>
    <t>ผลิตขอใช้ 20/01/68 ฟาร์ม F992</t>
  </si>
  <si>
    <t>ผลิตขอใช้ 20/01/68 น้ำตาลสีเขียว</t>
  </si>
  <si>
    <t>ผลิตขอใช้ 20/01/68 คริสตอร่าสีเขียว</t>
  </si>
  <si>
    <t>ผลิตขอใช้ 20/01/68 เคลือบ TC</t>
  </si>
  <si>
    <t>ไม่พิมพ์หนองบัวสวมถุง</t>
  </si>
  <si>
    <t>WSWT2421112512551 ผสม</t>
  </si>
  <si>
    <t>64/200168</t>
  </si>
  <si>
    <t>1500/201.5</t>
  </si>
  <si>
    <t>76/200168</t>
  </si>
  <si>
    <t>470/40.4</t>
  </si>
  <si>
    <t>TL680117</t>
  </si>
  <si>
    <t>1/254.1</t>
  </si>
  <si>
    <t>17/210168</t>
  </si>
  <si>
    <t>โครงสร้างด้ายพุ่งไม่ได้ นับได้43</t>
  </si>
  <si>
    <t>1580/127.8</t>
  </si>
  <si>
    <t>ผลิตขอใช้ตัดผ้าขาวเคอรี่</t>
  </si>
  <si>
    <t>73/210168</t>
  </si>
  <si>
    <t>1870/150.9</t>
  </si>
  <si>
    <t>01/210168</t>
  </si>
  <si>
    <t>CL01</t>
  </si>
  <si>
    <t>128.-132</t>
  </si>
  <si>
    <t>1500/207.1</t>
  </si>
  <si>
    <t>76/210168</t>
  </si>
  <si>
    <t>775/64.4</t>
  </si>
  <si>
    <t>ผลิตขอใช้เคอรี่</t>
  </si>
  <si>
    <t>25/210668</t>
  </si>
  <si>
    <t>2500/184</t>
  </si>
  <si>
    <t>26/210668</t>
  </si>
  <si>
    <t>2500/189.1</t>
  </si>
  <si>
    <t>17/220168</t>
  </si>
  <si>
    <t>1428/115.1</t>
  </si>
  <si>
    <t>74/220168</t>
  </si>
  <si>
    <t>1525/122.5</t>
  </si>
  <si>
    <t>50/220168</t>
  </si>
  <si>
    <t>2148/178.9</t>
  </si>
  <si>
    <t>ผลิตขอใช้น้ำตาล</t>
  </si>
  <si>
    <t>กุ้งแดง</t>
  </si>
  <si>
    <t>FWBWT193060PL</t>
  </si>
  <si>
    <t>PD468011214</t>
  </si>
  <si>
    <t>CL4/68011568</t>
  </si>
  <si>
    <t>พบอะไหล่ทอติดมากับกระสอบ</t>
  </si>
  <si>
    <t>BLUE FOR REFINE SUGAR</t>
  </si>
  <si>
    <t>FWBWT2337130P</t>
  </si>
  <si>
    <t>PD468012114</t>
  </si>
  <si>
    <t>CL14/68011455</t>
  </si>
  <si>
    <t>ผลิตขอใช้เบทาโกร</t>
  </si>
  <si>
    <t>13/220168</t>
  </si>
  <si>
    <t>2059/173.9</t>
  </si>
  <si>
    <t>25/220168</t>
  </si>
  <si>
    <t>956/68.8</t>
  </si>
  <si>
    <t>26/220168</t>
  </si>
  <si>
    <t>814/60.6</t>
  </si>
  <si>
    <t>54/220168</t>
  </si>
  <si>
    <t>1850/161.4</t>
  </si>
  <si>
    <t>8/220168</t>
  </si>
  <si>
    <t>72/220168</t>
  </si>
  <si>
    <t>2500/181.7</t>
  </si>
  <si>
    <t>9/220168</t>
  </si>
  <si>
    <t>1501/126.4</t>
  </si>
  <si>
    <t>WRWT251080</t>
  </si>
  <si>
    <t>TL680119</t>
  </si>
  <si>
    <t>95/230168</t>
  </si>
  <si>
    <t>1198/101.4</t>
  </si>
  <si>
    <t>72/230168</t>
  </si>
  <si>
    <t>1049/78.2</t>
  </si>
  <si>
    <t>26/230168</t>
  </si>
  <si>
    <t>2500/208</t>
  </si>
  <si>
    <t>1940/160.5</t>
  </si>
  <si>
    <t>49/230168</t>
  </si>
  <si>
    <t>57/230168</t>
  </si>
  <si>
    <t>58/230168</t>
  </si>
  <si>
    <t>2070/171.8</t>
  </si>
  <si>
    <t>2016/169.7</t>
  </si>
  <si>
    <t>2068/174.3</t>
  </si>
  <si>
    <t>1013/86.4</t>
  </si>
  <si>
    <t>91/230168</t>
  </si>
  <si>
    <t>1600/117.4</t>
  </si>
  <si>
    <t>84/230168</t>
  </si>
  <si>
    <t>2090/172.8</t>
  </si>
  <si>
    <t>82/230168</t>
  </si>
  <si>
    <t>28/230168</t>
  </si>
  <si>
    <t>1779/150.0</t>
  </si>
  <si>
    <t>13/240168</t>
  </si>
  <si>
    <t>2500/210.3</t>
  </si>
  <si>
    <t>17/240168</t>
  </si>
  <si>
    <t>1729/145.3</t>
  </si>
  <si>
    <t>52/240168</t>
  </si>
  <si>
    <t>2507/205.8</t>
  </si>
  <si>
    <t>71/240168</t>
  </si>
  <si>
    <t>1756/148.1</t>
  </si>
  <si>
    <t>95/240168</t>
  </si>
  <si>
    <t>1200/100.6</t>
  </si>
  <si>
    <t>94/240168</t>
  </si>
  <si>
    <t>1060/87.7</t>
  </si>
  <si>
    <t>31/240168</t>
  </si>
  <si>
    <t>1120/91.9</t>
  </si>
  <si>
    <t>33/240168</t>
  </si>
  <si>
    <t>1010/83.4</t>
  </si>
  <si>
    <t>32/240168</t>
  </si>
  <si>
    <t>1015/83.6</t>
  </si>
  <si>
    <t>64/240168</t>
  </si>
  <si>
    <t>1580/208.1</t>
  </si>
  <si>
    <t>84/240168</t>
  </si>
  <si>
    <t>1000/85.4</t>
  </si>
  <si>
    <t>59/240168</t>
  </si>
  <si>
    <t>1500/173.9</t>
  </si>
  <si>
    <t>52/250168</t>
  </si>
  <si>
    <t>1028/86.6</t>
  </si>
  <si>
    <t>56/250168</t>
  </si>
  <si>
    <t>2518/209.9</t>
  </si>
  <si>
    <t>55/250168</t>
  </si>
  <si>
    <t>57/250168</t>
  </si>
  <si>
    <t>2560/220.7</t>
  </si>
  <si>
    <t>64/250168</t>
  </si>
  <si>
    <t>1500/197.1</t>
  </si>
  <si>
    <t>70/250168</t>
  </si>
  <si>
    <t>1500/189.9</t>
  </si>
  <si>
    <t>80/250168</t>
  </si>
  <si>
    <t>1650/216.8</t>
  </si>
  <si>
    <t>71/250168</t>
  </si>
  <si>
    <t>2493/209.1</t>
  </si>
  <si>
    <t>17/260168</t>
  </si>
  <si>
    <t>834/66.3</t>
  </si>
  <si>
    <t>ผลิตขอใช้ดอกไม้แดง</t>
  </si>
  <si>
    <t>WSWT23211125120SMFX</t>
  </si>
  <si>
    <t>07/260168</t>
  </si>
  <si>
    <t>120-125</t>
  </si>
  <si>
    <t>1226/167.7</t>
  </si>
  <si>
    <t>1500/197.9</t>
  </si>
  <si>
    <t>90/260168</t>
  </si>
  <si>
    <t>13/260168</t>
  </si>
  <si>
    <t>1984/165.8</t>
  </si>
  <si>
    <t>2400/190.7</t>
  </si>
  <si>
    <t>พบด้ายคู่1คู่ไม่ทราบจำนวนเมตร</t>
  </si>
  <si>
    <t>ไม่ผ่านพบด้ายคู่1คู่ไม่ทราบจำนวนเมตร</t>
  </si>
  <si>
    <t>81/260168</t>
  </si>
  <si>
    <t>1540/201.1</t>
  </si>
  <si>
    <t>ฟีล กู๊ดพี2</t>
  </si>
  <si>
    <t>PD46802308</t>
  </si>
  <si>
    <t>CL12/68011837</t>
  </si>
  <si>
    <t>พบแมลงถูกเคลือบทับติดมากับกระสอบ</t>
  </si>
  <si>
    <t>ผลิตขอใช้กับ BLUE FOR REFINE SUGAR</t>
  </si>
  <si>
    <t>16/310168</t>
  </si>
  <si>
    <t>1650/135.2</t>
  </si>
  <si>
    <t>17/310168</t>
  </si>
  <si>
    <t>2150/172.2</t>
  </si>
  <si>
    <t>95/310168</t>
  </si>
  <si>
    <t>2158/176.6</t>
  </si>
  <si>
    <t>ผลิตขอใช้ เคอร์รี่ดอกไม้แดง</t>
  </si>
  <si>
    <t>07/310168</t>
  </si>
  <si>
    <t>57/310168</t>
  </si>
  <si>
    <t>2617/214.2</t>
  </si>
  <si>
    <t>2000/264.3</t>
  </si>
  <si>
    <t>บาลานส์ 953</t>
  </si>
  <si>
    <t>FWBWT203780P</t>
  </si>
  <si>
    <t>PD468012111</t>
  </si>
  <si>
    <t>PT01</t>
  </si>
  <si>
    <t>งานพิมพ์สมบรูณ์ถูกต้องตามอาร์ตพิมพ์</t>
  </si>
  <si>
    <t>งานพิมพ์ไม่ตรงตามอาร์ต</t>
  </si>
  <si>
    <t xml:space="preserve">งานพิมพ์ไม่ตรงตามอาร์ตบริเวณด้านหลังคำว่า เคมี (ค) เป็น ก ไก่ </t>
  </si>
  <si>
    <t>ตีคืนทั้งหมด</t>
  </si>
  <si>
    <t>PD3พิมพ์ และ QA PD3</t>
  </si>
  <si>
    <t>01/310168</t>
  </si>
  <si>
    <t>1500/202.8</t>
  </si>
  <si>
    <t>ลดเกรด</t>
  </si>
  <si>
    <t>WSWT2125650 ผสม</t>
  </si>
  <si>
    <t>WSWT2025800 รอออเดอร์จาก MK</t>
  </si>
  <si>
    <t>ผลิตขอใช้ พิมพ์ตราองุ่น</t>
  </si>
  <si>
    <t>7/310168</t>
  </si>
  <si>
    <t>670/89.4</t>
  </si>
  <si>
    <t>47/310168</t>
  </si>
  <si>
    <t>572/74.7</t>
  </si>
  <si>
    <t>81/310168</t>
  </si>
  <si>
    <t>1511/198.3</t>
  </si>
  <si>
    <t>04/010268</t>
  </si>
  <si>
    <t>1500/194.1</t>
  </si>
  <si>
    <t>ผลิตขอใช้ น้ำตาลคริสตอร่า</t>
  </si>
  <si>
    <t>17/010268</t>
  </si>
  <si>
    <t>61.99/โครงสร้างด้ายพุ่งไม่ได้ นับได้43</t>
  </si>
  <si>
    <t>น้ำหนักต่ำกว่ามาตรฐาน/โครงสร้างด้ายพุ่งไม่ได้ นับได้43</t>
  </si>
  <si>
    <t>1975/153.2</t>
  </si>
  <si>
    <t>64-66/47*46</t>
  </si>
  <si>
    <t>57/010268</t>
  </si>
  <si>
    <t>2535/215.1</t>
  </si>
  <si>
    <t>47/020268</t>
  </si>
  <si>
    <t>17/030268</t>
  </si>
  <si>
    <t>2470/198.3</t>
  </si>
  <si>
    <t>มีด้ายคู่ 1 คู่ไม่ทราบจำนวนเมตร</t>
  </si>
  <si>
    <t>ลายอัด2/1</t>
  </si>
  <si>
    <t>WRCL680</t>
  </si>
  <si>
    <t>1/168</t>
  </si>
  <si>
    <t>TL680205</t>
  </si>
  <si>
    <t>57/030268</t>
  </si>
  <si>
    <t>2663/226.1</t>
  </si>
  <si>
    <t>28*47 180+-5</t>
  </si>
  <si>
    <t>1491/209.8</t>
  </si>
  <si>
    <t>81/030368</t>
  </si>
  <si>
    <t>1576/200.6</t>
  </si>
  <si>
    <t>74/030268</t>
  </si>
  <si>
    <t>2548/197.5</t>
  </si>
  <si>
    <t>75/030368</t>
  </si>
  <si>
    <t>1500/190.7</t>
  </si>
  <si>
    <t>ผ้าขาวไม่พิมพ์(28*47)K.ทีซียูเนียนอโกรเทค(เคลือบใส)</t>
  </si>
  <si>
    <t>FWBWT2847180L</t>
  </si>
  <si>
    <t>PD468020402</t>
  </si>
  <si>
    <t>CL59/68012669</t>
  </si>
  <si>
    <t>พบใบมีดติดมากับกระสอบเคลือบใส</t>
  </si>
  <si>
    <t>2500/209.7 (2180/179.9)</t>
  </si>
  <si>
    <t>ผลิตขอใช้ 4/2/2568</t>
  </si>
  <si>
    <t>62/040268</t>
  </si>
  <si>
    <t>1189/134.8</t>
  </si>
  <si>
    <t>WSWTSCL052325650</t>
  </si>
  <si>
    <t>66/040268</t>
  </si>
  <si>
    <t>2570/200.4</t>
  </si>
  <si>
    <t>ผลิตขอใช้ พิมพ์น้ำตาล</t>
  </si>
  <si>
    <t>94/050268</t>
  </si>
  <si>
    <t>2500/202.9</t>
  </si>
  <si>
    <t>ผลิตขอใช้ ตราองุ่น</t>
  </si>
  <si>
    <t>ผลิตขอใช้น้ำตาล  สีน้ำเงิน</t>
  </si>
  <si>
    <t>1/050268</t>
  </si>
  <si>
    <t>1500/198</t>
  </si>
  <si>
    <t>79/050568</t>
  </si>
  <si>
    <t>2500/200.5</t>
  </si>
  <si>
    <t>69/060268</t>
  </si>
  <si>
    <t>360/30.9</t>
  </si>
  <si>
    <t>59/060368</t>
  </si>
  <si>
    <t>1500/171.6</t>
  </si>
  <si>
    <t>ลดเกรด 1 ใบ</t>
  </si>
  <si>
    <t>ผลิตขอใช้ 7/2/2568 พิมพ์น้ำตาลสีน้ำเงิน</t>
  </si>
  <si>
    <t>ผลิตขอใช้ ศรีนคร 8/2/68</t>
  </si>
  <si>
    <t>ผลิตขอใช้กัยศรีนครพันธ์ข้าว</t>
  </si>
  <si>
    <t>ผลิตขอใช้กับเบทาโกร8/2/68</t>
  </si>
  <si>
    <t>2555/217.0</t>
  </si>
  <si>
    <t>ผลิตขอใช้กับตัดผ้าขาวไทยธรรมดี8/2/68</t>
  </si>
  <si>
    <t>ผลิตขอใช้กับตัดผ้าขาวไทยธรรมดี8/2/68(2180/179.9)</t>
  </si>
  <si>
    <t>WRWT25800</t>
  </si>
  <si>
    <t>TL680208</t>
  </si>
  <si>
    <t>1/208.6</t>
  </si>
  <si>
    <t>WRCL25680</t>
  </si>
  <si>
    <t>81/080268</t>
  </si>
  <si>
    <t>1556/199.9</t>
  </si>
  <si>
    <t>13/090268</t>
  </si>
  <si>
    <t>2500/195.8</t>
  </si>
  <si>
    <t>14/090268</t>
  </si>
  <si>
    <t>2500/193.8</t>
  </si>
  <si>
    <t>ผลิตขอใช้ตัดผ้าขาวเพิ่มความยาวเพิ่มตะเข็บ</t>
  </si>
  <si>
    <t>ผลิตขอใช้ 10/2/68</t>
  </si>
  <si>
    <t>WSWT1921750</t>
  </si>
  <si>
    <t>9/100268</t>
  </si>
  <si>
    <t>2500/195.1</t>
  </si>
  <si>
    <t>1270/167.1</t>
  </si>
  <si>
    <t>127-130</t>
  </si>
  <si>
    <t>133.51/125.36</t>
  </si>
  <si>
    <t>น้ำหนักใบสูง/เฉลี่ยม้วนต่ำกว่ามาตรฐาน</t>
  </si>
  <si>
    <t>4.51/3.64</t>
  </si>
  <si>
    <t>1270/16.8</t>
  </si>
  <si>
    <t>TL680214</t>
  </si>
  <si>
    <t>1/487.5</t>
  </si>
  <si>
    <t>04/100268</t>
  </si>
  <si>
    <t>1522/198.7</t>
  </si>
  <si>
    <t>13/100268</t>
  </si>
  <si>
    <t>2500/198.2</t>
  </si>
  <si>
    <t>62/100268</t>
  </si>
  <si>
    <t>1500/167.4</t>
  </si>
  <si>
    <t>WSWT2625850SM</t>
  </si>
  <si>
    <t>01/100268</t>
  </si>
  <si>
    <t>110-115</t>
  </si>
  <si>
    <t>1500/150.2</t>
  </si>
  <si>
    <t>8/110268</t>
  </si>
  <si>
    <t>2500/199.3</t>
  </si>
  <si>
    <t>62.93/43</t>
  </si>
  <si>
    <t>1.07/ไม่ผ่าน</t>
  </si>
  <si>
    <t>น้ำหนักใบต่ำกว่ามาตรฐาน+นับโครงสร้างได้43</t>
  </si>
  <si>
    <t>27/110268</t>
  </si>
  <si>
    <t>2500/207.7</t>
  </si>
  <si>
    <t>17/110268</t>
  </si>
  <si>
    <t>2022/162</t>
  </si>
  <si>
    <t>29/110268</t>
  </si>
  <si>
    <t>1310/105</t>
  </si>
  <si>
    <t>60/110268</t>
  </si>
  <si>
    <t>1924/150.5</t>
  </si>
  <si>
    <t>92/120268</t>
  </si>
  <si>
    <t>2500/201.6</t>
  </si>
  <si>
    <t>WSWT262575051</t>
  </si>
  <si>
    <t>79/120268</t>
  </si>
  <si>
    <t>100-105</t>
  </si>
  <si>
    <t>1990/182.6</t>
  </si>
  <si>
    <t>60/120268</t>
  </si>
  <si>
    <t>845/82.1</t>
  </si>
  <si>
    <t>ผลิตขอใช้MASTER CHEF</t>
  </si>
  <si>
    <t>ผลิตขอใช้กับTRJ</t>
  </si>
  <si>
    <t>60/130268</t>
  </si>
  <si>
    <t>1219/114.8</t>
  </si>
  <si>
    <t>ผลิตขอใช้ 13/2/2568</t>
  </si>
  <si>
    <t>ผลิตขอใช้กับTC</t>
  </si>
  <si>
    <t>ผลิตขอใช้กับ คลิสตอล่า 13/2/68</t>
  </si>
  <si>
    <t>06/130268</t>
  </si>
  <si>
    <t>CL06</t>
  </si>
  <si>
    <t>WSWT21925800</t>
  </si>
  <si>
    <t>08/130268</t>
  </si>
  <si>
    <t>CL08</t>
  </si>
  <si>
    <t>55-60</t>
  </si>
  <si>
    <t>15/130268</t>
  </si>
  <si>
    <t>2500/163.3</t>
  </si>
  <si>
    <t>2500/189.5</t>
  </si>
  <si>
    <t>2500/188.9</t>
  </si>
  <si>
    <t>อนุมัติใช้ WSWT1921720 ผึ้งเหลือง ไม่ใช้เคอรี่</t>
  </si>
  <si>
    <t>อนุมัติใช้ WSWT2321112512551</t>
  </si>
  <si>
    <t>อนุมัติใช้ WSWT2025800</t>
  </si>
  <si>
    <t>อนุมัติใช้ WRWT211125</t>
  </si>
  <si>
    <t>82/140268</t>
  </si>
  <si>
    <t>1550/123.4</t>
  </si>
  <si>
    <t>ผลิตขอใช้ 14/02/68 ใช้กับผสมเบทาโกร224F</t>
  </si>
  <si>
    <t>ผลิตขอใช้ 14/02/68 ซันฟีด</t>
  </si>
  <si>
    <t>ผลิตขอใช้ 14/2/2568 ใช้ตัดผ้าขาว หนองบัว</t>
  </si>
  <si>
    <t>ผลิตขอใช้ 15/02/68 ใช้กับตรา 935</t>
  </si>
  <si>
    <t>55/150268</t>
  </si>
  <si>
    <t>2519/184.1</t>
  </si>
  <si>
    <t>62/150268</t>
  </si>
  <si>
    <t>1500/169.8</t>
  </si>
  <si>
    <t>15/160268</t>
  </si>
  <si>
    <t>2500/190.8</t>
  </si>
  <si>
    <t>55/160268</t>
  </si>
  <si>
    <t>2618/192.3</t>
  </si>
  <si>
    <t>ผลิตขอใช้ 17/02/68 ใช้กับ TRJ ผสม</t>
  </si>
  <si>
    <t>ผลิตขอใช้ 17/02/68 ใช้ทำผึ้ง</t>
  </si>
  <si>
    <t>07/170268</t>
  </si>
  <si>
    <t>930/84.3</t>
  </si>
  <si>
    <t>WSWT1925800</t>
  </si>
  <si>
    <t>31/170268</t>
  </si>
  <si>
    <t>2500/184.6</t>
  </si>
  <si>
    <t>55/180268</t>
  </si>
  <si>
    <t>2609/192.2</t>
  </si>
  <si>
    <t>74/180268</t>
  </si>
  <si>
    <t>2524/195.8</t>
  </si>
  <si>
    <t>Green For White Sugar</t>
  </si>
  <si>
    <t>PD468021701</t>
  </si>
  <si>
    <t>68021122/CL75</t>
  </si>
  <si>
    <t>73/180268</t>
  </si>
  <si>
    <t>2453/182.4</t>
  </si>
  <si>
    <t>1746/128.3</t>
  </si>
  <si>
    <t>29/180268</t>
  </si>
  <si>
    <t>80/190268</t>
  </si>
  <si>
    <t>1520/172.8</t>
  </si>
  <si>
    <t>36/190268</t>
  </si>
  <si>
    <t>1500/171.8</t>
  </si>
  <si>
    <t>17/190268</t>
  </si>
  <si>
    <t>1329/100.2</t>
  </si>
  <si>
    <t>73/190268</t>
  </si>
  <si>
    <t>59/190268</t>
  </si>
  <si>
    <t>1000/115.1</t>
  </si>
  <si>
    <t>ผลิตขอใช้พิมพ์ตราถุงทองแซนวิช</t>
  </si>
  <si>
    <t>ผลิตขอใช้ TRJ</t>
  </si>
  <si>
    <t>WSWT1925800SM</t>
  </si>
  <si>
    <t>25/200268</t>
  </si>
  <si>
    <t>51-56</t>
  </si>
  <si>
    <t>2000/143.8</t>
  </si>
  <si>
    <t>69/210268</t>
  </si>
  <si>
    <t>2500/186.9</t>
  </si>
  <si>
    <t>อนุมัติใช้1925800ใช้งานได้ปกติ</t>
  </si>
  <si>
    <t>60/220268</t>
  </si>
  <si>
    <t>1500/160.7</t>
  </si>
  <si>
    <t>73/240268</t>
  </si>
  <si>
    <t>2525/197.8</t>
  </si>
  <si>
    <t>ผลิตขอใช้ 24/02/68 ตัดผ้าขาวเคอรี่</t>
  </si>
  <si>
    <t>19/240268</t>
  </si>
  <si>
    <t>2500/198.1</t>
  </si>
  <si>
    <t>80/240268</t>
  </si>
  <si>
    <t>1750/196.6</t>
  </si>
  <si>
    <t>05/250268</t>
  </si>
  <si>
    <t>CL05</t>
  </si>
  <si>
    <t>2500/196.2</t>
  </si>
  <si>
    <t>WSWT1425800</t>
  </si>
  <si>
    <t>16/250268</t>
  </si>
  <si>
    <t>มีด้ายคู่ 2 คู่ไม่ทราบจำนวนเมตร</t>
  </si>
  <si>
    <t>1211/66.9</t>
  </si>
  <si>
    <t>ผลิตขอใช้25/2/68 เบทาโกร</t>
  </si>
  <si>
    <t>55/260268</t>
  </si>
  <si>
    <t>2300/166.6</t>
  </si>
  <si>
    <t>52/260268</t>
  </si>
  <si>
    <t>2350/184.6</t>
  </si>
  <si>
    <t>ผลิตขอใช้26/2/68 พิมพ์ตรา 664HP</t>
  </si>
  <si>
    <t>ผลิตขอใช้27/2/2567 ตัดผ้าขาวไซแอนท์28*39</t>
  </si>
  <si>
    <t>85/270268</t>
  </si>
  <si>
    <t>มีด้ายคู่ 3 คู่ไม่ทราบจำนวนเมตร</t>
  </si>
  <si>
    <t>2157/175.9</t>
  </si>
  <si>
    <t>ผลิตขอใช้พิมพ์ตราWBฟาร์มF99230kg</t>
  </si>
  <si>
    <t>อนุมัติใช้ WSWT1425800</t>
  </si>
  <si>
    <t>อนุมัติใช้ WSWT1925800SM</t>
  </si>
  <si>
    <t>31/010368</t>
  </si>
  <si>
    <t>62.61 /โครงสร้างด้ายพุ่งไม่ได้ นับได้43</t>
  </si>
  <si>
    <t>1.39/ไม่ผ่าน</t>
  </si>
  <si>
    <t>น้ำหนักต่ำ /โครงสร้างด้ายพุ่งไม่ได้ นับได้43</t>
  </si>
  <si>
    <t>2500/194.7</t>
  </si>
  <si>
    <t>64-66/ลายอัด2/1</t>
  </si>
  <si>
    <t>WSWT2221940N</t>
  </si>
  <si>
    <t>3/040668</t>
  </si>
  <si>
    <t>95-100</t>
  </si>
  <si>
    <t>2000/237.4</t>
  </si>
  <si>
    <t>59/040368</t>
  </si>
  <si>
    <t>127.84/120.85</t>
  </si>
  <si>
    <t>น้ำหนักใบสูง+เฉลี่ยม้วนต่ำกว่ามาตรฐาน</t>
  </si>
  <si>
    <t>2.84/1.15</t>
  </si>
  <si>
    <t>745/83.4</t>
  </si>
  <si>
    <t>60/040368</t>
  </si>
  <si>
    <t>1500/163.5</t>
  </si>
  <si>
    <t>80/040368</t>
  </si>
  <si>
    <t>1530/166.7</t>
  </si>
  <si>
    <t>62/050368</t>
  </si>
  <si>
    <t>1500/166.3</t>
  </si>
  <si>
    <t>ผลิตขอใช้ ตัดผ้าขาวเคอรี่</t>
  </si>
  <si>
    <t>3/050368</t>
  </si>
  <si>
    <t>2000/236.3</t>
  </si>
  <si>
    <t>03/060368</t>
  </si>
  <si>
    <t>1564/185.4</t>
  </si>
  <si>
    <t>1500/169</t>
  </si>
  <si>
    <t>64/060368</t>
  </si>
  <si>
    <t>69/070368</t>
  </si>
  <si>
    <t>2650/209.2</t>
  </si>
  <si>
    <t>80/080368</t>
  </si>
  <si>
    <t>1777/195.1</t>
  </si>
  <si>
    <t>อนุมัติใช้WSWT2221940Nใช้งานได้ปกติ</t>
  </si>
  <si>
    <t>อนุมัติใช้WSWT2825850ใช้งานได้ปกติ</t>
  </si>
  <si>
    <t>อนุมัติใช้WSWT2825850ผสมใช้งานได้ปกติ</t>
  </si>
  <si>
    <t>69/110368</t>
  </si>
  <si>
    <t>2515/200.1</t>
  </si>
  <si>
    <t>ผลิตขอใช้ตัดผ้าขาว</t>
  </si>
  <si>
    <t>69/130368</t>
  </si>
  <si>
    <t>1670/124.5</t>
  </si>
  <si>
    <t>TL680313</t>
  </si>
  <si>
    <t>83/140368</t>
  </si>
  <si>
    <t>1350/106.9</t>
  </si>
  <si>
    <t>ผลิตขอใช้</t>
  </si>
  <si>
    <t>ผลิตขอใช้ 14/03/68 ตัดผ้าขาว</t>
  </si>
  <si>
    <t>คุมดีเนียร์ 810 - 820 D</t>
  </si>
  <si>
    <t>1/603.7</t>
  </si>
  <si>
    <t>WSWT2325800L</t>
  </si>
  <si>
    <t>23*40 125+-5 g</t>
  </si>
  <si>
    <t>1040/106.8</t>
  </si>
  <si>
    <t>WRWT21940</t>
  </si>
  <si>
    <t>TL680312</t>
  </si>
  <si>
    <t>1/265.9</t>
  </si>
  <si>
    <t>56/150368</t>
  </si>
  <si>
    <t>2615/219.8</t>
  </si>
  <si>
    <t>69/150368</t>
  </si>
  <si>
    <t>1299/101.9</t>
  </si>
  <si>
    <t>55/150368</t>
  </si>
  <si>
    <t>860/64.6</t>
  </si>
  <si>
    <t>91/160368</t>
  </si>
  <si>
    <t>2500/204.9</t>
  </si>
  <si>
    <t>ผลิตขอใช้ ตัดผ้าขาว19*36 เคอรี่</t>
  </si>
  <si>
    <t>56/180368</t>
  </si>
  <si>
    <t>2543/209.3</t>
  </si>
  <si>
    <t>TL680317</t>
  </si>
  <si>
    <t>1/225.2</t>
  </si>
  <si>
    <t>53/190368</t>
  </si>
  <si>
    <t>1934/158.4</t>
  </si>
  <si>
    <t>TL680318</t>
  </si>
  <si>
    <t>ใส+ขาว</t>
  </si>
  <si>
    <t>ไมผ่าน</t>
  </si>
  <si>
    <t>1/222.9</t>
  </si>
  <si>
    <t>ผลิตขอใช้ 19/3/68</t>
  </si>
  <si>
    <t>WSWT2221940</t>
  </si>
  <si>
    <t>75/220368</t>
  </si>
  <si>
    <t>2097/216.9</t>
  </si>
  <si>
    <t>25/220368</t>
  </si>
  <si>
    <t>2500/204.4</t>
  </si>
  <si>
    <t>51/220368</t>
  </si>
  <si>
    <t>2512/205.8</t>
  </si>
  <si>
    <t>15/230368</t>
  </si>
  <si>
    <t>2500/198.4</t>
  </si>
  <si>
    <t>89/230368</t>
  </si>
  <si>
    <t>2500/210.5</t>
  </si>
  <si>
    <t>66/240368</t>
  </si>
  <si>
    <t>2000/185.8</t>
  </si>
  <si>
    <t>56/240368</t>
  </si>
  <si>
    <t>2520/193.6</t>
  </si>
  <si>
    <t>ผลิตขอใช้ 24/3/68</t>
  </si>
  <si>
    <t>ผลิตขอใช้ ตัดผ้าขาวเคอรี่24/3/68</t>
  </si>
  <si>
    <t>60/250368</t>
  </si>
  <si>
    <t>2000/183.2</t>
  </si>
  <si>
    <t>ผลิตขอใช้ 27/3/68ตัดผ้าขาวเอ็นทีพีด23*39</t>
  </si>
  <si>
    <t>ผลิตขอใช้ เพอเฟคค์ 663 664</t>
  </si>
  <si>
    <t>91/300368</t>
  </si>
  <si>
    <t>60/010468</t>
  </si>
  <si>
    <t>1500/171.7</t>
  </si>
  <si>
    <t>61/010468</t>
  </si>
  <si>
    <t>2500/182.6</t>
  </si>
  <si>
    <t>57/020468</t>
  </si>
  <si>
    <t>2158/170.6</t>
  </si>
  <si>
    <t>พบด้ายใสไม่ทราบจำนวนเมตร</t>
  </si>
  <si>
    <t>58/020468</t>
  </si>
  <si>
    <t>2240/177.4</t>
  </si>
  <si>
    <t>ผลิตขอใช้ 2025800 ขอใช้อินเทคค์ 664HP</t>
  </si>
  <si>
    <t>ผลิตขอใช้ 2025850 ขอใช้อินเทคค์ 664HP</t>
  </si>
  <si>
    <t>ผลิตขอใช้ 2325650 เกษตรสุริยา ลอกผ้าออก 2400/172.8 นนใบได้ 66.66</t>
  </si>
  <si>
    <t>60/020468</t>
  </si>
  <si>
    <t>121-124</t>
  </si>
  <si>
    <t>1046/120.2</t>
  </si>
  <si>
    <t>77/020468</t>
  </si>
  <si>
    <t>2620/211.7</t>
  </si>
  <si>
    <t>ผลิตขอใช้ ตัดเคอร์รี่</t>
  </si>
  <si>
    <t>ผลิตขอใช้พิมพ์ซิเบลโก้</t>
  </si>
  <si>
    <t>60/040468</t>
  </si>
  <si>
    <t>1500/167.5</t>
  </si>
  <si>
    <t>WSWT1625750SMFX</t>
  </si>
  <si>
    <t>84/050468</t>
  </si>
  <si>
    <t>42-47</t>
  </si>
  <si>
    <t>น้ำหนักเฉลี่ย/ม้วนต่ำกว่ามาตรฐาน</t>
  </si>
  <si>
    <t>2500/150.7</t>
  </si>
  <si>
    <t>56/050468</t>
  </si>
  <si>
    <t>2573/193.9</t>
  </si>
  <si>
    <t>84/060468</t>
  </si>
  <si>
    <t>1228/72.9</t>
  </si>
  <si>
    <t>60/060468</t>
  </si>
  <si>
    <t>1500/169.5</t>
  </si>
  <si>
    <t>ผลิตขอใช้ กับราชสีห์(ข้าวหอมมะลิ)</t>
  </si>
  <si>
    <t>84/070468</t>
  </si>
  <si>
    <t>2000/120.9</t>
  </si>
  <si>
    <t>62/070468</t>
  </si>
  <si>
    <t>1500/168.4</t>
  </si>
  <si>
    <t>30/080468</t>
  </si>
  <si>
    <t>2240/147.2</t>
  </si>
  <si>
    <t>ผลิตขอใช้ตัดผ้าขาว 8/4/2568</t>
  </si>
  <si>
    <t>ผลิตขอใช้TRJ 8/4/2568</t>
  </si>
  <si>
    <t>62/080468</t>
  </si>
  <si>
    <t>1440/161.5</t>
  </si>
  <si>
    <t>64/080468</t>
  </si>
  <si>
    <t>1500/169.3</t>
  </si>
  <si>
    <t>81/080468</t>
  </si>
  <si>
    <t>1936/155.8</t>
  </si>
  <si>
    <t>ผลิตขอใช้TRJ 9/4/2568</t>
  </si>
  <si>
    <t>47/090468</t>
  </si>
  <si>
    <t>1315/102.4</t>
  </si>
  <si>
    <t>ผลิตขอใช้ตัดผ้าขาวไม่พิมพ์ 9/4/2568</t>
  </si>
  <si>
    <t>75/090468</t>
  </si>
  <si>
    <t>2523/192.6</t>
  </si>
  <si>
    <t>47/100468</t>
  </si>
  <si>
    <t>1436/104.6</t>
  </si>
  <si>
    <t>ผลิตขอใช้ตัดผ้าขาวหนองบัว10/4/2568</t>
  </si>
  <si>
    <t>62/100468</t>
  </si>
  <si>
    <t>1500/169.9</t>
  </si>
  <si>
    <t>33/100468</t>
  </si>
  <si>
    <t>2400/189.9</t>
  </si>
  <si>
    <t>ผลิตขอใช้พิมพ์โอดินฟีด888 11/4/68</t>
  </si>
  <si>
    <t>62/120468</t>
  </si>
  <si>
    <t>1500/168.</t>
  </si>
  <si>
    <t>อนุมัติใช้WSWT2025800ไม่พิมพ์หนองบัว</t>
  </si>
  <si>
    <t>อนุมัติใช้WSWT2325650</t>
  </si>
  <si>
    <t>66/180468</t>
  </si>
  <si>
    <t>2000/188</t>
  </si>
  <si>
    <t>56/180468</t>
  </si>
  <si>
    <t>1100/87.5</t>
  </si>
  <si>
    <t>49/190468</t>
  </si>
  <si>
    <t>1150/87.8</t>
  </si>
  <si>
    <t>ผลิตขอใช้กับY3019/4/68</t>
  </si>
  <si>
    <t>7/190468</t>
  </si>
  <si>
    <t>1098/86.6</t>
  </si>
  <si>
    <t>WSWT2325800</t>
  </si>
  <si>
    <t>2/200468</t>
  </si>
  <si>
    <t>80-85</t>
  </si>
  <si>
    <t>2500/219.7</t>
  </si>
  <si>
    <t>46/200468</t>
  </si>
  <si>
    <t>2505/208.6</t>
  </si>
  <si>
    <t>64/210468</t>
  </si>
  <si>
    <t>1500/169.4</t>
  </si>
  <si>
    <t>91/210468</t>
  </si>
  <si>
    <t>อนุมัติใช้WSWT2025800ไม่พิมพ์20*38+-5ใช้งานได้ปกติ</t>
  </si>
  <si>
    <t>อนุมัติใช้WSWT2025800ผสมใช้งานได้ปกติ</t>
  </si>
  <si>
    <t>ผลิตขอใช้กับผึ้งชมพู21/4/68</t>
  </si>
  <si>
    <t>64/220468</t>
  </si>
  <si>
    <t>64/230468</t>
  </si>
  <si>
    <t>91/230468</t>
  </si>
  <si>
    <t>TL680413</t>
  </si>
  <si>
    <t>1/267</t>
  </si>
  <si>
    <t>ผลิตขอใช้ 23/4/68</t>
  </si>
  <si>
    <t>60/240468</t>
  </si>
  <si>
    <t>น้ำหนักใบสูงเฉลี่ย/ม้วนต่ำกว่ามาตรฐาน</t>
  </si>
  <si>
    <t>WSWT1725800</t>
  </si>
  <si>
    <t>72/240468</t>
  </si>
  <si>
    <t>43-48</t>
  </si>
  <si>
    <t>125.40/119.97</t>
  </si>
  <si>
    <t>1.40/1.03</t>
  </si>
  <si>
    <t>1500/166.7</t>
  </si>
  <si>
    <t>2505/174.6</t>
  </si>
  <si>
    <t>ผลิตขอใช้LUNG SHIN 24/4/68</t>
  </si>
  <si>
    <t>ผลิตขอใช้PCS 24/4/68</t>
  </si>
  <si>
    <t>ผลิตขอใช้กบินทร์ นน.108กรัม 24/4/68</t>
  </si>
  <si>
    <t>600/42.8</t>
  </si>
  <si>
    <t>64/240468</t>
  </si>
  <si>
    <t>1500/170.9</t>
  </si>
  <si>
    <t>WSWT FCL022325650</t>
  </si>
  <si>
    <t>79/250468</t>
  </si>
  <si>
    <t>2500/185.1</t>
  </si>
  <si>
    <t>66/250468</t>
  </si>
  <si>
    <t>3036/228.8</t>
  </si>
  <si>
    <t>ผลิตขอใช้ 25/04/68 ใช้กับถุงเขียว ถุงม่วง คุณปราสาท</t>
  </si>
  <si>
    <t>2/260468</t>
  </si>
  <si>
    <t>2000/189.8</t>
  </si>
  <si>
    <t>64/260468</t>
  </si>
  <si>
    <t>1500/172.4</t>
  </si>
  <si>
    <t>85/270468</t>
  </si>
  <si>
    <t>03/270468</t>
  </si>
  <si>
    <t>CL03</t>
  </si>
  <si>
    <t>2530/203.7</t>
  </si>
  <si>
    <t>28/270468</t>
  </si>
  <si>
    <t>2500/197.9</t>
  </si>
  <si>
    <t>60/270468</t>
  </si>
  <si>
    <t>1500/169.1</t>
  </si>
  <si>
    <t>64/270468</t>
  </si>
  <si>
    <t>1396/158.4</t>
  </si>
  <si>
    <t>91/280468</t>
  </si>
  <si>
    <t>2500/182.8</t>
  </si>
  <si>
    <t>ผลิตขอใช้ ไก่เหยียบศร แสงสิริ หรือไก่ดาว ของกบินทร์</t>
  </si>
  <si>
    <t>ผลิตขอใช้ ทองทั้งทุ่ง</t>
  </si>
  <si>
    <t>ผลิตขอใช้LUNG SHIN</t>
  </si>
  <si>
    <t>ผลิตขอใช้ตัดผ้าชาวเบทาโกร</t>
  </si>
  <si>
    <t>91/290468</t>
  </si>
  <si>
    <t>2500/183.8</t>
  </si>
  <si>
    <t>62/290468</t>
  </si>
  <si>
    <t>1500/168.3</t>
  </si>
  <si>
    <t>46/290468</t>
  </si>
  <si>
    <t>2534/194.6</t>
  </si>
  <si>
    <t>02/300468</t>
  </si>
  <si>
    <t>CL02</t>
  </si>
  <si>
    <t>1591/150.1</t>
  </si>
  <si>
    <t>ผลิตขอใช้ 30/04/68 ใช้กับตัดผ้าขาวเอ็นทีฟีด</t>
  </si>
  <si>
    <t>69/300468</t>
  </si>
  <si>
    <t>2570/210.4</t>
  </si>
  <si>
    <t>ผลิตขอใช้ 30/04/68 ใช้กับเคอรี่</t>
  </si>
  <si>
    <t>ผลิตขิใช้กับY30ซีแมน2/5/68</t>
  </si>
  <si>
    <t>64/020568</t>
  </si>
  <si>
    <t>46/030568</t>
  </si>
  <si>
    <t>2089/155.7</t>
  </si>
  <si>
    <t>ผลิตขอใช้กับเอ็กซ์เล้นท์ 3/5/68</t>
  </si>
  <si>
    <t>75/030568</t>
  </si>
  <si>
    <t>1958/148.6</t>
  </si>
  <si>
    <t>72/030568</t>
  </si>
  <si>
    <t>1477/114.9</t>
  </si>
  <si>
    <t>ผลิตขอใช้กับผึ้งชมพู 3/5/68</t>
  </si>
  <si>
    <t>2/030568</t>
  </si>
  <si>
    <t>2000/189.2</t>
  </si>
  <si>
    <t>60/030568</t>
  </si>
  <si>
    <t>1500/171.4</t>
  </si>
  <si>
    <t>2/050568</t>
  </si>
  <si>
    <t>2000/189.1</t>
  </si>
  <si>
    <t>WRWT25800UV</t>
  </si>
  <si>
    <t>TL680505</t>
  </si>
  <si>
    <t>คุมดีเนียร์ 800 - 780  D</t>
  </si>
  <si>
    <t>คุมขนาด   2.4-2.5 mm.</t>
  </si>
  <si>
    <t>762 ,767</t>
  </si>
  <si>
    <t>ดีเนียร์ต่ำกว่าค่าควบคุม</t>
  </si>
  <si>
    <t>ขนาดต่ำกว่าค่าควบคุม</t>
  </si>
  <si>
    <t>18 ,13</t>
  </si>
  <si>
    <t>อนุมัติใช้WSWT2825850 AVG123.27ใช้งานได้ปกติ</t>
  </si>
  <si>
    <t>WSWT2025800SMN</t>
  </si>
  <si>
    <t>87/050568</t>
  </si>
  <si>
    <t>ทอเรียงเส้น</t>
  </si>
  <si>
    <t>ด้ายยืนหนีบ</t>
  </si>
  <si>
    <t>ไม่ผ่านพบด้ายยืนหนีบ</t>
  </si>
  <si>
    <t>590/46</t>
  </si>
  <si>
    <t>86/050568</t>
  </si>
  <si>
    <t>786/59.1</t>
  </si>
  <si>
    <t>85/050568</t>
  </si>
  <si>
    <t>880/69.8</t>
  </si>
  <si>
    <t>2/802.80</t>
  </si>
  <si>
    <t>TL680506</t>
  </si>
  <si>
    <t>คุมดีเนียร์ 810 - 820   D</t>
  </si>
  <si>
    <t>1/251.1</t>
  </si>
  <si>
    <t>25/060568</t>
  </si>
  <si>
    <t>2078/160.4</t>
  </si>
  <si>
    <t>26/050668</t>
  </si>
  <si>
    <t>1629/119.6</t>
  </si>
  <si>
    <t>28/050668</t>
  </si>
  <si>
    <t>1644/121.3</t>
  </si>
  <si>
    <t>ผลิตขอใช้ 06/05/68 ใช้ตัด เอ็นบี และหนองบัว สวมถุงใน</t>
  </si>
  <si>
    <t>2/060568</t>
  </si>
  <si>
    <t>2000/1489.8</t>
  </si>
  <si>
    <t>07/050668</t>
  </si>
  <si>
    <t>1400/98.7</t>
  </si>
  <si>
    <t>28/070568</t>
  </si>
  <si>
    <t>1860/137</t>
  </si>
  <si>
    <t>72/070568</t>
  </si>
  <si>
    <t>2652/205.2</t>
  </si>
  <si>
    <t>2/070568</t>
  </si>
  <si>
    <t>1313/121.8</t>
  </si>
  <si>
    <t>17/070568</t>
  </si>
  <si>
    <t>2356/188.4</t>
  </si>
  <si>
    <t>69/070568</t>
  </si>
  <si>
    <t>2552/212.1</t>
  </si>
  <si>
    <t>25/070568</t>
  </si>
  <si>
    <t>1937/146.7</t>
  </si>
  <si>
    <t>TL680508</t>
  </si>
  <si>
    <t>คุมดีเนียร์ 940 - 950 D</t>
  </si>
  <si>
    <t>1/268.3</t>
  </si>
  <si>
    <t>ผลิตขอใช้ 07/05/68 ใช้กับเคอรี่</t>
  </si>
  <si>
    <t>26/070568</t>
  </si>
  <si>
    <t>2500/185.4</t>
  </si>
  <si>
    <t xml:space="preserve">ผลิตขอใช้ 07/05/68 </t>
  </si>
  <si>
    <t>49/080568</t>
  </si>
  <si>
    <t>2516/188.3</t>
  </si>
  <si>
    <t>ผลิตขอใช้ตัดผ้าขาวไม่พิมพ์หนองบัว</t>
  </si>
  <si>
    <t>55/080568</t>
  </si>
  <si>
    <t>1540/112.9</t>
  </si>
  <si>
    <t>17/080568</t>
  </si>
  <si>
    <t>โครงสร้างด้ายพุ่งไม่ผ่าน นับได้43</t>
  </si>
  <si>
    <t>2453/195.9</t>
  </si>
  <si>
    <t>ผึ้งเหลือง</t>
  </si>
  <si>
    <t>FWBWT193060P</t>
  </si>
  <si>
    <t>PD468050505</t>
  </si>
  <si>
    <t>CL17/68050408</t>
  </si>
  <si>
    <t>พบเส้นผมถูกทอติดมากับกระสอบ</t>
  </si>
  <si>
    <t>2/080568</t>
  </si>
  <si>
    <t>2000/188.8</t>
  </si>
  <si>
    <t>88/080568</t>
  </si>
  <si>
    <t>C88</t>
  </si>
  <si>
    <t>73-78</t>
  </si>
  <si>
    <t>2131/184</t>
  </si>
  <si>
    <t>83/090568</t>
  </si>
  <si>
    <t>1416/124</t>
  </si>
  <si>
    <t>ผลิตขอใช้ 09/05/68 ใช้กับ NB</t>
  </si>
  <si>
    <t>ผลิตขอใช้ 09/05/68 ใช้ตัดผ้าขาวเคอรี่</t>
  </si>
  <si>
    <t>ผลิตขอใช้ 09/05/68 ใช้กับTRJ</t>
  </si>
  <si>
    <t>27/100568</t>
  </si>
  <si>
    <t>2000/171.7</t>
  </si>
  <si>
    <t>88/100568</t>
  </si>
  <si>
    <t>2000/172.9</t>
  </si>
  <si>
    <t>88/110568</t>
  </si>
  <si>
    <t>2000/165.5</t>
  </si>
  <si>
    <t>84/110568</t>
  </si>
  <si>
    <t>น้ำหนักสูงกว่ามาตรฐาน + โครงสร้างด้ายพุ่งไม่ผ่าน นับได้ 43</t>
  </si>
  <si>
    <t>984/81.8</t>
  </si>
  <si>
    <t>82/110568</t>
  </si>
  <si>
    <t>2500/215.5</t>
  </si>
  <si>
    <t>ผลิตขอใช้กับ NB เคลือบใส</t>
  </si>
  <si>
    <t>14/120568</t>
  </si>
  <si>
    <t>โครงสร้างด้ายพุ่งไม่ผ่าน นับได้ 42</t>
  </si>
  <si>
    <t>2000/196.5</t>
  </si>
  <si>
    <t>64/120568</t>
  </si>
  <si>
    <t>1500/167.7</t>
  </si>
  <si>
    <t>27/120568</t>
  </si>
  <si>
    <t>2000/168.3</t>
  </si>
  <si>
    <t>88/120568</t>
  </si>
  <si>
    <t>2000/169.1</t>
  </si>
  <si>
    <t>น้ำหนักเฉลี่ย/ม้วนสูงกว่ามาตรฐาน</t>
  </si>
  <si>
    <t>01/120568</t>
  </si>
  <si>
    <t>WSWT2321750</t>
  </si>
  <si>
    <t>15/130568</t>
  </si>
  <si>
    <t>2000/176.4</t>
  </si>
  <si>
    <t>27/130568</t>
  </si>
  <si>
    <t>2000/165.9</t>
  </si>
  <si>
    <t>16/130568</t>
  </si>
  <si>
    <t>2500/210.6</t>
  </si>
  <si>
    <t>83/130568</t>
  </si>
  <si>
    <t>2500/213.9</t>
  </si>
  <si>
    <t>ผลิตขอใช้พิมพ์ตราทองทั้งทุ่ง</t>
  </si>
  <si>
    <t>84/130568</t>
  </si>
  <si>
    <t>2350/196.4</t>
  </si>
  <si>
    <t>2000/162.5</t>
  </si>
  <si>
    <t>WRWT21720</t>
  </si>
  <si>
    <t>TL680516</t>
  </si>
  <si>
    <t xml:space="preserve">ผลิตขอใช้ 13/05/68 </t>
  </si>
  <si>
    <t>ผลิตขอใช้14/5/68</t>
  </si>
  <si>
    <t>15/140568</t>
  </si>
  <si>
    <t>2000/175.3</t>
  </si>
  <si>
    <t>ผลิตขอใช้ ตัดผ้าไม่พิมพ์ เคอรี่</t>
  </si>
  <si>
    <t>62/140568</t>
  </si>
  <si>
    <t>124-124</t>
  </si>
  <si>
    <t>ผลิตขอใช้ 14/5/68</t>
  </si>
  <si>
    <t>60/150568</t>
  </si>
  <si>
    <t>1500/169.2</t>
  </si>
  <si>
    <t>62/150568</t>
  </si>
  <si>
    <t>WRWT25650</t>
  </si>
  <si>
    <t>อนุมัติใช้WSWT2025800SMN ใช้กับVCFใช้งานได้ปกติ</t>
  </si>
  <si>
    <t>อนุมีติใช้WSWT2025800ผสมใช้งานได้ปกติ</t>
  </si>
  <si>
    <t xml:space="preserve">อนุมัติใช้WSWT1921720ห้ามใช้กับเคอรี่ </t>
  </si>
  <si>
    <t>อนุมัติใช้WSWT1925800ใช้งานได้ปกติ</t>
  </si>
  <si>
    <t>TL680519</t>
  </si>
  <si>
    <t>1/242.4</t>
  </si>
  <si>
    <t>60/160568</t>
  </si>
  <si>
    <t>1500/168.9</t>
  </si>
  <si>
    <t>47/160568</t>
  </si>
  <si>
    <t>2510/179.1</t>
  </si>
  <si>
    <t>35/160568</t>
  </si>
  <si>
    <t>1500/162.1</t>
  </si>
  <si>
    <t>70/160568</t>
  </si>
  <si>
    <t>63-67</t>
  </si>
  <si>
    <t>2500/195</t>
  </si>
  <si>
    <t>72/160568</t>
  </si>
  <si>
    <t>2100/163.9</t>
  </si>
  <si>
    <t>อนุมัติใช้WSWT2025850ใช้งานได้ปกติ</t>
  </si>
  <si>
    <t>อนุมัติใช้WSWT2321750ใช้งานได้ปกติ</t>
  </si>
  <si>
    <t>อนุมัติใช้WSWT2121670smใช้งานได้ปกติ</t>
  </si>
  <si>
    <t>8/170568</t>
  </si>
  <si>
    <t>34/170568</t>
  </si>
  <si>
    <t>1500/173.6</t>
  </si>
  <si>
    <t xml:space="preserve">ผลิตขอใช้ 17/05/68 </t>
  </si>
  <si>
    <t>69/200568</t>
  </si>
  <si>
    <t>2090/170.4</t>
  </si>
  <si>
    <t>83/200568</t>
  </si>
  <si>
    <t>1965/140.1</t>
  </si>
  <si>
    <t>WSWT1621720SMFX</t>
  </si>
  <si>
    <t>91/200568</t>
  </si>
  <si>
    <t>47*46/42-47</t>
  </si>
  <si>
    <t>45*44/49.11</t>
  </si>
  <si>
    <t>โครงสร้างไม่ผ่าน/น้ำหนักสูง</t>
  </si>
  <si>
    <t>ไม่ผ่าน2.11</t>
  </si>
  <si>
    <t>200/147.4</t>
  </si>
  <si>
    <t>TL680523</t>
  </si>
  <si>
    <t>1/207.4</t>
  </si>
  <si>
    <t>60/200568</t>
  </si>
  <si>
    <t>2000/185.5</t>
  </si>
  <si>
    <t>ผลิตขอใช้กับผึ้ง 21/5/68</t>
  </si>
  <si>
    <t>ผลิตขอใช้กับMaster chef 21/5/68</t>
  </si>
  <si>
    <t>91/210568</t>
  </si>
  <si>
    <t>45*44/47.95</t>
  </si>
  <si>
    <t>ไม่ผ่าน0.95</t>
  </si>
  <si>
    <t>2000/141.3</t>
  </si>
  <si>
    <t>66/210568</t>
  </si>
  <si>
    <t>2010/183.8</t>
  </si>
  <si>
    <t>69/220568</t>
  </si>
  <si>
    <t>TL680525</t>
  </si>
  <si>
    <t>1/419.9</t>
  </si>
  <si>
    <t>ผลิตขอใช้ 22/5/68</t>
  </si>
  <si>
    <t>2538/196.1</t>
  </si>
  <si>
    <t>ผลิตขอใช้ 20/5/68</t>
  </si>
  <si>
    <t>TL680528</t>
  </si>
  <si>
    <t>50/220568</t>
  </si>
  <si>
    <t>2600/192.4</t>
  </si>
  <si>
    <t>91/220568</t>
  </si>
  <si>
    <t>1615/114</t>
  </si>
  <si>
    <t>1/184.1</t>
  </si>
  <si>
    <t>60/220568</t>
  </si>
  <si>
    <t>2000/186.5</t>
  </si>
  <si>
    <t>ผลิตขอใช้กับMaster chef 23/5/68</t>
  </si>
  <si>
    <t>อนุมัติใช้WSWT1621720SMFX</t>
  </si>
  <si>
    <t>69/250568</t>
  </si>
  <si>
    <t>73/250568</t>
  </si>
  <si>
    <t>WSWT2025800SM</t>
  </si>
  <si>
    <t>85/250568</t>
  </si>
  <si>
    <t>2000/148.8</t>
  </si>
  <si>
    <t>มีลายอัดไม่ทราบจำนวนเมตร</t>
  </si>
  <si>
    <t>2540/192</t>
  </si>
  <si>
    <t>2560/183.4</t>
  </si>
  <si>
    <t>60/260568</t>
  </si>
  <si>
    <t>2000/186.3</t>
  </si>
  <si>
    <t>TL680531</t>
  </si>
  <si>
    <t>ผลิตขอใช้ 27/5/68</t>
  </si>
  <si>
    <t>1/254.4</t>
  </si>
  <si>
    <t>32/280568</t>
  </si>
  <si>
    <t>1858/134.5</t>
  </si>
  <si>
    <t>ด้ายยืนหนีบไม่ทราบจำนวนเมตร</t>
  </si>
  <si>
    <t>JET 555</t>
  </si>
  <si>
    <t>FWBWT2037100PL</t>
  </si>
  <si>
    <t>89/68051807</t>
  </si>
  <si>
    <t>PD468052201</t>
  </si>
  <si>
    <t>พบปีกแมลงถูกเคลือบทับติดมากับกระสอบ</t>
  </si>
  <si>
    <t>อนุมัติใช้WSWT2621720SMFXติดตามคุณภาพงานพิมพ์</t>
  </si>
  <si>
    <t>13/300568</t>
  </si>
  <si>
    <t>70-74(73-78)</t>
  </si>
  <si>
    <t>2000/160.4</t>
  </si>
  <si>
    <t>88/300568</t>
  </si>
  <si>
    <t>2000/159.3</t>
  </si>
  <si>
    <t>91/300568</t>
  </si>
  <si>
    <t>2000/160.2</t>
  </si>
  <si>
    <t xml:space="preserve">ผลิตขอใช้ 30/05/68 ใช้กับยุนิคอร์นฟีด </t>
  </si>
  <si>
    <t>60/300568</t>
  </si>
  <si>
    <t>2000/186.6</t>
  </si>
  <si>
    <t>49/310568</t>
  </si>
  <si>
    <t>62.30/โครงสร้างด้ายพุ่งไม่ได้ นับได้43</t>
  </si>
  <si>
    <t>น้ำหนักเฉลี่ยม้วนต่ำ /โครงสร้างด้ายพุ่งไม่ได้ นับได้43</t>
  </si>
  <si>
    <t>0.70/ไม่ผ่าน</t>
  </si>
  <si>
    <t>2119/165</t>
  </si>
  <si>
    <t>34/310568</t>
  </si>
  <si>
    <t>น้ำหนักใบสูง/ค่าเฉลี่ยม้วนต่ำ</t>
  </si>
  <si>
    <t>127.96/119.75</t>
  </si>
  <si>
    <t>3.96/1.25</t>
  </si>
  <si>
    <t>1500/166.4</t>
  </si>
  <si>
    <t>66/010668</t>
  </si>
  <si>
    <t>1500/196.5</t>
  </si>
  <si>
    <t>81/010668</t>
  </si>
  <si>
    <t>1608/208.1</t>
  </si>
  <si>
    <t>2514/204.2</t>
  </si>
  <si>
    <t>67/010668</t>
  </si>
  <si>
    <t>46/010668</t>
  </si>
  <si>
    <t>2520/196.3</t>
  </si>
  <si>
    <t>13/010668</t>
  </si>
  <si>
    <t>88/010668</t>
  </si>
  <si>
    <t>91/010668</t>
  </si>
  <si>
    <t>56/010668</t>
  </si>
  <si>
    <t>60/010668</t>
  </si>
  <si>
    <t>117.52+หน้าผ้าหด25 6ส่วน8 ไม่ทราบจำนวนเมตร</t>
  </si>
  <si>
    <t>น้ำหนักใบสูงกว่ามาตรฐาน + หน้าผ้าหด25 6ส่วน8 ไม่ทราบจำนวนเมตร</t>
  </si>
  <si>
    <t>2000/160.9</t>
  </si>
  <si>
    <t>2000/160.5</t>
  </si>
  <si>
    <t>2000/162.7</t>
  </si>
  <si>
    <t>1518/194.6</t>
  </si>
  <si>
    <t>49/010668</t>
  </si>
  <si>
    <t>1530/195</t>
  </si>
  <si>
    <t>91/020668</t>
  </si>
  <si>
    <t>2000/162.1</t>
  </si>
  <si>
    <t>90/060668</t>
  </si>
  <si>
    <t>1030/80.4</t>
  </si>
  <si>
    <t>13/020668</t>
  </si>
  <si>
    <t>2000/161.6</t>
  </si>
  <si>
    <t>49/020668</t>
  </si>
  <si>
    <t>1502/190.6</t>
  </si>
  <si>
    <t>70/020668</t>
  </si>
  <si>
    <t>2420/180.7</t>
  </si>
  <si>
    <t>61/020668</t>
  </si>
  <si>
    <t>1500/198.6</t>
  </si>
  <si>
    <t>Zhejiang UN</t>
  </si>
  <si>
    <t>FWBWT2643150PL</t>
  </si>
  <si>
    <t>PD468052605</t>
  </si>
  <si>
    <t>สีลงเต็มสม่ำเสมอ</t>
  </si>
  <si>
    <t xml:space="preserve">ลูกค้าพบงานพิมพ์บริเวณโลโก้สีหาย จำนวน 16 ใบ ตีคืนให้นำกลับมาคัดใหม่พบจำนวนที่หาย 3900 ใบ </t>
  </si>
  <si>
    <t>ลูกค้าพบงานพิมพ์บริเวณโลโก้สีหาย จำนวน 16 ใบ ตีคืน 13200 ใบ</t>
  </si>
  <si>
    <t>83/020668</t>
  </si>
  <si>
    <t>2000/141.4</t>
  </si>
  <si>
    <t>84/020668</t>
  </si>
  <si>
    <t>2460/188.9</t>
  </si>
  <si>
    <t>56/020668</t>
  </si>
  <si>
    <t>1505/199.7</t>
  </si>
  <si>
    <t>72/020668</t>
  </si>
  <si>
    <t>2557/194.2</t>
  </si>
  <si>
    <t>16/020668</t>
  </si>
  <si>
    <t>134.63/124.58</t>
  </si>
  <si>
    <t>1500/191.1</t>
  </si>
  <si>
    <t>5.63/2.42</t>
  </si>
  <si>
    <t>TL680604</t>
  </si>
  <si>
    <t>1/244.6</t>
  </si>
  <si>
    <t>ผลิตขอใช้ 03/03/68 ใช้กับแดนโกร</t>
  </si>
  <si>
    <t>1/585.6</t>
  </si>
  <si>
    <t>56/030668</t>
  </si>
  <si>
    <t>1560/204.5</t>
  </si>
  <si>
    <t>66/030668</t>
  </si>
  <si>
    <t>1500/196.4</t>
  </si>
  <si>
    <t>1900/190.8</t>
  </si>
  <si>
    <t>72/030668</t>
  </si>
  <si>
    <t>2568/191.3</t>
  </si>
  <si>
    <t>14/030668</t>
  </si>
  <si>
    <t>2000/144.1</t>
  </si>
  <si>
    <t>81/040668</t>
  </si>
  <si>
    <t>1582/206.9</t>
  </si>
  <si>
    <t>49/040668</t>
  </si>
  <si>
    <t>1542/199.9</t>
  </si>
  <si>
    <t>16/040668</t>
  </si>
  <si>
    <t>1500/197.5</t>
  </si>
  <si>
    <t>12/040668</t>
  </si>
  <si>
    <t>73-78+ทอเรียงเส้น</t>
  </si>
  <si>
    <t>80.35 + ด้ายยืนหนีบ</t>
  </si>
  <si>
    <t>น้ำหนักสูงกว่ามาตรฐาน +ด้ายยืนหนีบ</t>
  </si>
  <si>
    <t>2000/161.8</t>
  </si>
  <si>
    <t>30/040668</t>
  </si>
  <si>
    <t>2050/159.4</t>
  </si>
  <si>
    <t>84/040668</t>
  </si>
  <si>
    <t>2500/192.8</t>
  </si>
  <si>
    <t>55/040668</t>
  </si>
  <si>
    <t>2450/195.5</t>
  </si>
  <si>
    <t>72/040668</t>
  </si>
  <si>
    <t>64-66+ทอ2/1</t>
  </si>
  <si>
    <t>62.95+ด้ายคู่ 1 คู่+ผ้าเป็นขุย</t>
  </si>
  <si>
    <t>น้ำหนักต่ำกว่ามาตรฐาน+ด้ายคู่ 1คู่+ผ้าเป็นขุย</t>
  </si>
  <si>
    <t>1950/154.1</t>
  </si>
  <si>
    <t>67/040668</t>
  </si>
  <si>
    <t>2400/189.4</t>
  </si>
  <si>
    <t>74/040668</t>
  </si>
  <si>
    <t>ด้ายคู่ 1 คู่</t>
  </si>
  <si>
    <t>2052/177.7</t>
  </si>
  <si>
    <t>FWBWT193063P</t>
  </si>
  <si>
    <t>PD468060402</t>
  </si>
  <si>
    <t>CL84/68052248</t>
  </si>
  <si>
    <t>81/050668</t>
  </si>
  <si>
    <t>1475/196</t>
  </si>
  <si>
    <t>ผลิตขอใช้ 06/06/68 ใช้กับ LMC</t>
  </si>
  <si>
    <t>ผลิตขอใช้ 06/06/68 ใช้กับ หนองบัว</t>
  </si>
  <si>
    <t>90/070668</t>
  </si>
  <si>
    <t>ผลิตขอใช้แอมโก้เวท</t>
  </si>
  <si>
    <t>2/080668</t>
  </si>
  <si>
    <t>TL680609</t>
  </si>
  <si>
    <t>คุมขนาด   2.08-2.10 mm.</t>
  </si>
  <si>
    <t>ขนาดสูฃกว่าค่าควบคุม</t>
  </si>
  <si>
    <t>26/090668</t>
  </si>
  <si>
    <t>2000/185.9</t>
  </si>
  <si>
    <t>1/353.2</t>
  </si>
  <si>
    <t>WSWT2121670SMN</t>
  </si>
  <si>
    <t>84/090668</t>
  </si>
  <si>
    <t>2000/158.7</t>
  </si>
  <si>
    <t>17/090668</t>
  </si>
  <si>
    <t>2000/158</t>
  </si>
  <si>
    <t>2000/186.7</t>
  </si>
  <si>
    <t>WSWT2025800SM ห้ามใช้อินเทค เคลือบด้าน</t>
  </si>
  <si>
    <t>WSWT2025800SM ห้ามใช้อินเทค SPM</t>
  </si>
  <si>
    <t>ผลิตขอใช้ตัดผ้าขาวคุณธนนท์ 26*39 93กรัม</t>
  </si>
  <si>
    <t>26/110668</t>
  </si>
  <si>
    <t>2010/186.5</t>
  </si>
  <si>
    <t>WSWT232111251251</t>
  </si>
  <si>
    <t>1400/181.6</t>
  </si>
  <si>
    <t>27/110668</t>
  </si>
  <si>
    <t>2000/183.9</t>
  </si>
  <si>
    <t>ผลิตขอใช้กับตัดผ้าขาวเคอรี่</t>
  </si>
  <si>
    <t>ผลิตขอใช้กับเอ็กเซลเล้นท์</t>
  </si>
  <si>
    <t>ผลิตขอใช้กับB SOYเคลือบด้าน</t>
  </si>
  <si>
    <t>61/120668</t>
  </si>
  <si>
    <t>131.61/125.63</t>
  </si>
  <si>
    <t>น้ำหนักใบสูง/เฉลี่ยม้วนกว่ามาตรฐาน</t>
  </si>
  <si>
    <t>2.61/1.37</t>
  </si>
  <si>
    <t>1370/176</t>
  </si>
  <si>
    <t>2/120668</t>
  </si>
  <si>
    <t>64/120668</t>
  </si>
  <si>
    <t>2500/202.3</t>
  </si>
  <si>
    <t>79/140668</t>
  </si>
  <si>
    <t>3.45/1.98</t>
  </si>
  <si>
    <t>127.45/119.02</t>
  </si>
  <si>
    <t>1560/172</t>
  </si>
  <si>
    <t>WSWT1921720 เพรซิเด้นท์ ผึ้ง</t>
  </si>
  <si>
    <t>WSWT2321112512551 สวมถุงในเวียดนาม</t>
  </si>
  <si>
    <t>35/160668</t>
  </si>
  <si>
    <t>1440/165.1</t>
  </si>
  <si>
    <t>TL680618</t>
  </si>
  <si>
    <t>1/518.6</t>
  </si>
  <si>
    <t>ผลิตขอใช้ 18/06/68 ใช้กับน้ำตาล</t>
  </si>
  <si>
    <t>TL680620</t>
  </si>
  <si>
    <t>1/227.4</t>
  </si>
  <si>
    <t xml:space="preserve">ผลิตขอใช้ 17/06/68 </t>
  </si>
  <si>
    <t xml:space="preserve">ผลิตขอใช้ 18/06/68 </t>
  </si>
  <si>
    <t>WRWT21720UV</t>
  </si>
  <si>
    <t>TL680621</t>
  </si>
  <si>
    <t>1/456.8</t>
  </si>
  <si>
    <t>73/190668</t>
  </si>
  <si>
    <t>2550/200.9</t>
  </si>
  <si>
    <t>WRWT21850UV</t>
  </si>
  <si>
    <t>TL680623</t>
  </si>
  <si>
    <t>1/212</t>
  </si>
  <si>
    <t xml:space="preserve">ผลิตขอใช้ 20/06/68 </t>
  </si>
  <si>
    <t>28/210668</t>
  </si>
  <si>
    <t>1500/196.8</t>
  </si>
  <si>
    <t>ผลิตขอใช้ MASTER CHEF</t>
  </si>
  <si>
    <t>79/230668</t>
  </si>
  <si>
    <t>1530//198.9</t>
  </si>
  <si>
    <t>16/230668</t>
  </si>
  <si>
    <t>1480/190.7</t>
  </si>
  <si>
    <t>30/230668</t>
  </si>
  <si>
    <t>79/80</t>
  </si>
  <si>
    <t>84.00/ด้ายคู่2คู่</t>
  </si>
  <si>
    <t>น้ำหนักใบสูง/ด้ายคู่2คู่ไม่ทราบจำนวนเมตร</t>
  </si>
  <si>
    <t>4.00/ไม่ผ่าน</t>
  </si>
  <si>
    <t>2500/206.9</t>
  </si>
  <si>
    <t>47/230668</t>
  </si>
  <si>
    <t>2130/171.4</t>
  </si>
  <si>
    <t>71/230668</t>
  </si>
  <si>
    <t>2130/173.2</t>
  </si>
  <si>
    <t>83/230668</t>
  </si>
  <si>
    <t>2500/189.9</t>
  </si>
  <si>
    <t>TL680630</t>
  </si>
  <si>
    <t>WRWT21940UV</t>
  </si>
  <si>
    <t>TL680627</t>
  </si>
  <si>
    <t>1/247.2</t>
  </si>
  <si>
    <t>WRWT251050</t>
  </si>
  <si>
    <t>TL680628</t>
  </si>
  <si>
    <t>ขนาดสูงกว่าค่าควบคุม</t>
  </si>
  <si>
    <t>ขนาดเส้นเทป(+0.05mm)</t>
  </si>
  <si>
    <t>66/240668</t>
  </si>
  <si>
    <t>1505/198.2</t>
  </si>
  <si>
    <t>ยกเลิกncr</t>
  </si>
  <si>
    <t>70/240668</t>
  </si>
  <si>
    <t>1840/141.2</t>
  </si>
  <si>
    <t>65/240668</t>
  </si>
  <si>
    <t>2070/166.3</t>
  </si>
  <si>
    <t>08/250668</t>
  </si>
  <si>
    <t>28/250668</t>
  </si>
  <si>
    <t>1518/208.8</t>
  </si>
  <si>
    <t>PD468062401</t>
  </si>
  <si>
    <t>68062412/CL28</t>
  </si>
  <si>
    <t>พบน็อตติดมากับกระสอบ</t>
  </si>
  <si>
    <t>74/250668</t>
  </si>
  <si>
    <t>1230/95.7</t>
  </si>
  <si>
    <t>ผลิตขอใช้ 25/6/68</t>
  </si>
  <si>
    <t>52/250668</t>
  </si>
  <si>
    <t>1204/159.5</t>
  </si>
  <si>
    <t>2/250668</t>
  </si>
  <si>
    <t>1500/196.9</t>
  </si>
  <si>
    <t>ผลิตขอใช้น้ำตาล ถุงใน VN</t>
  </si>
  <si>
    <t>ผลิตขอใช้ กทม.</t>
  </si>
  <si>
    <t>17/260668</t>
  </si>
  <si>
    <t>2500/185.5</t>
  </si>
  <si>
    <t>31/260668</t>
  </si>
  <si>
    <t>2500/196.5</t>
  </si>
  <si>
    <t>52/260668</t>
  </si>
  <si>
    <t>C52</t>
  </si>
  <si>
    <t>1540/187</t>
  </si>
  <si>
    <t>79/260668</t>
  </si>
  <si>
    <t>C79</t>
  </si>
  <si>
    <t>1500/197.6</t>
  </si>
  <si>
    <t>ผลิตขอใช้ ตัดผ้าขาวหนองบัว 20*30 53g</t>
  </si>
  <si>
    <t>70/260668</t>
  </si>
  <si>
    <t>1961/151.9</t>
  </si>
  <si>
    <t>83/260668</t>
  </si>
  <si>
    <t>2500/203.5</t>
  </si>
  <si>
    <t>33/260668</t>
  </si>
  <si>
    <t>72-77</t>
  </si>
  <si>
    <t>64/260668</t>
  </si>
  <si>
    <t>131.30/125.82</t>
  </si>
  <si>
    <t>1500/193</t>
  </si>
  <si>
    <t>2.30/1.18</t>
  </si>
  <si>
    <t>06/270668</t>
  </si>
  <si>
    <t>2500/193.2</t>
  </si>
  <si>
    <t>91/270668</t>
  </si>
  <si>
    <t>2000/162.3</t>
  </si>
  <si>
    <t>95/270668</t>
  </si>
  <si>
    <t>2000/166.2</t>
  </si>
  <si>
    <t>276/2568</t>
  </si>
  <si>
    <t>ผลิตขอใช้28/6/2568</t>
  </si>
  <si>
    <t>57/280668</t>
  </si>
  <si>
    <t>2544/195.1</t>
  </si>
  <si>
    <t>64/280668</t>
  </si>
  <si>
    <t>131.21/125.30</t>
  </si>
  <si>
    <t>2.21/1.70</t>
  </si>
  <si>
    <t>1500/192.2</t>
  </si>
  <si>
    <t>ผลิตขอใช้กับผึ้งชมพู</t>
  </si>
  <si>
    <t>2000/163.4</t>
  </si>
  <si>
    <t>90/280668</t>
  </si>
  <si>
    <t>TL680636</t>
  </si>
  <si>
    <t>4.21 ,4.34</t>
  </si>
  <si>
    <t>3.78 ,3.82</t>
  </si>
  <si>
    <t>0.29 ,0.16</t>
  </si>
  <si>
    <t>0.22 ,0.18</t>
  </si>
  <si>
    <t>2/801</t>
  </si>
  <si>
    <t>87/290668</t>
  </si>
  <si>
    <t>124-126</t>
  </si>
  <si>
    <t>95/290668</t>
  </si>
  <si>
    <t>2000/167.6</t>
  </si>
  <si>
    <t>91/290668</t>
  </si>
  <si>
    <t>1970/159.6</t>
  </si>
  <si>
    <t>90/290668</t>
  </si>
  <si>
    <t>1952/160.2</t>
  </si>
  <si>
    <t>33/290668</t>
  </si>
  <si>
    <t>57/290668</t>
  </si>
  <si>
    <t>79/290668</t>
  </si>
  <si>
    <t>2232/168</t>
  </si>
  <si>
    <t>1570/199.2</t>
  </si>
  <si>
    <t>1500/196.1</t>
  </si>
  <si>
    <t>ผลิตขอใช้ 30/06/68 ใช้กับSPM</t>
  </si>
  <si>
    <t>ผลิตขอใช้ 30/06/68 ใช้กับ ถุงใน ZP</t>
  </si>
  <si>
    <t>59/300668</t>
  </si>
  <si>
    <t>121/124</t>
  </si>
  <si>
    <t>1500/171.5</t>
  </si>
  <si>
    <t>28/300668</t>
  </si>
  <si>
    <t>1500/193.7</t>
  </si>
  <si>
    <t>13/300668</t>
  </si>
  <si>
    <t>2500/204.8</t>
  </si>
  <si>
    <t>16/300668</t>
  </si>
  <si>
    <t>1500/192.4</t>
  </si>
  <si>
    <t>58/300668</t>
  </si>
  <si>
    <t>418/52.7</t>
  </si>
  <si>
    <t>66/300668</t>
  </si>
  <si>
    <t>1500/192.6</t>
  </si>
  <si>
    <t>ยกเลิกNCR</t>
  </si>
  <si>
    <t>59/010768</t>
  </si>
  <si>
    <t>1500/172.6</t>
  </si>
  <si>
    <t>87/010768</t>
  </si>
  <si>
    <t>1500/194.6</t>
  </si>
  <si>
    <t>34/010768</t>
  </si>
  <si>
    <t>45/010768</t>
  </si>
  <si>
    <t>2400/194.8</t>
  </si>
  <si>
    <t>02/010768</t>
  </si>
  <si>
    <t>FISH MEAL MARIN TRUST</t>
  </si>
  <si>
    <t>PD468062805</t>
  </si>
  <si>
    <t>CS9 , CS10</t>
  </si>
  <si>
    <t>ลูกค้าพบงานพิมพ์เสีย(โลโก้เคลื่อน สีตาย) ตีคืนกลับมาให้คัดใหม่</t>
  </si>
  <si>
    <t>ตีคืนทั้งหมด 5100 ใบ</t>
  </si>
  <si>
    <t>คัดออกเป็นของเสีย 387</t>
  </si>
  <si>
    <t>ผลิตขอใช้2/7/2568</t>
  </si>
  <si>
    <t>59/020768</t>
  </si>
  <si>
    <t>56/020768</t>
  </si>
  <si>
    <t>1832/136.8</t>
  </si>
  <si>
    <t>67/020768</t>
  </si>
  <si>
    <t>0.41(1.41)</t>
  </si>
  <si>
    <t>2500/199.9</t>
  </si>
  <si>
    <t>08/020768</t>
  </si>
  <si>
    <t>1515/201.2</t>
  </si>
  <si>
    <t>54/030768</t>
  </si>
  <si>
    <t>2570/187.7</t>
  </si>
  <si>
    <t>TL680703</t>
  </si>
  <si>
    <t>1/228</t>
  </si>
  <si>
    <t>60/040768</t>
  </si>
  <si>
    <t>1500/137.8</t>
  </si>
  <si>
    <t>87/040768</t>
  </si>
  <si>
    <t>1560/202.9</t>
  </si>
  <si>
    <t>ผลิตขอใช้ ตัดผ้าขาวคุณธนนท์ 26*39 93g</t>
  </si>
  <si>
    <t>73/050768</t>
  </si>
  <si>
    <t>2534/183.5</t>
  </si>
  <si>
    <t>66/050768</t>
  </si>
  <si>
    <t>1500/196.6</t>
  </si>
  <si>
    <t>87/050768</t>
  </si>
  <si>
    <t>60/050768</t>
  </si>
  <si>
    <t>1500/136.3</t>
  </si>
  <si>
    <t>79/060768</t>
  </si>
  <si>
    <t>1500/191.5</t>
  </si>
  <si>
    <t>ผลิตขอใช้ ผึ้งเหลือง 62 g.</t>
  </si>
  <si>
    <t>50/070768</t>
  </si>
  <si>
    <t>1130/90</t>
  </si>
  <si>
    <t>14/070768</t>
  </si>
  <si>
    <t>2500/199.6</t>
  </si>
  <si>
    <t>75/070768</t>
  </si>
  <si>
    <t>2561/200.5</t>
  </si>
  <si>
    <t>WSWT1621720SMFXL</t>
  </si>
  <si>
    <t>16*28 56+-5</t>
  </si>
  <si>
    <t>1583/139.7</t>
  </si>
  <si>
    <t>63/080768</t>
  </si>
  <si>
    <t>2500/206.8</t>
  </si>
  <si>
    <t>WSWT2025800 หนองบัว ไม่พิมพ์</t>
  </si>
  <si>
    <t>WSWT2025800 หนองบัว ไม่พิมพ์ 20*30 53+-5</t>
  </si>
  <si>
    <t>WSWT2025800 ผสม</t>
  </si>
  <si>
    <t>WSWT2321112512551 สวมถุง VN</t>
  </si>
  <si>
    <t>60/080768</t>
  </si>
  <si>
    <t>1500/140.7</t>
  </si>
  <si>
    <t>59/090768</t>
  </si>
  <si>
    <t>1624/184.2</t>
  </si>
  <si>
    <t>09/090768</t>
  </si>
  <si>
    <t>CL09</t>
  </si>
  <si>
    <t>2000/158.3</t>
  </si>
  <si>
    <t>ให้ใช้ผสมพีมินเนอร์พลัส</t>
  </si>
  <si>
    <t>อนุมีติใช้WSWT2025850ใช้งานได้ปกติ</t>
  </si>
  <si>
    <t>อนุมีติใช้WSWT262575051ใช้งานได้ปกติ</t>
  </si>
  <si>
    <t>อนุมัติใช้WSWT1921720ห้ามใช้กับเคอรี่</t>
  </si>
  <si>
    <t>อนุมีติใช้WSWT1925800ใช้งานได้ปกติ</t>
  </si>
  <si>
    <t>64/110768</t>
  </si>
  <si>
    <t>2000/179.7</t>
  </si>
  <si>
    <t>59/120768</t>
  </si>
  <si>
    <t>1500/164.3</t>
  </si>
  <si>
    <t>72/130768</t>
  </si>
  <si>
    <t>2510/196</t>
  </si>
  <si>
    <t>86/130768</t>
  </si>
  <si>
    <t>2500/207.8</t>
  </si>
  <si>
    <t>78/130768</t>
  </si>
  <si>
    <t>2600/199.9</t>
  </si>
  <si>
    <t>79/130768</t>
  </si>
  <si>
    <t>1500/190.3</t>
  </si>
  <si>
    <t>69/140768</t>
  </si>
  <si>
    <t>55/60</t>
  </si>
  <si>
    <t>2610/189.7</t>
  </si>
  <si>
    <t>87/140768</t>
  </si>
  <si>
    <t>1000/128.5</t>
  </si>
  <si>
    <t>86/150768</t>
  </si>
  <si>
    <t>2500/207.6</t>
  </si>
  <si>
    <t>PD468071102</t>
  </si>
  <si>
    <t>68070414/CL26</t>
  </si>
  <si>
    <t>พบเส้นผมถูกเคลือบทับติดมากับกระสอบ</t>
  </si>
  <si>
    <t>อนุมีติใช้WSWT2121670smใช้งานได้ปกติ</t>
  </si>
  <si>
    <t>อนุมีติใช้WSWT2825850ใช้งานได้ปกติ</t>
  </si>
  <si>
    <t>56/150768</t>
  </si>
  <si>
    <t>2720/201.7</t>
  </si>
  <si>
    <t>74/160768</t>
  </si>
  <si>
    <t>2505/187.7</t>
  </si>
  <si>
    <t>87/160768</t>
  </si>
  <si>
    <t>124.19/132.48</t>
  </si>
  <si>
    <t>1500/190.5</t>
  </si>
  <si>
    <t>31/160768</t>
  </si>
  <si>
    <t>น้ำหนักเฉลี่ย/ม้วนต่ำ/น้ำหนักใบสูงกว่ามาตรฐาน</t>
  </si>
  <si>
    <t>อนุมัติใช้WSWT2825850ใช้เคลือบไม่พิมพ์ทีซียูเนียน</t>
  </si>
  <si>
    <t>อนุมัติใช้WSWT1921720ห้ามใช้กับเคอรี่ใช้กับผึ้ง เอ็กเซลเล้นท์</t>
  </si>
  <si>
    <t>อนุมัติใช้WSWT2321112512551ผสมใช้งานได้ปกติ</t>
  </si>
  <si>
    <t>VC100</t>
  </si>
  <si>
    <t>PD468071602</t>
  </si>
  <si>
    <t>CL15,CL33</t>
  </si>
  <si>
    <t>พบรอยผ้าพับ</t>
  </si>
  <si>
    <t>ปรึกษาฝ่ายขายไม่สามารถส่งลูกค้าได้</t>
  </si>
  <si>
    <t>ผ้าเรียบเสมอทั้งผืนไม่มีรอยพับและ ไม่มีตำหนิ</t>
  </si>
  <si>
    <t>WSWT2025800SML</t>
  </si>
  <si>
    <t>1972/196.8</t>
  </si>
  <si>
    <t>59/180768</t>
  </si>
  <si>
    <t>1490/167.3</t>
  </si>
  <si>
    <t>89/190768</t>
  </si>
  <si>
    <t>62-67(68-73)</t>
  </si>
  <si>
    <t>78/190768</t>
  </si>
  <si>
    <t>2620/205.9</t>
  </si>
  <si>
    <t>72/190768</t>
  </si>
  <si>
    <t>2512/191.9</t>
  </si>
  <si>
    <t>86/200768</t>
  </si>
  <si>
    <t>2500/207.5</t>
  </si>
  <si>
    <t>69/200768</t>
  </si>
  <si>
    <t>1843/136.7</t>
  </si>
  <si>
    <t>1/200768</t>
  </si>
  <si>
    <t>67/200768</t>
  </si>
  <si>
    <t>น้ำหนักต่ำกว่ามาตรฐาน+โครงสร้างนับได้43</t>
  </si>
  <si>
    <t>1667/127.1</t>
  </si>
  <si>
    <t>1.55/ไม่ผ่าน</t>
  </si>
  <si>
    <t>ผลิตขอใช้ 21/07/68 ใช้กับเครือข่ายข่าวชุมชนหนองกะปุ</t>
  </si>
  <si>
    <t>62/210768</t>
  </si>
  <si>
    <t>2500/193.9</t>
  </si>
  <si>
    <t>14/210768</t>
  </si>
  <si>
    <t>WSWT2025800 แป้งมันหมักม่วง เอ็กซ์เส้นน์</t>
  </si>
  <si>
    <t>WSWT2321112512551 ผสม</t>
  </si>
  <si>
    <t>86/220768</t>
  </si>
  <si>
    <t>2505/199.8</t>
  </si>
  <si>
    <t>86/240768</t>
  </si>
  <si>
    <t>2500/207.9</t>
  </si>
  <si>
    <t>ห้ามใช้เคอรี่</t>
  </si>
  <si>
    <t>ตัดผ้าขาวสวมถุง รอออร์เดอร์จาก MK</t>
  </si>
  <si>
    <t>2500/196.4</t>
  </si>
  <si>
    <t>14/020868</t>
  </si>
  <si>
    <t>43/62.86</t>
  </si>
  <si>
    <t>โครงสร้างด้ายพุ่งไม่ได้ นับได้43/น้ำหนักเฉลี่ย/ม้วนต่ำกว่ามาตรฐาน</t>
  </si>
  <si>
    <t>ไม่ผ่าน/0.98</t>
  </si>
  <si>
    <t>ผลิตขอใช้ตัดผ้าขาวเคอรี่ ปรับตะเข็บ+ความยาว ตาม นน.PD4</t>
  </si>
  <si>
    <t>66/040868</t>
  </si>
  <si>
    <t>1500/190.1</t>
  </si>
  <si>
    <t>60/050868</t>
  </si>
  <si>
    <t>1480/168.2</t>
  </si>
  <si>
    <t>15/050868</t>
  </si>
  <si>
    <t>2480/196.7</t>
  </si>
  <si>
    <t xml:space="preserve">WSWT2025800 </t>
  </si>
  <si>
    <t>29/060868</t>
  </si>
  <si>
    <t>2500/199.4</t>
  </si>
  <si>
    <t>47/060868</t>
  </si>
  <si>
    <t>1523/193.8</t>
  </si>
  <si>
    <t>WSWT2625850SML</t>
  </si>
  <si>
    <t>68080438 , 68080151</t>
  </si>
  <si>
    <t>680810/4-5</t>
  </si>
  <si>
    <t>150+/-5</t>
  </si>
  <si>
    <t>148.12 / 148.38</t>
  </si>
  <si>
    <t>1.88 , 1.62</t>
  </si>
  <si>
    <t>3992/504</t>
  </si>
  <si>
    <t>60/060868</t>
  </si>
  <si>
    <t>34/070868</t>
  </si>
  <si>
    <t>1120/126.1</t>
  </si>
  <si>
    <t>TL680807</t>
  </si>
  <si>
    <t>เส้นเทปมี2สีในหลอด(สีใส+สีขาว)</t>
  </si>
  <si>
    <t>1/240.2</t>
  </si>
  <si>
    <t>70/070868</t>
  </si>
  <si>
    <t>1562/199.3</t>
  </si>
  <si>
    <t>2/070868</t>
  </si>
  <si>
    <t>2000/195.4</t>
  </si>
  <si>
    <t>19/070868</t>
  </si>
  <si>
    <t>น้ำหนักเฉลี่ยม้วนต่ำกว่ามาตรฐาน</t>
  </si>
  <si>
    <t>2505/194.1</t>
  </si>
  <si>
    <t>49/070868</t>
  </si>
  <si>
    <t>59/070868</t>
  </si>
  <si>
    <t>WSWT2825850 ผลิตขอใช้ TRJ</t>
  </si>
  <si>
    <t>27/080868</t>
  </si>
  <si>
    <t>1530/176.1</t>
  </si>
  <si>
    <t>ผลิตขอใช้ W30 หรือMTS</t>
  </si>
  <si>
    <t>ตัดผ้าขาวไม่พิมพ์  TC</t>
  </si>
  <si>
    <t>33/080868</t>
  </si>
  <si>
    <t>น้ำหนักใบสูงกว่ามาตรฐาน/มีลายอัด</t>
  </si>
  <si>
    <t>3.09/ไม่ผ่าน</t>
  </si>
  <si>
    <t>2000/147.9</t>
  </si>
  <si>
    <t>72-77 ทอเรียงเส้น</t>
  </si>
  <si>
    <t>80.09 มีลายอัดไม่ทราบจำนวนเมตร</t>
  </si>
  <si>
    <t>6/080868</t>
  </si>
  <si>
    <t>2000M</t>
  </si>
  <si>
    <t>2722M</t>
  </si>
  <si>
    <t>ไม่ผ่านความยาวเกิน2000M</t>
  </si>
  <si>
    <t>722M</t>
  </si>
  <si>
    <t>2722/268.4</t>
  </si>
  <si>
    <t>64/080868</t>
  </si>
  <si>
    <t>2000/172.7</t>
  </si>
  <si>
    <t>TL680809</t>
  </si>
  <si>
    <t>1/221.1</t>
  </si>
  <si>
    <t>66/090868</t>
  </si>
  <si>
    <t>1540/195</t>
  </si>
  <si>
    <t>60/090868</t>
  </si>
  <si>
    <t>1500/168.2</t>
  </si>
  <si>
    <t>79/130868</t>
  </si>
  <si>
    <t>1730/224</t>
  </si>
  <si>
    <t>35/130868</t>
  </si>
  <si>
    <t>น้ำหนักต่ำกว่ามาตรฐาน/ด้ายคู่1คู่</t>
  </si>
  <si>
    <t>1500/162.3</t>
  </si>
  <si>
    <t>61/130868</t>
  </si>
  <si>
    <t>1500/168.8</t>
  </si>
  <si>
    <t>55/130868</t>
  </si>
  <si>
    <t>2544/206.9</t>
  </si>
  <si>
    <t>15/140868</t>
  </si>
  <si>
    <t>2500/197.1</t>
  </si>
  <si>
    <t>27/140868</t>
  </si>
  <si>
    <t>1500/178.4</t>
  </si>
  <si>
    <t>28/140868</t>
  </si>
  <si>
    <t>75/140868</t>
  </si>
  <si>
    <t>750/97.5</t>
  </si>
  <si>
    <t>1502/169.6</t>
  </si>
  <si>
    <t>ผลิตขอใช้15/8/2568</t>
  </si>
  <si>
    <t>6/150868</t>
  </si>
  <si>
    <t>1500/176.2</t>
  </si>
  <si>
    <t>27/150868</t>
  </si>
  <si>
    <t>1500/173</t>
  </si>
  <si>
    <t>75/150868</t>
  </si>
  <si>
    <t>840/94.3</t>
  </si>
  <si>
    <t>6/180868</t>
  </si>
  <si>
    <t>2000/251.2</t>
  </si>
  <si>
    <t>3/180868</t>
  </si>
  <si>
    <t>1495/167.9</t>
  </si>
  <si>
    <t>อนุมัติใช้WSWT2825850.ใช้งานได้ปกติ</t>
  </si>
  <si>
    <t>อนุมัติใช้WSWT2825850ใช้เคลือบTCปรับน้ำหนักขึ้น</t>
  </si>
  <si>
    <t>อนุมัติใช้WSWT2625850SMใช้งานได้ปกติ</t>
  </si>
  <si>
    <t>อนุมัติใช้WSWT2025850SMใช้ตัดผ้าขาวไม่พิมพ์รอออเดอร์MK</t>
  </si>
  <si>
    <t>อนุมีติใช้WSWT262575051ไม่พิมพ์คุณธนนท์</t>
  </si>
  <si>
    <t>3/190868</t>
  </si>
  <si>
    <t>1480/166.1</t>
  </si>
  <si>
    <t>ผลิตขอใช้พิมพ์ราชสีห์ ข้าวหอมมะลิ</t>
  </si>
  <si>
    <t>60/200868</t>
  </si>
  <si>
    <t>1500/168.5</t>
  </si>
  <si>
    <t>47/210868</t>
  </si>
  <si>
    <t>C47</t>
  </si>
  <si>
    <t>1290/157.5</t>
  </si>
  <si>
    <t>27/210868</t>
  </si>
  <si>
    <t>1450/169.2</t>
  </si>
  <si>
    <t>WB เบทาโกร 323 30KG.NM</t>
  </si>
  <si>
    <t>PD468082007</t>
  </si>
  <si>
    <t>พบรอยขูดเป็นทางยาว 993 ใบ</t>
  </si>
  <si>
    <t>รอยขูดเป็นทางยาว</t>
  </si>
  <si>
    <t>ไม่สามารถส่งได้</t>
  </si>
  <si>
    <t>04/230868</t>
  </si>
  <si>
    <t>2450/200.4</t>
  </si>
  <si>
    <t>WSWT1921720 ผึ้ง</t>
  </si>
  <si>
    <t>อนุมัติใช้WSWT2825850ใช้งานปกติ</t>
  </si>
  <si>
    <t>อนุมัติใช้WSWT23211125120SMFXใช้งานปกติ</t>
  </si>
  <si>
    <t>อนุมัติใช้WSWT2025850ใช้งานปกติ</t>
  </si>
  <si>
    <t>อนุมัติใช้WSWT23211125120SMFXห้ามพิมพ์รอออเดอร์จากMK</t>
  </si>
  <si>
    <t>อนุมัติใช้WSWT2825850ผสมใช้งานปกติ</t>
  </si>
  <si>
    <t>เฟิร์สช้อย913</t>
  </si>
  <si>
    <t>FWBWT2036100PLM</t>
  </si>
  <si>
    <t>PD468082303</t>
  </si>
  <si>
    <t>พบพนักงานนำสีมาใช้ผิดเบอร์ จำนวน 280 ใบ</t>
  </si>
  <si>
    <t>พนักงานนำสีมาใช้ผิดเบอร์</t>
  </si>
  <si>
    <t>งานพิมพ์เฉดสีตรงตามอาร์ต</t>
  </si>
  <si>
    <t>75/270868</t>
  </si>
  <si>
    <t>2319/169.8</t>
  </si>
  <si>
    <t>ผลิตขอใช้27/8/2568 ใช้กับแป้งมันหมัก</t>
  </si>
  <si>
    <t>2500/173.9</t>
  </si>
  <si>
    <t>03/270868</t>
  </si>
  <si>
    <t>74/270868</t>
  </si>
  <si>
    <t>2524/193.4</t>
  </si>
  <si>
    <t>WSWT1625800SM</t>
  </si>
  <si>
    <t>15/280868</t>
  </si>
  <si>
    <t>2766M</t>
  </si>
  <si>
    <t>766M</t>
  </si>
  <si>
    <t>2766/170.6</t>
  </si>
  <si>
    <t>FWBWT2137100PL</t>
  </si>
  <si>
    <t>PD468082507</t>
  </si>
  <si>
    <t>สีลงเต็มสม่ำเสมอ งานพิมพ์ชัดเจน</t>
  </si>
  <si>
    <t>พบสีลอกน้ำเงิน SC6-15219 และสีดำ 07-10 จำนวนทั้งหมด 13,252 ใบ ของเสีย 995 ใบ ของดี(ลอก) 12,257 ใบ</t>
  </si>
  <si>
    <t>สีลอกน้ำเงิน SC6-15219 และสีดำ 07-10 จำนวนทั้งหมด 13,252 ใบ ของเสีย 995 ใบ ของดี(ลอก) 12,257 ใบ</t>
  </si>
  <si>
    <t>พิมพ์ใหม่ไม่สามารถส่งลูกค้าได้</t>
  </si>
  <si>
    <t>TL680901</t>
  </si>
  <si>
    <t>03/010968</t>
  </si>
  <si>
    <t>2500/174.5</t>
  </si>
  <si>
    <t>1/212.4</t>
  </si>
  <si>
    <t>ลดเกรด 235 ใบ</t>
  </si>
  <si>
    <t>78/030968</t>
  </si>
  <si>
    <t>2500/203.7</t>
  </si>
  <si>
    <t>ผลิตขอใช้WSWT1625800SM</t>
  </si>
  <si>
    <t>3/040968</t>
  </si>
  <si>
    <t>2435/197.1</t>
  </si>
  <si>
    <t>2500/205.1</t>
  </si>
  <si>
    <t>81/040968</t>
  </si>
  <si>
    <t>ผลิตขอใช้ 05/09/68 ตัดผ้าขาวเคอรี่</t>
  </si>
  <si>
    <t>78/050968</t>
  </si>
  <si>
    <t>2600/190.6</t>
  </si>
  <si>
    <t>อนุมัติใช้WSWT1921720 ใช้งานปกติ</t>
  </si>
  <si>
    <t>อนุมัติใช้WSWT2025700 ใช้งานปกติ</t>
  </si>
  <si>
    <t>PD468090410</t>
  </si>
  <si>
    <t>CL29 / 68090138</t>
  </si>
  <si>
    <t>พบขนนกถูกเคลือบติดมากับกระสอบ</t>
  </si>
  <si>
    <t>14/060968</t>
  </si>
  <si>
    <t>30/060968</t>
  </si>
  <si>
    <t>2500/182.9</t>
  </si>
  <si>
    <t>82/060968</t>
  </si>
  <si>
    <t>1750/137</t>
  </si>
  <si>
    <t>06/060968</t>
  </si>
  <si>
    <t>1500/150.1</t>
  </si>
  <si>
    <t>89/070968</t>
  </si>
  <si>
    <t>2700M</t>
  </si>
  <si>
    <t>700M</t>
  </si>
  <si>
    <t>2700/203.6</t>
  </si>
  <si>
    <t>3/070968</t>
  </si>
  <si>
    <t>2450/198.3</t>
  </si>
  <si>
    <t>8/080968</t>
  </si>
  <si>
    <t>1860/154.7</t>
  </si>
  <si>
    <t>49/080968</t>
  </si>
  <si>
    <t>2529/193.5</t>
  </si>
  <si>
    <t>50/080968</t>
  </si>
  <si>
    <t>2429/185.6</t>
  </si>
  <si>
    <t>53/080968</t>
  </si>
  <si>
    <t>2239/168.5</t>
  </si>
  <si>
    <t>2231/173</t>
  </si>
  <si>
    <t>ผลิตขอใช้ ผึ้ง</t>
  </si>
  <si>
    <t>71/080968</t>
  </si>
  <si>
    <t>2266/212.1</t>
  </si>
  <si>
    <t>16/080968</t>
  </si>
  <si>
    <t>TL680907</t>
  </si>
  <si>
    <t>เส้นเทปมี2สีในหลอด (สีขาว+สีใส)</t>
  </si>
  <si>
    <t>TL680908</t>
  </si>
  <si>
    <t>76/100968</t>
  </si>
  <si>
    <t>ขอบผ้าแตกเป็นขุย</t>
  </si>
  <si>
    <t>ไม่ผ่านขอบผ้าเป็นขุย</t>
  </si>
  <si>
    <t>1730/139.1</t>
  </si>
  <si>
    <t>74/100968</t>
  </si>
  <si>
    <t>2520/192.9</t>
  </si>
  <si>
    <t>WSWTSCL0223211125</t>
  </si>
  <si>
    <t>70/100968</t>
  </si>
  <si>
    <t>90-95</t>
  </si>
  <si>
    <t>2000/206.1</t>
  </si>
  <si>
    <t>ผลิตขอใช้ตัดผ้าขาวโรงสีธัญกิจ</t>
  </si>
  <si>
    <t>WSWT2025800SM VCF</t>
  </si>
  <si>
    <t>WSWT2025800SM VCF AJ ฟามาแล็บ</t>
  </si>
  <si>
    <t>WSWT2625850SM ไม่พิมพ์ เคลือบ TC</t>
  </si>
  <si>
    <t>WSWT1925800 ใช้กับผึ้ง แพรซีเดนท์</t>
  </si>
  <si>
    <t>66/100968</t>
  </si>
  <si>
    <t>59/120968</t>
  </si>
  <si>
    <t>79/120968</t>
  </si>
  <si>
    <t>1550/176.4</t>
  </si>
  <si>
    <t>91/120968</t>
  </si>
  <si>
    <t>3/130968</t>
  </si>
  <si>
    <t>1570/175.3</t>
  </si>
  <si>
    <t>36/130968</t>
  </si>
  <si>
    <t>ด้ายพุ่งห่าง</t>
  </si>
  <si>
    <t>1296/145.1</t>
  </si>
  <si>
    <t>35/130968</t>
  </si>
  <si>
    <t>121-124 ลายอัด 2อัด1</t>
  </si>
  <si>
    <t>119.87/ลายอัด 2/1 ขาดหาย</t>
  </si>
  <si>
    <t>เฉลี่ยม้วนต่ำ/ลายอัด 2 อัด 1 ขาดหาย</t>
  </si>
  <si>
    <t>1.13/ ไม่ผ่าน</t>
  </si>
  <si>
    <t>1150/127.7</t>
  </si>
  <si>
    <t>59/130968</t>
  </si>
  <si>
    <t>1490/167.8</t>
  </si>
  <si>
    <t>30/130968</t>
  </si>
  <si>
    <t>03/140968</t>
  </si>
  <si>
    <t>1500/162.8</t>
  </si>
  <si>
    <t>น้ำหนักใบสูง+น้ำหนักเฉลี่ย/ม้วนต่ำกว่ามาตรฐาน</t>
  </si>
  <si>
    <t>นน.ใบ 127.30 /นน.เฉลี่ย/ม้วน 117.16</t>
  </si>
  <si>
    <t>79/150968</t>
  </si>
  <si>
    <t>WSWT2825850 ผสม</t>
  </si>
  <si>
    <t>3/150968</t>
  </si>
  <si>
    <t>1440/162.1</t>
  </si>
  <si>
    <t>ผลิตขอใช้ แอมโก้เวท</t>
  </si>
  <si>
    <t>ผลิตขอใช้ TRJ ผสม</t>
  </si>
  <si>
    <t>04/160968</t>
  </si>
  <si>
    <t>1500/172.2</t>
  </si>
  <si>
    <t>57/160968</t>
  </si>
  <si>
    <t>ผลิตขอใช้ WSWT2825850</t>
  </si>
  <si>
    <t>59/170968</t>
  </si>
  <si>
    <t>61/170968</t>
  </si>
  <si>
    <t>1500/170.6</t>
  </si>
  <si>
    <t>ใช้เคลือบ TC ยูเนียน</t>
  </si>
  <si>
    <t>34/200968</t>
  </si>
  <si>
    <t>1500/170</t>
  </si>
  <si>
    <t>35/210968</t>
  </si>
  <si>
    <t>1500/161.3</t>
  </si>
  <si>
    <t>66/220968</t>
  </si>
  <si>
    <t>2000/192.2</t>
  </si>
  <si>
    <t>ผลิตขอใช้เคลือบTUNA</t>
  </si>
  <si>
    <t>WSWT1825800</t>
  </si>
  <si>
    <t>33/011068</t>
  </si>
  <si>
    <t>49-54</t>
  </si>
  <si>
    <t>2500/167.5</t>
  </si>
  <si>
    <t>47/021068</t>
  </si>
  <si>
    <t>1500/115.5</t>
  </si>
  <si>
    <t>02/031068</t>
  </si>
  <si>
    <t>2430/196.6</t>
  </si>
  <si>
    <t>15/031068</t>
  </si>
  <si>
    <t>2500/207.2</t>
  </si>
  <si>
    <t>80/031068</t>
  </si>
  <si>
    <t>2640/185.1</t>
  </si>
  <si>
    <t>50/031068</t>
  </si>
  <si>
    <t>2000/159.1</t>
  </si>
  <si>
    <t>มีด้ายใสก้นหลอด</t>
  </si>
  <si>
    <t>47/031068</t>
  </si>
  <si>
    <t>1500/114.5</t>
  </si>
  <si>
    <t>03/031068</t>
  </si>
  <si>
    <t>1350/158.2</t>
  </si>
  <si>
    <t>89/031068</t>
  </si>
  <si>
    <t>2500/214</t>
  </si>
  <si>
    <t>ผลิตขอใช้ 3/10/2568 ใช้กับเคอรี่</t>
  </si>
  <si>
    <t>ผลิตขอใช้ 3/10/2568 ใช้กับแป้งมันmts.</t>
  </si>
  <si>
    <t>ผลิตขอใช้TRJ</t>
  </si>
  <si>
    <t>07/041068</t>
  </si>
  <si>
    <t>2000/207</t>
  </si>
  <si>
    <t>01/041068</t>
  </si>
  <si>
    <t>1900/193.2</t>
  </si>
  <si>
    <t>82/041068</t>
  </si>
  <si>
    <t>2500/177.3</t>
  </si>
  <si>
    <t>WSWT24211125120</t>
  </si>
  <si>
    <t>70/041068</t>
  </si>
  <si>
    <t>120-123</t>
  </si>
  <si>
    <t>1497/184.1</t>
  </si>
  <si>
    <t>47/041068</t>
  </si>
  <si>
    <t>1340/102.4</t>
  </si>
  <si>
    <t>ผลิตขอใช้ 4/10/2568 ใช้กับน้าตาลอนนท์</t>
  </si>
  <si>
    <t>ผลิตขอใช้ 4/10/2568 ใช้กับTC</t>
  </si>
  <si>
    <t>1/061068</t>
  </si>
  <si>
    <t>1950/192.4</t>
  </si>
  <si>
    <t>1800/178.3</t>
  </si>
  <si>
    <t>หน้าผ้ากว้าง26นิ้ว/111-116</t>
  </si>
  <si>
    <t>หน้าผ้าหด25นิ้ว6หุน/ 117.71</t>
  </si>
  <si>
    <t>ไม่ผ่านหน้าผ้าหด/ น้ำหนักใบสูงกว่ามาตรฐาน</t>
  </si>
  <si>
    <t>ไม่ผ่าน/1.71</t>
  </si>
  <si>
    <t>8/061068</t>
  </si>
  <si>
    <t>2500/262.9</t>
  </si>
  <si>
    <t>4/061068</t>
  </si>
  <si>
    <t>60/061068</t>
  </si>
  <si>
    <t>1500/167.8</t>
  </si>
  <si>
    <t>61/061068</t>
  </si>
  <si>
    <t>1500/168</t>
  </si>
  <si>
    <t>85/061068</t>
  </si>
  <si>
    <t>2500/165.7</t>
  </si>
  <si>
    <t>32/061068</t>
  </si>
  <si>
    <t>2500/164.7</t>
  </si>
  <si>
    <t>29/061068</t>
  </si>
  <si>
    <t>2500/166</t>
  </si>
  <si>
    <t>94/061068</t>
  </si>
  <si>
    <t>2415/190.3</t>
  </si>
  <si>
    <t>56/061068</t>
  </si>
  <si>
    <t>2594/214.7</t>
  </si>
  <si>
    <t>54/061068</t>
  </si>
  <si>
    <t>2930/238.3</t>
  </si>
  <si>
    <t>92/061068</t>
  </si>
  <si>
    <t>2500/208.2</t>
  </si>
  <si>
    <t>67/061068</t>
  </si>
  <si>
    <t>79-79</t>
  </si>
  <si>
    <t>2500/200.7</t>
  </si>
  <si>
    <t>3.03/0.49</t>
  </si>
  <si>
    <t>70/071068</t>
  </si>
  <si>
    <t>120-124</t>
  </si>
  <si>
    <t>1535/189.6</t>
  </si>
  <si>
    <t>75/071068</t>
  </si>
  <si>
    <t>1535/184.6</t>
  </si>
  <si>
    <t>ผลิตขอใช้ 7/10/2568 ตัดผ้าขาว TC</t>
  </si>
  <si>
    <t>อนุมัติใช้WSWT1621720SMFXใช้งานได้ปกติ</t>
  </si>
  <si>
    <t>อนุมัติใช้WSWT1825800ใช้งานได้ปกติ</t>
  </si>
  <si>
    <t>อนุมัติใช้WSWT2825850ไม่พิมพ์TCใช้งานได้ปกติ</t>
  </si>
  <si>
    <t>47/081068</t>
  </si>
  <si>
    <t>1617/132.2</t>
  </si>
  <si>
    <t>79/081068</t>
  </si>
  <si>
    <t>26/081068</t>
  </si>
  <si>
    <t>2163/176.6</t>
  </si>
  <si>
    <t>25/081068</t>
  </si>
  <si>
    <t>2450/199.7</t>
  </si>
  <si>
    <t>ผลิตขอใช้ 8/10/2568 ใช้พิมพ์น้ำตาลนนท์</t>
  </si>
  <si>
    <t>15/081068</t>
  </si>
  <si>
    <t>ผลิตขอใช้8/10/68</t>
  </si>
  <si>
    <t>29/081068</t>
  </si>
  <si>
    <t>1276/85.2</t>
  </si>
  <si>
    <t>47/091068</t>
  </si>
  <si>
    <t>1500/114.1</t>
  </si>
  <si>
    <t>ผลิตขิใช้9/10/68</t>
  </si>
  <si>
    <t>75/091068</t>
  </si>
  <si>
    <t>1321/165.1</t>
  </si>
  <si>
    <t>73/091068</t>
  </si>
  <si>
    <t>2540/192.3</t>
  </si>
  <si>
    <t>89/091068</t>
  </si>
  <si>
    <t>2500/208.5</t>
  </si>
  <si>
    <t>71/091068</t>
  </si>
  <si>
    <t>2770/218.4</t>
  </si>
  <si>
    <t>50/091068</t>
  </si>
  <si>
    <t>2560/199.4</t>
  </si>
  <si>
    <t>57/091068</t>
  </si>
  <si>
    <t>1819/204</t>
  </si>
  <si>
    <t xml:space="preserve">CL29 </t>
  </si>
  <si>
    <t>75/101068</t>
  </si>
  <si>
    <t>2170/189.6</t>
  </si>
  <si>
    <t>52/101068</t>
  </si>
  <si>
    <t>2620/174.9</t>
  </si>
  <si>
    <t>25/101068</t>
  </si>
  <si>
    <t>54/101068</t>
  </si>
  <si>
    <t>2490/204.2</t>
  </si>
  <si>
    <t>56/101068</t>
  </si>
  <si>
    <t>2336/195.1</t>
  </si>
  <si>
    <t>89/101068</t>
  </si>
  <si>
    <t>1730/144.1</t>
  </si>
  <si>
    <t>83/101068</t>
  </si>
  <si>
    <t>2500/168.2</t>
  </si>
  <si>
    <t>84/101068</t>
  </si>
  <si>
    <t>2500/172.7</t>
  </si>
  <si>
    <t>85/101068</t>
  </si>
  <si>
    <t>2500/168.4</t>
  </si>
  <si>
    <t>4/101068</t>
  </si>
  <si>
    <t>1570/176.8</t>
  </si>
  <si>
    <t>57/101068</t>
  </si>
  <si>
    <t>57/111068</t>
  </si>
  <si>
    <t>720/85.2</t>
  </si>
  <si>
    <t>03/111068</t>
  </si>
  <si>
    <t>26/111068</t>
  </si>
  <si>
    <t>16/111068</t>
  </si>
  <si>
    <t>2500/197.4</t>
  </si>
  <si>
    <t>75/111068</t>
  </si>
  <si>
    <t>2260/194.9</t>
  </si>
  <si>
    <t>32/111068</t>
  </si>
  <si>
    <t>1802/119.5</t>
  </si>
  <si>
    <t>83/111068</t>
  </si>
  <si>
    <t>2500/170.3</t>
  </si>
  <si>
    <t>84/111068</t>
  </si>
  <si>
    <t>2500/176.1</t>
  </si>
  <si>
    <t>85/111068</t>
  </si>
  <si>
    <t>2080/138.1</t>
  </si>
  <si>
    <t>75/131068</t>
  </si>
  <si>
    <t>2015/174.9</t>
  </si>
  <si>
    <t>ผลิตขอใช้เคลือบ BOBBI</t>
  </si>
  <si>
    <t>03/131068</t>
  </si>
  <si>
    <t>1400/160.8</t>
  </si>
  <si>
    <t>79/131068</t>
  </si>
  <si>
    <t>1700/190.8</t>
  </si>
  <si>
    <t>15/131068</t>
  </si>
  <si>
    <t>2500/206.1</t>
  </si>
  <si>
    <t>31/131068</t>
  </si>
  <si>
    <t>84/131068</t>
  </si>
  <si>
    <t>996/69.8</t>
  </si>
  <si>
    <t>70/131068</t>
  </si>
  <si>
    <t>1531/187.9</t>
  </si>
  <si>
    <t>อนุมัติใช้WSWT1921720ตัดผ้าขาวปรับ+ตะเข็บ+ความยาวใช้งานได้ปกติ</t>
  </si>
  <si>
    <t>อนุมัติใช้WSWT24211125120ใช้งานได้ปกติ</t>
  </si>
  <si>
    <t>อนุมัติใช้WSWT2025800ใช้งานได้ปกติ</t>
  </si>
  <si>
    <t>อนุมัติใช้WSWT1921720ห้ามใช้กับเคอรี่ใช้งานได้ปกติ</t>
  </si>
  <si>
    <t>03/141068</t>
  </si>
  <si>
    <t>1400/162.2</t>
  </si>
  <si>
    <t>57/141068</t>
  </si>
  <si>
    <t>1511/171.3</t>
  </si>
  <si>
    <t>79/141068</t>
  </si>
  <si>
    <t>75/141068</t>
  </si>
  <si>
    <t>2015/174.8</t>
  </si>
  <si>
    <t>1450 / 168</t>
  </si>
  <si>
    <t>15/141068</t>
  </si>
  <si>
    <t>2500/208.6</t>
  </si>
  <si>
    <t>56/141068</t>
  </si>
  <si>
    <t>2468/203.2</t>
  </si>
  <si>
    <t>75/151068</t>
  </si>
  <si>
    <t>2019/176.3</t>
  </si>
  <si>
    <t>ผลิตขอใช้เคลือบแอมโก้เวท</t>
  </si>
  <si>
    <t>04/151068</t>
  </si>
  <si>
    <t>1000/113.5</t>
  </si>
  <si>
    <t>57/151068</t>
  </si>
  <si>
    <t>1556 / 176</t>
  </si>
  <si>
    <t>07/151068</t>
  </si>
  <si>
    <t>2000/213.3</t>
  </si>
  <si>
    <t>08/151068</t>
  </si>
  <si>
    <t>2000/215.2</t>
  </si>
  <si>
    <t>30/151068</t>
  </si>
  <si>
    <t>2500/202.8</t>
  </si>
  <si>
    <t>31/151068</t>
  </si>
  <si>
    <t>06/151068</t>
  </si>
  <si>
    <t>2000/209.1</t>
  </si>
  <si>
    <t>56/151068</t>
  </si>
  <si>
    <t>69/151068</t>
  </si>
  <si>
    <t>1545/127.9</t>
  </si>
  <si>
    <t>2400/197.4</t>
  </si>
  <si>
    <t>08/161068</t>
  </si>
  <si>
    <t>75/161068</t>
  </si>
  <si>
    <t>2000 / 203</t>
  </si>
  <si>
    <t>2150 / 186</t>
  </si>
  <si>
    <t>ซันฟีด ขุนศึกเบอร์ 1</t>
  </si>
  <si>
    <t>FWBWT2038100PLM</t>
  </si>
  <si>
    <t>PD468101508</t>
  </si>
  <si>
    <t>CL82/68101313</t>
  </si>
  <si>
    <t>พบเส้นผมถูกเคลือบติดมากับกระสอบ</t>
  </si>
  <si>
    <t xml:space="preserve">อนุมัติใช้WSWT2125650ตัดผ้าขาวหนองบัว ระวังตอนคัด </t>
  </si>
  <si>
    <t>อนุมัติใช้WSWT1825800ช้งานได้ปกติ</t>
  </si>
  <si>
    <t>03/171068</t>
  </si>
  <si>
    <t>04/171068</t>
  </si>
  <si>
    <t>1510/172.1</t>
  </si>
  <si>
    <t>15/171068</t>
  </si>
  <si>
    <t>47/171068</t>
  </si>
  <si>
    <t>2244/175.8</t>
  </si>
  <si>
    <t>อนุมัติใช้WSWT1921720ใช้งานได้ปกติ</t>
  </si>
  <si>
    <t>อนุมัติใช้WSWT241125120ใช้งานได้ปกติ</t>
  </si>
  <si>
    <t>อนุมัติใช้WSWT2625800ใช้งานได้ปกติ</t>
  </si>
  <si>
    <t>อนุมัติใช้WSWT2625800ช้งานได้ปกติ</t>
  </si>
  <si>
    <t>78/181068</t>
  </si>
  <si>
    <t>2120/153.3</t>
  </si>
  <si>
    <t>47/181068</t>
  </si>
  <si>
    <t>2524/208.8</t>
  </si>
  <si>
    <t>83/180168</t>
  </si>
  <si>
    <t>2128/168.5</t>
  </si>
  <si>
    <t>56/180168</t>
  </si>
  <si>
    <t>2503/200.7</t>
  </si>
  <si>
    <t>31/191068</t>
  </si>
  <si>
    <t>2000/150.8</t>
  </si>
  <si>
    <t>48/191068</t>
  </si>
  <si>
    <t>นน.ใบ 80.81/นน.เฉลี่ย/ม้วน 75.45</t>
  </si>
  <si>
    <t>2692/207.7</t>
  </si>
  <si>
    <t>85/191068</t>
  </si>
  <si>
    <t>92/201068</t>
  </si>
  <si>
    <t>2000/151.6</t>
  </si>
  <si>
    <t>82/201068</t>
  </si>
  <si>
    <t>2500/180.2</t>
  </si>
  <si>
    <t>70/201068</t>
  </si>
  <si>
    <t>2587/197.9</t>
  </si>
  <si>
    <t>67/201068</t>
  </si>
  <si>
    <t>2500/199.5</t>
  </si>
  <si>
    <t>56/201068</t>
  </si>
  <si>
    <t>2507/199.2</t>
  </si>
  <si>
    <t>ผลิตขอใช้ 21/10/68 ใช้ตัดหนองบัวฟีด</t>
  </si>
  <si>
    <t>54/211068</t>
  </si>
  <si>
    <t>2511/199.2</t>
  </si>
  <si>
    <t>85/211068</t>
  </si>
  <si>
    <t>2500/202.2</t>
  </si>
  <si>
    <t>55/211068</t>
  </si>
  <si>
    <t>2373/178.2</t>
  </si>
  <si>
    <t>44/211068</t>
  </si>
  <si>
    <t>2311/186.9</t>
  </si>
  <si>
    <t>48/211068</t>
  </si>
  <si>
    <t>70/211068</t>
  </si>
  <si>
    <t>น้ำหนักเฉลี่ยม้วนต่ำน้ำหนักใบสูงกว่ามาตรฐาน</t>
  </si>
  <si>
    <t>75.37/81.97</t>
  </si>
  <si>
    <t>0.63/3.97</t>
  </si>
  <si>
    <t>57/211068</t>
  </si>
  <si>
    <t>1408/159.7</t>
  </si>
  <si>
    <t>ผลิตขอใช้ 22/10/68</t>
  </si>
  <si>
    <t>79/221068</t>
  </si>
  <si>
    <t>118.89/125.26</t>
  </si>
  <si>
    <t>1500/165.2</t>
  </si>
  <si>
    <t>2.11/1.26</t>
  </si>
  <si>
    <t>81/221068</t>
  </si>
  <si>
    <t>2584/202.2</t>
  </si>
  <si>
    <t>54/221068</t>
  </si>
  <si>
    <t>2633/212.7</t>
  </si>
  <si>
    <t>26/221068</t>
  </si>
  <si>
    <t>2122/170.1</t>
  </si>
  <si>
    <t>56/221068</t>
  </si>
  <si>
    <t>2878/233</t>
  </si>
  <si>
    <t>30/221068</t>
  </si>
  <si>
    <t>2298/179.1</t>
  </si>
  <si>
    <t>86/221068</t>
  </si>
  <si>
    <t>206.2/146.4</t>
  </si>
  <si>
    <t>69/231068</t>
  </si>
  <si>
    <t>1651/133.1</t>
  </si>
  <si>
    <t>87/231068</t>
  </si>
  <si>
    <t>2000/160.3</t>
  </si>
  <si>
    <t>WSWT2025800 แป้งหมักไก่แดง MTS</t>
  </si>
  <si>
    <t>81/241068</t>
  </si>
  <si>
    <t>2500/196.7</t>
  </si>
  <si>
    <t>57/241068</t>
  </si>
  <si>
    <t>1524/173.3</t>
  </si>
  <si>
    <t>30/241068</t>
  </si>
  <si>
    <t>2500/201.8</t>
  </si>
  <si>
    <t>ผลิตขอใช้ 25/10/68</t>
  </si>
  <si>
    <t>ผลิตขอใช้25/10/2568</t>
  </si>
  <si>
    <t>ผลิตขอใช้ 25/10/68ใช้กับเฟอเฟค664</t>
  </si>
  <si>
    <t>ผลิตขอใช้ 25/10/68ใช้กับเฟอเฟค664ผสม</t>
  </si>
  <si>
    <t>07/291068</t>
  </si>
  <si>
    <t>2000/174.4</t>
  </si>
  <si>
    <t>70/291068</t>
  </si>
  <si>
    <t>2519/210.3</t>
  </si>
  <si>
    <t>ผลิตขอใช้กับใบเตย</t>
  </si>
  <si>
    <t>PD2ทอ Product Recall</t>
  </si>
  <si>
    <t>PBKF2-01-03 (Product Recall)</t>
  </si>
  <si>
    <t>FWBWT193267P</t>
  </si>
  <si>
    <t>PD468102002</t>
  </si>
  <si>
    <t xml:space="preserve">ลูกค้าพบเส้นเทปติดอยู่ภายในกระสอบจำนวน 1 เส้น </t>
  </si>
  <si>
    <t>พบเส้นเทปติดอยู่ภายในกระสอบขอเรียกคืนพื่อนำกลับมาคัดใหม่</t>
  </si>
  <si>
    <t>เรียกคืน</t>
  </si>
  <si>
    <t>28/301068</t>
  </si>
  <si>
    <t>1462/186.2</t>
  </si>
  <si>
    <t>ผลิตขอใช้กับซีนฟีด</t>
  </si>
  <si>
    <t>83/311068</t>
  </si>
  <si>
    <t>2000/168.1</t>
  </si>
  <si>
    <t>ผลิตขิใช้กับราชสีห์ 3/11/68</t>
  </si>
  <si>
    <t>1508/171.3</t>
  </si>
  <si>
    <t>57/041168</t>
  </si>
  <si>
    <t>4/041168</t>
  </si>
  <si>
    <t>86/041168</t>
  </si>
  <si>
    <t>2500/192.1</t>
  </si>
  <si>
    <t>1500/164.8</t>
  </si>
  <si>
    <t>57/051168</t>
  </si>
  <si>
    <t>1501/170.8</t>
  </si>
  <si>
    <t>59/051168</t>
  </si>
  <si>
    <t>1490/169.6</t>
  </si>
  <si>
    <t>61/051168</t>
  </si>
  <si>
    <t>1533/175.2</t>
  </si>
  <si>
    <t>3/061168</t>
  </si>
  <si>
    <t>1500/170.8</t>
  </si>
  <si>
    <t>59/061168</t>
  </si>
  <si>
    <t>1500/167.1</t>
  </si>
  <si>
    <t>4/061168</t>
  </si>
  <si>
    <t>1450/165.9</t>
  </si>
  <si>
    <t>57/071168</t>
  </si>
  <si>
    <t>1510/171</t>
  </si>
  <si>
    <t>WRWT21125</t>
  </si>
  <si>
    <t>TL681104</t>
  </si>
  <si>
    <t>1/244.4</t>
  </si>
  <si>
    <t>04/091168</t>
  </si>
  <si>
    <t>69/091168</t>
  </si>
  <si>
    <t>06/091168</t>
  </si>
  <si>
    <t>08/091168</t>
  </si>
  <si>
    <t>48/091168</t>
  </si>
  <si>
    <t>2705/215.6</t>
  </si>
  <si>
    <t>2514/177.5</t>
  </si>
  <si>
    <t>1526/173.7</t>
  </si>
  <si>
    <t>1722/215.9</t>
  </si>
  <si>
    <t>1500/190.8</t>
  </si>
  <si>
    <t>84/091168</t>
  </si>
  <si>
    <t>2000/165.7</t>
  </si>
  <si>
    <t>60/091168</t>
  </si>
  <si>
    <t>1523/169.3</t>
  </si>
  <si>
    <t>น้ำหนักใบสูง/น้ำหนักเฉลี่ย/ม้วนต่ำกว่ามาตรฐาน</t>
  </si>
  <si>
    <t>นน.ใบ 127.50/ นน.ม้วน120.00</t>
  </si>
  <si>
    <t>08/101168</t>
  </si>
  <si>
    <t>ผลิตขอใช้ 10/11/68 ใช้กับน้ำตาลเขียว</t>
  </si>
  <si>
    <t>69/101168</t>
  </si>
  <si>
    <t>2655/187</t>
  </si>
  <si>
    <t>3/101168</t>
  </si>
  <si>
    <t>1500/198.7</t>
  </si>
  <si>
    <t>49/101168</t>
  </si>
  <si>
    <t>2542/206.6</t>
  </si>
  <si>
    <t>51/101168</t>
  </si>
  <si>
    <t>2490/202.1</t>
  </si>
  <si>
    <t>08/111168</t>
  </si>
  <si>
    <t>1480/189.4</t>
  </si>
  <si>
    <t>28/111168</t>
  </si>
  <si>
    <t>1480/187.8</t>
  </si>
  <si>
    <t>03/111168</t>
  </si>
  <si>
    <t>1500/199.9</t>
  </si>
  <si>
    <t>55/111168</t>
  </si>
  <si>
    <t>2490/199.9</t>
  </si>
  <si>
    <t>84/111168</t>
  </si>
  <si>
    <t>ผลิตขอใช้ 11/11/68 ใช้กับน้ำตาล</t>
  </si>
  <si>
    <t>57/111168</t>
  </si>
  <si>
    <t>2016/203.2</t>
  </si>
  <si>
    <t>03/121168</t>
  </si>
  <si>
    <t>1500/195.3</t>
  </si>
  <si>
    <t>28/121168</t>
  </si>
  <si>
    <t>1460/190.3</t>
  </si>
  <si>
    <t>71/121168</t>
  </si>
  <si>
    <t>2535/179.1</t>
  </si>
  <si>
    <t xml:space="preserve">ผลิตขอใช้ 12/11/68 </t>
  </si>
  <si>
    <t>33/121168</t>
  </si>
  <si>
    <t>2500/201.9</t>
  </si>
  <si>
    <t>4/121168</t>
  </si>
  <si>
    <t>1598/210.5</t>
  </si>
  <si>
    <t>ผลิตขอใช้ LUNG SHIN</t>
  </si>
  <si>
    <t>04/131168</t>
  </si>
  <si>
    <t>890/116.1</t>
  </si>
  <si>
    <t>48/131168</t>
  </si>
  <si>
    <t>1500/197.2</t>
  </si>
  <si>
    <t>70/131168</t>
  </si>
  <si>
    <t>131.04/126.52</t>
  </si>
  <si>
    <t>15393/206.1</t>
  </si>
  <si>
    <t>05/131168</t>
  </si>
  <si>
    <t>1500/192</t>
  </si>
  <si>
    <t>71/131168</t>
  </si>
  <si>
    <t>2555/187.1</t>
  </si>
  <si>
    <t>07/131168</t>
  </si>
  <si>
    <t>1500/201.1</t>
  </si>
  <si>
    <t>65/131168</t>
  </si>
  <si>
    <t>79/131168</t>
  </si>
  <si>
    <t>1500/195.1</t>
  </si>
  <si>
    <t>ผลิตขอใช้ 14/11/68 แป้งมันหมัก(ม่วง)</t>
  </si>
  <si>
    <t>57/144468</t>
  </si>
  <si>
    <t>2003/198.2</t>
  </si>
  <si>
    <t>58/141168</t>
  </si>
  <si>
    <t>1515/195.4</t>
  </si>
  <si>
    <t>48/141168</t>
  </si>
  <si>
    <t>1522/199.9</t>
  </si>
  <si>
    <t>ผลิตขอใช้ 14/11/68 ตัดผ้าขาว TC</t>
  </si>
  <si>
    <t>71/141168</t>
  </si>
  <si>
    <t>2650/194.8</t>
  </si>
  <si>
    <t>อนุมัติใช้WSWT2025800SMใช้งานได้ปกติ</t>
  </si>
  <si>
    <t>ผลิตขอใช้ 14/11/68 พิมพ์น้ำตาล</t>
  </si>
  <si>
    <t>ผลิตขอใช้พิมพ์น้ำตาล</t>
  </si>
  <si>
    <t>ผลิตขอใช้ 15/11/68 ตัดผ้าขาวเคอรี่</t>
  </si>
  <si>
    <t>7/151168</t>
  </si>
  <si>
    <t>1500/202.9</t>
  </si>
  <si>
    <t>WSWT23211125130</t>
  </si>
  <si>
    <t>3/151168</t>
  </si>
  <si>
    <t>133-135</t>
  </si>
  <si>
    <t>1500/193.9</t>
  </si>
  <si>
    <t>49/151168</t>
  </si>
  <si>
    <t>2518/208.2</t>
  </si>
  <si>
    <t>75/151168</t>
  </si>
  <si>
    <t>1350/176.8</t>
  </si>
  <si>
    <t>58/151168</t>
  </si>
  <si>
    <t>1563/203.9</t>
  </si>
  <si>
    <t>80/151168</t>
  </si>
  <si>
    <t>1553/207.2</t>
  </si>
  <si>
    <t>59/151168</t>
  </si>
  <si>
    <t>71/151168</t>
  </si>
  <si>
    <t>1111/76.2</t>
  </si>
  <si>
    <t>04/161168</t>
  </si>
  <si>
    <t>1528/208.5</t>
  </si>
  <si>
    <t>3/161168</t>
  </si>
  <si>
    <t>132.63/125.50</t>
  </si>
  <si>
    <t>3.63/1.50</t>
  </si>
  <si>
    <t>1500/192.5</t>
  </si>
  <si>
    <t>75/161168</t>
  </si>
  <si>
    <t>1516/199</t>
  </si>
  <si>
    <t>70/161168</t>
  </si>
  <si>
    <t>1518/198.4</t>
  </si>
  <si>
    <t>58/161168</t>
  </si>
  <si>
    <t>1513/198.9</t>
  </si>
  <si>
    <t>29/161168</t>
  </si>
  <si>
    <t>80/161168</t>
  </si>
  <si>
    <t>1620/218.2</t>
  </si>
  <si>
    <t>48/161168</t>
  </si>
  <si>
    <t>1500/201.6</t>
  </si>
  <si>
    <t>47/161168</t>
  </si>
  <si>
    <t>2700/224.4</t>
  </si>
  <si>
    <t>ผลิตขอใช้ 17/11/68 สหเรือง</t>
  </si>
  <si>
    <t>ผลิตขอใช้ 17/11/68 น้ำตาลสุโขทัย</t>
  </si>
  <si>
    <t>ผลิตขอใช้ 17/11/68 ตัดผ้าขาวเคอรี่</t>
  </si>
  <si>
    <t>29/171168</t>
  </si>
  <si>
    <t>1500/195.8</t>
  </si>
  <si>
    <t>58/171168</t>
  </si>
  <si>
    <t>1500/198.5</t>
  </si>
  <si>
    <t>84/171168</t>
  </si>
  <si>
    <t>1500/211.3</t>
  </si>
  <si>
    <t>49/171168</t>
  </si>
  <si>
    <t>2497/207.9</t>
  </si>
  <si>
    <t>51/171168</t>
  </si>
  <si>
    <t>2510/205.6</t>
  </si>
  <si>
    <t>48/171168</t>
  </si>
  <si>
    <t>1480/201.3</t>
  </si>
  <si>
    <t>28/171168</t>
  </si>
  <si>
    <t>310/41</t>
  </si>
  <si>
    <t>19/171168</t>
  </si>
  <si>
    <t>2500/198.9</t>
  </si>
  <si>
    <t>70/171168</t>
  </si>
  <si>
    <t>1050/135.2</t>
  </si>
  <si>
    <t>13/171168</t>
  </si>
  <si>
    <t>2500/206.6</t>
  </si>
  <si>
    <t>79/171168</t>
  </si>
  <si>
    <t>1522/209.8</t>
  </si>
  <si>
    <t>6/181168</t>
  </si>
  <si>
    <t>75/181168</t>
  </si>
  <si>
    <t>8/181168</t>
  </si>
  <si>
    <t>1500/194.9</t>
  </si>
  <si>
    <t>18/11/268</t>
  </si>
  <si>
    <t>ผลิตขอใช้ 18/11/2568 ใช้กับน้ำตาล</t>
  </si>
  <si>
    <t>7/181168</t>
  </si>
  <si>
    <t>1406/187.7</t>
  </si>
  <si>
    <t>84/181168</t>
  </si>
  <si>
    <t>1500/211.9</t>
  </si>
  <si>
    <t>28/181168</t>
  </si>
  <si>
    <t>1150/149.5</t>
  </si>
  <si>
    <t>70/181168</t>
  </si>
  <si>
    <t>690/89.5</t>
  </si>
  <si>
    <t>58/181168</t>
  </si>
  <si>
    <t>1208/158.6</t>
  </si>
  <si>
    <t>49/181168</t>
  </si>
  <si>
    <t>2475/208</t>
  </si>
  <si>
    <t>80/181168</t>
  </si>
  <si>
    <t>79/181168</t>
  </si>
  <si>
    <t>1324/170.9</t>
  </si>
  <si>
    <t>น้ำหนักเฉลี่ย/ม้วนต่ำ+น้ำหนักใบสูงกว่ามาตรฐาน</t>
  </si>
  <si>
    <t>นน.เฉลี่ย/ม้วน126.23 นน.ใบ131.25</t>
  </si>
  <si>
    <t>79/191168</t>
  </si>
  <si>
    <t>1243/166.2</t>
  </si>
  <si>
    <t>29/191168</t>
  </si>
  <si>
    <t>1500/197</t>
  </si>
  <si>
    <t>ผลิตขอใช้ 19/11/2568 ใช้กับน้ำตาล</t>
  </si>
  <si>
    <t>1017/132.3</t>
  </si>
  <si>
    <t>60/191168</t>
  </si>
  <si>
    <t>1500/168.7</t>
  </si>
  <si>
    <t>59/191168</t>
  </si>
  <si>
    <t>48/191168</t>
  </si>
  <si>
    <t>1500/204.9</t>
  </si>
  <si>
    <t>ผลิตขอใช้ ผสมลูกโลก AMPC</t>
  </si>
  <si>
    <t>49/201168</t>
  </si>
  <si>
    <t>2515/209.4</t>
  </si>
  <si>
    <t>ผลิตขอใช้ตัดผ้าขาว20/11/68</t>
  </si>
  <si>
    <t>6/201168</t>
  </si>
  <si>
    <t>1500/197.3</t>
  </si>
  <si>
    <t>58/201168</t>
  </si>
  <si>
    <t>1504/209.5</t>
  </si>
  <si>
    <t>ผลิตขอใช้ 20/11/68 สหเรืองผสม</t>
  </si>
  <si>
    <t>ผลิตขอใช้ 20/11/68 สหเรือง</t>
  </si>
  <si>
    <t>08/201168</t>
  </si>
  <si>
    <t>1500/202.4</t>
  </si>
  <si>
    <t>80/201168</t>
  </si>
  <si>
    <t>615/78.1</t>
  </si>
  <si>
    <t>นน.เฉลี่ย/ม้วน 124.19/นน.ใบ 132.03</t>
  </si>
  <si>
    <t>อนุมัติใช้WSWT2321112512551ใช้งานได้ปกติ</t>
  </si>
  <si>
    <t xml:space="preserve">ผลิตขอใช้ 18/11/68 </t>
  </si>
  <si>
    <t>04/221168</t>
  </si>
  <si>
    <t>1510/209.1</t>
  </si>
  <si>
    <t>07/221168</t>
  </si>
  <si>
    <t>1500/204.3</t>
  </si>
  <si>
    <t>48/221168</t>
  </si>
  <si>
    <t>1541/207.1</t>
  </si>
  <si>
    <t>นน.เฉลี่ย/ม้วน 131.42/นน.ใบ 137.04</t>
  </si>
  <si>
    <t>75/221168</t>
  </si>
  <si>
    <t>1480/193.4</t>
  </si>
  <si>
    <t>29/221168</t>
  </si>
  <si>
    <t>547/73</t>
  </si>
  <si>
    <t>48/231168</t>
  </si>
  <si>
    <t>58/231168</t>
  </si>
  <si>
    <t>131.67(AVG129.82)</t>
  </si>
  <si>
    <t>1500/198.4</t>
  </si>
  <si>
    <t>1620/212.0</t>
  </si>
  <si>
    <t>8/231168</t>
  </si>
  <si>
    <t>3/231168</t>
  </si>
  <si>
    <t>1500/200.7</t>
  </si>
  <si>
    <t>29/231168</t>
  </si>
  <si>
    <t>132.91(AVG130.74)</t>
  </si>
  <si>
    <t>61/231168</t>
  </si>
  <si>
    <t>1500/167.2</t>
  </si>
  <si>
    <t>29/241168</t>
  </si>
  <si>
    <t>1500/200</t>
  </si>
  <si>
    <t>61/241168</t>
  </si>
  <si>
    <t>59/241168</t>
  </si>
  <si>
    <t>61/251168</t>
  </si>
  <si>
    <t>1470/165.6</t>
  </si>
  <si>
    <t>60/261168</t>
  </si>
  <si>
    <t>1500/171.1</t>
  </si>
  <si>
    <t>27/261168</t>
  </si>
  <si>
    <t>2000/201.2</t>
  </si>
  <si>
    <t>71/261168</t>
  </si>
  <si>
    <t>2511/181.8</t>
  </si>
  <si>
    <t>61/271168</t>
  </si>
  <si>
    <t>1500/166.6</t>
  </si>
  <si>
    <t>60/271168</t>
  </si>
  <si>
    <t>84/271168</t>
  </si>
  <si>
    <t>2000/173.8</t>
  </si>
  <si>
    <t>71/271168</t>
  </si>
  <si>
    <t>2650/193.7</t>
  </si>
  <si>
    <t>33/271168</t>
  </si>
  <si>
    <t>2500/200.8</t>
  </si>
  <si>
    <t>29/281168</t>
  </si>
  <si>
    <t>752/99.5</t>
  </si>
  <si>
    <t>84/281168</t>
  </si>
  <si>
    <t>1435/125.6</t>
  </si>
  <si>
    <t>ผลิตขอใช้ เพอเฟคค์664</t>
  </si>
  <si>
    <t>61/011268</t>
  </si>
  <si>
    <t>ผลิตขอใช้ พิมพ์น้ำตาล3/12/2568</t>
  </si>
  <si>
    <t>61/031268</t>
  </si>
  <si>
    <t>1500/167.9</t>
  </si>
  <si>
    <t>74/031268</t>
  </si>
  <si>
    <t>1450/115.5</t>
  </si>
  <si>
    <t>59/031268</t>
  </si>
  <si>
    <t>1404/157.2</t>
  </si>
  <si>
    <t>16/031268</t>
  </si>
  <si>
    <t>2000/135.9</t>
  </si>
  <si>
    <t>61/041268</t>
  </si>
  <si>
    <t>1500/165.3</t>
  </si>
  <si>
    <t>80/041268</t>
  </si>
  <si>
    <t>1700/173.2</t>
  </si>
  <si>
    <t>28/041268</t>
  </si>
  <si>
    <t>1360/179.4</t>
  </si>
  <si>
    <t>48/041268</t>
  </si>
  <si>
    <t>1535/201.7</t>
  </si>
  <si>
    <t>60/041268</t>
  </si>
  <si>
    <t>74/051268</t>
  </si>
  <si>
    <t>1534/118.3</t>
  </si>
  <si>
    <t>ผลิตขอใช้ พิมพ์น้ำตาล05/12/2568</t>
  </si>
  <si>
    <t>57/051268</t>
  </si>
  <si>
    <t>2005/207</t>
  </si>
  <si>
    <t>48/061268</t>
  </si>
  <si>
    <t>1500/199.4</t>
  </si>
  <si>
    <t>80/061268</t>
  </si>
  <si>
    <t>1170/119.5</t>
  </si>
  <si>
    <t>64/061268</t>
  </si>
  <si>
    <t>1587/162.2</t>
  </si>
  <si>
    <t>28/061268</t>
  </si>
  <si>
    <t>300/39.6</t>
  </si>
  <si>
    <t>1/061268</t>
  </si>
  <si>
    <t>1402/104.6</t>
  </si>
  <si>
    <t>6/061268</t>
  </si>
  <si>
    <t>1500/206.5</t>
  </si>
  <si>
    <t>31/061268</t>
  </si>
  <si>
    <t>1938/165.9</t>
  </si>
  <si>
    <t>27/071268</t>
  </si>
  <si>
    <t>57/071268</t>
  </si>
  <si>
    <t>1773/183.8</t>
  </si>
  <si>
    <t>1956/201.5</t>
  </si>
  <si>
    <t>ผลิตขอใช้ Soybean Meal</t>
  </si>
  <si>
    <t>64/071268</t>
  </si>
  <si>
    <t>1135/115.3</t>
  </si>
  <si>
    <t>70/071268</t>
  </si>
  <si>
    <t>1507/200.9</t>
  </si>
  <si>
    <t>28/071268</t>
  </si>
  <si>
    <t>1500/200.5</t>
  </si>
  <si>
    <t>59/071268</t>
  </si>
  <si>
    <t>1500/170.3</t>
  </si>
  <si>
    <t>ผลิตขอใช้ Soybean</t>
  </si>
  <si>
    <t>PD468120414</t>
  </si>
  <si>
    <t>CL28/68112322</t>
  </si>
  <si>
    <t>28/081268</t>
  </si>
  <si>
    <t>1500/201.8</t>
  </si>
  <si>
    <t>16/081268</t>
  </si>
  <si>
    <t>2500/176</t>
  </si>
  <si>
    <t>7/081268</t>
  </si>
  <si>
    <t>1500/199.2</t>
  </si>
  <si>
    <t>03/091268</t>
  </si>
  <si>
    <t>1188/157.3</t>
  </si>
  <si>
    <t>79/091268</t>
  </si>
  <si>
    <t>1600/209.7</t>
  </si>
  <si>
    <t>06/101268</t>
  </si>
  <si>
    <t>1500/203</t>
  </si>
  <si>
    <t>70/101268</t>
  </si>
  <si>
    <t>1530/202.6</t>
  </si>
  <si>
    <t>57/101268</t>
  </si>
  <si>
    <t>2002/206</t>
  </si>
  <si>
    <t>ผลิตขอใช้ตัดผ้าขวไทยธรรมดี</t>
  </si>
  <si>
    <t>ผลิตขอใช้ 2825850</t>
  </si>
  <si>
    <t>57/111268</t>
  </si>
  <si>
    <t>1585/164.2</t>
  </si>
  <si>
    <t>28/111268</t>
  </si>
  <si>
    <t>1150/153.6</t>
  </si>
  <si>
    <t>ผลิตขอใช้ไซแอน 28*39</t>
  </si>
  <si>
    <t>73/111268</t>
  </si>
  <si>
    <t>2183/166.4</t>
  </si>
  <si>
    <t>52/121268</t>
  </si>
  <si>
    <t>2425/166.8</t>
  </si>
  <si>
    <t>PD468121001</t>
  </si>
  <si>
    <t>CL72/68120220</t>
  </si>
  <si>
    <t>28/121268</t>
  </si>
  <si>
    <t>1812/201.5</t>
  </si>
  <si>
    <t>ผลิตขอใช้กับผึ้งเหลือง</t>
  </si>
  <si>
    <t>ผลิตขอใช้ กับตราดาว 13/12/68</t>
  </si>
  <si>
    <t>ผลิตขอใช้กับผึ้งเหลือง13/12/68</t>
  </si>
  <si>
    <t>52/131268</t>
  </si>
  <si>
    <t>2088/147.1</t>
  </si>
  <si>
    <t>TL681211</t>
  </si>
  <si>
    <t>1/247.3</t>
  </si>
  <si>
    <t>ลักษณะของเส้นเทป</t>
  </si>
  <si>
    <t>เส้นไม่เรียบสม่ำเสมอ</t>
  </si>
  <si>
    <t>2/872.80</t>
  </si>
  <si>
    <t>ผลิตขอใช้  15/12/68</t>
  </si>
  <si>
    <t>48/151268</t>
  </si>
  <si>
    <t>1577/205</t>
  </si>
  <si>
    <t>14/151268</t>
  </si>
  <si>
    <t>ผลิตขอใช้ พิมพ์ทานตะวัน 15/12/68</t>
  </si>
  <si>
    <t>ผลิตขอใช้ Golden Granulated sugar</t>
  </si>
  <si>
    <t>ผลิตขอใช้กับสหเรือง</t>
  </si>
  <si>
    <t>ผลิตขอใช้กับคริสตอร่า</t>
  </si>
  <si>
    <t xml:space="preserve">ผลิตขอใช้ ตัดผ้าขาวหนองบัว </t>
  </si>
  <si>
    <t>73/181268</t>
  </si>
  <si>
    <t>2517/192.4</t>
  </si>
  <si>
    <t>25/181268</t>
  </si>
  <si>
    <t>2529/182.7</t>
  </si>
  <si>
    <t>30/181268</t>
  </si>
  <si>
    <t>2500/182.2</t>
  </si>
  <si>
    <t>ผลิตขอใช้ตัดผ้าขาวTC</t>
  </si>
  <si>
    <t>57/191268</t>
  </si>
  <si>
    <t>2020/202.7</t>
  </si>
  <si>
    <t>52/191268</t>
  </si>
  <si>
    <t>2608/173.9</t>
  </si>
  <si>
    <t>ผลิตขอใช้ตัดผ้าขาวทีซี</t>
  </si>
  <si>
    <t>80/241268</t>
  </si>
  <si>
    <t>2025/200.9</t>
  </si>
  <si>
    <t>อนุมัติใช้WSWT1725800ใช้งานได้ปกติ</t>
  </si>
  <si>
    <t>อนุมัติใช้WSWT2125650ใช้งานได้ปกติ</t>
  </si>
  <si>
    <t>ใช้เส้นยืน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</si>
</sst>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7" formatCode="[$-1010000]d/m/yy;@"/>
    <numFmt numFmtId="188" formatCode="dd/mm/yy;@"/>
    <numFmt numFmtId="189" formatCode="0.0"/>
    <numFmt numFmtId="190" formatCode="0.000000"/>
  </numFmts>
  <fonts count="52" x14ac:knownFonts="1">
    <font>
      <sz val="11"/>
      <color theme="1"/>
      <name val="Tahoma"/>
      <family val="2"/>
      <charset val="222"/>
      <scheme val="minor"/>
    </font>
    <font>
      <b/>
      <sz val="12"/>
      <color theme="1"/>
      <name val="Angsana New"/>
      <family val="1"/>
    </font>
    <font>
      <sz val="12"/>
      <name val="Angsana New"/>
      <family val="1"/>
    </font>
    <font>
      <sz val="11"/>
      <name val="Angsana New"/>
      <family val="1"/>
    </font>
    <font>
      <sz val="10"/>
      <name val="Arial"/>
      <family val="2"/>
    </font>
    <font>
      <sz val="14"/>
      <name val="Angsana New"/>
      <family val="1"/>
    </font>
    <font>
      <b/>
      <sz val="16"/>
      <name val="Angsana New"/>
      <family val="1"/>
    </font>
    <font>
      <b/>
      <sz val="14"/>
      <name val="Angsana New"/>
      <family val="1"/>
    </font>
    <font>
      <sz val="12"/>
      <color theme="1"/>
      <name val="Angsana New"/>
      <family val="1"/>
    </font>
    <font>
      <b/>
      <sz val="12"/>
      <name val="Angsana New"/>
      <family val="1"/>
    </font>
    <font>
      <sz val="12"/>
      <color theme="0"/>
      <name val="Angsana New"/>
      <family val="1"/>
    </font>
    <font>
      <b/>
      <sz val="14"/>
      <color theme="1"/>
      <name val="Angsana New"/>
      <family val="1"/>
    </font>
    <font>
      <b/>
      <sz val="16"/>
      <color theme="1"/>
      <name val="Angsana New"/>
      <family val="1"/>
    </font>
    <font>
      <sz val="16"/>
      <name val="Angsana New"/>
      <family val="1"/>
    </font>
    <font>
      <b/>
      <u/>
      <sz val="11"/>
      <color theme="1"/>
      <name val="Tahoma"/>
      <family val="2"/>
      <scheme val="minor"/>
    </font>
    <font>
      <sz val="12"/>
      <color theme="1"/>
      <name val="Tahoma"/>
      <family val="2"/>
      <charset val="222"/>
      <scheme val="minor"/>
    </font>
    <font>
      <sz val="14"/>
      <color theme="1"/>
      <name val="Tahoma"/>
      <family val="2"/>
      <charset val="222"/>
      <scheme val="minor"/>
    </font>
    <font>
      <b/>
      <sz val="9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u/>
      <sz val="16"/>
      <color rgb="FFC00000"/>
      <name val="Angsana New"/>
      <family val="1"/>
    </font>
    <font>
      <u/>
      <sz val="11"/>
      <color theme="1"/>
      <name val="Tahoma"/>
      <family val="2"/>
      <charset val="222"/>
      <scheme val="minor"/>
    </font>
    <font>
      <u/>
      <sz val="14"/>
      <name val="Angsana New"/>
      <family val="1"/>
    </font>
    <font>
      <u/>
      <sz val="12"/>
      <name val="Angsana New"/>
      <family val="1"/>
    </font>
    <font>
      <u/>
      <sz val="12"/>
      <color rgb="FFC00000"/>
      <name val="Tahoma"/>
      <family val="2"/>
      <charset val="222"/>
      <scheme val="minor"/>
    </font>
    <font>
      <u/>
      <sz val="11"/>
      <color rgb="FFC00000"/>
      <name val="Tahoma"/>
      <family val="2"/>
      <charset val="222"/>
      <scheme val="minor"/>
    </font>
    <font>
      <b/>
      <i/>
      <u val="double"/>
      <sz val="16"/>
      <color rgb="FFC00000"/>
      <name val="Angsana New"/>
      <family val="1"/>
    </font>
    <font>
      <sz val="1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6"/>
      <color theme="0"/>
      <name val="Angsana New"/>
      <family val="1"/>
    </font>
    <font>
      <b/>
      <sz val="14"/>
      <color theme="0"/>
      <name val="Angsana New"/>
      <family val="1"/>
    </font>
    <font>
      <sz val="11"/>
      <color theme="0"/>
      <name val="Tahoma"/>
      <family val="2"/>
      <charset val="222"/>
      <scheme val="minor"/>
    </font>
    <font>
      <b/>
      <sz val="11"/>
      <name val="Angsana New"/>
      <family val="1"/>
    </font>
    <font>
      <b/>
      <sz val="14"/>
      <color rgb="FFFF0000"/>
      <name val="Angsana New"/>
      <family val="1"/>
    </font>
    <font>
      <sz val="11"/>
      <color theme="0"/>
      <name val="Angsana New"/>
      <family val="1"/>
    </font>
    <font>
      <sz val="14"/>
      <color theme="1"/>
      <name val="Angsana New"/>
      <family val="1"/>
    </font>
    <font>
      <sz val="14"/>
      <name val="Tahoma"/>
      <family val="2"/>
      <charset val="222"/>
      <scheme val="minor"/>
    </font>
    <font>
      <i/>
      <sz val="14"/>
      <color theme="1"/>
      <name val="Angsana New"/>
      <family val="1"/>
    </font>
    <font>
      <b/>
      <sz val="20"/>
      <color theme="1"/>
      <name val="Angsana New"/>
      <family val="1"/>
    </font>
    <font>
      <sz val="20"/>
      <color theme="1"/>
      <name val="Tahoma"/>
      <family val="2"/>
      <charset val="222"/>
      <scheme val="minor"/>
    </font>
    <font>
      <b/>
      <sz val="20"/>
      <color rgb="FFE1093C"/>
      <name val="Angsana New"/>
      <family val="1"/>
    </font>
    <font>
      <b/>
      <sz val="26"/>
      <color rgb="FFE1093C"/>
      <name val="Angsana New"/>
      <family val="1"/>
    </font>
    <font>
      <b/>
      <sz val="24"/>
      <name val="Angsana New"/>
      <family val="1"/>
    </font>
    <font>
      <b/>
      <sz val="20"/>
      <name val="Angsana New"/>
      <family val="1"/>
      <charset val="222"/>
    </font>
    <font>
      <b/>
      <sz val="20"/>
      <color theme="1"/>
      <name val="Tahoma"/>
      <family val="2"/>
      <charset val="222"/>
      <scheme val="minor"/>
    </font>
    <font>
      <b/>
      <sz val="22"/>
      <name val="Angsana New"/>
      <family val="1"/>
    </font>
    <font>
      <b/>
      <sz val="26"/>
      <name val="Angsana New"/>
      <family val="1"/>
    </font>
    <font>
      <sz val="11"/>
      <color theme="1"/>
      <name val="Angsana New"/>
      <family val="1"/>
    </font>
    <font>
      <b/>
      <u/>
      <sz val="20"/>
      <name val="Angsana New"/>
      <family val="1"/>
    </font>
    <font>
      <b/>
      <sz val="16"/>
      <color rgb="FFF8F8F8"/>
      <name val="Angsana New"/>
      <family val="1"/>
    </font>
    <font>
      <b/>
      <sz val="20"/>
      <name val="Angsana New"/>
      <family val="1"/>
    </font>
    <font>
      <b/>
      <sz val="18"/>
      <color theme="1"/>
      <name val="Angsana New"/>
      <family val="1"/>
    </font>
    <font>
      <b/>
      <sz val="12"/>
      <color theme="0"/>
      <name val="Angsana New"/>
      <family val="1"/>
    </font>
  </fonts>
  <fills count="3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4F3D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E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43" fontId="18" fillId="0" borderId="0" applyFont="0" applyFill="0" applyBorder="0" applyAlignment="0" applyProtection="0"/>
  </cellStyleXfs>
  <cellXfs count="268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3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/>
    </xf>
    <xf numFmtId="14" fontId="8" fillId="3" borderId="2" xfId="0" applyNumberFormat="1" applyFont="1" applyFill="1" applyBorder="1" applyAlignment="1">
      <alignment horizontal="center" vertical="center" wrapText="1"/>
    </xf>
    <xf numFmtId="14" fontId="8" fillId="2" borderId="2" xfId="0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2" fillId="0" borderId="0" xfId="1" applyFont="1" applyAlignment="1" applyProtection="1">
      <alignment horizontal="center" vertical="center"/>
      <protection locked="0"/>
    </xf>
    <xf numFmtId="2" fontId="8" fillId="3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5" fillId="0" borderId="0" xfId="0" applyFont="1"/>
    <xf numFmtId="0" fontId="16" fillId="0" borderId="0" xfId="0" applyFont="1"/>
    <xf numFmtId="0" fontId="14" fillId="0" borderId="0" xfId="0" applyFont="1"/>
    <xf numFmtId="0" fontId="17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8" fillId="3" borderId="2" xfId="0" applyFont="1" applyFill="1" applyBorder="1" applyAlignment="1">
      <alignment vertical="center" wrapText="1"/>
    </xf>
    <xf numFmtId="0" fontId="19" fillId="24" borderId="0" xfId="0" applyFont="1" applyFill="1" applyAlignment="1" applyProtection="1">
      <alignment horizontal="left" vertical="center"/>
      <protection locked="0"/>
    </xf>
    <xf numFmtId="0" fontId="20" fillId="24" borderId="0" xfId="0" applyFont="1" applyFill="1"/>
    <xf numFmtId="0" fontId="21" fillId="24" borderId="0" xfId="1" applyFont="1" applyFill="1" applyAlignment="1">
      <alignment vertical="center"/>
    </xf>
    <xf numFmtId="0" fontId="22" fillId="24" borderId="0" xfId="1" applyFont="1" applyFill="1" applyAlignment="1">
      <alignment horizontal="left"/>
    </xf>
    <xf numFmtId="0" fontId="23" fillId="24" borderId="0" xfId="0" applyFont="1" applyFill="1" applyAlignment="1">
      <alignment vertical="center"/>
    </xf>
    <xf numFmtId="0" fontId="22" fillId="24" borderId="0" xfId="1" applyFont="1" applyFill="1" applyAlignment="1">
      <alignment vertical="center"/>
    </xf>
    <xf numFmtId="0" fontId="24" fillId="24" borderId="0" xfId="0" applyFont="1" applyFill="1" applyAlignment="1">
      <alignment vertical="center"/>
    </xf>
    <xf numFmtId="0" fontId="22" fillId="24" borderId="0" xfId="1" applyFont="1" applyFill="1" applyAlignment="1">
      <alignment horizontal="left" vertical="center"/>
    </xf>
    <xf numFmtId="0" fontId="1" fillId="23" borderId="2" xfId="0" applyFont="1" applyFill="1" applyBorder="1" applyAlignment="1">
      <alignment horizontal="center" vertical="center" wrapText="1"/>
    </xf>
    <xf numFmtId="0" fontId="2" fillId="23" borderId="2" xfId="1" applyFont="1" applyFill="1" applyBorder="1" applyAlignment="1" applyProtection="1">
      <alignment horizontal="center" vertical="center"/>
      <protection locked="0"/>
    </xf>
    <xf numFmtId="0" fontId="6" fillId="23" borderId="0" xfId="0" applyFont="1" applyFill="1" applyAlignment="1" applyProtection="1">
      <alignment horizontal="left"/>
      <protection locked="0"/>
    </xf>
    <xf numFmtId="0" fontId="5" fillId="23" borderId="0" xfId="1" applyFont="1" applyFill="1" applyAlignment="1" applyProtection="1">
      <alignment horizontal="center" vertical="center"/>
      <protection locked="0"/>
    </xf>
    <xf numFmtId="0" fontId="9" fillId="23" borderId="4" xfId="0" applyFont="1" applyFill="1" applyBorder="1" applyAlignment="1" applyProtection="1">
      <alignment horizontal="center" wrapText="1"/>
      <protection locked="0"/>
    </xf>
    <xf numFmtId="0" fontId="6" fillId="23" borderId="0" xfId="1" applyFont="1" applyFill="1" applyAlignment="1" applyProtection="1">
      <alignment vertical="center"/>
      <protection locked="0"/>
    </xf>
    <xf numFmtId="14" fontId="7" fillId="23" borderId="4" xfId="1" applyNumberFormat="1" applyFont="1" applyFill="1" applyBorder="1" applyAlignment="1" applyProtection="1">
      <alignment horizontal="center" vertical="center"/>
      <protection locked="0"/>
    </xf>
    <xf numFmtId="14" fontId="6" fillId="23" borderId="4" xfId="1" applyNumberFormat="1" applyFont="1" applyFill="1" applyBorder="1" applyAlignment="1" applyProtection="1">
      <alignment horizontal="center" vertical="center"/>
      <protection locked="0"/>
    </xf>
    <xf numFmtId="0" fontId="6" fillId="23" borderId="0" xfId="1" applyFont="1" applyFill="1" applyAlignment="1" applyProtection="1">
      <alignment horizontal="center" vertical="center"/>
      <protection locked="0"/>
    </xf>
    <xf numFmtId="0" fontId="6" fillId="23" borderId="0" xfId="1" applyFont="1" applyFill="1" applyAlignment="1" applyProtection="1">
      <alignment horizontal="left" vertical="center"/>
      <protection locked="0"/>
    </xf>
    <xf numFmtId="0" fontId="3" fillId="23" borderId="0" xfId="1" applyFont="1" applyFill="1" applyAlignment="1" applyProtection="1">
      <alignment horizontal="center" vertical="center"/>
      <protection locked="0"/>
    </xf>
    <xf numFmtId="0" fontId="3" fillId="23" borderId="0" xfId="1" applyFont="1" applyFill="1" applyAlignment="1" applyProtection="1">
      <alignment vertical="center"/>
      <protection locked="0"/>
    </xf>
    <xf numFmtId="0" fontId="7" fillId="23" borderId="0" xfId="1" applyFont="1" applyFill="1" applyAlignment="1" applyProtection="1">
      <alignment horizontal="center" vertical="center"/>
      <protection locked="0"/>
    </xf>
    <xf numFmtId="0" fontId="1" fillId="23" borderId="0" xfId="0" applyFont="1" applyFill="1" applyAlignment="1" applyProtection="1">
      <alignment horizontal="center" wrapText="1"/>
      <protection locked="0"/>
    </xf>
    <xf numFmtId="14" fontId="9" fillId="23" borderId="0" xfId="1" applyNumberFormat="1" applyFont="1" applyFill="1" applyAlignment="1" applyProtection="1">
      <alignment horizontal="center" vertical="center"/>
      <protection locked="0"/>
    </xf>
    <xf numFmtId="0" fontId="0" fillId="23" borderId="0" xfId="0" applyFill="1"/>
    <xf numFmtId="0" fontId="2" fillId="23" borderId="0" xfId="1" applyFont="1" applyFill="1" applyAlignment="1" applyProtection="1">
      <alignment horizontal="center" vertical="center"/>
      <protection locked="0"/>
    </xf>
    <xf numFmtId="0" fontId="2" fillId="23" borderId="0" xfId="0" applyFont="1" applyFill="1" applyAlignment="1" applyProtection="1">
      <alignment horizontal="center"/>
      <protection locked="0"/>
    </xf>
    <xf numFmtId="0" fontId="2" fillId="23" borderId="0" xfId="0" applyFont="1" applyFill="1" applyAlignment="1" applyProtection="1">
      <alignment horizontal="center" vertical="center"/>
      <protection locked="0"/>
    </xf>
    <xf numFmtId="14" fontId="2" fillId="23" borderId="0" xfId="0" applyNumberFormat="1" applyFont="1" applyFill="1" applyAlignment="1" applyProtection="1">
      <alignment horizontal="center" vertical="center"/>
      <protection locked="0"/>
    </xf>
    <xf numFmtId="0" fontId="2" fillId="23" borderId="0" xfId="1" applyFont="1" applyFill="1" applyAlignment="1">
      <alignment horizontal="center" vertical="center"/>
    </xf>
    <xf numFmtId="0" fontId="6" fillId="23" borderId="7" xfId="1" applyFont="1" applyFill="1" applyBorder="1" applyAlignment="1" applyProtection="1">
      <alignment vertical="center"/>
      <protection locked="0"/>
    </xf>
    <xf numFmtId="0" fontId="3" fillId="23" borderId="0" xfId="1" applyFont="1" applyFill="1" applyAlignment="1" applyProtection="1">
      <alignment vertical="center" wrapText="1"/>
      <protection locked="0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2"/>
    </xf>
    <xf numFmtId="0" fontId="2" fillId="23" borderId="1" xfId="1" applyFont="1" applyFill="1" applyBorder="1" applyAlignment="1" applyProtection="1">
      <alignment horizontal="center" vertical="center"/>
      <protection locked="0"/>
    </xf>
    <xf numFmtId="0" fontId="2" fillId="23" borderId="3" xfId="1" applyFont="1" applyFill="1" applyBorder="1" applyAlignment="1" applyProtection="1">
      <alignment horizontal="center" vertical="center"/>
      <protection locked="0"/>
    </xf>
    <xf numFmtId="0" fontId="28" fillId="23" borderId="0" xfId="1" applyFont="1" applyFill="1" applyAlignment="1" applyProtection="1">
      <alignment vertical="center"/>
      <protection locked="0"/>
    </xf>
    <xf numFmtId="0" fontId="28" fillId="23" borderId="0" xfId="1" applyFont="1" applyFill="1" applyAlignment="1" applyProtection="1">
      <alignment horizontal="center" vertical="center"/>
      <protection locked="0"/>
    </xf>
    <xf numFmtId="0" fontId="28" fillId="23" borderId="0" xfId="1" applyFont="1" applyFill="1" applyAlignment="1" applyProtection="1">
      <alignment horizontal="left" vertical="center"/>
      <protection locked="0"/>
    </xf>
    <xf numFmtId="0" fontId="29" fillId="23" borderId="0" xfId="1" applyFont="1" applyFill="1" applyAlignment="1" applyProtection="1">
      <alignment horizontal="center" vertical="center"/>
      <protection locked="0"/>
    </xf>
    <xf numFmtId="0" fontId="12" fillId="23" borderId="0" xfId="0" applyFont="1" applyFill="1" applyAlignment="1" applyProtection="1">
      <alignment horizontal="left"/>
      <protection locked="0"/>
    </xf>
    <xf numFmtId="0" fontId="26" fillId="23" borderId="0" xfId="0" applyFont="1" applyFill="1"/>
    <xf numFmtId="0" fontId="2" fillId="4" borderId="2" xfId="1" applyFont="1" applyFill="1" applyBorder="1" applyAlignment="1" applyProtection="1">
      <alignment horizontal="center" vertical="center"/>
      <protection locked="0"/>
    </xf>
    <xf numFmtId="14" fontId="9" fillId="23" borderId="2" xfId="1" applyNumberFormat="1" applyFont="1" applyFill="1" applyBorder="1" applyAlignment="1" applyProtection="1">
      <alignment horizontal="center" vertical="center"/>
      <protection locked="0"/>
    </xf>
    <xf numFmtId="0" fontId="9" fillId="23" borderId="2" xfId="1" applyFont="1" applyFill="1" applyBorder="1" applyAlignment="1" applyProtection="1">
      <alignment horizontal="center" vertical="center"/>
      <protection locked="0"/>
    </xf>
    <xf numFmtId="0" fontId="31" fillId="23" borderId="2" xfId="1" applyFont="1" applyFill="1" applyBorder="1" applyAlignment="1" applyProtection="1">
      <alignment horizontal="center" vertical="center" wrapText="1"/>
      <protection locked="0"/>
    </xf>
    <xf numFmtId="0" fontId="9" fillId="23" borderId="2" xfId="1" applyFont="1" applyFill="1" applyBorder="1" applyAlignment="1" applyProtection="1">
      <alignment horizontal="center" vertical="center" wrapText="1"/>
      <protection locked="0"/>
    </xf>
    <xf numFmtId="0" fontId="9" fillId="23" borderId="1" xfId="1" applyFont="1" applyFill="1" applyBorder="1" applyAlignment="1" applyProtection="1">
      <alignment horizontal="center" vertical="center"/>
      <protection locked="0"/>
    </xf>
    <xf numFmtId="0" fontId="9" fillId="23" borderId="3" xfId="1" applyFont="1" applyFill="1" applyBorder="1" applyAlignment="1" applyProtection="1">
      <alignment horizontal="center" vertical="center"/>
      <protection locked="0"/>
    </xf>
    <xf numFmtId="14" fontId="9" fillId="4" borderId="2" xfId="1" applyNumberFormat="1" applyFont="1" applyFill="1" applyBorder="1" applyAlignment="1" applyProtection="1">
      <alignment horizontal="center" vertical="center"/>
      <protection locked="0"/>
    </xf>
    <xf numFmtId="187" fontId="9" fillId="23" borderId="5" xfId="1" applyNumberFormat="1" applyFont="1" applyFill="1" applyBorder="1" applyAlignment="1" applyProtection="1">
      <alignment horizontal="center" vertical="center"/>
      <protection locked="0"/>
    </xf>
    <xf numFmtId="14" fontId="9" fillId="23" borderId="2" xfId="1" applyNumberFormat="1" applyFont="1" applyFill="1" applyBorder="1" applyAlignment="1" applyProtection="1">
      <alignment horizontal="center" vertical="center" wrapText="1"/>
      <protection locked="0"/>
    </xf>
    <xf numFmtId="0" fontId="32" fillId="3" borderId="2" xfId="0" applyFont="1" applyFill="1" applyBorder="1" applyAlignment="1">
      <alignment horizontal="center" vertical="center" wrapText="1"/>
    </xf>
    <xf numFmtId="14" fontId="2" fillId="23" borderId="2" xfId="1" applyNumberFormat="1" applyFont="1" applyFill="1" applyBorder="1" applyAlignment="1" applyProtection="1">
      <alignment horizontal="center" vertical="center"/>
      <protection locked="0"/>
    </xf>
    <xf numFmtId="0" fontId="2" fillId="23" borderId="2" xfId="1" applyFont="1" applyFill="1" applyBorder="1" applyAlignment="1" applyProtection="1">
      <alignment horizontal="center" vertical="center" wrapText="1"/>
      <protection locked="0"/>
    </xf>
    <xf numFmtId="14" fontId="2" fillId="4" borderId="2" xfId="1" applyNumberFormat="1" applyFont="1" applyFill="1" applyBorder="1" applyAlignment="1" applyProtection="1">
      <alignment horizontal="center" vertical="center"/>
      <protection locked="0"/>
    </xf>
    <xf numFmtId="187" fontId="2" fillId="23" borderId="5" xfId="1" applyNumberFormat="1" applyFont="1" applyFill="1" applyBorder="1" applyAlignment="1" applyProtection="1">
      <alignment horizontal="center" vertical="center"/>
      <protection locked="0"/>
    </xf>
    <xf numFmtId="187" fontId="2" fillId="23" borderId="2" xfId="1" applyNumberFormat="1" applyFont="1" applyFill="1" applyBorder="1" applyAlignment="1" applyProtection="1">
      <alignment horizontal="center" vertical="center"/>
      <protection locked="0"/>
    </xf>
    <xf numFmtId="0" fontId="12" fillId="7" borderId="3" xfId="0" applyFont="1" applyFill="1" applyBorder="1" applyAlignment="1">
      <alignment horizontal="center" vertical="center" wrapText="1"/>
    </xf>
    <xf numFmtId="14" fontId="10" fillId="23" borderId="0" xfId="1" applyNumberFormat="1" applyFont="1" applyFill="1" applyAlignment="1" applyProtection="1">
      <alignment horizontal="center" vertical="center"/>
      <protection locked="0"/>
    </xf>
    <xf numFmtId="0" fontId="10" fillId="23" borderId="0" xfId="1" applyFont="1" applyFill="1" applyAlignment="1" applyProtection="1">
      <alignment horizontal="center" vertical="center"/>
      <protection locked="0"/>
    </xf>
    <xf numFmtId="0" fontId="33" fillId="23" borderId="0" xfId="1" applyFont="1" applyFill="1" applyAlignment="1" applyProtection="1">
      <alignment horizontal="center" vertical="center" wrapText="1"/>
      <protection locked="0"/>
    </xf>
    <xf numFmtId="0" fontId="33" fillId="23" borderId="0" xfId="1" applyFont="1" applyFill="1" applyAlignment="1" applyProtection="1">
      <alignment horizontal="center" vertical="center"/>
      <protection locked="0"/>
    </xf>
    <xf numFmtId="0" fontId="10" fillId="23" borderId="0" xfId="1" applyFont="1" applyFill="1" applyAlignment="1" applyProtection="1">
      <alignment horizontal="center" vertical="center" wrapText="1"/>
      <protection locked="0"/>
    </xf>
    <xf numFmtId="2" fontId="10" fillId="23" borderId="0" xfId="1" applyNumberFormat="1" applyFont="1" applyFill="1" applyAlignment="1" applyProtection="1">
      <alignment horizontal="center" vertical="center" wrapText="1"/>
      <protection locked="0"/>
    </xf>
    <xf numFmtId="0" fontId="8" fillId="0" borderId="2" xfId="0" applyFont="1" applyBorder="1" applyAlignment="1">
      <alignment horizontal="center" vertical="center" wrapText="1"/>
    </xf>
    <xf numFmtId="14" fontId="8" fillId="26" borderId="2" xfId="0" applyNumberFormat="1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1" fillId="19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20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26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21" borderId="2" xfId="0" applyFont="1" applyFill="1" applyBorder="1" applyAlignment="1">
      <alignment horizontal="center" vertical="center" wrapText="1"/>
    </xf>
    <xf numFmtId="0" fontId="11" fillId="2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4" fontId="34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4" fontId="34" fillId="2" borderId="2" xfId="0" applyNumberFormat="1" applyFont="1" applyFill="1" applyBorder="1" applyAlignment="1">
      <alignment horizontal="center" vertical="center" wrapText="1"/>
    </xf>
    <xf numFmtId="1" fontId="34" fillId="3" borderId="2" xfId="0" applyNumberFormat="1" applyFont="1" applyFill="1" applyBorder="1" applyAlignment="1">
      <alignment horizontal="center" vertical="center" wrapText="1"/>
    </xf>
    <xf numFmtId="14" fontId="34" fillId="26" borderId="2" xfId="0" applyNumberFormat="1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 wrapText="1"/>
    </xf>
    <xf numFmtId="0" fontId="16" fillId="3" borderId="0" xfId="0" applyFont="1" applyFill="1"/>
    <xf numFmtId="2" fontId="34" fillId="3" borderId="2" xfId="0" applyNumberFormat="1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vertical="center" wrapText="1"/>
    </xf>
    <xf numFmtId="0" fontId="34" fillId="3" borderId="2" xfId="0" applyFont="1" applyFill="1" applyBorder="1" applyAlignment="1">
      <alignment horizontal="center" vertical="center"/>
    </xf>
    <xf numFmtId="3" fontId="34" fillId="3" borderId="2" xfId="0" applyNumberFormat="1" applyFont="1" applyFill="1" applyBorder="1" applyAlignment="1">
      <alignment horizontal="center" vertical="center" wrapText="1"/>
    </xf>
    <xf numFmtId="0" fontId="16" fillId="4" borderId="0" xfId="0" applyFont="1" applyFill="1"/>
    <xf numFmtId="17" fontId="34" fillId="3" borderId="2" xfId="0" applyNumberFormat="1" applyFont="1" applyFill="1" applyBorder="1" applyAlignment="1">
      <alignment horizontal="center" vertical="center" wrapText="1"/>
    </xf>
    <xf numFmtId="3" fontId="34" fillId="3" borderId="2" xfId="0" applyNumberFormat="1" applyFont="1" applyFill="1" applyBorder="1" applyAlignment="1">
      <alignment vertical="center" wrapText="1"/>
    </xf>
    <xf numFmtId="17" fontId="34" fillId="2" borderId="2" xfId="0" applyNumberFormat="1" applyFont="1" applyFill="1" applyBorder="1" applyAlignment="1">
      <alignment horizontal="center" vertical="center" wrapText="1"/>
    </xf>
    <xf numFmtId="2" fontId="34" fillId="3" borderId="2" xfId="0" applyNumberFormat="1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vertical="center"/>
    </xf>
    <xf numFmtId="14" fontId="36" fillId="3" borderId="2" xfId="0" applyNumberFormat="1" applyFont="1" applyFill="1" applyBorder="1" applyAlignment="1">
      <alignment horizontal="center" vertical="center" wrapText="1"/>
    </xf>
    <xf numFmtId="2" fontId="34" fillId="2" borderId="2" xfId="0" applyNumberFormat="1" applyFont="1" applyFill="1" applyBorder="1" applyAlignment="1">
      <alignment horizontal="center" vertical="center" wrapText="1"/>
    </xf>
    <xf numFmtId="14" fontId="34" fillId="26" borderId="2" xfId="0" applyNumberFormat="1" applyFont="1" applyFill="1" applyBorder="1" applyAlignment="1">
      <alignment vertical="center" wrapText="1"/>
    </xf>
    <xf numFmtId="0" fontId="16" fillId="3" borderId="2" xfId="0" applyFont="1" applyFill="1" applyBorder="1" applyAlignment="1">
      <alignment horizontal="center" vertical="center"/>
    </xf>
    <xf numFmtId="14" fontId="34" fillId="0" borderId="2" xfId="0" applyNumberFormat="1" applyFont="1" applyBorder="1" applyAlignment="1">
      <alignment horizontal="center" vertical="center" wrapText="1"/>
    </xf>
    <xf numFmtId="2" fontId="34" fillId="25" borderId="2" xfId="0" applyNumberFormat="1" applyFont="1" applyFill="1" applyBorder="1" applyAlignment="1">
      <alignment horizontal="center" vertical="center" wrapText="1"/>
    </xf>
    <xf numFmtId="0" fontId="35" fillId="0" borderId="0" xfId="0" applyFont="1"/>
    <xf numFmtId="0" fontId="16" fillId="0" borderId="0" xfId="0" applyFont="1" applyAlignment="1">
      <alignment horizontal="center"/>
    </xf>
    <xf numFmtId="0" fontId="37" fillId="3" borderId="2" xfId="0" applyFont="1" applyFill="1" applyBorder="1" applyAlignment="1">
      <alignment horizontal="center" vertical="center" wrapText="1"/>
    </xf>
    <xf numFmtId="0" fontId="38" fillId="0" borderId="0" xfId="0" applyFont="1"/>
    <xf numFmtId="14" fontId="2" fillId="23" borderId="0" xfId="1" applyNumberFormat="1" applyFont="1" applyFill="1" applyAlignment="1" applyProtection="1">
      <alignment horizontal="center" vertical="center"/>
      <protection locked="0"/>
    </xf>
    <xf numFmtId="14" fontId="0" fillId="23" borderId="0" xfId="0" applyNumberFormat="1" applyFill="1"/>
    <xf numFmtId="0" fontId="9" fillId="23" borderId="0" xfId="1" applyFont="1" applyFill="1" applyAlignment="1" applyProtection="1">
      <alignment horizontal="center" vertical="center"/>
      <protection locked="0"/>
    </xf>
    <xf numFmtId="188" fontId="9" fillId="23" borderId="2" xfId="1" applyNumberFormat="1" applyFont="1" applyFill="1" applyBorder="1" applyAlignment="1" applyProtection="1">
      <alignment horizontal="center" vertical="center"/>
      <protection locked="0"/>
    </xf>
    <xf numFmtId="14" fontId="7" fillId="23" borderId="0" xfId="1" applyNumberFormat="1" applyFont="1" applyFill="1" applyAlignment="1" applyProtection="1">
      <alignment horizontal="center" vertical="center"/>
      <protection locked="0"/>
    </xf>
    <xf numFmtId="0" fontId="39" fillId="27" borderId="2" xfId="1" applyFont="1" applyFill="1" applyBorder="1" applyAlignment="1" applyProtection="1">
      <alignment horizontal="center" vertical="center"/>
      <protection locked="0"/>
    </xf>
    <xf numFmtId="0" fontId="40" fillId="27" borderId="2" xfId="1" applyFont="1" applyFill="1" applyBorder="1" applyAlignment="1" applyProtection="1">
      <alignment horizontal="center" vertical="center"/>
      <protection locked="0"/>
    </xf>
    <xf numFmtId="0" fontId="41" fillId="23" borderId="0" xfId="1" applyFont="1" applyFill="1" applyAlignment="1" applyProtection="1">
      <alignment vertical="center"/>
      <protection locked="0"/>
    </xf>
    <xf numFmtId="0" fontId="42" fillId="23" borderId="0" xfId="1" applyFont="1" applyFill="1" applyProtection="1">
      <protection locked="0"/>
    </xf>
    <xf numFmtId="0" fontId="43" fillId="23" borderId="0" xfId="0" applyFont="1" applyFill="1"/>
    <xf numFmtId="0" fontId="42" fillId="23" borderId="0" xfId="1" applyFont="1" applyFill="1" applyAlignment="1" applyProtection="1">
      <alignment horizontal="center" vertical="center"/>
      <protection locked="0"/>
    </xf>
    <xf numFmtId="0" fontId="42" fillId="23" borderId="0" xfId="0" applyFont="1" applyFill="1" applyAlignment="1" applyProtection="1">
      <alignment horizontal="center"/>
      <protection locked="0"/>
    </xf>
    <xf numFmtId="0" fontId="42" fillId="23" borderId="0" xfId="1" applyFont="1" applyFill="1" applyAlignment="1" applyProtection="1">
      <alignment vertical="center"/>
      <protection locked="0"/>
    </xf>
    <xf numFmtId="0" fontId="42" fillId="23" borderId="0" xfId="0" applyFont="1" applyFill="1" applyAlignment="1" applyProtection="1">
      <alignment horizontal="center" vertical="center"/>
      <protection locked="0"/>
    </xf>
    <xf numFmtId="14" fontId="42" fillId="23" borderId="0" xfId="0" applyNumberFormat="1" applyFont="1" applyFill="1" applyAlignment="1" applyProtection="1">
      <alignment horizontal="center" vertical="center"/>
      <protection locked="0"/>
    </xf>
    <xf numFmtId="0" fontId="44" fillId="23" borderId="0" xfId="0" applyFont="1" applyFill="1" applyAlignment="1" applyProtection="1">
      <alignment horizontal="left"/>
      <protection locked="0"/>
    </xf>
    <xf numFmtId="187" fontId="9" fillId="23" borderId="2" xfId="1" applyNumberFormat="1" applyFont="1" applyFill="1" applyBorder="1" applyAlignment="1" applyProtection="1">
      <alignment horizontal="center" vertical="center"/>
      <protection locked="0"/>
    </xf>
    <xf numFmtId="0" fontId="45" fillId="23" borderId="0" xfId="1" applyFont="1" applyFill="1" applyAlignment="1" applyProtection="1">
      <alignment horizontal="left" vertical="center"/>
      <protection locked="0"/>
    </xf>
    <xf numFmtId="0" fontId="11" fillId="19" borderId="3" xfId="0" applyFont="1" applyFill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16" fillId="0" borderId="2" xfId="0" applyFont="1" applyBorder="1"/>
    <xf numFmtId="0" fontId="7" fillId="17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horizontal="center" vertical="center" wrapText="1"/>
    </xf>
    <xf numFmtId="1" fontId="5" fillId="3" borderId="10" xfId="0" applyNumberFormat="1" applyFont="1" applyFill="1" applyBorder="1" applyAlignment="1">
      <alignment horizontal="center" vertical="center" wrapText="1"/>
    </xf>
    <xf numFmtId="0" fontId="5" fillId="3" borderId="10" xfId="2" applyNumberFormat="1" applyFont="1" applyFill="1" applyBorder="1" applyAlignment="1">
      <alignment horizontal="center" vertical="center" wrapText="1"/>
    </xf>
    <xf numFmtId="0" fontId="16" fillId="0" borderId="11" xfId="0" applyFont="1" applyBorder="1"/>
    <xf numFmtId="0" fontId="34" fillId="20" borderId="2" xfId="0" applyFont="1" applyFill="1" applyBorder="1" applyAlignment="1">
      <alignment horizontal="center" vertical="center" wrapText="1"/>
    </xf>
    <xf numFmtId="0" fontId="16" fillId="20" borderId="0" xfId="0" applyFont="1" applyFill="1"/>
    <xf numFmtId="0" fontId="11" fillId="6" borderId="2" xfId="0" applyFont="1" applyFill="1" applyBorder="1" applyAlignment="1">
      <alignment horizontal="center" vertical="center"/>
    </xf>
    <xf numFmtId="14" fontId="34" fillId="3" borderId="2" xfId="0" applyNumberFormat="1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1" fontId="34" fillId="3" borderId="10" xfId="0" applyNumberFormat="1" applyFont="1" applyFill="1" applyBorder="1" applyAlignment="1">
      <alignment horizontal="center" vertical="center" wrapText="1"/>
    </xf>
    <xf numFmtId="0" fontId="30" fillId="0" borderId="0" xfId="0" applyFont="1"/>
    <xf numFmtId="0" fontId="8" fillId="23" borderId="2" xfId="1" applyFont="1" applyFill="1" applyBorder="1" applyAlignment="1" applyProtection="1">
      <alignment horizontal="center" vertical="center"/>
      <protection locked="0"/>
    </xf>
    <xf numFmtId="0" fontId="46" fillId="23" borderId="2" xfId="1" applyFont="1" applyFill="1" applyBorder="1" applyAlignment="1" applyProtection="1">
      <alignment horizontal="center" vertical="center"/>
      <protection locked="0"/>
    </xf>
    <xf numFmtId="0" fontId="34" fillId="3" borderId="5" xfId="0" applyFont="1" applyFill="1" applyBorder="1" applyAlignment="1">
      <alignment vertical="center" wrapText="1"/>
    </xf>
    <xf numFmtId="14" fontId="0" fillId="6" borderId="0" xfId="0" applyNumberFormat="1" applyFill="1"/>
    <xf numFmtId="0" fontId="7" fillId="23" borderId="0" xfId="1" applyFont="1" applyFill="1" applyAlignment="1" applyProtection="1">
      <alignment horizontal="left" vertical="center"/>
      <protection locked="0"/>
    </xf>
    <xf numFmtId="0" fontId="47" fillId="23" borderId="0" xfId="1" applyFont="1" applyFill="1" applyAlignment="1" applyProtection="1">
      <alignment horizontal="right" vertical="center"/>
      <protection locked="0"/>
    </xf>
    <xf numFmtId="0" fontId="2" fillId="3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4" fillId="28" borderId="2" xfId="0" applyFont="1" applyFill="1" applyBorder="1" applyAlignment="1">
      <alignment horizontal="center" vertical="center" wrapText="1"/>
    </xf>
    <xf numFmtId="2" fontId="34" fillId="3" borderId="9" xfId="0" applyNumberFormat="1" applyFont="1" applyFill="1" applyBorder="1" applyAlignment="1">
      <alignment horizontal="center" vertical="center" wrapText="1"/>
    </xf>
    <xf numFmtId="0" fontId="34" fillId="3" borderId="5" xfId="0" applyFont="1" applyFill="1" applyBorder="1" applyAlignment="1">
      <alignment horizontal="center" vertical="center" wrapText="1"/>
    </xf>
    <xf numFmtId="0" fontId="34" fillId="3" borderId="9" xfId="0" applyFont="1" applyFill="1" applyBorder="1" applyAlignment="1">
      <alignment horizontal="center" vertical="center" wrapText="1"/>
    </xf>
    <xf numFmtId="2" fontId="34" fillId="3" borderId="1" xfId="0" applyNumberFormat="1" applyFont="1" applyFill="1" applyBorder="1" applyAlignment="1">
      <alignment horizontal="center" vertical="center" wrapText="1"/>
    </xf>
    <xf numFmtId="14" fontId="34" fillId="2" borderId="3" xfId="0" applyNumberFormat="1" applyFont="1" applyFill="1" applyBorder="1" applyAlignment="1">
      <alignment horizontal="center" vertical="center" wrapText="1"/>
    </xf>
    <xf numFmtId="0" fontId="48" fillId="23" borderId="0" xfId="1" applyFont="1" applyFill="1" applyAlignment="1" applyProtection="1">
      <alignment horizontal="center" vertical="center"/>
      <protection locked="0"/>
    </xf>
    <xf numFmtId="2" fontId="8" fillId="3" borderId="2" xfId="0" applyNumberFormat="1" applyFont="1" applyFill="1" applyBorder="1" applyAlignment="1">
      <alignment horizontal="left" vertical="center" wrapText="1" indent="2"/>
    </xf>
    <xf numFmtId="2" fontId="34" fillId="3" borderId="2" xfId="0" applyNumberFormat="1" applyFont="1" applyFill="1" applyBorder="1" applyAlignment="1">
      <alignment horizontal="left" vertical="center" wrapText="1" indent="1"/>
    </xf>
    <xf numFmtId="0" fontId="34" fillId="6" borderId="2" xfId="0" applyFont="1" applyFill="1" applyBorder="1" applyAlignment="1">
      <alignment horizontal="center" vertical="center" wrapText="1"/>
    </xf>
    <xf numFmtId="14" fontId="34" fillId="6" borderId="2" xfId="0" applyNumberFormat="1" applyFont="1" applyFill="1" applyBorder="1" applyAlignment="1">
      <alignment horizontal="center" vertical="center" wrapText="1"/>
    </xf>
    <xf numFmtId="0" fontId="37" fillId="6" borderId="2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34" fillId="6" borderId="3" xfId="0" applyFont="1" applyFill="1" applyBorder="1" applyAlignment="1">
      <alignment horizontal="center" vertical="center" wrapText="1"/>
    </xf>
    <xf numFmtId="2" fontId="34" fillId="6" borderId="2" xfId="0" applyNumberFormat="1" applyFont="1" applyFill="1" applyBorder="1" applyAlignment="1">
      <alignment horizontal="center" vertical="center" wrapText="1"/>
    </xf>
    <xf numFmtId="0" fontId="16" fillId="6" borderId="0" xfId="0" applyFont="1" applyFill="1"/>
    <xf numFmtId="0" fontId="5" fillId="29" borderId="2" xfId="0" applyFont="1" applyFill="1" applyBorder="1" applyAlignment="1">
      <alignment horizontal="center" vertical="center" wrapText="1"/>
    </xf>
    <xf numFmtId="14" fontId="5" fillId="29" borderId="2" xfId="0" applyNumberFormat="1" applyFont="1" applyFill="1" applyBorder="1" applyAlignment="1">
      <alignment horizontal="center" vertical="center" wrapText="1"/>
    </xf>
    <xf numFmtId="0" fontId="49" fillId="29" borderId="2" xfId="0" applyFont="1" applyFill="1" applyBorder="1" applyAlignment="1">
      <alignment horizontal="center" vertical="center" wrapText="1"/>
    </xf>
    <xf numFmtId="0" fontId="5" fillId="29" borderId="10" xfId="0" applyFont="1" applyFill="1" applyBorder="1" applyAlignment="1">
      <alignment horizontal="center" vertical="center" wrapText="1"/>
    </xf>
    <xf numFmtId="0" fontId="5" fillId="29" borderId="3" xfId="0" applyFont="1" applyFill="1" applyBorder="1" applyAlignment="1">
      <alignment horizontal="center" vertical="center" wrapText="1"/>
    </xf>
    <xf numFmtId="2" fontId="5" fillId="29" borderId="2" xfId="0" applyNumberFormat="1" applyFont="1" applyFill="1" applyBorder="1" applyAlignment="1">
      <alignment horizontal="center" vertical="center" wrapText="1"/>
    </xf>
    <xf numFmtId="0" fontId="50" fillId="4" borderId="2" xfId="0" applyFont="1" applyFill="1" applyBorder="1" applyAlignment="1">
      <alignment horizontal="center" vertical="center" wrapText="1"/>
    </xf>
    <xf numFmtId="189" fontId="34" fillId="3" borderId="2" xfId="0" applyNumberFormat="1" applyFont="1" applyFill="1" applyBorder="1" applyAlignment="1">
      <alignment horizontal="center" vertical="center" wrapText="1"/>
    </xf>
    <xf numFmtId="0" fontId="2" fillId="23" borderId="0" xfId="0" applyFont="1" applyFill="1" applyAlignment="1">
      <alignment horizontal="center" vertical="center" wrapText="1"/>
    </xf>
    <xf numFmtId="0" fontId="26" fillId="0" borderId="0" xfId="0" applyFont="1"/>
    <xf numFmtId="190" fontId="34" fillId="3" borderId="2" xfId="0" applyNumberFormat="1" applyFont="1" applyFill="1" applyBorder="1" applyAlignment="1">
      <alignment horizontal="center" vertical="center" wrapText="1"/>
    </xf>
    <xf numFmtId="14" fontId="10" fillId="23" borderId="2" xfId="1" applyNumberFormat="1" applyFont="1" applyFill="1" applyBorder="1" applyAlignment="1" applyProtection="1">
      <alignment horizontal="center" vertical="center"/>
      <protection locked="0"/>
    </xf>
    <xf numFmtId="0" fontId="10" fillId="23" borderId="2" xfId="1" applyFont="1" applyFill="1" applyBorder="1" applyAlignment="1" applyProtection="1">
      <alignment horizontal="center" vertical="center"/>
      <protection locked="0"/>
    </xf>
    <xf numFmtId="0" fontId="33" fillId="23" borderId="2" xfId="1" applyFont="1" applyFill="1" applyBorder="1" applyAlignment="1" applyProtection="1">
      <alignment horizontal="center" vertical="center" wrapText="1"/>
      <protection locked="0"/>
    </xf>
    <xf numFmtId="0" fontId="33" fillId="23" borderId="2" xfId="1" applyFont="1" applyFill="1" applyBorder="1" applyAlignment="1" applyProtection="1">
      <alignment horizontal="center" vertical="center"/>
      <protection locked="0"/>
    </xf>
    <xf numFmtId="0" fontId="10" fillId="23" borderId="2" xfId="1" applyFont="1" applyFill="1" applyBorder="1" applyAlignment="1" applyProtection="1">
      <alignment horizontal="center" vertical="center" wrapText="1"/>
      <protection locked="0"/>
    </xf>
    <xf numFmtId="2" fontId="10" fillId="23" borderId="2" xfId="1" applyNumberFormat="1" applyFont="1" applyFill="1" applyBorder="1" applyAlignment="1" applyProtection="1">
      <alignment horizontal="center" vertical="center" wrapText="1"/>
      <protection locked="0"/>
    </xf>
    <xf numFmtId="0" fontId="34" fillId="27" borderId="2" xfId="0" applyFont="1" applyFill="1" applyBorder="1" applyAlignment="1">
      <alignment horizontal="center" vertical="center" wrapText="1"/>
    </xf>
    <xf numFmtId="14" fontId="34" fillId="27" borderId="2" xfId="0" applyNumberFormat="1" applyFont="1" applyFill="1" applyBorder="1" applyAlignment="1">
      <alignment horizontal="center" vertical="center" wrapText="1"/>
    </xf>
    <xf numFmtId="0" fontId="37" fillId="27" borderId="2" xfId="0" applyFont="1" applyFill="1" applyBorder="1" applyAlignment="1">
      <alignment horizontal="center" vertical="center" wrapText="1"/>
    </xf>
    <xf numFmtId="0" fontId="5" fillId="27" borderId="10" xfId="0" applyFont="1" applyFill="1" applyBorder="1" applyAlignment="1">
      <alignment horizontal="center" vertical="center" wrapText="1"/>
    </xf>
    <xf numFmtId="0" fontId="34" fillId="27" borderId="3" xfId="0" applyFont="1" applyFill="1" applyBorder="1" applyAlignment="1">
      <alignment horizontal="center" vertical="center" wrapText="1"/>
    </xf>
    <xf numFmtId="2" fontId="34" fillId="27" borderId="2" xfId="0" applyNumberFormat="1" applyFont="1" applyFill="1" applyBorder="1" applyAlignment="1">
      <alignment horizontal="center" vertical="center" wrapText="1"/>
    </xf>
    <xf numFmtId="14" fontId="2" fillId="0" borderId="2" xfId="1" applyNumberFormat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horizontal="center" vertical="center"/>
      <protection locked="0"/>
    </xf>
    <xf numFmtId="0" fontId="3" fillId="0" borderId="2" xfId="1" applyFont="1" applyBorder="1" applyAlignment="1" applyProtection="1">
      <alignment horizontal="center" vertical="center" wrapText="1"/>
      <protection locked="0"/>
    </xf>
    <xf numFmtId="0" fontId="2" fillId="0" borderId="2" xfId="1" applyFont="1" applyBorder="1" applyAlignment="1" applyProtection="1">
      <alignment horizontal="center" vertical="center" wrapText="1"/>
      <protection locked="0"/>
    </xf>
    <xf numFmtId="2" fontId="2" fillId="0" borderId="2" xfId="1" applyNumberFormat="1" applyFont="1" applyBorder="1" applyAlignment="1" applyProtection="1">
      <alignment horizontal="center" vertical="center" wrapText="1"/>
      <protection locked="0"/>
    </xf>
    <xf numFmtId="0" fontId="30" fillId="23" borderId="0" xfId="0" applyFont="1" applyFill="1"/>
    <xf numFmtId="0" fontId="51" fillId="23" borderId="2" xfId="1" applyFont="1" applyFill="1" applyBorder="1" applyAlignment="1" applyProtection="1">
      <alignment horizontal="center" vertical="center"/>
      <protection locked="0"/>
    </xf>
    <xf numFmtId="0" fontId="34" fillId="3" borderId="5" xfId="0" applyFont="1" applyFill="1" applyBorder="1" applyAlignment="1">
      <alignment horizontal="center" vertical="center" wrapText="1"/>
    </xf>
    <xf numFmtId="0" fontId="34" fillId="3" borderId="9" xfId="0" applyFont="1" applyFill="1" applyBorder="1" applyAlignment="1">
      <alignment horizontal="center" vertical="center" wrapText="1"/>
    </xf>
    <xf numFmtId="0" fontId="34" fillId="3" borderId="12" xfId="0" applyFont="1" applyFill="1" applyBorder="1" applyAlignment="1">
      <alignment horizontal="center" vertical="center" wrapText="1"/>
    </xf>
    <xf numFmtId="14" fontId="34" fillId="2" borderId="5" xfId="0" applyNumberFormat="1" applyFont="1" applyFill="1" applyBorder="1" applyAlignment="1">
      <alignment horizontal="center" vertical="center" wrapText="1"/>
    </xf>
    <xf numFmtId="14" fontId="34" fillId="2" borderId="12" xfId="0" applyNumberFormat="1" applyFont="1" applyFill="1" applyBorder="1" applyAlignment="1">
      <alignment horizontal="center" vertical="center" wrapText="1"/>
    </xf>
    <xf numFmtId="14" fontId="34" fillId="2" borderId="9" xfId="0" applyNumberFormat="1" applyFont="1" applyFill="1" applyBorder="1" applyAlignment="1">
      <alignment horizontal="center" vertical="center" wrapText="1"/>
    </xf>
    <xf numFmtId="0" fontId="6" fillId="23" borderId="8" xfId="1" applyFont="1" applyFill="1" applyBorder="1" applyAlignment="1" applyProtection="1">
      <alignment horizontal="center" vertical="center"/>
      <protection locked="0"/>
    </xf>
    <xf numFmtId="0" fontId="6" fillId="23" borderId="0" xfId="1" applyFont="1" applyFill="1" applyAlignment="1" applyProtection="1">
      <alignment horizontal="center" vertical="center"/>
      <protection locked="0"/>
    </xf>
    <xf numFmtId="0" fontId="6" fillId="23" borderId="7" xfId="1" applyFont="1" applyFill="1" applyBorder="1" applyAlignment="1" applyProtection="1">
      <alignment horizontal="center" vertical="center"/>
      <protection locked="0"/>
    </xf>
    <xf numFmtId="0" fontId="8" fillId="23" borderId="1" xfId="1" applyFont="1" applyFill="1" applyBorder="1" applyAlignment="1" applyProtection="1">
      <alignment horizontal="center" vertical="center"/>
      <protection locked="0"/>
    </xf>
    <xf numFmtId="0" fontId="8" fillId="23" borderId="3" xfId="1" applyFont="1" applyFill="1" applyBorder="1" applyAlignment="1" applyProtection="1">
      <alignment horizontal="center" vertical="center"/>
      <protection locked="0"/>
    </xf>
  </cellXfs>
  <cellStyles count="3">
    <cellStyle name="Normal 2" xfId="1" xr:uid="{00000000-0005-0000-0000-000002000000}"/>
    <cellStyle name="จุลภาค" xfId="2" builtinId="3"/>
    <cellStyle name="ปกติ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E1093C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000000"/>
      <color rgb="FFFFFFFF"/>
      <color rgb="FFF8F8F8"/>
      <color rgb="FFE1093C"/>
      <color rgb="FFDDDDDD"/>
      <color rgb="FFFFFFCC"/>
      <color rgb="FFCC99FF"/>
      <color rgb="FFD9F3F6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3690.449835879626" createdVersion="6" refreshedVersion="6" minRefreshableVersion="3" recordCount="794" xr:uid="{00000000-000A-0000-FFFF-FFFF01000000}">
  <cacheSource type="worksheet">
    <worksheetSource ref="A1:AA1290" sheet="NCR รวม"/>
  </cacheSource>
  <cacheFields count="31">
    <cacheField name="เดือน" numFmtId="0">
      <sharedItems containsBlank="1"/>
    </cacheField>
    <cacheField name="D/M/Y" numFmtId="14">
      <sharedItems containsNonDate="0" containsDate="1" containsString="0" containsBlank="1" minDate="2561-01-04T00:00:00" maxDate="2562-08-11T00:00:00"/>
    </cacheField>
    <cacheField name="แผนก" numFmtId="0">
      <sharedItems containsBlank="1" count="13">
        <s v="PD1รีดเส้น"/>
        <s v="PD2ทอ"/>
        <s v="PD3พิมพ์"/>
        <s v="PD3พิมพ์,PD4"/>
        <s v="PD3พิมพ์,QA"/>
        <s v="PD1เคลือบ"/>
        <s v="PD3พิมพ์,PD2 ทอ,PD4"/>
        <s v="QA,PD"/>
        <s v="PD4ตัดเย็บ"/>
        <m/>
        <s v="PD"/>
        <s v="PD3พิมพ์ , QA"/>
        <s v="PD4ตัดเย็บ,PD3พิมพ์"/>
      </sharedItems>
    </cacheField>
    <cacheField name="เลที่ NCR" numFmtId="0">
      <sharedItems containsString="0" containsBlank="1" containsNumber="1" containsInteger="1" minValue="620001" maxValue="620598"/>
    </cacheField>
    <cacheField name="รหัสสินค้า" numFmtId="0">
      <sharedItems containsBlank="1" count="96">
        <s v="WRWT21750"/>
        <s v="WRWT25850"/>
        <s v="WRWT211125"/>
        <s v="WSWT2025700"/>
        <s v="WRWT21670"/>
        <s v="WRWT25650"/>
        <s v="WSWT2025800"/>
        <s v="WSWT262565051"/>
        <s v="WSWT2825850"/>
        <s v="WSWT242111252551"/>
        <s v="WSWT2421112512551"/>
        <s v="WRWT25800"/>
        <s v="ซันฟีด 935เอ"/>
        <s v="WRWT251050"/>
        <s v="WSWT2321112512551"/>
        <s v="WSWT24211125120"/>
        <s v="ปลาโลมาแดง"/>
        <s v="WB ฟาร์ม F913"/>
        <s v="PORTARYTE"/>
        <s v="NB PROPLUS 888"/>
        <s v="TGM"/>
        <s v="WSWT1825800"/>
        <s v="VC 110"/>
        <s v="wsYL2625850"/>
        <s v="VC 181"/>
        <s v="โกลเด้นโปร"/>
        <s v="WSYL2625850L"/>
        <s v="WSWT2321112512051"/>
        <s v="แตงโมพันธุ์พันข้าว(ไม่มีโลโก้)"/>
        <s v="ซันฟีด 952"/>
        <s v="WSWT2021750"/>
        <s v="WSWT2625850SM"/>
        <s v="WRWT251000"/>
        <s v="FWBWT2337120P"/>
        <s v="เบทาโกร 302"/>
        <s v="WSWT2025850"/>
        <s v="WSWT262565051L"/>
        <s v="WSWT2625650"/>
        <s v="WSWT19251000SM"/>
        <s v="WSWT2321750"/>
        <s v="WRYL25850"/>
        <s v="CERASIL 325"/>
        <s v="WSWT1925800"/>
        <s v="เพอเฟคค์ 913"/>
        <s v="WSWT2025800SMLM"/>
        <s v="เพอเฟคค์ 203P"/>
        <s v="เบทาโกร 405"/>
        <s v="บาลานส์ 957"/>
        <s v="SPM 402"/>
        <s v="REFINED SUGAR S.28"/>
        <s v="WSWT1425800"/>
        <s v="ซันฟีด 935"/>
        <s v="ซันฟีด 917"/>
        <s v="เบทาโกรภาคใต้"/>
        <s v="ซันฟีด 935แอล"/>
        <s v="WSWT2325650"/>
        <s v="WSWT2321112514051"/>
        <s v="ไทยลักซ์ 8941"/>
        <s v="WRWT211000"/>
        <s v="เบทาโกร 104"/>
        <s v="WRCL25680"/>
        <s v="WRWT21950"/>
        <s v="ศรีนครพันธุ์ข้าว"/>
        <s v="WSWT2025650"/>
        <m/>
        <s v="WSWT2321950"/>
        <s v="WSWT2625800SM"/>
        <s v="ไก่เหยียบศร(ศรีวรรณ)"/>
        <s v="ซันฟีด ไก่ไข่"/>
        <s v="WRWT21980"/>
        <s v="WSWT2625850sml"/>
        <s v="WSWT23521950SM"/>
        <s v="เฟิร์สช้อย 914"/>
        <s v="น้ำตาลทรายขาวเกรด 1"/>
        <s v="WSWT2625700"/>
        <s v="WSWT23521980SM"/>
        <s v="ทีจีเอ็ม 4-8-12"/>
        <s v="ทีจีเอ็ม 12-3-9"/>
        <s v="ซันฟีด 918"/>
        <s v="ซันฟีด 952 เอส"/>
        <s v="เพอเฟคค์ 911,เพอเฟคค์ 664"/>
        <s v="VC 100"/>
        <s v="SPEED PLUS 333ENG"/>
        <s v="SPEED PLUS 304 เขมร"/>
        <s v="WHITE SUGAR สีเขียว"/>
        <s v="เฟิร์สช้อย 913"/>
        <s v="โมโม่ 402 โกล"/>
        <s v="NS-GOLD"/>
        <s v="TSP ฟูลแฟตซอย"/>
        <s v="ซันฟ๊ด 915 พี"/>
        <s v="เพอเฟคค์ 664"/>
        <s v="LION FISH 401"/>
        <s v="หลอดไฟ"/>
        <s v="WRWT217670"/>
        <s v="WSWT2021950"/>
        <s v="WB ใช้ในฟาร์ม 204 SK."/>
      </sharedItems>
    </cacheField>
    <cacheField name="เลขที่ผลิตภัณฑ์" numFmtId="0">
      <sharedItems containsBlank="1" containsMixedTypes="1" containsNumber="1" containsInteger="1" minValue="62010431" maxValue="620808105"/>
    </cacheField>
    <cacheField name="Lot No." numFmtId="0">
      <sharedItems containsDate="1" containsBlank="1" containsMixedTypes="1" minDate="1900-01-03T10:35:05" maxDate="1900-01-06T12:22:05"/>
    </cacheField>
    <cacheField name="เครื่อง" numFmtId="0">
      <sharedItems containsBlank="1" count="100">
        <s v="TL4"/>
        <s v="TL3"/>
        <s v="CL56"/>
        <s v="CL54"/>
        <s v="CL55"/>
        <s v="CL80"/>
        <s v="CL34"/>
        <s v="CL64"/>
        <s v="CL30"/>
        <s v="CL35"/>
        <s v="CL09"/>
        <s v="CL82"/>
        <s v="PT1"/>
        <s v="CL19"/>
        <s v="CL25"/>
        <s v="CL28"/>
        <s v="CL63"/>
        <s v="CL71"/>
        <s v="CL41"/>
        <s v="CL53"/>
        <s v="CL78"/>
        <s v="CL77"/>
        <s v="PT4"/>
        <s v="PT8"/>
        <s v="PT3"/>
        <s v="CL24"/>
        <s v="CL57"/>
        <s v="CL39"/>
        <s v="CL27"/>
        <s v="CL83"/>
        <s v="CL66"/>
        <s v="CL01"/>
        <s v="CL42"/>
        <s v="TL1"/>
        <s v="LM03"/>
        <s v="CL02"/>
        <s v="CL36"/>
        <s v="CL23"/>
        <s v="TL1,CL87"/>
        <s v="CL92"/>
        <s v="CL87"/>
        <s v="CL85"/>
        <s v="CL03"/>
        <s v="CL26"/>
        <s v="-"/>
        <s v="CL47"/>
        <s v="CL68"/>
        <s v="CL67"/>
        <s v="CL06"/>
        <s v="CL14"/>
        <s v="PT2"/>
        <s v="CL76"/>
        <s v="CL31"/>
        <s v="CL62"/>
        <s v="PT9"/>
        <s v="CL20"/>
        <s v="CL86"/>
        <s v="CL9"/>
        <s v="TL2"/>
        <s v="งานตีคืนจากลูกค้า"/>
        <s v="CL17"/>
        <s v="CL16"/>
        <s v="CL90"/>
        <s v="CS1,3,4,5,6,7,8"/>
        <s v="CL45"/>
        <s v="CL08"/>
        <s v="CL13"/>
        <s v="CL46"/>
        <s v="CL75"/>
        <s v="CL73"/>
        <s v="CL29"/>
        <s v="CL69"/>
        <s v="CL60"/>
        <s v="CL89"/>
        <s v="CL40"/>
        <m/>
        <s v="CL44"/>
        <s v="CL58"/>
        <s v="CL48"/>
        <s v="LM2"/>
        <s v="CL7"/>
        <s v="CL84"/>
        <s v="CL11"/>
        <s v="CL79"/>
        <s v="CL59"/>
        <s v="CL61"/>
        <s v="CL43"/>
        <s v="CL1"/>
        <s v="CL95"/>
        <s v="CL38"/>
        <s v="CL04"/>
        <s v="CL07"/>
        <s v="CL51"/>
        <s v="TP1"/>
        <s v="CL49"/>
        <s v="PT09"/>
        <s v="CL15"/>
        <s v="PT02"/>
        <s v="CS05"/>
        <s v="GL3"/>
      </sharedItems>
    </cacheField>
    <cacheField name="Spec" numFmtId="0">
      <sharedItems containsBlank="1"/>
    </cacheField>
    <cacheField name="ผลการตรวจสอบ" numFmtId="0">
      <sharedItems containsDate="1" containsBlank="1" containsMixedTypes="1" minDate="2562-08-05T00:00:00" maxDate="1900-01-01T18:26:04" count="586">
        <n v="727"/>
        <n v="2.23"/>
        <n v="46"/>
        <s v="936 ,874"/>
        <s v="1047, 1113"/>
        <s v="86, 98"/>
        <n v="73.08"/>
        <n v="640"/>
        <n v="658"/>
        <n v="31"/>
        <n v="75.239999999999995"/>
        <n v="74.72"/>
        <n v="100.84"/>
        <n v="124.11"/>
        <n v="122.13"/>
        <n v="121.97"/>
        <n v="122.62"/>
        <s v="1092, 1071, 1104"/>
        <n v="1128"/>
        <s v="56, 33, 38, 52, 35"/>
        <n v="122.74"/>
        <s v="1099 ,1099"/>
        <s v="82 ,82"/>
        <n v="74.599999999999994"/>
        <n v="759"/>
        <s v="งานพิมพ์ไม่สมบรูณ์"/>
        <n v="128.07"/>
        <n v="123.46"/>
        <n v="122.89"/>
        <n v="117"/>
        <n v="1093"/>
        <n v="64"/>
        <n v="1064"/>
        <n v="40"/>
        <n v="129.27000000000001"/>
        <n v="117.9"/>
        <s v="เส้นเทปใสผสม5-6เส้น ไม่ทราบจำนวนเมตร"/>
        <s v="1089, 1079, 1092, 1071, 1101, 1112"/>
        <s v="1186, 1170"/>
        <s v="238, 43, 51, 57, 47, 65, 45"/>
        <n v="118.45"/>
        <n v="124.08"/>
        <s v="ด้ายคู่2คู่ไม่ทราบจำนวนเมตร"/>
        <n v="799"/>
        <n v="873"/>
        <s v="100, 44"/>
        <n v="821"/>
        <n v="1000"/>
        <s v="เส้นเทปใสผสม  ไม่ทราบจำนวนเมตร"/>
        <n v="679"/>
        <n v="74.489999999999995"/>
        <n v="776"/>
        <n v="42"/>
        <n v="128.85"/>
        <n v="118.8"/>
        <n v="116.24"/>
        <s v="โครงสร้างด้ายพุ่งหลวม"/>
        <s v="1070, 1101"/>
        <n v="1139"/>
        <s v="42, 35"/>
        <s v="นน.69.36"/>
        <n v="129.84"/>
        <n v="124.37"/>
        <n v="123.07"/>
        <n v="659"/>
        <s v="เป็นรอยฟ้าผ่า สีลงไม่เต็ม/งานพิมพ์ไม่สมบรูณ์ตัวหนังสือไม่ชัดเจน"/>
        <n v="120.38"/>
        <n v="122.85"/>
        <n v="123.9"/>
        <n v="75.83"/>
        <n v="75.650000000000006"/>
        <n v="74.05"/>
        <n v="125.42"/>
        <n v="118.78"/>
        <n v="119.28"/>
        <n v="56"/>
        <n v="56.67"/>
        <n v="71.44"/>
        <n v="123.85"/>
        <n v="816"/>
        <s v="ด้ายยืนใสก้นหลอด"/>
        <n v="121.41"/>
        <n v="123.42"/>
        <s v="งานพิมพ์เป็นรอยตะขาบ"/>
        <n v="1027"/>
        <s v="งานตีกลับจากลูกค้า"/>
        <s v="ผ้าไม่มีฟิล์มริมด้านข้าง"/>
        <n v="113.62"/>
        <n v="58"/>
        <n v="122.88"/>
        <n v="122.09"/>
        <n v="113.9"/>
        <n v="112.94"/>
        <n v="710"/>
        <n v="36"/>
        <n v="122.48"/>
        <n v="122.06"/>
        <n v="1129"/>
        <n v="1135"/>
        <n v="32"/>
        <s v="งานพิมพ์สีซีดกว่าตัวอย่าง"/>
        <n v="123.65"/>
        <n v="129.53"/>
        <s v="ผ้ามีแผลเยอะ"/>
        <s v="งานพิมพ์เปื้อนสี"/>
        <n v="123.99"/>
        <s v="โครงสร้างไม่ครบ ผ้าโย้"/>
        <n v="75.349999999999994"/>
        <n v="105.96"/>
        <s v="โครงสร้างไม่ครบ ผ้าโย้ + ด้ายยืนหนีบ"/>
        <n v="122.26"/>
        <n v="122.68"/>
        <n v="121.98"/>
        <n v="122.34"/>
        <n v="966"/>
        <n v="34"/>
        <s v="ลูกค้าพบจุดดำติดอยู่ในเนื้อถุงรองใน"/>
        <n v="123.14"/>
        <n v="123.8"/>
        <s v="งานพิมพ์ตัวหนังด้านหลังไม่ชัดเจนมีเส้นเทปติด"/>
        <n v="38"/>
        <n v="129.91"/>
        <n v="124.51"/>
        <n v="123.66"/>
        <s v="ปากไดร์ดันผ้าไม่มีฟิล์ม"/>
        <s v="ด้ายคู่1คู่ไม่ทราบจำนวนเมตร"/>
        <s v="ด้ายยืนเหลืองอ่อนผสม"/>
        <n v="116.84"/>
        <s v="บล็อกเลื่อน"/>
        <n v="81.52"/>
        <n v="129.62"/>
        <n v="130.21"/>
        <n v="95.34"/>
        <n v="80.31"/>
        <n v="994"/>
        <n v="35"/>
        <n v="1060"/>
        <n v="129.66"/>
        <n v="87.54"/>
        <n v="124.67"/>
        <n v="1104"/>
        <n v="51"/>
        <n v="2.2200000000000002"/>
        <n v="814"/>
        <s v="40 , 48"/>
        <s v="2.34  , 2.37"/>
        <n v="866"/>
        <n v="72.38"/>
        <n v="796"/>
        <s v="มีสีเหลืองปน"/>
        <n v="124.23"/>
        <n v="72.5"/>
        <n v="817"/>
        <s v="1047 ,1091"/>
        <s v="70 ,44"/>
        <n v="123.55"/>
        <n v="124.12"/>
        <n v="122.15"/>
        <n v="124.22"/>
        <n v="708"/>
        <n v="33"/>
        <n v="1073"/>
        <n v="124.03"/>
        <n v="118.92"/>
        <n v="775"/>
        <n v="119.93"/>
        <n v="82.4"/>
        <n v="123.63"/>
        <n v="122.46"/>
        <n v="118.02"/>
        <n v="54.42"/>
        <n v="123.43"/>
        <n v="124.53"/>
        <s v="1097 ,1104"/>
        <s v="54 ,46, 70"/>
        <n v="1077"/>
        <n v="79.650000000000006"/>
        <n v="122.08"/>
        <n v="122.42"/>
        <n v="123.2"/>
        <n v="74.2"/>
        <n v="57"/>
        <n v="819"/>
        <s v="เส้นเทปใสผสมยืน 1 เส้น"/>
        <n v="71.150000000000006"/>
        <n v="701"/>
        <s v="ฟิล์มลงไม่เต็มผ้า"/>
        <n v="116.97"/>
        <s v="โครงสร้างผ้าไม่ครบ1จุด"/>
        <n v="74.61"/>
        <n v="129.26"/>
        <s v="น้ำหนักต่ำไม่ตรงตามใบปะม้วน"/>
        <s v="งานตีคืนจากลูกค้า เส้นเทปแตก"/>
        <n v="82.97"/>
        <s v="ผ้าเป็นเม็ด"/>
        <n v="83.41"/>
        <n v="742"/>
        <n v="87"/>
        <n v="66.69"/>
        <n v="82.67"/>
        <n v="83.2"/>
        <n v="80.930000000000007"/>
        <s v="โครงสร้างผ้าไม่แน่น"/>
        <n v="77.87"/>
        <s v="ปากกระสอบลุ่ย และ ไม่เปิด"/>
        <n v="82.46"/>
        <n v="72.239999999999995"/>
        <s v="777 ,771"/>
        <s v="65 ,45 ,36"/>
        <n v="72.47"/>
        <n v="650"/>
        <n v="1024"/>
        <s v="ขอบผ้าแตกเป็นขุย"/>
        <s v="ตรวจพบอะไหล่ทอหลุดอยู่ภายในม้วน"/>
        <s v="1061 ,1112 ,1083"/>
        <s v="33 ,84 ,52 ,54 ,46 ,36"/>
        <s v="1131 ,1131 ,1128"/>
        <s v="1014 ,1004"/>
        <n v="55"/>
        <s v="ตรวจพบผ้าเป็นร่องและด้ายยืนหนีบ"/>
        <n v="116.99"/>
        <n v="55.42"/>
        <n v="129.58000000000001"/>
        <n v="78.45"/>
        <n v="1131"/>
        <s v="1109, 1106"/>
        <s v="4.47, 4.47, 4.42"/>
        <s v="3.95, 3.98"/>
        <n v="124.89"/>
        <s v="ตรวจพบด้ายยืนหนีบ"/>
        <s v="1136, 1138"/>
        <n v="73.37"/>
        <n v="72.22"/>
        <n v="76.2"/>
        <n v="2.21"/>
        <n v="993"/>
        <n v="130.81"/>
        <n v="124.26"/>
        <n v="72.78"/>
        <n v="133.13"/>
        <s v="สีลอก"/>
        <n v="123.69"/>
        <n v="782"/>
        <n v="39"/>
        <s v="1011, 1013"/>
        <s v="สีผ้าทอไม่ถูกต้องตามตัวอย่าง"/>
        <n v="75.599999999999994"/>
        <n v="73.48"/>
        <s v="งานพิมพ์ไม่สมบรูณ์เนื่องจากบล็อกเลื่อน"/>
        <n v="132.51"/>
        <s v="ขาวข้างใน/ใสข้างนอก    ขาวข้างนอก/ใสข้างใน"/>
        <n v="132.62"/>
        <n v="122.22"/>
        <n v="1132"/>
        <n v="971"/>
        <n v="1108"/>
        <s v="ด้ายยืนใสไม่ทราบจำนวนเมตร"/>
        <n v="624"/>
        <n v="83.47"/>
        <n v="122.1"/>
        <n v="977"/>
        <s v="โครงสร้างผ้าหลวม"/>
        <n v="67.36"/>
        <n v="70.97"/>
        <n v="118.1"/>
        <n v="70.31"/>
        <s v="ลายผ้าเป็น5/1"/>
        <n v="897"/>
        <n v="2.08"/>
        <n v="598"/>
        <n v="41"/>
        <n v="2.7"/>
        <s v="งานพิมพ์ไม่สมบรูณ์เกิดจากการปรับแต่งบล็อกใหม่"/>
        <n v="663"/>
        <n v="69.37"/>
        <n v="913"/>
        <n v="2.12"/>
        <n v="802"/>
        <n v="3.52"/>
        <n v="67.06"/>
        <n v="647"/>
        <n v="2.13"/>
        <n v="72.430000000000007"/>
        <n v="122.24"/>
        <n v="757"/>
        <n v="70.44"/>
        <n v="74.849999999999994"/>
        <n v="74.12"/>
        <s v="ผ้าลาย"/>
        <n v="75.14"/>
        <n v="73.84"/>
        <n v="66.19"/>
        <s v="2.16 ,2.13 ,2.11"/>
        <s v="3.97 ,4.07"/>
        <n v="4.26"/>
        <n v="104.79"/>
        <n v="771"/>
        <n v="37"/>
        <n v="719"/>
        <s v="ผ้าไม่มีฟิล์ม"/>
        <s v="พบงานพิมพ์เสีย"/>
        <n v="905"/>
        <n v="810"/>
        <n v="919"/>
        <n v="71.94"/>
        <n v="83.6"/>
        <n v="732"/>
        <s v="พบสีขาวขุ่นปนช่วงแกนหลอด"/>
        <s v="มีเส้นเทปปนกันในหลอด(ใส+ขาว)"/>
        <n v="82.1"/>
        <n v="66.63"/>
        <n v="71.17"/>
        <n v="957"/>
        <n v="962"/>
        <n v="660"/>
        <n v="1018"/>
        <s v="49 ,36"/>
        <n v="4.1500000000000004"/>
        <s v="38 ,42"/>
        <n v="867"/>
        <n v="129.94999999999999"/>
        <s v="1099 ,1005"/>
        <n v="65.98"/>
        <n v="655"/>
        <n v="984"/>
        <n v="1130"/>
        <n v="950"/>
        <n v="71.260000000000005"/>
        <n v="71.63"/>
        <n v="72.17"/>
        <n v="82.5"/>
        <n v="72.06"/>
        <s v="1039 ,1085 ,1109"/>
        <s v="46 ,32"/>
        <n v="4.13"/>
        <n v="3.97"/>
        <n v="121.29"/>
        <n v="132.21"/>
        <n v="72.150000000000006"/>
        <n v="3.62"/>
        <s v="ผ้ามีฟิล์มด้านเดียว"/>
        <n v="117.08"/>
        <n v="118.37"/>
        <n v="117.37"/>
        <n v="72.09"/>
        <n v="123.95"/>
        <n v="130.65"/>
        <n v="129.49"/>
        <s v="2.1/1125"/>
        <n v="118.07"/>
        <n v="121.5"/>
        <n v="114.22"/>
        <n v="117.61"/>
        <n v="129.6"/>
        <n v="123.18"/>
        <n v="130.75"/>
        <n v="130.71"/>
        <n v="124"/>
        <n v="114.82"/>
        <n v="122.54"/>
        <n v="88"/>
        <n v="1094"/>
        <n v="131.1"/>
        <n v="1074"/>
        <s v="เส้นเทปใส2เส้น"/>
        <s v="2.07, 2.06"/>
        <n v="123.92"/>
        <n v="126.34"/>
        <n v="75.09"/>
        <n v="71.33"/>
        <n v="763"/>
        <n v="941"/>
        <n v="2.06"/>
        <n v="991"/>
        <n v="95.43"/>
        <n v="622"/>
        <s v="น้ำหนักต่ำชั่งจริงได้ 110-115"/>
        <n v="118.56"/>
        <n v="61.62"/>
        <n v="765"/>
        <n v="82.08"/>
        <n v="103.11"/>
        <s v="1040, 998"/>
        <s v="52, 35, 31, 52"/>
        <s v="2.11, 2.12"/>
        <n v="2.0699999999999998"/>
        <n v="82.59"/>
        <n v="83.12"/>
        <n v="76.72"/>
        <n v="921"/>
        <n v="3.54"/>
        <n v="4.24"/>
        <n v="118.99"/>
        <n v="125"/>
        <s v="1106, 1093"/>
        <n v="1133"/>
        <s v="47, 44, 38"/>
        <n v="95.97"/>
        <n v="95.31"/>
        <n v="952"/>
        <n v="24.31"/>
        <n v="128.80000000000001"/>
        <n v="128.62"/>
        <n v="104.52"/>
        <n v="81.739999999999995"/>
        <n v="47"/>
        <s v="1142 ,1163"/>
        <s v="45 ,37"/>
        <n v="1015"/>
        <n v="1072"/>
        <n v="93.39"/>
        <n v="1058"/>
        <n v="123.31"/>
        <n v="122.75"/>
        <n v="949"/>
        <n v="94.32"/>
        <n v="645"/>
        <n v="122.2"/>
        <n v="1095"/>
        <s v="51 ,38"/>
        <n v="1134"/>
        <n v="103.05"/>
        <n v="71.040000000000006"/>
        <n v="128.88"/>
        <n v="114.47"/>
        <n v="114.32"/>
        <n v="66.400000000000006"/>
        <n v="121.54"/>
        <n v="124.15"/>
        <n v="124.43"/>
        <n v="129.79"/>
        <n v="621"/>
        <n v="999"/>
        <s v="1058 ,1061"/>
        <s v="พบด้ายคู่ 2 คู่ ประมาณ 300 เมตร"/>
        <n v="93.99"/>
        <s v="34 ,47"/>
        <n v="992"/>
        <n v="124.2"/>
        <n v="82.54"/>
        <n v="91.46"/>
        <s v="32 ,34"/>
        <n v="1113"/>
        <n v="1021"/>
        <n v="854"/>
        <s v="ผ้าเป็นรอยเกี่ยว"/>
        <n v="122.25"/>
        <n v="124.42"/>
        <s v="1138 ,1140"/>
        <s v="34 ,38"/>
        <n v="70.88"/>
        <n v="958"/>
        <n v="1003"/>
        <s v="2.06, 2.07"/>
        <n v="103.62"/>
        <n v="66.900000000000006"/>
        <n v="124.07"/>
        <s v="มีลวดตะกอติด"/>
        <n v="146.76"/>
        <s v="2.07, 2.05"/>
        <m/>
        <n v="1144"/>
        <n v="43"/>
        <s v="2.06, 2.06"/>
        <n v="2.61"/>
        <n v="83.11"/>
        <n v="122.32"/>
        <n v="122.4"/>
        <n v="123.82"/>
        <n v="129.31"/>
        <s v="1149, 1060"/>
        <s v="73, 65"/>
        <n v="1103"/>
        <n v="87.18"/>
        <n v="743"/>
        <n v="59"/>
        <n v="1023"/>
        <s v="2.07 ,2.07"/>
        <n v="123.02"/>
        <n v="129.32"/>
        <s v="งานพิมพ์ไม่ตรงตามอาร์ตบริเวณที่อยู่ คำว่า(หมู่)ติดบล็อกผลิต "/>
        <s v="พบน็อตติดมากับม้วนผ้า ทำให้ลูกกลิ้งยางโคโลนาเป็นรอย"/>
        <n v="66.3"/>
        <n v="124.04"/>
        <n v="122.27"/>
        <n v="75.56"/>
        <n v="89.61"/>
        <n v="129.04"/>
        <n v="123.64"/>
        <n v="123.79"/>
        <n v="123.51"/>
        <n v="130.07"/>
        <n v="89.57"/>
        <n v="66.56"/>
        <n v="133.11000000000001"/>
        <n v="129.38999999999999"/>
        <n v="129.18"/>
        <n v="129.86000000000001"/>
        <n v="129.51"/>
        <n v="82.37"/>
        <n v="1112"/>
        <n v="121.07"/>
        <n v="123.71"/>
        <n v="80.27"/>
        <n v="130.63"/>
        <n v="778"/>
        <n v="117.93"/>
        <n v="829"/>
        <n v="130.24"/>
        <s v="130.16/123.50"/>
        <n v="123.47"/>
        <s v="ด้ายยืนหนีบเยอะ"/>
        <n v="842"/>
        <s v="1069, 1061"/>
        <s v="40, 39, 85"/>
        <s v="60 ,60"/>
        <n v="888"/>
        <s v="งานพิมพ์ไม่ตรงตามอาร์ตเวิร์ก คำว่า &quot;โกล&quot; ด้านหน้าหาย"/>
        <s v="พบผงฝุ่นติดบนกระสอบเยอะมาก +ละอองสีเล็กๆติดด้านข้างกระสอบ"/>
        <n v="124.66"/>
        <n v="129.16"/>
        <n v="129.30000000000001"/>
        <n v="44"/>
        <s v="พบรูโคโลน่า"/>
        <n v="995"/>
        <n v="122.51"/>
        <n v="119.57"/>
        <s v="1114, 1099"/>
        <s v="35, 35, 37, 36"/>
        <s v="ผ้าเคลือบไม่ติด"/>
        <s v="ผ้าเป็นรอยฟ้าผ่า"/>
        <n v="1052"/>
        <n v="123.6"/>
        <n v="123.37"/>
        <n v="123.83"/>
        <n v="122.97"/>
        <n v="122.18"/>
        <n v="122.52"/>
        <n v="122.93"/>
        <n v="131.62"/>
        <n v="71.62"/>
        <n v="131.19"/>
        <n v="876"/>
        <n v="91.15"/>
        <s v="1002, 992"/>
        <s v="47, 35, 38"/>
        <s v="30.49, 30.78"/>
        <n v="118.58"/>
        <n v="1099"/>
        <s v="1129 ,1131"/>
        <n v="122.41"/>
        <n v="90.98"/>
        <n v="91.29"/>
        <n v="91.9"/>
        <s v="พบด้ายคู่ 2 คู่ "/>
        <s v="1015, 1009"/>
        <n v="66.5"/>
        <n v="90.77"/>
        <n v="130.55000000000001"/>
        <s v="กระสอบบิดข้าง"/>
        <n v="82.73"/>
        <n v="122.04"/>
        <n v="83.94"/>
        <n v="130.86000000000001"/>
        <n v="122.58"/>
        <n v="998"/>
        <s v="71, 41"/>
        <s v="2.12, 2.12"/>
        <n v="1029"/>
        <n v="120.49"/>
        <n v="130.66999999999999"/>
        <n v="1017"/>
        <n v="80"/>
        <s v="พบเส้นเทปสีดำแถบข้างด้านหลังของกระสอบ"/>
        <s v="1106, 1110"/>
        <d v="2562-08-05T00:00:00"/>
        <n v="648"/>
        <n v="121.31"/>
        <n v="117.43"/>
        <n v="118.38"/>
        <n v="1013"/>
        <n v="129.25"/>
        <n v="129.59"/>
        <n v="100.49"/>
        <n v="1098"/>
        <s v="สีเข้มกว่าเฉดที่ลูกค้ากำหนด"/>
      </sharedItems>
    </cacheField>
    <cacheField name="ผลการตัดสินใจ" numFmtId="0">
      <sharedItems containsBlank="1"/>
    </cacheField>
    <cacheField name="ผลต่าง" numFmtId="0">
      <sharedItems containsBlank="1" containsMixedTypes="1" containsNumber="1" minValue="-0.42000000000000171" maxValue="188"/>
    </cacheField>
    <cacheField name="จำนวน " numFmtId="0">
      <sharedItems containsBlank="1" containsMixedTypes="1" containsNumber="1" minValue="13.788819875776397" maxValue="127288"/>
    </cacheField>
    <cacheField name="หน่วย" numFmtId="0">
      <sharedItems containsBlank="1"/>
    </cacheField>
    <cacheField name="แจ้งNCR" numFmtId="0">
      <sharedItems containsDate="1" containsBlank="1" containsMixedTypes="1" minDate="1899-12-30T00:00:00" maxDate="2562-08-11T00:00:00"/>
    </cacheField>
    <cacheField name="กำหนดปิด" numFmtId="0">
      <sharedItems containsDate="1" containsBlank="1" containsMixedTypes="1" minDate="1900-01-06T00:00:00" maxDate="2562-08-18T00:00:00"/>
    </cacheField>
    <cacheField name="กำหนดตอบNCR" numFmtId="0">
      <sharedItems containsDate="1" containsBlank="1" containsMixedTypes="1" minDate="1900-01-01T00:00:00" maxDate="2562-08-13T00:00:00"/>
    </cacheField>
    <cacheField name="PDตอบNCR" numFmtId="0">
      <sharedItems containsBlank="1"/>
    </cacheField>
    <cacheField name="วันที่" numFmtId="0">
      <sharedItems containsDate="1" containsBlank="1" containsMixedTypes="1" minDate="2562-01-04T00:00:00" maxDate="2562-08-10T00:00:00"/>
    </cacheField>
    <cacheField name="อนุมัติออกNCR (คุณหน่อย)" numFmtId="0">
      <sharedItems containsBlank="1"/>
    </cacheField>
    <cacheField name="วันที่2" numFmtId="0">
      <sharedItems containsDate="1" containsBlank="1" containsMixedTypes="1" minDate="2562-01-15T00:00:00" maxDate="2562-07-19T00:00:00"/>
    </cacheField>
    <cacheField name="ตรวจสอบ" numFmtId="0">
      <sharedItems containsBlank="1"/>
    </cacheField>
    <cacheField name="วันที่3" numFmtId="14">
      <sharedItems containsNonDate="0" containsDate="1" containsString="0" containsBlank="1" minDate="2562-01-15T00:00:00" maxDate="2562-08-06T00:00:00"/>
    </cacheField>
    <cacheField name="         อนุมัติ          (คุณตาล)" numFmtId="14">
      <sharedItems containsDate="1" containsBlank="1" containsMixedTypes="1" minDate="2562-08-12T00:00:00" maxDate="2562-08-13T00:00:00"/>
    </cacheField>
    <cacheField name="วันที่4" numFmtId="14">
      <sharedItems containsNonDate="0" containsDate="1" containsString="0" containsBlank="1" minDate="2562-01-07T00:00:00" maxDate="2562-08-10T00:00:00"/>
    </cacheField>
    <cacheField name="พาสงาน" numFmtId="14">
      <sharedItems containsBlank="1"/>
    </cacheField>
    <cacheField name="วันที่5" numFmtId="14">
      <sharedItems containsNonDate="0" containsDate="1" containsString="0" containsBlank="1" minDate="2562-01-05T00:00:00" maxDate="2562-08-11T00:00:00"/>
    </cacheField>
    <cacheField name="ปิด" numFmtId="0">
      <sharedItems containsBlank="1"/>
    </cacheField>
    <cacheField name="วันที่6" numFmtId="14">
      <sharedItems containsNonDate="0" containsDate="1" containsString="0" containsBlank="1" minDate="2562-02-13T00:00:00" maxDate="2562-03-08T00:00:00"/>
    </cacheField>
    <cacheField name="หมายเหตุ" numFmtId="0">
      <sharedItems containsBlank="1" count="176">
        <s v="WRWT21750"/>
        <s v="5/1/62 (ผลิตขอใช้  1กรง (4)"/>
        <s v="                   5/1/62 (ผลิตขอใช้  2กรง (2,3)                   7/1/62  ผลิตขอใช้ 1 กรง ( 1 )"/>
        <m/>
        <s v="wswt2025700"/>
        <s v="WRWT21670"/>
        <s v="PD 2 ขอใช้ก่อน 7/1/62"/>
        <s v="WSWT2025700โยกรหัส  ใช้กับเบทาโกรใช้ในฟาร์ม20*37YOIผสม"/>
        <s v="WSWT262565051"/>
        <s v="ใช้พิมพ์ TRJ"/>
        <s v="WSWT2421112512551"/>
        <s v="7/1/62  ผลิตขอใช้ 1 กรง (กรง 1)"/>
        <s v="WRWT211125"/>
        <s v="WRWT25800"/>
        <s v="WRWT25650"/>
        <s v="WRWT251050"/>
        <s v="WSWT2321112512551"/>
        <s v="WSWT2825850 ผสม TRJ"/>
        <s v="WSWT24211125120 สหเรือง สวมถุง"/>
        <s v="WSWT2025800ดูผ้าโคร้างไม่หลวมสามารถใช้ได้ ติดตามคุณภาพ"/>
        <s v="WRWT25850"/>
        <s v="WSWT2025800"/>
        <s v="WSWT24211125120 สหเรือง สวมถุง60ไมครอน"/>
        <s v="WSWT2321112512551 PD 3 ขอใช้"/>
        <s v="WSWT24211125120"/>
        <s v="โยกรหัสเป็น 2321112512051 ใช้กับน้ำตาลราชบุรี 120+-5"/>
        <s v="WSWT2321112512551 ใช้กับน้ำตาลทิพย์ 130+-5"/>
        <s v="WSWT2025800 นำไปกรอคิดค่า AVG. ใหม่ ความยาว 1774 ค่าเฉลี่ย 78..17  ค่าAVG. 78.29"/>
        <s v="WSWT2025800 นำไปกรอคิดค่า AVG. ใหม่ ความยาว 2404 ค่าเฉลี่ย 76.03  ค่าAVG. 76.62"/>
        <s v="ผลิตแจ้งขอใช้ 25/1/62"/>
        <s v="WSWT1825800"/>
        <s v="ผลิตแจ้งขอใช้ 28/1/62"/>
        <s v="WSYL2625850ใช้กับTSP"/>
        <s v="โยกรหัสเป็น 2321112512051 ใช้กับน้ำตาลราชบุรี 120+-6"/>
        <s v="แบ่งครึ่งทยอยแซม 2 รอบ มีงานอีก 2 P/O  รอบละ5000"/>
        <s v="รอผลจากลูกค้าขอลดราคา ว่าจะรับมั้ย ออกใบเตือนผู้ที่เกี่ยวข้องทั้งหมด"/>
        <s v="ใช้เป็นผ้ารองเคลิอบ"/>
        <s v="wswt2321112512051"/>
        <s v="PD 2 ขอใช้ก่อน26/1/62"/>
        <s v="WSWT2825850"/>
        <s v="โยกรหัสเป็น 2321112512051"/>
        <s v="WSWT2025800 ไม่พิมพ์ ไทยธรรมดี 20*37 80+- เพิ่มตะเข็บ+ความยาว"/>
        <s v="เคลือบผ้าขาวซันฟีด (เคลือบด้าน)"/>
        <s v="WSWT2625850SM คุม นน. ที่เคลือบ"/>
        <s v="WSWT2021750นำไปใช้เป็นผ้าเคลือบ"/>
        <s v="PD 2 ขอใช้ก่อน 8/2/62"/>
        <s v="wswt2321112512551ใช้กับเฉลี่ยม้วนที่เกิน"/>
        <s v="แซมส่ง"/>
        <s v="WSWT2025850 ตัดผ้าขาว ไทยธรรมดี 20*37 80+-"/>
        <s v="PD 2 ขอใช้ก่อน 7/2/62"/>
        <s v="ลดเกรด"/>
        <s v="โยกรหัสเป็น WSWT2025650 ตัดผ้าขาวอินเทค 20*37 65+-5"/>
        <s v="WSWT2825850 ผสม "/>
        <s v="WSWT2025800  เฉลี่ยม้วน78.26g"/>
        <s v="wswt2625650"/>
        <s v="wswt19251000sm"/>
        <s v="WSWT2321750"/>
        <s v="PD 2 ขอใช้ก่อน 12/2/62"/>
        <s v="ผลิตแจ้งขอใช้ 14/2/62"/>
        <s v="WSWT2321112512551 ผสม"/>
        <s v="ผลิตแจ้งขอใช้ 16/2/62"/>
        <s v="ผลิตแจ้งขอใช้ 19/2/62"/>
        <s v="WSWT2025850"/>
        <s v="WSWT1925800 LMC"/>
        <s v="WSWT2025850 ตัดผ้าขาวไทยธรรมดี"/>
        <s v="ขออนุมัติใช้กรณีพิเศษพิมพ์ซันฟีด"/>
        <s v="WSWT2825850กักกันห้ามใช้งานTRJรอพิจารณาอีกครั้ง"/>
        <s v="ขออนุมัติใช้พิมพ์SPM 170"/>
        <s v="ใช้พิมพ์ KPN 20*34 67+/-5"/>
        <s v="WSWT2321112512551ผสม"/>
        <s v="WSWT1425800ไม่พิมพ์14*2032+-5"/>
        <s v="WSWT2025850ผสม"/>
        <s v="WSWT2025700ไม่พิมพ์เบทาดกร เพิ่มตะเข็บ+ความยาว"/>
        <s v="WSWT2525850"/>
        <s v="WSWT2025800โยกรหัส"/>
        <s v="ผลิตขอใช้ 13/3/2562"/>
        <s v="WSWT2325650 ใช้พิมพ์ HYDRATE LIME 25 Kg."/>
        <s v="WSWT2025700 กรอแล้วไม่เจอ"/>
        <s v="ผลิตขอใช้ 19/3/62 (กรง 10 , 18)"/>
        <s v="WRWT251000"/>
        <s v="WSWT2321112514051"/>
        <s v="WSWT24211125120พิมพ์สหเรื่องวนปากสวมถุงใน25*40*65ไมครอน"/>
        <s v="WSWT1925800 LMC 25 kg. ผสม สวมถุงใน"/>
        <s v="WSWT2321112512551ขออนุมัติใช้"/>
        <s v="WSWT2025800โยกรหัสเป็น2025800จาก2025850"/>
        <s v="WSYL2625850 TSP ฟูลแฟตซอย"/>
        <s v="โยกรหัสเป็น2025800แก้ความยาวเป็น1618M"/>
        <s v="WSWT2025800 แก้ไขความยาวเป็น 2196 ค่าเฉลี่ยม้วน 77.35"/>
        <s v="โยกรหัสเป็นWSWT2321112512551"/>
        <s v="WSWT2321112514051 พิมพ์ผสม"/>
        <s v="WRWT211000"/>
        <s v="WSYL2625850 ใช้ทำผ้าเคลือบ ไม่พิมพ์ อินเทค"/>
        <s v="WSWT2025800 ใช้ผสม"/>
        <s v="wswt2321112514051ผสม"/>
        <s v="WRCL25680"/>
        <s v="wswt2321112514051เฉลี่ยม้วน135.39g"/>
        <s v="wswt2321112512551พิมพ์ผสมน้ำตาลทิพย์สุโขทัย"/>
        <s v="ผลิตขอใช้ 9/4/62 "/>
        <s v="WSWT2321112512551 ใช้ผสม"/>
        <s v="ผลิตขอใช้ 17/4/62 "/>
        <s v="WSWT2325650 ใช้เคลือบ"/>
        <s v="WSWT2025650"/>
        <s v="WSWT2321112512051น้ำตาลราชบุรีโยกรหัสมาจากWSWT2321112512551"/>
        <s v="WSWT2325650 ใช้เคลือบใสซิเบลโก้"/>
        <s v="WSWT23521950กรมการข้าว"/>
        <s v="ผลิตขอใช้ 20/4/62 "/>
        <s v="ผลิดแจ้งขอใช้ 22/4/2562"/>
        <s v="wswt2325650เคลือบซิเบลโก้"/>
        <s v="ผลิดแจ้งขอใช้ 25/4/2562"/>
        <s v="ผลิดแจ้งขอใช้ 26/4/2562"/>
        <s v="ผลิตขอใช้ 22/4/62 "/>
        <s v="WSWT2321112512551ใช้ผสม"/>
        <s v="ผลิตขอใช้ 25/4/62 "/>
        <s v="WSWT2325650"/>
        <s v="wswt2625800sm"/>
        <s v="wswt2025700ผสม"/>
        <s v="WRWT21950"/>
        <s v="ขออนุมัติใช้พิมพ์เพอร์เฟค 913"/>
        <s v="นำไปกรอพบของเสียจำนวน 22 เมตรได้ทำการแยกออกแล้ว"/>
        <s v="WSWT2021750"/>
        <s v="ผลิตขอใช้ 6/5/62 "/>
        <s v="WSWT2025700พิมพ์ไก่เนื้อ302สวมถุง"/>
        <s v="WRWT21980"/>
        <s v="ผลิตขอใช้ 11/5/62"/>
        <s v="ปรึกษากับตลาดแล้วอนุมัติให้ผสม"/>
        <s v="นำไปกรอพบของเสีย 20 เมตรขออนุมัตินำไปห่อเบล"/>
        <s v="wswt2825850ผสมTRJ"/>
        <s v="ขอแยกกักกันไว้ก่อนห้ามใชTRJ(รอพิจารณา)"/>
        <s v="WSWT2825850 TRJ"/>
        <s v="wswt23521980sm"/>
        <s v="โยกรหัสเป็น2321112512051"/>
        <s v="WSWT2321112512051ผสม"/>
        <s v="WSWT2825850 ห้ามใช้ TRJ กักกัน"/>
        <s v="โยกรหัสเป็น2025700 พิมพ์งานมิตรภาพสวมถุง"/>
        <s v="ผลิตขอใช้ 4/6/62"/>
        <s v="เกรดบี"/>
        <s v="คัดแยกเยอะลดเกรด ไม่เยอะแซม"/>
        <s v="สวมถุงใน 70-80 ไมครอน"/>
        <s v="WSWT1925800"/>
        <s v="ขออนุมัติใช้พิมพ์เกษตรก้าวหน้า26*41 สวมถุง"/>
        <s v="โยกรหัสเป็นwswt2025800"/>
        <s v="ผลิตขอใช้ 15/6/62"/>
        <s v="ผลิตขอใช้ 11/6/62"/>
        <s v="wswt2321112512551ผสมสุโขทัย"/>
        <s v="WSWT2321112512551อนุมัติใช้"/>
        <s v="WSWT2625700อนุมัติใช้"/>
        <s v="wswt2625650ไม่พิมพ์เพิ่มตะเข็บ+ความยาว"/>
        <s v="โยกรหัสเป็น WSWT2321112512051"/>
        <s v="โยกรหัสเป็นWSWT2321112512051 ใช้กับน้ำตาลราชบุรี"/>
        <s v="ผลิตขอใช้ 19/6/62"/>
        <s v="คุณตาลให้สอบถามลูกค้าขอลดราคาถ้าไม่รับลดเกรดบี ฝ่ายขายแจ้งลูกค้าไม่รับ **ลดเกรดบี"/>
        <s v="ผลิตขอใช้ 21/6/62"/>
        <s v="ทยอยผสม 2 รอบ"/>
        <s v="ทยอยผสม"/>
        <s v="คัดผสม"/>
        <s v="WSWT2625700 มิตรภาพ 26*43 102+-3"/>
        <s v="ลดเกรด B"/>
        <s v="ลดเกรดบี"/>
        <s v="โยกเป็นWSWT23521980SM เคลือบกรมการข้าว"/>
        <s v="ผลิตแจ้งขอใช้แล้ว"/>
        <s v="wswt2321112512051โยกรหัส"/>
        <s v="wswt2321750 ไม่พิมพ์ นวพรเพ็ญ"/>
        <s v="wswt2321112512551ผสมน น สูง"/>
        <s v="ปรึกษาทางฝ่าบขายผสมส่ง"/>
        <s v="wswt2025800ผสม"/>
        <s v="wswt2321112512551ผสม นนต่ำ"/>
        <s v="wswt2321112512051ใช้ผสม"/>
        <s v="ผลิตขอใช้"/>
        <s v="WSWT1925800 ผ้าขาว 19*36 เคอรรี่/มังกร MTS/LMC"/>
        <s v="ติดสติกเกอร์"/>
        <s v="เป่าฝุ่น คัดงานใหม่ รอคำสั่งจากผู้บริหาร"/>
        <s v="WSWT2321112512551 "/>
        <s v="WSWT1925800 ออเดอร์สวมถุง"/>
        <s v="ผสมแซม"/>
        <s v="600Mตัดผ้าขาว23*37 200Mเป็นWSWT2321112512551เนื่องจากรอกด้ายคู่ไม่ได้กรอเป็นม้วน"/>
        <s v="คลังจ่ายให้ผลิตใช้แล้ววันที่ 10/8/62"/>
      </sharedItems>
    </cacheField>
    <cacheField name="ผลการปิด" numFmtId="0">
      <sharedItems containsBlank="1" containsMixedTypes="1" containsNumber="1" containsInteger="1" minValue="-242021" maxValue="2419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4">
  <r>
    <s v="มกราคม"/>
    <d v="2562-01-03T00:00:00"/>
    <x v="0"/>
    <n v="620001"/>
    <x v="0"/>
    <s v="TL620101"/>
    <n v="620101"/>
    <x v="0"/>
    <s v="Avg of D +10,-20 D"/>
    <x v="0"/>
    <s v="Avg ต่ำกว่ามาตรฐาน"/>
    <n v="3"/>
    <s v="2/828.30"/>
    <s v="กรง/ก.ก."/>
    <d v="2562-01-03T00:00:00"/>
    <d v="2562-01-10T00:00:00"/>
    <d v="2562-01-05T00:00:00"/>
    <s v="Pass"/>
    <d v="2562-01-04T00:00:00"/>
    <m/>
    <m/>
    <m/>
    <m/>
    <s v="Pass"/>
    <d v="2562-01-07T00:00:00"/>
    <s v="Pass"/>
    <d v="2562-01-08T00:00:00"/>
    <m/>
    <m/>
    <x v="0"/>
    <n v="-2"/>
  </r>
  <r>
    <s v="มกราคม"/>
    <d v="2562-01-03T00:00:00"/>
    <x v="0"/>
    <n v="620001"/>
    <x v="0"/>
    <s v="TL620101"/>
    <n v="620101"/>
    <x v="0"/>
    <s v="ขนาดเส้นเทป(+-0.1 mm)"/>
    <x v="1"/>
    <s v="ขนาดเกินกว่ามาตรฐาน"/>
    <n v="0.03"/>
    <m/>
    <m/>
    <d v="2562-01-03T00:00:00"/>
    <d v="2562-01-10T00:00:00"/>
    <d v="2562-01-05T00:00:00"/>
    <s v="Pass"/>
    <d v="2562-01-04T00:00:00"/>
    <m/>
    <m/>
    <m/>
    <m/>
    <s v="Pass"/>
    <d v="2562-01-07T00:00:00"/>
    <s v="Pass"/>
    <d v="2562-01-08T00:00:00"/>
    <m/>
    <m/>
    <x v="0"/>
    <n v="-2"/>
  </r>
  <r>
    <s v="มกราคม"/>
    <d v="2562-01-03T00:00:00"/>
    <x v="0"/>
    <n v="620001"/>
    <x v="0"/>
    <s v="TL620101"/>
    <n v="620101"/>
    <x v="0"/>
    <s v="Std. ไม่เกิน 30 D"/>
    <x v="2"/>
    <s v="Std.เกินกว่ามาตรฐาน"/>
    <n v="16"/>
    <m/>
    <m/>
    <d v="2562-01-03T00:00:00"/>
    <d v="2562-01-10T00:00:00"/>
    <d v="2562-01-05T00:00:00"/>
    <s v="Pass"/>
    <d v="2562-01-04T00:00:00"/>
    <m/>
    <m/>
    <m/>
    <m/>
    <s v="Pass"/>
    <d v="2562-01-07T00:00:00"/>
    <s v="Pass"/>
    <d v="2562-01-08T00:00:00"/>
    <m/>
    <m/>
    <x v="0"/>
    <n v="-2"/>
  </r>
  <r>
    <s v="มกราคม"/>
    <d v="2562-01-03T00:00:00"/>
    <x v="0"/>
    <n v="620002"/>
    <x v="1"/>
    <s v="TL620102"/>
    <n v="620102"/>
    <x v="1"/>
    <s v="Avg of D +10,-20 D"/>
    <x v="3"/>
    <s v="Avg สูงกว่ามาตรฐาน"/>
    <s v="76 ,14"/>
    <s v="2/805"/>
    <s v="กรง/ก.ก."/>
    <d v="2562-01-03T00:00:00"/>
    <d v="2562-01-10T00:00:00"/>
    <d v="2562-01-05T00:00:00"/>
    <s v="Pass"/>
    <d v="2562-01-04T00:00:00"/>
    <m/>
    <m/>
    <m/>
    <m/>
    <s v="Pass"/>
    <d v="2562-01-07T00:00:00"/>
    <s v="Pass"/>
    <d v="2562-01-05T00:00:00"/>
    <m/>
    <m/>
    <x v="1"/>
    <n v="-5"/>
  </r>
  <r>
    <s v="มกราคม"/>
    <d v="2562-01-04T00:00:00"/>
    <x v="0"/>
    <n v="620003"/>
    <x v="2"/>
    <s v="TL620103"/>
    <n v="620103"/>
    <x v="0"/>
    <s v="Avg of D +10,-20 D"/>
    <x v="4"/>
    <s v="Avg ต่ำกว่ามาตรฐาน"/>
    <s v="68, 2"/>
    <s v="3/1059.5"/>
    <s v="กรง/ก.ก."/>
    <d v="2562-01-04T00:00:00"/>
    <d v="2562-01-11T00:00:00"/>
    <d v="2562-01-06T00:00:00"/>
    <s v="Pass"/>
    <d v="2562-01-05T00:00:00"/>
    <m/>
    <m/>
    <m/>
    <m/>
    <s v="Pass"/>
    <d v="2562-01-07T00:00:00"/>
    <s v="Pass"/>
    <d v="2562-01-07T00:00:00"/>
    <m/>
    <m/>
    <x v="2"/>
    <n v="-4"/>
  </r>
  <r>
    <s v="มกราคม"/>
    <d v="2562-01-04T00:00:00"/>
    <x v="0"/>
    <n v="620003"/>
    <x v="2"/>
    <s v="TL620103"/>
    <n v="620103"/>
    <x v="0"/>
    <s v="Std. ไม่เกิน 30 D"/>
    <x v="5"/>
    <s v="Std.เกินกว่ามาตรฐาน"/>
    <s v="56, 68"/>
    <m/>
    <m/>
    <d v="2562-01-04T00:00:00"/>
    <d v="2562-01-11T00:00:00"/>
    <d v="2562-01-06T00:00:00"/>
    <s v="Pass"/>
    <d v="2562-01-05T00:00:00"/>
    <m/>
    <m/>
    <m/>
    <m/>
    <s v="Pass"/>
    <d v="2562-01-07T00:00:00"/>
    <s v="Pass"/>
    <d v="2562-01-07T00:00:00"/>
    <m/>
    <m/>
    <x v="3"/>
    <n v="-4"/>
  </r>
  <r>
    <s v="มกราคม"/>
    <d v="2561-01-04T00:00:00"/>
    <x v="1"/>
    <n v="620004"/>
    <x v="3"/>
    <n v="62010431"/>
    <s v="56/040162"/>
    <x v="2"/>
    <s v="65-70"/>
    <x v="6"/>
    <s v="น้ำหนักสูงกว่ามาตรฐาน"/>
    <n v="3.0799999999999983"/>
    <s v="1081/80.2"/>
    <s v="เมตร/ก.ก."/>
    <d v="2561-01-04T00:00:00"/>
    <d v="2561-01-11T00:00:00"/>
    <d v="2561-01-06T00:00:00"/>
    <s v="Pass"/>
    <d v="2562-01-07T00:00:00"/>
    <m/>
    <m/>
    <m/>
    <m/>
    <s v="Pass"/>
    <d v="2562-01-07T00:00:00"/>
    <s v="Pass"/>
    <d v="2562-01-07T00:00:00"/>
    <m/>
    <m/>
    <x v="4"/>
    <n v="361"/>
  </r>
  <r>
    <s v="มกราคม"/>
    <d v="2562-01-04T00:00:00"/>
    <x v="0"/>
    <n v="620005"/>
    <x v="4"/>
    <s v="TL620106"/>
    <n v="620106"/>
    <x v="0"/>
    <s v="Avg of D +10,-20 D"/>
    <x v="7"/>
    <s v="Avg ต่ำกว่ามาตรฐาน"/>
    <n v="20"/>
    <s v="1/253.4"/>
    <s v="กรง/ก.ก."/>
    <d v="2562-01-04T00:00:00"/>
    <d v="2562-01-11T00:00:00"/>
    <d v="2562-01-06T00:00:00"/>
    <s v="Pass"/>
    <d v="2562-01-05T00:00:00"/>
    <m/>
    <m/>
    <m/>
    <m/>
    <s v="Pass"/>
    <d v="2562-01-07T00:00:00"/>
    <s v="Pass"/>
    <d v="2562-01-08T00:00:00"/>
    <m/>
    <m/>
    <x v="5"/>
    <n v="-3"/>
  </r>
  <r>
    <s v="มกราคม"/>
    <d v="2562-01-05T00:00:00"/>
    <x v="0"/>
    <n v="620006"/>
    <x v="5"/>
    <s v="TL620105"/>
    <n v="620105"/>
    <x v="0"/>
    <s v="Avg of D +10,-20 D"/>
    <x v="8"/>
    <s v="Avg สูงกว่ามาตรฐาน"/>
    <n v="8"/>
    <s v="1/240"/>
    <s v="กรง/ก.ก."/>
    <d v="2562-01-05T00:00:00"/>
    <d v="2562-01-12T00:00:00"/>
    <d v="2562-01-07T00:00:00"/>
    <s v="Pass"/>
    <d v="2562-01-07T00:00:00"/>
    <m/>
    <m/>
    <m/>
    <m/>
    <s v="Pass"/>
    <d v="2562-01-09T00:00:00"/>
    <s v="Pass"/>
    <d v="2562-01-07T00:00:00"/>
    <m/>
    <m/>
    <x v="6"/>
    <n v="-5"/>
  </r>
  <r>
    <s v="มกราคม"/>
    <d v="2562-01-05T00:00:00"/>
    <x v="0"/>
    <n v="620006"/>
    <x v="5"/>
    <s v="TL620105"/>
    <n v="620105"/>
    <x v="0"/>
    <s v="Std. ไม่เกิน 30 D"/>
    <x v="9"/>
    <s v="Std.เกินกว่ามาตรฐาน"/>
    <n v="1"/>
    <m/>
    <m/>
    <d v="2562-01-05T00:00:00"/>
    <d v="2562-01-12T00:00:00"/>
    <d v="2562-01-07T00:00:00"/>
    <s v="Pass"/>
    <d v="2562-01-07T00:00:00"/>
    <m/>
    <m/>
    <m/>
    <m/>
    <s v="Pass"/>
    <d v="2562-01-09T00:00:00"/>
    <s v="Pass"/>
    <d v="2562-01-07T00:00:00"/>
    <m/>
    <m/>
    <x v="6"/>
    <n v="-5"/>
  </r>
  <r>
    <s v="มกราคม"/>
    <d v="2561-01-05T00:00:00"/>
    <x v="1"/>
    <n v="620007"/>
    <x v="6"/>
    <n v="62010543"/>
    <s v="54/050162"/>
    <x v="3"/>
    <s v="76-78"/>
    <x v="10"/>
    <s v="น้ำหนักต่ำกว่ามาตรฐาน"/>
    <n v="0.76000000000000512"/>
    <s v="1156/85.8"/>
    <s v="เมตร/ก.ก."/>
    <d v="2561-01-05T00:00:00"/>
    <d v="2561-01-12T00:00:00"/>
    <d v="2561-01-07T00:00:00"/>
    <s v="Pass"/>
    <d v="2562-01-09T00:00:00"/>
    <m/>
    <m/>
    <m/>
    <m/>
    <s v="Pass"/>
    <d v="2562-01-09T00:00:00"/>
    <s v="Pass"/>
    <d v="2562-01-09T00:00:00"/>
    <m/>
    <m/>
    <x v="7"/>
    <n v="362"/>
  </r>
  <r>
    <s v="มกราคม"/>
    <d v="2561-01-05T00:00:00"/>
    <x v="1"/>
    <n v="620007"/>
    <x v="6"/>
    <n v="62010544"/>
    <s v="55/050162"/>
    <x v="4"/>
    <s v="76-78"/>
    <x v="11"/>
    <s v="น้ำหนักต่ำกว่ามาตรฐาน"/>
    <n v="1.2800000000000011"/>
    <s v="1139/85.1"/>
    <s v="เมตร/ก.ก."/>
    <d v="2561-01-05T00:00:00"/>
    <d v="2561-01-12T00:00:00"/>
    <d v="2561-01-07T00:00:00"/>
    <s v="Pass"/>
    <d v="2562-01-09T00:00:00"/>
    <m/>
    <m/>
    <m/>
    <m/>
    <s v="Pass"/>
    <d v="2562-01-09T00:00:00"/>
    <s v="Pass"/>
    <d v="2562-01-09T00:00:00"/>
    <m/>
    <m/>
    <x v="7"/>
    <m/>
  </r>
  <r>
    <s v="มกราคม"/>
    <d v="2561-01-05T00:00:00"/>
    <x v="1"/>
    <n v="620008"/>
    <x v="7"/>
    <n v="62010519"/>
    <s v="80/050162"/>
    <x v="5"/>
    <s v="93-98"/>
    <x v="12"/>
    <s v="น้ำหนักสูงกว่ามาตรฐาน"/>
    <n v="2.8400000000000034"/>
    <s v="1042/93.3"/>
    <s v="เมตร/ก.ก."/>
    <d v="2561-01-05T00:00:00"/>
    <d v="2561-01-12T00:00:00"/>
    <d v="2561-01-07T00:00:00"/>
    <s v="Pass"/>
    <d v="2562-01-09T00:00:00"/>
    <m/>
    <m/>
    <m/>
    <m/>
    <s v="Pass"/>
    <d v="2562-01-09T00:00:00"/>
    <s v="Pass"/>
    <d v="2562-01-09T00:00:00"/>
    <m/>
    <m/>
    <x v="8"/>
    <n v="362"/>
  </r>
  <r>
    <s v="มกราคม"/>
    <d v="2561-01-05T00:00:00"/>
    <x v="1"/>
    <n v="620009"/>
    <x v="8"/>
    <n v="62010534"/>
    <s v="34/050162"/>
    <x v="6"/>
    <s v="119-121"/>
    <x v="13"/>
    <s v="น้ำหนักสูงกว่ามาตรฐาน"/>
    <n v="3.1099999999999994"/>
    <s v="1500/171.1"/>
    <s v="เมตร/ก.ก."/>
    <d v="2561-01-05T00:00:00"/>
    <d v="2561-01-12T00:00:00"/>
    <d v="2561-01-07T00:00:00"/>
    <s v="Pass"/>
    <d v="2562-01-09T00:00:00"/>
    <m/>
    <m/>
    <m/>
    <m/>
    <s v="Pass"/>
    <d v="2562-01-09T00:00:00"/>
    <s v="Pass"/>
    <d v="2562-01-09T00:00:00"/>
    <m/>
    <m/>
    <x v="9"/>
    <n v="362"/>
  </r>
  <r>
    <s v="มกราคม"/>
    <d v="2561-01-05T00:00:00"/>
    <x v="1"/>
    <n v="620009"/>
    <x v="8"/>
    <n v="62010522"/>
    <s v="64/050162"/>
    <x v="7"/>
    <s v="119-121"/>
    <x v="14"/>
    <s v="น้ำหนักสูงกว่ามาตรฐาน"/>
    <n v="1.1299999999999955"/>
    <s v="1500/168.1"/>
    <s v="เมตร/ก.ก."/>
    <d v="2561-01-05T00:00:00"/>
    <d v="2561-01-12T00:00:00"/>
    <d v="2561-01-07T00:00:00"/>
    <s v="Pass"/>
    <d v="2562-01-09T00:00:00"/>
    <m/>
    <m/>
    <m/>
    <m/>
    <s v="Pass"/>
    <d v="2562-01-09T00:00:00"/>
    <s v="Pass"/>
    <d v="2562-01-09T00:00:00"/>
    <m/>
    <m/>
    <x v="9"/>
    <m/>
  </r>
  <r>
    <s v="มกราคม"/>
    <d v="2561-01-05T00:00:00"/>
    <x v="1"/>
    <n v="620010"/>
    <x v="9"/>
    <n v="62010527"/>
    <s v="30/050162"/>
    <x v="8"/>
    <s v="124-127"/>
    <x v="15"/>
    <s v="น้ำหนักต่ำกว่ามาตรฐาน"/>
    <n v="2.0300000000000011"/>
    <s v="1500/187.7"/>
    <s v="เมตร/ก.ก."/>
    <d v="2561-01-05T00:00:00"/>
    <d v="2561-01-12T00:00:00"/>
    <d v="2561-01-07T00:00:00"/>
    <s v="Pass"/>
    <d v="2562-01-09T00:00:00"/>
    <m/>
    <m/>
    <m/>
    <m/>
    <s v="Pass"/>
    <d v="2562-01-09T00:00:00"/>
    <s v="Pass"/>
    <d v="2562-01-09T00:00:00"/>
    <m/>
    <m/>
    <x v="10"/>
    <n v="362"/>
  </r>
  <r>
    <s v="มกราคม"/>
    <d v="2562-01-07T00:00:00"/>
    <x v="1"/>
    <n v="620011"/>
    <x v="8"/>
    <n v="62010731"/>
    <s v="35/070162"/>
    <x v="9"/>
    <s v="119-121"/>
    <x v="16"/>
    <s v="น้ำหนักสูงกว่ามาตรฐาน"/>
    <n v="1.6200000000000045"/>
    <s v="1500/168.3"/>
    <s v="เมตร/ก.ก."/>
    <d v="2562-01-07T00:00:00"/>
    <d v="2562-01-14T00:00:00"/>
    <d v="2562-01-09T00:00:00"/>
    <s v="Pass"/>
    <d v="2562-01-09T00:00:00"/>
    <m/>
    <m/>
    <m/>
    <m/>
    <s v="Pass"/>
    <d v="2562-01-09T00:00:00"/>
    <s v="Pass"/>
    <d v="2562-01-09T00:00:00"/>
    <m/>
    <m/>
    <x v="9"/>
    <n v="-5"/>
  </r>
  <r>
    <s v="มกราคม"/>
    <d v="2562-01-07T00:00:00"/>
    <x v="0"/>
    <n v="620012"/>
    <x v="2"/>
    <s v="TL620109"/>
    <n v="620109"/>
    <x v="1"/>
    <s v="Avg of D +10,-20 D"/>
    <x v="17"/>
    <s v="Avg ต่ำกว่ามาตรฐาน"/>
    <s v="23, 44, 11"/>
    <s v="6/2907.9"/>
    <s v="กรง/ก.ก."/>
    <d v="2562-01-07T00:00:00"/>
    <d v="2562-01-14T00:00:00"/>
    <d v="2562-01-09T00:00:00"/>
    <s v="Pass"/>
    <d v="2562-01-08T00:00:00"/>
    <m/>
    <m/>
    <m/>
    <m/>
    <s v="Pass"/>
    <d v="2562-01-09T00:00:00"/>
    <s v="Pass"/>
    <d v="2562-01-09T00:00:00"/>
    <m/>
    <m/>
    <x v="11"/>
    <n v="-5"/>
  </r>
  <r>
    <s v="มกราคม"/>
    <d v="2562-01-07T00:00:00"/>
    <x v="0"/>
    <n v="620012"/>
    <x v="2"/>
    <s v="TL620109"/>
    <n v="620109"/>
    <x v="1"/>
    <s v="Avg of D +10,-20 D"/>
    <x v="18"/>
    <s v="Avg สูงกว่ามาตรฐาน"/>
    <n v="3"/>
    <m/>
    <m/>
    <d v="2562-01-07T00:00:00"/>
    <d v="2562-01-14T00:00:00"/>
    <d v="2562-01-09T00:00:00"/>
    <s v="Pass"/>
    <d v="2562-01-08T00:00:00"/>
    <m/>
    <m/>
    <m/>
    <m/>
    <s v="Pass"/>
    <d v="2562-01-09T00:00:00"/>
    <s v="Pass"/>
    <d v="2562-01-09T00:00:00"/>
    <m/>
    <m/>
    <x v="3"/>
    <n v="-5"/>
  </r>
  <r>
    <s v="มกราคม"/>
    <d v="2562-01-07T00:00:00"/>
    <x v="0"/>
    <n v="620012"/>
    <x v="2"/>
    <s v="TL620109"/>
    <n v="620109"/>
    <x v="1"/>
    <s v="Std. ไม่เกิน 30 D"/>
    <x v="19"/>
    <s v="Std.เกินกว่ามาตรฐาน"/>
    <s v="26, 3, 8, 22, 5"/>
    <m/>
    <m/>
    <d v="2562-01-07T00:00:00"/>
    <d v="2562-01-14T00:00:00"/>
    <d v="2562-01-09T00:00:00"/>
    <s v="Pass"/>
    <d v="2562-01-08T00:00:00"/>
    <m/>
    <m/>
    <m/>
    <m/>
    <s v="Pass"/>
    <d v="2562-01-09T00:00:00"/>
    <s v="Pass"/>
    <d v="2562-01-09T00:00:00"/>
    <m/>
    <m/>
    <x v="3"/>
    <n v="-5"/>
  </r>
  <r>
    <s v="มกราคม"/>
    <d v="2562-01-07T00:00:00"/>
    <x v="1"/>
    <n v="620013"/>
    <x v="10"/>
    <n v="62010741"/>
    <s v="09/070162"/>
    <x v="10"/>
    <s v="124-127"/>
    <x v="20"/>
    <s v="น้ำหนักต่ำกว่ามาตรฐาน"/>
    <n v="1.2600000000000051"/>
    <s v="1027/128.5"/>
    <s v="เมตร/ก.ก."/>
    <d v="2562-01-07T00:00:00"/>
    <d v="2562-01-14T00:00:00"/>
    <d v="2562-01-09T00:00:00"/>
    <s v="Pass"/>
    <d v="2562-01-09T00:00:00"/>
    <m/>
    <m/>
    <m/>
    <m/>
    <s v="Pass"/>
    <d v="2562-01-09T00:00:00"/>
    <s v="Pass"/>
    <d v="2562-01-09T00:00:00"/>
    <m/>
    <m/>
    <x v="10"/>
    <n v="-5"/>
  </r>
  <r>
    <s v="มกราคม"/>
    <d v="2562-01-07T00:00:00"/>
    <x v="0"/>
    <n v="620014"/>
    <x v="2"/>
    <s v="TL620110"/>
    <n v="620110"/>
    <x v="1"/>
    <s v="Avg of D +10,-20 D"/>
    <x v="21"/>
    <s v="Avg ต่ำกว่ามาตรฐาน"/>
    <s v="16 ,16"/>
    <s v="2/726.90"/>
    <s v="กรง/ก.ก."/>
    <d v="2562-01-07T00:00:00"/>
    <d v="2562-01-14T00:00:00"/>
    <d v="2562-01-09T00:00:00"/>
    <s v="Pass"/>
    <d v="2562-01-08T00:00:00"/>
    <m/>
    <m/>
    <m/>
    <m/>
    <s v="Pass"/>
    <d v="2562-01-09T00:00:00"/>
    <s v="Pass"/>
    <d v="2562-01-09T00:00:00"/>
    <m/>
    <m/>
    <x v="12"/>
    <m/>
  </r>
  <r>
    <s v="มกราคม"/>
    <d v="2562-01-07T00:00:00"/>
    <x v="0"/>
    <n v="620014"/>
    <x v="2"/>
    <s v="TL620110"/>
    <n v="620110"/>
    <x v="1"/>
    <s v="Std. ไม่เกิน 30 D"/>
    <x v="22"/>
    <s v="Std.เกินกว่ามาตรฐาน"/>
    <s v="52 ,52"/>
    <m/>
    <m/>
    <d v="2562-01-07T00:00:00"/>
    <d v="2562-01-14T00:00:00"/>
    <d v="2562-01-09T00:00:00"/>
    <s v="Pass"/>
    <d v="2562-01-08T00:00:00"/>
    <m/>
    <m/>
    <m/>
    <m/>
    <s v="Pass"/>
    <d v="2562-01-09T00:00:00"/>
    <s v="Pass"/>
    <d v="2562-01-09T00:00:00"/>
    <m/>
    <m/>
    <x v="12"/>
    <m/>
  </r>
  <r>
    <s v="มกราคม"/>
    <d v="2562-01-07T00:00:00"/>
    <x v="1"/>
    <n v="620015"/>
    <x v="6"/>
    <n v="620107113"/>
    <s v="82/070762"/>
    <x v="11"/>
    <s v="76-78"/>
    <x v="23"/>
    <s v="น้ำหนักต่ำกว่ามาตรฐาน"/>
    <n v="1.4000000000000057"/>
    <s v="2500/188.8"/>
    <s v="เมตร/ก.ก."/>
    <d v="2562-01-07T00:00:00"/>
    <d v="2562-01-14T00:00:00"/>
    <d v="2562-01-09T00:00:00"/>
    <s v="Pass"/>
    <d v="2562-01-09T00:00:00"/>
    <m/>
    <m/>
    <m/>
    <m/>
    <s v="Pass"/>
    <d v="2562-01-09T00:00:00"/>
    <s v="Pass"/>
    <d v="2562-01-09T00:00:00"/>
    <m/>
    <m/>
    <x v="7"/>
    <n v="-5"/>
  </r>
  <r>
    <s v="มกราคม"/>
    <d v="2562-01-08T00:00:00"/>
    <x v="0"/>
    <n v="620016"/>
    <x v="11"/>
    <s v="TL620111"/>
    <n v="620111"/>
    <x v="1"/>
    <s v="Avg of D +10,-20 D"/>
    <x v="24"/>
    <s v="Avg ต่ำกว่ามาตรฐาน"/>
    <n v="21"/>
    <s v="1/208.9"/>
    <s v="กรง/ก.ก."/>
    <d v="2562-01-08T00:00:00"/>
    <d v="2562-01-15T00:00:00"/>
    <d v="2562-01-10T00:00:00"/>
    <s v="Pass"/>
    <d v="2562-01-09T00:00:00"/>
    <m/>
    <m/>
    <m/>
    <m/>
    <s v="Pass"/>
    <d v="2562-01-09T00:00:00"/>
    <s v="Pass"/>
    <d v="2562-01-09T00:00:00"/>
    <m/>
    <m/>
    <x v="13"/>
    <n v="-6"/>
  </r>
  <r>
    <s v="มกราคม"/>
    <d v="2562-01-08T00:00:00"/>
    <x v="2"/>
    <n v="620017"/>
    <x v="12"/>
    <s v="FWBWT203780"/>
    <s v="PD462010713"/>
    <x v="12"/>
    <s v="งานพิมพ์ถูกต้องตรงตามอาร์ต"/>
    <x v="25"/>
    <s v="งานพิมพ์ไม่สมบูรณ์ "/>
    <s v="ไม่ผ่าน"/>
    <n v="165"/>
    <s v="ใบ"/>
    <d v="2562-01-08T00:00:00"/>
    <d v="2562-01-15T00:00:00"/>
    <d v="2562-01-10T00:00:00"/>
    <m/>
    <m/>
    <m/>
    <m/>
    <m/>
    <m/>
    <m/>
    <m/>
    <m/>
    <m/>
    <m/>
    <m/>
    <x v="3"/>
    <n v="-241807"/>
  </r>
  <r>
    <s v="มกราคม"/>
    <d v="2562-01-08T00:00:00"/>
    <x v="1"/>
    <n v="620018"/>
    <x v="10"/>
    <n v="62010808"/>
    <s v="19/080162"/>
    <x v="13"/>
    <s v="124-127"/>
    <x v="26"/>
    <s v="น้ำหนักสูงกว่ามาตรฐาน"/>
    <n v="1.0699999999999932"/>
    <s v="1500/196.2"/>
    <s v="เมตร/ก.ก."/>
    <d v="2562-01-08T00:00:00"/>
    <d v="2562-01-15T00:00:00"/>
    <d v="2562-01-10T00:00:00"/>
    <m/>
    <m/>
    <m/>
    <m/>
    <m/>
    <m/>
    <m/>
    <m/>
    <m/>
    <m/>
    <m/>
    <m/>
    <x v="3"/>
    <n v="-241807"/>
  </r>
  <r>
    <s v="มกราคม"/>
    <d v="2562-01-08T00:00:00"/>
    <x v="1"/>
    <n v="620019"/>
    <x v="10"/>
    <n v="62010841"/>
    <s v="30/080162"/>
    <x v="8"/>
    <s v="124-127"/>
    <x v="27"/>
    <s v="น้ำหนักต่ำกว่ามาตรฐาน"/>
    <n v="0.54000000000000625"/>
    <s v="1500/188.2"/>
    <s v="เมตร/ก.ก."/>
    <d v="2562-01-08T00:00:00"/>
    <d v="2562-01-15T00:00:00"/>
    <d v="2562-01-10T00:00:00"/>
    <m/>
    <m/>
    <m/>
    <m/>
    <m/>
    <m/>
    <m/>
    <m/>
    <m/>
    <m/>
    <m/>
    <m/>
    <x v="3"/>
    <n v="-241807"/>
  </r>
  <r>
    <s v="มกราคม"/>
    <d v="2562-01-08T00:00:00"/>
    <x v="1"/>
    <n v="620020"/>
    <x v="8"/>
    <n v="62010844"/>
    <s v="34/080162"/>
    <x v="6"/>
    <s v="119-121"/>
    <x v="28"/>
    <s v="น้ำหนักสูงกว่ามาตรฐาน"/>
    <n v="1.8900000000000006"/>
    <s v="1500/170.7"/>
    <s v="เมตร/ก.ก."/>
    <d v="2562-01-08T00:00:00"/>
    <d v="2562-01-15T00:00:00"/>
    <d v="2562-01-10T00:00:00"/>
    <m/>
    <m/>
    <m/>
    <m/>
    <m/>
    <m/>
    <m/>
    <m/>
    <m/>
    <m/>
    <m/>
    <m/>
    <x v="3"/>
    <n v="-241807"/>
  </r>
  <r>
    <s v="มกราคม"/>
    <d v="2562-01-08T00:00:00"/>
    <x v="0"/>
    <n v="620021"/>
    <x v="2"/>
    <s v="TL620110"/>
    <n v="620110"/>
    <x v="0"/>
    <s v="Std. ไม่เกิน 30 D"/>
    <x v="29"/>
    <s v="Std.เกินกว่ามาตรฐาน"/>
    <n v="87"/>
    <s v="2/995.60"/>
    <s v="กรง/ก.ก."/>
    <d v="2562-01-08T00:00:00"/>
    <d v="2562-01-15T00:00:00"/>
    <d v="2562-01-10T00:00:00"/>
    <s v="Pass"/>
    <d v="2562-01-09T00:00:00"/>
    <m/>
    <m/>
    <m/>
    <m/>
    <s v="Pass"/>
    <d v="2562-01-09T00:00:00"/>
    <s v="Pass"/>
    <d v="2562-01-09T00:00:00"/>
    <m/>
    <m/>
    <x v="12"/>
    <n v="-6"/>
  </r>
  <r>
    <s v="มกราคม"/>
    <d v="2562-01-08T00:00:00"/>
    <x v="0"/>
    <n v="620021"/>
    <x v="2"/>
    <s v="TL620110"/>
    <n v="620110"/>
    <x v="0"/>
    <s v="Avg of D +10,-20 D"/>
    <x v="30"/>
    <s v="Avg ต่ำกว่ามาตรฐาน"/>
    <n v="22"/>
    <m/>
    <m/>
    <d v="2562-01-08T00:00:00"/>
    <d v="2562-01-15T00:00:00"/>
    <d v="2562-01-10T00:00:00"/>
    <s v="Pass"/>
    <d v="2562-01-09T00:00:00"/>
    <m/>
    <m/>
    <m/>
    <m/>
    <s v="Pass"/>
    <d v="2562-01-09T00:00:00"/>
    <s v="Pass"/>
    <d v="2562-01-09T00:00:00"/>
    <m/>
    <m/>
    <x v="12"/>
    <n v="-6"/>
  </r>
  <r>
    <s v="มกราคม"/>
    <d v="2562-01-09T00:00:00"/>
    <x v="0"/>
    <n v="620022"/>
    <x v="5"/>
    <s v="TL620112"/>
    <n v="620112"/>
    <x v="1"/>
    <s v="Std. ไม่เกิน 30 D"/>
    <x v="31"/>
    <s v="Std.เกินกว่ามาตรฐาน"/>
    <n v="34"/>
    <s v="1/543.3"/>
    <s v="กรง/ก.ก."/>
    <d v="2562-01-09T00:00:00"/>
    <d v="2562-01-16T00:00:00"/>
    <d v="2562-01-11T00:00:00"/>
    <s v="Pass"/>
    <d v="2562-01-12T00:00:00"/>
    <m/>
    <m/>
    <m/>
    <m/>
    <s v="Pass"/>
    <d v="2562-01-15T00:00:00"/>
    <s v="Pass"/>
    <d v="2562-01-16T00:00:00"/>
    <m/>
    <m/>
    <x v="14"/>
    <n v="0"/>
  </r>
  <r>
    <s v="มกราคม"/>
    <d v="2562-01-09T00:00:00"/>
    <x v="0"/>
    <n v="620023"/>
    <x v="13"/>
    <s v="TL620113"/>
    <n v="620113"/>
    <x v="1"/>
    <s v="Avg of D +10,-20 D"/>
    <x v="32"/>
    <s v="Avg สูงกว่ามาตรฐาน"/>
    <n v="14"/>
    <s v="1/217.1"/>
    <s v="กรง/ก.ก."/>
    <d v="2562-01-09T00:00:00"/>
    <d v="2562-01-16T00:00:00"/>
    <d v="2562-01-11T00:00:00"/>
    <s v="Pass"/>
    <d v="2562-01-12T00:00:00"/>
    <m/>
    <m/>
    <m/>
    <m/>
    <s v="Pass"/>
    <d v="2562-01-15T00:00:00"/>
    <s v="Pass"/>
    <d v="2562-01-16T00:00:00"/>
    <m/>
    <m/>
    <x v="15"/>
    <n v="0"/>
  </r>
  <r>
    <s v="มกราคม"/>
    <d v="2562-01-09T00:00:00"/>
    <x v="0"/>
    <n v="620023"/>
    <x v="13"/>
    <s v="TL620113"/>
    <n v="620113"/>
    <x v="1"/>
    <s v="Std. ไม่เกิน 30 D"/>
    <x v="33"/>
    <s v="Std.เกินกว่ามาตรฐาน"/>
    <n v="10"/>
    <m/>
    <m/>
    <d v="2562-01-09T00:00:00"/>
    <d v="2562-01-16T00:00:00"/>
    <d v="2562-01-11T00:00:00"/>
    <s v="Pass"/>
    <d v="2562-01-12T00:00:00"/>
    <m/>
    <m/>
    <m/>
    <m/>
    <s v="Pass"/>
    <d v="2562-01-15T00:00:00"/>
    <s v="Pass"/>
    <d v="2562-01-16T00:00:00"/>
    <m/>
    <m/>
    <x v="15"/>
    <n v="0"/>
  </r>
  <r>
    <s v="มกราคม"/>
    <d v="2562-01-09T00:00:00"/>
    <x v="1"/>
    <n v="620024"/>
    <x v="14"/>
    <n v="62010924"/>
    <s v="25/090162"/>
    <x v="14"/>
    <s v="125-128"/>
    <x v="34"/>
    <s v="น้ำหนักสูงกว่ามาตรฐาน"/>
    <n v="1.2700000000000102"/>
    <s v="1500/194.6"/>
    <s v="เมตร/ก.ก."/>
    <d v="2562-01-09T00:00:00"/>
    <d v="2562-01-16T00:00:00"/>
    <d v="2562-01-11T00:00:00"/>
    <s v="Pass"/>
    <d v="2562-01-09T00:00:00"/>
    <m/>
    <m/>
    <m/>
    <m/>
    <s v="Pass"/>
    <d v="2562-01-10T00:00:00"/>
    <s v="Pass"/>
    <d v="2562-01-11T00:00:00"/>
    <m/>
    <m/>
    <x v="16"/>
    <n v="-5"/>
  </r>
  <r>
    <s v="มกราคม"/>
    <d v="2562-01-09T00:00:00"/>
    <x v="1"/>
    <n v="620025"/>
    <x v="8"/>
    <n v="62010945"/>
    <s v="35/090162"/>
    <x v="9"/>
    <s v="119-121"/>
    <x v="35"/>
    <s v="น้ำหนักต่ำกว่ามาตรฐาน"/>
    <n v="1.0999999999999943"/>
    <s v="1500/165.1"/>
    <s v="เมตร/ก.ก."/>
    <d v="2562-01-09T00:00:00"/>
    <d v="2562-01-16T00:00:00"/>
    <d v="2562-01-11T00:00:00"/>
    <s v="Pass"/>
    <d v="2562-01-09T00:00:00"/>
    <m/>
    <m/>
    <m/>
    <m/>
    <s v="Pass"/>
    <d v="2562-01-10T00:00:00"/>
    <s v="Pass"/>
    <d v="2562-01-11T00:00:00"/>
    <m/>
    <m/>
    <x v="17"/>
    <n v="-5"/>
  </r>
  <r>
    <s v="มกราคม"/>
    <d v="2562-01-09T00:00:00"/>
    <x v="1"/>
    <n v="620026"/>
    <x v="15"/>
    <n v="62010925"/>
    <s v="28/090162"/>
    <x v="15"/>
    <s v="เส้นเทปขาว"/>
    <x v="36"/>
    <s v="ไม่ผ่าน เส้นเทปต้องเป็นสีขาว"/>
    <s v="ไม่ผ่าน"/>
    <s v="1500/187.4"/>
    <s v="เมตร/ก.ก."/>
    <d v="2562-01-09T00:00:00"/>
    <d v="2562-01-16T00:00:00"/>
    <d v="2562-01-11T00:00:00"/>
    <s v="Pass"/>
    <d v="2562-01-09T00:00:00"/>
    <m/>
    <m/>
    <m/>
    <m/>
    <s v="Pass"/>
    <d v="2562-01-10T00:00:00"/>
    <s v="Pass"/>
    <d v="2562-01-11T00:00:00"/>
    <m/>
    <m/>
    <x v="18"/>
    <n v="-5"/>
  </r>
  <r>
    <s v="มกราคม"/>
    <d v="2562-01-10T00:00:00"/>
    <x v="0"/>
    <n v="620027"/>
    <x v="2"/>
    <s v="TL620110"/>
    <n v="620110"/>
    <x v="0"/>
    <s v="Avg of D +10,-20 D"/>
    <x v="37"/>
    <s v="Avg ต่ำกว่ามาตรฐาน"/>
    <s v="26, 36, 23, 44, 14, 3"/>
    <s v="9/4828.9"/>
    <s v="กรง/ก.ก."/>
    <d v="2562-01-10T00:00:00"/>
    <d v="2562-01-17T00:00:00"/>
    <d v="2562-01-12T00:00:00"/>
    <s v="Pass"/>
    <d v="2562-01-22T00:00:00"/>
    <m/>
    <m/>
    <m/>
    <m/>
    <s v="Pass"/>
    <d v="2562-01-22T00:00:00"/>
    <s v="Pass"/>
    <d v="2562-01-22T00:00:00"/>
    <m/>
    <m/>
    <x v="12"/>
    <n v="5"/>
  </r>
  <r>
    <s v="มกราคม"/>
    <d v="2562-01-10T00:00:00"/>
    <x v="0"/>
    <n v="620027"/>
    <x v="2"/>
    <s v="TL620110"/>
    <n v="620110"/>
    <x v="0"/>
    <s v="Avg of D +10,-20 D"/>
    <x v="38"/>
    <s v="Avg สูงกว่ามาตรฐาน"/>
    <s v="61, 45"/>
    <m/>
    <m/>
    <d v="2562-01-10T00:00:00"/>
    <d v="2562-01-17T00:00:00"/>
    <d v="2562-01-12T00:00:00"/>
    <s v="Pass"/>
    <d v="2562-01-22T00:00:00"/>
    <m/>
    <m/>
    <m/>
    <m/>
    <s v="Pass"/>
    <d v="2562-01-22T00:00:00"/>
    <s v="Pass"/>
    <d v="2562-01-22T00:00:00"/>
    <m/>
    <m/>
    <x v="12"/>
    <n v="5"/>
  </r>
  <r>
    <s v="มกราคม"/>
    <d v="2562-01-10T00:00:00"/>
    <x v="0"/>
    <n v="620027"/>
    <x v="2"/>
    <s v="TL620110"/>
    <n v="620110"/>
    <x v="0"/>
    <s v="Std. ไม่เกิน 30 D"/>
    <x v="39"/>
    <s v="Std.เกินกว่ามาตรฐาน"/>
    <s v="208, 13, 21, 27, 17, 35, 15"/>
    <m/>
    <m/>
    <d v="2562-01-10T00:00:00"/>
    <d v="2562-01-17T00:00:00"/>
    <d v="2562-01-12T00:00:00"/>
    <s v="Pass"/>
    <d v="2562-01-22T00:00:00"/>
    <m/>
    <m/>
    <m/>
    <m/>
    <s v="Pass"/>
    <d v="2562-01-22T00:00:00"/>
    <s v="Pass"/>
    <d v="2562-01-22T00:00:00"/>
    <m/>
    <m/>
    <x v="12"/>
    <n v="5"/>
  </r>
  <r>
    <s v="มกราคม"/>
    <d v="2562-01-10T00:00:00"/>
    <x v="1"/>
    <n v="620028"/>
    <x v="15"/>
    <n v="62011006"/>
    <s v="30/100162"/>
    <x v="8"/>
    <s v="120-123"/>
    <x v="40"/>
    <s v="น้ำหนักต่ำกว่ามาตรฐาน"/>
    <n v="1.5499999999999972"/>
    <s v="1500/180.3"/>
    <s v="เมตร/ก.ก."/>
    <d v="2562-01-10T00:00:00"/>
    <d v="2562-01-17T00:00:00"/>
    <d v="2562-01-12T00:00:00"/>
    <s v="Pass"/>
    <d v="2562-01-17T00:00:00"/>
    <m/>
    <m/>
    <m/>
    <m/>
    <s v="Pass"/>
    <d v="2562-01-17T00:00:00"/>
    <s v="Pass"/>
    <d v="2562-01-17T00:00:00"/>
    <m/>
    <m/>
    <x v="18"/>
    <n v="0"/>
  </r>
  <r>
    <s v="มกราคม"/>
    <d v="2562-01-10T00:00:00"/>
    <x v="1"/>
    <n v="620029"/>
    <x v="14"/>
    <n v="62011036"/>
    <s v="63/100162"/>
    <x v="16"/>
    <s v="125-128"/>
    <x v="41"/>
    <s v="น้ำหนักต่ำกว่ามาตรฐาน"/>
    <n v="0.92000000000000171"/>
    <s v="1500/190.4"/>
    <s v="เมตร/ก.ก."/>
    <d v="2562-01-10T00:00:00"/>
    <d v="2562-01-17T00:00:00"/>
    <d v="2562-01-12T00:00:00"/>
    <s v="Pass"/>
    <d v="2562-01-17T00:00:00"/>
    <m/>
    <m/>
    <m/>
    <m/>
    <s v="Pass"/>
    <d v="2562-01-17T00:00:00"/>
    <s v="Pass"/>
    <d v="2562-01-17T00:00:00"/>
    <m/>
    <m/>
    <x v="16"/>
    <n v="0"/>
  </r>
  <r>
    <s v="มกราคม"/>
    <d v="2562-01-10T00:00:00"/>
    <x v="1"/>
    <n v="620030"/>
    <x v="6"/>
    <n v="62011018"/>
    <s v="71/100162"/>
    <x v="17"/>
    <s v="ผ้าลาย2/1ไม่มีด้ายคู้"/>
    <x v="42"/>
    <s v="ไม่ผ่านมีด้ายคู่2คู่ไม่ทราบจำนวนเมตร"/>
    <s v="ไม่ผ่าน"/>
    <s v="2000/158.5"/>
    <s v="เมตร/ก.ก."/>
    <d v="2562-01-10T00:00:00"/>
    <d v="2562-01-17T00:00:00"/>
    <d v="2562-01-12T00:00:00"/>
    <s v="Pass"/>
    <d v="2562-01-17T00:00:00"/>
    <m/>
    <m/>
    <m/>
    <m/>
    <s v="Pass"/>
    <d v="2562-01-17T00:00:00"/>
    <s v="Pass"/>
    <d v="2562-01-17T00:00:00"/>
    <m/>
    <m/>
    <x v="19"/>
    <n v="0"/>
  </r>
  <r>
    <s v="มกราคม"/>
    <d v="2562-01-11T00:00:00"/>
    <x v="0"/>
    <n v="620031"/>
    <x v="5"/>
    <s v="TL620116"/>
    <n v="620116"/>
    <x v="1"/>
    <s v="Avg of D +10,-20 D"/>
    <x v="8"/>
    <s v="Avg สูงกว่ามาตรฐาน"/>
    <n v="8"/>
    <s v="1/551.5"/>
    <s v="กรง/ก.ก."/>
    <d v="2562-01-11T00:00:00"/>
    <d v="2562-01-18T00:00:00"/>
    <d v="2562-01-13T00:00:00"/>
    <s v="Pass"/>
    <d v="2562-01-12T00:00:00"/>
    <m/>
    <m/>
    <m/>
    <m/>
    <s v="Pass"/>
    <d v="2562-01-15T00:00:00"/>
    <s v="Pass"/>
    <d v="2562-01-16T00:00:00"/>
    <m/>
    <m/>
    <x v="14"/>
    <n v="-2"/>
  </r>
  <r>
    <s v="มกราคม"/>
    <d v="2562-01-11T00:00:00"/>
    <x v="0"/>
    <n v="620032"/>
    <x v="1"/>
    <s v="TL620117"/>
    <n v="620117"/>
    <x v="0"/>
    <s v="Avg of D +10,-20 D"/>
    <x v="43"/>
    <s v="Avg ต่ำกว่ามาตรฐาน"/>
    <n v="31"/>
    <s v="2/785.40"/>
    <s v="กรง/ก.ก."/>
    <d v="2562-01-11T00:00:00"/>
    <d v="2562-01-18T00:00:00"/>
    <d v="2562-01-13T00:00:00"/>
    <s v="Pass"/>
    <d v="2562-01-12T00:00:00"/>
    <m/>
    <m/>
    <m/>
    <m/>
    <s v="Pass"/>
    <d v="2562-01-15T00:00:00"/>
    <s v="Pass"/>
    <d v="2562-01-16T00:00:00"/>
    <m/>
    <m/>
    <x v="20"/>
    <m/>
  </r>
  <r>
    <s v="มกราคม"/>
    <d v="2562-01-11T00:00:00"/>
    <x v="0"/>
    <n v="620032"/>
    <x v="1"/>
    <s v="TL620117"/>
    <n v="620117"/>
    <x v="0"/>
    <s v="Avg of D +10,-20 D"/>
    <x v="44"/>
    <s v="Avg สูงกว่ามาตรฐาน"/>
    <n v="13"/>
    <m/>
    <m/>
    <d v="2562-01-11T00:00:00"/>
    <d v="2562-01-18T00:00:00"/>
    <d v="2562-01-13T00:00:00"/>
    <s v="Pass"/>
    <d v="2562-01-12T00:00:00"/>
    <m/>
    <m/>
    <m/>
    <m/>
    <s v="Pass"/>
    <d v="2562-01-15T00:00:00"/>
    <s v="Pass"/>
    <d v="2562-01-16T00:00:00"/>
    <m/>
    <m/>
    <x v="20"/>
    <m/>
  </r>
  <r>
    <s v="มกราคม"/>
    <d v="2562-01-11T00:00:00"/>
    <x v="0"/>
    <n v="620032"/>
    <x v="1"/>
    <s v="TL620117"/>
    <n v="620117"/>
    <x v="0"/>
    <s v="Std. ไม่เกิน 30 D"/>
    <x v="45"/>
    <s v="Std.เกินกว่ามาตรฐาน"/>
    <s v="70, 10"/>
    <m/>
    <m/>
    <d v="2562-01-11T00:00:00"/>
    <d v="2562-01-18T00:00:00"/>
    <d v="2562-01-13T00:00:00"/>
    <s v="Pass"/>
    <d v="2562-01-12T00:00:00"/>
    <m/>
    <m/>
    <m/>
    <m/>
    <s v="Pass"/>
    <d v="2562-01-15T00:00:00"/>
    <s v="Pass"/>
    <d v="2562-01-16T00:00:00"/>
    <m/>
    <m/>
    <x v="20"/>
    <m/>
  </r>
  <r>
    <s v="มกราคม"/>
    <d v="2562-01-11T00:00:00"/>
    <x v="0"/>
    <n v="620033"/>
    <x v="11"/>
    <s v="TL620115"/>
    <n v="620115"/>
    <x v="1"/>
    <s v="Avg of D +10,-20 D"/>
    <x v="46"/>
    <s v="Avg สูงกว่ามาตรฐาน"/>
    <n v="11"/>
    <s v="1/207.2"/>
    <s v="กรง/ก.ก."/>
    <d v="2562-01-11T00:00:00"/>
    <d v="2562-01-18T00:00:00"/>
    <d v="2562-01-13T00:00:00"/>
    <s v="Pass"/>
    <d v="2562-01-12T00:00:00"/>
    <m/>
    <m/>
    <m/>
    <m/>
    <s v="Pass"/>
    <d v="2562-01-15T00:00:00"/>
    <s v="Pass"/>
    <d v="2562-01-16T00:00:00"/>
    <m/>
    <m/>
    <x v="13"/>
    <m/>
  </r>
  <r>
    <s v="มกราคม"/>
    <d v="2562-01-11T00:00:00"/>
    <x v="0"/>
    <n v="620033"/>
    <x v="11"/>
    <s v="TL620115"/>
    <n v="620115"/>
    <x v="1"/>
    <s v="Std. ไม่เกิน 30 D"/>
    <x v="33"/>
    <s v="Std.เกินกว่ามาตรฐาน"/>
    <n v="10"/>
    <m/>
    <m/>
    <d v="2562-01-11T00:00:00"/>
    <d v="2562-01-18T00:00:00"/>
    <d v="2562-01-13T00:00:00"/>
    <s v="Pass"/>
    <d v="2562-01-12T00:00:00"/>
    <m/>
    <m/>
    <m/>
    <m/>
    <s v="Pass"/>
    <d v="2562-01-15T00:00:00"/>
    <s v="Pass"/>
    <d v="2562-01-16T00:00:00"/>
    <m/>
    <m/>
    <x v="13"/>
    <m/>
  </r>
  <r>
    <s v="มกราคม"/>
    <d v="2562-01-12T00:00:00"/>
    <x v="0"/>
    <n v="620034"/>
    <x v="13"/>
    <s v="TL620118"/>
    <n v="620118"/>
    <x v="0"/>
    <s v="Avg of D +10,-20 D"/>
    <x v="47"/>
    <s v="Avg ต่ำกว่ามาตรฐาน"/>
    <n v="30"/>
    <s v="1/214.5"/>
    <s v="กรง/ก.ก."/>
    <d v="2562-01-12T00:00:00"/>
    <d v="2562-01-19T00:00:00"/>
    <d v="2562-01-14T00:00:00"/>
    <s v="Pass"/>
    <d v="2562-01-14T00:00:00"/>
    <m/>
    <m/>
    <m/>
    <m/>
    <s v="Pass"/>
    <d v="2562-01-15T00:00:00"/>
    <s v="Pass"/>
    <d v="2562-01-16T00:00:00"/>
    <m/>
    <m/>
    <x v="15"/>
    <m/>
  </r>
  <r>
    <s v="มกราคม"/>
    <d v="2562-01-12T00:00:00"/>
    <x v="0"/>
    <n v="620034"/>
    <x v="13"/>
    <s v="TL620118"/>
    <n v="620118"/>
    <x v="0"/>
    <s v="Std. ไม่เกิน 30 D"/>
    <x v="9"/>
    <s v="Std.เกินกว่ามาตรฐาน"/>
    <n v="1"/>
    <m/>
    <m/>
    <d v="2562-01-12T00:00:00"/>
    <d v="2562-01-19T00:00:00"/>
    <d v="2562-01-14T00:00:00"/>
    <s v="Pass"/>
    <d v="2562-01-14T00:00:00"/>
    <m/>
    <m/>
    <m/>
    <m/>
    <s v="Pass"/>
    <d v="2562-01-15T00:00:00"/>
    <s v="Pass"/>
    <d v="2562-01-16T00:00:00"/>
    <m/>
    <m/>
    <x v="15"/>
    <m/>
  </r>
  <r>
    <s v="มกราคม"/>
    <d v="2562-01-12T00:00:00"/>
    <x v="1"/>
    <n v="620035"/>
    <x v="14"/>
    <n v="62011237"/>
    <s v="41/120162"/>
    <x v="18"/>
    <s v="เส้นเทปขาว"/>
    <x v="48"/>
    <s v="ไม่ผ่าน เส้นเทปต้องเป็นสีขาว"/>
    <s v="ไม่ผ่าน"/>
    <s v="1550/199.7"/>
    <s v="เมตร/ก.ก."/>
    <d v="2562-01-12T00:00:00"/>
    <d v="2562-01-19T00:00:00"/>
    <d v="2562-01-14T00:00:00"/>
    <s v="Pass"/>
    <d v="2562-01-17T00:00:00"/>
    <m/>
    <m/>
    <m/>
    <m/>
    <s v="Pass"/>
    <d v="2562-01-17T00:00:00"/>
    <s v="Pass"/>
    <d v="2562-01-17T00:00:00"/>
    <m/>
    <m/>
    <x v="16"/>
    <n v="-2"/>
  </r>
  <r>
    <s v="มกราคม"/>
    <d v="2562-01-12T00:00:00"/>
    <x v="0"/>
    <n v="620036"/>
    <x v="5"/>
    <s v="YL620118"/>
    <n v="620118"/>
    <x v="0"/>
    <s v="Avg of D +10,-20 D"/>
    <x v="49"/>
    <s v="Avg สูงกว่ามาตรฐาน"/>
    <n v="29"/>
    <s v="1/230"/>
    <s v="กรง/ก.ก."/>
    <d v="2562-01-12T00:00:00"/>
    <d v="2562-01-19T00:00:00"/>
    <d v="2562-01-14T00:00:00"/>
    <s v="Pass"/>
    <d v="2562-01-14T00:00:00"/>
    <m/>
    <m/>
    <m/>
    <m/>
    <s v="Pass"/>
    <d v="2562-01-15T00:00:00"/>
    <s v="Pass"/>
    <d v="2562-01-16T00:00:00"/>
    <m/>
    <m/>
    <x v="14"/>
    <n v="-3"/>
  </r>
  <r>
    <s v="มกราคม"/>
    <d v="2562-01-13T00:00:00"/>
    <x v="1"/>
    <n v="620037"/>
    <x v="6"/>
    <n v="62011302"/>
    <s v="53/130162"/>
    <x v="19"/>
    <s v="76/78"/>
    <x v="50"/>
    <s v="น้ำหนักต่ำกว่ามาตรฐาน"/>
    <n v="1.5100000000000051"/>
    <s v="1909/146.8"/>
    <s v="เมตร/ก.ก."/>
    <d v="2562-01-13T00:00:00"/>
    <d v="2562-01-20T00:00:00"/>
    <d v="2562-01-15T00:00:00"/>
    <s v="Pass"/>
    <d v="2562-01-17T00:00:00"/>
    <m/>
    <m/>
    <m/>
    <m/>
    <s v="Pass"/>
    <d v="2562-01-17T00:00:00"/>
    <s v="Pass"/>
    <d v="2562-01-17T00:00:00"/>
    <m/>
    <m/>
    <x v="21"/>
    <n v="-3"/>
  </r>
  <r>
    <s v="มกราคม"/>
    <d v="2562-01-14T00:00:00"/>
    <x v="0"/>
    <n v="620038"/>
    <x v="11"/>
    <s v="TL620120"/>
    <n v="620120"/>
    <x v="1"/>
    <s v="Avg of D +10,-20 D"/>
    <x v="51"/>
    <s v="Avg ต่ำกว่ามาตรฐาน"/>
    <n v="4"/>
    <s v="1/227.4"/>
    <s v="กรง/ก.ก."/>
    <d v="2562-01-14T00:00:00"/>
    <d v="2562-01-21T00:00:00"/>
    <d v="2562-01-16T00:00:00"/>
    <s v="Pass"/>
    <d v="2562-01-15T00:00:00"/>
    <s v="Pass"/>
    <d v="2562-01-15T00:00:00"/>
    <s v="Pass"/>
    <d v="2562-01-15T00:00:00"/>
    <s v="Pass"/>
    <d v="2562-01-15T00:00:00"/>
    <s v="Pass"/>
    <d v="2562-01-15T00:00:00"/>
    <m/>
    <m/>
    <x v="13"/>
    <n v="-6"/>
  </r>
  <r>
    <s v="มกราคม"/>
    <d v="2562-01-14T00:00:00"/>
    <x v="0"/>
    <n v="620038"/>
    <x v="11"/>
    <s v="TL620120"/>
    <n v="620120"/>
    <x v="1"/>
    <s v="Std. ไม่เกิน 30 D"/>
    <x v="52"/>
    <s v="Std.เกินกว่ามาตรฐาน"/>
    <n v="12"/>
    <m/>
    <m/>
    <d v="2562-01-14T00:00:00"/>
    <d v="2562-01-21T00:00:00"/>
    <d v="2562-01-16T00:00:00"/>
    <s v="Pass"/>
    <d v="2562-01-15T00:00:00"/>
    <s v="Pass"/>
    <d v="2562-01-15T00:00:00"/>
    <s v="Pass"/>
    <d v="2562-01-15T00:00:00"/>
    <s v="Pass"/>
    <d v="2562-01-15T00:00:00"/>
    <s v="Pass"/>
    <d v="2562-01-15T00:00:00"/>
    <m/>
    <m/>
    <x v="13"/>
    <n v="-6"/>
  </r>
  <r>
    <s v="มกราคม"/>
    <d v="2562-01-14T00:00:00"/>
    <x v="1"/>
    <n v="620039"/>
    <x v="14"/>
    <n v="62011423"/>
    <s v="41/140162"/>
    <x v="18"/>
    <s v="125-128"/>
    <x v="53"/>
    <s v="น้ำหนักสูงกว่ามาตรฐาน"/>
    <n v="0.84999999999999432"/>
    <s v="1712/217.9"/>
    <s v="เมตร/ก.ก."/>
    <d v="2562-01-14T00:00:00"/>
    <d v="2562-01-21T00:00:00"/>
    <d v="2562-01-16T00:00:00"/>
    <s v="Pass"/>
    <d v="2562-01-18T00:00:00"/>
    <s v="Pass"/>
    <d v="2562-01-15T00:00:00"/>
    <s v="Pass"/>
    <d v="2562-01-15T00:00:00"/>
    <s v="Pass"/>
    <d v="2562-01-18T00:00:00"/>
    <s v="Pass"/>
    <d v="2562-01-18T00:00:00"/>
    <m/>
    <m/>
    <x v="16"/>
    <n v="-3"/>
  </r>
  <r>
    <s v="มกราคม"/>
    <d v="2562-01-14T00:00:00"/>
    <x v="1"/>
    <n v="620040"/>
    <x v="15"/>
    <n v="62011431"/>
    <s v="78/140162"/>
    <x v="20"/>
    <s v="120-123"/>
    <x v="54"/>
    <s v="น้ำหนักต่ำกว่ามาตรฐาน"/>
    <n v="1.2000000000000028"/>
    <s v="1220/149.9"/>
    <s v="เมตร/ก.ก."/>
    <d v="2562-01-14T00:00:00"/>
    <d v="2562-01-21T00:00:00"/>
    <d v="2562-01-16T00:00:00"/>
    <s v="Pass"/>
    <d v="2562-01-17T00:00:00"/>
    <m/>
    <m/>
    <m/>
    <m/>
    <s v="Pass"/>
    <d v="2562-01-17T00:00:00"/>
    <s v="Pass"/>
    <d v="2562-01-17T00:00:00"/>
    <m/>
    <m/>
    <x v="18"/>
    <n v="-4"/>
  </r>
  <r>
    <s v="มกราคม"/>
    <d v="2562-01-14T00:00:00"/>
    <x v="0"/>
    <n v="620041"/>
    <x v="4"/>
    <s v="TL620121"/>
    <n v="620121"/>
    <x v="0"/>
    <s v="Std. ไม่เกิน 30 D"/>
    <x v="33"/>
    <s v="Std.เกินกว่ามาตรฐาน"/>
    <n v="10"/>
    <s v="1/253.9"/>
    <s v="กรง/ก.ก."/>
    <d v="2562-01-14T00:00:00"/>
    <d v="2562-01-21T00:00:00"/>
    <d v="2562-01-16T00:00:00"/>
    <s v="Pass"/>
    <d v="2562-01-15T00:00:00"/>
    <s v="Pass"/>
    <d v="2562-01-15T00:00:00"/>
    <s v="Pass"/>
    <d v="2562-01-15T00:00:00"/>
    <s v="Pass"/>
    <d v="2562-01-15T00:00:00"/>
    <s v="Pass"/>
    <d v="2562-01-15T00:00:00"/>
    <m/>
    <m/>
    <x v="5"/>
    <n v="-6"/>
  </r>
  <r>
    <s v="มกราคม"/>
    <d v="2562-01-14T00:00:00"/>
    <x v="1"/>
    <n v="620042"/>
    <x v="15"/>
    <n v="62011470"/>
    <s v="78/140162"/>
    <x v="20"/>
    <s v="120-123"/>
    <x v="55"/>
    <s v="น้ำหนักต่ำกว่ามาตรฐาน"/>
    <n v="3.7600000000000051"/>
    <s v="1525/179.7"/>
    <s v="เมตร/ก.ก."/>
    <d v="2562-01-14T00:00:00"/>
    <d v="2562-01-21T00:00:00"/>
    <d v="2562-01-16T00:00:00"/>
    <s v="Pass"/>
    <d v="2562-01-17T00:00:00"/>
    <m/>
    <m/>
    <m/>
    <m/>
    <s v="Pass"/>
    <d v="2562-01-17T00:00:00"/>
    <s v="Pass"/>
    <d v="2562-01-17T00:00:00"/>
    <m/>
    <m/>
    <x v="22"/>
    <n v="-4"/>
  </r>
  <r>
    <s v="มกราคม"/>
    <d v="2562-04-15T00:00:00"/>
    <x v="1"/>
    <n v="620043"/>
    <x v="16"/>
    <s v="FWBWT193060P"/>
    <s v="PD462011420"/>
    <x v="21"/>
    <s v="ผ้าเรียบสม่ำเสมอ"/>
    <x v="56"/>
    <s v="โครงสร้างด้ายพุ่งหลวม"/>
    <s v="ไม่ผ่าน"/>
    <n v="157"/>
    <s v="ใบ"/>
    <d v="2562-04-15T00:00:00"/>
    <d v="2562-04-22T00:00:00"/>
    <d v="2562-04-17T00:00:00"/>
    <m/>
    <m/>
    <m/>
    <m/>
    <m/>
    <m/>
    <m/>
    <m/>
    <m/>
    <m/>
    <m/>
    <m/>
    <x v="3"/>
    <n v="-241904"/>
  </r>
  <r>
    <s v="มกราคม"/>
    <d v="2562-01-15T00:00:00"/>
    <x v="0"/>
    <n v="620044"/>
    <x v="2"/>
    <s v="TL620122"/>
    <n v="620122"/>
    <x v="0"/>
    <s v="Avg of D +10,-20 D"/>
    <x v="57"/>
    <s v="Avg ต่ำกว่ามาตรฐาน"/>
    <s v="45, 14"/>
    <s v="3/1403"/>
    <s v="กรง/ก.ก."/>
    <d v="2562-01-15T00:00:00"/>
    <d v="2562-01-22T00:00:00"/>
    <d v="2562-01-17T00:00:00"/>
    <s v="Pass"/>
    <d v="2562-01-16T00:00:00"/>
    <m/>
    <m/>
    <m/>
    <m/>
    <s v="Pass"/>
    <d v="2562-01-17T00:00:00"/>
    <s v="Pass"/>
    <d v="2562-01-18T00:00:00"/>
    <m/>
    <m/>
    <x v="12"/>
    <n v="-4"/>
  </r>
  <r>
    <s v="มกราคม"/>
    <d v="2562-01-15T00:00:00"/>
    <x v="0"/>
    <n v="620044"/>
    <x v="2"/>
    <s v="TL620122"/>
    <n v="620122"/>
    <x v="0"/>
    <s v="Avg of D +10,-20 D"/>
    <x v="58"/>
    <s v="Avg สูงกว่ามาตรฐาน"/>
    <n v="14"/>
    <m/>
    <m/>
    <d v="2562-01-15T00:00:00"/>
    <d v="2562-01-22T00:00:00"/>
    <d v="2562-01-17T00:00:00"/>
    <s v="Pass"/>
    <d v="2562-01-16T00:00:00"/>
    <m/>
    <m/>
    <m/>
    <m/>
    <s v="Pass"/>
    <d v="2562-01-17T00:00:00"/>
    <s v="Pass"/>
    <d v="2562-01-18T00:00:00"/>
    <m/>
    <m/>
    <x v="12"/>
    <n v="-4"/>
  </r>
  <r>
    <s v="มกราคม"/>
    <d v="2562-01-15T00:00:00"/>
    <x v="0"/>
    <n v="620044"/>
    <x v="2"/>
    <s v="TL620122"/>
    <n v="620122"/>
    <x v="0"/>
    <s v="Std. ไม่เกิน 30 D"/>
    <x v="59"/>
    <s v="Std.เกินกว่ามาตรฐาน"/>
    <s v="12, 5"/>
    <m/>
    <m/>
    <d v="2562-01-15T00:00:00"/>
    <d v="2562-01-22T00:00:00"/>
    <d v="2562-01-17T00:00:00"/>
    <s v="Pass"/>
    <d v="2562-01-16T00:00:00"/>
    <m/>
    <m/>
    <m/>
    <m/>
    <s v="Pass"/>
    <d v="2562-01-17T00:00:00"/>
    <s v="Pass"/>
    <d v="2562-01-18T00:00:00"/>
    <m/>
    <m/>
    <x v="12"/>
    <n v="-4"/>
  </r>
  <r>
    <s v="มกราคม"/>
    <d v="2562-01-14T00:00:00"/>
    <x v="1"/>
    <n v="620045"/>
    <x v="17"/>
    <s v="FWBWT203780P"/>
    <s v="62011467/74"/>
    <x v="22"/>
    <s v="80+/-3"/>
    <x v="60"/>
    <s v="น้ำหนักต่ำกว่ามาตรฐาน"/>
    <s v="ไม่ผ่าน"/>
    <n v="297"/>
    <s v="ใบ"/>
    <d v="2562-01-14T00:00:00"/>
    <d v="2562-01-21T00:00:00"/>
    <d v="2562-01-16T00:00:00"/>
    <m/>
    <m/>
    <m/>
    <m/>
    <m/>
    <m/>
    <m/>
    <m/>
    <m/>
    <m/>
    <m/>
    <m/>
    <x v="3"/>
    <n v="-241813"/>
  </r>
  <r>
    <s v="มกราคม"/>
    <d v="2562-01-16T00:00:00"/>
    <x v="1"/>
    <n v="620046"/>
    <x v="14"/>
    <n v="62011632"/>
    <s v="41/160162"/>
    <x v="18"/>
    <s v="125-128"/>
    <x v="61"/>
    <s v="น้ำหนักสูงกว่ามาตรฐาน"/>
    <n v="1.8400000000000034"/>
    <s v="1739/226.1"/>
    <s v="เมตร/ก.ก."/>
    <d v="2562-01-16T00:00:00"/>
    <d v="2562-01-23T00:00:00"/>
    <d v="2562-01-18T00:00:00"/>
    <s v="Pass"/>
    <d v="2562-01-18T00:00:00"/>
    <s v="Pass"/>
    <d v="2562-01-15T00:00:00"/>
    <s v="Pass"/>
    <d v="2562-01-15T00:00:00"/>
    <s v="Pass"/>
    <d v="2562-01-18T00:00:00"/>
    <s v="Pass"/>
    <d v="2562-01-18T00:00:00"/>
    <m/>
    <m/>
    <x v="23"/>
    <n v="-5"/>
  </r>
  <r>
    <s v="มกราคม"/>
    <d v="2562-01-17T00:00:00"/>
    <x v="1"/>
    <n v="620047"/>
    <x v="15"/>
    <n v="62011754"/>
    <s v="30/170162"/>
    <x v="8"/>
    <s v="120-123"/>
    <x v="62"/>
    <s v="น้ำหนักสูงกว่ามาตรฐาน"/>
    <n v="1.3700000000000045"/>
    <s v="1500/186.4"/>
    <s v="เมตร/ก.ก."/>
    <d v="2562-01-17T00:00:00"/>
    <d v="2562-01-24T00:00:00"/>
    <d v="2562-01-19T00:00:00"/>
    <s v="Pass"/>
    <d v="2562-01-18T00:00:00"/>
    <m/>
    <m/>
    <m/>
    <m/>
    <s v="Pass"/>
    <d v="2562-01-21T00:00:00"/>
    <s v="Pass"/>
    <d v="2562-01-22T00:00:00"/>
    <m/>
    <m/>
    <x v="24"/>
    <n v="-2"/>
  </r>
  <r>
    <s v="มกราคม"/>
    <d v="2562-01-17T00:00:00"/>
    <x v="1"/>
    <n v="620048"/>
    <x v="14"/>
    <n v="62011712"/>
    <s v="63/170162"/>
    <x v="16"/>
    <s v="125-128"/>
    <x v="63"/>
    <s v="น้ำหนักต่ำกว่ามาตรฐาน"/>
    <n v="1.9300000000000068"/>
    <s v="1500/189.5"/>
    <s v="เมตร/ก.ก."/>
    <d v="2562-01-17T00:00:00"/>
    <d v="2562-01-24T00:00:00"/>
    <d v="2562-01-19T00:00:00"/>
    <s v="Pass"/>
    <d v="2562-01-18T00:00:00"/>
    <s v="Pass"/>
    <d v="2562-01-15T00:00:00"/>
    <s v="Pass"/>
    <d v="2562-01-15T00:00:00"/>
    <s v="Pass"/>
    <d v="2562-01-18T00:00:00"/>
    <s v="Pass"/>
    <d v="2562-01-18T00:00:00"/>
    <m/>
    <m/>
    <x v="23"/>
    <n v="-6"/>
  </r>
  <r>
    <s v="มกราคม"/>
    <d v="2562-01-18T00:00:00"/>
    <x v="2"/>
    <n v="620049"/>
    <x v="18"/>
    <s v="FWBWT183074PL"/>
    <s v="PD462011718"/>
    <x v="23"/>
    <s v="งานพิมพ์ถูกต้องตรงตามอาร์ต"/>
    <x v="25"/>
    <s v="งานพิมพ์ไม่สมบูรณ์ "/>
    <s v="ไม่ผ่าน"/>
    <n v="326"/>
    <s v="ใบ"/>
    <d v="2562-01-18T00:00:00"/>
    <d v="2562-01-25T00:00:00"/>
    <d v="2562-01-20T00:00:00"/>
    <m/>
    <m/>
    <m/>
    <m/>
    <m/>
    <m/>
    <m/>
    <m/>
    <m/>
    <m/>
    <m/>
    <m/>
    <x v="3"/>
    <m/>
  </r>
  <r>
    <s v="มกราคม"/>
    <d v="2562-01-18T00:00:00"/>
    <x v="0"/>
    <n v="620050"/>
    <x v="5"/>
    <s v="TL620127"/>
    <n v="620127"/>
    <x v="0"/>
    <s v="Avg of D +10,-20 D"/>
    <x v="64"/>
    <s v="Avg สูงกว่ามาตรฐาน"/>
    <n v="9"/>
    <s v="1/239.6"/>
    <s v="กรง/ก.ก."/>
    <d v="2562-01-18T00:00:00"/>
    <d v="2562-01-25T00:00:00"/>
    <d v="2562-01-20T00:00:00"/>
    <s v="Pass"/>
    <d v="2562-01-21T00:00:00"/>
    <m/>
    <m/>
    <m/>
    <m/>
    <s v="Pass"/>
    <d v="2562-01-22T00:00:00"/>
    <s v="Pass"/>
    <d v="2562-01-22T00:00:00"/>
    <m/>
    <m/>
    <x v="14"/>
    <n v="-3"/>
  </r>
  <r>
    <s v="มกราคม"/>
    <d v="2562-01-21T00:00:00"/>
    <x v="2"/>
    <n v="620051"/>
    <x v="19"/>
    <s v="FWBWT2137100PL"/>
    <s v="PD462012120"/>
    <x v="24"/>
    <s v="งานพิมพ์ถูกต้องตรงตามอาร์ต"/>
    <x v="25"/>
    <s v="งานพิมพ์ไม่สมบูรณ์ "/>
    <s v="ไม่ผ่าน"/>
    <n v="418"/>
    <s v="ใบ"/>
    <d v="2562-01-21T00:00:00"/>
    <d v="2562-01-28T00:00:00"/>
    <d v="2562-01-23T00:00:00"/>
    <m/>
    <m/>
    <m/>
    <m/>
    <m/>
    <m/>
    <m/>
    <m/>
    <m/>
    <m/>
    <m/>
    <m/>
    <x v="3"/>
    <n v="-241820"/>
  </r>
  <r>
    <s v="มกราคม"/>
    <d v="2562-01-21T00:00:00"/>
    <x v="2"/>
    <n v="620052"/>
    <x v="20"/>
    <s v="FWBWT192875PL"/>
    <s v="PD462012123"/>
    <x v="23"/>
    <s v="งานพิมพ์ถูกต้องตรงตามอาร์ต สีลงสม่ำเสมอทั้งสองด้าน"/>
    <x v="65"/>
    <s v="เป็นรอยฟ้าผ่า สีลงไม่เต็ม/งานพิมพ์ไม่สมบรูณ์ "/>
    <s v="ไม่ผ่าน"/>
    <s v="รอยฟ้าผ่า 191 /งานพิมพ์ไม่สมบรุณ์ 220 "/>
    <s v="ใบ"/>
    <d v="2562-01-21T00:00:00"/>
    <d v="2562-01-28T00:00:00"/>
    <d v="2562-01-23T00:00:00"/>
    <m/>
    <m/>
    <m/>
    <m/>
    <m/>
    <m/>
    <m/>
    <m/>
    <m/>
    <m/>
    <m/>
    <m/>
    <x v="3"/>
    <n v="-241820"/>
  </r>
  <r>
    <s v="มกราคม"/>
    <d v="2562-01-21T00:00:00"/>
    <x v="1"/>
    <n v="620053"/>
    <x v="14"/>
    <n v="62012107"/>
    <s v="41/210162"/>
    <x v="18"/>
    <s v="125-128"/>
    <x v="66"/>
    <s v="น้ำหนักต่ำกว่ามาตรฐาน"/>
    <n v="4.6200000000000045"/>
    <s v="1558/185.3"/>
    <s v="เมตร/ก.ก."/>
    <d v="2562-01-21T00:00:00"/>
    <d v="2562-01-28T00:00:00"/>
    <d v="2562-01-23T00:00:00"/>
    <s v="Pass"/>
    <d v="2562-01-23T00:00:00"/>
    <m/>
    <m/>
    <m/>
    <m/>
    <s v="Pass"/>
    <d v="2562-01-25T00:00:00"/>
    <s v="Pass"/>
    <d v="2562-01-25T00:00:00"/>
    <m/>
    <m/>
    <x v="25"/>
    <n v="-3"/>
  </r>
  <r>
    <s v="มกราคม"/>
    <d v="2562-01-21T00:00:00"/>
    <x v="1"/>
    <n v="620053"/>
    <x v="14"/>
    <n v="62012109"/>
    <s v="41/210162"/>
    <x v="18"/>
    <s v="125-128"/>
    <x v="67"/>
    <s v="น้ำหนักต่ำกว่ามาตรฐาน"/>
    <n v="2.1500000000000057"/>
    <s v="1309/162.7"/>
    <s v="เมตร/ก.ก."/>
    <d v="2562-01-21T00:00:00"/>
    <d v="2562-01-28T00:00:00"/>
    <d v="2562-01-23T00:00:00"/>
    <s v="Pass"/>
    <d v="2562-01-24T00:00:00"/>
    <m/>
    <m/>
    <m/>
    <m/>
    <s v="Pass"/>
    <d v="2562-01-25T00:00:00"/>
    <s v="Pass"/>
    <d v="2562-01-25T00:00:00"/>
    <m/>
    <m/>
    <x v="25"/>
    <n v="-3"/>
  </r>
  <r>
    <s v="มกราคม"/>
    <d v="2562-01-21T00:00:00"/>
    <x v="1"/>
    <n v="620053"/>
    <x v="14"/>
    <n v="62012126"/>
    <s v="63/210162"/>
    <x v="16"/>
    <s v="125-128"/>
    <x v="68"/>
    <s v="น้ำหนักต่ำกว่ามาตรฐาน"/>
    <n v="1.0999999999999943"/>
    <s v="1500/189.3"/>
    <s v="เมตร/ก.ก."/>
    <d v="2562-01-21T00:00:00"/>
    <d v="2562-01-28T00:00:00"/>
    <d v="2562-01-23T00:00:00"/>
    <s v="Pass"/>
    <d v="2562-01-23T00:00:00"/>
    <m/>
    <m/>
    <m/>
    <m/>
    <s v="Pass"/>
    <d v="2562-01-25T00:00:00"/>
    <s v="Pass"/>
    <d v="2562-01-25T00:00:00"/>
    <m/>
    <m/>
    <x v="26"/>
    <n v="-3"/>
  </r>
  <r>
    <s v="มกราคม"/>
    <d v="2562-01-21T00:00:00"/>
    <x v="1"/>
    <n v="620054"/>
    <x v="6"/>
    <n v="62012176"/>
    <s v="24/210162"/>
    <x v="25"/>
    <s v="76-78"/>
    <x v="69"/>
    <s v="น้ำหนักต่ำกว่ามาตรฐาน"/>
    <n v="0.17000000000000171"/>
    <s v="1893/141.8"/>
    <s v="เมตร/ก.ก."/>
    <d v="2562-01-21T00:00:00"/>
    <d v="2562-01-28T00:00:00"/>
    <d v="2562-01-23T00:00:00"/>
    <s v="Pass"/>
    <d v="2562-01-23T00:00:00"/>
    <m/>
    <m/>
    <m/>
    <m/>
    <s v="Pass"/>
    <d v="2562-01-25T00:00:00"/>
    <s v="Pass"/>
    <d v="2562-01-25T00:00:00"/>
    <m/>
    <m/>
    <x v="27"/>
    <n v="-3"/>
  </r>
  <r>
    <s v="มกราคม"/>
    <d v="2562-01-21T00:00:00"/>
    <x v="1"/>
    <n v="620054"/>
    <x v="6"/>
    <n v="62012158"/>
    <s v="24/210162"/>
    <x v="26"/>
    <s v="76-78"/>
    <x v="70"/>
    <s v="น้ำหนักต่ำกว่ามาตรฐาน"/>
    <n v="0.34999999999999432"/>
    <s v="2467/186.9"/>
    <s v="เมตร/ก.ก."/>
    <d v="2562-01-21T00:00:00"/>
    <d v="2562-01-28T00:00:00"/>
    <d v="2562-01-23T00:00:00"/>
    <s v="Pass"/>
    <d v="2562-01-23T00:00:00"/>
    <m/>
    <m/>
    <m/>
    <m/>
    <s v="Pass"/>
    <d v="2562-01-25T00:00:00"/>
    <s v="Pass"/>
    <d v="2562-01-25T00:00:00"/>
    <m/>
    <m/>
    <x v="28"/>
    <n v="-3"/>
  </r>
  <r>
    <s v="มกราคม"/>
    <d v="2562-01-21T00:00:00"/>
    <x v="1"/>
    <n v="620055"/>
    <x v="3"/>
    <n v="62012104"/>
    <s v="39/210162"/>
    <x v="27"/>
    <s v="65-70"/>
    <x v="71"/>
    <s v="น้ำหนักสูงกว่ามาตรฐาน"/>
    <n v="4.05"/>
    <s v="2242/166.8"/>
    <s v="เมตร/ก.ก."/>
    <d v="2562-01-21T00:00:00"/>
    <d v="2562-01-28T00:00:00"/>
    <d v="2562-01-23T00:00:00"/>
    <s v="Pass"/>
    <d v="2562-01-24T00:00:00"/>
    <m/>
    <m/>
    <m/>
    <m/>
    <s v="Pass"/>
    <d v="2562-01-25T00:00:00"/>
    <s v="Pass"/>
    <d v="2562-01-25T00:00:00"/>
    <m/>
    <m/>
    <x v="4"/>
    <n v="-3"/>
  </r>
  <r>
    <s v="มกราคม"/>
    <d v="2562-01-21T00:00:00"/>
    <x v="1"/>
    <n v="620056"/>
    <x v="15"/>
    <n v="62012129"/>
    <s v="78/210162"/>
    <x v="20"/>
    <s v="120-123"/>
    <x v="72"/>
    <s v="น้ำหนักสูงกว่ามาตรฐาน"/>
    <n v="2.4200000000000017"/>
    <s v="1600/203.9"/>
    <s v="เมตร/ก.ก."/>
    <d v="2562-01-21T00:00:00"/>
    <d v="2562-01-28T00:00:00"/>
    <d v="2562-01-23T00:00:00"/>
    <s v="Pass"/>
    <d v="2562-01-23T00:00:00"/>
    <m/>
    <m/>
    <m/>
    <m/>
    <s v="Pass"/>
    <d v="2562-01-25T00:00:00"/>
    <s v="Pass"/>
    <d v="2562-01-25T00:00:00"/>
    <m/>
    <m/>
    <x v="24"/>
    <n v="-3"/>
  </r>
  <r>
    <s v="มกราคม"/>
    <d v="2562-01-21T00:00:00"/>
    <x v="1"/>
    <n v="620057"/>
    <x v="15"/>
    <n v="62012135"/>
    <s v="09/210162"/>
    <x v="10"/>
    <s v="120-123"/>
    <x v="73"/>
    <s v="น้ำหนักต่ำกว่ามาตรฐาน"/>
    <n v="0.71999999999999886"/>
    <s v="1114/134.3"/>
    <s v="เมตร/ก.ก."/>
    <d v="2562-01-21T00:00:00"/>
    <d v="2562-01-28T00:00:00"/>
    <d v="2562-01-23T00:00:00"/>
    <s v="Pass"/>
    <d v="2562-01-23T00:00:00"/>
    <m/>
    <m/>
    <m/>
    <m/>
    <s v="Pass"/>
    <d v="2562-01-25T00:00:00"/>
    <s v="Pass"/>
    <d v="2562-01-25T00:00:00"/>
    <m/>
    <m/>
    <x v="24"/>
    <n v="-3"/>
  </r>
  <r>
    <s v="มกราคม"/>
    <d v="2562-01-21T00:00:00"/>
    <x v="1"/>
    <n v="620057"/>
    <x v="15"/>
    <n v="62012112"/>
    <s v="27/210162"/>
    <x v="28"/>
    <s v="120-123"/>
    <x v="74"/>
    <s v="น้ำหนักต่ำกว่ามาตรฐาน"/>
    <n v="0.71999999999999886"/>
    <s v="1500/183.7"/>
    <s v="เมตร/ก.ก."/>
    <d v="2562-01-21T00:00:00"/>
    <d v="2562-01-28T00:00:00"/>
    <d v="2562-01-23T00:00:00"/>
    <s v="Pass"/>
    <d v="2562-01-23T00:00:00"/>
    <m/>
    <m/>
    <m/>
    <m/>
    <s v="Pass"/>
    <d v="2562-01-25T00:00:00"/>
    <s v="Pass"/>
    <d v="2562-01-25T00:00:00"/>
    <m/>
    <m/>
    <x v="24"/>
    <n v="-3"/>
  </r>
  <r>
    <s v="มกราคม"/>
    <d v="2562-01-22T00:00:00"/>
    <x v="0"/>
    <n v="620058"/>
    <x v="2"/>
    <s v="TL620130"/>
    <n v="620130"/>
    <x v="0"/>
    <s v="Std. ไม่เกิน 30 D"/>
    <x v="75"/>
    <s v="Std.เกินกว่ามาตรฐาน"/>
    <n v="26"/>
    <s v="1/247.1"/>
    <s v="กรง/ก.ก."/>
    <d v="2562-01-22T00:00:00"/>
    <d v="2562-01-29T00:00:00"/>
    <d v="2562-01-24T00:00:00"/>
    <s v="Pass"/>
    <d v="2562-01-24T00:00:00"/>
    <m/>
    <m/>
    <m/>
    <m/>
    <s v="Pass"/>
    <d v="2562-01-25T00:00:00"/>
    <s v="Pass"/>
    <d v="2562-01-25T00:00:00"/>
    <m/>
    <m/>
    <x v="29"/>
    <n v="-4"/>
  </r>
  <r>
    <s v="มกราคม"/>
    <d v="2562-01-22T00:00:00"/>
    <x v="1"/>
    <n v="620059"/>
    <x v="21"/>
    <n v="62012242"/>
    <s v="83/220162"/>
    <x v="29"/>
    <s v="49-54"/>
    <x v="76"/>
    <s v="น้ำหนักสูงกว่ามาตรฐาน"/>
    <n v="2.6700000000000017"/>
    <s v="2500/170.9"/>
    <s v="เมตร/ก.ก."/>
    <d v="2562-01-22T00:00:00"/>
    <d v="2562-01-29T00:00:00"/>
    <d v="2562-01-24T00:00:00"/>
    <s v="Pass"/>
    <d v="2562-01-23T00:00:00"/>
    <m/>
    <m/>
    <m/>
    <m/>
    <s v="Pass"/>
    <d v="2562-01-25T00:00:00"/>
    <s v="Pass"/>
    <d v="2562-01-25T00:00:00"/>
    <m/>
    <m/>
    <x v="30"/>
    <n v="-4"/>
  </r>
  <r>
    <s v="มกราคม"/>
    <d v="2562-01-22T00:00:00"/>
    <x v="1"/>
    <n v="620060"/>
    <x v="3"/>
    <n v="62012228"/>
    <s v="66/220162"/>
    <x v="30"/>
    <s v="65-70"/>
    <x v="77"/>
    <s v="น้ำหนักสูงกว่ามาตรฐาน"/>
    <n v="1.44"/>
    <s v="2524/175.2"/>
    <s v="เมตร/ก.ก."/>
    <d v="2562-01-22T00:00:00"/>
    <d v="2562-01-29T00:00:00"/>
    <d v="2562-01-24T00:00:00"/>
    <s v="Pass"/>
    <d v="2562-01-24T00:00:00"/>
    <m/>
    <m/>
    <m/>
    <m/>
    <s v="Pass"/>
    <d v="2562-01-25T00:00:00"/>
    <s v="Pass"/>
    <d v="2562-01-25T00:00:00"/>
    <m/>
    <m/>
    <x v="4"/>
    <n v="-4"/>
  </r>
  <r>
    <s v="มกราคม"/>
    <d v="2562-01-22T00:00:00"/>
    <x v="1"/>
    <n v="620061"/>
    <x v="14"/>
    <n v="62012262"/>
    <s v="25/220162"/>
    <x v="14"/>
    <s v="125-128"/>
    <x v="78"/>
    <s v="น้ำหนักต่ำกว่ามาตรฐาน"/>
    <n v="1.1500000000000057"/>
    <s v="1500/189.6"/>
    <s v="เมตร/ก.ก."/>
    <d v="2562-01-22T00:00:00"/>
    <d v="2562-01-29T00:00:00"/>
    <d v="2562-01-24T00:00:00"/>
    <s v="Pass"/>
    <d v="2562-01-23T00:00:00"/>
    <m/>
    <m/>
    <m/>
    <m/>
    <s v="Pass"/>
    <d v="2562-01-25T00:00:00"/>
    <s v="Pass"/>
    <d v="2562-01-25T00:00:00"/>
    <m/>
    <m/>
    <x v="16"/>
    <n v="-4"/>
  </r>
  <r>
    <s v="มกราคม"/>
    <d v="2562-01-23T00:00:00"/>
    <x v="2"/>
    <n v="620062"/>
    <x v="22"/>
    <s v="FWBWT203780P"/>
    <s v="PD462012201"/>
    <x v="12"/>
    <s v="งานพิมพ์ถูกต้องตรงตามอาร์ต"/>
    <x v="25"/>
    <s v="งานพิมพ์ไม่สมบูรณ์ "/>
    <s v="ไม่ผ่าน"/>
    <n v="275"/>
    <s v="ใบ"/>
    <d v="2562-01-23T00:00:00"/>
    <d v="2562-01-30T00:00:00"/>
    <d v="2562-01-25T00:00:00"/>
    <m/>
    <m/>
    <m/>
    <m/>
    <m/>
    <m/>
    <m/>
    <m/>
    <m/>
    <m/>
    <m/>
    <m/>
    <x v="3"/>
    <n v="-241822"/>
  </r>
  <r>
    <s v="มกราคม"/>
    <d v="2562-01-23T00:00:00"/>
    <x v="0"/>
    <n v="620063"/>
    <x v="1"/>
    <s v="TL620131"/>
    <n v="620131"/>
    <x v="0"/>
    <s v="Avg of D +10,-20 D"/>
    <x v="79"/>
    <s v="Avg ต่ำกว่ามาตรฐาน"/>
    <n v="14"/>
    <s v="1/208.3"/>
    <s v="กรง/ก.ก."/>
    <d v="2562-01-23T00:00:00"/>
    <d v="2562-01-30T00:00:00"/>
    <d v="2562-01-25T00:00:00"/>
    <s v="Pass"/>
    <d v="2562-01-26T00:00:00"/>
    <m/>
    <m/>
    <m/>
    <m/>
    <s v="Pass"/>
    <d v="2562-01-28T00:00:00"/>
    <s v="Pass"/>
    <d v="2562-01-28T00:00:00"/>
    <m/>
    <m/>
    <x v="31"/>
    <n v="-2"/>
  </r>
  <r>
    <s v="มกราคม"/>
    <d v="2562-01-23T00:00:00"/>
    <x v="0"/>
    <n v="620063"/>
    <x v="1"/>
    <s v="TL620131"/>
    <n v="620131"/>
    <x v="0"/>
    <s v="Std. ไม่เกิน 30 D"/>
    <x v="33"/>
    <s v="Std.เกินกว่ามาตรฐาน"/>
    <n v="10"/>
    <m/>
    <m/>
    <d v="2562-01-23T00:00:00"/>
    <d v="2562-01-30T00:00:00"/>
    <d v="2562-01-25T00:00:00"/>
    <s v="Pass"/>
    <d v="2562-01-26T00:00:00"/>
    <m/>
    <m/>
    <m/>
    <m/>
    <s v="Pass"/>
    <d v="2562-01-28T00:00:00"/>
    <s v="Pass"/>
    <d v="2562-01-28T00:00:00"/>
    <m/>
    <m/>
    <x v="31"/>
    <n v="-2"/>
  </r>
  <r>
    <s v="มกราคม"/>
    <d v="2562-01-23T00:00:00"/>
    <x v="1"/>
    <n v="620064"/>
    <x v="23"/>
    <n v="62012327"/>
    <s v="01/230162"/>
    <x v="31"/>
    <s v="ด้ายยืนเหลือง"/>
    <x v="80"/>
    <s v="ไม่ผ่านต้องมีแต่ด้ายเหลือง"/>
    <s v="ไม่ผ่าน"/>
    <s v="1500/150.9"/>
    <s v="เมตร/ก.ก."/>
    <d v="2562-01-23T00:00:00"/>
    <d v="2562-01-30T00:00:00"/>
    <d v="2562-01-25T00:00:00"/>
    <s v="Pass"/>
    <d v="2562-01-24T00:00:00"/>
    <m/>
    <m/>
    <m/>
    <m/>
    <s v="Pass"/>
    <d v="2562-01-24T00:00:00"/>
    <s v="Pass"/>
    <d v="2562-01-24T00:00:00"/>
    <m/>
    <m/>
    <x v="32"/>
    <n v="-6"/>
  </r>
  <r>
    <s v="มกราคม"/>
    <d v="2562-01-23T00:00:00"/>
    <x v="1"/>
    <n v="620065"/>
    <x v="14"/>
    <n v="62012336"/>
    <s v="27/230162"/>
    <x v="28"/>
    <s v="125-128"/>
    <x v="81"/>
    <s v="น้ำหนักต่ำกว่ามาตรฐาน"/>
    <n v="3.5900000000000034"/>
    <s v="1500/187.5"/>
    <s v="เมตร/ก.ก."/>
    <d v="2562-01-23T00:00:00"/>
    <d v="2562-01-30T00:00:00"/>
    <d v="2562-01-25T00:00:00"/>
    <s v="Pass"/>
    <d v="2562-01-29T00:00:00"/>
    <m/>
    <m/>
    <m/>
    <m/>
    <s v="Pass"/>
    <d v="2562-01-29T00:00:00"/>
    <s v="Pass"/>
    <d v="2562-01-29T00:00:00"/>
    <m/>
    <m/>
    <x v="25"/>
    <n v="-1"/>
  </r>
  <r>
    <s v="มกราคม"/>
    <d v="2562-01-23T00:00:00"/>
    <x v="1"/>
    <n v="620065"/>
    <x v="14"/>
    <n v="62012345"/>
    <s v="42/230162"/>
    <x v="32"/>
    <s v="125-128"/>
    <x v="82"/>
    <s v="น้ำหนักต่ำกว่ามาตรฐาน"/>
    <n v="1.5799999999999983"/>
    <s v="1700/213.3"/>
    <s v="เมตร/ก.ก."/>
    <d v="2562-01-23T00:00:00"/>
    <d v="2562-01-30T00:00:00"/>
    <d v="2562-01-25T00:00:00"/>
    <s v="Pass"/>
    <d v="2562-01-29T00:00:00"/>
    <m/>
    <m/>
    <m/>
    <m/>
    <s v="Pass"/>
    <d v="2562-01-29T00:00:00"/>
    <s v="Pass"/>
    <d v="2562-01-29T00:00:00"/>
    <m/>
    <m/>
    <x v="33"/>
    <n v="-1"/>
  </r>
  <r>
    <s v="มกราคม"/>
    <d v="2562-01-24T00:00:00"/>
    <x v="3"/>
    <n v="620066"/>
    <x v="24"/>
    <s v="FWBWT203780P"/>
    <s v="PD46201205"/>
    <x v="33"/>
    <s v="งานพิมพ์สมบูรณื"/>
    <x v="83"/>
    <s v="งานพิมพ์ไม่สมบูรณ์ "/>
    <s v="ไม่ผ่าน"/>
    <n v="1185"/>
    <s v="ใบ"/>
    <d v="2562-01-24T00:00:00"/>
    <d v="2562-01-31T00:00:00"/>
    <d v="2562-01-26T00:00:00"/>
    <s v="Pass"/>
    <d v="2562-01-26T00:00:00"/>
    <m/>
    <m/>
    <m/>
    <m/>
    <s v="Pass"/>
    <d v="2562-01-28T00:00:00"/>
    <s v="Pass"/>
    <d v="2562-01-28T00:00:00"/>
    <m/>
    <m/>
    <x v="34"/>
    <n v="-3"/>
  </r>
  <r>
    <s v="มกราคม"/>
    <d v="2562-01-24T00:00:00"/>
    <x v="0"/>
    <n v="620067"/>
    <x v="13"/>
    <s v="TL620132"/>
    <n v="620132"/>
    <x v="0"/>
    <s v="Avg of D +10,-20 D"/>
    <x v="84"/>
    <s v="Avg ต่ำกว่ามาตรฐาน"/>
    <n v="3"/>
    <s v="1/220.5"/>
    <s v="กรง/ก.ก."/>
    <d v="2562-01-24T00:00:00"/>
    <d v="2562-01-31T00:00:00"/>
    <d v="2562-01-26T00:00:00"/>
    <s v="Pass"/>
    <d v="2562-01-25T00:00:00"/>
    <m/>
    <m/>
    <m/>
    <m/>
    <s v="Pass"/>
    <d v="2562-01-29T00:00:00"/>
    <s v="Pass"/>
    <d v="2562-01-29T00:00:00"/>
    <m/>
    <m/>
    <x v="15"/>
    <n v="-2"/>
  </r>
  <r>
    <s v="มกราคม"/>
    <d v="2562-01-24T00:00:00"/>
    <x v="4"/>
    <n v="620068"/>
    <x v="25"/>
    <s v="FWBWT2643155"/>
    <s v="PD462011923"/>
    <x v="24"/>
    <s v="งานพิมพ์สมบูรณื"/>
    <x v="85"/>
    <s v="งานตีกลับจากลูกค้า สีไม่ได้ตามเฉด"/>
    <s v="ไม่ผ่าน"/>
    <n v="5040"/>
    <s v="ใบ"/>
    <d v="2562-01-24T00:00:00"/>
    <d v="2562-01-31T00:00:00"/>
    <d v="2562-01-26T00:00:00"/>
    <s v="Pass"/>
    <d v="2562-01-26T00:00:00"/>
    <m/>
    <m/>
    <m/>
    <m/>
    <s v="Pass"/>
    <d v="2562-01-28T00:00:00"/>
    <s v="Pass"/>
    <d v="2562-01-28T00:00:00"/>
    <m/>
    <m/>
    <x v="35"/>
    <n v="-3"/>
  </r>
  <r>
    <s v="มกราคม"/>
    <d v="2562-01-24T00:00:00"/>
    <x v="5"/>
    <n v="620069"/>
    <x v="26"/>
    <n v="62011958"/>
    <n v="620149"/>
    <x v="34"/>
    <s v="ฟิล์มลงสม่ำเสมอ"/>
    <x v="86"/>
    <s v="ผ้าไม่มีฟิล์มริมด้านข้าง"/>
    <s v="ไม่ผ่าน"/>
    <s v=" 25/5"/>
    <s v="เมตร/ก.ก."/>
    <d v="2562-01-24T00:00:00"/>
    <d v="2562-01-31T00:00:00"/>
    <d v="2562-01-26T00:00:00"/>
    <s v="Pass"/>
    <d v="2562-01-25T00:00:00"/>
    <m/>
    <m/>
    <m/>
    <m/>
    <s v="Pass"/>
    <d v="2562-01-31T00:00:00"/>
    <s v="Pass"/>
    <d v="2562-01-31T00:00:00"/>
    <m/>
    <m/>
    <x v="36"/>
    <n v="0"/>
  </r>
  <r>
    <s v="มกราคม"/>
    <d v="2562-01-24T00:00:00"/>
    <x v="1"/>
    <n v="620070"/>
    <x v="27"/>
    <n v="62012414"/>
    <s v="19/240162"/>
    <x v="13"/>
    <s v="115-120"/>
    <x v="87"/>
    <s v="น้ำหนักต่ำกว่ามาตรฐาน"/>
    <n v="1.3799999999999955"/>
    <s v="1500/174.4"/>
    <s v="เมตร/ก.ก."/>
    <d v="2562-01-24T00:00:00"/>
    <d v="2562-01-31T00:00:00"/>
    <d v="2562-01-26T00:00:00"/>
    <s v="Pass"/>
    <d v="2562-01-29T00:00:00"/>
    <m/>
    <m/>
    <m/>
    <m/>
    <s v="Pass"/>
    <d v="2562-01-29T00:00:00"/>
    <s v="Pass"/>
    <d v="2562-01-29T00:00:00"/>
    <m/>
    <m/>
    <x v="37"/>
    <n v="-2"/>
  </r>
  <r>
    <s v="มกราคม"/>
    <d v="2562-01-24T00:00:00"/>
    <x v="1"/>
    <n v="620071"/>
    <x v="14"/>
    <n v="62012421"/>
    <s v="63/240162"/>
    <x v="16"/>
    <s v="125-128"/>
    <x v="62"/>
    <s v="น้ำหนักต่ำกว่ามาตรฐาน"/>
    <n v="0.62999999999999545"/>
    <s v="1500/190"/>
    <s v="เมตร/ก.ก."/>
    <d v="2562-01-24T00:00:00"/>
    <d v="2562-01-31T00:00:00"/>
    <d v="2562-01-26T00:00:00"/>
    <s v="Pass"/>
    <d v="2562-01-29T00:00:00"/>
    <m/>
    <m/>
    <m/>
    <m/>
    <s v="Pass"/>
    <d v="2562-01-29T00:00:00"/>
    <s v="Pass"/>
    <d v="2562-01-29T00:00:00"/>
    <m/>
    <m/>
    <x v="16"/>
    <n v="-2"/>
  </r>
  <r>
    <s v="มกราคม"/>
    <d v="2562-01-24T00:00:00"/>
    <x v="0"/>
    <n v="620072"/>
    <x v="11"/>
    <s v="TL620133"/>
    <n v="620133"/>
    <x v="1"/>
    <s v="Std. ไม่เกิน 30 D"/>
    <x v="88"/>
    <s v="Std.เกินกว่ามาตรฐาน"/>
    <n v="28"/>
    <s v="1/219.2"/>
    <s v="กรง/ก.ก."/>
    <d v="2562-01-24T00:00:00"/>
    <d v="2562-01-31T00:00:00"/>
    <d v="2562-01-26T00:00:00"/>
    <s v="Pass"/>
    <d v="2562-01-26T00:00:00"/>
    <m/>
    <m/>
    <m/>
    <m/>
    <s v="Pass"/>
    <d v="2562-01-26T00:00:00"/>
    <s v="Pass"/>
    <d v="2562-01-26T00:00:00"/>
    <m/>
    <m/>
    <x v="38"/>
    <n v="-5"/>
  </r>
  <r>
    <s v="มกราคม"/>
    <d v="2562-01-25T00:00:00"/>
    <x v="1"/>
    <n v="620073"/>
    <x v="8"/>
    <n v="62012595"/>
    <s v="35/250162"/>
    <x v="9"/>
    <s v="119-121"/>
    <x v="89"/>
    <s v="น้ำหนักสูงกว่ามาตรฐาน"/>
    <n v="1.8799999999999955"/>
    <s v="1144/126.9"/>
    <s v="เมตร/ก.ก."/>
    <d v="2562-01-25T00:00:00"/>
    <d v="2562-02-01T00:00:00"/>
    <d v="2562-01-27T00:00:00"/>
    <s v="Pass"/>
    <d v="2562-02-01T00:00:00"/>
    <m/>
    <m/>
    <m/>
    <m/>
    <m/>
    <m/>
    <s v="Pass"/>
    <d v="2562-02-06T00:00:00"/>
    <s v="WSWT2825850"/>
    <m/>
    <x v="39"/>
    <n v="5"/>
  </r>
  <r>
    <s v="มกราคม"/>
    <d v="2562-01-25T00:00:00"/>
    <x v="1"/>
    <n v="620074"/>
    <x v="14"/>
    <n v="62012537"/>
    <s v="42/250162"/>
    <x v="32"/>
    <s v="125-128"/>
    <x v="90"/>
    <s v="น้ำหนักต่ำกว่ามาตรฐาน"/>
    <n v="2.9099999999999966"/>
    <s v="1450/180.9"/>
    <s v="เมตร/ก.ก."/>
    <d v="2562-01-25T00:00:00"/>
    <d v="2562-02-01T00:00:00"/>
    <d v="2562-01-27T00:00:00"/>
    <s v="Pass"/>
    <d v="2562-02-13T00:00:00"/>
    <m/>
    <m/>
    <m/>
    <m/>
    <s v="Pass"/>
    <d v="2562-02-13T00:00:00"/>
    <s v="Pass"/>
    <d v="2562-02-21T00:00:00"/>
    <m/>
    <m/>
    <x v="40"/>
    <n v="20"/>
  </r>
  <r>
    <s v="มกราคม"/>
    <d v="2562-01-25T00:00:00"/>
    <x v="1"/>
    <n v="620075"/>
    <x v="27"/>
    <n v="62012527"/>
    <s v="02/250162"/>
    <x v="35"/>
    <s v="115-120"/>
    <x v="91"/>
    <s v="น้ำหนักต่ำกว่ามาตรฐาน"/>
    <n v="1.0999999999999943"/>
    <s v="1500/174.9"/>
    <s v="เมตร/ก.ก."/>
    <d v="2562-01-25T00:00:00"/>
    <d v="2562-02-01T00:00:00"/>
    <d v="2562-01-27T00:00:00"/>
    <s v="Pass"/>
    <d v="2562-01-31T00:00:00"/>
    <m/>
    <m/>
    <m/>
    <m/>
    <s v="Pass"/>
    <d v="2562-02-13T00:00:00"/>
    <s v="Pass"/>
    <d v="2562-02-21T00:00:00"/>
    <m/>
    <m/>
    <x v="37"/>
    <n v="20"/>
  </r>
  <r>
    <s v="มกราคม"/>
    <d v="2562-01-25T00:00:00"/>
    <x v="1"/>
    <n v="620075"/>
    <x v="27"/>
    <n v="62012591"/>
    <s v="30/250162"/>
    <x v="8"/>
    <s v="115-120"/>
    <x v="92"/>
    <s v="น้ำหนักต่ำกว่ามาตรฐาน"/>
    <n v="2.0600000000000023"/>
    <s v="1500/172"/>
    <s v="เมตร/ก.ก."/>
    <d v="2562-01-25T00:00:00"/>
    <d v="2562-02-01T00:00:00"/>
    <d v="2562-01-27T00:00:00"/>
    <s v="Pass"/>
    <d v="2562-01-31T00:00:00"/>
    <m/>
    <m/>
    <m/>
    <m/>
    <s v="Pass"/>
    <d v="2562-02-13T00:00:00"/>
    <s v="Pass"/>
    <d v="2562-02-21T00:00:00"/>
    <m/>
    <m/>
    <x v="37"/>
    <n v="20"/>
  </r>
  <r>
    <s v="มกราคม"/>
    <d v="2562-01-28T00:00:00"/>
    <x v="2"/>
    <n v="620076"/>
    <x v="28"/>
    <s v="FWBWT233468P"/>
    <s v="PD462012804"/>
    <x v="1"/>
    <s v="งานพิมพ์สมบูรณื"/>
    <x v="25"/>
    <s v="งานพิมพ์ไม่สมบูรณ์ ตัวหนังสือขาดหาย"/>
    <s v="ไม่ผ่าน"/>
    <n v="900"/>
    <s v="ใบ"/>
    <d v="2562-01-28T00:00:00"/>
    <d v="2562-02-04T00:00:00"/>
    <d v="2562-01-30T00:00:00"/>
    <m/>
    <m/>
    <m/>
    <m/>
    <m/>
    <m/>
    <m/>
    <m/>
    <m/>
    <m/>
    <m/>
    <m/>
    <x v="3"/>
    <n v="-241827"/>
  </r>
  <r>
    <s v="มกราคม"/>
    <d v="2562-01-28T00:00:00"/>
    <x v="0"/>
    <n v="620077"/>
    <x v="0"/>
    <s v="TL620135"/>
    <n v="620135"/>
    <x v="1"/>
    <s v="Avg of D +10,-20 D"/>
    <x v="93"/>
    <s v="Avg ต่ำกว่ามาตรฐาน"/>
    <n v="20"/>
    <s v="1/234.9"/>
    <s v="กรง/ก.ก."/>
    <d v="2562-01-28T00:00:00"/>
    <d v="2562-02-04T00:00:00"/>
    <d v="2562-01-30T00:00:00"/>
    <s v="Pass"/>
    <d v="2562-01-30T00:00:00"/>
    <m/>
    <m/>
    <m/>
    <m/>
    <s v="Pass"/>
    <d v="2562-01-31T00:00:00"/>
    <s v="Pass"/>
    <d v="2562-01-31T00:00:00"/>
    <m/>
    <m/>
    <x v="0"/>
    <n v="-4"/>
  </r>
  <r>
    <s v="มกราคม"/>
    <d v="2562-01-28T00:00:00"/>
    <x v="0"/>
    <n v="620077"/>
    <x v="0"/>
    <s v="TL620135"/>
    <n v="620135"/>
    <x v="1"/>
    <s v="Std. ไม่เกิน 30 D"/>
    <x v="94"/>
    <s v="Std.เกินกว่ามาตรฐาน"/>
    <n v="6"/>
    <m/>
    <m/>
    <d v="2562-01-28T00:00:00"/>
    <d v="2562-02-04T00:00:00"/>
    <d v="2562-01-30T00:00:00"/>
    <s v="Pass"/>
    <d v="2562-01-30T00:00:00"/>
    <m/>
    <m/>
    <m/>
    <m/>
    <s v="Pass"/>
    <d v="2562-01-31T00:00:00"/>
    <s v="Pass"/>
    <d v="2562-01-31T00:00:00"/>
    <m/>
    <m/>
    <x v="0"/>
    <n v="-4"/>
  </r>
  <r>
    <s v="มกราคม"/>
    <d v="2562-01-28T00:00:00"/>
    <x v="1"/>
    <n v="620078"/>
    <x v="8"/>
    <n v="62012857"/>
    <s v="35/280162"/>
    <x v="9"/>
    <s v="119-121"/>
    <x v="95"/>
    <s v="น้ำหนักสูงกว่ามาตรฐาน"/>
    <n v="1.480000000000004"/>
    <s v="1500/167.7"/>
    <s v="เมตร/ก.ก."/>
    <d v="2562-01-28T00:00:00"/>
    <d v="2562-02-04T00:00:00"/>
    <d v="2562-01-30T00:00:00"/>
    <s v="Pass"/>
    <d v="2562-02-01T00:00:00"/>
    <m/>
    <m/>
    <m/>
    <m/>
    <s v="Pass"/>
    <d v="2562-02-15T00:00:00"/>
    <s v="Pass"/>
    <d v="2562-02-06T00:00:00"/>
    <s v="WSWT2825850"/>
    <m/>
    <x v="39"/>
    <n v="2"/>
  </r>
  <r>
    <s v="มกราคม"/>
    <d v="2562-01-28T00:00:00"/>
    <x v="1"/>
    <n v="620078"/>
    <x v="8"/>
    <n v="62022855"/>
    <s v="36/280162"/>
    <x v="36"/>
    <s v="119-121"/>
    <x v="96"/>
    <s v="น้ำหนักสูงกว่ามาตรฐาน"/>
    <n v="1.0600000000000023"/>
    <s v="1455/164.4"/>
    <s v="เมตร/ก.ก."/>
    <d v="2562-01-28T00:00:00"/>
    <d v="2562-02-04T00:00:00"/>
    <d v="2562-01-30T00:00:00"/>
    <s v="Pass"/>
    <d v="2562-02-01T00:00:00"/>
    <m/>
    <m/>
    <m/>
    <m/>
    <s v="Pass"/>
    <d v="2562-02-15T00:00:00"/>
    <s v="Pass"/>
    <d v="2562-02-06T00:00:00"/>
    <s v="WSWT2825850"/>
    <m/>
    <x v="39"/>
    <n v="2"/>
  </r>
  <r>
    <s v="มกราคม"/>
    <d v="2562-01-28T00:00:00"/>
    <x v="0"/>
    <n v="620079"/>
    <x v="2"/>
    <s v="TL620136"/>
    <n v="620136"/>
    <x v="1"/>
    <s v="Avg of D +10,-20 D"/>
    <x v="97"/>
    <s v="Avg สูงกว่ามาตรฐาน"/>
    <n v="4"/>
    <s v="1/227.2"/>
    <s v="กรง/ก.ก."/>
    <d v="2562-01-28T00:00:00"/>
    <d v="2562-02-04T00:00:00"/>
    <d v="2562-01-30T00:00:00"/>
    <s v="Pass"/>
    <d v="2562-01-30T00:00:00"/>
    <m/>
    <m/>
    <m/>
    <m/>
    <s v="Pass"/>
    <d v="2562-01-31T00:00:00"/>
    <s v="Pass"/>
    <d v="2562-01-31T00:00:00"/>
    <m/>
    <m/>
    <x v="12"/>
    <n v="-4"/>
  </r>
  <r>
    <s v="มกราคม"/>
    <d v="2562-01-29T00:00:00"/>
    <x v="0"/>
    <n v="620080"/>
    <x v="2"/>
    <s v="TL620136"/>
    <n v="620136"/>
    <x v="1"/>
    <s v="Avg of D +10,-20 D"/>
    <x v="98"/>
    <s v="Avg สูงกว่ามาตรฐาน"/>
    <n v="10"/>
    <s v="1/553.6"/>
    <s v="กรง/ก.ก."/>
    <d v="2562-01-29T00:00:00"/>
    <d v="2562-02-05T00:00:00"/>
    <d v="2562-01-31T00:00:00"/>
    <s v="Pass"/>
    <d v="2562-01-30T00:00:00"/>
    <m/>
    <m/>
    <m/>
    <m/>
    <s v="Pass"/>
    <d v="2562-01-31T00:00:00"/>
    <s v="Pass"/>
    <d v="2562-01-31T00:00:00"/>
    <m/>
    <m/>
    <x v="12"/>
    <n v="-5"/>
  </r>
  <r>
    <s v="มกราคม"/>
    <d v="2562-01-29T00:00:00"/>
    <x v="0"/>
    <n v="620080"/>
    <x v="2"/>
    <s v="TL620136"/>
    <n v="620136"/>
    <x v="1"/>
    <s v="Std. ไม่เกิน 30 D"/>
    <x v="99"/>
    <s v="Std.เกินกว่ามาตรฐาน"/>
    <n v="2"/>
    <m/>
    <m/>
    <d v="2562-01-29T00:00:00"/>
    <d v="2562-02-05T00:00:00"/>
    <d v="2562-01-31T00:00:00"/>
    <s v="Pass"/>
    <d v="2562-01-30T00:00:00"/>
    <m/>
    <m/>
    <m/>
    <m/>
    <s v="Pass"/>
    <d v="2562-01-31T00:00:00"/>
    <s v="Pass"/>
    <d v="2562-01-31T00:00:00"/>
    <m/>
    <m/>
    <x v="12"/>
    <n v="-5"/>
  </r>
  <r>
    <s v="มกราคม"/>
    <d v="2562-01-29T00:00:00"/>
    <x v="2"/>
    <n v="620081"/>
    <x v="29"/>
    <s v="FWBWT2038100PM"/>
    <s v="PD462012815"/>
    <x v="33"/>
    <s v="งานพิมพ์สมบูรณ์"/>
    <x v="100"/>
    <s v="สีไม่ได้ตามเฉดตัวอย่าง"/>
    <s v="ไม่ผ่าน"/>
    <n v="1900"/>
    <s v="ใบ"/>
    <d v="2562-01-29T00:00:00"/>
    <d v="2562-02-05T00:00:00"/>
    <d v="2562-01-31T00:00:00"/>
    <m/>
    <m/>
    <m/>
    <m/>
    <m/>
    <m/>
    <m/>
    <m/>
    <m/>
    <m/>
    <m/>
    <m/>
    <x v="3"/>
    <n v="-241828"/>
  </r>
  <r>
    <s v="มกราคม"/>
    <d v="2562-01-29T00:00:00"/>
    <x v="1"/>
    <n v="620082"/>
    <x v="14"/>
    <n v="62012917"/>
    <s v="28/290162"/>
    <x v="15"/>
    <s v="125-128"/>
    <x v="101"/>
    <s v="น้ำหนักต่ำกว่ามาตรฐาน"/>
    <n v="1.3499999999999943"/>
    <s v="1365/173.4"/>
    <s v="เมตร/ก.ก."/>
    <d v="2562-01-29T00:00:00"/>
    <d v="2562-02-05T00:00:00"/>
    <d v="2562-01-31T00:00:00"/>
    <s v="Pass"/>
    <d v="2562-02-15T00:00:00"/>
    <m/>
    <m/>
    <m/>
    <m/>
    <s v="Pass"/>
    <d v="2562-02-15T00:00:00"/>
    <s v="Pass"/>
    <d v="2562-02-15T00:00:00"/>
    <m/>
    <m/>
    <x v="16"/>
    <n v="10"/>
  </r>
  <r>
    <s v="มกราคม"/>
    <d v="2562-01-29T00:00:00"/>
    <x v="1"/>
    <n v="620083"/>
    <x v="14"/>
    <n v="62012940"/>
    <s v="27/290162"/>
    <x v="28"/>
    <s v="125-128"/>
    <x v="102"/>
    <s v="น้ำหนักสูงกว่ามาตรฐาน"/>
    <n v="1.5300000000000011"/>
    <s v="1440/190.8"/>
    <s v="เมตร/ก.ก."/>
    <d v="2562-01-29T00:00:00"/>
    <d v="2562-02-05T00:00:00"/>
    <d v="2562-01-31T00:00:00"/>
    <s v="Pass"/>
    <d v="2562-01-31T00:00:00"/>
    <m/>
    <m/>
    <m/>
    <m/>
    <s v="Pass"/>
    <d v="2562-02-13T00:00:00"/>
    <s v="Pass"/>
    <d v="2562-02-21T00:00:00"/>
    <m/>
    <m/>
    <x v="16"/>
    <n v="16"/>
  </r>
  <r>
    <s v="มกราคม"/>
    <d v="2562-01-29T00:00:00"/>
    <x v="1"/>
    <n v="620084"/>
    <x v="6"/>
    <n v="62012935"/>
    <s v="23/290162"/>
    <x v="37"/>
    <s v="ผ้ามีแผลน้อย"/>
    <x v="103"/>
    <s v="เด็กใหม่ทอแผลผ้าน่าจะเยอะกว่าที่ระบุ"/>
    <s v="ไม่ผ่าน"/>
    <s v="1732/138.5"/>
    <s v="เมตร/ก.ก."/>
    <d v="2562-01-29T00:00:00"/>
    <d v="2562-02-05T00:00:00"/>
    <d v="2562-01-31T00:00:00"/>
    <s v="Pass"/>
    <d v="2562-01-31T00:00:00"/>
    <m/>
    <m/>
    <m/>
    <m/>
    <s v="Pass"/>
    <d v="2562-02-13T00:00:00"/>
    <s v="Pass"/>
    <d v="2562-02-21T00:00:00"/>
    <m/>
    <m/>
    <x v="41"/>
    <n v="16"/>
  </r>
  <r>
    <s v="มกราคม"/>
    <d v="2562-01-30T00:00:00"/>
    <x v="2"/>
    <n v="620085"/>
    <x v="22"/>
    <s v="FWBWT203780P"/>
    <s v="PD462012901"/>
    <x v="33"/>
    <s v="งานพิมพ์สมบูรณ์"/>
    <x v="104"/>
    <s v="งานพิมพ์เปื้อนสี"/>
    <s v="ไม่ผ่าน"/>
    <n v="850"/>
    <s v="ใบ"/>
    <d v="2562-01-30T00:00:00"/>
    <d v="2562-02-06T00:00:00"/>
    <d v="2562-02-01T00:00:00"/>
    <m/>
    <m/>
    <m/>
    <m/>
    <m/>
    <m/>
    <m/>
    <m/>
    <m/>
    <m/>
    <m/>
    <m/>
    <x v="3"/>
    <n v="-241829"/>
  </r>
  <r>
    <s v="มกราคม"/>
    <d v="2562-01-30T00:00:00"/>
    <x v="6"/>
    <n v="620086"/>
    <x v="22"/>
    <s v="FWBWT203780P"/>
    <s v="PD462013001"/>
    <x v="38"/>
    <s v="งานพิมพ์สมบูรณ์"/>
    <x v="83"/>
    <s v="งานพิมพ์เป็นรอยตะขาบ"/>
    <s v="ไม่ผ่าน"/>
    <n v="750"/>
    <s v="ใบ"/>
    <d v="2562-01-30T00:00:00"/>
    <d v="2562-02-06T00:00:00"/>
    <d v="2562-02-01T00:00:00"/>
    <m/>
    <m/>
    <m/>
    <m/>
    <m/>
    <m/>
    <m/>
    <m/>
    <m/>
    <m/>
    <m/>
    <m/>
    <x v="3"/>
    <n v="-241829"/>
  </r>
  <r>
    <s v="มกราคม"/>
    <d v="2562-01-30T00:00:00"/>
    <x v="1"/>
    <n v="620087"/>
    <x v="14"/>
    <n v="62013017"/>
    <s v="27/300162"/>
    <x v="28"/>
    <s v="125-128"/>
    <x v="105"/>
    <s v="น้ำหนักต่ำกว่ามาตรฐาน"/>
    <n v="1.0100000000000051"/>
    <s v="1500/190.1"/>
    <s v="เมตร/ก.ก."/>
    <d v="2562-01-30T00:00:00"/>
    <d v="2562-02-06T00:00:00"/>
    <d v="2562-02-01T00:00:00"/>
    <s v="Pass"/>
    <d v="2562-01-31T00:00:00"/>
    <m/>
    <m/>
    <m/>
    <m/>
    <s v="Pass"/>
    <d v="2562-02-13T00:00:00"/>
    <s v="Pass"/>
    <d v="2562-02-21T00:00:00"/>
    <m/>
    <m/>
    <x v="16"/>
    <n v="15"/>
  </r>
  <r>
    <s v="มกราคม"/>
    <d v="2562-01-30T00:00:00"/>
    <x v="1"/>
    <n v="620088"/>
    <x v="30"/>
    <n v="62013038"/>
    <s v="92/300162"/>
    <x v="39"/>
    <s v="75-80"/>
    <x v="106"/>
    <s v="โครงสร้างครบ"/>
    <s v="ไม่ผ่าน"/>
    <s v="2000/155.1"/>
    <s v="เมตร/ก.ก."/>
    <d v="2562-01-30T00:00:00"/>
    <d v="2562-02-06T00:00:00"/>
    <d v="2562-02-01T00:00:00"/>
    <s v="Pass"/>
    <d v="2562-01-31T00:00:00"/>
    <m/>
    <m/>
    <m/>
    <m/>
    <m/>
    <m/>
    <s v="Pass"/>
    <d v="2562-01-31T00:00:00"/>
    <m/>
    <m/>
    <x v="42"/>
    <n v="-6"/>
  </r>
  <r>
    <s v="มกราคม"/>
    <d v="2562-01-30T00:00:00"/>
    <x v="1"/>
    <n v="620088"/>
    <x v="30"/>
    <n v="62013050"/>
    <s v="87/300162"/>
    <x v="40"/>
    <s v="75-80"/>
    <x v="106"/>
    <s v="โครงสร้างครบ"/>
    <s v="ไม่ผ่าน"/>
    <s v="2000/155"/>
    <s v="เมตร/ก.ก."/>
    <d v="2562-01-30T00:00:00"/>
    <d v="2562-02-06T00:00:00"/>
    <d v="2562-02-01T00:00:00"/>
    <s v="Pass"/>
    <d v="2562-01-31T00:00:00"/>
    <m/>
    <m/>
    <m/>
    <m/>
    <m/>
    <m/>
    <s v="Pass"/>
    <d v="2562-01-31T00:00:00"/>
    <m/>
    <m/>
    <x v="42"/>
    <m/>
  </r>
  <r>
    <s v="มกราคม"/>
    <d v="2562-01-30T00:00:00"/>
    <x v="1"/>
    <n v="620088"/>
    <x v="30"/>
    <n v="62013056"/>
    <s v="85/300162"/>
    <x v="41"/>
    <s v="75-80"/>
    <x v="106"/>
    <s v="โครงสร้างครบ"/>
    <s v="ไม่ผ่าน"/>
    <s v="1779/137.6"/>
    <s v="เมตร/ก.ก."/>
    <d v="2562-01-30T00:00:00"/>
    <d v="2562-02-06T00:00:00"/>
    <d v="2562-02-01T00:00:00"/>
    <s v="Pass"/>
    <d v="2562-01-31T00:00:00"/>
    <m/>
    <m/>
    <m/>
    <m/>
    <m/>
    <m/>
    <s v="Pass"/>
    <d v="2562-01-31T00:00:00"/>
    <m/>
    <m/>
    <x v="42"/>
    <m/>
  </r>
  <r>
    <s v="มกราคม"/>
    <d v="2562-01-30T00:00:00"/>
    <x v="1"/>
    <n v="620089"/>
    <x v="6"/>
    <n v="62013026"/>
    <s v="54/300162"/>
    <x v="3"/>
    <s v="76-78"/>
    <x v="107"/>
    <s v="น้ำหนักต่ำกว่ามาตรฐาน"/>
    <n v="0.65000000000000568"/>
    <s v="2239/176.6"/>
    <s v="เมตร/ก.ก."/>
    <d v="2562-01-30T00:00:00"/>
    <d v="2562-02-06T00:00:00"/>
    <d v="2562-02-01T00:00:00"/>
    <s v="Pass"/>
    <d v="2562-01-31T00:00:00"/>
    <m/>
    <m/>
    <m/>
    <m/>
    <s v="Pass"/>
    <d v="2562-02-13T00:00:00"/>
    <s v="Pass"/>
    <d v="2562-02-21T00:00:00"/>
    <m/>
    <m/>
    <x v="21"/>
    <n v="15"/>
  </r>
  <r>
    <s v="มกราคม"/>
    <d v="2562-01-30T00:00:00"/>
    <x v="1"/>
    <n v="620090"/>
    <x v="31"/>
    <n v="62013054"/>
    <s v="03/300162"/>
    <x v="42"/>
    <s v="110-115"/>
    <x v="108"/>
    <s v="น้ำหนักต่ำกว่ามาตรฐาน"/>
    <n v="4.0400000000000063"/>
    <s v="580/55.1"/>
    <s v="เมตร/ก.ก."/>
    <d v="2562-01-30T00:00:00"/>
    <d v="2562-02-06T00:00:00"/>
    <d v="2562-02-01T00:00:00"/>
    <s v="Pass"/>
    <d v="2562-01-31T00:00:00"/>
    <m/>
    <m/>
    <m/>
    <m/>
    <s v="Pass"/>
    <d v="2562-02-13T00:00:00"/>
    <s v="Pass"/>
    <d v="2562-02-21T00:00:00"/>
    <m/>
    <m/>
    <x v="43"/>
    <n v="15"/>
  </r>
  <r>
    <s v="มกราคม"/>
    <d v="2562-01-31T00:00:00"/>
    <x v="1"/>
    <n v="620091"/>
    <x v="30"/>
    <n v="62013159"/>
    <s v="26/310162"/>
    <x v="43"/>
    <s v="75-80"/>
    <x v="109"/>
    <s v="โครงสร้างครบ"/>
    <s v="ไม่ผ่าน"/>
    <s v="2000/156.5"/>
    <s v="เมตร/ก.ก."/>
    <d v="2562-01-31T00:00:00"/>
    <d v="2562-02-07T00:00:00"/>
    <d v="2562-02-02T00:00:00"/>
    <s v="Pass"/>
    <d v="2562-02-13T00:00:00"/>
    <m/>
    <m/>
    <m/>
    <m/>
    <s v="Pass"/>
    <d v="2562-02-13T00:00:00"/>
    <s v="Pass"/>
    <d v="2562-02-13T00:00:00"/>
    <m/>
    <m/>
    <x v="44"/>
    <n v="6"/>
  </r>
  <r>
    <s v="มกราคม"/>
    <d v="2562-01-31T00:00:00"/>
    <x v="1"/>
    <n v="620092"/>
    <x v="8"/>
    <n v="62013168"/>
    <s v="36/310162"/>
    <x v="36"/>
    <s v="119-121"/>
    <x v="110"/>
    <s v="น้ำหนักสูงกว่ามาตรฐาน"/>
    <n v="1.2600000000000051"/>
    <s v="1500/165.6"/>
    <s v="เมตร/ก.ก."/>
    <d v="2562-01-31T00:00:00"/>
    <d v="2562-02-07T00:00:00"/>
    <d v="2562-02-02T00:00:00"/>
    <s v="Pass"/>
    <d v="2562-02-02T00:00:00"/>
    <m/>
    <m/>
    <m/>
    <m/>
    <s v="Pass"/>
    <d v="2562-02-13T00:00:00"/>
    <s v="Pass"/>
    <d v="2562-02-06T00:00:00"/>
    <s v="WSWT2825850"/>
    <m/>
    <x v="39"/>
    <n v="-1"/>
  </r>
  <r>
    <s v="มกราคม"/>
    <d v="2562-01-31T00:00:00"/>
    <x v="1"/>
    <n v="620093"/>
    <x v="14"/>
    <n v="620131101"/>
    <s v="28/310162"/>
    <x v="15"/>
    <s v="125-128"/>
    <x v="111"/>
    <s v="น้ำหนักต่ำกว่ามาตรฐาน"/>
    <n v="2.3199999999999932"/>
    <s v="1293/163.4"/>
    <s v="เมตร/ก.ก."/>
    <d v="2562-01-31T00:00:00"/>
    <d v="2562-02-07T00:00:00"/>
    <d v="2562-02-02T00:00:00"/>
    <s v="Pass"/>
    <d v="2562-02-13T00:00:00"/>
    <m/>
    <m/>
    <m/>
    <m/>
    <s v="Pass"/>
    <d v="2562-02-13T00:00:00"/>
    <s v="Pass"/>
    <d v="2562-02-21T00:00:00"/>
    <m/>
    <m/>
    <x v="40"/>
    <n v="14"/>
  </r>
  <r>
    <s v="มกราคม"/>
    <d v="2562-01-31T00:00:00"/>
    <x v="1"/>
    <n v="620094"/>
    <x v="27"/>
    <n v="620131143"/>
    <s v="63/310162"/>
    <x v="16"/>
    <s v="115-120"/>
    <x v="89"/>
    <s v="น้ำหนักสูงกว่ามาตรฐาน"/>
    <n v="2.8799999999999955"/>
    <s v="1500/188.4"/>
    <s v="เมตร/ก.ก."/>
    <d v="2562-01-31T00:00:00"/>
    <d v="2562-02-07T00:00:00"/>
    <d v="2562-02-02T00:00:00"/>
    <s v="Pass"/>
    <d v="2562-02-04T00:00:00"/>
    <m/>
    <m/>
    <m/>
    <m/>
    <s v="Pass"/>
    <d v="2562-02-13T00:00:00"/>
    <s v="Pass"/>
    <d v="2562-02-21T00:00:00"/>
    <m/>
    <m/>
    <x v="37"/>
    <n v="14"/>
  </r>
  <r>
    <s v="มกราคม"/>
    <d v="2562-01-31T00:00:00"/>
    <x v="1"/>
    <n v="620094"/>
    <x v="27"/>
    <n v="620131144"/>
    <s v="63/310162"/>
    <x v="16"/>
    <s v="115-120"/>
    <x v="112"/>
    <s v="น้ำหนักสูงกว่ามาตรฐาน"/>
    <n v="1.980000000000004"/>
    <s v="1130/140.8"/>
    <s v="เมตร/ก.ก."/>
    <d v="2562-01-31T00:00:00"/>
    <d v="2562-02-07T00:00:00"/>
    <d v="2562-02-02T00:00:00"/>
    <s v="Pass"/>
    <d v="2562-02-04T00:00:00"/>
    <m/>
    <m/>
    <m/>
    <m/>
    <s v="Pass"/>
    <d v="2562-02-13T00:00:00"/>
    <s v="Pass"/>
    <d v="2562-02-21T00:00:00"/>
    <m/>
    <m/>
    <x v="37"/>
    <m/>
  </r>
  <r>
    <s v="มกราคม"/>
    <d v="2562-01-31T00:00:00"/>
    <x v="1"/>
    <n v="620094"/>
    <x v="27"/>
    <n v="620131150"/>
    <s v="02/310162"/>
    <x v="35"/>
    <s v="115-120"/>
    <x v="113"/>
    <s v="น้ำหนักสูงกว่ามาตรฐาน"/>
    <n v="2.3400000000000034"/>
    <s v="1176/142.8"/>
    <s v="เมตร/ก.ก."/>
    <d v="2562-01-31T00:00:00"/>
    <d v="2562-02-07T00:00:00"/>
    <d v="2562-02-02T00:00:00"/>
    <s v="Pass"/>
    <d v="2562-02-04T00:00:00"/>
    <m/>
    <m/>
    <m/>
    <m/>
    <s v="Pass"/>
    <d v="2562-02-13T00:00:00"/>
    <s v="Pass"/>
    <d v="2562-02-21T00:00:00"/>
    <m/>
    <m/>
    <x v="37"/>
    <m/>
  </r>
  <r>
    <s v="กุมภาพันธ์"/>
    <d v="2562-02-02T00:00:00"/>
    <x v="0"/>
    <n v="620095"/>
    <x v="32"/>
    <s v="TL620202"/>
    <n v="620202"/>
    <x v="1"/>
    <s v="Avg of D +10,-20 D"/>
    <x v="114"/>
    <s v="Avg ต่ำกว่ามาตรฐาน"/>
    <n v="14"/>
    <s v="1/217.4"/>
    <s v="กรง/ก.ก."/>
    <d v="2562-02-02T00:00:00"/>
    <d v="2562-02-09T00:00:00"/>
    <d v="2562-02-04T00:00:00"/>
    <s v="Pass"/>
    <d v="2562-02-06T00:00:00"/>
    <m/>
    <m/>
    <m/>
    <m/>
    <s v="wait"/>
    <d v="2562-02-12T00:00:00"/>
    <s v="Pass"/>
    <d v="2562-02-13T00:00:00"/>
    <m/>
    <m/>
    <x v="45"/>
    <n v="4"/>
  </r>
  <r>
    <s v="กุมภาพันธ์"/>
    <d v="2562-02-02T00:00:00"/>
    <x v="0"/>
    <n v="620095"/>
    <x v="32"/>
    <s v="TL620202"/>
    <n v="620202"/>
    <x v="1"/>
    <s v="Std. ไม่เกิน 30 D"/>
    <x v="115"/>
    <s v="Std.เกินกว่ามาตรฐาน"/>
    <n v="4"/>
    <m/>
    <m/>
    <d v="2562-02-02T00:00:00"/>
    <d v="2562-02-09T00:00:00"/>
    <d v="2562-02-04T00:00:00"/>
    <s v="Pass"/>
    <d v="2562-02-06T00:00:00"/>
    <m/>
    <m/>
    <m/>
    <m/>
    <s v="wait"/>
    <d v="2562-02-12T00:00:00"/>
    <s v="Pass"/>
    <d v="2562-02-13T00:00:00"/>
    <m/>
    <m/>
    <x v="45"/>
    <n v="4"/>
  </r>
  <r>
    <s v="มกราคม"/>
    <d v="2562-01-31T00:00:00"/>
    <x v="7"/>
    <n v="620096"/>
    <x v="33"/>
    <s v="243880/250162"/>
    <d v="2562-01-25T00:00:00"/>
    <x v="44"/>
    <s v="เรียบไม่มีจุดดำ"/>
    <x v="116"/>
    <s v="พบจุดดำติดอยู่ในเนื้อถุงรองใน"/>
    <s v="ลูกค้าไม่รับกลัวปนเปื้อนลงในน้ำตาล"/>
    <n v="63000"/>
    <s v="ใบ"/>
    <d v="2562-01-31T00:00:00"/>
    <d v="2562-02-07T00:00:00"/>
    <d v="2562-02-02T00:00:00"/>
    <m/>
    <m/>
    <m/>
    <m/>
    <m/>
    <m/>
    <m/>
    <m/>
    <m/>
    <m/>
    <m/>
    <m/>
    <x v="3"/>
    <n v="-241830"/>
  </r>
  <r>
    <s v="กุมภาพันธ์"/>
    <d v="2562-02-02T00:00:00"/>
    <x v="1"/>
    <n v="620097"/>
    <x v="8"/>
    <n v="62020204"/>
    <s v="35/020262"/>
    <x v="9"/>
    <s v="119-121"/>
    <x v="117"/>
    <s v="น้ำหนักสูงกว่ามาตรฐาน"/>
    <n v="2.1400000000000006"/>
    <s v="1500/167.5"/>
    <s v="เมตร/ก.ก."/>
    <d v="2562-02-02T00:00:00"/>
    <d v="2562-02-09T00:00:00"/>
    <d v="2562-02-04T00:00:00"/>
    <s v="Pass"/>
    <d v="2562-02-02T00:00:00"/>
    <m/>
    <m/>
    <m/>
    <m/>
    <s v="Pass"/>
    <d v="2562-02-13T00:00:00"/>
    <s v="Pass"/>
    <d v="2562-02-06T00:00:00"/>
    <m/>
    <m/>
    <x v="39"/>
    <n v="-3"/>
  </r>
  <r>
    <s v="กุมภาพันธ์"/>
    <d v="2562-02-02T00:00:00"/>
    <x v="1"/>
    <n v="620098"/>
    <x v="14"/>
    <n v="62020250"/>
    <s v="27/020262"/>
    <x v="28"/>
    <s v="125-128"/>
    <x v="118"/>
    <s v="น้ำหนักต่ำกว่ามาตรฐาน"/>
    <n v="1.2000000000000028"/>
    <s v="1500/189.3"/>
    <s v="เมตร/ก.ก."/>
    <d v="2562-02-02T00:00:00"/>
    <d v="2562-02-09T00:00:00"/>
    <d v="2562-02-04T00:00:00"/>
    <s v="Pass"/>
    <d v="2562-02-13T00:00:00"/>
    <m/>
    <m/>
    <m/>
    <m/>
    <s v="Pass"/>
    <d v="2562-02-13T00:00:00"/>
    <s v="Pass"/>
    <d v="2562-02-13T00:00:00"/>
    <m/>
    <m/>
    <x v="46"/>
    <n v="4"/>
  </r>
  <r>
    <s v="กุมภาพันธ์"/>
    <d v="2562-02-06T00:00:00"/>
    <x v="2"/>
    <n v="620099"/>
    <x v="34"/>
    <s v="FWBWT203780P"/>
    <s v="PD462020209"/>
    <x v="22"/>
    <s v="งานพิมพ์สมบูรณ์"/>
    <x v="119"/>
    <s v="งานพิมพ์ตัวหนังด้านหลังไม่ชัดเจนมีเส้นเทปติด"/>
    <s v="ไม่ผ่าน"/>
    <n v="5546"/>
    <s v="ใบ"/>
    <d v="2562-02-06T00:00:00"/>
    <d v="2562-02-13T00:00:00"/>
    <d v="2562-02-08T00:00:00"/>
    <m/>
    <m/>
    <m/>
    <m/>
    <m/>
    <m/>
    <m/>
    <m/>
    <m/>
    <m/>
    <m/>
    <m/>
    <x v="47"/>
    <n v="-241836"/>
  </r>
  <r>
    <s v="กุมภาพันธ์"/>
    <d v="2562-02-06T00:00:00"/>
    <x v="0"/>
    <n v="620100"/>
    <x v="0"/>
    <s v="TL620204"/>
    <n v="620204"/>
    <x v="0"/>
    <s v="Std. ไม่เกิน 30 D"/>
    <x v="120"/>
    <s v="Std.เกินกว่ามาตรฐาน"/>
    <n v="8"/>
    <s v="1/228"/>
    <s v="กรง/ก.ก."/>
    <d v="2562-02-06T00:00:00"/>
    <d v="2562-02-13T00:00:00"/>
    <d v="2562-02-08T00:00:00"/>
    <s v="Pass"/>
    <d v="2562-02-06T00:00:00"/>
    <m/>
    <m/>
    <m/>
    <m/>
    <s v="wait"/>
    <d v="2562-02-12T00:00:00"/>
    <s v="Pass"/>
    <d v="2562-02-13T00:00:00"/>
    <m/>
    <m/>
    <x v="0"/>
    <n v="0"/>
  </r>
  <r>
    <s v="กุมภาพันธ์"/>
    <d v="2562-02-06T00:00:00"/>
    <x v="1"/>
    <n v="620101"/>
    <x v="14"/>
    <n v="62020638"/>
    <s v="41/060262"/>
    <x v="18"/>
    <s v="125-128"/>
    <x v="121"/>
    <s v="น้ำหนักสูงกว่ามาตรฐาน"/>
    <n v="1.9099999999999966"/>
    <s v="1386/179.7"/>
    <s v="เมตร/ก.ก."/>
    <d v="2562-02-06T00:00:00"/>
    <d v="2562-02-13T00:00:00"/>
    <d v="2562-02-08T00:00:00"/>
    <s v="Pass"/>
    <d v="2562-02-13T00:00:00"/>
    <s v="Pass"/>
    <d v="2562-02-13T00:00:00"/>
    <s v="Pass"/>
    <d v="2562-02-13T00:00:00"/>
    <s v="Pass"/>
    <d v="2562-02-13T00:00:00"/>
    <s v="Pass"/>
    <d v="2562-02-13T00:00:00"/>
    <s v="Pass"/>
    <d v="2562-02-13T00:00:00"/>
    <x v="16"/>
    <n v="0"/>
  </r>
  <r>
    <s v="กุมภาพันธ์"/>
    <d v="2562-02-06T00:00:00"/>
    <x v="1"/>
    <n v="620102"/>
    <x v="14"/>
    <n v="62020644"/>
    <s v="27/060262"/>
    <x v="28"/>
    <s v="125-128"/>
    <x v="122"/>
    <s v="น้ำหนักต่ำกว่ามาตรฐาน"/>
    <n v="0.48999999999999488"/>
    <s v="1500/190.8"/>
    <s v="เมตร/ก.ก."/>
    <d v="2562-02-06T00:00:00"/>
    <d v="2562-02-13T00:00:00"/>
    <d v="2562-02-08T00:00:00"/>
    <s v="Pass"/>
    <d v="2562-02-11T00:00:00"/>
    <m/>
    <m/>
    <m/>
    <m/>
    <s v="Pass"/>
    <d v="2562-02-13T00:00:00"/>
    <s v="Pass"/>
    <d v="2562-02-21T00:00:00"/>
    <m/>
    <m/>
    <x v="16"/>
    <n v="8"/>
  </r>
  <r>
    <s v="กุมภาพันธ์"/>
    <d v="2562-02-06T00:00:00"/>
    <x v="1"/>
    <n v="620102"/>
    <x v="14"/>
    <n v="62020645"/>
    <s v="28/060662"/>
    <x v="28"/>
    <s v="125-128"/>
    <x v="123"/>
    <s v="น้ำหนักต่ำกว่ามาตรฐาน"/>
    <n v="1.3400000000000034"/>
    <s v="1500/189.1"/>
    <s v="เมตร/ก.ก."/>
    <d v="2562-02-06T00:00:00"/>
    <d v="2562-02-13T00:00:00"/>
    <d v="2562-02-08T00:00:00"/>
    <s v="Pass"/>
    <d v="2562-02-11T00:00:00"/>
    <m/>
    <m/>
    <m/>
    <m/>
    <s v="Pass"/>
    <d v="2562-02-13T00:00:00"/>
    <s v="Pass"/>
    <d v="2562-02-21T00:00:00"/>
    <m/>
    <m/>
    <x v="16"/>
    <n v="8"/>
  </r>
  <r>
    <s v="กุมภาพันธ์"/>
    <d v="2562-02-06T00:00:00"/>
    <x v="1"/>
    <n v="620103"/>
    <x v="35"/>
    <n v="62020650"/>
    <s v="82/060262"/>
    <x v="11"/>
    <s v="ผ้าลาย2/1ไม่มีด้ายคู้"/>
    <x v="42"/>
    <s v="ไม่ผ่านมีด้ายคู่2คู่และตรงที่มีด้ายคู้โครงสร้างอาจหลวม "/>
    <s v="ไม่ผ่าน"/>
    <s v="1250/102.2"/>
    <s v="เมตร/ก.ก."/>
    <d v="2562-02-06T00:00:00"/>
    <d v="2562-02-13T00:00:00"/>
    <d v="2562-02-08T00:00:00"/>
    <s v="Pass"/>
    <d v="2562-02-13T00:00:00"/>
    <s v="Pass"/>
    <d v="2562-02-13T00:00:00"/>
    <s v="Pass"/>
    <d v="2562-02-13T00:00:00"/>
    <s v="Pass"/>
    <d v="2562-02-13T00:00:00"/>
    <s v="Pass"/>
    <d v="2562-02-13T00:00:00"/>
    <s v="Pass"/>
    <d v="2562-02-13T00:00:00"/>
    <x v="48"/>
    <n v="0"/>
  </r>
  <r>
    <s v="กุมภาพันธ์"/>
    <d v="2562-02-06T00:00:00"/>
    <x v="0"/>
    <n v="620104"/>
    <x v="2"/>
    <s v="TL620205"/>
    <n v="620205"/>
    <x v="1"/>
    <s v="Avg of D +10,-20 D"/>
    <x v="98"/>
    <s v="Avg สูงกว่ามาตรฐาน"/>
    <n v="10"/>
    <s v="1/565.8"/>
    <s v="กรง/ก.ก."/>
    <d v="2562-02-06T00:00:00"/>
    <d v="2562-02-13T00:00:00"/>
    <d v="2562-02-08T00:00:00"/>
    <s v="Pass"/>
    <d v="2562-02-06T00:00:00"/>
    <m/>
    <m/>
    <m/>
    <m/>
    <s v="wait"/>
    <d v="2562-02-12T00:00:00"/>
    <s v="Pass"/>
    <d v="2562-02-13T00:00:00"/>
    <m/>
    <m/>
    <x v="49"/>
    <n v="0"/>
  </r>
  <r>
    <s v="กุมภาพันธ์"/>
    <d v="2562-02-07T00:00:00"/>
    <x v="5"/>
    <n v="620105"/>
    <x v="36"/>
    <n v="62020205"/>
    <n v="620207"/>
    <x v="34"/>
    <s v="ฟิล์มลงสม่ำเสมอ"/>
    <x v="124"/>
    <s v="ฟิล์มลงไม่เต็มผ้า"/>
    <s v="ไม่ผ่าน"/>
    <n v="729"/>
    <s v="เมตร/ก.ก."/>
    <d v="2562-02-07T00:00:00"/>
    <d v="2562-02-14T00:00:00"/>
    <d v="2562-02-09T00:00:00"/>
    <s v="Pass"/>
    <d v="2562-02-13T00:00:00"/>
    <m/>
    <m/>
    <m/>
    <m/>
    <s v="Pass"/>
    <d v="2562-02-20T00:00:00"/>
    <s v="Pass"/>
    <d v="2562-02-13T00:00:00"/>
    <m/>
    <m/>
    <x v="50"/>
    <n v="-1"/>
  </r>
  <r>
    <s v="กุมภาพันธ์"/>
    <d v="2562-02-07T00:00:00"/>
    <x v="1"/>
    <n v="620106"/>
    <x v="3"/>
    <n v="62020750"/>
    <s v="47/070262"/>
    <x v="45"/>
    <s v="ผ้าลาย2/1ไม่มีด้ายคู้"/>
    <x v="125"/>
    <s v="ไม่ผ่านมีด้ายคู่1คู่ตรงกลางไม่ทราบจำนวนเมตร"/>
    <s v="ไม่ผ่าน"/>
    <s v="1748/119.3"/>
    <s v="เมตร/ก.ก."/>
    <d v="2562-02-07T00:00:00"/>
    <d v="2562-02-14T00:00:00"/>
    <d v="2562-02-09T00:00:00"/>
    <s v="Pass"/>
    <d v="2562-01-13T00:00:00"/>
    <m/>
    <m/>
    <m/>
    <m/>
    <s v="Pass"/>
    <d v="2562-02-13T00:00:00"/>
    <s v="Pass"/>
    <d v="2562-02-21T00:00:00"/>
    <m/>
    <m/>
    <x v="51"/>
    <n v="7"/>
  </r>
  <r>
    <s v="กุมภาพันธ์"/>
    <d v="2562-02-07T00:00:00"/>
    <x v="1"/>
    <n v="620107"/>
    <x v="23"/>
    <n v="62020723"/>
    <s v="68/070262"/>
    <x v="46"/>
    <s v="ด้ายยืนเหลือง"/>
    <x v="126"/>
    <s v="ไม่ผ่านต้องมีแต่ด้ายเหลือง"/>
    <s v="ไม่ผ่าน"/>
    <s v="1740/173.5"/>
    <s v="เมตร/ก.ก."/>
    <d v="2562-02-07T00:00:00"/>
    <d v="2562-02-14T00:00:00"/>
    <d v="2562-02-09T00:00:00"/>
    <s v="Pass"/>
    <d v="2562-02-13T00:00:00"/>
    <m/>
    <m/>
    <m/>
    <m/>
    <s v="Pass"/>
    <d v="2562-02-13T00:00:00"/>
    <s v="Pass"/>
    <d v="2562-02-13T00:00:00"/>
    <m/>
    <m/>
    <x v="32"/>
    <n v="-1"/>
  </r>
  <r>
    <s v="กุมภาพันธ์"/>
    <d v="2562-02-07T00:00:00"/>
    <x v="1"/>
    <n v="620108"/>
    <x v="8"/>
    <n v="62020718"/>
    <s v="01/070262"/>
    <x v="31"/>
    <s v="119-121"/>
    <x v="127"/>
    <s v="น้ำหนักต่ำกว่ามาตรฐาน"/>
    <n v="2.1599999999999966"/>
    <s v="1500/162"/>
    <s v="เมตร/ก.ก."/>
    <d v="2562-02-07T00:00:00"/>
    <d v="2562-02-14T00:00:00"/>
    <d v="2562-02-09T00:00:00"/>
    <s v="Pass"/>
    <d v="2562-01-13T00:00:00"/>
    <m/>
    <m/>
    <m/>
    <m/>
    <s v="Pass"/>
    <d v="2562-02-13T00:00:00"/>
    <s v="Pass"/>
    <d v="2562-02-21T00:00:00"/>
    <m/>
    <m/>
    <x v="52"/>
    <n v="7"/>
  </r>
  <r>
    <s v="กุมภาพันธ์"/>
    <d v="2562-02-08T00:00:00"/>
    <x v="2"/>
    <n v="620109"/>
    <x v="25"/>
    <s v="FWBWT2643155L"/>
    <s v="PD462020814"/>
    <x v="12"/>
    <s v="งานพิมพ์สมบูรณ์"/>
    <x v="25"/>
    <s v="งานพิมพ์ไม่สมบูรณ์ ตัวหนังสือขาดหาย"/>
    <s v="ไม่ผ่าน"/>
    <n v="348"/>
    <s v="ใบ"/>
    <d v="2562-02-08T00:00:00"/>
    <d v="2562-02-15T00:00:00"/>
    <d v="2562-02-10T00:00:00"/>
    <m/>
    <m/>
    <m/>
    <m/>
    <m/>
    <m/>
    <m/>
    <m/>
    <m/>
    <m/>
    <m/>
    <m/>
    <x v="50"/>
    <n v="-241838"/>
  </r>
  <r>
    <s v="กุมภาพันธ์"/>
    <d v="2562-02-08T00:00:00"/>
    <x v="2"/>
    <n v="620109"/>
    <x v="25"/>
    <s v="FWBWT2643155L"/>
    <s v="PD462020814"/>
    <x v="12"/>
    <s v="งานพิมพ์สมบูรณ์"/>
    <x v="128"/>
    <s v="บล็อกเลื่อน"/>
    <s v="ไม่ผ่าน"/>
    <n v="93"/>
    <s v="ใบ"/>
    <d v="2562-02-08T00:00:00"/>
    <d v="2562-02-15T00:00:00"/>
    <d v="2562-02-10T00:00:00"/>
    <m/>
    <m/>
    <m/>
    <m/>
    <m/>
    <m/>
    <m/>
    <m/>
    <m/>
    <m/>
    <m/>
    <m/>
    <x v="50"/>
    <m/>
  </r>
  <r>
    <s v="กุมภาพันธ์"/>
    <d v="2562-02-08T00:00:00"/>
    <x v="1"/>
    <n v="620110"/>
    <x v="6"/>
    <n v="62020868"/>
    <s v="67/080262"/>
    <x v="47"/>
    <s v="76-78"/>
    <x v="129"/>
    <s v="น้ำหนักสูงกว่ามาตรฐาน"/>
    <n v="3.519999999999996"/>
    <s v="1377/110.2"/>
    <s v="เมตร/ก.ก."/>
    <d v="2562-02-08T00:00:00"/>
    <d v="2562-02-15T00:00:00"/>
    <d v="2562-02-10T00:00:00"/>
    <s v="Pass"/>
    <d v="2562-02-13T00:00:00"/>
    <s v="Pass"/>
    <d v="2562-02-13T00:00:00"/>
    <s v="Pass"/>
    <d v="2562-02-13T00:00:00"/>
    <s v="Pass"/>
    <d v="2562-02-13T00:00:00"/>
    <s v="Pass"/>
    <d v="2562-02-13T00:00:00"/>
    <s v="Pass"/>
    <d v="2562-02-13T00:00:00"/>
    <x v="53"/>
    <n v="-2"/>
  </r>
  <r>
    <s v="กุมภาพันธ์"/>
    <d v="2562-02-08T00:00:00"/>
    <x v="1"/>
    <n v="620111"/>
    <x v="14"/>
    <n v="62020857"/>
    <s v="41/080262"/>
    <x v="18"/>
    <s v="125-128"/>
    <x v="130"/>
    <s v="น้ำหนักสูงกว่ามาตรฐาน"/>
    <n v="1.6200000000000045"/>
    <s v="1625/212.5"/>
    <s v="เมตร/ก.ก."/>
    <d v="2562-02-08T00:00:00"/>
    <d v="2562-02-15T00:00:00"/>
    <d v="2562-02-10T00:00:00"/>
    <s v="Pass"/>
    <d v="2562-02-13T00:00:00"/>
    <s v="Pass"/>
    <d v="2562-02-13T00:00:00"/>
    <s v="Pass"/>
    <d v="2562-02-13T00:00:00"/>
    <s v="Pass"/>
    <d v="2562-02-13T00:00:00"/>
    <s v="Pass"/>
    <d v="2562-02-13T00:00:00"/>
    <s v="Pass"/>
    <d v="2562-02-13T00:00:00"/>
    <x v="16"/>
    <n v="-2"/>
  </r>
  <r>
    <s v="กุมภาพันธ์"/>
    <d v="2562-02-08T00:00:00"/>
    <x v="1"/>
    <n v="620111"/>
    <x v="14"/>
    <n v="62020858"/>
    <s v="42/080262"/>
    <x v="32"/>
    <s v="125-128"/>
    <x v="131"/>
    <s v="น้ำหนักสูงกว่ามาตรฐาน"/>
    <n v="2.210000000000008"/>
    <s v="1850/239.5"/>
    <s v="เมตร/ก.ก."/>
    <d v="2562-02-08T00:00:00"/>
    <d v="2562-02-15T00:00:00"/>
    <d v="2562-02-10T00:00:00"/>
    <s v="Pass"/>
    <d v="2562-02-13T00:00:00"/>
    <s v="Pass"/>
    <d v="2562-02-13T00:00:00"/>
    <s v="Pass"/>
    <d v="2562-02-13T00:00:00"/>
    <s v="Pass"/>
    <d v="2562-02-13T00:00:00"/>
    <s v="Pass"/>
    <d v="2562-02-13T00:00:00"/>
    <m/>
    <m/>
    <x v="16"/>
    <n v="-2"/>
  </r>
  <r>
    <s v="กุมภาพันธ์"/>
    <d v="2562-02-08T00:00:00"/>
    <x v="1"/>
    <n v="620112"/>
    <x v="37"/>
    <n v="62020945"/>
    <s v="06/090262"/>
    <x v="48"/>
    <s v="97-102"/>
    <x v="132"/>
    <s v="น้ำหนักต่ำกว่ามาตรฐาน"/>
    <n v="1.6599999999999966"/>
    <s v="1500/127.7"/>
    <s v="เมตร/ก.ก."/>
    <d v="2562-02-08T00:00:00"/>
    <d v="2562-02-15T00:00:00"/>
    <d v="2562-02-10T00:00:00"/>
    <s v="Pass"/>
    <d v="2562-02-13T00:00:00"/>
    <m/>
    <m/>
    <m/>
    <m/>
    <s v="Pass"/>
    <d v="2562-02-13T00:00:00"/>
    <s v="Pass"/>
    <d v="2562-02-13T00:00:00"/>
    <m/>
    <m/>
    <x v="54"/>
    <n v="-2"/>
  </r>
  <r>
    <s v="กุมภาพันธ์"/>
    <d v="2562-02-08T00:00:00"/>
    <x v="1"/>
    <n v="620113"/>
    <x v="3"/>
    <n v="62020955"/>
    <s v="67/090262"/>
    <x v="47"/>
    <s v="65-70"/>
    <x v="71"/>
    <s v="น้ำหนักสูงกว่ามาตรฐาน"/>
    <n v="4.05"/>
    <s v="1760/132.2"/>
    <s v="เมตร/ก.ก."/>
    <d v="2562-02-08T00:00:00"/>
    <d v="2562-02-15T00:00:00"/>
    <d v="2562-02-10T00:00:00"/>
    <s v="Pass"/>
    <d v="2562-02-13T00:00:00"/>
    <m/>
    <m/>
    <m/>
    <m/>
    <s v="Pass"/>
    <d v="2562-02-13T00:00:00"/>
    <s v="Pass"/>
    <d v="2562-02-13T00:00:00"/>
    <m/>
    <m/>
    <x v="4"/>
    <n v="-2"/>
  </r>
  <r>
    <s v="กุมภาพันธ์"/>
    <d v="2562-02-08T00:00:00"/>
    <x v="1"/>
    <n v="620114"/>
    <x v="38"/>
    <n v="62020952"/>
    <s v="14/090262"/>
    <x v="49"/>
    <s v="71-76"/>
    <x v="133"/>
    <s v="น้ำหนักสูงกว่ามาตรฐาน"/>
    <n v="4.3100000000000023"/>
    <s v="2000/172.8"/>
    <s v="เมตร/ก.ก."/>
    <d v="2562-02-08T00:00:00"/>
    <d v="2562-02-15T00:00:00"/>
    <d v="2562-02-10T00:00:00"/>
    <s v="Pass"/>
    <d v="2562-02-13T00:00:00"/>
    <m/>
    <m/>
    <m/>
    <m/>
    <s v="Pass"/>
    <d v="2562-02-13T00:00:00"/>
    <s v="Pass"/>
    <d v="2562-02-13T00:00:00"/>
    <m/>
    <m/>
    <x v="55"/>
    <n v="-2"/>
  </r>
  <r>
    <s v="กุมภาพันธ์"/>
    <d v="2562-02-10T00:00:00"/>
    <x v="0"/>
    <n v="620115"/>
    <x v="13"/>
    <s v="TL620211"/>
    <n v="620211"/>
    <x v="1"/>
    <s v="Avg of D +10,-20 D"/>
    <x v="134"/>
    <s v="Avg ต่ำกว่ามาตรฐาน"/>
    <n v="36"/>
    <s v="2/719.60"/>
    <s v="กรง/ก.ก."/>
    <d v="2562-02-10T00:00:00"/>
    <d v="2562-02-17T00:00:00"/>
    <d v="2562-02-12T00:00:00"/>
    <s v="Pass"/>
    <d v="2562-02-11T00:00:00"/>
    <m/>
    <m/>
    <m/>
    <m/>
    <s v="wait"/>
    <d v="2562-02-12T00:00:00"/>
    <s v="Pass"/>
    <d v="2562-02-13T00:00:00"/>
    <m/>
    <m/>
    <x v="15"/>
    <n v="-4"/>
  </r>
  <r>
    <s v="กุมภาพันธ์"/>
    <d v="2562-02-10T00:00:00"/>
    <x v="0"/>
    <n v="620115"/>
    <x v="13"/>
    <s v="TL620211"/>
    <n v="620211"/>
    <x v="1"/>
    <s v="Std. ไม่เกิน 30 D"/>
    <x v="135"/>
    <s v="Std.เกินกว่ามาตรฐาน"/>
    <n v="5"/>
    <m/>
    <m/>
    <d v="2562-02-10T00:00:00"/>
    <d v="2562-02-17T00:00:00"/>
    <d v="2562-02-12T00:00:00"/>
    <s v="Pass"/>
    <d v="2562-02-11T00:00:00"/>
    <m/>
    <m/>
    <m/>
    <m/>
    <s v="wait"/>
    <d v="2562-02-12T00:00:00"/>
    <s v="Pass"/>
    <d v="2562-02-13T00:00:00"/>
    <m/>
    <m/>
    <x v="15"/>
    <n v="-4"/>
  </r>
  <r>
    <s v="กุมภาพันธ์"/>
    <d v="2562-02-10T00:00:00"/>
    <x v="0"/>
    <n v="620115"/>
    <x v="13"/>
    <s v="TL620211"/>
    <n v="620211"/>
    <x v="1"/>
    <s v="Avg of D +10,-20 D"/>
    <x v="136"/>
    <s v="Avg สูงกว่ามาตรฐาน"/>
    <n v="10"/>
    <m/>
    <m/>
    <d v="2562-02-10T00:00:00"/>
    <d v="2562-02-17T00:00:00"/>
    <d v="2562-02-12T00:00:00"/>
    <s v="Pass"/>
    <d v="2562-02-11T00:00:00"/>
    <m/>
    <m/>
    <m/>
    <m/>
    <s v="wait"/>
    <d v="2562-02-12T00:00:00"/>
    <s v="Pass"/>
    <d v="2562-02-13T00:00:00"/>
    <m/>
    <m/>
    <x v="15"/>
    <n v="-4"/>
  </r>
  <r>
    <s v="กุมภาพันธ์"/>
    <d v="2562-02-10T00:00:00"/>
    <x v="1"/>
    <n v="620116"/>
    <x v="14"/>
    <n v="62021045"/>
    <s v="41/100261"/>
    <x v="18"/>
    <s v="125-128"/>
    <x v="137"/>
    <s v="น้ำหนักสูงกว่ามาตรฐาน"/>
    <n v="1.6599999999999966"/>
    <s v="1505/196.6"/>
    <s v="เมตร/ก.ก."/>
    <d v="2562-02-10T00:00:00"/>
    <d v="2562-02-17T00:00:00"/>
    <d v="2562-02-12T00:00:00"/>
    <s v="Pass"/>
    <d v="2562-02-13T00:00:00"/>
    <m/>
    <m/>
    <m/>
    <m/>
    <s v="Pass"/>
    <d v="2562-02-13T00:00:00"/>
    <s v="Pass"/>
    <d v="2562-02-13T00:00:00"/>
    <m/>
    <m/>
    <x v="24"/>
    <n v="-4"/>
  </r>
  <r>
    <s v="กุมภาพันธ์"/>
    <d v="2562-02-10T00:00:00"/>
    <x v="1"/>
    <n v="620117"/>
    <x v="15"/>
    <n v="62021019"/>
    <s v="19/100262"/>
    <x v="13"/>
    <s v="120-123"/>
    <x v="41"/>
    <s v="น้ำหนักสูงกว่ามาตรฐาน"/>
    <n v="1.08"/>
    <s v="1500/190.3"/>
    <s v="เมตร/ก.ก."/>
    <d v="2562-02-10T00:00:00"/>
    <d v="2562-02-17T00:00:00"/>
    <d v="2562-02-12T00:00:00"/>
    <s v="Pass"/>
    <d v="2562-02-13T00:00:00"/>
    <m/>
    <m/>
    <m/>
    <m/>
    <s v="Pass"/>
    <d v="2562-02-13T00:00:00"/>
    <s v="Pass"/>
    <d v="2562-02-13T00:00:00"/>
    <m/>
    <m/>
    <x v="16"/>
    <n v="-4"/>
  </r>
  <r>
    <s v="กุมภาพันธ์"/>
    <d v="2562-02-10T00:00:00"/>
    <x v="1"/>
    <n v="620118"/>
    <x v="39"/>
    <n v="62021032"/>
    <s v="26/100262"/>
    <x v="43"/>
    <s v="80-85"/>
    <x v="138"/>
    <s v="น้ำหนักสูงกว่ามาตรฐาน"/>
    <n v="2.54"/>
    <s v="2200/190.7"/>
    <s v="เมตร/ก.ก."/>
    <d v="2562-02-10T00:00:00"/>
    <d v="2562-02-17T00:00:00"/>
    <d v="2562-02-12T00:00:00"/>
    <s v="Pass"/>
    <d v="2562-02-13T00:00:00"/>
    <m/>
    <m/>
    <m/>
    <m/>
    <s v="Pass"/>
    <d v="2562-02-13T00:00:00"/>
    <s v="Pass"/>
    <d v="2562-02-13T00:00:00"/>
    <m/>
    <m/>
    <x v="56"/>
    <n v="-4"/>
  </r>
  <r>
    <s v="กุมภาพันธ์"/>
    <d v="2562-02-11T00:00:00"/>
    <x v="1"/>
    <n v="620119"/>
    <x v="14"/>
    <n v="62021109"/>
    <s v="41/110261"/>
    <x v="18"/>
    <s v="125-128"/>
    <x v="139"/>
    <s v="น้ำหนักต่ำกว่ามาตรฐาน"/>
    <n v="0.32999999999999829"/>
    <s v="837/103.7"/>
    <s v="เมตร/ก.ก."/>
    <d v="2562-02-11T00:00:00"/>
    <d v="2562-02-18T00:00:00"/>
    <d v="2562-02-13T00:00:00"/>
    <s v="Pass"/>
    <d v="2562-02-13T00:00:00"/>
    <m/>
    <m/>
    <m/>
    <m/>
    <s v="Pass"/>
    <d v="2562-02-13T00:00:00"/>
    <s v="Pass"/>
    <d v="2562-02-21T00:00:00"/>
    <m/>
    <m/>
    <x v="40"/>
    <n v="3"/>
  </r>
  <r>
    <s v="กุมภาพันธ์"/>
    <d v="2562-02-12T00:00:00"/>
    <x v="0"/>
    <n v="620120"/>
    <x v="2"/>
    <s v="TL620214"/>
    <n v="620214"/>
    <x v="1"/>
    <s v="Avg of D +10,-20 D"/>
    <x v="140"/>
    <s v="Avg ต่ำกว่ามาตรฐาน"/>
    <n v="11"/>
    <s v="1/274.7"/>
    <s v="กรง/ก.ก."/>
    <d v="2562-02-12T00:00:00"/>
    <d v="2562-02-19T00:00:00"/>
    <d v="2562-02-14T00:00:00"/>
    <m/>
    <m/>
    <m/>
    <m/>
    <m/>
    <m/>
    <m/>
    <m/>
    <m/>
    <m/>
    <m/>
    <m/>
    <x v="57"/>
    <n v="-241842"/>
  </r>
  <r>
    <s v="กุมภาพันธ์"/>
    <d v="2562-02-12T00:00:00"/>
    <x v="0"/>
    <n v="620120"/>
    <x v="2"/>
    <s v="TL620214"/>
    <n v="620214"/>
    <x v="1"/>
    <s v="Std. ไม่เกิน 30 D"/>
    <x v="141"/>
    <s v="Std.เกินกว่ามาตรฐาน"/>
    <n v="21"/>
    <m/>
    <m/>
    <d v="2562-02-12T00:00:00"/>
    <d v="2562-02-19T00:00:00"/>
    <d v="2562-02-14T00:00:00"/>
    <m/>
    <m/>
    <m/>
    <m/>
    <m/>
    <m/>
    <m/>
    <m/>
    <m/>
    <m/>
    <m/>
    <m/>
    <x v="57"/>
    <n v="-241842"/>
  </r>
  <r>
    <s v="กุมภาพันธ์"/>
    <d v="2562-02-12T00:00:00"/>
    <x v="0"/>
    <n v="620120"/>
    <x v="2"/>
    <s v="TL620214"/>
    <n v="620214"/>
    <x v="1"/>
    <s v="ขนาดเส้นเทป(+-0.1 mm)"/>
    <x v="142"/>
    <s v="ขนาดใหญ่กว่ามาตรฐานกำหนด"/>
    <s v="ไม่ผ่าน"/>
    <m/>
    <m/>
    <d v="2562-02-12T00:00:00"/>
    <d v="2562-02-19T00:00:00"/>
    <d v="2562-02-14T00:00:00"/>
    <m/>
    <m/>
    <m/>
    <m/>
    <m/>
    <m/>
    <m/>
    <m/>
    <m/>
    <m/>
    <m/>
    <m/>
    <x v="57"/>
    <n v="-241842"/>
  </r>
  <r>
    <s v="กุมภาพันธ์"/>
    <d v="2562-02-12T00:00:00"/>
    <x v="0"/>
    <n v="620121"/>
    <x v="40"/>
    <s v="TL620215"/>
    <n v="620215"/>
    <x v="1"/>
    <s v="Avg of D +10,-20 D"/>
    <x v="143"/>
    <s v="Avg ต่ำกว่ามาตรฐาน"/>
    <n v="16"/>
    <s v="3/1289.10"/>
    <s v="กรง/ก.ก."/>
    <d v="2562-02-12T00:00:00"/>
    <d v="2562-02-19T00:00:00"/>
    <d v="2562-02-14T00:00:00"/>
    <m/>
    <m/>
    <m/>
    <m/>
    <m/>
    <m/>
    <m/>
    <m/>
    <m/>
    <m/>
    <m/>
    <m/>
    <x v="3"/>
    <n v="-241842"/>
  </r>
  <r>
    <s v="กุมภาพันธ์"/>
    <d v="2562-02-12T00:00:00"/>
    <x v="0"/>
    <n v="620121"/>
    <x v="40"/>
    <s v="TL620215"/>
    <n v="620215"/>
    <x v="1"/>
    <s v="Std. ไม่เกิน 30 D"/>
    <x v="144"/>
    <s v="Std.เกินกว่ามาตรฐาน"/>
    <s v="10 ,18"/>
    <m/>
    <m/>
    <d v="2562-02-12T00:00:00"/>
    <d v="2562-02-19T00:00:00"/>
    <d v="2562-02-14T00:00:00"/>
    <m/>
    <m/>
    <m/>
    <m/>
    <m/>
    <m/>
    <m/>
    <m/>
    <m/>
    <m/>
    <m/>
    <m/>
    <x v="3"/>
    <n v="-241842"/>
  </r>
  <r>
    <s v="กุมภาพันธ์"/>
    <d v="2562-02-12T00:00:00"/>
    <x v="0"/>
    <n v="620121"/>
    <x v="40"/>
    <s v="TL620215"/>
    <n v="620215"/>
    <x v="1"/>
    <s v="ขนาดเส้นเทป(+-0.1 mm)"/>
    <x v="145"/>
    <s v="ขนาดเล็กกว่ามาตรฐานกำหนด"/>
    <s v="0.06 , 0.03"/>
    <m/>
    <m/>
    <d v="2562-02-12T00:00:00"/>
    <d v="2562-02-19T00:00:00"/>
    <d v="2562-02-14T00:00:00"/>
    <m/>
    <m/>
    <m/>
    <m/>
    <m/>
    <m/>
    <m/>
    <m/>
    <m/>
    <m/>
    <m/>
    <m/>
    <x v="3"/>
    <n v="-241842"/>
  </r>
  <r>
    <s v="กุมภาพันธ์"/>
    <d v="2562-02-12T00:00:00"/>
    <x v="0"/>
    <n v="620121"/>
    <x v="40"/>
    <s v="TL620215"/>
    <n v="620215"/>
    <x v="1"/>
    <s v="Avg of D +10,-20 D"/>
    <x v="146"/>
    <s v="Avg สูงกว่ามาตรฐาน"/>
    <n v="6"/>
    <m/>
    <m/>
    <d v="2562-02-12T00:00:00"/>
    <d v="2562-02-19T00:00:00"/>
    <d v="2562-02-14T00:00:00"/>
    <m/>
    <m/>
    <m/>
    <m/>
    <m/>
    <m/>
    <m/>
    <m/>
    <m/>
    <m/>
    <m/>
    <m/>
    <x v="3"/>
    <n v="-241842"/>
  </r>
  <r>
    <s v="กุมภาพันธ์"/>
    <d v="2562-02-12T00:00:00"/>
    <x v="2"/>
    <n v="620122"/>
    <x v="41"/>
    <s v="FWBWT2338100L"/>
    <s v="PD6202102"/>
    <x v="50"/>
    <s v="งานพิมพ์สมบูรณ์"/>
    <x v="25"/>
    <s v="งานพิมพ์ไม่สมบูรณ์ ตัวหนังสือด้านหลังขาดหาย"/>
    <s v="ไม่ผ่าน"/>
    <n v="50"/>
    <s v="ใบ"/>
    <d v="2562-02-12T00:00:00"/>
    <d v="2562-02-19T00:00:00"/>
    <d v="2562-02-14T00:00:00"/>
    <m/>
    <m/>
    <m/>
    <m/>
    <m/>
    <m/>
    <m/>
    <m/>
    <m/>
    <m/>
    <m/>
    <m/>
    <x v="50"/>
    <n v="-241842"/>
  </r>
  <r>
    <s v="กุมภาพันธ์"/>
    <d v="2562-02-12T00:00:00"/>
    <x v="1"/>
    <n v="620123"/>
    <x v="3"/>
    <n v="62021234"/>
    <s v="76/120262"/>
    <x v="51"/>
    <s v="65-70"/>
    <x v="147"/>
    <s v="น้ำหนักสูงกว่ามาตรฐาน"/>
    <n v="2.3799999999999955"/>
    <s v="1882/139.3"/>
    <s v="เมตร/ก.ก."/>
    <d v="2562-02-12T00:00:00"/>
    <d v="2562-02-19T00:00:00"/>
    <d v="2562-02-14T00:00:00"/>
    <s v="Pass"/>
    <d v="2562-02-14T00:00:00"/>
    <m/>
    <m/>
    <m/>
    <m/>
    <s v="Pass"/>
    <d v="2562-02-15T00:00:00"/>
    <s v="Pass"/>
    <d v="2562-02-14T00:00:00"/>
    <m/>
    <m/>
    <x v="4"/>
    <n v="-5"/>
  </r>
  <r>
    <s v="กุมภาพันธ์"/>
    <d v="2562-02-13T00:00:00"/>
    <x v="0"/>
    <n v="620124"/>
    <x v="1"/>
    <s v="TL620216"/>
    <n v="620216"/>
    <x v="1"/>
    <s v="Avg of D +10,-20 D"/>
    <x v="148"/>
    <s v="Avg ต่ำกว่ามาตรฐาน"/>
    <n v="34"/>
    <s v="1/183.4"/>
    <s v="กรง/ก.ก."/>
    <d v="2562-02-13T00:00:00"/>
    <d v="2562-02-20T00:00:00"/>
    <d v="2562-02-15T00:00:00"/>
    <m/>
    <m/>
    <m/>
    <m/>
    <m/>
    <m/>
    <m/>
    <m/>
    <m/>
    <m/>
    <m/>
    <m/>
    <x v="58"/>
    <n v="-241843"/>
  </r>
  <r>
    <s v="กุมภาพันธ์"/>
    <d v="2562-02-13T00:00:00"/>
    <x v="0"/>
    <n v="620124"/>
    <x v="1"/>
    <s v="TL620216"/>
    <n v="620216"/>
    <x v="1"/>
    <s v="Std. ไม่เกิน 30 D"/>
    <x v="75"/>
    <s v="Std.เกินกว่ามาตรฐาน"/>
    <n v="26"/>
    <m/>
    <m/>
    <d v="2562-02-13T00:00:00"/>
    <d v="2562-02-20T00:00:00"/>
    <d v="2562-02-15T00:00:00"/>
    <m/>
    <m/>
    <m/>
    <m/>
    <m/>
    <m/>
    <m/>
    <m/>
    <m/>
    <m/>
    <m/>
    <m/>
    <x v="58"/>
    <n v="-241843"/>
  </r>
  <r>
    <s v="กุมภาพันธ์"/>
    <d v="2562-02-13T00:00:00"/>
    <x v="0"/>
    <n v="620124"/>
    <x v="1"/>
    <s v="TL620216"/>
    <n v="620216"/>
    <x v="1"/>
    <s v="สีของเส้นเทป"/>
    <x v="149"/>
    <s v="ไม่ได้ตามมาตรฐาน"/>
    <s v="ไม่ผ่าน"/>
    <m/>
    <m/>
    <d v="2562-02-13T00:00:00"/>
    <d v="2562-02-20T00:00:00"/>
    <d v="2562-02-15T00:00:00"/>
    <m/>
    <m/>
    <m/>
    <m/>
    <m/>
    <m/>
    <m/>
    <m/>
    <m/>
    <m/>
    <m/>
    <m/>
    <x v="58"/>
    <n v="-241843"/>
  </r>
  <r>
    <s v="กุมภาพันธ์"/>
    <d v="2562-02-13T00:00:00"/>
    <x v="1"/>
    <n v="620125"/>
    <x v="14"/>
    <n v="62021320"/>
    <s v="42/130261"/>
    <x v="32"/>
    <s v="125-128"/>
    <x v="150"/>
    <s v="น้ำหนักต่ำกว่ามาตรฐาน"/>
    <n v="0.76999999999999602"/>
    <s v="1350/173.9"/>
    <s v="เมตร/ก.ก."/>
    <d v="2562-02-13T00:00:00"/>
    <d v="2562-02-20T00:00:00"/>
    <d v="2562-02-15T00:00:00"/>
    <s v="Pass"/>
    <d v="2562-02-15T00:00:00"/>
    <m/>
    <m/>
    <m/>
    <m/>
    <s v="Pass"/>
    <d v="2562-02-15T00:00:00"/>
    <s v="Pass"/>
    <d v="2562-02-15T00:00:00"/>
    <m/>
    <m/>
    <x v="16"/>
    <n v="-5"/>
  </r>
  <r>
    <s v="กุมภาพันธ์"/>
    <d v="2562-02-13T00:00:00"/>
    <x v="1"/>
    <n v="620126"/>
    <x v="3"/>
    <n v="62021340"/>
    <s v="76/130262"/>
    <x v="51"/>
    <s v="65-70"/>
    <x v="151"/>
    <s v="น้ำหนักสูงกว่ามาตรฐาน"/>
    <n v="2.5"/>
    <s v="1937/144.2"/>
    <s v="เมตร/ก.ก."/>
    <d v="2562-02-13T00:00:00"/>
    <d v="2562-02-20T00:00:00"/>
    <d v="2562-02-15T00:00:00"/>
    <s v="Pass"/>
    <d v="2562-02-15T00:00:00"/>
    <m/>
    <m/>
    <m/>
    <m/>
    <s v="Pass"/>
    <d v="2562-02-15T00:00:00"/>
    <s v="Pass"/>
    <d v="2562-02-15T00:00:00"/>
    <m/>
    <m/>
    <x v="4"/>
    <n v="-5"/>
  </r>
  <r>
    <s v="กุมภาพันธ์"/>
    <d v="2562-02-13T00:00:00"/>
    <x v="0"/>
    <n v="620127"/>
    <x v="5"/>
    <s v="TL620217"/>
    <n v="620217"/>
    <x v="0"/>
    <s v="Avg of D +10,-20 D"/>
    <x v="152"/>
    <s v="Avg สูงกว่ามาตรฐาน"/>
    <n v="167"/>
    <s v="1/264.4"/>
    <s v="กรง/ก.ก."/>
    <d v="2562-02-13T00:00:00"/>
    <d v="2562-02-20T00:00:00"/>
    <d v="2562-02-15T00:00:00"/>
    <m/>
    <m/>
    <m/>
    <m/>
    <m/>
    <m/>
    <m/>
    <m/>
    <m/>
    <m/>
    <m/>
    <m/>
    <x v="3"/>
    <n v="-241843"/>
  </r>
  <r>
    <s v="กุมภาพันธ์"/>
    <d v="2562-02-13T00:00:00"/>
    <x v="0"/>
    <n v="620127"/>
    <x v="5"/>
    <s v="TL620217"/>
    <n v="620217"/>
    <x v="0"/>
    <s v="Std. ไม่เกิน 30 D"/>
    <x v="120"/>
    <s v="Std.เกินกว่ามาตรฐาน"/>
    <n v="8"/>
    <m/>
    <m/>
    <d v="2562-02-13T00:00:00"/>
    <d v="2562-02-20T00:00:00"/>
    <d v="2562-02-15T00:00:00"/>
    <m/>
    <m/>
    <m/>
    <m/>
    <m/>
    <m/>
    <m/>
    <m/>
    <m/>
    <m/>
    <m/>
    <m/>
    <x v="3"/>
    <n v="-241843"/>
  </r>
  <r>
    <s v="กุมภาพันธ์"/>
    <d v="2562-02-14T00:00:00"/>
    <x v="0"/>
    <n v="620128"/>
    <x v="2"/>
    <s v="TL620219"/>
    <n v="620219"/>
    <x v="0"/>
    <s v="Avg of D +10,-20 D"/>
    <x v="153"/>
    <s v="Avg ต่ำกว่ามาตรฐาน"/>
    <s v="68 ,24"/>
    <s v="2/761.10"/>
    <s v="กรง/ก.ก."/>
    <d v="2562-02-14T00:00:00"/>
    <d v="2562-02-21T00:00:00"/>
    <d v="2562-02-16T00:00:00"/>
    <s v="Pass"/>
    <d v="2562-02-18T00:00:00"/>
    <m/>
    <m/>
    <m/>
    <m/>
    <s v="Pass"/>
    <d v="2562-02-22T00:00:00"/>
    <s v="Pass"/>
    <d v="2562-02-22T00:00:00"/>
    <m/>
    <m/>
    <x v="12"/>
    <n v="1"/>
  </r>
  <r>
    <s v="กุมภาพันธ์"/>
    <d v="2562-02-14T00:00:00"/>
    <x v="0"/>
    <n v="620128"/>
    <x v="2"/>
    <s v="TL620219"/>
    <n v="620219"/>
    <x v="0"/>
    <s v="Std. ไม่เกิน 30 D"/>
    <x v="154"/>
    <s v="Std.เกินกว่ามาตรฐาน"/>
    <s v="40 ,14"/>
    <m/>
    <m/>
    <d v="2562-02-14T00:00:00"/>
    <d v="2562-02-21T00:00:00"/>
    <d v="2562-02-16T00:00:00"/>
    <s v="Pass"/>
    <d v="2562-02-18T00:00:00"/>
    <m/>
    <m/>
    <m/>
    <m/>
    <s v="Pass"/>
    <d v="2562-02-22T00:00:00"/>
    <s v="Pass"/>
    <d v="2562-02-22T00:00:00"/>
    <m/>
    <m/>
    <x v="12"/>
    <n v="1"/>
  </r>
  <r>
    <s v="กุมภาพันธ์"/>
    <d v="2562-02-15T00:00:00"/>
    <x v="1"/>
    <n v="620129"/>
    <x v="14"/>
    <n v="62021560"/>
    <s v="42/150261"/>
    <x v="32"/>
    <s v="125-128"/>
    <x v="155"/>
    <s v="น้ำหนักต่ำกว่ามาตรฐาน"/>
    <n v="1.4500000000000028"/>
    <s v="1401/175.7"/>
    <s v="เมตร/ก.ก."/>
    <d v="2562-02-15T00:00:00"/>
    <d v="2562-02-22T00:00:00"/>
    <d v="2562-02-17T00:00:00"/>
    <s v="Pass"/>
    <d v="2562-02-18T00:00:00"/>
    <m/>
    <m/>
    <m/>
    <m/>
    <s v="Pass"/>
    <d v="2562-02-18T00:00:00"/>
    <s v="Pass"/>
    <d v="2562-02-20T00:00:00"/>
    <m/>
    <m/>
    <x v="59"/>
    <n v="-2"/>
  </r>
  <r>
    <s v="กุมภาพันธ์"/>
    <d v="2562-02-16T00:00:00"/>
    <x v="1"/>
    <n v="620130"/>
    <x v="15"/>
    <n v="62021626"/>
    <s v="19/160262"/>
    <x v="13"/>
    <s v="120-123"/>
    <x v="156"/>
    <s v="น้ำหนักสูงกว่ามาตรฐาน"/>
    <n v="1.1200000000000045"/>
    <s v="1500/187"/>
    <s v="เมตร/ก.ก."/>
    <d v="2562-02-16T00:00:00"/>
    <d v="2562-02-23T00:00:00"/>
    <d v="2562-02-18T00:00:00"/>
    <s v="Pass"/>
    <d v="2562-02-18T00:00:00"/>
    <m/>
    <m/>
    <m/>
    <m/>
    <s v="Pass"/>
    <d v="2562-02-18T00:00:00"/>
    <s v="Pass"/>
    <d v="2562-02-20T00:00:00"/>
    <m/>
    <m/>
    <x v="24"/>
    <n v="-3"/>
  </r>
  <r>
    <s v="กุมภาพันธ์"/>
    <d v="2562-02-16T00:00:00"/>
    <x v="1"/>
    <n v="620131"/>
    <x v="14"/>
    <n v="62021652"/>
    <s v="02/160261"/>
    <x v="35"/>
    <s v="125-128"/>
    <x v="157"/>
    <s v="น้ำหนักต่ำกว่ามาตรฐาน"/>
    <n v="2.8499999999999943"/>
    <s v="1470/188.4"/>
    <s v="เมตร/ก.ก."/>
    <d v="2562-02-16T00:00:00"/>
    <d v="2562-02-23T00:00:00"/>
    <d v="2562-02-18T00:00:00"/>
    <s v="Pass"/>
    <d v="2562-02-18T00:00:00"/>
    <m/>
    <m/>
    <m/>
    <m/>
    <s v="Pass"/>
    <d v="2562-02-18T00:00:00"/>
    <s v="Pass"/>
    <d v="2562-02-20T00:00:00"/>
    <m/>
    <m/>
    <x v="16"/>
    <n v="-3"/>
  </r>
  <r>
    <s v="กุมภาพันธ์"/>
    <d v="2562-02-16T00:00:00"/>
    <x v="1"/>
    <n v="620131"/>
    <x v="14"/>
    <n v="62021639"/>
    <s v="27/160261"/>
    <x v="28"/>
    <s v="125-128"/>
    <x v="158"/>
    <s v="น้ำหนักต่ำกว่ามาตรฐาน"/>
    <n v="0.78000000000000114"/>
    <s v="1470/188.4"/>
    <s v="เมตร/ก.ก."/>
    <d v="2562-02-16T00:00:00"/>
    <d v="2562-02-23T00:00:00"/>
    <d v="2562-02-18T00:00:00"/>
    <s v="Pass"/>
    <d v="2562-02-18T00:00:00"/>
    <m/>
    <m/>
    <m/>
    <m/>
    <s v="Pass"/>
    <d v="2562-02-18T00:00:00"/>
    <s v="Pass"/>
    <d v="2562-02-20T00:00:00"/>
    <m/>
    <m/>
    <x v="16"/>
    <m/>
  </r>
  <r>
    <s v="กุมภาพันธ์"/>
    <d v="2562-02-16T00:00:00"/>
    <x v="0"/>
    <n v="620132"/>
    <x v="4"/>
    <s v="TL620223"/>
    <n v="620223"/>
    <x v="1"/>
    <s v="Avg of D +10,-20 D"/>
    <x v="159"/>
    <s v="Avg สูงกว่ามาตรฐาน"/>
    <n v="48"/>
    <s v="1/230.9"/>
    <s v="กรง/ก.ก."/>
    <d v="2562-02-16T00:00:00"/>
    <d v="2562-02-23T00:00:00"/>
    <d v="2562-02-18T00:00:00"/>
    <s v="Pass"/>
    <d v="2562-02-18T00:00:00"/>
    <m/>
    <m/>
    <m/>
    <m/>
    <s v="Pass"/>
    <d v="2562-02-22T00:00:00"/>
    <s v="Pass"/>
    <d v="2562-02-16T00:00:00"/>
    <m/>
    <m/>
    <x v="60"/>
    <n v="-7"/>
  </r>
  <r>
    <s v="กุมภาพันธ์"/>
    <d v="2562-02-16T00:00:00"/>
    <x v="0"/>
    <n v="620132"/>
    <x v="4"/>
    <s v="TL620223"/>
    <n v="620223"/>
    <x v="1"/>
    <s v="Std. ไม่เกิน 30 D"/>
    <x v="160"/>
    <s v="Std.เกินกว่ามาตรฐาน"/>
    <n v="3"/>
    <m/>
    <m/>
    <d v="2562-02-16T00:00:00"/>
    <d v="2562-02-23T00:00:00"/>
    <d v="2562-02-18T00:00:00"/>
    <s v="Pass"/>
    <d v="2562-02-18T00:00:00"/>
    <m/>
    <m/>
    <m/>
    <m/>
    <s v="Pass"/>
    <d v="2562-02-22T00:00:00"/>
    <s v="Pass"/>
    <d v="2562-02-16T00:00:00"/>
    <m/>
    <m/>
    <x v="60"/>
    <n v="-7"/>
  </r>
  <r>
    <s v="กุมภาพันธ์"/>
    <d v="2562-02-16T00:00:00"/>
    <x v="0"/>
    <n v="620133"/>
    <x v="13"/>
    <s v="TL620224"/>
    <n v="620224"/>
    <x v="0"/>
    <s v="Avg of D +10,-20 D"/>
    <x v="161"/>
    <s v="Avg สูงกว่ามาตรฐาน"/>
    <n v="23"/>
    <n v="1227.0999999999999"/>
    <s v="กรง/ก.ก."/>
    <d v="2562-02-16T00:00:00"/>
    <d v="2562-02-23T00:00:00"/>
    <d v="2562-02-18T00:00:00"/>
    <s v="Pass"/>
    <d v="2562-02-18T00:00:00"/>
    <m/>
    <m/>
    <m/>
    <m/>
    <s v="Pass"/>
    <d v="2562-02-22T00:00:00"/>
    <s v="Pass"/>
    <d v="2562-02-16T00:00:00"/>
    <m/>
    <m/>
    <x v="60"/>
    <n v="-7"/>
  </r>
  <r>
    <s v="กุมภาพันธ์"/>
    <d v="2562-02-16T00:00:00"/>
    <x v="0"/>
    <n v="620133"/>
    <x v="13"/>
    <s v="TL620224"/>
    <n v="620224"/>
    <x v="0"/>
    <s v="Std. ไม่เกิน 30 D"/>
    <x v="9"/>
    <s v="Std.เกินกว่ามาตรฐาน"/>
    <n v="1"/>
    <m/>
    <m/>
    <d v="2562-02-16T00:00:00"/>
    <d v="2562-02-23T00:00:00"/>
    <d v="2562-02-18T00:00:00"/>
    <s v="Pass"/>
    <d v="2562-02-18T00:00:00"/>
    <m/>
    <m/>
    <m/>
    <m/>
    <s v="Pass"/>
    <d v="2562-02-22T00:00:00"/>
    <s v="Pass"/>
    <d v="2562-02-16T00:00:00"/>
    <m/>
    <m/>
    <x v="60"/>
    <n v="-7"/>
  </r>
  <r>
    <s v="กุมภาพันธ์"/>
    <d v="2562-02-17T00:00:00"/>
    <x v="1"/>
    <n v="620134"/>
    <x v="14"/>
    <n v="62021720"/>
    <s v="28/170261"/>
    <x v="15"/>
    <s v="125-128"/>
    <x v="162"/>
    <s v="น้ำหนักต่ำกว่ามาตรฐาน"/>
    <n v="0.96999999999999886"/>
    <s v="1500/189.1"/>
    <s v="เมตร/ก.ก."/>
    <d v="2562-02-17T00:00:00"/>
    <d v="2562-02-24T00:00:00"/>
    <d v="2562-02-19T00:00:00"/>
    <s v="Pass"/>
    <d v="2562-02-18T00:00:00"/>
    <m/>
    <m/>
    <m/>
    <m/>
    <s v="Pass"/>
    <d v="2562-02-18T00:00:00"/>
    <s v="Pass"/>
    <d v="2562-02-20T00:00:00"/>
    <m/>
    <m/>
    <x v="16"/>
    <m/>
  </r>
  <r>
    <s v="กุมภาพันธ์"/>
    <d v="2562-02-17T00:00:00"/>
    <x v="1"/>
    <n v="620135"/>
    <x v="8"/>
    <n v="62021727"/>
    <s v="34/170261"/>
    <x v="6"/>
    <s v="119-121"/>
    <x v="163"/>
    <s v="น้ำหนักต่ำกว่ามาตรฐาน"/>
    <n v="7.9999999999998295E-2"/>
    <s v="1518/164.1"/>
    <s v="เมตร/ก.ก."/>
    <d v="2562-02-17T00:00:00"/>
    <d v="2562-02-24T00:00:00"/>
    <d v="2562-02-19T00:00:00"/>
    <s v="Pass"/>
    <d v="2562-02-18T00:00:00"/>
    <m/>
    <m/>
    <m/>
    <m/>
    <s v="Pass"/>
    <d v="2562-02-18T00:00:00"/>
    <s v="Pass"/>
    <d v="2562-02-20T00:00:00"/>
    <m/>
    <m/>
    <x v="39"/>
    <n v="-4"/>
  </r>
  <r>
    <s v="กุมภาพันธ์"/>
    <d v="2562-02-18T00:00:00"/>
    <x v="0"/>
    <n v="620136"/>
    <x v="11"/>
    <s v="TL620225"/>
    <n v="620225"/>
    <x v="0"/>
    <s v="Avg of D +10,-20 D"/>
    <x v="164"/>
    <s v="Avg ต่ำกว่ามาตรฐาน"/>
    <n v="5"/>
    <s v="1/315.1"/>
    <s v="กรง/ก.ก."/>
    <d v="2562-02-18T00:00:00"/>
    <d v="2562-02-25T00:00:00"/>
    <d v="2562-02-20T00:00:00"/>
    <s v="Pass"/>
    <d v="2562-02-19T00:00:00"/>
    <m/>
    <m/>
    <m/>
    <m/>
    <s v="Pass"/>
    <d v="2562-02-22T00:00:00"/>
    <s v="Pass"/>
    <d v="2562-02-19T00:00:00"/>
    <m/>
    <m/>
    <x v="61"/>
    <n v="-6"/>
  </r>
  <r>
    <s v="กุมภาพันธ์"/>
    <d v="2562-02-18T00:00:00"/>
    <x v="1"/>
    <n v="620137"/>
    <x v="14"/>
    <n v="62021851"/>
    <s v="02/180262"/>
    <x v="35"/>
    <s v="125-128"/>
    <x v="165"/>
    <s v="น้ำหนักต่ำกว่ามาตรฐาน"/>
    <n v="5.0699999999999932"/>
    <s v="1500/183.6"/>
    <s v="เมตร/ก.ก."/>
    <d v="2562-02-18T00:00:00"/>
    <d v="2562-02-25T00:00:00"/>
    <d v="2562-02-20T00:00:00"/>
    <s v="Pass"/>
    <d v="2562-02-18T00:00:00"/>
    <m/>
    <m/>
    <m/>
    <m/>
    <s v="Pass"/>
    <d v="2562-02-18T00:00:00"/>
    <s v="Pass"/>
    <d v="2562-02-20T00:00:00"/>
    <m/>
    <m/>
    <x v="40"/>
    <n v="-5"/>
  </r>
  <r>
    <s v="กุมภาพันธ์"/>
    <d v="2562-02-18T00:00:00"/>
    <x v="1"/>
    <n v="620138"/>
    <x v="35"/>
    <n v="62021869"/>
    <s v="66/180262"/>
    <x v="30"/>
    <s v="79-80"/>
    <x v="166"/>
    <s v="น้ำหนักสูงกว่ามาตรฐาน"/>
    <n v="2.4000000000000057"/>
    <s v="2323/191.2"/>
    <s v="เมตร/ก.ก."/>
    <d v="2562-02-18T00:00:00"/>
    <d v="2562-02-25T00:00:00"/>
    <d v="2562-02-20T00:00:00"/>
    <s v="Pass"/>
    <d v="2562-02-18T00:00:00"/>
    <m/>
    <m/>
    <m/>
    <m/>
    <s v="Pass"/>
    <d v="2562-02-18T00:00:00"/>
    <s v="Pass"/>
    <d v="2562-02-20T00:00:00"/>
    <m/>
    <m/>
    <x v="62"/>
    <n v="-5"/>
  </r>
  <r>
    <s v="กุมภาพันธ์"/>
    <d v="2562-02-19T00:00:00"/>
    <x v="1"/>
    <n v="620139"/>
    <x v="14"/>
    <n v="62021916"/>
    <s v="02/190262"/>
    <x v="35"/>
    <s v="125-128"/>
    <x v="167"/>
    <s v="น้ำหนักต่ำกว่ามาตรฐาน"/>
    <n v="1.3700000000000045"/>
    <s v="1477/183.8"/>
    <s v="เมตร/ก.ก."/>
    <d v="2562-02-19T00:00:00"/>
    <d v="2562-02-26T00:00:00"/>
    <d v="2562-02-21T00:00:00"/>
    <s v="Pass"/>
    <d v="2562-02-21T00:00:00"/>
    <m/>
    <m/>
    <m/>
    <m/>
    <s v="Pass"/>
    <d v="2562-02-26T00:00:00"/>
    <s v="Pass"/>
    <d v="2562-02-26T00:00:00"/>
    <m/>
    <m/>
    <x v="40"/>
    <n v="0"/>
  </r>
  <r>
    <s v="กุมภาพันธ์"/>
    <d v="2562-02-20T00:00:00"/>
    <x v="1"/>
    <n v="620140"/>
    <x v="8"/>
    <n v="62022028"/>
    <s v="64/200262"/>
    <x v="7"/>
    <s v="119-121"/>
    <x v="168"/>
    <s v="น้ำหนักสูงกว่ามาตรฐาน"/>
    <n v="1.4599999999999937"/>
    <s v="1500/168.5"/>
    <s v="เมตร/ก.ก."/>
    <d v="2562-02-20T00:00:00"/>
    <d v="2562-02-27T00:00:00"/>
    <d v="2562-02-22T00:00:00"/>
    <s v="Pass"/>
    <d v="2562-02-21T00:00:00"/>
    <m/>
    <m/>
    <m/>
    <m/>
    <s v="Pass"/>
    <d v="2562-02-26T00:00:00"/>
    <s v="Pass"/>
    <d v="2562-02-26T00:00:00"/>
    <m/>
    <m/>
    <x v="39"/>
    <n v="-1"/>
  </r>
  <r>
    <s v="กุมภาพันธ์"/>
    <d v="2562-02-20T00:00:00"/>
    <x v="1"/>
    <n v="620141"/>
    <x v="8"/>
    <n v="62022020"/>
    <s v="36/200262"/>
    <x v="36"/>
    <s v="119-121"/>
    <x v="169"/>
    <s v="น้ำหนักต่ำกว่ามาตรฐาน"/>
    <n v="0.98000000000000398"/>
    <s v="1382/150"/>
    <s v="เมตร/ก.ก."/>
    <d v="2562-02-20T00:00:00"/>
    <d v="2562-02-27T00:00:00"/>
    <d v="2562-02-22T00:00:00"/>
    <s v="Pass"/>
    <d v="2562-02-21T00:00:00"/>
    <m/>
    <m/>
    <m/>
    <m/>
    <s v="Pass"/>
    <d v="2562-02-26T00:00:00"/>
    <s v="Pass"/>
    <d v="2562-02-26T00:00:00"/>
    <m/>
    <m/>
    <x v="17"/>
    <n v="-1"/>
  </r>
  <r>
    <s v="กุมภาพันธ์"/>
    <d v="2562-02-20T00:00:00"/>
    <x v="1"/>
    <n v="620142"/>
    <x v="42"/>
    <n v="62022048"/>
    <s v="31/200262"/>
    <x v="52"/>
    <s v="55-60"/>
    <x v="170"/>
    <s v="น้ำหนักต่ำกว่ามาตรฐาน"/>
    <n v="0.57999999999999829"/>
    <s v="2487/167.5"/>
    <s v="เมตร/ก.ก."/>
    <d v="2562-02-20T00:00:00"/>
    <d v="2562-02-27T00:00:00"/>
    <d v="2562-02-22T00:00:00"/>
    <s v="Pass"/>
    <d v="2562-02-21T00:00:00"/>
    <m/>
    <m/>
    <m/>
    <m/>
    <s v="Pass"/>
    <d v="2562-02-26T00:00:00"/>
    <s v="Pass"/>
    <d v="2562-02-26T00:00:00"/>
    <m/>
    <m/>
    <x v="63"/>
    <n v="-1"/>
  </r>
  <r>
    <s v="กุมภาพันธ์"/>
    <d v="2562-02-20T00:00:00"/>
    <x v="1"/>
    <n v="620143"/>
    <x v="14"/>
    <n v="62022062"/>
    <s v="62/200262"/>
    <x v="53"/>
    <s v="125-128"/>
    <x v="171"/>
    <s v="น้ำหนักต่ำกว่ามาตรฐาน"/>
    <n v="1.5699999999999932"/>
    <s v="1500/188.3"/>
    <s v="เมตร/ก.ก."/>
    <d v="2562-02-20T00:00:00"/>
    <d v="2562-02-27T00:00:00"/>
    <d v="2562-02-22T00:00:00"/>
    <s v="Pass"/>
    <d v="2562-02-21T00:00:00"/>
    <m/>
    <m/>
    <m/>
    <m/>
    <s v="Pass"/>
    <d v="2562-02-26T00:00:00"/>
    <s v="Pass"/>
    <d v="2562-02-26T00:00:00"/>
    <m/>
    <m/>
    <x v="16"/>
    <n v="-1"/>
  </r>
  <r>
    <s v="กุมภาพันธ์"/>
    <d v="2562-02-20T00:00:00"/>
    <x v="1"/>
    <n v="620143"/>
    <x v="14"/>
    <n v="62022070"/>
    <s v="41/200262"/>
    <x v="18"/>
    <s v="125-128"/>
    <x v="172"/>
    <s v="น้ำหนักต่ำกว่ามาตรฐาน"/>
    <n v="0.46999999999999886"/>
    <s v="1617/203.2"/>
    <s v="เมตร/ก.ก."/>
    <d v="2562-02-20T00:00:00"/>
    <d v="2562-02-27T00:00:00"/>
    <d v="2562-02-22T00:00:00"/>
    <s v="Pass"/>
    <d v="2562-02-21T00:00:00"/>
    <m/>
    <m/>
    <m/>
    <m/>
    <s v="Pass"/>
    <d v="2562-02-26T00:00:00"/>
    <s v="Pass"/>
    <d v="2562-02-26T00:00:00"/>
    <m/>
    <m/>
    <x v="16"/>
    <m/>
  </r>
  <r>
    <s v="กุมภาพันธ์"/>
    <d v="2562-02-21T00:00:00"/>
    <x v="0"/>
    <n v="620144"/>
    <x v="2"/>
    <s v="TL620230"/>
    <n v="620230"/>
    <x v="1"/>
    <s v="Avg of D +10,-20 D"/>
    <x v="173"/>
    <s v="Avg ต่ำกว่ามาตรฐาน"/>
    <s v="18, 11"/>
    <s v="3/1012.6"/>
    <s v="กรง/ก.ก."/>
    <d v="2562-02-21T00:00:00"/>
    <d v="2562-02-28T00:00:00"/>
    <d v="2562-02-23T00:00:00"/>
    <s v="Pass"/>
    <d v="2562-02-23T00:00:00"/>
    <m/>
    <m/>
    <m/>
    <m/>
    <s v="Pass"/>
    <d v="2562-02-26T00:00:00"/>
    <s v="Pass"/>
    <d v="2562-02-26T00:00:00"/>
    <m/>
    <m/>
    <x v="12"/>
    <n v="-2"/>
  </r>
  <r>
    <s v="กุมภาพันธ์"/>
    <d v="2562-02-21T00:00:00"/>
    <x v="0"/>
    <n v="620144"/>
    <x v="2"/>
    <s v="TL620230"/>
    <n v="620230"/>
    <x v="1"/>
    <s v="Std. ไม่เกิน 30 D"/>
    <x v="174"/>
    <s v="Std.เกินกว่ามาตรฐาน"/>
    <s v="24, 16, 40"/>
    <m/>
    <m/>
    <d v="2562-02-21T00:00:00"/>
    <d v="2562-02-28T00:00:00"/>
    <d v="2562-02-23T00:00:00"/>
    <s v="Pass"/>
    <d v="2562-02-23T00:00:00"/>
    <m/>
    <m/>
    <m/>
    <m/>
    <s v="Pass"/>
    <d v="2562-02-26T00:00:00"/>
    <s v="Pass"/>
    <d v="2562-02-26T00:00:00"/>
    <m/>
    <m/>
    <x v="12"/>
    <n v="-2"/>
  </r>
  <r>
    <s v="กุมภาพันธ์"/>
    <d v="2562-02-21T00:00:00"/>
    <x v="0"/>
    <n v="620145"/>
    <x v="13"/>
    <s v="TL620229"/>
    <n v="620229"/>
    <x v="0"/>
    <s v="Avg of D +10,-20 D"/>
    <x v="175"/>
    <s v="Avg สูงกว่ามาตรฐาน"/>
    <n v="27"/>
    <s v="1/234.3"/>
    <s v="กรง/ก.ก."/>
    <d v="2562-02-21T00:00:00"/>
    <d v="2562-02-28T00:00:00"/>
    <d v="2562-02-23T00:00:00"/>
    <s v="Pass"/>
    <d v="2562-02-23T00:00:00"/>
    <m/>
    <m/>
    <m/>
    <m/>
    <s v="Pass"/>
    <d v="2562-02-26T00:00:00"/>
    <s v="Pass"/>
    <d v="2562-02-26T00:00:00"/>
    <m/>
    <m/>
    <x v="15"/>
    <n v="-2"/>
  </r>
  <r>
    <s v="กุมภาพันธ์"/>
    <d v="2562-02-21T00:00:00"/>
    <x v="0"/>
    <n v="620145"/>
    <x v="13"/>
    <s v="TL620229"/>
    <n v="620229"/>
    <x v="0"/>
    <s v="Std. ไม่เกิน 30 D"/>
    <x v="9"/>
    <s v="Std.เกินกว่ามาตรฐาน"/>
    <n v="1"/>
    <m/>
    <m/>
    <d v="2562-02-21T00:00:00"/>
    <d v="2562-02-28T00:00:00"/>
    <d v="2562-02-23T00:00:00"/>
    <s v="Pass"/>
    <d v="2562-02-23T00:00:00"/>
    <m/>
    <m/>
    <m/>
    <m/>
    <s v="Pass"/>
    <d v="2562-02-26T00:00:00"/>
    <s v="Pass"/>
    <d v="2562-02-26T00:00:00"/>
    <m/>
    <m/>
    <x v="15"/>
    <n v="-2"/>
  </r>
  <r>
    <s v="กุมภาพันธ์"/>
    <d v="2562-02-21T00:00:00"/>
    <x v="1"/>
    <n v="620146"/>
    <x v="6"/>
    <n v="62022130"/>
    <s v="23/210262"/>
    <x v="37"/>
    <s v="76-78"/>
    <x v="176"/>
    <s v="น้ำหนักสูงกว่ามาตรฐาน"/>
    <n v="1.6500000000000057"/>
    <s v="1580/123.2"/>
    <s v="เมตร/ก.ก."/>
    <d v="2562-02-21T00:00:00"/>
    <d v="2562-02-28T00:00:00"/>
    <d v="2562-02-23T00:00:00"/>
    <s v="Pass"/>
    <d v="2562-02-21T00:00:00"/>
    <m/>
    <m/>
    <m/>
    <m/>
    <s v="Pass"/>
    <d v="2562-02-26T00:00:00"/>
    <s v="Pass"/>
    <d v="2562-02-26T00:00:00"/>
    <m/>
    <m/>
    <x v="21"/>
    <n v="-2"/>
  </r>
  <r>
    <s v="กุมภาพันธ์"/>
    <d v="2562-02-21T00:00:00"/>
    <x v="1"/>
    <n v="620147"/>
    <x v="8"/>
    <n v="62022109"/>
    <s v="3/210262"/>
    <x v="42"/>
    <s v="119-121"/>
    <x v="177"/>
    <s v="น้ำหนักสูงกว่ามาตรฐาน"/>
    <n v="1.0799999999999983"/>
    <s v="1500/169.2"/>
    <s v="เมตร/ก.ก."/>
    <d v="2562-02-21T00:00:00"/>
    <d v="2562-02-28T00:00:00"/>
    <d v="2562-02-23T00:00:00"/>
    <s v="Pass"/>
    <d v="2562-02-21T00:00:00"/>
    <m/>
    <m/>
    <m/>
    <m/>
    <s v="Pass"/>
    <d v="2562-02-26T00:00:00"/>
    <s v="Pass"/>
    <d v="2562-02-26T00:00:00"/>
    <m/>
    <m/>
    <x v="17"/>
    <n v="-2"/>
  </r>
  <r>
    <s v="กุมภาพันธ์"/>
    <d v="2562-02-21T00:00:00"/>
    <x v="1"/>
    <n v="620147"/>
    <x v="8"/>
    <n v="62022108"/>
    <s v="36/210262"/>
    <x v="36"/>
    <s v="119-121"/>
    <x v="178"/>
    <s v="น้ำหนักสูงกว่ามาตรฐาน"/>
    <n v="1.4200000000000017"/>
    <s v="1417/160.1"/>
    <s v="เมตร/ก.ก."/>
    <d v="2562-02-21T00:00:00"/>
    <d v="2562-02-28T00:00:00"/>
    <d v="2562-02-23T00:00:00"/>
    <s v="Pass"/>
    <d v="2562-02-21T00:00:00"/>
    <m/>
    <m/>
    <m/>
    <m/>
    <s v="Pass"/>
    <d v="2562-02-26T00:00:00"/>
    <s v="Pass"/>
    <d v="2562-02-26T00:00:00"/>
    <m/>
    <m/>
    <x v="17"/>
    <n v="-2"/>
  </r>
  <r>
    <s v="กุมภาพันธ์"/>
    <d v="2562-02-21T00:00:00"/>
    <x v="1"/>
    <n v="620147"/>
    <x v="8"/>
    <n v="62022107"/>
    <s v="35/210262"/>
    <x v="9"/>
    <s v="119-121"/>
    <x v="179"/>
    <s v="น้ำหนักสูงกว่ามาตรฐาน"/>
    <n v="2.2000000000000028"/>
    <s v="1340/152"/>
    <s v="เมตร/ก.ก."/>
    <d v="2562-02-21T00:00:00"/>
    <d v="2562-02-28T00:00:00"/>
    <d v="2562-02-23T00:00:00"/>
    <s v="Pass"/>
    <d v="2562-02-21T00:00:00"/>
    <m/>
    <m/>
    <m/>
    <m/>
    <s v="Pass"/>
    <d v="2562-02-26T00:00:00"/>
    <s v="Pass"/>
    <d v="2562-02-26T00:00:00"/>
    <m/>
    <m/>
    <x v="17"/>
    <n v="-2"/>
  </r>
  <r>
    <s v="กุมภาพันธ์"/>
    <d v="2562-02-21T00:00:00"/>
    <x v="1"/>
    <n v="620148"/>
    <x v="3"/>
    <n v="62022178"/>
    <s v="66/210262"/>
    <x v="30"/>
    <s v="65-70"/>
    <x v="180"/>
    <s v="น้ำหนักสูงกว่ามาตรฐาน"/>
    <n v="4.2000000000000028"/>
    <s v="1100/82.7"/>
    <s v="เมตร/ก.ก."/>
    <d v="2562-02-21T00:00:00"/>
    <d v="2562-02-28T00:00:00"/>
    <d v="2562-02-23T00:00:00"/>
    <s v="Pass"/>
    <d v="2562-02-21T00:00:00"/>
    <m/>
    <m/>
    <m/>
    <m/>
    <s v="Pass"/>
    <d v="2562-02-26T00:00:00"/>
    <s v="Pass"/>
    <d v="2562-02-26T00:00:00"/>
    <m/>
    <m/>
    <x v="21"/>
    <n v="-2"/>
  </r>
  <r>
    <s v="กุมภาพันธ์"/>
    <d v="2562-02-22T00:00:00"/>
    <x v="2"/>
    <n v="620149"/>
    <x v="43"/>
    <s v="FWBWT2036100PLM"/>
    <s v="PD462022112"/>
    <x v="54"/>
    <s v="งานพิมพ์สมบูรณ์"/>
    <x v="25"/>
    <s v="งานพิมพ์ไม่สมบูรณ์ สีลงไม่เต็ม"/>
    <s v="ไม่ผ่าน"/>
    <n v="140"/>
    <s v="ใบ"/>
    <d v="2562-02-22T00:00:00"/>
    <d v="2562-03-01T00:00:00"/>
    <d v="2562-02-24T00:00:00"/>
    <m/>
    <m/>
    <m/>
    <m/>
    <m/>
    <m/>
    <m/>
    <m/>
    <m/>
    <m/>
    <m/>
    <m/>
    <x v="3"/>
    <n v="-241852"/>
  </r>
  <r>
    <s v="กุมภาพันธ์"/>
    <d v="2562-02-22T00:00:00"/>
    <x v="0"/>
    <n v="620150"/>
    <x v="2"/>
    <s v="TL620230"/>
    <n v="620230"/>
    <x v="1"/>
    <s v="Std. ไม่เกิน 30 D"/>
    <x v="181"/>
    <s v="Std.เกินกว่ามาตรฐาน"/>
    <n v="27"/>
    <s v="1/552.8"/>
    <s v="กรง/ก.ก."/>
    <d v="2562-02-22T00:00:00"/>
    <d v="2562-03-01T00:00:00"/>
    <d v="2562-02-24T00:00:00"/>
    <s v="Pass"/>
    <d v="2562-02-23T00:00:00"/>
    <m/>
    <m/>
    <m/>
    <m/>
    <s v="Pass"/>
    <d v="2562-02-26T00:00:00"/>
    <s v="Pass"/>
    <d v="2562-02-26T00:00:00"/>
    <m/>
    <m/>
    <x v="12"/>
    <n v="-3"/>
  </r>
  <r>
    <s v="กุมภาพันธ์"/>
    <d v="2562-02-22T00:00:00"/>
    <x v="0"/>
    <n v="620151"/>
    <x v="0"/>
    <s v="TL620232"/>
    <n v="620232"/>
    <x v="1"/>
    <s v="Avg of D +10,-20 D"/>
    <x v="182"/>
    <s v="Avg สูงกว่ามาตรฐาน"/>
    <n v="59"/>
    <s v="1/274.1"/>
    <s v="กรง/ก.ก."/>
    <d v="2562-02-22T00:00:00"/>
    <d v="2562-03-01T00:00:00"/>
    <d v="2562-02-24T00:00:00"/>
    <s v="Pass"/>
    <d v="2562-02-23T00:00:00"/>
    <m/>
    <m/>
    <m/>
    <m/>
    <s v="Pass"/>
    <d v="2562-02-26T00:00:00"/>
    <s v="Pass"/>
    <d v="2562-02-26T00:00:00"/>
    <m/>
    <m/>
    <x v="0"/>
    <n v="-3"/>
  </r>
  <r>
    <s v="กุมภาพันธ์"/>
    <d v="2562-02-22T00:00:00"/>
    <x v="0"/>
    <n v="620151"/>
    <x v="0"/>
    <s v="TL620232"/>
    <n v="620232"/>
    <x v="1"/>
    <s v="ขนาดเส้นเทป(+-0.1 mm)"/>
    <x v="1"/>
    <s v="ขนาดใหญ่กว่ามาตรฐานกำหนด"/>
    <n v="0.03"/>
    <m/>
    <m/>
    <d v="2562-02-22T00:00:00"/>
    <d v="2562-03-01T00:00:00"/>
    <d v="2562-02-24T00:00:00"/>
    <s v="Pass"/>
    <d v="2562-02-23T00:00:00"/>
    <m/>
    <m/>
    <m/>
    <m/>
    <s v="Pass"/>
    <d v="2562-02-26T00:00:00"/>
    <s v="Pass"/>
    <d v="2562-02-26T00:00:00"/>
    <m/>
    <m/>
    <x v="0"/>
    <n v="-3"/>
  </r>
  <r>
    <s v="กุมภาพันธ์"/>
    <d v="2562-02-23T00:00:00"/>
    <x v="1"/>
    <n v="620152"/>
    <x v="35"/>
    <n v="62022324"/>
    <s v="20/230262"/>
    <x v="55"/>
    <s v="เส้นเทปขาว"/>
    <x v="183"/>
    <s v="เส้นเทปใสผสมยืน"/>
    <s v="ไม่ผ่าน"/>
    <s v="1510/123.6"/>
    <s v="เมตร/ก.ก."/>
    <d v="2562-02-23T00:00:00"/>
    <d v="2562-03-02T00:00:00"/>
    <d v="2562-02-25T00:00:00"/>
    <s v="Pass"/>
    <d v="2562-02-21T00:00:00"/>
    <m/>
    <m/>
    <m/>
    <m/>
    <s v="Pass"/>
    <d v="2562-02-26T00:00:00"/>
    <s v="Pass"/>
    <d v="2562-02-26T00:00:00"/>
    <m/>
    <m/>
    <x v="64"/>
    <n v="-4"/>
  </r>
  <r>
    <s v="กุมภาพันธ์"/>
    <d v="2562-02-23T00:00:00"/>
    <x v="1"/>
    <n v="620153"/>
    <x v="3"/>
    <n v="62022356"/>
    <s v="54/2302/62"/>
    <x v="3"/>
    <s v="65-70"/>
    <x v="184"/>
    <s v="น้ำหนักสูงกว่ามาตรฐาน"/>
    <n v="1.1499999999999999"/>
    <s v="2018/151.7"/>
    <s v="เมตร/ก.ก."/>
    <d v="2562-02-23T00:00:00"/>
    <d v="2562-03-02T00:00:00"/>
    <d v="2562-02-25T00:00:00"/>
    <s v="Pass"/>
    <d v="2562-02-21T00:00:00"/>
    <m/>
    <m/>
    <m/>
    <m/>
    <s v="Pass"/>
    <d v="2562-02-26T00:00:00"/>
    <s v="Pass"/>
    <d v="2562-02-26T00:00:00"/>
    <m/>
    <m/>
    <x v="4"/>
    <n v="-4"/>
  </r>
  <r>
    <s v="กุมภาพันธ์"/>
    <d v="2562-02-23T00:00:00"/>
    <x v="0"/>
    <n v="620154"/>
    <x v="4"/>
    <s v="TL620233"/>
    <n v="620233"/>
    <x v="1"/>
    <s v="Avg of D +10,-20 D"/>
    <x v="185"/>
    <s v="Avg สูงกว่ามาตรฐาน"/>
    <n v="21"/>
    <s v="1/256.2"/>
    <s v="กรง/ก.ก."/>
    <d v="2562-02-23T00:00:00"/>
    <d v="2562-03-02T00:00:00"/>
    <d v="2562-02-25T00:00:00"/>
    <s v="Pass"/>
    <d v="2562-02-26T00:00:00"/>
    <m/>
    <m/>
    <m/>
    <m/>
    <s v="Pass"/>
    <d v="2562-02-28T00:00:00"/>
    <s v="Pass"/>
    <d v="2562-02-28T00:00:00"/>
    <m/>
    <m/>
    <x v="5"/>
    <n v="-2"/>
  </r>
  <r>
    <s v="กุมภาพันธ์"/>
    <d v="2562-02-25T00:00:00"/>
    <x v="5"/>
    <n v="620155"/>
    <x v="44"/>
    <n v="62022261"/>
    <n v="620239"/>
    <x v="34"/>
    <s v="ฟิล์มลงสม่ำเสมอ"/>
    <x v="186"/>
    <s v="ฟิล์มลงไม่เต็มผ้า"/>
    <s v="ไม่ผ่าน"/>
    <s v="1975/192.3"/>
    <s v="เมตร/ก.ก."/>
    <d v="2562-02-25T00:00:00"/>
    <d v="2562-03-04T00:00:00"/>
    <d v="2562-02-27T00:00:00"/>
    <s v="Pass"/>
    <d v="2562-02-25T00:00:00"/>
    <m/>
    <m/>
    <m/>
    <m/>
    <s v="Pass"/>
    <d v="2562-02-26T00:00:00"/>
    <s v="Pass"/>
    <d v="2562-02-25T00:00:00"/>
    <m/>
    <m/>
    <x v="65"/>
    <n v="-7"/>
  </r>
  <r>
    <s v="กุมภาพันธ์"/>
    <d v="2562-02-26T00:00:00"/>
    <x v="1"/>
    <n v="620156"/>
    <x v="8"/>
    <n v="62022604"/>
    <s v="64/260262"/>
    <x v="7"/>
    <s v="119-121"/>
    <x v="187"/>
    <s v="น้ำหนักต่ำกว่ามาตรฐาน"/>
    <n v="2.0299999999999998"/>
    <s v="1500/162.6"/>
    <s v="เมตร/ก.ก."/>
    <d v="2562-02-26T00:00:00"/>
    <d v="2562-03-05T00:00:00"/>
    <d v="2562-02-28T00:00:00"/>
    <s v="Pass"/>
    <d v="2562-03-07T00:00:00"/>
    <s v="Pass"/>
    <d v="2562-03-07T00:00:00"/>
    <s v="Pass"/>
    <d v="2562-03-07T00:00:00"/>
    <s v="Pass"/>
    <d v="2562-03-07T00:00:00"/>
    <s v="Pass"/>
    <d v="2562-03-07T00:00:00"/>
    <s v="Pass"/>
    <d v="2562-03-07T00:00:00"/>
    <x v="66"/>
    <n v="2"/>
  </r>
  <r>
    <s v="กุมภาพันธ์"/>
    <d v="2562-02-26T00:00:00"/>
    <x v="1"/>
    <n v="620157"/>
    <x v="30"/>
    <n v="62022629"/>
    <s v="86/260262"/>
    <x v="56"/>
    <s v="เรียงเส้นแน่น"/>
    <x v="188"/>
    <s v="โครงสร้างผ้าไม่ครบ1จุด"/>
    <s v="ไม่ผ่าน"/>
    <s v="2000/153.6"/>
    <s v="เมตร/ก.ก."/>
    <d v="2562-02-26T00:00:00"/>
    <d v="2562-03-05T00:00:00"/>
    <d v="2562-02-28T00:00:00"/>
    <s v="Pass"/>
    <d v="2562-03-01T00:00:00"/>
    <m/>
    <m/>
    <m/>
    <m/>
    <m/>
    <m/>
    <s v="Pass"/>
    <d v="2562-03-01T00:00:00"/>
    <m/>
    <m/>
    <x v="67"/>
    <n v="-4"/>
  </r>
  <r>
    <s v="กุมภาพันธ์"/>
    <d v="2562-02-26T00:00:00"/>
    <x v="1"/>
    <n v="620157"/>
    <x v="30"/>
    <n v="62022632"/>
    <s v="87/260262"/>
    <x v="40"/>
    <s v="เรียงเส้นแน่น"/>
    <x v="188"/>
    <s v="โครงสร้างผ้าไม่ครบ1จุด"/>
    <s v="ไม่ผ่าน"/>
    <s v="2000/155"/>
    <s v="เมตร/ก.ก."/>
    <d v="2562-02-26T00:00:00"/>
    <d v="2562-03-05T00:00:00"/>
    <d v="2562-02-28T00:00:00"/>
    <s v="Pass"/>
    <d v="2562-03-01T00:00:00"/>
    <m/>
    <m/>
    <m/>
    <m/>
    <m/>
    <m/>
    <s v="Pass"/>
    <d v="2562-03-01T00:00:00"/>
    <m/>
    <m/>
    <x v="67"/>
    <m/>
  </r>
  <r>
    <s v="กุมภาพันธ์"/>
    <d v="2562-02-27T00:00:00"/>
    <x v="2"/>
    <n v="620158"/>
    <x v="45"/>
    <s v="FWBWT1934100PLM"/>
    <s v="PD462022720"/>
    <x v="50"/>
    <s v="งานพิมพ์สมบูรณ์"/>
    <x v="25"/>
    <s v="งานพิมพ์ไม่สมบูรณ์ สีลงไม่เต็ม ตัวหนังสือขาดหาย"/>
    <s v="ไม่ผ่าน"/>
    <n v="300"/>
    <s v="ใบ"/>
    <d v="2562-02-27T00:00:00"/>
    <d v="2562-03-06T00:00:00"/>
    <d v="2562-03-01T00:00:00"/>
    <m/>
    <m/>
    <m/>
    <m/>
    <m/>
    <m/>
    <m/>
    <m/>
    <m/>
    <m/>
    <m/>
    <m/>
    <x v="3"/>
    <n v="-241857"/>
  </r>
  <r>
    <s v="กุมภาพันธ์"/>
    <d v="2562-02-27T00:00:00"/>
    <x v="1"/>
    <n v="620159"/>
    <x v="6"/>
    <n v="62022732"/>
    <s v="57/270262"/>
    <x v="26"/>
    <s v="76-78"/>
    <x v="189"/>
    <s v="น้ำหนักต่ำกว่ามาตรฐาน"/>
    <n v="1.3900000000000006"/>
    <s v="2193/168.7"/>
    <s v="เมตร/ก.ก."/>
    <d v="2562-02-27T00:00:00"/>
    <d v="2562-03-06T00:00:00"/>
    <d v="2562-03-01T00:00:00"/>
    <s v="Pass"/>
    <d v="2562-03-06T00:00:00"/>
    <m/>
    <m/>
    <m/>
    <m/>
    <s v="Pass"/>
    <d v="2562-03-07T00:00:00"/>
    <s v="Pass"/>
    <d v="2562-03-07T00:00:00"/>
    <m/>
    <m/>
    <x v="68"/>
    <n v="1"/>
  </r>
  <r>
    <s v="กุมภาพันธ์"/>
    <d v="2562-02-28T00:00:00"/>
    <x v="1"/>
    <n v="620160"/>
    <x v="14"/>
    <n v="62022823"/>
    <s v="9/280262"/>
    <x v="57"/>
    <s v="125-128"/>
    <x v="190"/>
    <s v="น้ำหนักสูงกว่ามาตรฐาน"/>
    <n v="1.26"/>
    <s v="910/119.3"/>
    <s v="เมตร/ก.ก."/>
    <d v="2562-02-28T00:00:00"/>
    <d v="2562-03-07T00:00:00"/>
    <d v="2562-03-02T00:00:00"/>
    <s v="Pass"/>
    <d v="2562-03-07T00:00:00"/>
    <s v="Pass"/>
    <d v="2562-03-07T00:00:00"/>
    <s v="Pass"/>
    <d v="2562-03-07T00:00:00"/>
    <s v="Pass"/>
    <d v="2562-03-07T00:00:00"/>
    <s v="Pass"/>
    <d v="2562-03-07T00:00:00"/>
    <s v="WSWT2321112512551ผสม"/>
    <m/>
    <x v="69"/>
    <n v="0"/>
  </r>
  <r>
    <s v="มีนาคม"/>
    <d v="2562-03-01T00:00:00"/>
    <x v="2"/>
    <n v="620161"/>
    <x v="46"/>
    <s v="FWBWT203780P"/>
    <s v="PD462022705"/>
    <x v="54"/>
    <s v="งานพิมพ์สมบูรณ์"/>
    <x v="25"/>
    <s v="งานพิมพ์ไม่สมบูรณ์ สีลงไม่เต็ม "/>
    <s v="ไม่ผ่าน"/>
    <n v="161"/>
    <s v="ใบ"/>
    <d v="2562-03-01T00:00:00"/>
    <d v="2562-03-08T00:00:00"/>
    <d v="2562-03-03T00:00:00"/>
    <m/>
    <m/>
    <m/>
    <m/>
    <m/>
    <m/>
    <m/>
    <m/>
    <m/>
    <m/>
    <m/>
    <m/>
    <x v="3"/>
    <n v="-241859"/>
  </r>
  <r>
    <s v="มีนาคม"/>
    <d v="2562-03-01T00:00:00"/>
    <x v="1"/>
    <n v="620162"/>
    <x v="47"/>
    <s v="FWBWT203780P"/>
    <s v="PD462022716"/>
    <x v="58"/>
    <s v="น้ำหนักต่ำไม่ตรงตามที่กำหนด"/>
    <x v="191"/>
    <s v="ผ้าไม่ตรงตามสเปคที่กำหนด ทอติดใบประม้วนสลับ"/>
    <s v="ไม่ผ่าน"/>
    <n v="2602"/>
    <s v="ใบ"/>
    <d v="2562-03-01T00:00:00"/>
    <d v="2562-03-08T00:00:00"/>
    <d v="2562-03-03T00:00:00"/>
    <m/>
    <m/>
    <m/>
    <m/>
    <m/>
    <m/>
    <m/>
    <m/>
    <m/>
    <m/>
    <m/>
    <m/>
    <x v="3"/>
    <n v="-241859"/>
  </r>
  <r>
    <s v="มีนาคม"/>
    <d v="2562-03-01T00:00:00"/>
    <x v="1"/>
    <n v="620163"/>
    <x v="14"/>
    <n v="62030107"/>
    <s v="28/010362"/>
    <x v="15"/>
    <s v="125-128"/>
    <x v="121"/>
    <s v="น้ำหนักสูงกว่ามาตรฐาน"/>
    <n v="1.91"/>
    <s v="1500/194.2"/>
    <s v="เมตร/ก.ก."/>
    <d v="2562-03-01T00:00:00"/>
    <d v="2562-03-08T00:00:00"/>
    <d v="2562-03-03T00:00:00"/>
    <s v="Pass"/>
    <d v="2562-03-07T00:00:00"/>
    <s v="Pass"/>
    <d v="2562-03-07T00:00:00"/>
    <s v="Pass"/>
    <d v="2562-03-07T00:00:00"/>
    <s v="Pass"/>
    <d v="2562-03-07T00:00:00"/>
    <s v="Pass"/>
    <d v="2562-03-07T00:00:00"/>
    <s v="Pass"/>
    <d v="2562-03-07T00:00:00"/>
    <x v="69"/>
    <n v="-1"/>
  </r>
  <r>
    <s v="มีนาคม"/>
    <d v="2562-03-04T00:00:00"/>
    <x v="2"/>
    <n v="620164"/>
    <x v="48"/>
    <s v="FWBWT2138102PLM"/>
    <s v="PD462030223"/>
    <x v="54"/>
    <s v="งานพิมพ์สมบูรณ์"/>
    <x v="25"/>
    <s v="งานพิมพ์ไม่สมบูรณ์ สีลงไม่เต็ม "/>
    <s v="ไม่ผ่าน"/>
    <n v="185"/>
    <s v="ใบ"/>
    <d v="2562-03-04T00:00:00"/>
    <d v="2562-03-11T00:00:00"/>
    <d v="2562-03-06T00:00:00"/>
    <m/>
    <m/>
    <m/>
    <m/>
    <m/>
    <m/>
    <m/>
    <m/>
    <m/>
    <m/>
    <m/>
    <m/>
    <x v="3"/>
    <n v="-241862"/>
  </r>
  <r>
    <s v="มีนาคม"/>
    <d v="2562-03-04T00:00:00"/>
    <x v="8"/>
    <n v="620165"/>
    <x v="49"/>
    <s v="FWBWT2337120P"/>
    <s v="PD462022601"/>
    <x v="59"/>
    <s v="ผ้าเรียบสม่ำเสมอ"/>
    <x v="192"/>
    <s v="งานตีคืนจากลูกค้า"/>
    <s v="ไม่ผ่าน"/>
    <n v="50100"/>
    <s v="ใบ"/>
    <d v="2562-03-04T00:00:00"/>
    <d v="2562-03-11T00:00:00"/>
    <d v="2562-03-06T00:00:00"/>
    <m/>
    <m/>
    <m/>
    <m/>
    <m/>
    <m/>
    <m/>
    <m/>
    <m/>
    <m/>
    <m/>
    <m/>
    <x v="3"/>
    <n v="-241862"/>
  </r>
  <r>
    <s v="มีนาคม"/>
    <d v="2562-03-04T00:00:00"/>
    <x v="1"/>
    <n v="620166"/>
    <x v="35"/>
    <n v="62030407"/>
    <s v="17/040362"/>
    <x v="60"/>
    <s v="79-80"/>
    <x v="193"/>
    <s v="น้ำหนักสูงกว่ามาตรฐาน"/>
    <n v="2.9699999999999989"/>
    <s v="2500/207.6"/>
    <s v="เมตร/ก.ก."/>
    <d v="2562-03-04T00:00:00"/>
    <d v="2562-03-11T00:00:00"/>
    <d v="2562-03-06T00:00:00"/>
    <s v="Pass"/>
    <d v="2562-03-07T00:00:00"/>
    <s v="Pass"/>
    <d v="2562-03-07T00:00:00"/>
    <s v="Pass"/>
    <d v="2562-03-07T00:00:00"/>
    <s v="Pass"/>
    <d v="2562-03-07T00:00:00"/>
    <s v="Pass"/>
    <d v="2562-03-07T00:00:00"/>
    <s v="Pass"/>
    <d v="2562-03-07T00:00:00"/>
    <x v="62"/>
    <n v="-4"/>
  </r>
  <r>
    <s v="มีนาคม"/>
    <d v="2562-03-04T00:00:00"/>
    <x v="1"/>
    <n v="620167"/>
    <x v="50"/>
    <n v="62030450"/>
    <s v="71/040362"/>
    <x v="17"/>
    <s v="ผ้าทอเรียง 2/1"/>
    <x v="194"/>
    <s v="ผ้าเป็นเม็ด"/>
    <s v="ไม่ผ่าน"/>
    <s v="2267/129.2"/>
    <s v="เมตร/ก.ก."/>
    <d v="2562-03-04T00:00:00"/>
    <d v="2562-03-11T00:00:00"/>
    <d v="2562-03-06T00:00:00"/>
    <s v="Pass"/>
    <d v="2562-03-07T00:00:00"/>
    <s v="Pass"/>
    <d v="2562-03-07T00:00:00"/>
    <s v="Pass"/>
    <d v="2562-03-07T00:00:00"/>
    <s v="Pass"/>
    <d v="2562-03-07T00:00:00"/>
    <s v="Pass"/>
    <d v="2562-03-07T00:00:00"/>
    <s v="Pass"/>
    <d v="2562-03-07T00:00:00"/>
    <x v="70"/>
    <n v="-5"/>
  </r>
  <r>
    <s v="มีนาคม"/>
    <d v="2562-03-05T00:00:00"/>
    <x v="2"/>
    <n v="620168"/>
    <x v="51"/>
    <s v="FWBWT203780P"/>
    <s v="PD462030508"/>
    <x v="12"/>
    <s v="งานพิมพ์สมบูรณ์"/>
    <x v="25"/>
    <s v="งานพิมพ์ไม่สมบูรณ์ "/>
    <s v="ไม่ผ่าน"/>
    <n v="193"/>
    <s v="ใบ"/>
    <d v="2562-03-05T00:00:00"/>
    <d v="2562-03-12T00:00:00"/>
    <d v="2562-03-07T00:00:00"/>
    <m/>
    <m/>
    <m/>
    <m/>
    <m/>
    <m/>
    <m/>
    <m/>
    <m/>
    <m/>
    <m/>
    <m/>
    <x v="3"/>
    <n v="-241863"/>
  </r>
  <r>
    <s v="มีนาคม"/>
    <d v="2562-03-05T00:00:00"/>
    <x v="2"/>
    <n v="620169"/>
    <x v="52"/>
    <s v="FWBWT203798PLM"/>
    <s v="PD462030517"/>
    <x v="12"/>
    <s v="งานพิมพ์สมบูรณ์"/>
    <x v="25"/>
    <s v="งานพิมพ์ไม่สมบูรณ์ "/>
    <s v="ไม่ผ่าน"/>
    <n v="203"/>
    <s v="ใบ"/>
    <d v="2562-03-05T00:00:00"/>
    <d v="2562-03-12T00:00:00"/>
    <d v="2562-03-07T00:00:00"/>
    <m/>
    <m/>
    <m/>
    <m/>
    <m/>
    <m/>
    <m/>
    <m/>
    <m/>
    <m/>
    <m/>
    <m/>
    <x v="3"/>
    <n v="-241863"/>
  </r>
  <r>
    <s v="มีนาคม"/>
    <d v="2562-03-05T00:00:00"/>
    <x v="1"/>
    <n v="620170"/>
    <x v="35"/>
    <n v="62030517"/>
    <s v="17/050362"/>
    <x v="60"/>
    <s v="79-80"/>
    <x v="195"/>
    <s v="น้ำหนักสูงกว่ามาตรฐาน"/>
    <n v="3.4099999999999966"/>
    <s v="1879/159.4"/>
    <s v="เมตร/ก.ก."/>
    <d v="2562-03-05T00:00:00"/>
    <d v="2562-03-12T00:00:00"/>
    <d v="2562-03-07T00:00:00"/>
    <s v="Pass"/>
    <d v="2562-03-07T00:00:00"/>
    <s v="Pass"/>
    <d v="2562-03-07T00:00:00"/>
    <s v="Pass"/>
    <d v="2562-03-07T00:00:00"/>
    <s v="Pass"/>
    <d v="2562-03-07T00:00:00"/>
    <s v="Pass"/>
    <d v="2562-03-07T00:00:00"/>
    <s v="Pass"/>
    <d v="2562-03-07T00:00:00"/>
    <x v="71"/>
    <n v="-5"/>
  </r>
  <r>
    <s v="มีนาคม"/>
    <d v="2562-03-05T00:00:00"/>
    <x v="0"/>
    <n v="620171"/>
    <x v="11"/>
    <s v="TL620304"/>
    <n v="620304"/>
    <x v="1"/>
    <s v="Avg of D +10,-20 D"/>
    <x v="196"/>
    <s v="Avg ต่ำกว่ามาตรฐาน"/>
    <n v="38"/>
    <s v="1/328.2"/>
    <s v="กรง/ก.ก."/>
    <d v="2562-03-05T00:00:00"/>
    <d v="2562-03-12T00:00:00"/>
    <d v="2562-03-07T00:00:00"/>
    <s v="Pass"/>
    <d v="2562-03-12T00:00:00"/>
    <m/>
    <m/>
    <m/>
    <m/>
    <s v="Pass"/>
    <d v="2562-03-13T00:00:00"/>
    <s v="Pass"/>
    <d v="2562-03-14T00:00:00"/>
    <m/>
    <m/>
    <x v="13"/>
    <n v="2"/>
  </r>
  <r>
    <s v="มีนาคม"/>
    <d v="2562-03-05T00:00:00"/>
    <x v="0"/>
    <n v="620171"/>
    <x v="11"/>
    <s v="TL620304"/>
    <n v="620304"/>
    <x v="1"/>
    <s v="Std. ไม่เกิน 30 D"/>
    <x v="197"/>
    <s v="Std.เกินกว่ามาตรฐาน"/>
    <n v="57"/>
    <m/>
    <m/>
    <d v="2562-03-05T00:00:00"/>
    <d v="2562-03-12T00:00:00"/>
    <d v="2562-03-07T00:00:00"/>
    <s v="Pass"/>
    <d v="2562-03-12T00:00:00"/>
    <m/>
    <m/>
    <m/>
    <m/>
    <s v="Pass"/>
    <d v="2562-03-13T00:00:00"/>
    <s v="Pass"/>
    <d v="2562-03-14T00:00:00"/>
    <m/>
    <m/>
    <x v="13"/>
    <n v="2"/>
  </r>
  <r>
    <s v="มีนาคม"/>
    <d v="2562-03-05T00:00:00"/>
    <x v="1"/>
    <n v="620172"/>
    <x v="3"/>
    <n v="62030543"/>
    <s v="55/050362"/>
    <x v="4"/>
    <s v="67-70"/>
    <x v="198"/>
    <s v="น้ำหนักต่ำกว่ามาตรฐาน"/>
    <n v="0.31000000000000227"/>
    <s v="1947/132.7"/>
    <s v="เมตร/ก.ก."/>
    <d v="2562-03-05T00:00:00"/>
    <d v="2562-03-12T00:00:00"/>
    <d v="2562-03-07T00:00:00"/>
    <s v="Pass"/>
    <d v="2562-03-07T00:00:00"/>
    <s v="Pass"/>
    <d v="2562-03-07T00:00:00"/>
    <s v="Pass"/>
    <d v="2562-03-07T00:00:00"/>
    <s v="Pass"/>
    <d v="2562-03-07T00:00:00"/>
    <s v="Pass"/>
    <d v="2562-03-07T00:00:00"/>
    <s v="Pass"/>
    <d v="2562-03-07T00:00:00"/>
    <x v="72"/>
    <n v="-5"/>
  </r>
  <r>
    <s v="มีนาคม"/>
    <d v="2562-03-05T00:00:00"/>
    <x v="1"/>
    <n v="620173"/>
    <x v="35"/>
    <n v="62030554"/>
    <s v="16/050362"/>
    <x v="61"/>
    <s v="79-80"/>
    <x v="199"/>
    <s v="น้ำหนักสูงกว่ามาตรฐาน"/>
    <n v="2.67"/>
    <s v="1288/107.1"/>
    <s v="เมตร/ก.ก."/>
    <d v="2562-03-05T00:00:00"/>
    <d v="2562-03-12T00:00:00"/>
    <d v="2562-03-07T00:00:00"/>
    <s v="Pass"/>
    <d v="2562-03-07T00:00:00"/>
    <m/>
    <m/>
    <m/>
    <m/>
    <s v="Pass"/>
    <d v="2562-03-07T00:00:00"/>
    <s v="Pass"/>
    <d v="2562-03-07T00:00:00"/>
    <m/>
    <m/>
    <x v="73"/>
    <n v="-5"/>
  </r>
  <r>
    <s v="มีนาคม"/>
    <d v="2562-03-05T00:00:00"/>
    <x v="1"/>
    <n v="620173"/>
    <x v="35"/>
    <n v="62030553"/>
    <s v="20/050362"/>
    <x v="55"/>
    <s v="79-80"/>
    <x v="200"/>
    <s v="น้ำหนักสูงกว่ามาตรฐาน"/>
    <n v="3.2"/>
    <s v="2200/185.4"/>
    <s v="เมตร/ก.ก."/>
    <d v="2562-03-05T00:00:00"/>
    <d v="2562-03-12T00:00:00"/>
    <d v="2562-03-07T00:00:00"/>
    <s v="Pass"/>
    <d v="2562-03-07T00:00:00"/>
    <s v="Pass"/>
    <d v="2562-03-07T00:00:00"/>
    <s v="Pass"/>
    <d v="2562-03-07T00:00:00"/>
    <s v="Pass"/>
    <d v="2562-03-07T00:00:00"/>
    <s v="Pass"/>
    <d v="2562-03-07T00:00:00"/>
    <s v="WSWT2525850"/>
    <m/>
    <x v="62"/>
    <n v="-6"/>
  </r>
  <r>
    <s v="มีนาคม"/>
    <d v="2562-03-06T00:00:00"/>
    <x v="1"/>
    <n v="620174"/>
    <x v="6"/>
    <n v="62030659"/>
    <s v="16/060362"/>
    <x v="61"/>
    <s v="76-78"/>
    <x v="201"/>
    <s v="น้ำหนักสูงกว่ามาตรฐาน"/>
    <n v="2.9300000000000068"/>
    <s v="2500/201.5"/>
    <s v="เมตร/ก.ก."/>
    <d v="2562-03-06T00:00:00"/>
    <d v="2562-03-13T00:00:00"/>
    <d v="2562-03-08T00:00:00"/>
    <s v="Pass"/>
    <d v="2562-03-14T00:00:00"/>
    <m/>
    <m/>
    <m/>
    <m/>
    <s v="Pass"/>
    <d v="2562-03-14T00:00:00"/>
    <s v="Pass"/>
    <d v="2562-03-14T00:00:00"/>
    <m/>
    <m/>
    <x v="21"/>
    <n v="0"/>
  </r>
  <r>
    <s v="มีนาคม"/>
    <d v="2562-03-07T00:00:00"/>
    <x v="1"/>
    <n v="620175"/>
    <x v="30"/>
    <n v="62030715"/>
    <s v="90/070362"/>
    <x v="62"/>
    <s v="75-80"/>
    <x v="202"/>
    <s v="โครงสร้างผ้าไม่แน่น"/>
    <s v="ไม่ผ่าน"/>
    <s v="2000/157.5"/>
    <s v="เมตร/ก.ก."/>
    <d v="2562-03-07T00:00:00"/>
    <d v="2562-03-14T00:00:00"/>
    <d v="2562-03-09T00:00:00"/>
    <m/>
    <m/>
    <m/>
    <m/>
    <m/>
    <m/>
    <m/>
    <m/>
    <m/>
    <m/>
    <m/>
    <m/>
    <x v="3"/>
    <n v="-241869"/>
  </r>
  <r>
    <s v="มีนาคม"/>
    <d v="2562-03-07T00:00:00"/>
    <x v="1"/>
    <n v="620176"/>
    <x v="35"/>
    <n v="62030740"/>
    <s v="41/070362"/>
    <x v="18"/>
    <s v="79-80"/>
    <x v="203"/>
    <s v="น้ำหนักต่ำกว่ามาตรฐาน"/>
    <n v="1.1299999999999955"/>
    <s v="2040/167.3"/>
    <s v="เมตร/ก.ก."/>
    <d v="2562-03-07T00:00:00"/>
    <d v="2562-03-14T00:00:00"/>
    <d v="2562-03-09T00:00:00"/>
    <s v="Pass"/>
    <d v="2562-03-14T00:00:00"/>
    <m/>
    <m/>
    <m/>
    <m/>
    <s v="Pass"/>
    <d v="2562-03-14T00:00:00"/>
    <s v="Pass"/>
    <d v="2562-03-14T00:00:00"/>
    <m/>
    <m/>
    <x v="74"/>
    <n v="-4"/>
  </r>
  <r>
    <s v="มีนาคม"/>
    <d v="2562-03-08T00:00:00"/>
    <x v="8"/>
    <n v="620177"/>
    <x v="53"/>
    <s v="FWBWT203770P"/>
    <s v="FWBWT203780P"/>
    <x v="63"/>
    <s v="ปากไม่ลุ่ย, เปิดสม่ำเสมอทุกใบ"/>
    <x v="204"/>
    <s v="ลูกค้าพบปากกระสอบลุ่ยและปากไม่เปิด ให้นำกลับมาคัดแยกใหม่"/>
    <s v="ไม่ผ่าน"/>
    <n v="127288"/>
    <s v="ใบ"/>
    <d v="2562-03-08T00:00:00"/>
    <d v="2562-03-15T00:00:00"/>
    <d v="2562-03-10T00:00:00"/>
    <m/>
    <m/>
    <m/>
    <m/>
    <m/>
    <m/>
    <m/>
    <m/>
    <m/>
    <m/>
    <m/>
    <m/>
    <x v="3"/>
    <n v="-241869"/>
  </r>
  <r>
    <s v="มีนาคม"/>
    <d v="2562-03-11T00:00:00"/>
    <x v="1"/>
    <n v="620178"/>
    <x v="35"/>
    <n v="62031122"/>
    <s v="76/110362"/>
    <x v="51"/>
    <s v="79-80"/>
    <x v="205"/>
    <s v="น้ำหนักสูงกว่ามาตรฐาน"/>
    <n v="2.4599999999999937"/>
    <s v="2277/193.5"/>
    <s v="เมตร/ก.ก."/>
    <d v="2562-03-11T00:00:00"/>
    <d v="2562-03-18T00:00:00"/>
    <d v="2562-03-13T00:00:00"/>
    <s v="Pass"/>
    <d v="2562-03-14T00:00:00"/>
    <m/>
    <m/>
    <m/>
    <m/>
    <s v="Pass"/>
    <d v="2562-03-14T00:00:00"/>
    <s v="Pass"/>
    <d v="2562-03-14T00:00:00"/>
    <m/>
    <m/>
    <x v="62"/>
    <n v="-4"/>
  </r>
  <r>
    <s v="มีนาคม"/>
    <d v="2562-03-11T00:00:00"/>
    <x v="1"/>
    <n v="620179"/>
    <x v="3"/>
    <n v="62031198"/>
    <s v="68/110362"/>
    <x v="46"/>
    <s v="67-70"/>
    <x v="206"/>
    <s v="น้ำหนักสูงกว่ามาตรฐาน"/>
    <n v="2.2400000000000002"/>
    <n v="13.788819875776397"/>
    <s v="เมตร/ก.ก."/>
    <d v="2562-03-11T00:00:00"/>
    <d v="2562-03-18T00:00:00"/>
    <d v="2562-03-13T00:00:00"/>
    <s v="Pass"/>
    <d v="2562-03-14T00:00:00"/>
    <m/>
    <m/>
    <m/>
    <m/>
    <s v="Pass"/>
    <d v="2562-03-14T00:00:00"/>
    <s v="Pass"/>
    <d v="2562-03-14T00:00:00"/>
    <m/>
    <m/>
    <x v="4"/>
    <n v="-5"/>
  </r>
  <r>
    <s v="มีนาคม"/>
    <d v="2562-03-12T00:00:00"/>
    <x v="0"/>
    <n v="620180"/>
    <x v="0"/>
    <s v="TL620309"/>
    <n v="620309"/>
    <x v="1"/>
    <s v="Avg of D +10,-20 D"/>
    <x v="207"/>
    <s v="Avg สูงกว่ามาตรฐาน"/>
    <s v="17 ,11"/>
    <s v="3/1357.40"/>
    <s v="กรง/ก.ก."/>
    <d v="2562-03-12T00:00:00"/>
    <d v="2562-03-19T00:00:00"/>
    <d v="2562-03-14T00:00:00"/>
    <s v="Pass"/>
    <d v="2562-03-13T00:00:00"/>
    <m/>
    <m/>
    <m/>
    <m/>
    <s v="Pass"/>
    <d v="2562-03-14T00:00:00"/>
    <s v="Pass"/>
    <d v="2562-03-14T00:00:00"/>
    <m/>
    <m/>
    <x v="0"/>
    <n v="-6"/>
  </r>
  <r>
    <s v="มีนาคม"/>
    <d v="2562-03-12T00:00:00"/>
    <x v="0"/>
    <n v="620180"/>
    <x v="0"/>
    <s v="TL620309"/>
    <n v="620309"/>
    <x v="1"/>
    <s v="Std. ไม่เกิน 30 D"/>
    <x v="208"/>
    <s v="Std.เกินกว่ามาตรฐาน"/>
    <s v="35 ,15 ,6"/>
    <m/>
    <m/>
    <d v="2562-03-12T00:00:00"/>
    <d v="2562-03-19T00:00:00"/>
    <d v="2562-03-14T00:00:00"/>
    <s v="Pass"/>
    <d v="2562-03-13T00:00:00"/>
    <m/>
    <m/>
    <m/>
    <m/>
    <s v="Pass"/>
    <d v="2562-03-14T00:00:00"/>
    <s v="Pass"/>
    <d v="2562-03-14T00:00:00"/>
    <m/>
    <m/>
    <x v="0"/>
    <n v="-6"/>
  </r>
  <r>
    <s v="มีนาคม"/>
    <d v="2562-03-12T00:00:00"/>
    <x v="1"/>
    <n v="620181"/>
    <x v="3"/>
    <n v="62031259"/>
    <s v="68/110362"/>
    <x v="46"/>
    <s v="67-70"/>
    <x v="209"/>
    <s v="น้ำหนักสูงกว่ามาตรฐาน"/>
    <n v="2.4700000000000002"/>
    <s v="2206/161.6"/>
    <s v="เมตร/ก.ก."/>
    <d v="2562-03-12T00:00:00"/>
    <d v="2562-03-19T00:00:00"/>
    <d v="2562-03-14T00:00:00"/>
    <s v="Pass"/>
    <d v="2562-03-14T00:00:00"/>
    <m/>
    <m/>
    <m/>
    <m/>
    <s v="Pass"/>
    <d v="2562-03-14T00:00:00"/>
    <s v="Pass"/>
    <d v="2562-03-14T00:00:00"/>
    <m/>
    <m/>
    <x v="4"/>
    <n v="-6"/>
  </r>
  <r>
    <s v="มีนาคม"/>
    <d v="2562-03-12T00:00:00"/>
    <x v="0"/>
    <n v="620182"/>
    <x v="11"/>
    <s v="TL620310"/>
    <n v="620310"/>
    <x v="0"/>
    <s v="Avg of D +10,-20 D"/>
    <x v="46"/>
    <s v="Avg สูงกว่ามาตรฐาน"/>
    <n v="11"/>
    <s v="1/576.8"/>
    <s v="กรง/ก.ก."/>
    <d v="2562-03-12T00:00:00"/>
    <d v="2562-03-19T00:00:00"/>
    <d v="2562-03-14T00:00:00"/>
    <s v="Pass"/>
    <d v="2562-03-13T00:00:00"/>
    <m/>
    <m/>
    <m/>
    <m/>
    <s v="Pass"/>
    <d v="2562-03-14T00:00:00"/>
    <s v="Pass"/>
    <d v="2562-03-14T00:00:00"/>
    <m/>
    <m/>
    <x v="13"/>
    <n v="-6"/>
  </r>
  <r>
    <s v="มีนาคม"/>
    <d v="2562-03-13T00:00:00"/>
    <x v="0"/>
    <n v="620183"/>
    <x v="4"/>
    <s v="TL620311"/>
    <n v="620311"/>
    <x v="1"/>
    <s v="Avg of D +10,-20 D"/>
    <x v="210"/>
    <s v="Avg ต่ำกว่ามาตรฐาน"/>
    <n v="10"/>
    <s v="1/248.8"/>
    <s v="กรง/ก.ก."/>
    <d v="2562-03-13T00:00:00"/>
    <d v="2562-03-20T00:00:00"/>
    <d v="2562-03-15T00:00:00"/>
    <s v="Pass"/>
    <d v="2562-03-16T00:00:00"/>
    <m/>
    <m/>
    <m/>
    <m/>
    <s v="Pass"/>
    <d v="2562-03-18T00:00:00"/>
    <s v="Pass"/>
    <d v="2562-03-13T00:00:00"/>
    <m/>
    <m/>
    <x v="75"/>
    <n v="-7"/>
  </r>
  <r>
    <s v="มีนาคม"/>
    <d v="2562-03-13T00:00:00"/>
    <x v="0"/>
    <n v="620184"/>
    <x v="13"/>
    <s v="TL620312"/>
    <n v="620312"/>
    <x v="0"/>
    <s v="Avg of D +10,-20 D"/>
    <x v="211"/>
    <s v="Avg ต่ำกว่ามาตรฐาน"/>
    <n v="6"/>
    <s v="1/225.3"/>
    <s v="กรง/ก.ก."/>
    <d v="2562-03-13T00:00:00"/>
    <d v="2562-03-20T00:00:00"/>
    <d v="2562-03-15T00:00:00"/>
    <s v="Pass"/>
    <d v="2562-03-16T00:00:00"/>
    <m/>
    <m/>
    <m/>
    <m/>
    <s v="Pass"/>
    <d v="2562-03-18T00:00:00"/>
    <s v="Pass"/>
    <d v="2562-03-19T00:00:00"/>
    <m/>
    <m/>
    <x v="15"/>
    <n v="-2"/>
  </r>
  <r>
    <s v="มีนาคม"/>
    <d v="2562-03-14T00:00:00"/>
    <x v="2"/>
    <n v="620185"/>
    <x v="54"/>
    <s v="FWBWT203780P"/>
    <s v="PD462031323"/>
    <x v="12"/>
    <s v="งานพิมพ์สมบูรณ์"/>
    <x v="25"/>
    <s v="งานพิมพ์ไม่สมบูรณ์ "/>
    <s v="ไม่ผ่าน"/>
    <n v="213"/>
    <s v="ใบ"/>
    <d v="2562-03-14T00:00:00"/>
    <d v="2562-03-21T00:00:00"/>
    <d v="2562-03-16T00:00:00"/>
    <m/>
    <m/>
    <m/>
    <m/>
    <m/>
    <m/>
    <m/>
    <m/>
    <m/>
    <m/>
    <m/>
    <m/>
    <x v="3"/>
    <n v="-241874"/>
  </r>
  <r>
    <s v="มีนาคม"/>
    <d v="2562-03-14T00:00:00"/>
    <x v="1"/>
    <n v="620186"/>
    <x v="55"/>
    <n v="62031419"/>
    <s v="01/140362"/>
    <x v="31"/>
    <s v="63-68"/>
    <x v="212"/>
    <s v="ขอบผ้าแตกเป็นขุย"/>
    <s v="ไม่ผ่าน"/>
    <s v="710/51.4"/>
    <s v="เมตร/ก.ก."/>
    <d v="2562-03-14T00:00:00"/>
    <d v="2562-03-21T00:00:00"/>
    <d v="2562-03-16T00:00:00"/>
    <m/>
    <m/>
    <m/>
    <m/>
    <m/>
    <m/>
    <m/>
    <m/>
    <s v="Pass"/>
    <d v="2562-03-19T00:00:00"/>
    <m/>
    <m/>
    <x v="76"/>
    <n v="-8"/>
  </r>
  <r>
    <s v="มีนาคม"/>
    <d v="2562-03-14T00:00:00"/>
    <x v="1"/>
    <n v="620187"/>
    <x v="3"/>
    <n v="62031420"/>
    <s v="45/140362"/>
    <x v="64"/>
    <s v="67-70"/>
    <x v="213"/>
    <s v="ตรวจพบอะไหล่ทอหลุดอยู่ภายในม้วน"/>
    <s v="ไม่ผ่าน"/>
    <s v="2290/161.8"/>
    <s v="เมตร/ก.ก."/>
    <d v="2562-03-14T00:00:00"/>
    <d v="2562-03-21T00:00:00"/>
    <d v="2562-03-16T00:00:00"/>
    <s v="Pass"/>
    <d v="2562-03-20T00:00:00"/>
    <m/>
    <m/>
    <m/>
    <m/>
    <s v="Pass"/>
    <d v="2562-04-02T00:00:00"/>
    <s v="Pass"/>
    <d v="2562-04-02T00:00:00"/>
    <m/>
    <m/>
    <x v="77"/>
    <n v="10"/>
  </r>
  <r>
    <s v="มีนาคม"/>
    <d v="2562-03-16T00:00:00"/>
    <x v="0"/>
    <n v="620188"/>
    <x v="2"/>
    <s v="TL620317"/>
    <n v="620317"/>
    <x v="1"/>
    <s v="Avg of D +10,-20 D"/>
    <x v="214"/>
    <s v="Avg ต่ำกว่ามาตรฐาน"/>
    <s v="54 ,3 ,32"/>
    <s v="6/2597.20"/>
    <s v="กรง/ก.ก."/>
    <d v="2562-03-16T00:00:00"/>
    <d v="2562-03-23T00:00:00"/>
    <d v="2562-03-18T00:00:00"/>
    <s v="Pass"/>
    <d v="2562-03-19T00:00:00"/>
    <m/>
    <m/>
    <m/>
    <m/>
    <s v="Pass"/>
    <d v="2562-03-23T00:00:00"/>
    <s v="Pass"/>
    <d v="2562-03-25T00:00:00"/>
    <m/>
    <m/>
    <x v="78"/>
    <n v="-2"/>
  </r>
  <r>
    <s v="มีนาคม"/>
    <d v="2562-03-16T00:00:00"/>
    <x v="0"/>
    <n v="620188"/>
    <x v="2"/>
    <s v="TL620317"/>
    <n v="620317"/>
    <x v="1"/>
    <s v="Std. ไม่เกิน 30 D"/>
    <x v="215"/>
    <s v="Std.เกินกว่ามาตรฐาน"/>
    <s v="3 ,54 ,22 ,24 ,16 ,6"/>
    <m/>
    <m/>
    <d v="2562-03-16T00:00:00"/>
    <d v="2562-03-23T00:00:00"/>
    <d v="2562-03-18T00:00:00"/>
    <s v="Pass"/>
    <d v="2562-03-19T00:00:00"/>
    <m/>
    <m/>
    <m/>
    <m/>
    <s v="Pass"/>
    <d v="2562-03-23T00:00:00"/>
    <s v="Pass"/>
    <d v="2562-03-25T00:00:00"/>
    <m/>
    <m/>
    <x v="78"/>
    <n v="-3"/>
  </r>
  <r>
    <s v="มีนาคม"/>
    <d v="2562-03-16T00:00:00"/>
    <x v="0"/>
    <n v="620188"/>
    <x v="2"/>
    <s v="TL620317"/>
    <n v="620317"/>
    <x v="1"/>
    <s v="Avg of D +10,-20 D"/>
    <x v="216"/>
    <s v="Avg สูงกว่ามาตรฐาน"/>
    <s v="6 ,6 ,3"/>
    <m/>
    <m/>
    <d v="2562-03-16T00:00:00"/>
    <d v="2562-03-23T00:00:00"/>
    <d v="2562-03-18T00:00:00"/>
    <s v="Pass"/>
    <d v="2562-03-19T00:00:00"/>
    <m/>
    <m/>
    <m/>
    <m/>
    <s v="Pass"/>
    <d v="2562-03-23T00:00:00"/>
    <s v="Pass"/>
    <d v="2562-03-25T00:00:00"/>
    <m/>
    <m/>
    <x v="78"/>
    <n v="-3"/>
  </r>
  <r>
    <s v="มีนาคม"/>
    <d v="2562-03-16T00:00:00"/>
    <x v="0"/>
    <n v="620189"/>
    <x v="32"/>
    <s v="TL620319"/>
    <n v="620319"/>
    <x v="0"/>
    <s v="Avg of D +10,-20 D"/>
    <x v="217"/>
    <s v="Avg สูงกว่ามาตรฐาน"/>
    <s v="14 ,4"/>
    <s v="2/807.80"/>
    <s v="กรง/ก.ก."/>
    <d v="2562-03-16T00:00:00"/>
    <d v="2562-03-23T00:00:00"/>
    <d v="2562-03-18T00:00:00"/>
    <s v="Pass"/>
    <d v="2562-03-19T00:00:00"/>
    <m/>
    <m/>
    <m/>
    <m/>
    <s v="Pass"/>
    <d v="2562-03-23T00:00:00"/>
    <s v="Pass"/>
    <d v="2562-03-25T00:00:00"/>
    <m/>
    <m/>
    <x v="79"/>
    <n v="-3"/>
  </r>
  <r>
    <s v="มีนาคม"/>
    <d v="2562-03-16T00:00:00"/>
    <x v="0"/>
    <n v="620189"/>
    <x v="32"/>
    <s v="TL620319"/>
    <n v="620319"/>
    <x v="0"/>
    <s v="Std. ไม่เกิน 30 D"/>
    <x v="218"/>
    <s v="Std.เกินกว่ามาตรฐาน"/>
    <n v="25"/>
    <m/>
    <m/>
    <d v="2562-03-16T00:00:00"/>
    <d v="2562-03-23T00:00:00"/>
    <d v="2562-03-18T00:00:00"/>
    <s v="Pass"/>
    <d v="2562-03-19T00:00:00"/>
    <m/>
    <m/>
    <m/>
    <m/>
    <s v="Pass"/>
    <d v="2562-03-23T00:00:00"/>
    <s v="Pass"/>
    <d v="2562-03-25T00:00:00"/>
    <m/>
    <m/>
    <x v="79"/>
    <n v="-3"/>
  </r>
  <r>
    <s v="มีนาคม"/>
    <d v="2562-03-19T00:00:00"/>
    <x v="1"/>
    <n v="620190"/>
    <x v="56"/>
    <n v="62031956"/>
    <s v="08/190362"/>
    <x v="65"/>
    <s v="135-140"/>
    <x v="219"/>
    <s v="ผ้าเป็นร่องและด้ายยืนหนีบ"/>
    <s v="ไม่ผ่าน"/>
    <s v="1459/202"/>
    <s v="เมตร/ก.ก."/>
    <d v="2562-03-19T00:00:00"/>
    <d v="2562-03-26T00:00:00"/>
    <d v="2562-03-21T00:00:00"/>
    <s v="Pass"/>
    <d v="2562-03-25T00:00:00"/>
    <m/>
    <m/>
    <m/>
    <m/>
    <s v="Pass"/>
    <d v="2562-03-25T00:00:00"/>
    <s v="Pass"/>
    <d v="2562-03-25T00:00:00"/>
    <m/>
    <m/>
    <x v="80"/>
    <n v="-3"/>
  </r>
  <r>
    <s v="มีนาคม"/>
    <d v="2562-03-19T00:00:00"/>
    <x v="1"/>
    <n v="620190"/>
    <x v="56"/>
    <n v="62031953"/>
    <s v="27/190362"/>
    <x v="28"/>
    <s v="135-140"/>
    <x v="219"/>
    <s v="ผ้าเป็นร่องและด้ายยืนหนีบ"/>
    <s v="ไม่ผ่าน"/>
    <s v="1460/202.7"/>
    <s v="เมตร/ก.ก."/>
    <d v="2562-03-19T00:00:00"/>
    <d v="2562-03-26T00:00:00"/>
    <d v="2562-03-21T00:00:00"/>
    <s v="Pass"/>
    <d v="2562-03-25T00:00:00"/>
    <m/>
    <m/>
    <m/>
    <m/>
    <s v="Pass"/>
    <d v="2562-03-25T00:00:00"/>
    <s v="Pass"/>
    <d v="2562-03-25T00:00:00"/>
    <m/>
    <m/>
    <x v="80"/>
    <m/>
  </r>
  <r>
    <s v="มีนาคม"/>
    <d v="2562-03-19T00:00:00"/>
    <x v="1"/>
    <n v="620190"/>
    <x v="56"/>
    <n v="62031965"/>
    <s v="28/190362"/>
    <x v="15"/>
    <s v="135-140"/>
    <x v="219"/>
    <s v="ผ้าเป็นร่องและด้ายยืนหนีบ"/>
    <s v="ไม่ผ่าน"/>
    <s v="1190/167"/>
    <s v="เมตร/ก.ก."/>
    <d v="2562-03-19T00:00:00"/>
    <d v="2562-03-26T00:00:00"/>
    <d v="2562-03-21T00:00:00"/>
    <s v="Pass"/>
    <d v="2562-03-25T00:00:00"/>
    <m/>
    <m/>
    <m/>
    <m/>
    <s v="Pass"/>
    <d v="2562-03-25T00:00:00"/>
    <s v="Pass"/>
    <d v="2562-03-25T00:00:00"/>
    <m/>
    <m/>
    <x v="80"/>
    <m/>
  </r>
  <r>
    <s v="มีนาคม"/>
    <d v="2562-03-20T00:00:00"/>
    <x v="1"/>
    <n v="620191"/>
    <x v="15"/>
    <n v="62032062"/>
    <s v="68/200362"/>
    <x v="46"/>
    <s v="120-123"/>
    <x v="220"/>
    <s v="น้ำหนักต่ำกว่ามาตรฐาน"/>
    <n v="3.0100000000000051"/>
    <s v="1181/140.7"/>
    <s v="เมตร/ก.ก."/>
    <d v="2562-03-20T00:00:00"/>
    <d v="2562-03-27T00:00:00"/>
    <d v="2562-03-22T00:00:00"/>
    <s v="Pass"/>
    <d v="2562-03-25T00:00:00"/>
    <m/>
    <m/>
    <m/>
    <m/>
    <s v="Pass"/>
    <d v="2562-03-25T00:00:00"/>
    <s v="Pass"/>
    <d v="2562-03-25T00:00:00"/>
    <m/>
    <m/>
    <x v="81"/>
    <n v="-3"/>
  </r>
  <r>
    <s v="มีนาคม"/>
    <d v="2562-03-21T00:00:00"/>
    <x v="1"/>
    <n v="620192"/>
    <x v="42"/>
    <n v="62032123"/>
    <s v="13/210362"/>
    <x v="66"/>
    <s v="55-60"/>
    <x v="221"/>
    <s v="น้ำหนักเฉลี่ยม้วนต่ำกว่ามาตรฐาน"/>
    <n v="-0.42000000000000171"/>
    <s v="2402/161.1"/>
    <s v="เมตร/ก.ก."/>
    <d v="2562-03-21T00:00:00"/>
    <d v="2562-03-28T00:00:00"/>
    <d v="2562-03-23T00:00:00"/>
    <s v="Pass"/>
    <d v="2562-03-29T00:00:00"/>
    <m/>
    <m/>
    <m/>
    <m/>
    <s v="Pass"/>
    <d v="2562-03-30T00:00:00"/>
    <s v="Pass"/>
    <d v="2562-04-02T00:00:00"/>
    <m/>
    <m/>
    <x v="82"/>
    <n v="5"/>
  </r>
  <r>
    <s v="มีนาคม"/>
    <d v="2562-03-21T00:00:00"/>
    <x v="1"/>
    <n v="620193"/>
    <x v="14"/>
    <n v="62032167"/>
    <s v="27/210362"/>
    <x v="28"/>
    <s v="125-128"/>
    <x v="222"/>
    <s v="น้ำหนักสูงกว่ามาตรฐาน"/>
    <n v="1.5800000000000125"/>
    <s v="1500/197"/>
    <s v="เมตร/ก.ก."/>
    <d v="2562-03-21T00:00:00"/>
    <d v="2562-03-28T00:00:00"/>
    <d v="2562-03-23T00:00:00"/>
    <s v="Pass"/>
    <d v="2562-03-22T00:00:00"/>
    <m/>
    <m/>
    <m/>
    <m/>
    <s v="Pass"/>
    <d v="2562-03-22T00:00:00"/>
    <s v="Pass"/>
    <d v="2562-03-22T00:00:00"/>
    <m/>
    <m/>
    <x v="83"/>
    <n v="-6"/>
  </r>
  <r>
    <s v="มีนาคม"/>
    <d v="2562-03-21T00:00:00"/>
    <x v="1"/>
    <n v="620194"/>
    <x v="35"/>
    <n v="62032113"/>
    <s v="62/210362"/>
    <x v="53"/>
    <s v="79-80"/>
    <x v="223"/>
    <s v="น้ำหนักต่ำกว่ามาตรฐาน"/>
    <n v="0.54999999999999716"/>
    <s v="2303/189"/>
    <s v="เมตร/ก.ก."/>
    <d v="2562-03-21T00:00:00"/>
    <d v="2562-03-28T00:00:00"/>
    <d v="2562-03-23T00:00:00"/>
    <s v="Pass"/>
    <d v="2562-03-28T00:00:00"/>
    <m/>
    <m/>
    <m/>
    <m/>
    <s v="Pass"/>
    <d v="2562-03-28T00:00:00"/>
    <s v="Pass"/>
    <d v="2562-03-28T00:00:00"/>
    <m/>
    <m/>
    <x v="84"/>
    <m/>
  </r>
  <r>
    <s v="มีนาคม"/>
    <d v="2562-03-22T00:00:00"/>
    <x v="0"/>
    <n v="620195"/>
    <x v="2"/>
    <s v="TL620323"/>
    <n v="620323"/>
    <x v="0"/>
    <s v="Avg of D +10,-20 D"/>
    <x v="224"/>
    <s v="Avg สูงกว่ามาตรฐาน"/>
    <n v="6"/>
    <s v="4/1975.9"/>
    <s v="กรง/ก.ก."/>
    <d v="2562-03-22T00:00:00"/>
    <d v="2562-03-29T00:00:00"/>
    <d v="2562-03-24T00:00:00"/>
    <s v="Pass"/>
    <d v="2562-03-23T00:00:00"/>
    <m/>
    <m/>
    <m/>
    <m/>
    <s v="Pass"/>
    <d v="2562-03-26T00:00:00"/>
    <s v="Pass"/>
    <d v="2562-03-26T00:00:00"/>
    <m/>
    <m/>
    <x v="12"/>
    <m/>
  </r>
  <r>
    <s v="มีนาคม"/>
    <d v="2562-03-22T00:00:00"/>
    <x v="0"/>
    <n v="620195"/>
    <x v="2"/>
    <s v="TL620323"/>
    <n v="620323"/>
    <x v="0"/>
    <s v="Avg of D +10,-20 D"/>
    <x v="225"/>
    <s v="Avg ต่ำกว่ามาตรฐาน"/>
    <s v="6, 9"/>
    <m/>
    <m/>
    <d v="2562-03-22T00:00:00"/>
    <d v="2562-03-29T00:00:00"/>
    <d v="2562-03-24T00:00:00"/>
    <s v="Pass"/>
    <d v="2562-03-23T00:00:00"/>
    <m/>
    <m/>
    <m/>
    <m/>
    <s v="Pass"/>
    <d v="2562-03-26T00:00:00"/>
    <s v="Pass"/>
    <d v="2562-03-26T00:00:00"/>
    <m/>
    <m/>
    <x v="12"/>
    <m/>
  </r>
  <r>
    <s v="มีนาคม"/>
    <d v="2562-03-22T00:00:00"/>
    <x v="0"/>
    <n v="620195"/>
    <x v="2"/>
    <s v="TL620323"/>
    <n v="620323"/>
    <x v="0"/>
    <s v="Std. ไม่เกิน 30 D"/>
    <x v="160"/>
    <s v="Std.เกินกว่ามาตรฐาน"/>
    <n v="3"/>
    <m/>
    <m/>
    <d v="2562-03-22T00:00:00"/>
    <d v="2562-03-29T00:00:00"/>
    <d v="2562-03-24T00:00:00"/>
    <s v="Pass"/>
    <d v="2562-03-23T00:00:00"/>
    <m/>
    <m/>
    <m/>
    <m/>
    <s v="Pass"/>
    <d v="2562-03-26T00:00:00"/>
    <s v="Pass"/>
    <d v="2562-03-26T00:00:00"/>
    <m/>
    <m/>
    <x v="12"/>
    <m/>
  </r>
  <r>
    <s v="มีนาคม"/>
    <d v="2562-03-22T00:00:00"/>
    <x v="0"/>
    <n v="620195"/>
    <x v="2"/>
    <s v="TL620323"/>
    <n v="620323"/>
    <x v="0"/>
    <s v="Kg f ≥(4.0xD/1000) kgf."/>
    <x v="226"/>
    <s v="Kg.ต่ำกว่ามาตรฐาน"/>
    <s v="0.03, 0.03, 0.08"/>
    <m/>
    <m/>
    <d v="2562-03-22T00:00:00"/>
    <d v="2562-03-29T00:00:00"/>
    <d v="2562-03-24T00:00:00"/>
    <s v="Pass"/>
    <d v="2562-03-23T00:00:00"/>
    <m/>
    <m/>
    <m/>
    <m/>
    <s v="Pass"/>
    <d v="2562-03-26T00:00:00"/>
    <s v="Pass"/>
    <d v="2562-03-26T00:00:00"/>
    <m/>
    <m/>
    <x v="12"/>
    <m/>
  </r>
  <r>
    <s v="มีนาคม"/>
    <d v="2562-03-22T00:00:00"/>
    <x v="0"/>
    <n v="620195"/>
    <x v="2"/>
    <s v="TL620323"/>
    <n v="620323"/>
    <x v="0"/>
    <s v="Tenacity ≥  4.0 g/D"/>
    <x v="227"/>
    <s v="Tenacityต่ำกว่ามาตรฐาน"/>
    <s v="0.05, 0.02"/>
    <m/>
    <m/>
    <d v="2562-03-22T00:00:00"/>
    <d v="2562-03-29T00:00:00"/>
    <d v="2562-03-24T00:00:00"/>
    <s v="Pass"/>
    <d v="2562-03-23T00:00:00"/>
    <m/>
    <m/>
    <m/>
    <m/>
    <s v="Pass"/>
    <d v="2562-03-26T00:00:00"/>
    <s v="Pass"/>
    <d v="2562-03-26T00:00:00"/>
    <m/>
    <m/>
    <x v="12"/>
    <m/>
  </r>
  <r>
    <s v="มีนาคม"/>
    <d v="2562-03-22T00:00:00"/>
    <x v="1"/>
    <n v="620196"/>
    <x v="15"/>
    <n v="62032248"/>
    <s v="68/220362"/>
    <x v="46"/>
    <s v="120-123"/>
    <x v="228"/>
    <s v="น้ำหนักสูงกว่ามาตรฐาน"/>
    <n v="1.8900000000000006"/>
    <s v="1515/189.1"/>
    <s v="เมตร/ก.ก."/>
    <d v="2562-03-22T00:00:00"/>
    <d v="2562-03-29T00:00:00"/>
    <d v="2562-03-24T00:00:00"/>
    <s v="Pass"/>
    <d v="2562-04-02T00:00:00"/>
    <m/>
    <m/>
    <m/>
    <m/>
    <s v="Pass"/>
    <d v="2562-04-02T00:00:00"/>
    <s v="Pass"/>
    <d v="2562-04-02T00:00:00"/>
    <m/>
    <m/>
    <x v="24"/>
    <n v="4"/>
  </r>
  <r>
    <s v="มีนาคม"/>
    <d v="2562-03-22T00:00:00"/>
    <x v="1"/>
    <n v="620197"/>
    <x v="23"/>
    <n v="62032222"/>
    <s v="71/220362"/>
    <x v="17"/>
    <s v="100-105"/>
    <x v="229"/>
    <s v="ด้ายยืนหนีบ"/>
    <s v="ไม่ผ่าน"/>
    <s v="1448/143.4"/>
    <s v="เมตร/ก.ก."/>
    <d v="2562-03-22T00:00:00"/>
    <d v="2562-03-29T00:00:00"/>
    <d v="2562-03-24T00:00:00"/>
    <s v="Pass"/>
    <d v="2562-03-29T00:00:00"/>
    <m/>
    <m/>
    <m/>
    <m/>
    <s v="Pass"/>
    <d v="2562-03-30T00:00:00"/>
    <s v="Pass"/>
    <d v="2562-04-02T00:00:00"/>
    <m/>
    <m/>
    <x v="85"/>
    <n v="3"/>
  </r>
  <r>
    <s v="มีนาคม"/>
    <d v="2562-03-23T00:00:00"/>
    <x v="0"/>
    <n v="620198"/>
    <x v="2"/>
    <s v="TL620323"/>
    <n v="620323"/>
    <x v="0"/>
    <s v="Avg of D +10,-20 D"/>
    <x v="230"/>
    <s v="Avg สูงกว่ามาตรฐาน"/>
    <s v="11, 13"/>
    <s v="2/1151.9"/>
    <s v="กรง/ก.ก."/>
    <d v="2562-03-23T00:00:00"/>
    <d v="2562-03-30T00:00:00"/>
    <d v="2562-03-25T00:00:00"/>
    <s v="Pass"/>
    <d v="2562-03-25T00:00:00"/>
    <m/>
    <m/>
    <m/>
    <m/>
    <s v="Pass"/>
    <d v="2562-03-26T00:00:00"/>
    <s v="Pass"/>
    <d v="2562-03-26T00:00:00"/>
    <m/>
    <m/>
    <x v="12"/>
    <n v="-4"/>
  </r>
  <r>
    <s v="มีนาคม"/>
    <d v="2562-03-23T00:00:00"/>
    <x v="1"/>
    <n v="620199"/>
    <x v="3"/>
    <n v="62032355"/>
    <s v="46/230362"/>
    <x v="67"/>
    <s v="67-70"/>
    <x v="231"/>
    <s v="น้ำหนักสูงกว่ามาตรฐาน"/>
    <n v="3.3700000000000045"/>
    <s v="1847/129.1"/>
    <s v="เมตร/ก.ก."/>
    <d v="2562-03-23T00:00:00"/>
    <d v="2562-03-30T00:00:00"/>
    <d v="2562-03-25T00:00:00"/>
    <s v="Pass"/>
    <d v="2562-04-02T00:00:00"/>
    <m/>
    <m/>
    <m/>
    <m/>
    <s v="Pass"/>
    <d v="2562-04-02T00:00:00"/>
    <s v="Pass"/>
    <d v="2562-04-02T00:00:00"/>
    <m/>
    <m/>
    <x v="86"/>
    <n v="3"/>
  </r>
  <r>
    <s v="มีนาคม"/>
    <d v="2562-03-23T00:00:00"/>
    <x v="1"/>
    <n v="620200"/>
    <x v="3"/>
    <n v="62032320"/>
    <s v="54/230362"/>
    <x v="3"/>
    <s v="67-70"/>
    <x v="232"/>
    <s v="น้ำหนักสูงกว่ามาตรฐาน"/>
    <n v="2.2199999999999989"/>
    <s v="2426/174.3"/>
    <s v="เมตร/ก.ก."/>
    <d v="2562-03-23T00:00:00"/>
    <d v="2562-03-30T00:00:00"/>
    <d v="2562-03-25T00:00:00"/>
    <s v="Pass"/>
    <d v="2562-03-29T00:00:00"/>
    <m/>
    <m/>
    <m/>
    <m/>
    <s v="Pass"/>
    <d v="2562-03-30T00:00:00"/>
    <s v="Pass"/>
    <d v="2562-04-02T00:00:00"/>
    <m/>
    <m/>
    <x v="4"/>
    <n v="3"/>
  </r>
  <r>
    <s v="มีนาคม"/>
    <d v="2562-03-23T00:00:00"/>
    <x v="1"/>
    <n v="620201"/>
    <x v="6"/>
    <n v="62032353"/>
    <s v="47/230362"/>
    <x v="45"/>
    <s v="76-78"/>
    <x v="233"/>
    <s v="น้ำหนักเฉลี่ยม้วนต่ำกว่ามาตรฐาน"/>
    <n v="-0.20000000000000284"/>
    <s v="2304/173.7"/>
    <s v="เมตร/ก.ก."/>
    <d v="2562-03-23T00:00:00"/>
    <d v="2562-03-30T00:00:00"/>
    <d v="2562-03-25T00:00:00"/>
    <s v="Pass"/>
    <d v="2562-03-29T00:00:00"/>
    <m/>
    <m/>
    <m/>
    <m/>
    <s v="Pass"/>
    <d v="2562-04-02T00:00:00"/>
    <s v="Pass"/>
    <d v="2562-04-02T00:00:00"/>
    <m/>
    <m/>
    <x v="87"/>
    <n v="1"/>
  </r>
  <r>
    <s v="มีนาคม"/>
    <d v="2562-03-23T00:00:00"/>
    <x v="0"/>
    <n v="620202"/>
    <x v="4"/>
    <s v="TL620324"/>
    <n v="620324"/>
    <x v="0"/>
    <s v="ขนาดเส้นเทปคุม 2.08-2.16"/>
    <x v="234"/>
    <s v="ขนาดใหญ่กว่ามาตรฐานกำหนด"/>
    <n v="0.05"/>
    <s v="1/235.5"/>
    <s v="กรง/ก.ก."/>
    <d v="2562-03-23T00:00:00"/>
    <d v="2562-03-30T00:00:00"/>
    <d v="2562-03-25T00:00:00"/>
    <s v="Pass"/>
    <d v="2562-03-25T00:00:00"/>
    <m/>
    <m/>
    <m/>
    <m/>
    <s v="Pass"/>
    <d v="2562-03-26T00:00:00"/>
    <s v="Pass"/>
    <d v="2562-03-26T00:00:00"/>
    <m/>
    <m/>
    <x v="5"/>
    <n v="-6"/>
  </r>
  <r>
    <s v="มีนาคม"/>
    <d v="2562-03-25T00:00:00"/>
    <x v="0"/>
    <n v="620203"/>
    <x v="13"/>
    <s v="TL620325"/>
    <n v="620325"/>
    <x v="0"/>
    <s v="Avg of D +10,-20 D"/>
    <x v="235"/>
    <s v="Avg ต่ำกว่ามาตรฐาน"/>
    <n v="37"/>
    <s v="1/201.3"/>
    <s v="กรง/ก.ก."/>
    <d v="2562-03-25T00:00:00"/>
    <d v="2562-04-01T00:00:00"/>
    <d v="2562-03-27T00:00:00"/>
    <s v="Pass"/>
    <d v="2562-03-27T00:00:00"/>
    <m/>
    <m/>
    <m/>
    <m/>
    <s v="Pass"/>
    <d v="2562-04-02T00:00:00"/>
    <s v="Pass"/>
    <d v="2562-04-02T00:00:00"/>
    <m/>
    <m/>
    <x v="15"/>
    <n v="1"/>
  </r>
  <r>
    <s v="มีนาคม"/>
    <d v="2562-03-25T00:00:00"/>
    <x v="1"/>
    <n v="620204"/>
    <x v="56"/>
    <n v="62032552"/>
    <s v="42/250362"/>
    <x v="32"/>
    <s v="135-140"/>
    <x v="236"/>
    <s v="น้ำหนักต่ำกว่ามาตรฐาน"/>
    <n v="4.1899999999999977"/>
    <s v="1628/216.3"/>
    <s v="เมตร/ก.ก."/>
    <d v="2562-03-25T00:00:00"/>
    <d v="2562-04-01T00:00:00"/>
    <d v="2562-03-27T00:00:00"/>
    <s v="Pass"/>
    <d v="2562-03-28T00:00:00"/>
    <m/>
    <m/>
    <m/>
    <m/>
    <s v="Pass"/>
    <d v="2562-03-28T00:00:00"/>
    <s v="Pass"/>
    <d v="2562-03-28T00:00:00"/>
    <m/>
    <m/>
    <x v="88"/>
    <n v="-5"/>
  </r>
  <r>
    <s v="มีนาคม"/>
    <d v="2562-03-26T00:00:00"/>
    <x v="1"/>
    <n v="620205"/>
    <x v="15"/>
    <n v="62032613"/>
    <s v="75/260362"/>
    <x v="68"/>
    <s v="120-123"/>
    <x v="237"/>
    <s v="น้ำหนักสูงกว่ามาตรฐาน"/>
    <n v="1.2600000000000051"/>
    <s v="1548/196.4"/>
    <s v="เมตร/ก.ก."/>
    <d v="2562-03-26T00:00:00"/>
    <d v="2562-04-02T00:00:00"/>
    <d v="2562-03-28T00:00:00"/>
    <s v="Pass"/>
    <d v="2562-04-02T00:00:00"/>
    <m/>
    <m/>
    <m/>
    <m/>
    <s v="Pass"/>
    <d v="2562-04-02T00:00:00"/>
    <s v="Pass"/>
    <d v="2562-04-02T00:00:00"/>
    <m/>
    <m/>
    <x v="24"/>
    <n v="-1"/>
  </r>
  <r>
    <s v="มีนาคม"/>
    <d v="2562-03-26T00:00:00"/>
    <x v="1"/>
    <n v="620206"/>
    <x v="3"/>
    <n v="62032634"/>
    <s v="54/260362"/>
    <x v="3"/>
    <s v="67-70"/>
    <x v="238"/>
    <s v="น้ำหนักสูงกว่ามาตรฐาน"/>
    <n v="2.78"/>
    <s v="1422/104"/>
    <s v="เมตร/ก.ก."/>
    <d v="2562-03-26T00:00:00"/>
    <d v="2562-04-02T00:00:00"/>
    <d v="2562-03-28T00:00:00"/>
    <s v="Pass"/>
    <d v="2562-03-29T00:00:00"/>
    <m/>
    <m/>
    <m/>
    <m/>
    <s v="Pass"/>
    <d v="2562-03-30T00:00:00"/>
    <s v="Pass"/>
    <d v="2562-04-02T00:00:00"/>
    <m/>
    <m/>
    <x v="4"/>
    <n v="-1"/>
  </r>
  <r>
    <s v="มีนาคม"/>
    <d v="2562-03-27T00:00:00"/>
    <x v="1"/>
    <n v="620207"/>
    <x v="56"/>
    <n v="62032705"/>
    <s v="41/270362"/>
    <x v="18"/>
    <s v="135-140"/>
    <x v="239"/>
    <s v="น้ำหนักต่ำกว่ามาตรฐาน"/>
    <n v="1.8700000000000045"/>
    <s v="1818/247.2"/>
    <s v="เมตร/ก.ก."/>
    <d v="2562-03-27T00:00:00"/>
    <d v="2562-04-03T00:00:00"/>
    <d v="2562-03-29T00:00:00"/>
    <s v="Pass"/>
    <d v="2562-03-28T00:00:00"/>
    <m/>
    <m/>
    <m/>
    <m/>
    <s v="Pass"/>
    <d v="2562-03-30T00:00:00"/>
    <s v="Pass"/>
    <d v="2562-04-02T00:00:00"/>
    <m/>
    <m/>
    <x v="89"/>
    <n v="-2"/>
  </r>
  <r>
    <s v="มีนาคม"/>
    <d v="2562-03-28T00:00:00"/>
    <x v="2"/>
    <n v="620208"/>
    <x v="57"/>
    <s v="FWBWT213797PL"/>
    <s v="PD462032718"/>
    <x v="24"/>
    <s v="งานพิมพ์สมบูรณ์"/>
    <x v="240"/>
    <s v="สีลอกด้านหลัง"/>
    <s v="ไม่ผ่าน"/>
    <n v="3073"/>
    <s v="ใบ"/>
    <d v="2562-03-28T00:00:00"/>
    <d v="2562-04-04T00:00:00"/>
    <d v="2562-03-30T00:00:00"/>
    <m/>
    <m/>
    <m/>
    <m/>
    <m/>
    <m/>
    <m/>
    <m/>
    <m/>
    <m/>
    <m/>
    <m/>
    <x v="3"/>
    <n v="-241887"/>
  </r>
  <r>
    <s v="มีนาคม"/>
    <d v="2562-03-29T00:00:00"/>
    <x v="1"/>
    <n v="620209"/>
    <x v="14"/>
    <n v="62032905"/>
    <s v="27/290362"/>
    <x v="28"/>
    <s v="125-128"/>
    <x v="241"/>
    <s v="น้ำหนักต่ำกว่ามาตรฐาน"/>
    <n v="1.3100000000000023"/>
    <s v="1500/190.6"/>
    <s v="เมตร/ก.ก."/>
    <d v="2562-03-29T00:00:00"/>
    <d v="2562-04-05T00:00:00"/>
    <d v="2562-03-31T00:00:00"/>
    <s v="Pass"/>
    <d v="2562-03-29T00:00:00"/>
    <m/>
    <m/>
    <m/>
    <m/>
    <s v="Pass"/>
    <d v="2562-03-29T00:00:00"/>
    <s v="Pass"/>
    <d v="2562-03-29T00:00:00"/>
    <m/>
    <m/>
    <x v="83"/>
    <n v="-10"/>
  </r>
  <r>
    <s v="เมษายน"/>
    <d v="2562-04-01T00:00:00"/>
    <x v="0"/>
    <n v="620210"/>
    <x v="0"/>
    <s v="TL620401"/>
    <n v="600401"/>
    <x v="1"/>
    <s v="Avg of D +10,-20 D"/>
    <x v="242"/>
    <s v="Avg สูงกว่ามาตรฐาน"/>
    <n v="22"/>
    <s v="1/219.2"/>
    <s v="กรง/ก.ก."/>
    <d v="2562-04-01T00:00:00"/>
    <d v="2562-04-08T00:00:00"/>
    <d v="2562-04-03T00:00:00"/>
    <s v="Pass"/>
    <d v="2562-04-02T00:00:00"/>
    <m/>
    <m/>
    <m/>
    <m/>
    <s v="Pass"/>
    <d v="2562-04-03T00:00:00"/>
    <s v="Pass"/>
    <d v="2562-04-03T00:00:00"/>
    <m/>
    <m/>
    <x v="0"/>
    <n v="-6"/>
  </r>
  <r>
    <s v="เมษายน"/>
    <d v="2562-04-01T00:00:00"/>
    <x v="0"/>
    <n v="620210"/>
    <x v="0"/>
    <s v="TL620401"/>
    <n v="600401"/>
    <x v="1"/>
    <s v="Std. ไม่เกิน 30 D"/>
    <x v="243"/>
    <s v="Std.เกินกว่ามาตรฐาน"/>
    <n v="9"/>
    <m/>
    <m/>
    <d v="2562-04-01T00:00:00"/>
    <d v="2562-04-08T00:00:00"/>
    <d v="2562-04-03T00:00:00"/>
    <s v="Pass"/>
    <d v="2562-04-02T00:00:00"/>
    <m/>
    <m/>
    <m/>
    <m/>
    <s v="Pass"/>
    <d v="2562-04-03T00:00:00"/>
    <s v="Pass"/>
    <d v="2562-04-03T00:00:00"/>
    <m/>
    <m/>
    <x v="0"/>
    <n v="-6"/>
  </r>
  <r>
    <s v="เมษายน"/>
    <d v="2562-04-02T00:00:00"/>
    <x v="0"/>
    <n v="620211"/>
    <x v="58"/>
    <s v="TL620402"/>
    <n v="620402"/>
    <x v="1"/>
    <s v="Avg of D +10,-20 D"/>
    <x v="244"/>
    <s v="Avg สูงกว่ามาตรฐาน"/>
    <s v="11, 13"/>
    <s v="2/795.2"/>
    <s v="กรง/ก.ก."/>
    <d v="2562-04-02T00:00:00"/>
    <d v="2562-04-09T00:00:00"/>
    <d v="2562-04-04T00:00:00"/>
    <s v="Pass"/>
    <d v="2562-04-03T00:00:00"/>
    <m/>
    <m/>
    <m/>
    <m/>
    <s v="Pass"/>
    <d v="2562-04-08T00:00:00"/>
    <s v="Pass"/>
    <d v="2562-04-08T00:00:00"/>
    <m/>
    <m/>
    <x v="90"/>
    <n v="-1"/>
  </r>
  <r>
    <s v="เมษายน"/>
    <d v="2562-04-02T00:00:00"/>
    <x v="1"/>
    <n v="620212"/>
    <x v="23"/>
    <n v="62040257"/>
    <s v="71/020462"/>
    <x v="17"/>
    <s v="ผ้าทอสีสีเหลือง"/>
    <x v="245"/>
    <s v="ไม่ผ่าน"/>
    <s v="ไม่ผ่าน"/>
    <s v="1632/160.5"/>
    <s v="เมตร/ก.ก."/>
    <d v="2562-04-02T00:00:00"/>
    <d v="2562-04-09T00:00:00"/>
    <d v="2562-04-04T00:00:00"/>
    <s v="Pass"/>
    <d v="2562-04-04T00:00:00"/>
    <m/>
    <m/>
    <m/>
    <m/>
    <s v="Pass"/>
    <d v="2562-04-04T00:00:00"/>
    <s v="Pass"/>
    <d v="2562-04-05T00:00:00"/>
    <m/>
    <m/>
    <x v="91"/>
    <n v="-4"/>
  </r>
  <r>
    <s v="เมษายน"/>
    <d v="2562-04-02T00:00:00"/>
    <x v="1"/>
    <n v="620213"/>
    <x v="6"/>
    <n v="62040218"/>
    <s v="73/020462"/>
    <x v="69"/>
    <s v="76-78"/>
    <x v="246"/>
    <s v="น้ำหนักต่ำกว่ามาตรฐาน"/>
    <n v="0.40000000000000568"/>
    <s v="2100/162"/>
    <s v="เมตร/ก.ก."/>
    <d v="2562-04-02T00:00:00"/>
    <d v="2562-04-09T00:00:00"/>
    <d v="2562-04-04T00:00:00"/>
    <s v="Pass"/>
    <d v="2562-04-04T00:00:00"/>
    <m/>
    <m/>
    <m/>
    <m/>
    <s v="Pass"/>
    <d v="2562-04-04T00:00:00"/>
    <s v="Pass"/>
    <d v="2562-04-05T00:00:00"/>
    <m/>
    <m/>
    <x v="92"/>
    <n v="-5"/>
  </r>
  <r>
    <s v="เมษายน"/>
    <d v="2562-04-03T00:00:00"/>
    <x v="0"/>
    <n v="620214"/>
    <x v="11"/>
    <s v="TL620404"/>
    <n v="620404"/>
    <x v="1"/>
    <s v="Avg of D +10,-20 D"/>
    <x v="79"/>
    <s v="Avg สูงกว่ามาตรฐาน"/>
    <n v="6"/>
    <s v="1/233.5"/>
    <s v="กรง/ก.ก."/>
    <d v="2562-04-03T00:00:00"/>
    <d v="2562-04-10T00:00:00"/>
    <d v="2562-04-05T00:00:00"/>
    <s v="Pass"/>
    <d v="2562-04-04T00:00:00"/>
    <m/>
    <m/>
    <m/>
    <m/>
    <s v="Pass"/>
    <d v="2562-04-08T00:00:00"/>
    <s v="Pass"/>
    <d v="2562-04-08T00:00:00"/>
    <m/>
    <m/>
    <x v="13"/>
    <n v="-3"/>
  </r>
  <r>
    <s v="เมษายน"/>
    <d v="2562-04-03T00:00:00"/>
    <x v="1"/>
    <n v="620215"/>
    <x v="3"/>
    <n v="62040325"/>
    <s v="47/030462"/>
    <x v="45"/>
    <s v="67-70"/>
    <x v="247"/>
    <s v="น้ำหนักสูงกว่ามาตรฐาน"/>
    <n v="3.480000000000004"/>
    <s v="2458/185.7"/>
    <s v="เมตร/ก.ก."/>
    <d v="2562-04-03T00:00:00"/>
    <d v="2562-04-10T00:00:00"/>
    <d v="2562-04-05T00:00:00"/>
    <s v="Pass"/>
    <d v="2562-05-08T00:00:00"/>
    <m/>
    <m/>
    <m/>
    <m/>
    <s v="Pass"/>
    <d v="2562-05-08T00:00:00"/>
    <s v="Pass"/>
    <d v="2562-05-08T00:00:00"/>
    <m/>
    <m/>
    <x v="4"/>
    <n v="27"/>
  </r>
  <r>
    <s v="เมษายน"/>
    <d v="2562-04-04T00:00:00"/>
    <x v="2"/>
    <n v="620216"/>
    <x v="59"/>
    <s v="FWBWT203780P"/>
    <s v="PD462040308"/>
    <x v="22"/>
    <s v="งานพิมพ์สมบูรณ์"/>
    <x v="248"/>
    <s v="งานพิมพ์ไม่สมบูรณ์ "/>
    <s v="ไม่ผ่าน"/>
    <n v="235"/>
    <s v="ใบ"/>
    <d v="2562-04-04T00:00:00"/>
    <d v="2562-04-11T00:00:00"/>
    <d v="2562-04-06T00:00:00"/>
    <m/>
    <m/>
    <m/>
    <m/>
    <m/>
    <m/>
    <m/>
    <m/>
    <m/>
    <m/>
    <m/>
    <m/>
    <x v="3"/>
    <n v="-241893"/>
  </r>
  <r>
    <s v="เมษายน"/>
    <d v="2562-04-04T00:00:00"/>
    <x v="1"/>
    <n v="620217"/>
    <x v="56"/>
    <n v="62040457"/>
    <s v="29/040462"/>
    <x v="70"/>
    <s v="135-140"/>
    <x v="249"/>
    <s v="น้ำหนักต่ำกว่ามาตรฐาน"/>
    <n v="2.4900000000000091"/>
    <s v="1500/203.6"/>
    <s v="เมตร/ก.ก."/>
    <d v="2562-04-04T00:00:00"/>
    <d v="2562-04-11T00:00:00"/>
    <d v="2562-04-06T00:00:00"/>
    <s v="Pass"/>
    <d v="2562-05-08T00:00:00"/>
    <m/>
    <m/>
    <m/>
    <m/>
    <s v="Pass"/>
    <d v="2562-05-08T00:00:00"/>
    <s v="Pass"/>
    <d v="2562-05-08T00:00:00"/>
    <m/>
    <m/>
    <x v="93"/>
    <n v="25"/>
  </r>
  <r>
    <s v="เมษายน"/>
    <d v="2562-04-06T00:00:00"/>
    <x v="0"/>
    <n v="620218"/>
    <x v="60"/>
    <s v="TL620407"/>
    <n v="620407"/>
    <x v="1"/>
    <s v="Std. ไม่เกิน 30 D"/>
    <x v="135"/>
    <s v="Std.เกินกว่ามาตรฐาน"/>
    <n v="5"/>
    <s v="1/335.80"/>
    <s v="กรง/ก.ก."/>
    <d v="2562-04-06T00:00:00"/>
    <d v="2562-04-13T00:00:00"/>
    <d v="2562-04-08T00:00:00"/>
    <s v="Pass"/>
    <d v="2562-04-08T00:00:00"/>
    <m/>
    <m/>
    <m/>
    <m/>
    <s v="Pass"/>
    <d v="2562-04-08T00:00:00"/>
    <s v="Pass"/>
    <d v="2562-04-09T00:00:00"/>
    <m/>
    <m/>
    <x v="94"/>
    <n v="-4"/>
  </r>
  <r>
    <s v="เมษายน"/>
    <d v="2562-04-06T00:00:00"/>
    <x v="0"/>
    <n v="620218"/>
    <x v="60"/>
    <s v="TL620407"/>
    <n v="620407"/>
    <x v="1"/>
    <s v="สีของเส้นเทป"/>
    <x v="250"/>
    <s v="ไม่ผ่าน"/>
    <s v="ไม่ผ่าน"/>
    <m/>
    <m/>
    <d v="2562-04-06T00:00:00"/>
    <d v="2562-04-13T00:00:00"/>
    <d v="2562-04-08T00:00:00"/>
    <s v="Pass"/>
    <d v="2562-04-08T00:00:00"/>
    <m/>
    <m/>
    <m/>
    <m/>
    <s v="Pass"/>
    <d v="2562-04-08T00:00:00"/>
    <s v="Pass"/>
    <d v="2562-04-09T00:00:00"/>
    <m/>
    <m/>
    <x v="94"/>
    <n v="-5"/>
  </r>
  <r>
    <s v="เมษายน"/>
    <d v="2562-04-06T00:00:00"/>
    <x v="1"/>
    <n v="620219"/>
    <x v="56"/>
    <n v="62040649"/>
    <s v="41/060462"/>
    <x v="18"/>
    <s v="135-140"/>
    <x v="251"/>
    <s v="น้ำหนักต่ำกว่ามาตรฐาน"/>
    <n v="2.3799999999999955"/>
    <s v="1090/150.9"/>
    <s v="เมตร/ก.ก."/>
    <d v="2562-04-06T00:00:00"/>
    <d v="2562-04-13T00:00:00"/>
    <d v="2562-04-08T00:00:00"/>
    <s v="Pass"/>
    <d v="2562-05-08T00:00:00"/>
    <m/>
    <m/>
    <m/>
    <m/>
    <s v="Pass"/>
    <d v="2562-05-08T00:00:00"/>
    <s v="Pass"/>
    <d v="2562-05-08T00:00:00"/>
    <m/>
    <m/>
    <x v="95"/>
    <n v="24"/>
  </r>
  <r>
    <s v="เมษายน"/>
    <d v="2562-04-07T00:00:00"/>
    <x v="1"/>
    <n v="620220"/>
    <x v="14"/>
    <n v="62040726"/>
    <s v="2/070462"/>
    <x v="35"/>
    <s v="125-128"/>
    <x v="252"/>
    <s v="น้ำหนักต่ำกว่ามาตรฐาน"/>
    <n v="2.7800000000000011"/>
    <s v="1500/189.3"/>
    <s v="เมตร/ก.ก."/>
    <d v="2562-04-07T00:00:00"/>
    <d v="2562-04-14T00:00:00"/>
    <d v="2562-04-09T00:00:00"/>
    <s v="Pass"/>
    <d v="2562-05-08T00:00:00"/>
    <m/>
    <m/>
    <m/>
    <m/>
    <s v="Pass"/>
    <d v="2562-05-08T00:00:00"/>
    <s v="Pass"/>
    <d v="2562-05-08T00:00:00"/>
    <m/>
    <m/>
    <x v="96"/>
    <n v="23"/>
  </r>
  <r>
    <s v="เมษายน"/>
    <d v="2562-04-08T00:00:00"/>
    <x v="0"/>
    <n v="620221"/>
    <x v="2"/>
    <s v="TL620408"/>
    <n v="620408"/>
    <x v="1"/>
    <s v="Avg of D +10,-20 D"/>
    <x v="253"/>
    <s v="Avg สูงกว่ามาตรฐาน"/>
    <n v="7"/>
    <s v="1/223"/>
    <s v="กรง/ก.ก."/>
    <d v="2562-04-08T00:00:00"/>
    <d v="2562-04-15T00:00:00"/>
    <d v="2562-04-10T00:00:00"/>
    <s v="Pass"/>
    <d v="2562-04-10T00:00:00"/>
    <m/>
    <m/>
    <m/>
    <m/>
    <s v="Pass"/>
    <d v="2562-05-08T00:00:00"/>
    <s v="Pass"/>
    <d v="2562-05-08T00:00:00"/>
    <m/>
    <m/>
    <x v="12"/>
    <n v="23"/>
  </r>
  <r>
    <s v="เมษายน"/>
    <d v="2562-04-08T00:00:00"/>
    <x v="0"/>
    <n v="620221"/>
    <x v="2"/>
    <s v="TL620408"/>
    <n v="620408"/>
    <x v="1"/>
    <s v="Std. ไม่เกิน 30 D"/>
    <x v="75"/>
    <s v="Std.เกินกว่ามาตรฐาน"/>
    <n v="26"/>
    <m/>
    <m/>
    <d v="2562-04-08T00:00:00"/>
    <d v="2562-04-15T00:00:00"/>
    <d v="2562-04-10T00:00:00"/>
    <s v="Pass"/>
    <d v="2562-04-10T00:00:00"/>
    <m/>
    <m/>
    <m/>
    <m/>
    <s v="Pass"/>
    <d v="2562-05-08T00:00:00"/>
    <s v="Pass"/>
    <d v="2562-05-08T00:00:00"/>
    <m/>
    <m/>
    <x v="12"/>
    <n v="23"/>
  </r>
  <r>
    <s v="เมษายน"/>
    <d v="2562-04-08T00:00:00"/>
    <x v="0"/>
    <n v="620222"/>
    <x v="61"/>
    <s v="TL620409"/>
    <n v="620409"/>
    <x v="0"/>
    <s v="Avg of D +10,-20 D"/>
    <x v="254"/>
    <s v="Avg สูงกว่ามาตรฐาน"/>
    <n v="11"/>
    <s v="1/593.9"/>
    <s v="กรง/ก.ก."/>
    <d v="2562-04-08T00:00:00"/>
    <d v="2562-04-15T00:00:00"/>
    <d v="2562-04-10T00:00:00"/>
    <s v="Pass"/>
    <d v="2562-04-10T00:00:00"/>
    <m/>
    <m/>
    <m/>
    <m/>
    <s v="Pass"/>
    <d v="2562-05-08T00:00:00"/>
    <s v="Pass"/>
    <d v="2562-04-09T00:00:00"/>
    <m/>
    <m/>
    <x v="97"/>
    <n v="-6"/>
  </r>
  <r>
    <s v="เมษายน"/>
    <d v="2562-04-08T00:00:00"/>
    <x v="0"/>
    <n v="620223"/>
    <x v="2"/>
    <s v="TL620408"/>
    <n v="620408"/>
    <x v="0"/>
    <s v="Avg of D +10,-20 D"/>
    <x v="255"/>
    <s v="Avg ต่ำกว่ามาตรฐาน"/>
    <n v="7"/>
    <s v="1/247.3"/>
    <s v="กรง/ก.ก."/>
    <d v="2562-04-08T00:00:00"/>
    <d v="2562-04-15T00:00:00"/>
    <d v="2562-04-10T00:00:00"/>
    <s v="Pass"/>
    <d v="2562-04-10T00:00:00"/>
    <m/>
    <m/>
    <m/>
    <m/>
    <s v="Pass"/>
    <d v="2562-05-08T00:00:00"/>
    <s v="Pass"/>
    <d v="2562-05-08T00:00:00"/>
    <m/>
    <m/>
    <x v="12"/>
    <n v="23"/>
  </r>
  <r>
    <s v="เมษายน"/>
    <d v="2562-04-08T00:00:00"/>
    <x v="1"/>
    <n v="620224"/>
    <x v="14"/>
    <n v="62040863"/>
    <s v="29/080462"/>
    <x v="70"/>
    <s v="เส้นเทปขาว"/>
    <x v="256"/>
    <s v="ไม่ผ่าน"/>
    <s v="ไม่ผ่าน"/>
    <s v="1216/156.5"/>
    <s v="เมตร/ก.ก."/>
    <d v="2562-04-08T00:00:00"/>
    <d v="2562-04-15T00:00:00"/>
    <d v="2562-04-10T00:00:00"/>
    <s v="Pass"/>
    <d v="2562-05-08T00:00:00"/>
    <m/>
    <m/>
    <m/>
    <m/>
    <s v="Pass"/>
    <d v="2562-05-08T00:00:00"/>
    <s v="Pass"/>
    <d v="2562-05-08T00:00:00"/>
    <m/>
    <m/>
    <x v="96"/>
    <n v="22"/>
  </r>
  <r>
    <s v="เมษายน"/>
    <d v="2562-04-09T00:00:00"/>
    <x v="0"/>
    <n v="620225"/>
    <x v="5"/>
    <s v="TL620411"/>
    <n v="620411"/>
    <x v="0"/>
    <s v="Avg of D +10,-20 D"/>
    <x v="257"/>
    <s v="Avg ต่ำกว่ามาตรฐาน"/>
    <n v="6"/>
    <s v="1/228.6"/>
    <s v="กรง/ก.ก."/>
    <d v="2562-04-09T00:00:00"/>
    <d v="2562-04-16T00:00:00"/>
    <d v="2562-04-11T00:00:00"/>
    <s v="Pass"/>
    <d v="2562-04-09T00:00:00"/>
    <m/>
    <m/>
    <m/>
    <m/>
    <s v="Pass"/>
    <d v="2562-05-08T00:00:00"/>
    <s v="Pass"/>
    <d v="2562-05-08T00:00:00"/>
    <m/>
    <m/>
    <x v="14"/>
    <n v="21"/>
  </r>
  <r>
    <s v="เมษายน"/>
    <d v="2562-04-10T00:00:00"/>
    <x v="1"/>
    <n v="620226"/>
    <x v="35"/>
    <n v="62041023"/>
    <s v="69/100462"/>
    <x v="71"/>
    <s v="79-80"/>
    <x v="258"/>
    <s v="น้ำหนักสูงกว่ามาตรฐาน"/>
    <n v="3.4699999999999989"/>
    <s v="1478/123.9"/>
    <s v="เมตร/ก.ก."/>
    <d v="2562-04-10T00:00:00"/>
    <d v="2562-04-17T00:00:00"/>
    <d v="2562-04-12T00:00:00"/>
    <s v="Pass"/>
    <d v="2562-04-20T00:00:00"/>
    <m/>
    <m/>
    <m/>
    <m/>
    <s v="Pass"/>
    <d v="2562-04-20T00:00:00"/>
    <s v="Pass"/>
    <d v="2562-04-20T00:00:00"/>
    <m/>
    <m/>
    <x v="62"/>
    <n v="-4"/>
  </r>
  <r>
    <s v="เมษายน"/>
    <d v="2562-04-12T00:00:00"/>
    <x v="1"/>
    <n v="620227"/>
    <x v="14"/>
    <n v="62041204"/>
    <s v="60/120462"/>
    <x v="72"/>
    <s v="125-128"/>
    <x v="259"/>
    <s v="น้ำหนักต่ำกว่ามาตรฐาน"/>
    <n v="2.9000000000000057"/>
    <s v="1500/191.8"/>
    <s v="เมตร/ก.ก."/>
    <d v="2562-04-12T00:00:00"/>
    <d v="2562-04-19T00:00:00"/>
    <d v="2562-04-14T00:00:00"/>
    <s v="Pass"/>
    <d v="2562-04-20T00:00:00"/>
    <m/>
    <m/>
    <m/>
    <m/>
    <s v="Pass"/>
    <d v="2562-04-20T00:00:00"/>
    <s v="Pass"/>
    <d v="2562-04-20T00:00:00"/>
    <m/>
    <m/>
    <x v="98"/>
    <m/>
  </r>
  <r>
    <s v="เมษายน"/>
    <d v="2562-04-17T00:00:00"/>
    <x v="2"/>
    <n v="620228"/>
    <x v="62"/>
    <s v="FWBWTSCL04233264P"/>
    <s v="PD462041707"/>
    <x v="23"/>
    <s v="งานพิมพ์สมบูรณ์"/>
    <x v="25"/>
    <s v="งานพิมพ์ไม่สมบูรณ์ "/>
    <s v="ไม่ผ่าน"/>
    <n v="197"/>
    <s v="ใบ"/>
    <d v="2562-04-17T00:00:00"/>
    <d v="2562-04-24T00:00:00"/>
    <d v="2562-04-19T00:00:00"/>
    <m/>
    <m/>
    <m/>
    <m/>
    <m/>
    <m/>
    <m/>
    <m/>
    <m/>
    <m/>
    <m/>
    <m/>
    <x v="3"/>
    <n v="-241906"/>
  </r>
  <r>
    <s v="เมษายน"/>
    <d v="2562-04-17T00:00:00"/>
    <x v="0"/>
    <n v="620229"/>
    <x v="61"/>
    <s v="TL620418"/>
    <n v="620418"/>
    <x v="1"/>
    <s v="Avg of D +10,-20 D"/>
    <x v="260"/>
    <s v="Avg สูงกว่ามาตรฐาน"/>
    <n v="17"/>
    <s v="1/246.8"/>
    <s v="กรง/ก.ก."/>
    <d v="2562-04-17T00:00:00"/>
    <d v="2562-04-24T00:00:00"/>
    <d v="2562-04-19T00:00:00"/>
    <s v="Pass"/>
    <d v="2562-04-20T00:00:00"/>
    <m/>
    <m/>
    <m/>
    <m/>
    <s v="Pass"/>
    <d v="2562-04-20T00:00:00"/>
    <s v="Pass"/>
    <d v="2562-04-17T00:00:00"/>
    <m/>
    <m/>
    <x v="99"/>
    <n v="-8"/>
  </r>
  <r>
    <s v="เมษายน"/>
    <d v="2562-04-17T00:00:00"/>
    <x v="0"/>
    <n v="620229"/>
    <x v="61"/>
    <s v="TL620418"/>
    <n v="620418"/>
    <x v="1"/>
    <s v="Std. ไม่เกิน 30 D"/>
    <x v="181"/>
    <s v="Std.เกินกว่ามาตรฐาน"/>
    <n v="27"/>
    <m/>
    <m/>
    <d v="2562-04-17T00:00:00"/>
    <d v="2562-04-24T00:00:00"/>
    <d v="2562-04-19T00:00:00"/>
    <s v="Pass"/>
    <d v="2562-04-20T00:00:00"/>
    <m/>
    <m/>
    <m/>
    <m/>
    <s v="Pass"/>
    <d v="2562-04-20T00:00:00"/>
    <s v="Pass"/>
    <d v="2562-04-17T00:00:00"/>
    <m/>
    <m/>
    <x v="99"/>
    <n v="-8"/>
  </r>
  <r>
    <s v="เมษายน"/>
    <d v="2562-04-18T00:00:00"/>
    <x v="1"/>
    <n v="620230"/>
    <x v="55"/>
    <n v="62041850"/>
    <s v="89/180462"/>
    <x v="73"/>
    <s v="โครงสร้างแน่น"/>
    <x v="261"/>
    <s v="โครงสร้างผ้าหลวม"/>
    <s v="ไม่ผ่าน"/>
    <s v="2000/151.3"/>
    <s v="เมตร/ก.ก."/>
    <d v="2562-04-18T00:00:00"/>
    <d v="2562-04-25T00:00:00"/>
    <d v="2562-04-20T00:00:00"/>
    <s v="Pass"/>
    <d v="2562-04-23T00:00:00"/>
    <m/>
    <m/>
    <m/>
    <m/>
    <s v="Pass"/>
    <d v="2562-04-23T00:00:00"/>
    <s v="Pass"/>
    <d v="2562-04-23T00:00:00"/>
    <m/>
    <m/>
    <x v="100"/>
    <n v="-2"/>
  </r>
  <r>
    <s v="เมษายน"/>
    <d v="2562-04-18T00:00:00"/>
    <x v="1"/>
    <n v="620231"/>
    <x v="63"/>
    <n v="62041851"/>
    <s v="90/180462"/>
    <x v="62"/>
    <s v="60-65"/>
    <x v="262"/>
    <s v="น้ำหนักสูงกว่ามาตรฐาน"/>
    <n v="2.3599999999999994"/>
    <s v="2500/170.7"/>
    <s v="เมตร/ก.ก."/>
    <d v="2562-04-18T00:00:00"/>
    <d v="2562-04-25T00:00:00"/>
    <d v="2562-04-20T00:00:00"/>
    <s v="Pass"/>
    <d v="2562-04-23T00:00:00"/>
    <m/>
    <m/>
    <m/>
    <m/>
    <s v="Pass"/>
    <d v="2562-04-23T00:00:00"/>
    <s v="Pass"/>
    <d v="2562-04-23T00:00:00"/>
    <m/>
    <m/>
    <x v="101"/>
    <n v="-2"/>
  </r>
  <r>
    <s v="เมษายน"/>
    <d v="2562-04-18T00:00:00"/>
    <x v="1"/>
    <n v="620232"/>
    <x v="3"/>
    <n v="62041846"/>
    <s v="40/180462"/>
    <x v="74"/>
    <s v="67-70"/>
    <x v="263"/>
    <s v="น้ำหนักสูงกว่ามาตรฐาน"/>
    <n v="0.96999999999999886"/>
    <s v="2136/150.4"/>
    <s v="เมตร/ก.ก."/>
    <d v="2562-04-18T00:00:00"/>
    <d v="2562-04-25T00:00:00"/>
    <d v="2562-04-20T00:00:00"/>
    <s v="Pass"/>
    <d v="2562-04-23T00:00:00"/>
    <m/>
    <m/>
    <m/>
    <m/>
    <s v="Pass"/>
    <d v="2562-04-23T00:00:00"/>
    <s v="Pass"/>
    <d v="2562-04-23T00:00:00"/>
    <m/>
    <m/>
    <x v="4"/>
    <n v="-2"/>
  </r>
  <r>
    <s v="เมษายน"/>
    <d v="2562-04-18T00:00:00"/>
    <x v="1"/>
    <n v="620233"/>
    <x v="14"/>
    <n v="62041837"/>
    <s v="57/180462"/>
    <x v="26"/>
    <s v="125-128"/>
    <x v="264"/>
    <s v="น้ำหนักต่ำกว่ามาตรฐาน"/>
    <n v="6.9000000000000057"/>
    <s v="1629/200.9"/>
    <s v="เมตร/ก.ก."/>
    <d v="2562-04-18T00:00:00"/>
    <d v="2562-04-25T00:00:00"/>
    <d v="2562-04-20T00:00:00"/>
    <s v="Pass"/>
    <d v="2562-04-23T00:00:00"/>
    <m/>
    <m/>
    <m/>
    <m/>
    <s v="Pass"/>
    <d v="2562-04-23T00:00:00"/>
    <s v="Pass"/>
    <d v="2562-04-23T00:00:00"/>
    <m/>
    <m/>
    <x v="102"/>
    <n v="-3"/>
  </r>
  <r>
    <s v="เมษายน"/>
    <d v="2562-04-19T00:00:00"/>
    <x v="2"/>
    <n v="620234"/>
    <x v="46"/>
    <s v="FWBWT203780P"/>
    <s v="PD462041916"/>
    <x v="22"/>
    <s v="งานพิมพ์สมบูรณ์"/>
    <x v="25"/>
    <s v="งานพิมพ์ไม่สมบูรณ์ "/>
    <s v="ไม่ผ่าน"/>
    <n v="350"/>
    <s v="ใบ"/>
    <d v="2562-04-19T00:00:00"/>
    <d v="2562-04-26T00:00:00"/>
    <d v="2562-04-21T00:00:00"/>
    <m/>
    <m/>
    <m/>
    <m/>
    <m/>
    <m/>
    <m/>
    <m/>
    <m/>
    <m/>
    <m/>
    <m/>
    <x v="3"/>
    <n v="-241908"/>
  </r>
  <r>
    <s v="เมษายน"/>
    <d v="2562-04-19T00:00:00"/>
    <x v="1"/>
    <n v="620235"/>
    <x v="55"/>
    <n v="62041906"/>
    <s v="89/190462"/>
    <x v="73"/>
    <s v="โครงสร้างแน่น"/>
    <x v="261"/>
    <s v="โครงสร้างผ้าหลวม"/>
    <s v="ไม่ผ่าน"/>
    <s v="2020/155.3"/>
    <s v="เมตร/ก.ก."/>
    <d v="2562-04-19T00:00:00"/>
    <d v="2562-04-26T00:00:00"/>
    <d v="2562-04-21T00:00:00"/>
    <s v="Pass"/>
    <d v="2562-04-23T00:00:00"/>
    <m/>
    <m/>
    <m/>
    <m/>
    <s v="Pass"/>
    <d v="2562-04-23T00:00:00"/>
    <s v="Pass"/>
    <d v="2562-04-23T00:00:00"/>
    <m/>
    <m/>
    <x v="103"/>
    <n v="-3"/>
  </r>
  <r>
    <m/>
    <m/>
    <x v="9"/>
    <m/>
    <x v="64"/>
    <m/>
    <m/>
    <x v="75"/>
    <s v="63-68"/>
    <x v="265"/>
    <s v="น้ำหนักสูงกว่ามาตรฐาน"/>
    <n v="2.3100000000000023"/>
    <m/>
    <m/>
    <m/>
    <m/>
    <m/>
    <m/>
    <m/>
    <m/>
    <m/>
    <m/>
    <m/>
    <m/>
    <m/>
    <m/>
    <m/>
    <m/>
    <m/>
    <x v="3"/>
    <m/>
  </r>
  <r>
    <s v="เมษายน"/>
    <d v="2562-04-19T00:00:00"/>
    <x v="1"/>
    <n v="620236"/>
    <x v="65"/>
    <n v="62041901"/>
    <s v="37/190462"/>
    <x v="73"/>
    <s v="ผ้าตัวอย่าง2/1"/>
    <x v="266"/>
    <s v="ไม่ผ่าน"/>
    <s v="ไม่ผ่าน"/>
    <s v="525/64.2"/>
    <s v="เมตร/ก.ก."/>
    <d v="2562-04-19T00:00:00"/>
    <d v="2562-04-26T00:00:00"/>
    <d v="2562-04-21T00:00:00"/>
    <s v="Pass"/>
    <d v="2562-04-23T00:00:00"/>
    <m/>
    <m/>
    <m/>
    <m/>
    <s v="Pass"/>
    <d v="2562-04-23T00:00:00"/>
    <s v="Pass"/>
    <d v="2562-04-23T00:00:00"/>
    <m/>
    <m/>
    <x v="104"/>
    <n v="-3"/>
  </r>
  <r>
    <s v="เมษายน"/>
    <d v="2562-04-19T00:00:00"/>
    <x v="0"/>
    <n v="620237"/>
    <x v="61"/>
    <s v="TL620421"/>
    <n v="620421"/>
    <x v="1"/>
    <s v="Avg of D +10,-20 D"/>
    <x v="267"/>
    <s v="Avg ต่ำกว่ามาตรฐาน"/>
    <n v="33"/>
    <s v="1/258.2"/>
    <s v="กรง/ก.ก."/>
    <d v="2562-04-19T00:00:00"/>
    <d v="2562-04-26T00:00:00"/>
    <d v="2562-04-21T00:00:00"/>
    <s v="Pass"/>
    <d v="2562-04-20T00:00:00"/>
    <m/>
    <m/>
    <m/>
    <m/>
    <s v="Pass"/>
    <d v="2562-04-22T00:00:00"/>
    <s v="Pass"/>
    <d v="2562-04-20T00:00:00"/>
    <m/>
    <m/>
    <x v="105"/>
    <n v="-7"/>
  </r>
  <r>
    <s v="เมษายน"/>
    <d v="2562-04-19T00:00:00"/>
    <x v="0"/>
    <n v="620237"/>
    <x v="61"/>
    <s v="TL620421"/>
    <n v="620421"/>
    <x v="1"/>
    <s v="ขนาดเส้นเทป(+-0.1 mm)"/>
    <x v="268"/>
    <s v="ต่ำกว่าค่าคุมกำหนด 2.1+"/>
    <s v="ไม่ผ่าน"/>
    <m/>
    <m/>
    <d v="2562-04-19T00:00:00"/>
    <d v="2562-04-26T00:00:00"/>
    <d v="2562-04-21T00:00:00"/>
    <s v="Pass"/>
    <d v="2562-04-20T00:00:00"/>
    <m/>
    <m/>
    <m/>
    <m/>
    <s v="Pass"/>
    <d v="2562-04-22T00:00:00"/>
    <s v="Pass"/>
    <d v="2562-04-20T00:00:00"/>
    <m/>
    <m/>
    <x v="105"/>
    <n v="-7"/>
  </r>
  <r>
    <s v="เมษายน"/>
    <d v="2562-04-19T00:00:00"/>
    <x v="0"/>
    <n v="620238"/>
    <x v="5"/>
    <s v="TL620422"/>
    <n v="620422"/>
    <x v="0"/>
    <s v="Avg of D +10,-20 D"/>
    <x v="269"/>
    <s v="Avg ต่ำกว่ามาตรฐาน"/>
    <n v="32"/>
    <s v="1/247.5"/>
    <s v="เมตร/ก.ก."/>
    <d v="2562-04-19T00:00:00"/>
    <d v="2562-04-26T00:00:00"/>
    <d v="2562-04-21T00:00:00"/>
    <s v="Pass"/>
    <d v="2562-04-20T00:00:00"/>
    <m/>
    <m/>
    <m/>
    <m/>
    <s v="Pass"/>
    <d v="2562-04-22T00:00:00"/>
    <s v="Pass"/>
    <d v="2562-04-22T00:00:00"/>
    <m/>
    <m/>
    <x v="14"/>
    <n v="-5"/>
  </r>
  <r>
    <s v="เมษายน"/>
    <d v="2562-04-19T00:00:00"/>
    <x v="0"/>
    <n v="620238"/>
    <x v="5"/>
    <s v="TL620422"/>
    <n v="620422"/>
    <x v="0"/>
    <s v="Std. ไม่เกิน 30 D"/>
    <x v="270"/>
    <s v="Std.เกินกว่ามาตรฐาน"/>
    <n v="11"/>
    <m/>
    <m/>
    <d v="2562-04-19T00:00:00"/>
    <d v="2562-04-26T00:00:00"/>
    <d v="2562-04-21T00:00:00"/>
    <s v="Pass"/>
    <d v="2562-04-20T00:00:00"/>
    <m/>
    <m/>
    <m/>
    <m/>
    <s v="Pass"/>
    <d v="2562-04-22T00:00:00"/>
    <s v="Pass"/>
    <d v="2562-04-22T00:00:00"/>
    <m/>
    <m/>
    <x v="14"/>
    <n v="-5"/>
  </r>
  <r>
    <s v="เมษายน"/>
    <d v="2562-04-19T00:00:00"/>
    <x v="0"/>
    <n v="620238"/>
    <x v="5"/>
    <s v="TL620422"/>
    <n v="620422"/>
    <x v="0"/>
    <s v="Kg f ≥(4.3xD/1000) kgf."/>
    <x v="271"/>
    <s v="Kg.ต่ำกว่ามาตรฐาน"/>
    <n v="0.1"/>
    <m/>
    <m/>
    <d v="2562-04-19T00:00:00"/>
    <d v="2562-04-26T00:00:00"/>
    <d v="2562-04-21T00:00:00"/>
    <s v="Pass"/>
    <d v="2562-04-20T00:00:00"/>
    <m/>
    <m/>
    <m/>
    <m/>
    <s v="Pass"/>
    <d v="2562-04-22T00:00:00"/>
    <s v="Pass"/>
    <d v="2562-04-22T00:00:00"/>
    <m/>
    <m/>
    <x v="14"/>
    <n v="-5"/>
  </r>
  <r>
    <s v="เมษายน"/>
    <d v="2562-04-19T00:00:00"/>
    <x v="2"/>
    <n v="620239"/>
    <x v="29"/>
    <s v="FWBWT2038100P"/>
    <s v="PD462041817"/>
    <x v="50"/>
    <s v="งานพิมพ์สมบูรณ์"/>
    <x v="272"/>
    <s v="งานพิมพ์ไม่สมบูรณ์ "/>
    <s v="ไม่ผ่าน"/>
    <n v="218"/>
    <s v="ใบ"/>
    <d v="2562-04-19T00:00:00"/>
    <d v="2562-04-26T00:00:00"/>
    <d v="2562-04-21T00:00:00"/>
    <m/>
    <m/>
    <m/>
    <m/>
    <m/>
    <m/>
    <m/>
    <m/>
    <m/>
    <m/>
    <m/>
    <m/>
    <x v="3"/>
    <m/>
  </r>
  <r>
    <s v="เมษายน"/>
    <d v="2562-04-20T00:00:00"/>
    <x v="0"/>
    <n v="620240"/>
    <x v="5"/>
    <s v="TL620422"/>
    <n v="620422"/>
    <x v="0"/>
    <s v="Avg of D +10,-20 D"/>
    <x v="273"/>
    <s v="Avg สูงกว่ามาตรฐาน"/>
    <n v="13"/>
    <s v="1/583.7"/>
    <s v="กรง/ก.ก."/>
    <d v="2562-04-20T00:00:00"/>
    <d v="2562-04-27T00:00:00"/>
    <d v="2562-04-22T00:00:00"/>
    <m/>
    <m/>
    <m/>
    <m/>
    <m/>
    <m/>
    <m/>
    <m/>
    <s v="Pass"/>
    <d v="2562-04-22T00:00:00"/>
    <m/>
    <m/>
    <x v="106"/>
    <m/>
  </r>
  <r>
    <s v="เมษายน"/>
    <d v="2562-04-20T00:00:00"/>
    <x v="1"/>
    <n v="620241"/>
    <x v="55"/>
    <n v="62042001"/>
    <s v="89/200462"/>
    <x v="73"/>
    <s v="โครงสร้างแน่น"/>
    <x v="261"/>
    <s v="โครงสร้างผ้าหลวม"/>
    <s v="ไม่ผ่าน"/>
    <s v="2256/173.3"/>
    <s v="เมตร/ก.ก."/>
    <d v="2562-04-20T00:00:00"/>
    <d v="2562-04-27T00:00:00"/>
    <d v="2562-04-22T00:00:00"/>
    <s v="Pass"/>
    <d v="2562-04-27T00:00:00"/>
    <m/>
    <m/>
    <m/>
    <m/>
    <s v="Pass"/>
    <d v="2562-04-27T00:00:00"/>
    <s v="Pass"/>
    <d v="2562-04-27T00:00:00"/>
    <m/>
    <m/>
    <x v="107"/>
    <n v="0"/>
  </r>
  <r>
    <m/>
    <m/>
    <x v="9"/>
    <m/>
    <x v="64"/>
    <m/>
    <m/>
    <x v="75"/>
    <s v="63-68"/>
    <x v="274"/>
    <s v="น้ำหนักสูงกว่ามาตรฐาน"/>
    <n v="1.3700000000000045"/>
    <m/>
    <m/>
    <m/>
    <m/>
    <m/>
    <m/>
    <m/>
    <m/>
    <m/>
    <m/>
    <m/>
    <m/>
    <m/>
    <m/>
    <m/>
    <m/>
    <m/>
    <x v="3"/>
    <m/>
  </r>
  <r>
    <s v="เมษายน"/>
    <d v="2562-04-20T00:00:00"/>
    <x v="0"/>
    <n v="620242"/>
    <x v="61"/>
    <s v="TL620425"/>
    <n v="620425"/>
    <x v="1"/>
    <s v="Avg of D +10,-20 D"/>
    <x v="275"/>
    <s v="Avg ต่ำกว่ามาตรฐาน"/>
    <n v="17"/>
    <s v="1/248.8"/>
    <s v="กรง/ก.ก."/>
    <d v="2562-04-20T00:00:00"/>
    <d v="2562-04-27T00:00:00"/>
    <d v="2562-04-22T00:00:00"/>
    <s v="Pass"/>
    <d v="2562-04-22T00:00:00"/>
    <m/>
    <m/>
    <m/>
    <m/>
    <s v="Pass"/>
    <d v="2562-04-26T00:00:00"/>
    <s v="Pass"/>
    <d v="2562-04-25T00:00:00"/>
    <m/>
    <m/>
    <x v="108"/>
    <n v="-4"/>
  </r>
  <r>
    <s v="เมษายน"/>
    <d v="2562-04-20T00:00:00"/>
    <x v="0"/>
    <n v="620242"/>
    <x v="61"/>
    <s v="TL620425"/>
    <n v="620425"/>
    <x v="1"/>
    <s v="Std. ไม่เกิน 30 D"/>
    <x v="94"/>
    <s v="Std.เกินกว่ามาตรฐาน"/>
    <n v="6"/>
    <m/>
    <m/>
    <d v="2562-04-20T00:00:00"/>
    <d v="2562-04-27T00:00:00"/>
    <d v="2562-04-22T00:00:00"/>
    <s v="Pass"/>
    <d v="2562-04-22T00:00:00"/>
    <m/>
    <m/>
    <m/>
    <m/>
    <s v="Pass"/>
    <d v="2562-04-26T00:00:00"/>
    <s v="Pass"/>
    <d v="2562-04-25T00:00:00"/>
    <m/>
    <m/>
    <x v="108"/>
    <n v="-4"/>
  </r>
  <r>
    <s v="เมษายน"/>
    <d v="2562-04-20T00:00:00"/>
    <x v="0"/>
    <n v="620242"/>
    <x v="61"/>
    <s v="TL620425"/>
    <n v="620425"/>
    <x v="1"/>
    <s v="ขนาดเส้นเทป(+-0.1 mm)"/>
    <x v="276"/>
    <s v="สูงกว่าค่าคุมกำหนด 2.08"/>
    <s v="ไม่ผ่าน"/>
    <m/>
    <m/>
    <d v="2562-04-20T00:00:00"/>
    <d v="2562-04-27T00:00:00"/>
    <d v="2562-04-22T00:00:00"/>
    <s v="Pass"/>
    <d v="2562-04-22T00:00:00"/>
    <m/>
    <m/>
    <m/>
    <m/>
    <s v="Pass"/>
    <d v="2562-04-26T00:00:00"/>
    <s v="Pass"/>
    <d v="2562-04-25T00:00:00"/>
    <m/>
    <m/>
    <x v="108"/>
    <n v="-4"/>
  </r>
  <r>
    <s v="เมษายน"/>
    <d v="2562-04-20T00:00:00"/>
    <x v="0"/>
    <n v="620243"/>
    <x v="1"/>
    <s v="TL620424"/>
    <n v="620424"/>
    <x v="0"/>
    <s v="Avg of D +10,-20 D"/>
    <x v="277"/>
    <s v="Avg ต่ำกว่ามาตรฐาน"/>
    <n v="28"/>
    <s v="1/203.9"/>
    <s v="กรง/ก.ก."/>
    <d v="2562-04-20T00:00:00"/>
    <d v="2562-04-27T00:00:00"/>
    <d v="2562-04-22T00:00:00"/>
    <s v="Pass"/>
    <d v="2562-04-22T00:00:00"/>
    <m/>
    <m/>
    <m/>
    <m/>
    <s v="Pass"/>
    <d v="2562-04-26T00:00:00"/>
    <s v="Pass"/>
    <d v="2562-04-22T00:00:00"/>
    <m/>
    <m/>
    <x v="106"/>
    <n v="-7"/>
  </r>
  <r>
    <s v="เมษายน"/>
    <d v="2562-04-20T00:00:00"/>
    <x v="0"/>
    <n v="620243"/>
    <x v="1"/>
    <s v="TL620424"/>
    <n v="620424"/>
    <x v="0"/>
    <s v="Kg f ≥(4.3xD/1000) kgf."/>
    <x v="278"/>
    <s v="Kg.ต่ำกว่ามาตรฐาน"/>
    <n v="0.14000000000000001"/>
    <m/>
    <m/>
    <d v="2562-04-20T00:00:00"/>
    <d v="2562-04-27T00:00:00"/>
    <d v="2562-04-22T00:00:00"/>
    <s v="Pass"/>
    <d v="2562-04-22T00:00:00"/>
    <m/>
    <m/>
    <m/>
    <m/>
    <s v="Pass"/>
    <d v="2562-04-26T00:00:00"/>
    <s v="Pass"/>
    <d v="2562-04-22T00:00:00"/>
    <m/>
    <m/>
    <x v="106"/>
    <n v="-7"/>
  </r>
  <r>
    <s v="เมษายน"/>
    <d v="2562-04-20T00:00:00"/>
    <x v="1"/>
    <n v="620244"/>
    <x v="3"/>
    <n v="62042055"/>
    <s v="39/200462"/>
    <x v="27"/>
    <s v="67-70"/>
    <x v="279"/>
    <s v="น้ำหนักใบต่ำกว่ามาตรฐาน"/>
    <n v="-6.0000000000002274E-2"/>
    <s v="2092/148.5"/>
    <s v="เมตร/ก.ก."/>
    <d v="2562-04-22T00:00:00"/>
    <d v="2562-04-29T00:00:00"/>
    <d v="2562-04-24T00:00:00"/>
    <s v="Pass"/>
    <d v="2562-04-27T00:00:00"/>
    <m/>
    <m/>
    <m/>
    <m/>
    <s v="Pass"/>
    <d v="2562-04-27T00:00:00"/>
    <s v="Pass"/>
    <d v="2562-04-27T00:00:00"/>
    <m/>
    <m/>
    <x v="4"/>
    <n v="-2"/>
  </r>
  <r>
    <s v="เมษายน"/>
    <d v="2562-04-22T00:00:00"/>
    <x v="0"/>
    <n v="620245"/>
    <x v="4"/>
    <s v="TL620426"/>
    <n v="620426"/>
    <x v="0"/>
    <s v="Avg of D +10,-20 D"/>
    <x v="280"/>
    <s v="Avg ต่ำกว่ามาตรฐาน"/>
    <n v="13"/>
    <s v="1/252.4"/>
    <s v="กรง/ก.ก."/>
    <d v="2562-04-22T00:00:00"/>
    <d v="2562-04-29T00:00:00"/>
    <d v="2562-04-24T00:00:00"/>
    <s v="Pass"/>
    <d v="2562-04-23T00:00:00"/>
    <m/>
    <m/>
    <m/>
    <m/>
    <s v="Pass"/>
    <d v="2562-04-27T00:00:00"/>
    <s v="Pass"/>
    <d v="2562-04-26T00:00:00"/>
    <m/>
    <m/>
    <x v="109"/>
    <n v="-3"/>
  </r>
  <r>
    <s v="เมษายน"/>
    <d v="2562-04-22T00:00:00"/>
    <x v="0"/>
    <n v="620246"/>
    <x v="61"/>
    <s v="TL620427"/>
    <n v="620427"/>
    <x v="0"/>
    <s v="Avg of D +10,-20 D"/>
    <x v="114"/>
    <s v="Avg สูงกว่ามาตรฐาน"/>
    <n v="6"/>
    <s v="1/248.1"/>
    <s v="กรง/ก.ก."/>
    <d v="2562-04-22T00:00:00"/>
    <d v="2562-04-29T00:00:00"/>
    <d v="2562-04-24T00:00:00"/>
    <s v="Pass"/>
    <d v="2562-04-23T00:00:00"/>
    <m/>
    <m/>
    <m/>
    <m/>
    <s v="Pass"/>
    <d v="2562-04-27T00:00:00"/>
    <s v="Pass"/>
    <d v="2562-04-22T00:00:00"/>
    <m/>
    <m/>
    <x v="110"/>
    <n v="-7"/>
  </r>
  <r>
    <s v="เมษายน"/>
    <d v="2562-04-22T00:00:00"/>
    <x v="0"/>
    <n v="620246"/>
    <x v="61"/>
    <s v="TL620427"/>
    <n v="620427"/>
    <x v="0"/>
    <s v="Std. ไม่เกิน 30 D"/>
    <x v="160"/>
    <s v="Std.เกินกว่ามาตรฐาน"/>
    <n v="3"/>
    <m/>
    <m/>
    <d v="2562-04-22T00:00:00"/>
    <d v="2562-04-29T00:00:00"/>
    <d v="2562-04-24T00:00:00"/>
    <s v="Pass"/>
    <d v="2562-04-23T00:00:00"/>
    <m/>
    <m/>
    <m/>
    <m/>
    <s v="Pass"/>
    <d v="2562-04-27T00:00:00"/>
    <s v="Pass"/>
    <d v="2562-04-22T00:00:00"/>
    <m/>
    <m/>
    <x v="110"/>
    <n v="-7"/>
  </r>
  <r>
    <s v="เมษายน"/>
    <d v="2562-04-22T00:00:00"/>
    <x v="0"/>
    <n v="620246"/>
    <x v="61"/>
    <s v="TL620427"/>
    <n v="620427"/>
    <x v="0"/>
    <s v="ขนาดเส้นเทป(+-0.1 mm)"/>
    <x v="281"/>
    <s v="สูงกว่าค่าคุมกำหนด 2.08-2.10"/>
    <n v="0.03"/>
    <m/>
    <m/>
    <d v="2562-04-22T00:00:00"/>
    <d v="2562-04-29T00:00:00"/>
    <d v="2562-04-24T00:00:00"/>
    <s v="Pass"/>
    <d v="2562-04-23T00:00:00"/>
    <m/>
    <m/>
    <m/>
    <m/>
    <s v="Pass"/>
    <d v="2562-04-27T00:00:00"/>
    <s v="Pass"/>
    <d v="2562-04-22T00:00:00"/>
    <m/>
    <m/>
    <x v="110"/>
    <n v="-7"/>
  </r>
  <r>
    <s v="เมษายน"/>
    <d v="2562-04-22T00:00:00"/>
    <x v="1"/>
    <n v="620247"/>
    <x v="3"/>
    <n v="62042227"/>
    <s v="73/220462"/>
    <x v="69"/>
    <s v="67-70"/>
    <x v="282"/>
    <s v="น้ำหนักสูงกว่ามาตรฐาน"/>
    <n v="2.4300000000000068"/>
    <s v="1215/89.5"/>
    <s v="เมตร/ก.ก."/>
    <d v="2562-04-22T00:00:00"/>
    <d v="2562-04-29T00:00:00"/>
    <d v="2562-04-24T00:00:00"/>
    <s v="Pass"/>
    <d v="2562-04-27T00:00:00"/>
    <m/>
    <m/>
    <m/>
    <m/>
    <s v="Pass"/>
    <d v="2562-04-27T00:00:00"/>
    <s v="Pass"/>
    <d v="2562-04-27T00:00:00"/>
    <m/>
    <m/>
    <x v="4"/>
    <n v="-2"/>
  </r>
  <r>
    <s v="เมษายน"/>
    <d v="2562-04-22T00:00:00"/>
    <x v="1"/>
    <n v="620248"/>
    <x v="14"/>
    <n v="62042258"/>
    <s v="60/220462"/>
    <x v="72"/>
    <s v="125-128"/>
    <x v="283"/>
    <s v="น้ำหนักต่ำกว่ามาตรฐาน"/>
    <n v="2.7600000000000051"/>
    <s v="883/111.7"/>
    <s v="เมตร/ก.ก."/>
    <d v="2562-04-22T00:00:00"/>
    <d v="2562-04-29T00:00:00"/>
    <d v="2562-04-24T00:00:00"/>
    <s v="Pass"/>
    <d v="2562-04-27T00:00:00"/>
    <m/>
    <m/>
    <m/>
    <m/>
    <s v="Pass"/>
    <d v="2562-04-27T00:00:00"/>
    <s v="Pass"/>
    <d v="2562-04-27T00:00:00"/>
    <m/>
    <m/>
    <x v="111"/>
    <n v="-4"/>
  </r>
  <r>
    <s v="เมษายน"/>
    <d v="2562-04-24T00:00:00"/>
    <x v="0"/>
    <n v="620249"/>
    <x v="11"/>
    <s v="TL620430"/>
    <n v="620430"/>
    <x v="0"/>
    <s v="Avg of D +10,-20 D"/>
    <x v="284"/>
    <s v="Avg ต่ำกว่ามาตรฐาน"/>
    <n v="23"/>
    <s v="1/210.7"/>
    <s v="กรง/ก.ก."/>
    <d v="2562-04-24T00:00:00"/>
    <d v="2562-05-01T00:00:00"/>
    <d v="2562-04-26T00:00:00"/>
    <s v="Pass"/>
    <d v="2562-04-25T00:00:00"/>
    <m/>
    <m/>
    <m/>
    <m/>
    <s v="Pass"/>
    <d v="2562-04-29T00:00:00"/>
    <s v="Pass"/>
    <d v="2562-04-25T00:00:00"/>
    <m/>
    <m/>
    <x v="112"/>
    <n v="-6"/>
  </r>
  <r>
    <s v="เมษายน"/>
    <d v="2562-04-24T00:00:00"/>
    <x v="1"/>
    <n v="620250"/>
    <x v="55"/>
    <n v="62042417"/>
    <s v="89/240462"/>
    <x v="73"/>
    <s v="63-68"/>
    <x v="285"/>
    <s v="น้ำหนักสูงกว่ามาตรฐาน"/>
    <n v="2.4399999999999977"/>
    <s v="2461/191.8"/>
    <s v="เมตร/ก.ก."/>
    <d v="2562-04-24T00:00:00"/>
    <d v="2562-05-01T00:00:00"/>
    <d v="2562-04-26T00:00:00"/>
    <s v="Pass"/>
    <d v="2562-04-29T00:00:00"/>
    <m/>
    <m/>
    <m/>
    <m/>
    <s v="Pass"/>
    <d v="2562-04-29T00:00:00"/>
    <s v="Pass"/>
    <d v="2562-04-29T00:00:00"/>
    <m/>
    <m/>
    <x v="113"/>
    <m/>
  </r>
  <r>
    <s v="เมษายน"/>
    <d v="2562-04-24T00:00:00"/>
    <x v="1"/>
    <n v="620251"/>
    <x v="6"/>
    <n v="62042448"/>
    <s v="45/240462"/>
    <x v="64"/>
    <s v="76-78"/>
    <x v="286"/>
    <s v="น้ำหนักต่ำกว่ามาตรฐาน"/>
    <n v="1.1500000000000057"/>
    <s v="1820/138.6"/>
    <s v="เมตร/ก.ก."/>
    <d v="2562-04-24T00:00:00"/>
    <d v="2562-05-01T00:00:00"/>
    <d v="2562-04-26T00:00:00"/>
    <s v="Pass"/>
    <d v="2562-04-29T00:00:00"/>
    <m/>
    <m/>
    <m/>
    <m/>
    <s v="Pass"/>
    <d v="2562-04-29T00:00:00"/>
    <s v="Pass"/>
    <d v="2562-04-29T00:00:00"/>
    <m/>
    <m/>
    <x v="21"/>
    <n v="-2"/>
  </r>
  <r>
    <s v="เมษายน"/>
    <d v="2562-04-24T00:00:00"/>
    <x v="1"/>
    <n v="620251"/>
    <x v="6"/>
    <n v="62042412"/>
    <s v="46/240462"/>
    <x v="67"/>
    <s v="76-78"/>
    <x v="287"/>
    <s v="น้ำหนักต่ำกว่ามาตรฐาน"/>
    <n v="1.8799999999999955"/>
    <s v="1627/125.4"/>
    <s v="เมตร/ก.ก."/>
    <d v="2562-04-24T00:00:00"/>
    <d v="2562-05-01T00:00:00"/>
    <d v="2562-04-26T00:00:00"/>
    <s v="Pass"/>
    <d v="2562-04-29T00:00:00"/>
    <m/>
    <m/>
    <m/>
    <m/>
    <s v="Pass"/>
    <d v="2562-04-29T00:00:00"/>
    <s v="Pass"/>
    <d v="2562-04-29T00:00:00"/>
    <m/>
    <m/>
    <x v="21"/>
    <m/>
  </r>
  <r>
    <s v="เมษายน"/>
    <d v="2562-04-24T00:00:00"/>
    <x v="1"/>
    <n v="620252"/>
    <x v="66"/>
    <n v="62042476"/>
    <s v="64/240462"/>
    <x v="7"/>
    <s v="ผ้าเรียงเส้น"/>
    <x v="288"/>
    <s v="ตรวจเจอด้ายพุ้งลายเนื่องจากมี2.5/800ผสม1หลอด"/>
    <s v="ไม่ผ่าน"/>
    <s v="900/71"/>
    <s v="เมตร/ก.ก."/>
    <d v="2562-04-24T00:00:00"/>
    <d v="2562-05-01T00:00:00"/>
    <d v="2562-04-26T00:00:00"/>
    <s v="Pass"/>
    <d v="2562-04-29T00:00:00"/>
    <m/>
    <m/>
    <m/>
    <m/>
    <s v="Pass"/>
    <d v="2562-04-29T00:00:00"/>
    <s v="Pass"/>
    <d v="2562-04-29T00:00:00"/>
    <m/>
    <m/>
    <x v="114"/>
    <n v="-3"/>
  </r>
  <r>
    <s v="เมษายน"/>
    <d v="2562-04-25T00:00:00"/>
    <x v="1"/>
    <n v="620253"/>
    <x v="6"/>
    <n v="62042564"/>
    <s v="69/250462"/>
    <x v="71"/>
    <s v="76-78"/>
    <x v="289"/>
    <s v="น้ำหนักต่ำกว่ามาตรฐาน"/>
    <n v="0.85999999999999943"/>
    <s v="560/44.1"/>
    <s v="เมตร/ก.ก."/>
    <d v="2562-04-25T00:00:00"/>
    <d v="2562-05-02T00:00:00"/>
    <d v="2562-04-27T00:00:00"/>
    <s v="Pass"/>
    <d v="2562-04-29T00:00:00"/>
    <m/>
    <m/>
    <m/>
    <m/>
    <s v="Pass"/>
    <d v="2562-04-29T00:00:00"/>
    <s v="Pass"/>
    <d v="2562-04-29T00:00:00"/>
    <m/>
    <m/>
    <x v="21"/>
    <n v="-4"/>
  </r>
  <r>
    <s v="เมษายน"/>
    <d v="2562-04-26T00:00:00"/>
    <x v="1"/>
    <n v="620254"/>
    <x v="3"/>
    <n v="62042605"/>
    <s v="92/260462"/>
    <x v="39"/>
    <s v="67-70"/>
    <x v="290"/>
    <s v="น้ำหนักสูงกว่ามาตรฐาน"/>
    <n v="3.8400000000000034"/>
    <s v="1289/98"/>
    <s v="เมตร/ก.ก."/>
    <d v="2562-04-26T00:00:00"/>
    <d v="2562-05-03T00:00:00"/>
    <d v="2562-04-28T00:00:00"/>
    <s v="Pass"/>
    <d v="2562-04-29T00:00:00"/>
    <m/>
    <m/>
    <m/>
    <m/>
    <s v="Pass"/>
    <d v="2562-04-29T00:00:00"/>
    <s v="Pass"/>
    <d v="2562-04-29T00:00:00"/>
    <m/>
    <m/>
    <x v="115"/>
    <m/>
  </r>
  <r>
    <s v="เมษายน"/>
    <d v="2562-04-26T00:00:00"/>
    <x v="1"/>
    <n v="620255"/>
    <x v="63"/>
    <n v="62042665"/>
    <s v="66/260462"/>
    <x v="30"/>
    <s v="60-65"/>
    <x v="291"/>
    <s v="น้ำหนักสูงกว่ามาตรฐาน"/>
    <n v="1.1899999999999977"/>
    <s v="1563/104"/>
    <s v="เมตร/ก.ก."/>
    <d v="2562-04-26T00:00:00"/>
    <d v="2562-05-03T00:00:00"/>
    <d v="2562-04-28T00:00:00"/>
    <s v="Pass"/>
    <d v="2562-04-29T00:00:00"/>
    <m/>
    <m/>
    <m/>
    <m/>
    <s v="Pass"/>
    <d v="2562-04-29T00:00:00"/>
    <s v="Pass"/>
    <d v="2562-04-29T00:00:00"/>
    <m/>
    <m/>
    <x v="101"/>
    <n v="-6"/>
  </r>
  <r>
    <s v="เมษายน"/>
    <d v="2562-04-28T00:00:00"/>
    <x v="0"/>
    <n v="620256"/>
    <x v="61"/>
    <s v="TL620434"/>
    <n v="620434"/>
    <x v="0"/>
    <s v="ขนาดเกินค่าควบคุม (2.08-2.1)"/>
    <x v="292"/>
    <s v="สูงกว่าค่าคุมกำหนด 2.08 - 2.1"/>
    <s v="0.06 ,0.03 ,0.01"/>
    <s v="3/1111.80"/>
    <s v="กรง/ก.ก."/>
    <d v="2562-04-28T00:00:00"/>
    <d v="2562-05-05T00:00:00"/>
    <d v="2562-04-30T00:00:00"/>
    <s v="Pass"/>
    <d v="2562-04-29T00:00:00"/>
    <m/>
    <m/>
    <m/>
    <m/>
    <s v="Pass"/>
    <d v="2562-05-04T00:00:00"/>
    <s v="Pass"/>
    <d v="2562-05-04T00:00:00"/>
    <m/>
    <m/>
    <x v="116"/>
    <n v="-2"/>
  </r>
  <r>
    <s v="เมษายน"/>
    <d v="2562-04-28T00:00:00"/>
    <x v="0"/>
    <n v="620256"/>
    <x v="61"/>
    <s v="TL620434"/>
    <n v="620434"/>
    <x v="0"/>
    <s v="Kg f ≥(4.3xD/1000) kgf."/>
    <x v="293"/>
    <s v="Kg.ต่ำกว่ามาตรฐาน"/>
    <s v="0.12 ,0.02"/>
    <m/>
    <m/>
    <d v="2562-04-28T00:00:00"/>
    <d v="2562-05-05T00:00:00"/>
    <d v="2562-04-30T00:00:00"/>
    <s v="Pass"/>
    <d v="2562-04-29T00:00:00"/>
    <m/>
    <m/>
    <m/>
    <m/>
    <s v="Pass"/>
    <d v="2562-05-04T00:00:00"/>
    <s v="Pass"/>
    <d v="2562-05-04T00:00:00"/>
    <m/>
    <m/>
    <x v="116"/>
    <n v="-2"/>
  </r>
  <r>
    <s v="เมษายน"/>
    <d v="2562-04-28T00:00:00"/>
    <x v="0"/>
    <n v="620256"/>
    <x v="61"/>
    <s v="TL620434"/>
    <n v="620434"/>
    <x v="0"/>
    <s v="Tenacity ≥  4.3 g/D"/>
    <x v="294"/>
    <s v="Tenacityต่ำกว่ามาตรฐาน"/>
    <n v="0.04"/>
    <m/>
    <m/>
    <d v="2562-04-28T00:00:00"/>
    <d v="2562-05-05T00:00:00"/>
    <d v="2562-04-30T00:00:00"/>
    <s v="Pass"/>
    <d v="2562-04-29T00:00:00"/>
    <m/>
    <m/>
    <m/>
    <m/>
    <s v="Pass"/>
    <d v="2562-05-04T00:00:00"/>
    <s v="Pass"/>
    <d v="2562-05-04T00:00:00"/>
    <m/>
    <m/>
    <x v="116"/>
    <n v="-3"/>
  </r>
  <r>
    <s v="เมษายน"/>
    <d v="2562-04-29T00:00:00"/>
    <x v="5"/>
    <n v="620257"/>
    <x v="44"/>
    <n v="62042667"/>
    <n v="620451"/>
    <x v="34"/>
    <s v="100+"/>
    <x v="295"/>
    <s v="น้ำหนักสูงกว่ามาตรฐาน"/>
    <n v="4.79"/>
    <s v="1982/207.4"/>
    <s v="เมตร/ก.ก."/>
    <d v="2562-04-29T00:00:00"/>
    <d v="2562-05-06T00:00:00"/>
    <d v="2562-05-01T00:00:00"/>
    <s v="Pass"/>
    <d v="2562-05-03T00:00:00"/>
    <m/>
    <m/>
    <m/>
    <m/>
    <s v="Pass"/>
    <d v="2562-05-04T00:00:00"/>
    <s v="Pass"/>
    <d v="2562-05-04T00:00:00"/>
    <m/>
    <m/>
    <x v="117"/>
    <n v="-2"/>
  </r>
  <r>
    <s v="เมษายน"/>
    <d v="2562-04-29T00:00:00"/>
    <x v="0"/>
    <n v="620258"/>
    <x v="0"/>
    <s v="TL620435"/>
    <n v="620435"/>
    <x v="0"/>
    <s v="Avg of D +10,-20 D"/>
    <x v="296"/>
    <s v="Avg สูงกว่ามาตรฐาน"/>
    <n v="11"/>
    <s v="2/820"/>
    <s v="กรง/ก.ก."/>
    <d v="2562-04-29T00:00:00"/>
    <d v="2562-05-06T00:00:00"/>
    <d v="2562-05-01T00:00:00"/>
    <s v="Pass"/>
    <d v="2562-04-30T00:00:00"/>
    <m/>
    <m/>
    <m/>
    <m/>
    <s v="Pass"/>
    <d v="2562-05-02T00:00:00"/>
    <s v="Pass"/>
    <d v="2562-05-03T00:00:00"/>
    <m/>
    <m/>
    <x v="0"/>
    <n v="-3"/>
  </r>
  <r>
    <s v="เมษายน"/>
    <d v="2562-04-29T00:00:00"/>
    <x v="0"/>
    <n v="620258"/>
    <x v="0"/>
    <s v="TL620435"/>
    <n v="620435"/>
    <x v="0"/>
    <s v="Std. ไม่เกิน 30 D"/>
    <x v="297"/>
    <s v="Std.เกินกว่ามาตรฐาน"/>
    <n v="7"/>
    <m/>
    <m/>
    <d v="2562-04-29T00:00:00"/>
    <d v="2562-05-06T00:00:00"/>
    <d v="2562-05-01T00:00:00"/>
    <s v="Pass"/>
    <d v="2562-04-30T00:00:00"/>
    <m/>
    <m/>
    <m/>
    <m/>
    <s v="Pass"/>
    <d v="2562-05-02T00:00:00"/>
    <s v="Pass"/>
    <d v="2562-05-03T00:00:00"/>
    <m/>
    <m/>
    <x v="0"/>
    <n v="-4"/>
  </r>
  <r>
    <s v="เมษายน"/>
    <d v="2562-04-29T00:00:00"/>
    <x v="0"/>
    <n v="620258"/>
    <x v="0"/>
    <s v="TL620435"/>
    <n v="620435"/>
    <x v="0"/>
    <s v="Avg of D +10,-20 D"/>
    <x v="298"/>
    <s v="Avg ต่ำกว่ามาตรฐาน"/>
    <n v="11"/>
    <m/>
    <m/>
    <d v="2562-04-29T00:00:00"/>
    <d v="2562-05-06T00:00:00"/>
    <d v="2562-05-01T00:00:00"/>
    <s v="Pass"/>
    <d v="2562-04-30T00:00:00"/>
    <m/>
    <m/>
    <m/>
    <m/>
    <s v="Pass"/>
    <d v="2562-05-02T00:00:00"/>
    <s v="Pass"/>
    <d v="2562-05-03T00:00:00"/>
    <m/>
    <m/>
    <x v="0"/>
    <n v="-6"/>
  </r>
  <r>
    <s v="เมษายน"/>
    <d v="2562-04-29T00:00:00"/>
    <x v="5"/>
    <n v="620259"/>
    <x v="44"/>
    <n v="62042903"/>
    <n v="620453"/>
    <x v="34"/>
    <s v="ฟิล์มลงสม่ำเสมอ"/>
    <x v="299"/>
    <s v="ผ้าไม่มีฟิล์ม"/>
    <s v="ไม่ผ่าน"/>
    <s v="647/67.1"/>
    <s v="เมตร/ก.ก."/>
    <d v="2562-04-29T00:00:00"/>
    <d v="2562-05-06T00:00:00"/>
    <d v="2562-05-01T00:00:00"/>
    <s v="Pass"/>
    <d v="2562-04-30T00:00:00"/>
    <m/>
    <m/>
    <m/>
    <m/>
    <s v="Pass"/>
    <d v="2562-05-06T00:00:00"/>
    <s v="Pass"/>
    <d v="2562-05-06T00:00:00"/>
    <m/>
    <m/>
    <x v="118"/>
    <n v="-3"/>
  </r>
  <r>
    <s v="เมษายน"/>
    <d v="2562-04-30T00:00:00"/>
    <x v="2"/>
    <n v="620260"/>
    <x v="67"/>
    <s v="FWBWT264197P"/>
    <s v="PD462043001"/>
    <x v="12"/>
    <s v="งานพิมพ์สมบูรณ์"/>
    <x v="300"/>
    <s v="งานพิมพ์เสีย"/>
    <s v="ไม่ผ่าน"/>
    <n v="347"/>
    <s v="ใบ"/>
    <d v="2562-04-30T00:00:00"/>
    <d v="2562-05-07T00:00:00"/>
    <d v="2562-05-02T00:00:00"/>
    <m/>
    <m/>
    <m/>
    <m/>
    <m/>
    <m/>
    <m/>
    <m/>
    <m/>
    <m/>
    <m/>
    <m/>
    <x v="3"/>
    <n v="-241922"/>
  </r>
  <r>
    <s v="พฤษภาคม"/>
    <d v="2562-05-02T00:00:00"/>
    <x v="0"/>
    <n v="620261"/>
    <x v="1"/>
    <s v="TL620501"/>
    <n v="620501"/>
    <x v="0"/>
    <s v="Avg of D +10,-20 D"/>
    <x v="301"/>
    <s v="Avg สูงกว่ามาตรฐาน"/>
    <n v="45"/>
    <s v="2/782.3"/>
    <s v="กรง/ก.ก."/>
    <d v="2562-05-02T00:00:00"/>
    <d v="2562-05-09T00:00:00"/>
    <d v="2562-05-04T00:00:00"/>
    <s v="Pass"/>
    <d v="2562-05-03T00:00:00"/>
    <m/>
    <m/>
    <m/>
    <m/>
    <s v="Pass"/>
    <d v="2562-05-06T00:00:00"/>
    <s v="Pass"/>
    <d v="2562-05-06T00:00:00"/>
    <m/>
    <m/>
    <x v="20"/>
    <n v="-5"/>
  </r>
  <r>
    <s v="พฤษภาคม"/>
    <d v="2562-05-02T00:00:00"/>
    <x v="0"/>
    <n v="620261"/>
    <x v="1"/>
    <s v="TL620501"/>
    <n v="620501"/>
    <x v="0"/>
    <s v="Avg of D +10,-20 D"/>
    <x v="302"/>
    <s v="Avg ต่ำกว่ามาตรฐาน"/>
    <n v="20"/>
    <m/>
    <m/>
    <d v="2562-05-02T00:00:00"/>
    <d v="2562-05-09T00:00:00"/>
    <d v="2562-05-04T00:00:00"/>
    <s v="Pass"/>
    <d v="2562-05-03T00:00:00"/>
    <m/>
    <m/>
    <m/>
    <m/>
    <s v="Pass"/>
    <d v="2562-05-06T00:00:00"/>
    <s v="Pass"/>
    <d v="2562-05-06T00:00:00"/>
    <m/>
    <m/>
    <x v="20"/>
    <n v="-5"/>
  </r>
  <r>
    <s v="พฤษภาคม"/>
    <d v="2562-05-02T00:00:00"/>
    <x v="0"/>
    <n v="620262"/>
    <x v="61"/>
    <s v="TL60502"/>
    <n v="620502"/>
    <x v="1"/>
    <s v="Avg of D +10,-20 D"/>
    <x v="303"/>
    <s v="Avg ต่ำกว่ามาตรฐาน"/>
    <n v="11"/>
    <s v="1/222.1"/>
    <s v="กรง/ก.ก."/>
    <d v="2562-05-02T00:00:00"/>
    <d v="2562-05-09T00:00:00"/>
    <d v="2562-05-04T00:00:00"/>
    <s v="Pass"/>
    <d v="2562-05-03T00:00:00"/>
    <m/>
    <m/>
    <m/>
    <m/>
    <s v="Pass"/>
    <d v="2562-05-06T00:00:00"/>
    <s v="Pass"/>
    <d v="2562-05-06T00:00:00"/>
    <m/>
    <m/>
    <x v="116"/>
    <n v="-5"/>
  </r>
  <r>
    <s v="พฤษภาคม"/>
    <d v="2562-05-02T00:00:00"/>
    <x v="0"/>
    <n v="620262"/>
    <x v="61"/>
    <s v="TL60502"/>
    <n v="620502"/>
    <x v="1"/>
    <s v="Std. ไม่เกิน 30 D"/>
    <x v="31"/>
    <s v="Std.เกินกว่ามาตรฐาน"/>
    <n v="34"/>
    <m/>
    <m/>
    <d v="2562-05-02T00:00:00"/>
    <d v="2562-05-09T00:00:00"/>
    <d v="2562-05-04T00:00:00"/>
    <s v="Pass"/>
    <d v="2562-05-03T00:00:00"/>
    <m/>
    <m/>
    <m/>
    <m/>
    <s v="Pass"/>
    <d v="2562-05-06T00:00:00"/>
    <s v="Pass"/>
    <d v="2562-05-06T00:00:00"/>
    <m/>
    <m/>
    <x v="116"/>
    <n v="-5"/>
  </r>
  <r>
    <s v="พฤษภาคม"/>
    <d v="2562-05-03T00:00:00"/>
    <x v="1"/>
    <n v="620263"/>
    <x v="3"/>
    <n v="62050363"/>
    <s v="44/030562"/>
    <x v="76"/>
    <s v="67-70"/>
    <x v="304"/>
    <s v="น้ำหนักสูงกว่ามาตรฐาน"/>
    <n v="1.94"/>
    <s v="2680/188.6"/>
    <s v="เมตร/ก.ก."/>
    <d v="2562-05-03T00:00:00"/>
    <d v="2562-05-10T00:00:00"/>
    <d v="2562-05-05T00:00:00"/>
    <s v="Pass"/>
    <d v="2562-05-08T00:00:00"/>
    <m/>
    <m/>
    <m/>
    <m/>
    <s v="Pass"/>
    <d v="2562-05-08T00:00:00"/>
    <s v="Pass"/>
    <d v="2562-05-08T00:00:00"/>
    <m/>
    <m/>
    <x v="4"/>
    <m/>
  </r>
  <r>
    <s v="พฤษภาคม"/>
    <d v="2562-05-04T00:00:00"/>
    <x v="2"/>
    <n v="620264"/>
    <x v="68"/>
    <s v="FWBWT2039102P"/>
    <s v="PD462050307"/>
    <x v="12"/>
    <s v="งานพิมพ์สมบูรณ์"/>
    <x v="25"/>
    <s v="งานพิมพ์ไม่สมบูรณ์ "/>
    <s v="ไม่ผ่าน"/>
    <n v="250"/>
    <s v="ใบ"/>
    <d v="2562-05-04T00:00:00"/>
    <d v="2562-05-11T00:00:00"/>
    <d v="2562-05-06T00:00:00"/>
    <m/>
    <m/>
    <m/>
    <m/>
    <m/>
    <m/>
    <m/>
    <m/>
    <m/>
    <m/>
    <m/>
    <m/>
    <x v="3"/>
    <n v="-241923"/>
  </r>
  <r>
    <s v="พฤษภาคม"/>
    <d v="2562-05-04T00:00:00"/>
    <x v="1"/>
    <n v="620265"/>
    <x v="30"/>
    <n v="62050453"/>
    <s v="26/040562"/>
    <x v="43"/>
    <s v="75-80"/>
    <x v="305"/>
    <s v="น้ำหนักสูงกว่ามาตรฐาน"/>
    <n v="3.6"/>
    <s v="2000/163.6"/>
    <s v="เมตร/ก.ก."/>
    <d v="2562-05-04T00:00:00"/>
    <d v="2562-05-11T00:00:00"/>
    <d v="2562-05-06T00:00:00"/>
    <s v="Pass"/>
    <d v="2562-05-08T00:00:00"/>
    <m/>
    <m/>
    <m/>
    <m/>
    <s v="Pass"/>
    <d v="2562-05-08T00:00:00"/>
    <s v="Pass"/>
    <d v="2562-05-08T00:00:00"/>
    <m/>
    <m/>
    <x v="119"/>
    <n v="-5"/>
  </r>
  <r>
    <s v="พฤษภาคม"/>
    <d v="2562-05-06T00:00:00"/>
    <x v="0"/>
    <n v="620266"/>
    <x v="60"/>
    <s v="TL620504"/>
    <n v="620504"/>
    <x v="0"/>
    <s v="Avg of D +10,-20 D"/>
    <x v="306"/>
    <s v="Avg สูงกว่ามาตรฐาน"/>
    <n v="42"/>
    <s v="1/246.1"/>
    <s v="กรง/ก.ก."/>
    <d v="2562-05-06T00:00:00"/>
    <d v="2562-05-13T00:00:00"/>
    <d v="2562-05-08T00:00:00"/>
    <s v="Pass"/>
    <d v="2562-05-06T00:00:00"/>
    <m/>
    <m/>
    <m/>
    <m/>
    <s v="Pass"/>
    <d v="2562-05-09T00:00:00"/>
    <s v="Pass"/>
    <d v="2562-05-10T00:00:00"/>
    <m/>
    <m/>
    <x v="94"/>
    <n v="-3"/>
  </r>
  <r>
    <s v="พฤษภาคม"/>
    <d v="2562-05-06T00:00:00"/>
    <x v="0"/>
    <n v="620266"/>
    <x v="60"/>
    <s v="TL620504"/>
    <n v="620504"/>
    <x v="0"/>
    <s v="สีของเส้นเทป"/>
    <x v="307"/>
    <s v="ไม่ผ่าน"/>
    <s v="ไม่ผ่าน"/>
    <m/>
    <m/>
    <d v="2562-05-06T00:00:00"/>
    <d v="2562-05-13T00:00:00"/>
    <d v="2562-05-08T00:00:00"/>
    <s v="Pass"/>
    <d v="2562-05-06T00:00:00"/>
    <m/>
    <m/>
    <m/>
    <m/>
    <s v="Pass"/>
    <d v="2562-05-09T00:00:00"/>
    <s v="Pass"/>
    <d v="2562-05-10T00:00:00"/>
    <m/>
    <m/>
    <x v="94"/>
    <n v="-3"/>
  </r>
  <r>
    <s v="พฤษภาคม"/>
    <d v="2562-05-06T00:00:00"/>
    <x v="0"/>
    <n v="620267"/>
    <x v="5"/>
    <s v="TL620505"/>
    <n v="620505"/>
    <x v="0"/>
    <s v="Std. ไม่เกิน 30 D"/>
    <x v="243"/>
    <s v="Std.เกินกว่ามาตรฐาน"/>
    <n v="9"/>
    <s v="1/231.8"/>
    <s v="กรง/ก.ก."/>
    <d v="2562-05-06T00:00:00"/>
    <d v="2562-05-13T00:00:00"/>
    <d v="2562-05-08T00:00:00"/>
    <s v="Pass"/>
    <d v="2562-05-06T00:00:00"/>
    <m/>
    <m/>
    <m/>
    <m/>
    <s v="Pass"/>
    <d v="2562-05-09T00:00:00"/>
    <s v="Pass"/>
    <d v="2562-05-06T00:00:00"/>
    <m/>
    <m/>
    <x v="120"/>
    <n v="-8"/>
  </r>
  <r>
    <s v="พฤษภาคม"/>
    <d v="2562-05-06T00:00:00"/>
    <x v="0"/>
    <n v="620267"/>
    <x v="5"/>
    <s v="TL620505"/>
    <n v="620505"/>
    <x v="0"/>
    <s v="สีของเส้นเทป"/>
    <x v="308"/>
    <s v="ไม่ผ่าน"/>
    <s v="ไม่ผ่าน"/>
    <m/>
    <m/>
    <d v="2562-05-06T00:00:00"/>
    <d v="2562-05-13T00:00:00"/>
    <d v="2562-05-08T00:00:00"/>
    <s v="Pass"/>
    <d v="2562-05-06T00:00:00"/>
    <m/>
    <m/>
    <m/>
    <m/>
    <s v="Pass"/>
    <d v="2562-05-09T00:00:00"/>
    <s v="Pass"/>
    <d v="2562-05-06T00:00:00"/>
    <m/>
    <m/>
    <x v="120"/>
    <n v="-8"/>
  </r>
  <r>
    <s v="พฤษภาคม"/>
    <d v="2562-05-07T00:00:00"/>
    <x v="1"/>
    <n v="620268"/>
    <x v="35"/>
    <n v="62050741"/>
    <s v="24/070562"/>
    <x v="25"/>
    <s v="79-80"/>
    <x v="309"/>
    <s v="น้ำหนักสูงกว่ามาตรฐาน"/>
    <n v="2.0999999999999943"/>
    <s v="2500/207.4"/>
    <s v="เมตร/ก.ก."/>
    <d v="2562-05-07T00:00:00"/>
    <d v="2562-05-14T00:00:00"/>
    <d v="2562-05-09T00:00:00"/>
    <s v="Pass"/>
    <d v="2562-05-13T00:00:00"/>
    <m/>
    <m/>
    <m/>
    <m/>
    <s v="Pass"/>
    <d v="2562-05-13T00:00:00"/>
    <s v="Pass"/>
    <d v="2562-05-14T00:00:00"/>
    <m/>
    <m/>
    <x v="62"/>
    <n v="0"/>
  </r>
  <r>
    <s v="พฤษภาคม"/>
    <d v="2562-05-07T00:00:00"/>
    <x v="1"/>
    <n v="620269"/>
    <x v="3"/>
    <n v="62050765"/>
    <s v="66/070562"/>
    <x v="30"/>
    <s v="67-70"/>
    <x v="310"/>
    <s v="น้ำหนักต่ำกว่ามาตรฐาน"/>
    <n v="0.37000000000000455"/>
    <s v="2571/178.6"/>
    <s v="เมตร/ก.ก."/>
    <d v="2562-05-07T00:00:00"/>
    <d v="2562-05-14T00:00:00"/>
    <d v="2562-05-09T00:00:00"/>
    <s v="Pass"/>
    <d v="2562-05-08T00:00:00"/>
    <m/>
    <m/>
    <m/>
    <m/>
    <s v="Pass"/>
    <d v="2562-05-08T00:00:00"/>
    <s v="Pass"/>
    <d v="2562-05-08T00:00:00"/>
    <m/>
    <m/>
    <x v="121"/>
    <n v="-6"/>
  </r>
  <r>
    <s v="พฤษภาคม"/>
    <d v="2562-05-07T00:00:00"/>
    <x v="1"/>
    <n v="620270"/>
    <x v="3"/>
    <n v="62050752"/>
    <s v="39/070562"/>
    <x v="27"/>
    <s v="67-70"/>
    <x v="311"/>
    <s v="น้ำหนักสูงกว่ามาตรฐาน"/>
    <n v="1.1700000000000017"/>
    <s v="2573/184.2"/>
    <s v="เมตร/ก.ก."/>
    <d v="2562-05-07T00:00:00"/>
    <d v="2562-05-14T00:00:00"/>
    <d v="2562-05-09T00:00:00"/>
    <s v="Pass"/>
    <d v="2562-05-08T00:00:00"/>
    <m/>
    <m/>
    <m/>
    <m/>
    <s v="Pass"/>
    <d v="2562-05-08T00:00:00"/>
    <s v="Pass"/>
    <d v="2562-05-08T00:00:00"/>
    <m/>
    <m/>
    <x v="4"/>
    <n v="-6"/>
  </r>
  <r>
    <s v="พฤษภาคม"/>
    <d v="2562-05-07T00:00:00"/>
    <x v="0"/>
    <n v="620271"/>
    <x v="69"/>
    <s v="TL620506"/>
    <n v="620506"/>
    <x v="1"/>
    <s v="Avg of D +10,-20 D"/>
    <x v="312"/>
    <s v="Avg ต่ำกว่ามาตรฐาน"/>
    <n v="13"/>
    <s v="1/242.2"/>
    <s v="กรง/ก.ก."/>
    <d v="2562-05-07T00:00:00"/>
    <d v="2562-05-14T00:00:00"/>
    <d v="2562-05-09T00:00:00"/>
    <s v="Pass"/>
    <d v="2562-05-08T00:00:00"/>
    <m/>
    <m/>
    <m/>
    <m/>
    <s v="Pass"/>
    <d v="2562-05-09T00:00:00"/>
    <s v="Pass"/>
    <d v="2562-05-10T00:00:00"/>
    <m/>
    <m/>
    <x v="122"/>
    <n v="-4"/>
  </r>
  <r>
    <s v="พฤษภาคม"/>
    <d v="2562-05-07T00:00:00"/>
    <x v="0"/>
    <n v="620272"/>
    <x v="61"/>
    <s v="TL620507"/>
    <n v="620507"/>
    <x v="1"/>
    <s v="Avg of D +10,-20 D"/>
    <x v="313"/>
    <s v="Avg สูงกว่ามาตรฐาน"/>
    <n v="2"/>
    <s v="1/251"/>
    <s v="กรง/ก.ก."/>
    <d v="2562-05-07T00:00:00"/>
    <d v="2562-05-14T00:00:00"/>
    <d v="2562-05-09T00:00:00"/>
    <s v="Pass"/>
    <d v="2562-05-08T00:00:00"/>
    <m/>
    <m/>
    <m/>
    <m/>
    <s v="Pass"/>
    <d v="2562-05-09T00:00:00"/>
    <s v="Pass"/>
    <d v="2562-05-10T00:00:00"/>
    <m/>
    <m/>
    <x v="116"/>
    <n v="-6"/>
  </r>
  <r>
    <s v="พฤษภาคม"/>
    <d v="2562-05-07T00:00:00"/>
    <x v="0"/>
    <n v="620272"/>
    <x v="61"/>
    <s v="TL620507"/>
    <n v="620507"/>
    <x v="1"/>
    <s v="Std. ไม่เกิน 30 D"/>
    <x v="297"/>
    <s v="Std.เกินกว่ามาตรฐาน"/>
    <n v="7"/>
    <m/>
    <m/>
    <d v="2562-05-07T00:00:00"/>
    <d v="2562-05-14T00:00:00"/>
    <d v="2562-05-09T00:00:00"/>
    <s v="Pass"/>
    <d v="2562-05-08T00:00:00"/>
    <m/>
    <m/>
    <m/>
    <m/>
    <s v="Pass"/>
    <d v="2562-05-09T00:00:00"/>
    <s v="Pass"/>
    <d v="2562-05-10T00:00:00"/>
    <m/>
    <m/>
    <x v="116"/>
    <n v="-6"/>
  </r>
  <r>
    <s v="พฤษภาคม"/>
    <d v="2562-05-08T00:00:00"/>
    <x v="0"/>
    <n v="620273"/>
    <x v="5"/>
    <s v="TL620511"/>
    <n v="620511"/>
    <x v="75"/>
    <s v="Avg of D +10,-20 D"/>
    <x v="314"/>
    <s v="Avg สูงกว่ามาตรฐาน"/>
    <n v="10"/>
    <s v="1/237.3"/>
    <s v="กรง/ก.ก."/>
    <d v="2562-05-08T00:00:00"/>
    <d v="2562-05-15T00:00:00"/>
    <d v="2562-05-10T00:00:00"/>
    <s v="Pass"/>
    <d v="2562-05-09T00:00:00"/>
    <m/>
    <m/>
    <m/>
    <m/>
    <s v="Pass"/>
    <d v="2562-05-09T00:00:00"/>
    <s v="Pass"/>
    <d v="2562-05-10T00:00:00"/>
    <m/>
    <m/>
    <x v="14"/>
    <n v="-6"/>
  </r>
  <r>
    <s v="พฤษภาคม"/>
    <d v="2562-05-09T00:00:00"/>
    <x v="0"/>
    <n v="620274"/>
    <x v="13"/>
    <s v="TL620509"/>
    <n v="620509"/>
    <x v="0"/>
    <s v="Avg of D +10,-20 D"/>
    <x v="315"/>
    <s v="Avg ต่ำกว่ามาตรฐาน"/>
    <n v="12"/>
    <s v="3/1372.10"/>
    <s v="กรง/ก.ก."/>
    <d v="2562-05-09T00:00:00"/>
    <d v="2562-05-16T00:00:00"/>
    <d v="2562-05-11T00:00:00"/>
    <s v="Pass"/>
    <d v="2562-05-10T00:00:00"/>
    <m/>
    <m/>
    <m/>
    <m/>
    <s v="Pass"/>
    <d v="2562-05-13T00:00:00"/>
    <s v="Pass"/>
    <d v="2562-05-14T00:00:00"/>
    <m/>
    <m/>
    <x v="15"/>
    <n v="-2"/>
  </r>
  <r>
    <s v="พฤษภาคม"/>
    <d v="2562-05-09T00:00:00"/>
    <x v="0"/>
    <n v="620274"/>
    <x v="13"/>
    <s v="TL620509"/>
    <n v="620509"/>
    <x v="0"/>
    <s v="Std. ไม่เกิน 30 D"/>
    <x v="316"/>
    <s v="Std.เกินกว่ามาตรฐาน"/>
    <s v="19 ,6"/>
    <m/>
    <m/>
    <d v="2562-05-09T00:00:00"/>
    <d v="2562-05-16T00:00:00"/>
    <d v="2562-05-11T00:00:00"/>
    <s v="Pass"/>
    <d v="2562-05-10T00:00:00"/>
    <m/>
    <m/>
    <m/>
    <m/>
    <s v="Pass"/>
    <d v="2562-05-13T00:00:00"/>
    <s v="Pass"/>
    <d v="2562-05-14T00:00:00"/>
    <m/>
    <m/>
    <x v="15"/>
    <n v="-2"/>
  </r>
  <r>
    <s v="พฤษภาคม"/>
    <d v="2562-05-09T00:00:00"/>
    <x v="0"/>
    <n v="620274"/>
    <x v="13"/>
    <s v="TL620509"/>
    <n v="620509"/>
    <x v="0"/>
    <s v="Kg f ≥(4.0xD/1000) kgf."/>
    <x v="317"/>
    <s v="Kg.ต่ำกว่ามาตรฐาน"/>
    <n v="0.05"/>
    <m/>
    <m/>
    <d v="2562-05-09T00:00:00"/>
    <d v="2562-05-16T00:00:00"/>
    <d v="2562-05-11T00:00:00"/>
    <s v="Pass"/>
    <d v="2562-05-10T00:00:00"/>
    <m/>
    <m/>
    <m/>
    <m/>
    <s v="Pass"/>
    <d v="2562-05-13T00:00:00"/>
    <s v="Pass"/>
    <d v="2562-05-14T00:00:00"/>
    <m/>
    <m/>
    <x v="15"/>
    <n v="-3"/>
  </r>
  <r>
    <s v="พฤษภาคม"/>
    <d v="2562-05-09T00:00:00"/>
    <x v="0"/>
    <n v="620274"/>
    <x v="13"/>
    <s v="TL620509"/>
    <n v="620509"/>
    <x v="0"/>
    <s v="Avg of D +10,-20 D"/>
    <x v="136"/>
    <s v="Avg สูงกว่ามาตรฐาน"/>
    <n v="10"/>
    <m/>
    <m/>
    <d v="2562-05-09T00:00:00"/>
    <d v="2562-05-16T00:00:00"/>
    <d v="2562-05-11T00:00:00"/>
    <s v="Pass"/>
    <d v="2562-05-10T00:00:00"/>
    <m/>
    <m/>
    <m/>
    <m/>
    <s v="Pass"/>
    <d v="2562-05-13T00:00:00"/>
    <s v="Pass"/>
    <d v="2562-05-14T00:00:00"/>
    <m/>
    <m/>
    <x v="15"/>
    <n v="-4"/>
  </r>
  <r>
    <s v="พฤษภาคม"/>
    <d v="2562-05-09T00:00:00"/>
    <x v="0"/>
    <n v="620275"/>
    <x v="2"/>
    <s v="TL620510"/>
    <n v="620510"/>
    <x v="0"/>
    <s v="Std. ไม่เกิน 30 D"/>
    <x v="318"/>
    <s v="Std.เกินกว่ามาตรฐาน"/>
    <s v="8 ,12"/>
    <s v="2/1123.20"/>
    <s v="กรง/ก.ก."/>
    <d v="2562-05-09T00:00:00"/>
    <d v="2562-05-16T00:00:00"/>
    <d v="2562-05-11T00:00:00"/>
    <s v="Pass"/>
    <d v="2562-05-11T00:00:00"/>
    <m/>
    <m/>
    <m/>
    <m/>
    <s v="Pass"/>
    <d v="2562-05-13T00:00:00"/>
    <s v="Pass"/>
    <d v="2562-05-14T00:00:00"/>
    <m/>
    <m/>
    <x v="12"/>
    <n v="-2"/>
  </r>
  <r>
    <s v="พฤษภาคม"/>
    <d v="2562-05-09T00:00:00"/>
    <x v="0"/>
    <n v="620275"/>
    <x v="2"/>
    <s v="TL620510"/>
    <n v="620510"/>
    <x v="0"/>
    <s v="Avg of D +10,-20 D"/>
    <x v="97"/>
    <s v="Avg สูงกว่ามาตรฐาน"/>
    <n v="4"/>
    <m/>
    <m/>
    <d v="2562-05-09T00:00:00"/>
    <d v="2562-05-16T00:00:00"/>
    <d v="2562-05-11T00:00:00"/>
    <s v="Pass"/>
    <d v="2562-05-11T00:00:00"/>
    <m/>
    <m/>
    <m/>
    <m/>
    <s v="Pass"/>
    <d v="2562-05-13T00:00:00"/>
    <s v="Pass"/>
    <d v="2562-05-14T00:00:00"/>
    <m/>
    <m/>
    <x v="12"/>
    <n v="-3"/>
  </r>
  <r>
    <s v="พฤษภาคม"/>
    <d v="2562-05-09T00:00:00"/>
    <x v="0"/>
    <n v="620276"/>
    <x v="1"/>
    <s v="TL620512"/>
    <n v="620512"/>
    <x v="0"/>
    <s v="Avg of D +10,-20 D"/>
    <x v="319"/>
    <s v="Avg สูงกว่ามาตรฐาน"/>
    <n v="7"/>
    <s v="1/199.1"/>
    <s v="กรง/ก.ก."/>
    <d v="2562-05-09T00:00:00"/>
    <d v="2562-05-16T00:00:00"/>
    <d v="2562-05-11T00:00:00"/>
    <s v="Pass"/>
    <d v="2562-05-10T00:00:00"/>
    <m/>
    <m/>
    <m/>
    <m/>
    <s v="Pass"/>
    <d v="2562-05-13T00:00:00"/>
    <s v="Pass"/>
    <d v="2562-05-11T00:00:00"/>
    <m/>
    <m/>
    <x v="123"/>
    <n v="-6"/>
  </r>
  <r>
    <s v="พฤษภาคม"/>
    <d v="2562-05-10T00:00:00"/>
    <x v="1"/>
    <n v="620277"/>
    <x v="14"/>
    <n v="62051058"/>
    <s v="60/100562"/>
    <x v="72"/>
    <s v="125-128"/>
    <x v="320"/>
    <s v="น้ำหนักสูงกว่ามาตรฐาน"/>
    <n v="1.9499999999999886"/>
    <s v="1314/174"/>
    <s v="เมตร/ก.ก."/>
    <d v="2562-05-10T00:00:00"/>
    <d v="2562-05-17T00:00:00"/>
    <d v="2562-05-12T00:00:00"/>
    <s v="Pass"/>
    <d v="2562-05-21T00:00:00"/>
    <m/>
    <m/>
    <m/>
    <m/>
    <s v="Pass"/>
    <d v="2562-05-21T00:00:00"/>
    <s v="Pass"/>
    <d v="2562-05-21T00:00:00"/>
    <m/>
    <m/>
    <x v="16"/>
    <n v="3"/>
  </r>
  <r>
    <s v="พฤษภาคม"/>
    <d v="2562-05-11T00:00:00"/>
    <x v="0"/>
    <n v="620278"/>
    <x v="69"/>
    <s v="TL620513"/>
    <n v="620513"/>
    <x v="1"/>
    <s v="Avg of D +10,-20 D"/>
    <x v="321"/>
    <s v="Avg สูงกว่ามาตรฐาน"/>
    <s v="109 ,15"/>
    <s v="2/816.10"/>
    <s v="กรง/ก.ก."/>
    <d v="2562-05-11T00:00:00"/>
    <d v="2562-05-18T00:00:00"/>
    <d v="2562-05-13T00:00:00"/>
    <s v="Pass"/>
    <d v="2562-05-13T00:00:00"/>
    <m/>
    <m/>
    <m/>
    <m/>
    <s v="Pass"/>
    <d v="2562-05-14T00:00:00"/>
    <s v="Pass"/>
    <d v="2562-05-15T00:00:00"/>
    <m/>
    <m/>
    <x v="122"/>
    <n v="-5"/>
  </r>
  <r>
    <s v="พฤษภาคม"/>
    <d v="2562-05-11T00:00:00"/>
    <x v="0"/>
    <n v="620278"/>
    <x v="69"/>
    <s v="TL620513"/>
    <n v="620513"/>
    <x v="1"/>
    <s v="Std. ไม่เกิน 30 D"/>
    <x v="181"/>
    <s v="Std.เกินกว่ามาตรฐาน"/>
    <n v="27"/>
    <m/>
    <m/>
    <d v="2562-05-11T00:00:00"/>
    <d v="2562-05-18T00:00:00"/>
    <d v="2562-05-13T00:00:00"/>
    <s v="Pass"/>
    <d v="2562-05-13T00:00:00"/>
    <m/>
    <m/>
    <m/>
    <m/>
    <s v="Pass"/>
    <d v="2562-05-14T00:00:00"/>
    <s v="Pass"/>
    <d v="2562-05-15T00:00:00"/>
    <m/>
    <m/>
    <x v="122"/>
    <n v="-7"/>
  </r>
  <r>
    <s v="พฤษภาคม"/>
    <d v="2562-05-11T00:00:00"/>
    <x v="1"/>
    <n v="620279"/>
    <x v="3"/>
    <n v="62051142"/>
    <s v="28/110562"/>
    <x v="15"/>
    <s v="67-70"/>
    <x v="322"/>
    <s v="น้ำหนักต่ำกว่ามาตรฐาน"/>
    <n v="1.019999999999996"/>
    <s v="2500/172.9"/>
    <s v="เมตร/ก.ก."/>
    <d v="2562-05-11T00:00:00"/>
    <d v="2562-05-18T00:00:00"/>
    <d v="2562-05-13T00:00:00"/>
    <m/>
    <m/>
    <m/>
    <m/>
    <m/>
    <m/>
    <m/>
    <m/>
    <m/>
    <m/>
    <m/>
    <m/>
    <x v="3"/>
    <n v="-241934"/>
  </r>
  <r>
    <s v="พฤษภาคม"/>
    <d v="2562-05-11T00:00:00"/>
    <x v="0"/>
    <n v="620280"/>
    <x v="5"/>
    <s v="TL620515"/>
    <n v="620515"/>
    <x v="0"/>
    <s v="Avg of D +10,-20 D"/>
    <x v="323"/>
    <s v="Avg สูงกว่ามาตรฐาน"/>
    <n v="5"/>
    <s v="1/222.2"/>
    <s v="กรง/ก.ก."/>
    <d v="2562-05-11T00:00:00"/>
    <d v="2562-05-18T00:00:00"/>
    <d v="2562-05-13T00:00:00"/>
    <s v="Pass"/>
    <d v="2562-05-13T00:00:00"/>
    <m/>
    <m/>
    <m/>
    <m/>
    <s v="Pass"/>
    <d v="2562-05-14T00:00:00"/>
    <s v="Pass"/>
    <d v="2562-05-11T00:00:00"/>
    <m/>
    <m/>
    <x v="123"/>
    <n v="-9"/>
  </r>
  <r>
    <s v="พฤษภาคม"/>
    <d v="2562-05-13T00:00:00"/>
    <x v="0"/>
    <n v="620281"/>
    <x v="58"/>
    <s v="TL620516"/>
    <n v="620516"/>
    <x v="1"/>
    <s v="Avg of D +10,-20 D"/>
    <x v="324"/>
    <s v="Avg ต่ำกว่ามาตรฐาน"/>
    <n v="6"/>
    <s v="1/362.6"/>
    <s v="กรง/ก.ก."/>
    <d v="2562-05-13T00:00:00"/>
    <d v="2562-05-20T00:00:00"/>
    <d v="2562-05-15T00:00:00"/>
    <s v="Pass"/>
    <d v="2562-05-14T00:00:00"/>
    <m/>
    <m/>
    <m/>
    <m/>
    <s v="Pass"/>
    <d v="2562-05-17T00:00:00"/>
    <s v="Pass"/>
    <d v="2562-05-17T00:00:00"/>
    <m/>
    <m/>
    <x v="90"/>
    <n v="-5"/>
  </r>
  <r>
    <s v="พฤษภาคม"/>
    <d v="2562-05-15T00:00:00"/>
    <x v="0"/>
    <n v="620282"/>
    <x v="2"/>
    <s v="TL620521"/>
    <n v="620521"/>
    <x v="0"/>
    <s v="Avg of D +10,-20 D"/>
    <x v="325"/>
    <s v="Avg สูงกว่ามาตรฐาน"/>
    <n v="5"/>
    <s v="1/226"/>
    <s v="กรง/ก.ก."/>
    <d v="2562-05-15T00:00:00"/>
    <d v="2562-05-22T00:00:00"/>
    <d v="2562-05-17T00:00:00"/>
    <s v="Pass"/>
    <d v="2562-05-16T00:00:00"/>
    <m/>
    <m/>
    <m/>
    <m/>
    <s v="Pass"/>
    <d v="2562-05-16T00:00:00"/>
    <s v="Pass"/>
    <d v="2562-05-17T00:00:00"/>
    <m/>
    <m/>
    <x v="12"/>
    <n v="-5"/>
  </r>
  <r>
    <s v="พฤษภาคม"/>
    <d v="2562-05-15T00:00:00"/>
    <x v="0"/>
    <n v="620283"/>
    <x v="69"/>
    <s v="TL620523"/>
    <n v="620523"/>
    <x v="1"/>
    <s v="Avg of D +10,-20 D"/>
    <x v="326"/>
    <s v="Avg ต่ำกว่ามาตรฐาน"/>
    <n v="10"/>
    <s v="1/540.8"/>
    <s v="กรง/ก.ก."/>
    <d v="2562-05-15T00:00:00"/>
    <d v="2562-05-22T00:00:00"/>
    <d v="2562-05-17T00:00:00"/>
    <s v="Pass"/>
    <d v="2562-05-16T00:00:00"/>
    <m/>
    <m/>
    <m/>
    <m/>
    <s v="Pass"/>
    <d v="2562-05-16T00:00:00"/>
    <s v="Pass"/>
    <d v="2562-05-17T00:00:00"/>
    <m/>
    <m/>
    <x v="122"/>
    <n v="-7"/>
  </r>
  <r>
    <s v="พฤษภาคม"/>
    <d v="2562-05-16T00:00:00"/>
    <x v="1"/>
    <n v="620284"/>
    <x v="3"/>
    <n v="62051641"/>
    <s v="85/160562"/>
    <x v="41"/>
    <s v="67-70"/>
    <x v="327"/>
    <s v="น้ำหนักสูงกว่ามาตรฐาน"/>
    <n v="1.2600000000000051"/>
    <s v="2500/180.6"/>
    <s v="เมตร/ก.ก."/>
    <d v="2562-05-16T00:00:00"/>
    <d v="2562-05-23T00:00:00"/>
    <d v="2562-05-18T00:00:00"/>
    <s v="Pass"/>
    <d v="2562-05-21T00:00:00"/>
    <m/>
    <m/>
    <m/>
    <m/>
    <s v="Pass"/>
    <d v="2562-05-21T00:00:00"/>
    <s v="Pass"/>
    <d v="2562-05-21T00:00:00"/>
    <m/>
    <m/>
    <x v="4"/>
    <n v="-6"/>
  </r>
  <r>
    <s v="พฤษภาคม"/>
    <d v="2562-05-16T00:00:00"/>
    <x v="1"/>
    <n v="620284"/>
    <x v="3"/>
    <n v="62051644"/>
    <s v="86/160562"/>
    <x v="56"/>
    <s v="67-70"/>
    <x v="328"/>
    <s v="น้ำหนักสูงกว่ามาตรฐาน"/>
    <n v="1.6299999999999955"/>
    <s v="2500/180.5"/>
    <s v="เมตร/ก.ก."/>
    <d v="2562-05-16T00:00:00"/>
    <d v="2562-05-23T00:00:00"/>
    <d v="2562-05-18T00:00:00"/>
    <s v="Pass"/>
    <d v="2562-05-21T00:00:00"/>
    <m/>
    <m/>
    <m/>
    <m/>
    <s v="Pass"/>
    <d v="2562-05-21T00:00:00"/>
    <s v="Pass"/>
    <d v="2562-05-21T00:00:00"/>
    <m/>
    <m/>
    <x v="4"/>
    <m/>
  </r>
  <r>
    <s v="พฤษภาคม"/>
    <d v="2562-05-16T00:00:00"/>
    <x v="1"/>
    <n v="620284"/>
    <x v="3"/>
    <n v="62051607"/>
    <s v="92/160562"/>
    <x v="39"/>
    <s v="67-70"/>
    <x v="329"/>
    <s v="น้ำหนักสูงกว่ามาตรฐาน"/>
    <n v="2.1700000000000017"/>
    <s v="2477/182.4"/>
    <s v="เมตร/ก.ก."/>
    <d v="2562-05-16T00:00:00"/>
    <d v="2562-05-23T00:00:00"/>
    <d v="2562-05-18T00:00:00"/>
    <s v="Pass"/>
    <d v="2562-05-21T00:00:00"/>
    <m/>
    <m/>
    <m/>
    <m/>
    <s v="Pass"/>
    <d v="2562-05-21T00:00:00"/>
    <s v="Pass"/>
    <d v="2562-05-21T00:00:00"/>
    <m/>
    <m/>
    <x v="4"/>
    <m/>
  </r>
  <r>
    <s v="พฤษภาคม"/>
    <d v="2562-05-17T00:00:00"/>
    <x v="1"/>
    <n v="620285"/>
    <x v="35"/>
    <n v="62051718"/>
    <s v="58/170562"/>
    <x v="77"/>
    <s v="79-80"/>
    <x v="330"/>
    <s v="น้ำหนักสูงกว่ามาตรฐาน"/>
    <n v="2.5"/>
    <s v="1901/159.6"/>
    <s v="เมตร/ก.ก."/>
    <d v="2562-05-17T00:00:00"/>
    <d v="2562-05-24T00:00:00"/>
    <d v="2562-05-19T00:00:00"/>
    <s v="Pass"/>
    <d v="2562-05-30T00:00:00"/>
    <m/>
    <m/>
    <m/>
    <m/>
    <s v="Pass"/>
    <d v="2562-05-31T00:00:00"/>
    <s v="Pass"/>
    <d v="2562-06-01T00:00:00"/>
    <m/>
    <m/>
    <x v="62"/>
    <n v="5"/>
  </r>
  <r>
    <s v="พฤษภาคม"/>
    <d v="2562-05-17T00:00:00"/>
    <x v="1"/>
    <n v="620286"/>
    <x v="3"/>
    <n v="62051715"/>
    <s v="92/170562"/>
    <x v="39"/>
    <s v="67-70"/>
    <x v="331"/>
    <s v="น้ำหนักสูงกว่ามาตรฐาน"/>
    <n v="2.06"/>
    <s v="2500/182.2"/>
    <s v="เมตร/ก.ก."/>
    <d v="2562-05-17T00:00:00"/>
    <d v="2562-05-24T00:00:00"/>
    <d v="2562-05-19T00:00:00"/>
    <s v="Pass"/>
    <d v="2562-05-21T00:00:00"/>
    <m/>
    <m/>
    <m/>
    <m/>
    <s v="Pass"/>
    <d v="2562-05-21T00:00:00"/>
    <s v="Pass"/>
    <d v="2562-05-21T00:00:00"/>
    <m/>
    <m/>
    <x v="4"/>
    <n v="-3"/>
  </r>
  <r>
    <s v="พฤษภาคม"/>
    <d v="2562-05-17T00:00:00"/>
    <x v="1"/>
    <n v="620286"/>
    <x v="3"/>
    <n v="62051748"/>
    <s v="48/170562"/>
    <x v="78"/>
    <s v="67-70"/>
    <x v="206"/>
    <s v="น้ำหนักสูงกว่ามาตรฐาน"/>
    <n v="2.2400000000000002"/>
    <s v="2522/183.5"/>
    <s v="เมตร/ก.ก."/>
    <d v="2562-05-17T00:00:00"/>
    <d v="2562-05-24T00:00:00"/>
    <d v="2562-05-19T00:00:00"/>
    <s v="Pass"/>
    <d v="2562-05-21T00:00:00"/>
    <m/>
    <m/>
    <m/>
    <m/>
    <s v="Pass"/>
    <d v="2562-05-21T00:00:00"/>
    <s v="Pass"/>
    <d v="2562-05-21T00:00:00"/>
    <m/>
    <m/>
    <x v="4"/>
    <n v="-6"/>
  </r>
  <r>
    <s v="พฤษภาคม"/>
    <d v="2562-05-20T00:00:00"/>
    <x v="0"/>
    <n v="620287"/>
    <x v="2"/>
    <s v="TL620525"/>
    <n v="620525"/>
    <x v="0"/>
    <s v="Avg of D +10,-20 D"/>
    <x v="332"/>
    <s v="Avg ต่ำกว่ามาตรฐาน"/>
    <s v="76 ,30 ,6"/>
    <s v="4/1942.70"/>
    <s v="กรง/ก.ก."/>
    <d v="2562-05-20T00:00:00"/>
    <d v="2562-05-27T00:00:00"/>
    <d v="2562-05-22T00:00:00"/>
    <s v="Pass"/>
    <d v="2562-05-22T00:00:00"/>
    <m/>
    <m/>
    <m/>
    <m/>
    <s v="Pass"/>
    <d v="2562-05-23T00:00:00"/>
    <s v="Pass"/>
    <d v="2562-05-24T00:00:00"/>
    <m/>
    <m/>
    <x v="12"/>
    <n v="-3"/>
  </r>
  <r>
    <s v="พฤษภาคม"/>
    <d v="2562-05-20T00:00:00"/>
    <x v="0"/>
    <n v="620287"/>
    <x v="2"/>
    <s v="TL620525"/>
    <n v="620525"/>
    <x v="0"/>
    <s v="Std. ไม่เกิน 30 D"/>
    <x v="333"/>
    <s v="Std.เกินกว่ามาตรฐาน"/>
    <s v="16 ,2"/>
    <m/>
    <m/>
    <d v="2562-05-20T00:00:00"/>
    <d v="2562-05-27T00:00:00"/>
    <d v="2562-05-22T00:00:00"/>
    <s v="Pass"/>
    <d v="2562-05-22T00:00:00"/>
    <m/>
    <m/>
    <m/>
    <m/>
    <s v="Pass"/>
    <d v="2562-05-23T00:00:00"/>
    <s v="Pass"/>
    <d v="2562-05-24T00:00:00"/>
    <m/>
    <m/>
    <x v="12"/>
    <n v="-4"/>
  </r>
  <r>
    <s v="พฤษภาคม"/>
    <d v="2562-05-20T00:00:00"/>
    <x v="0"/>
    <n v="620287"/>
    <x v="2"/>
    <s v="TL620525"/>
    <n v="620525"/>
    <x v="0"/>
    <s v="Kg f ≥(4.0xD/1000) kgf."/>
    <x v="334"/>
    <s v="Kg.ต่ำกว่ามาตรฐาน"/>
    <n v="0.37"/>
    <m/>
    <m/>
    <d v="2562-05-20T00:00:00"/>
    <d v="2562-05-27T00:00:00"/>
    <d v="2562-05-22T00:00:00"/>
    <s v="Pass"/>
    <d v="2562-05-22T00:00:00"/>
    <m/>
    <m/>
    <m/>
    <m/>
    <s v="Pass"/>
    <d v="2562-05-23T00:00:00"/>
    <s v="Pass"/>
    <d v="2562-05-24T00:00:00"/>
    <m/>
    <m/>
    <x v="12"/>
    <n v="-4"/>
  </r>
  <r>
    <s v="พฤษภาคม"/>
    <d v="2562-05-20T00:00:00"/>
    <x v="0"/>
    <n v="620287"/>
    <x v="2"/>
    <s v="TL620525"/>
    <n v="620525"/>
    <x v="0"/>
    <s v="Tenacity ≥  4.0 g/D"/>
    <x v="335"/>
    <s v="Tenacityต่ำกว่ามาตรฐาน"/>
    <n v="0.03"/>
    <m/>
    <m/>
    <d v="2562-05-20T00:00:00"/>
    <d v="2562-05-27T00:00:00"/>
    <d v="2562-05-22T00:00:00"/>
    <s v="Pass"/>
    <d v="2562-05-22T00:00:00"/>
    <m/>
    <m/>
    <m/>
    <m/>
    <s v="Pass"/>
    <d v="2562-05-23T00:00:00"/>
    <s v="Pass"/>
    <d v="2562-05-24T00:00:00"/>
    <m/>
    <m/>
    <x v="12"/>
    <n v="-4"/>
  </r>
  <r>
    <s v="พฤษภาคม"/>
    <d v="2562-05-20T00:00:00"/>
    <x v="1"/>
    <n v="620288"/>
    <x v="27"/>
    <n v="62052055"/>
    <s v="90/200562"/>
    <x v="62"/>
    <s v="115-120"/>
    <x v="336"/>
    <s v="น้ำหนักสูงกว่ามาตรฐาน"/>
    <n v="1.2900000000000063"/>
    <s v="1490/182.1"/>
    <s v="เมตร/ก.ก."/>
    <d v="2562-05-20T00:00:00"/>
    <d v="2562-05-27T00:00:00"/>
    <d v="2562-05-22T00:00:00"/>
    <s v="Pass"/>
    <d v="2562-05-25T00:00:00"/>
    <m/>
    <m/>
    <m/>
    <m/>
    <s v="Pass"/>
    <d v="2562-05-25T00:00:00"/>
    <s v="Pass"/>
    <d v="2562-05-25T00:00:00"/>
    <m/>
    <m/>
    <x v="37"/>
    <n v="-3"/>
  </r>
  <r>
    <s v="พฤษภาคม"/>
    <d v="2562-05-21T00:00:00"/>
    <x v="5"/>
    <n v="620289"/>
    <x v="36"/>
    <n v="62051427"/>
    <n v="620547"/>
    <x v="79"/>
    <s v="26*43 140+-5"/>
    <x v="337"/>
    <s v="น้ำหนักต่ำกว่ามาตรฐาน"/>
    <n v="2.79"/>
    <s v="1988/234"/>
    <s v="เมตร/ก.ก."/>
    <d v="2562-05-21T00:00:00"/>
    <d v="2562-05-28T00:00:00"/>
    <d v="2562-05-23T00:00:00"/>
    <s v="Pass"/>
    <d v="2562-05-21T00:00:00"/>
    <m/>
    <m/>
    <m/>
    <m/>
    <s v="Pass"/>
    <d v="2562-05-22T00:00:00"/>
    <s v="Pass"/>
    <d v="2562-05-21T00:00:00"/>
    <m/>
    <m/>
    <x v="124"/>
    <n v="-7"/>
  </r>
  <r>
    <s v="พฤษภาคม"/>
    <d v="2562-05-21T00:00:00"/>
    <x v="1"/>
    <n v="620290"/>
    <x v="3"/>
    <n v="62052164"/>
    <s v="48/210562"/>
    <x v="78"/>
    <s v="67-70"/>
    <x v="338"/>
    <s v="น้ำหนักสูงกว่ามาตรฐาน"/>
    <n v="2.1500000000000057"/>
    <s v="2692/194.9"/>
    <s v="เมตร/ก.ก."/>
    <d v="2562-05-21T00:00:00"/>
    <d v="2562-05-28T00:00:00"/>
    <d v="2562-05-23T00:00:00"/>
    <s v="Pass"/>
    <d v="2562-05-28T00:00:00"/>
    <m/>
    <m/>
    <m/>
    <m/>
    <s v="Pass"/>
    <d v="2562-05-28T00:00:00"/>
    <s v="Pass"/>
    <d v="2562-05-28T00:00:00"/>
    <m/>
    <m/>
    <x v="4"/>
    <n v="0"/>
  </r>
  <r>
    <s v="พฤษภาคม"/>
    <d v="2562-05-21T00:00:00"/>
    <x v="0"/>
    <n v="620291"/>
    <x v="1"/>
    <s v="TL620527"/>
    <n v="620527"/>
    <x v="0"/>
    <s v="Kg f ≥(4.3xD/1000) kgf."/>
    <x v="339"/>
    <s v="Kg.ต่ำกว่ามาตรฐาน"/>
    <n v="0.04"/>
    <s v="1/216.2"/>
    <s v="กรง/ก.ก."/>
    <d v="2562-05-21T00:00:00"/>
    <d v="2562-05-28T00:00:00"/>
    <d v="2562-05-23T00:00:00"/>
    <s v="Pass"/>
    <d v="2562-05-22T00:00:00"/>
    <m/>
    <m/>
    <m/>
    <m/>
    <s v="Pass"/>
    <d v="2562-05-23T00:00:00"/>
    <s v="Pass"/>
    <d v="2562-05-24T00:00:00"/>
    <m/>
    <m/>
    <x v="20"/>
    <n v="-5"/>
  </r>
  <r>
    <s v="พฤษภาคม"/>
    <d v="2562-05-22T00:00:00"/>
    <x v="5"/>
    <n v="620292"/>
    <x v="70"/>
    <n v="62051726"/>
    <n v="620550"/>
    <x v="79"/>
    <s v="ฟิล์มลงสม่ำเสมอ"/>
    <x v="340"/>
    <s v="ผ้ามีฟิล์มด้านเดียว"/>
    <s v="ไม่ผ่าน"/>
    <s v="790/103.5"/>
    <s v="เมตร/ก.ก."/>
    <d v="2562-05-22T00:00:00"/>
    <d v="2562-05-29T00:00:00"/>
    <d v="2562-05-24T00:00:00"/>
    <s v="Pass"/>
    <d v="2562-05-22T00:00:00"/>
    <m/>
    <m/>
    <m/>
    <m/>
    <s v="Pass"/>
    <d v="2562-05-23T00:00:00"/>
    <s v="Pass"/>
    <d v="2562-05-22T00:00:00"/>
    <m/>
    <m/>
    <x v="125"/>
    <n v="-7"/>
  </r>
  <r>
    <s v="พฤษภาคม"/>
    <d v="2562-05-22T00:00:00"/>
    <x v="1"/>
    <n v="620293"/>
    <x v="8"/>
    <n v="62052245"/>
    <s v="36/220562"/>
    <x v="36"/>
    <s v="119-121"/>
    <x v="341"/>
    <s v="น้ำหนักต่ำกว่ามาตรฐาน"/>
    <n v="1.9200000000000017"/>
    <s v="1484/160.8"/>
    <s v="เมตร/ก.ก."/>
    <d v="2562-05-22T00:00:00"/>
    <d v="2562-05-29T00:00:00"/>
    <d v="2562-05-24T00:00:00"/>
    <s v="Pass"/>
    <d v="2562-05-25T00:00:00"/>
    <m/>
    <m/>
    <m/>
    <m/>
    <s v="Pass"/>
    <d v="2562-05-25T00:00:00"/>
    <s v="Pass"/>
    <d v="2562-05-25T00:00:00"/>
    <m/>
    <m/>
    <x v="126"/>
    <n v="-4"/>
  </r>
  <r>
    <s v="พฤษภาคม"/>
    <d v="2562-05-22T00:00:00"/>
    <x v="1"/>
    <n v="620293"/>
    <x v="8"/>
    <n v="62052244"/>
    <s v="35/220562"/>
    <x v="9"/>
    <s v="119-121"/>
    <x v="342"/>
    <s v="น้ำหนักต่ำกว่ามาตรฐาน"/>
    <n v="0.62999999999999545"/>
    <s v="1480/163"/>
    <s v="เมตร/ก.ก."/>
    <d v="2562-05-22T00:00:00"/>
    <d v="2562-05-29T00:00:00"/>
    <d v="2562-05-24T00:00:00"/>
    <s v="Pass"/>
    <d v="2562-05-25T00:00:00"/>
    <m/>
    <m/>
    <m/>
    <m/>
    <s v="Pass"/>
    <d v="2562-05-25T00:00:00"/>
    <s v="Pass"/>
    <d v="2562-05-25T00:00:00"/>
    <m/>
    <m/>
    <x v="126"/>
    <n v="-4"/>
  </r>
  <r>
    <s v="พฤษภาคม"/>
    <d v="2562-05-22T00:00:00"/>
    <x v="1"/>
    <n v="620293"/>
    <x v="8"/>
    <n v="62052243"/>
    <s v="34/220562"/>
    <x v="6"/>
    <s v="119-121"/>
    <x v="343"/>
    <s v="น้ำหนักต่ำกว่ามาตรฐาน"/>
    <n v="1.6299999999999955"/>
    <s v="1480/162"/>
    <s v="เมตร/ก.ก."/>
    <d v="2562-05-22T00:00:00"/>
    <d v="2562-05-29T00:00:00"/>
    <d v="2562-05-24T00:00:00"/>
    <s v="Pass"/>
    <d v="2562-05-25T00:00:00"/>
    <m/>
    <m/>
    <m/>
    <m/>
    <s v="Pass"/>
    <d v="2562-05-25T00:00:00"/>
    <s v="Pass"/>
    <d v="2562-05-25T00:00:00"/>
    <m/>
    <m/>
    <x v="127"/>
    <n v="-5"/>
  </r>
  <r>
    <s v="พฤษภาคม"/>
    <d v="2562-05-22T00:00:00"/>
    <x v="1"/>
    <n v="620294"/>
    <x v="3"/>
    <n v="62052258"/>
    <s v="48/220562"/>
    <x v="78"/>
    <s v="67-70"/>
    <x v="344"/>
    <s v="น้ำหนักสูงกว่ามาตรฐาน"/>
    <n v="2.09"/>
    <s v="1981/143.3"/>
    <s v="เมตร/ก.ก."/>
    <d v="2562-05-22T00:00:00"/>
    <d v="2562-05-29T00:00:00"/>
    <d v="2562-05-24T00:00:00"/>
    <s v="Pass"/>
    <d v="2562-05-25T00:00:00"/>
    <m/>
    <m/>
    <m/>
    <m/>
    <s v="Pass"/>
    <d v="2562-05-25T00:00:00"/>
    <s v="Pass"/>
    <d v="2562-05-25T00:00:00"/>
    <m/>
    <m/>
    <x v="4"/>
    <n v="-5"/>
  </r>
  <r>
    <s v="พฤษภาคม"/>
    <d v="2562-05-22T00:00:00"/>
    <x v="1"/>
    <n v="620295"/>
    <x v="8"/>
    <n v="62052266"/>
    <s v="07/220562"/>
    <x v="80"/>
    <s v="119-121"/>
    <x v="345"/>
    <s v="น้ำหนักสูงกว่ามาตรฐาน"/>
    <n v="2.9500000000000028"/>
    <s v="1376/160.3"/>
    <s v="เมตร/ก.ก."/>
    <d v="2562-05-22T00:00:00"/>
    <d v="2562-05-29T00:00:00"/>
    <d v="2562-05-24T00:00:00"/>
    <s v="Pass"/>
    <d v="2562-05-28T00:00:00"/>
    <m/>
    <m/>
    <m/>
    <m/>
    <s v="Pass"/>
    <d v="2562-05-28T00:00:00"/>
    <s v="Pass"/>
    <d v="2562-05-28T00:00:00"/>
    <m/>
    <m/>
    <x v="128"/>
    <n v="-2"/>
  </r>
  <r>
    <s v="พฤษภาคม"/>
    <d v="2562-05-23T00:00:00"/>
    <x v="1"/>
    <n v="620296"/>
    <x v="14"/>
    <n v="62052330"/>
    <s v="28/230562"/>
    <x v="15"/>
    <s v="125-128"/>
    <x v="346"/>
    <s v="น้ำหนักสูงกว่ามาตรฐาน"/>
    <n v="2.6500000000000057"/>
    <s v="1500/201.4"/>
    <s v="เมตร/ก.ก."/>
    <d v="2562-05-23T00:00:00"/>
    <d v="2562-05-30T00:00:00"/>
    <d v="2562-05-25T00:00:00"/>
    <m/>
    <m/>
    <m/>
    <m/>
    <m/>
    <m/>
    <m/>
    <m/>
    <m/>
    <m/>
    <m/>
    <m/>
    <x v="3"/>
    <n v="-241942"/>
  </r>
  <r>
    <s v="พฤษภาคม"/>
    <d v="2562-05-23T00:00:00"/>
    <x v="1"/>
    <n v="620296"/>
    <x v="14"/>
    <n v="62052329"/>
    <s v="28/230562"/>
    <x v="15"/>
    <s v="125-128"/>
    <x v="347"/>
    <s v="น้ำหนักสูงกว่ามาตรฐาน"/>
    <n v="1.49"/>
    <s v="1554/205.1"/>
    <s v="เมตร/ก.ก."/>
    <d v="2562-05-23T00:00:00"/>
    <d v="2562-05-30T00:00:00"/>
    <d v="2562-05-25T00:00:00"/>
    <m/>
    <m/>
    <m/>
    <m/>
    <m/>
    <m/>
    <m/>
    <m/>
    <m/>
    <m/>
    <m/>
    <m/>
    <x v="3"/>
    <n v="-241942"/>
  </r>
  <r>
    <s v="พฤษภาคม"/>
    <d v="2562-05-23T00:00:00"/>
    <x v="1"/>
    <n v="620297"/>
    <x v="71"/>
    <n v="62052332"/>
    <s v="27/230562"/>
    <x v="28"/>
    <s v="2.1/850"/>
    <x v="348"/>
    <s v="ใช้ด้ายพุ้งผิด"/>
    <s v="ไม่ผ่าน"/>
    <s v="1500/204.2"/>
    <s v="เมตร/ก.ก."/>
    <d v="2562-05-23T00:00:00"/>
    <d v="2562-05-30T00:00:00"/>
    <d v="2562-05-25T00:00:00"/>
    <s v="Pass"/>
    <d v="2562-05-28T00:00:00"/>
    <m/>
    <m/>
    <m/>
    <m/>
    <s v="Pass"/>
    <d v="2562-05-28T00:00:00"/>
    <s v="Pass"/>
    <d v="2562-05-28T00:00:00"/>
    <m/>
    <m/>
    <x v="129"/>
    <n v="-2"/>
  </r>
  <r>
    <s v="พฤษภาคม"/>
    <d v="2562-05-23T00:00:00"/>
    <x v="1"/>
    <n v="620298"/>
    <x v="8"/>
    <n v="62062373"/>
    <s v="36/230562"/>
    <x v="36"/>
    <s v="119-121"/>
    <x v="349"/>
    <s v="น้ำหนักต่ำกว่ามาตรฐาน"/>
    <n v="0.93000000000000682"/>
    <s v="1474/161.1"/>
    <s v="เมตร/ก.ก."/>
    <d v="2562-05-23T00:00:00"/>
    <d v="2562-05-30T00:00:00"/>
    <d v="2562-05-25T00:00:00"/>
    <s v="Pass"/>
    <d v="2562-05-25T00:00:00"/>
    <m/>
    <m/>
    <m/>
    <m/>
    <s v="Pass"/>
    <d v="2562-05-25T00:00:00"/>
    <s v="Pass"/>
    <d v="2562-05-25T00:00:00"/>
    <m/>
    <m/>
    <x v="126"/>
    <n v="-5"/>
  </r>
  <r>
    <s v="พฤษภาคม"/>
    <d v="2562-05-23T00:00:00"/>
    <x v="1"/>
    <n v="620299"/>
    <x v="14"/>
    <n v="62052364"/>
    <s v="39/230562"/>
    <x v="27"/>
    <s v="125-128"/>
    <x v="350"/>
    <s v="น้ำหนักต่ำกว่ามาตรฐาน"/>
    <n v="3.5"/>
    <s v="1576/193.7"/>
    <s v="เมตร/ก.ก."/>
    <d v="2562-05-23T00:00:00"/>
    <d v="2562-05-30T00:00:00"/>
    <d v="2562-05-25T00:00:00"/>
    <s v="Pass"/>
    <d v="2562-05-25T00:00:00"/>
    <m/>
    <m/>
    <m/>
    <m/>
    <s v="Pass"/>
    <d v="2562-05-25T00:00:00"/>
    <s v="Pass"/>
    <d v="2562-05-25T00:00:00"/>
    <m/>
    <m/>
    <x v="130"/>
    <n v="-6"/>
  </r>
  <r>
    <s v="พฤษภาคม"/>
    <d v="2562-05-24T00:00:00"/>
    <x v="1"/>
    <n v="620300"/>
    <x v="14"/>
    <n v="62052422"/>
    <s v="39/240562"/>
    <x v="27"/>
    <s v="125-128"/>
    <x v="27"/>
    <s v="น้ำหนักต่ำกว่ามาตรฐาน"/>
    <n v="1.5400000000000063"/>
    <s v="1532/192.7"/>
    <s v="เมตร/ก.ก."/>
    <d v="2562-05-24T00:00:00"/>
    <d v="2562-05-31T00:00:00"/>
    <d v="2562-05-26T00:00:00"/>
    <s v="Pass"/>
    <d v="2562-05-27T00:00:00"/>
    <m/>
    <m/>
    <m/>
    <m/>
    <s v="Pass"/>
    <d v="2562-05-27T00:00:00"/>
    <s v="Pass"/>
    <d v="2562-05-27T00:00:00"/>
    <m/>
    <m/>
    <x v="111"/>
    <n v="-4"/>
  </r>
  <r>
    <s v="พฤษภาคม"/>
    <d v="2562-05-24T00:00:00"/>
    <x v="1"/>
    <n v="620301"/>
    <x v="27"/>
    <n v="62052478"/>
    <s v="87/240562"/>
    <x v="40"/>
    <s v="115-120"/>
    <x v="351"/>
    <s v="น้ำหนักต่ำกว่ามาตรฐาน"/>
    <n v="0.78000000000000114"/>
    <s v="1056/122.8"/>
    <s v="เมตร/ก.ก."/>
    <d v="2562-05-24T00:00:00"/>
    <d v="2562-05-31T00:00:00"/>
    <d v="2562-05-26T00:00:00"/>
    <s v="Pass"/>
    <d v="2562-05-30T00:00:00"/>
    <m/>
    <m/>
    <m/>
    <m/>
    <s v="Pass"/>
    <d v="2562-05-31T00:00:00"/>
    <s v="Pass"/>
    <d v="2562-06-01T00:00:00"/>
    <m/>
    <m/>
    <x v="131"/>
    <n v="0"/>
  </r>
  <r>
    <s v="พฤษภาคม"/>
    <d v="2562-05-24T00:00:00"/>
    <x v="1"/>
    <n v="620302"/>
    <x v="8"/>
    <n v="62052475"/>
    <s v="01/240562"/>
    <x v="31"/>
    <s v="119-121"/>
    <x v="352"/>
    <s v="น้ำหนักต่ำกว่ามาตรฐาน"/>
    <n v="1.3900000000000006"/>
    <s v="1787/196.1"/>
    <s v="เมตร/ก.ก."/>
    <d v="2562-05-24T00:00:00"/>
    <d v="2562-05-31T00:00:00"/>
    <d v="2562-05-26T00:00:00"/>
    <s v="Pass"/>
    <d v="2562-05-28T00:00:00"/>
    <m/>
    <m/>
    <m/>
    <m/>
    <s v="Pass"/>
    <d v="2562-05-28T00:00:00"/>
    <s v="Pass"/>
    <d v="2562-05-28T00:00:00"/>
    <m/>
    <m/>
    <x v="126"/>
    <n v="-6"/>
  </r>
  <r>
    <s v="พฤษภาคม"/>
    <d v="2562-05-25T00:00:00"/>
    <x v="1"/>
    <n v="620303"/>
    <x v="14"/>
    <n v="62052507"/>
    <s v="45/250562"/>
    <x v="64"/>
    <s v="125-128"/>
    <x v="353"/>
    <s v="น้ำหนักสูงกว่ามาตรฐาน"/>
    <n v="1.5999999999999943"/>
    <s v="1546/202.1"/>
    <s v="เมตร/ก.ก."/>
    <s v="WSWT2321112512551"/>
    <d v="2562-06-01T00:00:00"/>
    <e v="#VALUE!"/>
    <s v="Pass"/>
    <d v="2562-05-27T00:00:00"/>
    <m/>
    <m/>
    <m/>
    <m/>
    <s v="Pass"/>
    <d v="2562-05-27T00:00:00"/>
    <s v="Pass"/>
    <d v="2562-05-27T00:00:00"/>
    <m/>
    <m/>
    <x v="16"/>
    <n v="-5"/>
  </r>
  <r>
    <s v="พฤษภาคม"/>
    <d v="2562-05-25T00:00:00"/>
    <x v="1"/>
    <n v="620304"/>
    <x v="8"/>
    <n v="62052539"/>
    <s v="34/250562"/>
    <x v="6"/>
    <s v="119-121"/>
    <x v="354"/>
    <s v="น้ำหนักสูงกว่ามาตรฐาน"/>
    <n v="2.1800000000000068"/>
    <s v="1500/169.1"/>
    <s v="เมตร/ก.ก."/>
    <s v="WSWT2321112512551ใช้ผสม"/>
    <d v="2562-06-01T00:00:00"/>
    <e v="#VALUE!"/>
    <s v="Pass"/>
    <d v="2562-05-28T00:00:00"/>
    <m/>
    <m/>
    <m/>
    <m/>
    <s v="Pass"/>
    <d v="2562-05-28T00:00:00"/>
    <s v="Pass"/>
    <d v="2562-05-28T00:00:00"/>
    <m/>
    <m/>
    <x v="128"/>
    <n v="-6"/>
  </r>
  <r>
    <s v="พฤษภาคม"/>
    <d v="2562-05-27T00:00:00"/>
    <x v="1"/>
    <n v="620305"/>
    <x v="14"/>
    <n v="62052711"/>
    <s v="39/270562"/>
    <x v="27"/>
    <s v="125-128"/>
    <x v="355"/>
    <s v="น้ำหนักสูงกว่ามาตรฐาน"/>
    <n v="2.75"/>
    <s v="1015/134.1"/>
    <s v="เมตร/ก.ก."/>
    <d v="2562-05-27T00:00:00"/>
    <d v="2562-06-03T00:00:00"/>
    <d v="2562-05-29T00:00:00"/>
    <s v="Pass"/>
    <d v="2562-05-27T00:00:00"/>
    <m/>
    <m/>
    <m/>
    <m/>
    <s v="Pass"/>
    <d v="2562-05-27T00:00:00"/>
    <s v="Pass"/>
    <d v="2562-05-27T00:00:00"/>
    <m/>
    <m/>
    <x v="16"/>
    <n v="-7"/>
  </r>
  <r>
    <s v="พฤษภาคม"/>
    <d v="2562-05-27T00:00:00"/>
    <x v="1"/>
    <n v="620305"/>
    <x v="14"/>
    <n v="62052707"/>
    <s v="71/270562"/>
    <x v="17"/>
    <s v="125-128"/>
    <x v="356"/>
    <s v="น้ำหนักสูงกว่ามาตรฐาน"/>
    <n v="2.710000000000008"/>
    <s v="1015/134.1"/>
    <s v="เมตร/ก.ก."/>
    <d v="2562-05-27T00:00:00"/>
    <d v="2562-06-03T00:00:00"/>
    <d v="2562-05-29T00:00:00"/>
    <s v="Pass"/>
    <d v="2562-05-27T00:00:00"/>
    <m/>
    <m/>
    <m/>
    <m/>
    <s v="Pass"/>
    <d v="2562-05-27T00:00:00"/>
    <s v="Pass"/>
    <d v="2562-05-27T00:00:00"/>
    <m/>
    <m/>
    <x v="16"/>
    <n v="-7"/>
  </r>
  <r>
    <s v="พฤษภาคม"/>
    <d v="2562-05-27T00:00:00"/>
    <x v="1"/>
    <n v="620306"/>
    <x v="14"/>
    <n v="62052709"/>
    <s v="28/270562"/>
    <x v="15"/>
    <s v="125-128"/>
    <x v="357"/>
    <s v="น้ำหนักต่ำกว่ามาตรฐาน"/>
    <n v="1"/>
    <s v="1500/190"/>
    <s v="เมตร/ก.ก."/>
    <d v="2562-05-27T00:00:00"/>
    <d v="2562-06-03T00:00:00"/>
    <d v="2562-05-29T00:00:00"/>
    <s v="Pass"/>
    <d v="2562-05-27T00:00:00"/>
    <m/>
    <m/>
    <m/>
    <m/>
    <s v="Pass"/>
    <d v="2562-05-27T00:00:00"/>
    <s v="Pass"/>
    <d v="2562-05-27T00:00:00"/>
    <m/>
    <m/>
    <x v="111"/>
    <n v="-7"/>
  </r>
  <r>
    <s v="พฤษภาคม"/>
    <d v="2562-05-27T00:00:00"/>
    <x v="1"/>
    <n v="620307"/>
    <x v="8"/>
    <n v="62052778"/>
    <s v="26/270562"/>
    <x v="43"/>
    <s v="119-121"/>
    <x v="358"/>
    <s v="น้ำหนักต่ำกว่ามาตรฐาน"/>
    <n v="4.1800000000000068"/>
    <s v="1500/162.3"/>
    <s v="เมตร/ก.ก."/>
    <d v="2562-05-27T00:00:00"/>
    <d v="2562-06-03T00:00:00"/>
    <d v="2562-05-29T00:00:00"/>
    <s v="Pass"/>
    <d v="2562-05-28T00:00:00"/>
    <m/>
    <m/>
    <m/>
    <m/>
    <s v="Pass"/>
    <d v="2562-05-28T00:00:00"/>
    <s v="Pass"/>
    <d v="2562-05-28T00:00:00"/>
    <m/>
    <m/>
    <x v="132"/>
    <n v="-6"/>
  </r>
  <r>
    <s v="พฤษภาคม"/>
    <d v="2562-05-27T00:00:00"/>
    <x v="1"/>
    <n v="620308"/>
    <x v="8"/>
    <n v="62052755"/>
    <s v="01/270562"/>
    <x v="31"/>
    <s v="119-121"/>
    <x v="359"/>
    <s v="น้ำหนักสูงกว่ามาตรฐาน"/>
    <n v="1.5400000000000063"/>
    <s v="2000/226.5"/>
    <s v="เมตร/ก.ก."/>
    <d v="2562-05-27T00:00:00"/>
    <d v="2562-06-03T00:00:00"/>
    <d v="2562-05-29T00:00:00"/>
    <s v="Pass"/>
    <d v="2562-05-28T00:00:00"/>
    <m/>
    <m/>
    <m/>
    <m/>
    <s v="Pass"/>
    <d v="2562-06-12T00:00:00"/>
    <s v="Pass"/>
    <d v="2562-05-28T00:00:00"/>
    <m/>
    <m/>
    <x v="39"/>
    <n v="-6"/>
  </r>
  <r>
    <s v="พฤษภาคม"/>
    <d v="2562-05-27T00:00:00"/>
    <x v="1"/>
    <n v="620309"/>
    <x v="39"/>
    <n v="62052757"/>
    <s v="841/270562"/>
    <x v="81"/>
    <s v="80-85"/>
    <x v="360"/>
    <s v="น้ำหนักสูงกว่ามาตรฐาน"/>
    <n v="3"/>
    <s v="2000/177.9"/>
    <s v="เมตร/ก.ก."/>
    <d v="2562-05-27T00:00:00"/>
    <d v="2562-06-03T00:00:00"/>
    <d v="2562-05-29T00:00:00"/>
    <s v="Pass"/>
    <d v="2562-05-30T00:00:00"/>
    <m/>
    <m/>
    <m/>
    <m/>
    <s v="Pass"/>
    <d v="2562-05-31T00:00:00"/>
    <s v="Pass"/>
    <d v="2562-06-01T00:00:00"/>
    <m/>
    <m/>
    <x v="56"/>
    <n v="-3"/>
  </r>
  <r>
    <s v="พฤษภาคม"/>
    <d v="2562-05-27T00:00:00"/>
    <x v="0"/>
    <n v="620310"/>
    <x v="2"/>
    <s v="TL620535"/>
    <n v="620535"/>
    <x v="0"/>
    <s v="Avg of D +10,-20 D"/>
    <x v="361"/>
    <s v="Avg ต่ำกว่ามาตรฐาน"/>
    <n v="21"/>
    <s v="1/249.6"/>
    <s v="กรง/ก.ก."/>
    <d v="2562-05-27T00:00:00"/>
    <d v="2562-06-03T00:00:00"/>
    <d v="2562-05-29T00:00:00"/>
    <s v="Pass"/>
    <d v="2562-06-10T00:00:00"/>
    <m/>
    <m/>
    <m/>
    <m/>
    <s v="Pass"/>
    <d v="2562-06-10T00:00:00"/>
    <s v="Pass"/>
    <d v="2562-06-10T00:00:00"/>
    <m/>
    <m/>
    <x v="12"/>
    <n v="6"/>
  </r>
  <r>
    <s v="พฤษภาคม"/>
    <d v="2562-05-27T00:00:00"/>
    <x v="0"/>
    <n v="620310"/>
    <x v="2"/>
    <s v="TL620535"/>
    <n v="620535"/>
    <x v="0"/>
    <s v="Std. ไม่เกิน 30 D"/>
    <x v="135"/>
    <s v="Std.เกินกว่ามาตรฐาน"/>
    <n v="5"/>
    <m/>
    <m/>
    <d v="2562-05-27T00:00:00"/>
    <d v="2562-06-03T00:00:00"/>
    <d v="2562-05-29T00:00:00"/>
    <s v="Pass"/>
    <d v="2562-06-10T00:00:00"/>
    <m/>
    <m/>
    <m/>
    <m/>
    <s v="Pass"/>
    <d v="2562-06-10T00:00:00"/>
    <s v="Pass"/>
    <d v="2562-06-10T00:00:00"/>
    <m/>
    <m/>
    <x v="12"/>
    <n v="6"/>
  </r>
  <r>
    <s v="พฤษภาคม"/>
    <d v="2562-05-28T00:00:00"/>
    <x v="1"/>
    <n v="620311"/>
    <x v="14"/>
    <n v="62052856"/>
    <s v="45/280562"/>
    <x v="64"/>
    <s v="125-128"/>
    <x v="362"/>
    <s v="น้ำหนักสูงกว่ามาตรฐาน"/>
    <n v="3.0999999999999943"/>
    <s v="1166/156.3"/>
    <s v="เมตร/ก.ก."/>
    <d v="2562-05-28T00:00:00"/>
    <d v="2562-06-04T00:00:00"/>
    <d v="2562-05-30T00:00:00"/>
    <s v="Pass"/>
    <d v="2562-05-29T00:00:00"/>
    <m/>
    <m/>
    <m/>
    <m/>
    <s v="Pass"/>
    <d v="2562-05-29T00:00:00"/>
    <s v="Pass"/>
    <d v="2562-05-29T00:00:00"/>
    <m/>
    <m/>
    <x v="16"/>
    <n v="-6"/>
  </r>
  <r>
    <s v="พฤษภาคม"/>
    <d v="2562-05-28T00:00:00"/>
    <x v="0"/>
    <n v="620312"/>
    <x v="13"/>
    <s v="TL620537"/>
    <n v="620537"/>
    <x v="0"/>
    <s v="Avg of D +10,-20 D"/>
    <x v="363"/>
    <s v="Avg สูงกว่ามาตรฐาน"/>
    <n v="24"/>
    <s v="1/219.7"/>
    <s v="กรง/ก.ก."/>
    <d v="2562-05-28T00:00:00"/>
    <d v="2562-06-04T00:00:00"/>
    <d v="2562-05-30T00:00:00"/>
    <s v="Pass"/>
    <d v="2562-06-13T00:00:00"/>
    <m/>
    <m/>
    <m/>
    <m/>
    <s v="Pass"/>
    <d v="2562-06-13T00:00:00"/>
    <s v="Pass"/>
    <d v="2562-06-13T00:00:00"/>
    <m/>
    <m/>
    <x v="15"/>
    <n v="5"/>
  </r>
  <r>
    <s v="พฤษภาคม"/>
    <d v="2562-05-30T00:00:00"/>
    <x v="1"/>
    <n v="620313"/>
    <x v="6"/>
    <n v="62053001"/>
    <s v="11/300562"/>
    <x v="82"/>
    <s v="เส้นเทปขาว"/>
    <x v="364"/>
    <s v="เส้นเทปใส2เส้นไม่ผ่าน"/>
    <s v="ไม่ผ่าน"/>
    <s v="2185/174.8"/>
    <s v="เมตร/ก.ก."/>
    <d v="2562-05-30T00:00:00"/>
    <d v="2562-06-06T00:00:00"/>
    <d v="2562-06-01T00:00:00"/>
    <s v="Pass"/>
    <d v="2562-06-10T00:00:00"/>
    <m/>
    <m/>
    <m/>
    <m/>
    <s v="Pass"/>
    <d v="2562-06-10T00:00:00"/>
    <s v="Pass"/>
    <d v="2562-06-11T00:00:00"/>
    <m/>
    <m/>
    <x v="133"/>
    <n v="3"/>
  </r>
  <r>
    <s v="มิถุนายน"/>
    <d v="2562-06-01T00:00:00"/>
    <x v="0"/>
    <n v="620314"/>
    <x v="69"/>
    <s v="TL620601"/>
    <n v="620601"/>
    <x v="0"/>
    <s v="Std. ไม่เกิน 30 D"/>
    <x v="135"/>
    <s v="Std.เกินกว่ามาตรฐาน"/>
    <n v="5"/>
    <s v="2/815.30"/>
    <s v="กรง/ก.ก."/>
    <d v="2562-06-01T00:00:00"/>
    <d v="2562-06-08T00:00:00"/>
    <d v="2562-06-03T00:00:00"/>
    <s v="Pass"/>
    <d v="2562-06-04T00:00:00"/>
    <m/>
    <m/>
    <m/>
    <m/>
    <s v="Pass"/>
    <d v="2562-06-07T00:00:00"/>
    <s v="Pass"/>
    <d v="2562-06-08T00:00:00"/>
    <m/>
    <m/>
    <x v="122"/>
    <n v="1"/>
  </r>
  <r>
    <s v="มิถุนายน"/>
    <d v="2562-06-01T00:00:00"/>
    <x v="0"/>
    <n v="620314"/>
    <x v="69"/>
    <s v="TL620601"/>
    <n v="620601"/>
    <x v="0"/>
    <s v="ขนาดเส้นเทป(+-0.1 mm)"/>
    <x v="365"/>
    <s v="ขนาดต่ำกว่าที่กำหนด"/>
    <s v="ไม่ผ่าน"/>
    <m/>
    <m/>
    <d v="2562-06-01T00:00:00"/>
    <d v="2562-06-08T00:00:00"/>
    <d v="2562-06-03T00:00:00"/>
    <s v="Pass"/>
    <d v="2562-06-04T00:00:00"/>
    <m/>
    <m/>
    <m/>
    <m/>
    <s v="Pass"/>
    <d v="2562-06-07T00:00:00"/>
    <s v="Pass"/>
    <d v="2562-06-08T00:00:00"/>
    <m/>
    <m/>
    <x v="122"/>
    <n v="-3"/>
  </r>
  <r>
    <s v="พฤษภาคม"/>
    <d v="2562-05-31T00:00:00"/>
    <x v="1"/>
    <n v="620315"/>
    <x v="14"/>
    <n v="620531158"/>
    <s v="39/310562"/>
    <x v="27"/>
    <s v="125-128"/>
    <x v="366"/>
    <s v="น้ำหนักต่ำกว่ามาตรฐาน"/>
    <n v="1.0799999999999983"/>
    <s v="1432/180.2"/>
    <s v="เมตร/ก.ก."/>
    <d v="2562-05-31T00:00:00"/>
    <d v="2562-06-07T00:00:00"/>
    <d v="2562-06-02T00:00:00"/>
    <s v="Pass"/>
    <d v="2562-06-10T00:00:00"/>
    <m/>
    <m/>
    <m/>
    <m/>
    <s v="Pass"/>
    <d v="2562-06-10T00:00:00"/>
    <s v="Pass"/>
    <d v="2562-06-11T00:00:00"/>
    <m/>
    <m/>
    <x v="16"/>
    <n v="0"/>
  </r>
  <r>
    <s v="มิถุนายน"/>
    <d v="2562-06-04T00:00:00"/>
    <x v="1"/>
    <n v="620316"/>
    <x v="15"/>
    <n v="62060433"/>
    <s v="79/040662"/>
    <x v="83"/>
    <s v="120-123"/>
    <x v="367"/>
    <s v="น้ำหนักสูงกว่ามาตรฐาน"/>
    <n v="3.3400000000000034"/>
    <s v="1086/140"/>
    <s v="เมตร/ก.ก."/>
    <d v="2562-06-04T00:00:00"/>
    <d v="2562-06-11T00:00:00"/>
    <d v="2562-06-06T00:00:00"/>
    <s v="Pass"/>
    <d v="2562-06-10T00:00:00"/>
    <m/>
    <m/>
    <m/>
    <m/>
    <s v="Pass"/>
    <d v="2562-06-10T00:00:00"/>
    <s v="Pass"/>
    <d v="2562-06-11T00:00:00"/>
    <m/>
    <m/>
    <x v="24"/>
    <n v="-1"/>
  </r>
  <r>
    <s v="มิถุนายน"/>
    <d v="2562-06-04T00:00:00"/>
    <x v="0"/>
    <n v="620317"/>
    <x v="69"/>
    <s v="TL620603"/>
    <n v="620603"/>
    <x v="0"/>
    <s v="Std. ไม่เกิน 30 D"/>
    <x v="243"/>
    <s v="Std.เกินกว่ามาตรฐาน"/>
    <n v="9"/>
    <s v="1/339.3"/>
    <s v="กรง/ก.ก."/>
    <d v="2562-06-04T00:00:00"/>
    <d v="2562-06-11T00:00:00"/>
    <d v="2562-06-06T00:00:00"/>
    <s v="Pass"/>
    <d v="2562-06-05T00:00:00"/>
    <m/>
    <m/>
    <m/>
    <m/>
    <s v="Pass"/>
    <d v="2562-06-05T00:00:00"/>
    <s v="Pass"/>
    <d v="2562-06-04T00:00:00"/>
    <m/>
    <m/>
    <x v="134"/>
    <n v="-8"/>
  </r>
  <r>
    <s v="มิถุนายน"/>
    <d v="2562-06-05T00:00:00"/>
    <x v="1"/>
    <n v="620318"/>
    <x v="6"/>
    <n v="62060522"/>
    <s v="58/050662"/>
    <x v="77"/>
    <s v="76-78"/>
    <x v="368"/>
    <s v="น้ำหนักต่ำกว่ามาตรฐาน"/>
    <n v="0.90999999999999659"/>
    <s v="2520/193.5"/>
    <s v="เมตร/ก.ก."/>
    <d v="2562-06-05T00:00:00"/>
    <d v="2562-06-12T00:00:00"/>
    <d v="2562-06-07T00:00:00"/>
    <s v="Pass"/>
    <d v="2562-06-10T00:00:00"/>
    <m/>
    <m/>
    <m/>
    <m/>
    <s v="Pass"/>
    <d v="2562-06-10T00:00:00"/>
    <s v="Pass"/>
    <d v="2562-06-11T00:00:00"/>
    <m/>
    <m/>
    <x v="21"/>
    <n v="-1"/>
  </r>
  <r>
    <s v="มิถุนายน"/>
    <d v="2562-06-05T00:00:00"/>
    <x v="1"/>
    <n v="620319"/>
    <x v="3"/>
    <n v="62060511"/>
    <s v="59/050662"/>
    <x v="84"/>
    <s v="67-70"/>
    <x v="369"/>
    <s v="น้ำหนักสูงกว่ามาตรฐาน"/>
    <n v="1.33"/>
    <s v="1874/133.5"/>
    <s v="เมตร/ก.ก."/>
    <d v="2562-06-05T00:00:00"/>
    <d v="2562-06-12T00:00:00"/>
    <d v="2562-06-07T00:00:00"/>
    <s v="Pass"/>
    <d v="2562-06-10T00:00:00"/>
    <m/>
    <m/>
    <m/>
    <m/>
    <s v="Pass"/>
    <d v="2562-06-10T00:00:00"/>
    <s v="Pass"/>
    <d v="2562-06-11T00:00:00"/>
    <m/>
    <m/>
    <x v="4"/>
    <n v="-3"/>
  </r>
  <r>
    <s v="มิถุนายน"/>
    <d v="2562-06-07T00:00:00"/>
    <x v="0"/>
    <n v="620320"/>
    <x v="11"/>
    <s v="TL620609"/>
    <n v="620609"/>
    <x v="1"/>
    <s v="Avg of D +10,-20 D"/>
    <x v="370"/>
    <s v="Avg ต่ำกว่ามาตรฐาน"/>
    <n v="17"/>
    <s v="1/213.9"/>
    <s v="กรง/ก.ก."/>
    <d v="2562-06-07T00:00:00"/>
    <d v="2562-06-14T00:00:00"/>
    <d v="2562-06-09T00:00:00"/>
    <s v="Pass"/>
    <d v="2562-06-12T00:00:00"/>
    <m/>
    <m/>
    <m/>
    <m/>
    <s v="Pass"/>
    <d v="2562-06-12T00:00:00"/>
    <s v="Pass"/>
    <d v="2562-06-12T00:00:00"/>
    <m/>
    <m/>
    <x v="13"/>
    <n v="-2"/>
  </r>
  <r>
    <s v="มิถุนายน"/>
    <d v="2562-06-07T00:00:00"/>
    <x v="0"/>
    <n v="620321"/>
    <x v="69"/>
    <s v="TL620608"/>
    <n v="620608"/>
    <x v="0"/>
    <s v="Avg of D +10,-20 D"/>
    <x v="371"/>
    <s v="Avg ต่ำกว่ามาตรฐาน"/>
    <n v="19"/>
    <s v="2/847"/>
    <s v="กรง/ก.ก."/>
    <d v="2562-06-07T00:00:00"/>
    <d v="2562-06-14T00:00:00"/>
    <d v="2562-06-09T00:00:00"/>
    <s v="Pass"/>
    <d v="2562-06-10T00:00:00"/>
    <m/>
    <m/>
    <m/>
    <m/>
    <s v="Pass"/>
    <d v="2562-06-12T00:00:00"/>
    <s v="Pass"/>
    <d v="2562-06-12T00:00:00"/>
    <m/>
    <m/>
    <x v="122"/>
    <n v="-2"/>
  </r>
  <r>
    <s v="มิถุนายน"/>
    <d v="2562-06-07T00:00:00"/>
    <x v="0"/>
    <n v="620321"/>
    <x v="69"/>
    <s v="TL620608"/>
    <n v="620608"/>
    <x v="0"/>
    <s v="ขนาดเส้นเทปคุม 2.08-2.10"/>
    <x v="372"/>
    <s v="ขนาดเล็กกว่ามาตรฐานกำหนด"/>
    <n v="0.02"/>
    <m/>
    <m/>
    <d v="2562-06-07T00:00:00"/>
    <d v="2562-06-14T00:00:00"/>
    <d v="2562-06-09T00:00:00"/>
    <s v="Pass"/>
    <d v="2562-06-10T00:00:00"/>
    <m/>
    <m/>
    <m/>
    <m/>
    <s v="Pass"/>
    <d v="2562-06-12T00:00:00"/>
    <s v="Pass"/>
    <d v="2562-06-12T00:00:00"/>
    <m/>
    <m/>
    <x v="122"/>
    <n v="-2"/>
  </r>
  <r>
    <s v="มิถุนายน"/>
    <d v="2562-06-07T00:00:00"/>
    <x v="0"/>
    <n v="620321"/>
    <x v="69"/>
    <s v="TL620608"/>
    <n v="620608"/>
    <x v="0"/>
    <s v="Avg of D +10,-20 D"/>
    <x v="373"/>
    <s v="Avg สูงกว่ามาตรฐาน"/>
    <n v="1"/>
    <m/>
    <m/>
    <d v="2562-06-07T00:00:00"/>
    <d v="2562-06-14T00:00:00"/>
    <d v="2562-06-09T00:00:00"/>
    <s v="Pass"/>
    <d v="2562-06-10T00:00:00"/>
    <m/>
    <m/>
    <m/>
    <m/>
    <s v="Pass"/>
    <d v="2562-06-12T00:00:00"/>
    <s v="Pass"/>
    <d v="2562-06-12T00:00:00"/>
    <m/>
    <m/>
    <x v="122"/>
    <n v="-3"/>
  </r>
  <r>
    <s v="มิถุนายน"/>
    <d v="2562-06-07T00:00:00"/>
    <x v="0"/>
    <n v="620321"/>
    <x v="69"/>
    <s v="TL620608"/>
    <n v="620608"/>
    <x v="0"/>
    <s v="Std. ไม่เกิน 30 D"/>
    <x v="270"/>
    <s v="Std.เกินกว่ามาตรฐาน"/>
    <n v="11"/>
    <m/>
    <m/>
    <d v="2562-06-07T00:00:00"/>
    <d v="2562-06-14T00:00:00"/>
    <d v="2562-06-09T00:00:00"/>
    <s v="Pass"/>
    <d v="2562-06-10T00:00:00"/>
    <m/>
    <m/>
    <m/>
    <m/>
    <s v="Pass"/>
    <d v="2562-06-12T00:00:00"/>
    <s v="Pass"/>
    <d v="2562-06-12T00:00:00"/>
    <m/>
    <m/>
    <x v="122"/>
    <n v="-3"/>
  </r>
  <r>
    <s v="มิถุนายน"/>
    <d v="2562-06-07T00:00:00"/>
    <x v="1"/>
    <n v="620322"/>
    <x v="37"/>
    <n v="62060722"/>
    <s v="61/070662"/>
    <x v="85"/>
    <s v="97-102"/>
    <x v="374"/>
    <s v="น้ำหนักต่ำกว่ามาตรฐาน"/>
    <n v="1.5699999999999932"/>
    <s v="1968/165.5"/>
    <s v="เมตร/ก.ก."/>
    <d v="2562-06-07T00:00:00"/>
    <d v="2562-06-14T00:00:00"/>
    <d v="2562-06-09T00:00:00"/>
    <s v="Pass"/>
    <d v="2562-06-10T00:00:00"/>
    <m/>
    <m/>
    <m/>
    <m/>
    <s v="Pass"/>
    <d v="2562-06-10T00:00:00"/>
    <s v="Pass"/>
    <d v="2562-06-11T00:00:00"/>
    <m/>
    <m/>
    <x v="54"/>
    <n v="-3"/>
  </r>
  <r>
    <s v="มิถุนายน"/>
    <d v="2562-06-07T00:00:00"/>
    <x v="0"/>
    <n v="620323"/>
    <x v="5"/>
    <s v="TL620610"/>
    <n v="620610"/>
    <x v="1"/>
    <s v="Avg of D +10,-20 D"/>
    <x v="375"/>
    <s v="Avg ต่ำกว่ามาตรฐาน"/>
    <n v="8"/>
    <s v="1/206.3"/>
    <s v="กรง/ก.ก."/>
    <d v="2562-06-07T00:00:00"/>
    <d v="2562-06-14T00:00:00"/>
    <d v="2562-06-09T00:00:00"/>
    <s v="Pass"/>
    <d v="2562-06-10T00:00:00"/>
    <m/>
    <m/>
    <m/>
    <m/>
    <s v="Pass"/>
    <d v="2562-06-12T00:00:00"/>
    <s v="Pass"/>
    <d v="2562-06-12T00:00:00"/>
    <m/>
    <m/>
    <x v="14"/>
    <n v="-3"/>
  </r>
  <r>
    <s v="มิถุนายน"/>
    <d v="2562-06-08T00:00:00"/>
    <x v="0"/>
    <n v="620324"/>
    <x v="69"/>
    <s v="TL620608"/>
    <n v="620608"/>
    <x v="0"/>
    <s v="Avg of D +10,-20 D"/>
    <x v="371"/>
    <s v="Avg ต่ำกว่ามาตรฐาน"/>
    <n v="19"/>
    <s v="1/549.7"/>
    <s v="กรง/ก.ก."/>
    <d v="2562-06-08T00:00:00"/>
    <d v="2562-06-15T00:00:00"/>
    <d v="2562-06-10T00:00:00"/>
    <s v="Pass"/>
    <d v="2562-06-12T00:00:00"/>
    <m/>
    <m/>
    <m/>
    <m/>
    <s v="Pass"/>
    <d v="2562-06-12T00:00:00"/>
    <s v="Pass"/>
    <d v="2562-06-12T00:00:00"/>
    <m/>
    <m/>
    <x v="122"/>
    <n v="-3"/>
  </r>
  <r>
    <s v="มิถุนายน"/>
    <d v="2562-06-08T00:00:00"/>
    <x v="2"/>
    <n v="620325"/>
    <x v="72"/>
    <s v="FWBWT2025800SMP"/>
    <s v="PD462060108"/>
    <x v="54"/>
    <s v="งานพิมพ์สมบูรณ์"/>
    <x v="25"/>
    <s v="งานพิมพ์ไม่สมบูรณ์ "/>
    <s v="ไม่ผ่าน"/>
    <n v="262"/>
    <s v="ใบ"/>
    <d v="2562-06-08T00:00:00"/>
    <d v="2562-06-15T00:00:00"/>
    <d v="2562-06-10T00:00:00"/>
    <s v="Pass"/>
    <d v="2562-06-08T00:00:00"/>
    <m/>
    <m/>
    <m/>
    <m/>
    <s v="Pass"/>
    <d v="2562-06-17T00:00:00"/>
    <s v="Pass"/>
    <d v="2562-06-17T00:00:00"/>
    <m/>
    <m/>
    <x v="135"/>
    <n v="2"/>
  </r>
  <r>
    <s v="มิถุนายน"/>
    <d v="2562-06-08T00:00:00"/>
    <x v="2"/>
    <n v="620326"/>
    <x v="51"/>
    <s v="FWBWT2025850P"/>
    <s v="PD462060712"/>
    <x v="54"/>
    <s v="งานพิมพ์สมบูรณ์"/>
    <x v="25"/>
    <s v="งานพิมพ์ไม่สมบูรณ์ "/>
    <s v="ไม่ผ่าน"/>
    <n v="189"/>
    <s v="ใบ"/>
    <d v="2562-06-08T00:00:00"/>
    <d v="2562-06-15T00:00:00"/>
    <d v="2562-06-10T00:00:00"/>
    <s v="Pass"/>
    <d v="2562-06-08T00:00:00"/>
    <m/>
    <m/>
    <m/>
    <m/>
    <s v="Pass"/>
    <d v="2562-06-17T00:00:00"/>
    <s v="Pass"/>
    <d v="2562-06-17T00:00:00"/>
    <m/>
    <m/>
    <x v="136"/>
    <n v="2"/>
  </r>
  <r>
    <s v="มิถุนายน"/>
    <d v="2562-06-08T00:00:00"/>
    <x v="1"/>
    <n v="620327"/>
    <x v="73"/>
    <s v="FWBWT2321112512551"/>
    <s v="PD462060811"/>
    <x v="60"/>
    <s v="น้ำหนัก 125-130"/>
    <x v="376"/>
    <s v="น้ำหนักต่ำไม่ตรงตามสเปก"/>
    <s v="ไม่ผ่าน"/>
    <n v="800"/>
    <s v="ใบ"/>
    <d v="2562-06-08T00:00:00"/>
    <d v="2562-06-15T00:00:00"/>
    <d v="2562-06-10T00:00:00"/>
    <s v="Pass"/>
    <d v="2562-06-11T00:00:00"/>
    <m/>
    <m/>
    <m/>
    <m/>
    <s v="Pass"/>
    <d v="2562-06-12T00:00:00"/>
    <s v="Pass"/>
    <d v="2562-06-12T00:00:00"/>
    <m/>
    <m/>
    <x v="137"/>
    <n v="-3"/>
  </r>
  <r>
    <s v="มิถุนายน"/>
    <d v="2562-06-08T00:00:00"/>
    <x v="1"/>
    <n v="620328"/>
    <x v="15"/>
    <n v="62060844"/>
    <s v="55/080662"/>
    <x v="4"/>
    <s v="120-123"/>
    <x v="377"/>
    <s v="น้ำหนักต่ำกว่ามาตรฐาน"/>
    <n v="1.4399999999999977"/>
    <s v="1555/188.1"/>
    <s v="เมตร/ก.ก."/>
    <d v="2562-06-08T00:00:00"/>
    <d v="2562-06-15T00:00:00"/>
    <d v="2562-06-10T00:00:00"/>
    <s v="Pass"/>
    <d v="2562-06-14T00:00:00"/>
    <m/>
    <m/>
    <m/>
    <m/>
    <s v="Pass"/>
    <d v="2562-06-14T00:00:00"/>
    <s v="Pass"/>
    <d v="2562-06-14T00:00:00"/>
    <m/>
    <m/>
    <x v="24"/>
    <n v="-1"/>
  </r>
  <r>
    <s v="มิถุนายน"/>
    <d v="2562-06-08T00:00:00"/>
    <x v="1"/>
    <n v="620329"/>
    <x v="42"/>
    <n v="62060886"/>
    <s v="31/080662"/>
    <x v="52"/>
    <s v="55-60"/>
    <x v="378"/>
    <s v="น้ำหนักสูงกว่ามาตรฐาน"/>
    <n v="1.6199999999999974"/>
    <s v="2337/171"/>
    <s v="เมตร/ก.ก."/>
    <d v="2562-06-08T00:00:00"/>
    <d v="2562-06-15T00:00:00"/>
    <d v="2562-06-10T00:00:00"/>
    <s v="Pass"/>
    <d v="2562-06-17T00:00:00"/>
    <m/>
    <m/>
    <m/>
    <m/>
    <s v="Pass"/>
    <d v="2562-06-17T00:00:00"/>
    <s v="Pass"/>
    <d v="2562-06-17T00:00:00"/>
    <m/>
    <m/>
    <x v="138"/>
    <n v="1"/>
  </r>
  <r>
    <s v="มิถุนายน"/>
    <d v="2562-06-08T00:00:00"/>
    <x v="0"/>
    <n v="620330"/>
    <x v="0"/>
    <s v="TL620611"/>
    <n v="620611"/>
    <x v="0"/>
    <s v="Avg of D +10,-20 D"/>
    <x v="379"/>
    <s v="Avg สูงกว่ามาตรฐาน"/>
    <n v="5"/>
    <s v="1/265.8"/>
    <s v="กรง/ก.ก."/>
    <d v="2562-06-08T00:00:00"/>
    <d v="2562-06-15T00:00:00"/>
    <d v="2562-06-10T00:00:00"/>
    <s v="Pass"/>
    <d v="2562-06-10T00:00:00"/>
    <m/>
    <m/>
    <m/>
    <m/>
    <s v="Pass"/>
    <d v="2562-06-12T00:00:00"/>
    <s v="Pass"/>
    <d v="2562-06-12T00:00:00"/>
    <m/>
    <m/>
    <x v="0"/>
    <n v="-5"/>
  </r>
  <r>
    <s v="มิถุนายน"/>
    <d v="2562-06-09T00:00:00"/>
    <x v="1"/>
    <n v="620331"/>
    <x v="35"/>
    <n v="62060906"/>
    <s v="47/090662"/>
    <x v="45"/>
    <s v="79-80"/>
    <x v="380"/>
    <s v="น้ำหนักสูงกว่ามาตรฐาน"/>
    <n v="2.0799999999999983"/>
    <s v="2572/208.1"/>
    <s v="เมตร/ก.ก."/>
    <d v="2562-06-09T00:00:00"/>
    <d v="2562-06-16T00:00:00"/>
    <d v="2562-06-11T00:00:00"/>
    <s v="Pass"/>
    <d v="2562-06-18T00:00:00"/>
    <m/>
    <m/>
    <m/>
    <m/>
    <s v="Pass"/>
    <d v="2562-06-18T00:00:00"/>
    <s v="Pass"/>
    <d v="2562-06-18T00:00:00"/>
    <m/>
    <m/>
    <x v="62"/>
    <n v="0"/>
  </r>
  <r>
    <s v="มิถุนายน"/>
    <d v="2562-06-09T00:00:00"/>
    <x v="1"/>
    <n v="620332"/>
    <x v="37"/>
    <n v="62060937"/>
    <s v="64/090662"/>
    <x v="7"/>
    <s v="97-102"/>
    <x v="381"/>
    <s v="น้ำหนักสูงกว่ามาตรฐาน"/>
    <n v="1.1099999999999994"/>
    <s v="1950/175.7"/>
    <s v="เมตร/ก.ก."/>
    <d v="2562-06-09T00:00:00"/>
    <d v="2562-06-16T00:00:00"/>
    <d v="2562-06-11T00:00:00"/>
    <s v="Pass"/>
    <d v="2562-06-12T00:00:00"/>
    <m/>
    <m/>
    <m/>
    <m/>
    <s v="Pass"/>
    <d v="2562-06-12T00:00:00"/>
    <s v="Pass"/>
    <d v="2562-06-12T00:00:00"/>
    <m/>
    <m/>
    <x v="139"/>
    <n v="-5"/>
  </r>
  <r>
    <s v="มิถุนายน"/>
    <d v="2562-06-10T00:00:00"/>
    <x v="0"/>
    <n v="620333"/>
    <x v="69"/>
    <s v="TL620613"/>
    <n v="620613"/>
    <x v="1"/>
    <s v="Avg of D +10,-20 D"/>
    <x v="382"/>
    <s v="Avg สูงกว่ามาตรฐาน"/>
    <s v="50, 8"/>
    <s v="4/2124.70"/>
    <s v="กรง/ก.ก."/>
    <d v="2562-06-10T00:00:00"/>
    <d v="2562-06-17T00:00:00"/>
    <d v="2562-06-12T00:00:00"/>
    <s v="Pass"/>
    <d v="2562-06-11T00:00:00"/>
    <m/>
    <m/>
    <m/>
    <m/>
    <s v="Pass"/>
    <d v="2562-06-14T00:00:00"/>
    <s v="Pass"/>
    <d v="2562-06-14T00:00:00"/>
    <m/>
    <m/>
    <x v="122"/>
    <n v="-4"/>
  </r>
  <r>
    <s v="มิถุนายน"/>
    <d v="2562-06-10T00:00:00"/>
    <x v="0"/>
    <n v="620333"/>
    <x v="69"/>
    <s v="TL620613"/>
    <n v="620613"/>
    <x v="1"/>
    <s v="Std. ไม่เกิน 30 D"/>
    <x v="383"/>
    <s v="Std.เกินกว่ามาตรฐาน"/>
    <s v="22, 5, 1, 22"/>
    <m/>
    <m/>
    <d v="2562-06-10T00:00:00"/>
    <d v="2562-06-17T00:00:00"/>
    <d v="2562-06-12T00:00:00"/>
    <s v="Pass"/>
    <d v="2562-06-11T00:00:00"/>
    <m/>
    <m/>
    <m/>
    <m/>
    <s v="Pass"/>
    <d v="2562-06-14T00:00:00"/>
    <s v="Pass"/>
    <d v="2562-06-14T00:00:00"/>
    <m/>
    <m/>
    <x v="122"/>
    <n v="-4"/>
  </r>
  <r>
    <s v="มิถุนายน"/>
    <d v="2562-06-10T00:00:00"/>
    <x v="0"/>
    <n v="620333"/>
    <x v="69"/>
    <s v="TL620613"/>
    <n v="620613"/>
    <x v="1"/>
    <s v="ขนาดควบคุม 2.08-2.1"/>
    <x v="384"/>
    <s v="ขนาดเกินกว่าที่กำหนด"/>
    <s v="ไม่ผ่าน"/>
    <m/>
    <m/>
    <d v="2562-06-10T00:00:00"/>
    <d v="2562-06-17T00:00:00"/>
    <d v="2562-06-12T00:00:00"/>
    <s v="Pass"/>
    <d v="2562-06-11T00:00:00"/>
    <m/>
    <m/>
    <m/>
    <m/>
    <s v="Pass"/>
    <d v="2562-06-14T00:00:00"/>
    <s v="Pass"/>
    <d v="2562-06-14T00:00:00"/>
    <m/>
    <m/>
    <x v="122"/>
    <n v="-4"/>
  </r>
  <r>
    <s v="มิถุนายน"/>
    <d v="2562-06-10T00:00:00"/>
    <x v="0"/>
    <n v="620333"/>
    <x v="69"/>
    <s v="TL620613"/>
    <n v="620613"/>
    <x v="1"/>
    <s v="ขนาดควบคุม 2.08-2.1"/>
    <x v="385"/>
    <s v="ขนาดต่ำกว่าที่กำหนด"/>
    <s v="ไม่ผ่าน"/>
    <m/>
    <m/>
    <d v="2562-06-10T00:00:00"/>
    <d v="2562-06-17T00:00:00"/>
    <d v="2562-06-12T00:00:00"/>
    <s v="Pass"/>
    <d v="2562-06-11T00:00:00"/>
    <m/>
    <m/>
    <m/>
    <m/>
    <s v="Pass"/>
    <d v="2562-06-14T00:00:00"/>
    <s v="Pass"/>
    <d v="2562-06-14T00:00:00"/>
    <m/>
    <m/>
    <x v="122"/>
    <n v="-4"/>
  </r>
  <r>
    <s v="มิถุนายน"/>
    <d v="2562-06-10T00:00:00"/>
    <x v="1"/>
    <n v="620334"/>
    <x v="35"/>
    <n v="62061028"/>
    <s v="48/100662"/>
    <x v="78"/>
    <s v="79-80"/>
    <x v="386"/>
    <s v="น้ำหนักสูงกว่ามาตรฐาน"/>
    <n v="2.59"/>
    <s v="2590/211.9"/>
    <s v="เมตร/ก.ก."/>
    <d v="2562-06-10T00:00:00"/>
    <d v="2562-06-17T00:00:00"/>
    <d v="2562-06-12T00:00:00"/>
    <s v="Pass"/>
    <d v="2562-06-18T00:00:00"/>
    <m/>
    <m/>
    <m/>
    <m/>
    <s v="Pass"/>
    <d v="2562-06-18T00:00:00"/>
    <s v="Pass"/>
    <d v="2562-06-18T00:00:00"/>
    <m/>
    <m/>
    <x v="62"/>
    <n v="0"/>
  </r>
  <r>
    <s v="มิถุนายน"/>
    <d v="2562-06-10T00:00:00"/>
    <x v="1"/>
    <n v="620334"/>
    <x v="35"/>
    <n v="62061027"/>
    <s v="48/100662"/>
    <x v="78"/>
    <s v="79-80"/>
    <x v="387"/>
    <s v="น้ำหนักสูงกว่ามาตรฐาน"/>
    <n v="3.12"/>
    <s v="790/67.2"/>
    <s v="เมตร/ก.ก."/>
    <d v="2562-06-10T00:00:00"/>
    <d v="2562-06-17T00:00:00"/>
    <d v="2562-06-12T00:00:00"/>
    <s v="Pass"/>
    <d v="2562-06-18T00:00:00"/>
    <s v="Pass"/>
    <d v="2562-06-18T00:00:00"/>
    <s v="Pass"/>
    <d v="2562-06-18T00:00:00"/>
    <s v="Pass"/>
    <d v="2562-06-18T00:00:00"/>
    <s v="Pass"/>
    <d v="2562-06-18T00:00:00"/>
    <m/>
    <m/>
    <x v="62"/>
    <n v="0"/>
  </r>
  <r>
    <s v="มิถุนายน"/>
    <d v="2562-06-10T00:00:00"/>
    <x v="1"/>
    <n v="620335"/>
    <x v="35"/>
    <n v="62061022"/>
    <s v="43/100662"/>
    <x v="86"/>
    <s v="79-80"/>
    <x v="388"/>
    <s v="น้ำหนักต่ำกว่ามาตรฐาน"/>
    <n v="2.2800000000000011"/>
    <s v="2326/190.3"/>
    <s v="เมตร/ก.ก."/>
    <d v="2562-06-10T00:00:00"/>
    <d v="2562-06-17T00:00:00"/>
    <d v="2562-06-12T00:00:00"/>
    <s v="Pass"/>
    <d v="2562-06-18T00:00:00"/>
    <m/>
    <m/>
    <m/>
    <m/>
    <s v="Pass"/>
    <d v="2562-06-18T00:00:00"/>
    <s v="Pass"/>
    <d v="2562-06-18T00:00:00"/>
    <m/>
    <m/>
    <x v="140"/>
    <n v="0"/>
  </r>
  <r>
    <s v="มิถุนายน"/>
    <d v="2562-06-11T00:00:00"/>
    <x v="0"/>
    <n v="620336"/>
    <x v="1"/>
    <s v="TL620614"/>
    <n v="620614"/>
    <x v="0"/>
    <s v="Avg of D +10,-20 D"/>
    <x v="389"/>
    <s v="Avg สูงกว่ามาตรฐาน"/>
    <n v="61"/>
    <s v="2/799.4"/>
    <s v="กรง/ก.ก."/>
    <d v="2562-06-11T00:00:00"/>
    <d v="2562-06-18T00:00:00"/>
    <d v="2562-06-13T00:00:00"/>
    <s v="Pass"/>
    <d v="2562-06-15T00:00:00"/>
    <m/>
    <m/>
    <m/>
    <m/>
    <s v="Pass"/>
    <d v="2562-06-15T00:00:00"/>
    <s v="Pass"/>
    <d v="2562-06-15T00:00:00"/>
    <m/>
    <m/>
    <x v="141"/>
    <n v="-4"/>
  </r>
  <r>
    <s v="มิถุนายน"/>
    <d v="2562-06-11T00:00:00"/>
    <x v="0"/>
    <n v="620336"/>
    <x v="1"/>
    <s v="TL620614"/>
    <n v="620614"/>
    <x v="0"/>
    <s v="Kg f ≥(4.3xD/1000) kgf."/>
    <x v="390"/>
    <s v="Kg.ต่ำกว่ามาตรฐาน"/>
    <n v="0.12"/>
    <m/>
    <m/>
    <d v="2562-06-11T00:00:00"/>
    <d v="2562-06-18T00:00:00"/>
    <d v="2562-06-13T00:00:00"/>
    <s v="Pass"/>
    <d v="2562-06-15T00:00:00"/>
    <m/>
    <m/>
    <m/>
    <m/>
    <s v="Pass"/>
    <d v="2562-06-15T00:00:00"/>
    <s v="Pass"/>
    <d v="2562-06-15T00:00:00"/>
    <m/>
    <m/>
    <x v="141"/>
    <n v="-4"/>
  </r>
  <r>
    <s v="มิถุนายน"/>
    <d v="2562-06-11T00:00:00"/>
    <x v="0"/>
    <n v="620336"/>
    <x v="1"/>
    <s v="TL620614"/>
    <n v="620614"/>
    <x v="0"/>
    <s v="Tenacity ≥  4.3 g/D"/>
    <x v="391"/>
    <s v="Tenacityต่ำกว่ามาตรฐาน"/>
    <n v="0.06"/>
    <m/>
    <m/>
    <d v="2562-06-11T00:00:00"/>
    <d v="2562-06-18T00:00:00"/>
    <d v="2562-06-13T00:00:00"/>
    <s v="Pass"/>
    <d v="2562-06-15T00:00:00"/>
    <m/>
    <m/>
    <m/>
    <m/>
    <s v="Pass"/>
    <d v="2562-06-15T00:00:00"/>
    <s v="Pass"/>
    <d v="2562-06-15T00:00:00"/>
    <m/>
    <m/>
    <x v="141"/>
    <n v="-5"/>
  </r>
  <r>
    <s v="มิถุนายน"/>
    <d v="2562-06-11T00:00:00"/>
    <x v="1"/>
    <n v="620337"/>
    <x v="15"/>
    <n v="62061150"/>
    <s v="79/110662"/>
    <x v="83"/>
    <s v="120-123"/>
    <x v="392"/>
    <s v="น้ำหนักเฉลี่ย/ม้วนต่ำกว่ามาตรฐาน"/>
    <n v="1.0100000000000051"/>
    <s v="1545/188"/>
    <s v="เมตร/ก.ก."/>
    <d v="2562-06-11T00:00:00"/>
    <d v="2562-06-18T00:00:00"/>
    <d v="2562-06-13T00:00:00"/>
    <s v="Pass"/>
    <d v="2562-06-14T00:00:00"/>
    <m/>
    <m/>
    <m/>
    <m/>
    <s v="Pass"/>
    <d v="2562-06-14T00:00:00"/>
    <s v="Pass"/>
    <d v="2562-06-14T00:00:00"/>
    <m/>
    <m/>
    <x v="24"/>
    <n v="-4"/>
  </r>
  <r>
    <m/>
    <m/>
    <x v="9"/>
    <m/>
    <x v="64"/>
    <m/>
    <m/>
    <x v="75"/>
    <m/>
    <x v="393"/>
    <s v="น้ำหนักใบสูงกว่ามาตรฐาน"/>
    <n v="2"/>
    <m/>
    <m/>
    <m/>
    <m/>
    <m/>
    <m/>
    <m/>
    <m/>
    <m/>
    <m/>
    <m/>
    <m/>
    <m/>
    <m/>
    <m/>
    <m/>
    <m/>
    <x v="3"/>
    <m/>
  </r>
  <r>
    <s v="มิถุนายน"/>
    <d v="2562-06-11T00:00:00"/>
    <x v="0"/>
    <n v="620338"/>
    <x v="69"/>
    <s v="TL620613"/>
    <n v="620613"/>
    <x v="1"/>
    <s v="ขนาดควบคุม 2.08-2.1"/>
    <x v="372"/>
    <s v="ขนาดต่ำกว่าที่กำหนด"/>
    <s v="ไม่ผ่าน"/>
    <s v="1/573.7"/>
    <s v="กรง/ก.ก."/>
    <d v="2562-06-11T00:00:00"/>
    <d v="2562-06-18T00:00:00"/>
    <d v="2562-06-13T00:00:00"/>
    <s v="Pass"/>
    <d v="2562-06-12T00:00:00"/>
    <m/>
    <m/>
    <m/>
    <m/>
    <s v="Pass"/>
    <d v="2562-06-17T00:00:00"/>
    <s v="Pass"/>
    <d v="2562-06-11T00:00:00"/>
    <m/>
    <m/>
    <x v="142"/>
    <m/>
  </r>
  <r>
    <s v="มิถุนายน"/>
    <d v="2562-06-11T00:00:00"/>
    <x v="0"/>
    <n v="620339"/>
    <x v="2"/>
    <s v="TL620615"/>
    <n v="620615"/>
    <x v="1"/>
    <s v="Avg of D +10,-20 D"/>
    <x v="394"/>
    <s v="Avg ต่ำกว่ามาตรฐาน"/>
    <s v="9, 22"/>
    <s v="3/1340.20"/>
    <s v="กรง/ก.ก."/>
    <d v="2562-06-11T00:00:00"/>
    <d v="2562-06-18T00:00:00"/>
    <d v="2562-06-13T00:00:00"/>
    <s v="Pass"/>
    <d v="2562-06-12T00:00:00"/>
    <m/>
    <m/>
    <m/>
    <m/>
    <s v="Pass"/>
    <d v="2562-06-17T00:00:00"/>
    <s v="Pass"/>
    <d v="2562-06-17T00:00:00"/>
    <m/>
    <m/>
    <x v="12"/>
    <n v="-2"/>
  </r>
  <r>
    <s v="มิถุนายน"/>
    <d v="2562-06-11T00:00:00"/>
    <x v="0"/>
    <n v="620339"/>
    <x v="2"/>
    <s v="TL620615"/>
    <n v="620615"/>
    <x v="1"/>
    <s v="Avg of D +10,-20 D"/>
    <x v="395"/>
    <s v="Avg สูงกว่ามาตรฐาน"/>
    <n v="8"/>
    <m/>
    <m/>
    <d v="2562-06-11T00:00:00"/>
    <d v="2562-06-18T00:00:00"/>
    <d v="2562-06-13T00:00:00"/>
    <s v="Pass"/>
    <d v="2562-06-12T00:00:00"/>
    <m/>
    <m/>
    <m/>
    <m/>
    <s v="Pass"/>
    <d v="2562-06-17T00:00:00"/>
    <s v="Pass"/>
    <d v="2562-06-18T00:00:00"/>
    <m/>
    <m/>
    <x v="12"/>
    <n v="-1"/>
  </r>
  <r>
    <s v="มิถุนายน"/>
    <d v="2562-06-11T00:00:00"/>
    <x v="0"/>
    <n v="620339"/>
    <x v="2"/>
    <s v="TL620615"/>
    <n v="620615"/>
    <x v="1"/>
    <s v="Std. ไม่เกิน 30 D"/>
    <x v="396"/>
    <s v="Std.เกินกว่ามาตรฐาน"/>
    <s v="17, 14, 8"/>
    <m/>
    <m/>
    <d v="2562-06-11T00:00:00"/>
    <d v="2562-06-18T00:00:00"/>
    <d v="2562-06-13T00:00:00"/>
    <s v="Pass"/>
    <d v="2562-06-12T00:00:00"/>
    <m/>
    <m/>
    <m/>
    <m/>
    <s v="Pass"/>
    <d v="2562-06-17T00:00:00"/>
    <s v="Pass"/>
    <d v="2562-06-19T00:00:00"/>
    <m/>
    <m/>
    <x v="12"/>
    <n v="-1"/>
  </r>
  <r>
    <s v="มิถุนายน"/>
    <d v="2562-06-11T00:00:00"/>
    <x v="1"/>
    <n v="620340"/>
    <x v="37"/>
    <n v="62061194"/>
    <s v="73/110662"/>
    <x v="69"/>
    <s v="97-102"/>
    <x v="397"/>
    <s v="น้ำหนักต่ำกว่ามาตรฐาน"/>
    <n v="1.0300000000000011"/>
    <s v="1455/122.9"/>
    <s v="เมตร/ก.ก."/>
    <d v="2562-06-11T00:00:00"/>
    <d v="2562-06-18T00:00:00"/>
    <d v="2562-06-13T00:00:00"/>
    <s v="Pass"/>
    <d v="2562-06-12T00:00:00"/>
    <m/>
    <m/>
    <m/>
    <m/>
    <s v="Pass"/>
    <d v="2562-06-12T00:00:00"/>
    <s v="Pass"/>
    <d v="2562-06-12T00:00:00"/>
    <m/>
    <m/>
    <x v="139"/>
    <n v="-8"/>
  </r>
  <r>
    <s v="มิถุนายน"/>
    <d v="2562-06-12T00:00:00"/>
    <x v="1"/>
    <n v="620341"/>
    <x v="37"/>
    <n v="62061201"/>
    <s v="1/120662"/>
    <x v="87"/>
    <s v="97-102"/>
    <x v="398"/>
    <s v="น้ำหนักต่ำกว่ามาตรฐาน"/>
    <n v="1.6899999999999977"/>
    <s v="1250/105.7"/>
    <s v="เมตร/ก.ก."/>
    <d v="2562-06-12T00:00:00"/>
    <d v="2562-06-19T00:00:00"/>
    <d v="2562-06-14T00:00:00"/>
    <s v="Pass"/>
    <d v="2562-06-12T00:00:00"/>
    <m/>
    <m/>
    <m/>
    <m/>
    <s v="Pass"/>
    <d v="2562-06-12T00:00:00"/>
    <s v="Pass"/>
    <d v="2562-06-12T00:00:00"/>
    <m/>
    <m/>
    <x v="139"/>
    <n v="-8"/>
  </r>
  <r>
    <s v="มิถุนายน"/>
    <d v="2562-06-12T00:00:00"/>
    <x v="0"/>
    <n v="620342"/>
    <x v="0"/>
    <s v="TL620617"/>
    <n v="620617"/>
    <x v="1"/>
    <s v="Std. ไม่เกิน 30 D"/>
    <x v="2"/>
    <s v="Std.เกินกว่ามาตรฐาน"/>
    <n v="16"/>
    <s v="1/167"/>
    <s v="กรง/ก.ก."/>
    <d v="2562-06-12T00:00:00"/>
    <d v="2562-06-19T00:00:00"/>
    <d v="2562-06-14T00:00:00"/>
    <s v="Pass"/>
    <d v="2562-06-13T00:00:00"/>
    <m/>
    <m/>
    <m/>
    <m/>
    <s v="Pass"/>
    <d v="2562-06-17T00:00:00"/>
    <s v="Pass"/>
    <d v="2562-06-17T00:00:00"/>
    <m/>
    <m/>
    <x v="0"/>
    <n v="-3"/>
  </r>
  <r>
    <s v="มิถุนายน"/>
    <d v="2562-06-12T00:00:00"/>
    <x v="0"/>
    <n v="620343"/>
    <x v="69"/>
    <s v="TL620619"/>
    <n v="620619"/>
    <x v="1"/>
    <s v="Avg of D +10,-20 D"/>
    <x v="399"/>
    <s v="Avg ต่ำกว่ามาตรฐาน"/>
    <n v="8"/>
    <s v="1/236.1"/>
    <s v="กรง/ก.ก."/>
    <d v="2562-06-12T00:00:00"/>
    <d v="2562-06-19T00:00:00"/>
    <d v="2562-06-14T00:00:00"/>
    <s v="Pass"/>
    <d v="2562-06-13T00:00:00"/>
    <m/>
    <m/>
    <m/>
    <m/>
    <s v="Pass"/>
    <d v="2562-06-17T00:00:00"/>
    <s v="Pass"/>
    <d v="2562-06-17T00:00:00"/>
    <m/>
    <m/>
    <x v="122"/>
    <n v="-3"/>
  </r>
  <r>
    <s v="มิถุนายน"/>
    <d v="2562-06-12T00:00:00"/>
    <x v="0"/>
    <n v="620343"/>
    <x v="69"/>
    <s v="TL620619"/>
    <n v="620619"/>
    <x v="1"/>
    <s v="ขนาดควบคุม 2.08-2.1"/>
    <x v="372"/>
    <s v="ขนาดต่ำกว่าที่กำหนด"/>
    <s v="ไม่ผ่าน"/>
    <m/>
    <m/>
    <d v="2562-06-12T00:00:00"/>
    <d v="2562-06-19T00:00:00"/>
    <d v="2562-06-14T00:00:00"/>
    <s v="Pass"/>
    <d v="2562-06-13T00:00:00"/>
    <m/>
    <m/>
    <m/>
    <m/>
    <s v="Pass"/>
    <d v="2562-06-17T00:00:00"/>
    <s v="Pass"/>
    <d v="2562-06-17T00:00:00"/>
    <m/>
    <m/>
    <x v="122"/>
    <n v="-3"/>
  </r>
  <r>
    <s v="มิถุนายน"/>
    <d v="2562-06-12T00:00:00"/>
    <x v="0"/>
    <n v="620343"/>
    <x v="69"/>
    <s v="TL620619"/>
    <n v="620619"/>
    <x v="1"/>
    <s v="Elong  25-35 %"/>
    <x v="400"/>
    <s v="Elong ต่ำกว่ามาตรฐาน"/>
    <n v="0.69"/>
    <m/>
    <m/>
    <d v="2562-06-12T00:00:00"/>
    <d v="2562-06-19T00:00:00"/>
    <d v="2562-06-14T00:00:00"/>
    <s v="Pass"/>
    <d v="2562-06-13T00:00:00"/>
    <m/>
    <m/>
    <m/>
    <m/>
    <s v="Pass"/>
    <d v="2562-06-17T00:00:00"/>
    <s v="Pass"/>
    <d v="2562-06-17T00:00:00"/>
    <m/>
    <m/>
    <x v="122"/>
    <n v="-4"/>
  </r>
  <r>
    <s v="มิถุนายน"/>
    <d v="2562-06-13T00:00:00"/>
    <x v="0"/>
    <n v="620344"/>
    <x v="69"/>
    <s v="TL620619"/>
    <n v="620619"/>
    <x v="1"/>
    <s v="ขนาดควบคุม 2.08-2.1"/>
    <x v="385"/>
    <s v="ขนาดต่ำกว่าที่กำหนด"/>
    <s v="ไม่ผ่าน"/>
    <s v="2/1140.7"/>
    <s v="กรง/ก.ก."/>
    <d v="2562-06-13T00:00:00"/>
    <d v="2562-06-20T00:00:00"/>
    <d v="2562-06-15T00:00:00"/>
    <s v="Pass"/>
    <d v="2562-06-15T00:00:00"/>
    <m/>
    <m/>
    <m/>
    <m/>
    <s v="Pass"/>
    <d v="2562-06-17T00:00:00"/>
    <s v="Pass"/>
    <d v="2562-06-17T00:00:00"/>
    <m/>
    <m/>
    <x v="122"/>
    <n v="-4"/>
  </r>
  <r>
    <s v="มิถุนายน"/>
    <d v="2562-06-13T00:00:00"/>
    <x v="0"/>
    <n v="620344"/>
    <x v="69"/>
    <s v="TL620619"/>
    <n v="620619"/>
    <x v="1"/>
    <s v="Avg of D +10,-20 D"/>
    <x v="235"/>
    <s v="Avg สูงกว่ามาตรฐาน"/>
    <n v="3"/>
    <m/>
    <m/>
    <d v="2562-06-13T00:00:00"/>
    <d v="2562-06-20T00:00:00"/>
    <d v="2562-06-15T00:00:00"/>
    <s v="Pass"/>
    <d v="2562-06-15T00:00:00"/>
    <m/>
    <m/>
    <m/>
    <m/>
    <s v="Pass"/>
    <d v="2562-06-17T00:00:00"/>
    <s v="Pass"/>
    <d v="2562-06-17T00:00:00"/>
    <m/>
    <m/>
    <x v="122"/>
    <n v="-4"/>
  </r>
  <r>
    <s v="มิถุนายน"/>
    <d v="2562-06-13T00:00:00"/>
    <x v="1"/>
    <n v="620345"/>
    <x v="14"/>
    <n v="620613105"/>
    <s v="71/130662"/>
    <x v="17"/>
    <s v="125-128"/>
    <x v="63"/>
    <s v="น้ำหนักต่ำกว่ามาตรฐาน"/>
    <n v="1.9300000000000068"/>
    <s v="1440/181.4"/>
    <s v="เมตร/ก.ก."/>
    <d v="2562-06-13T00:00:00"/>
    <d v="2562-06-20T00:00:00"/>
    <d v="2562-06-15T00:00:00"/>
    <s v="Pass"/>
    <d v="2562-06-18T00:00:00"/>
    <m/>
    <m/>
    <m/>
    <m/>
    <s v="Pass"/>
    <d v="2562-06-18T00:00:00"/>
    <s v="Pass"/>
    <d v="2562-06-18T00:00:00"/>
    <m/>
    <m/>
    <x v="143"/>
    <n v="-2"/>
  </r>
  <r>
    <s v="มิถุนายน"/>
    <d v="2562-06-13T00:00:00"/>
    <x v="1"/>
    <n v="620345"/>
    <x v="14"/>
    <n v="62061346"/>
    <s v="87/130662"/>
    <x v="40"/>
    <s v="125-128"/>
    <x v="101"/>
    <s v="น้ำหนักต่ำกว่ามาตรฐาน"/>
    <n v="1.3499999999999943"/>
    <s v="1500/190.6"/>
    <s v="เมตร/ก.ก."/>
    <d v="2562-06-13T00:00:00"/>
    <d v="2562-06-20T00:00:00"/>
    <d v="2562-06-15T00:00:00"/>
    <s v="Pass"/>
    <d v="2562-06-18T00:00:00"/>
    <m/>
    <m/>
    <m/>
    <m/>
    <s v="Pass"/>
    <d v="2562-06-18T00:00:00"/>
    <s v="Pass"/>
    <d v="2562-06-18T00:00:00"/>
    <m/>
    <m/>
    <x v="143"/>
    <m/>
  </r>
  <r>
    <s v="มิถุนายน"/>
    <d v="2562-06-13T00:00:00"/>
    <x v="1"/>
    <n v="620346"/>
    <x v="14"/>
    <n v="62061344"/>
    <s v="20/130662"/>
    <x v="55"/>
    <s v="125-128"/>
    <x v="401"/>
    <s v="น้ำหนักสูงกว่ามาตรฐาน"/>
    <n v="0.80000000000001137"/>
    <s v="1475/193.1"/>
    <s v="เมตร/ก.ก."/>
    <d v="2562-06-13T00:00:00"/>
    <d v="2562-06-20T00:00:00"/>
    <d v="2562-06-15T00:00:00"/>
    <s v="Pass"/>
    <d v="2562-06-15T00:00:00"/>
    <m/>
    <m/>
    <m/>
    <m/>
    <s v="Pass"/>
    <d v="2562-06-15T00:00:00"/>
    <s v="Pass"/>
    <d v="2562-06-15T00:00:00"/>
    <m/>
    <m/>
    <x v="144"/>
    <n v="-5"/>
  </r>
  <r>
    <s v="มิถุนายน"/>
    <d v="2562-06-13T00:00:00"/>
    <x v="1"/>
    <n v="620346"/>
    <x v="14"/>
    <n v="62061358"/>
    <s v="39/130662"/>
    <x v="27"/>
    <s v="125-128"/>
    <x v="402"/>
    <s v="น้ำหนักสูงกว่ามาตรฐาน"/>
    <n v="0.62000000000000455"/>
    <s v="1300/171.1"/>
    <s v="เมตร/ก.ก."/>
    <d v="2562-06-13T00:00:00"/>
    <d v="2562-06-20T00:00:00"/>
    <d v="2562-06-15T00:00:00"/>
    <s v="Pass"/>
    <d v="2562-06-15T00:00:00"/>
    <m/>
    <m/>
    <m/>
    <m/>
    <s v="Pass"/>
    <d v="2562-06-15T00:00:00"/>
    <s v="Pass"/>
    <d v="2562-06-15T00:00:00"/>
    <m/>
    <m/>
    <x v="144"/>
    <m/>
  </r>
  <r>
    <s v="มิถุนายน"/>
    <d v="2562-06-13T00:00:00"/>
    <x v="1"/>
    <n v="620347"/>
    <x v="74"/>
    <n v="62061337"/>
    <s v="01/130662"/>
    <x v="31"/>
    <s v="105-110"/>
    <x v="403"/>
    <s v="น้ำหนักต่ำกว่ามาตรฐาน"/>
    <n v="0.48000000000000398"/>
    <s v="2000/182.2"/>
    <s v="เมตร/ก.ก."/>
    <d v="2562-06-13T00:00:00"/>
    <d v="2562-06-20T00:00:00"/>
    <d v="2562-06-15T00:00:00"/>
    <s v="Pass"/>
    <d v="2562-06-15T00:00:00"/>
    <m/>
    <m/>
    <m/>
    <m/>
    <s v="Pass"/>
    <d v="2562-06-15T00:00:00"/>
    <s v="Pass"/>
    <d v="2562-06-15T00:00:00"/>
    <m/>
    <m/>
    <x v="145"/>
    <n v="-6"/>
  </r>
  <r>
    <s v="มิถุนายน"/>
    <d v="2562-06-13T00:00:00"/>
    <x v="1"/>
    <n v="620348"/>
    <x v="35"/>
    <n v="62061364"/>
    <s v="44/130662"/>
    <x v="76"/>
    <s v="79-80"/>
    <x v="404"/>
    <s v="น้ำหนักสูงกว่ามาตรฐาน"/>
    <n v="1.7399999999999949"/>
    <s v="2430/197.1"/>
    <s v="เมตร/ก.ก."/>
    <d v="2562-06-13T00:00:00"/>
    <d v="2562-06-20T00:00:00"/>
    <d v="2562-06-15T00:00:00"/>
    <s v="Pass"/>
    <d v="2562-06-18T00:00:00"/>
    <m/>
    <m/>
    <m/>
    <m/>
    <s v="Pass"/>
    <d v="2562-06-18T00:00:00"/>
    <s v="Pass"/>
    <d v="2562-06-18T00:00:00"/>
    <m/>
    <m/>
    <x v="62"/>
    <n v="-3"/>
  </r>
  <r>
    <s v="มิถุนายน"/>
    <d v="2562-06-14T00:00:00"/>
    <x v="0"/>
    <n v="620349"/>
    <x v="1"/>
    <s v="TL620620"/>
    <n v="620620"/>
    <x v="0"/>
    <s v="Std. ไม่เกิน 30 D"/>
    <x v="405"/>
    <s v="Std.เกินกว่ามาตรฐาน"/>
    <n v="17"/>
    <s v="1/219.8"/>
    <s v="กรง/ก.ก."/>
    <d v="2562-06-14T00:00:00"/>
    <d v="2562-06-21T00:00:00"/>
    <d v="2562-06-16T00:00:00"/>
    <s v="Pass"/>
    <d v="2562-06-15T00:00:00"/>
    <m/>
    <m/>
    <m/>
    <m/>
    <s v="Pass"/>
    <d v="2562-06-15T00:00:00"/>
    <s v="Pass"/>
    <d v="2562-06-15T00:00:00"/>
    <m/>
    <m/>
    <x v="141"/>
    <n v="-6"/>
  </r>
  <r>
    <s v="มิถุนายน"/>
    <d v="2562-06-14T00:00:00"/>
    <x v="0"/>
    <n v="620350"/>
    <x v="2"/>
    <s v="TL620621"/>
    <n v="620621"/>
    <x v="1"/>
    <s v="Avg of D +10,-20 D"/>
    <x v="406"/>
    <s v="Avg สูงกว่ามาตรฐาน"/>
    <s v="17 ,38"/>
    <s v="2/558"/>
    <s v="กรง/ก.ก."/>
    <d v="2562-06-14T00:00:00"/>
    <d v="2562-06-21T00:00:00"/>
    <d v="2562-06-16T00:00:00"/>
    <s v="Pass"/>
    <d v="2562-06-15T00:00:00"/>
    <m/>
    <m/>
    <m/>
    <m/>
    <s v="Pass"/>
    <d v="2562-06-17T00:00:00"/>
    <s v="Pass"/>
    <d v="2562-06-17T00:00:00"/>
    <m/>
    <m/>
    <x v="12"/>
    <n v="-4"/>
  </r>
  <r>
    <s v="มิถุนายน"/>
    <d v="2562-06-14T00:00:00"/>
    <x v="0"/>
    <n v="620350"/>
    <x v="2"/>
    <s v="TL620621"/>
    <n v="620621"/>
    <x v="1"/>
    <s v="Std. ไม่เกิน 30 D"/>
    <x v="407"/>
    <s v="Std.เกินกว่ามาตรฐาน"/>
    <s v="15 ,7"/>
    <m/>
    <m/>
    <d v="2562-06-14T00:00:00"/>
    <d v="2562-06-21T00:00:00"/>
    <d v="2562-06-16T00:00:00"/>
    <s v="Pass"/>
    <d v="2562-06-15T00:00:00"/>
    <m/>
    <m/>
    <m/>
    <m/>
    <s v="Pass"/>
    <d v="2562-06-17T00:00:00"/>
    <s v="Pass"/>
    <d v="2562-06-17T00:00:00"/>
    <m/>
    <m/>
    <x v="12"/>
    <n v="-4"/>
  </r>
  <r>
    <s v="มิถุนายน"/>
    <d v="2562-06-14T00:00:00"/>
    <x v="0"/>
    <n v="620351"/>
    <x v="69"/>
    <s v="TL620622"/>
    <n v="620622"/>
    <x v="1"/>
    <s v="Avg of D +10,-20 D"/>
    <x v="47"/>
    <s v="Avg สูงกว่ามาตรฐาน"/>
    <n v="10"/>
    <s v="1/253.1"/>
    <s v="กรง/ก.ก."/>
    <d v="2562-06-14T00:00:00"/>
    <d v="2562-06-21T00:00:00"/>
    <d v="2562-06-16T00:00:00"/>
    <s v="Pass"/>
    <d v="2562-06-15T00:00:00"/>
    <m/>
    <m/>
    <m/>
    <m/>
    <s v="Pass"/>
    <d v="2562-06-17T00:00:00"/>
    <s v="Pass"/>
    <d v="2562-06-17T00:00:00"/>
    <m/>
    <m/>
    <x v="122"/>
    <n v="-4"/>
  </r>
  <r>
    <s v="มิถุนายน"/>
    <d v="2562-06-14T00:00:00"/>
    <x v="0"/>
    <n v="620352"/>
    <x v="13"/>
    <s v="TL620621"/>
    <n v="620621"/>
    <x v="0"/>
    <s v="Avg of D +10,-20 D"/>
    <x v="408"/>
    <s v="Avg ต่ำกว่ามาตรฐาน"/>
    <n v="15"/>
    <s v="2/788.9"/>
    <s v="กรง/ก.ก."/>
    <d v="2562-06-14T00:00:00"/>
    <d v="2562-06-21T00:00:00"/>
    <d v="2562-06-16T00:00:00"/>
    <s v="Pass"/>
    <d v="2562-06-15T00:00:00"/>
    <m/>
    <m/>
    <m/>
    <m/>
    <s v="Pass"/>
    <d v="2562-06-17T00:00:00"/>
    <s v="Pass"/>
    <d v="2562-06-17T00:00:00"/>
    <m/>
    <m/>
    <x v="15"/>
    <n v="-4"/>
  </r>
  <r>
    <s v="มิถุนายน"/>
    <d v="2562-06-14T00:00:00"/>
    <x v="0"/>
    <n v="620352"/>
    <x v="13"/>
    <s v="TL620621"/>
    <n v="620621"/>
    <x v="0"/>
    <s v="Avg of D +10,-20 D"/>
    <x v="409"/>
    <s v="Avg สูงกว่ามาตรฐาน"/>
    <n v="22"/>
    <m/>
    <m/>
    <d v="2562-06-14T00:00:00"/>
    <d v="2562-06-21T00:00:00"/>
    <d v="2562-06-16T00:00:00"/>
    <s v="Pass"/>
    <d v="2562-06-15T00:00:00"/>
    <m/>
    <m/>
    <m/>
    <m/>
    <s v="Pass"/>
    <d v="2562-06-17T00:00:00"/>
    <s v="Pass"/>
    <d v="2562-06-17T00:00:00"/>
    <m/>
    <m/>
    <x v="15"/>
    <n v="-5"/>
  </r>
  <r>
    <s v="มิถุนายน"/>
    <d v="2562-06-14T00:00:00"/>
    <x v="1"/>
    <n v="620353"/>
    <x v="37"/>
    <n v="620614110"/>
    <s v="61/140662"/>
    <x v="85"/>
    <s v="97-102"/>
    <x v="410"/>
    <s v="น้ำหนักต่ำกว่ามาตรฐาน"/>
    <n v="3.6099999999999994"/>
    <s v="2000/165.4"/>
    <s v="เมตร/ก.ก."/>
    <d v="2562-06-14T00:00:00"/>
    <d v="2562-06-21T00:00:00"/>
    <d v="2562-06-16T00:00:00"/>
    <s v="Pass"/>
    <d v="2562-06-22T00:00:00"/>
    <m/>
    <m/>
    <m/>
    <m/>
    <s v="Pass"/>
    <d v="2562-06-22T00:00:00"/>
    <s v="Pass"/>
    <d v="2562-06-22T00:00:00"/>
    <m/>
    <m/>
    <x v="146"/>
    <n v="0"/>
  </r>
  <r>
    <s v="มิถุนายน"/>
    <d v="2562-06-15T00:00:00"/>
    <x v="0"/>
    <n v="620354"/>
    <x v="13"/>
    <s v="TL620621"/>
    <n v="620621"/>
    <x v="0"/>
    <s v="Avg of D +10,-20 D"/>
    <x v="411"/>
    <s v="Avg สูงกว่ามาตรฐาน"/>
    <n v="8"/>
    <s v="1/578"/>
    <s v="กรง/ก.ก."/>
    <d v="2562-06-15T00:00:00"/>
    <d v="2562-06-22T00:00:00"/>
    <d v="2562-06-17T00:00:00"/>
    <s v="Pass"/>
    <d v="2562-06-15T00:00:00"/>
    <m/>
    <m/>
    <m/>
    <m/>
    <s v="Pass"/>
    <d v="2562-06-15T00:00:00"/>
    <s v="Pass"/>
    <d v="2562-06-15T00:00:00"/>
    <m/>
    <m/>
    <x v="141"/>
    <n v="-7"/>
  </r>
  <r>
    <s v="มิถุนายน"/>
    <d v="2562-06-15T00:00:00"/>
    <x v="0"/>
    <n v="620354"/>
    <x v="13"/>
    <s v="TL620621"/>
    <n v="620621"/>
    <x v="0"/>
    <s v="Std. ไม่เกิน 30 D"/>
    <x v="120"/>
    <s v="Std.เกินกว่ามาตรฐาน"/>
    <n v="8"/>
    <m/>
    <m/>
    <d v="2562-06-15T00:00:00"/>
    <d v="2562-06-22T00:00:00"/>
    <d v="2562-06-17T00:00:00"/>
    <s v="Pass"/>
    <d v="2562-06-15T00:00:00"/>
    <m/>
    <m/>
    <m/>
    <m/>
    <s v="Pass"/>
    <d v="2562-06-15T00:00:00"/>
    <s v="Pass"/>
    <d v="2562-06-15T00:00:00"/>
    <m/>
    <m/>
    <x v="141"/>
    <n v="-7"/>
  </r>
  <r>
    <s v="มิถุนายน"/>
    <d v="2562-06-15T00:00:00"/>
    <x v="1"/>
    <n v="620355"/>
    <x v="14"/>
    <n v="62061542"/>
    <s v="79/150662"/>
    <x v="83"/>
    <s v="125-128"/>
    <x v="412"/>
    <s v="น้ำหนักเฉลี่ย/ม้วนต่ำกว่ามาตรฐาน"/>
    <n v="1.6899999999999977"/>
    <s v="1516/191"/>
    <s v="เมตร/ก.ก."/>
    <d v="2562-06-15T00:00:00"/>
    <d v="2562-06-22T00:00:00"/>
    <d v="2562-06-17T00:00:00"/>
    <s v="Pass"/>
    <d v="2562-06-21T00:00:00"/>
    <m/>
    <m/>
    <m/>
    <m/>
    <s v="Pass"/>
    <d v="2562-06-22T00:00:00"/>
    <s v="Pass"/>
    <d v="2562-06-24T00:00:00"/>
    <m/>
    <m/>
    <x v="16"/>
    <n v="2"/>
  </r>
  <r>
    <s v="มิถุนายน"/>
    <d v="2562-06-15T00:00:00"/>
    <x v="1"/>
    <n v="620356"/>
    <x v="14"/>
    <n v="62061534"/>
    <s v="71/150662"/>
    <x v="17"/>
    <s v="125/128"/>
    <x v="413"/>
    <s v="น้ำหนักต่ำกว่ามาตรฐาน"/>
    <n v="2.25"/>
    <s v="1587/198.1"/>
    <s v="เมตร/ก.ก."/>
    <d v="2562-06-15T00:00:00"/>
    <d v="2562-06-22T00:00:00"/>
    <d v="2562-06-17T00:00:00"/>
    <s v="Pass"/>
    <d v="2562-06-22T00:00:00"/>
    <m/>
    <m/>
    <m/>
    <m/>
    <s v="Pass"/>
    <d v="2562-06-22T00:00:00"/>
    <s v="Pass"/>
    <d v="2562-06-24T00:00:00"/>
    <m/>
    <m/>
    <x v="147"/>
    <n v="1"/>
  </r>
  <r>
    <s v="มิถุนายน"/>
    <d v="2562-06-15T00:00:00"/>
    <x v="0"/>
    <n v="620357"/>
    <x v="69"/>
    <s v="TL620622"/>
    <n v="620622"/>
    <x v="1"/>
    <s v="Avg of D +10,-20 D"/>
    <x v="414"/>
    <s v="Avg ต่ำกว่ามาตรฐาน"/>
    <n v="11"/>
    <s v="1/236.8"/>
    <s v="กรง/ก.ก."/>
    <d v="2562-06-15T00:00:00"/>
    <d v="2562-06-22T00:00:00"/>
    <d v="2562-06-17T00:00:00"/>
    <s v="Pass"/>
    <d v="2562-06-17T00:00:00"/>
    <m/>
    <m/>
    <m/>
    <m/>
    <s v="Pass"/>
    <d v="2562-06-19T00:00:00"/>
    <s v="Pass"/>
    <d v="2562-06-22T00:00:00"/>
    <m/>
    <m/>
    <x v="122"/>
    <n v="-2"/>
  </r>
  <r>
    <s v="มิถุนายน"/>
    <d v="2562-06-15T00:00:00"/>
    <x v="0"/>
    <n v="620357"/>
    <x v="69"/>
    <s v="TL620622"/>
    <n v="620622"/>
    <x v="1"/>
    <s v="ขนาดควบคุม 2.08-2.1"/>
    <x v="372"/>
    <s v="ขนาดต่ำกว่าที่กำหนด"/>
    <s v="ไม่ผ่าน"/>
    <m/>
    <m/>
    <d v="2562-06-15T00:00:00"/>
    <d v="2562-06-22T00:00:00"/>
    <d v="2562-06-17T00:00:00"/>
    <s v="Pass"/>
    <d v="2562-06-17T00:00:00"/>
    <m/>
    <m/>
    <m/>
    <m/>
    <s v="Pass"/>
    <d v="2562-06-19T00:00:00"/>
    <s v="Pass"/>
    <d v="2562-06-22T00:00:00"/>
    <m/>
    <m/>
    <x v="122"/>
    <n v="-2"/>
  </r>
  <r>
    <s v="มิถุนายน"/>
    <d v="2562-06-16T00:00:00"/>
    <x v="1"/>
    <n v="620358"/>
    <x v="37"/>
    <n v="62061643"/>
    <s v="61/160662"/>
    <x v="85"/>
    <s v="97-102"/>
    <x v="415"/>
    <s v="น้ำหนักต่ำกว่ามาตรฐาน"/>
    <n v="2.6800000000000068"/>
    <s v="2000/167.7"/>
    <s v="เมตร/ก.ก."/>
    <d v="2562-06-16T00:00:00"/>
    <d v="2562-06-23T00:00:00"/>
    <d v="2562-06-18T00:00:00"/>
    <s v="Pass"/>
    <d v="2562-06-22T00:00:00"/>
    <m/>
    <m/>
    <m/>
    <m/>
    <s v="Pass"/>
    <d v="2562-06-22T00:00:00"/>
    <s v="Pass"/>
    <d v="2562-06-22T00:00:00"/>
    <m/>
    <m/>
    <x v="146"/>
    <n v="-2"/>
  </r>
  <r>
    <s v="มิถุนายน"/>
    <d v="2562-06-17T00:00:00"/>
    <x v="0"/>
    <n v="620359"/>
    <x v="4"/>
    <s v="TL620625"/>
    <n v="620625"/>
    <x v="1"/>
    <s v="ดีเนียร์ควบคุม670+/-10"/>
    <x v="416"/>
    <s v="Avg ต่ำกว่ามาตรฐาน"/>
    <n v="7"/>
    <s v="1/241.5"/>
    <s v="กรง/ก.ก."/>
    <d v="2562-06-17T00:00:00"/>
    <d v="2562-06-24T00:00:00"/>
    <d v="2562-06-19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5"/>
    <n v="3"/>
  </r>
  <r>
    <s v="มิถุนายน"/>
    <d v="2562-06-17T00:00:00"/>
    <x v="0"/>
    <n v="620359"/>
    <x v="4"/>
    <s v="TL620625"/>
    <n v="620625"/>
    <x v="1"/>
    <s v="ขนาดควบคุม 2.08-2.16"/>
    <x v="372"/>
    <s v="ขนาดต่ำกว่าที่กำหนด"/>
    <s v="ไม่ผ่าน"/>
    <m/>
    <m/>
    <d v="2562-06-17T00:00:00"/>
    <d v="2562-06-24T00:00:00"/>
    <d v="2562-06-19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5"/>
    <n v="3"/>
  </r>
  <r>
    <s v="มิถุนายน"/>
    <d v="2562-06-17T00:00:00"/>
    <x v="1"/>
    <n v="620360"/>
    <x v="14"/>
    <n v="62061729"/>
    <s v="39/170662"/>
    <x v="27"/>
    <s v="125-128"/>
    <x v="158"/>
    <s v="น้ำหนักต่ำกว่ามาตรฐาน"/>
    <n v="0.78000000000000114"/>
    <s v="1440/182.8"/>
    <s v="เมตร/ก.ก."/>
    <d v="2562-06-17T00:00:00"/>
    <d v="2562-06-24T00:00:00"/>
    <d v="2562-06-19T00:00:00"/>
    <s v="Pass"/>
    <d v="2562-06-22T00:00:00"/>
    <m/>
    <m/>
    <m/>
    <m/>
    <s v="Pass"/>
    <d v="2562-06-22T00:00:00"/>
    <s v="Pass"/>
    <d v="2562-06-22T00:00:00"/>
    <m/>
    <m/>
    <x v="16"/>
    <n v="-3"/>
  </r>
  <r>
    <s v="มิถุนายน"/>
    <d v="2562-06-17T00:00:00"/>
    <x v="1"/>
    <n v="620360"/>
    <x v="14"/>
    <n v="62061739"/>
    <s v="45/170662"/>
    <x v="64"/>
    <s v="125-128"/>
    <x v="417"/>
    <s v="น้ำหนักต่ำกว่ามาตรฐาน"/>
    <n v="2.7999999999999972"/>
    <s v="1545/192.3"/>
    <s v="เมตร/ก.ก."/>
    <d v="2562-06-17T00:00:00"/>
    <d v="2562-06-24T00:00:00"/>
    <d v="2562-06-19T00:00:00"/>
    <s v="Pass"/>
    <d v="2562-06-22T00:00:00"/>
    <m/>
    <m/>
    <m/>
    <m/>
    <s v="Pass"/>
    <d v="2562-06-22T00:00:00"/>
    <s v="Pass"/>
    <d v="2562-06-22T00:00:00"/>
    <m/>
    <m/>
    <x v="148"/>
    <m/>
  </r>
  <r>
    <s v="มิถุนายน"/>
    <d v="2562-06-18T00:00:00"/>
    <x v="0"/>
    <n v="620361"/>
    <x v="2"/>
    <s v="TL620627"/>
    <n v="620627"/>
    <x v="1"/>
    <s v="Avg of D +10,-20 D"/>
    <x v="418"/>
    <s v="Avg ต่ำกว่ามาตรฐาน"/>
    <n v="20"/>
    <s v="2/781.30"/>
    <s v="กรง/ก.ก."/>
    <d v="2562-06-18T00:00:00"/>
    <d v="2562-06-25T00:00:00"/>
    <d v="2562-06-20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12"/>
    <n v="2"/>
  </r>
  <r>
    <s v="มิถุนายน"/>
    <d v="2562-06-18T00:00:00"/>
    <x v="0"/>
    <n v="620361"/>
    <x v="2"/>
    <s v="TL620627"/>
    <n v="620627"/>
    <x v="1"/>
    <s v="Std. ไม่เกิน 30 D"/>
    <x v="419"/>
    <s v="Std.เกินกว่ามาตรฐาน"/>
    <s v="21 ,8"/>
    <m/>
    <m/>
    <d v="2562-06-18T00:00:00"/>
    <d v="2562-06-25T00:00:00"/>
    <d v="2562-06-20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12"/>
    <n v="2"/>
  </r>
  <r>
    <s v="มิถุนายน"/>
    <d v="2562-06-18T00:00:00"/>
    <x v="0"/>
    <n v="620361"/>
    <x v="2"/>
    <s v="TL620627"/>
    <n v="620627"/>
    <x v="1"/>
    <s v="Avg of D +10,-20 D"/>
    <x v="420"/>
    <s v="Avg สูงกว่ามาตรฐาน"/>
    <n v="9"/>
    <m/>
    <m/>
    <d v="2562-06-18T00:00:00"/>
    <d v="2562-06-25T00:00:00"/>
    <d v="2562-06-20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12"/>
    <n v="2"/>
  </r>
  <r>
    <s v="มิถุนายน"/>
    <d v="2562-06-18T00:00:00"/>
    <x v="1"/>
    <n v="620362"/>
    <x v="37"/>
    <n v="62061810"/>
    <s v="61/180662"/>
    <x v="85"/>
    <s v="97-102"/>
    <x v="132"/>
    <s v="น้ำหนักต่ำกว่ามาตรฐาน"/>
    <n v="1.6599999999999966"/>
    <s v="1850/155.7"/>
    <s v="เมตร/ก.ก."/>
    <d v="2562-06-18T00:00:00"/>
    <d v="2562-06-25T00:00:00"/>
    <d v="2562-06-20T00:00:00"/>
    <s v="Pass"/>
    <d v="2562-06-22T00:00:00"/>
    <m/>
    <m/>
    <m/>
    <m/>
    <s v="Pass"/>
    <d v="2562-06-22T00:00:00"/>
    <s v="Pass"/>
    <d v="2562-06-24T00:00:00"/>
    <m/>
    <m/>
    <x v="54"/>
    <n v="-1"/>
  </r>
  <r>
    <s v="มิถุนายน"/>
    <d v="2562-06-18T00:00:00"/>
    <x v="1"/>
    <n v="620363"/>
    <x v="37"/>
    <n v="62061825"/>
    <s v="64/180662"/>
    <x v="7"/>
    <s v="97-102"/>
    <x v="421"/>
    <s v="น้ำหนักสูงกว่ามาตรฐาน"/>
    <n v="1.0499999999999972"/>
    <s v="2000/180.9"/>
    <s v="เมตร/ก.ก."/>
    <d v="2562-06-18T00:00:00"/>
    <d v="2562-06-25T00:00:00"/>
    <d v="2562-06-20T00:00:00"/>
    <s v="Pass"/>
    <d v="2562-06-22T00:00:00"/>
    <m/>
    <m/>
    <m/>
    <m/>
    <s v="Pass"/>
    <d v="2562-06-22T00:00:00"/>
    <s v="Pass"/>
    <d v="2562-06-24T00:00:00"/>
    <m/>
    <m/>
    <x v="54"/>
    <n v="-1"/>
  </r>
  <r>
    <s v="มิถุนายน"/>
    <d v="2562-06-18T00:00:00"/>
    <x v="1"/>
    <n v="620364"/>
    <x v="3"/>
    <n v="62061829"/>
    <s v="69/180662"/>
    <x v="71"/>
    <s v="67-70"/>
    <x v="422"/>
    <s v="น้ำหนักสูงกว่ามาตรฐาน"/>
    <n v="1.0400000000000063"/>
    <s v="2592/183.2"/>
    <s v="เมตร/ก.ก."/>
    <d v="2562-06-18T00:00:00"/>
    <d v="2562-06-25T00:00:00"/>
    <d v="2562-06-20T00:00:00"/>
    <s v="Pass"/>
    <d v="2562-06-22T00:00:00"/>
    <m/>
    <m/>
    <m/>
    <m/>
    <s v="Pass"/>
    <d v="2562-06-22T00:00:00"/>
    <s v="Pass"/>
    <d v="2562-06-24T00:00:00"/>
    <m/>
    <m/>
    <x v="4"/>
    <n v="-1"/>
  </r>
  <r>
    <s v="มิถุนายน"/>
    <d v="2562-06-18T00:00:00"/>
    <x v="1"/>
    <n v="620365"/>
    <x v="14"/>
    <n v="62061878"/>
    <s v="95/180662"/>
    <x v="88"/>
    <s v="125-128"/>
    <x v="423"/>
    <s v="น้ำหนักสูงกว่ามาตรฐาน"/>
    <n v="0.87999999999999545"/>
    <s v="1500/195.7"/>
    <s v="เมตร/ก.ก."/>
    <d v="2562-06-18T00:00:00"/>
    <d v="2562-06-25T00:00:00"/>
    <d v="2562-06-20T00:00:00"/>
    <s v="Pass"/>
    <d v="2562-06-22T00:00:00"/>
    <m/>
    <m/>
    <m/>
    <m/>
    <s v="Pass"/>
    <d v="2562-06-22T00:00:00"/>
    <s v="Pass"/>
    <d v="2562-06-24T00:00:00"/>
    <m/>
    <m/>
    <x v="16"/>
    <n v="-1"/>
  </r>
  <r>
    <s v="มิถุนายน"/>
    <d v="2562-06-18T00:00:00"/>
    <x v="0"/>
    <n v="620366"/>
    <x v="69"/>
    <s v="TL620628"/>
    <n v="620628"/>
    <x v="1"/>
    <s v="Std. ไม่เกิน 30 D"/>
    <x v="52"/>
    <s v="Std.เกินกว่ามาตรฐาน"/>
    <n v="12"/>
    <s v="1/576.4"/>
    <s v="กรง/ก.ก."/>
    <d v="2562-06-18T00:00:00"/>
    <d v="2562-06-25T00:00:00"/>
    <d v="2562-06-20T00:00:00"/>
    <s v="Pass"/>
    <d v="2562-06-27T00:00:00"/>
    <s v="Pass"/>
    <d v="2562-06-27T00:00:00"/>
    <s v="Pass"/>
    <d v="2562-06-27T00:00:00"/>
    <s v="Pass"/>
    <d v="2562-06-27T00:00:00"/>
    <s v="Pass"/>
    <d v="2562-06-19T00:00:00"/>
    <m/>
    <m/>
    <x v="149"/>
    <n v="-7"/>
  </r>
  <r>
    <s v="มิถุนายน"/>
    <d v="2562-06-19T00:00:00"/>
    <x v="1"/>
    <n v="620367"/>
    <x v="27"/>
    <n v="62061931"/>
    <s v="55/190662"/>
    <x v="4"/>
    <s v="115-120"/>
    <x v="424"/>
    <s v="น้ำหนักต่ำกว่ามาตรฐาน"/>
    <n v="0.53000000000000114"/>
    <s v="1506/174.8"/>
    <s v="เมตร/ก.ก."/>
    <d v="2562-06-19T00:00:00"/>
    <d v="2562-06-26T00:00:00"/>
    <d v="2562-06-21T00:00:00"/>
    <s v="Pass"/>
    <d v="2562-06-21T00:00:00"/>
    <m/>
    <m/>
    <m/>
    <m/>
    <s v="Pass"/>
    <d v="2562-06-22T00:00:00"/>
    <s v="Pass"/>
    <d v="2562-06-24T00:00:00"/>
    <m/>
    <m/>
    <x v="37"/>
    <n v="-2"/>
  </r>
  <r>
    <s v="มิถุนายน"/>
    <d v="2562-06-19T00:00:00"/>
    <x v="1"/>
    <n v="620367"/>
    <x v="27"/>
    <n v="62061951"/>
    <s v="58/190662"/>
    <x v="77"/>
    <s v="115-120"/>
    <x v="425"/>
    <s v="น้ำหนักต่ำกว่ามาตรฐาน"/>
    <n v="0.68000000000000682"/>
    <s v="1512/177"/>
    <s v="เมตร/ก.ก."/>
    <d v="2562-06-19T00:00:00"/>
    <d v="2562-06-26T00:00:00"/>
    <d v="2562-06-21T00:00:00"/>
    <s v="Pass"/>
    <d v="2562-06-21T00:00:00"/>
    <m/>
    <m/>
    <m/>
    <m/>
    <s v="Pass"/>
    <d v="2562-06-22T00:00:00"/>
    <s v="Pass"/>
    <d v="2562-06-24T00:00:00"/>
    <m/>
    <m/>
    <x v="37"/>
    <m/>
  </r>
  <r>
    <s v="มิถุนายน"/>
    <d v="2562-06-19T00:00:00"/>
    <x v="1"/>
    <n v="620368"/>
    <x v="3"/>
    <n v="62061910"/>
    <s v="38/190662"/>
    <x v="89"/>
    <s v="67-70"/>
    <x v="426"/>
    <s v="น้ำหนักต่ำกว่ามาตรฐาน"/>
    <n v="0.59999999999999432"/>
    <s v="1943/129.4"/>
    <s v="เมตร/ก.ก."/>
    <d v="2562-06-19T00:00:00"/>
    <d v="2562-06-26T00:00:00"/>
    <d v="2562-06-21T00:00:00"/>
    <s v="Pass"/>
    <d v="2562-06-21T00:00:00"/>
    <m/>
    <m/>
    <m/>
    <m/>
    <s v="Pass"/>
    <d v="2562-06-22T00:00:00"/>
    <s v="Pass"/>
    <d v="2562-06-24T00:00:00"/>
    <m/>
    <m/>
    <x v="4"/>
    <e v="#REF!"/>
  </r>
  <r>
    <s v="มิถุนายน"/>
    <d v="2562-06-19T00:00:00"/>
    <x v="1"/>
    <n v="620369"/>
    <x v="14"/>
    <n v="62061943"/>
    <s v="39/190662"/>
    <x v="27"/>
    <s v="125-128"/>
    <x v="427"/>
    <s v="น้ำหนักต่ำกว่ามาตรฐาน"/>
    <n v="3.4599999999999937"/>
    <s v="1423/181.9"/>
    <s v="เมตร/ก.ก."/>
    <d v="2562-06-19T00:00:00"/>
    <d v="2562-06-26T00:00:00"/>
    <d v="2562-06-21T00:00:00"/>
    <s v="Pass"/>
    <d v="2562-06-22T00:00:00"/>
    <m/>
    <m/>
    <m/>
    <m/>
    <s v="Pass"/>
    <d v="2562-06-22T00:00:00"/>
    <s v="Pass"/>
    <d v="2562-06-24T00:00:00"/>
    <m/>
    <m/>
    <x v="147"/>
    <m/>
  </r>
  <r>
    <s v="มิถุนายน"/>
    <d v="2562-06-19T00:00:00"/>
    <x v="1"/>
    <n v="620369"/>
    <x v="14"/>
    <n v="62061947"/>
    <s v="71/190662"/>
    <x v="17"/>
    <s v="125-128"/>
    <x v="428"/>
    <s v="น้ำหนักต่ำกว่ามาตรฐาน"/>
    <n v="0.84999999999999432"/>
    <s v="1488/188.1"/>
    <s v="เมตร/ก.ก."/>
    <d v="2562-06-19T00:00:00"/>
    <d v="2562-06-26T00:00:00"/>
    <d v="2562-06-21T00:00:00"/>
    <s v="Pass"/>
    <d v="2562-06-21T00:00:00"/>
    <m/>
    <m/>
    <m/>
    <m/>
    <s v="Pass"/>
    <d v="2562-06-22T00:00:00"/>
    <s v="Pass"/>
    <d v="2562-06-24T00:00:00"/>
    <m/>
    <m/>
    <x v="16"/>
    <m/>
  </r>
  <r>
    <s v="มิถุนายน"/>
    <d v="2562-06-19T00:00:00"/>
    <x v="1"/>
    <n v="620369"/>
    <x v="14"/>
    <n v="62061944"/>
    <s v="90/190662"/>
    <x v="62"/>
    <s v="125-128"/>
    <x v="429"/>
    <s v="น้ำหนักต่ำกว่ามาตรฐาน"/>
    <n v="0.56999999999999318"/>
    <s v="1500/190.1"/>
    <s v="เมตร/ก.ก."/>
    <d v="2562-06-19T00:00:00"/>
    <d v="2562-06-26T00:00:00"/>
    <d v="2562-06-21T00:00:00"/>
    <s v="Pass"/>
    <d v="2562-06-21T00:00:00"/>
    <m/>
    <m/>
    <m/>
    <m/>
    <s v="Pass"/>
    <d v="2562-06-22T00:00:00"/>
    <s v="Pass"/>
    <d v="2562-06-24T00:00:00"/>
    <m/>
    <m/>
    <x v="16"/>
    <m/>
  </r>
  <r>
    <s v="มิถุนายน"/>
    <d v="2562-06-19T00:00:00"/>
    <x v="1"/>
    <n v="620370"/>
    <x v="14"/>
    <n v="62061957"/>
    <s v="92/190662"/>
    <x v="39"/>
    <s v="125-128"/>
    <x v="430"/>
    <s v="น้ำหนักสูงกว่ามาตรฐาน"/>
    <n v="1.789999999999992"/>
    <s v="1500/198.3"/>
    <s v="เมตร/ก.ก."/>
    <d v="2562-06-19T00:00:00"/>
    <d v="2562-06-26T00:00:00"/>
    <d v="2562-06-21T00:00:00"/>
    <s v="Pass"/>
    <d v="2562-06-21T00:00:00"/>
    <m/>
    <m/>
    <m/>
    <m/>
    <s v="Pass"/>
    <d v="2562-06-22T00:00:00"/>
    <s v="Pass"/>
    <d v="2562-06-24T00:00:00"/>
    <m/>
    <m/>
    <x v="16"/>
    <n v="-2"/>
  </r>
  <r>
    <s v="มิถุนายน"/>
    <d v="2562-06-19T00:00:00"/>
    <x v="0"/>
    <n v="620371"/>
    <x v="5"/>
    <s v="TL620632"/>
    <n v="620632"/>
    <x v="1"/>
    <s v="Avg of D +10,-20 D"/>
    <x v="431"/>
    <s v="Avg ต่ำกว่ามาตรฐาน"/>
    <n v="9"/>
    <s v="1/211.2"/>
    <s v="กรง/ก.ก."/>
    <d v="2562-06-19T00:00:00"/>
    <d v="2562-06-26T00:00:00"/>
    <d v="2562-06-21T00:00:00"/>
    <s v="Pass"/>
    <d v="2562-06-27T00:00:00"/>
    <s v="Pass"/>
    <d v="2562-06-27T00:00:00"/>
    <s v="Pass"/>
    <d v="2562-06-27T00:00:00"/>
    <s v="Pass"/>
    <d v="2562-06-27T00:00:00"/>
    <s v="Pass"/>
    <d v="2562-06-19T00:00:00"/>
    <m/>
    <m/>
    <x v="149"/>
    <s v="ผลิตขอใช้ 19/6/62"/>
  </r>
  <r>
    <s v="มิถุนายน"/>
    <d v="2562-06-20T00:00:00"/>
    <x v="0"/>
    <n v="620372"/>
    <x v="13"/>
    <s v="TL620630"/>
    <n v="620630"/>
    <x v="1"/>
    <s v="Avg of D +10,-20 D"/>
    <x v="432"/>
    <s v="Avg ต่ำกว่ามาตรฐาน"/>
    <n v="31"/>
    <s v="3/1296.30"/>
    <s v="กรง/ก.ก."/>
    <d v="2562-06-20T00:00:00"/>
    <d v="2562-06-27T00:00:00"/>
    <d v="2562-06-22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15"/>
    <m/>
  </r>
  <r>
    <s v="มิถุนายน"/>
    <d v="2562-06-20T00:00:00"/>
    <x v="0"/>
    <n v="620372"/>
    <x v="13"/>
    <s v="TL620630"/>
    <n v="620630"/>
    <x v="1"/>
    <s v="Avg of D +10,-20 D"/>
    <x v="433"/>
    <s v="Avg สูงกว่ามาตรฐาน"/>
    <s v="8 ,11"/>
    <m/>
    <m/>
    <d v="2562-06-20T00:00:00"/>
    <d v="2562-06-27T00:00:00"/>
    <d v="2562-06-22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15"/>
    <m/>
  </r>
  <r>
    <s v="มิถุนายน"/>
    <d v="2562-06-20T00:00:00"/>
    <x v="0"/>
    <n v="620372"/>
    <x v="13"/>
    <s v="TL620630"/>
    <n v="620630"/>
    <x v="1"/>
    <s v="Std. ไม่เกิน 30 D"/>
    <x v="120"/>
    <s v="Std.เกินกว่ามาตรฐาน"/>
    <n v="8"/>
    <m/>
    <m/>
    <d v="2562-06-20T00:00:00"/>
    <d v="2562-06-27T00:00:00"/>
    <d v="2562-06-22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15"/>
    <m/>
  </r>
  <r>
    <s v="มิถุนายน"/>
    <d v="2562-06-20T00:00:00"/>
    <x v="1"/>
    <n v="620373"/>
    <x v="75"/>
    <n v="62062047"/>
    <s v="03/200662"/>
    <x v="42"/>
    <s v="ไม่มีด้ายคู่"/>
    <x v="434"/>
    <s v="พบด้ายคู่ 2 คู่ ประมาณ 300 เมตร"/>
    <s v="ไม่ผ่าน"/>
    <s v="1015/126.8"/>
    <s v="เมตร/ก.ก."/>
    <d v="2562-06-20T00:00:00"/>
    <d v="2562-06-27T00:00:00"/>
    <d v="2562-06-22T00:00:00"/>
    <s v="Pass"/>
    <d v="2562-06-21T00:00:00"/>
    <m/>
    <m/>
    <m/>
    <m/>
    <s v="Pass"/>
    <d v="2562-06-22T00:00:00"/>
    <s v="Pass"/>
    <d v="2562-06-24T00:00:00"/>
    <m/>
    <m/>
    <x v="129"/>
    <n v="-3"/>
  </r>
  <r>
    <s v="มิถุนายน"/>
    <d v="2562-06-20T00:00:00"/>
    <x v="2"/>
    <n v="620374"/>
    <x v="76"/>
    <s v="FWBWT193075PL"/>
    <s v="PD462061918"/>
    <x v="23"/>
    <s v="งานพิมพ์สมบูรณ์"/>
    <x v="25"/>
    <s v="งานพิมพ์ไม่สมบรูณ์ ผ้ายับทำให้สีลงไม่เต็ม"/>
    <s v="ไม่ผ่าน"/>
    <n v="148"/>
    <s v="ใบ"/>
    <d v="2562-06-20T00:00:00"/>
    <d v="2562-06-27T00:00:00"/>
    <d v="2562-06-22T00:00:00"/>
    <s v="Pass"/>
    <d v="2562-07-07T00:00:00"/>
    <m/>
    <m/>
    <m/>
    <m/>
    <s v="Pass"/>
    <d v="2562-07-10T00:00:00"/>
    <s v="Pass"/>
    <d v="2562-07-22T00:00:00"/>
    <m/>
    <m/>
    <x v="150"/>
    <n v="25"/>
  </r>
  <r>
    <s v="มิถุนายน"/>
    <d v="2562-06-20T00:00:00"/>
    <x v="2"/>
    <n v="620375"/>
    <x v="77"/>
    <s v="FWBWT193075PL"/>
    <s v="PD462061919"/>
    <x v="23"/>
    <s v="งานพิมพ์สมบูรณ์"/>
    <x v="25"/>
    <s v="งานพิมพ์ไม่สมบรูณ์ ผ้ายับทำให้สีลงไม่เต็ม"/>
    <s v="ไม่ผ่าน"/>
    <n v="397"/>
    <s v="ใบ"/>
    <d v="2562-06-20T00:00:00"/>
    <d v="2562-06-27T00:00:00"/>
    <d v="2562-06-22T00:00:00"/>
    <s v="Pass"/>
    <d v="2562-07-07T00:00:00"/>
    <m/>
    <m/>
    <m/>
    <m/>
    <s v="Pass"/>
    <d v="2562-07-10T00:00:00"/>
    <s v="Pass"/>
    <d v="2562-07-22T00:00:00"/>
    <m/>
    <m/>
    <x v="150"/>
    <n v="24"/>
  </r>
  <r>
    <s v="มิถุนายน"/>
    <d v="2562-06-21T00:00:00"/>
    <x v="1"/>
    <n v="620376"/>
    <x v="66"/>
    <n v="62062119"/>
    <s v="04/210662"/>
    <x v="90"/>
    <s v="85-90"/>
    <x v="435"/>
    <s v="น้ำหนักสูงกว่ามาตรฐาน"/>
    <n v="3.9899999999999949"/>
    <s v="1003/84.1"/>
    <s v="เมตร/ก.ก."/>
    <d v="2562-06-21T00:00:00"/>
    <d v="2562-06-28T00:00:00"/>
    <d v="2562-06-23T00:00:00"/>
    <s v="Pass"/>
    <d v="2562-06-24T00:00:00"/>
    <m/>
    <m/>
    <m/>
    <m/>
    <s v="Pass"/>
    <d v="2562-06-24T00:00:00"/>
    <s v="Pass"/>
    <d v="2562-06-24T00:00:00"/>
    <m/>
    <m/>
    <x v="114"/>
    <n v="-5"/>
  </r>
  <r>
    <s v="มิถุนายน"/>
    <d v="2562-06-21T00:00:00"/>
    <x v="0"/>
    <n v="620377"/>
    <x v="69"/>
    <s v="TL620633"/>
    <n v="620633"/>
    <x v="1"/>
    <s v="Std. ไม่เกิน 30 D"/>
    <x v="52"/>
    <s v="Std.เกินกว่ามาตรฐาน"/>
    <n v="12"/>
    <s v="1/247.1"/>
    <s v="กรง/ก.ก."/>
    <d v="2562-06-21T00:00:00"/>
    <d v="2562-06-28T00:00:00"/>
    <d v="2562-06-23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122"/>
    <n v="-2"/>
  </r>
  <r>
    <s v="มิถุนายน"/>
    <d v="2562-06-21T00:00:00"/>
    <x v="0"/>
    <n v="620378"/>
    <x v="69"/>
    <s v="TL620634"/>
    <n v="620634"/>
    <x v="1"/>
    <s v="Std. ไม่เกิน 30 D"/>
    <x v="436"/>
    <s v="Std.เกินกว่ามาตรฐาน"/>
    <s v="4 ,17"/>
    <s v="3/1680.60"/>
    <s v="กรง/ก.ก."/>
    <d v="2562-06-21T00:00:00"/>
    <d v="2562-06-28T00:00:00"/>
    <d v="2562-06-23T00:00:00"/>
    <s v="Pass"/>
    <d v="2562-06-27T00:00:00"/>
    <s v="Pass"/>
    <d v="2562-06-27T00:00:00"/>
    <s v="Pass"/>
    <d v="2562-06-27T00:00:00"/>
    <s v="Pass"/>
    <d v="2562-06-27T00:00:00"/>
    <s v="Pass"/>
    <d v="2562-06-21T00:00:00"/>
    <m/>
    <m/>
    <x v="151"/>
    <n v="-8"/>
  </r>
  <r>
    <s v="มิถุนายน"/>
    <d v="2562-06-21T00:00:00"/>
    <x v="0"/>
    <n v="620378"/>
    <x v="69"/>
    <s v="TL620634"/>
    <n v="620634"/>
    <x v="1"/>
    <s v="Avg of D +10,-20 D"/>
    <x v="437"/>
    <s v="Avg ต่ำกว่ามาตรฐาน"/>
    <n v="2"/>
    <m/>
    <m/>
    <d v="2562-06-21T00:00:00"/>
    <d v="2562-06-28T00:00:00"/>
    <d v="2562-06-23T00:00:00"/>
    <s v="Pass"/>
    <d v="2562-06-27T00:00:00"/>
    <s v="Pass"/>
    <d v="2562-06-27T00:00:00"/>
    <s v="Pass"/>
    <d v="2562-06-27T00:00:00"/>
    <s v="Pass"/>
    <d v="2562-06-27T00:00:00"/>
    <s v="Pass"/>
    <d v="2562-06-21T00:00:00"/>
    <m/>
    <m/>
    <x v="151"/>
    <n v="-8"/>
  </r>
  <r>
    <s v="มิถุนายน"/>
    <d v="2562-06-22T00:00:00"/>
    <x v="1"/>
    <n v="620379"/>
    <x v="14"/>
    <n v="62062206"/>
    <s v="28/220662"/>
    <x v="15"/>
    <s v="125-128"/>
    <x v="438"/>
    <s v="น้ำหนักต่ำกว่ามาตรฐาน"/>
    <n v="0.79999999999999716"/>
    <s v="1500/193.3"/>
    <s v="เมตร/ก.ก."/>
    <d v="2562-06-22T00:00:00"/>
    <d v="2562-06-29T00:00:00"/>
    <d v="2562-06-24T00:00:00"/>
    <s v="Pass"/>
    <d v="2562-06-27T00:00:00"/>
    <m/>
    <m/>
    <m/>
    <m/>
    <s v="Pass"/>
    <d v="2562-07-02T00:00:00"/>
    <s v="Pass"/>
    <d v="2562-07-02T00:00:00"/>
    <m/>
    <m/>
    <x v="16"/>
    <n v="3"/>
  </r>
  <r>
    <s v="มิถุนายน"/>
    <d v="2562-06-22T00:00:00"/>
    <x v="1"/>
    <n v="620380"/>
    <x v="30"/>
    <n v="62062218"/>
    <s v="07/22.0662"/>
    <x v="91"/>
    <s v="75-80"/>
    <x v="439"/>
    <s v="น้ำหนักสูงกว่ามาตรฐาน"/>
    <n v="2.5400000000000063"/>
    <s v="2000/162.3"/>
    <s v="เมตร/ก.ก."/>
    <d v="2562-06-22T00:00:00"/>
    <d v="2562-06-29T00:00:00"/>
    <d v="2562-06-24T00:00:00"/>
    <s v="Pass"/>
    <d v="2562-06-27T00:00:00"/>
    <m/>
    <m/>
    <m/>
    <m/>
    <s v="Pass"/>
    <d v="2562-06-27T00:00:00"/>
    <s v="Pass"/>
    <d v="2562-06-27T00:00:00"/>
    <m/>
    <m/>
    <x v="119"/>
    <n v="-2"/>
  </r>
  <r>
    <s v="มิถุนายน"/>
    <d v="2562-06-22T00:00:00"/>
    <x v="1"/>
    <n v="620381"/>
    <x v="66"/>
    <n v="62062243"/>
    <s v="04/220662"/>
    <x v="90"/>
    <s v="85-90"/>
    <x v="440"/>
    <s v="น้ำหนักสูงกว่ามาตรฐาน"/>
    <n v="1.4599999999999937"/>
    <s v="2000/166.8"/>
    <s v="เมตร/ก.ก."/>
    <d v="2562-06-22T00:00:00"/>
    <d v="2562-06-29T00:00:00"/>
    <d v="2562-06-24T00:00:00"/>
    <s v="Pass"/>
    <d v="2562-06-24T00:00:00"/>
    <m/>
    <m/>
    <m/>
    <m/>
    <s v="Pass"/>
    <d v="2562-06-24T00:00:00"/>
    <s v="Pass"/>
    <d v="2562-06-24T00:00:00"/>
    <m/>
    <m/>
    <x v="114"/>
    <n v="-5"/>
  </r>
  <r>
    <s v="มิถุนายน"/>
    <d v="2562-06-22T00:00:00"/>
    <x v="0"/>
    <n v="620382"/>
    <x v="2"/>
    <s v="TL620635"/>
    <n v="620635"/>
    <x v="1"/>
    <s v="Std. ไม่เกิน 30 D"/>
    <x v="441"/>
    <s v="Std.เกินกว่ามาตรฐาน"/>
    <s v="2 ,4"/>
    <s v="3/1350.20"/>
    <s v="กรง/ก.ก."/>
    <d v="2562-06-22T00:00:00"/>
    <d v="2562-06-29T00:00:00"/>
    <d v="2562-06-24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12"/>
    <n v="-5"/>
  </r>
  <r>
    <s v="มิถุนายน"/>
    <d v="2562-06-22T00:00:00"/>
    <x v="0"/>
    <n v="620382"/>
    <x v="2"/>
    <s v="TL620635"/>
    <n v="620635"/>
    <x v="1"/>
    <s v="Avg of D +10,-20 D"/>
    <x v="442"/>
    <s v="Avg ต่ำกว่ามาตรฐาน"/>
    <n v="2"/>
    <m/>
    <m/>
    <d v="2562-06-22T00:00:00"/>
    <d v="2562-06-29T00:00:00"/>
    <d v="2562-06-24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12"/>
    <n v="-5"/>
  </r>
  <r>
    <s v="มิถุนายน"/>
    <d v="2562-06-24T00:00:00"/>
    <x v="2"/>
    <n v="620383"/>
    <x v="78"/>
    <s v="FWBWT2025800SMLMP"/>
    <s v="PD462062210"/>
    <x v="50"/>
    <s v="งานพิมพ์สมบูรณ์"/>
    <x v="25"/>
    <s v="งานพิมพ์ไม่สมบรูณ์ สีลงไม่เต็ม"/>
    <s v="ไม่ผ่าน"/>
    <n v="766"/>
    <s v="ใบ"/>
    <d v="2562-06-24T00:00:00"/>
    <d v="2562-07-01T00:00:00"/>
    <d v="2562-06-26T00:00:00"/>
    <s v="Pass"/>
    <d v="2562-07-01T00:00:00"/>
    <m/>
    <m/>
    <m/>
    <m/>
    <s v="Pass"/>
    <d v="2562-07-02T00:00:00"/>
    <s v="Pass"/>
    <d v="2562-07-02T00:00:00"/>
    <m/>
    <m/>
    <x v="152"/>
    <n v="0"/>
  </r>
  <r>
    <s v="มิถุนายน"/>
    <d v="2562-06-24T00:00:00"/>
    <x v="2"/>
    <n v="620384"/>
    <x v="79"/>
    <s v="FWBWT2025800SMLMP"/>
    <s v="PD462062211"/>
    <x v="50"/>
    <s v="งานพิมพ์สมบูรณ์"/>
    <x v="25"/>
    <s v="งานพิมพ์ไม่สมบรูณ์ สีลงไม่เต็ม"/>
    <s v="ไม่ผ่าน"/>
    <n v="1150"/>
    <s v="ใบ"/>
    <d v="2562-06-24T00:00:00"/>
    <d v="2562-07-01T00:00:00"/>
    <d v="2562-06-26T00:00:00"/>
    <s v="Pass"/>
    <d v="2562-07-01T00:00:00"/>
    <m/>
    <m/>
    <m/>
    <m/>
    <s v="Pass"/>
    <d v="2562-07-02T00:00:00"/>
    <s v="Pass"/>
    <d v="2562-07-02T00:00:00"/>
    <m/>
    <m/>
    <x v="153"/>
    <n v="-2"/>
  </r>
  <r>
    <s v="มิถุนายน"/>
    <d v="2562-06-25T00:00:00"/>
    <x v="0"/>
    <n v="620385"/>
    <x v="13"/>
    <s v="TL620637"/>
    <n v="620637"/>
    <x v="1"/>
    <s v="Avg of D +10,-20 D"/>
    <x v="443"/>
    <s v="Avg ต่ำกว่ามาตรฐาน"/>
    <n v="9"/>
    <s v="1/203.5"/>
    <s v="กรง/ก.ก."/>
    <d v="2562-06-25T00:00:00"/>
    <d v="2562-07-02T00:00:00"/>
    <d v="2562-06-27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15"/>
    <n v="-5"/>
  </r>
  <r>
    <s v="มิถุนายน"/>
    <d v="2562-06-25T00:00:00"/>
    <x v="0"/>
    <n v="620386"/>
    <x v="11"/>
    <s v="TL620638"/>
    <n v="620638"/>
    <x v="1"/>
    <s v="Avg of D +10,-20 D"/>
    <x v="444"/>
    <s v="Avg สูงกว่ามาตรฐาน"/>
    <n v="44"/>
    <s v="1/232.4"/>
    <s v="กรง/ก.ก."/>
    <d v="2562-06-25T00:00:00"/>
    <d v="2562-07-02T00:00:00"/>
    <d v="2562-06-27T00:00:00"/>
    <s v="Pass"/>
    <d v="2562-06-27T00:00:00"/>
    <s v="Pass"/>
    <d v="2562-06-27T00:00:00"/>
    <s v="Pass"/>
    <d v="2562-06-27T00:00:00"/>
    <s v="Pass"/>
    <d v="2562-06-27T00:00:00"/>
    <s v="Pass"/>
    <d v="2562-06-27T00:00:00"/>
    <m/>
    <m/>
    <x v="13"/>
    <n v="-7"/>
  </r>
  <r>
    <s v="มิถุนายน"/>
    <d v="2562-06-27T00:00:00"/>
    <x v="10"/>
    <n v="620387"/>
    <x v="73"/>
    <s v="FWBWT2337130P"/>
    <s v="PD462062716"/>
    <x v="75"/>
    <s v="ผ้าเรียบสม่ำเสมอ"/>
    <x v="445"/>
    <s v="ผ้าเป็นรอยเกี่ยว ทำให้ผ้าเป็นรู"/>
    <s v="ไม่ผ่าน"/>
    <n v="161"/>
    <s v="ใบ"/>
    <d v="2562-06-27T00:00:00"/>
    <d v="2562-07-04T00:00:00"/>
    <d v="2562-06-29T00:00:00"/>
    <s v="Pass"/>
    <d v="2562-07-10T00:00:00"/>
    <m/>
    <m/>
    <m/>
    <m/>
    <s v="Pass"/>
    <d v="2562-07-10T00:00:00"/>
    <s v="Pass"/>
    <d v="2562-07-10T00:00:00"/>
    <m/>
    <m/>
    <x v="135"/>
    <n v="6"/>
  </r>
  <r>
    <s v="มิถุนายน"/>
    <d v="2562-06-27T00:00:00"/>
    <x v="2"/>
    <n v="620388"/>
    <x v="68"/>
    <s v="FWBWT2039102PLM"/>
    <s v="PD62062423"/>
    <x v="12"/>
    <s v="งานพิมพ์สมบูรณ์"/>
    <x v="25"/>
    <s v="งานพิมพ์ไม่สมบรูณ์ สีลงไม่เต็ม"/>
    <s v="ไม่ผ่าน"/>
    <n v="150"/>
    <s v="ใบ"/>
    <d v="2562-06-27T00:00:00"/>
    <d v="2562-07-04T00:00:00"/>
    <d v="2562-06-29T00:00:00"/>
    <s v="Pass"/>
    <d v="2562-02-04T00:00:00"/>
    <m/>
    <m/>
    <m/>
    <m/>
    <s v="Pass"/>
    <d v="2562-07-10T00:00:00"/>
    <s v="Pass"/>
    <d v="2562-07-10T00:00:00"/>
    <m/>
    <m/>
    <x v="154"/>
    <n v="6"/>
  </r>
  <r>
    <s v="มิถุนายน"/>
    <d v="2562-06-27T00:00:00"/>
    <x v="1"/>
    <n v="620389"/>
    <x v="14"/>
    <n v="62062717"/>
    <s v="79/270662"/>
    <x v="83"/>
    <s v="125-128"/>
    <x v="446"/>
    <s v="น้ำหนักต่ำกว่ามาตรฐาน"/>
    <n v="2.75"/>
    <s v="1470/188.7"/>
    <s v="เมตร/ก.ก."/>
    <d v="2562-06-27T00:00:00"/>
    <d v="2562-07-04T00:00:00"/>
    <d v="2562-06-29T00:00:00"/>
    <s v="Pass"/>
    <d v="2562-07-01T00:00:00"/>
    <m/>
    <m/>
    <m/>
    <m/>
    <s v="Pass"/>
    <d v="2562-07-02T00:00:00"/>
    <s v="Pass"/>
    <d v="2562-07-02T00:00:00"/>
    <m/>
    <m/>
    <x v="16"/>
    <n v="-2"/>
  </r>
  <r>
    <s v="มิถุนายน"/>
    <d v="2562-06-27T00:00:00"/>
    <x v="1"/>
    <n v="620389"/>
    <x v="14"/>
    <n v="62062752"/>
    <s v="58/270662"/>
    <x v="77"/>
    <s v="125-128"/>
    <x v="447"/>
    <s v="น้ำหนักต่ำกว่ามาตรฐาน"/>
    <n v="0.57999999999999829"/>
    <s v="1390/178.3"/>
    <s v="เมตร/ก.ก."/>
    <d v="2562-06-27T00:00:00"/>
    <d v="2562-07-04T00:00:00"/>
    <d v="2562-06-29T00:00:00"/>
    <s v="Pass"/>
    <d v="2562-06-28T00:00:00"/>
    <m/>
    <m/>
    <m/>
    <m/>
    <s v="Pass"/>
    <d v="2562-06-28T00:00:00"/>
    <s v="Pass"/>
    <d v="2562-06-28T00:00:00"/>
    <m/>
    <m/>
    <x v="16"/>
    <n v="-6"/>
  </r>
  <r>
    <s v="มิถุนายน"/>
    <d v="2562-06-27T00:00:00"/>
    <x v="0"/>
    <n v="620390"/>
    <x v="2"/>
    <s v="TL620640"/>
    <n v="600640"/>
    <x v="1"/>
    <s v="Avg of D +10,-20 D"/>
    <x v="448"/>
    <s v="Avg สูงกว่ามาตรฐาน"/>
    <s v="13 ,15"/>
    <s v="2/777.50"/>
    <s v="กรง/ก.ก."/>
    <d v="2562-06-27T00:00:00"/>
    <d v="2562-07-04T00:00:00"/>
    <d v="2562-06-29T00:00:00"/>
    <s v="Pass"/>
    <d v="2562-06-28T00:00:00"/>
    <m/>
    <m/>
    <m/>
    <m/>
    <s v="Pass"/>
    <d v="2562-07-02T00:00:00"/>
    <s v="Pass"/>
    <d v="2562-07-02T00:00:00"/>
    <m/>
    <m/>
    <x v="12"/>
    <n v="-2"/>
  </r>
  <r>
    <s v="มิถุนายน"/>
    <d v="2562-06-27T00:00:00"/>
    <x v="0"/>
    <n v="620390"/>
    <x v="2"/>
    <s v="TL620640"/>
    <n v="600640"/>
    <x v="1"/>
    <s v="Std. ไม่เกิน 30 D"/>
    <x v="449"/>
    <s v="Std.เกินกว่ามาตรฐาน"/>
    <s v="4 ,8"/>
    <m/>
    <m/>
    <d v="2562-06-27T00:00:00"/>
    <d v="2562-07-04T00:00:00"/>
    <d v="2562-06-29T00:00:00"/>
    <s v="Pass"/>
    <d v="2562-06-28T00:00:00"/>
    <m/>
    <m/>
    <m/>
    <m/>
    <s v="Pass"/>
    <d v="2562-07-02T00:00:00"/>
    <s v="Pass"/>
    <d v="2562-07-02T00:00:00"/>
    <m/>
    <m/>
    <x v="12"/>
    <n v="-3"/>
  </r>
  <r>
    <s v="มิถุนายน"/>
    <d v="2562-06-27T00:00:00"/>
    <x v="1"/>
    <n v="620391"/>
    <x v="3"/>
    <n v="62062747"/>
    <s v="51/270662"/>
    <x v="92"/>
    <s v="67/70"/>
    <x v="450"/>
    <s v="น้ำหนักสูงกว่ามาตรฐาน"/>
    <n v="0.88"/>
    <s v="1398/98.1"/>
    <s v="เมตร/ก.ก."/>
    <d v="2562-06-27T00:00:00"/>
    <d v="2562-07-04T00:00:00"/>
    <d v="2562-06-29T00:00:00"/>
    <s v="Pass"/>
    <d v="2562-07-01T00:00:00"/>
    <m/>
    <m/>
    <m/>
    <m/>
    <s v="Pass"/>
    <d v="2562-07-02T00:00:00"/>
    <s v="Pass"/>
    <d v="2562-07-02T00:00:00"/>
    <m/>
    <m/>
    <x v="122"/>
    <n v="-3"/>
  </r>
  <r>
    <s v="มิถุนายน"/>
    <d v="2562-06-27T00:00:00"/>
    <x v="0"/>
    <n v="620392"/>
    <x v="69"/>
    <s v="TL620641"/>
    <n v="620641"/>
    <x v="1"/>
    <s v="Avg of D +10,-20 D"/>
    <x v="451"/>
    <s v="Avg ต่ำกว่ามาตรฐาน"/>
    <n v="2"/>
    <s v="2/796.70"/>
    <s v="กรง/ก.ก."/>
    <d v="2562-06-27T00:00:00"/>
    <d v="2562-07-04T00:00:00"/>
    <d v="2562-06-29T00:00:00"/>
    <s v="Pass"/>
    <d v="2562-06-28T00:00:00"/>
    <m/>
    <m/>
    <m/>
    <m/>
    <s v="Pass"/>
    <d v="2562-07-02T00:00:00"/>
    <s v="Pass"/>
    <d v="2562-07-02T00:00:00"/>
    <m/>
    <m/>
    <x v="122"/>
    <n v="-3"/>
  </r>
  <r>
    <s v="มิถุนายน"/>
    <d v="2562-06-27T00:00:00"/>
    <x v="0"/>
    <n v="620392"/>
    <x v="69"/>
    <s v="TL620641"/>
    <n v="620641"/>
    <x v="1"/>
    <s v="Avg of D +10,-20 D"/>
    <x v="452"/>
    <s v="Avg สูงกว่ามาตรฐาน"/>
    <n v="13"/>
    <m/>
    <m/>
    <d v="2562-06-27T00:00:00"/>
    <d v="2562-07-04T00:00:00"/>
    <d v="2562-06-29T00:00:00"/>
    <s v="Pass"/>
    <d v="2562-06-28T00:00:00"/>
    <m/>
    <m/>
    <m/>
    <m/>
    <s v="Pass"/>
    <d v="2562-07-02T00:00:00"/>
    <s v="Pass"/>
    <d v="2562-07-02T00:00:00"/>
    <m/>
    <m/>
    <x v="122"/>
    <n v="-3"/>
  </r>
  <r>
    <s v="มิถุนายน"/>
    <d v="2562-06-27T00:00:00"/>
    <x v="0"/>
    <n v="620392"/>
    <x v="69"/>
    <s v="TL620641"/>
    <n v="620641"/>
    <x v="1"/>
    <s v="Std. ไม่เกิน 30 D"/>
    <x v="135"/>
    <s v="Std.เกินกว่ามาตรฐาน"/>
    <n v="5"/>
    <m/>
    <m/>
    <d v="2562-06-27T00:00:00"/>
    <d v="2562-07-04T00:00:00"/>
    <d v="2562-06-29T00:00:00"/>
    <s v="Pass"/>
    <d v="2562-06-28T00:00:00"/>
    <m/>
    <m/>
    <m/>
    <m/>
    <s v="Pass"/>
    <d v="2562-07-02T00:00:00"/>
    <s v="Pass"/>
    <d v="2562-07-02T00:00:00"/>
    <m/>
    <m/>
    <x v="122"/>
    <n v="-3"/>
  </r>
  <r>
    <s v="มิถุนายน"/>
    <d v="2562-06-27T00:00:00"/>
    <x v="0"/>
    <n v="620392"/>
    <x v="69"/>
    <s v="TL620641"/>
    <n v="620641"/>
    <x v="1"/>
    <s v="คุมขนาด 2.08-2.1"/>
    <x v="453"/>
    <s v="ขนาดต่ำกว่าที่กำหนด"/>
    <s v="ไม่ผ่าน"/>
    <m/>
    <m/>
    <d v="2562-06-27T00:00:00"/>
    <d v="2562-07-04T00:00:00"/>
    <d v="2562-06-29T00:00:00"/>
    <s v="Pass"/>
    <d v="2562-06-28T00:00:00"/>
    <m/>
    <m/>
    <m/>
    <m/>
    <s v="Pass"/>
    <d v="2562-07-02T00:00:00"/>
    <s v="Pass"/>
    <d v="2562-07-02T00:00:00"/>
    <m/>
    <m/>
    <x v="122"/>
    <n v="-3"/>
  </r>
  <r>
    <s v="มิถุนายน"/>
    <d v="2562-06-28T00:00:00"/>
    <x v="1"/>
    <n v="620393"/>
    <x v="74"/>
    <n v="62062813"/>
    <s v="01/280662"/>
    <x v="31"/>
    <s v="105-110"/>
    <x v="454"/>
    <s v="น้ำหนักต่ำกว่ามาตรฐาน"/>
    <n v="1.3799999999999955"/>
    <s v="1400/130.8"/>
    <s v="เมตร/ก.ก."/>
    <d v="2562-06-28T00:00:00"/>
    <d v="2562-07-05T00:00:00"/>
    <d v="2562-06-30T00:00:00"/>
    <s v="Pass"/>
    <d v="2562-07-01T00:00:00"/>
    <m/>
    <m/>
    <m/>
    <m/>
    <s v="Pass"/>
    <d v="2562-07-02T00:00:00"/>
    <s v="Pass"/>
    <d v="2562-07-02T00:00:00"/>
    <m/>
    <m/>
    <x v="155"/>
    <n v="-3"/>
  </r>
  <r>
    <s v="มิถุนายน"/>
    <d v="2562-06-28T00:00:00"/>
    <x v="1"/>
    <n v="620394"/>
    <x v="3"/>
    <n v="62062821"/>
    <s v="38/280662"/>
    <x v="89"/>
    <s v="67-70"/>
    <x v="455"/>
    <s v="น้ำหนักต่ำกว่ามาตรฐาน"/>
    <n v="9.9999999999994316E-2"/>
    <s v="1519/102.9"/>
    <s v="เมตร/ก.ก."/>
    <d v="2562-06-28T00:00:00"/>
    <d v="2562-07-05T00:00:00"/>
    <d v="2562-06-30T00:00:00"/>
    <s v="Pass"/>
    <d v="2562-07-01T00:00:00"/>
    <m/>
    <m/>
    <m/>
    <m/>
    <s v="Pass"/>
    <d v="2562-07-02T00:00:00"/>
    <s v="Pass"/>
    <d v="2562-07-02T00:00:00"/>
    <m/>
    <m/>
    <x v="4"/>
    <n v="-3"/>
  </r>
  <r>
    <s v="มิถุนายน"/>
    <d v="2562-06-28T00:00:00"/>
    <x v="1"/>
    <n v="620395"/>
    <x v="14"/>
    <n v="62062809"/>
    <s v="95/280662"/>
    <x v="88"/>
    <s v="125-128"/>
    <x v="456"/>
    <s v="น้ำหนักต่ำกว่ามาตรฐาน"/>
    <n v="0.93000000000000682"/>
    <s v="1500/192.2"/>
    <s v="เมตร/ก.ก."/>
    <d v="2562-06-28T00:00:00"/>
    <d v="2562-07-05T00:00:00"/>
    <d v="2562-06-30T00:00:00"/>
    <s v="Pass"/>
    <d v="2562-07-01T00:00:00"/>
    <m/>
    <m/>
    <m/>
    <m/>
    <s v="Pass"/>
    <d v="2562-07-02T00:00:00"/>
    <s v="Pass"/>
    <d v="2562-07-02T00:00:00"/>
    <m/>
    <m/>
    <x v="59"/>
    <n v="-3"/>
  </r>
  <r>
    <s v="มิถุนายน"/>
    <d v="2562-06-28T00:00:00"/>
    <x v="1"/>
    <n v="620396"/>
    <x v="75"/>
    <n v="62062805"/>
    <s v="57/280662"/>
    <x v="26"/>
    <s v="ต้องไม่มีอะไหลทอติด"/>
    <x v="457"/>
    <s v="มีลวดตะกอติดไม่ผ่าน"/>
    <s v="ไม่ผ่าน"/>
    <s v="1076/133.3"/>
    <s v="เมตร/ก.ก."/>
    <d v="2562-06-28T00:00:00"/>
    <d v="2562-07-05T00:00:00"/>
    <d v="2562-06-30T00:00:00"/>
    <s v="Pass"/>
    <d v="2562-07-02T00:00:00"/>
    <m/>
    <m/>
    <m/>
    <m/>
    <s v="Pass"/>
    <d v="2562-07-02T00:00:00"/>
    <s v="Pass"/>
    <d v="2562-07-02T00:00:00"/>
    <m/>
    <m/>
    <x v="129"/>
    <n v="-3"/>
  </r>
  <r>
    <s v="มิถุนายน"/>
    <d v="2562-06-28T00:00:00"/>
    <x v="10"/>
    <n v="620397"/>
    <x v="80"/>
    <s v="FWBWT2034100PL"/>
    <m/>
    <x v="75"/>
    <s v="งานพิมพ์สมบูรณ์"/>
    <x v="25"/>
    <s v="งานพิมพ์ไม่สมบรูณ์ รอยขูด สีลอก"/>
    <s v="ไม่ผ่าน"/>
    <s v="เพอเฟคค์ 911 จำนวน 1,486 ใบ,เพอเฟคค์ 664 จำนวน 3,666ใบ"/>
    <s v="ใบ"/>
    <d v="2562-06-28T00:00:00"/>
    <d v="2562-07-05T00:00:00"/>
    <d v="2562-06-30T00:00:00"/>
    <s v="Pass"/>
    <d v="2562-07-01T00:00:00"/>
    <m/>
    <m/>
    <m/>
    <m/>
    <s v="Pass"/>
    <d v="2562-07-01T00:00:00"/>
    <s v="Pass"/>
    <d v="2562-07-01T00:00:00"/>
    <m/>
    <m/>
    <x v="156"/>
    <n v="-4"/>
  </r>
  <r>
    <s v="มิถุนายน"/>
    <d v="2562-06-28T00:00:00"/>
    <x v="10"/>
    <n v="620398"/>
    <x v="81"/>
    <s v="FWBWT2037100PL"/>
    <s v="PD462062413"/>
    <x v="93"/>
    <s v="งานพิมพ์สมบูรณ์"/>
    <x v="25"/>
    <s v="งานพิมพ์ไม่สมบรูณ์ รอยขูด สีลอก"/>
    <s v="ไม่ผ่าน"/>
    <n v="1231"/>
    <s v="ใบ"/>
    <d v="2562-06-28T00:00:00"/>
    <d v="2562-07-05T00:00:00"/>
    <d v="2562-06-30T00:00:00"/>
    <s v="Pass"/>
    <d v="2562-07-01T00:00:00"/>
    <m/>
    <m/>
    <m/>
    <m/>
    <s v="Pass"/>
    <d v="2562-07-02T00:00:00"/>
    <s v="Pass"/>
    <d v="2562-07-02T00:00:00"/>
    <m/>
    <m/>
    <x v="157"/>
    <n v="-3"/>
  </r>
  <r>
    <s v="มิถุนายน"/>
    <d v="2562-06-28T00:00:00"/>
    <x v="10"/>
    <n v="620399"/>
    <x v="82"/>
    <s v="FWBWT2037100PL"/>
    <s v="PD462062412"/>
    <x v="93"/>
    <s v="งานพิมพ์สมบูรณ์"/>
    <x v="25"/>
    <s v="งานพิมพ์ไม่สมบรูณ์ รอยขูด สีลอก"/>
    <s v="ไม่ผ่าน"/>
    <s v="3286+1260(1ม้วน ยังไม่ได้ตัด)"/>
    <s v="ใบ"/>
    <d v="2562-06-28T00:00:00"/>
    <d v="2562-07-05T00:00:00"/>
    <d v="2562-06-30T00:00:00"/>
    <s v="Pass"/>
    <d v="2562-07-01T00:00:00"/>
    <m/>
    <m/>
    <m/>
    <m/>
    <s v="Pass"/>
    <d v="2562-07-02T00:00:00"/>
    <s v="Pass"/>
    <d v="2562-07-02T00:00:00"/>
    <m/>
    <m/>
    <x v="157"/>
    <n v="-3"/>
  </r>
  <r>
    <s v="มิถุนายน"/>
    <d v="2562-06-28T00:00:00"/>
    <x v="1"/>
    <n v="620400"/>
    <x v="14"/>
    <n v="62062858"/>
    <s v="28/280662"/>
    <x v="15"/>
    <s v="125-128"/>
    <x v="458"/>
    <s v="น้ำหนักสูงกว่ามาตรฐาน"/>
    <n v="18.759999999999991"/>
    <s v="109/16.4"/>
    <s v="เมตร/ก.ก."/>
    <d v="2562-06-28T00:00:00"/>
    <d v="2562-07-05T00:00:00"/>
    <d v="2562-06-30T00:00:00"/>
    <s v="Pass"/>
    <d v="2562-07-01T00:00:00"/>
    <m/>
    <m/>
    <m/>
    <m/>
    <s v="Pass"/>
    <d v="2562-07-01T00:00:00"/>
    <s v="Pass"/>
    <d v="2562-07-02T00:00:00"/>
    <m/>
    <m/>
    <x v="158"/>
    <n v="241968"/>
  </r>
  <r>
    <s v="มิถุนายน"/>
    <d v="2562-06-28T00:00:00"/>
    <x v="0"/>
    <n v="620401"/>
    <x v="69"/>
    <s v="TL620642"/>
    <n v="620642"/>
    <x v="1"/>
    <s v="คุมขนาด 2.08-2.1"/>
    <x v="459"/>
    <s v="ขนาดต่ำกว่าที่กำหนด"/>
    <s v="ไม่ผ่าน"/>
    <s v="2/1106.7"/>
    <s v="กรง/ก.ก."/>
    <d v="2562-06-28T00:00:00"/>
    <d v="2562-07-05T00:00:00"/>
    <d v="2562-06-30T00:00:00"/>
    <s v="Pass"/>
    <d v="2562-06-29T00:00:00"/>
    <m/>
    <m/>
    <m/>
    <m/>
    <s v="Pass"/>
    <d v="2562-07-02T00:00:00"/>
    <s v="Pass"/>
    <d v="2562-07-02T00:00:00"/>
    <m/>
    <m/>
    <x v="122"/>
    <n v="241968"/>
  </r>
  <r>
    <s v="มิถุนายน"/>
    <d v="2562-06-28T00:00:00"/>
    <x v="0"/>
    <n v="620402"/>
    <x v="2"/>
    <s v="TL620643"/>
    <n v="620643"/>
    <x v="1"/>
    <s v="AVG 1125-10 (1115-1125)"/>
    <x v="255"/>
    <s v="Avg ต่ำกว่ามาตรฐาน"/>
    <n v="7"/>
    <s v="1/243.2"/>
    <s v="กรง/ก.ก."/>
    <d v="2562-06-28T00:00:00"/>
    <d v="2562-07-05T00:00:00"/>
    <d v="2562-06-30T00:00:00"/>
    <s v="Pass"/>
    <d v="2562-06-29T00:00:00"/>
    <m/>
    <m/>
    <m/>
    <m/>
    <s v="Pass"/>
    <d v="2562-07-02T00:00:00"/>
    <s v="Pass"/>
    <d v="2562-07-02T00:00:00"/>
    <m/>
    <m/>
    <x v="12"/>
    <n v="-4"/>
  </r>
  <r>
    <m/>
    <m/>
    <x v="9"/>
    <n v="620403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241979"/>
  </r>
  <r>
    <s v="มิถุนายน"/>
    <d v="2562-06-29T00:00:00"/>
    <x v="0"/>
    <n v="620404"/>
    <x v="2"/>
    <s v="TL620643"/>
    <n v="620643"/>
    <x v="1"/>
    <s v="Avg of D +10,-20 D"/>
    <x v="461"/>
    <s v="Avg สูงกว่ามาตรฐาน"/>
    <n v="19"/>
    <s v="1/563.3"/>
    <s v="กรง/ก.ก."/>
    <d v="2562-06-29T00:00:00"/>
    <d v="2562-07-06T00:00:00"/>
    <d v="2562-07-01T00:00:00"/>
    <s v="Pass"/>
    <d v="2562-07-01T00:00:00"/>
    <m/>
    <m/>
    <m/>
    <m/>
    <s v="Pass"/>
    <d v="2562-07-02T00:00:00"/>
    <s v="Pass"/>
    <d v="2562-07-02T00:00:00"/>
    <m/>
    <m/>
    <x v="159"/>
    <n v="-4"/>
  </r>
  <r>
    <s v="มิถุนายน"/>
    <d v="2562-06-29T00:00:00"/>
    <x v="0"/>
    <n v="620404"/>
    <x v="2"/>
    <s v="TL620643"/>
    <n v="620643"/>
    <x v="1"/>
    <s v="Std. ไม่เกิน 30 D"/>
    <x v="462"/>
    <s v="Std.เกินกว่ามาตรฐาน"/>
    <n v="13"/>
    <m/>
    <m/>
    <d v="2562-06-29T00:00:00"/>
    <d v="2562-07-06T00:00:00"/>
    <d v="2562-07-01T00:00:00"/>
    <s v="Pass"/>
    <d v="2562-07-01T00:00:00"/>
    <m/>
    <m/>
    <m/>
    <m/>
    <s v="Pass"/>
    <d v="2562-07-02T00:00:00"/>
    <s v="Pass"/>
    <d v="2562-07-03T00:00:00"/>
    <m/>
    <m/>
    <x v="159"/>
    <n v="-5"/>
  </r>
  <r>
    <s v="มิถุนายน"/>
    <d v="2562-06-29T00:00:00"/>
    <x v="0"/>
    <n v="620405"/>
    <x v="69"/>
    <s v="TL620644"/>
    <n v="620644"/>
    <x v="1"/>
    <s v="Avg of D +10,-20 D"/>
    <x v="432"/>
    <s v="Avg สูงกว่ามาตรฐาน"/>
    <n v="19"/>
    <s v="3/1397.6"/>
    <s v="กรง/ก.ก."/>
    <d v="2562-06-29T00:00:00"/>
    <d v="2562-07-06T00:00:00"/>
    <d v="2562-07-01T00:00:00"/>
    <s v="Pass"/>
    <d v="2562-07-01T00:00:00"/>
    <m/>
    <m/>
    <m/>
    <m/>
    <s v="Pass"/>
    <d v="2562-07-02T00:00:00"/>
    <s v="Pass"/>
    <d v="2562-07-02T00:00:00"/>
    <m/>
    <m/>
    <x v="122"/>
    <n v="-6"/>
  </r>
  <r>
    <s v="มิถุนายน"/>
    <d v="2562-06-29T00:00:00"/>
    <x v="0"/>
    <n v="620405"/>
    <x v="69"/>
    <s v="TL620644"/>
    <n v="620644"/>
    <x v="1"/>
    <s v="คุมขนาด 2.08-2.1"/>
    <x v="463"/>
    <s v="ขนาดต่ำกว่าที่กำหนด"/>
    <s v="ไม่ผ่าน"/>
    <m/>
    <m/>
    <d v="2562-06-29T00:00:00"/>
    <d v="2562-07-06T00:00:00"/>
    <d v="2562-07-01T00:00:00"/>
    <s v="Pass"/>
    <d v="2562-07-01T00:00:00"/>
    <m/>
    <m/>
    <m/>
    <m/>
    <s v="Pass"/>
    <d v="2562-07-02T00:00:00"/>
    <s v="Pass"/>
    <d v="2562-07-02T00:00:00"/>
    <m/>
    <m/>
    <x v="122"/>
    <n v="-6"/>
  </r>
  <r>
    <s v="มิถุนายน"/>
    <d v="2562-07-01T00:00:00"/>
    <x v="0"/>
    <n v="620406"/>
    <x v="5"/>
    <s v="TL620701"/>
    <n v="620701"/>
    <x v="0"/>
    <s v="Std. ไม่เกิน 30 D"/>
    <x v="31"/>
    <s v="Std.เกินกว่ามาตรฐาน"/>
    <n v="34"/>
    <s v="1/209.6"/>
    <s v="กรง/ก.ก."/>
    <d v="2562-07-01T00:00:00"/>
    <d v="2562-07-08T00:00:00"/>
    <d v="2562-07-03T00:00:00"/>
    <s v="Pass"/>
    <d v="2562-07-03T00:00:00"/>
    <m/>
    <m/>
    <m/>
    <m/>
    <s v="Pass"/>
    <d v="2562-07-05T00:00:00"/>
    <s v="Pass"/>
    <d v="2562-07-05T00:00:00"/>
    <m/>
    <m/>
    <x v="14"/>
    <n v="-3"/>
  </r>
  <r>
    <s v="มิถุนายน"/>
    <d v="2562-07-01T00:00:00"/>
    <x v="0"/>
    <n v="620406"/>
    <x v="5"/>
    <s v="TL620701"/>
    <n v="620701"/>
    <x v="0"/>
    <s v="ขนาดเส้นเทป(+-0.1 mm)"/>
    <x v="464"/>
    <s v="ขนาดเกินกว่าที่กำหนด"/>
    <s v="ไม่ผ่าน"/>
    <m/>
    <m/>
    <d v="2562-07-01T00:00:00"/>
    <d v="2562-07-08T00:00:00"/>
    <d v="2562-07-03T00:00:00"/>
    <s v="Pass"/>
    <d v="2562-07-03T00:00:00"/>
    <m/>
    <m/>
    <m/>
    <m/>
    <s v="Pass"/>
    <d v="2562-07-05T00:00:00"/>
    <s v="Pass"/>
    <d v="2562-07-05T00:00:00"/>
    <m/>
    <m/>
    <x v="14"/>
    <n v="-3"/>
  </r>
  <r>
    <s v="กรกฎาคม"/>
    <d v="2562-07-01T00:00:00"/>
    <x v="1"/>
    <n v="620407"/>
    <x v="30"/>
    <n v="62070105"/>
    <s v="85/010762"/>
    <x v="41"/>
    <s v="75-80"/>
    <x v="465"/>
    <s v="น้ำหนักสูงกว่ามาตรฐาน"/>
    <n v="3.11"/>
    <s v="1045/81.4"/>
    <s v="เมตร/ก.ก."/>
    <d v="2562-07-01T00:00:00"/>
    <d v="2562-07-08T00:00:00"/>
    <d v="2562-07-03T00:00:00"/>
    <s v="Pass"/>
    <d v="2562-07-02T00:00:00"/>
    <m/>
    <m/>
    <m/>
    <m/>
    <s v="Pass"/>
    <d v="2562-07-02T00:00:00"/>
    <s v="Pass"/>
    <d v="2562-07-02T00:00:00"/>
    <m/>
    <m/>
    <x v="119"/>
    <n v="-6"/>
  </r>
  <r>
    <s v="กรกฎาคม"/>
    <d v="2562-07-01T00:00:00"/>
    <x v="1"/>
    <n v="620408"/>
    <x v="14"/>
    <n v="62070135"/>
    <s v="58/010762"/>
    <x v="77"/>
    <s v="125-128"/>
    <x v="466"/>
    <s v="น้ำหนักต่ำกว่ามาตรฐาน"/>
    <n v="2.6800000000000068"/>
    <s v="1518/188.3"/>
    <s v="เมตร/ก.ก."/>
    <d v="2562-07-01T00:00:00"/>
    <d v="2562-07-08T00:00:00"/>
    <d v="2562-07-03T00:00:00"/>
    <s v="Pass"/>
    <d v="2562-07-02T00:00:00"/>
    <m/>
    <m/>
    <m/>
    <m/>
    <s v="Pass"/>
    <d v="2562-07-02T00:00:00"/>
    <s v="Pass"/>
    <d v="2562-07-02T00:00:00"/>
    <m/>
    <m/>
    <x v="160"/>
    <n v="-6"/>
  </r>
  <r>
    <s v="กรกฎาคม"/>
    <d v="2562-07-01T00:00:00"/>
    <x v="1"/>
    <n v="620408"/>
    <x v="14"/>
    <n v="62070133"/>
    <s v="55/010762"/>
    <x v="4"/>
    <s v="125-128"/>
    <x v="467"/>
    <s v="น้ำหนักต่ำกว่ามาตรฐาน"/>
    <n v="2.5999999999999943"/>
    <s v="1485/183.9"/>
    <s v="เมตร/ก.ก."/>
    <d v="2562-07-01T00:00:00"/>
    <d v="2562-07-08T00:00:00"/>
    <d v="2562-07-03T00:00:00"/>
    <s v="Pass"/>
    <d v="2562-07-02T00:00:00"/>
    <m/>
    <m/>
    <m/>
    <m/>
    <s v="Pass"/>
    <d v="2562-07-02T00:00:00"/>
    <s v="Pass"/>
    <d v="2562-07-02T00:00:00"/>
    <m/>
    <m/>
    <x v="160"/>
    <n v="-6"/>
  </r>
  <r>
    <s v="กรกฎาคม"/>
    <d v="2562-07-01T00:00:00"/>
    <x v="1"/>
    <n v="620409"/>
    <x v="14"/>
    <n v="62070123"/>
    <s v="71/010762"/>
    <x v="17"/>
    <s v="125-128"/>
    <x v="468"/>
    <s v="น้ำหนักเฉลี่ย/ม้วนต่ำกว่ามาตรฐาน"/>
    <n v="1.1800000000000068"/>
    <s v="1533/194.1"/>
    <s v="เมตร/ก.ก."/>
    <d v="2562-07-01T00:00:00"/>
    <d v="2562-07-08T00:00:00"/>
    <d v="2562-07-03T00:00:00"/>
    <s v="Pass"/>
    <d v="2562-07-02T00:00:00"/>
    <m/>
    <m/>
    <m/>
    <m/>
    <s v="Pass"/>
    <d v="2562-07-02T00:00:00"/>
    <s v="Pass"/>
    <d v="2562-07-02T00:00:00"/>
    <m/>
    <m/>
    <x v="16"/>
    <n v="-6"/>
  </r>
  <r>
    <s v="กรกฎาคม"/>
    <d v="2562-07-01T00:00:00"/>
    <x v="1"/>
    <n v="620410"/>
    <x v="14"/>
    <n v="62070119"/>
    <s v="28/010762"/>
    <x v="15"/>
    <s v="125-128"/>
    <x v="469"/>
    <s v="น้ำหนักสูงกว่ามาตรฐาน"/>
    <n v="1.3100000000000023"/>
    <s v="1500/195.9"/>
    <s v="เมตร/ก.ก."/>
    <d v="2562-07-01T00:00:00"/>
    <d v="2562-07-08T00:00:00"/>
    <d v="2562-07-03T00:00:00"/>
    <s v="Pass"/>
    <d v="2562-07-02T00:00:00"/>
    <m/>
    <m/>
    <m/>
    <m/>
    <s v="Pass"/>
    <d v="2562-07-02T00:00:00"/>
    <s v="Pass"/>
    <d v="2562-07-02T00:00:00"/>
    <m/>
    <m/>
    <x v="69"/>
    <n v="-7"/>
  </r>
  <r>
    <s v="กรกฎาคม"/>
    <d v="2562-07-02T00:00:00"/>
    <x v="0"/>
    <n v="620411"/>
    <x v="13"/>
    <s v="TL620703"/>
    <n v="620703"/>
    <x v="0"/>
    <s v="Avg of D +10,-20 D"/>
    <x v="470"/>
    <s v="Avg สูงกว่ามาตรฐาน"/>
    <s v="99, 10"/>
    <s v="2/815.4"/>
    <s v="กรง/ก.ก."/>
    <d v="2562-07-02T00:00:00"/>
    <d v="2562-07-09T00:00:00"/>
    <d v="2562-07-04T00:00:00"/>
    <s v="Pass"/>
    <d v="2562-07-03T00:00:00"/>
    <m/>
    <m/>
    <m/>
    <m/>
    <s v="Pass"/>
    <d v="2562-07-05T00:00:00"/>
    <s v="Pass"/>
    <d v="2562-07-05T00:00:00"/>
    <m/>
    <m/>
    <x v="15"/>
    <n v="-4"/>
  </r>
  <r>
    <s v="กรกฎาคม"/>
    <d v="2562-07-02T00:00:00"/>
    <x v="0"/>
    <n v="620411"/>
    <x v="13"/>
    <s v="TL620703"/>
    <n v="620703"/>
    <x v="0"/>
    <s v="Std. ไม่เกิน 30 D"/>
    <x v="471"/>
    <s v="Std.เกินกว่ามาตรฐาน"/>
    <s v="43, 35"/>
    <m/>
    <m/>
    <d v="2562-07-02T00:00:00"/>
    <d v="2562-07-09T00:00:00"/>
    <d v="2562-07-04T00:00:00"/>
    <s v="Pass"/>
    <d v="2562-07-03T00:00:00"/>
    <m/>
    <m/>
    <m/>
    <m/>
    <s v="Pass"/>
    <d v="2562-07-05T00:00:00"/>
    <s v="Pass"/>
    <d v="2562-07-05T00:00:00"/>
    <m/>
    <m/>
    <x v="15"/>
    <n v="-4"/>
  </r>
  <r>
    <s v="กรกฎาคม"/>
    <d v="2562-07-02T00:00:00"/>
    <x v="0"/>
    <n v="620411"/>
    <x v="13"/>
    <s v="TL620703"/>
    <n v="620703"/>
    <x v="0"/>
    <s v="Tenacity ≥  4.0 g/D"/>
    <x v="335"/>
    <s v="Tenacityต่ำกว่ามาตรฐาน"/>
    <n v="0.03"/>
    <m/>
    <m/>
    <d v="2562-07-02T00:00:00"/>
    <d v="2562-07-09T00:00:00"/>
    <d v="2562-07-04T00:00:00"/>
    <s v="Pass"/>
    <d v="2562-07-03T00:00:00"/>
    <m/>
    <m/>
    <m/>
    <m/>
    <s v="Pass"/>
    <d v="2562-07-05T00:00:00"/>
    <s v="Pass"/>
    <d v="2562-07-05T00:00:00"/>
    <m/>
    <m/>
    <x v="15"/>
    <n v="-4"/>
  </r>
  <r>
    <s v="กรกฎาคม"/>
    <d v="2562-07-02T00:00:00"/>
    <x v="0"/>
    <n v="620412"/>
    <x v="2"/>
    <s v="TL620704"/>
    <n v="620704"/>
    <x v="1"/>
    <s v="Avg of D +10,-20 D"/>
    <x v="472"/>
    <s v="Avg ต่ำกว่ามาตรฐาน"/>
    <n v="12"/>
    <s v="1/232.3"/>
    <s v="กรง/ก.ก."/>
    <d v="2562-07-02T00:00:00"/>
    <d v="2562-07-09T00:00:00"/>
    <d v="2562-07-04T00:00:00"/>
    <s v="Pass"/>
    <d v="2562-07-03T00:00:00"/>
    <m/>
    <m/>
    <m/>
    <m/>
    <s v="Pass"/>
    <d v="2562-07-05T00:00:00"/>
    <s v="Pass"/>
    <d v="2562-07-05T00:00:00"/>
    <m/>
    <m/>
    <x v="12"/>
    <n v="-4"/>
  </r>
  <r>
    <s v="กรกฎาคม"/>
    <d v="2562-07-02T00:00:00"/>
    <x v="0"/>
    <n v="620412"/>
    <x v="2"/>
    <s v="TL620704"/>
    <n v="620704"/>
    <x v="1"/>
    <s v="Std. ไม่เกิน 30 D"/>
    <x v="120"/>
    <s v="Std.เกินกว่ามาตรฐาน"/>
    <n v="8"/>
    <m/>
    <m/>
    <d v="2562-07-02T00:00:00"/>
    <d v="2562-07-09T00:00:00"/>
    <d v="2562-07-04T00:00:00"/>
    <s v="Pass"/>
    <d v="2562-07-03T00:00:00"/>
    <m/>
    <m/>
    <m/>
    <m/>
    <s v="Pass"/>
    <d v="2562-07-05T00:00:00"/>
    <s v="Pass"/>
    <d v="2562-07-05T00:00:00"/>
    <m/>
    <m/>
    <x v="12"/>
    <n v="-4"/>
  </r>
  <r>
    <s v="กรกฎาคม"/>
    <d v="2562-07-02T00:00:00"/>
    <x v="1"/>
    <n v="620413"/>
    <x v="39"/>
    <n v="62070241"/>
    <s v="7/020762"/>
    <x v="91"/>
    <s v="80-85"/>
    <x v="473"/>
    <s v="น้ำหนักสูงกว่ามาตรฐาน"/>
    <n v="2.1800000000000002"/>
    <s v="2000/176.9"/>
    <s v="เมตร/ก.ก."/>
    <d v="2562-07-02T00:00:00"/>
    <d v="2562-07-09T00:00:00"/>
    <d v="2562-07-04T00:00:00"/>
    <s v="Pass"/>
    <d v="2562-07-05T00:00:00"/>
    <m/>
    <m/>
    <m/>
    <m/>
    <s v="Pass"/>
    <d v="2562-07-05T00:00:00"/>
    <s v="Pass"/>
    <d v="2562-07-05T00:00:00"/>
    <m/>
    <m/>
    <x v="161"/>
    <n v="-4"/>
  </r>
  <r>
    <s v="กรกฎาคม"/>
    <d v="2562-07-02T00:00:00"/>
    <x v="0"/>
    <n v="620414"/>
    <x v="11"/>
    <s v="TL620706"/>
    <n v="620706"/>
    <x v="0"/>
    <s v="Avg of D +10,-20 D"/>
    <x v="474"/>
    <s v="Avg ต่ำกว่ามาตรฐาน"/>
    <n v="37"/>
    <s v="1/213.1"/>
    <s v="กรง/ก.ก."/>
    <d v="2562-07-02T00:00:00"/>
    <d v="2562-07-09T00:00:00"/>
    <d v="2562-07-04T00:00:00"/>
    <s v="Pass"/>
    <d v="2562-07-03T00:00:00"/>
    <m/>
    <m/>
    <m/>
    <m/>
    <s v="Pass"/>
    <d v="2562-07-05T00:00:00"/>
    <s v="Pass"/>
    <d v="2562-07-05T00:00:00"/>
    <m/>
    <m/>
    <x v="13"/>
    <n v="-4"/>
  </r>
  <r>
    <s v="กรกฎาคม"/>
    <d v="2562-07-02T00:00:00"/>
    <x v="0"/>
    <n v="620414"/>
    <x v="11"/>
    <s v="TL620706"/>
    <n v="620706"/>
    <x v="0"/>
    <s v="Std. ไม่เกิน 30 D"/>
    <x v="475"/>
    <s v="Std.เกินกว่ามาตรฐาน"/>
    <n v="29"/>
    <m/>
    <m/>
    <d v="2562-07-02T00:00:00"/>
    <d v="2562-07-09T00:00:00"/>
    <d v="2562-07-04T00:00:00"/>
    <s v="Pass"/>
    <d v="2562-07-03T00:00:00"/>
    <m/>
    <m/>
    <m/>
    <m/>
    <s v="Pass"/>
    <d v="2562-07-05T00:00:00"/>
    <s v="Pass"/>
    <d v="2562-07-05T00:00:00"/>
    <m/>
    <m/>
    <x v="122"/>
    <n v="-4"/>
  </r>
  <r>
    <s v="กรกฎาคม"/>
    <d v="2562-07-02T00:00:00"/>
    <x v="0"/>
    <n v="620415"/>
    <x v="69"/>
    <s v="TL620705"/>
    <n v="620705"/>
    <x v="1"/>
    <s v="Avg of D +10,-20 D"/>
    <x v="476"/>
    <s v="Avg สูงกว่ามาตรฐาน"/>
    <n v="33"/>
    <s v="3/1715.30"/>
    <s v="กรง/ก.ก."/>
    <d v="2562-07-02T00:00:00"/>
    <d v="2562-07-09T00:00:00"/>
    <d v="2562-07-04T00:00:00"/>
    <s v="Pass"/>
    <d v="2562-07-03T00:00:00"/>
    <m/>
    <m/>
    <m/>
    <m/>
    <s v="Pass"/>
    <d v="2562-07-05T00:00:00"/>
    <s v="Pass"/>
    <d v="2562-07-05T00:00:00"/>
    <m/>
    <m/>
    <x v="122"/>
    <n v="-4"/>
  </r>
  <r>
    <s v="กรกฎาคม"/>
    <d v="2562-07-02T00:00:00"/>
    <x v="0"/>
    <n v="620415"/>
    <x v="69"/>
    <s v="TL620705"/>
    <n v="620705"/>
    <x v="1"/>
    <s v="คุมขนาด 2.08-2.1"/>
    <x v="477"/>
    <s v="ขนาดต่ำกว่าที่กำหนด"/>
    <s v="0.01 ,0.01"/>
    <m/>
    <m/>
    <d v="2562-07-02T00:00:00"/>
    <d v="2562-07-09T00:00:00"/>
    <d v="2562-07-04T00:00:00"/>
    <s v="Pass"/>
    <d v="2562-07-03T00:00:00"/>
    <m/>
    <m/>
    <m/>
    <m/>
    <s v="Pass"/>
    <d v="2562-07-05T00:00:00"/>
    <s v="Pass"/>
    <d v="2562-07-05T00:00:00"/>
    <m/>
    <m/>
    <x v="122"/>
    <n v="-4"/>
  </r>
  <r>
    <s v="กรกฎาคม"/>
    <d v="2562-07-02T00:00:00"/>
    <x v="1"/>
    <n v="620416"/>
    <x v="14"/>
    <n v="62070274"/>
    <s v="39/020762"/>
    <x v="27"/>
    <s v="125-128"/>
    <x v="478"/>
    <s v="น้ำหนักต่ำกว่ามาตรฐาน"/>
    <n v="1.980000000000004"/>
    <s v="1500/187.3"/>
    <s v="เมตร/ก.ก."/>
    <d v="2562-07-02T00:00:00"/>
    <d v="2562-07-09T00:00:00"/>
    <d v="2562-07-04T00:00:00"/>
    <s v="Pass"/>
    <d v="2562-07-06T00:00:00"/>
    <m/>
    <m/>
    <m/>
    <m/>
    <s v="Pass"/>
    <d v="2562-07-06T00:00:00"/>
    <s v="Pass"/>
    <d v="2562-07-06T00:00:00"/>
    <m/>
    <m/>
    <x v="162"/>
    <n v="-3"/>
  </r>
  <r>
    <s v="กรกฎาคม"/>
    <d v="2562-07-02T00:00:00"/>
    <x v="1"/>
    <n v="620417"/>
    <x v="14"/>
    <n v="62070283"/>
    <s v="28/020762"/>
    <x v="15"/>
    <s v="125-128"/>
    <x v="353"/>
    <s v="น้ำหนักสูงกว่ามาตรฐาน"/>
    <n v="1.6"/>
    <s v="1500/194.2"/>
    <s v="เมตร/ก.ก."/>
    <d v="2562-07-02T00:00:00"/>
    <d v="2562-07-09T00:00:00"/>
    <d v="2562-07-04T00:00:00"/>
    <s v="Pass"/>
    <d v="2562-07-06T00:00:00"/>
    <m/>
    <m/>
    <m/>
    <m/>
    <s v="Pass"/>
    <d v="2562-07-06T00:00:00"/>
    <s v="Pass"/>
    <d v="2562-07-06T00:00:00"/>
    <m/>
    <m/>
    <x v="16"/>
    <n v="-3"/>
  </r>
  <r>
    <s v="กรกฎาคม"/>
    <d v="2562-07-02T00:00:00"/>
    <x v="1"/>
    <n v="620418"/>
    <x v="14"/>
    <n v="62070286"/>
    <s v="53/020762"/>
    <x v="19"/>
    <s v="125-128"/>
    <x v="479"/>
    <s v="น้ำหนักสูงกว่ามาตรฐาน"/>
    <n v="1.32"/>
    <s v="1300/170.4"/>
    <s v="เมตร/ก.ก."/>
    <d v="2562-07-02T00:00:00"/>
    <d v="2562-07-09T00:00:00"/>
    <d v="2562-07-04T00:00:00"/>
    <s v="Pass"/>
    <d v="2562-07-06T00:00:00"/>
    <m/>
    <m/>
    <m/>
    <m/>
    <s v="Pass"/>
    <d v="2562-07-06T00:00:00"/>
    <s v="Pass"/>
    <d v="2562-07-06T00:00:00"/>
    <m/>
    <m/>
    <x v="16"/>
    <n v="-4"/>
  </r>
  <r>
    <s v="กรกฎาคม"/>
    <d v="2562-07-03T00:00:00"/>
    <x v="2"/>
    <n v="620419"/>
    <x v="83"/>
    <s v="FWBWT203780P"/>
    <n v="62062556"/>
    <x v="12"/>
    <s v="งานพิมพ์ถูกต้องตามอาร์ตพิมพ์"/>
    <x v="480"/>
    <s v="ติดบล็อกผิด"/>
    <s v="ไม่ผ่าน"/>
    <n v="751"/>
    <s v="ใบ"/>
    <d v="2562-07-03T00:00:00"/>
    <d v="2562-07-10T00:00:00"/>
    <d v="2562-07-05T00:00:00"/>
    <s v="Pass"/>
    <d v="2562-07-03T00:00:00"/>
    <m/>
    <m/>
    <m/>
    <m/>
    <s v="Pass"/>
    <d v="2562-07-03T00:00:00"/>
    <s v="Pass"/>
    <d v="2562-07-03T00:00:00"/>
    <m/>
    <m/>
    <x v="163"/>
    <n v="-7"/>
  </r>
  <r>
    <s v="กรกฎาคม"/>
    <d v="2562-07-03T00:00:00"/>
    <x v="1"/>
    <n v="620420"/>
    <x v="14"/>
    <n v="62070285"/>
    <s v="49/020762"/>
    <x v="94"/>
    <s v="125-128"/>
    <x v="481"/>
    <s v="พบน็อตติดมากับม้วนผ้า ทำให้ลูกกลิ้งยางโคโลนาเป็นรอย"/>
    <s v="ไม่ผ่าน"/>
    <m/>
    <m/>
    <d v="2562-07-03T00:00:00"/>
    <d v="2562-07-10T00:00:00"/>
    <d v="2562-07-05T00:00:00"/>
    <s v="Pass"/>
    <d v="2562-07-10T00:00:00"/>
    <m/>
    <m/>
    <m/>
    <m/>
    <s v="Pass"/>
    <d v="2562-07-10T00:00:00"/>
    <s v="Pass"/>
    <d v="2562-07-10T00:00:00"/>
    <m/>
    <m/>
    <x v="16"/>
    <n v="0"/>
  </r>
  <r>
    <s v="กรกฎาคม"/>
    <d v="2562-07-03T00:00:00"/>
    <x v="1"/>
    <n v="620421"/>
    <x v="3"/>
    <n v="62070313"/>
    <s v="38/030762"/>
    <x v="89"/>
    <s v="67-70"/>
    <x v="482"/>
    <s v="น้ำหนักต่ำกว่ามาตรฐาน"/>
    <n v="0.70000000000000284"/>
    <s v="1800/122.5"/>
    <s v="เมตร/ก.ก."/>
    <d v="2562-07-03T00:00:00"/>
    <d v="2562-07-10T00:00:00"/>
    <d v="2562-07-05T00:00:00"/>
    <s v="Pass"/>
    <d v="2562-07-06T00:00:00"/>
    <m/>
    <m/>
    <m/>
    <m/>
    <s v="Pass"/>
    <d v="2562-07-06T00:00:00"/>
    <s v="Pass"/>
    <d v="2562-07-06T00:00:00"/>
    <m/>
    <m/>
    <x v="4"/>
    <n v="-4"/>
  </r>
  <r>
    <s v="กรกฎาคม"/>
    <d v="2562-07-03T00:00:00"/>
    <x v="1"/>
    <n v="620422"/>
    <x v="14"/>
    <n v="62070307"/>
    <s v="58/030762"/>
    <x v="77"/>
    <s v="125-128"/>
    <x v="483"/>
    <s v="น้ำหนักต่ำกว่ามาตรฐาน"/>
    <n v="0.95999999999999375"/>
    <s v="1305/166.9"/>
    <s v="เมตร/ก.ก."/>
    <d v="2562-07-03T00:00:00"/>
    <d v="2562-07-10T00:00:00"/>
    <d v="2562-07-05T00:00:00"/>
    <s v="Pass"/>
    <d v="2562-07-06T00:00:00"/>
    <m/>
    <m/>
    <m/>
    <m/>
    <s v="Pass"/>
    <d v="2562-07-06T00:00:00"/>
    <s v="Pass"/>
    <d v="2562-07-06T00:00:00"/>
    <m/>
    <m/>
    <x v="16"/>
    <n v="-4"/>
  </r>
  <r>
    <s v="กรกฎาคม"/>
    <d v="2562-07-03T00:00:00"/>
    <x v="1"/>
    <n v="620423"/>
    <x v="8"/>
    <n v="62070340"/>
    <s v="64/030762"/>
    <x v="7"/>
    <s v="119-121"/>
    <x v="484"/>
    <s v="น้ำหนักสูงกว่ามาตรฐาน"/>
    <n v="1.269999999999996"/>
    <s v="1500/170.1"/>
    <s v="เมตร/ก.ก."/>
    <d v="2562-07-03T00:00:00"/>
    <d v="2562-07-10T00:00:00"/>
    <d v="2562-07-05T00:00:00"/>
    <s v="Pass"/>
    <d v="2562-07-06T00:00:00"/>
    <m/>
    <m/>
    <m/>
    <m/>
    <s v="Pass"/>
    <d v="2562-07-06T00:00:00"/>
    <s v="Pass"/>
    <d v="2562-07-06T00:00:00"/>
    <m/>
    <m/>
    <x v="39"/>
    <n v="-4"/>
  </r>
  <r>
    <s v="กรกฎาคม"/>
    <d v="2562-07-03T00:00:00"/>
    <x v="1"/>
    <n v="620424"/>
    <x v="6"/>
    <n v="62070330"/>
    <s v="84/030762"/>
    <x v="81"/>
    <s v="76-78"/>
    <x v="485"/>
    <s v="น้ำหนักต่ำกว่ามาตรฐาน"/>
    <n v="0.43999999999999773"/>
    <s v="2500/192"/>
    <s v="เมตร/ก.ก."/>
    <d v="2562-07-03T00:00:00"/>
    <d v="2562-07-10T00:00:00"/>
    <d v="2562-07-05T00:00:00"/>
    <s v="Pass"/>
    <d v="2562-07-06T00:00:00"/>
    <m/>
    <m/>
    <m/>
    <m/>
    <s v="Pass"/>
    <d v="2562-07-06T00:00:00"/>
    <s v="Pass"/>
    <d v="2562-07-06T00:00:00"/>
    <m/>
    <m/>
    <x v="164"/>
    <n v="-4"/>
  </r>
  <r>
    <s v="กรกฎาคม"/>
    <d v="2562-07-03T00:00:00"/>
    <x v="1"/>
    <n v="620425"/>
    <x v="39"/>
    <n v="62070349"/>
    <s v="07/030762"/>
    <x v="91"/>
    <s v="80-85"/>
    <x v="486"/>
    <s v="น้ำหนักสูงกว่ามาตรฐาน"/>
    <n v="4.6099999999999994"/>
    <s v="2000/184"/>
    <s v="เมตร/ก.ก."/>
    <d v="2562-07-03T00:00:00"/>
    <d v="2562-07-10T00:00:00"/>
    <d v="2562-07-05T00:00:00"/>
    <s v="Pass"/>
    <d v="2562-07-06T00:00:00"/>
    <m/>
    <m/>
    <m/>
    <m/>
    <s v="Pass"/>
    <d v="2562-07-06T00:00:00"/>
    <s v="Pass"/>
    <d v="2562-07-06T00:00:00"/>
    <m/>
    <m/>
    <x v="56"/>
    <e v="#REF!"/>
  </r>
  <r>
    <s v="กรกฎาคม"/>
    <d v="2562-07-03T00:00:00"/>
    <x v="1"/>
    <n v="620426"/>
    <x v="14"/>
    <n v="62070372"/>
    <s v="95/030762"/>
    <x v="88"/>
    <s v="125-128"/>
    <x v="487"/>
    <s v="น้ำหนักสูงกว่ามาตรฐาน"/>
    <n v="1.039999999999992"/>
    <s v="1500/195.7"/>
    <s v="เมตร/ก.ก."/>
    <d v="2562-07-03T00:00:00"/>
    <d v="2562-07-10T00:00:00"/>
    <d v="2562-07-05T00:00:00"/>
    <s v="Pass"/>
    <d v="2562-07-06T00:00:00"/>
    <m/>
    <m/>
    <m/>
    <m/>
    <s v="Pass"/>
    <d v="2562-07-06T00:00:00"/>
    <s v="Pass"/>
    <d v="2562-07-06T00:00:00"/>
    <m/>
    <m/>
    <x v="16"/>
    <e v="#REF!"/>
  </r>
  <r>
    <s v="กรกฎาคม"/>
    <d v="2562-07-04T00:00:00"/>
    <x v="1"/>
    <n v="620427"/>
    <x v="14"/>
    <n v="62070462"/>
    <s v="53/040762"/>
    <x v="19"/>
    <s v="125-128"/>
    <x v="488"/>
    <s v="น้ำหนักต่ำกว่ามาตรฐาน"/>
    <n v="1.3599999999999994"/>
    <s v="1483/188.1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6T00:00:00"/>
    <m/>
    <m/>
    <x v="69"/>
    <n v="-5"/>
  </r>
  <r>
    <s v="กรกฎาคม"/>
    <d v="2562-07-04T00:00:00"/>
    <x v="1"/>
    <n v="620427"/>
    <x v="14"/>
    <n v="62070405"/>
    <s v="55/040762"/>
    <x v="4"/>
    <s v="125-128"/>
    <x v="489"/>
    <s v="น้ำหนักต่ำกว่ามาตรฐาน"/>
    <n v="1.2099999999999937"/>
    <s v="1388/174.7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6T00:00:00"/>
    <m/>
    <m/>
    <x v="69"/>
    <m/>
  </r>
  <r>
    <s v="กรกฎาคม"/>
    <d v="2562-07-04T00:00:00"/>
    <x v="1"/>
    <n v="620427"/>
    <x v="14"/>
    <n v="62070459"/>
    <s v="87/040762"/>
    <x v="40"/>
    <s v="125-128"/>
    <x v="489"/>
    <s v="น้ำหนักต่ำกว่ามาตรฐาน"/>
    <n v="1.2099999999999937"/>
    <s v="1431/182.6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6T00:00:00"/>
    <m/>
    <m/>
    <x v="69"/>
    <m/>
  </r>
  <r>
    <s v="กรกฎาคม"/>
    <d v="2562-07-04T00:00:00"/>
    <x v="1"/>
    <n v="620428"/>
    <x v="8"/>
    <n v="62070406"/>
    <s v="64/040762"/>
    <x v="7"/>
    <s v="119-121"/>
    <x v="490"/>
    <s v="น้ำหนักสูงกว่ามาตรฐาน"/>
    <n v="2.5100000000000051"/>
    <s v="1500/169.7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6T00:00:00"/>
    <m/>
    <m/>
    <x v="39"/>
    <n v="-5"/>
  </r>
  <r>
    <s v="กรกฎาคม"/>
    <d v="2562-07-04T00:00:00"/>
    <x v="1"/>
    <n v="620429"/>
    <x v="14"/>
    <n v="62070419"/>
    <s v="28/040762"/>
    <x v="15"/>
    <s v="125-128"/>
    <x v="469"/>
    <s v="น้ำหนักสูงกว่ามาตรฐาน"/>
    <n v="1.3100000000000023"/>
    <s v="1380/181.6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6T00:00:00"/>
    <m/>
    <m/>
    <x v="165"/>
    <n v="-5"/>
  </r>
  <r>
    <s v="กรกฎาคม"/>
    <d v="2562-07-04T00:00:00"/>
    <x v="1"/>
    <n v="620429"/>
    <x v="14"/>
    <n v="62070417"/>
    <s v="79/040762"/>
    <x v="83"/>
    <s v="125-128"/>
    <x v="491"/>
    <s v="น้ำหนักสูงกว่ามาตรฐาน"/>
    <n v="2.0699999999999932"/>
    <s v="1096/145.7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6T00:00:00"/>
    <m/>
    <m/>
    <x v="165"/>
    <m/>
  </r>
  <r>
    <s v="กรกฎาคม"/>
    <d v="2562-07-04T00:00:00"/>
    <x v="1"/>
    <n v="620430"/>
    <x v="39"/>
    <n v="62070432"/>
    <s v="07/040762"/>
    <x v="91"/>
    <s v="80-85"/>
    <x v="492"/>
    <s v="น้ำหนักสูงกว่ามาตรฐาน"/>
    <n v="4.5699999999999932"/>
    <s v="1510/139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5T00:00:00"/>
    <m/>
    <m/>
    <x v="56"/>
    <n v="-6"/>
  </r>
  <r>
    <s v="กรกฎาคม"/>
    <d v="2562-07-04T00:00:00"/>
    <x v="1"/>
    <n v="620431"/>
    <x v="3"/>
    <n v="62070442"/>
    <s v="38/040762"/>
    <x v="89"/>
    <s v="67-70"/>
    <x v="493"/>
    <s v="น้ำหนักต่ำกว่ามาตรฐาน"/>
    <n v="0.43999999999999773"/>
    <s v="2230/152.8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6T00:00:00"/>
    <m/>
    <m/>
    <x v="4"/>
    <n v="-5"/>
  </r>
  <r>
    <s v="กรกฎาคม"/>
    <d v="2562-07-04T00:00:00"/>
    <x v="1"/>
    <n v="620432"/>
    <x v="27"/>
    <n v="62070449"/>
    <s v="90/040762"/>
    <x v="62"/>
    <s v="115-120"/>
    <x v="92"/>
    <s v="น้ำหนักต่ำกว่ามาตรฐาน"/>
    <n v="2.0600000000000023"/>
    <s v="1500/179.7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6T00:00:00"/>
    <m/>
    <m/>
    <x v="166"/>
    <n v="-5"/>
  </r>
  <r>
    <s v="กรกฎาคม"/>
    <d v="2562-07-04T00:00:00"/>
    <x v="1"/>
    <n v="620433"/>
    <x v="14"/>
    <n v="62070495"/>
    <s v="90/040762"/>
    <x v="62"/>
    <s v="125-128"/>
    <x v="494"/>
    <s v="น้ำหนักสูงกว่ามาตรฐาน"/>
    <n v="5.1100000000000136"/>
    <s v="1360/177.2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6T00:00:00"/>
    <m/>
    <m/>
    <x v="69"/>
    <n v="-5"/>
  </r>
  <r>
    <s v="กรกฎาคม"/>
    <d v="2562-07-04T00:00:00"/>
    <x v="1"/>
    <n v="620433"/>
    <x v="14"/>
    <n v="62070496"/>
    <s v="28/040762"/>
    <x v="15"/>
    <s v="125-128"/>
    <x v="495"/>
    <s v="น้ำหนักสูงกว่ามาตรฐาน"/>
    <n v="1.3899999999999864"/>
    <s v="1500/196.3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6T00:00:00"/>
    <m/>
    <m/>
    <x v="69"/>
    <n v="-5"/>
  </r>
  <r>
    <s v="กรกฎาคม"/>
    <d v="2562-07-04T00:00:00"/>
    <x v="1"/>
    <n v="620433"/>
    <x v="14"/>
    <n v="62070494"/>
    <s v="71/040762"/>
    <x v="17"/>
    <s v="125-128"/>
    <x v="496"/>
    <s v="น้ำหนักสูงกว่ามาตรฐาน"/>
    <n v="1.1800000000000068"/>
    <s v="1309/170.3"/>
    <s v="เมตร/ก.ก."/>
    <d v="2562-07-04T00:00:00"/>
    <d v="2562-07-11T00:00:00"/>
    <d v="2562-07-06T00:00:00"/>
    <s v="Pass"/>
    <d v="2562-07-06T00:00:00"/>
    <m/>
    <m/>
    <m/>
    <m/>
    <s v="Pass"/>
    <d v="2562-07-06T00:00:00"/>
    <s v="Pass"/>
    <d v="2562-07-06T00:00:00"/>
    <m/>
    <m/>
    <x v="69"/>
    <n v="-6"/>
  </r>
  <r>
    <s v="กรกฎาคม"/>
    <d v="2562-07-05T00:00:00"/>
    <x v="1"/>
    <n v="620434"/>
    <x v="14"/>
    <n v="62070508"/>
    <s v="20/050762"/>
    <x v="55"/>
    <s v="125-128"/>
    <x v="497"/>
    <s v="น้ำหนักสูงกว่ามาตรฐาน"/>
    <n v="1.8600000000000136"/>
    <s v="1561/202.5"/>
    <s v="เมตร/ก.ก."/>
    <d v="2562-07-05T00:00:00"/>
    <d v="2562-07-12T00:00:00"/>
    <d v="2562-07-07T00:00:00"/>
    <s v="Pass"/>
    <d v="2562-07-09T00:00:00"/>
    <s v="Pass"/>
    <d v="2562-07-09T00:00:00"/>
    <m/>
    <m/>
    <s v="Pass"/>
    <d v="2562-07-09T00:00:00"/>
    <s v="Pass"/>
    <d v="2562-07-09T00:00:00"/>
    <m/>
    <m/>
    <x v="16"/>
    <n v="-3"/>
  </r>
  <r>
    <s v="กรกฎาคม"/>
    <d v="2562-07-05T00:00:00"/>
    <x v="1"/>
    <n v="620434"/>
    <x v="14"/>
    <n v="62070574"/>
    <s v="90/050762"/>
    <x v="62"/>
    <s v="125-128"/>
    <x v="498"/>
    <s v="น้ำหนักสูงกว่ามาตรฐาน"/>
    <n v="1.5099999999999909"/>
    <s v="1068/141.9"/>
    <s v="เมตร/ก.ก."/>
    <d v="2562-07-05T00:00:00"/>
    <d v="2562-07-12T00:00:00"/>
    <d v="2562-07-07T00:00:00"/>
    <s v="Pass"/>
    <d v="2562-07-09T00:00:00"/>
    <s v="Pass"/>
    <d v="2562-07-09T00:00:00"/>
    <m/>
    <m/>
    <s v="Pass"/>
    <d v="2562-07-09T00:00:00"/>
    <s v="Pass"/>
    <d v="2562-07-09T00:00:00"/>
    <m/>
    <m/>
    <x v="16"/>
    <m/>
  </r>
  <r>
    <s v="กรกฎาคม"/>
    <d v="2562-07-05T00:00:00"/>
    <x v="1"/>
    <n v="620435"/>
    <x v="30"/>
    <n v="62070550"/>
    <s v="85/050762"/>
    <x v="41"/>
    <s v="75-80"/>
    <x v="499"/>
    <s v="น้ำหนักสูงกว่ามาตรฐาน"/>
    <n v="2.3700000000000045"/>
    <s v="2000/161.4"/>
    <s v="เมตร/ก.ก."/>
    <d v="2562-07-05T00:00:00"/>
    <d v="2562-07-12T00:00:00"/>
    <d v="2562-07-07T00:00:00"/>
    <s v="Pass"/>
    <d v="2562-07-09T00:00:00"/>
    <s v="Pass"/>
    <d v="2562-07-09T00:00:00"/>
    <m/>
    <m/>
    <s v="Pass"/>
    <d v="2562-07-09T00:00:00"/>
    <s v="Pass"/>
    <d v="2562-07-09T00:00:00"/>
    <m/>
    <m/>
    <x v="119"/>
    <n v="-3"/>
  </r>
  <r>
    <s v="กรกฎาคม"/>
    <d v="2562-07-05T00:00:00"/>
    <x v="0"/>
    <n v="620436"/>
    <x v="2"/>
    <s v="TL620711"/>
    <n v="620711"/>
    <x v="1"/>
    <s v="Avg of D +10,-20 D"/>
    <x v="500"/>
    <s v="Avg ต่ำกว่ามาตรฐาน"/>
    <n v="3"/>
    <s v="2/812.70"/>
    <s v="กรง/ก.ก."/>
    <d v="2562-07-05T00:00:00"/>
    <d v="2562-07-12T00:00:00"/>
    <d v="2562-07-07T00:00:00"/>
    <s v="Pass"/>
    <d v="2562-07-08T00:00:00"/>
    <m/>
    <m/>
    <m/>
    <m/>
    <s v="Pass"/>
    <d v="2562-07-08T00:00:00"/>
    <s v="Pass"/>
    <d v="2562-07-09T00:00:00"/>
    <m/>
    <m/>
    <x v="12"/>
    <n v="-3"/>
  </r>
  <r>
    <s v="กรกฎาคม"/>
    <d v="2562-07-05T00:00:00"/>
    <x v="0"/>
    <n v="620436"/>
    <x v="2"/>
    <s v="TL620711"/>
    <n v="620711"/>
    <x v="1"/>
    <s v="Std. ไม่เกิน 30 D"/>
    <x v="120"/>
    <s v="Std.เกินกว่ามาตรฐาน"/>
    <n v="8"/>
    <m/>
    <m/>
    <d v="2562-07-05T00:00:00"/>
    <d v="2562-07-12T00:00:00"/>
    <d v="2562-07-07T00:00:00"/>
    <s v="Pass"/>
    <d v="2562-07-08T00:00:00"/>
    <m/>
    <m/>
    <m/>
    <m/>
    <s v="Pass"/>
    <d v="2562-07-08T00:00:00"/>
    <s v="Pass"/>
    <d v="2562-07-09T00:00:00"/>
    <m/>
    <m/>
    <x v="12"/>
    <n v="-4"/>
  </r>
  <r>
    <s v="กรกฎาคม"/>
    <d v="2562-07-05T00:00:00"/>
    <x v="1"/>
    <n v="620437"/>
    <x v="14"/>
    <n v="62070589"/>
    <s v="39/050762"/>
    <x v="27"/>
    <s v="125-128"/>
    <x v="501"/>
    <s v="น้ำหนักต่ำกว่ามาตรฐาน"/>
    <n v="3.9300000000000068"/>
    <s v="932/113.1"/>
    <s v="เมตร/ก.ก."/>
    <d v="2562-07-05T00:00:00"/>
    <d v="2562-07-12T00:00:00"/>
    <d v="2562-07-07T00:00:00"/>
    <s v="Pass"/>
    <d v="2562-07-09T00:00:00"/>
    <s v="Pass"/>
    <d v="2562-07-09T00:00:00"/>
    <m/>
    <m/>
    <s v="Pass"/>
    <d v="2562-07-09T00:00:00"/>
    <s v="Pass"/>
    <d v="2562-07-09T00:00:00"/>
    <m/>
    <m/>
    <x v="16"/>
    <n v="-3"/>
  </r>
  <r>
    <s v="กรกฎาคม"/>
    <d v="2562-07-05T00:00:00"/>
    <x v="1"/>
    <n v="620437"/>
    <x v="14"/>
    <n v="620705102"/>
    <s v="55/050762"/>
    <x v="4"/>
    <s v="125-128"/>
    <x v="502"/>
    <s v="น้ำหนักต่ำกว่ามาตรฐาน"/>
    <n v="1.2900000000000063"/>
    <s v="1506/189.2"/>
    <s v="เมตร/ก.ก."/>
    <d v="2562-07-05T00:00:00"/>
    <d v="2562-07-12T00:00:00"/>
    <d v="2562-07-07T00:00:00"/>
    <s v="Pass"/>
    <d v="2562-07-09T00:00:00"/>
    <s v="Pass"/>
    <d v="2562-07-09T00:00:00"/>
    <m/>
    <m/>
    <s v="Pass"/>
    <d v="2562-07-09T00:00:00"/>
    <s v="Pass"/>
    <d v="2562-07-09T00:00:00"/>
    <m/>
    <m/>
    <x v="16"/>
    <n v="-3"/>
  </r>
  <r>
    <s v="กรกฎาคม"/>
    <d v="2562-07-05T00:00:00"/>
    <x v="1"/>
    <n v="620438"/>
    <x v="6"/>
    <n v="62070592"/>
    <s v="40/050762"/>
    <x v="74"/>
    <s v="76-78"/>
    <x v="503"/>
    <s v="น้ำหนักสูงกว่ามาตรฐาน"/>
    <n v="2.269999999999996"/>
    <s v="2753/218"/>
    <s v="เมตร/ก.ก."/>
    <d v="2562-07-05T00:00:00"/>
    <d v="2562-07-12T00:00:00"/>
    <d v="2562-07-07T00:00:00"/>
    <s v="Pass"/>
    <d v="2562-07-09T00:00:00"/>
    <s v="Pass"/>
    <d v="2562-07-09T00:00:00"/>
    <m/>
    <m/>
    <s v="Pass"/>
    <d v="2562-07-09T00:00:00"/>
    <s v="Pass"/>
    <d v="2562-07-09T00:00:00"/>
    <m/>
    <m/>
    <x v="21"/>
    <n v="-4"/>
  </r>
  <r>
    <s v="กรกฎาคม"/>
    <d v="2562-07-06T00:00:00"/>
    <x v="1"/>
    <n v="620439"/>
    <x v="14"/>
    <n v="62070635"/>
    <s v="87/060762"/>
    <x v="40"/>
    <s v="125-128"/>
    <x v="504"/>
    <s v="น้ำหนักสูงกว่ามาตรฐาน"/>
    <n v="2.6299999999999955"/>
    <s v="1500/193"/>
    <s v="เมตร/ก.ก."/>
    <d v="2562-07-06T00:00:00"/>
    <d v="2562-07-13T00:00:00"/>
    <d v="2562-07-08T00:00:00"/>
    <s v="Pass"/>
    <d v="2562-07-09T00:00:00"/>
    <s v="Pass"/>
    <d v="2562-07-09T00:00:00"/>
    <m/>
    <m/>
    <s v="Pass"/>
    <d v="2562-07-09T00:00:00"/>
    <s v="Pass"/>
    <d v="2562-07-09T00:00:00"/>
    <m/>
    <m/>
    <x v="16"/>
    <n v="-4"/>
  </r>
  <r>
    <s v="กรกฎาคม"/>
    <d v="2562-07-06T00:00:00"/>
    <x v="0"/>
    <n v="620440"/>
    <x v="0"/>
    <s v="TL620716"/>
    <n v="620716"/>
    <x v="1"/>
    <s v="Avg of D +10,-20 D"/>
    <x v="505"/>
    <s v="Avg สูงกว่ามาตรฐาน"/>
    <n v="18"/>
    <s v="1/256.9"/>
    <s v="กรง/ก.ก."/>
    <d v="2562-07-06T00:00:00"/>
    <d v="2562-07-13T00:00:00"/>
    <d v="2562-07-08T00:00:00"/>
    <s v="Pass"/>
    <d v="2562-07-08T00:00:00"/>
    <m/>
    <m/>
    <m/>
    <m/>
    <s v="Pass"/>
    <d v="2562-07-08T00:00:00"/>
    <s v="Pass"/>
    <d v="2562-07-09T00:00:00"/>
    <m/>
    <m/>
    <x v="0"/>
    <n v="-5"/>
  </r>
  <r>
    <s v="กรกฎาคม"/>
    <d v="2562-07-06T00:00:00"/>
    <x v="1"/>
    <n v="620441"/>
    <x v="8"/>
    <n v="62070680"/>
    <s v="35/060762"/>
    <x v="9"/>
    <s v="119-121"/>
    <x v="506"/>
    <s v="น้ำหนักต่ำกว่ามาตรฐาน"/>
    <n v="1.0699999999999932"/>
    <s v="1500/163.9"/>
    <s v="เมตร/ก.ก."/>
    <d v="2562-07-06T00:00:00"/>
    <d v="2562-07-13T00:00:00"/>
    <d v="2562-07-08T00:00:00"/>
    <s v="Pass"/>
    <d v="2562-07-09T00:00:00"/>
    <s v="Pass"/>
    <d v="2562-07-09T00:00:00"/>
    <m/>
    <m/>
    <s v="Pass"/>
    <d v="2562-07-09T00:00:00"/>
    <s v="Pass"/>
    <d v="2562-07-09T00:00:00"/>
    <m/>
    <m/>
    <x v="128"/>
    <n v="-5"/>
  </r>
  <r>
    <s v="กรกฎาคม"/>
    <d v="2562-07-07T00:00:00"/>
    <x v="0"/>
    <n v="620442"/>
    <x v="11"/>
    <s v="TL620718"/>
    <n v="620718"/>
    <x v="0"/>
    <s v="Avg of D +10,-20 D"/>
    <x v="507"/>
    <s v="Avg สูงกว่ามาตรฐาน"/>
    <n v="19"/>
    <s v="2/441.30"/>
    <s v="กรง/ก.ก."/>
    <d v="2562-07-07T00:00:00"/>
    <d v="2562-07-14T00:00:00"/>
    <d v="2562-07-09T00:00:00"/>
    <s v="Pass"/>
    <d v="2562-07-09T00:00:00"/>
    <m/>
    <m/>
    <m/>
    <m/>
    <s v="Pass"/>
    <d v="2562-07-09T00:00:00"/>
    <s v="Pass"/>
    <d v="2562-07-07T00:00:00"/>
    <m/>
    <m/>
    <x v="167"/>
    <n v="-8"/>
  </r>
  <r>
    <s v="กรกฎาคม"/>
    <d v="2562-07-07T00:00:00"/>
    <x v="0"/>
    <n v="620442"/>
    <x v="11"/>
    <s v="TL620718"/>
    <n v="620718"/>
    <x v="0"/>
    <s v="Avg of D +10,-20 D"/>
    <x v="505"/>
    <s v="Avg ต่ำกว่ามาตรฐาน"/>
    <n v="2"/>
    <m/>
    <m/>
    <d v="2562-07-07T00:00:00"/>
    <d v="2562-07-14T00:00:00"/>
    <d v="2562-07-09T00:00:00"/>
    <s v="Pass"/>
    <d v="2562-07-09T00:00:00"/>
    <m/>
    <m/>
    <m/>
    <m/>
    <s v="Pass"/>
    <d v="2562-07-09T00:00:00"/>
    <s v="Pass"/>
    <d v="2562-07-08T00:00:00"/>
    <m/>
    <m/>
    <x v="167"/>
    <n v="-7"/>
  </r>
  <r>
    <s v="กรกฎาคม"/>
    <d v="2562-07-07T00:00:00"/>
    <x v="2"/>
    <n v="620443"/>
    <x v="84"/>
    <s v="FWBWT2337130P"/>
    <s v="PD462070701"/>
    <x v="24"/>
    <s v="งานพิมพ์สมบูรณ์"/>
    <x v="25"/>
    <s v="งานพิมพ์ไม่สมบรูณ์ ตัวอักษรขาดหาย"/>
    <s v="ไม่ผ่าน"/>
    <n v="169"/>
    <s v="ใบ"/>
    <d v="2562-07-07T00:00:00"/>
    <d v="2562-07-14T00:00:00"/>
    <d v="2562-07-09T00:00:00"/>
    <s v="Pass"/>
    <d v="2562-07-09T00:00:00"/>
    <m/>
    <m/>
    <m/>
    <m/>
    <s v="Pass"/>
    <d v="2562-07-10T00:00:00"/>
    <s v="Pass"/>
    <d v="2562-07-10T00:00:00"/>
    <m/>
    <m/>
    <x v="157"/>
    <n v="-4"/>
  </r>
  <r>
    <s v="กรกฎาคม"/>
    <d v="2562-07-07T00:00:00"/>
    <x v="1"/>
    <n v="620444"/>
    <x v="14"/>
    <n v="62070702"/>
    <s v="39/070762"/>
    <x v="27"/>
    <s v="125-128"/>
    <x v="508"/>
    <s v="น้ำหนักสูงกว่ามาตรฐาน"/>
    <n v="2.2400000000000091"/>
    <s v="1500/197.4"/>
    <s v="เมตร/ก.ก."/>
    <d v="2562-07-07T00:00:00"/>
    <d v="2562-07-14T00:00:00"/>
    <d v="2562-07-09T00:00:00"/>
    <s v="Pass"/>
    <d v="2562-07-09T00:00:00"/>
    <s v="Pass"/>
    <d v="2562-07-09T00:00:00"/>
    <m/>
    <m/>
    <s v="Pass"/>
    <d v="2562-07-09T00:00:00"/>
    <s v="Pass"/>
    <d v="2562-07-09T00:00:00"/>
    <m/>
    <m/>
    <x v="16"/>
    <n v="-6"/>
  </r>
  <r>
    <s v="กรกฎาคม"/>
    <d v="2562-07-07T00:00:00"/>
    <x v="2"/>
    <n v="620445"/>
    <x v="85"/>
    <s v="FWBWT2025800SMLMP"/>
    <s v="PD4620707014"/>
    <x v="95"/>
    <s v="งานพิมพ์สมบูรณ์"/>
    <x v="25"/>
    <s v="งานพิมพ์ไม่สมบรูณ์ "/>
    <s v="ไม่ผ่าน"/>
    <n v="187"/>
    <s v="ใบ"/>
    <d v="2562-07-07T00:00:00"/>
    <d v="2562-07-14T00:00:00"/>
    <d v="2562-07-09T00:00:00"/>
    <m/>
    <m/>
    <m/>
    <m/>
    <m/>
    <m/>
    <m/>
    <m/>
    <m/>
    <m/>
    <m/>
    <m/>
    <x v="3"/>
    <n v="-241988"/>
  </r>
  <r>
    <s v="กรกฎาคม"/>
    <d v="2562-07-08T00:00:00"/>
    <x v="1"/>
    <n v="620446"/>
    <x v="14"/>
    <n v="62070832"/>
    <s v="79/080762"/>
    <x v="83"/>
    <s v="125-128"/>
    <x v="509"/>
    <s v="น้ำหนักใบสูง น้ำหนักเฉี่ย/ม้วนต่ำกว่ามาตรฐาน"/>
    <s v="2.16/1.50"/>
    <s v="1480/186.9"/>
    <s v="เมตร/ก.ก."/>
    <d v="2562-07-08T00:00:00"/>
    <d v="2562-07-15T00:00:00"/>
    <d v="2562-07-10T00:00:00"/>
    <s v="Pass"/>
    <d v="2562-07-09T00:00:00"/>
    <s v="Pass"/>
    <d v="2562-07-09T00:00:00"/>
    <m/>
    <m/>
    <s v="Pass"/>
    <d v="2562-07-09T00:00:00"/>
    <s v="Pass"/>
    <d v="2562-07-09T00:00:00"/>
    <m/>
    <m/>
    <x v="16"/>
    <n v="-6"/>
  </r>
  <r>
    <s v="กรกฎาคม"/>
    <d v="2562-07-08T00:00:00"/>
    <x v="1"/>
    <n v="620447"/>
    <x v="14"/>
    <n v="62070831"/>
    <s v="86/080762"/>
    <x v="56"/>
    <s v="125-128"/>
    <x v="510"/>
    <s v="น้ำหนักต่ำกว่ามาตรฐาน"/>
    <n v="1.5300000000000011"/>
    <s v="1500/189.8"/>
    <s v="เมตร/ก.ก."/>
    <d v="2562-07-08T00:00:00"/>
    <d v="2562-07-15T00:00:00"/>
    <d v="2562-07-10T00:00:00"/>
    <s v="Pass"/>
    <d v="2562-07-09T00:00:00"/>
    <s v="Pass"/>
    <d v="2562-07-09T00:00:00"/>
    <m/>
    <m/>
    <s v="Pass"/>
    <d v="2562-07-09T00:00:00"/>
    <s v="Pass"/>
    <d v="2562-07-09T00:00:00"/>
    <m/>
    <m/>
    <x v="16"/>
    <n v="-6"/>
  </r>
  <r>
    <s v="กรกฎาคม"/>
    <d v="2562-07-08T00:00:00"/>
    <x v="1"/>
    <n v="620448"/>
    <x v="42"/>
    <n v="62070850"/>
    <s v="15/080762"/>
    <x v="96"/>
    <s v="ผ้าทอเรียง2/1"/>
    <x v="511"/>
    <s v="ไม่ผ่านมีด้ายยืนหนีบ"/>
    <s v="ไม่ผ่าน"/>
    <s v="2500/178.6"/>
    <s v="เมตร/ก.ก."/>
    <d v="2562-07-08T00:00:00"/>
    <d v="2562-07-15T00:00:00"/>
    <d v="2562-07-10T00:00:00"/>
    <s v="Pass"/>
    <d v="2562-07-09T00:00:00"/>
    <s v="Pass"/>
    <d v="2562-07-09T00:00:00"/>
    <m/>
    <m/>
    <s v="Pass"/>
    <d v="2562-07-09T00:00:00"/>
    <s v="Pass"/>
    <d v="2562-07-10T00:00:00"/>
    <m/>
    <m/>
    <x v="168"/>
    <n v="-6"/>
  </r>
  <r>
    <s v="กรกฎาคม"/>
    <d v="2562-07-08T00:00:00"/>
    <x v="0"/>
    <n v="620449"/>
    <x v="13"/>
    <s v="TL620720"/>
    <n v="620720"/>
    <x v="1"/>
    <s v="Avg of D +10,-20 D"/>
    <x v="512"/>
    <s v="Avg ต่ำกว่ามาตรฐาน"/>
    <n v="188"/>
    <s v="3/1283.3"/>
    <s v="กรง/ก.ก."/>
    <d v="2562-07-08T00:00:00"/>
    <d v="2562-07-15T00:00:00"/>
    <d v="2562-07-10T00:00:00"/>
    <s v="Pass"/>
    <d v="2562-07-09T00:00:00"/>
    <m/>
    <m/>
    <m/>
    <m/>
    <s v="Pass"/>
    <d v="2562-07-09T00:00:00"/>
    <s v="Pass"/>
    <d v="2562-07-09T00:00:00"/>
    <m/>
    <m/>
    <x v="15"/>
    <n v="-7"/>
  </r>
  <r>
    <s v="กรกฎาคม"/>
    <d v="2562-07-08T00:00:00"/>
    <x v="0"/>
    <n v="620449"/>
    <x v="13"/>
    <s v="TL620720"/>
    <n v="620720"/>
    <x v="1"/>
    <s v="Avg of D +10,-20 D"/>
    <x v="513"/>
    <s v="Avg สูงกว่ามาตรฐาน"/>
    <s v="19,. 11"/>
    <m/>
    <m/>
    <d v="2562-07-08T00:00:00"/>
    <d v="2562-07-15T00:00:00"/>
    <d v="2562-07-10T00:00:00"/>
    <s v="Pass"/>
    <d v="2562-07-09T00:00:00"/>
    <m/>
    <m/>
    <m/>
    <m/>
    <s v="Pass"/>
    <d v="2562-07-09T00:00:00"/>
    <s v="Pass"/>
    <d v="2562-07-09T00:00:00"/>
    <m/>
    <m/>
    <x v="15"/>
    <n v="-7"/>
  </r>
  <r>
    <s v="กรกฎาคม"/>
    <d v="2562-07-08T00:00:00"/>
    <x v="0"/>
    <n v="620449"/>
    <x v="13"/>
    <s v="TL620720"/>
    <n v="620720"/>
    <x v="1"/>
    <s v="Std. ไม่เกิน 30 D"/>
    <x v="514"/>
    <s v="Std.เกินกว่ามาตรฐาน"/>
    <s v="10, 9, 55"/>
    <m/>
    <m/>
    <d v="2562-07-08T00:00:00"/>
    <d v="2562-07-15T00:00:00"/>
    <d v="2562-07-10T00:00:00"/>
    <s v="Pass"/>
    <d v="2562-07-09T00:00:00"/>
    <m/>
    <m/>
    <m/>
    <m/>
    <s v="Pass"/>
    <d v="2562-07-09T00:00:00"/>
    <s v="Pass"/>
    <d v="2562-07-09T00:00:00"/>
    <m/>
    <m/>
    <x v="15"/>
    <n v="-7"/>
  </r>
  <r>
    <s v="กรกฎาคม"/>
    <d v="2562-07-09T00:00:00"/>
    <x v="0"/>
    <n v="620450"/>
    <x v="1"/>
    <s v="TL620719"/>
    <n v="620719"/>
    <x v="1"/>
    <s v="Std. ไม่เกิน 30 D"/>
    <x v="515"/>
    <s v="Std.เกินกว่ามาตรฐาน"/>
    <s v="30 ,30"/>
    <s v="2/760.70"/>
    <s v="กรง/ก.ก."/>
    <d v="2562-07-09T00:00:00"/>
    <d v="2562-07-16T00:00:00"/>
    <d v="2562-07-11T00:00:00"/>
    <s v="Pass"/>
    <d v="2562-07-10T00:00:00"/>
    <m/>
    <m/>
    <m/>
    <m/>
    <s v="Pass"/>
    <d v="2562-07-10T00:00:00"/>
    <s v="Pass"/>
    <d v="2562-07-10T00:00:00"/>
    <m/>
    <m/>
    <x v="20"/>
    <n v="-6"/>
  </r>
  <r>
    <s v="กรกฎาคม"/>
    <d v="2562-07-09T00:00:00"/>
    <x v="0"/>
    <n v="620450"/>
    <x v="1"/>
    <s v="TL620719"/>
    <n v="620719"/>
    <x v="1"/>
    <s v="Avg of D +10,-20 D"/>
    <x v="516"/>
    <s v="Avg สูงกว่ามาตรฐาน"/>
    <n v="28"/>
    <m/>
    <m/>
    <d v="2562-07-09T00:00:00"/>
    <d v="2562-07-16T00:00:00"/>
    <d v="2562-07-11T00:00:00"/>
    <s v="Pass"/>
    <d v="2562-07-10T00:00:00"/>
    <m/>
    <m/>
    <m/>
    <m/>
    <s v="Pass"/>
    <d v="2562-07-10T00:00:00"/>
    <s v="Pass"/>
    <d v="2562-07-10T00:00:00"/>
    <m/>
    <m/>
    <x v="3"/>
    <n v="-6"/>
  </r>
  <r>
    <s v="กรกฎาคม"/>
    <d v="2562-07-09T00:00:00"/>
    <x v="11"/>
    <n v="620451"/>
    <x v="86"/>
    <s v="FWBWT2138102PLM"/>
    <m/>
    <x v="97"/>
    <s v="งานพิมพ์ตรงตามอาร์ตเวิร์ก"/>
    <x v="517"/>
    <s v="ไม่ผ่าน ลูกค้าตีกลับ"/>
    <m/>
    <n v="14215"/>
    <s v="ใบ"/>
    <d v="2562-07-09T00:00:00"/>
    <d v="2562-07-16T00:00:00"/>
    <d v="2562-07-11T00:00:00"/>
    <s v="Pass"/>
    <d v="2562-07-10T00:00:00"/>
    <m/>
    <m/>
    <m/>
    <m/>
    <s v="Pass"/>
    <d v="2562-07-10T00:00:00"/>
    <s v="Pass"/>
    <d v="2562-07-10T00:00:00"/>
    <m/>
    <m/>
    <x v="169"/>
    <n v="-6"/>
  </r>
  <r>
    <s v="กรกฎาคม"/>
    <d v="2562-07-09T00:00:00"/>
    <x v="12"/>
    <n v="620452"/>
    <x v="87"/>
    <s v="FWBWT193060P"/>
    <s v="PD462070302"/>
    <x v="98"/>
    <s v="กระสอบสะอาดไม่มีผงฝุ่นสิ่งสกปรกเกาะติด"/>
    <x v="518"/>
    <s v="ไม่ผ่าน ลูกค้าตีกลับ"/>
    <m/>
    <n v="5000"/>
    <s v="ใบ"/>
    <d v="2562-07-09T00:00:00"/>
    <d v="2562-07-16T00:00:00"/>
    <d v="2562-07-11T00:00:00"/>
    <s v="Pass"/>
    <d v="2562-07-10T00:00:00"/>
    <m/>
    <m/>
    <m/>
    <m/>
    <s v="Pass"/>
    <d v="2562-07-10T00:00:00"/>
    <s v="Pass"/>
    <d v="2562-07-10T00:00:00"/>
    <m/>
    <m/>
    <x v="170"/>
    <n v="-6"/>
  </r>
  <r>
    <s v="กรกฎาคม"/>
    <d v="2562-07-09T00:00:00"/>
    <x v="1"/>
    <n v="620453"/>
    <x v="14"/>
    <n v="62070956"/>
    <s v="20/090762"/>
    <x v="55"/>
    <s v="125-128"/>
    <x v="519"/>
    <s v="น้ำหนักต่ำกว่ามาตรฐาน"/>
    <n v="0.34000000000000341"/>
    <s v="1344/175"/>
    <s v="เมตร/ก.ก."/>
    <d v="2562-07-09T00:00:00"/>
    <d v="2562-07-16T00:00:00"/>
    <d v="2562-07-11T00:00:00"/>
    <s v="Pass"/>
    <d v="2562-02-11T00:00:00"/>
    <m/>
    <m/>
    <m/>
    <m/>
    <s v="Pass"/>
    <d v="2562-02-12T00:00:00"/>
    <s v="Pass"/>
    <d v="2562-02-19T00:00:00"/>
    <m/>
    <m/>
    <x v="59"/>
    <n v="-147"/>
  </r>
  <r>
    <s v="กรกฎาคม"/>
    <d v="2562-07-09T00:00:00"/>
    <x v="1"/>
    <n v="620454"/>
    <x v="14"/>
    <n v="62070922"/>
    <s v="53/090762"/>
    <x v="19"/>
    <s v="125-128"/>
    <x v="520"/>
    <s v="น้ำหนักสูงกว่ามาตรฐาน"/>
    <n v="1.1599999999999966"/>
    <s v="1502/194"/>
    <s v="เมตร/ก.ก."/>
    <d v="2562-07-09T00:00:00"/>
    <d v="2562-07-16T00:00:00"/>
    <d v="2562-07-11T00:00:00"/>
    <s v="Pass"/>
    <d v="2562-02-11T00:00:00"/>
    <m/>
    <m/>
    <m/>
    <m/>
    <s v="Pass"/>
    <d v="2562-02-12T00:00:00"/>
    <s v="Pass"/>
    <d v="2562-02-19T00:00:00"/>
    <m/>
    <m/>
    <x v="171"/>
    <n v="-147"/>
  </r>
  <r>
    <s v="กรกฎาคม"/>
    <d v="2562-07-09T00:00:00"/>
    <x v="1"/>
    <n v="620454"/>
    <x v="14"/>
    <n v="62070907"/>
    <s v="95/090762"/>
    <x v="88"/>
    <s v="125-128"/>
    <x v="521"/>
    <s v="น้ำหนักสูงกว่ามาตรฐาน"/>
    <n v="1.3000000000000114"/>
    <s v="1500/194.1"/>
    <s v="เมตร/ก.ก."/>
    <d v="2562-07-09T00:00:00"/>
    <d v="2562-07-16T00:00:00"/>
    <d v="2562-07-11T00:00:00"/>
    <s v="Pass"/>
    <d v="2562-02-11T00:00:00"/>
    <m/>
    <m/>
    <m/>
    <m/>
    <s v="Pass"/>
    <d v="2562-02-12T00:00:00"/>
    <s v="Pass"/>
    <d v="2562-02-19T00:00:00"/>
    <m/>
    <m/>
    <x v="171"/>
    <n v="-147"/>
  </r>
  <r>
    <s v="กรกฎาคม"/>
    <d v="2562-07-09T00:00:00"/>
    <x v="1"/>
    <n v="620455"/>
    <x v="42"/>
    <n v="62070938"/>
    <s v="15/090762"/>
    <x v="96"/>
    <s v="ผ้าทอเรียง2/1"/>
    <x v="511"/>
    <s v="ไม่ผ่านมีด้ายยืนหนีบ"/>
    <s v="ไม่ผ่าน"/>
    <s v="1930/134.5"/>
    <s v="เมตร/ก.ก."/>
    <d v="2562-07-09T00:00:00"/>
    <d v="2562-07-16T00:00:00"/>
    <d v="2562-07-11T00:00:00"/>
    <s v="Pass"/>
    <d v="2562-02-11T00:00:00"/>
    <m/>
    <m/>
    <m/>
    <m/>
    <s v="Pass"/>
    <d v="2562-02-12T00:00:00"/>
    <s v="Pass"/>
    <d v="2562-02-19T00:00:00"/>
    <m/>
    <m/>
    <x v="172"/>
    <n v="-147"/>
  </r>
  <r>
    <s v="กรกฎาคม"/>
    <d v="2562-07-09T00:00:00"/>
    <x v="0"/>
    <n v="620456"/>
    <x v="69"/>
    <s v="TL620722"/>
    <n v="620722"/>
    <x v="1"/>
    <s v="Std. ไม่เกิน 30 D"/>
    <x v="522"/>
    <s v="Std.เกินกว่ามาตรฐาน"/>
    <n v="14"/>
    <s v="1/243.2"/>
    <m/>
    <d v="2562-07-09T00:00:00"/>
    <d v="2562-07-16T00:00:00"/>
    <d v="2562-07-11T00:00:00"/>
    <s v="Pass"/>
    <d v="2562-07-10T00:00:00"/>
    <m/>
    <m/>
    <m/>
    <m/>
    <s v="Pass"/>
    <d v="2562-07-10T00:00:00"/>
    <s v="Pass"/>
    <d v="2562-07-10T00:00:00"/>
    <m/>
    <m/>
    <x v="122"/>
    <n v="-7"/>
  </r>
  <r>
    <s v="กรกฎาคม"/>
    <d v="2562-07-10T00:00:00"/>
    <x v="2"/>
    <n v="620457"/>
    <x v="88"/>
    <s v="FWBWT2638132PL"/>
    <s v="PD462071020"/>
    <x v="50"/>
    <s v="ผ้าเรียบสม่ำเสมอ,งานพิมพ์สมบูรณ์"/>
    <x v="523"/>
    <s v="พบรูโคโลน่า"/>
    <s v="ไม่ผ่าน"/>
    <n v="152"/>
    <s v="ใบ"/>
    <d v="2562-07-10T00:00:00"/>
    <d v="2562-07-17T00:00:00"/>
    <d v="2562-07-12T00:00:00"/>
    <s v="Pass"/>
    <d v="2562-07-20T00:00:00"/>
    <m/>
    <m/>
    <m/>
    <m/>
    <s v="Pass"/>
    <d v="2562-07-23T00:00:00"/>
    <s v="Pass"/>
    <d v="2562-07-23T00:00:00"/>
    <m/>
    <m/>
    <x v="156"/>
    <n v="6"/>
  </r>
  <r>
    <s v="กรกฎาคม"/>
    <d v="2562-07-10T00:00:00"/>
    <x v="0"/>
    <n v="620458"/>
    <x v="69"/>
    <s v="TL620722"/>
    <n v="620722"/>
    <x v="1"/>
    <s v="Avg of D +10,-20 D"/>
    <x v="524"/>
    <s v="Avg สูงกว่ามาตรฐาน"/>
    <n v="5"/>
    <s v="1/565.8"/>
    <s v="กรง/ก.ก."/>
    <d v="2562-07-10T00:00:00"/>
    <d v="2562-07-17T00:00:00"/>
    <d v="2562-07-12T00:00:00"/>
    <s v="Pass"/>
    <d v="2562-07-17T00:00:00"/>
    <m/>
    <m/>
    <m/>
    <m/>
    <s v="Pass"/>
    <d v="2562-07-18T00:00:00"/>
    <s v="Pass"/>
    <d v="2562-07-18T00:00:00"/>
    <m/>
    <m/>
    <x v="122"/>
    <n v="1"/>
  </r>
  <r>
    <s v="กรกฎาคม"/>
    <d v="2562-07-10T00:00:00"/>
    <x v="0"/>
    <n v="620458"/>
    <x v="69"/>
    <s v="TL620722"/>
    <n v="620722"/>
    <x v="1"/>
    <s v="Std. ไม่เกิน 30 D"/>
    <x v="52"/>
    <s v="Std.เกินกว่ามาตรฐาน"/>
    <n v="12"/>
    <m/>
    <m/>
    <d v="2562-07-10T00:00:00"/>
    <d v="2562-07-17T00:00:00"/>
    <d v="2562-07-12T00:00:00"/>
    <s v="Pass"/>
    <d v="2562-07-17T00:00:00"/>
    <s v="Pass"/>
    <d v="2562-07-18T00:00:00"/>
    <s v="Pass"/>
    <d v="2562-07-18T00:00:00"/>
    <s v="Pass"/>
    <d v="2562-07-18T00:00:00"/>
    <s v="Pass"/>
    <d v="2562-07-18T00:00:00"/>
    <s v="wrwt21980"/>
    <m/>
    <x v="122"/>
    <n v="1"/>
  </r>
  <r>
    <s v="กรกฎาคม"/>
    <d v="2562-07-10T00:00:00"/>
    <x v="1"/>
    <n v="620459"/>
    <x v="14"/>
    <n v="62071030"/>
    <s v="45/100762"/>
    <x v="64"/>
    <s v="125-128"/>
    <x v="438"/>
    <s v="น้ำหนักต่ำกว่ามาตรฐาน"/>
    <n v="0.79999999999999716"/>
    <s v="1505/190.2"/>
    <s v="เมตร/ก.ก."/>
    <d v="2562-07-10T00:00:00"/>
    <d v="2562-07-17T00:00:00"/>
    <d v="2562-07-12T00:00:00"/>
    <s v="Pass"/>
    <d v="2562-02-11T00:00:00"/>
    <m/>
    <m/>
    <m/>
    <m/>
    <s v="Pass"/>
    <d v="2562-02-12T00:00:00"/>
    <s v="Pass"/>
    <d v="2562-02-19T00:00:00"/>
    <m/>
    <m/>
    <x v="59"/>
    <m/>
  </r>
  <r>
    <s v="กรกฎาคม"/>
    <d v="2562-07-10T00:00:00"/>
    <x v="1"/>
    <n v="620459"/>
    <x v="14"/>
    <n v="62071020"/>
    <s v="71/100762"/>
    <x v="17"/>
    <s v="125-128"/>
    <x v="525"/>
    <s v="น้ำหนักต่ำกว่ามาตรฐาน"/>
    <n v="2.4899999999999949"/>
    <s v="1508/187.9"/>
    <s v="เมตร/ก.ก."/>
    <d v="2562-07-10T00:00:00"/>
    <d v="2562-07-17T00:00:00"/>
    <d v="2562-07-12T00:00:00"/>
    <s v="Pass"/>
    <d v="2562-02-11T00:00:00"/>
    <m/>
    <m/>
    <m/>
    <m/>
    <s v="Pass"/>
    <d v="2562-02-12T00:00:00"/>
    <s v="Pass"/>
    <d v="2562-02-19T00:00:00"/>
    <m/>
    <m/>
    <x v="59"/>
    <m/>
  </r>
  <r>
    <s v="กรกฎาคม"/>
    <d v="2562-07-10T00:00:00"/>
    <x v="1"/>
    <n v="620460"/>
    <x v="14"/>
    <n v="62071017"/>
    <s v="20/100762"/>
    <x v="55"/>
    <s v="125-128"/>
    <x v="526"/>
    <s v="น้ำหนักใบต่ำกว่ามาตรฐาน"/>
    <n v="5.4300000000000068"/>
    <s v="1383/178.2"/>
    <s v="เมตร/ก.ก."/>
    <d v="2562-07-10T00:00:00"/>
    <d v="2562-07-17T00:00:00"/>
    <d v="2562-07-12T00:00:00"/>
    <s v="Pass"/>
    <d v="2562-07-20T00:00:00"/>
    <m/>
    <m/>
    <m/>
    <m/>
    <s v="Pass"/>
    <d v="2562-07-20T00:00:00"/>
    <s v="Pass"/>
    <d v="2562-07-22T00:00:00"/>
    <m/>
    <m/>
    <x v="16"/>
    <n v="4"/>
  </r>
  <r>
    <s v="กรกฎาคม"/>
    <d v="2562-07-11T00:00:00"/>
    <x v="0"/>
    <n v="620461"/>
    <x v="2"/>
    <s v="TL620724"/>
    <n v="620724"/>
    <x v="1"/>
    <s v="Avg of D +10,-20 D"/>
    <x v="527"/>
    <s v="Avg ต่ำกว่ามาตรฐาน"/>
    <s v="1, 16"/>
    <s v="5/2464.70"/>
    <s v="กรง/ก.ก."/>
    <d v="2562-07-11T00:00:00"/>
    <d v="2562-07-18T00:00:00"/>
    <d v="2562-07-13T00:00:00"/>
    <s v="Pass"/>
    <d v="2562-07-17T00:00:00"/>
    <m/>
    <m/>
    <m/>
    <m/>
    <s v="Pass"/>
    <d v="2562-07-18T00:00:00"/>
    <s v="Pass"/>
    <d v="2562-07-18T00:00:00"/>
    <m/>
    <m/>
    <x v="12"/>
    <n v="0"/>
  </r>
  <r>
    <s v="กรกฎาคม"/>
    <d v="2562-07-11T00:00:00"/>
    <x v="0"/>
    <n v="620461"/>
    <x v="2"/>
    <s v="TL620724"/>
    <n v="620724"/>
    <x v="1"/>
    <s v="Avg of D +10,-20 D"/>
    <x v="325"/>
    <s v="Avg สูงกว่ามาตรฐาน"/>
    <n v="5"/>
    <m/>
    <m/>
    <d v="2562-07-11T00:00:00"/>
    <d v="2562-07-18T00:00:00"/>
    <d v="2562-07-13T00:00:00"/>
    <s v="Pass"/>
    <d v="2562-07-17T00:00:00"/>
    <m/>
    <m/>
    <m/>
    <m/>
    <s v="Pass"/>
    <d v="2562-07-18T00:00:00"/>
    <s v="Pass"/>
    <d v="2562-07-18T00:00:00"/>
    <m/>
    <m/>
    <x v="12"/>
    <n v="0"/>
  </r>
  <r>
    <s v="กรกฎาคม"/>
    <d v="2562-07-11T00:00:00"/>
    <x v="0"/>
    <n v="620461"/>
    <x v="2"/>
    <s v="TL620724"/>
    <n v="620724"/>
    <x v="1"/>
    <s v="Std. ไม่เกิน 30 D"/>
    <x v="528"/>
    <s v="Std.เกินกว่ามาตรฐาน"/>
    <s v="5, 5, 7, 6"/>
    <m/>
    <m/>
    <d v="2562-07-11T00:00:00"/>
    <d v="2562-07-18T00:00:00"/>
    <d v="2562-07-13T00:00:00"/>
    <s v="Pass"/>
    <d v="2562-07-17T00:00:00"/>
    <m/>
    <m/>
    <m/>
    <m/>
    <s v="Pass"/>
    <d v="2562-07-18T00:00:00"/>
    <s v="Pass"/>
    <d v="2562-07-18T00:00:00"/>
    <m/>
    <m/>
    <x v="12"/>
    <n v="0"/>
  </r>
  <r>
    <s v="กรกฎาคม"/>
    <d v="2562-07-11T00:00:00"/>
    <x v="5"/>
    <n v="620462"/>
    <x v="89"/>
    <s v="FWBWT2039102PLM"/>
    <s v="PD462071117"/>
    <x v="34"/>
    <s v="ผ้าเรียบสม่ำเสมอ,งานเคลือบสมบูรณ์"/>
    <x v="529"/>
    <s v="ผ้าเคลือบไม่ติดบริเวณ ด้านข้าง"/>
    <s v="ไม่ผ่าน"/>
    <n v="200"/>
    <s v="ใบ"/>
    <d v="2562-07-11T00:00:00"/>
    <d v="2562-07-18T00:00:00"/>
    <d v="2562-07-13T00:00:00"/>
    <s v="Pass"/>
    <d v="2562-07-13T00:00:00"/>
    <m/>
    <m/>
    <m/>
    <m/>
    <s v="Pass"/>
    <d v="2562-07-18T00:00:00"/>
    <s v="Pass"/>
    <d v="2562-07-18T00:00:00"/>
    <m/>
    <m/>
    <x v="135"/>
    <n v="0"/>
  </r>
  <r>
    <s v="กรกฎาคม"/>
    <d v="2562-07-11T00:00:00"/>
    <x v="2"/>
    <n v="620463"/>
    <x v="90"/>
    <s v="FWBWT2036100PLM"/>
    <s v="PD462071120"/>
    <x v="95"/>
    <s v="ผ้าเรียบสม่ำเสมอ,งานพิมพ์สมบูรณ์"/>
    <x v="530"/>
    <s v="ผ้าเป็นรอยฟ้าผ่า"/>
    <s v="ไม่ผ่าน"/>
    <n v="133"/>
    <s v="ใบ"/>
    <d v="2562-07-11T00:00:00"/>
    <d v="2562-07-18T00:00:00"/>
    <d v="2562-07-13T00:00:00"/>
    <s v="Pass"/>
    <d v="2562-07-11T00:00:00"/>
    <m/>
    <m/>
    <m/>
    <m/>
    <s v="Pass"/>
    <d v="2562-07-12T00:00:00"/>
    <s v="Pass"/>
    <d v="2562-07-12T00:00:00"/>
    <m/>
    <m/>
    <x v="173"/>
    <n v="-7"/>
  </r>
  <r>
    <s v="กรกฎาคม"/>
    <d v="2562-07-11T00:00:00"/>
    <x v="0"/>
    <n v="620464"/>
    <x v="13"/>
    <s v="TL620725"/>
    <n v="620725"/>
    <x v="0"/>
    <s v="Avg of D +10,-20 D"/>
    <x v="531"/>
    <s v="Avg สูงกว่ามาตรฐาน"/>
    <n v="2"/>
    <s v="2/781.50"/>
    <s v="กรง/ก.ก."/>
    <d v="2562-07-11T00:00:00"/>
    <d v="2562-07-18T00:00:00"/>
    <d v="2562-07-13T00:00:00"/>
    <s v="Pass"/>
    <d v="2562-07-17T00:00:00"/>
    <m/>
    <m/>
    <m/>
    <m/>
    <s v="Pass"/>
    <d v="2562-07-18T00:00:00"/>
    <s v="Pass"/>
    <d v="2562-07-18T00:00:00"/>
    <m/>
    <m/>
    <x v="15"/>
    <n v="-1"/>
  </r>
  <r>
    <s v="กรกฎาคม"/>
    <d v="2562-07-11T00:00:00"/>
    <x v="0"/>
    <n v="620464"/>
    <x v="13"/>
    <s v="TL620725"/>
    <n v="620725"/>
    <x v="0"/>
    <s v="Std. ไม่เกิน 30 D"/>
    <x v="9"/>
    <s v="Std.เกินกว่ามาตรฐาน"/>
    <n v="1"/>
    <m/>
    <m/>
    <d v="2562-07-11T00:00:00"/>
    <d v="2562-07-18T00:00:00"/>
    <d v="2562-07-13T00:00:00"/>
    <s v="Pass"/>
    <d v="2562-07-17T00:00:00"/>
    <m/>
    <m/>
    <m/>
    <m/>
    <s v="Pass"/>
    <d v="2562-07-18T00:00:00"/>
    <s v="Pass"/>
    <d v="2562-07-18T00:00:00"/>
    <m/>
    <m/>
    <x v="15"/>
    <n v="-1"/>
  </r>
  <r>
    <s v="กรกฎาคม"/>
    <d v="2562-07-12T00:00:00"/>
    <x v="0"/>
    <n v="620465"/>
    <x v="2"/>
    <s v="TL620724"/>
    <n v="620724"/>
    <x v="1"/>
    <s v="Std. ไม่เกิน 30 D"/>
    <x v="243"/>
    <s v="Std.เกินกว่ามาตรฐาน"/>
    <n v="9"/>
    <s v="1/548.5"/>
    <s v="กรง/ก.ก."/>
    <d v="2562-07-12T00:00:00"/>
    <d v="2562-07-19T00:00:00"/>
    <d v="2562-07-14T00:00:00"/>
    <s v="Pass"/>
    <d v="2562-07-18T00:00:00"/>
    <m/>
    <m/>
    <m/>
    <m/>
    <s v="Pass"/>
    <d v="2562-07-18T00:00:00"/>
    <s v="Pass"/>
    <d v="2562-07-18T00:00:00"/>
    <m/>
    <m/>
    <x v="12"/>
    <n v="-7"/>
  </r>
  <r>
    <s v="กรกฎาคม"/>
    <d v="2562-07-12T00:00:00"/>
    <x v="1"/>
    <n v="620466"/>
    <x v="14"/>
    <n v="62071227"/>
    <s v="39/120762"/>
    <x v="27"/>
    <s v="125-128"/>
    <x v="532"/>
    <s v="น้ำหนักต่ำกว่ามาตรฐาน"/>
    <n v="1.4000000000000057"/>
    <s v="1549/194.7"/>
    <s v="เมตร/ก.ก."/>
    <d v="2562-07-12T00:00:00"/>
    <d v="2562-07-19T00:00:00"/>
    <d v="2562-07-14T00:00:00"/>
    <s v="Pass"/>
    <d v="2562-07-20T00:00:00"/>
    <m/>
    <m/>
    <m/>
    <m/>
    <s v="Pass"/>
    <d v="2562-07-20T00:00:00"/>
    <s v="Pass"/>
    <d v="2562-07-22T00:00:00"/>
    <m/>
    <m/>
    <x v="16"/>
    <n v="3"/>
  </r>
  <r>
    <s v="กรกฎาคม"/>
    <d v="2562-07-12T00:00:00"/>
    <x v="1"/>
    <n v="620467"/>
    <x v="14"/>
    <n v="62071275"/>
    <s v="79/120762"/>
    <x v="83"/>
    <s v="125-128"/>
    <x v="533"/>
    <s v="น้ำหนักต่ำกว่ามาตรฐาน"/>
    <n v="1.6299999999999955"/>
    <s v="1538/193.6"/>
    <s v="เมตร/ก.ก."/>
    <d v="2562-07-12T00:00:00"/>
    <d v="2562-07-19T00:00:00"/>
    <d v="2562-07-14T00:00:00"/>
    <s v="Pass"/>
    <d v="2562-07-20T00:00:00"/>
    <m/>
    <m/>
    <m/>
    <m/>
    <s v="Pass"/>
    <d v="2562-07-20T00:00:00"/>
    <s v="Pass"/>
    <d v="2562-07-22T00:00:00"/>
    <m/>
    <m/>
    <x v="16"/>
    <n v="-3"/>
  </r>
  <r>
    <s v="กรกฎาคม"/>
    <d v="2562-07-12T00:00:00"/>
    <x v="1"/>
    <n v="620467"/>
    <x v="14"/>
    <n v="62071274"/>
    <s v="90/120762"/>
    <x v="62"/>
    <s v="125-128"/>
    <x v="534"/>
    <s v="น้ำหนักต่ำกว่ามาตรฐาน"/>
    <n v="1.1700000000000017"/>
    <s v="1500/188.9"/>
    <s v="เมตร/ก.ก."/>
    <d v="2562-07-12T00:00:00"/>
    <d v="2562-07-19T00:00:00"/>
    <d v="2562-07-14T00:00:00"/>
    <s v="Pass"/>
    <d v="2562-07-20T00:00:00"/>
    <m/>
    <m/>
    <m/>
    <m/>
    <s v="Pass"/>
    <d v="2562-07-20T00:00:00"/>
    <s v="Pass"/>
    <d v="2562-07-22T00:00:00"/>
    <m/>
    <m/>
    <x v="16"/>
    <m/>
  </r>
  <r>
    <s v="กรกฎาคม"/>
    <d v="2562-07-12T00:00:00"/>
    <x v="1"/>
    <n v="620468"/>
    <x v="8"/>
    <n v="62071261"/>
    <s v="59/120762"/>
    <x v="84"/>
    <s v="119-121"/>
    <x v="535"/>
    <s v="น้ำหนักสูงกว่ามาตรฐาน"/>
    <n v="1.9699999999999989"/>
    <s v="1447/165.1"/>
    <s v="เมตร/ก.ก."/>
    <d v="2562-07-12T00:00:00"/>
    <d v="2562-07-19T00:00:00"/>
    <d v="2562-07-14T00:00:00"/>
    <s v="Pass"/>
    <d v="2562-07-20T00:00:00"/>
    <m/>
    <m/>
    <m/>
    <m/>
    <s v="Pass"/>
    <d v="2562-07-20T00:00:00"/>
    <s v="Pass"/>
    <d v="2562-07-22T00:00:00"/>
    <m/>
    <m/>
    <x v="39"/>
    <n v="-4"/>
  </r>
  <r>
    <s v="กรกฎาคม"/>
    <d v="2562-07-18T00:00:00"/>
    <x v="1"/>
    <n v="620469"/>
    <x v="14"/>
    <n v="62071860"/>
    <s v="28/180762"/>
    <x v="15"/>
    <s v="125-128"/>
    <x v="536"/>
    <s v="น้ำหนักต่ำกว่ามาตรฐาน"/>
    <n v="2.8199999999999932"/>
    <s v="1476/189.6"/>
    <s v="เมตร/ก.ก."/>
    <d v="2562-07-18T00:00:00"/>
    <d v="2562-07-25T00:00:00"/>
    <d v="2562-07-20T00:00:00"/>
    <s v="Pass"/>
    <d v="2562-07-20T00:00:00"/>
    <m/>
    <m/>
    <m/>
    <m/>
    <s v="Pass"/>
    <d v="2562-07-20T00:00:00"/>
    <s v="Pass"/>
    <d v="2562-07-22T00:00:00"/>
    <m/>
    <m/>
    <x v="16"/>
    <n v="-3"/>
  </r>
  <r>
    <s v="กรกฎาคม"/>
    <d v="2562-07-18T00:00:00"/>
    <x v="1"/>
    <n v="620469"/>
    <x v="14"/>
    <n v="62071862"/>
    <s v="53/180762"/>
    <x v="19"/>
    <s v="125-128"/>
    <x v="537"/>
    <s v="น้ำหนักต่ำกว่ามาตรฐาน"/>
    <n v="2.480000000000004"/>
    <s v="1503/188.6"/>
    <s v="เมตร/ก.ก."/>
    <d v="2562-07-18T00:00:00"/>
    <d v="2562-07-25T00:00:00"/>
    <d v="2562-07-20T00:00:00"/>
    <s v="Pass"/>
    <d v="2562-07-20T00:00:00"/>
    <m/>
    <m/>
    <m/>
    <m/>
    <s v="Pass"/>
    <d v="2562-07-20T00:00:00"/>
    <s v="Pass"/>
    <d v="2562-07-22T00:00:00"/>
    <m/>
    <m/>
    <x v="16"/>
    <n v="-4"/>
  </r>
  <r>
    <s v="กรกฎาคม"/>
    <d v="2562-07-19T00:00:00"/>
    <x v="1"/>
    <n v="620470"/>
    <x v="14"/>
    <n v="62071939"/>
    <s v="71/190762"/>
    <x v="17"/>
    <s v="125-128"/>
    <x v="538"/>
    <s v="น้ำหนักต่ำกว่ามาตรฐาน"/>
    <n v="2.0699999999999932"/>
    <s v="1440/182.5"/>
    <s v="เมตร/ก.ก."/>
    <d v="2562-07-19T00:00:00"/>
    <d v="2562-07-26T00:00:00"/>
    <d v="2562-07-21T00:00:00"/>
    <s v="Pass"/>
    <d v="2562-07-22T00:00:00"/>
    <m/>
    <m/>
    <m/>
    <m/>
    <s v="Pass"/>
    <d v="2562-07-22T00:00:00"/>
    <s v="Pass"/>
    <d v="2562-07-23T00:00:00"/>
    <m/>
    <m/>
    <x v="16"/>
    <n v="-3"/>
  </r>
  <r>
    <s v="กรกฎาคม"/>
    <d v="2562-07-19T00:00:00"/>
    <x v="1"/>
    <n v="620471"/>
    <x v="14"/>
    <n v="62071914"/>
    <s v="60/190762"/>
    <x v="72"/>
    <s v="125-128"/>
    <x v="539"/>
    <s v="น้ำหนักสูงกว่ามาตรฐาน"/>
    <n v="3.6200000000000045"/>
    <s v="1500/196.2"/>
    <s v="เมตร/ก.ก."/>
    <d v="2562-07-19T00:00:00"/>
    <d v="2562-07-26T00:00:00"/>
    <d v="2562-07-21T00:00:00"/>
    <s v="Pass"/>
    <d v="2562-07-22T00:00:00"/>
    <m/>
    <m/>
    <m/>
    <m/>
    <s v="Pass"/>
    <d v="2562-07-22T00:00:00"/>
    <s v="Pass"/>
    <d v="2562-07-23T00:00:00"/>
    <m/>
    <m/>
    <x v="16"/>
    <n v="-3"/>
  </r>
  <r>
    <s v="กรกฎาคม"/>
    <d v="2562-07-19T00:00:00"/>
    <x v="1"/>
    <n v="620472"/>
    <x v="3"/>
    <n v="62071958"/>
    <s v="6/190762"/>
    <x v="48"/>
    <s v="67-70"/>
    <x v="540"/>
    <s v="น้ำหนักสูงกว่ามาตรฐาน"/>
    <n v="1.62"/>
    <s v="2500/181.7"/>
    <s v="เมตร/ก.ก."/>
    <d v="2562-07-19T00:00:00"/>
    <d v="2562-07-26T00:00:00"/>
    <d v="2562-07-21T00:00:00"/>
    <s v="Pass"/>
    <d v="2562-07-22T00:00:00"/>
    <m/>
    <m/>
    <m/>
    <m/>
    <s v="Pass"/>
    <d v="2562-07-22T00:00:00"/>
    <s v="Pass"/>
    <d v="2562-07-23T00:00:00"/>
    <m/>
    <m/>
    <x v="4"/>
    <n v="-8"/>
  </r>
  <r>
    <s v="กรกฎาคม"/>
    <d v="2562-07-19T00:00:00"/>
    <x v="1"/>
    <n v="620473"/>
    <x v="14"/>
    <n v="62071965"/>
    <s v="45/190762"/>
    <x v="64"/>
    <s v="125-128"/>
    <x v="541"/>
    <s v="น้ำหนักใบสูงฉลี่ย/ม้วนต่ำกว่ามาตรฐาน"/>
    <n v="3.1899999999999977"/>
    <s v="1505/189.5"/>
    <s v="เมตร/ก.ก."/>
    <d v="2562-07-24T00:00:00"/>
    <d v="2562-07-31T00:00:00"/>
    <d v="2562-07-26T00:00:00"/>
    <s v="Pass"/>
    <d v="2562-07-22T00:00:00"/>
    <m/>
    <m/>
    <m/>
    <m/>
    <s v="Pass"/>
    <d v="2562-07-22T00:00:00"/>
    <s v="Pass"/>
    <d v="2562-07-23T00:00:00"/>
    <m/>
    <m/>
    <x v="16"/>
    <n v="-4"/>
  </r>
  <r>
    <m/>
    <m/>
    <x v="9"/>
    <m/>
    <x v="64"/>
    <m/>
    <m/>
    <x v="75"/>
    <m/>
    <x v="117"/>
    <m/>
    <n v="1.8599999999999994"/>
    <m/>
    <m/>
    <m/>
    <m/>
    <m/>
    <m/>
    <m/>
    <m/>
    <m/>
    <m/>
    <m/>
    <m/>
    <m/>
    <m/>
    <m/>
    <m/>
    <m/>
    <x v="3"/>
    <m/>
  </r>
  <r>
    <s v="กรกฎาคม"/>
    <d v="2562-07-20T00:00:00"/>
    <x v="0"/>
    <n v="620474"/>
    <x v="1"/>
    <s v="TL620732"/>
    <n v="620732"/>
    <x v="0"/>
    <s v="Avg of D +10,-20 D"/>
    <x v="542"/>
    <s v="Avg สูงกว่ามาตรฐาน"/>
    <n v="26"/>
    <s v="1/230.9"/>
    <s v="กรง/ก.ก."/>
    <d v="2562-07-20T00:00:00"/>
    <d v="2562-07-27T00:00:00"/>
    <d v="2562-07-22T00:00:00"/>
    <s v="Pass"/>
    <d v="2562-07-25T00:00:00"/>
    <m/>
    <m/>
    <m/>
    <m/>
    <s v="Pass"/>
    <d v="2562-07-27T00:00:00"/>
    <s v="Pass"/>
    <d v="2562-07-27T00:00:00"/>
    <m/>
    <m/>
    <x v="20"/>
    <n v="-2"/>
  </r>
  <r>
    <s v="กรกฎาคม"/>
    <d v="2562-07-22T00:00:00"/>
    <x v="1"/>
    <n v="620475"/>
    <x v="39"/>
    <n v="62072244"/>
    <s v="07/220762"/>
    <x v="91"/>
    <s v="80-85"/>
    <x v="543"/>
    <s v="น้ำหนักสูงกว่ามาตรฐาน"/>
    <n v="6.1500000000000057"/>
    <s v="1500/138.5"/>
    <s v="เมตร/ก.ก."/>
    <d v="2562-07-22T00:00:00"/>
    <d v="2562-07-29T00:00:00"/>
    <d v="2562-07-24T00:00:00"/>
    <s v="Pass"/>
    <d v="2562-07-26T00:00:00"/>
    <m/>
    <m/>
    <m/>
    <m/>
    <s v="Pass"/>
    <d v="2562-07-27T00:00:00"/>
    <s v="Pass"/>
    <d v="2562-07-27T00:00:00"/>
    <m/>
    <m/>
    <x v="56"/>
    <n v="-4"/>
  </r>
  <r>
    <s v="กรกฎาคม"/>
    <d v="2562-07-24T00:00:00"/>
    <x v="0"/>
    <n v="620476"/>
    <x v="69"/>
    <s v="TL620735"/>
    <n v="620735"/>
    <x v="1"/>
    <s v="Avg of D +10,-20 D"/>
    <x v="544"/>
    <s v="Avg สูงกว่ามาตรฐาน"/>
    <s v="12, 2"/>
    <s v="3/1392.5"/>
    <s v="กรง/ก.ก."/>
    <d v="2562-07-24T00:00:00"/>
    <d v="2562-07-31T00:00:00"/>
    <d v="2562-07-26T00:00:00"/>
    <s v="Pass"/>
    <d v="2562-07-25T00:00:00"/>
    <m/>
    <m/>
    <m/>
    <m/>
    <s v="Pass"/>
    <d v="2562-07-27T00:00:00"/>
    <s v="Pass"/>
    <d v="2562-07-27T00:00:00"/>
    <m/>
    <m/>
    <x v="122"/>
    <m/>
  </r>
  <r>
    <s v="กรกฎาคม"/>
    <d v="2562-07-24T00:00:00"/>
    <x v="0"/>
    <n v="620476"/>
    <x v="69"/>
    <s v="TL620735"/>
    <n v="620735"/>
    <x v="1"/>
    <s v="Std. ไม่เกิน 30 D"/>
    <x v="545"/>
    <s v="Std.เกินกว่ามาตรฐาน"/>
    <s v="17, 5, 8"/>
    <m/>
    <m/>
    <d v="2562-07-24T00:00:00"/>
    <d v="2562-07-31T00:00:00"/>
    <d v="2562-07-26T00:00:00"/>
    <s v="Pass"/>
    <d v="2562-07-25T00:00:00"/>
    <m/>
    <m/>
    <m/>
    <m/>
    <s v="Pass"/>
    <d v="2562-07-27T00:00:00"/>
    <s v="Pass"/>
    <d v="2562-07-27T00:00:00"/>
    <m/>
    <m/>
    <x v="122"/>
    <m/>
  </r>
  <r>
    <s v="กรกฎาคม"/>
    <d v="2562-07-24T00:00:00"/>
    <x v="0"/>
    <n v="620476"/>
    <x v="69"/>
    <s v="TL620735"/>
    <n v="620735"/>
    <x v="1"/>
    <s v="คุมขนาด 2.08-2.1"/>
    <x v="281"/>
    <s v="ขนาดเกินกว่าที่กำหนด"/>
    <s v="ไม่ผ่าน"/>
    <m/>
    <m/>
    <d v="2562-07-24T00:00:00"/>
    <d v="2562-07-31T00:00:00"/>
    <d v="2562-07-26T00:00:00"/>
    <s v="Pass"/>
    <d v="2562-07-25T00:00:00"/>
    <m/>
    <m/>
    <m/>
    <m/>
    <s v="Pass"/>
    <d v="2562-07-27T00:00:00"/>
    <s v="Pass"/>
    <d v="2562-07-27T00:00:00"/>
    <m/>
    <m/>
    <x v="122"/>
    <m/>
  </r>
  <r>
    <s v="กรกฎาคม"/>
    <d v="2562-07-24T00:00:00"/>
    <x v="0"/>
    <n v="620476"/>
    <x v="69"/>
    <s v="TL620735"/>
    <n v="620735"/>
    <x v="1"/>
    <s v="คุมELONG 28-29%"/>
    <x v="546"/>
    <s v="ELONG เกินที่ควบคุม"/>
    <s v="ไม่ผ่าน"/>
    <m/>
    <m/>
    <d v="2562-07-24T00:00:00"/>
    <d v="2562-07-31T00:00:00"/>
    <d v="2562-07-26T00:00:00"/>
    <s v="Pass"/>
    <d v="2562-07-25T00:00:00"/>
    <m/>
    <m/>
    <m/>
    <m/>
    <s v="Pass"/>
    <d v="2562-07-27T00:00:00"/>
    <s v="Pass"/>
    <d v="2562-07-27T00:00:00"/>
    <m/>
    <m/>
    <x v="122"/>
    <m/>
  </r>
  <r>
    <s v="กรกฎาคม"/>
    <d v="2562-07-24T00:00:00"/>
    <x v="1"/>
    <n v="620477"/>
    <x v="14"/>
    <n v="62072462"/>
    <s v="45/240762"/>
    <x v="64"/>
    <s v="125-128"/>
    <x v="547"/>
    <s v="น้ำหนักต่ำกว่ามาตรฐาน"/>
    <n v="6.4200000000000017"/>
    <s v="1586/194"/>
    <s v="เมตร/ก.ก."/>
    <d v="2562-07-24T00:00:00"/>
    <d v="2562-07-31T00:00:00"/>
    <d v="2562-07-26T00:00:00"/>
    <s v="Pass"/>
    <d v="2562-07-27T00:00:00"/>
    <m/>
    <m/>
    <m/>
    <m/>
    <s v="Pass"/>
    <d v="2562-07-27T00:00:00"/>
    <s v="Pass"/>
    <d v="2562-07-27T00:00:00"/>
    <m/>
    <m/>
    <x v="147"/>
    <n v="-5"/>
  </r>
  <r>
    <s v="กรกฎาคม"/>
    <d v="2562-07-25T00:00:00"/>
    <x v="0"/>
    <n v="620478"/>
    <x v="2"/>
    <s v="TL620736"/>
    <n v="620736"/>
    <x v="1"/>
    <s v="Avg of D +10,-20 D"/>
    <x v="548"/>
    <s v="Avg ต่ำกว่ามาตรฐาน"/>
    <n v="16"/>
    <s v="3/1364.60"/>
    <s v="กรง/ก.ก."/>
    <d v="2562-07-25T00:00:00"/>
    <d v="2562-08-01T00:00:00"/>
    <d v="2562-07-27T00:00:00"/>
    <s v="Pass"/>
    <d v="2562-07-26T00:00:00"/>
    <m/>
    <m/>
    <m/>
    <m/>
    <s v="Pass"/>
    <d v="2562-07-27T00:00:00"/>
    <s v="Pass"/>
    <d v="2562-07-27T00:00:00"/>
    <m/>
    <m/>
    <x v="12"/>
    <n v="344"/>
  </r>
  <r>
    <s v="กรกฎาคม"/>
    <d v="2562-07-25T00:00:00"/>
    <x v="0"/>
    <n v="620478"/>
    <x v="2"/>
    <s v="TL620736"/>
    <n v="620736"/>
    <x v="1"/>
    <s v="Std. ไม่เกิน 30 D"/>
    <x v="2"/>
    <s v="Std.เกินกว่ามาตรฐาน"/>
    <n v="16"/>
    <m/>
    <m/>
    <d v="2562-07-25T00:00:00"/>
    <d v="2562-08-01T00:00:00"/>
    <d v="2562-07-27T00:00:00"/>
    <s v="Pass"/>
    <d v="2562-07-26T00:00:00"/>
    <m/>
    <m/>
    <m/>
    <m/>
    <s v="Pass"/>
    <d v="2562-07-27T00:00:00"/>
    <s v="Pass"/>
    <d v="2562-07-27T00:00:00"/>
    <m/>
    <m/>
    <x v="12"/>
    <n v="-5"/>
  </r>
  <r>
    <s v="กรกฎาคม"/>
    <d v="2562-07-25T00:00:00"/>
    <x v="0"/>
    <n v="620478"/>
    <x v="2"/>
    <s v="TL620736"/>
    <n v="620736"/>
    <x v="1"/>
    <s v="Avg of D +10,-20 D"/>
    <x v="549"/>
    <s v="Avg สูงกว่ามาตรฐาน"/>
    <s v="4 ,6"/>
    <m/>
    <m/>
    <d v="2562-07-25T00:00:00"/>
    <d v="2562-08-01T00:00:00"/>
    <d v="2562-07-27T00:00:00"/>
    <s v="Pass"/>
    <d v="2562-07-26T00:00:00"/>
    <m/>
    <m/>
    <m/>
    <m/>
    <s v="Pass"/>
    <d v="2562-07-27T00:00:00"/>
    <s v="Pass"/>
    <d v="2562-07-27T00:00:00"/>
    <m/>
    <m/>
    <x v="12"/>
    <n v="-6"/>
  </r>
  <r>
    <s v="กรกฎาคม"/>
    <d v="2562-07-25T00:00:00"/>
    <x v="1"/>
    <n v="620479"/>
    <x v="14"/>
    <n v="62072528"/>
    <s v="45/250762"/>
    <x v="64"/>
    <s v="125-128"/>
    <x v="466"/>
    <s v="น้ำหนักต่ำกว่ามาตรฐาน"/>
    <n v="2.6800000000000068"/>
    <s v="1305/159.5"/>
    <s v="เมตร/ก.ก."/>
    <d v="2561-08-10T00:00:00"/>
    <d v="2561-08-17T00:00:00"/>
    <d v="2561-08-12T00:00:00"/>
    <s v="Pass"/>
    <d v="2562-07-27T00:00:00"/>
    <m/>
    <m/>
    <m/>
    <m/>
    <s v="Pass"/>
    <d v="2562-07-27T00:00:00"/>
    <s v="Pass"/>
    <d v="2562-07-27T00:00:00"/>
    <m/>
    <m/>
    <x v="16"/>
    <n v="-5"/>
  </r>
  <r>
    <s v="กรกฎาคม"/>
    <d v="2562-07-25T00:00:00"/>
    <x v="1"/>
    <n v="620479"/>
    <x v="14"/>
    <n v="62072553"/>
    <s v="45/250762"/>
    <x v="64"/>
    <s v="125-128"/>
    <x v="550"/>
    <s v="น้ำหนักต่ำกว่ามาตรฐาน"/>
    <n v="2.5900000000000034"/>
    <s v="264/33"/>
    <s v="เมตร/ก.ก."/>
    <d v="2561-08-10T00:00:00"/>
    <d v="2561-08-17T00:00:00"/>
    <d v="2561-08-12T00:00:00"/>
    <s v="Pass"/>
    <d v="2562-07-27T00:00:00"/>
    <m/>
    <m/>
    <m/>
    <m/>
    <s v="Pass"/>
    <d v="2562-07-27T00:00:00"/>
    <s v="Pass"/>
    <d v="2562-07-27T00:00:00"/>
    <m/>
    <m/>
    <x v="16"/>
    <m/>
  </r>
  <r>
    <s v="กรกฎาคม"/>
    <d v="2562-07-25T00:00:00"/>
    <x v="1"/>
    <n v="620480"/>
    <x v="39"/>
    <n v="62072533"/>
    <s v="07/250762"/>
    <x v="91"/>
    <s v="80-85"/>
    <x v="551"/>
    <s v="น้ำหนักสูงกว่ามาตรฐาน"/>
    <n v="5.980000000000004"/>
    <s v="1500/139.5"/>
    <s v="เมตร/ก.ก."/>
    <d v="2562-07-25T00:00:00"/>
    <d v="2562-08-01T00:00:00"/>
    <d v="2562-07-27T00:00:00"/>
    <s v="Pass"/>
    <d v="2562-07-27T00:00:00"/>
    <m/>
    <m/>
    <m/>
    <m/>
    <s v="Pass"/>
    <d v="2562-07-27T00:00:00"/>
    <s v="Pass"/>
    <d v="2562-07-27T00:00:00"/>
    <m/>
    <m/>
    <x v="56"/>
    <n v="-7"/>
  </r>
  <r>
    <s v="กรกฎาคม"/>
    <d v="2562-07-25T00:00:00"/>
    <x v="1"/>
    <n v="620480"/>
    <x v="39"/>
    <n v="62072516"/>
    <s v="73/250762"/>
    <x v="69"/>
    <s v="80-85"/>
    <x v="552"/>
    <s v="น้ำหนักสูงกว่ามาตรฐาน"/>
    <n v="6.2900000000000063"/>
    <s v="1426/133.1"/>
    <s v="เมตร/ก.ก."/>
    <d v="2562-07-25T00:00:00"/>
    <d v="2562-08-01T00:00:00"/>
    <d v="2562-07-27T00:00:00"/>
    <s v="Pass"/>
    <d v="2562-07-27T00:00:00"/>
    <m/>
    <m/>
    <m/>
    <m/>
    <s v="Pass"/>
    <d v="2562-07-27T00:00:00"/>
    <s v="Pass"/>
    <d v="2562-07-27T00:00:00"/>
    <m/>
    <m/>
    <x v="56"/>
    <m/>
  </r>
  <r>
    <s v="กรกฎาคม"/>
    <d v="2562-07-26T00:00:00"/>
    <x v="1"/>
    <n v="620481"/>
    <x v="39"/>
    <n v="62072605"/>
    <s v="73/260762"/>
    <x v="69"/>
    <s v="80-85"/>
    <x v="553"/>
    <s v="น้ำหนักสูงกว่ามาตรฐาน"/>
    <n v="6.9000000000000057"/>
    <s v="1551/148.4"/>
    <s v="เมตร/ก.ก."/>
    <d v="2562-07-26T00:00:00"/>
    <d v="2562-08-02T00:00:00"/>
    <d v="2562-07-28T00:00:00"/>
    <s v="Pass"/>
    <d v="2562-07-27T00:00:00"/>
    <m/>
    <m/>
    <m/>
    <m/>
    <s v="Pass"/>
    <d v="2562-07-27T00:00:00"/>
    <s v="Pass"/>
    <d v="2562-07-27T00:00:00"/>
    <m/>
    <m/>
    <x v="56"/>
    <m/>
  </r>
  <r>
    <s v="กรกฎาคม"/>
    <d v="2562-07-27T00:00:00"/>
    <x v="2"/>
    <n v="620482"/>
    <x v="91"/>
    <s v="FWBWT2137130PL"/>
    <s v="PD462072721"/>
    <x v="12"/>
    <s v="งานพิมพ์สมบูรณ์"/>
    <x v="25"/>
    <s v="งานพิมพ์ไม่สมบรูณ์ "/>
    <s v="ไม่ผ่าน"/>
    <n v="190"/>
    <s v="ใบ"/>
    <d v="2562-07-27T00:00:00"/>
    <d v="2562-08-03T00:00:00"/>
    <d v="2562-07-29T00:00:00"/>
    <s v="Pass"/>
    <d v="2562-08-05T00:00:00"/>
    <m/>
    <m/>
    <m/>
    <m/>
    <s v="Pass"/>
    <d v="2562-08-06T00:00:00"/>
    <s v="Pass"/>
    <d v="2562-08-06T00:00:00"/>
    <m/>
    <m/>
    <x v="156"/>
    <m/>
  </r>
  <r>
    <s v="กรกฎาคม"/>
    <d v="2562-07-27T00:00:00"/>
    <x v="1"/>
    <n v="620483"/>
    <x v="14"/>
    <n v="62072707"/>
    <s v="20/270762"/>
    <x v="55"/>
    <s v="ไม่มีด้ายคู่"/>
    <x v="554"/>
    <s v="มีด้ายคู่ 2 คู่ ไม่ทราบจำนวน"/>
    <s v="ไม่ผ่าน"/>
    <s v="929/119.6"/>
    <s v="เมตร/ก.ก."/>
    <d v="2562-07-27T00:00:00"/>
    <d v="2562-08-03T00:00:00"/>
    <d v="2562-07-29T00:00:00"/>
    <s v="Pass"/>
    <d v="2562-08-09T00:00:00"/>
    <m/>
    <m/>
    <m/>
    <m/>
    <s v="Pass"/>
    <d v="2562-08-09T00:00:00"/>
    <s v="Pass"/>
    <d v="2562-08-09T00:00:00"/>
    <m/>
    <m/>
    <x v="174"/>
    <n v="6"/>
  </r>
  <r>
    <s v="กรกฎาคม"/>
    <d v="2562-07-27T00:00:00"/>
    <x v="0"/>
    <n v="620484"/>
    <x v="13"/>
    <s v="TL620740"/>
    <n v="620740"/>
    <x v="1"/>
    <s v="คุมดีเนียร์ 1050-20"/>
    <x v="555"/>
    <s v="Avg ต่ำกว่ามาตรฐาน"/>
    <s v="15, 21"/>
    <s v="2/740.7"/>
    <s v="กรง/ก.ก."/>
    <d v="2562-07-27T00:00:00"/>
    <d v="2562-08-03T00:00:00"/>
    <d v="2562-07-29T00:00:00"/>
    <s v="Pass"/>
    <d v="2562-07-30T00:00:00"/>
    <m/>
    <m/>
    <m/>
    <m/>
    <s v="Pass"/>
    <d v="2562-07-31T00:00:00"/>
    <s v="Pass"/>
    <d v="2562-07-31T00:00:00"/>
    <m/>
    <m/>
    <x v="15"/>
    <n v="-6"/>
  </r>
  <r>
    <s v="กรกฎาคม"/>
    <d v="2562-07-27T00:00:00"/>
    <x v="0"/>
    <n v="620484"/>
    <x v="13"/>
    <s v="TL620740"/>
    <n v="620740"/>
    <x v="1"/>
    <s v="Std. ไม่เกิน 30 D"/>
    <x v="115"/>
    <s v="Std.เกินกว่ามาตรฐาน"/>
    <n v="4"/>
    <m/>
    <m/>
    <d v="2562-07-27T00:00:00"/>
    <d v="2562-08-03T00:00:00"/>
    <d v="2562-07-29T00:00:00"/>
    <s v="Pass"/>
    <d v="2562-07-30T00:00:00"/>
    <m/>
    <m/>
    <m/>
    <m/>
    <s v="Pass"/>
    <d v="2562-07-31T00:00:00"/>
    <s v="Pass"/>
    <d v="2562-07-31T00:00:00"/>
    <m/>
    <m/>
    <x v="15"/>
    <n v="-6"/>
  </r>
  <r>
    <s v="กรกฎาคม"/>
    <d v="2562-07-30T00:00:00"/>
    <x v="1"/>
    <n v="620485"/>
    <x v="63"/>
    <n v="62073009"/>
    <s v="54/300762"/>
    <x v="3"/>
    <s v="60-65"/>
    <x v="556"/>
    <s v="น้ำหนักสูงกว่ามาตรฐาน"/>
    <n v="1.5"/>
    <s v="2566/173.2"/>
    <s v="เมตร/ก.ก."/>
    <d v="2562-07-30T00:00:00"/>
    <d v="2562-08-06T00:00:00"/>
    <d v="2562-08-01T00:00:00"/>
    <s v="Pass"/>
    <d v="2562-08-02T00:00:00"/>
    <m/>
    <m/>
    <m/>
    <m/>
    <s v="Pass"/>
    <d v="2562-08-03T00:00:00"/>
    <s v="Pass"/>
    <d v="2562-08-03T00:00:00"/>
    <m/>
    <m/>
    <x v="101"/>
    <n v="-3"/>
  </r>
  <r>
    <s v="กรกฎาคม"/>
    <d v="2562-07-30T00:00:00"/>
    <x v="1"/>
    <n v="620486"/>
    <x v="39"/>
    <n v="62073017"/>
    <s v="73/300762"/>
    <x v="69"/>
    <s v="80-85"/>
    <x v="557"/>
    <s v="น้ำหนักสูงกว่ามาตรฐาน"/>
    <n v="5.769999999999996"/>
    <s v="1570/146.1"/>
    <s v="เมตร/ก.ก."/>
    <d v="2562-07-30T00:00:00"/>
    <d v="2562-08-06T00:00:00"/>
    <d v="2562-08-01T00:00:00"/>
    <s v="Pass"/>
    <d v="2562-08-02T00:00:00"/>
    <m/>
    <m/>
    <m/>
    <m/>
    <s v="Pass"/>
    <d v="2562-08-03T00:00:00"/>
    <s v="Pass"/>
    <d v="2562-08-03T00:00:00"/>
    <m/>
    <m/>
    <x v="56"/>
    <n v="-3"/>
  </r>
  <r>
    <s v="กรกฎาคม"/>
    <d v="2562-07-30T00:00:00"/>
    <x v="1"/>
    <n v="620487"/>
    <x v="14"/>
    <n v="62073013"/>
    <s v="95/300762"/>
    <x v="88"/>
    <s v="125-128"/>
    <x v="558"/>
    <s v="น้ำหนักสูงกว่ามาตรฐาน"/>
    <n v="2.5500000000000114"/>
    <s v="1500/194.8"/>
    <s v="เมตร/ก.ก."/>
    <d v="2562-07-30T00:00:00"/>
    <d v="2562-08-06T00:00:00"/>
    <d v="2562-08-01T00:00:00"/>
    <s v="Pass"/>
    <d v="2562-08-02T00:00:00"/>
    <m/>
    <m/>
    <m/>
    <m/>
    <s v="Pass"/>
    <d v="2562-08-03T00:00:00"/>
    <s v="Pass"/>
    <d v="2562-08-03T00:00:00"/>
    <m/>
    <m/>
    <x v="16"/>
    <n v="-3"/>
  </r>
  <r>
    <s v="กรกฎาคม"/>
    <d v="2562-07-30T00:00:00"/>
    <x v="8"/>
    <n v="620488"/>
    <x v="92"/>
    <s v="FWBWT2334106PLM"/>
    <s v="PD462073019"/>
    <x v="99"/>
    <s v="กระสอบพิมพ์จับจีบ"/>
    <x v="559"/>
    <s v="ตามอาร์ตพิมพ์ระบุให้ทำการจับจีบแต่พนักงานบิดข้าง"/>
    <s v="ไม่ผ่าน"/>
    <n v="5000"/>
    <s v="ใบ"/>
    <d v="2562-07-30T00:00:00"/>
    <d v="2562-08-06T00:00:00"/>
    <d v="2562-08-01T00:00:00"/>
    <m/>
    <m/>
    <m/>
    <m/>
    <m/>
    <m/>
    <m/>
    <m/>
    <m/>
    <m/>
    <m/>
    <m/>
    <x v="3"/>
    <n v="-242010"/>
  </r>
  <r>
    <s v="กรกฎาคม"/>
    <d v="2562-07-30T00:00:00"/>
    <x v="1"/>
    <n v="620489"/>
    <x v="30"/>
    <n v="62073041"/>
    <s v="83/300762"/>
    <x v="29"/>
    <s v="75-80"/>
    <x v="560"/>
    <s v="น้ำหนักสูงกว่ามาตรฐาน"/>
    <n v="2.730000000000004"/>
    <s v="2000/161.9"/>
    <s v="เมตร/ก.ก."/>
    <d v="2562-07-30T00:00:00"/>
    <d v="2562-08-06T00:00:00"/>
    <d v="2562-08-01T00:00:00"/>
    <s v="Pass"/>
    <d v="2562-08-02T00:00:00"/>
    <m/>
    <m/>
    <m/>
    <m/>
    <s v="Pass"/>
    <d v="2562-08-03T00:00:00"/>
    <s v="Pass"/>
    <d v="2562-08-03T00:00:00"/>
    <m/>
    <m/>
    <x v="119"/>
    <n v="-3"/>
  </r>
  <r>
    <s v="กรกฎาคม"/>
    <d v="2562-07-30T00:00:00"/>
    <x v="1"/>
    <n v="620490"/>
    <x v="14"/>
    <n v="62073052"/>
    <s v="49/300762"/>
    <x v="94"/>
    <s v="125-128"/>
    <x v="537"/>
    <s v="น้ำหนักต่ำกว่ามาตรฐาน"/>
    <n v="2.480000000000004"/>
    <s v="1432/179.5"/>
    <s v="เมตร/ก.ก."/>
    <d v="2562-07-30T00:00:00"/>
    <d v="2562-08-06T00:00:00"/>
    <d v="2562-08-01T00:00:00"/>
    <s v="Pass"/>
    <d v="2562-08-02T00:00:00"/>
    <m/>
    <m/>
    <m/>
    <m/>
    <s v="Pass"/>
    <d v="2562-08-03T00:00:00"/>
    <s v="Pass"/>
    <d v="2562-08-03T00:00:00"/>
    <m/>
    <m/>
    <x v="16"/>
    <n v="-3"/>
  </r>
  <r>
    <s v="กรกฎาคม"/>
    <d v="2562-07-30T00:00:00"/>
    <x v="1"/>
    <n v="620490"/>
    <x v="14"/>
    <n v="62073056"/>
    <s v="79/300762"/>
    <x v="83"/>
    <s v="125-128"/>
    <x v="561"/>
    <s v="น้ำหนักต่ำกว่ามาตรฐาน"/>
    <n v="2.9599999999999937"/>
    <s v="1500/186"/>
    <s v="เมตร/ก.ก."/>
    <d v="2562-07-30T00:00:00"/>
    <d v="2562-08-06T00:00:00"/>
    <d v="2562-08-01T00:00:00"/>
    <s v="Pass"/>
    <d v="2562-08-02T00:00:00"/>
    <m/>
    <m/>
    <m/>
    <m/>
    <s v="Pass"/>
    <d v="2562-08-03T00:00:00"/>
    <s v="Pass"/>
    <d v="2562-08-03T00:00:00"/>
    <m/>
    <m/>
    <x v="16"/>
    <n v="-4"/>
  </r>
  <r>
    <s v="กรกฎาคม"/>
    <d v="2562-07-31T00:00:00"/>
    <x v="1"/>
    <n v="620491"/>
    <x v="30"/>
    <n v="62073108"/>
    <s v="85/310762"/>
    <x v="41"/>
    <s v="75-80"/>
    <x v="562"/>
    <s v="น้ำหนักสูงกว่ามาตรฐาน"/>
    <n v="3.9399999999999977"/>
    <s v="1300/106.4"/>
    <s v="เมตร/ก.ก."/>
    <d v="2562-07-31T00:00:00"/>
    <d v="2562-08-07T00:00:00"/>
    <d v="2562-08-02T00:00:00"/>
    <s v="Pass"/>
    <d v="2562-08-02T00:00:00"/>
    <m/>
    <m/>
    <m/>
    <m/>
    <s v="Pass"/>
    <d v="2562-08-03T00:00:00"/>
    <s v="Pass"/>
    <d v="2562-08-03T00:00:00"/>
    <m/>
    <m/>
    <x v="119"/>
    <n v="-4"/>
  </r>
  <r>
    <s v="กรกฎาคม"/>
    <d v="2562-07-31T00:00:00"/>
    <x v="1"/>
    <n v="620492"/>
    <x v="14"/>
    <n v="62073132"/>
    <s v="49/310762"/>
    <x v="94"/>
    <s v="125-128"/>
    <x v="563"/>
    <s v="น้ำหนักสูงกว่ามาตรฐาน"/>
    <n v="2.8600000000000136"/>
    <s v="1477/193.3"/>
    <s v="เมตร/ก.ก."/>
    <d v="2562-07-31T00:00:00"/>
    <d v="2562-08-07T00:00:00"/>
    <d v="2562-08-02T00:00:00"/>
    <s v="Pass"/>
    <d v="2562-08-02T00:00:00"/>
    <m/>
    <m/>
    <m/>
    <m/>
    <s v="Pass"/>
    <d v="2562-08-03T00:00:00"/>
    <s v="Pass"/>
    <d v="2562-08-03T00:00:00"/>
    <m/>
    <m/>
    <x v="16"/>
    <n v="-4"/>
  </r>
  <r>
    <s v="กรกฎาคม"/>
    <d v="2562-07-31T00:00:00"/>
    <x v="1"/>
    <n v="620493"/>
    <x v="14"/>
    <n v="62073166"/>
    <s v="86/310762"/>
    <x v="56"/>
    <s v="125-128"/>
    <x v="564"/>
    <s v="น้ำหนักต่ำกว่ามาตรฐาน"/>
    <n v="2.4200000000000017"/>
    <s v="621/77.5"/>
    <s v="เมตร/ก.ก."/>
    <d v="2562-07-31T00:00:00"/>
    <d v="2562-08-07T00:00:00"/>
    <d v="2562-08-02T00:00:00"/>
    <s v="Pass"/>
    <d v="2562-08-02T00:00:00"/>
    <m/>
    <m/>
    <m/>
    <m/>
    <s v="Pass"/>
    <d v="2562-08-03T00:00:00"/>
    <s v="Pass"/>
    <d v="2562-08-03T00:00:00"/>
    <m/>
    <m/>
    <x v="16"/>
    <n v="-5"/>
  </r>
  <r>
    <s v="สิงหาคม"/>
    <d v="2562-08-01T00:00:00"/>
    <x v="0"/>
    <n v="620494"/>
    <x v="61"/>
    <s v="TL620802"/>
    <n v="620802"/>
    <x v="1"/>
    <s v="Avg of D +10,-20 D"/>
    <x v="565"/>
    <s v="Avg สูงกว่ามาตรฐาน"/>
    <n v="38"/>
    <s v="2/742.3"/>
    <s v="กรง/ก.ก."/>
    <d v="2562-08-01T00:00:00"/>
    <d v="2562-08-08T00:00:00"/>
    <d v="2562-08-03T00:00:00"/>
    <s v="Pass"/>
    <d v="2562-08-02T00:00:00"/>
    <m/>
    <m/>
    <m/>
    <m/>
    <s v="Pass"/>
    <d v="2562-08-03T00:00:00"/>
    <s v="Pass"/>
    <d v="2562-08-03T00:00:00"/>
    <m/>
    <m/>
    <x v="116"/>
    <n v="-5"/>
  </r>
  <r>
    <s v="สิงหาคม"/>
    <d v="2562-08-01T00:00:00"/>
    <x v="0"/>
    <n v="620494"/>
    <x v="61"/>
    <s v="TL620802"/>
    <n v="620802"/>
    <x v="1"/>
    <s v="Std. ไม่เกิน 30 D"/>
    <x v="566"/>
    <s v="Std.เกินกว่ามาตรฐาน"/>
    <s v="41, 11"/>
    <m/>
    <m/>
    <d v="2562-08-01T00:00:00"/>
    <d v="2562-08-08T00:00:00"/>
    <d v="2562-08-03T00:00:00"/>
    <s v="Pass"/>
    <d v="2562-08-02T00:00:00"/>
    <m/>
    <m/>
    <m/>
    <m/>
    <s v="Pass"/>
    <d v="2562-08-03T00:00:00"/>
    <s v="Pass"/>
    <d v="2562-08-03T00:00:00"/>
    <m/>
    <m/>
    <x v="116"/>
    <n v="-5"/>
  </r>
  <r>
    <s v="สิงหาคม"/>
    <d v="2562-08-01T00:00:00"/>
    <x v="0"/>
    <n v="620494"/>
    <x v="61"/>
    <s v="TL620802"/>
    <n v="620802"/>
    <x v="1"/>
    <s v="ขนาดควบคุม 2.08-2.1"/>
    <x v="567"/>
    <s v="ขนาดเกินควบคุม"/>
    <s v="ไม่ผ่าน"/>
    <m/>
    <m/>
    <d v="2562-08-01T00:00:00"/>
    <d v="2562-08-08T00:00:00"/>
    <d v="2562-08-03T00:00:00"/>
    <s v="Pass"/>
    <d v="2562-08-02T00:00:00"/>
    <m/>
    <m/>
    <m/>
    <m/>
    <s v="Pass"/>
    <d v="2562-08-03T00:00:00"/>
    <s v="Pass"/>
    <d v="2562-08-03T00:00:00"/>
    <m/>
    <m/>
    <x v="116"/>
    <n v="-5"/>
  </r>
  <r>
    <s v="สิงหาคม"/>
    <d v="2562-08-01T00:00:00"/>
    <x v="0"/>
    <n v="620495"/>
    <x v="69"/>
    <s v="TL620803"/>
    <n v="620803"/>
    <x v="1"/>
    <s v="Avg of D +10,-20 D"/>
    <x v="568"/>
    <s v="Avg สูงกว่ามาตรฐาน"/>
    <n v="39"/>
    <s v="1/248.7"/>
    <s v="กรง/ก.ก."/>
    <d v="2562-08-01T00:00:00"/>
    <d v="2562-08-08T00:00:00"/>
    <d v="2562-08-03T00:00:00"/>
    <s v="Pass"/>
    <d v="2562-08-02T00:00:00"/>
    <m/>
    <m/>
    <m/>
    <m/>
    <s v="Pass"/>
    <d v="2562-08-03T00:00:00"/>
    <s v="Pass"/>
    <d v="2562-08-03T00:00:00"/>
    <m/>
    <m/>
    <x v="122"/>
    <n v="-5"/>
  </r>
  <r>
    <s v="สิงหาคม"/>
    <d v="2562-08-01T00:00:00"/>
    <x v="0"/>
    <n v="620495"/>
    <x v="69"/>
    <s v="TL620803"/>
    <n v="620803"/>
    <x v="1"/>
    <s v="Std. ไม่เกิน 30 D"/>
    <x v="297"/>
    <s v="Std.เกินกว่ามาตรฐาน"/>
    <n v="7"/>
    <m/>
    <m/>
    <d v="2562-08-01T00:00:00"/>
    <d v="2562-08-08T00:00:00"/>
    <d v="2562-08-03T00:00:00"/>
    <s v="Pass"/>
    <d v="2562-08-02T00:00:00"/>
    <m/>
    <m/>
    <m/>
    <m/>
    <s v="Pass"/>
    <d v="2562-08-03T00:00:00"/>
    <s v="Pass"/>
    <d v="2562-08-03T00:00:00"/>
    <m/>
    <m/>
    <x v="122"/>
    <n v="-5"/>
  </r>
  <r>
    <s v="สิงหาคม"/>
    <d v="2562-08-01T00:00:00"/>
    <x v="0"/>
    <n v="620495"/>
    <x v="69"/>
    <s v="TL620803"/>
    <n v="620803"/>
    <x v="1"/>
    <s v="ขนาดควบคุม 2.08-2.1"/>
    <x v="281"/>
    <s v="ขนาดเกินควบคุม"/>
    <n v="0.03"/>
    <m/>
    <m/>
    <d v="2562-08-01T00:00:00"/>
    <d v="2562-08-08T00:00:00"/>
    <d v="2562-08-03T00:00:00"/>
    <s v="Pass"/>
    <d v="2562-08-02T00:00:00"/>
    <m/>
    <m/>
    <m/>
    <m/>
    <s v="Pass"/>
    <d v="2562-08-03T00:00:00"/>
    <s v="Pass"/>
    <d v="2562-08-03T00:00:00"/>
    <m/>
    <m/>
    <x v="122"/>
    <n v="-7"/>
  </r>
  <r>
    <s v="สิงหาคม"/>
    <d v="2562-08-01T00:00:00"/>
    <x v="1"/>
    <n v="620496"/>
    <x v="14"/>
    <n v="62080102"/>
    <s v="55/010862"/>
    <x v="4"/>
    <s v="125-128"/>
    <x v="569"/>
    <s v="น้ำหนักต่ำกว่ามาตรฐาน"/>
    <n v="4.5100000000000051"/>
    <s v="1513/185.1"/>
    <s v="เมตร/ก.ก."/>
    <d v="2562-08-01T00:00:00"/>
    <d v="2562-08-08T00:00:00"/>
    <d v="2562-08-03T00:00:00"/>
    <s v="Pass"/>
    <d v="2562-08-02T00:00:00"/>
    <m/>
    <m/>
    <m/>
    <m/>
    <s v="Pass"/>
    <d v="2562-08-03T00:00:00"/>
    <s v="Pass"/>
    <d v="2562-08-03T00:00:00"/>
    <m/>
    <m/>
    <x v="147"/>
    <n v="-5"/>
  </r>
  <r>
    <s v="สิงหาคม"/>
    <d v="2562-08-01T00:00:00"/>
    <x v="1"/>
    <n v="620496"/>
    <x v="14"/>
    <n v="62080103"/>
    <s v="90/010862"/>
    <x v="62"/>
    <s v="125-128"/>
    <x v="171"/>
    <s v="น้ำหนักต่ำกว่ามาตรฐาน"/>
    <n v="1.5699999999999932"/>
    <s v="1500/189.5"/>
    <s v="เมตร/ก.ก."/>
    <d v="2562-08-01T00:00:00"/>
    <d v="2562-08-08T00:00:00"/>
    <d v="2562-08-03T00:00:00"/>
    <s v="Pass"/>
    <d v="2562-08-02T00:00:00"/>
    <m/>
    <m/>
    <m/>
    <m/>
    <s v="Pass"/>
    <d v="2562-08-03T00:00:00"/>
    <s v="Pass"/>
    <d v="2562-08-03T00:00:00"/>
    <m/>
    <m/>
    <x v="16"/>
    <n v="-5"/>
  </r>
  <r>
    <s v="สิงหาคม"/>
    <d v="2562-08-01T00:00:00"/>
    <x v="1"/>
    <n v="620497"/>
    <x v="14"/>
    <n v="62080110"/>
    <s v="39/010862"/>
    <x v="27"/>
    <s v="125-128"/>
    <x v="570"/>
    <s v="น้ำหนักสูงกว่ามาตรฐาน"/>
    <n v="2.6699999999999875"/>
    <s v="1523/200.5"/>
    <s v="เมตร/ก.ก."/>
    <d v="2562-08-01T00:00:00"/>
    <d v="2562-08-08T00:00:00"/>
    <d v="2562-08-03T00:00:00"/>
    <s v="Pass"/>
    <d v="2562-08-02T00:00:00"/>
    <m/>
    <m/>
    <m/>
    <m/>
    <s v="Pass"/>
    <d v="2562-08-03T00:00:00"/>
    <s v="Pass"/>
    <d v="2562-08-03T00:00:00"/>
    <m/>
    <m/>
    <x v="16"/>
    <n v="-7"/>
  </r>
  <r>
    <s v="สิงหาคม"/>
    <d v="2562-08-03T00:00:00"/>
    <x v="0"/>
    <n v="620498"/>
    <x v="13"/>
    <s v="TL620806"/>
    <n v="620806"/>
    <x v="0"/>
    <s v="ควบคุมดีเนียร์ที่ 1050-20"/>
    <x v="571"/>
    <s v="ต่ำกว่าที่ควบคุม"/>
    <n v="13"/>
    <s v="1/227.9"/>
    <s v="กรง/ก.ก."/>
    <d v="2562-08-03T00:00:00"/>
    <d v="2562-08-10T00:00:00"/>
    <d v="2562-08-05T00:00:00"/>
    <s v="Pass"/>
    <d v="2562-08-06T00:00:00"/>
    <m/>
    <m/>
    <m/>
    <m/>
    <s v="Pass"/>
    <d v="2562-08-08T00:00:00"/>
    <s v="Pass"/>
    <d v="2562-08-08T00:00:00"/>
    <m/>
    <m/>
    <x v="15"/>
    <n v="-4"/>
  </r>
  <r>
    <s v="สิงหาคม"/>
    <d v="2562-08-05T00:00:00"/>
    <x v="0"/>
    <n v="620499"/>
    <x v="2"/>
    <s v="TL620809"/>
    <n v="620809"/>
    <x v="0"/>
    <s v="Avg of D +10,-20 D"/>
    <x v="548"/>
    <s v="Avg ต่ำกว่ามาตรฐาน"/>
    <n v="16"/>
    <s v="1/232"/>
    <s v="กรง/ก.ก."/>
    <d v="2562-08-05T00:00:00"/>
    <d v="2562-08-12T00:00:00"/>
    <d v="2562-08-07T00:00:00"/>
    <s v="Pass"/>
    <d v="2562-08-07T00:00:00"/>
    <m/>
    <m/>
    <m/>
    <m/>
    <s v="Pass"/>
    <d v="2562-08-08T00:00:00"/>
    <s v="Pass"/>
    <d v="2562-08-08T00:00:00"/>
    <m/>
    <m/>
    <x v="12"/>
    <n v="-4"/>
  </r>
  <r>
    <s v="สิงหาคม"/>
    <d v="2562-08-05T00:00:00"/>
    <x v="0"/>
    <n v="620499"/>
    <x v="2"/>
    <s v="TL620809"/>
    <n v="620809"/>
    <x v="0"/>
    <s v="Std. ไม่เกิน 30 D"/>
    <x v="572"/>
    <s v="Std.เกินกว่ามาตรฐาน"/>
    <n v="50"/>
    <m/>
    <m/>
    <d v="2562-08-05T00:00:00"/>
    <d v="2562-08-12T00:00:00"/>
    <d v="2562-08-07T00:00:00"/>
    <s v="Pass"/>
    <d v="2562-08-07T00:00:00"/>
    <m/>
    <m/>
    <m/>
    <m/>
    <s v="Pass"/>
    <d v="2562-08-08T00:00:00"/>
    <s v="Pass"/>
    <d v="2562-08-08T00:00:00"/>
    <m/>
    <m/>
    <x v="12"/>
    <e v="#VALUE!"/>
  </r>
  <r>
    <s v="สิงหาคม"/>
    <d v="2562-08-05T00:00:00"/>
    <x v="1"/>
    <n v="620500"/>
    <x v="87"/>
    <s v="FWBWT193060P"/>
    <s v="PD462080526"/>
    <x v="8"/>
    <s v="ผ้าสีขาวทั้งผืน"/>
    <x v="573"/>
    <s v="พบเส้นเทปสีดำแถบข้างด้านหลังของกระสอบ"/>
    <s v="ไม่ผ่าน"/>
    <n v="111"/>
    <s v="ใบ"/>
    <d v="2562-08-05T00:00:00"/>
    <d v="2562-08-12T00:00:00"/>
    <d v="2562-08-07T00:00:00"/>
    <m/>
    <m/>
    <m/>
    <m/>
    <m/>
    <m/>
    <m/>
    <m/>
    <m/>
    <m/>
    <m/>
    <m/>
    <x v="3"/>
    <e v="#VALUE!"/>
  </r>
  <r>
    <s v="สิงหาคม"/>
    <d v="2562-08-05T00:00:00"/>
    <x v="0"/>
    <n v="620501"/>
    <x v="2"/>
    <s v="TL620810"/>
    <n v="620810"/>
    <x v="0"/>
    <s v="Avg of D +10,-20 D"/>
    <x v="574"/>
    <s v="Avg ต่ำกว่ามาตรฐาน"/>
    <s v="9, 5"/>
    <s v="2/1137.3"/>
    <s v="กรง/ก.ก."/>
    <d v="2562-08-05T00:00:00"/>
    <d v="2562-08-12T00:00:00"/>
    <d v="2562-08-07T00:00:00"/>
    <s v="Pass"/>
    <d v="2562-08-07T00:00:00"/>
    <m/>
    <m/>
    <m/>
    <m/>
    <s v="Pass"/>
    <d v="2562-08-08T00:00:00"/>
    <s v="Pass"/>
    <d v="2562-08-08T00:00:00"/>
    <m/>
    <m/>
    <x v="12"/>
    <e v="#VALUE!"/>
  </r>
  <r>
    <s v="สิงหาคม"/>
    <d v="2562-08-05T00:00:00"/>
    <x v="0"/>
    <n v="620501"/>
    <x v="2"/>
    <s v="TL620810"/>
    <n v="620810"/>
    <x v="0"/>
    <s v="Std. ไม่เกิน 30 D"/>
    <x v="120"/>
    <s v="Std.เกินกว่ามาตรฐาน"/>
    <n v="8"/>
    <m/>
    <m/>
    <d v="2562-08-05T00:00:00"/>
    <d v="2562-08-12T00:00:00"/>
    <d v="2562-08-07T00:00:00"/>
    <s v="Pass"/>
    <d v="2562-08-07T00:00:00"/>
    <m/>
    <m/>
    <m/>
    <m/>
    <s v="Pass"/>
    <d v="2562-08-08T00:00:00"/>
    <s v="Pass"/>
    <d v="2562-08-08T00:00:00"/>
    <m/>
    <m/>
    <x v="12"/>
    <n v="-5"/>
  </r>
  <r>
    <s v="สิงหาคม"/>
    <d v="2562-08-05T00:00:00"/>
    <x v="2"/>
    <n v="620502"/>
    <x v="84"/>
    <s v="FWBWT2337130P"/>
    <s v="PD462080503"/>
    <x v="54"/>
    <s v="งานพิมพ์สมบูรณ์"/>
    <x v="575"/>
    <s v="PD3พิมพ์"/>
    <s v="ไม่ผ่าน"/>
    <s v="325+150"/>
    <s v="ใบ"/>
    <s v="PD462080503"/>
    <s v="PT9"/>
    <s v="งานพิมพ์สมบูรณ์"/>
    <s v="งานพิมพ์ไม่สมบรูณ์"/>
    <s v="งานพิมพ์ไม่สมบรูณ์ "/>
    <s v="ไม่ผ่าน"/>
    <s v="งานพิมพ์ ไม่สมบูรณ์ 325 ใบ งานพิมพ์ไม่ชัดเจน 150 ใบ"/>
    <s v="ใบ"/>
    <d v="2562-08-05T00:00:00"/>
    <d v="2562-08-12T00:00:00"/>
    <d v="2562-08-07T00:00:00"/>
    <m/>
    <m/>
    <m/>
    <m/>
    <x v="3"/>
    <m/>
  </r>
  <r>
    <s v="สิงหาคม"/>
    <d v="2562-08-06T00:00:00"/>
    <x v="0"/>
    <n v="620503"/>
    <x v="93"/>
    <s v="TL620812"/>
    <n v="620812"/>
    <x v="1"/>
    <s v="ควบตุมดีเนียร์ 670 +/-10"/>
    <x v="576"/>
    <s v="ต่ำกว่าที่ควบคุม"/>
    <n v="12"/>
    <s v="1/242"/>
    <s v="กรง/ก.ก."/>
    <d v="2562-08-06T00:00:00"/>
    <d v="2562-08-13T00:00:00"/>
    <d v="2562-08-08T00:00:00"/>
    <s v="Pass"/>
    <d v="2562-08-08T00:00:00"/>
    <m/>
    <m/>
    <m/>
    <m/>
    <s v="Pass"/>
    <d v="2562-08-08T00:00:00"/>
    <s v="Pass"/>
    <d v="2562-08-08T00:00:00"/>
    <m/>
    <m/>
    <x v="5"/>
    <n v="-6"/>
  </r>
  <r>
    <s v="สิงหาคม"/>
    <d v="2562-08-07T00:00:00"/>
    <x v="1"/>
    <n v="620504"/>
    <x v="14"/>
    <n v="62080734"/>
    <s v="39/070862"/>
    <x v="27"/>
    <s v="125-128"/>
    <x v="577"/>
    <s v="น้ำหนักต่ำกว่ามาตรฐาน"/>
    <n v="3.6899999999999977"/>
    <s v="1500/186.6"/>
    <s v="เมตร/ก.ก."/>
    <d v="2562-08-07T00:00:00"/>
    <d v="2562-08-14T00:00:00"/>
    <d v="2562-08-09T00:00:00"/>
    <m/>
    <m/>
    <m/>
    <m/>
    <m/>
    <m/>
    <m/>
    <m/>
    <m/>
    <m/>
    <m/>
    <m/>
    <x v="3"/>
    <n v="-242019"/>
  </r>
  <r>
    <s v="สิงหาคม"/>
    <d v="2562-08-07T00:00:00"/>
    <x v="1"/>
    <n v="620505"/>
    <x v="8"/>
    <n v="62080742"/>
    <s v="34/070862"/>
    <x v="6"/>
    <s v="119-121"/>
    <x v="578"/>
    <s v="น้ำหนักต่ำกว่ามาตรฐาน"/>
    <n v="1.5699999999999932"/>
    <s v="1475/159.9"/>
    <s v="เมตร/ก.ก."/>
    <d v="2562-08-07T00:00:00"/>
    <d v="2562-08-14T00:00:00"/>
    <d v="2562-08-09T00:00:00"/>
    <m/>
    <m/>
    <m/>
    <m/>
    <m/>
    <m/>
    <m/>
    <m/>
    <m/>
    <m/>
    <m/>
    <m/>
    <x v="3"/>
    <n v="-242019"/>
  </r>
  <r>
    <s v="สิงหาคม"/>
    <d v="2562-08-07T00:00:00"/>
    <x v="1"/>
    <n v="620505"/>
    <x v="8"/>
    <n v="62080730"/>
    <s v="35/070862"/>
    <x v="9"/>
    <s v="119-121"/>
    <x v="579"/>
    <s v="น้ำหนักต่ำกว่ามาตรฐาน"/>
    <n v="0.62000000000000455"/>
    <s v="1490/163.1"/>
    <s v="เมตร/ก.ก."/>
    <d v="2562-08-07T00:00:00"/>
    <d v="2562-08-14T00:00:00"/>
    <d v="2562-08-09T00:00:00"/>
    <m/>
    <m/>
    <m/>
    <m/>
    <m/>
    <m/>
    <m/>
    <m/>
    <m/>
    <m/>
    <m/>
    <m/>
    <x v="3"/>
    <n v="-242019"/>
  </r>
  <r>
    <s v="สิงหาคม"/>
    <d v="2562-08-07T00:00:00"/>
    <x v="0"/>
    <n v="620506"/>
    <x v="69"/>
    <s v="TL620815"/>
    <n v="620815"/>
    <x v="1"/>
    <s v="Avg of D +10,-20 D"/>
    <x v="580"/>
    <s v="Avg สูงกว่ามาตรฐาน"/>
    <n v="23"/>
    <s v="1/572.5"/>
    <s v="กรง/ก.ก."/>
    <d v="2562-08-07T00:00:00"/>
    <d v="2562-08-14T00:00:00"/>
    <d v="2562-08-09T00:00:00"/>
    <m/>
    <m/>
    <m/>
    <m/>
    <m/>
    <m/>
    <m/>
    <m/>
    <s v="Pass"/>
    <d v="2562-08-10T00:00:00"/>
    <m/>
    <m/>
    <x v="175"/>
    <n v="-6"/>
  </r>
  <r>
    <s v="สิงหาคม"/>
    <d v="2562-08-08T00:00:00"/>
    <x v="1"/>
    <n v="620507"/>
    <x v="14"/>
    <n v="62080826"/>
    <s v="39/080862"/>
    <x v="27"/>
    <s v="125-128"/>
    <x v="502"/>
    <s v="น้ำหนักต่ำกว่ามาตรฐาน"/>
    <n v="1.2900000000000063"/>
    <s v="1583/200.8"/>
    <s v="เมตร/ก.ก."/>
    <d v="2562-08-08T00:00:00"/>
    <d v="2562-08-15T00:00:00"/>
    <d v="2562-08-10T00:00:00"/>
    <m/>
    <m/>
    <m/>
    <m/>
    <m/>
    <m/>
    <m/>
    <m/>
    <m/>
    <m/>
    <m/>
    <m/>
    <x v="3"/>
    <n v="-242019"/>
  </r>
  <r>
    <s v="สิงหาคม"/>
    <d v="2562-08-08T00:00:00"/>
    <x v="1"/>
    <n v="620508"/>
    <x v="14"/>
    <n v="620808105"/>
    <s v="45/080862"/>
    <x v="64"/>
    <s v="125-128"/>
    <x v="581"/>
    <s v="น้ำหนักสูงกว่ามาตรฐาน"/>
    <n v="1.25"/>
    <s v="1546/201.4"/>
    <s v="เมตร/ก.ก."/>
    <d v="2562-08-08T00:00:00"/>
    <d v="2562-08-15T00:00:00"/>
    <d v="2562-08-10T00:00:00"/>
    <m/>
    <m/>
    <m/>
    <m/>
    <m/>
    <m/>
    <m/>
    <m/>
    <m/>
    <m/>
    <m/>
    <m/>
    <x v="3"/>
    <n v="-242020"/>
  </r>
  <r>
    <s v="สิงหาคม"/>
    <d v="2562-08-09T00:00:00"/>
    <x v="1"/>
    <n v="620509"/>
    <x v="14"/>
    <n v="62080937"/>
    <s v="45/090862"/>
    <x v="64"/>
    <s v="125-128"/>
    <x v="582"/>
    <s v="น้ำหนักสูงกว่ามาตรฐาน"/>
    <n v="1.5900000000000034"/>
    <s v="1437/187.9"/>
    <s v="เมตร/ก.ก."/>
    <d v="2562-08-09T00:00:00"/>
    <d v="2562-08-16T00:00:00"/>
    <d v="2562-08-11T00:00:00"/>
    <m/>
    <m/>
    <m/>
    <m/>
    <m/>
    <m/>
    <m/>
    <m/>
    <m/>
    <m/>
    <m/>
    <m/>
    <x v="3"/>
    <n v="-242020"/>
  </r>
  <r>
    <s v="สิงหาคม"/>
    <d v="2562-08-09T00:00:00"/>
    <x v="1"/>
    <n v="620510"/>
    <x v="94"/>
    <n v="62080992"/>
    <s v="03/090862"/>
    <x v="42"/>
    <s v="93-98"/>
    <x v="583"/>
    <s v="น้ำหนักสูงกว่ามาตรฐาน"/>
    <n v="2.4899999999999949"/>
    <s v="2000/203.4"/>
    <s v="เมตร/ก.ก."/>
    <d v="2562-08-09T00:00:00"/>
    <d v="2562-08-16T00:00:00"/>
    <d v="2562-08-11T00:00:00"/>
    <m/>
    <m/>
    <m/>
    <m/>
    <m/>
    <m/>
    <m/>
    <m/>
    <m/>
    <m/>
    <m/>
    <m/>
    <x v="3"/>
    <n v="-242020"/>
  </r>
  <r>
    <s v="สิงหาคม"/>
    <d v="2562-08-09T00:00:00"/>
    <x v="0"/>
    <n v="620511"/>
    <x v="13"/>
    <s v="TL620818"/>
    <n v="620818"/>
    <x v="0"/>
    <s v="ควบคุมดีเนียร์ที่ 1050-20"/>
    <x v="584"/>
    <s v="เกินกว่าที่ควบคุม"/>
    <n v="48"/>
    <s v="1/223.6"/>
    <s v="กรง/ก.ก."/>
    <d v="2562-08-09T00:00:00"/>
    <d v="2562-08-16T00:00:00"/>
    <d v="2562-08-11T00:00:00"/>
    <m/>
    <m/>
    <m/>
    <m/>
    <m/>
    <m/>
    <m/>
    <m/>
    <m/>
    <m/>
    <m/>
    <m/>
    <x v="3"/>
    <n v="-242021"/>
  </r>
  <r>
    <s v="สิงหาคม"/>
    <d v="2562-08-10T00:00:00"/>
    <x v="2"/>
    <n v="620512"/>
    <x v="95"/>
    <s v="FWBWT203872P"/>
    <n v="62080350"/>
    <x v="50"/>
    <s v="ตามเฉดที่ลูกค้ากำหนด"/>
    <x v="585"/>
    <s v="สีเขียวเข้มกว่าเฉดที่ลูกค้ากำหนด"/>
    <s v="2,590 ใบ"/>
    <n v="2590"/>
    <s v="ใบ"/>
    <d v="2562-08-10T00:00:00"/>
    <d v="2562-08-17T00:00:00"/>
    <d v="2562-08-12T00:00:00"/>
    <m/>
    <m/>
    <m/>
    <m/>
    <m/>
    <m/>
    <m/>
    <m/>
    <m/>
    <m/>
    <m/>
    <m/>
    <x v="3"/>
    <n v="-7"/>
  </r>
  <r>
    <m/>
    <m/>
    <x v="9"/>
    <n v="620513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14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15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16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17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18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19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20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21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22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23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24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25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26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27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28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29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30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31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32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33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34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35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36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37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38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39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40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41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42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43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44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45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46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47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48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49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50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51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52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53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54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55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56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57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58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59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60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61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62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63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64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65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m/>
  </r>
  <r>
    <m/>
    <m/>
    <x v="9"/>
    <n v="620566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67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68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69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70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71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72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73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74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75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76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77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78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79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80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81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82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83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84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85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86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87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88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89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90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e v="#REF!"/>
  </r>
  <r>
    <m/>
    <m/>
    <x v="9"/>
    <n v="620591"/>
    <x v="64"/>
    <m/>
    <m/>
    <x v="75"/>
    <m/>
    <x v="460"/>
    <m/>
    <m/>
    <m/>
    <m/>
    <m/>
    <m/>
    <m/>
    <m/>
    <m/>
    <m/>
    <m/>
    <m/>
    <m/>
    <m/>
    <m/>
    <m/>
    <m/>
    <m/>
    <m/>
    <x v="3"/>
    <m/>
  </r>
  <r>
    <m/>
    <m/>
    <x v="9"/>
    <n v="620592"/>
    <x v="64"/>
    <m/>
    <m/>
    <x v="75"/>
    <m/>
    <x v="460"/>
    <m/>
    <m/>
    <m/>
    <m/>
    <m/>
    <m/>
    <m/>
    <m/>
    <m/>
    <m/>
    <m/>
    <m/>
    <m/>
    <m/>
    <m/>
    <m/>
    <m/>
    <m/>
    <m/>
    <x v="3"/>
    <m/>
  </r>
  <r>
    <m/>
    <m/>
    <x v="9"/>
    <n v="620593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94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95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96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97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  <r>
    <m/>
    <m/>
    <x v="9"/>
    <n v="620598"/>
    <x v="64"/>
    <m/>
    <m/>
    <x v="75"/>
    <m/>
    <x v="460"/>
    <m/>
    <m/>
    <m/>
    <m/>
    <d v="1899-12-30T00:00:00"/>
    <d v="1900-01-06T00:00:00"/>
    <d v="1900-01-01T00:00:00"/>
    <m/>
    <m/>
    <m/>
    <m/>
    <m/>
    <m/>
    <m/>
    <m/>
    <m/>
    <m/>
    <m/>
    <m/>
    <x v="3"/>
    <n v="-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ค่า" updatedVersion="6" minRefreshableVersion="3" useAutoFormatting="1" itemPrintTitles="1" createdVersion="6" indent="0" outline="1" outlineData="1" multipleFieldFilters="0">
  <location ref="A3:B105" firstHeaderRow="1" firstDataRow="1" firstDataCol="1" rowPageCount="1" colPageCount="1"/>
  <pivotFields count="31">
    <pivotField showAll="0"/>
    <pivotField showAll="0"/>
    <pivotField axis="axisPage" multipleItemSelectionAllowed="1" showAll="0">
      <items count="14">
        <item h="1" x="10"/>
        <item h="1" x="5"/>
        <item h="1" x="0"/>
        <item h="1" x="1"/>
        <item x="2"/>
        <item x="11"/>
        <item x="6"/>
        <item x="3"/>
        <item x="4"/>
        <item h="1" x="8"/>
        <item x="12"/>
        <item h="1" x="7"/>
        <item h="1" x="9"/>
        <item t="default"/>
      </items>
    </pivotField>
    <pivotField showAll="0"/>
    <pivotField axis="axisRow" showAll="0">
      <items count="97">
        <item x="41"/>
        <item x="33"/>
        <item x="91"/>
        <item x="19"/>
        <item x="87"/>
        <item x="18"/>
        <item x="49"/>
        <item x="83"/>
        <item x="82"/>
        <item x="48"/>
        <item x="20"/>
        <item x="88"/>
        <item x="81"/>
        <item x="22"/>
        <item x="24"/>
        <item x="95"/>
        <item x="17"/>
        <item x="84"/>
        <item x="60"/>
        <item x="58"/>
        <item x="2"/>
        <item x="4"/>
        <item x="0"/>
        <item x="93"/>
        <item x="61"/>
        <item x="69"/>
        <item x="32"/>
        <item x="13"/>
        <item x="5"/>
        <item x="11"/>
        <item x="1"/>
        <item x="40"/>
        <item x="50"/>
        <item x="21"/>
        <item x="38"/>
        <item x="42"/>
        <item x="30"/>
        <item x="94"/>
        <item x="63"/>
        <item x="3"/>
        <item x="6"/>
        <item x="44"/>
        <item x="35"/>
        <item x="27"/>
        <item x="14"/>
        <item x="56"/>
        <item x="39"/>
        <item x="65"/>
        <item x="55"/>
        <item x="71"/>
        <item x="75"/>
        <item x="15"/>
        <item x="10"/>
        <item x="9"/>
        <item x="37"/>
        <item x="7"/>
        <item x="36"/>
        <item x="74"/>
        <item x="66"/>
        <item x="31"/>
        <item x="70"/>
        <item x="8"/>
        <item x="23"/>
        <item x="26"/>
        <item x="25"/>
        <item x="67"/>
        <item x="89"/>
        <item x="52"/>
        <item x="78"/>
        <item x="51"/>
        <item x="12"/>
        <item x="54"/>
        <item x="29"/>
        <item x="79"/>
        <item x="68"/>
        <item x="28"/>
        <item x="77"/>
        <item x="76"/>
        <item x="57"/>
        <item x="73"/>
        <item x="47"/>
        <item x="59"/>
        <item x="34"/>
        <item x="46"/>
        <item x="53"/>
        <item x="16"/>
        <item x="45"/>
        <item x="90"/>
        <item x="80"/>
        <item x="43"/>
        <item x="85"/>
        <item x="72"/>
        <item x="86"/>
        <item x="62"/>
        <item x="92"/>
        <item x="64"/>
        <item t="default"/>
      </items>
    </pivotField>
    <pivotField showAll="0"/>
    <pivotField showAll="0"/>
    <pivotField axis="axisRow" showAll="0" sortType="ascending">
      <items count="101">
        <item x="44"/>
        <item x="31"/>
        <item x="35"/>
        <item x="42"/>
        <item x="90"/>
        <item x="48"/>
        <item x="91"/>
        <item x="65"/>
        <item x="10"/>
        <item x="87"/>
        <item x="82"/>
        <item x="66"/>
        <item x="49"/>
        <item x="96"/>
        <item x="61"/>
        <item x="60"/>
        <item x="13"/>
        <item x="55"/>
        <item x="37"/>
        <item x="25"/>
        <item x="14"/>
        <item x="43"/>
        <item x="28"/>
        <item x="15"/>
        <item x="70"/>
        <item x="8"/>
        <item x="52"/>
        <item x="6"/>
        <item x="9"/>
        <item x="36"/>
        <item x="89"/>
        <item x="27"/>
        <item x="74"/>
        <item x="18"/>
        <item x="32"/>
        <item x="86"/>
        <item x="76"/>
        <item x="64"/>
        <item x="67"/>
        <item x="45"/>
        <item x="78"/>
        <item x="94"/>
        <item x="92"/>
        <item x="19"/>
        <item x="3"/>
        <item x="4"/>
        <item x="2"/>
        <item x="26"/>
        <item x="77"/>
        <item x="84"/>
        <item x="72"/>
        <item x="85"/>
        <item x="53"/>
        <item x="16"/>
        <item x="7"/>
        <item x="30"/>
        <item x="47"/>
        <item x="46"/>
        <item x="71"/>
        <item x="80"/>
        <item x="17"/>
        <item x="69"/>
        <item x="68"/>
        <item x="51"/>
        <item x="21"/>
        <item x="20"/>
        <item x="83"/>
        <item x="5"/>
        <item x="11"/>
        <item x="29"/>
        <item x="81"/>
        <item x="41"/>
        <item x="56"/>
        <item x="40"/>
        <item x="73"/>
        <item x="57"/>
        <item x="62"/>
        <item x="39"/>
        <item x="88"/>
        <item x="98"/>
        <item x="63"/>
        <item x="99"/>
        <item x="34"/>
        <item x="79"/>
        <item x="97"/>
        <item x="95"/>
        <item x="12"/>
        <item x="50"/>
        <item x="24"/>
        <item x="22"/>
        <item x="23"/>
        <item x="54"/>
        <item x="33"/>
        <item x="38"/>
        <item x="58"/>
        <item x="1"/>
        <item x="0"/>
        <item x="93"/>
        <item x="59"/>
        <item x="75"/>
        <item t="default"/>
      </items>
    </pivotField>
    <pivotField showAll="0"/>
    <pivotField axis="axisRow" showAll="0">
      <items count="587">
        <item x="372"/>
        <item x="385"/>
        <item x="268"/>
        <item x="276"/>
        <item x="281"/>
        <item x="234"/>
        <item x="142"/>
        <item x="1"/>
        <item x="464"/>
        <item x="271"/>
        <item x="278"/>
        <item x="390"/>
        <item x="339"/>
        <item x="335"/>
        <item x="334"/>
        <item x="317"/>
        <item x="391"/>
        <item x="294"/>
        <item x="400"/>
        <item x="9"/>
        <item x="99"/>
        <item x="160"/>
        <item x="115"/>
        <item x="135"/>
        <item x="94"/>
        <item x="297"/>
        <item x="120"/>
        <item x="243"/>
        <item x="33"/>
        <item x="270"/>
        <item x="52"/>
        <item x="462"/>
        <item x="522"/>
        <item x="2"/>
        <item x="405"/>
        <item x="141"/>
        <item x="170"/>
        <item x="218"/>
        <item x="221"/>
        <item x="75"/>
        <item x="76"/>
        <item x="181"/>
        <item x="88"/>
        <item x="475"/>
        <item x="378"/>
        <item x="31"/>
        <item x="322"/>
        <item x="291"/>
        <item x="482"/>
        <item x="426"/>
        <item x="556"/>
        <item x="493"/>
        <item x="310"/>
        <item x="198"/>
        <item x="455"/>
        <item x="279"/>
        <item x="262"/>
        <item x="274"/>
        <item x="265"/>
        <item x="285"/>
        <item x="450"/>
        <item x="263"/>
        <item x="422"/>
        <item x="184"/>
        <item x="311"/>
        <item x="327"/>
        <item x="369"/>
        <item x="77"/>
        <item x="540"/>
        <item x="328"/>
        <item x="304"/>
        <item x="331"/>
        <item x="344"/>
        <item x="338"/>
        <item x="329"/>
        <item x="232"/>
        <item x="206"/>
        <item x="147"/>
        <item x="282"/>
        <item x="209"/>
        <item x="151"/>
        <item x="238"/>
        <item x="6"/>
        <item x="231"/>
        <item x="247"/>
        <item x="290"/>
        <item x="71"/>
        <item x="287"/>
        <item x="180"/>
        <item x="50"/>
        <item x="23"/>
        <item x="189"/>
        <item x="11"/>
        <item x="286"/>
        <item x="368"/>
        <item x="289"/>
        <item x="10"/>
        <item x="107"/>
        <item x="485"/>
        <item x="246"/>
        <item x="70"/>
        <item x="69"/>
        <item x="233"/>
        <item x="388"/>
        <item x="203"/>
        <item x="223"/>
        <item x="176"/>
        <item x="572"/>
        <item x="503"/>
        <item x="133"/>
        <item x="201"/>
        <item x="129"/>
        <item x="404"/>
        <item x="380"/>
        <item x="309"/>
        <item x="499"/>
        <item x="166"/>
        <item x="205"/>
        <item x="330"/>
        <item x="439"/>
        <item x="386"/>
        <item x="199"/>
        <item x="560"/>
        <item x="193"/>
        <item x="465"/>
        <item x="387"/>
        <item x="200"/>
        <item x="195"/>
        <item x="258"/>
        <item x="305"/>
        <item x="562"/>
        <item x="197"/>
        <item x="473"/>
        <item x="138"/>
        <item x="360"/>
        <item x="492"/>
        <item x="486"/>
        <item x="557"/>
        <item x="551"/>
        <item x="543"/>
        <item x="552"/>
        <item x="440"/>
        <item x="553"/>
        <item x="410"/>
        <item x="435"/>
        <item x="415"/>
        <item x="398"/>
        <item x="132"/>
        <item x="374"/>
        <item x="397"/>
        <item x="583"/>
        <item x="12"/>
        <item x="421"/>
        <item x="381"/>
        <item x="454"/>
        <item x="403"/>
        <item x="295"/>
        <item x="108"/>
        <item x="92"/>
        <item x="87"/>
        <item x="91"/>
        <item x="351"/>
        <item x="425"/>
        <item x="424"/>
        <item x="358"/>
        <item x="55"/>
        <item x="127"/>
        <item x="187"/>
        <item x="220"/>
        <item x="29"/>
        <item x="341"/>
        <item x="343"/>
        <item x="578"/>
        <item x="352"/>
        <item x="35"/>
        <item x="506"/>
        <item x="169"/>
        <item x="349"/>
        <item x="264"/>
        <item x="342"/>
        <item x="579"/>
        <item x="40"/>
        <item x="377"/>
        <item x="547"/>
        <item x="73"/>
        <item x="54"/>
        <item x="163"/>
        <item x="392"/>
        <item x="74"/>
        <item x="526"/>
        <item x="165"/>
        <item x="66"/>
        <item x="569"/>
        <item x="501"/>
        <item x="336"/>
        <item x="577"/>
        <item x="81"/>
        <item x="350"/>
        <item x="427"/>
        <item x="15"/>
        <item x="112"/>
        <item x="561"/>
        <item x="96"/>
        <item x="177"/>
        <item x="90"/>
        <item x="259"/>
        <item x="14"/>
        <item x="157"/>
        <item x="536"/>
        <item x="417"/>
        <item x="252"/>
        <item x="283"/>
        <item x="446"/>
        <item x="110"/>
        <item x="484"/>
        <item x="466"/>
        <item x="113"/>
        <item x="467"/>
        <item x="550"/>
        <item x="178"/>
        <item x="168"/>
        <item x="95"/>
        <item x="525"/>
        <item x="537"/>
        <item x="359"/>
        <item x="564"/>
        <item x="16"/>
        <item x="111"/>
        <item x="20"/>
        <item x="413"/>
        <item x="67"/>
        <item x="89"/>
        <item x="28"/>
        <item x="538"/>
        <item x="535"/>
        <item x="478"/>
        <item x="63"/>
        <item x="117"/>
        <item x="354"/>
        <item x="179"/>
        <item x="412"/>
        <item x="533"/>
        <item x="82"/>
        <item x="171"/>
        <item x="27"/>
        <item x="510"/>
        <item x="490"/>
        <item x="155"/>
        <item x="532"/>
        <item x="167"/>
        <item x="488"/>
        <item x="101"/>
        <item x="123"/>
        <item x="241"/>
        <item x="502"/>
        <item x="489"/>
        <item x="118"/>
        <item x="468"/>
        <item x="534"/>
        <item x="78"/>
        <item x="68"/>
        <item x="366"/>
        <item x="345"/>
        <item x="105"/>
        <item x="357"/>
        <item x="162"/>
        <item x="483"/>
        <item x="456"/>
        <item x="41"/>
        <item x="13"/>
        <item x="156"/>
        <item x="428"/>
        <item x="438"/>
        <item x="158"/>
        <item x="150"/>
        <item x="237"/>
        <item x="62"/>
        <item x="447"/>
        <item x="429"/>
        <item x="122"/>
        <item x="172"/>
        <item x="519"/>
        <item x="139"/>
        <item x="228"/>
        <item x="393"/>
        <item x="72"/>
        <item x="367"/>
        <item x="26"/>
        <item x="402"/>
        <item x="401"/>
        <item x="53"/>
        <item x="423"/>
        <item x="487"/>
        <item x="520"/>
        <item x="496"/>
        <item x="581"/>
        <item x="190"/>
        <item x="34"/>
        <item x="521"/>
        <item x="469"/>
        <item x="479"/>
        <item x="495"/>
        <item x="347"/>
        <item x="498"/>
        <item x="102"/>
        <item x="222"/>
        <item x="582"/>
        <item x="353"/>
        <item x="130"/>
        <item x="137"/>
        <item x="430"/>
        <item x="61"/>
        <item x="497"/>
        <item x="121"/>
        <item x="320"/>
        <item x="491"/>
        <item x="131"/>
        <item x="508"/>
        <item x="558"/>
        <item x="504"/>
        <item x="346"/>
        <item x="570"/>
        <item x="356"/>
        <item x="355"/>
        <item x="236"/>
        <item x="563"/>
        <item x="362"/>
        <item x="541"/>
        <item x="539"/>
        <item x="337"/>
        <item x="249"/>
        <item x="251"/>
        <item x="494"/>
        <item x="239"/>
        <item x="458"/>
        <item x="269"/>
        <item x="431"/>
        <item x="375"/>
        <item x="257"/>
        <item x="7"/>
        <item x="416"/>
        <item x="280"/>
        <item x="576"/>
        <item x="210"/>
        <item x="323"/>
        <item x="8"/>
        <item x="64"/>
        <item x="314"/>
        <item x="273"/>
        <item x="49"/>
        <item x="185"/>
        <item x="159"/>
        <item x="93"/>
        <item x="298"/>
        <item x="0"/>
        <item x="306"/>
        <item x="196"/>
        <item x="474"/>
        <item x="284"/>
        <item x="24"/>
        <item x="370"/>
        <item x="379"/>
        <item x="296"/>
        <item x="164"/>
        <item x="51"/>
        <item x="505"/>
        <item x="242"/>
        <item x="148"/>
        <item x="43"/>
        <item x="277"/>
        <item x="302"/>
        <item x="143"/>
        <item x="79"/>
        <item x="152"/>
        <item x="182"/>
        <item x="46"/>
        <item x="507"/>
        <item x="512"/>
        <item x="444"/>
        <item x="146"/>
        <item x="319"/>
        <item x="44"/>
        <item x="542"/>
        <item x="516"/>
        <item x="267"/>
        <item x="301"/>
        <item x="275"/>
        <item x="303"/>
        <item x="389"/>
        <item x="371"/>
        <item x="414"/>
        <item x="326"/>
        <item x="399"/>
        <item x="312"/>
        <item x="451"/>
        <item x="313"/>
        <item x="114"/>
        <item x="254"/>
        <item x="260"/>
        <item x="324"/>
        <item x="373"/>
        <item x="437"/>
        <item x="235"/>
        <item x="134"/>
        <item x="524"/>
        <item x="565"/>
        <item x="432"/>
        <item x="47"/>
        <item x="452"/>
        <item x="580"/>
        <item x="408"/>
        <item x="571"/>
        <item x="315"/>
        <item x="443"/>
        <item x="476"/>
        <item x="211"/>
        <item x="84"/>
        <item x="568"/>
        <item x="531"/>
        <item x="411"/>
        <item x="136"/>
        <item x="32"/>
        <item x="409"/>
        <item x="161"/>
        <item x="363"/>
        <item x="175"/>
        <item x="30"/>
        <item x="361"/>
        <item x="418"/>
        <item x="584"/>
        <item x="548"/>
        <item x="472"/>
        <item x="140"/>
        <item x="255"/>
        <item x="500"/>
        <item x="442"/>
        <item x="18"/>
        <item x="97"/>
        <item x="325"/>
        <item x="224"/>
        <item x="253"/>
        <item x="395"/>
        <item x="420"/>
        <item x="98"/>
        <item x="58"/>
        <item x="461"/>
        <item x="45"/>
        <item x="544"/>
        <item x="244"/>
        <item x="217"/>
        <item x="555"/>
        <item x="332"/>
        <item x="382"/>
        <item x="153"/>
        <item x="4"/>
        <item x="433"/>
        <item x="214"/>
        <item x="513"/>
        <item x="57"/>
        <item x="37"/>
        <item x="17"/>
        <item x="173"/>
        <item x="321"/>
        <item x="21"/>
        <item x="394"/>
        <item x="574"/>
        <item x="225"/>
        <item x="527"/>
        <item x="549"/>
        <item x="216"/>
        <item x="230"/>
        <item x="448"/>
        <item x="406"/>
        <item x="470"/>
        <item x="38"/>
        <item x="509"/>
        <item x="463"/>
        <item x="453"/>
        <item x="477"/>
        <item x="459"/>
        <item x="365"/>
        <item x="348"/>
        <item x="384"/>
        <item x="567"/>
        <item x="292"/>
        <item x="145"/>
        <item x="39"/>
        <item x="227"/>
        <item x="293"/>
        <item x="546"/>
        <item x="441"/>
        <item x="215"/>
        <item x="449"/>
        <item x="436"/>
        <item x="528"/>
        <item x="318"/>
        <item x="226"/>
        <item x="144"/>
        <item x="514"/>
        <item x="59"/>
        <item x="407"/>
        <item x="333"/>
        <item x="545"/>
        <item x="396"/>
        <item x="316"/>
        <item x="419"/>
        <item x="383"/>
        <item x="174"/>
        <item x="19"/>
        <item x="515"/>
        <item x="208"/>
        <item x="154"/>
        <item x="566"/>
        <item x="471"/>
        <item x="207"/>
        <item x="22"/>
        <item x="5"/>
        <item x="3"/>
        <item x="559"/>
        <item x="212"/>
        <item x="250"/>
        <item x="56"/>
        <item x="188"/>
        <item x="202"/>
        <item x="261"/>
        <item x="106"/>
        <item x="109"/>
        <item x="85"/>
        <item x="192"/>
        <item x="119"/>
        <item x="83"/>
        <item x="104"/>
        <item x="480"/>
        <item x="517"/>
        <item x="25"/>
        <item x="272"/>
        <item x="248"/>
        <item x="100"/>
        <item x="125"/>
        <item x="42"/>
        <item x="80"/>
        <item x="256"/>
        <item x="511"/>
        <item x="126"/>
        <item x="229"/>
        <item x="219"/>
        <item x="213"/>
        <item x="60"/>
        <item x="376"/>
        <item x="191"/>
        <item x="128"/>
        <item x="204"/>
        <item x="124"/>
        <item x="65"/>
        <item x="529"/>
        <item x="194"/>
        <item x="445"/>
        <item x="530"/>
        <item x="103"/>
        <item x="340"/>
        <item x="299"/>
        <item x="86"/>
        <item x="288"/>
        <item x="300"/>
        <item x="554"/>
        <item x="434"/>
        <item x="481"/>
        <item x="518"/>
        <item x="523"/>
        <item x="307"/>
        <item x="573"/>
        <item x="186"/>
        <item x="457"/>
        <item x="149"/>
        <item x="308"/>
        <item x="266"/>
        <item x="116"/>
        <item x="585"/>
        <item x="245"/>
        <item x="240"/>
        <item x="364"/>
        <item x="48"/>
        <item x="36"/>
        <item x="183"/>
        <item x="575"/>
        <item x="46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77">
        <item x="2"/>
        <item x="1"/>
        <item x="174"/>
        <item x="11"/>
        <item x="57"/>
        <item x="6"/>
        <item x="49"/>
        <item x="45"/>
        <item x="38"/>
        <item x="94"/>
        <item x="90"/>
        <item x="12"/>
        <item x="5"/>
        <item x="0"/>
        <item x="116"/>
        <item x="122"/>
        <item x="79"/>
        <item x="15"/>
        <item x="14"/>
        <item x="13"/>
        <item x="20"/>
        <item x="70"/>
        <item x="30"/>
        <item x="55"/>
        <item x="138"/>
        <item x="63"/>
        <item x="82"/>
        <item x="168"/>
        <item x="172"/>
        <item x="119"/>
        <item x="44"/>
        <item x="101"/>
        <item x="4"/>
        <item x="77"/>
        <item x="115"/>
        <item x="121"/>
        <item x="72"/>
        <item x="7"/>
        <item x="21"/>
        <item x="53"/>
        <item x="87"/>
        <item x="92"/>
        <item x="27"/>
        <item x="28"/>
        <item x="41"/>
        <item x="19"/>
        <item x="164"/>
        <item x="74"/>
        <item x="84"/>
        <item x="62"/>
        <item x="48"/>
        <item x="64"/>
        <item x="71"/>
        <item x="37"/>
        <item x="166"/>
        <item x="102"/>
        <item x="131"/>
        <item x="160"/>
        <item x="16"/>
        <item x="171"/>
        <item x="23"/>
        <item x="26"/>
        <item x="98"/>
        <item x="59"/>
        <item x="83"/>
        <item x="46"/>
        <item x="111"/>
        <item x="69"/>
        <item x="165"/>
        <item x="162"/>
        <item x="143"/>
        <item x="96"/>
        <item x="144"/>
        <item x="80"/>
        <item x="89"/>
        <item x="95"/>
        <item x="93"/>
        <item x="56"/>
        <item x="161"/>
        <item x="113"/>
        <item x="100"/>
        <item x="103"/>
        <item x="76"/>
        <item x="107"/>
        <item x="104"/>
        <item x="129"/>
        <item x="24"/>
        <item x="18"/>
        <item x="22"/>
        <item x="81"/>
        <item x="10"/>
        <item x="73"/>
        <item x="54"/>
        <item x="8"/>
        <item x="146"/>
        <item x="155"/>
        <item x="145"/>
        <item x="114"/>
        <item x="43"/>
        <item x="39"/>
        <item x="128"/>
        <item x="52"/>
        <item x="17"/>
        <item x="132"/>
        <item x="66"/>
        <item x="126"/>
        <item x="85"/>
        <item x="91"/>
        <item x="32"/>
        <item x="135"/>
        <item x="127"/>
        <item x="65"/>
        <item x="67"/>
        <item x="139"/>
        <item x="117"/>
        <item x="175"/>
        <item x="154"/>
        <item x="136"/>
        <item x="150"/>
        <item x="42"/>
        <item x="36"/>
        <item x="68"/>
        <item x="9"/>
        <item x="47"/>
        <item x="169"/>
        <item x="153"/>
        <item x="152"/>
        <item x="125"/>
        <item x="118"/>
        <item x="34"/>
        <item x="124"/>
        <item x="163"/>
        <item x="170"/>
        <item x="106"/>
        <item x="108"/>
        <item x="109"/>
        <item x="167"/>
        <item x="123"/>
        <item x="142"/>
        <item x="75"/>
        <item x="141"/>
        <item x="99"/>
        <item x="78"/>
        <item x="149"/>
        <item x="105"/>
        <item x="151"/>
        <item x="110"/>
        <item x="112"/>
        <item x="134"/>
        <item x="120"/>
        <item x="97"/>
        <item x="58"/>
        <item x="60"/>
        <item x="61"/>
        <item x="29"/>
        <item x="31"/>
        <item x="159"/>
        <item x="173"/>
        <item x="158"/>
        <item x="40"/>
        <item x="25"/>
        <item x="33"/>
        <item x="51"/>
        <item x="147"/>
        <item x="133"/>
        <item x="86"/>
        <item x="130"/>
        <item x="140"/>
        <item x="148"/>
        <item x="88"/>
        <item x="35"/>
        <item x="50"/>
        <item x="156"/>
        <item x="157"/>
        <item x="137"/>
        <item x="3"/>
        <item t="default"/>
      </items>
    </pivotField>
    <pivotField showAll="0"/>
  </pivotFields>
  <rowFields count="3">
    <field x="7"/>
    <field x="4"/>
    <field x="9"/>
  </rowFields>
  <rowItems count="102">
    <i>
      <x v="79"/>
    </i>
    <i r="1">
      <x v="4"/>
    </i>
    <i r="2">
      <x v="567"/>
    </i>
    <i>
      <x v="84"/>
    </i>
    <i r="1">
      <x v="92"/>
    </i>
    <i r="2">
      <x v="533"/>
    </i>
    <i>
      <x v="85"/>
    </i>
    <i r="1">
      <x v="87"/>
    </i>
    <i r="2">
      <x v="557"/>
    </i>
    <i r="1">
      <x v="90"/>
    </i>
    <i r="2">
      <x v="534"/>
    </i>
    <i>
      <x v="86"/>
    </i>
    <i r="1">
      <x v="2"/>
    </i>
    <i r="2">
      <x v="534"/>
    </i>
    <i r="1">
      <x v="7"/>
    </i>
    <i r="2">
      <x v="532"/>
    </i>
    <i r="1">
      <x v="13"/>
    </i>
    <i r="2">
      <x v="534"/>
    </i>
    <i r="1">
      <x v="64"/>
    </i>
    <i r="2">
      <x v="534"/>
    </i>
    <i r="2">
      <x v="550"/>
    </i>
    <i r="1">
      <x v="65"/>
    </i>
    <i r="2">
      <x v="563"/>
    </i>
    <i r="1">
      <x v="67"/>
    </i>
    <i r="2">
      <x v="534"/>
    </i>
    <i r="1">
      <x v="69"/>
    </i>
    <i r="2">
      <x v="534"/>
    </i>
    <i r="1">
      <x v="70"/>
    </i>
    <i r="2">
      <x v="534"/>
    </i>
    <i r="1">
      <x v="71"/>
    </i>
    <i r="2">
      <x v="534"/>
    </i>
    <i r="1">
      <x v="74"/>
    </i>
    <i r="2">
      <x v="534"/>
    </i>
    <i>
      <x v="87"/>
    </i>
    <i r="1">
      <x/>
    </i>
    <i r="2">
      <x v="534"/>
    </i>
    <i r="1">
      <x v="11"/>
    </i>
    <i r="2">
      <x v="568"/>
    </i>
    <i r="1">
      <x v="15"/>
    </i>
    <i r="2">
      <x v="577"/>
    </i>
    <i r="1">
      <x v="68"/>
    </i>
    <i r="2">
      <x v="534"/>
    </i>
    <i r="1">
      <x v="72"/>
    </i>
    <i r="2">
      <x v="535"/>
    </i>
    <i r="1">
      <x v="73"/>
    </i>
    <i r="2">
      <x v="534"/>
    </i>
    <i r="1">
      <x v="86"/>
    </i>
    <i r="2">
      <x v="534"/>
    </i>
    <i>
      <x v="88"/>
    </i>
    <i r="1">
      <x v="3"/>
    </i>
    <i r="2">
      <x v="534"/>
    </i>
    <i r="1">
      <x v="17"/>
    </i>
    <i r="2">
      <x v="534"/>
    </i>
    <i r="1">
      <x v="64"/>
    </i>
    <i r="2">
      <x v="527"/>
    </i>
    <i r="1">
      <x v="78"/>
    </i>
    <i r="2">
      <x v="579"/>
    </i>
    <i>
      <x v="89"/>
    </i>
    <i r="1">
      <x v="81"/>
    </i>
    <i r="2">
      <x v="536"/>
    </i>
    <i r="1">
      <x v="82"/>
    </i>
    <i r="2">
      <x v="529"/>
    </i>
    <i r="1">
      <x v="83"/>
    </i>
    <i r="2">
      <x v="534"/>
    </i>
    <i>
      <x v="90"/>
    </i>
    <i r="1">
      <x v="5"/>
    </i>
    <i r="2">
      <x v="534"/>
    </i>
    <i r="1">
      <x v="10"/>
    </i>
    <i r="2">
      <x v="553"/>
    </i>
    <i r="1">
      <x v="76"/>
    </i>
    <i r="2">
      <x v="534"/>
    </i>
    <i r="1">
      <x v="77"/>
    </i>
    <i r="2">
      <x v="534"/>
    </i>
    <i r="1">
      <x v="93"/>
    </i>
    <i r="2">
      <x v="534"/>
    </i>
    <i>
      <x v="91"/>
    </i>
    <i r="1">
      <x v="9"/>
    </i>
    <i r="2">
      <x v="534"/>
    </i>
    <i r="1">
      <x v="17"/>
    </i>
    <i r="2">
      <x v="584"/>
    </i>
    <i r="1">
      <x v="69"/>
    </i>
    <i r="2">
      <x v="534"/>
    </i>
    <i r="1">
      <x v="83"/>
    </i>
    <i r="2">
      <x v="534"/>
    </i>
    <i r="1">
      <x v="89"/>
    </i>
    <i r="2">
      <x v="534"/>
    </i>
    <i r="1">
      <x v="91"/>
    </i>
    <i r="2">
      <x v="534"/>
    </i>
    <i>
      <x v="92"/>
    </i>
    <i r="1">
      <x v="13"/>
    </i>
    <i r="2">
      <x v="531"/>
    </i>
    <i r="1">
      <x v="14"/>
    </i>
    <i r="2">
      <x v="530"/>
    </i>
    <i r="1">
      <x v="72"/>
    </i>
    <i r="2">
      <x v="537"/>
    </i>
    <i>
      <x v="93"/>
    </i>
    <i r="1">
      <x v="13"/>
    </i>
    <i r="2">
      <x v="530"/>
    </i>
    <i>
      <x v="95"/>
    </i>
    <i r="1">
      <x v="75"/>
    </i>
    <i r="2">
      <x v="534"/>
    </i>
    <i t="grand">
      <x/>
    </i>
  </rowItems>
  <colItems count="1">
    <i/>
  </colItems>
  <pageFields count="1">
    <pageField fld="2" hier="-1"/>
  </pageFields>
  <dataFields count="1">
    <dataField name="ผลรวม ของ จำนวน " fld="12" baseField="9" baseItem="53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290"/>
  <sheetViews>
    <sheetView tabSelected="1" view="pageBreakPreview" zoomScale="70" zoomScaleNormal="80" zoomScaleSheetLayoutView="70" workbookViewId="0">
      <pane xSplit="5" ySplit="1" topLeftCell="H845" activePane="bottomRight" state="frozen"/>
      <selection pane="topRight" activeCell="F1" sqref="F1"/>
      <selection pane="bottomLeft" activeCell="A2" sqref="A2"/>
      <selection pane="bottomRight" activeCell="T851" sqref="T851"/>
    </sheetView>
  </sheetViews>
  <sheetFormatPr defaultRowHeight="36" customHeight="1" x14ac:dyDescent="0.35"/>
  <cols>
    <col min="1" max="1" width="9.25" style="41" bestFit="1" customWidth="1"/>
    <col min="2" max="3" width="9" style="41"/>
    <col min="4" max="4" width="9.625" style="167" customWidth="1"/>
    <col min="5" max="5" width="22.25" style="194" customWidth="1"/>
    <col min="6" max="6" width="15.5" style="164" customWidth="1"/>
    <col min="7" max="7" width="10.375" style="188" customWidth="1"/>
    <col min="8" max="8" width="11.125" style="41" customWidth="1"/>
    <col min="9" max="9" width="19.375" style="41" customWidth="1"/>
    <col min="10" max="10" width="25.25" style="41" customWidth="1"/>
    <col min="11" max="11" width="24.125" style="41" customWidth="1"/>
    <col min="12" max="12" width="9" style="41" customWidth="1"/>
    <col min="13" max="13" width="14" style="165" customWidth="1"/>
    <col min="14" max="14" width="8" style="165" customWidth="1"/>
    <col min="15" max="15" width="9.25" style="41" customWidth="1"/>
    <col min="16" max="16" width="12.75" style="41" customWidth="1"/>
    <col min="17" max="19" width="9" style="41" customWidth="1"/>
    <col min="20" max="20" width="12.375" style="41" customWidth="1"/>
    <col min="21" max="23" width="9" style="41" customWidth="1"/>
    <col min="24" max="25" width="9" style="41" hidden="1" customWidth="1"/>
    <col min="26" max="26" width="26.125" style="41" customWidth="1"/>
    <col min="27" max="16384" width="9" style="41"/>
  </cols>
  <sheetData>
    <row r="1" spans="1:27" ht="60" customHeight="1" x14ac:dyDescent="0.25">
      <c r="A1" s="120" t="s">
        <v>9</v>
      </c>
      <c r="B1" s="121" t="s">
        <v>8</v>
      </c>
      <c r="C1" s="122" t="s">
        <v>2</v>
      </c>
      <c r="D1" s="233" t="s">
        <v>216</v>
      </c>
      <c r="E1" s="124" t="s">
        <v>30</v>
      </c>
      <c r="F1" s="189" t="s">
        <v>32</v>
      </c>
      <c r="G1" s="125" t="s">
        <v>31</v>
      </c>
      <c r="H1" s="186" t="s">
        <v>33</v>
      </c>
      <c r="I1" s="127" t="s">
        <v>34</v>
      </c>
      <c r="J1" s="128" t="s">
        <v>35</v>
      </c>
      <c r="K1" s="129" t="s">
        <v>77</v>
      </c>
      <c r="L1" s="130" t="s">
        <v>87</v>
      </c>
      <c r="M1" s="131" t="s">
        <v>36</v>
      </c>
      <c r="N1" s="132" t="s">
        <v>37</v>
      </c>
      <c r="O1" s="133" t="s">
        <v>4</v>
      </c>
      <c r="P1" s="197" t="s">
        <v>3</v>
      </c>
      <c r="Q1" s="126" t="s">
        <v>7</v>
      </c>
      <c r="R1" s="123" t="s">
        <v>58</v>
      </c>
      <c r="S1" s="134" t="s">
        <v>1</v>
      </c>
      <c r="T1" s="135" t="s">
        <v>99</v>
      </c>
      <c r="U1" s="134" t="s">
        <v>1</v>
      </c>
      <c r="V1" s="128" t="s">
        <v>96</v>
      </c>
      <c r="W1" s="134" t="s">
        <v>1</v>
      </c>
      <c r="X1" s="136" t="s">
        <v>5</v>
      </c>
      <c r="Y1" s="136" t="s">
        <v>1</v>
      </c>
      <c r="Z1" s="137" t="s">
        <v>6</v>
      </c>
      <c r="AA1" s="138" t="s">
        <v>95</v>
      </c>
    </row>
    <row r="2" spans="1:27" s="145" customFormat="1" ht="36" customHeight="1" x14ac:dyDescent="0.25">
      <c r="A2" s="119" t="s">
        <v>18</v>
      </c>
      <c r="B2" s="139">
        <v>243985</v>
      </c>
      <c r="C2" s="119" t="s">
        <v>14</v>
      </c>
      <c r="D2" s="166">
        <v>680001</v>
      </c>
      <c r="E2" s="119" t="s">
        <v>307</v>
      </c>
      <c r="F2" s="190">
        <v>68010212</v>
      </c>
      <c r="G2" s="119" t="s">
        <v>315</v>
      </c>
      <c r="H2" s="187" t="s">
        <v>227</v>
      </c>
      <c r="I2" s="154" t="s">
        <v>308</v>
      </c>
      <c r="J2" s="146" t="s">
        <v>311</v>
      </c>
      <c r="K2" s="119" t="s">
        <v>312</v>
      </c>
      <c r="L2" s="146" t="s">
        <v>313</v>
      </c>
      <c r="M2" s="119" t="s">
        <v>314</v>
      </c>
      <c r="N2" s="119" t="s">
        <v>93</v>
      </c>
      <c r="O2" s="141">
        <f t="shared" ref="O2:O38" si="0">B2</f>
        <v>243985</v>
      </c>
      <c r="P2" s="141">
        <f t="shared" ref="P2:P38" si="1">B2+7</f>
        <v>243992</v>
      </c>
      <c r="Q2" s="141">
        <f t="shared" ref="Q2:Q38" si="2">O2+2</f>
        <v>243987</v>
      </c>
      <c r="R2" s="139" t="s">
        <v>55</v>
      </c>
      <c r="S2" s="143">
        <v>243991</v>
      </c>
      <c r="T2" s="139" t="s">
        <v>55</v>
      </c>
      <c r="U2" s="143">
        <v>276864</v>
      </c>
      <c r="V2" s="139" t="s">
        <v>55</v>
      </c>
      <c r="W2" s="143">
        <v>243985</v>
      </c>
      <c r="X2" s="139"/>
      <c r="Y2" s="141"/>
      <c r="Z2" s="119" t="s">
        <v>321</v>
      </c>
      <c r="AA2" s="144">
        <f t="shared" ref="AA2:AA9" si="3">W2-P2</f>
        <v>-7</v>
      </c>
    </row>
    <row r="3" spans="1:27" s="145" customFormat="1" ht="36" customHeight="1" x14ac:dyDescent="0.25">
      <c r="A3" s="119" t="s">
        <v>18</v>
      </c>
      <c r="B3" s="139">
        <v>243985</v>
      </c>
      <c r="C3" s="119" t="s">
        <v>14</v>
      </c>
      <c r="D3" s="166">
        <v>680002</v>
      </c>
      <c r="E3" s="119" t="s">
        <v>307</v>
      </c>
      <c r="F3" s="190">
        <v>68010213</v>
      </c>
      <c r="G3" s="119" t="s">
        <v>316</v>
      </c>
      <c r="H3" s="187" t="s">
        <v>241</v>
      </c>
      <c r="I3" s="154" t="s">
        <v>308</v>
      </c>
      <c r="J3" s="146" t="s">
        <v>317</v>
      </c>
      <c r="K3" s="119" t="s">
        <v>318</v>
      </c>
      <c r="L3" s="146" t="s">
        <v>319</v>
      </c>
      <c r="M3" s="119" t="s">
        <v>320</v>
      </c>
      <c r="N3" s="119" t="s">
        <v>93</v>
      </c>
      <c r="O3" s="141">
        <f t="shared" si="0"/>
        <v>243985</v>
      </c>
      <c r="P3" s="141">
        <f t="shared" si="1"/>
        <v>243992</v>
      </c>
      <c r="Q3" s="141">
        <f t="shared" si="2"/>
        <v>243987</v>
      </c>
      <c r="R3" s="139" t="s">
        <v>55</v>
      </c>
      <c r="S3" s="143">
        <v>243991</v>
      </c>
      <c r="T3" s="139" t="s">
        <v>55</v>
      </c>
      <c r="U3" s="143">
        <v>276864</v>
      </c>
      <c r="V3" s="139" t="s">
        <v>55</v>
      </c>
      <c r="W3" s="143">
        <v>243985</v>
      </c>
      <c r="X3" s="139"/>
      <c r="Y3" s="141"/>
      <c r="Z3" s="119" t="s">
        <v>321</v>
      </c>
      <c r="AA3" s="144">
        <f t="shared" si="3"/>
        <v>-7</v>
      </c>
    </row>
    <row r="4" spans="1:27" s="145" customFormat="1" ht="36" customHeight="1" x14ac:dyDescent="0.25">
      <c r="A4" s="119" t="s">
        <v>18</v>
      </c>
      <c r="B4" s="139">
        <v>243987</v>
      </c>
      <c r="C4" s="119" t="s">
        <v>14</v>
      </c>
      <c r="D4" s="166">
        <v>680003</v>
      </c>
      <c r="E4" s="119" t="s">
        <v>309</v>
      </c>
      <c r="F4" s="190">
        <v>68010416</v>
      </c>
      <c r="G4" s="119" t="s">
        <v>330</v>
      </c>
      <c r="H4" s="187" t="s">
        <v>228</v>
      </c>
      <c r="I4" s="147" t="s">
        <v>310</v>
      </c>
      <c r="J4" s="146">
        <v>135.16999999999999</v>
      </c>
      <c r="K4" s="119" t="s">
        <v>207</v>
      </c>
      <c r="L4" s="146">
        <f>J4-132</f>
        <v>3.1699999999999875</v>
      </c>
      <c r="M4" s="119" t="s">
        <v>331</v>
      </c>
      <c r="N4" s="119" t="s">
        <v>93</v>
      </c>
      <c r="O4" s="141">
        <f t="shared" si="0"/>
        <v>243987</v>
      </c>
      <c r="P4" s="141">
        <f t="shared" si="1"/>
        <v>243994</v>
      </c>
      <c r="Q4" s="141">
        <f t="shared" si="2"/>
        <v>243989</v>
      </c>
      <c r="R4" s="139" t="s">
        <v>55</v>
      </c>
      <c r="S4" s="143">
        <v>243991</v>
      </c>
      <c r="T4" s="139" t="s">
        <v>55</v>
      </c>
      <c r="U4" s="143">
        <v>276864</v>
      </c>
      <c r="V4" s="139" t="s">
        <v>55</v>
      </c>
      <c r="W4" s="143">
        <v>243989</v>
      </c>
      <c r="X4" s="139"/>
      <c r="Y4" s="141"/>
      <c r="Z4" s="119" t="s">
        <v>349</v>
      </c>
      <c r="AA4" s="144">
        <f t="shared" si="3"/>
        <v>-5</v>
      </c>
    </row>
    <row r="5" spans="1:27" s="145" customFormat="1" ht="36" customHeight="1" x14ac:dyDescent="0.25">
      <c r="A5" s="119" t="s">
        <v>18</v>
      </c>
      <c r="B5" s="139">
        <v>243987</v>
      </c>
      <c r="C5" s="119" t="s">
        <v>14</v>
      </c>
      <c r="D5" s="166">
        <v>680004</v>
      </c>
      <c r="E5" s="119" t="s">
        <v>306</v>
      </c>
      <c r="F5" s="190">
        <v>68010401</v>
      </c>
      <c r="G5" s="119" t="s">
        <v>322</v>
      </c>
      <c r="H5" s="187" t="s">
        <v>282</v>
      </c>
      <c r="I5" s="154" t="s">
        <v>305</v>
      </c>
      <c r="J5" s="146">
        <v>73.94</v>
      </c>
      <c r="K5" s="119" t="s">
        <v>200</v>
      </c>
      <c r="L5" s="146">
        <v>3.94</v>
      </c>
      <c r="M5" s="119" t="s">
        <v>323</v>
      </c>
      <c r="N5" s="119" t="s">
        <v>93</v>
      </c>
      <c r="O5" s="141">
        <f t="shared" si="0"/>
        <v>243987</v>
      </c>
      <c r="P5" s="141">
        <f t="shared" si="1"/>
        <v>243994</v>
      </c>
      <c r="Q5" s="141">
        <f t="shared" si="2"/>
        <v>243989</v>
      </c>
      <c r="R5" s="139" t="s">
        <v>55</v>
      </c>
      <c r="S5" s="143">
        <v>243991</v>
      </c>
      <c r="T5" s="139" t="s">
        <v>55</v>
      </c>
      <c r="U5" s="143">
        <v>276864</v>
      </c>
      <c r="V5" s="139" t="s">
        <v>55</v>
      </c>
      <c r="W5" s="143">
        <v>243989</v>
      </c>
      <c r="X5" s="139"/>
      <c r="Y5" s="141"/>
      <c r="Z5" s="119" t="s">
        <v>350</v>
      </c>
      <c r="AA5" s="144">
        <f t="shared" si="3"/>
        <v>-5</v>
      </c>
    </row>
    <row r="6" spans="1:27" s="145" customFormat="1" ht="36" customHeight="1" x14ac:dyDescent="0.25">
      <c r="A6" s="119" t="s">
        <v>18</v>
      </c>
      <c r="B6" s="139">
        <v>243987</v>
      </c>
      <c r="C6" s="119" t="s">
        <v>14</v>
      </c>
      <c r="D6" s="166">
        <v>680005</v>
      </c>
      <c r="E6" s="119" t="s">
        <v>332</v>
      </c>
      <c r="F6" s="190">
        <v>68010417</v>
      </c>
      <c r="G6" s="119" t="s">
        <v>333</v>
      </c>
      <c r="H6" s="187" t="s">
        <v>211</v>
      </c>
      <c r="I6" s="147" t="s">
        <v>335</v>
      </c>
      <c r="J6" s="146" t="s">
        <v>337</v>
      </c>
      <c r="K6" s="119" t="s">
        <v>336</v>
      </c>
      <c r="L6" s="146" t="s">
        <v>69</v>
      </c>
      <c r="M6" s="119" t="s">
        <v>334</v>
      </c>
      <c r="N6" s="119" t="s">
        <v>93</v>
      </c>
      <c r="O6" s="141">
        <f t="shared" si="0"/>
        <v>243987</v>
      </c>
      <c r="P6" s="141">
        <f t="shared" si="1"/>
        <v>243994</v>
      </c>
      <c r="Q6" s="141">
        <f t="shared" si="2"/>
        <v>243989</v>
      </c>
      <c r="R6" s="139" t="s">
        <v>55</v>
      </c>
      <c r="S6" s="143">
        <v>243991</v>
      </c>
      <c r="T6" s="139" t="s">
        <v>55</v>
      </c>
      <c r="U6" s="143">
        <v>276864</v>
      </c>
      <c r="V6" s="139" t="s">
        <v>55</v>
      </c>
      <c r="W6" s="143">
        <v>243987</v>
      </c>
      <c r="X6" s="139"/>
      <c r="Y6" s="141"/>
      <c r="Z6" s="119" t="s">
        <v>338</v>
      </c>
      <c r="AA6" s="144">
        <f t="shared" si="3"/>
        <v>-7</v>
      </c>
    </row>
    <row r="7" spans="1:27" s="145" customFormat="1" ht="36" customHeight="1" x14ac:dyDescent="0.25">
      <c r="A7" s="119" t="s">
        <v>18</v>
      </c>
      <c r="B7" s="139">
        <v>243987</v>
      </c>
      <c r="C7" s="119" t="s">
        <v>14</v>
      </c>
      <c r="D7" s="166">
        <v>680006</v>
      </c>
      <c r="E7" s="119" t="s">
        <v>307</v>
      </c>
      <c r="F7" s="190">
        <v>68010418</v>
      </c>
      <c r="G7" s="119" t="s">
        <v>324</v>
      </c>
      <c r="H7" s="187" t="s">
        <v>252</v>
      </c>
      <c r="I7" s="154" t="s">
        <v>308</v>
      </c>
      <c r="J7" s="146">
        <v>63.65</v>
      </c>
      <c r="K7" s="119" t="s">
        <v>201</v>
      </c>
      <c r="L7" s="146">
        <f>64-J7</f>
        <v>0.35000000000000142</v>
      </c>
      <c r="M7" s="119" t="s">
        <v>325</v>
      </c>
      <c r="N7" s="119" t="s">
        <v>93</v>
      </c>
      <c r="O7" s="141">
        <f t="shared" ref="O7:O8" si="4">B7</f>
        <v>243987</v>
      </c>
      <c r="P7" s="141">
        <f t="shared" ref="P7:P8" si="5">B7+7</f>
        <v>243994</v>
      </c>
      <c r="Q7" s="141">
        <f t="shared" ref="Q7:Q8" si="6">O7+2</f>
        <v>243989</v>
      </c>
      <c r="R7" s="139" t="s">
        <v>55</v>
      </c>
      <c r="S7" s="143">
        <v>243991</v>
      </c>
      <c r="T7" s="139" t="s">
        <v>55</v>
      </c>
      <c r="U7" s="143">
        <v>276864</v>
      </c>
      <c r="V7" s="139" t="s">
        <v>55</v>
      </c>
      <c r="W7" s="143">
        <v>243989</v>
      </c>
      <c r="X7" s="139"/>
      <c r="Y7" s="141"/>
      <c r="Z7" s="119" t="s">
        <v>348</v>
      </c>
      <c r="AA7" s="144">
        <f t="shared" ref="AA7:AA8" si="7">W7-P7</f>
        <v>-5</v>
      </c>
    </row>
    <row r="8" spans="1:27" s="145" customFormat="1" ht="36" customHeight="1" x14ac:dyDescent="0.25">
      <c r="A8" s="119" t="s">
        <v>18</v>
      </c>
      <c r="B8" s="139">
        <v>243987</v>
      </c>
      <c r="C8" s="119" t="s">
        <v>14</v>
      </c>
      <c r="D8" s="166">
        <v>680006</v>
      </c>
      <c r="E8" s="119" t="s">
        <v>307</v>
      </c>
      <c r="F8" s="190">
        <v>68010420</v>
      </c>
      <c r="G8" s="119" t="s">
        <v>326</v>
      </c>
      <c r="H8" s="187" t="s">
        <v>237</v>
      </c>
      <c r="I8" s="154" t="s">
        <v>308</v>
      </c>
      <c r="J8" s="146">
        <v>60.73</v>
      </c>
      <c r="K8" s="119" t="s">
        <v>201</v>
      </c>
      <c r="L8" s="146">
        <f>64-J8</f>
        <v>3.2700000000000031</v>
      </c>
      <c r="M8" s="119" t="s">
        <v>327</v>
      </c>
      <c r="N8" s="119" t="s">
        <v>93</v>
      </c>
      <c r="O8" s="141">
        <f t="shared" si="4"/>
        <v>243987</v>
      </c>
      <c r="P8" s="141">
        <f t="shared" si="5"/>
        <v>243994</v>
      </c>
      <c r="Q8" s="141">
        <f t="shared" si="6"/>
        <v>243989</v>
      </c>
      <c r="R8" s="139" t="s">
        <v>55</v>
      </c>
      <c r="S8" s="143">
        <v>243991</v>
      </c>
      <c r="T8" s="139" t="s">
        <v>55</v>
      </c>
      <c r="U8" s="143">
        <v>276864</v>
      </c>
      <c r="V8" s="139" t="s">
        <v>55</v>
      </c>
      <c r="W8" s="143">
        <v>243989</v>
      </c>
      <c r="X8" s="139"/>
      <c r="Y8" s="141"/>
      <c r="Z8" s="119" t="s">
        <v>348</v>
      </c>
      <c r="AA8" s="144">
        <f t="shared" si="7"/>
        <v>-5</v>
      </c>
    </row>
    <row r="9" spans="1:27" s="145" customFormat="1" ht="36" customHeight="1" x14ac:dyDescent="0.25">
      <c r="A9" s="119" t="s">
        <v>18</v>
      </c>
      <c r="B9" s="139">
        <v>243987</v>
      </c>
      <c r="C9" s="119" t="s">
        <v>14</v>
      </c>
      <c r="D9" s="166">
        <v>680006</v>
      </c>
      <c r="E9" s="119" t="s">
        <v>307</v>
      </c>
      <c r="F9" s="190">
        <v>68010419</v>
      </c>
      <c r="G9" s="119" t="s">
        <v>328</v>
      </c>
      <c r="H9" s="187" t="s">
        <v>213</v>
      </c>
      <c r="I9" s="154" t="s">
        <v>308</v>
      </c>
      <c r="J9" s="146">
        <v>61.49</v>
      </c>
      <c r="K9" s="119" t="s">
        <v>201</v>
      </c>
      <c r="L9" s="146">
        <v>61.49</v>
      </c>
      <c r="M9" s="119" t="s">
        <v>329</v>
      </c>
      <c r="N9" s="119" t="s">
        <v>93</v>
      </c>
      <c r="O9" s="141">
        <f t="shared" si="0"/>
        <v>243987</v>
      </c>
      <c r="P9" s="141">
        <f t="shared" si="1"/>
        <v>243994</v>
      </c>
      <c r="Q9" s="141">
        <f t="shared" si="2"/>
        <v>243989</v>
      </c>
      <c r="R9" s="139" t="s">
        <v>55</v>
      </c>
      <c r="S9" s="143">
        <v>243991</v>
      </c>
      <c r="T9" s="139" t="s">
        <v>55</v>
      </c>
      <c r="U9" s="143">
        <v>276864</v>
      </c>
      <c r="V9" s="139" t="s">
        <v>55</v>
      </c>
      <c r="W9" s="143">
        <v>243989</v>
      </c>
      <c r="X9" s="139"/>
      <c r="Y9" s="141"/>
      <c r="Z9" s="119" t="s">
        <v>348</v>
      </c>
      <c r="AA9" s="144">
        <f t="shared" si="3"/>
        <v>-5</v>
      </c>
    </row>
    <row r="10" spans="1:27" s="145" customFormat="1" ht="36" customHeight="1" x14ac:dyDescent="0.25">
      <c r="A10" s="119" t="s">
        <v>18</v>
      </c>
      <c r="B10" s="139">
        <v>243987</v>
      </c>
      <c r="C10" s="119" t="s">
        <v>14</v>
      </c>
      <c r="D10" s="166">
        <v>680007</v>
      </c>
      <c r="E10" s="119" t="s">
        <v>307</v>
      </c>
      <c r="F10" s="190">
        <v>68010453</v>
      </c>
      <c r="G10" s="119" t="s">
        <v>339</v>
      </c>
      <c r="H10" s="187" t="s">
        <v>214</v>
      </c>
      <c r="I10" s="154" t="s">
        <v>308</v>
      </c>
      <c r="J10" s="146">
        <v>70</v>
      </c>
      <c r="K10" s="119" t="s">
        <v>207</v>
      </c>
      <c r="L10" s="146">
        <f>J10-66</f>
        <v>4</v>
      </c>
      <c r="M10" s="119" t="s">
        <v>340</v>
      </c>
      <c r="N10" s="119" t="s">
        <v>93</v>
      </c>
      <c r="O10" s="141">
        <f t="shared" si="0"/>
        <v>243987</v>
      </c>
      <c r="P10" s="141">
        <f t="shared" si="1"/>
        <v>243994</v>
      </c>
      <c r="Q10" s="141">
        <f t="shared" si="2"/>
        <v>243989</v>
      </c>
      <c r="R10" s="139" t="s">
        <v>55</v>
      </c>
      <c r="S10" s="143">
        <v>243991</v>
      </c>
      <c r="T10" s="139" t="s">
        <v>55</v>
      </c>
      <c r="U10" s="143">
        <v>276864</v>
      </c>
      <c r="V10" s="139" t="s">
        <v>55</v>
      </c>
      <c r="W10" s="143">
        <v>243989</v>
      </c>
      <c r="X10" s="139"/>
      <c r="Y10" s="141"/>
      <c r="Z10" s="119" t="s">
        <v>347</v>
      </c>
      <c r="AA10" s="144"/>
    </row>
    <row r="11" spans="1:27" s="145" customFormat="1" ht="36" customHeight="1" x14ac:dyDescent="0.25">
      <c r="A11" s="119" t="s">
        <v>18</v>
      </c>
      <c r="B11" s="139">
        <v>243989</v>
      </c>
      <c r="C11" s="119" t="s">
        <v>132</v>
      </c>
      <c r="D11" s="166">
        <v>680008</v>
      </c>
      <c r="E11" s="119" t="s">
        <v>341</v>
      </c>
      <c r="F11" s="190" t="s">
        <v>342</v>
      </c>
      <c r="G11" s="119" t="s">
        <v>344</v>
      </c>
      <c r="H11" s="187" t="s">
        <v>343</v>
      </c>
      <c r="I11" s="154" t="s">
        <v>203</v>
      </c>
      <c r="J11" s="146" t="s">
        <v>345</v>
      </c>
      <c r="K11" s="146" t="s">
        <v>345</v>
      </c>
      <c r="L11" s="146" t="s">
        <v>346</v>
      </c>
      <c r="M11" s="119">
        <v>1</v>
      </c>
      <c r="N11" s="119" t="s">
        <v>52</v>
      </c>
      <c r="O11" s="141">
        <f t="shared" si="0"/>
        <v>243989</v>
      </c>
      <c r="P11" s="141">
        <f t="shared" si="1"/>
        <v>243996</v>
      </c>
      <c r="Q11" s="141">
        <f t="shared" si="2"/>
        <v>243991</v>
      </c>
      <c r="R11" s="139" t="s">
        <v>55</v>
      </c>
      <c r="S11" s="143">
        <v>244001</v>
      </c>
      <c r="T11" s="139" t="s">
        <v>55</v>
      </c>
      <c r="U11" s="143">
        <v>244001</v>
      </c>
      <c r="V11" s="139" t="s">
        <v>55</v>
      </c>
      <c r="W11" s="143">
        <v>244003</v>
      </c>
      <c r="X11" s="139"/>
      <c r="Y11" s="141"/>
      <c r="Z11" s="119"/>
      <c r="AA11" s="144"/>
    </row>
    <row r="12" spans="1:27" s="145" customFormat="1" ht="36" customHeight="1" x14ac:dyDescent="0.25">
      <c r="A12" s="119" t="s">
        <v>18</v>
      </c>
      <c r="B12" s="139">
        <v>243989</v>
      </c>
      <c r="C12" s="119" t="s">
        <v>14</v>
      </c>
      <c r="D12" s="166">
        <v>680009</v>
      </c>
      <c r="E12" s="119" t="s">
        <v>332</v>
      </c>
      <c r="F12" s="190">
        <v>68010649</v>
      </c>
      <c r="G12" s="119" t="s">
        <v>351</v>
      </c>
      <c r="H12" s="187" t="s">
        <v>273</v>
      </c>
      <c r="I12" s="147" t="s">
        <v>352</v>
      </c>
      <c r="J12" s="146">
        <v>95.98</v>
      </c>
      <c r="K12" s="119" t="s">
        <v>201</v>
      </c>
      <c r="L12" s="146">
        <f>97-J12</f>
        <v>1.019999999999996</v>
      </c>
      <c r="M12" s="119" t="s">
        <v>353</v>
      </c>
      <c r="N12" s="119" t="s">
        <v>93</v>
      </c>
      <c r="O12" s="141">
        <f t="shared" si="0"/>
        <v>243989</v>
      </c>
      <c r="P12" s="141">
        <f t="shared" si="1"/>
        <v>243996</v>
      </c>
      <c r="Q12" s="141">
        <f t="shared" si="2"/>
        <v>243991</v>
      </c>
      <c r="R12" s="139" t="s">
        <v>55</v>
      </c>
      <c r="S12" s="143">
        <v>243991</v>
      </c>
      <c r="T12" s="139" t="s">
        <v>55</v>
      </c>
      <c r="U12" s="143">
        <v>276864</v>
      </c>
      <c r="V12" s="139" t="s">
        <v>55</v>
      </c>
      <c r="W12" s="143">
        <v>243990</v>
      </c>
      <c r="X12" s="139"/>
      <c r="Y12" s="141"/>
      <c r="Z12" s="119" t="s">
        <v>361</v>
      </c>
      <c r="AA12" s="144">
        <f>W12-P12</f>
        <v>-6</v>
      </c>
    </row>
    <row r="13" spans="1:27" s="145" customFormat="1" ht="36" customHeight="1" x14ac:dyDescent="0.25">
      <c r="A13" s="119" t="s">
        <v>18</v>
      </c>
      <c r="B13" s="139">
        <v>243989</v>
      </c>
      <c r="C13" s="119" t="s">
        <v>14</v>
      </c>
      <c r="D13" s="166">
        <v>680010</v>
      </c>
      <c r="E13" s="119" t="s">
        <v>309</v>
      </c>
      <c r="F13" s="190">
        <v>68010665</v>
      </c>
      <c r="G13" s="119" t="s">
        <v>354</v>
      </c>
      <c r="H13" s="187" t="s">
        <v>291</v>
      </c>
      <c r="I13" s="147" t="s">
        <v>310</v>
      </c>
      <c r="J13" s="146">
        <v>124.57</v>
      </c>
      <c r="K13" s="119" t="s">
        <v>201</v>
      </c>
      <c r="L13" s="146">
        <f>128-J13</f>
        <v>3.4300000000000068</v>
      </c>
      <c r="M13" s="119" t="s">
        <v>355</v>
      </c>
      <c r="N13" s="119" t="s">
        <v>93</v>
      </c>
      <c r="O13" s="141">
        <f t="shared" si="0"/>
        <v>243989</v>
      </c>
      <c r="P13" s="141">
        <f t="shared" si="1"/>
        <v>243996</v>
      </c>
      <c r="Q13" s="141">
        <f t="shared" si="2"/>
        <v>243991</v>
      </c>
      <c r="R13" s="139" t="s">
        <v>55</v>
      </c>
      <c r="S13" s="143">
        <v>243998</v>
      </c>
      <c r="T13" s="139" t="s">
        <v>55</v>
      </c>
      <c r="U13" s="143">
        <v>244003</v>
      </c>
      <c r="V13" s="139" t="s">
        <v>55</v>
      </c>
      <c r="W13" s="143">
        <v>244003</v>
      </c>
      <c r="X13" s="139"/>
      <c r="Y13" s="141"/>
      <c r="Z13" s="119" t="s">
        <v>549</v>
      </c>
      <c r="AA13" s="144"/>
    </row>
    <row r="14" spans="1:27" s="145" customFormat="1" ht="36" customHeight="1" x14ac:dyDescent="0.25">
      <c r="A14" s="119" t="s">
        <v>18</v>
      </c>
      <c r="B14" s="139">
        <v>243989</v>
      </c>
      <c r="C14" s="119" t="s">
        <v>14</v>
      </c>
      <c r="D14" s="166">
        <v>680011</v>
      </c>
      <c r="E14" s="119" t="s">
        <v>356</v>
      </c>
      <c r="F14" s="190">
        <v>68010666</v>
      </c>
      <c r="G14" s="119" t="s">
        <v>357</v>
      </c>
      <c r="H14" s="187" t="s">
        <v>279</v>
      </c>
      <c r="I14" s="147" t="s">
        <v>358</v>
      </c>
      <c r="J14" s="146">
        <v>76.08</v>
      </c>
      <c r="K14" s="119" t="s">
        <v>201</v>
      </c>
      <c r="L14" s="146">
        <f>78-J14</f>
        <v>1.9200000000000017</v>
      </c>
      <c r="M14" s="119" t="s">
        <v>359</v>
      </c>
      <c r="N14" s="119" t="s">
        <v>93</v>
      </c>
      <c r="O14" s="141">
        <f t="shared" si="0"/>
        <v>243989</v>
      </c>
      <c r="P14" s="141">
        <f t="shared" si="1"/>
        <v>243996</v>
      </c>
      <c r="Q14" s="141">
        <f t="shared" si="2"/>
        <v>243991</v>
      </c>
      <c r="R14" s="139" t="s">
        <v>55</v>
      </c>
      <c r="S14" s="143">
        <v>243991</v>
      </c>
      <c r="T14" s="139" t="s">
        <v>55</v>
      </c>
      <c r="U14" s="143">
        <v>276864</v>
      </c>
      <c r="V14" s="139" t="s">
        <v>55</v>
      </c>
      <c r="W14" s="143">
        <v>243990</v>
      </c>
      <c r="X14" s="139"/>
      <c r="Y14" s="141"/>
      <c r="Z14" s="119" t="s">
        <v>360</v>
      </c>
      <c r="AA14" s="144">
        <f>W14-P14</f>
        <v>-6</v>
      </c>
    </row>
    <row r="15" spans="1:27" s="145" customFormat="1" ht="36" customHeight="1" x14ac:dyDescent="0.25">
      <c r="A15" s="119" t="s">
        <v>18</v>
      </c>
      <c r="B15" s="139">
        <v>243990</v>
      </c>
      <c r="C15" s="119" t="s">
        <v>14</v>
      </c>
      <c r="D15" s="166">
        <v>680012</v>
      </c>
      <c r="E15" s="119" t="s">
        <v>306</v>
      </c>
      <c r="F15" s="190">
        <v>68010725</v>
      </c>
      <c r="G15" s="119" t="s">
        <v>362</v>
      </c>
      <c r="H15" s="187" t="s">
        <v>221</v>
      </c>
      <c r="I15" s="147" t="s">
        <v>305</v>
      </c>
      <c r="J15" s="146">
        <v>72.650000000000006</v>
      </c>
      <c r="K15" s="119" t="s">
        <v>200</v>
      </c>
      <c r="L15" s="146">
        <f>J15-70</f>
        <v>2.6500000000000057</v>
      </c>
      <c r="M15" s="119" t="s">
        <v>363</v>
      </c>
      <c r="N15" s="119" t="s">
        <v>93</v>
      </c>
      <c r="O15" s="141">
        <f t="shared" si="0"/>
        <v>243990</v>
      </c>
      <c r="P15" s="141">
        <f t="shared" si="1"/>
        <v>243997</v>
      </c>
      <c r="Q15" s="141">
        <f t="shared" si="2"/>
        <v>243992</v>
      </c>
      <c r="R15" s="139" t="s">
        <v>55</v>
      </c>
      <c r="S15" s="143">
        <v>243998</v>
      </c>
      <c r="T15" s="139" t="s">
        <v>55</v>
      </c>
      <c r="U15" s="143">
        <v>244003</v>
      </c>
      <c r="V15" s="139" t="s">
        <v>55</v>
      </c>
      <c r="W15" s="143">
        <v>243990</v>
      </c>
      <c r="X15" s="139"/>
      <c r="Y15" s="141"/>
      <c r="Z15" s="119" t="s">
        <v>373</v>
      </c>
      <c r="AA15" s="144">
        <f>W15-P15</f>
        <v>-7</v>
      </c>
    </row>
    <row r="16" spans="1:27" s="145" customFormat="1" ht="36" customHeight="1" x14ac:dyDescent="0.25">
      <c r="A16" s="119" t="s">
        <v>18</v>
      </c>
      <c r="B16" s="139">
        <v>243990</v>
      </c>
      <c r="C16" s="119" t="s">
        <v>14</v>
      </c>
      <c r="D16" s="166">
        <v>680013</v>
      </c>
      <c r="E16" s="119" t="s">
        <v>307</v>
      </c>
      <c r="F16" s="190">
        <v>68010735</v>
      </c>
      <c r="G16" s="119" t="s">
        <v>364</v>
      </c>
      <c r="H16" s="187" t="s">
        <v>239</v>
      </c>
      <c r="I16" s="147" t="s">
        <v>365</v>
      </c>
      <c r="J16" s="146" t="s">
        <v>366</v>
      </c>
      <c r="K16" s="146" t="s">
        <v>366</v>
      </c>
      <c r="L16" s="146" t="s">
        <v>69</v>
      </c>
      <c r="M16" s="119" t="s">
        <v>367</v>
      </c>
      <c r="N16" s="119" t="s">
        <v>93</v>
      </c>
      <c r="O16" s="141">
        <f t="shared" si="0"/>
        <v>243990</v>
      </c>
      <c r="P16" s="141">
        <f t="shared" si="1"/>
        <v>243997</v>
      </c>
      <c r="Q16" s="141">
        <f t="shared" si="2"/>
        <v>243992</v>
      </c>
      <c r="R16" s="139" t="s">
        <v>55</v>
      </c>
      <c r="S16" s="143">
        <v>243998</v>
      </c>
      <c r="T16" s="139" t="s">
        <v>55</v>
      </c>
      <c r="U16" s="143">
        <v>244003</v>
      </c>
      <c r="V16" s="139" t="s">
        <v>55</v>
      </c>
      <c r="W16" s="143">
        <v>243998</v>
      </c>
      <c r="X16" s="139"/>
      <c r="Y16" s="141"/>
      <c r="Z16" s="119" t="s">
        <v>470</v>
      </c>
      <c r="AA16" s="144">
        <f>W16-P16</f>
        <v>1</v>
      </c>
    </row>
    <row r="17" spans="1:27" s="145" customFormat="1" ht="36" customHeight="1" x14ac:dyDescent="0.25">
      <c r="A17" s="119" t="s">
        <v>18</v>
      </c>
      <c r="B17" s="139">
        <v>243990</v>
      </c>
      <c r="C17" s="119" t="s">
        <v>14</v>
      </c>
      <c r="D17" s="166">
        <v>680014</v>
      </c>
      <c r="E17" s="119" t="s">
        <v>368</v>
      </c>
      <c r="F17" s="190">
        <v>68010739</v>
      </c>
      <c r="G17" s="119" t="s">
        <v>369</v>
      </c>
      <c r="H17" s="187" t="s">
        <v>250</v>
      </c>
      <c r="I17" s="147" t="s">
        <v>370</v>
      </c>
      <c r="J17" s="146" t="s">
        <v>371</v>
      </c>
      <c r="K17" s="146" t="s">
        <v>371</v>
      </c>
      <c r="L17" s="146" t="s">
        <v>69</v>
      </c>
      <c r="M17" s="119" t="s">
        <v>372</v>
      </c>
      <c r="N17" s="119" t="s">
        <v>93</v>
      </c>
      <c r="O17" s="141">
        <f t="shared" ref="O17" si="8">B17</f>
        <v>243990</v>
      </c>
      <c r="P17" s="141">
        <f t="shared" ref="P17" si="9">B17+7</f>
        <v>243997</v>
      </c>
      <c r="Q17" s="141">
        <f t="shared" ref="Q17" si="10">O17+2</f>
        <v>243992</v>
      </c>
      <c r="R17" s="139" t="s">
        <v>55</v>
      </c>
      <c r="S17" s="143">
        <v>243998</v>
      </c>
      <c r="T17" s="139" t="s">
        <v>55</v>
      </c>
      <c r="U17" s="143">
        <v>244003</v>
      </c>
      <c r="V17" s="139" t="s">
        <v>55</v>
      </c>
      <c r="W17" s="143">
        <v>244003</v>
      </c>
      <c r="X17" s="139"/>
      <c r="Y17" s="141"/>
      <c r="Z17" s="119" t="s">
        <v>548</v>
      </c>
      <c r="AA17" s="144"/>
    </row>
    <row r="18" spans="1:27" s="145" customFormat="1" ht="36" customHeight="1" x14ac:dyDescent="0.25">
      <c r="A18" s="119" t="s">
        <v>18</v>
      </c>
      <c r="B18" s="139">
        <v>243990</v>
      </c>
      <c r="C18" s="119" t="s">
        <v>14</v>
      </c>
      <c r="D18" s="166">
        <v>680015</v>
      </c>
      <c r="E18" s="119" t="s">
        <v>309</v>
      </c>
      <c r="F18" s="190">
        <v>68010746</v>
      </c>
      <c r="G18" s="119" t="s">
        <v>374</v>
      </c>
      <c r="H18" s="187" t="s">
        <v>290</v>
      </c>
      <c r="I18" s="147" t="s">
        <v>310</v>
      </c>
      <c r="J18" s="146">
        <v>127</v>
      </c>
      <c r="K18" s="119" t="s">
        <v>201</v>
      </c>
      <c r="L18" s="146">
        <f>128-J18</f>
        <v>1</v>
      </c>
      <c r="M18" s="119" t="s">
        <v>375</v>
      </c>
      <c r="N18" s="119" t="s">
        <v>93</v>
      </c>
      <c r="O18" s="141">
        <f t="shared" si="0"/>
        <v>243990</v>
      </c>
      <c r="P18" s="141">
        <f t="shared" si="1"/>
        <v>243997</v>
      </c>
      <c r="Q18" s="141">
        <f t="shared" si="2"/>
        <v>243992</v>
      </c>
      <c r="R18" s="139" t="s">
        <v>55</v>
      </c>
      <c r="S18" s="143">
        <v>243998</v>
      </c>
      <c r="T18" s="139" t="s">
        <v>55</v>
      </c>
      <c r="U18" s="143">
        <v>244003</v>
      </c>
      <c r="V18" s="139" t="s">
        <v>55</v>
      </c>
      <c r="W18" s="143">
        <v>244003</v>
      </c>
      <c r="X18" s="139"/>
      <c r="Y18" s="141"/>
      <c r="Z18" s="119" t="s">
        <v>549</v>
      </c>
      <c r="AA18" s="144">
        <f>W18-P18</f>
        <v>6</v>
      </c>
    </row>
    <row r="19" spans="1:27" s="145" customFormat="1" ht="36" customHeight="1" x14ac:dyDescent="0.25">
      <c r="A19" s="119" t="s">
        <v>18</v>
      </c>
      <c r="B19" s="139">
        <v>243990</v>
      </c>
      <c r="C19" s="119" t="s">
        <v>14</v>
      </c>
      <c r="D19" s="166">
        <v>680016</v>
      </c>
      <c r="E19" s="119" t="s">
        <v>376</v>
      </c>
      <c r="F19" s="190">
        <v>68010767</v>
      </c>
      <c r="G19" s="119" t="s">
        <v>380</v>
      </c>
      <c r="H19" s="187" t="s">
        <v>206</v>
      </c>
      <c r="I19" s="147" t="s">
        <v>378</v>
      </c>
      <c r="J19" s="146">
        <v>120.51</v>
      </c>
      <c r="K19" s="119" t="s">
        <v>200</v>
      </c>
      <c r="L19" s="146">
        <f>J19-116</f>
        <v>4.5100000000000051</v>
      </c>
      <c r="M19" s="119" t="s">
        <v>381</v>
      </c>
      <c r="N19" s="119" t="s">
        <v>93</v>
      </c>
      <c r="O19" s="141">
        <f t="shared" ref="O19" si="11">B19</f>
        <v>243990</v>
      </c>
      <c r="P19" s="141">
        <f t="shared" ref="P19" si="12">B19+7</f>
        <v>243997</v>
      </c>
      <c r="Q19" s="141">
        <f t="shared" ref="Q19" si="13">O19+2</f>
        <v>243992</v>
      </c>
      <c r="R19" s="139" t="s">
        <v>55</v>
      </c>
      <c r="S19" s="143">
        <v>243994</v>
      </c>
      <c r="T19" s="139" t="s">
        <v>55</v>
      </c>
      <c r="U19" s="143"/>
      <c r="V19" s="139" t="s">
        <v>55</v>
      </c>
      <c r="W19" s="143">
        <v>243991</v>
      </c>
      <c r="X19" s="139"/>
      <c r="Y19" s="141"/>
      <c r="Z19" s="119" t="s">
        <v>383</v>
      </c>
      <c r="AA19" s="144">
        <f>W19-P19</f>
        <v>-6</v>
      </c>
    </row>
    <row r="20" spans="1:27" s="145" customFormat="1" ht="36" customHeight="1" x14ac:dyDescent="0.25">
      <c r="A20" s="119" t="s">
        <v>18</v>
      </c>
      <c r="B20" s="139">
        <v>243990</v>
      </c>
      <c r="C20" s="119" t="s">
        <v>14</v>
      </c>
      <c r="D20" s="166">
        <v>680016</v>
      </c>
      <c r="E20" s="119" t="s">
        <v>376</v>
      </c>
      <c r="F20" s="190">
        <v>68010771</v>
      </c>
      <c r="G20" s="119" t="s">
        <v>377</v>
      </c>
      <c r="H20" s="187" t="s">
        <v>225</v>
      </c>
      <c r="I20" s="147" t="s">
        <v>378</v>
      </c>
      <c r="J20" s="146">
        <v>118.37</v>
      </c>
      <c r="K20" s="119" t="s">
        <v>200</v>
      </c>
      <c r="L20" s="146">
        <f>J20-116</f>
        <v>2.3700000000000045</v>
      </c>
      <c r="M20" s="119" t="s">
        <v>379</v>
      </c>
      <c r="N20" s="119" t="s">
        <v>93</v>
      </c>
      <c r="O20" s="141">
        <f t="shared" si="0"/>
        <v>243990</v>
      </c>
      <c r="P20" s="141">
        <f t="shared" si="1"/>
        <v>243997</v>
      </c>
      <c r="Q20" s="141">
        <f t="shared" si="2"/>
        <v>243992</v>
      </c>
      <c r="R20" s="139" t="s">
        <v>55</v>
      </c>
      <c r="S20" s="143">
        <v>243994</v>
      </c>
      <c r="T20" s="139" t="s">
        <v>55</v>
      </c>
      <c r="U20" s="143"/>
      <c r="V20" s="139" t="s">
        <v>55</v>
      </c>
      <c r="W20" s="143">
        <v>243990</v>
      </c>
      <c r="X20" s="139"/>
      <c r="Y20" s="141"/>
      <c r="Z20" s="119" t="s">
        <v>382</v>
      </c>
      <c r="AA20" s="144">
        <f>W20-P20</f>
        <v>-7</v>
      </c>
    </row>
    <row r="21" spans="1:27" s="145" customFormat="1" ht="36" customHeight="1" x14ac:dyDescent="0.25">
      <c r="A21" s="119" t="s">
        <v>18</v>
      </c>
      <c r="B21" s="139">
        <v>243991</v>
      </c>
      <c r="C21" s="119" t="s">
        <v>14</v>
      </c>
      <c r="D21" s="166">
        <v>680017</v>
      </c>
      <c r="E21" s="119" t="s">
        <v>376</v>
      </c>
      <c r="F21" s="190">
        <v>68010802</v>
      </c>
      <c r="G21" s="119" t="s">
        <v>384</v>
      </c>
      <c r="H21" s="187" t="s">
        <v>274</v>
      </c>
      <c r="I21" s="147" t="s">
        <v>378</v>
      </c>
      <c r="J21" s="146">
        <v>122.84</v>
      </c>
      <c r="K21" s="119" t="s">
        <v>207</v>
      </c>
      <c r="L21" s="146">
        <f>J21-116</f>
        <v>6.8400000000000034</v>
      </c>
      <c r="M21" s="119" t="s">
        <v>385</v>
      </c>
      <c r="N21" s="119" t="s">
        <v>93</v>
      </c>
      <c r="O21" s="141">
        <f t="shared" si="0"/>
        <v>243991</v>
      </c>
      <c r="P21" s="141">
        <f t="shared" si="1"/>
        <v>243998</v>
      </c>
      <c r="Q21" s="141">
        <f t="shared" si="2"/>
        <v>243993</v>
      </c>
      <c r="R21" s="139" t="s">
        <v>55</v>
      </c>
      <c r="S21" s="143">
        <v>243998</v>
      </c>
      <c r="T21" s="139" t="s">
        <v>55</v>
      </c>
      <c r="U21" s="143">
        <v>244003</v>
      </c>
      <c r="V21" s="139" t="s">
        <v>55</v>
      </c>
      <c r="W21" s="143">
        <v>243991</v>
      </c>
      <c r="X21" s="139"/>
      <c r="Y21" s="141"/>
      <c r="Z21" s="119" t="s">
        <v>383</v>
      </c>
      <c r="AA21" s="144">
        <f t="shared" ref="AA21:AA78" si="14">W21-P21</f>
        <v>-7</v>
      </c>
    </row>
    <row r="22" spans="1:27" s="145" customFormat="1" ht="36" customHeight="1" x14ac:dyDescent="0.25">
      <c r="A22" s="119" t="s">
        <v>18</v>
      </c>
      <c r="B22" s="139">
        <v>243991</v>
      </c>
      <c r="C22" s="119" t="s">
        <v>14</v>
      </c>
      <c r="D22" s="166">
        <v>680017</v>
      </c>
      <c r="E22" s="119" t="s">
        <v>376</v>
      </c>
      <c r="F22" s="190">
        <v>68010804</v>
      </c>
      <c r="G22" s="119" t="s">
        <v>386</v>
      </c>
      <c r="H22" s="187" t="s">
        <v>209</v>
      </c>
      <c r="I22" s="147" t="s">
        <v>378</v>
      </c>
      <c r="J22" s="146">
        <v>121.01</v>
      </c>
      <c r="K22" s="119" t="s">
        <v>200</v>
      </c>
      <c r="L22" s="146">
        <f>J22-116</f>
        <v>5.0100000000000051</v>
      </c>
      <c r="M22" s="119" t="s">
        <v>387</v>
      </c>
      <c r="N22" s="119" t="s">
        <v>93</v>
      </c>
      <c r="O22" s="141">
        <f t="shared" ref="O22" si="15">B22</f>
        <v>243991</v>
      </c>
      <c r="P22" s="141">
        <f t="shared" ref="P22" si="16">B22+7</f>
        <v>243998</v>
      </c>
      <c r="Q22" s="141">
        <f t="shared" ref="Q22" si="17">O22+2</f>
        <v>243993</v>
      </c>
      <c r="R22" s="139" t="s">
        <v>55</v>
      </c>
      <c r="S22" s="143">
        <v>243998</v>
      </c>
      <c r="T22" s="139" t="s">
        <v>55</v>
      </c>
      <c r="U22" s="143">
        <v>244003</v>
      </c>
      <c r="V22" s="139" t="s">
        <v>55</v>
      </c>
      <c r="W22" s="143">
        <v>243996</v>
      </c>
      <c r="X22" s="119" t="s">
        <v>438</v>
      </c>
      <c r="Y22" s="141"/>
      <c r="Z22" s="119" t="s">
        <v>438</v>
      </c>
      <c r="AA22" s="144"/>
    </row>
    <row r="23" spans="1:27" s="145" customFormat="1" ht="36" customHeight="1" x14ac:dyDescent="0.25">
      <c r="A23" s="119" t="s">
        <v>18</v>
      </c>
      <c r="B23" s="139">
        <v>243991</v>
      </c>
      <c r="C23" s="119" t="s">
        <v>14</v>
      </c>
      <c r="D23" s="166">
        <v>680018</v>
      </c>
      <c r="E23" s="119" t="s">
        <v>306</v>
      </c>
      <c r="F23" s="190">
        <v>68010810</v>
      </c>
      <c r="G23" s="119" t="s">
        <v>388</v>
      </c>
      <c r="H23" s="187" t="s">
        <v>289</v>
      </c>
      <c r="I23" s="147" t="s">
        <v>305</v>
      </c>
      <c r="J23" s="146">
        <v>73.12</v>
      </c>
      <c r="K23" s="119" t="s">
        <v>200</v>
      </c>
      <c r="L23" s="146">
        <f>J23-70</f>
        <v>3.1200000000000045</v>
      </c>
      <c r="M23" s="119" t="s">
        <v>389</v>
      </c>
      <c r="N23" s="119" t="s">
        <v>93</v>
      </c>
      <c r="O23" s="141">
        <f t="shared" si="0"/>
        <v>243991</v>
      </c>
      <c r="P23" s="141">
        <f t="shared" si="1"/>
        <v>243998</v>
      </c>
      <c r="Q23" s="141">
        <f t="shared" si="2"/>
        <v>243993</v>
      </c>
      <c r="R23" s="139" t="s">
        <v>55</v>
      </c>
      <c r="S23" s="143">
        <v>243998</v>
      </c>
      <c r="T23" s="139" t="s">
        <v>55</v>
      </c>
      <c r="U23" s="143">
        <v>244003</v>
      </c>
      <c r="V23" s="139" t="s">
        <v>55</v>
      </c>
      <c r="W23" s="143">
        <v>243991</v>
      </c>
      <c r="X23" s="119"/>
      <c r="Y23" s="141"/>
      <c r="Z23" s="119" t="s">
        <v>392</v>
      </c>
      <c r="AA23" s="144">
        <f t="shared" si="14"/>
        <v>-7</v>
      </c>
    </row>
    <row r="24" spans="1:27" s="145" customFormat="1" ht="36" customHeight="1" x14ac:dyDescent="0.25">
      <c r="A24" s="119" t="s">
        <v>18</v>
      </c>
      <c r="B24" s="139">
        <v>243991</v>
      </c>
      <c r="C24" s="119" t="s">
        <v>14</v>
      </c>
      <c r="D24" s="166">
        <v>680018</v>
      </c>
      <c r="E24" s="119" t="s">
        <v>306</v>
      </c>
      <c r="F24" s="190">
        <v>68010811</v>
      </c>
      <c r="G24" s="119" t="s">
        <v>390</v>
      </c>
      <c r="H24" s="187" t="s">
        <v>221</v>
      </c>
      <c r="I24" s="147" t="s">
        <v>305</v>
      </c>
      <c r="J24" s="146">
        <v>73.09</v>
      </c>
      <c r="K24" s="119" t="s">
        <v>200</v>
      </c>
      <c r="L24" s="146">
        <f>J24-70</f>
        <v>3.0900000000000034</v>
      </c>
      <c r="M24" s="119" t="s">
        <v>391</v>
      </c>
      <c r="N24" s="119" t="s">
        <v>93</v>
      </c>
      <c r="O24" s="141">
        <f t="shared" ref="O24" si="18">B24</f>
        <v>243991</v>
      </c>
      <c r="P24" s="141">
        <f t="shared" ref="P24" si="19">B24+7</f>
        <v>243998</v>
      </c>
      <c r="Q24" s="141">
        <f t="shared" ref="Q24" si="20">O24+2</f>
        <v>243993</v>
      </c>
      <c r="R24" s="139" t="s">
        <v>55</v>
      </c>
      <c r="S24" s="143">
        <v>243998</v>
      </c>
      <c r="T24" s="139" t="s">
        <v>55</v>
      </c>
      <c r="U24" s="143">
        <v>244003</v>
      </c>
      <c r="V24" s="139" t="s">
        <v>55</v>
      </c>
      <c r="W24" s="143">
        <v>243991</v>
      </c>
      <c r="X24" s="119"/>
      <c r="Y24" s="141"/>
      <c r="Z24" s="119" t="s">
        <v>392</v>
      </c>
      <c r="AA24" s="144"/>
    </row>
    <row r="25" spans="1:27" s="145" customFormat="1" ht="36" customHeight="1" x14ac:dyDescent="0.25">
      <c r="A25" s="119" t="s">
        <v>18</v>
      </c>
      <c r="B25" s="139">
        <v>243992</v>
      </c>
      <c r="C25" s="119" t="s">
        <v>13</v>
      </c>
      <c r="D25" s="166">
        <v>680019</v>
      </c>
      <c r="E25" s="119" t="s">
        <v>393</v>
      </c>
      <c r="F25" s="190">
        <v>67100248</v>
      </c>
      <c r="G25" s="119">
        <v>680111</v>
      </c>
      <c r="H25" s="187" t="s">
        <v>394</v>
      </c>
      <c r="I25" s="147" t="s">
        <v>395</v>
      </c>
      <c r="J25" s="146">
        <v>172.07</v>
      </c>
      <c r="K25" s="119" t="s">
        <v>201</v>
      </c>
      <c r="L25" s="146">
        <v>2.93</v>
      </c>
      <c r="M25" s="119" t="s">
        <v>396</v>
      </c>
      <c r="N25" s="119" t="s">
        <v>93</v>
      </c>
      <c r="O25" s="141">
        <f t="shared" si="0"/>
        <v>243992</v>
      </c>
      <c r="P25" s="141">
        <f t="shared" si="1"/>
        <v>243999</v>
      </c>
      <c r="Q25" s="141">
        <f t="shared" si="2"/>
        <v>243994</v>
      </c>
      <c r="R25" s="139"/>
      <c r="S25" s="143"/>
      <c r="T25" s="139"/>
      <c r="U25" s="143"/>
      <c r="V25" s="139"/>
      <c r="W25" s="143"/>
      <c r="X25" s="119"/>
      <c r="Y25" s="141"/>
      <c r="Z25" s="119"/>
      <c r="AA25" s="144"/>
    </row>
    <row r="26" spans="1:27" s="145" customFormat="1" ht="36" customHeight="1" x14ac:dyDescent="0.25">
      <c r="A26" s="119" t="s">
        <v>18</v>
      </c>
      <c r="B26" s="139">
        <v>243992</v>
      </c>
      <c r="C26" s="119" t="s">
        <v>14</v>
      </c>
      <c r="D26" s="166">
        <v>680020</v>
      </c>
      <c r="E26" s="119" t="s">
        <v>376</v>
      </c>
      <c r="F26" s="190">
        <v>68010934</v>
      </c>
      <c r="G26" s="119" t="s">
        <v>397</v>
      </c>
      <c r="H26" s="187" t="s">
        <v>274</v>
      </c>
      <c r="I26" s="147" t="s">
        <v>378</v>
      </c>
      <c r="J26" s="146">
        <v>119.09</v>
      </c>
      <c r="K26" s="119" t="s">
        <v>200</v>
      </c>
      <c r="L26" s="146">
        <f>J26-116</f>
        <v>3.0900000000000034</v>
      </c>
      <c r="M26" s="119" t="s">
        <v>398</v>
      </c>
      <c r="N26" s="119" t="s">
        <v>93</v>
      </c>
      <c r="O26" s="141">
        <f t="shared" si="0"/>
        <v>243992</v>
      </c>
      <c r="P26" s="141">
        <f t="shared" si="1"/>
        <v>243999</v>
      </c>
      <c r="Q26" s="141">
        <f t="shared" si="2"/>
        <v>243994</v>
      </c>
      <c r="R26" s="139" t="s">
        <v>55</v>
      </c>
      <c r="S26" s="143">
        <v>243997</v>
      </c>
      <c r="T26" s="139" t="s">
        <v>55</v>
      </c>
      <c r="U26" s="143">
        <v>243997</v>
      </c>
      <c r="V26" s="139" t="s">
        <v>55</v>
      </c>
      <c r="W26" s="143">
        <v>243996</v>
      </c>
      <c r="X26" s="139"/>
      <c r="Y26" s="141"/>
      <c r="Z26" s="119" t="s">
        <v>438</v>
      </c>
      <c r="AA26" s="144">
        <f t="shared" si="14"/>
        <v>-3</v>
      </c>
    </row>
    <row r="27" spans="1:27" s="145" customFormat="1" ht="36" customHeight="1" x14ac:dyDescent="0.25">
      <c r="A27" s="119" t="s">
        <v>18</v>
      </c>
      <c r="B27" s="139">
        <v>243993</v>
      </c>
      <c r="C27" s="119" t="s">
        <v>14</v>
      </c>
      <c r="D27" s="166">
        <v>680021</v>
      </c>
      <c r="E27" s="119" t="s">
        <v>307</v>
      </c>
      <c r="F27" s="190">
        <v>68011004</v>
      </c>
      <c r="G27" s="119" t="s">
        <v>399</v>
      </c>
      <c r="H27" s="187" t="s">
        <v>248</v>
      </c>
      <c r="I27" s="147" t="s">
        <v>400</v>
      </c>
      <c r="J27" s="146">
        <v>62.33</v>
      </c>
      <c r="K27" s="119" t="s">
        <v>201</v>
      </c>
      <c r="L27" s="146">
        <v>1.67</v>
      </c>
      <c r="M27" s="119" t="s">
        <v>401</v>
      </c>
      <c r="N27" s="119" t="s">
        <v>93</v>
      </c>
      <c r="O27" s="141">
        <f t="shared" si="0"/>
        <v>243993</v>
      </c>
      <c r="P27" s="141">
        <f t="shared" si="1"/>
        <v>244000</v>
      </c>
      <c r="Q27" s="141">
        <f t="shared" si="2"/>
        <v>243995</v>
      </c>
      <c r="R27" s="139" t="s">
        <v>55</v>
      </c>
      <c r="S27" s="143">
        <v>243998</v>
      </c>
      <c r="T27" s="139" t="s">
        <v>55</v>
      </c>
      <c r="U27" s="143">
        <v>244003</v>
      </c>
      <c r="V27" s="139" t="s">
        <v>55</v>
      </c>
      <c r="W27" s="143">
        <v>243993</v>
      </c>
      <c r="X27" s="139"/>
      <c r="Y27" s="141"/>
      <c r="Z27" s="119" t="s">
        <v>407</v>
      </c>
      <c r="AA27" s="144">
        <f t="shared" si="14"/>
        <v>-7</v>
      </c>
    </row>
    <row r="28" spans="1:27" s="145" customFormat="1" ht="36" customHeight="1" x14ac:dyDescent="0.25">
      <c r="A28" s="119" t="s">
        <v>18</v>
      </c>
      <c r="B28" s="139">
        <v>243993</v>
      </c>
      <c r="C28" s="119" t="s">
        <v>14</v>
      </c>
      <c r="D28" s="166">
        <v>680022</v>
      </c>
      <c r="E28" s="119" t="s">
        <v>402</v>
      </c>
      <c r="F28" s="190">
        <v>68011014</v>
      </c>
      <c r="G28" s="119" t="s">
        <v>403</v>
      </c>
      <c r="H28" s="187" t="s">
        <v>217</v>
      </c>
      <c r="I28" s="147" t="s">
        <v>404</v>
      </c>
      <c r="J28" s="146" t="s">
        <v>405</v>
      </c>
      <c r="K28" s="119" t="s">
        <v>207</v>
      </c>
      <c r="L28" s="146">
        <v>9.61</v>
      </c>
      <c r="M28" s="119" t="s">
        <v>406</v>
      </c>
      <c r="N28" s="119" t="s">
        <v>93</v>
      </c>
      <c r="O28" s="141">
        <f t="shared" si="0"/>
        <v>243993</v>
      </c>
      <c r="P28" s="141">
        <f t="shared" si="1"/>
        <v>244000</v>
      </c>
      <c r="Q28" s="141">
        <f t="shared" si="2"/>
        <v>243995</v>
      </c>
      <c r="R28" s="139" t="s">
        <v>55</v>
      </c>
      <c r="S28" s="143">
        <v>243998</v>
      </c>
      <c r="T28" s="139" t="s">
        <v>55</v>
      </c>
      <c r="U28" s="143">
        <v>244003</v>
      </c>
      <c r="V28" s="139" t="s">
        <v>55</v>
      </c>
      <c r="W28" s="143">
        <v>243993</v>
      </c>
      <c r="X28" s="139"/>
      <c r="Y28" s="141"/>
      <c r="Z28" s="119" t="s">
        <v>408</v>
      </c>
      <c r="AA28" s="144">
        <f t="shared" ref="AA28" si="21">W28-P28</f>
        <v>-7</v>
      </c>
    </row>
    <row r="29" spans="1:27" s="145" customFormat="1" ht="36" customHeight="1" x14ac:dyDescent="0.25">
      <c r="A29" s="119" t="s">
        <v>18</v>
      </c>
      <c r="B29" s="139">
        <v>243994</v>
      </c>
      <c r="C29" s="119" t="s">
        <v>14</v>
      </c>
      <c r="D29" s="166">
        <v>680023</v>
      </c>
      <c r="E29" s="119" t="s">
        <v>309</v>
      </c>
      <c r="F29" s="190">
        <v>68011105</v>
      </c>
      <c r="G29" s="119" t="s">
        <v>409</v>
      </c>
      <c r="H29" s="187" t="s">
        <v>410</v>
      </c>
      <c r="I29" s="147" t="s">
        <v>310</v>
      </c>
      <c r="J29" s="146">
        <v>126.54</v>
      </c>
      <c r="K29" s="119" t="s">
        <v>411</v>
      </c>
      <c r="L29" s="146">
        <f>128-J29</f>
        <v>1.4599999999999937</v>
      </c>
      <c r="M29" s="119" t="s">
        <v>412</v>
      </c>
      <c r="N29" s="119" t="s">
        <v>93</v>
      </c>
      <c r="O29" s="141">
        <f t="shared" si="0"/>
        <v>243994</v>
      </c>
      <c r="P29" s="141">
        <f t="shared" si="1"/>
        <v>244001</v>
      </c>
      <c r="Q29" s="141">
        <f t="shared" si="2"/>
        <v>243996</v>
      </c>
      <c r="R29" s="139" t="s">
        <v>55</v>
      </c>
      <c r="S29" s="143">
        <v>243997</v>
      </c>
      <c r="T29" s="139" t="s">
        <v>55</v>
      </c>
      <c r="U29" s="143">
        <v>243997</v>
      </c>
      <c r="V29" s="139" t="s">
        <v>55</v>
      </c>
      <c r="W29" s="143">
        <v>243996</v>
      </c>
      <c r="X29" s="139"/>
      <c r="Y29" s="141"/>
      <c r="Z29" s="119" t="s">
        <v>440</v>
      </c>
      <c r="AA29" s="144">
        <f t="shared" si="14"/>
        <v>-5</v>
      </c>
    </row>
    <row r="30" spans="1:27" s="145" customFormat="1" ht="36" customHeight="1" x14ac:dyDescent="0.25">
      <c r="A30" s="119" t="s">
        <v>18</v>
      </c>
      <c r="B30" s="139">
        <v>243994</v>
      </c>
      <c r="C30" s="119" t="s">
        <v>14</v>
      </c>
      <c r="D30" s="166">
        <v>680024</v>
      </c>
      <c r="E30" s="119" t="s">
        <v>413</v>
      </c>
      <c r="F30" s="190">
        <v>68011127</v>
      </c>
      <c r="G30" s="119" t="s">
        <v>414</v>
      </c>
      <c r="H30" s="187" t="s">
        <v>293</v>
      </c>
      <c r="I30" s="147" t="s">
        <v>415</v>
      </c>
      <c r="J30" s="119">
        <v>83.07</v>
      </c>
      <c r="K30" s="119" t="s">
        <v>200</v>
      </c>
      <c r="L30" s="119">
        <f>J30-80</f>
        <v>3.0699999999999932</v>
      </c>
      <c r="M30" s="119" t="s">
        <v>416</v>
      </c>
      <c r="N30" s="119" t="s">
        <v>93</v>
      </c>
      <c r="O30" s="141">
        <f t="shared" si="0"/>
        <v>243994</v>
      </c>
      <c r="P30" s="141">
        <f t="shared" si="1"/>
        <v>244001</v>
      </c>
      <c r="Q30" s="141">
        <f t="shared" si="2"/>
        <v>243996</v>
      </c>
      <c r="R30" s="139" t="s">
        <v>55</v>
      </c>
      <c r="S30" s="143">
        <v>243998</v>
      </c>
      <c r="T30" s="139" t="s">
        <v>55</v>
      </c>
      <c r="U30" s="143">
        <v>244003</v>
      </c>
      <c r="V30" s="139" t="s">
        <v>55</v>
      </c>
      <c r="W30" s="143">
        <v>24848</v>
      </c>
      <c r="X30" s="139"/>
      <c r="Y30" s="141"/>
      <c r="Z30" s="119" t="s">
        <v>419</v>
      </c>
      <c r="AA30" s="144">
        <f t="shared" si="14"/>
        <v>-219153</v>
      </c>
    </row>
    <row r="31" spans="1:27" s="145" customFormat="1" ht="36" customHeight="1" x14ac:dyDescent="0.25">
      <c r="A31" s="119" t="s">
        <v>18</v>
      </c>
      <c r="B31" s="139">
        <v>243994</v>
      </c>
      <c r="C31" s="119" t="s">
        <v>14</v>
      </c>
      <c r="D31" s="166">
        <v>680025</v>
      </c>
      <c r="E31" s="119" t="s">
        <v>376</v>
      </c>
      <c r="F31" s="190">
        <v>68011124</v>
      </c>
      <c r="G31" s="119" t="s">
        <v>417</v>
      </c>
      <c r="H31" s="187" t="s">
        <v>274</v>
      </c>
      <c r="I31" s="147" t="s">
        <v>378</v>
      </c>
      <c r="J31" s="119">
        <v>118.24</v>
      </c>
      <c r="K31" s="119" t="s">
        <v>200</v>
      </c>
      <c r="L31" s="119">
        <f>J31-116</f>
        <v>2.2399999999999949</v>
      </c>
      <c r="M31" s="119" t="s">
        <v>418</v>
      </c>
      <c r="N31" s="119" t="s">
        <v>93</v>
      </c>
      <c r="O31" s="141">
        <f t="shared" si="0"/>
        <v>243994</v>
      </c>
      <c r="P31" s="141">
        <f t="shared" si="1"/>
        <v>244001</v>
      </c>
      <c r="Q31" s="141">
        <f t="shared" si="2"/>
        <v>243996</v>
      </c>
      <c r="R31" s="139" t="s">
        <v>55</v>
      </c>
      <c r="S31" s="143">
        <v>243997</v>
      </c>
      <c r="T31" s="139" t="s">
        <v>55</v>
      </c>
      <c r="U31" s="143">
        <v>243997</v>
      </c>
      <c r="V31" s="139" t="s">
        <v>55</v>
      </c>
      <c r="W31" s="143">
        <v>243996</v>
      </c>
      <c r="X31" s="139"/>
      <c r="Y31" s="141"/>
      <c r="Z31" s="119" t="s">
        <v>438</v>
      </c>
      <c r="AA31" s="144">
        <f t="shared" ref="AA31" si="22">W31-P31</f>
        <v>-5</v>
      </c>
    </row>
    <row r="32" spans="1:27" s="145" customFormat="1" ht="36" customHeight="1" x14ac:dyDescent="0.25">
      <c r="A32" s="119" t="s">
        <v>18</v>
      </c>
      <c r="B32" s="139">
        <v>243994</v>
      </c>
      <c r="C32" s="119" t="s">
        <v>14</v>
      </c>
      <c r="D32" s="166">
        <v>680026</v>
      </c>
      <c r="E32" s="119" t="s">
        <v>420</v>
      </c>
      <c r="F32" s="190">
        <v>68011136</v>
      </c>
      <c r="G32" s="119" t="s">
        <v>421</v>
      </c>
      <c r="H32" s="187" t="s">
        <v>272</v>
      </c>
      <c r="I32" s="147" t="s">
        <v>422</v>
      </c>
      <c r="J32" s="119">
        <v>120.29</v>
      </c>
      <c r="K32" s="119" t="s">
        <v>411</v>
      </c>
      <c r="L32" s="146">
        <f>122-J32</f>
        <v>1.7099999999999937</v>
      </c>
      <c r="M32" s="119" t="s">
        <v>423</v>
      </c>
      <c r="N32" s="119" t="s">
        <v>93</v>
      </c>
      <c r="O32" s="141">
        <f t="shared" si="0"/>
        <v>243994</v>
      </c>
      <c r="P32" s="141">
        <f t="shared" si="1"/>
        <v>244001</v>
      </c>
      <c r="Q32" s="141">
        <f t="shared" si="2"/>
        <v>243996</v>
      </c>
      <c r="R32" s="139" t="s">
        <v>55</v>
      </c>
      <c r="S32" s="143">
        <v>243997</v>
      </c>
      <c r="T32" s="139" t="s">
        <v>55</v>
      </c>
      <c r="U32" s="143">
        <v>243997</v>
      </c>
      <c r="V32" s="139" t="s">
        <v>55</v>
      </c>
      <c r="W32" s="143">
        <v>243996</v>
      </c>
      <c r="X32" s="139"/>
      <c r="Y32" s="141"/>
      <c r="Z32" s="119" t="s">
        <v>439</v>
      </c>
      <c r="AA32" s="144">
        <f t="shared" si="14"/>
        <v>-5</v>
      </c>
    </row>
    <row r="33" spans="1:27" s="145" customFormat="1" ht="36" customHeight="1" x14ac:dyDescent="0.25">
      <c r="A33" s="119" t="s">
        <v>18</v>
      </c>
      <c r="B33" s="139">
        <v>243995</v>
      </c>
      <c r="C33" s="119" t="s">
        <v>11</v>
      </c>
      <c r="D33" s="166">
        <v>680027</v>
      </c>
      <c r="E33" s="119" t="s">
        <v>424</v>
      </c>
      <c r="F33" s="190" t="s">
        <v>425</v>
      </c>
      <c r="G33" s="119">
        <v>680108</v>
      </c>
      <c r="H33" s="187" t="s">
        <v>135</v>
      </c>
      <c r="I33" s="147" t="s">
        <v>76</v>
      </c>
      <c r="J33" s="119">
        <v>1074</v>
      </c>
      <c r="K33" s="209" t="s">
        <v>124</v>
      </c>
      <c r="L33" s="119">
        <v>31</v>
      </c>
      <c r="M33" s="257" t="s">
        <v>431</v>
      </c>
      <c r="N33" s="257" t="s">
        <v>53</v>
      </c>
      <c r="O33" s="141">
        <f t="shared" si="0"/>
        <v>243995</v>
      </c>
      <c r="P33" s="141">
        <f t="shared" si="1"/>
        <v>244002</v>
      </c>
      <c r="Q33" s="141">
        <f t="shared" si="2"/>
        <v>243997</v>
      </c>
      <c r="R33" s="139" t="s">
        <v>55</v>
      </c>
      <c r="S33" s="143">
        <v>244008</v>
      </c>
      <c r="T33" s="139" t="s">
        <v>55</v>
      </c>
      <c r="U33" s="143">
        <v>244014</v>
      </c>
      <c r="V33" s="139"/>
      <c r="W33" s="143"/>
      <c r="X33" s="139"/>
      <c r="Y33" s="141"/>
      <c r="Z33" s="119"/>
      <c r="AA33" s="144">
        <f t="shared" si="14"/>
        <v>-244002</v>
      </c>
    </row>
    <row r="34" spans="1:27" s="145" customFormat="1" ht="36" customHeight="1" x14ac:dyDescent="0.25">
      <c r="A34" s="119" t="s">
        <v>18</v>
      </c>
      <c r="B34" s="139">
        <v>243995</v>
      </c>
      <c r="C34" s="119" t="s">
        <v>11</v>
      </c>
      <c r="D34" s="166">
        <v>680027</v>
      </c>
      <c r="E34" s="119" t="s">
        <v>424</v>
      </c>
      <c r="F34" s="190" t="s">
        <v>425</v>
      </c>
      <c r="G34" s="119">
        <v>680108</v>
      </c>
      <c r="H34" s="187" t="s">
        <v>135</v>
      </c>
      <c r="I34" s="147" t="s">
        <v>61</v>
      </c>
      <c r="J34" s="119">
        <v>49</v>
      </c>
      <c r="K34" s="210" t="s">
        <v>62</v>
      </c>
      <c r="L34" s="119">
        <v>19</v>
      </c>
      <c r="M34" s="259"/>
      <c r="N34" s="259"/>
      <c r="O34" s="141">
        <f t="shared" ref="O34" si="23">B34</f>
        <v>243995</v>
      </c>
      <c r="P34" s="141">
        <f t="shared" ref="P34" si="24">B34+7</f>
        <v>244002</v>
      </c>
      <c r="Q34" s="141">
        <f t="shared" ref="Q34" si="25">O34+2</f>
        <v>243997</v>
      </c>
      <c r="R34" s="139" t="s">
        <v>55</v>
      </c>
      <c r="S34" s="143">
        <v>244008</v>
      </c>
      <c r="T34" s="139" t="s">
        <v>55</v>
      </c>
      <c r="U34" s="143">
        <v>244014</v>
      </c>
      <c r="V34" s="139"/>
      <c r="W34" s="143"/>
      <c r="X34" s="139"/>
      <c r="Y34" s="141"/>
      <c r="Z34" s="119"/>
      <c r="AA34" s="144">
        <f t="shared" ref="AA34" si="26">W34-P34</f>
        <v>-244002</v>
      </c>
    </row>
    <row r="35" spans="1:27" s="145" customFormat="1" ht="36" customHeight="1" x14ac:dyDescent="0.25">
      <c r="A35" s="119" t="s">
        <v>18</v>
      </c>
      <c r="B35" s="139">
        <v>243995</v>
      </c>
      <c r="C35" s="119" t="s">
        <v>11</v>
      </c>
      <c r="D35" s="166">
        <v>680027</v>
      </c>
      <c r="E35" s="119" t="s">
        <v>424</v>
      </c>
      <c r="F35" s="190" t="s">
        <v>425</v>
      </c>
      <c r="G35" s="119">
        <v>680108</v>
      </c>
      <c r="H35" s="187" t="s">
        <v>135</v>
      </c>
      <c r="I35" s="147" t="s">
        <v>74</v>
      </c>
      <c r="J35" s="119">
        <v>4.25</v>
      </c>
      <c r="K35" s="210" t="s">
        <v>125</v>
      </c>
      <c r="L35" s="119">
        <v>0.25</v>
      </c>
      <c r="M35" s="259"/>
      <c r="N35" s="259"/>
      <c r="O35" s="141">
        <f t="shared" ref="O35" si="27">B35</f>
        <v>243995</v>
      </c>
      <c r="P35" s="141">
        <f t="shared" ref="P35" si="28">B35+7</f>
        <v>244002</v>
      </c>
      <c r="Q35" s="141">
        <f t="shared" ref="Q35" si="29">O35+2</f>
        <v>243997</v>
      </c>
      <c r="R35" s="139" t="s">
        <v>55</v>
      </c>
      <c r="S35" s="143">
        <v>244008</v>
      </c>
      <c r="T35" s="139" t="s">
        <v>55</v>
      </c>
      <c r="U35" s="143">
        <v>244014</v>
      </c>
      <c r="V35" s="139"/>
      <c r="W35" s="143"/>
      <c r="X35" s="139"/>
      <c r="Y35" s="141"/>
      <c r="Z35" s="119"/>
      <c r="AA35" s="144">
        <f t="shared" ref="AA35" si="30">W35-P35</f>
        <v>-244002</v>
      </c>
    </row>
    <row r="36" spans="1:27" s="145" customFormat="1" ht="36" customHeight="1" x14ac:dyDescent="0.25">
      <c r="A36" s="119" t="s">
        <v>18</v>
      </c>
      <c r="B36" s="139">
        <v>243995</v>
      </c>
      <c r="C36" s="119" t="s">
        <v>11</v>
      </c>
      <c r="D36" s="166">
        <v>680027</v>
      </c>
      <c r="E36" s="119" t="s">
        <v>424</v>
      </c>
      <c r="F36" s="190" t="s">
        <v>425</v>
      </c>
      <c r="G36" s="119">
        <v>680108</v>
      </c>
      <c r="H36" s="187" t="s">
        <v>135</v>
      </c>
      <c r="I36" s="147" t="s">
        <v>84</v>
      </c>
      <c r="J36" s="119">
        <v>3.96</v>
      </c>
      <c r="K36" s="210" t="s">
        <v>127</v>
      </c>
      <c r="L36" s="119">
        <v>0.04</v>
      </c>
      <c r="M36" s="258"/>
      <c r="N36" s="258"/>
      <c r="O36" s="141">
        <f t="shared" ref="O36" si="31">B36</f>
        <v>243995</v>
      </c>
      <c r="P36" s="141">
        <f t="shared" ref="P36" si="32">B36+7</f>
        <v>244002</v>
      </c>
      <c r="Q36" s="141">
        <f t="shared" ref="Q36" si="33">O36+2</f>
        <v>243997</v>
      </c>
      <c r="R36" s="139" t="s">
        <v>55</v>
      </c>
      <c r="S36" s="143">
        <v>244008</v>
      </c>
      <c r="T36" s="139" t="s">
        <v>55</v>
      </c>
      <c r="U36" s="143">
        <v>244014</v>
      </c>
      <c r="V36" s="139"/>
      <c r="W36" s="143"/>
      <c r="X36" s="139"/>
      <c r="Y36" s="141"/>
      <c r="Z36" s="119"/>
      <c r="AA36" s="144">
        <f t="shared" ref="AA36" si="34">W36-P36</f>
        <v>-244002</v>
      </c>
    </row>
    <row r="37" spans="1:27" s="145" customFormat="1" ht="36" customHeight="1" x14ac:dyDescent="0.25">
      <c r="A37" s="119" t="s">
        <v>18</v>
      </c>
      <c r="B37" s="139">
        <v>243995</v>
      </c>
      <c r="C37" s="119" t="s">
        <v>14</v>
      </c>
      <c r="D37" s="166">
        <v>680028</v>
      </c>
      <c r="E37" s="119" t="s">
        <v>376</v>
      </c>
      <c r="F37" s="190">
        <v>68011224</v>
      </c>
      <c r="G37" s="119">
        <v>68011224</v>
      </c>
      <c r="H37" s="187" t="s">
        <v>274</v>
      </c>
      <c r="I37" s="147" t="s">
        <v>378</v>
      </c>
      <c r="J37" s="119">
        <v>119.44</v>
      </c>
      <c r="K37" s="119" t="s">
        <v>200</v>
      </c>
      <c r="L37" s="119">
        <f>J37-116</f>
        <v>3.4399999999999977</v>
      </c>
      <c r="M37" s="119" t="s">
        <v>430</v>
      </c>
      <c r="N37" s="119" t="s">
        <v>93</v>
      </c>
      <c r="O37" s="141">
        <f t="shared" si="0"/>
        <v>243995</v>
      </c>
      <c r="P37" s="141">
        <f t="shared" si="1"/>
        <v>244002</v>
      </c>
      <c r="Q37" s="141">
        <f t="shared" si="2"/>
        <v>243997</v>
      </c>
      <c r="R37" s="139" t="s">
        <v>55</v>
      </c>
      <c r="S37" s="143">
        <v>243997</v>
      </c>
      <c r="T37" s="139" t="s">
        <v>55</v>
      </c>
      <c r="U37" s="143">
        <v>243997</v>
      </c>
      <c r="V37" s="139" t="s">
        <v>55</v>
      </c>
      <c r="W37" s="143">
        <v>243996</v>
      </c>
      <c r="X37" s="139"/>
      <c r="Y37" s="141"/>
      <c r="Z37" s="119" t="s">
        <v>438</v>
      </c>
      <c r="AA37" s="144">
        <f t="shared" si="14"/>
        <v>-6</v>
      </c>
    </row>
    <row r="38" spans="1:27" s="145" customFormat="1" ht="36" customHeight="1" x14ac:dyDescent="0.25">
      <c r="A38" s="119" t="s">
        <v>18</v>
      </c>
      <c r="B38" s="139">
        <v>243995</v>
      </c>
      <c r="C38" s="119" t="s">
        <v>14</v>
      </c>
      <c r="D38" s="166">
        <v>680029</v>
      </c>
      <c r="E38" s="119" t="s">
        <v>426</v>
      </c>
      <c r="F38" s="190">
        <v>68011227</v>
      </c>
      <c r="G38" s="119" t="s">
        <v>427</v>
      </c>
      <c r="H38" s="187" t="s">
        <v>228</v>
      </c>
      <c r="I38" s="147" t="s">
        <v>428</v>
      </c>
      <c r="J38" s="119">
        <v>133.58000000000001</v>
      </c>
      <c r="K38" s="119" t="s">
        <v>200</v>
      </c>
      <c r="L38" s="119">
        <f>J38-129</f>
        <v>4.5800000000000125</v>
      </c>
      <c r="M38" s="119" t="s">
        <v>429</v>
      </c>
      <c r="N38" s="119" t="s">
        <v>93</v>
      </c>
      <c r="O38" s="141">
        <f t="shared" si="0"/>
        <v>243995</v>
      </c>
      <c r="P38" s="141">
        <f t="shared" si="1"/>
        <v>244002</v>
      </c>
      <c r="Q38" s="141">
        <f t="shared" si="2"/>
        <v>243997</v>
      </c>
      <c r="R38" s="139" t="s">
        <v>55</v>
      </c>
      <c r="S38" s="143">
        <v>243998</v>
      </c>
      <c r="T38" s="139" t="s">
        <v>55</v>
      </c>
      <c r="U38" s="143">
        <v>244003</v>
      </c>
      <c r="V38" s="139" t="s">
        <v>55</v>
      </c>
      <c r="W38" s="143">
        <v>243996</v>
      </c>
      <c r="X38" s="139"/>
      <c r="Y38" s="141"/>
      <c r="Z38" s="119" t="s">
        <v>437</v>
      </c>
      <c r="AA38" s="144">
        <f t="shared" si="14"/>
        <v>-6</v>
      </c>
    </row>
    <row r="39" spans="1:27" s="145" customFormat="1" ht="36" customHeight="1" x14ac:dyDescent="0.25">
      <c r="A39" s="119" t="s">
        <v>18</v>
      </c>
      <c r="B39" s="139">
        <v>243996</v>
      </c>
      <c r="C39" s="119" t="s">
        <v>14</v>
      </c>
      <c r="D39" s="166">
        <v>680030</v>
      </c>
      <c r="E39" s="119" t="s">
        <v>426</v>
      </c>
      <c r="F39" s="190">
        <v>68011308</v>
      </c>
      <c r="G39" s="119" t="s">
        <v>432</v>
      </c>
      <c r="H39" s="187" t="s">
        <v>228</v>
      </c>
      <c r="I39" s="147" t="s">
        <v>428</v>
      </c>
      <c r="J39" s="146">
        <v>132.69999999999999</v>
      </c>
      <c r="K39" s="119" t="s">
        <v>200</v>
      </c>
      <c r="L39" s="146">
        <f>J39-129</f>
        <v>3.6999999999999886</v>
      </c>
      <c r="M39" s="119" t="s">
        <v>435</v>
      </c>
      <c r="N39" s="119" t="s">
        <v>93</v>
      </c>
      <c r="O39" s="141">
        <f t="shared" ref="O39" si="35">B39</f>
        <v>243996</v>
      </c>
      <c r="P39" s="141">
        <f t="shared" ref="P39" si="36">B39+7</f>
        <v>244003</v>
      </c>
      <c r="Q39" s="141">
        <f t="shared" ref="Q39" si="37">O39+2</f>
        <v>243998</v>
      </c>
      <c r="R39" s="139" t="s">
        <v>55</v>
      </c>
      <c r="S39" s="143">
        <v>243998</v>
      </c>
      <c r="T39" s="139" t="s">
        <v>55</v>
      </c>
      <c r="U39" s="143">
        <v>244003</v>
      </c>
      <c r="V39" s="139" t="s">
        <v>55</v>
      </c>
      <c r="W39" s="143">
        <v>243996</v>
      </c>
      <c r="X39" s="139"/>
      <c r="Y39" s="141"/>
      <c r="Z39" s="119" t="s">
        <v>437</v>
      </c>
      <c r="AA39" s="144"/>
    </row>
    <row r="40" spans="1:27" s="145" customFormat="1" ht="36" customHeight="1" x14ac:dyDescent="0.25">
      <c r="A40" s="119" t="s">
        <v>18</v>
      </c>
      <c r="B40" s="139">
        <v>243996</v>
      </c>
      <c r="C40" s="119" t="s">
        <v>14</v>
      </c>
      <c r="D40" s="166">
        <v>680031</v>
      </c>
      <c r="E40" s="119" t="s">
        <v>433</v>
      </c>
      <c r="F40" s="190">
        <v>68011309</v>
      </c>
      <c r="G40" s="119" t="s">
        <v>434</v>
      </c>
      <c r="H40" s="187" t="s">
        <v>282</v>
      </c>
      <c r="I40" s="147" t="s">
        <v>304</v>
      </c>
      <c r="J40" s="146">
        <v>74.69</v>
      </c>
      <c r="K40" s="119" t="s">
        <v>411</v>
      </c>
      <c r="L40" s="146">
        <f>76-J40</f>
        <v>1.3100000000000023</v>
      </c>
      <c r="M40" s="119" t="s">
        <v>436</v>
      </c>
      <c r="N40" s="119" t="s">
        <v>93</v>
      </c>
      <c r="O40" s="141">
        <f t="shared" ref="O40:O58" si="38">B40</f>
        <v>243996</v>
      </c>
      <c r="P40" s="141">
        <f t="shared" ref="P40:P58" si="39">B40+7</f>
        <v>244003</v>
      </c>
      <c r="Q40" s="141">
        <f t="shared" ref="Q40:Q58" si="40">O40+2</f>
        <v>243998</v>
      </c>
      <c r="R40" s="139" t="s">
        <v>55</v>
      </c>
      <c r="S40" s="143">
        <v>244014</v>
      </c>
      <c r="T40" s="139" t="s">
        <v>55</v>
      </c>
      <c r="U40" s="143">
        <v>244017</v>
      </c>
      <c r="V40" s="139" t="s">
        <v>55</v>
      </c>
      <c r="W40" s="143">
        <v>244000</v>
      </c>
      <c r="X40" s="139"/>
      <c r="Y40" s="141"/>
      <c r="Z40" s="119" t="s">
        <v>483</v>
      </c>
      <c r="AA40" s="144">
        <f t="shared" ref="AA40" si="41">W40-P40</f>
        <v>-3</v>
      </c>
    </row>
    <row r="41" spans="1:27" s="145" customFormat="1" ht="36" customHeight="1" x14ac:dyDescent="0.25">
      <c r="A41" s="119" t="s">
        <v>18</v>
      </c>
      <c r="B41" s="139">
        <v>243997</v>
      </c>
      <c r="C41" s="119" t="s">
        <v>14</v>
      </c>
      <c r="D41" s="166">
        <v>680032</v>
      </c>
      <c r="E41" s="119" t="s">
        <v>307</v>
      </c>
      <c r="F41" s="190">
        <v>68011405</v>
      </c>
      <c r="G41" s="119" t="s">
        <v>445</v>
      </c>
      <c r="H41" s="187" t="s">
        <v>237</v>
      </c>
      <c r="I41" s="147" t="s">
        <v>442</v>
      </c>
      <c r="J41" s="146" t="s">
        <v>446</v>
      </c>
      <c r="K41" s="119" t="s">
        <v>443</v>
      </c>
      <c r="L41" s="146" t="s">
        <v>69</v>
      </c>
      <c r="M41" s="119" t="s">
        <v>444</v>
      </c>
      <c r="N41" s="119" t="s">
        <v>93</v>
      </c>
      <c r="O41" s="141">
        <f t="shared" si="38"/>
        <v>243997</v>
      </c>
      <c r="P41" s="141">
        <f t="shared" si="39"/>
        <v>244004</v>
      </c>
      <c r="Q41" s="141">
        <f t="shared" si="40"/>
        <v>243999</v>
      </c>
      <c r="R41" s="139" t="s">
        <v>55</v>
      </c>
      <c r="S41" s="143">
        <v>243998</v>
      </c>
      <c r="T41" s="139" t="s">
        <v>55</v>
      </c>
      <c r="U41" s="143">
        <v>244003</v>
      </c>
      <c r="V41" s="139" t="s">
        <v>55</v>
      </c>
      <c r="W41" s="143">
        <v>243997</v>
      </c>
      <c r="X41" s="139"/>
      <c r="Y41" s="141"/>
      <c r="Z41" s="119" t="s">
        <v>448</v>
      </c>
      <c r="AA41" s="144">
        <f t="shared" ref="AA41" si="42">W41-P41</f>
        <v>-7</v>
      </c>
    </row>
    <row r="42" spans="1:27" s="145" customFormat="1" ht="36" customHeight="1" x14ac:dyDescent="0.25">
      <c r="A42" s="119" t="s">
        <v>18</v>
      </c>
      <c r="B42" s="139">
        <v>243997</v>
      </c>
      <c r="C42" s="119" t="s">
        <v>14</v>
      </c>
      <c r="D42" s="166">
        <v>680033</v>
      </c>
      <c r="E42" s="119" t="s">
        <v>426</v>
      </c>
      <c r="F42" s="190">
        <v>68011410</v>
      </c>
      <c r="G42" s="119" t="s">
        <v>441</v>
      </c>
      <c r="H42" s="187" t="s">
        <v>228</v>
      </c>
      <c r="I42" s="147" t="s">
        <v>428</v>
      </c>
      <c r="J42" s="146">
        <v>131.26</v>
      </c>
      <c r="K42" s="119" t="s">
        <v>207</v>
      </c>
      <c r="L42" s="146">
        <f>J42-129</f>
        <v>2.2599999999999909</v>
      </c>
      <c r="M42" s="119" t="s">
        <v>447</v>
      </c>
      <c r="N42" s="119" t="s">
        <v>93</v>
      </c>
      <c r="O42" s="141">
        <f t="shared" si="38"/>
        <v>243997</v>
      </c>
      <c r="P42" s="141">
        <f t="shared" si="39"/>
        <v>244004</v>
      </c>
      <c r="Q42" s="141">
        <f t="shared" si="40"/>
        <v>243999</v>
      </c>
      <c r="R42" s="139" t="s">
        <v>55</v>
      </c>
      <c r="S42" s="143">
        <v>243998</v>
      </c>
      <c r="T42" s="139" t="s">
        <v>55</v>
      </c>
      <c r="U42" s="143">
        <v>244003</v>
      </c>
      <c r="V42" s="139" t="s">
        <v>55</v>
      </c>
      <c r="W42" s="143">
        <v>244003</v>
      </c>
      <c r="X42" s="139"/>
      <c r="Y42" s="141"/>
      <c r="Z42" s="119" t="s">
        <v>545</v>
      </c>
      <c r="AA42" s="144">
        <f t="shared" ref="AA42" si="43">W42-P42</f>
        <v>-1</v>
      </c>
    </row>
    <row r="43" spans="1:27" s="145" customFormat="1" ht="36" customHeight="1" x14ac:dyDescent="0.25">
      <c r="A43" s="119" t="s">
        <v>18</v>
      </c>
      <c r="B43" s="139">
        <v>243997</v>
      </c>
      <c r="C43" s="119" t="s">
        <v>14</v>
      </c>
      <c r="D43" s="166">
        <v>680034</v>
      </c>
      <c r="E43" s="119" t="s">
        <v>307</v>
      </c>
      <c r="F43" s="190">
        <v>680114</v>
      </c>
      <c r="G43" s="119" t="s">
        <v>449</v>
      </c>
      <c r="H43" s="187" t="s">
        <v>238</v>
      </c>
      <c r="I43" s="147" t="s">
        <v>450</v>
      </c>
      <c r="J43" s="146" t="s">
        <v>453</v>
      </c>
      <c r="K43" s="119" t="s">
        <v>451</v>
      </c>
      <c r="L43" s="146" t="s">
        <v>69</v>
      </c>
      <c r="M43" s="119" t="s">
        <v>452</v>
      </c>
      <c r="N43" s="119" t="s">
        <v>93</v>
      </c>
      <c r="O43" s="141">
        <f t="shared" si="38"/>
        <v>243997</v>
      </c>
      <c r="P43" s="141">
        <f t="shared" si="39"/>
        <v>244004</v>
      </c>
      <c r="Q43" s="141">
        <f t="shared" si="40"/>
        <v>243999</v>
      </c>
      <c r="R43" s="139" t="s">
        <v>55</v>
      </c>
      <c r="S43" s="143">
        <v>243998</v>
      </c>
      <c r="T43" s="139" t="s">
        <v>55</v>
      </c>
      <c r="U43" s="143">
        <v>244003</v>
      </c>
      <c r="V43" s="139" t="s">
        <v>55</v>
      </c>
      <c r="W43" s="143">
        <v>243998</v>
      </c>
      <c r="X43" s="139"/>
      <c r="Y43" s="141"/>
      <c r="Z43" s="119" t="s">
        <v>470</v>
      </c>
      <c r="AA43" s="144">
        <f t="shared" si="14"/>
        <v>-6</v>
      </c>
    </row>
    <row r="44" spans="1:27" s="145" customFormat="1" ht="36" customHeight="1" x14ac:dyDescent="0.25">
      <c r="A44" s="119" t="s">
        <v>18</v>
      </c>
      <c r="B44" s="139">
        <v>243997</v>
      </c>
      <c r="C44" s="119" t="s">
        <v>14</v>
      </c>
      <c r="D44" s="166">
        <v>680035</v>
      </c>
      <c r="E44" s="119" t="s">
        <v>376</v>
      </c>
      <c r="F44" s="190">
        <v>68011445</v>
      </c>
      <c r="G44" s="119" t="s">
        <v>454</v>
      </c>
      <c r="H44" s="187" t="s">
        <v>455</v>
      </c>
      <c r="I44" s="147" t="s">
        <v>378</v>
      </c>
      <c r="J44" s="146">
        <v>118.94</v>
      </c>
      <c r="K44" s="119" t="s">
        <v>200</v>
      </c>
      <c r="L44" s="146">
        <f>J44-116</f>
        <v>2.9399999999999977</v>
      </c>
      <c r="M44" s="119" t="s">
        <v>456</v>
      </c>
      <c r="N44" s="119" t="s">
        <v>93</v>
      </c>
      <c r="O44" s="141">
        <f t="shared" si="38"/>
        <v>243997</v>
      </c>
      <c r="P44" s="141">
        <f t="shared" si="39"/>
        <v>244004</v>
      </c>
      <c r="Q44" s="141">
        <f t="shared" si="40"/>
        <v>243999</v>
      </c>
      <c r="R44" s="139" t="s">
        <v>55</v>
      </c>
      <c r="S44" s="143">
        <v>243998</v>
      </c>
      <c r="T44" s="139" t="s">
        <v>55</v>
      </c>
      <c r="U44" s="143">
        <v>244003</v>
      </c>
      <c r="V44" s="139" t="s">
        <v>55</v>
      </c>
      <c r="W44" s="143">
        <v>243998</v>
      </c>
      <c r="X44" s="139"/>
      <c r="Y44" s="141"/>
      <c r="Z44" s="119" t="s">
        <v>471</v>
      </c>
      <c r="AA44" s="144">
        <f t="shared" ref="AA44" si="44">W44-P44</f>
        <v>-6</v>
      </c>
    </row>
    <row r="45" spans="1:27" s="145" customFormat="1" ht="36" customHeight="1" x14ac:dyDescent="0.25">
      <c r="A45" s="119" t="s">
        <v>18</v>
      </c>
      <c r="B45" s="139">
        <v>243998</v>
      </c>
      <c r="C45" s="119" t="s">
        <v>11</v>
      </c>
      <c r="D45" s="166">
        <v>680036</v>
      </c>
      <c r="E45" s="119" t="s">
        <v>457</v>
      </c>
      <c r="F45" s="190" t="s">
        <v>461</v>
      </c>
      <c r="G45" s="119">
        <v>680111</v>
      </c>
      <c r="H45" s="187" t="s">
        <v>135</v>
      </c>
      <c r="I45" s="147" t="s">
        <v>75</v>
      </c>
      <c r="J45" s="146">
        <v>3.53</v>
      </c>
      <c r="K45" s="210" t="s">
        <v>125</v>
      </c>
      <c r="L45" s="146">
        <v>0.13</v>
      </c>
      <c r="M45" s="257" t="s">
        <v>462</v>
      </c>
      <c r="N45" s="257" t="s">
        <v>53</v>
      </c>
      <c r="O45" s="141">
        <f t="shared" si="38"/>
        <v>243998</v>
      </c>
      <c r="P45" s="141">
        <f t="shared" si="39"/>
        <v>244005</v>
      </c>
      <c r="Q45" s="141">
        <f t="shared" si="40"/>
        <v>244000</v>
      </c>
      <c r="R45" s="139" t="s">
        <v>55</v>
      </c>
      <c r="S45" s="143">
        <v>243999</v>
      </c>
      <c r="T45" s="139" t="s">
        <v>55</v>
      </c>
      <c r="U45" s="143">
        <v>244003</v>
      </c>
      <c r="V45" s="139" t="s">
        <v>55</v>
      </c>
      <c r="W45" s="143">
        <v>243998</v>
      </c>
      <c r="X45" s="139"/>
      <c r="Y45" s="141"/>
      <c r="Z45" s="119" t="s">
        <v>463</v>
      </c>
      <c r="AA45" s="144">
        <f t="shared" si="14"/>
        <v>-7</v>
      </c>
    </row>
    <row r="46" spans="1:27" s="145" customFormat="1" ht="36" customHeight="1" x14ac:dyDescent="0.25">
      <c r="A46" s="119" t="s">
        <v>18</v>
      </c>
      <c r="B46" s="139">
        <v>243998</v>
      </c>
      <c r="C46" s="119" t="s">
        <v>11</v>
      </c>
      <c r="D46" s="166">
        <v>680036</v>
      </c>
      <c r="E46" s="119" t="s">
        <v>457</v>
      </c>
      <c r="F46" s="190" t="s">
        <v>461</v>
      </c>
      <c r="G46" s="119">
        <v>680111</v>
      </c>
      <c r="H46" s="187" t="s">
        <v>135</v>
      </c>
      <c r="I46" s="147" t="s">
        <v>85</v>
      </c>
      <c r="J46" s="146">
        <v>4.16</v>
      </c>
      <c r="K46" s="210" t="s">
        <v>127</v>
      </c>
      <c r="L46" s="146">
        <v>0.14000000000000001</v>
      </c>
      <c r="M46" s="258"/>
      <c r="N46" s="258"/>
      <c r="O46" s="141">
        <f t="shared" ref="O46" si="45">B46</f>
        <v>243998</v>
      </c>
      <c r="P46" s="141">
        <f t="shared" ref="P46" si="46">B46+7</f>
        <v>244005</v>
      </c>
      <c r="Q46" s="141">
        <f t="shared" ref="Q46" si="47">O46+2</f>
        <v>244000</v>
      </c>
      <c r="R46" s="139" t="s">
        <v>55</v>
      </c>
      <c r="S46" s="143">
        <v>243999</v>
      </c>
      <c r="T46" s="139" t="s">
        <v>55</v>
      </c>
      <c r="U46" s="143">
        <v>244003</v>
      </c>
      <c r="V46" s="139" t="s">
        <v>55</v>
      </c>
      <c r="W46" s="143">
        <v>243998</v>
      </c>
      <c r="X46" s="139"/>
      <c r="Y46" s="141"/>
      <c r="Z46" s="119" t="s">
        <v>463</v>
      </c>
      <c r="AA46" s="144">
        <f t="shared" ref="AA46" si="48">W46-P46</f>
        <v>-7</v>
      </c>
    </row>
    <row r="47" spans="1:27" s="145" customFormat="1" ht="36" customHeight="1" x14ac:dyDescent="0.25">
      <c r="A47" s="119" t="s">
        <v>18</v>
      </c>
      <c r="B47" s="139">
        <v>243998</v>
      </c>
      <c r="C47" s="119" t="s">
        <v>14</v>
      </c>
      <c r="D47" s="166">
        <v>680037</v>
      </c>
      <c r="E47" s="119" t="s">
        <v>413</v>
      </c>
      <c r="F47" s="190">
        <v>68011508</v>
      </c>
      <c r="G47" s="119" t="s">
        <v>458</v>
      </c>
      <c r="H47" s="187" t="s">
        <v>232</v>
      </c>
      <c r="I47" s="147" t="s">
        <v>415</v>
      </c>
      <c r="J47" s="146">
        <v>84.27</v>
      </c>
      <c r="K47" s="119" t="s">
        <v>207</v>
      </c>
      <c r="L47" s="146">
        <v>4.2699999999999996</v>
      </c>
      <c r="M47" s="119" t="s">
        <v>460</v>
      </c>
      <c r="N47" s="119" t="s">
        <v>93</v>
      </c>
      <c r="O47" s="141">
        <f t="shared" si="38"/>
        <v>243998</v>
      </c>
      <c r="P47" s="141">
        <f t="shared" si="39"/>
        <v>244005</v>
      </c>
      <c r="Q47" s="141">
        <f t="shared" si="40"/>
        <v>244000</v>
      </c>
      <c r="R47" s="139" t="s">
        <v>55</v>
      </c>
      <c r="S47" s="143">
        <v>244001</v>
      </c>
      <c r="T47" s="139" t="s">
        <v>55</v>
      </c>
      <c r="U47" s="143">
        <v>244003</v>
      </c>
      <c r="V47" s="139" t="s">
        <v>55</v>
      </c>
      <c r="W47" s="143">
        <v>243998</v>
      </c>
      <c r="X47" s="139"/>
      <c r="Y47" s="141"/>
      <c r="Z47" s="119" t="s">
        <v>459</v>
      </c>
      <c r="AA47" s="144">
        <f t="shared" si="14"/>
        <v>-7</v>
      </c>
    </row>
    <row r="48" spans="1:27" s="145" customFormat="1" ht="36" customHeight="1" x14ac:dyDescent="0.25">
      <c r="A48" s="119" t="s">
        <v>18</v>
      </c>
      <c r="B48" s="139">
        <v>243998</v>
      </c>
      <c r="C48" s="119" t="s">
        <v>14</v>
      </c>
      <c r="D48" s="166">
        <v>680038</v>
      </c>
      <c r="E48" s="119" t="s">
        <v>376</v>
      </c>
      <c r="F48" s="190">
        <v>68011529</v>
      </c>
      <c r="G48" s="119" t="s">
        <v>464</v>
      </c>
      <c r="H48" s="187" t="s">
        <v>274</v>
      </c>
      <c r="I48" s="147" t="s">
        <v>378</v>
      </c>
      <c r="J48" s="146">
        <v>120.86</v>
      </c>
      <c r="K48" s="119" t="s">
        <v>200</v>
      </c>
      <c r="L48" s="146">
        <f>J48-116</f>
        <v>4.8599999999999994</v>
      </c>
      <c r="M48" s="119" t="s">
        <v>465</v>
      </c>
      <c r="N48" s="119" t="s">
        <v>93</v>
      </c>
      <c r="O48" s="141">
        <f t="shared" si="38"/>
        <v>243998</v>
      </c>
      <c r="P48" s="141">
        <f t="shared" si="39"/>
        <v>244005</v>
      </c>
      <c r="Q48" s="141">
        <f t="shared" si="40"/>
        <v>244000</v>
      </c>
      <c r="R48" s="139" t="s">
        <v>55</v>
      </c>
      <c r="S48" s="143">
        <v>244001</v>
      </c>
      <c r="T48" s="139" t="s">
        <v>55</v>
      </c>
      <c r="U48" s="143">
        <v>244003</v>
      </c>
      <c r="V48" s="139" t="s">
        <v>55</v>
      </c>
      <c r="W48" s="143">
        <v>243998</v>
      </c>
      <c r="X48" s="139"/>
      <c r="Y48" s="141"/>
      <c r="Z48" s="119" t="s">
        <v>471</v>
      </c>
      <c r="AA48" s="144">
        <f t="shared" si="14"/>
        <v>-7</v>
      </c>
    </row>
    <row r="49" spans="1:27" s="145" customFormat="1" ht="36" customHeight="1" x14ac:dyDescent="0.25">
      <c r="A49" s="119" t="s">
        <v>18</v>
      </c>
      <c r="B49" s="139">
        <v>243997</v>
      </c>
      <c r="C49" s="119" t="s">
        <v>14</v>
      </c>
      <c r="D49" s="166">
        <v>680039</v>
      </c>
      <c r="E49" s="119" t="s">
        <v>426</v>
      </c>
      <c r="F49" s="190">
        <v>68011526</v>
      </c>
      <c r="G49" s="119" t="s">
        <v>466</v>
      </c>
      <c r="H49" s="187" t="s">
        <v>228</v>
      </c>
      <c r="I49" s="147" t="s">
        <v>428</v>
      </c>
      <c r="J49" s="146">
        <v>131.84</v>
      </c>
      <c r="K49" s="119" t="s">
        <v>200</v>
      </c>
      <c r="L49" s="146">
        <f>J49-129</f>
        <v>2.8400000000000034</v>
      </c>
      <c r="M49" s="119" t="s">
        <v>467</v>
      </c>
      <c r="N49" s="119" t="s">
        <v>93</v>
      </c>
      <c r="O49" s="141">
        <f>B50</f>
        <v>243998</v>
      </c>
      <c r="P49" s="141">
        <f>B50+7</f>
        <v>244005</v>
      </c>
      <c r="Q49" s="141">
        <f t="shared" si="40"/>
        <v>244000</v>
      </c>
      <c r="R49" s="139" t="s">
        <v>55</v>
      </c>
      <c r="S49" s="143">
        <v>244001</v>
      </c>
      <c r="T49" s="139" t="s">
        <v>55</v>
      </c>
      <c r="U49" s="143">
        <v>244003</v>
      </c>
      <c r="V49" s="139" t="s">
        <v>55</v>
      </c>
      <c r="W49" s="143">
        <v>244003</v>
      </c>
      <c r="X49" s="139"/>
      <c r="Y49" s="141"/>
      <c r="Z49" s="119" t="s">
        <v>545</v>
      </c>
      <c r="AA49" s="144">
        <f t="shared" si="14"/>
        <v>-2</v>
      </c>
    </row>
    <row r="50" spans="1:27" s="145" customFormat="1" ht="36" customHeight="1" x14ac:dyDescent="0.25">
      <c r="A50" s="119" t="s">
        <v>18</v>
      </c>
      <c r="B50" s="139">
        <v>243998</v>
      </c>
      <c r="C50" s="119" t="s">
        <v>14</v>
      </c>
      <c r="D50" s="166">
        <v>680040</v>
      </c>
      <c r="E50" s="119" t="s">
        <v>307</v>
      </c>
      <c r="F50" s="190">
        <v>68011533</v>
      </c>
      <c r="G50" s="119" t="s">
        <v>468</v>
      </c>
      <c r="H50" s="187" t="s">
        <v>239</v>
      </c>
      <c r="I50" s="147" t="s">
        <v>442</v>
      </c>
      <c r="J50" s="146" t="s">
        <v>446</v>
      </c>
      <c r="K50" s="119" t="s">
        <v>443</v>
      </c>
      <c r="L50" s="146" t="s">
        <v>69</v>
      </c>
      <c r="M50" s="119" t="s">
        <v>469</v>
      </c>
      <c r="N50" s="119" t="s">
        <v>93</v>
      </c>
      <c r="O50" s="141">
        <f>B51</f>
        <v>243998</v>
      </c>
      <c r="P50" s="141">
        <f>B51+7</f>
        <v>244005</v>
      </c>
      <c r="Q50" s="141">
        <f t="shared" ref="Q50" si="49">O50+2</f>
        <v>244000</v>
      </c>
      <c r="R50" s="139" t="s">
        <v>55</v>
      </c>
      <c r="S50" s="143">
        <v>244001</v>
      </c>
      <c r="T50" s="139" t="s">
        <v>55</v>
      </c>
      <c r="U50" s="143">
        <v>244003</v>
      </c>
      <c r="V50" s="139" t="s">
        <v>55</v>
      </c>
      <c r="W50" s="143">
        <v>243998</v>
      </c>
      <c r="X50" s="139"/>
      <c r="Y50" s="141"/>
      <c r="Z50" s="119" t="s">
        <v>470</v>
      </c>
      <c r="AA50" s="144">
        <f t="shared" si="14"/>
        <v>-7</v>
      </c>
    </row>
    <row r="51" spans="1:27" s="145" customFormat="1" ht="36" customHeight="1" x14ac:dyDescent="0.25">
      <c r="A51" s="119" t="s">
        <v>18</v>
      </c>
      <c r="B51" s="139">
        <v>243998</v>
      </c>
      <c r="C51" s="119" t="s">
        <v>14</v>
      </c>
      <c r="D51" s="166">
        <v>680041</v>
      </c>
      <c r="E51" s="119" t="s">
        <v>413</v>
      </c>
      <c r="F51" s="190">
        <v>68011536</v>
      </c>
      <c r="G51" s="119" t="s">
        <v>472</v>
      </c>
      <c r="H51" s="187" t="s">
        <v>282</v>
      </c>
      <c r="I51" s="147" t="s">
        <v>415</v>
      </c>
      <c r="J51" s="146">
        <v>84.3</v>
      </c>
      <c r="K51" s="119" t="s">
        <v>207</v>
      </c>
      <c r="L51" s="146">
        <v>4.3</v>
      </c>
      <c r="M51" s="119" t="s">
        <v>473</v>
      </c>
      <c r="N51" s="119" t="s">
        <v>93</v>
      </c>
      <c r="O51" s="141">
        <f t="shared" si="38"/>
        <v>243998</v>
      </c>
      <c r="P51" s="141">
        <f t="shared" si="39"/>
        <v>244005</v>
      </c>
      <c r="Q51" s="141">
        <f t="shared" si="40"/>
        <v>244000</v>
      </c>
      <c r="R51" s="139" t="s">
        <v>55</v>
      </c>
      <c r="S51" s="143">
        <v>244014</v>
      </c>
      <c r="T51" s="139" t="s">
        <v>55</v>
      </c>
      <c r="U51" s="143">
        <v>244017</v>
      </c>
      <c r="V51" s="139" t="s">
        <v>55</v>
      </c>
      <c r="W51" s="143">
        <v>244000</v>
      </c>
      <c r="X51" s="139"/>
      <c r="Y51" s="141"/>
      <c r="Z51" s="119" t="s">
        <v>483</v>
      </c>
      <c r="AA51" s="144">
        <f t="shared" ref="AA51" si="50">W51-P51</f>
        <v>-5</v>
      </c>
    </row>
    <row r="52" spans="1:27" s="145" customFormat="1" ht="36" customHeight="1" x14ac:dyDescent="0.25">
      <c r="A52" s="119" t="s">
        <v>18</v>
      </c>
      <c r="B52" s="139">
        <v>243998</v>
      </c>
      <c r="C52" s="119" t="s">
        <v>14</v>
      </c>
      <c r="D52" s="166">
        <v>680042</v>
      </c>
      <c r="E52" s="119" t="s">
        <v>426</v>
      </c>
      <c r="F52" s="190">
        <v>68011552</v>
      </c>
      <c r="G52" s="119" t="s">
        <v>474</v>
      </c>
      <c r="H52" s="187" t="s">
        <v>475</v>
      </c>
      <c r="I52" s="147" t="s">
        <v>428</v>
      </c>
      <c r="J52" s="146">
        <v>125.11</v>
      </c>
      <c r="K52" s="119" t="s">
        <v>201</v>
      </c>
      <c r="L52" s="146">
        <f>127-J52</f>
        <v>1.8900000000000006</v>
      </c>
      <c r="M52" s="119" t="s">
        <v>476</v>
      </c>
      <c r="N52" s="119" t="s">
        <v>93</v>
      </c>
      <c r="O52" s="141">
        <f t="shared" si="38"/>
        <v>243998</v>
      </c>
      <c r="P52" s="141">
        <f t="shared" si="39"/>
        <v>244005</v>
      </c>
      <c r="Q52" s="141">
        <f t="shared" si="40"/>
        <v>244000</v>
      </c>
      <c r="R52" s="139" t="s">
        <v>55</v>
      </c>
      <c r="S52" s="143">
        <v>244001</v>
      </c>
      <c r="T52" s="139" t="s">
        <v>55</v>
      </c>
      <c r="U52" s="143">
        <v>244003</v>
      </c>
      <c r="V52" s="139" t="s">
        <v>55</v>
      </c>
      <c r="W52" s="143">
        <v>244003</v>
      </c>
      <c r="X52" s="139"/>
      <c r="Y52" s="141"/>
      <c r="Z52" s="119" t="s">
        <v>546</v>
      </c>
      <c r="AA52" s="144">
        <f t="shared" si="14"/>
        <v>-2</v>
      </c>
    </row>
    <row r="53" spans="1:27" s="145" customFormat="1" ht="36" customHeight="1" x14ac:dyDescent="0.25">
      <c r="A53" s="119" t="s">
        <v>18</v>
      </c>
      <c r="B53" s="139">
        <v>243999</v>
      </c>
      <c r="C53" s="119" t="s">
        <v>14</v>
      </c>
      <c r="D53" s="166">
        <v>680043</v>
      </c>
      <c r="E53" s="119" t="s">
        <v>402</v>
      </c>
      <c r="F53" s="190">
        <v>68011621</v>
      </c>
      <c r="G53" s="119" t="s">
        <v>477</v>
      </c>
      <c r="H53" s="187" t="s">
        <v>269</v>
      </c>
      <c r="I53" s="147" t="s">
        <v>404</v>
      </c>
      <c r="J53" s="119">
        <v>69.95</v>
      </c>
      <c r="K53" s="119" t="s">
        <v>200</v>
      </c>
      <c r="L53" s="146">
        <f>J53-67</f>
        <v>2.9500000000000028</v>
      </c>
      <c r="M53" s="119" t="s">
        <v>478</v>
      </c>
      <c r="N53" s="119" t="s">
        <v>93</v>
      </c>
      <c r="O53" s="141">
        <f t="shared" si="38"/>
        <v>243999</v>
      </c>
      <c r="P53" s="141">
        <f t="shared" si="39"/>
        <v>244006</v>
      </c>
      <c r="Q53" s="141">
        <f t="shared" si="40"/>
        <v>244001</v>
      </c>
      <c r="R53" s="139" t="s">
        <v>55</v>
      </c>
      <c r="S53" s="143">
        <v>244008</v>
      </c>
      <c r="T53" s="139" t="s">
        <v>55</v>
      </c>
      <c r="U53" s="143">
        <v>244014</v>
      </c>
      <c r="V53" s="139" t="s">
        <v>55</v>
      </c>
      <c r="W53" s="143">
        <v>244014</v>
      </c>
      <c r="X53" s="139"/>
      <c r="Y53" s="141"/>
      <c r="Z53" s="119" t="s">
        <v>402</v>
      </c>
      <c r="AA53" s="144">
        <f t="shared" ref="AA53:AA54" si="51">W53-P53</f>
        <v>8</v>
      </c>
    </row>
    <row r="54" spans="1:27" s="145" customFormat="1" ht="36" customHeight="1" x14ac:dyDescent="0.25">
      <c r="A54" s="119" t="s">
        <v>18</v>
      </c>
      <c r="B54" s="139">
        <v>243999</v>
      </c>
      <c r="C54" s="119" t="s">
        <v>14</v>
      </c>
      <c r="D54" s="166">
        <v>680044</v>
      </c>
      <c r="E54" s="119" t="s">
        <v>413</v>
      </c>
      <c r="F54" s="190">
        <v>68011622</v>
      </c>
      <c r="G54" s="119" t="s">
        <v>481</v>
      </c>
      <c r="H54" s="187" t="s">
        <v>215</v>
      </c>
      <c r="I54" s="147" t="s">
        <v>415</v>
      </c>
      <c r="J54" s="119">
        <v>84.47</v>
      </c>
      <c r="K54" s="119" t="s">
        <v>207</v>
      </c>
      <c r="L54" s="146">
        <v>4.47</v>
      </c>
      <c r="M54" s="119" t="s">
        <v>482</v>
      </c>
      <c r="N54" s="119" t="s">
        <v>93</v>
      </c>
      <c r="O54" s="141">
        <f t="shared" ref="O54" si="52">B54</f>
        <v>243999</v>
      </c>
      <c r="P54" s="141">
        <f t="shared" ref="P54" si="53">B54+7</f>
        <v>244006</v>
      </c>
      <c r="Q54" s="141">
        <f t="shared" ref="Q54" si="54">O54+2</f>
        <v>244001</v>
      </c>
      <c r="R54" s="139" t="s">
        <v>55</v>
      </c>
      <c r="S54" s="143">
        <v>244034</v>
      </c>
      <c r="T54" s="139" t="s">
        <v>55</v>
      </c>
      <c r="U54" s="143">
        <v>244034</v>
      </c>
      <c r="V54" s="139" t="s">
        <v>55</v>
      </c>
      <c r="W54" s="143">
        <v>244000</v>
      </c>
      <c r="X54" s="139"/>
      <c r="Y54" s="141"/>
      <c r="Z54" s="119" t="s">
        <v>483</v>
      </c>
      <c r="AA54" s="144">
        <f t="shared" si="51"/>
        <v>-6</v>
      </c>
    </row>
    <row r="55" spans="1:27" s="145" customFormat="1" ht="36" customHeight="1" x14ac:dyDescent="0.25">
      <c r="A55" s="119" t="s">
        <v>18</v>
      </c>
      <c r="B55" s="139">
        <v>243999</v>
      </c>
      <c r="C55" s="119" t="s">
        <v>14</v>
      </c>
      <c r="D55" s="166">
        <v>680044</v>
      </c>
      <c r="E55" s="119" t="s">
        <v>413</v>
      </c>
      <c r="F55" s="190">
        <v>68011620</v>
      </c>
      <c r="G55" s="119" t="s">
        <v>479</v>
      </c>
      <c r="H55" s="187" t="s">
        <v>296</v>
      </c>
      <c r="I55" s="147" t="s">
        <v>415</v>
      </c>
      <c r="J55" s="119">
        <v>84.24</v>
      </c>
      <c r="K55" s="119" t="s">
        <v>207</v>
      </c>
      <c r="L55" s="146">
        <v>4.3239999999999998</v>
      </c>
      <c r="M55" s="119" t="s">
        <v>480</v>
      </c>
      <c r="N55" s="119" t="s">
        <v>93</v>
      </c>
      <c r="O55" s="141">
        <f t="shared" si="38"/>
        <v>243999</v>
      </c>
      <c r="P55" s="141">
        <f t="shared" si="39"/>
        <v>244006</v>
      </c>
      <c r="Q55" s="141">
        <f t="shared" si="40"/>
        <v>244001</v>
      </c>
      <c r="R55" s="139" t="s">
        <v>55</v>
      </c>
      <c r="S55" s="143">
        <v>244034</v>
      </c>
      <c r="T55" s="139" t="s">
        <v>55</v>
      </c>
      <c r="U55" s="143">
        <v>244034</v>
      </c>
      <c r="V55" s="139" t="s">
        <v>55</v>
      </c>
      <c r="W55" s="143">
        <v>244000</v>
      </c>
      <c r="X55" s="139"/>
      <c r="Y55" s="141"/>
      <c r="Z55" s="119" t="s">
        <v>483</v>
      </c>
      <c r="AA55" s="144">
        <f t="shared" si="14"/>
        <v>-6</v>
      </c>
    </row>
    <row r="56" spans="1:27" s="145" customFormat="1" ht="36" customHeight="1" x14ac:dyDescent="0.25">
      <c r="A56" s="119" t="s">
        <v>18</v>
      </c>
      <c r="B56" s="139">
        <v>244000</v>
      </c>
      <c r="C56" s="119" t="s">
        <v>14</v>
      </c>
      <c r="D56" s="166">
        <v>680045</v>
      </c>
      <c r="E56" s="119" t="s">
        <v>420</v>
      </c>
      <c r="F56" s="190">
        <v>68011722</v>
      </c>
      <c r="G56" s="119" t="s">
        <v>484</v>
      </c>
      <c r="H56" s="187" t="s">
        <v>272</v>
      </c>
      <c r="I56" s="147" t="s">
        <v>422</v>
      </c>
      <c r="J56" s="119">
        <v>129.03</v>
      </c>
      <c r="K56" s="119" t="s">
        <v>207</v>
      </c>
      <c r="L56" s="146">
        <f>J56-125</f>
        <v>4.0300000000000011</v>
      </c>
      <c r="M56" s="119" t="s">
        <v>485</v>
      </c>
      <c r="N56" s="119" t="s">
        <v>93</v>
      </c>
      <c r="O56" s="141">
        <f t="shared" si="38"/>
        <v>244000</v>
      </c>
      <c r="P56" s="141">
        <f t="shared" si="39"/>
        <v>244007</v>
      </c>
      <c r="Q56" s="141">
        <f t="shared" si="40"/>
        <v>244002</v>
      </c>
      <c r="R56" s="139" t="s">
        <v>55</v>
      </c>
      <c r="S56" s="143">
        <v>244008</v>
      </c>
      <c r="T56" s="139" t="s">
        <v>55</v>
      </c>
      <c r="U56" s="143">
        <v>244014</v>
      </c>
      <c r="V56" s="139" t="s">
        <v>55</v>
      </c>
      <c r="W56" s="143">
        <v>244014</v>
      </c>
      <c r="X56" s="139"/>
      <c r="Y56" s="141"/>
      <c r="Z56" s="119" t="s">
        <v>420</v>
      </c>
      <c r="AA56" s="144">
        <f t="shared" ref="AA56" si="55">W56-P56</f>
        <v>7</v>
      </c>
    </row>
    <row r="57" spans="1:27" s="145" customFormat="1" ht="36" customHeight="1" x14ac:dyDescent="0.25">
      <c r="A57" s="119" t="s">
        <v>18</v>
      </c>
      <c r="B57" s="139">
        <v>244000</v>
      </c>
      <c r="C57" s="119" t="s">
        <v>14</v>
      </c>
      <c r="D57" s="166">
        <v>680046</v>
      </c>
      <c r="E57" s="119" t="s">
        <v>486</v>
      </c>
      <c r="F57" s="190">
        <v>68011727</v>
      </c>
      <c r="G57" s="119" t="s">
        <v>487</v>
      </c>
      <c r="H57" s="187" t="s">
        <v>488</v>
      </c>
      <c r="I57" s="147" t="s">
        <v>489</v>
      </c>
      <c r="J57" s="119">
        <v>115.23</v>
      </c>
      <c r="K57" s="119" t="s">
        <v>207</v>
      </c>
      <c r="L57" s="146">
        <f>J57-110</f>
        <v>5.230000000000004</v>
      </c>
      <c r="M57" s="119" t="s">
        <v>490</v>
      </c>
      <c r="N57" s="119" t="s">
        <v>93</v>
      </c>
      <c r="O57" s="141">
        <f t="shared" si="38"/>
        <v>244000</v>
      </c>
      <c r="P57" s="141">
        <f t="shared" si="39"/>
        <v>244007</v>
      </c>
      <c r="Q57" s="141">
        <f t="shared" si="40"/>
        <v>244002</v>
      </c>
      <c r="R57" s="139" t="s">
        <v>55</v>
      </c>
      <c r="S57" s="143">
        <v>244008</v>
      </c>
      <c r="T57" s="139" t="s">
        <v>55</v>
      </c>
      <c r="U57" s="143">
        <v>244014</v>
      </c>
      <c r="V57" s="139" t="s">
        <v>55</v>
      </c>
      <c r="W57" s="143">
        <v>244014</v>
      </c>
      <c r="X57" s="139"/>
      <c r="Y57" s="141"/>
      <c r="Z57" s="119" t="s">
        <v>486</v>
      </c>
      <c r="AA57" s="144">
        <f t="shared" si="14"/>
        <v>7</v>
      </c>
    </row>
    <row r="58" spans="1:27" s="145" customFormat="1" ht="36" customHeight="1" x14ac:dyDescent="0.25">
      <c r="A58" s="119" t="s">
        <v>18</v>
      </c>
      <c r="B58" s="139">
        <v>244000</v>
      </c>
      <c r="C58" s="119" t="s">
        <v>14</v>
      </c>
      <c r="D58" s="166">
        <v>680047</v>
      </c>
      <c r="E58" s="119" t="s">
        <v>426</v>
      </c>
      <c r="F58" s="190">
        <v>68011727</v>
      </c>
      <c r="G58" s="119" t="s">
        <v>491</v>
      </c>
      <c r="H58" s="187" t="s">
        <v>291</v>
      </c>
      <c r="I58" s="147" t="s">
        <v>428</v>
      </c>
      <c r="J58" s="119">
        <v>132.62</v>
      </c>
      <c r="K58" s="119" t="s">
        <v>207</v>
      </c>
      <c r="L58" s="146">
        <f>J58-129</f>
        <v>3.6200000000000045</v>
      </c>
      <c r="M58" s="119" t="s">
        <v>492</v>
      </c>
      <c r="N58" s="119" t="s">
        <v>93</v>
      </c>
      <c r="O58" s="141">
        <f t="shared" si="38"/>
        <v>244000</v>
      </c>
      <c r="P58" s="141">
        <f t="shared" si="39"/>
        <v>244007</v>
      </c>
      <c r="Q58" s="141">
        <f t="shared" si="40"/>
        <v>244002</v>
      </c>
      <c r="R58" s="139" t="s">
        <v>55</v>
      </c>
      <c r="S58" s="143">
        <v>244034</v>
      </c>
      <c r="T58" s="139" t="s">
        <v>55</v>
      </c>
      <c r="U58" s="143">
        <v>244034</v>
      </c>
      <c r="V58" s="139" t="s">
        <v>55</v>
      </c>
      <c r="W58" s="143">
        <v>244003</v>
      </c>
      <c r="X58" s="139"/>
      <c r="Y58" s="141"/>
      <c r="Z58" s="119" t="s">
        <v>545</v>
      </c>
      <c r="AA58" s="144">
        <f t="shared" ref="AA58:AA61" si="56">W58-P58</f>
        <v>-4</v>
      </c>
    </row>
    <row r="59" spans="1:27" s="145" customFormat="1" ht="36" customHeight="1" x14ac:dyDescent="0.25">
      <c r="A59" s="119" t="s">
        <v>18</v>
      </c>
      <c r="B59" s="139">
        <v>244000</v>
      </c>
      <c r="C59" s="119" t="s">
        <v>14</v>
      </c>
      <c r="D59" s="166">
        <v>680047</v>
      </c>
      <c r="E59" s="119" t="s">
        <v>426</v>
      </c>
      <c r="F59" s="190">
        <v>68011728</v>
      </c>
      <c r="G59" s="119" t="s">
        <v>493</v>
      </c>
      <c r="H59" s="187" t="s">
        <v>224</v>
      </c>
      <c r="I59" s="147" t="s">
        <v>428</v>
      </c>
      <c r="J59" s="119">
        <v>131.08000000000001</v>
      </c>
      <c r="K59" s="119" t="s">
        <v>207</v>
      </c>
      <c r="L59" s="146">
        <f>J59-129</f>
        <v>2.0800000000000125</v>
      </c>
      <c r="M59" s="119" t="s">
        <v>494</v>
      </c>
      <c r="N59" s="119" t="s">
        <v>93</v>
      </c>
      <c r="O59" s="141">
        <f t="shared" ref="O59" si="57">B59</f>
        <v>244000</v>
      </c>
      <c r="P59" s="141">
        <f t="shared" ref="P59" si="58">B59+7</f>
        <v>244007</v>
      </c>
      <c r="Q59" s="141">
        <f t="shared" ref="Q59" si="59">O59+2</f>
        <v>244002</v>
      </c>
      <c r="R59" s="139" t="s">
        <v>55</v>
      </c>
      <c r="S59" s="143">
        <v>244034</v>
      </c>
      <c r="T59" s="139" t="s">
        <v>55</v>
      </c>
      <c r="U59" s="143">
        <v>244034</v>
      </c>
      <c r="V59" s="139" t="s">
        <v>55</v>
      </c>
      <c r="W59" s="143">
        <v>244003</v>
      </c>
      <c r="X59" s="139"/>
      <c r="Y59" s="141"/>
      <c r="Z59" s="119" t="s">
        <v>545</v>
      </c>
      <c r="AA59" s="144"/>
    </row>
    <row r="60" spans="1:27" s="145" customFormat="1" ht="36" customHeight="1" x14ac:dyDescent="0.25">
      <c r="A60" s="119" t="s">
        <v>18</v>
      </c>
      <c r="B60" s="139">
        <v>244001</v>
      </c>
      <c r="C60" s="119" t="s">
        <v>14</v>
      </c>
      <c r="D60" s="166">
        <v>680048</v>
      </c>
      <c r="E60" s="119" t="s">
        <v>402</v>
      </c>
      <c r="F60" s="190">
        <v>68011801</v>
      </c>
      <c r="G60" s="119" t="s">
        <v>495</v>
      </c>
      <c r="H60" s="187" t="s">
        <v>269</v>
      </c>
      <c r="I60" s="147" t="s">
        <v>404</v>
      </c>
      <c r="J60" s="119">
        <v>70.95</v>
      </c>
      <c r="K60" s="119" t="s">
        <v>207</v>
      </c>
      <c r="L60" s="146">
        <f>J60-67</f>
        <v>3.9500000000000028</v>
      </c>
      <c r="M60" s="119" t="s">
        <v>496</v>
      </c>
      <c r="N60" s="119" t="s">
        <v>93</v>
      </c>
      <c r="O60" s="141">
        <f t="shared" ref="O60:O61" si="60">B60</f>
        <v>244001</v>
      </c>
      <c r="P60" s="141">
        <f t="shared" ref="P60:P61" si="61">B60+7</f>
        <v>244008</v>
      </c>
      <c r="Q60" s="141">
        <f t="shared" ref="Q60:Q61" si="62">O60+2</f>
        <v>244003</v>
      </c>
      <c r="R60" s="139" t="s">
        <v>55</v>
      </c>
      <c r="S60" s="143">
        <v>244034</v>
      </c>
      <c r="T60" s="139" t="s">
        <v>55</v>
      </c>
      <c r="U60" s="143">
        <v>244034</v>
      </c>
      <c r="V60" s="139" t="s">
        <v>55</v>
      </c>
      <c r="W60" s="143">
        <v>244001</v>
      </c>
      <c r="X60" s="139"/>
      <c r="Y60" s="141"/>
      <c r="Z60" s="119" t="s">
        <v>503</v>
      </c>
      <c r="AA60" s="144">
        <f t="shared" si="56"/>
        <v>-7</v>
      </c>
    </row>
    <row r="61" spans="1:27" s="145" customFormat="1" ht="36" customHeight="1" x14ac:dyDescent="0.25">
      <c r="A61" s="119" t="s">
        <v>18</v>
      </c>
      <c r="B61" s="139">
        <v>244001</v>
      </c>
      <c r="C61" s="119" t="s">
        <v>14</v>
      </c>
      <c r="D61" s="166">
        <v>680049</v>
      </c>
      <c r="E61" s="119" t="s">
        <v>413</v>
      </c>
      <c r="F61" s="190">
        <v>68011803</v>
      </c>
      <c r="G61" s="119" t="s">
        <v>497</v>
      </c>
      <c r="H61" s="187" t="s">
        <v>268</v>
      </c>
      <c r="I61" s="147" t="s">
        <v>415</v>
      </c>
      <c r="J61" s="119">
        <v>83.41</v>
      </c>
      <c r="K61" s="119" t="s">
        <v>200</v>
      </c>
      <c r="L61" s="146">
        <f>J61-80</f>
        <v>3.4099999999999966</v>
      </c>
      <c r="M61" s="119" t="s">
        <v>498</v>
      </c>
      <c r="N61" s="119" t="s">
        <v>93</v>
      </c>
      <c r="O61" s="141">
        <f t="shared" si="60"/>
        <v>244001</v>
      </c>
      <c r="P61" s="141">
        <f t="shared" si="61"/>
        <v>244008</v>
      </c>
      <c r="Q61" s="141">
        <f t="shared" si="62"/>
        <v>244003</v>
      </c>
      <c r="R61" s="139" t="s">
        <v>55</v>
      </c>
      <c r="S61" s="143">
        <v>244034</v>
      </c>
      <c r="T61" s="139" t="s">
        <v>55</v>
      </c>
      <c r="U61" s="143">
        <v>244034</v>
      </c>
      <c r="V61" s="139" t="s">
        <v>55</v>
      </c>
      <c r="W61" s="143">
        <v>244001</v>
      </c>
      <c r="X61" s="139"/>
      <c r="Y61" s="141"/>
      <c r="Z61" s="119" t="s">
        <v>504</v>
      </c>
      <c r="AA61" s="144">
        <f t="shared" si="56"/>
        <v>-7</v>
      </c>
    </row>
    <row r="62" spans="1:27" s="145" customFormat="1" ht="36" customHeight="1" x14ac:dyDescent="0.25">
      <c r="A62" s="119" t="s">
        <v>18</v>
      </c>
      <c r="B62" s="139">
        <v>244001</v>
      </c>
      <c r="C62" s="119" t="s">
        <v>14</v>
      </c>
      <c r="D62" s="166">
        <v>680049</v>
      </c>
      <c r="E62" s="119" t="s">
        <v>413</v>
      </c>
      <c r="F62" s="190">
        <v>68011805</v>
      </c>
      <c r="G62" s="119" t="s">
        <v>499</v>
      </c>
      <c r="H62" s="187" t="s">
        <v>296</v>
      </c>
      <c r="I62" s="147" t="s">
        <v>415</v>
      </c>
      <c r="J62" s="119">
        <v>83.41</v>
      </c>
      <c r="K62" s="119" t="s">
        <v>207</v>
      </c>
      <c r="L62" s="146">
        <f>J62-80</f>
        <v>3.4099999999999966</v>
      </c>
      <c r="M62" s="119" t="s">
        <v>500</v>
      </c>
      <c r="N62" s="119" t="s">
        <v>93</v>
      </c>
      <c r="O62" s="141">
        <f t="shared" ref="O62" si="63">B62</f>
        <v>244001</v>
      </c>
      <c r="P62" s="141">
        <f t="shared" ref="P62" si="64">B62+7</f>
        <v>244008</v>
      </c>
      <c r="Q62" s="141">
        <f t="shared" ref="Q62" si="65">O62+2</f>
        <v>244003</v>
      </c>
      <c r="R62" s="139" t="s">
        <v>55</v>
      </c>
      <c r="S62" s="143">
        <v>244034</v>
      </c>
      <c r="T62" s="139" t="s">
        <v>55</v>
      </c>
      <c r="U62" s="143">
        <v>244034</v>
      </c>
      <c r="V62" s="139" t="s">
        <v>55</v>
      </c>
      <c r="W62" s="143">
        <v>244001</v>
      </c>
      <c r="X62" s="139"/>
      <c r="Y62" s="141"/>
      <c r="Z62" s="119" t="s">
        <v>504</v>
      </c>
      <c r="AA62" s="144"/>
    </row>
    <row r="63" spans="1:27" s="145" customFormat="1" ht="36" customHeight="1" x14ac:dyDescent="0.25">
      <c r="A63" s="119" t="s">
        <v>18</v>
      </c>
      <c r="B63" s="139">
        <v>244001</v>
      </c>
      <c r="C63" s="119" t="s">
        <v>14</v>
      </c>
      <c r="D63" s="166">
        <v>680050</v>
      </c>
      <c r="E63" s="119" t="s">
        <v>376</v>
      </c>
      <c r="F63" s="190">
        <v>68011813</v>
      </c>
      <c r="G63" s="119" t="s">
        <v>501</v>
      </c>
      <c r="H63" s="187" t="s">
        <v>274</v>
      </c>
      <c r="I63" s="147" t="s">
        <v>378</v>
      </c>
      <c r="J63" s="119">
        <v>121.84</v>
      </c>
      <c r="K63" s="119" t="s">
        <v>207</v>
      </c>
      <c r="L63" s="146">
        <f>J63-116</f>
        <v>5.8400000000000034</v>
      </c>
      <c r="M63" s="119" t="s">
        <v>502</v>
      </c>
      <c r="N63" s="119" t="s">
        <v>93</v>
      </c>
      <c r="O63" s="141">
        <f>B63</f>
        <v>244001</v>
      </c>
      <c r="P63" s="141">
        <f>B63+7</f>
        <v>244008</v>
      </c>
      <c r="Q63" s="141">
        <f>O63+2</f>
        <v>244003</v>
      </c>
      <c r="R63" s="139" t="s">
        <v>55</v>
      </c>
      <c r="S63" s="143">
        <v>244008</v>
      </c>
      <c r="T63" s="139" t="s">
        <v>55</v>
      </c>
      <c r="U63" s="143">
        <v>244014</v>
      </c>
      <c r="V63" s="139" t="s">
        <v>55</v>
      </c>
      <c r="W63" s="143">
        <v>244014</v>
      </c>
      <c r="X63" s="139"/>
      <c r="Y63" s="141"/>
      <c r="Z63" s="119" t="s">
        <v>376</v>
      </c>
      <c r="AA63" s="144">
        <f t="shared" si="14"/>
        <v>6</v>
      </c>
    </row>
    <row r="64" spans="1:27" s="145" customFormat="1" ht="36" customHeight="1" x14ac:dyDescent="0.25">
      <c r="A64" s="119" t="s">
        <v>18</v>
      </c>
      <c r="B64" s="139">
        <v>244001</v>
      </c>
      <c r="C64" s="119" t="s">
        <v>14</v>
      </c>
      <c r="D64" s="166">
        <v>680051</v>
      </c>
      <c r="E64" s="119" t="s">
        <v>426</v>
      </c>
      <c r="F64" s="190">
        <v>68011833</v>
      </c>
      <c r="G64" s="119" t="s">
        <v>505</v>
      </c>
      <c r="H64" s="187" t="s">
        <v>224</v>
      </c>
      <c r="I64" s="147" t="s">
        <v>428</v>
      </c>
      <c r="J64" s="119">
        <v>131.9</v>
      </c>
      <c r="K64" s="119" t="s">
        <v>207</v>
      </c>
      <c r="L64" s="146">
        <f>J64-129</f>
        <v>2.9000000000000057</v>
      </c>
      <c r="M64" s="119" t="s">
        <v>506</v>
      </c>
      <c r="N64" s="119" t="s">
        <v>93</v>
      </c>
      <c r="O64" s="141">
        <f>B64</f>
        <v>244001</v>
      </c>
      <c r="P64" s="141">
        <f>B64+7</f>
        <v>244008</v>
      </c>
      <c r="Q64" s="141">
        <f>O64+2</f>
        <v>244003</v>
      </c>
      <c r="R64" s="139" t="s">
        <v>55</v>
      </c>
      <c r="S64" s="143">
        <v>244034</v>
      </c>
      <c r="T64" s="139" t="s">
        <v>55</v>
      </c>
      <c r="U64" s="143">
        <v>244034</v>
      </c>
      <c r="V64" s="139" t="s">
        <v>55</v>
      </c>
      <c r="W64" s="143">
        <v>244003</v>
      </c>
      <c r="X64" s="139"/>
      <c r="Y64" s="141"/>
      <c r="Z64" s="119" t="s">
        <v>545</v>
      </c>
      <c r="AA64" s="144">
        <f t="shared" si="14"/>
        <v>-5</v>
      </c>
    </row>
    <row r="65" spans="1:27" s="145" customFormat="1" ht="36" customHeight="1" x14ac:dyDescent="0.25">
      <c r="A65" s="119" t="s">
        <v>18</v>
      </c>
      <c r="B65" s="139">
        <v>244001</v>
      </c>
      <c r="C65" s="119" t="s">
        <v>14</v>
      </c>
      <c r="D65" s="166">
        <v>680052</v>
      </c>
      <c r="E65" s="119" t="s">
        <v>413</v>
      </c>
      <c r="F65" s="190">
        <v>68011838</v>
      </c>
      <c r="G65" s="119" t="s">
        <v>508</v>
      </c>
      <c r="H65" s="187" t="s">
        <v>293</v>
      </c>
      <c r="I65" s="147" t="s">
        <v>415</v>
      </c>
      <c r="J65" s="146">
        <v>84.77</v>
      </c>
      <c r="K65" s="119" t="s">
        <v>207</v>
      </c>
      <c r="L65" s="146">
        <v>4.7699999999999996</v>
      </c>
      <c r="M65" s="119" t="s">
        <v>507</v>
      </c>
      <c r="N65" s="119" t="s">
        <v>93</v>
      </c>
      <c r="O65" s="141">
        <f>B65</f>
        <v>244001</v>
      </c>
      <c r="P65" s="141">
        <f>B65+7</f>
        <v>244008</v>
      </c>
      <c r="Q65" s="141">
        <f>O65+2</f>
        <v>244003</v>
      </c>
      <c r="R65" s="139" t="s">
        <v>55</v>
      </c>
      <c r="S65" s="143">
        <v>244014</v>
      </c>
      <c r="T65" s="139" t="s">
        <v>55</v>
      </c>
      <c r="U65" s="143">
        <v>244017</v>
      </c>
      <c r="V65" s="139" t="s">
        <v>55</v>
      </c>
      <c r="W65" s="143">
        <v>244002</v>
      </c>
      <c r="X65" s="139"/>
      <c r="Y65" s="141"/>
      <c r="Z65" s="119" t="s">
        <v>504</v>
      </c>
      <c r="AA65" s="144">
        <f t="shared" si="14"/>
        <v>-6</v>
      </c>
    </row>
    <row r="66" spans="1:27" s="145" customFormat="1" ht="36" customHeight="1" x14ac:dyDescent="0.25">
      <c r="A66" s="119" t="s">
        <v>18</v>
      </c>
      <c r="B66" s="139">
        <v>244002</v>
      </c>
      <c r="C66" s="119" t="s">
        <v>14</v>
      </c>
      <c r="D66" s="166">
        <v>680053</v>
      </c>
      <c r="E66" s="119" t="s">
        <v>426</v>
      </c>
      <c r="F66" s="190">
        <v>68011910</v>
      </c>
      <c r="G66" s="119" t="s">
        <v>509</v>
      </c>
      <c r="H66" s="187" t="s">
        <v>410</v>
      </c>
      <c r="I66" s="147" t="s">
        <v>428</v>
      </c>
      <c r="J66" s="119">
        <v>136.77000000000001</v>
      </c>
      <c r="K66" s="119" t="s">
        <v>207</v>
      </c>
      <c r="L66" s="146">
        <f>J66-129</f>
        <v>7.7700000000000102</v>
      </c>
      <c r="M66" s="119" t="s">
        <v>510</v>
      </c>
      <c r="N66" s="119" t="s">
        <v>93</v>
      </c>
      <c r="O66" s="141">
        <f t="shared" ref="O66:O68" si="66">B66</f>
        <v>244002</v>
      </c>
      <c r="P66" s="141">
        <f t="shared" ref="P66:P68" si="67">B66+7</f>
        <v>244009</v>
      </c>
      <c r="Q66" s="141">
        <f t="shared" ref="Q66:Q68" si="68">O66+2</f>
        <v>244004</v>
      </c>
      <c r="R66" s="139" t="s">
        <v>55</v>
      </c>
      <c r="S66" s="143">
        <v>244034</v>
      </c>
      <c r="T66" s="139" t="s">
        <v>55</v>
      </c>
      <c r="U66" s="143">
        <v>244034</v>
      </c>
      <c r="V66" s="139" t="s">
        <v>55</v>
      </c>
      <c r="W66" s="143">
        <v>244003</v>
      </c>
      <c r="X66" s="139"/>
      <c r="Y66" s="141"/>
      <c r="Z66" s="119" t="s">
        <v>545</v>
      </c>
      <c r="AA66" s="144"/>
    </row>
    <row r="67" spans="1:27" s="145" customFormat="1" ht="36" customHeight="1" x14ac:dyDescent="0.25">
      <c r="A67" s="119" t="s">
        <v>18</v>
      </c>
      <c r="B67" s="139">
        <v>244002</v>
      </c>
      <c r="C67" s="119" t="s">
        <v>14</v>
      </c>
      <c r="D67" s="166">
        <v>680053</v>
      </c>
      <c r="E67" s="119" t="s">
        <v>426</v>
      </c>
      <c r="F67" s="190">
        <v>68011911</v>
      </c>
      <c r="G67" s="119" t="s">
        <v>511</v>
      </c>
      <c r="H67" s="187" t="s">
        <v>291</v>
      </c>
      <c r="I67" s="147" t="s">
        <v>428</v>
      </c>
      <c r="J67" s="119">
        <v>131.69</v>
      </c>
      <c r="K67" s="119" t="s">
        <v>207</v>
      </c>
      <c r="L67" s="146">
        <f>J67-129</f>
        <v>2.6899999999999977</v>
      </c>
      <c r="M67" s="119" t="s">
        <v>512</v>
      </c>
      <c r="N67" s="119" t="s">
        <v>93</v>
      </c>
      <c r="O67" s="141">
        <f t="shared" ref="O67" si="69">B67</f>
        <v>244002</v>
      </c>
      <c r="P67" s="141">
        <f t="shared" ref="P67" si="70">B67+7</f>
        <v>244009</v>
      </c>
      <c r="Q67" s="141">
        <f t="shared" ref="Q67" si="71">O67+2</f>
        <v>244004</v>
      </c>
      <c r="R67" s="139" t="s">
        <v>55</v>
      </c>
      <c r="S67" s="143">
        <v>244034</v>
      </c>
      <c r="T67" s="139" t="s">
        <v>55</v>
      </c>
      <c r="U67" s="143">
        <v>244034</v>
      </c>
      <c r="V67" s="139" t="s">
        <v>55</v>
      </c>
      <c r="W67" s="143">
        <v>244003</v>
      </c>
      <c r="X67" s="139"/>
      <c r="Y67" s="141"/>
      <c r="Z67" s="119" t="s">
        <v>545</v>
      </c>
      <c r="AA67" s="144"/>
    </row>
    <row r="68" spans="1:27" s="145" customFormat="1" ht="36" customHeight="1" x14ac:dyDescent="0.25">
      <c r="A68" s="119" t="s">
        <v>18</v>
      </c>
      <c r="B68" s="139">
        <v>244002</v>
      </c>
      <c r="C68" s="119" t="s">
        <v>14</v>
      </c>
      <c r="D68" s="166">
        <v>680054</v>
      </c>
      <c r="E68" s="119" t="s">
        <v>413</v>
      </c>
      <c r="F68" s="190">
        <v>68011923</v>
      </c>
      <c r="G68" s="119" t="s">
        <v>514</v>
      </c>
      <c r="H68" s="187" t="s">
        <v>270</v>
      </c>
      <c r="I68" s="147" t="s">
        <v>415</v>
      </c>
      <c r="J68" s="119">
        <v>84.17</v>
      </c>
      <c r="K68" s="119" t="s">
        <v>207</v>
      </c>
      <c r="L68" s="146">
        <f>J68-80</f>
        <v>4.1700000000000017</v>
      </c>
      <c r="M68" s="119" t="s">
        <v>516</v>
      </c>
      <c r="N68" s="119" t="s">
        <v>93</v>
      </c>
      <c r="O68" s="141">
        <f t="shared" si="66"/>
        <v>244002</v>
      </c>
      <c r="P68" s="141">
        <f t="shared" si="67"/>
        <v>244009</v>
      </c>
      <c r="Q68" s="141">
        <f t="shared" si="68"/>
        <v>244004</v>
      </c>
      <c r="R68" s="139" t="s">
        <v>55</v>
      </c>
      <c r="S68" s="143">
        <v>244034</v>
      </c>
      <c r="T68" s="139" t="s">
        <v>55</v>
      </c>
      <c r="U68" s="143">
        <v>244034</v>
      </c>
      <c r="V68" s="139" t="s">
        <v>55</v>
      </c>
      <c r="W68" s="143">
        <v>244002</v>
      </c>
      <c r="X68" s="139"/>
      <c r="Y68" s="141"/>
      <c r="Z68" s="119" t="s">
        <v>504</v>
      </c>
      <c r="AA68" s="144"/>
    </row>
    <row r="69" spans="1:27" s="145" customFormat="1" ht="36" customHeight="1" x14ac:dyDescent="0.25">
      <c r="A69" s="119" t="s">
        <v>18</v>
      </c>
      <c r="B69" s="139">
        <v>244002</v>
      </c>
      <c r="C69" s="119" t="s">
        <v>14</v>
      </c>
      <c r="D69" s="166">
        <v>680054</v>
      </c>
      <c r="E69" s="119" t="s">
        <v>413</v>
      </c>
      <c r="F69" s="190">
        <v>68011922</v>
      </c>
      <c r="G69" s="119" t="s">
        <v>513</v>
      </c>
      <c r="H69" s="187" t="s">
        <v>271</v>
      </c>
      <c r="I69" s="147" t="s">
        <v>415</v>
      </c>
      <c r="J69" s="119">
        <v>84.44</v>
      </c>
      <c r="K69" s="119" t="s">
        <v>207</v>
      </c>
      <c r="L69" s="146">
        <f>J69-80</f>
        <v>4.4399999999999977</v>
      </c>
      <c r="M69" s="119" t="s">
        <v>515</v>
      </c>
      <c r="N69" s="119" t="s">
        <v>93</v>
      </c>
      <c r="O69" s="141">
        <f t="shared" ref="O69" si="72">B69</f>
        <v>244002</v>
      </c>
      <c r="P69" s="141">
        <f t="shared" ref="P69" si="73">B69+7</f>
        <v>244009</v>
      </c>
      <c r="Q69" s="141">
        <f t="shared" ref="Q69" si="74">O69+2</f>
        <v>244004</v>
      </c>
      <c r="R69" s="139" t="s">
        <v>55</v>
      </c>
      <c r="S69" s="143">
        <v>244034</v>
      </c>
      <c r="T69" s="139" t="s">
        <v>55</v>
      </c>
      <c r="U69" s="143">
        <v>244034</v>
      </c>
      <c r="V69" s="139" t="s">
        <v>55</v>
      </c>
      <c r="W69" s="143">
        <v>244002</v>
      </c>
      <c r="X69" s="139"/>
      <c r="Y69" s="141"/>
      <c r="Z69" s="119" t="s">
        <v>504</v>
      </c>
      <c r="AA69" s="144"/>
    </row>
    <row r="70" spans="1:27" s="145" customFormat="1" ht="36" customHeight="1" x14ac:dyDescent="0.25">
      <c r="A70" s="119" t="s">
        <v>18</v>
      </c>
      <c r="B70" s="139">
        <v>244002</v>
      </c>
      <c r="C70" s="119" t="s">
        <v>14</v>
      </c>
      <c r="D70" s="166">
        <v>680055</v>
      </c>
      <c r="E70" s="119" t="s">
        <v>517</v>
      </c>
      <c r="F70" s="190">
        <v>68011945</v>
      </c>
      <c r="G70" s="119" t="s">
        <v>518</v>
      </c>
      <c r="H70" s="187" t="s">
        <v>205</v>
      </c>
      <c r="I70" s="147" t="s">
        <v>519</v>
      </c>
      <c r="J70" s="146">
        <v>73.77</v>
      </c>
      <c r="K70" s="119" t="s">
        <v>207</v>
      </c>
      <c r="L70" s="146">
        <f>J70-68</f>
        <v>5.769999999999996</v>
      </c>
      <c r="M70" s="119" t="s">
        <v>520</v>
      </c>
      <c r="N70" s="119" t="s">
        <v>93</v>
      </c>
      <c r="O70" s="141">
        <f t="shared" ref="O70:O86" si="75">B70</f>
        <v>244002</v>
      </c>
      <c r="P70" s="141">
        <f t="shared" ref="P70:P86" si="76">B70+7</f>
        <v>244009</v>
      </c>
      <c r="Q70" s="141">
        <f t="shared" ref="Q70:Q86" si="77">O70+2</f>
        <v>244004</v>
      </c>
      <c r="R70" s="139" t="s">
        <v>55</v>
      </c>
      <c r="S70" s="143">
        <v>244008</v>
      </c>
      <c r="T70" s="139" t="s">
        <v>55</v>
      </c>
      <c r="U70" s="143">
        <v>244014</v>
      </c>
      <c r="V70" s="139" t="s">
        <v>55</v>
      </c>
      <c r="W70" s="143">
        <v>244014</v>
      </c>
      <c r="X70" s="139"/>
      <c r="Y70" s="141"/>
      <c r="Z70" s="119" t="s">
        <v>517</v>
      </c>
      <c r="AA70" s="144"/>
    </row>
    <row r="71" spans="1:27" s="145" customFormat="1" ht="36" customHeight="1" x14ac:dyDescent="0.25">
      <c r="A71" s="119" t="s">
        <v>18</v>
      </c>
      <c r="B71" s="139">
        <v>244002</v>
      </c>
      <c r="C71" s="119" t="s">
        <v>14</v>
      </c>
      <c r="D71" s="166">
        <v>680056</v>
      </c>
      <c r="E71" s="119" t="s">
        <v>426</v>
      </c>
      <c r="F71" s="190">
        <v>68011956</v>
      </c>
      <c r="G71" s="119" t="s">
        <v>521</v>
      </c>
      <c r="H71" s="187" t="s">
        <v>276</v>
      </c>
      <c r="I71" s="147" t="s">
        <v>428</v>
      </c>
      <c r="J71" s="146">
        <v>134.04</v>
      </c>
      <c r="K71" s="119" t="s">
        <v>207</v>
      </c>
      <c r="L71" s="146">
        <f>J71-129</f>
        <v>5.039999999999992</v>
      </c>
      <c r="M71" s="119" t="s">
        <v>522</v>
      </c>
      <c r="N71" s="119" t="s">
        <v>93</v>
      </c>
      <c r="O71" s="141">
        <f t="shared" ref="O71" si="78">B71</f>
        <v>244002</v>
      </c>
      <c r="P71" s="141">
        <f t="shared" ref="P71" si="79">B71+7</f>
        <v>244009</v>
      </c>
      <c r="Q71" s="141">
        <f t="shared" ref="Q71" si="80">O71+2</f>
        <v>244004</v>
      </c>
      <c r="R71" s="139" t="s">
        <v>55</v>
      </c>
      <c r="S71" s="143">
        <v>244034</v>
      </c>
      <c r="T71" s="139" t="s">
        <v>55</v>
      </c>
      <c r="U71" s="143">
        <v>244034</v>
      </c>
      <c r="V71" s="139" t="s">
        <v>55</v>
      </c>
      <c r="W71" s="143">
        <v>244003</v>
      </c>
      <c r="X71" s="139"/>
      <c r="Y71" s="141"/>
      <c r="Z71" s="119" t="s">
        <v>545</v>
      </c>
      <c r="AA71" s="144">
        <f t="shared" ref="AA71" si="81">W71-P71</f>
        <v>-6</v>
      </c>
    </row>
    <row r="72" spans="1:27" s="145" customFormat="1" ht="36" customHeight="1" x14ac:dyDescent="0.25">
      <c r="A72" s="119" t="s">
        <v>18</v>
      </c>
      <c r="B72" s="139">
        <v>244002</v>
      </c>
      <c r="C72" s="119" t="s">
        <v>14</v>
      </c>
      <c r="D72" s="166">
        <v>680056</v>
      </c>
      <c r="E72" s="119" t="s">
        <v>426</v>
      </c>
      <c r="F72" s="190">
        <v>68011953</v>
      </c>
      <c r="G72" s="119" t="s">
        <v>523</v>
      </c>
      <c r="H72" s="187" t="s">
        <v>224</v>
      </c>
      <c r="I72" s="147" t="s">
        <v>428</v>
      </c>
      <c r="J72" s="146">
        <v>132.59</v>
      </c>
      <c r="K72" s="119" t="s">
        <v>207</v>
      </c>
      <c r="L72" s="146">
        <f>J72-129</f>
        <v>3.5900000000000034</v>
      </c>
      <c r="M72" s="119" t="s">
        <v>524</v>
      </c>
      <c r="N72" s="119" t="s">
        <v>93</v>
      </c>
      <c r="O72" s="141">
        <f t="shared" si="75"/>
        <v>244002</v>
      </c>
      <c r="P72" s="141">
        <f t="shared" si="76"/>
        <v>244009</v>
      </c>
      <c r="Q72" s="141">
        <f t="shared" si="77"/>
        <v>244004</v>
      </c>
      <c r="R72" s="139" t="s">
        <v>55</v>
      </c>
      <c r="S72" s="143">
        <v>244034</v>
      </c>
      <c r="T72" s="139" t="s">
        <v>55</v>
      </c>
      <c r="U72" s="143">
        <v>244034</v>
      </c>
      <c r="V72" s="139" t="s">
        <v>55</v>
      </c>
      <c r="W72" s="143">
        <v>244003</v>
      </c>
      <c r="X72" s="139"/>
      <c r="Y72" s="141"/>
      <c r="Z72" s="119" t="s">
        <v>545</v>
      </c>
      <c r="AA72" s="144">
        <f t="shared" si="14"/>
        <v>-6</v>
      </c>
    </row>
    <row r="73" spans="1:27" s="145" customFormat="1" ht="36" customHeight="1" x14ac:dyDescent="0.25">
      <c r="A73" s="119" t="s">
        <v>18</v>
      </c>
      <c r="B73" s="139">
        <v>244002</v>
      </c>
      <c r="C73" s="119" t="s">
        <v>14</v>
      </c>
      <c r="D73" s="166">
        <v>680057</v>
      </c>
      <c r="E73" s="119" t="s">
        <v>413</v>
      </c>
      <c r="F73" s="190">
        <v>68011954</v>
      </c>
      <c r="G73" s="119" t="s">
        <v>525</v>
      </c>
      <c r="H73" s="187" t="s">
        <v>226</v>
      </c>
      <c r="I73" s="147" t="s">
        <v>428</v>
      </c>
      <c r="J73" s="146">
        <v>84.25</v>
      </c>
      <c r="K73" s="119" t="s">
        <v>207</v>
      </c>
      <c r="L73" s="146">
        <v>4.25</v>
      </c>
      <c r="M73" s="119" t="s">
        <v>526</v>
      </c>
      <c r="N73" s="119" t="s">
        <v>93</v>
      </c>
      <c r="O73" s="141">
        <f t="shared" si="75"/>
        <v>244002</v>
      </c>
      <c r="P73" s="141">
        <f t="shared" si="76"/>
        <v>244009</v>
      </c>
      <c r="Q73" s="141">
        <f t="shared" si="77"/>
        <v>244004</v>
      </c>
      <c r="R73" s="139" t="s">
        <v>55</v>
      </c>
      <c r="S73" s="143">
        <v>244014</v>
      </c>
      <c r="T73" s="139" t="s">
        <v>55</v>
      </c>
      <c r="U73" s="143">
        <v>244017</v>
      </c>
      <c r="V73" s="139" t="s">
        <v>55</v>
      </c>
      <c r="W73" s="143">
        <v>244003</v>
      </c>
      <c r="X73" s="139"/>
      <c r="Y73" s="141"/>
      <c r="Z73" s="119" t="s">
        <v>544</v>
      </c>
      <c r="AA73" s="144">
        <f t="shared" si="14"/>
        <v>-6</v>
      </c>
    </row>
    <row r="74" spans="1:27" s="145" customFormat="1" ht="36" customHeight="1" x14ac:dyDescent="0.25">
      <c r="A74" s="119" t="s">
        <v>18</v>
      </c>
      <c r="B74" s="139">
        <v>244003</v>
      </c>
      <c r="C74" s="119" t="s">
        <v>14</v>
      </c>
      <c r="D74" s="166">
        <v>680058</v>
      </c>
      <c r="E74" s="119" t="s">
        <v>402</v>
      </c>
      <c r="F74" s="190">
        <v>68012002</v>
      </c>
      <c r="G74" s="119" t="s">
        <v>527</v>
      </c>
      <c r="H74" s="187" t="s">
        <v>209</v>
      </c>
      <c r="I74" s="147" t="s">
        <v>404</v>
      </c>
      <c r="J74" s="146">
        <v>73</v>
      </c>
      <c r="K74" s="119" t="s">
        <v>200</v>
      </c>
      <c r="L74" s="146">
        <f>J74-67</f>
        <v>6</v>
      </c>
      <c r="M74" s="119" t="s">
        <v>529</v>
      </c>
      <c r="N74" s="119" t="s">
        <v>93</v>
      </c>
      <c r="O74" s="141">
        <f t="shared" si="75"/>
        <v>244003</v>
      </c>
      <c r="P74" s="141">
        <f t="shared" si="76"/>
        <v>244010</v>
      </c>
      <c r="Q74" s="141">
        <f t="shared" si="77"/>
        <v>244005</v>
      </c>
      <c r="R74" s="139" t="s">
        <v>55</v>
      </c>
      <c r="S74" s="143">
        <v>244034</v>
      </c>
      <c r="T74" s="139" t="s">
        <v>55</v>
      </c>
      <c r="U74" s="143">
        <v>244034</v>
      </c>
      <c r="V74" s="139" t="s">
        <v>55</v>
      </c>
      <c r="W74" s="143">
        <v>244003</v>
      </c>
      <c r="X74" s="139"/>
      <c r="Y74" s="141"/>
      <c r="Z74" s="119" t="s">
        <v>503</v>
      </c>
      <c r="AA74" s="144">
        <f t="shared" si="14"/>
        <v>-7</v>
      </c>
    </row>
    <row r="75" spans="1:27" s="145" customFormat="1" ht="36" customHeight="1" x14ac:dyDescent="0.25">
      <c r="A75" s="119" t="s">
        <v>18</v>
      </c>
      <c r="B75" s="139">
        <v>244003</v>
      </c>
      <c r="C75" s="119" t="s">
        <v>14</v>
      </c>
      <c r="D75" s="166">
        <v>680058</v>
      </c>
      <c r="E75" s="119" t="s">
        <v>402</v>
      </c>
      <c r="F75" s="190">
        <v>68012003</v>
      </c>
      <c r="G75" s="119" t="s">
        <v>528</v>
      </c>
      <c r="H75" s="187" t="s">
        <v>206</v>
      </c>
      <c r="I75" s="147" t="s">
        <v>404</v>
      </c>
      <c r="J75" s="146">
        <v>72.819999999999993</v>
      </c>
      <c r="K75" s="119" t="s">
        <v>200</v>
      </c>
      <c r="L75" s="146">
        <f>J75-67</f>
        <v>5.8199999999999932</v>
      </c>
      <c r="M75" s="119" t="s">
        <v>530</v>
      </c>
      <c r="N75" s="119" t="s">
        <v>93</v>
      </c>
      <c r="O75" s="141">
        <f t="shared" ref="O75" si="82">B75</f>
        <v>244003</v>
      </c>
      <c r="P75" s="141">
        <f t="shared" ref="P75" si="83">B75+7</f>
        <v>244010</v>
      </c>
      <c r="Q75" s="141">
        <f t="shared" ref="Q75" si="84">O75+2</f>
        <v>244005</v>
      </c>
      <c r="R75" s="139" t="s">
        <v>55</v>
      </c>
      <c r="S75" s="143">
        <v>244034</v>
      </c>
      <c r="T75" s="139" t="s">
        <v>55</v>
      </c>
      <c r="U75" s="143">
        <v>244034</v>
      </c>
      <c r="V75" s="139" t="s">
        <v>55</v>
      </c>
      <c r="W75" s="143">
        <v>244003</v>
      </c>
      <c r="X75" s="139"/>
      <c r="Y75" s="141"/>
      <c r="Z75" s="119" t="s">
        <v>503</v>
      </c>
      <c r="AA75" s="144"/>
    </row>
    <row r="76" spans="1:27" s="145" customFormat="1" ht="36" customHeight="1" x14ac:dyDescent="0.25">
      <c r="A76" s="119" t="s">
        <v>18</v>
      </c>
      <c r="B76" s="139">
        <v>244003</v>
      </c>
      <c r="C76" s="119" t="s">
        <v>14</v>
      </c>
      <c r="D76" s="166">
        <v>680059</v>
      </c>
      <c r="E76" s="119" t="s">
        <v>413</v>
      </c>
      <c r="F76" s="190">
        <v>68012023</v>
      </c>
      <c r="G76" s="119" t="s">
        <v>531</v>
      </c>
      <c r="H76" s="187" t="s">
        <v>268</v>
      </c>
      <c r="I76" s="147" t="s">
        <v>415</v>
      </c>
      <c r="J76" s="146">
        <v>83.96</v>
      </c>
      <c r="K76" s="119" t="s">
        <v>200</v>
      </c>
      <c r="L76" s="146">
        <f>J76-80</f>
        <v>3.9599999999999937</v>
      </c>
      <c r="M76" s="119" t="s">
        <v>533</v>
      </c>
      <c r="N76" s="119" t="s">
        <v>93</v>
      </c>
      <c r="O76" s="141">
        <f t="shared" si="75"/>
        <v>244003</v>
      </c>
      <c r="P76" s="141">
        <f t="shared" si="76"/>
        <v>244010</v>
      </c>
      <c r="Q76" s="141">
        <f t="shared" si="77"/>
        <v>244005</v>
      </c>
      <c r="R76" s="139" t="s">
        <v>55</v>
      </c>
      <c r="S76" s="143">
        <v>244034</v>
      </c>
      <c r="T76" s="139" t="s">
        <v>55</v>
      </c>
      <c r="U76" s="143">
        <v>244034</v>
      </c>
      <c r="V76" s="139" t="s">
        <v>55</v>
      </c>
      <c r="W76" s="143">
        <v>244003</v>
      </c>
      <c r="X76" s="139"/>
      <c r="Y76" s="141"/>
      <c r="Z76" s="119" t="s">
        <v>504</v>
      </c>
      <c r="AA76" s="144">
        <f t="shared" si="14"/>
        <v>-7</v>
      </c>
    </row>
    <row r="77" spans="1:27" s="145" customFormat="1" ht="36" customHeight="1" x14ac:dyDescent="0.25">
      <c r="A77" s="119" t="s">
        <v>18</v>
      </c>
      <c r="B77" s="139">
        <v>244003</v>
      </c>
      <c r="C77" s="119" t="s">
        <v>14</v>
      </c>
      <c r="D77" s="166">
        <v>680060</v>
      </c>
      <c r="E77" s="119" t="s">
        <v>420</v>
      </c>
      <c r="F77" s="190">
        <v>68012024</v>
      </c>
      <c r="G77" s="119" t="s">
        <v>532</v>
      </c>
      <c r="H77" s="187" t="s">
        <v>272</v>
      </c>
      <c r="I77" s="147" t="s">
        <v>422</v>
      </c>
      <c r="J77" s="146">
        <v>128.79</v>
      </c>
      <c r="K77" s="119" t="s">
        <v>200</v>
      </c>
      <c r="L77" s="146">
        <f>J77-125</f>
        <v>3.789999999999992</v>
      </c>
      <c r="M77" s="119" t="s">
        <v>534</v>
      </c>
      <c r="N77" s="119" t="s">
        <v>93</v>
      </c>
      <c r="O77" s="141">
        <f t="shared" si="75"/>
        <v>244003</v>
      </c>
      <c r="P77" s="141">
        <f t="shared" si="76"/>
        <v>244010</v>
      </c>
      <c r="Q77" s="141">
        <f t="shared" si="77"/>
        <v>244005</v>
      </c>
      <c r="R77" s="139" t="s">
        <v>55</v>
      </c>
      <c r="S77" s="143">
        <v>244034</v>
      </c>
      <c r="T77" s="139" t="s">
        <v>55</v>
      </c>
      <c r="U77" s="143">
        <v>244034</v>
      </c>
      <c r="V77" s="139" t="s">
        <v>55</v>
      </c>
      <c r="W77" s="143">
        <v>244003</v>
      </c>
      <c r="X77" s="139"/>
      <c r="Y77" s="141"/>
      <c r="Z77" s="119" t="s">
        <v>547</v>
      </c>
      <c r="AA77" s="144">
        <f t="shared" si="14"/>
        <v>-7</v>
      </c>
    </row>
    <row r="78" spans="1:27" s="145" customFormat="1" ht="36" customHeight="1" x14ac:dyDescent="0.25">
      <c r="A78" s="119" t="s">
        <v>18</v>
      </c>
      <c r="B78" s="139">
        <v>244003</v>
      </c>
      <c r="C78" s="119" t="s">
        <v>14</v>
      </c>
      <c r="D78" s="166">
        <v>680061</v>
      </c>
      <c r="E78" s="119" t="s">
        <v>413</v>
      </c>
      <c r="F78" s="190">
        <v>68012033</v>
      </c>
      <c r="G78" s="119" t="s">
        <v>535</v>
      </c>
      <c r="H78" s="187" t="s">
        <v>266</v>
      </c>
      <c r="I78" s="147" t="s">
        <v>415</v>
      </c>
      <c r="J78" s="146">
        <v>87.01</v>
      </c>
      <c r="K78" s="119" t="s">
        <v>207</v>
      </c>
      <c r="L78" s="146">
        <f>J78-80</f>
        <v>7.0100000000000051</v>
      </c>
      <c r="M78" s="119" t="s">
        <v>536</v>
      </c>
      <c r="N78" s="119" t="s">
        <v>93</v>
      </c>
      <c r="O78" s="141">
        <f t="shared" si="75"/>
        <v>244003</v>
      </c>
      <c r="P78" s="141">
        <f t="shared" si="76"/>
        <v>244010</v>
      </c>
      <c r="Q78" s="141">
        <f t="shared" si="77"/>
        <v>244005</v>
      </c>
      <c r="R78" s="139" t="s">
        <v>55</v>
      </c>
      <c r="S78" s="143">
        <v>244034</v>
      </c>
      <c r="T78" s="139" t="s">
        <v>55</v>
      </c>
      <c r="U78" s="143">
        <v>244034</v>
      </c>
      <c r="V78" s="139" t="s">
        <v>55</v>
      </c>
      <c r="W78" s="143">
        <v>244003</v>
      </c>
      <c r="X78" s="139"/>
      <c r="Y78" s="141"/>
      <c r="Z78" s="119" t="s">
        <v>544</v>
      </c>
      <c r="AA78" s="144">
        <f t="shared" si="14"/>
        <v>-7</v>
      </c>
    </row>
    <row r="79" spans="1:27" s="145" customFormat="1" ht="36" customHeight="1" x14ac:dyDescent="0.25">
      <c r="A79" s="119" t="s">
        <v>18</v>
      </c>
      <c r="B79" s="139">
        <v>244003</v>
      </c>
      <c r="C79" s="119" t="s">
        <v>14</v>
      </c>
      <c r="D79" s="166">
        <v>680061</v>
      </c>
      <c r="E79" s="119" t="s">
        <v>413</v>
      </c>
      <c r="F79" s="190">
        <v>68012032</v>
      </c>
      <c r="G79" s="119" t="s">
        <v>537</v>
      </c>
      <c r="H79" s="187" t="s">
        <v>221</v>
      </c>
      <c r="I79" s="147" t="s">
        <v>415</v>
      </c>
      <c r="J79" s="146">
        <v>86.83</v>
      </c>
      <c r="K79" s="119" t="s">
        <v>207</v>
      </c>
      <c r="L79" s="146">
        <f>J79-80</f>
        <v>6.8299999999999983</v>
      </c>
      <c r="M79" s="119" t="s">
        <v>538</v>
      </c>
      <c r="N79" s="119" t="s">
        <v>93</v>
      </c>
      <c r="O79" s="141">
        <f t="shared" ref="O79:O80" si="85">B79</f>
        <v>244003</v>
      </c>
      <c r="P79" s="141">
        <f t="shared" ref="P79:P80" si="86">B79+7</f>
        <v>244010</v>
      </c>
      <c r="Q79" s="141">
        <f t="shared" ref="Q79:Q80" si="87">O79+2</f>
        <v>244005</v>
      </c>
      <c r="R79" s="139" t="s">
        <v>55</v>
      </c>
      <c r="S79" s="143">
        <v>244034</v>
      </c>
      <c r="T79" s="139" t="s">
        <v>55</v>
      </c>
      <c r="U79" s="143">
        <v>244034</v>
      </c>
      <c r="V79" s="139" t="s">
        <v>55</v>
      </c>
      <c r="W79" s="143">
        <v>244003</v>
      </c>
      <c r="X79" s="139"/>
      <c r="Y79" s="141"/>
      <c r="Z79" s="119" t="s">
        <v>544</v>
      </c>
      <c r="AA79" s="144"/>
    </row>
    <row r="80" spans="1:27" s="145" customFormat="1" ht="36" customHeight="1" x14ac:dyDescent="0.25">
      <c r="A80" s="119" t="s">
        <v>18</v>
      </c>
      <c r="B80" s="139">
        <v>244003</v>
      </c>
      <c r="C80" s="119" t="s">
        <v>14</v>
      </c>
      <c r="D80" s="166">
        <v>680061</v>
      </c>
      <c r="E80" s="119" t="s">
        <v>413</v>
      </c>
      <c r="F80" s="190">
        <v>68012036</v>
      </c>
      <c r="G80" s="119" t="s">
        <v>539</v>
      </c>
      <c r="H80" s="187" t="s">
        <v>282</v>
      </c>
      <c r="I80" s="147" t="s">
        <v>415</v>
      </c>
      <c r="J80" s="146">
        <v>84.54</v>
      </c>
      <c r="K80" s="119" t="s">
        <v>200</v>
      </c>
      <c r="L80" s="146">
        <f>J80-80</f>
        <v>4.5400000000000063</v>
      </c>
      <c r="M80" s="119" t="s">
        <v>540</v>
      </c>
      <c r="N80" s="119" t="s">
        <v>93</v>
      </c>
      <c r="O80" s="141">
        <f t="shared" si="85"/>
        <v>244003</v>
      </c>
      <c r="P80" s="141">
        <f t="shared" si="86"/>
        <v>244010</v>
      </c>
      <c r="Q80" s="141">
        <f t="shared" si="87"/>
        <v>244005</v>
      </c>
      <c r="R80" s="139" t="s">
        <v>55</v>
      </c>
      <c r="S80" s="143">
        <v>244034</v>
      </c>
      <c r="T80" s="139" t="s">
        <v>55</v>
      </c>
      <c r="U80" s="143">
        <v>244034</v>
      </c>
      <c r="V80" s="139" t="s">
        <v>55</v>
      </c>
      <c r="W80" s="143">
        <v>244003</v>
      </c>
      <c r="X80" s="139"/>
      <c r="Y80" s="141"/>
      <c r="Z80" s="119" t="s">
        <v>544</v>
      </c>
      <c r="AA80" s="144"/>
    </row>
    <row r="81" spans="1:27" s="145" customFormat="1" ht="36" customHeight="1" x14ac:dyDescent="0.25">
      <c r="A81" s="119" t="s">
        <v>18</v>
      </c>
      <c r="B81" s="139">
        <v>244003</v>
      </c>
      <c r="C81" s="119" t="s">
        <v>14</v>
      </c>
      <c r="D81" s="166">
        <v>680062</v>
      </c>
      <c r="E81" s="119" t="s">
        <v>307</v>
      </c>
      <c r="F81" s="190">
        <v>68012038</v>
      </c>
      <c r="G81" s="119" t="s">
        <v>541</v>
      </c>
      <c r="H81" s="187" t="s">
        <v>285</v>
      </c>
      <c r="I81" s="147" t="s">
        <v>442</v>
      </c>
      <c r="J81" s="146" t="s">
        <v>543</v>
      </c>
      <c r="K81" s="146" t="s">
        <v>543</v>
      </c>
      <c r="L81" s="146" t="s">
        <v>69</v>
      </c>
      <c r="M81" s="119" t="s">
        <v>542</v>
      </c>
      <c r="N81" s="119" t="s">
        <v>93</v>
      </c>
      <c r="O81" s="141">
        <f t="shared" si="75"/>
        <v>244003</v>
      </c>
      <c r="P81" s="141">
        <f t="shared" si="76"/>
        <v>244010</v>
      </c>
      <c r="Q81" s="141">
        <f t="shared" si="77"/>
        <v>244005</v>
      </c>
      <c r="R81" s="139" t="s">
        <v>55</v>
      </c>
      <c r="S81" s="143">
        <v>244034</v>
      </c>
      <c r="T81" s="139" t="s">
        <v>55</v>
      </c>
      <c r="U81" s="143">
        <v>244034</v>
      </c>
      <c r="V81" s="139" t="s">
        <v>55</v>
      </c>
      <c r="W81" s="143">
        <v>244004</v>
      </c>
      <c r="X81" s="139"/>
      <c r="Y81" s="141"/>
      <c r="Z81" s="119" t="s">
        <v>559</v>
      </c>
      <c r="AA81" s="144"/>
    </row>
    <row r="82" spans="1:27" s="145" customFormat="1" ht="36" customHeight="1" x14ac:dyDescent="0.25">
      <c r="A82" s="119" t="s">
        <v>18</v>
      </c>
      <c r="B82" s="139">
        <v>244003</v>
      </c>
      <c r="C82" s="119" t="s">
        <v>14</v>
      </c>
      <c r="D82" s="166">
        <v>680063</v>
      </c>
      <c r="E82" s="119" t="s">
        <v>426</v>
      </c>
      <c r="F82" s="190">
        <v>68012050</v>
      </c>
      <c r="G82" s="119" t="s">
        <v>550</v>
      </c>
      <c r="H82" s="187" t="s">
        <v>276</v>
      </c>
      <c r="I82" s="147" t="s">
        <v>428</v>
      </c>
      <c r="J82" s="146">
        <v>132.06</v>
      </c>
      <c r="K82" s="119" t="s">
        <v>200</v>
      </c>
      <c r="L82" s="146">
        <f>J82-129</f>
        <v>3.0600000000000023</v>
      </c>
      <c r="M82" s="119" t="s">
        <v>551</v>
      </c>
      <c r="N82" s="119" t="s">
        <v>93</v>
      </c>
      <c r="O82" s="141">
        <f t="shared" si="75"/>
        <v>244003</v>
      </c>
      <c r="P82" s="141">
        <f t="shared" si="76"/>
        <v>244010</v>
      </c>
      <c r="Q82" s="141">
        <f t="shared" si="77"/>
        <v>244005</v>
      </c>
      <c r="R82" s="139" t="s">
        <v>55</v>
      </c>
      <c r="S82" s="143">
        <v>244008</v>
      </c>
      <c r="T82" s="139" t="s">
        <v>55</v>
      </c>
      <c r="U82" s="143">
        <v>244014</v>
      </c>
      <c r="V82" s="139" t="s">
        <v>55</v>
      </c>
      <c r="W82" s="143">
        <v>244005</v>
      </c>
      <c r="X82" s="119"/>
      <c r="Y82" s="141"/>
      <c r="Z82" s="119" t="s">
        <v>579</v>
      </c>
      <c r="AA82" s="144"/>
    </row>
    <row r="83" spans="1:27" s="145" customFormat="1" ht="36" customHeight="1" x14ac:dyDescent="0.25">
      <c r="A83" s="119" t="s">
        <v>18</v>
      </c>
      <c r="B83" s="139">
        <v>244003</v>
      </c>
      <c r="C83" s="119" t="s">
        <v>11</v>
      </c>
      <c r="D83" s="166">
        <v>680064</v>
      </c>
      <c r="E83" s="119" t="s">
        <v>424</v>
      </c>
      <c r="F83" s="190" t="s">
        <v>554</v>
      </c>
      <c r="G83" s="119">
        <v>680117</v>
      </c>
      <c r="H83" s="187" t="s">
        <v>135</v>
      </c>
      <c r="I83" s="147" t="s">
        <v>76</v>
      </c>
      <c r="J83" s="142">
        <v>1086</v>
      </c>
      <c r="K83" s="209" t="s">
        <v>124</v>
      </c>
      <c r="L83" s="142">
        <v>19</v>
      </c>
      <c r="M83" s="257" t="s">
        <v>555</v>
      </c>
      <c r="N83" s="257" t="s">
        <v>53</v>
      </c>
      <c r="O83" s="141">
        <f t="shared" si="75"/>
        <v>244003</v>
      </c>
      <c r="P83" s="141">
        <f t="shared" si="76"/>
        <v>244010</v>
      </c>
      <c r="Q83" s="141">
        <f t="shared" si="77"/>
        <v>244005</v>
      </c>
      <c r="R83" s="139" t="s">
        <v>55</v>
      </c>
      <c r="S83" s="143">
        <v>244008</v>
      </c>
      <c r="T83" s="139" t="s">
        <v>55</v>
      </c>
      <c r="U83" s="143">
        <v>244014</v>
      </c>
      <c r="V83" s="139"/>
      <c r="W83" s="143"/>
      <c r="X83" s="119"/>
      <c r="Y83" s="141"/>
      <c r="Z83" s="119"/>
      <c r="AA83" s="144"/>
    </row>
    <row r="84" spans="1:27" s="145" customFormat="1" ht="36" customHeight="1" x14ac:dyDescent="0.25">
      <c r="A84" s="119" t="s">
        <v>18</v>
      </c>
      <c r="B84" s="139">
        <v>244003</v>
      </c>
      <c r="C84" s="119" t="s">
        <v>11</v>
      </c>
      <c r="D84" s="166">
        <v>680064</v>
      </c>
      <c r="E84" s="119" t="s">
        <v>424</v>
      </c>
      <c r="F84" s="190" t="s">
        <v>554</v>
      </c>
      <c r="G84" s="119">
        <v>680117</v>
      </c>
      <c r="H84" s="187" t="s">
        <v>135</v>
      </c>
      <c r="I84" s="147" t="s">
        <v>61</v>
      </c>
      <c r="J84" s="142">
        <v>38</v>
      </c>
      <c r="K84" s="210" t="s">
        <v>62</v>
      </c>
      <c r="L84" s="142">
        <v>8</v>
      </c>
      <c r="M84" s="259"/>
      <c r="N84" s="259"/>
      <c r="O84" s="141">
        <f t="shared" ref="O84" si="88">B84</f>
        <v>244003</v>
      </c>
      <c r="P84" s="141">
        <f t="shared" ref="P84" si="89">B84+7</f>
        <v>244010</v>
      </c>
      <c r="Q84" s="141">
        <f t="shared" ref="Q84" si="90">O84+2</f>
        <v>244005</v>
      </c>
      <c r="R84" s="139" t="s">
        <v>55</v>
      </c>
      <c r="S84" s="143">
        <v>244008</v>
      </c>
      <c r="T84" s="139" t="s">
        <v>55</v>
      </c>
      <c r="U84" s="143">
        <v>244014</v>
      </c>
      <c r="V84" s="139"/>
      <c r="W84" s="143"/>
      <c r="X84" s="119"/>
      <c r="Y84" s="141"/>
      <c r="Z84" s="119"/>
      <c r="AA84" s="144"/>
    </row>
    <row r="85" spans="1:27" s="145" customFormat="1" ht="36" customHeight="1" x14ac:dyDescent="0.25">
      <c r="A85" s="119" t="s">
        <v>18</v>
      </c>
      <c r="B85" s="139">
        <v>244003</v>
      </c>
      <c r="C85" s="119" t="s">
        <v>11</v>
      </c>
      <c r="D85" s="166">
        <v>680064</v>
      </c>
      <c r="E85" s="119" t="s">
        <v>424</v>
      </c>
      <c r="F85" s="190" t="s">
        <v>554</v>
      </c>
      <c r="G85" s="119">
        <v>680117</v>
      </c>
      <c r="H85" s="187" t="s">
        <v>135</v>
      </c>
      <c r="I85" s="147" t="s">
        <v>74</v>
      </c>
      <c r="J85" s="146">
        <v>4.4800000000000004</v>
      </c>
      <c r="K85" s="210" t="s">
        <v>125</v>
      </c>
      <c r="L85" s="146">
        <v>0.02</v>
      </c>
      <c r="M85" s="258"/>
      <c r="N85" s="258"/>
      <c r="O85" s="141">
        <f t="shared" ref="O85" si="91">B85</f>
        <v>244003</v>
      </c>
      <c r="P85" s="141">
        <f t="shared" ref="P85" si="92">B85+7</f>
        <v>244010</v>
      </c>
      <c r="Q85" s="141">
        <f t="shared" ref="Q85" si="93">O85+2</f>
        <v>244005</v>
      </c>
      <c r="R85" s="139" t="s">
        <v>55</v>
      </c>
      <c r="S85" s="143">
        <v>244008</v>
      </c>
      <c r="T85" s="139" t="s">
        <v>55</v>
      </c>
      <c r="U85" s="143">
        <v>244014</v>
      </c>
      <c r="V85" s="139"/>
      <c r="W85" s="143"/>
      <c r="X85" s="119"/>
      <c r="Y85" s="141"/>
      <c r="Z85" s="119"/>
      <c r="AA85" s="144"/>
    </row>
    <row r="86" spans="1:27" s="145" customFormat="1" ht="36" customHeight="1" x14ac:dyDescent="0.25">
      <c r="A86" s="119" t="s">
        <v>18</v>
      </c>
      <c r="B86" s="139">
        <v>244003</v>
      </c>
      <c r="C86" s="119" t="s">
        <v>14</v>
      </c>
      <c r="D86" s="166">
        <v>680065</v>
      </c>
      <c r="E86" s="119" t="s">
        <v>307</v>
      </c>
      <c r="F86" s="190">
        <v>68012054</v>
      </c>
      <c r="G86" s="119" t="s">
        <v>552</v>
      </c>
      <c r="H86" s="187" t="s">
        <v>286</v>
      </c>
      <c r="I86" s="147" t="s">
        <v>308</v>
      </c>
      <c r="J86" s="146">
        <v>68.59</v>
      </c>
      <c r="K86" s="119" t="s">
        <v>200</v>
      </c>
      <c r="L86" s="146">
        <f>J86-66</f>
        <v>2.5900000000000034</v>
      </c>
      <c r="M86" s="119" t="s">
        <v>553</v>
      </c>
      <c r="N86" s="119" t="s">
        <v>93</v>
      </c>
      <c r="O86" s="141">
        <f t="shared" si="75"/>
        <v>244003</v>
      </c>
      <c r="P86" s="141">
        <f t="shared" si="76"/>
        <v>244010</v>
      </c>
      <c r="Q86" s="141">
        <f t="shared" si="77"/>
        <v>244005</v>
      </c>
      <c r="R86" s="139" t="s">
        <v>55</v>
      </c>
      <c r="S86" s="143">
        <v>244034</v>
      </c>
      <c r="T86" s="139" t="s">
        <v>55</v>
      </c>
      <c r="U86" s="143">
        <v>244034</v>
      </c>
      <c r="V86" s="139" t="s">
        <v>55</v>
      </c>
      <c r="W86" s="143">
        <v>244004</v>
      </c>
      <c r="X86" s="139"/>
      <c r="Y86" s="141"/>
      <c r="Z86" s="119" t="s">
        <v>559</v>
      </c>
      <c r="AA86" s="144"/>
    </row>
    <row r="87" spans="1:27" s="145" customFormat="1" ht="36" customHeight="1" x14ac:dyDescent="0.25">
      <c r="A87" s="119" t="s">
        <v>18</v>
      </c>
      <c r="B87" s="139">
        <v>244004</v>
      </c>
      <c r="C87" s="119" t="s">
        <v>14</v>
      </c>
      <c r="D87" s="166">
        <v>680066</v>
      </c>
      <c r="E87" s="119" t="s">
        <v>307</v>
      </c>
      <c r="F87" s="190">
        <v>68012104</v>
      </c>
      <c r="G87" s="119" t="s">
        <v>556</v>
      </c>
      <c r="H87" s="187" t="s">
        <v>239</v>
      </c>
      <c r="I87" s="147" t="s">
        <v>442</v>
      </c>
      <c r="J87" s="146" t="s">
        <v>557</v>
      </c>
      <c r="K87" s="146" t="s">
        <v>557</v>
      </c>
      <c r="L87" s="146" t="s">
        <v>69</v>
      </c>
      <c r="M87" s="119" t="s">
        <v>558</v>
      </c>
      <c r="N87" s="119" t="s">
        <v>93</v>
      </c>
      <c r="O87" s="141">
        <f t="shared" ref="O87" si="94">B87</f>
        <v>244004</v>
      </c>
      <c r="P87" s="141">
        <f t="shared" ref="P87" si="95">B87+7</f>
        <v>244011</v>
      </c>
      <c r="Q87" s="141">
        <f t="shared" ref="Q87" si="96">O87+2</f>
        <v>244006</v>
      </c>
      <c r="R87" s="139" t="s">
        <v>55</v>
      </c>
      <c r="S87" s="143">
        <v>244034</v>
      </c>
      <c r="T87" s="139" t="s">
        <v>55</v>
      </c>
      <c r="U87" s="143">
        <v>244034</v>
      </c>
      <c r="V87" s="139" t="s">
        <v>55</v>
      </c>
      <c r="W87" s="143">
        <v>244004</v>
      </c>
      <c r="X87" s="139"/>
      <c r="Y87" s="141"/>
      <c r="Z87" s="119" t="s">
        <v>559</v>
      </c>
      <c r="AA87" s="144"/>
    </row>
    <row r="88" spans="1:27" s="145" customFormat="1" ht="36" customHeight="1" x14ac:dyDescent="0.25">
      <c r="A88" s="119" t="s">
        <v>18</v>
      </c>
      <c r="B88" s="139">
        <v>244004</v>
      </c>
      <c r="C88" s="119" t="s">
        <v>14</v>
      </c>
      <c r="D88" s="166">
        <v>680067</v>
      </c>
      <c r="E88" s="119" t="s">
        <v>307</v>
      </c>
      <c r="F88" s="190">
        <v>68012120</v>
      </c>
      <c r="G88" s="119" t="s">
        <v>560</v>
      </c>
      <c r="H88" s="187" t="s">
        <v>284</v>
      </c>
      <c r="I88" s="147" t="s">
        <v>308</v>
      </c>
      <c r="J88" s="146">
        <v>76.47</v>
      </c>
      <c r="K88" s="119" t="s">
        <v>207</v>
      </c>
      <c r="L88" s="146">
        <f>J88-66</f>
        <v>10.469999999999999</v>
      </c>
      <c r="M88" s="119" t="s">
        <v>561</v>
      </c>
      <c r="N88" s="119" t="s">
        <v>93</v>
      </c>
      <c r="O88" s="141">
        <f>B88</f>
        <v>244004</v>
      </c>
      <c r="P88" s="141">
        <f>B88+7</f>
        <v>244011</v>
      </c>
      <c r="Q88" s="141">
        <f>O88+2</f>
        <v>244006</v>
      </c>
      <c r="R88" s="139" t="s">
        <v>55</v>
      </c>
      <c r="S88" s="143">
        <v>244034</v>
      </c>
      <c r="T88" s="139" t="s">
        <v>55</v>
      </c>
      <c r="U88" s="143">
        <v>244034</v>
      </c>
      <c r="V88" s="139" t="s">
        <v>55</v>
      </c>
      <c r="W88" s="143">
        <v>244004</v>
      </c>
      <c r="X88" s="139"/>
      <c r="Y88" s="141"/>
      <c r="Z88" s="119" t="s">
        <v>559</v>
      </c>
      <c r="AA88" s="144"/>
    </row>
    <row r="89" spans="1:27" s="145" customFormat="1" ht="36" customHeight="1" x14ac:dyDescent="0.25">
      <c r="A89" s="119" t="s">
        <v>18</v>
      </c>
      <c r="B89" s="139">
        <v>244004</v>
      </c>
      <c r="C89" s="119" t="s">
        <v>14</v>
      </c>
      <c r="D89" s="166">
        <v>680068</v>
      </c>
      <c r="E89" s="119" t="s">
        <v>309</v>
      </c>
      <c r="F89" s="190">
        <v>68012127</v>
      </c>
      <c r="G89" s="119" t="s">
        <v>562</v>
      </c>
      <c r="H89" s="187" t="s">
        <v>563</v>
      </c>
      <c r="I89" s="147" t="s">
        <v>564</v>
      </c>
      <c r="J89" s="146">
        <v>135.25</v>
      </c>
      <c r="K89" s="119" t="s">
        <v>200</v>
      </c>
      <c r="L89" s="146">
        <f>J89-132</f>
        <v>3.25</v>
      </c>
      <c r="M89" s="119" t="s">
        <v>565</v>
      </c>
      <c r="N89" s="119" t="s">
        <v>93</v>
      </c>
      <c r="O89" s="141">
        <f t="shared" ref="O89:O176" si="97">B89</f>
        <v>244004</v>
      </c>
      <c r="P89" s="141">
        <f t="shared" ref="P89:P176" si="98">B89+7</f>
        <v>244011</v>
      </c>
      <c r="Q89" s="141">
        <f t="shared" ref="Q89:Q176" si="99">O89+2</f>
        <v>244006</v>
      </c>
      <c r="R89" s="139" t="s">
        <v>55</v>
      </c>
      <c r="S89" s="143">
        <v>244008</v>
      </c>
      <c r="T89" s="139" t="s">
        <v>55</v>
      </c>
      <c r="U89" s="143">
        <v>244014</v>
      </c>
      <c r="V89" s="139" t="s">
        <v>55</v>
      </c>
      <c r="W89" s="143">
        <v>244014</v>
      </c>
      <c r="X89" s="139"/>
      <c r="Y89" s="141"/>
      <c r="Z89" s="119" t="s">
        <v>549</v>
      </c>
      <c r="AA89" s="144"/>
    </row>
    <row r="90" spans="1:27" s="145" customFormat="1" ht="36" customHeight="1" x14ac:dyDescent="0.25">
      <c r="A90" s="119" t="s">
        <v>18</v>
      </c>
      <c r="B90" s="139">
        <v>244004</v>
      </c>
      <c r="C90" s="119" t="s">
        <v>14</v>
      </c>
      <c r="D90" s="166">
        <v>680069</v>
      </c>
      <c r="E90" s="119" t="s">
        <v>307</v>
      </c>
      <c r="F90" s="190">
        <v>68012138</v>
      </c>
      <c r="G90" s="119" t="s">
        <v>566</v>
      </c>
      <c r="H90" s="187" t="s">
        <v>286</v>
      </c>
      <c r="I90" s="147" t="s">
        <v>308</v>
      </c>
      <c r="J90" s="146">
        <v>69.69</v>
      </c>
      <c r="K90" s="119" t="s">
        <v>207</v>
      </c>
      <c r="L90" s="146">
        <f>J90-66</f>
        <v>3.6899999999999977</v>
      </c>
      <c r="M90" s="119" t="s">
        <v>567</v>
      </c>
      <c r="N90" s="119" t="s">
        <v>93</v>
      </c>
      <c r="O90" s="141">
        <f t="shared" si="97"/>
        <v>244004</v>
      </c>
      <c r="P90" s="141">
        <f t="shared" si="98"/>
        <v>244011</v>
      </c>
      <c r="Q90" s="141">
        <f t="shared" si="99"/>
        <v>244006</v>
      </c>
      <c r="R90" s="139" t="s">
        <v>55</v>
      </c>
      <c r="S90" s="143">
        <v>244034</v>
      </c>
      <c r="T90" s="139" t="s">
        <v>55</v>
      </c>
      <c r="U90" s="143">
        <v>244034</v>
      </c>
      <c r="V90" s="139" t="s">
        <v>55</v>
      </c>
      <c r="W90" s="143">
        <v>244004</v>
      </c>
      <c r="X90" s="139"/>
      <c r="Y90" s="141"/>
      <c r="Z90" s="119" t="s">
        <v>568</v>
      </c>
      <c r="AA90" s="144">
        <f>W90-P90</f>
        <v>-7</v>
      </c>
    </row>
    <row r="91" spans="1:27" s="145" customFormat="1" ht="36" customHeight="1" x14ac:dyDescent="0.25">
      <c r="A91" s="119" t="s">
        <v>18</v>
      </c>
      <c r="B91" s="139">
        <v>244004</v>
      </c>
      <c r="C91" s="119" t="s">
        <v>14</v>
      </c>
      <c r="D91" s="166">
        <v>680070</v>
      </c>
      <c r="E91" s="119" t="s">
        <v>402</v>
      </c>
      <c r="F91" s="190">
        <v>68012160</v>
      </c>
      <c r="G91" s="119" t="s">
        <v>569</v>
      </c>
      <c r="H91" s="187" t="s">
        <v>209</v>
      </c>
      <c r="I91" s="147" t="s">
        <v>404</v>
      </c>
      <c r="J91" s="146">
        <v>73.13</v>
      </c>
      <c r="K91" s="119" t="s">
        <v>200</v>
      </c>
      <c r="L91" s="146">
        <f>J91-67</f>
        <v>6.1299999999999955</v>
      </c>
      <c r="M91" s="119" t="s">
        <v>570</v>
      </c>
      <c r="N91" s="119" t="s">
        <v>93</v>
      </c>
      <c r="O91" s="141">
        <f t="shared" ref="O91" si="100">B91</f>
        <v>244004</v>
      </c>
      <c r="P91" s="141">
        <f t="shared" ref="P91" si="101">B91+7</f>
        <v>244011</v>
      </c>
      <c r="Q91" s="141">
        <f t="shared" ref="Q91" si="102">O91+2</f>
        <v>244006</v>
      </c>
      <c r="R91" s="139" t="s">
        <v>55</v>
      </c>
      <c r="S91" s="143">
        <v>244008</v>
      </c>
      <c r="T91" s="139" t="s">
        <v>55</v>
      </c>
      <c r="U91" s="143">
        <v>244014</v>
      </c>
      <c r="V91" s="139" t="s">
        <v>55</v>
      </c>
      <c r="W91" s="143">
        <v>244014</v>
      </c>
      <c r="X91" s="139"/>
      <c r="Y91" s="141"/>
      <c r="Z91" s="119" t="s">
        <v>709</v>
      </c>
      <c r="AA91" s="144"/>
    </row>
    <row r="92" spans="1:27" s="145" customFormat="1" ht="36" customHeight="1" x14ac:dyDescent="0.25">
      <c r="A92" s="119" t="s">
        <v>18</v>
      </c>
      <c r="B92" s="139">
        <v>244004</v>
      </c>
      <c r="C92" s="119" t="s">
        <v>14</v>
      </c>
      <c r="D92" s="166">
        <v>680070</v>
      </c>
      <c r="E92" s="119" t="s">
        <v>402</v>
      </c>
      <c r="F92" s="190">
        <v>68012161</v>
      </c>
      <c r="G92" s="119" t="s">
        <v>571</v>
      </c>
      <c r="H92" s="187" t="s">
        <v>206</v>
      </c>
      <c r="I92" s="147" t="s">
        <v>404</v>
      </c>
      <c r="J92" s="146">
        <v>75.260000000000005</v>
      </c>
      <c r="K92" s="119" t="s">
        <v>200</v>
      </c>
      <c r="L92" s="146">
        <f>J92-67</f>
        <v>8.2600000000000051</v>
      </c>
      <c r="M92" s="119" t="s">
        <v>572</v>
      </c>
      <c r="N92" s="119" t="s">
        <v>93</v>
      </c>
      <c r="O92" s="141">
        <f t="shared" si="97"/>
        <v>244004</v>
      </c>
      <c r="P92" s="141">
        <f t="shared" si="98"/>
        <v>244011</v>
      </c>
      <c r="Q92" s="141">
        <f t="shared" si="99"/>
        <v>244006</v>
      </c>
      <c r="R92" s="139" t="s">
        <v>55</v>
      </c>
      <c r="S92" s="143">
        <v>244008</v>
      </c>
      <c r="T92" s="139" t="s">
        <v>55</v>
      </c>
      <c r="U92" s="143">
        <v>244014</v>
      </c>
      <c r="V92" s="139" t="s">
        <v>55</v>
      </c>
      <c r="W92" s="143">
        <v>244014</v>
      </c>
      <c r="X92" s="139"/>
      <c r="Y92" s="141"/>
      <c r="Z92" s="119" t="s">
        <v>709</v>
      </c>
      <c r="AA92" s="144"/>
    </row>
    <row r="93" spans="1:27" s="145" customFormat="1" ht="36" customHeight="1" x14ac:dyDescent="0.25">
      <c r="A93" s="119" t="s">
        <v>18</v>
      </c>
      <c r="B93" s="139">
        <v>244005</v>
      </c>
      <c r="C93" s="119" t="s">
        <v>14</v>
      </c>
      <c r="D93" s="166">
        <v>680071</v>
      </c>
      <c r="E93" s="119" t="s">
        <v>307</v>
      </c>
      <c r="F93" s="190">
        <v>68012210</v>
      </c>
      <c r="G93" s="119" t="s">
        <v>573</v>
      </c>
      <c r="H93" s="187" t="s">
        <v>239</v>
      </c>
      <c r="I93" s="147" t="s">
        <v>442</v>
      </c>
      <c r="J93" s="146" t="s">
        <v>557</v>
      </c>
      <c r="K93" s="146" t="s">
        <v>557</v>
      </c>
      <c r="L93" s="146" t="s">
        <v>69</v>
      </c>
      <c r="M93" s="119" t="s">
        <v>574</v>
      </c>
      <c r="N93" s="119" t="s">
        <v>93</v>
      </c>
      <c r="O93" s="141">
        <f t="shared" si="97"/>
        <v>244005</v>
      </c>
      <c r="P93" s="141">
        <f t="shared" si="98"/>
        <v>244012</v>
      </c>
      <c r="Q93" s="141">
        <f t="shared" si="99"/>
        <v>244007</v>
      </c>
      <c r="R93" s="139" t="s">
        <v>55</v>
      </c>
      <c r="S93" s="143">
        <v>244014</v>
      </c>
      <c r="T93" s="139" t="s">
        <v>55</v>
      </c>
      <c r="U93" s="143">
        <v>244017</v>
      </c>
      <c r="V93" s="139" t="s">
        <v>55</v>
      </c>
      <c r="W93" s="143">
        <v>244005</v>
      </c>
      <c r="X93" s="139"/>
      <c r="Y93" s="141"/>
      <c r="Z93" s="119" t="s">
        <v>559</v>
      </c>
      <c r="AA93" s="144">
        <f t="shared" ref="AA93:AA156" si="103">W93-P93</f>
        <v>-7</v>
      </c>
    </row>
    <row r="94" spans="1:27" s="145" customFormat="1" ht="36" customHeight="1" x14ac:dyDescent="0.25">
      <c r="A94" s="119" t="s">
        <v>18</v>
      </c>
      <c r="B94" s="139">
        <v>244005</v>
      </c>
      <c r="C94" s="119" t="s">
        <v>14</v>
      </c>
      <c r="D94" s="166">
        <v>680071</v>
      </c>
      <c r="E94" s="119" t="s">
        <v>307</v>
      </c>
      <c r="F94" s="190">
        <v>68012202</v>
      </c>
      <c r="G94" s="119" t="s">
        <v>575</v>
      </c>
      <c r="H94" s="187" t="s">
        <v>285</v>
      </c>
      <c r="I94" s="147" t="s">
        <v>442</v>
      </c>
      <c r="J94" s="146" t="s">
        <v>557</v>
      </c>
      <c r="K94" s="146" t="s">
        <v>557</v>
      </c>
      <c r="L94" s="146" t="s">
        <v>69</v>
      </c>
      <c r="M94" s="119" t="s">
        <v>576</v>
      </c>
      <c r="N94" s="119" t="s">
        <v>93</v>
      </c>
      <c r="O94" s="141">
        <f t="shared" ref="O94" si="104">B94</f>
        <v>244005</v>
      </c>
      <c r="P94" s="141">
        <f t="shared" ref="P94" si="105">B94+7</f>
        <v>244012</v>
      </c>
      <c r="Q94" s="141">
        <f t="shared" ref="Q94" si="106">O94+2</f>
        <v>244007</v>
      </c>
      <c r="R94" s="139" t="s">
        <v>55</v>
      </c>
      <c r="S94" s="143">
        <v>244014</v>
      </c>
      <c r="T94" s="139" t="s">
        <v>55</v>
      </c>
      <c r="U94" s="143">
        <v>244017</v>
      </c>
      <c r="V94" s="139" t="s">
        <v>55</v>
      </c>
      <c r="W94" s="143">
        <v>244005</v>
      </c>
      <c r="X94" s="139"/>
      <c r="Y94" s="141"/>
      <c r="Z94" s="119" t="s">
        <v>559</v>
      </c>
      <c r="AA94" s="144"/>
    </row>
    <row r="95" spans="1:27" s="145" customFormat="1" ht="36" customHeight="1" x14ac:dyDescent="0.25">
      <c r="A95" s="119" t="s">
        <v>18</v>
      </c>
      <c r="B95" s="139">
        <v>244005</v>
      </c>
      <c r="C95" s="119" t="s">
        <v>14</v>
      </c>
      <c r="D95" s="166">
        <v>680072</v>
      </c>
      <c r="E95" s="119" t="s">
        <v>413</v>
      </c>
      <c r="F95" s="190">
        <v>68012216</v>
      </c>
      <c r="G95" s="119" t="s">
        <v>577</v>
      </c>
      <c r="H95" s="187" t="s">
        <v>266</v>
      </c>
      <c r="I95" s="147" t="s">
        <v>415</v>
      </c>
      <c r="J95" s="146">
        <v>84.8</v>
      </c>
      <c r="K95" s="119" t="s">
        <v>207</v>
      </c>
      <c r="L95" s="146">
        <f>J95-80</f>
        <v>4.7999999999999972</v>
      </c>
      <c r="M95" s="119" t="s">
        <v>578</v>
      </c>
      <c r="N95" s="119" t="s">
        <v>93</v>
      </c>
      <c r="O95" s="141">
        <f t="shared" si="97"/>
        <v>244005</v>
      </c>
      <c r="P95" s="141">
        <f t="shared" si="98"/>
        <v>244012</v>
      </c>
      <c r="Q95" s="141">
        <f t="shared" si="99"/>
        <v>244007</v>
      </c>
      <c r="R95" s="139" t="s">
        <v>55</v>
      </c>
      <c r="S95" s="143">
        <v>244014</v>
      </c>
      <c r="T95" s="139" t="s">
        <v>55</v>
      </c>
      <c r="U95" s="143">
        <v>244017</v>
      </c>
      <c r="V95" s="139" t="s">
        <v>55</v>
      </c>
      <c r="W95" s="143">
        <v>244005</v>
      </c>
      <c r="X95" s="139"/>
      <c r="Y95" s="141"/>
      <c r="Z95" s="119" t="s">
        <v>589</v>
      </c>
      <c r="AA95" s="144">
        <f t="shared" si="103"/>
        <v>-7</v>
      </c>
    </row>
    <row r="96" spans="1:27" s="145" customFormat="1" ht="36" customHeight="1" x14ac:dyDescent="0.25">
      <c r="A96" s="119" t="s">
        <v>18</v>
      </c>
      <c r="B96" s="139">
        <v>244005</v>
      </c>
      <c r="C96" s="119" t="s">
        <v>132</v>
      </c>
      <c r="D96" s="166">
        <v>680073</v>
      </c>
      <c r="E96" s="119" t="s">
        <v>580</v>
      </c>
      <c r="F96" s="190" t="s">
        <v>581</v>
      </c>
      <c r="G96" s="119" t="s">
        <v>582</v>
      </c>
      <c r="H96" s="187" t="s">
        <v>583</v>
      </c>
      <c r="I96" s="154" t="s">
        <v>203</v>
      </c>
      <c r="J96" s="146" t="s">
        <v>584</v>
      </c>
      <c r="K96" s="146" t="s">
        <v>584</v>
      </c>
      <c r="L96" s="146" t="s">
        <v>69</v>
      </c>
      <c r="M96" s="119">
        <v>1</v>
      </c>
      <c r="N96" s="119" t="s">
        <v>52</v>
      </c>
      <c r="O96" s="141">
        <f t="shared" si="97"/>
        <v>244005</v>
      </c>
      <c r="P96" s="141">
        <f t="shared" si="98"/>
        <v>244012</v>
      </c>
      <c r="Q96" s="141">
        <f t="shared" si="99"/>
        <v>244007</v>
      </c>
      <c r="R96" s="139" t="s">
        <v>55</v>
      </c>
      <c r="S96" s="143">
        <v>244008</v>
      </c>
      <c r="T96" s="139" t="s">
        <v>55</v>
      </c>
      <c r="U96" s="143">
        <v>244014</v>
      </c>
      <c r="V96" s="139" t="s">
        <v>55</v>
      </c>
      <c r="W96" s="143">
        <v>244014</v>
      </c>
      <c r="X96" s="119"/>
      <c r="Y96" s="141"/>
      <c r="Z96" s="119" t="s">
        <v>708</v>
      </c>
      <c r="AA96" s="144">
        <f t="shared" si="103"/>
        <v>2</v>
      </c>
    </row>
    <row r="97" spans="1:27" s="145" customFormat="1" ht="36" customHeight="1" x14ac:dyDescent="0.25">
      <c r="A97" s="119" t="s">
        <v>18</v>
      </c>
      <c r="B97" s="139">
        <v>244005</v>
      </c>
      <c r="C97" s="119" t="s">
        <v>132</v>
      </c>
      <c r="D97" s="166">
        <v>680074</v>
      </c>
      <c r="E97" s="119" t="s">
        <v>585</v>
      </c>
      <c r="F97" s="190" t="s">
        <v>586</v>
      </c>
      <c r="G97" s="119" t="s">
        <v>587</v>
      </c>
      <c r="H97" s="187" t="s">
        <v>588</v>
      </c>
      <c r="I97" s="154" t="s">
        <v>203</v>
      </c>
      <c r="J97" s="146" t="s">
        <v>584</v>
      </c>
      <c r="K97" s="146" t="s">
        <v>584</v>
      </c>
      <c r="L97" s="146" t="s">
        <v>69</v>
      </c>
      <c r="M97" s="119">
        <v>1</v>
      </c>
      <c r="N97" s="119" t="s">
        <v>52</v>
      </c>
      <c r="O97" s="141">
        <f t="shared" si="97"/>
        <v>244005</v>
      </c>
      <c r="P97" s="141">
        <f t="shared" si="98"/>
        <v>244012</v>
      </c>
      <c r="Q97" s="141">
        <f t="shared" si="99"/>
        <v>244007</v>
      </c>
      <c r="R97" s="139" t="s">
        <v>55</v>
      </c>
      <c r="S97" s="143">
        <v>244008</v>
      </c>
      <c r="T97" s="139" t="s">
        <v>55</v>
      </c>
      <c r="U97" s="143">
        <v>244014</v>
      </c>
      <c r="V97" s="139" t="s">
        <v>55</v>
      </c>
      <c r="W97" s="143">
        <v>244014</v>
      </c>
      <c r="X97" s="119"/>
      <c r="Y97" s="141"/>
      <c r="Z97" s="119" t="s">
        <v>708</v>
      </c>
      <c r="AA97" s="144">
        <f t="shared" si="103"/>
        <v>2</v>
      </c>
    </row>
    <row r="98" spans="1:27" s="145" customFormat="1" ht="36" customHeight="1" x14ac:dyDescent="0.25">
      <c r="A98" s="119" t="s">
        <v>18</v>
      </c>
      <c r="B98" s="139">
        <v>244005</v>
      </c>
      <c r="C98" s="119" t="s">
        <v>14</v>
      </c>
      <c r="D98" s="166">
        <v>680075</v>
      </c>
      <c r="E98" s="119" t="s">
        <v>413</v>
      </c>
      <c r="F98" s="190">
        <v>68012254</v>
      </c>
      <c r="G98" s="119" t="s">
        <v>590</v>
      </c>
      <c r="H98" s="187" t="s">
        <v>236</v>
      </c>
      <c r="I98" s="147" t="s">
        <v>415</v>
      </c>
      <c r="J98" s="146">
        <v>83.75</v>
      </c>
      <c r="K98" s="119" t="s">
        <v>200</v>
      </c>
      <c r="L98" s="146">
        <f>J98-80</f>
        <v>3.75</v>
      </c>
      <c r="M98" s="119" t="s">
        <v>591</v>
      </c>
      <c r="N98" s="119" t="s">
        <v>93</v>
      </c>
      <c r="O98" s="141">
        <f t="shared" si="97"/>
        <v>244005</v>
      </c>
      <c r="P98" s="141">
        <f t="shared" si="98"/>
        <v>244012</v>
      </c>
      <c r="Q98" s="141">
        <f t="shared" si="99"/>
        <v>244007</v>
      </c>
      <c r="R98" s="139" t="s">
        <v>55</v>
      </c>
      <c r="S98" s="143">
        <v>244014</v>
      </c>
      <c r="T98" s="139" t="s">
        <v>55</v>
      </c>
      <c r="U98" s="143">
        <v>244017</v>
      </c>
      <c r="V98" s="139" t="s">
        <v>55</v>
      </c>
      <c r="W98" s="143">
        <v>244005</v>
      </c>
      <c r="X98" s="139"/>
      <c r="Y98" s="141"/>
      <c r="Z98" s="119" t="s">
        <v>589</v>
      </c>
      <c r="AA98" s="144">
        <f t="shared" ref="AA98:AA99" si="107">W98-P98</f>
        <v>-7</v>
      </c>
    </row>
    <row r="99" spans="1:27" s="145" customFormat="1" ht="36" customHeight="1" x14ac:dyDescent="0.25">
      <c r="A99" s="119" t="s">
        <v>18</v>
      </c>
      <c r="B99" s="139">
        <v>244005</v>
      </c>
      <c r="C99" s="119" t="s">
        <v>14</v>
      </c>
      <c r="D99" s="166">
        <v>680076</v>
      </c>
      <c r="E99" s="119" t="s">
        <v>402</v>
      </c>
      <c r="F99" s="190">
        <v>68012256</v>
      </c>
      <c r="G99" s="119" t="s">
        <v>592</v>
      </c>
      <c r="H99" s="187" t="s">
        <v>209</v>
      </c>
      <c r="I99" s="147" t="s">
        <v>404</v>
      </c>
      <c r="J99" s="146">
        <v>72.540000000000006</v>
      </c>
      <c r="K99" s="119" t="s">
        <v>200</v>
      </c>
      <c r="L99" s="146">
        <f>J99-67</f>
        <v>5.5400000000000063</v>
      </c>
      <c r="M99" s="119" t="s">
        <v>593</v>
      </c>
      <c r="N99" s="119" t="s">
        <v>93</v>
      </c>
      <c r="O99" s="141">
        <f t="shared" ref="O99" si="108">B99</f>
        <v>244005</v>
      </c>
      <c r="P99" s="141">
        <f t="shared" ref="P99" si="109">B99+7</f>
        <v>244012</v>
      </c>
      <c r="Q99" s="141">
        <f t="shared" ref="Q99" si="110">O99+2</f>
        <v>244007</v>
      </c>
      <c r="R99" s="139" t="s">
        <v>55</v>
      </c>
      <c r="S99" s="143">
        <v>244008</v>
      </c>
      <c r="T99" s="139" t="s">
        <v>55</v>
      </c>
      <c r="U99" s="143">
        <v>244014</v>
      </c>
      <c r="V99" s="139" t="s">
        <v>55</v>
      </c>
      <c r="W99" s="143">
        <v>244014</v>
      </c>
      <c r="X99" s="119"/>
      <c r="Y99" s="141"/>
      <c r="Z99" s="119" t="s">
        <v>709</v>
      </c>
      <c r="AA99" s="144">
        <f t="shared" si="107"/>
        <v>2</v>
      </c>
    </row>
    <row r="100" spans="1:27" s="145" customFormat="1" ht="36" customHeight="1" x14ac:dyDescent="0.25">
      <c r="A100" s="119" t="s">
        <v>18</v>
      </c>
      <c r="B100" s="139">
        <v>244005</v>
      </c>
      <c r="C100" s="119" t="s">
        <v>14</v>
      </c>
      <c r="D100" s="166">
        <v>680076</v>
      </c>
      <c r="E100" s="119" t="s">
        <v>402</v>
      </c>
      <c r="F100" s="190">
        <v>68012255</v>
      </c>
      <c r="G100" s="119" t="s">
        <v>594</v>
      </c>
      <c r="H100" s="187" t="s">
        <v>206</v>
      </c>
      <c r="I100" s="147" t="s">
        <v>404</v>
      </c>
      <c r="J100" s="146">
        <v>74.47</v>
      </c>
      <c r="K100" s="119" t="s">
        <v>200</v>
      </c>
      <c r="L100" s="146">
        <f>J100-67</f>
        <v>7.4699999999999989</v>
      </c>
      <c r="M100" s="119" t="s">
        <v>595</v>
      </c>
      <c r="N100" s="119" t="s">
        <v>93</v>
      </c>
      <c r="O100" s="141">
        <f t="shared" si="97"/>
        <v>244005</v>
      </c>
      <c r="P100" s="141">
        <f t="shared" si="98"/>
        <v>244012</v>
      </c>
      <c r="Q100" s="141">
        <f t="shared" si="99"/>
        <v>244007</v>
      </c>
      <c r="R100" s="139" t="s">
        <v>55</v>
      </c>
      <c r="S100" s="143">
        <v>244008</v>
      </c>
      <c r="T100" s="139" t="s">
        <v>55</v>
      </c>
      <c r="U100" s="143">
        <v>244014</v>
      </c>
      <c r="V100" s="139" t="s">
        <v>55</v>
      </c>
      <c r="W100" s="143">
        <v>244014</v>
      </c>
      <c r="X100" s="119"/>
      <c r="Y100" s="141"/>
      <c r="Z100" s="119" t="s">
        <v>709</v>
      </c>
      <c r="AA100" s="144">
        <f t="shared" si="103"/>
        <v>2</v>
      </c>
    </row>
    <row r="101" spans="1:27" s="145" customFormat="1" ht="36" customHeight="1" x14ac:dyDescent="0.25">
      <c r="A101" s="119" t="s">
        <v>18</v>
      </c>
      <c r="B101" s="139">
        <v>244005</v>
      </c>
      <c r="C101" s="119" t="s">
        <v>14</v>
      </c>
      <c r="D101" s="166">
        <v>680077</v>
      </c>
      <c r="E101" s="119" t="s">
        <v>413</v>
      </c>
      <c r="F101" s="190">
        <v>68012258</v>
      </c>
      <c r="G101" s="119" t="s">
        <v>598</v>
      </c>
      <c r="H101" s="187" t="s">
        <v>231</v>
      </c>
      <c r="I101" s="147" t="s">
        <v>415</v>
      </c>
      <c r="J101" s="146">
        <v>83.33</v>
      </c>
      <c r="K101" s="119" t="s">
        <v>200</v>
      </c>
      <c r="L101" s="146">
        <v>3.33</v>
      </c>
      <c r="M101" s="119" t="s">
        <v>611</v>
      </c>
      <c r="N101" s="119" t="s">
        <v>93</v>
      </c>
      <c r="O101" s="141">
        <f t="shared" ref="O101" si="111">B101</f>
        <v>244005</v>
      </c>
      <c r="P101" s="141">
        <f t="shared" ref="P101" si="112">B101+7</f>
        <v>244012</v>
      </c>
      <c r="Q101" s="141">
        <f t="shared" ref="Q101" si="113">O101+2</f>
        <v>244007</v>
      </c>
      <c r="R101" s="139" t="s">
        <v>55</v>
      </c>
      <c r="S101" s="143">
        <v>244008</v>
      </c>
      <c r="T101" s="139" t="s">
        <v>55</v>
      </c>
      <c r="U101" s="143">
        <v>244014</v>
      </c>
      <c r="V101" s="139" t="s">
        <v>55</v>
      </c>
      <c r="W101" s="143">
        <v>244006</v>
      </c>
      <c r="X101" s="139"/>
      <c r="Y101" s="141"/>
      <c r="Z101" s="119" t="s">
        <v>589</v>
      </c>
      <c r="AA101" s="144"/>
    </row>
    <row r="102" spans="1:27" s="145" customFormat="1" ht="36" customHeight="1" x14ac:dyDescent="0.25">
      <c r="A102" s="119" t="s">
        <v>18</v>
      </c>
      <c r="B102" s="139">
        <v>244005</v>
      </c>
      <c r="C102" s="119" t="s">
        <v>14</v>
      </c>
      <c r="D102" s="166">
        <v>680077</v>
      </c>
      <c r="E102" s="119" t="s">
        <v>413</v>
      </c>
      <c r="F102" s="190">
        <v>68012257</v>
      </c>
      <c r="G102" s="119" t="s">
        <v>596</v>
      </c>
      <c r="H102" s="187" t="s">
        <v>268</v>
      </c>
      <c r="I102" s="147" t="s">
        <v>415</v>
      </c>
      <c r="J102" s="146">
        <v>84.83</v>
      </c>
      <c r="K102" s="119" t="s">
        <v>200</v>
      </c>
      <c r="L102" s="146">
        <v>4.83</v>
      </c>
      <c r="M102" s="119" t="s">
        <v>597</v>
      </c>
      <c r="N102" s="119" t="s">
        <v>93</v>
      </c>
      <c r="O102" s="141">
        <f t="shared" si="97"/>
        <v>244005</v>
      </c>
      <c r="P102" s="141">
        <f t="shared" si="98"/>
        <v>244012</v>
      </c>
      <c r="Q102" s="141">
        <f t="shared" si="99"/>
        <v>244007</v>
      </c>
      <c r="R102" s="139" t="s">
        <v>55</v>
      </c>
      <c r="S102" s="143">
        <v>244008</v>
      </c>
      <c r="T102" s="139" t="s">
        <v>55</v>
      </c>
      <c r="U102" s="143">
        <v>244014</v>
      </c>
      <c r="V102" s="139" t="s">
        <v>55</v>
      </c>
      <c r="W102" s="143">
        <v>244006</v>
      </c>
      <c r="X102" s="139"/>
      <c r="Y102" s="141"/>
      <c r="Z102" s="119" t="s">
        <v>589</v>
      </c>
      <c r="AA102" s="144"/>
    </row>
    <row r="103" spans="1:27" s="145" customFormat="1" ht="36" customHeight="1" x14ac:dyDescent="0.25">
      <c r="A103" s="119" t="s">
        <v>18</v>
      </c>
      <c r="B103" s="139">
        <v>244005</v>
      </c>
      <c r="C103" s="119" t="s">
        <v>14</v>
      </c>
      <c r="D103" s="166">
        <v>680078</v>
      </c>
      <c r="E103" s="119" t="s">
        <v>433</v>
      </c>
      <c r="F103" s="190">
        <v>68012262</v>
      </c>
      <c r="G103" s="119" t="s">
        <v>599</v>
      </c>
      <c r="H103" s="187" t="s">
        <v>283</v>
      </c>
      <c r="I103" s="147" t="s">
        <v>304</v>
      </c>
      <c r="J103" s="146">
        <v>72.06</v>
      </c>
      <c r="K103" s="119" t="s">
        <v>201</v>
      </c>
      <c r="L103" s="146">
        <f>76-J103</f>
        <v>3.9399999999999977</v>
      </c>
      <c r="M103" s="119" t="s">
        <v>600</v>
      </c>
      <c r="N103" s="119" t="s">
        <v>93</v>
      </c>
      <c r="O103" s="141">
        <f t="shared" si="97"/>
        <v>244005</v>
      </c>
      <c r="P103" s="141">
        <f t="shared" si="98"/>
        <v>244012</v>
      </c>
      <c r="Q103" s="141">
        <f t="shared" si="99"/>
        <v>244007</v>
      </c>
      <c r="R103" s="139" t="s">
        <v>55</v>
      </c>
      <c r="S103" s="143">
        <v>244008</v>
      </c>
      <c r="T103" s="139" t="s">
        <v>55</v>
      </c>
      <c r="U103" s="143">
        <v>244014</v>
      </c>
      <c r="V103" s="139" t="s">
        <v>55</v>
      </c>
      <c r="W103" s="143">
        <v>244014</v>
      </c>
      <c r="X103" s="119"/>
      <c r="Y103" s="141"/>
      <c r="Z103" s="119" t="s">
        <v>710</v>
      </c>
      <c r="AA103" s="144">
        <f t="shared" si="103"/>
        <v>2</v>
      </c>
    </row>
    <row r="104" spans="1:27" s="145" customFormat="1" ht="36" customHeight="1" x14ac:dyDescent="0.25">
      <c r="A104" s="119" t="s">
        <v>18</v>
      </c>
      <c r="B104" s="139">
        <v>244005</v>
      </c>
      <c r="C104" s="119" t="s">
        <v>14</v>
      </c>
      <c r="D104" s="166">
        <v>680079</v>
      </c>
      <c r="E104" s="119" t="s">
        <v>413</v>
      </c>
      <c r="F104" s="190">
        <v>68012268</v>
      </c>
      <c r="G104" s="119" t="s">
        <v>601</v>
      </c>
      <c r="H104" s="187" t="s">
        <v>232</v>
      </c>
      <c r="I104" s="147" t="s">
        <v>415</v>
      </c>
      <c r="J104" s="146">
        <v>83.58</v>
      </c>
      <c r="K104" s="119" t="s">
        <v>200</v>
      </c>
      <c r="L104" s="146">
        <v>3.58</v>
      </c>
      <c r="M104" s="119" t="s">
        <v>602</v>
      </c>
      <c r="N104" s="119" t="s">
        <v>93</v>
      </c>
      <c r="O104" s="141">
        <f t="shared" si="97"/>
        <v>244005</v>
      </c>
      <c r="P104" s="141">
        <f t="shared" si="98"/>
        <v>244012</v>
      </c>
      <c r="Q104" s="141">
        <f t="shared" si="99"/>
        <v>244007</v>
      </c>
      <c r="R104" s="139" t="s">
        <v>55</v>
      </c>
      <c r="S104" s="143">
        <v>244008</v>
      </c>
      <c r="T104" s="139" t="s">
        <v>55</v>
      </c>
      <c r="U104" s="143">
        <v>244014</v>
      </c>
      <c r="V104" s="139" t="s">
        <v>55</v>
      </c>
      <c r="W104" s="143">
        <v>244005</v>
      </c>
      <c r="X104" s="139"/>
      <c r="Y104" s="141"/>
      <c r="Z104" s="119" t="s">
        <v>413</v>
      </c>
      <c r="AA104" s="144">
        <f t="shared" si="103"/>
        <v>-7</v>
      </c>
    </row>
    <row r="105" spans="1:27" s="145" customFormat="1" ht="36" customHeight="1" x14ac:dyDescent="0.25">
      <c r="A105" s="119" t="s">
        <v>18</v>
      </c>
      <c r="B105" s="139">
        <v>244006</v>
      </c>
      <c r="C105" s="119" t="s">
        <v>11</v>
      </c>
      <c r="D105" s="166">
        <v>680080</v>
      </c>
      <c r="E105" s="119" t="s">
        <v>603</v>
      </c>
      <c r="F105" s="190" t="s">
        <v>604</v>
      </c>
      <c r="G105" s="119">
        <v>680119</v>
      </c>
      <c r="H105" s="187" t="s">
        <v>135</v>
      </c>
      <c r="I105" s="147" t="s">
        <v>61</v>
      </c>
      <c r="J105" s="146">
        <v>39</v>
      </c>
      <c r="K105" s="210" t="s">
        <v>62</v>
      </c>
      <c r="L105" s="146">
        <v>9</v>
      </c>
      <c r="M105" s="257">
        <v>226.1</v>
      </c>
      <c r="N105" s="257" t="s">
        <v>53</v>
      </c>
      <c r="O105" s="141"/>
      <c r="P105" s="141"/>
      <c r="Q105" s="141"/>
      <c r="R105" s="139" t="s">
        <v>55</v>
      </c>
      <c r="S105" s="143">
        <v>244008</v>
      </c>
      <c r="T105" s="139" t="s">
        <v>55</v>
      </c>
      <c r="U105" s="143">
        <v>244014</v>
      </c>
      <c r="V105" s="139"/>
      <c r="W105" s="143"/>
      <c r="X105" s="139"/>
      <c r="Y105" s="141"/>
      <c r="Z105" s="119"/>
      <c r="AA105" s="144"/>
    </row>
    <row r="106" spans="1:27" s="145" customFormat="1" ht="36" customHeight="1" x14ac:dyDescent="0.25">
      <c r="A106" s="119" t="s">
        <v>18</v>
      </c>
      <c r="B106" s="139">
        <v>244006</v>
      </c>
      <c r="C106" s="119" t="s">
        <v>11</v>
      </c>
      <c r="D106" s="166">
        <v>680080</v>
      </c>
      <c r="E106" s="119" t="s">
        <v>603</v>
      </c>
      <c r="F106" s="190" t="s">
        <v>604</v>
      </c>
      <c r="G106" s="119">
        <v>680119</v>
      </c>
      <c r="H106" s="187" t="s">
        <v>135</v>
      </c>
      <c r="I106" s="147" t="s">
        <v>74</v>
      </c>
      <c r="J106" s="146">
        <v>4.26</v>
      </c>
      <c r="K106" s="210" t="s">
        <v>125</v>
      </c>
      <c r="L106" s="146">
        <v>0.06</v>
      </c>
      <c r="M106" s="259"/>
      <c r="N106" s="259"/>
      <c r="O106" s="141"/>
      <c r="P106" s="141"/>
      <c r="Q106" s="141"/>
      <c r="R106" s="139" t="s">
        <v>55</v>
      </c>
      <c r="S106" s="143">
        <v>244008</v>
      </c>
      <c r="T106" s="139" t="s">
        <v>55</v>
      </c>
      <c r="U106" s="143">
        <v>244014</v>
      </c>
      <c r="V106" s="139"/>
      <c r="W106" s="143"/>
      <c r="X106" s="139"/>
      <c r="Y106" s="141"/>
      <c r="Z106" s="119"/>
      <c r="AA106" s="144"/>
    </row>
    <row r="107" spans="1:27" s="145" customFormat="1" ht="36" customHeight="1" x14ac:dyDescent="0.25">
      <c r="A107" s="119" t="s">
        <v>18</v>
      </c>
      <c r="B107" s="139">
        <v>244006</v>
      </c>
      <c r="C107" s="119" t="s">
        <v>11</v>
      </c>
      <c r="D107" s="166">
        <v>680080</v>
      </c>
      <c r="E107" s="119" t="s">
        <v>603</v>
      </c>
      <c r="F107" s="190" t="s">
        <v>604</v>
      </c>
      <c r="G107" s="119">
        <v>680119</v>
      </c>
      <c r="H107" s="187" t="s">
        <v>135</v>
      </c>
      <c r="I107" s="147" t="s">
        <v>84</v>
      </c>
      <c r="J107" s="146">
        <v>3.97</v>
      </c>
      <c r="K107" s="210" t="s">
        <v>127</v>
      </c>
      <c r="L107" s="146">
        <v>0.03</v>
      </c>
      <c r="M107" s="258"/>
      <c r="N107" s="258"/>
      <c r="O107" s="141">
        <f t="shared" si="97"/>
        <v>244006</v>
      </c>
      <c r="P107" s="141">
        <f t="shared" si="98"/>
        <v>244013</v>
      </c>
      <c r="Q107" s="141">
        <f t="shared" si="99"/>
        <v>244008</v>
      </c>
      <c r="R107" s="139" t="s">
        <v>55</v>
      </c>
      <c r="S107" s="143">
        <v>244008</v>
      </c>
      <c r="T107" s="139" t="s">
        <v>55</v>
      </c>
      <c r="U107" s="143">
        <v>244014</v>
      </c>
      <c r="V107" s="139"/>
      <c r="W107" s="143"/>
      <c r="X107" s="119"/>
      <c r="Y107" s="141"/>
      <c r="Z107" s="119"/>
      <c r="AA107" s="144">
        <f t="shared" si="103"/>
        <v>-244013</v>
      </c>
    </row>
    <row r="108" spans="1:27" s="145" customFormat="1" ht="36" customHeight="1" x14ac:dyDescent="0.25">
      <c r="A108" s="119" t="s">
        <v>18</v>
      </c>
      <c r="B108" s="139">
        <v>244006</v>
      </c>
      <c r="C108" s="119" t="s">
        <v>14</v>
      </c>
      <c r="D108" s="166">
        <v>680081</v>
      </c>
      <c r="E108" s="119" t="s">
        <v>307</v>
      </c>
      <c r="F108" s="190">
        <v>68012314</v>
      </c>
      <c r="G108" s="119" t="s">
        <v>605</v>
      </c>
      <c r="H108" s="187" t="s">
        <v>301</v>
      </c>
      <c r="I108" s="147" t="s">
        <v>442</v>
      </c>
      <c r="J108" s="146" t="s">
        <v>557</v>
      </c>
      <c r="K108" s="146" t="s">
        <v>557</v>
      </c>
      <c r="L108" s="146" t="s">
        <v>69</v>
      </c>
      <c r="M108" s="119" t="s">
        <v>606</v>
      </c>
      <c r="N108" s="119" t="s">
        <v>93</v>
      </c>
      <c r="O108" s="141">
        <f t="shared" si="97"/>
        <v>244006</v>
      </c>
      <c r="P108" s="141">
        <f t="shared" si="98"/>
        <v>244013</v>
      </c>
      <c r="Q108" s="141">
        <f t="shared" si="99"/>
        <v>244008</v>
      </c>
      <c r="R108" s="139" t="s">
        <v>55</v>
      </c>
      <c r="S108" s="143">
        <v>244034</v>
      </c>
      <c r="T108" s="139" t="s">
        <v>55</v>
      </c>
      <c r="U108" s="143">
        <v>244034</v>
      </c>
      <c r="V108" s="139" t="s">
        <v>55</v>
      </c>
      <c r="W108" s="143">
        <v>244006</v>
      </c>
      <c r="X108" s="139"/>
      <c r="Y108" s="141"/>
      <c r="Z108" s="119" t="s">
        <v>559</v>
      </c>
      <c r="AA108" s="144">
        <f t="shared" si="103"/>
        <v>-7</v>
      </c>
    </row>
    <row r="109" spans="1:27" s="145" customFormat="1" ht="36" customHeight="1" x14ac:dyDescent="0.25">
      <c r="A109" s="119" t="s">
        <v>18</v>
      </c>
      <c r="B109" s="139">
        <v>244006</v>
      </c>
      <c r="C109" s="119" t="s">
        <v>14</v>
      </c>
      <c r="D109" s="166">
        <v>680082</v>
      </c>
      <c r="E109" s="119" t="s">
        <v>433</v>
      </c>
      <c r="F109" s="190">
        <v>68012319</v>
      </c>
      <c r="G109" s="119" t="s">
        <v>607</v>
      </c>
      <c r="H109" s="187" t="s">
        <v>283</v>
      </c>
      <c r="I109" s="147" t="s">
        <v>304</v>
      </c>
      <c r="J109" s="146">
        <v>73.17</v>
      </c>
      <c r="K109" s="119" t="s">
        <v>201</v>
      </c>
      <c r="L109" s="146">
        <f>76-J109</f>
        <v>2.8299999999999983</v>
      </c>
      <c r="M109" s="119" t="s">
        <v>608</v>
      </c>
      <c r="N109" s="119" t="s">
        <v>93</v>
      </c>
      <c r="O109" s="141">
        <f t="shared" si="97"/>
        <v>244006</v>
      </c>
      <c r="P109" s="141">
        <f t="shared" si="98"/>
        <v>244013</v>
      </c>
      <c r="Q109" s="141">
        <f t="shared" si="99"/>
        <v>244008</v>
      </c>
      <c r="R109" s="139" t="s">
        <v>55</v>
      </c>
      <c r="S109" s="143">
        <v>244008</v>
      </c>
      <c r="T109" s="139" t="s">
        <v>55</v>
      </c>
      <c r="U109" s="143">
        <v>244014</v>
      </c>
      <c r="V109" s="139" t="s">
        <v>55</v>
      </c>
      <c r="W109" s="143">
        <v>244014</v>
      </c>
      <c r="X109" s="139"/>
      <c r="Y109" s="141"/>
      <c r="Z109" s="119" t="s">
        <v>710</v>
      </c>
      <c r="AA109" s="144">
        <f t="shared" si="103"/>
        <v>1</v>
      </c>
    </row>
    <row r="110" spans="1:27" s="145" customFormat="1" ht="36" customHeight="1" x14ac:dyDescent="0.25">
      <c r="A110" s="119" t="s">
        <v>18</v>
      </c>
      <c r="B110" s="139">
        <v>244006</v>
      </c>
      <c r="C110" s="119" t="s">
        <v>14</v>
      </c>
      <c r="D110" s="166">
        <v>680083</v>
      </c>
      <c r="E110" s="119" t="s">
        <v>413</v>
      </c>
      <c r="F110" s="190">
        <v>68012332</v>
      </c>
      <c r="G110" s="119" t="s">
        <v>609</v>
      </c>
      <c r="H110" s="187" t="s">
        <v>206</v>
      </c>
      <c r="I110" s="147" t="s">
        <v>415</v>
      </c>
      <c r="J110" s="146">
        <v>86.91</v>
      </c>
      <c r="K110" s="119" t="s">
        <v>207</v>
      </c>
      <c r="L110" s="146">
        <f>J110-80</f>
        <v>6.9099999999999966</v>
      </c>
      <c r="M110" s="119" t="s">
        <v>610</v>
      </c>
      <c r="N110" s="119" t="s">
        <v>93</v>
      </c>
      <c r="O110" s="141">
        <f t="shared" si="97"/>
        <v>244006</v>
      </c>
      <c r="P110" s="141">
        <f t="shared" si="98"/>
        <v>244013</v>
      </c>
      <c r="Q110" s="141">
        <f t="shared" si="99"/>
        <v>244008</v>
      </c>
      <c r="R110" s="139" t="s">
        <v>55</v>
      </c>
      <c r="S110" s="143">
        <v>244034</v>
      </c>
      <c r="T110" s="139" t="s">
        <v>55</v>
      </c>
      <c r="U110" s="143">
        <v>244034</v>
      </c>
      <c r="V110" s="139" t="s">
        <v>55</v>
      </c>
      <c r="W110" s="143">
        <v>244006</v>
      </c>
      <c r="X110" s="139"/>
      <c r="Y110" s="141"/>
      <c r="Z110" s="119" t="s">
        <v>589</v>
      </c>
      <c r="AA110" s="144">
        <f t="shared" si="103"/>
        <v>-7</v>
      </c>
    </row>
    <row r="111" spans="1:27" s="145" customFormat="1" ht="36" customHeight="1" x14ac:dyDescent="0.25">
      <c r="A111" s="119" t="s">
        <v>18</v>
      </c>
      <c r="B111" s="139">
        <v>244006</v>
      </c>
      <c r="C111" s="119" t="s">
        <v>14</v>
      </c>
      <c r="D111" s="166">
        <v>680084</v>
      </c>
      <c r="E111" s="119" t="s">
        <v>413</v>
      </c>
      <c r="F111" s="190">
        <v>68012340</v>
      </c>
      <c r="G111" s="119" t="s">
        <v>612</v>
      </c>
      <c r="H111" s="187" t="s">
        <v>265</v>
      </c>
      <c r="I111" s="147" t="s">
        <v>415</v>
      </c>
      <c r="J111" s="146">
        <v>85.36</v>
      </c>
      <c r="K111" s="119" t="s">
        <v>207</v>
      </c>
      <c r="L111" s="146">
        <f>J111-80</f>
        <v>5.3599999999999994</v>
      </c>
      <c r="M111" s="119" t="s">
        <v>615</v>
      </c>
      <c r="N111" s="119" t="s">
        <v>93</v>
      </c>
      <c r="O111" s="141">
        <f t="shared" si="97"/>
        <v>244006</v>
      </c>
      <c r="P111" s="141">
        <f t="shared" si="98"/>
        <v>244013</v>
      </c>
      <c r="Q111" s="141">
        <f t="shared" si="99"/>
        <v>244008</v>
      </c>
      <c r="R111" s="139" t="s">
        <v>55</v>
      </c>
      <c r="S111" s="143">
        <v>244014</v>
      </c>
      <c r="T111" s="139" t="s">
        <v>55</v>
      </c>
      <c r="U111" s="143">
        <v>244017</v>
      </c>
      <c r="V111" s="139" t="s">
        <v>55</v>
      </c>
      <c r="W111" s="143">
        <v>244007</v>
      </c>
      <c r="X111" s="139"/>
      <c r="Y111" s="141"/>
      <c r="Z111" s="119" t="s">
        <v>589</v>
      </c>
      <c r="AA111" s="144">
        <f t="shared" si="103"/>
        <v>-6</v>
      </c>
    </row>
    <row r="112" spans="1:27" s="145" customFormat="1" ht="36" customHeight="1" x14ac:dyDescent="0.25">
      <c r="A112" s="119" t="s">
        <v>18</v>
      </c>
      <c r="B112" s="139">
        <v>244006</v>
      </c>
      <c r="C112" s="119" t="s">
        <v>14</v>
      </c>
      <c r="D112" s="166">
        <v>680084</v>
      </c>
      <c r="E112" s="119" t="s">
        <v>413</v>
      </c>
      <c r="F112" s="190">
        <v>68012338</v>
      </c>
      <c r="G112" s="119" t="s">
        <v>613</v>
      </c>
      <c r="H112" s="187" t="s">
        <v>270</v>
      </c>
      <c r="I112" s="147" t="s">
        <v>415</v>
      </c>
      <c r="J112" s="146">
        <v>86.82</v>
      </c>
      <c r="K112" s="119" t="s">
        <v>207</v>
      </c>
      <c r="L112" s="146">
        <f t="shared" ref="L112:L113" si="114">J112-80</f>
        <v>6.8199999999999932</v>
      </c>
      <c r="M112" s="119" t="s">
        <v>616</v>
      </c>
      <c r="N112" s="119" t="s">
        <v>93</v>
      </c>
      <c r="O112" s="141">
        <f t="shared" ref="O112:O113" si="115">B112</f>
        <v>244006</v>
      </c>
      <c r="P112" s="141">
        <f t="shared" ref="P112:P113" si="116">B112+7</f>
        <v>244013</v>
      </c>
      <c r="Q112" s="141">
        <f t="shared" ref="Q112:Q113" si="117">O112+2</f>
        <v>244008</v>
      </c>
      <c r="R112" s="139" t="s">
        <v>55</v>
      </c>
      <c r="S112" s="143">
        <v>244014</v>
      </c>
      <c r="T112" s="139" t="s">
        <v>55</v>
      </c>
      <c r="U112" s="143">
        <v>244017</v>
      </c>
      <c r="V112" s="139" t="s">
        <v>55</v>
      </c>
      <c r="W112" s="143">
        <v>244007</v>
      </c>
      <c r="X112" s="139"/>
      <c r="Y112" s="141"/>
      <c r="Z112" s="119" t="s">
        <v>589</v>
      </c>
      <c r="AA112" s="144"/>
    </row>
    <row r="113" spans="1:27" s="145" customFormat="1" ht="36" customHeight="1" x14ac:dyDescent="0.25">
      <c r="A113" s="119" t="s">
        <v>18</v>
      </c>
      <c r="B113" s="139">
        <v>244006</v>
      </c>
      <c r="C113" s="119" t="s">
        <v>14</v>
      </c>
      <c r="D113" s="166">
        <v>680084</v>
      </c>
      <c r="E113" s="119" t="s">
        <v>413</v>
      </c>
      <c r="F113" s="190">
        <v>68012337</v>
      </c>
      <c r="G113" s="119" t="s">
        <v>614</v>
      </c>
      <c r="H113" s="187" t="s">
        <v>271</v>
      </c>
      <c r="I113" s="147" t="s">
        <v>415</v>
      </c>
      <c r="J113" s="146">
        <v>85.66</v>
      </c>
      <c r="K113" s="119" t="s">
        <v>207</v>
      </c>
      <c r="L113" s="146">
        <f t="shared" si="114"/>
        <v>5.6599999999999966</v>
      </c>
      <c r="M113" s="119" t="s">
        <v>617</v>
      </c>
      <c r="N113" s="119" t="s">
        <v>93</v>
      </c>
      <c r="O113" s="141">
        <f t="shared" si="115"/>
        <v>244006</v>
      </c>
      <c r="P113" s="141">
        <f t="shared" si="116"/>
        <v>244013</v>
      </c>
      <c r="Q113" s="141">
        <f t="shared" si="117"/>
        <v>244008</v>
      </c>
      <c r="R113" s="139" t="s">
        <v>55</v>
      </c>
      <c r="S113" s="143">
        <v>244014</v>
      </c>
      <c r="T113" s="139" t="s">
        <v>55</v>
      </c>
      <c r="U113" s="143">
        <v>244017</v>
      </c>
      <c r="V113" s="139" t="s">
        <v>55</v>
      </c>
      <c r="W113" s="143">
        <v>244007</v>
      </c>
      <c r="X113" s="139"/>
      <c r="Y113" s="141"/>
      <c r="Z113" s="119" t="s">
        <v>589</v>
      </c>
      <c r="AA113" s="144"/>
    </row>
    <row r="114" spans="1:27" s="145" customFormat="1" ht="36" customHeight="1" x14ac:dyDescent="0.25">
      <c r="A114" s="119" t="s">
        <v>18</v>
      </c>
      <c r="B114" s="139">
        <v>244006</v>
      </c>
      <c r="C114" s="119" t="s">
        <v>14</v>
      </c>
      <c r="D114" s="166">
        <v>680085</v>
      </c>
      <c r="E114" s="119" t="s">
        <v>307</v>
      </c>
      <c r="F114" s="190">
        <v>68012349</v>
      </c>
      <c r="G114" s="119" t="s">
        <v>605</v>
      </c>
      <c r="H114" s="187" t="s">
        <v>301</v>
      </c>
      <c r="I114" s="147" t="s">
        <v>308</v>
      </c>
      <c r="J114" s="146">
        <v>69.17</v>
      </c>
      <c r="K114" s="119" t="s">
        <v>200</v>
      </c>
      <c r="L114" s="146">
        <f>J114-66</f>
        <v>3.1700000000000017</v>
      </c>
      <c r="M114" s="119" t="s">
        <v>618</v>
      </c>
      <c r="N114" s="119" t="s">
        <v>93</v>
      </c>
      <c r="O114" s="141">
        <f t="shared" si="97"/>
        <v>244006</v>
      </c>
      <c r="P114" s="141">
        <f t="shared" si="98"/>
        <v>244013</v>
      </c>
      <c r="Q114" s="141">
        <f t="shared" si="99"/>
        <v>244008</v>
      </c>
      <c r="R114" s="139" t="s">
        <v>55</v>
      </c>
      <c r="S114" s="143">
        <v>244034</v>
      </c>
      <c r="T114" s="139" t="s">
        <v>55</v>
      </c>
      <c r="U114" s="143">
        <v>244034</v>
      </c>
      <c r="V114" s="139" t="s">
        <v>55</v>
      </c>
      <c r="W114" s="143">
        <v>244007</v>
      </c>
      <c r="X114" s="139"/>
      <c r="Y114" s="141"/>
      <c r="Z114" s="119" t="s">
        <v>568</v>
      </c>
      <c r="AA114" s="144">
        <f t="shared" si="103"/>
        <v>-6</v>
      </c>
    </row>
    <row r="115" spans="1:27" s="145" customFormat="1" ht="36" customHeight="1" x14ac:dyDescent="0.25">
      <c r="A115" s="119" t="s">
        <v>18</v>
      </c>
      <c r="B115" s="139">
        <v>244006</v>
      </c>
      <c r="C115" s="119" t="s">
        <v>14</v>
      </c>
      <c r="D115" s="166">
        <v>680086</v>
      </c>
      <c r="E115" s="119" t="s">
        <v>413</v>
      </c>
      <c r="F115" s="190">
        <v>68012358</v>
      </c>
      <c r="G115" s="119" t="s">
        <v>621</v>
      </c>
      <c r="H115" s="187" t="s">
        <v>221</v>
      </c>
      <c r="I115" s="154" t="s">
        <v>415</v>
      </c>
      <c r="J115" s="146">
        <v>83.24</v>
      </c>
      <c r="K115" s="119" t="s">
        <v>200</v>
      </c>
      <c r="L115" s="146">
        <v>3.24</v>
      </c>
      <c r="M115" s="119" t="s">
        <v>622</v>
      </c>
      <c r="N115" s="119" t="s">
        <v>93</v>
      </c>
      <c r="O115" s="141">
        <f t="shared" ref="O115:O116" si="118">B115</f>
        <v>244006</v>
      </c>
      <c r="P115" s="141">
        <f t="shared" ref="P115:P116" si="119">B115+7</f>
        <v>244013</v>
      </c>
      <c r="Q115" s="141">
        <f t="shared" ref="Q115:Q116" si="120">O115+2</f>
        <v>244008</v>
      </c>
      <c r="R115" s="139" t="s">
        <v>55</v>
      </c>
      <c r="S115" s="143">
        <v>244014</v>
      </c>
      <c r="T115" s="139" t="s">
        <v>55</v>
      </c>
      <c r="U115" s="143">
        <v>244017</v>
      </c>
      <c r="V115" s="139" t="s">
        <v>55</v>
      </c>
      <c r="W115" s="143">
        <v>244007</v>
      </c>
      <c r="X115" s="139"/>
      <c r="Y115" s="141"/>
      <c r="Z115" s="119" t="s">
        <v>589</v>
      </c>
      <c r="AA115" s="144">
        <f t="shared" ref="AA115:AA116" si="121">W115-P115</f>
        <v>-6</v>
      </c>
    </row>
    <row r="116" spans="1:27" s="145" customFormat="1" ht="36" customHeight="1" x14ac:dyDescent="0.25">
      <c r="A116" s="119" t="s">
        <v>18</v>
      </c>
      <c r="B116" s="139">
        <v>244006</v>
      </c>
      <c r="C116" s="119" t="s">
        <v>14</v>
      </c>
      <c r="D116" s="166">
        <v>680086</v>
      </c>
      <c r="E116" s="119" t="s">
        <v>413</v>
      </c>
      <c r="F116" s="190">
        <v>68012363</v>
      </c>
      <c r="G116" s="119" t="s">
        <v>623</v>
      </c>
      <c r="H116" s="187" t="s">
        <v>292</v>
      </c>
      <c r="I116" s="154" t="s">
        <v>415</v>
      </c>
      <c r="J116" s="146">
        <v>88.47</v>
      </c>
      <c r="K116" s="119" t="s">
        <v>200</v>
      </c>
      <c r="L116" s="146">
        <v>8.4700000000000006</v>
      </c>
      <c r="M116" s="211" t="s">
        <v>751</v>
      </c>
      <c r="N116" s="119" t="s">
        <v>93</v>
      </c>
      <c r="O116" s="141">
        <f t="shared" si="118"/>
        <v>244006</v>
      </c>
      <c r="P116" s="141">
        <f t="shared" si="119"/>
        <v>244013</v>
      </c>
      <c r="Q116" s="141">
        <f t="shared" si="120"/>
        <v>244008</v>
      </c>
      <c r="R116" s="139" t="s">
        <v>55</v>
      </c>
      <c r="S116" s="143">
        <v>244014</v>
      </c>
      <c r="T116" s="139"/>
      <c r="U116" s="143"/>
      <c r="V116" s="139" t="s">
        <v>55</v>
      </c>
      <c r="W116" s="143">
        <v>244022</v>
      </c>
      <c r="X116" s="139"/>
      <c r="Y116" s="141"/>
      <c r="Z116" s="119" t="s">
        <v>778</v>
      </c>
      <c r="AA116" s="144">
        <f t="shared" si="121"/>
        <v>9</v>
      </c>
    </row>
    <row r="117" spans="1:27" s="145" customFormat="1" ht="36" customHeight="1" x14ac:dyDescent="0.25">
      <c r="A117" s="119" t="s">
        <v>18</v>
      </c>
      <c r="B117" s="139">
        <v>244006</v>
      </c>
      <c r="C117" s="119" t="s">
        <v>14</v>
      </c>
      <c r="D117" s="166">
        <v>680086</v>
      </c>
      <c r="E117" s="119" t="s">
        <v>413</v>
      </c>
      <c r="F117" s="190">
        <v>68012366</v>
      </c>
      <c r="G117" s="119" t="s">
        <v>624</v>
      </c>
      <c r="H117" s="187" t="s">
        <v>247</v>
      </c>
      <c r="I117" s="154" t="s">
        <v>415</v>
      </c>
      <c r="J117" s="146">
        <v>83.47</v>
      </c>
      <c r="K117" s="119" t="s">
        <v>200</v>
      </c>
      <c r="L117" s="146">
        <v>3.47</v>
      </c>
      <c r="M117" s="119" t="s">
        <v>625</v>
      </c>
      <c r="N117" s="119" t="s">
        <v>93</v>
      </c>
      <c r="O117" s="141">
        <f t="shared" si="97"/>
        <v>244006</v>
      </c>
      <c r="P117" s="141">
        <f t="shared" si="98"/>
        <v>244013</v>
      </c>
      <c r="Q117" s="141">
        <f t="shared" si="99"/>
        <v>244008</v>
      </c>
      <c r="R117" s="139" t="s">
        <v>55</v>
      </c>
      <c r="S117" s="143">
        <v>244014</v>
      </c>
      <c r="T117" s="139" t="s">
        <v>55</v>
      </c>
      <c r="U117" s="143">
        <v>244017</v>
      </c>
      <c r="V117" s="139" t="s">
        <v>55</v>
      </c>
      <c r="W117" s="143">
        <v>244007</v>
      </c>
      <c r="X117" s="139"/>
      <c r="Y117" s="141"/>
      <c r="Z117" s="119" t="s">
        <v>589</v>
      </c>
      <c r="AA117" s="144">
        <f t="shared" si="103"/>
        <v>-6</v>
      </c>
    </row>
    <row r="118" spans="1:27" s="145" customFormat="1" ht="36" customHeight="1" x14ac:dyDescent="0.25">
      <c r="A118" s="119" t="s">
        <v>18</v>
      </c>
      <c r="B118" s="139">
        <v>244006</v>
      </c>
      <c r="C118" s="119" t="s">
        <v>14</v>
      </c>
      <c r="D118" s="166">
        <v>680087</v>
      </c>
      <c r="E118" s="119" t="s">
        <v>517</v>
      </c>
      <c r="F118" s="190">
        <v>68012352</v>
      </c>
      <c r="G118" s="119" t="s">
        <v>619</v>
      </c>
      <c r="H118" s="187" t="s">
        <v>299</v>
      </c>
      <c r="I118" s="154" t="s">
        <v>519</v>
      </c>
      <c r="J118" s="146">
        <v>71.83</v>
      </c>
      <c r="K118" s="119" t="s">
        <v>207</v>
      </c>
      <c r="L118" s="146">
        <f>J118-68</f>
        <v>3.8299999999999983</v>
      </c>
      <c r="M118" s="119" t="s">
        <v>620</v>
      </c>
      <c r="N118" s="119" t="s">
        <v>93</v>
      </c>
      <c r="O118" s="141">
        <f t="shared" si="97"/>
        <v>244006</v>
      </c>
      <c r="P118" s="141">
        <f t="shared" si="98"/>
        <v>244013</v>
      </c>
      <c r="Q118" s="141">
        <f t="shared" si="99"/>
        <v>244008</v>
      </c>
      <c r="R118" s="139" t="s">
        <v>55</v>
      </c>
      <c r="S118" s="143">
        <v>244008</v>
      </c>
      <c r="T118" s="139" t="s">
        <v>55</v>
      </c>
      <c r="U118" s="143">
        <v>244014</v>
      </c>
      <c r="V118" s="139" t="s">
        <v>55</v>
      </c>
      <c r="W118" s="143">
        <v>244014</v>
      </c>
      <c r="X118" s="139"/>
      <c r="Y118" s="141"/>
      <c r="Z118" s="119" t="s">
        <v>517</v>
      </c>
      <c r="AA118" s="144"/>
    </row>
    <row r="119" spans="1:27" s="145" customFormat="1" ht="36" customHeight="1" x14ac:dyDescent="0.25">
      <c r="A119" s="119" t="s">
        <v>18</v>
      </c>
      <c r="B119" s="139">
        <v>244007</v>
      </c>
      <c r="C119" s="119" t="s">
        <v>14</v>
      </c>
      <c r="D119" s="166">
        <v>680088</v>
      </c>
      <c r="E119" s="119" t="s">
        <v>413</v>
      </c>
      <c r="F119" s="190">
        <v>68012411</v>
      </c>
      <c r="G119" s="119" t="s">
        <v>626</v>
      </c>
      <c r="H119" s="187" t="s">
        <v>236</v>
      </c>
      <c r="I119" s="147" t="s">
        <v>415</v>
      </c>
      <c r="J119" s="146">
        <v>83.45</v>
      </c>
      <c r="K119" s="119" t="s">
        <v>200</v>
      </c>
      <c r="L119" s="146">
        <f t="shared" ref="L119" si="122">J119-80</f>
        <v>3.4500000000000028</v>
      </c>
      <c r="M119" s="119" t="s">
        <v>627</v>
      </c>
      <c r="N119" s="119" t="s">
        <v>93</v>
      </c>
      <c r="O119" s="141">
        <f t="shared" si="97"/>
        <v>244007</v>
      </c>
      <c r="P119" s="141">
        <f t="shared" si="98"/>
        <v>244014</v>
      </c>
      <c r="Q119" s="141">
        <f t="shared" si="99"/>
        <v>244009</v>
      </c>
      <c r="R119" s="139" t="s">
        <v>55</v>
      </c>
      <c r="S119" s="143">
        <v>244034</v>
      </c>
      <c r="T119" s="139" t="s">
        <v>55</v>
      </c>
      <c r="U119" s="143">
        <v>244034</v>
      </c>
      <c r="V119" s="139" t="s">
        <v>55</v>
      </c>
      <c r="W119" s="143">
        <v>244007</v>
      </c>
      <c r="X119" s="139"/>
      <c r="Y119" s="141"/>
      <c r="Z119" s="119" t="s">
        <v>589</v>
      </c>
      <c r="AA119" s="144">
        <f t="shared" si="103"/>
        <v>-7</v>
      </c>
    </row>
    <row r="120" spans="1:27" s="145" customFormat="1" ht="36" customHeight="1" x14ac:dyDescent="0.25">
      <c r="A120" s="119" t="s">
        <v>18</v>
      </c>
      <c r="B120" s="139">
        <v>244007</v>
      </c>
      <c r="C120" s="119" t="s">
        <v>14</v>
      </c>
      <c r="D120" s="166">
        <v>680088</v>
      </c>
      <c r="E120" s="119" t="s">
        <v>413</v>
      </c>
      <c r="F120" s="190">
        <v>68012426</v>
      </c>
      <c r="G120" s="119" t="s">
        <v>630</v>
      </c>
      <c r="H120" s="187" t="s">
        <v>218</v>
      </c>
      <c r="I120" s="147" t="s">
        <v>415</v>
      </c>
      <c r="J120" s="146">
        <v>84.55</v>
      </c>
      <c r="K120" s="119" t="s">
        <v>207</v>
      </c>
      <c r="L120" s="146">
        <f t="shared" ref="L120:L121" si="123">J120-80</f>
        <v>4.5499999999999972</v>
      </c>
      <c r="M120" s="119" t="s">
        <v>631</v>
      </c>
      <c r="N120" s="119" t="s">
        <v>93</v>
      </c>
      <c r="O120" s="141">
        <f t="shared" ref="O120:O121" si="124">B120</f>
        <v>244007</v>
      </c>
      <c r="P120" s="141">
        <f t="shared" ref="P120:P121" si="125">B120+7</f>
        <v>244014</v>
      </c>
      <c r="Q120" s="141">
        <f t="shared" ref="Q120:Q121" si="126">O120+2</f>
        <v>244009</v>
      </c>
      <c r="R120" s="139" t="s">
        <v>55</v>
      </c>
      <c r="S120" s="143">
        <v>244034</v>
      </c>
      <c r="T120" s="139" t="s">
        <v>55</v>
      </c>
      <c r="U120" s="143">
        <v>244034</v>
      </c>
      <c r="V120" s="139" t="s">
        <v>55</v>
      </c>
      <c r="W120" s="143">
        <v>244007</v>
      </c>
      <c r="X120" s="139"/>
      <c r="Y120" s="141"/>
      <c r="Z120" s="119" t="s">
        <v>589</v>
      </c>
      <c r="AA120" s="144"/>
    </row>
    <row r="121" spans="1:27" s="145" customFormat="1" ht="36" customHeight="1" x14ac:dyDescent="0.25">
      <c r="A121" s="119" t="s">
        <v>18</v>
      </c>
      <c r="B121" s="139">
        <v>244007</v>
      </c>
      <c r="C121" s="119" t="s">
        <v>14</v>
      </c>
      <c r="D121" s="166">
        <v>680088</v>
      </c>
      <c r="E121" s="119" t="s">
        <v>413</v>
      </c>
      <c r="F121" s="190">
        <v>68012427</v>
      </c>
      <c r="G121" s="119" t="s">
        <v>632</v>
      </c>
      <c r="H121" s="187" t="s">
        <v>282</v>
      </c>
      <c r="I121" s="147" t="s">
        <v>415</v>
      </c>
      <c r="J121" s="146">
        <v>84.53</v>
      </c>
      <c r="K121" s="119" t="s">
        <v>200</v>
      </c>
      <c r="L121" s="146">
        <f t="shared" si="123"/>
        <v>4.5300000000000011</v>
      </c>
      <c r="M121" s="119" t="s">
        <v>633</v>
      </c>
      <c r="N121" s="119" t="s">
        <v>93</v>
      </c>
      <c r="O121" s="141">
        <f t="shared" si="124"/>
        <v>244007</v>
      </c>
      <c r="P121" s="141">
        <f t="shared" si="125"/>
        <v>244014</v>
      </c>
      <c r="Q121" s="141">
        <f t="shared" si="126"/>
        <v>244009</v>
      </c>
      <c r="R121" s="139" t="s">
        <v>55</v>
      </c>
      <c r="S121" s="143">
        <v>244034</v>
      </c>
      <c r="T121" s="139" t="s">
        <v>55</v>
      </c>
      <c r="U121" s="143">
        <v>244034</v>
      </c>
      <c r="V121" s="139" t="s">
        <v>55</v>
      </c>
      <c r="W121" s="143">
        <v>244007</v>
      </c>
      <c r="X121" s="139"/>
      <c r="Y121" s="141"/>
      <c r="Z121" s="119" t="s">
        <v>589</v>
      </c>
      <c r="AA121" s="144"/>
    </row>
    <row r="122" spans="1:27" s="145" customFormat="1" ht="36" customHeight="1" x14ac:dyDescent="0.25">
      <c r="A122" s="119" t="s">
        <v>18</v>
      </c>
      <c r="B122" s="139">
        <v>244007</v>
      </c>
      <c r="C122" s="119" t="s">
        <v>14</v>
      </c>
      <c r="D122" s="166">
        <v>680089</v>
      </c>
      <c r="E122" s="119" t="s">
        <v>307</v>
      </c>
      <c r="F122" s="190">
        <v>68012417</v>
      </c>
      <c r="G122" s="119" t="s">
        <v>628</v>
      </c>
      <c r="H122" s="187" t="s">
        <v>239</v>
      </c>
      <c r="I122" s="147" t="s">
        <v>308</v>
      </c>
      <c r="J122" s="146">
        <v>68.95</v>
      </c>
      <c r="K122" s="119" t="s">
        <v>200</v>
      </c>
      <c r="L122" s="146">
        <f>J122-66</f>
        <v>2.9500000000000028</v>
      </c>
      <c r="M122" s="119" t="s">
        <v>629</v>
      </c>
      <c r="N122" s="119" t="s">
        <v>93</v>
      </c>
      <c r="O122" s="141">
        <f t="shared" si="97"/>
        <v>244007</v>
      </c>
      <c r="P122" s="141">
        <f t="shared" si="98"/>
        <v>244014</v>
      </c>
      <c r="Q122" s="141">
        <f t="shared" si="99"/>
        <v>244009</v>
      </c>
      <c r="R122" s="139" t="s">
        <v>55</v>
      </c>
      <c r="S122" s="143">
        <v>244034</v>
      </c>
      <c r="T122" s="139" t="s">
        <v>55</v>
      </c>
      <c r="U122" s="143">
        <v>244034</v>
      </c>
      <c r="V122" s="139" t="s">
        <v>55</v>
      </c>
      <c r="W122" s="143">
        <v>244007</v>
      </c>
      <c r="X122" s="139"/>
      <c r="Y122" s="141"/>
      <c r="Z122" s="119" t="s">
        <v>568</v>
      </c>
      <c r="AA122" s="144">
        <v>-243654</v>
      </c>
    </row>
    <row r="123" spans="1:27" s="145" customFormat="1" ht="36" customHeight="1" x14ac:dyDescent="0.25">
      <c r="A123" s="119" t="s">
        <v>18</v>
      </c>
      <c r="B123" s="139">
        <v>244007</v>
      </c>
      <c r="C123" s="119" t="s">
        <v>14</v>
      </c>
      <c r="D123" s="166">
        <v>680090</v>
      </c>
      <c r="E123" s="119" t="s">
        <v>307</v>
      </c>
      <c r="F123" s="190">
        <v>68012428</v>
      </c>
      <c r="G123" s="119" t="s">
        <v>634</v>
      </c>
      <c r="H123" s="187" t="s">
        <v>301</v>
      </c>
      <c r="I123" s="147" t="s">
        <v>308</v>
      </c>
      <c r="J123" s="146">
        <v>69.180000000000007</v>
      </c>
      <c r="K123" s="119" t="s">
        <v>200</v>
      </c>
      <c r="L123" s="146">
        <f>J123-66</f>
        <v>3.1800000000000068</v>
      </c>
      <c r="M123" s="119" t="s">
        <v>635</v>
      </c>
      <c r="N123" s="119" t="s">
        <v>93</v>
      </c>
      <c r="O123" s="141">
        <f t="shared" si="97"/>
        <v>244007</v>
      </c>
      <c r="P123" s="141">
        <f t="shared" si="98"/>
        <v>244014</v>
      </c>
      <c r="Q123" s="141">
        <f t="shared" si="99"/>
        <v>244009</v>
      </c>
      <c r="R123" s="139" t="s">
        <v>55</v>
      </c>
      <c r="S123" s="143">
        <v>244034</v>
      </c>
      <c r="T123" s="139" t="s">
        <v>55</v>
      </c>
      <c r="U123" s="143">
        <v>244034</v>
      </c>
      <c r="V123" s="139" t="s">
        <v>55</v>
      </c>
      <c r="W123" s="143">
        <v>244007</v>
      </c>
      <c r="X123" s="139"/>
      <c r="Y123" s="141"/>
      <c r="Z123" s="119" t="s">
        <v>568</v>
      </c>
      <c r="AA123" s="144">
        <f t="shared" si="103"/>
        <v>-7</v>
      </c>
    </row>
    <row r="124" spans="1:27" s="145" customFormat="1" ht="36" customHeight="1" x14ac:dyDescent="0.25">
      <c r="A124" s="119" t="s">
        <v>18</v>
      </c>
      <c r="B124" s="139">
        <v>244007</v>
      </c>
      <c r="C124" s="119" t="s">
        <v>14</v>
      </c>
      <c r="D124" s="166">
        <v>680091</v>
      </c>
      <c r="E124" s="119" t="s">
        <v>426</v>
      </c>
      <c r="F124" s="190">
        <v>68012436</v>
      </c>
      <c r="G124" s="119" t="s">
        <v>644</v>
      </c>
      <c r="H124" s="187" t="s">
        <v>276</v>
      </c>
      <c r="I124" s="147" t="s">
        <v>428</v>
      </c>
      <c r="J124" s="146">
        <v>132.44</v>
      </c>
      <c r="K124" s="119" t="s">
        <v>207</v>
      </c>
      <c r="L124" s="146">
        <f>J124-129</f>
        <v>3.4399999999999977</v>
      </c>
      <c r="M124" s="119" t="s">
        <v>645</v>
      </c>
      <c r="N124" s="119" t="s">
        <v>93</v>
      </c>
      <c r="O124" s="141">
        <f t="shared" si="97"/>
        <v>244007</v>
      </c>
      <c r="P124" s="141">
        <f t="shared" si="98"/>
        <v>244014</v>
      </c>
      <c r="Q124" s="141">
        <f t="shared" si="99"/>
        <v>244009</v>
      </c>
      <c r="R124" s="139" t="s">
        <v>55</v>
      </c>
      <c r="S124" s="143">
        <v>244034</v>
      </c>
      <c r="T124" s="139" t="s">
        <v>55</v>
      </c>
      <c r="U124" s="143">
        <v>244034</v>
      </c>
      <c r="V124" s="139" t="s">
        <v>55</v>
      </c>
      <c r="W124" s="143">
        <v>244013</v>
      </c>
      <c r="X124" s="139"/>
      <c r="Y124" s="141"/>
      <c r="Z124" s="119" t="s">
        <v>685</v>
      </c>
      <c r="AA124" s="144">
        <f t="shared" ref="AA124:AA127" si="127">W124-P124</f>
        <v>-1</v>
      </c>
    </row>
    <row r="125" spans="1:27" s="145" customFormat="1" ht="36" customHeight="1" x14ac:dyDescent="0.25">
      <c r="A125" s="119" t="s">
        <v>18</v>
      </c>
      <c r="B125" s="139">
        <v>244007</v>
      </c>
      <c r="C125" s="119" t="s">
        <v>14</v>
      </c>
      <c r="D125" s="166">
        <v>680092</v>
      </c>
      <c r="E125" s="119" t="s">
        <v>307</v>
      </c>
      <c r="F125" s="190">
        <v>68012452</v>
      </c>
      <c r="G125" s="119" t="s">
        <v>638</v>
      </c>
      <c r="H125" s="187" t="s">
        <v>250</v>
      </c>
      <c r="I125" s="147" t="s">
        <v>308</v>
      </c>
      <c r="J125" s="146">
        <v>68.36</v>
      </c>
      <c r="K125" s="119" t="s">
        <v>207</v>
      </c>
      <c r="L125" s="146">
        <f>J125-66</f>
        <v>2.3599999999999994</v>
      </c>
      <c r="M125" s="119" t="s">
        <v>639</v>
      </c>
      <c r="N125" s="119" t="s">
        <v>93</v>
      </c>
      <c r="O125" s="141">
        <f t="shared" ref="O125:O127" si="128">B125</f>
        <v>244007</v>
      </c>
      <c r="P125" s="141">
        <f t="shared" ref="P125:P127" si="129">B125+7</f>
        <v>244014</v>
      </c>
      <c r="Q125" s="141">
        <f t="shared" ref="Q125:Q127" si="130">O125+2</f>
        <v>244009</v>
      </c>
      <c r="R125" s="139" t="s">
        <v>55</v>
      </c>
      <c r="S125" s="143">
        <v>244034</v>
      </c>
      <c r="T125" s="139" t="s">
        <v>55</v>
      </c>
      <c r="U125" s="143">
        <v>244034</v>
      </c>
      <c r="V125" s="139" t="s">
        <v>55</v>
      </c>
      <c r="W125" s="143">
        <v>244008</v>
      </c>
      <c r="X125" s="139"/>
      <c r="Y125" s="141"/>
      <c r="Z125" s="119" t="s">
        <v>568</v>
      </c>
      <c r="AA125" s="144">
        <f t="shared" si="127"/>
        <v>-6</v>
      </c>
    </row>
    <row r="126" spans="1:27" s="145" customFormat="1" ht="36" customHeight="1" x14ac:dyDescent="0.25">
      <c r="A126" s="119" t="s">
        <v>18</v>
      </c>
      <c r="B126" s="139">
        <v>244007</v>
      </c>
      <c r="C126" s="119" t="s">
        <v>14</v>
      </c>
      <c r="D126" s="166">
        <v>680092</v>
      </c>
      <c r="E126" s="119" t="s">
        <v>307</v>
      </c>
      <c r="F126" s="190">
        <v>68012448</v>
      </c>
      <c r="G126" s="119" t="s">
        <v>642</v>
      </c>
      <c r="H126" s="187" t="s">
        <v>251</v>
      </c>
      <c r="I126" s="147" t="s">
        <v>308</v>
      </c>
      <c r="J126" s="146">
        <v>68.94</v>
      </c>
      <c r="K126" s="119" t="s">
        <v>207</v>
      </c>
      <c r="L126" s="146">
        <f>J126-66</f>
        <v>2.9399999999999977</v>
      </c>
      <c r="M126" s="119" t="s">
        <v>643</v>
      </c>
      <c r="N126" s="119" t="s">
        <v>93</v>
      </c>
      <c r="O126" s="141">
        <f t="shared" si="128"/>
        <v>244007</v>
      </c>
      <c r="P126" s="141">
        <f t="shared" si="129"/>
        <v>244014</v>
      </c>
      <c r="Q126" s="141">
        <f t="shared" si="130"/>
        <v>244009</v>
      </c>
      <c r="R126" s="139" t="s">
        <v>55</v>
      </c>
      <c r="S126" s="143">
        <v>244034</v>
      </c>
      <c r="T126" s="139" t="s">
        <v>55</v>
      </c>
      <c r="U126" s="143">
        <v>244034</v>
      </c>
      <c r="V126" s="139" t="s">
        <v>55</v>
      </c>
      <c r="W126" s="143">
        <v>244008</v>
      </c>
      <c r="X126" s="139"/>
      <c r="Y126" s="141"/>
      <c r="Z126" s="119" t="s">
        <v>568</v>
      </c>
      <c r="AA126" s="144">
        <f t="shared" si="127"/>
        <v>-6</v>
      </c>
    </row>
    <row r="127" spans="1:27" s="145" customFormat="1" ht="36" customHeight="1" x14ac:dyDescent="0.25">
      <c r="A127" s="119" t="s">
        <v>18</v>
      </c>
      <c r="B127" s="139">
        <v>244007</v>
      </c>
      <c r="C127" s="119" t="s">
        <v>14</v>
      </c>
      <c r="D127" s="166">
        <v>680092</v>
      </c>
      <c r="E127" s="119" t="s">
        <v>307</v>
      </c>
      <c r="F127" s="190">
        <v>68012447</v>
      </c>
      <c r="G127" s="119" t="s">
        <v>640</v>
      </c>
      <c r="H127" s="187" t="s">
        <v>252</v>
      </c>
      <c r="I127" s="147" t="s">
        <v>308</v>
      </c>
      <c r="J127" s="146">
        <v>68.41</v>
      </c>
      <c r="K127" s="119" t="s">
        <v>207</v>
      </c>
      <c r="L127" s="146">
        <f>J127-66</f>
        <v>2.4099999999999966</v>
      </c>
      <c r="M127" s="119" t="s">
        <v>641</v>
      </c>
      <c r="N127" s="119" t="s">
        <v>93</v>
      </c>
      <c r="O127" s="141">
        <f t="shared" si="128"/>
        <v>244007</v>
      </c>
      <c r="P127" s="141">
        <f t="shared" si="129"/>
        <v>244014</v>
      </c>
      <c r="Q127" s="141">
        <f t="shared" si="130"/>
        <v>244009</v>
      </c>
      <c r="R127" s="139" t="s">
        <v>55</v>
      </c>
      <c r="S127" s="143">
        <v>244034</v>
      </c>
      <c r="T127" s="139" t="s">
        <v>55</v>
      </c>
      <c r="U127" s="143">
        <v>244034</v>
      </c>
      <c r="V127" s="139" t="s">
        <v>55</v>
      </c>
      <c r="W127" s="143">
        <v>244008</v>
      </c>
      <c r="X127" s="139"/>
      <c r="Y127" s="141"/>
      <c r="Z127" s="119" t="s">
        <v>568</v>
      </c>
      <c r="AA127" s="144">
        <f t="shared" si="127"/>
        <v>-6</v>
      </c>
    </row>
    <row r="128" spans="1:27" s="145" customFormat="1" ht="36" customHeight="1" x14ac:dyDescent="0.25">
      <c r="A128" s="119" t="s">
        <v>18</v>
      </c>
      <c r="B128" s="139">
        <v>244007</v>
      </c>
      <c r="C128" s="119" t="s">
        <v>14</v>
      </c>
      <c r="D128" s="166">
        <v>680092</v>
      </c>
      <c r="E128" s="119" t="s">
        <v>307</v>
      </c>
      <c r="F128" s="190">
        <v>68012453</v>
      </c>
      <c r="G128" s="119" t="s">
        <v>636</v>
      </c>
      <c r="H128" s="187" t="s">
        <v>212</v>
      </c>
      <c r="I128" s="147" t="s">
        <v>308</v>
      </c>
      <c r="J128" s="146">
        <v>69.62</v>
      </c>
      <c r="K128" s="119" t="s">
        <v>207</v>
      </c>
      <c r="L128" s="146">
        <f>J128-66</f>
        <v>3.6200000000000045</v>
      </c>
      <c r="M128" s="119" t="s">
        <v>637</v>
      </c>
      <c r="N128" s="119" t="s">
        <v>93</v>
      </c>
      <c r="O128" s="141">
        <f t="shared" si="97"/>
        <v>244007</v>
      </c>
      <c r="P128" s="141">
        <f t="shared" si="98"/>
        <v>244014</v>
      </c>
      <c r="Q128" s="141">
        <f t="shared" si="99"/>
        <v>244009</v>
      </c>
      <c r="R128" s="139" t="s">
        <v>55</v>
      </c>
      <c r="S128" s="143">
        <v>244034</v>
      </c>
      <c r="T128" s="139" t="s">
        <v>55</v>
      </c>
      <c r="U128" s="143">
        <v>244034</v>
      </c>
      <c r="V128" s="139" t="s">
        <v>55</v>
      </c>
      <c r="W128" s="143">
        <v>244008</v>
      </c>
      <c r="X128" s="139"/>
      <c r="Y128" s="141"/>
      <c r="Z128" s="119" t="s">
        <v>568</v>
      </c>
      <c r="AA128" s="144">
        <f t="shared" si="103"/>
        <v>-6</v>
      </c>
    </row>
    <row r="129" spans="1:27" s="145" customFormat="1" ht="36" customHeight="1" x14ac:dyDescent="0.25">
      <c r="A129" s="119" t="s">
        <v>18</v>
      </c>
      <c r="B129" s="139">
        <v>244007</v>
      </c>
      <c r="C129" s="119" t="s">
        <v>14</v>
      </c>
      <c r="D129" s="166">
        <v>680093</v>
      </c>
      <c r="E129" s="119" t="s">
        <v>413</v>
      </c>
      <c r="F129" s="190">
        <v>68012440</v>
      </c>
      <c r="G129" s="119" t="s">
        <v>646</v>
      </c>
      <c r="H129" s="187" t="s">
        <v>221</v>
      </c>
      <c r="I129" s="147" t="s">
        <v>415</v>
      </c>
      <c r="J129" s="146">
        <v>88.61</v>
      </c>
      <c r="K129" s="119" t="s">
        <v>207</v>
      </c>
      <c r="L129" s="146">
        <f>J129-80</f>
        <v>8.61</v>
      </c>
      <c r="M129" s="119" t="s">
        <v>647</v>
      </c>
      <c r="N129" s="119" t="s">
        <v>93</v>
      </c>
      <c r="O129" s="141">
        <f t="shared" si="97"/>
        <v>244007</v>
      </c>
      <c r="P129" s="141">
        <f t="shared" si="98"/>
        <v>244014</v>
      </c>
      <c r="Q129" s="141">
        <f t="shared" si="99"/>
        <v>244009</v>
      </c>
      <c r="R129" s="139" t="s">
        <v>55</v>
      </c>
      <c r="S129" s="143">
        <v>244034</v>
      </c>
      <c r="T129" s="139" t="s">
        <v>55</v>
      </c>
      <c r="U129" s="143">
        <v>244034</v>
      </c>
      <c r="V129" s="139" t="s">
        <v>55</v>
      </c>
      <c r="W129" s="143">
        <v>244022</v>
      </c>
      <c r="X129" s="139"/>
      <c r="Y129" s="141"/>
      <c r="Z129" s="119" t="s">
        <v>777</v>
      </c>
      <c r="AA129" s="144">
        <f t="shared" si="103"/>
        <v>8</v>
      </c>
    </row>
    <row r="130" spans="1:27" s="145" customFormat="1" ht="36" customHeight="1" x14ac:dyDescent="0.25">
      <c r="A130" s="119" t="s">
        <v>18</v>
      </c>
      <c r="B130" s="139">
        <v>244007</v>
      </c>
      <c r="C130" s="119" t="s">
        <v>14</v>
      </c>
      <c r="D130" s="166">
        <v>680094</v>
      </c>
      <c r="E130" s="119" t="s">
        <v>420</v>
      </c>
      <c r="F130" s="190">
        <v>38012454</v>
      </c>
      <c r="G130" s="119" t="s">
        <v>648</v>
      </c>
      <c r="H130" s="187" t="s">
        <v>272</v>
      </c>
      <c r="I130" s="154" t="s">
        <v>422</v>
      </c>
      <c r="J130" s="146">
        <v>127.4</v>
      </c>
      <c r="K130" s="119" t="s">
        <v>200</v>
      </c>
      <c r="L130" s="146">
        <f>J130-125</f>
        <v>2.4000000000000057</v>
      </c>
      <c r="M130" s="119" t="s">
        <v>649</v>
      </c>
      <c r="N130" s="119" t="s">
        <v>93</v>
      </c>
      <c r="O130" s="141">
        <f t="shared" si="97"/>
        <v>244007</v>
      </c>
      <c r="P130" s="141">
        <f t="shared" si="98"/>
        <v>244014</v>
      </c>
      <c r="Q130" s="141">
        <f t="shared" si="99"/>
        <v>244009</v>
      </c>
      <c r="R130" s="139" t="s">
        <v>55</v>
      </c>
      <c r="S130" s="143">
        <v>244026</v>
      </c>
      <c r="T130" s="139" t="s">
        <v>55</v>
      </c>
      <c r="U130" s="143">
        <v>244028</v>
      </c>
      <c r="V130" s="139" t="s">
        <v>55</v>
      </c>
      <c r="W130" s="143">
        <v>244025</v>
      </c>
      <c r="X130" s="139"/>
      <c r="Y130" s="141"/>
      <c r="Z130" s="119" t="s">
        <v>834</v>
      </c>
      <c r="AA130" s="144">
        <f t="shared" si="103"/>
        <v>11</v>
      </c>
    </row>
    <row r="131" spans="1:27" s="145" customFormat="1" ht="36" customHeight="1" x14ac:dyDescent="0.25">
      <c r="A131" s="119" t="s">
        <v>18</v>
      </c>
      <c r="B131" s="139">
        <v>244008</v>
      </c>
      <c r="C131" s="119" t="s">
        <v>14</v>
      </c>
      <c r="D131" s="166">
        <v>680095</v>
      </c>
      <c r="E131" s="119" t="s">
        <v>413</v>
      </c>
      <c r="F131" s="190">
        <v>68012533</v>
      </c>
      <c r="G131" s="119" t="s">
        <v>650</v>
      </c>
      <c r="H131" s="187" t="s">
        <v>218</v>
      </c>
      <c r="I131" s="147" t="s">
        <v>415</v>
      </c>
      <c r="J131" s="146">
        <v>83.35</v>
      </c>
      <c r="K131" s="119" t="s">
        <v>200</v>
      </c>
      <c r="L131" s="146">
        <f>J131-80</f>
        <v>3.3499999999999943</v>
      </c>
      <c r="M131" s="119" t="s">
        <v>651</v>
      </c>
      <c r="N131" s="119" t="s">
        <v>93</v>
      </c>
      <c r="O131" s="141">
        <f t="shared" si="97"/>
        <v>244008</v>
      </c>
      <c r="P131" s="141">
        <f t="shared" si="98"/>
        <v>244015</v>
      </c>
      <c r="Q131" s="141">
        <f t="shared" si="99"/>
        <v>244010</v>
      </c>
      <c r="R131" s="139" t="s">
        <v>55</v>
      </c>
      <c r="S131" s="143">
        <v>244035</v>
      </c>
      <c r="T131" s="139" t="s">
        <v>55</v>
      </c>
      <c r="U131" s="143">
        <v>244035</v>
      </c>
      <c r="V131" s="139" t="s">
        <v>55</v>
      </c>
      <c r="W131" s="143">
        <v>244022</v>
      </c>
      <c r="X131" s="139"/>
      <c r="Y131" s="141"/>
      <c r="Z131" s="119" t="s">
        <v>775</v>
      </c>
      <c r="AA131" s="144">
        <v>-243655</v>
      </c>
    </row>
    <row r="132" spans="1:27" s="145" customFormat="1" ht="36" customHeight="1" x14ac:dyDescent="0.25">
      <c r="A132" s="119" t="s">
        <v>18</v>
      </c>
      <c r="B132" s="139">
        <v>244008</v>
      </c>
      <c r="C132" s="119" t="s">
        <v>14</v>
      </c>
      <c r="D132" s="166">
        <v>680095</v>
      </c>
      <c r="E132" s="119" t="s">
        <v>413</v>
      </c>
      <c r="F132" s="190">
        <v>68012534</v>
      </c>
      <c r="G132" s="119" t="s">
        <v>652</v>
      </c>
      <c r="H132" s="187" t="s">
        <v>217</v>
      </c>
      <c r="I132" s="147" t="s">
        <v>415</v>
      </c>
      <c r="J132" s="146">
        <v>85.24</v>
      </c>
      <c r="K132" s="119" t="s">
        <v>207</v>
      </c>
      <c r="L132" s="146">
        <f>J132-80</f>
        <v>5.2399999999999949</v>
      </c>
      <c r="M132" s="119" t="s">
        <v>653</v>
      </c>
      <c r="N132" s="119" t="s">
        <v>93</v>
      </c>
      <c r="O132" s="141">
        <f t="shared" ref="O132:O134" si="131">B132</f>
        <v>244008</v>
      </c>
      <c r="P132" s="141">
        <f t="shared" ref="P132:P134" si="132">B132+7</f>
        <v>244015</v>
      </c>
      <c r="Q132" s="141">
        <f t="shared" ref="Q132:Q134" si="133">O132+2</f>
        <v>244010</v>
      </c>
      <c r="R132" s="139" t="s">
        <v>55</v>
      </c>
      <c r="S132" s="143">
        <v>244035</v>
      </c>
      <c r="T132" s="139" t="s">
        <v>55</v>
      </c>
      <c r="U132" s="143">
        <v>244035</v>
      </c>
      <c r="V132" s="139" t="s">
        <v>55</v>
      </c>
      <c r="W132" s="143">
        <v>244022</v>
      </c>
      <c r="X132" s="139"/>
      <c r="Y132" s="141"/>
      <c r="Z132" s="119" t="s">
        <v>775</v>
      </c>
      <c r="AA132" s="144"/>
    </row>
    <row r="133" spans="1:27" s="145" customFormat="1" ht="36" customHeight="1" x14ac:dyDescent="0.25">
      <c r="A133" s="119" t="s">
        <v>18</v>
      </c>
      <c r="B133" s="139">
        <v>244008</v>
      </c>
      <c r="C133" s="119" t="s">
        <v>14</v>
      </c>
      <c r="D133" s="166">
        <v>680096</v>
      </c>
      <c r="E133" s="119" t="s">
        <v>413</v>
      </c>
      <c r="F133" s="190">
        <v>68012548</v>
      </c>
      <c r="G133" s="119" t="s">
        <v>655</v>
      </c>
      <c r="H133" s="187" t="s">
        <v>270</v>
      </c>
      <c r="I133" s="147" t="s">
        <v>415</v>
      </c>
      <c r="J133" s="119">
        <v>85.85</v>
      </c>
      <c r="K133" s="119" t="s">
        <v>200</v>
      </c>
      <c r="L133" s="119">
        <v>5.85</v>
      </c>
      <c r="M133" s="150" t="s">
        <v>656</v>
      </c>
      <c r="N133" s="119" t="s">
        <v>93</v>
      </c>
      <c r="O133" s="141">
        <f t="shared" si="131"/>
        <v>244008</v>
      </c>
      <c r="P133" s="141">
        <f t="shared" si="132"/>
        <v>244015</v>
      </c>
      <c r="Q133" s="141">
        <f t="shared" si="133"/>
        <v>244010</v>
      </c>
      <c r="R133" s="139" t="s">
        <v>55</v>
      </c>
      <c r="S133" s="143">
        <v>244035</v>
      </c>
      <c r="T133" s="139" t="s">
        <v>55</v>
      </c>
      <c r="U133" s="143">
        <v>244035</v>
      </c>
      <c r="V133" s="139" t="s">
        <v>55</v>
      </c>
      <c r="W133" s="143">
        <v>244022</v>
      </c>
      <c r="X133" s="139"/>
      <c r="Y133" s="141"/>
      <c r="Z133" s="119" t="s">
        <v>775</v>
      </c>
      <c r="AA133" s="144">
        <v>-243655</v>
      </c>
    </row>
    <row r="134" spans="1:27" s="145" customFormat="1" ht="36" customHeight="1" x14ac:dyDescent="0.25">
      <c r="A134" s="119" t="s">
        <v>18</v>
      </c>
      <c r="B134" s="139">
        <v>244008</v>
      </c>
      <c r="C134" s="119" t="s">
        <v>14</v>
      </c>
      <c r="D134" s="166">
        <v>680096</v>
      </c>
      <c r="E134" s="119" t="s">
        <v>413</v>
      </c>
      <c r="F134" s="190">
        <v>68012550</v>
      </c>
      <c r="G134" s="119" t="s">
        <v>654</v>
      </c>
      <c r="H134" s="187" t="s">
        <v>269</v>
      </c>
      <c r="I134" s="147" t="s">
        <v>415</v>
      </c>
      <c r="J134" s="119">
        <v>85.16</v>
      </c>
      <c r="K134" s="119" t="s">
        <v>200</v>
      </c>
      <c r="L134" s="119">
        <v>5.16</v>
      </c>
      <c r="M134" s="150" t="s">
        <v>776</v>
      </c>
      <c r="N134" s="119" t="s">
        <v>93</v>
      </c>
      <c r="O134" s="141">
        <f t="shared" si="131"/>
        <v>244008</v>
      </c>
      <c r="P134" s="141">
        <f t="shared" si="132"/>
        <v>244015</v>
      </c>
      <c r="Q134" s="141">
        <f t="shared" si="133"/>
        <v>244010</v>
      </c>
      <c r="R134" s="139" t="s">
        <v>55</v>
      </c>
      <c r="S134" s="143">
        <v>244035</v>
      </c>
      <c r="T134" s="139" t="s">
        <v>55</v>
      </c>
      <c r="U134" s="143">
        <v>244035</v>
      </c>
      <c r="V134" s="139" t="s">
        <v>55</v>
      </c>
      <c r="W134" s="143">
        <v>244022</v>
      </c>
      <c r="X134" s="139"/>
      <c r="Y134" s="141"/>
      <c r="Z134" s="119" t="s">
        <v>775</v>
      </c>
      <c r="AA134" s="144">
        <v>-243655</v>
      </c>
    </row>
    <row r="135" spans="1:27" s="145" customFormat="1" ht="36" customHeight="1" x14ac:dyDescent="0.25">
      <c r="A135" s="119" t="s">
        <v>18</v>
      </c>
      <c r="B135" s="139">
        <v>244008</v>
      </c>
      <c r="C135" s="119" t="s">
        <v>14</v>
      </c>
      <c r="D135" s="166">
        <v>680096</v>
      </c>
      <c r="E135" s="119" t="s">
        <v>413</v>
      </c>
      <c r="F135" s="190">
        <v>68012567</v>
      </c>
      <c r="G135" s="119" t="s">
        <v>663</v>
      </c>
      <c r="H135" s="187" t="s">
        <v>282</v>
      </c>
      <c r="I135" s="147" t="s">
        <v>415</v>
      </c>
      <c r="J135" s="119">
        <v>83.04</v>
      </c>
      <c r="K135" s="119" t="s">
        <v>200</v>
      </c>
      <c r="L135" s="119">
        <v>3.04</v>
      </c>
      <c r="M135" s="150" t="s">
        <v>664</v>
      </c>
      <c r="N135" s="119" t="s">
        <v>93</v>
      </c>
      <c r="O135" s="141">
        <f t="shared" si="97"/>
        <v>244008</v>
      </c>
      <c r="P135" s="141">
        <f t="shared" si="98"/>
        <v>244015</v>
      </c>
      <c r="Q135" s="141">
        <f t="shared" si="99"/>
        <v>244010</v>
      </c>
      <c r="R135" s="139" t="s">
        <v>55</v>
      </c>
      <c r="S135" s="143">
        <v>244035</v>
      </c>
      <c r="T135" s="139" t="s">
        <v>55</v>
      </c>
      <c r="U135" s="143">
        <v>244035</v>
      </c>
      <c r="V135" s="139" t="s">
        <v>55</v>
      </c>
      <c r="W135" s="143">
        <v>244022</v>
      </c>
      <c r="X135" s="139"/>
      <c r="Y135" s="141"/>
      <c r="Z135" s="119" t="s">
        <v>775</v>
      </c>
      <c r="AA135" s="144">
        <v>-243655</v>
      </c>
    </row>
    <row r="136" spans="1:27" s="145" customFormat="1" ht="36" customHeight="1" x14ac:dyDescent="0.25">
      <c r="A136" s="119" t="s">
        <v>18</v>
      </c>
      <c r="B136" s="139">
        <v>244008</v>
      </c>
      <c r="C136" s="119" t="s">
        <v>14</v>
      </c>
      <c r="D136" s="166">
        <v>680097</v>
      </c>
      <c r="E136" s="119" t="s">
        <v>426</v>
      </c>
      <c r="F136" s="190">
        <v>68012549</v>
      </c>
      <c r="G136" s="119" t="s">
        <v>657</v>
      </c>
      <c r="H136" s="187" t="s">
        <v>276</v>
      </c>
      <c r="I136" s="147" t="s">
        <v>428</v>
      </c>
      <c r="J136" s="146">
        <v>131.32</v>
      </c>
      <c r="K136" s="119" t="s">
        <v>200</v>
      </c>
      <c r="L136" s="146">
        <f>J136-129</f>
        <v>2.3199999999999932</v>
      </c>
      <c r="M136" s="119" t="s">
        <v>658</v>
      </c>
      <c r="N136" s="119" t="s">
        <v>93</v>
      </c>
      <c r="O136" s="141">
        <f t="shared" ref="O136" si="134">B136</f>
        <v>244008</v>
      </c>
      <c r="P136" s="141">
        <f t="shared" ref="P136" si="135">B136+7</f>
        <v>244015</v>
      </c>
      <c r="Q136" s="141">
        <f t="shared" ref="Q136" si="136">O136+2</f>
        <v>244010</v>
      </c>
      <c r="R136" s="139" t="s">
        <v>55</v>
      </c>
      <c r="S136" s="143">
        <v>244034</v>
      </c>
      <c r="T136" s="139" t="s">
        <v>55</v>
      </c>
      <c r="U136" s="143">
        <v>244034</v>
      </c>
      <c r="V136" s="139" t="s">
        <v>55</v>
      </c>
      <c r="W136" s="143">
        <v>244013</v>
      </c>
      <c r="X136" s="139"/>
      <c r="Y136" s="141"/>
      <c r="Z136" s="119" t="s">
        <v>685</v>
      </c>
      <c r="AA136" s="144">
        <f t="shared" ref="AA136" si="137">W136-P136</f>
        <v>-2</v>
      </c>
    </row>
    <row r="137" spans="1:27" s="145" customFormat="1" ht="36" customHeight="1" x14ac:dyDescent="0.25">
      <c r="A137" s="119" t="s">
        <v>18</v>
      </c>
      <c r="B137" s="139">
        <v>244008</v>
      </c>
      <c r="C137" s="119" t="s">
        <v>14</v>
      </c>
      <c r="D137" s="166">
        <v>680097</v>
      </c>
      <c r="E137" s="119" t="s">
        <v>426</v>
      </c>
      <c r="F137" s="190">
        <v>68012568</v>
      </c>
      <c r="G137" s="119" t="s">
        <v>661</v>
      </c>
      <c r="H137" s="187" t="s">
        <v>290</v>
      </c>
      <c r="I137" s="147" t="s">
        <v>428</v>
      </c>
      <c r="J137" s="146">
        <v>130.47</v>
      </c>
      <c r="K137" s="119" t="s">
        <v>200</v>
      </c>
      <c r="L137" s="146">
        <f>J137-129</f>
        <v>1.4699999999999989</v>
      </c>
      <c r="M137" s="119" t="s">
        <v>662</v>
      </c>
      <c r="N137" s="119" t="s">
        <v>93</v>
      </c>
      <c r="O137" s="141">
        <f t="shared" si="97"/>
        <v>244008</v>
      </c>
      <c r="P137" s="141">
        <f t="shared" si="98"/>
        <v>244015</v>
      </c>
      <c r="Q137" s="141">
        <f t="shared" si="99"/>
        <v>244010</v>
      </c>
      <c r="R137" s="139" t="s">
        <v>55</v>
      </c>
      <c r="S137" s="143">
        <v>244034</v>
      </c>
      <c r="T137" s="139" t="s">
        <v>55</v>
      </c>
      <c r="U137" s="143">
        <v>244034</v>
      </c>
      <c r="V137" s="139" t="s">
        <v>55</v>
      </c>
      <c r="W137" s="143">
        <v>244013</v>
      </c>
      <c r="X137" s="139"/>
      <c r="Y137" s="141"/>
      <c r="Z137" s="119" t="s">
        <v>685</v>
      </c>
      <c r="AA137" s="144">
        <f t="shared" si="103"/>
        <v>-2</v>
      </c>
    </row>
    <row r="138" spans="1:27" s="145" customFormat="1" ht="36" customHeight="1" x14ac:dyDescent="0.25">
      <c r="A138" s="119" t="s">
        <v>18</v>
      </c>
      <c r="B138" s="139">
        <v>244008</v>
      </c>
      <c r="C138" s="119" t="s">
        <v>14</v>
      </c>
      <c r="D138" s="166">
        <v>680098</v>
      </c>
      <c r="E138" s="119" t="s">
        <v>426</v>
      </c>
      <c r="F138" s="190">
        <v>68012556</v>
      </c>
      <c r="G138" s="119" t="s">
        <v>659</v>
      </c>
      <c r="H138" s="187" t="s">
        <v>281</v>
      </c>
      <c r="I138" s="147" t="s">
        <v>428</v>
      </c>
      <c r="J138" s="146">
        <v>124.53</v>
      </c>
      <c r="K138" s="119" t="s">
        <v>201</v>
      </c>
      <c r="L138" s="146">
        <f>127-J138</f>
        <v>2.4699999999999989</v>
      </c>
      <c r="M138" s="119" t="s">
        <v>660</v>
      </c>
      <c r="N138" s="119" t="s">
        <v>93</v>
      </c>
      <c r="O138" s="141">
        <f t="shared" si="97"/>
        <v>244008</v>
      </c>
      <c r="P138" s="141">
        <f t="shared" si="98"/>
        <v>244015</v>
      </c>
      <c r="Q138" s="141">
        <f t="shared" si="99"/>
        <v>244010</v>
      </c>
      <c r="R138" s="139" t="s">
        <v>55</v>
      </c>
      <c r="S138" s="143">
        <v>244048</v>
      </c>
      <c r="T138" s="139" t="s">
        <v>55</v>
      </c>
      <c r="U138" s="143">
        <v>244049</v>
      </c>
      <c r="V138" s="139" t="s">
        <v>55</v>
      </c>
      <c r="W138" s="143">
        <v>244019</v>
      </c>
      <c r="X138" s="139"/>
      <c r="Y138" s="141"/>
      <c r="Z138" s="119" t="s">
        <v>762</v>
      </c>
      <c r="AA138" s="144">
        <f t="shared" si="103"/>
        <v>4</v>
      </c>
    </row>
    <row r="139" spans="1:27" s="145" customFormat="1" ht="36" customHeight="1" x14ac:dyDescent="0.25">
      <c r="A139" s="119" t="s">
        <v>18</v>
      </c>
      <c r="B139" s="139">
        <v>244009</v>
      </c>
      <c r="C139" s="119" t="s">
        <v>14</v>
      </c>
      <c r="D139" s="166">
        <v>680099</v>
      </c>
      <c r="E139" s="119" t="s">
        <v>307</v>
      </c>
      <c r="F139" s="190">
        <v>68012610</v>
      </c>
      <c r="G139" s="119" t="s">
        <v>665</v>
      </c>
      <c r="H139" s="187" t="s">
        <v>239</v>
      </c>
      <c r="I139" s="147" t="s">
        <v>442</v>
      </c>
      <c r="J139" s="146" t="s">
        <v>557</v>
      </c>
      <c r="K139" s="146" t="s">
        <v>557</v>
      </c>
      <c r="L139" s="146" t="s">
        <v>69</v>
      </c>
      <c r="M139" s="119" t="s">
        <v>666</v>
      </c>
      <c r="N139" s="119" t="s">
        <v>93</v>
      </c>
      <c r="O139" s="141">
        <f t="shared" si="97"/>
        <v>244009</v>
      </c>
      <c r="P139" s="141">
        <f t="shared" si="98"/>
        <v>244016</v>
      </c>
      <c r="Q139" s="141">
        <f t="shared" si="99"/>
        <v>244011</v>
      </c>
      <c r="R139" s="139" t="s">
        <v>55</v>
      </c>
      <c r="S139" s="143">
        <v>244034</v>
      </c>
      <c r="T139" s="139" t="s">
        <v>55</v>
      </c>
      <c r="U139" s="143">
        <v>244034</v>
      </c>
      <c r="V139" s="139" t="s">
        <v>55</v>
      </c>
      <c r="W139" s="143">
        <v>244009</v>
      </c>
      <c r="X139" s="139"/>
      <c r="Y139" s="141"/>
      <c r="Z139" s="119" t="s">
        <v>667</v>
      </c>
      <c r="AA139" s="144">
        <f t="shared" si="103"/>
        <v>-7</v>
      </c>
    </row>
    <row r="140" spans="1:27" s="145" customFormat="1" ht="36" customHeight="1" x14ac:dyDescent="0.25">
      <c r="A140" s="119" t="s">
        <v>18</v>
      </c>
      <c r="B140" s="139">
        <v>244009</v>
      </c>
      <c r="C140" s="119" t="s">
        <v>14</v>
      </c>
      <c r="D140" s="166">
        <v>680100</v>
      </c>
      <c r="E140" s="119" t="s">
        <v>668</v>
      </c>
      <c r="F140" s="190">
        <v>68012620</v>
      </c>
      <c r="G140" s="119" t="s">
        <v>669</v>
      </c>
      <c r="H140" s="187" t="s">
        <v>488</v>
      </c>
      <c r="I140" s="147" t="s">
        <v>670</v>
      </c>
      <c r="J140" s="146">
        <v>132.68</v>
      </c>
      <c r="K140" s="119" t="s">
        <v>200</v>
      </c>
      <c r="L140" s="146">
        <f>J140-125</f>
        <v>7.6800000000000068</v>
      </c>
      <c r="M140" s="119" t="s">
        <v>671</v>
      </c>
      <c r="N140" s="119" t="s">
        <v>93</v>
      </c>
      <c r="O140" s="141">
        <f t="shared" si="97"/>
        <v>244009</v>
      </c>
      <c r="P140" s="141">
        <f t="shared" si="98"/>
        <v>244016</v>
      </c>
      <c r="Q140" s="141">
        <f t="shared" si="99"/>
        <v>244011</v>
      </c>
      <c r="R140" s="139" t="s">
        <v>55</v>
      </c>
      <c r="S140" s="143">
        <v>244034</v>
      </c>
      <c r="T140" s="139" t="s">
        <v>55</v>
      </c>
      <c r="U140" s="143">
        <v>244034</v>
      </c>
      <c r="V140" s="139" t="s">
        <v>55</v>
      </c>
      <c r="W140" s="143">
        <v>244014</v>
      </c>
      <c r="X140" s="139"/>
      <c r="Y140" s="141"/>
      <c r="Z140" s="119" t="s">
        <v>711</v>
      </c>
      <c r="AA140" s="144">
        <f t="shared" ref="AA140" si="138">W140-P140</f>
        <v>-2</v>
      </c>
    </row>
    <row r="141" spans="1:27" s="145" customFormat="1" ht="36" customHeight="1" x14ac:dyDescent="0.25">
      <c r="A141" s="119" t="s">
        <v>18</v>
      </c>
      <c r="B141" s="139">
        <v>244009</v>
      </c>
      <c r="C141" s="119" t="s">
        <v>14</v>
      </c>
      <c r="D141" s="166">
        <v>680101</v>
      </c>
      <c r="E141" s="119" t="s">
        <v>426</v>
      </c>
      <c r="F141" s="190">
        <v>68012643</v>
      </c>
      <c r="G141" s="119" t="s">
        <v>661</v>
      </c>
      <c r="H141" s="187" t="s">
        <v>290</v>
      </c>
      <c r="I141" s="147" t="s">
        <v>428</v>
      </c>
      <c r="J141" s="146">
        <v>133.08000000000001</v>
      </c>
      <c r="K141" s="119" t="s">
        <v>207</v>
      </c>
      <c r="L141" s="146">
        <f>J141-129</f>
        <v>4.0800000000000125</v>
      </c>
      <c r="M141" s="119" t="s">
        <v>672</v>
      </c>
      <c r="N141" s="119" t="s">
        <v>93</v>
      </c>
      <c r="O141" s="141">
        <f t="shared" si="97"/>
        <v>244009</v>
      </c>
      <c r="P141" s="141">
        <f t="shared" si="98"/>
        <v>244016</v>
      </c>
      <c r="Q141" s="141">
        <f t="shared" si="99"/>
        <v>244011</v>
      </c>
      <c r="R141" s="139" t="s">
        <v>55</v>
      </c>
      <c r="S141" s="143">
        <v>244034</v>
      </c>
      <c r="T141" s="139" t="s">
        <v>55</v>
      </c>
      <c r="U141" s="143">
        <v>244034</v>
      </c>
      <c r="V141" s="139" t="s">
        <v>55</v>
      </c>
      <c r="W141" s="143">
        <v>244013</v>
      </c>
      <c r="X141" s="139"/>
      <c r="Y141" s="141"/>
      <c r="Z141" s="119" t="s">
        <v>685</v>
      </c>
      <c r="AA141" s="144">
        <f t="shared" ref="AA141" si="139">W141-P141</f>
        <v>-3</v>
      </c>
    </row>
    <row r="142" spans="1:27" s="145" customFormat="1" ht="36" customHeight="1" x14ac:dyDescent="0.25">
      <c r="A142" s="119" t="s">
        <v>18</v>
      </c>
      <c r="B142" s="139">
        <v>244009</v>
      </c>
      <c r="C142" s="119" t="s">
        <v>14</v>
      </c>
      <c r="D142" s="166">
        <v>680102</v>
      </c>
      <c r="E142" s="119" t="s">
        <v>413</v>
      </c>
      <c r="F142" s="190">
        <v>68012656</v>
      </c>
      <c r="G142" s="119" t="s">
        <v>674</v>
      </c>
      <c r="H142" s="187" t="s">
        <v>236</v>
      </c>
      <c r="I142" s="147" t="s">
        <v>415</v>
      </c>
      <c r="J142" s="146">
        <v>83.03</v>
      </c>
      <c r="K142" s="119" t="s">
        <v>200</v>
      </c>
      <c r="L142" s="146">
        <v>3.03</v>
      </c>
      <c r="M142" s="119" t="s">
        <v>675</v>
      </c>
      <c r="N142" s="119" t="s">
        <v>93</v>
      </c>
      <c r="O142" s="141">
        <f t="shared" si="97"/>
        <v>244009</v>
      </c>
      <c r="P142" s="141">
        <f t="shared" si="98"/>
        <v>244016</v>
      </c>
      <c r="Q142" s="141">
        <f t="shared" si="99"/>
        <v>244011</v>
      </c>
      <c r="R142" s="139" t="s">
        <v>55</v>
      </c>
      <c r="S142" s="143">
        <v>244035</v>
      </c>
      <c r="T142" s="139" t="s">
        <v>55</v>
      </c>
      <c r="U142" s="143">
        <v>244035</v>
      </c>
      <c r="V142" s="139" t="s">
        <v>55</v>
      </c>
      <c r="W142" s="143">
        <v>244022</v>
      </c>
      <c r="X142" s="139"/>
      <c r="Y142" s="141"/>
      <c r="Z142" s="119" t="s">
        <v>775</v>
      </c>
      <c r="AA142" s="144">
        <f t="shared" si="103"/>
        <v>6</v>
      </c>
    </row>
    <row r="143" spans="1:27" s="145" customFormat="1" ht="36" customHeight="1" x14ac:dyDescent="0.25">
      <c r="A143" s="119" t="s">
        <v>18</v>
      </c>
      <c r="B143" s="139">
        <v>244009</v>
      </c>
      <c r="C143" s="119" t="s">
        <v>14</v>
      </c>
      <c r="D143" s="166">
        <v>680103</v>
      </c>
      <c r="E143" s="119" t="s">
        <v>433</v>
      </c>
      <c r="F143" s="190">
        <v>68012654</v>
      </c>
      <c r="G143" s="119" t="s">
        <v>673</v>
      </c>
      <c r="H143" s="187" t="s">
        <v>298</v>
      </c>
      <c r="I143" s="147" t="s">
        <v>365</v>
      </c>
      <c r="J143" s="146" t="s">
        <v>677</v>
      </c>
      <c r="K143" s="146" t="s">
        <v>678</v>
      </c>
      <c r="L143" s="146" t="s">
        <v>69</v>
      </c>
      <c r="M143" s="119" t="s">
        <v>676</v>
      </c>
      <c r="N143" s="119" t="s">
        <v>93</v>
      </c>
      <c r="O143" s="141">
        <f t="shared" si="97"/>
        <v>244009</v>
      </c>
      <c r="P143" s="141">
        <f t="shared" si="98"/>
        <v>244016</v>
      </c>
      <c r="Q143" s="141">
        <f t="shared" si="99"/>
        <v>244011</v>
      </c>
      <c r="R143" s="139" t="s">
        <v>55</v>
      </c>
      <c r="S143" s="143">
        <v>244026</v>
      </c>
      <c r="T143" s="139" t="s">
        <v>55</v>
      </c>
      <c r="U143" s="143">
        <v>244028</v>
      </c>
      <c r="V143" s="139" t="s">
        <v>55</v>
      </c>
      <c r="W143" s="143">
        <v>244028</v>
      </c>
      <c r="X143" s="139"/>
      <c r="Y143" s="141"/>
      <c r="Z143" s="119" t="s">
        <v>852</v>
      </c>
      <c r="AA143" s="144">
        <f t="shared" si="103"/>
        <v>12</v>
      </c>
    </row>
    <row r="144" spans="1:27" s="145" customFormat="1" ht="36" customHeight="1" x14ac:dyDescent="0.25">
      <c r="A144" s="119" t="s">
        <v>18</v>
      </c>
      <c r="B144" s="139">
        <v>244009</v>
      </c>
      <c r="C144" s="119" t="s">
        <v>14</v>
      </c>
      <c r="D144" s="166">
        <v>680104</v>
      </c>
      <c r="E144" s="119" t="s">
        <v>426</v>
      </c>
      <c r="F144" s="190">
        <v>68012666</v>
      </c>
      <c r="G144" s="119" t="s">
        <v>679</v>
      </c>
      <c r="H144" s="187" t="s">
        <v>291</v>
      </c>
      <c r="I144" s="154" t="s">
        <v>428</v>
      </c>
      <c r="J144" s="146">
        <v>132.88</v>
      </c>
      <c r="K144" s="119" t="s">
        <v>207</v>
      </c>
      <c r="L144" s="146">
        <f>J144-129</f>
        <v>3.8799999999999955</v>
      </c>
      <c r="M144" s="119" t="s">
        <v>680</v>
      </c>
      <c r="N144" s="119" t="s">
        <v>93</v>
      </c>
      <c r="O144" s="141">
        <f t="shared" si="97"/>
        <v>244009</v>
      </c>
      <c r="P144" s="141">
        <f t="shared" si="98"/>
        <v>244016</v>
      </c>
      <c r="Q144" s="141">
        <f t="shared" si="99"/>
        <v>244011</v>
      </c>
      <c r="R144" s="139" t="s">
        <v>55</v>
      </c>
      <c r="S144" s="143">
        <v>244034</v>
      </c>
      <c r="T144" s="139" t="s">
        <v>55</v>
      </c>
      <c r="U144" s="143">
        <v>244034</v>
      </c>
      <c r="V144" s="139" t="s">
        <v>55</v>
      </c>
      <c r="W144" s="143">
        <v>244013</v>
      </c>
      <c r="X144" s="139"/>
      <c r="Y144" s="141"/>
      <c r="Z144" s="119" t="s">
        <v>685</v>
      </c>
      <c r="AA144" s="144">
        <v>-243657</v>
      </c>
    </row>
    <row r="145" spans="1:27" s="145" customFormat="1" ht="36" customHeight="1" x14ac:dyDescent="0.25">
      <c r="A145" s="119" t="s">
        <v>18</v>
      </c>
      <c r="B145" s="139">
        <v>244009</v>
      </c>
      <c r="C145" s="119" t="s">
        <v>132</v>
      </c>
      <c r="D145" s="166">
        <v>680105</v>
      </c>
      <c r="E145" s="119" t="s">
        <v>681</v>
      </c>
      <c r="F145" s="190" t="s">
        <v>342</v>
      </c>
      <c r="G145" s="119" t="s">
        <v>682</v>
      </c>
      <c r="H145" s="187" t="s">
        <v>683</v>
      </c>
      <c r="I145" s="147" t="s">
        <v>203</v>
      </c>
      <c r="J145" s="146" t="s">
        <v>684</v>
      </c>
      <c r="K145" s="146" t="s">
        <v>684</v>
      </c>
      <c r="L145" s="146" t="s">
        <v>346</v>
      </c>
      <c r="M145" s="119">
        <v>1</v>
      </c>
      <c r="N145" s="119" t="s">
        <v>52</v>
      </c>
      <c r="O145" s="141">
        <f t="shared" si="97"/>
        <v>244009</v>
      </c>
      <c r="P145" s="141">
        <f t="shared" si="98"/>
        <v>244016</v>
      </c>
      <c r="Q145" s="141">
        <f t="shared" si="99"/>
        <v>244011</v>
      </c>
      <c r="R145" s="139" t="s">
        <v>55</v>
      </c>
      <c r="S145" s="143">
        <v>244015</v>
      </c>
      <c r="T145" s="139" t="s">
        <v>55</v>
      </c>
      <c r="U145" s="143">
        <v>244017</v>
      </c>
      <c r="V145" s="139" t="s">
        <v>55</v>
      </c>
      <c r="W145" s="143">
        <v>244017</v>
      </c>
      <c r="X145" s="139"/>
      <c r="Y145" s="141"/>
      <c r="Z145" s="119" t="s">
        <v>771</v>
      </c>
      <c r="AA145" s="144"/>
    </row>
    <row r="146" spans="1:27" s="145" customFormat="1" ht="36" customHeight="1" x14ac:dyDescent="0.25">
      <c r="A146" s="119" t="s">
        <v>18</v>
      </c>
      <c r="B146" s="139">
        <v>244014</v>
      </c>
      <c r="C146" s="119" t="s">
        <v>14</v>
      </c>
      <c r="D146" s="166">
        <v>680106</v>
      </c>
      <c r="E146" s="119" t="s">
        <v>307</v>
      </c>
      <c r="F146" s="190">
        <v>68013104</v>
      </c>
      <c r="G146" s="119" t="s">
        <v>686</v>
      </c>
      <c r="H146" s="187" t="s">
        <v>238</v>
      </c>
      <c r="I146" s="147" t="s">
        <v>442</v>
      </c>
      <c r="J146" s="146" t="s">
        <v>557</v>
      </c>
      <c r="K146" s="146" t="s">
        <v>557</v>
      </c>
      <c r="L146" s="146" t="s">
        <v>69</v>
      </c>
      <c r="M146" s="119" t="s">
        <v>687</v>
      </c>
      <c r="N146" s="119" t="s">
        <v>93</v>
      </c>
      <c r="O146" s="141">
        <f t="shared" ref="O146:O147" si="140">B146</f>
        <v>244014</v>
      </c>
      <c r="P146" s="141">
        <f t="shared" ref="P146:P147" si="141">B146+7</f>
        <v>244021</v>
      </c>
      <c r="Q146" s="141">
        <f t="shared" ref="Q146:Q147" si="142">O146+2</f>
        <v>244016</v>
      </c>
      <c r="R146" s="139" t="s">
        <v>55</v>
      </c>
      <c r="S146" s="143">
        <v>244034</v>
      </c>
      <c r="T146" s="139" t="s">
        <v>55</v>
      </c>
      <c r="U146" s="143">
        <v>244034</v>
      </c>
      <c r="V146" s="139" t="s">
        <v>55</v>
      </c>
      <c r="W146" s="143">
        <v>244014</v>
      </c>
      <c r="X146" s="139"/>
      <c r="Y146" s="141"/>
      <c r="Z146" s="119" t="s">
        <v>692</v>
      </c>
      <c r="AA146" s="144"/>
    </row>
    <row r="147" spans="1:27" s="145" customFormat="1" ht="36" customHeight="1" x14ac:dyDescent="0.25">
      <c r="A147" s="119" t="s">
        <v>18</v>
      </c>
      <c r="B147" s="139">
        <v>244014</v>
      </c>
      <c r="C147" s="119" t="s">
        <v>14</v>
      </c>
      <c r="D147" s="166">
        <v>680106</v>
      </c>
      <c r="E147" s="119" t="s">
        <v>307</v>
      </c>
      <c r="F147" s="190">
        <v>68013107</v>
      </c>
      <c r="G147" s="119" t="s">
        <v>688</v>
      </c>
      <c r="H147" s="187" t="s">
        <v>239</v>
      </c>
      <c r="I147" s="147" t="s">
        <v>442</v>
      </c>
      <c r="J147" s="146" t="s">
        <v>557</v>
      </c>
      <c r="K147" s="146" t="s">
        <v>557</v>
      </c>
      <c r="L147" s="146" t="s">
        <v>69</v>
      </c>
      <c r="M147" s="119" t="s">
        <v>689</v>
      </c>
      <c r="N147" s="119" t="s">
        <v>93</v>
      </c>
      <c r="O147" s="141">
        <f t="shared" si="140"/>
        <v>244014</v>
      </c>
      <c r="P147" s="141">
        <f t="shared" si="141"/>
        <v>244021</v>
      </c>
      <c r="Q147" s="141">
        <f t="shared" si="142"/>
        <v>244016</v>
      </c>
      <c r="R147" s="139" t="s">
        <v>55</v>
      </c>
      <c r="S147" s="143">
        <v>244034</v>
      </c>
      <c r="T147" s="139" t="s">
        <v>55</v>
      </c>
      <c r="U147" s="143">
        <v>244034</v>
      </c>
      <c r="V147" s="139" t="s">
        <v>55</v>
      </c>
      <c r="W147" s="143">
        <v>244014</v>
      </c>
      <c r="X147" s="139"/>
      <c r="Y147" s="141"/>
      <c r="Z147" s="119" t="s">
        <v>692</v>
      </c>
      <c r="AA147" s="144"/>
    </row>
    <row r="148" spans="1:27" s="145" customFormat="1" ht="36" customHeight="1" x14ac:dyDescent="0.25">
      <c r="A148" s="119" t="s">
        <v>18</v>
      </c>
      <c r="B148" s="139">
        <v>244014</v>
      </c>
      <c r="C148" s="119" t="s">
        <v>14</v>
      </c>
      <c r="D148" s="166">
        <v>680106</v>
      </c>
      <c r="E148" s="119" t="s">
        <v>307</v>
      </c>
      <c r="F148" s="190">
        <v>68013103</v>
      </c>
      <c r="G148" s="119" t="s">
        <v>690</v>
      </c>
      <c r="H148" s="187" t="s">
        <v>301</v>
      </c>
      <c r="I148" s="147" t="s">
        <v>442</v>
      </c>
      <c r="J148" s="146" t="s">
        <v>557</v>
      </c>
      <c r="K148" s="146" t="s">
        <v>557</v>
      </c>
      <c r="L148" s="146" t="s">
        <v>69</v>
      </c>
      <c r="M148" s="119" t="s">
        <v>691</v>
      </c>
      <c r="N148" s="119" t="s">
        <v>93</v>
      </c>
      <c r="O148" s="141">
        <f t="shared" si="97"/>
        <v>244014</v>
      </c>
      <c r="P148" s="141">
        <f t="shared" si="98"/>
        <v>244021</v>
      </c>
      <c r="Q148" s="141">
        <f t="shared" si="99"/>
        <v>244016</v>
      </c>
      <c r="R148" s="139" t="s">
        <v>55</v>
      </c>
      <c r="S148" s="143">
        <v>244034</v>
      </c>
      <c r="T148" s="139" t="s">
        <v>55</v>
      </c>
      <c r="U148" s="143">
        <v>244034</v>
      </c>
      <c r="V148" s="139" t="s">
        <v>55</v>
      </c>
      <c r="W148" s="143">
        <v>244014</v>
      </c>
      <c r="X148" s="139"/>
      <c r="Y148" s="141"/>
      <c r="Z148" s="119" t="s">
        <v>692</v>
      </c>
      <c r="AA148" s="144">
        <f t="shared" si="103"/>
        <v>-7</v>
      </c>
    </row>
    <row r="149" spans="1:27" s="145" customFormat="1" ht="36" customHeight="1" x14ac:dyDescent="0.25">
      <c r="A149" s="119" t="s">
        <v>18</v>
      </c>
      <c r="B149" s="139">
        <v>244014</v>
      </c>
      <c r="C149" s="119" t="s">
        <v>14</v>
      </c>
      <c r="D149" s="166">
        <v>680107</v>
      </c>
      <c r="E149" s="119" t="s">
        <v>668</v>
      </c>
      <c r="F149" s="190">
        <v>68013122</v>
      </c>
      <c r="G149" s="119" t="s">
        <v>693</v>
      </c>
      <c r="H149" s="187" t="s">
        <v>488</v>
      </c>
      <c r="I149" s="147" t="s">
        <v>670</v>
      </c>
      <c r="J149" s="146">
        <v>130.35</v>
      </c>
      <c r="K149" s="119" t="s">
        <v>200</v>
      </c>
      <c r="L149" s="146">
        <f>J149-125</f>
        <v>5.3499999999999943</v>
      </c>
      <c r="M149" s="119" t="s">
        <v>696</v>
      </c>
      <c r="N149" s="119" t="s">
        <v>93</v>
      </c>
      <c r="O149" s="141">
        <f t="shared" si="97"/>
        <v>244014</v>
      </c>
      <c r="P149" s="141">
        <f t="shared" si="98"/>
        <v>244021</v>
      </c>
      <c r="Q149" s="141">
        <f t="shared" si="99"/>
        <v>244016</v>
      </c>
      <c r="R149" s="139" t="s">
        <v>55</v>
      </c>
      <c r="S149" s="143">
        <v>244034</v>
      </c>
      <c r="T149" s="139" t="s">
        <v>55</v>
      </c>
      <c r="U149" s="143">
        <v>244034</v>
      </c>
      <c r="V149" s="139" t="s">
        <v>55</v>
      </c>
      <c r="W149" s="143">
        <v>244019</v>
      </c>
      <c r="X149" s="139"/>
      <c r="Y149" s="141"/>
      <c r="Z149" s="119" t="s">
        <v>761</v>
      </c>
      <c r="AA149" s="144">
        <f t="shared" si="103"/>
        <v>-2</v>
      </c>
    </row>
    <row r="150" spans="1:27" s="145" customFormat="1" ht="36" customHeight="1" x14ac:dyDescent="0.25">
      <c r="A150" s="119" t="s">
        <v>18</v>
      </c>
      <c r="B150" s="139">
        <v>244014</v>
      </c>
      <c r="C150" s="119" t="s">
        <v>14</v>
      </c>
      <c r="D150" s="166">
        <v>680108</v>
      </c>
      <c r="E150" s="119" t="s">
        <v>413</v>
      </c>
      <c r="F150" s="190">
        <v>68013112</v>
      </c>
      <c r="G150" s="119" t="s">
        <v>694</v>
      </c>
      <c r="H150" s="187" t="s">
        <v>270</v>
      </c>
      <c r="I150" s="147" t="s">
        <v>415</v>
      </c>
      <c r="J150" s="146">
        <v>85.77</v>
      </c>
      <c r="K150" s="119" t="s">
        <v>207</v>
      </c>
      <c r="L150" s="146">
        <f>J150-80</f>
        <v>5.769999999999996</v>
      </c>
      <c r="M150" s="119" t="s">
        <v>695</v>
      </c>
      <c r="N150" s="119" t="s">
        <v>93</v>
      </c>
      <c r="O150" s="141">
        <f t="shared" si="97"/>
        <v>244014</v>
      </c>
      <c r="P150" s="141">
        <f t="shared" si="98"/>
        <v>244021</v>
      </c>
      <c r="Q150" s="141">
        <f t="shared" si="99"/>
        <v>244016</v>
      </c>
      <c r="R150" s="139" t="s">
        <v>55</v>
      </c>
      <c r="S150" s="143">
        <v>244035</v>
      </c>
      <c r="T150" s="139" t="s">
        <v>55</v>
      </c>
      <c r="U150" s="143">
        <v>244035</v>
      </c>
      <c r="V150" s="139" t="s">
        <v>55</v>
      </c>
      <c r="W150" s="143">
        <v>244022</v>
      </c>
      <c r="X150" s="139"/>
      <c r="Y150" s="141"/>
      <c r="Z150" s="119" t="s">
        <v>775</v>
      </c>
      <c r="AA150" s="144">
        <f t="shared" ref="AA150" si="143">W150-P150</f>
        <v>1</v>
      </c>
    </row>
    <row r="151" spans="1:27" s="145" customFormat="1" ht="36" customHeight="1" x14ac:dyDescent="0.25">
      <c r="A151" s="119" t="s">
        <v>18</v>
      </c>
      <c r="B151" s="139">
        <v>244014</v>
      </c>
      <c r="C151" s="119" t="s">
        <v>705</v>
      </c>
      <c r="D151" s="166">
        <v>680109</v>
      </c>
      <c r="E151" s="119" t="s">
        <v>697</v>
      </c>
      <c r="F151" s="190" t="s">
        <v>698</v>
      </c>
      <c r="G151" s="119" t="s">
        <v>699</v>
      </c>
      <c r="H151" s="187" t="s">
        <v>700</v>
      </c>
      <c r="I151" s="147" t="s">
        <v>701</v>
      </c>
      <c r="J151" s="142" t="s">
        <v>702</v>
      </c>
      <c r="K151" s="142" t="s">
        <v>703</v>
      </c>
      <c r="L151" s="142" t="s">
        <v>704</v>
      </c>
      <c r="M151" s="119">
        <v>5195</v>
      </c>
      <c r="N151" s="148" t="s">
        <v>52</v>
      </c>
      <c r="O151" s="141">
        <f t="shared" si="97"/>
        <v>244014</v>
      </c>
      <c r="P151" s="141">
        <f t="shared" si="98"/>
        <v>244021</v>
      </c>
      <c r="Q151" s="141">
        <f t="shared" si="99"/>
        <v>244016</v>
      </c>
      <c r="R151" s="139" t="s">
        <v>55</v>
      </c>
      <c r="S151" s="143">
        <v>244017</v>
      </c>
      <c r="T151" s="139" t="s">
        <v>55</v>
      </c>
      <c r="U151" s="143">
        <v>244021</v>
      </c>
      <c r="V151" s="139"/>
      <c r="W151" s="143"/>
      <c r="X151" s="139"/>
      <c r="Y151" s="141"/>
      <c r="Z151" s="119"/>
      <c r="AA151" s="144">
        <f t="shared" ref="AA151" si="144">W151-P151</f>
        <v>-244021</v>
      </c>
    </row>
    <row r="152" spans="1:27" s="145" customFormat="1" ht="36" customHeight="1" x14ac:dyDescent="0.25">
      <c r="A152" s="119" t="s">
        <v>18</v>
      </c>
      <c r="B152" s="139">
        <v>244014</v>
      </c>
      <c r="C152" s="119" t="s">
        <v>14</v>
      </c>
      <c r="D152" s="166">
        <v>680110</v>
      </c>
      <c r="E152" s="119" t="s">
        <v>309</v>
      </c>
      <c r="F152" s="190">
        <v>68013132</v>
      </c>
      <c r="G152" s="119" t="s">
        <v>706</v>
      </c>
      <c r="H152" s="187" t="s">
        <v>563</v>
      </c>
      <c r="I152" s="147" t="s">
        <v>310</v>
      </c>
      <c r="J152" s="146">
        <v>135.84</v>
      </c>
      <c r="K152" s="119" t="s">
        <v>207</v>
      </c>
      <c r="L152" s="146">
        <f>J152-132</f>
        <v>3.8400000000000034</v>
      </c>
      <c r="M152" s="119" t="s">
        <v>707</v>
      </c>
      <c r="N152" s="119" t="s">
        <v>93</v>
      </c>
      <c r="O152" s="141">
        <f t="shared" si="97"/>
        <v>244014</v>
      </c>
      <c r="P152" s="141">
        <f t="shared" si="98"/>
        <v>244021</v>
      </c>
      <c r="Q152" s="141">
        <f t="shared" si="99"/>
        <v>244016</v>
      </c>
      <c r="R152" s="139" t="s">
        <v>55</v>
      </c>
      <c r="S152" s="143">
        <v>244048</v>
      </c>
      <c r="T152" s="139" t="s">
        <v>55</v>
      </c>
      <c r="U152" s="143">
        <v>244049</v>
      </c>
      <c r="V152" s="139" t="s">
        <v>55</v>
      </c>
      <c r="W152" s="143">
        <v>244018</v>
      </c>
      <c r="X152" s="139"/>
      <c r="Y152" s="141"/>
      <c r="Z152" s="119" t="s">
        <v>752</v>
      </c>
      <c r="AA152" s="144">
        <f t="shared" si="103"/>
        <v>-3</v>
      </c>
    </row>
    <row r="153" spans="1:27" s="145" customFormat="1" ht="36" customHeight="1" x14ac:dyDescent="0.25">
      <c r="A153" s="119" t="s">
        <v>18</v>
      </c>
      <c r="B153" s="139">
        <v>244014</v>
      </c>
      <c r="C153" s="119" t="s">
        <v>14</v>
      </c>
      <c r="D153" s="166">
        <v>680111</v>
      </c>
      <c r="E153" s="119" t="s">
        <v>668</v>
      </c>
      <c r="F153" s="190">
        <v>68013150</v>
      </c>
      <c r="G153" s="119" t="s">
        <v>712</v>
      </c>
      <c r="H153" s="187" t="s">
        <v>488</v>
      </c>
      <c r="I153" s="147">
        <v>120.125</v>
      </c>
      <c r="J153" s="146">
        <v>131.91999999999999</v>
      </c>
      <c r="K153" s="119" t="s">
        <v>200</v>
      </c>
      <c r="L153" s="146">
        <f>J153-125</f>
        <v>6.9199999999999875</v>
      </c>
      <c r="M153" s="119" t="s">
        <v>713</v>
      </c>
      <c r="N153" s="119" t="s">
        <v>93</v>
      </c>
      <c r="O153" s="141">
        <f t="shared" si="97"/>
        <v>244014</v>
      </c>
      <c r="P153" s="141">
        <f t="shared" si="98"/>
        <v>244021</v>
      </c>
      <c r="Q153" s="141">
        <f t="shared" si="99"/>
        <v>244016</v>
      </c>
      <c r="R153" s="139" t="s">
        <v>55</v>
      </c>
      <c r="S153" s="143">
        <v>244034</v>
      </c>
      <c r="T153" s="139" t="s">
        <v>55</v>
      </c>
      <c r="U153" s="143">
        <v>244034</v>
      </c>
      <c r="V153" s="139" t="s">
        <v>55</v>
      </c>
      <c r="W153" s="143">
        <v>244019</v>
      </c>
      <c r="X153" s="139"/>
      <c r="Y153" s="141"/>
      <c r="Z153" s="119" t="s">
        <v>761</v>
      </c>
      <c r="AA153" s="144"/>
    </row>
    <row r="154" spans="1:27" s="145" customFormat="1" ht="36" customHeight="1" x14ac:dyDescent="0.25">
      <c r="A154" s="119" t="s">
        <v>18</v>
      </c>
      <c r="B154" s="139">
        <v>244014</v>
      </c>
      <c r="C154" s="119" t="s">
        <v>14</v>
      </c>
      <c r="D154" s="166">
        <v>680112</v>
      </c>
      <c r="E154" s="119" t="s">
        <v>426</v>
      </c>
      <c r="F154" s="190">
        <v>68013152</v>
      </c>
      <c r="G154" s="119" t="s">
        <v>714</v>
      </c>
      <c r="H154" s="187" t="s">
        <v>263</v>
      </c>
      <c r="I154" s="147" t="s">
        <v>428</v>
      </c>
      <c r="J154" s="146">
        <v>132.97999999999999</v>
      </c>
      <c r="K154" s="119" t="s">
        <v>207</v>
      </c>
      <c r="L154" s="146">
        <f>J154-129</f>
        <v>3.9799999999999898</v>
      </c>
      <c r="M154" s="119" t="s">
        <v>715</v>
      </c>
      <c r="N154" s="119" t="s">
        <v>93</v>
      </c>
      <c r="O154" s="141">
        <f t="shared" ref="O154" si="145">B154</f>
        <v>244014</v>
      </c>
      <c r="P154" s="141">
        <f t="shared" ref="P154" si="146">B154+7</f>
        <v>244021</v>
      </c>
      <c r="Q154" s="141">
        <f t="shared" ref="Q154" si="147">O154+2</f>
        <v>244016</v>
      </c>
      <c r="R154" s="139" t="s">
        <v>55</v>
      </c>
      <c r="S154" s="143">
        <v>244034</v>
      </c>
      <c r="T154" s="139" t="s">
        <v>55</v>
      </c>
      <c r="U154" s="143">
        <v>244034</v>
      </c>
      <c r="V154" s="139" t="s">
        <v>55</v>
      </c>
      <c r="W154" s="143">
        <v>244015</v>
      </c>
      <c r="X154" s="139"/>
      <c r="Y154" s="141"/>
      <c r="Z154" s="119" t="s">
        <v>720</v>
      </c>
      <c r="AA154" s="144">
        <f t="shared" ref="AA154" si="148">W154-P154</f>
        <v>-6</v>
      </c>
    </row>
    <row r="155" spans="1:27" s="145" customFormat="1" ht="36" customHeight="1" x14ac:dyDescent="0.25">
      <c r="A155" s="119" t="s">
        <v>18</v>
      </c>
      <c r="B155" s="139">
        <v>244014</v>
      </c>
      <c r="C155" s="119" t="s">
        <v>14</v>
      </c>
      <c r="D155" s="166">
        <v>680112</v>
      </c>
      <c r="E155" s="119" t="s">
        <v>426</v>
      </c>
      <c r="F155" s="190">
        <v>68013147</v>
      </c>
      <c r="G155" s="119" t="s">
        <v>716</v>
      </c>
      <c r="H155" s="187" t="s">
        <v>291</v>
      </c>
      <c r="I155" s="147" t="s">
        <v>428</v>
      </c>
      <c r="J155" s="146">
        <v>132.47999999999999</v>
      </c>
      <c r="K155" s="119" t="s">
        <v>207</v>
      </c>
      <c r="L155" s="146">
        <f>J155-129</f>
        <v>3.4799999999999898</v>
      </c>
      <c r="M155" s="119" t="s">
        <v>717</v>
      </c>
      <c r="N155" s="119" t="s">
        <v>93</v>
      </c>
      <c r="O155" s="141">
        <f t="shared" si="97"/>
        <v>244014</v>
      </c>
      <c r="P155" s="141">
        <f t="shared" si="98"/>
        <v>244021</v>
      </c>
      <c r="Q155" s="141">
        <f t="shared" si="99"/>
        <v>244016</v>
      </c>
      <c r="R155" s="139" t="s">
        <v>55</v>
      </c>
      <c r="S155" s="143">
        <v>244034</v>
      </c>
      <c r="T155" s="139" t="s">
        <v>55</v>
      </c>
      <c r="U155" s="143">
        <v>244034</v>
      </c>
      <c r="V155" s="139" t="s">
        <v>55</v>
      </c>
      <c r="W155" s="143">
        <v>244015</v>
      </c>
      <c r="X155" s="139"/>
      <c r="Y155" s="141"/>
      <c r="Z155" s="119" t="s">
        <v>720</v>
      </c>
      <c r="AA155" s="144">
        <f t="shared" si="103"/>
        <v>-6</v>
      </c>
    </row>
    <row r="156" spans="1:27" s="145" customFormat="1" ht="36" customHeight="1" x14ac:dyDescent="0.25">
      <c r="A156" s="119" t="s">
        <v>19</v>
      </c>
      <c r="B156" s="139">
        <v>244015</v>
      </c>
      <c r="C156" s="119" t="s">
        <v>14</v>
      </c>
      <c r="D156" s="166">
        <v>680113</v>
      </c>
      <c r="E156" s="119" t="s">
        <v>426</v>
      </c>
      <c r="F156" s="190">
        <v>68020101</v>
      </c>
      <c r="G156" s="119" t="s">
        <v>718</v>
      </c>
      <c r="H156" s="187" t="s">
        <v>410</v>
      </c>
      <c r="I156" s="147" t="s">
        <v>428</v>
      </c>
      <c r="J156" s="146">
        <v>131.61000000000001</v>
      </c>
      <c r="K156" s="119" t="s">
        <v>207</v>
      </c>
      <c r="L156" s="146">
        <f>J156-129</f>
        <v>2.6100000000000136</v>
      </c>
      <c r="M156" s="119" t="s">
        <v>719</v>
      </c>
      <c r="N156" s="119" t="s">
        <v>93</v>
      </c>
      <c r="O156" s="141">
        <f t="shared" si="97"/>
        <v>244015</v>
      </c>
      <c r="P156" s="141">
        <f t="shared" si="98"/>
        <v>244022</v>
      </c>
      <c r="Q156" s="141">
        <f t="shared" si="99"/>
        <v>244017</v>
      </c>
      <c r="R156" s="139" t="s">
        <v>55</v>
      </c>
      <c r="S156" s="143">
        <v>244048</v>
      </c>
      <c r="T156" s="139" t="s">
        <v>55</v>
      </c>
      <c r="U156" s="143">
        <v>244049</v>
      </c>
      <c r="V156" s="139" t="s">
        <v>55</v>
      </c>
      <c r="W156" s="143">
        <v>244015</v>
      </c>
      <c r="X156" s="139"/>
      <c r="Y156" s="141"/>
      <c r="Z156" s="119" t="s">
        <v>720</v>
      </c>
      <c r="AA156" s="144">
        <f t="shared" si="103"/>
        <v>-7</v>
      </c>
    </row>
    <row r="157" spans="1:27" s="145" customFormat="1" ht="36" customHeight="1" x14ac:dyDescent="0.25">
      <c r="A157" s="119" t="s">
        <v>19</v>
      </c>
      <c r="B157" s="139">
        <v>244015</v>
      </c>
      <c r="C157" s="119" t="s">
        <v>14</v>
      </c>
      <c r="D157" s="166">
        <v>680114</v>
      </c>
      <c r="E157" s="119" t="s">
        <v>307</v>
      </c>
      <c r="F157" s="190">
        <v>68020122</v>
      </c>
      <c r="G157" s="119" t="s">
        <v>721</v>
      </c>
      <c r="H157" s="187" t="s">
        <v>239</v>
      </c>
      <c r="I157" s="147" t="s">
        <v>725</v>
      </c>
      <c r="J157" s="146" t="s">
        <v>722</v>
      </c>
      <c r="K157" s="119" t="s">
        <v>723</v>
      </c>
      <c r="L157" s="146" t="s">
        <v>69</v>
      </c>
      <c r="M157" s="119" t="s">
        <v>724</v>
      </c>
      <c r="N157" s="119" t="s">
        <v>93</v>
      </c>
      <c r="O157" s="141">
        <f t="shared" si="97"/>
        <v>244015</v>
      </c>
      <c r="P157" s="141">
        <f t="shared" si="98"/>
        <v>244022</v>
      </c>
      <c r="Q157" s="141">
        <f t="shared" si="99"/>
        <v>244017</v>
      </c>
      <c r="R157" s="139" t="s">
        <v>55</v>
      </c>
      <c r="S157" s="143">
        <v>244048</v>
      </c>
      <c r="T157" s="139" t="s">
        <v>55</v>
      </c>
      <c r="U157" s="143">
        <v>244049</v>
      </c>
      <c r="V157" s="139" t="s">
        <v>55</v>
      </c>
      <c r="W157" s="143">
        <v>244015</v>
      </c>
      <c r="X157" s="139"/>
      <c r="Y157" s="141"/>
      <c r="Z157" s="119" t="s">
        <v>559</v>
      </c>
      <c r="AA157" s="144"/>
    </row>
    <row r="158" spans="1:27" s="145" customFormat="1" ht="36" customHeight="1" x14ac:dyDescent="0.25">
      <c r="A158" s="119" t="s">
        <v>19</v>
      </c>
      <c r="B158" s="139">
        <v>244015</v>
      </c>
      <c r="C158" s="119" t="s">
        <v>14</v>
      </c>
      <c r="D158" s="166">
        <v>680115</v>
      </c>
      <c r="E158" s="119" t="s">
        <v>413</v>
      </c>
      <c r="F158" s="190">
        <v>68020154</v>
      </c>
      <c r="G158" s="119" t="s">
        <v>726</v>
      </c>
      <c r="H158" s="187" t="s">
        <v>270</v>
      </c>
      <c r="I158" s="147" t="s">
        <v>415</v>
      </c>
      <c r="J158" s="146">
        <v>83.51</v>
      </c>
      <c r="K158" s="119" t="s">
        <v>200</v>
      </c>
      <c r="L158" s="146">
        <v>3.51</v>
      </c>
      <c r="M158" s="119" t="s">
        <v>727</v>
      </c>
      <c r="N158" s="119" t="s">
        <v>93</v>
      </c>
      <c r="O158" s="141">
        <f t="shared" si="97"/>
        <v>244015</v>
      </c>
      <c r="P158" s="141">
        <f t="shared" si="98"/>
        <v>244022</v>
      </c>
      <c r="Q158" s="141">
        <f t="shared" si="99"/>
        <v>244017</v>
      </c>
      <c r="R158" s="139" t="s">
        <v>55</v>
      </c>
      <c r="S158" s="143">
        <v>244035</v>
      </c>
      <c r="T158" s="139" t="s">
        <v>55</v>
      </c>
      <c r="U158" s="143">
        <v>244035</v>
      </c>
      <c r="V158" s="139" t="s">
        <v>55</v>
      </c>
      <c r="W158" s="143">
        <v>244022</v>
      </c>
      <c r="X158" s="139"/>
      <c r="Y158" s="141"/>
      <c r="Z158" s="119" t="s">
        <v>775</v>
      </c>
      <c r="AA158" s="144">
        <f>W158-P158</f>
        <v>0</v>
      </c>
    </row>
    <row r="159" spans="1:27" s="145" customFormat="1" ht="36" customHeight="1" x14ac:dyDescent="0.25">
      <c r="A159" s="119" t="s">
        <v>19</v>
      </c>
      <c r="B159" s="139">
        <v>244016</v>
      </c>
      <c r="C159" s="119" t="s">
        <v>14</v>
      </c>
      <c r="D159" s="166">
        <v>680116</v>
      </c>
      <c r="E159" s="119" t="s">
        <v>426</v>
      </c>
      <c r="F159" s="190">
        <v>68020209</v>
      </c>
      <c r="G159" s="119" t="s">
        <v>728</v>
      </c>
      <c r="H159" s="187" t="s">
        <v>263</v>
      </c>
      <c r="I159" s="147" t="s">
        <v>428</v>
      </c>
      <c r="J159" s="146">
        <v>126.19</v>
      </c>
      <c r="K159" s="119" t="s">
        <v>201</v>
      </c>
      <c r="L159" s="146">
        <f>127-J159</f>
        <v>0.81000000000000227</v>
      </c>
      <c r="M159" s="119" t="s">
        <v>719</v>
      </c>
      <c r="N159" s="119" t="s">
        <v>93</v>
      </c>
      <c r="O159" s="141">
        <f t="shared" si="97"/>
        <v>244016</v>
      </c>
      <c r="P159" s="141">
        <f t="shared" si="98"/>
        <v>244023</v>
      </c>
      <c r="Q159" s="141">
        <f t="shared" si="99"/>
        <v>244018</v>
      </c>
      <c r="R159" s="139" t="s">
        <v>55</v>
      </c>
      <c r="S159" s="143">
        <v>244048</v>
      </c>
      <c r="T159" s="139" t="s">
        <v>55</v>
      </c>
      <c r="U159" s="143">
        <v>244049</v>
      </c>
      <c r="V159" s="139" t="s">
        <v>55</v>
      </c>
      <c r="W159" s="143">
        <v>244019</v>
      </c>
      <c r="X159" s="139"/>
      <c r="Y159" s="141"/>
      <c r="Z159" s="119" t="s">
        <v>758</v>
      </c>
      <c r="AA159" s="144">
        <f t="shared" ref="AA159" si="149">W159-P159</f>
        <v>-4</v>
      </c>
    </row>
    <row r="160" spans="1:27" s="145" customFormat="1" ht="36" customHeight="1" x14ac:dyDescent="0.25">
      <c r="A160" s="119" t="s">
        <v>19</v>
      </c>
      <c r="B160" s="139">
        <v>244017</v>
      </c>
      <c r="C160" s="119" t="s">
        <v>14</v>
      </c>
      <c r="D160" s="166">
        <v>680117</v>
      </c>
      <c r="E160" s="119" t="s">
        <v>307</v>
      </c>
      <c r="F160" s="190">
        <v>68020301</v>
      </c>
      <c r="G160" s="119" t="s">
        <v>729</v>
      </c>
      <c r="H160" s="187" t="s">
        <v>239</v>
      </c>
      <c r="I160" s="147" t="s">
        <v>732</v>
      </c>
      <c r="J160" s="146" t="s">
        <v>731</v>
      </c>
      <c r="K160" s="146" t="s">
        <v>731</v>
      </c>
      <c r="L160" s="146" t="s">
        <v>69</v>
      </c>
      <c r="M160" s="119" t="s">
        <v>730</v>
      </c>
      <c r="N160" s="119" t="s">
        <v>93</v>
      </c>
      <c r="O160" s="141">
        <f t="shared" si="97"/>
        <v>244017</v>
      </c>
      <c r="P160" s="141">
        <f t="shared" si="98"/>
        <v>244024</v>
      </c>
      <c r="Q160" s="141">
        <f t="shared" si="99"/>
        <v>244019</v>
      </c>
      <c r="R160" s="139" t="s">
        <v>55</v>
      </c>
      <c r="S160" s="143">
        <v>244026</v>
      </c>
      <c r="T160" s="139" t="s">
        <v>55</v>
      </c>
      <c r="U160" s="143">
        <v>244028</v>
      </c>
      <c r="V160" s="139" t="s">
        <v>55</v>
      </c>
      <c r="W160" s="143">
        <v>244028</v>
      </c>
      <c r="X160" s="139"/>
      <c r="Y160" s="141"/>
      <c r="Z160" s="119" t="s">
        <v>850</v>
      </c>
      <c r="AA160" s="144">
        <f>W160-P160</f>
        <v>4</v>
      </c>
    </row>
    <row r="161" spans="1:27" s="145" customFormat="1" ht="36" customHeight="1" x14ac:dyDescent="0.25">
      <c r="A161" s="119" t="s">
        <v>19</v>
      </c>
      <c r="B161" s="139">
        <v>244017</v>
      </c>
      <c r="C161" s="119" t="s">
        <v>11</v>
      </c>
      <c r="D161" s="166">
        <v>680118</v>
      </c>
      <c r="E161" s="119" t="s">
        <v>733</v>
      </c>
      <c r="F161" s="190" t="s">
        <v>735</v>
      </c>
      <c r="G161" s="119">
        <v>680205</v>
      </c>
      <c r="H161" s="187" t="s">
        <v>135</v>
      </c>
      <c r="I161" s="147" t="s">
        <v>76</v>
      </c>
      <c r="J161" s="146">
        <v>761</v>
      </c>
      <c r="K161" s="119" t="s">
        <v>123</v>
      </c>
      <c r="L161" s="146">
        <v>71</v>
      </c>
      <c r="M161" s="257" t="s">
        <v>734</v>
      </c>
      <c r="N161" s="257" t="s">
        <v>53</v>
      </c>
      <c r="O161" s="141">
        <f t="shared" ref="O161" si="150">B161</f>
        <v>244017</v>
      </c>
      <c r="P161" s="141">
        <f t="shared" ref="P161" si="151">B161+7</f>
        <v>244024</v>
      </c>
      <c r="Q161" s="141">
        <f t="shared" ref="Q161" si="152">O161+2</f>
        <v>244019</v>
      </c>
      <c r="R161" s="139" t="s">
        <v>55</v>
      </c>
      <c r="S161" s="143">
        <v>244021</v>
      </c>
      <c r="T161" s="139" t="s">
        <v>55</v>
      </c>
      <c r="U161" s="143">
        <v>244022</v>
      </c>
      <c r="V161" s="139" t="s">
        <v>55</v>
      </c>
      <c r="W161" s="143">
        <v>244022</v>
      </c>
      <c r="X161" s="139"/>
      <c r="Y161" s="141"/>
      <c r="Z161" s="119" t="s">
        <v>782</v>
      </c>
      <c r="AA161" s="144"/>
    </row>
    <row r="162" spans="1:27" s="145" customFormat="1" ht="36" customHeight="1" x14ac:dyDescent="0.25">
      <c r="A162" s="119" t="s">
        <v>19</v>
      </c>
      <c r="B162" s="139">
        <v>244017</v>
      </c>
      <c r="C162" s="119" t="s">
        <v>11</v>
      </c>
      <c r="D162" s="166">
        <v>680118</v>
      </c>
      <c r="E162" s="119" t="s">
        <v>733</v>
      </c>
      <c r="F162" s="190" t="s">
        <v>735</v>
      </c>
      <c r="G162" s="119">
        <v>680205</v>
      </c>
      <c r="H162" s="187" t="s">
        <v>135</v>
      </c>
      <c r="I162" s="147" t="s">
        <v>61</v>
      </c>
      <c r="J162" s="146">
        <v>50</v>
      </c>
      <c r="K162" s="119" t="s">
        <v>62</v>
      </c>
      <c r="L162" s="146">
        <v>20</v>
      </c>
      <c r="M162" s="258"/>
      <c r="N162" s="258"/>
      <c r="O162" s="141">
        <f t="shared" si="97"/>
        <v>244017</v>
      </c>
      <c r="P162" s="141">
        <f t="shared" si="98"/>
        <v>244024</v>
      </c>
      <c r="Q162" s="141">
        <f t="shared" si="99"/>
        <v>244019</v>
      </c>
      <c r="R162" s="139" t="s">
        <v>55</v>
      </c>
      <c r="S162" s="143">
        <v>244021</v>
      </c>
      <c r="T162" s="139" t="s">
        <v>55</v>
      </c>
      <c r="U162" s="143">
        <v>244022</v>
      </c>
      <c r="V162" s="139" t="s">
        <v>55</v>
      </c>
      <c r="W162" s="143">
        <v>244022</v>
      </c>
      <c r="X162" s="139"/>
      <c r="Y162" s="141"/>
      <c r="Z162" s="119" t="s">
        <v>782</v>
      </c>
      <c r="AA162" s="144">
        <f>W162-P162</f>
        <v>-2</v>
      </c>
    </row>
    <row r="163" spans="1:27" s="145" customFormat="1" ht="36" customHeight="1" x14ac:dyDescent="0.25">
      <c r="A163" s="119" t="s">
        <v>19</v>
      </c>
      <c r="B163" s="139">
        <v>244017</v>
      </c>
      <c r="C163" s="119" t="s">
        <v>14</v>
      </c>
      <c r="D163" s="166">
        <v>680119</v>
      </c>
      <c r="E163" s="119" t="s">
        <v>413</v>
      </c>
      <c r="F163" s="190">
        <v>68020325</v>
      </c>
      <c r="G163" s="119" t="s">
        <v>736</v>
      </c>
      <c r="H163" s="187" t="s">
        <v>270</v>
      </c>
      <c r="I163" s="147" t="s">
        <v>415</v>
      </c>
      <c r="J163" s="146">
        <v>85.66</v>
      </c>
      <c r="K163" s="119" t="s">
        <v>200</v>
      </c>
      <c r="L163" s="146">
        <f>J163-80</f>
        <v>5.6599999999999966</v>
      </c>
      <c r="M163" s="119" t="s">
        <v>737</v>
      </c>
      <c r="N163" s="119" t="s">
        <v>93</v>
      </c>
      <c r="O163" s="141">
        <f t="shared" si="97"/>
        <v>244017</v>
      </c>
      <c r="P163" s="141">
        <f t="shared" si="98"/>
        <v>244024</v>
      </c>
      <c r="Q163" s="141">
        <f t="shared" si="99"/>
        <v>244019</v>
      </c>
      <c r="R163" s="139" t="s">
        <v>55</v>
      </c>
      <c r="S163" s="143">
        <v>244035</v>
      </c>
      <c r="T163" s="139" t="s">
        <v>55</v>
      </c>
      <c r="U163" s="143">
        <v>244035</v>
      </c>
      <c r="V163" s="139" t="s">
        <v>55</v>
      </c>
      <c r="W163" s="143">
        <v>244022</v>
      </c>
      <c r="X163" s="139"/>
      <c r="Y163" s="141"/>
      <c r="Z163" s="119" t="s">
        <v>775</v>
      </c>
      <c r="AA163" s="144">
        <f t="shared" ref="AA163" si="153">W163-P163</f>
        <v>-2</v>
      </c>
    </row>
    <row r="164" spans="1:27" s="145" customFormat="1" ht="36" customHeight="1" x14ac:dyDescent="0.25">
      <c r="A164" s="119" t="s">
        <v>19</v>
      </c>
      <c r="B164" s="139">
        <v>244017</v>
      </c>
      <c r="C164" s="119" t="s">
        <v>13</v>
      </c>
      <c r="D164" s="166">
        <v>680120</v>
      </c>
      <c r="E164" s="119" t="s">
        <v>393</v>
      </c>
      <c r="F164" s="190">
        <v>68020152</v>
      </c>
      <c r="G164" s="119">
        <v>680202</v>
      </c>
      <c r="H164" s="187" t="s">
        <v>394</v>
      </c>
      <c r="I164" s="154" t="s">
        <v>738</v>
      </c>
      <c r="J164" s="146">
        <v>173.35</v>
      </c>
      <c r="K164" s="119" t="s">
        <v>201</v>
      </c>
      <c r="L164" s="146">
        <f>175-J164</f>
        <v>1.6500000000000057</v>
      </c>
      <c r="M164" s="119" t="s">
        <v>739</v>
      </c>
      <c r="N164" s="119" t="s">
        <v>93</v>
      </c>
      <c r="O164" s="141">
        <f t="shared" si="97"/>
        <v>244017</v>
      </c>
      <c r="P164" s="141">
        <f t="shared" si="98"/>
        <v>244024</v>
      </c>
      <c r="Q164" s="141">
        <f t="shared" si="99"/>
        <v>244019</v>
      </c>
      <c r="R164" s="139" t="s">
        <v>55</v>
      </c>
      <c r="S164" s="143">
        <v>244021</v>
      </c>
      <c r="T164" s="139" t="s">
        <v>55</v>
      </c>
      <c r="U164" s="143">
        <v>244021</v>
      </c>
      <c r="V164" s="139" t="s">
        <v>55</v>
      </c>
      <c r="W164" s="143">
        <v>244021</v>
      </c>
      <c r="X164" s="139"/>
      <c r="Y164" s="141"/>
      <c r="Z164" s="119" t="s">
        <v>789</v>
      </c>
      <c r="AA164" s="144">
        <f>W164-P164</f>
        <v>-3</v>
      </c>
    </row>
    <row r="165" spans="1:27" s="145" customFormat="1" ht="36" customHeight="1" x14ac:dyDescent="0.25">
      <c r="A165" s="119" t="s">
        <v>19</v>
      </c>
      <c r="B165" s="139">
        <v>244017</v>
      </c>
      <c r="C165" s="119" t="s">
        <v>14</v>
      </c>
      <c r="D165" s="166">
        <v>680121</v>
      </c>
      <c r="E165" s="119" t="s">
        <v>426</v>
      </c>
      <c r="F165" s="190">
        <v>68020349</v>
      </c>
      <c r="G165" s="119" t="s">
        <v>740</v>
      </c>
      <c r="H165" s="187" t="s">
        <v>291</v>
      </c>
      <c r="I165" s="147" t="s">
        <v>428</v>
      </c>
      <c r="J165" s="146">
        <v>124.68</v>
      </c>
      <c r="K165" s="119" t="s">
        <v>201</v>
      </c>
      <c r="L165" s="146">
        <f>127-J165</f>
        <v>2.3199999999999932</v>
      </c>
      <c r="M165" s="119" t="s">
        <v>741</v>
      </c>
      <c r="N165" s="119" t="s">
        <v>93</v>
      </c>
      <c r="O165" s="141">
        <f t="shared" ref="O165" si="154">B165</f>
        <v>244017</v>
      </c>
      <c r="P165" s="141">
        <f t="shared" ref="P165" si="155">B165+7</f>
        <v>244024</v>
      </c>
      <c r="Q165" s="141">
        <f t="shared" ref="Q165" si="156">O165+2</f>
        <v>244019</v>
      </c>
      <c r="R165" s="139" t="s">
        <v>55</v>
      </c>
      <c r="S165" s="143">
        <v>244048</v>
      </c>
      <c r="T165" s="139" t="s">
        <v>55</v>
      </c>
      <c r="U165" s="143">
        <v>244049</v>
      </c>
      <c r="V165" s="139" t="s">
        <v>55</v>
      </c>
      <c r="W165" s="143">
        <v>244019</v>
      </c>
      <c r="X165" s="139"/>
      <c r="Y165" s="141"/>
      <c r="Z165" s="119" t="s">
        <v>758</v>
      </c>
      <c r="AA165" s="144">
        <f>W165-P165</f>
        <v>-5</v>
      </c>
    </row>
    <row r="166" spans="1:27" s="145" customFormat="1" ht="36" customHeight="1" x14ac:dyDescent="0.25">
      <c r="A166" s="119" t="s">
        <v>19</v>
      </c>
      <c r="B166" s="139">
        <v>244017</v>
      </c>
      <c r="C166" s="119" t="s">
        <v>14</v>
      </c>
      <c r="D166" s="166">
        <v>680121</v>
      </c>
      <c r="E166" s="119" t="s">
        <v>426</v>
      </c>
      <c r="F166" s="190">
        <v>68020353</v>
      </c>
      <c r="G166" s="119" t="s">
        <v>744</v>
      </c>
      <c r="H166" s="187" t="s">
        <v>224</v>
      </c>
      <c r="I166" s="147" t="s">
        <v>428</v>
      </c>
      <c r="J166" s="146">
        <v>125.4</v>
      </c>
      <c r="K166" s="119" t="s">
        <v>201</v>
      </c>
      <c r="L166" s="146">
        <f>127-J166</f>
        <v>1.5999999999999943</v>
      </c>
      <c r="M166" s="119" t="s">
        <v>745</v>
      </c>
      <c r="N166" s="119" t="s">
        <v>93</v>
      </c>
      <c r="O166" s="141">
        <f t="shared" si="97"/>
        <v>244017</v>
      </c>
      <c r="P166" s="141">
        <f t="shared" si="98"/>
        <v>244024</v>
      </c>
      <c r="Q166" s="141">
        <f t="shared" si="99"/>
        <v>244019</v>
      </c>
      <c r="R166" s="139" t="s">
        <v>55</v>
      </c>
      <c r="S166" s="143">
        <v>244048</v>
      </c>
      <c r="T166" s="139" t="s">
        <v>55</v>
      </c>
      <c r="U166" s="143">
        <v>244049</v>
      </c>
      <c r="V166" s="139" t="s">
        <v>55</v>
      </c>
      <c r="W166" s="143">
        <v>244019</v>
      </c>
      <c r="X166" s="139"/>
      <c r="Y166" s="141"/>
      <c r="Z166" s="119" t="s">
        <v>758</v>
      </c>
      <c r="AA166" s="144">
        <f>W166-P166</f>
        <v>-5</v>
      </c>
    </row>
    <row r="167" spans="1:27" s="145" customFormat="1" ht="36" customHeight="1" x14ac:dyDescent="0.25">
      <c r="A167" s="119" t="s">
        <v>19</v>
      </c>
      <c r="B167" s="139">
        <v>244017</v>
      </c>
      <c r="C167" s="119" t="s">
        <v>14</v>
      </c>
      <c r="D167" s="166">
        <v>680122</v>
      </c>
      <c r="E167" s="119" t="s">
        <v>307</v>
      </c>
      <c r="F167" s="190">
        <v>68020354</v>
      </c>
      <c r="G167" s="119" t="s">
        <v>742</v>
      </c>
      <c r="H167" s="187" t="s">
        <v>285</v>
      </c>
      <c r="I167" s="154" t="s">
        <v>308</v>
      </c>
      <c r="J167" s="146">
        <v>62.47</v>
      </c>
      <c r="K167" s="119" t="s">
        <v>201</v>
      </c>
      <c r="L167" s="146">
        <f>64-J167</f>
        <v>1.5300000000000011</v>
      </c>
      <c r="M167" s="119" t="s">
        <v>743</v>
      </c>
      <c r="N167" s="119" t="s">
        <v>93</v>
      </c>
      <c r="O167" s="141">
        <f t="shared" si="97"/>
        <v>244017</v>
      </c>
      <c r="P167" s="141">
        <f t="shared" si="98"/>
        <v>244024</v>
      </c>
      <c r="Q167" s="141">
        <f t="shared" si="99"/>
        <v>244019</v>
      </c>
      <c r="R167" s="139" t="s">
        <v>55</v>
      </c>
      <c r="S167" s="143">
        <v>244026</v>
      </c>
      <c r="T167" s="139" t="s">
        <v>55</v>
      </c>
      <c r="U167" s="143">
        <v>244028</v>
      </c>
      <c r="V167" s="139" t="s">
        <v>55</v>
      </c>
      <c r="W167" s="143">
        <v>244028</v>
      </c>
      <c r="X167" s="139"/>
      <c r="Y167" s="141"/>
      <c r="Z167" s="119" t="s">
        <v>850</v>
      </c>
      <c r="AA167" s="144">
        <f t="shared" ref="AA167" si="157">W167-P167</f>
        <v>4</v>
      </c>
    </row>
    <row r="168" spans="1:27" s="145" customFormat="1" ht="36" customHeight="1" x14ac:dyDescent="0.25">
      <c r="A168" s="119" t="s">
        <v>19</v>
      </c>
      <c r="B168" s="139">
        <v>244018</v>
      </c>
      <c r="C168" s="119" t="s">
        <v>132</v>
      </c>
      <c r="D168" s="166">
        <v>680123</v>
      </c>
      <c r="E168" s="119" t="s">
        <v>746</v>
      </c>
      <c r="F168" s="190" t="s">
        <v>747</v>
      </c>
      <c r="G168" s="119" t="s">
        <v>748</v>
      </c>
      <c r="H168" s="187" t="s">
        <v>749</v>
      </c>
      <c r="I168" s="154" t="s">
        <v>203</v>
      </c>
      <c r="J168" s="146" t="s">
        <v>750</v>
      </c>
      <c r="K168" s="146" t="s">
        <v>750</v>
      </c>
      <c r="L168" s="146" t="s">
        <v>346</v>
      </c>
      <c r="M168" s="119">
        <v>1</v>
      </c>
      <c r="N168" s="119" t="s">
        <v>52</v>
      </c>
      <c r="O168" s="141">
        <f t="shared" si="97"/>
        <v>244018</v>
      </c>
      <c r="P168" s="141">
        <f t="shared" si="98"/>
        <v>244025</v>
      </c>
      <c r="Q168" s="141">
        <f t="shared" si="99"/>
        <v>244020</v>
      </c>
      <c r="R168" s="139" t="s">
        <v>55</v>
      </c>
      <c r="S168" s="143">
        <v>244021</v>
      </c>
      <c r="T168" s="139" t="s">
        <v>55</v>
      </c>
      <c r="U168" s="143">
        <v>244021</v>
      </c>
      <c r="V168" s="139"/>
      <c r="W168" s="143"/>
      <c r="X168" s="139"/>
      <c r="Y168" s="141"/>
      <c r="Z168" s="119"/>
      <c r="AA168" s="144">
        <f t="shared" ref="AA168:AA173" si="158">W168-P168</f>
        <v>-244025</v>
      </c>
    </row>
    <row r="169" spans="1:27" s="145" customFormat="1" ht="36" customHeight="1" x14ac:dyDescent="0.25">
      <c r="A169" s="119" t="s">
        <v>19</v>
      </c>
      <c r="B169" s="139">
        <v>244018</v>
      </c>
      <c r="C169" s="119" t="s">
        <v>14</v>
      </c>
      <c r="D169" s="166">
        <v>680124</v>
      </c>
      <c r="E169" s="119" t="s">
        <v>420</v>
      </c>
      <c r="F169" s="190">
        <v>68020436</v>
      </c>
      <c r="G169" s="119" t="s">
        <v>753</v>
      </c>
      <c r="H169" s="187" t="s">
        <v>274</v>
      </c>
      <c r="I169" s="154" t="s">
        <v>422</v>
      </c>
      <c r="J169" s="119">
        <v>127.58</v>
      </c>
      <c r="K169" s="119" t="s">
        <v>207</v>
      </c>
      <c r="L169" s="119">
        <v>2.58</v>
      </c>
      <c r="M169" s="119" t="s">
        <v>754</v>
      </c>
      <c r="N169" s="119" t="s">
        <v>93</v>
      </c>
      <c r="O169" s="141">
        <f t="shared" si="97"/>
        <v>244018</v>
      </c>
      <c r="P169" s="141">
        <f t="shared" si="98"/>
        <v>244025</v>
      </c>
      <c r="Q169" s="141">
        <f t="shared" si="99"/>
        <v>244020</v>
      </c>
      <c r="R169" s="139" t="s">
        <v>55</v>
      </c>
      <c r="S169" s="143">
        <v>244026</v>
      </c>
      <c r="T169" s="139" t="s">
        <v>55</v>
      </c>
      <c r="U169" s="143">
        <v>244028</v>
      </c>
      <c r="V169" s="139" t="s">
        <v>55</v>
      </c>
      <c r="W169" s="143">
        <v>244025</v>
      </c>
      <c r="X169" s="139"/>
      <c r="Y169" s="141"/>
      <c r="Z169" s="119" t="s">
        <v>834</v>
      </c>
      <c r="AA169" s="144">
        <f t="shared" si="158"/>
        <v>0</v>
      </c>
    </row>
    <row r="170" spans="1:27" s="145" customFormat="1" ht="36" customHeight="1" x14ac:dyDescent="0.25">
      <c r="A170" s="119" t="s">
        <v>19</v>
      </c>
      <c r="B170" s="139">
        <v>244018</v>
      </c>
      <c r="C170" s="119" t="s">
        <v>14</v>
      </c>
      <c r="D170" s="166">
        <v>680125</v>
      </c>
      <c r="E170" s="119" t="s">
        <v>755</v>
      </c>
      <c r="F170" s="190">
        <v>68020447</v>
      </c>
      <c r="G170" s="119" t="s">
        <v>756</v>
      </c>
      <c r="H170" s="187" t="s">
        <v>277</v>
      </c>
      <c r="I170" s="154" t="s">
        <v>519</v>
      </c>
      <c r="J170" s="119">
        <v>74.37</v>
      </c>
      <c r="K170" s="119" t="s">
        <v>200</v>
      </c>
      <c r="L170" s="119">
        <f>J170-68</f>
        <v>6.3700000000000045</v>
      </c>
      <c r="M170" s="119" t="s">
        <v>757</v>
      </c>
      <c r="N170" s="119" t="s">
        <v>93</v>
      </c>
      <c r="O170" s="141">
        <f t="shared" si="97"/>
        <v>244018</v>
      </c>
      <c r="P170" s="141">
        <f t="shared" si="98"/>
        <v>244025</v>
      </c>
      <c r="Q170" s="141">
        <f t="shared" si="99"/>
        <v>244020</v>
      </c>
      <c r="R170" s="139" t="s">
        <v>55</v>
      </c>
      <c r="S170" s="143">
        <v>244035</v>
      </c>
      <c r="T170" s="139" t="s">
        <v>55</v>
      </c>
      <c r="U170" s="143">
        <v>244035</v>
      </c>
      <c r="V170" s="139" t="s">
        <v>55</v>
      </c>
      <c r="W170" s="143">
        <v>244022</v>
      </c>
      <c r="X170" s="139"/>
      <c r="Y170" s="141"/>
      <c r="Z170" s="119" t="s">
        <v>774</v>
      </c>
      <c r="AA170" s="144">
        <f t="shared" si="158"/>
        <v>-3</v>
      </c>
    </row>
    <row r="171" spans="1:27" s="145" customFormat="1" ht="36" customHeight="1" x14ac:dyDescent="0.25">
      <c r="A171" s="119" t="s">
        <v>19</v>
      </c>
      <c r="B171" s="139">
        <v>244019</v>
      </c>
      <c r="C171" s="119" t="s">
        <v>14</v>
      </c>
      <c r="D171" s="166">
        <v>680126</v>
      </c>
      <c r="E171" s="119" t="s">
        <v>307</v>
      </c>
      <c r="F171" s="190">
        <v>68020528</v>
      </c>
      <c r="G171" s="119" t="s">
        <v>759</v>
      </c>
      <c r="H171" s="187" t="s">
        <v>212</v>
      </c>
      <c r="I171" s="147" t="s">
        <v>442</v>
      </c>
      <c r="J171" s="146" t="s">
        <v>557</v>
      </c>
      <c r="K171" s="146" t="s">
        <v>557</v>
      </c>
      <c r="L171" s="146" t="s">
        <v>69</v>
      </c>
      <c r="M171" s="119" t="s">
        <v>760</v>
      </c>
      <c r="N171" s="119" t="s">
        <v>93</v>
      </c>
      <c r="O171" s="141">
        <f t="shared" si="97"/>
        <v>244019</v>
      </c>
      <c r="P171" s="141">
        <f t="shared" si="98"/>
        <v>244026</v>
      </c>
      <c r="Q171" s="141">
        <f t="shared" si="99"/>
        <v>244021</v>
      </c>
      <c r="R171" s="139" t="s">
        <v>55</v>
      </c>
      <c r="S171" s="143">
        <v>244026</v>
      </c>
      <c r="T171" s="139" t="s">
        <v>55</v>
      </c>
      <c r="U171" s="143">
        <v>244028</v>
      </c>
      <c r="V171" s="139" t="s">
        <v>55</v>
      </c>
      <c r="W171" s="143">
        <v>244028</v>
      </c>
      <c r="X171" s="139"/>
      <c r="Y171" s="141"/>
      <c r="Z171" s="119" t="s">
        <v>850</v>
      </c>
      <c r="AA171" s="144">
        <f t="shared" si="158"/>
        <v>2</v>
      </c>
    </row>
    <row r="172" spans="1:27" s="145" customFormat="1" ht="36" customHeight="1" x14ac:dyDescent="0.25">
      <c r="A172" s="119" t="s">
        <v>19</v>
      </c>
      <c r="B172" s="139">
        <v>244019</v>
      </c>
      <c r="C172" s="119" t="s">
        <v>14</v>
      </c>
      <c r="D172" s="166">
        <v>680127</v>
      </c>
      <c r="E172" s="119" t="s">
        <v>426</v>
      </c>
      <c r="F172" s="190">
        <v>68020546</v>
      </c>
      <c r="G172" s="119" t="s">
        <v>763</v>
      </c>
      <c r="H172" s="187" t="s">
        <v>225</v>
      </c>
      <c r="I172" s="147" t="s">
        <v>428</v>
      </c>
      <c r="J172" s="146">
        <v>130.79</v>
      </c>
      <c r="K172" s="119" t="s">
        <v>200</v>
      </c>
      <c r="L172" s="146">
        <f>J172-129</f>
        <v>1.789999999999992</v>
      </c>
      <c r="M172" s="119" t="s">
        <v>764</v>
      </c>
      <c r="N172" s="119" t="s">
        <v>93</v>
      </c>
      <c r="O172" s="141">
        <f t="shared" si="97"/>
        <v>244019</v>
      </c>
      <c r="P172" s="141">
        <f t="shared" si="98"/>
        <v>244026</v>
      </c>
      <c r="Q172" s="141">
        <f t="shared" si="99"/>
        <v>244021</v>
      </c>
      <c r="R172" s="139" t="s">
        <v>55</v>
      </c>
      <c r="S172" s="143">
        <v>244048</v>
      </c>
      <c r="T172" s="139" t="s">
        <v>55</v>
      </c>
      <c r="U172" s="143">
        <v>244049</v>
      </c>
      <c r="V172" s="139" t="s">
        <v>55</v>
      </c>
      <c r="W172" s="143">
        <v>244021</v>
      </c>
      <c r="X172" s="139"/>
      <c r="Y172" s="141"/>
      <c r="Z172" s="119" t="s">
        <v>772</v>
      </c>
      <c r="AA172" s="144">
        <f t="shared" si="158"/>
        <v>-5</v>
      </c>
    </row>
    <row r="173" spans="1:27" s="145" customFormat="1" ht="36" customHeight="1" x14ac:dyDescent="0.25">
      <c r="A173" s="119" t="s">
        <v>19</v>
      </c>
      <c r="B173" s="139">
        <v>244019</v>
      </c>
      <c r="C173" s="119" t="s">
        <v>14</v>
      </c>
      <c r="D173" s="166">
        <v>680128</v>
      </c>
      <c r="E173" s="119" t="s">
        <v>755</v>
      </c>
      <c r="F173" s="190">
        <v>68020547</v>
      </c>
      <c r="G173" s="119" t="s">
        <v>765</v>
      </c>
      <c r="H173" s="187" t="s">
        <v>289</v>
      </c>
      <c r="I173" s="154" t="s">
        <v>519</v>
      </c>
      <c r="J173" s="146">
        <v>74.989999999999995</v>
      </c>
      <c r="K173" s="119" t="s">
        <v>200</v>
      </c>
      <c r="L173" s="146">
        <f>J173-68</f>
        <v>6.9899999999999949</v>
      </c>
      <c r="M173" s="119" t="s">
        <v>766</v>
      </c>
      <c r="N173" s="148" t="s">
        <v>93</v>
      </c>
      <c r="O173" s="141">
        <f t="shared" si="97"/>
        <v>244019</v>
      </c>
      <c r="P173" s="141">
        <f t="shared" si="98"/>
        <v>244026</v>
      </c>
      <c r="Q173" s="141">
        <f t="shared" si="99"/>
        <v>244021</v>
      </c>
      <c r="R173" s="139" t="s">
        <v>55</v>
      </c>
      <c r="S173" s="143">
        <v>244035</v>
      </c>
      <c r="T173" s="139" t="s">
        <v>55</v>
      </c>
      <c r="U173" s="143">
        <v>244035</v>
      </c>
      <c r="V173" s="139" t="s">
        <v>55</v>
      </c>
      <c r="W173" s="143">
        <v>244022</v>
      </c>
      <c r="X173" s="139"/>
      <c r="Y173" s="141"/>
      <c r="Z173" s="119" t="s">
        <v>773</v>
      </c>
      <c r="AA173" s="144">
        <f t="shared" si="158"/>
        <v>-4</v>
      </c>
    </row>
    <row r="174" spans="1:27" s="145" customFormat="1" ht="36" customHeight="1" x14ac:dyDescent="0.25">
      <c r="A174" s="119" t="s">
        <v>19</v>
      </c>
      <c r="B174" s="139">
        <v>244020</v>
      </c>
      <c r="C174" s="119" t="s">
        <v>14</v>
      </c>
      <c r="D174" s="166">
        <v>680129</v>
      </c>
      <c r="E174" s="119" t="s">
        <v>307</v>
      </c>
      <c r="F174" s="190">
        <v>68020630</v>
      </c>
      <c r="G174" s="119" t="s">
        <v>767</v>
      </c>
      <c r="H174" s="187" t="s">
        <v>280</v>
      </c>
      <c r="I174" s="154" t="s">
        <v>308</v>
      </c>
      <c r="J174" s="146">
        <v>68.819999999999993</v>
      </c>
      <c r="K174" s="119" t="s">
        <v>200</v>
      </c>
      <c r="L174" s="146">
        <f>J174-66</f>
        <v>2.8199999999999932</v>
      </c>
      <c r="M174" s="119" t="s">
        <v>768</v>
      </c>
      <c r="N174" s="148" t="s">
        <v>93</v>
      </c>
      <c r="O174" s="141">
        <f t="shared" si="97"/>
        <v>244020</v>
      </c>
      <c r="P174" s="141">
        <f t="shared" si="98"/>
        <v>244027</v>
      </c>
      <c r="Q174" s="141">
        <f t="shared" si="99"/>
        <v>244022</v>
      </c>
      <c r="R174" s="139" t="s">
        <v>55</v>
      </c>
      <c r="S174" s="143">
        <v>244026</v>
      </c>
      <c r="T174" s="139" t="s">
        <v>55</v>
      </c>
      <c r="U174" s="143">
        <v>244028</v>
      </c>
      <c r="V174" s="139" t="s">
        <v>55</v>
      </c>
      <c r="W174" s="143">
        <v>244028</v>
      </c>
      <c r="X174" s="139"/>
      <c r="Y174" s="141"/>
      <c r="Z174" s="119" t="s">
        <v>850</v>
      </c>
      <c r="AA174" s="144">
        <f t="shared" ref="AA174" si="159">W174-P174</f>
        <v>1</v>
      </c>
    </row>
    <row r="175" spans="1:27" s="145" customFormat="1" ht="36" customHeight="1" x14ac:dyDescent="0.25">
      <c r="A175" s="119" t="s">
        <v>19</v>
      </c>
      <c r="B175" s="139">
        <v>244020</v>
      </c>
      <c r="C175" s="119" t="s">
        <v>14</v>
      </c>
      <c r="D175" s="166">
        <v>680130</v>
      </c>
      <c r="E175" s="119" t="s">
        <v>420</v>
      </c>
      <c r="F175" s="190">
        <v>68020650</v>
      </c>
      <c r="G175" s="119" t="s">
        <v>769</v>
      </c>
      <c r="H175" s="187" t="s">
        <v>272</v>
      </c>
      <c r="I175" s="154" t="s">
        <v>422</v>
      </c>
      <c r="J175" s="146">
        <v>126.18</v>
      </c>
      <c r="K175" s="119" t="s">
        <v>200</v>
      </c>
      <c r="L175" s="146">
        <v>1.18</v>
      </c>
      <c r="M175" s="119" t="s">
        <v>770</v>
      </c>
      <c r="N175" s="148" t="s">
        <v>93</v>
      </c>
      <c r="O175" s="141">
        <f t="shared" si="97"/>
        <v>244020</v>
      </c>
      <c r="P175" s="141">
        <f t="shared" si="98"/>
        <v>244027</v>
      </c>
      <c r="Q175" s="141">
        <f t="shared" si="99"/>
        <v>244022</v>
      </c>
      <c r="R175" s="139" t="s">
        <v>55</v>
      </c>
      <c r="S175" s="143">
        <v>244026</v>
      </c>
      <c r="T175" s="139" t="s">
        <v>55</v>
      </c>
      <c r="U175" s="143">
        <v>244028</v>
      </c>
      <c r="V175" s="139" t="s">
        <v>55</v>
      </c>
      <c r="W175" s="143">
        <v>244025</v>
      </c>
      <c r="X175" s="139"/>
      <c r="Y175" s="141"/>
      <c r="Z175" s="119" t="s">
        <v>834</v>
      </c>
      <c r="AA175" s="144">
        <f t="shared" ref="AA175" si="160">W175-P175</f>
        <v>-2</v>
      </c>
    </row>
    <row r="176" spans="1:27" s="196" customFormat="1" ht="36" customHeight="1" x14ac:dyDescent="0.25">
      <c r="A176" s="119" t="s">
        <v>19</v>
      </c>
      <c r="B176" s="139">
        <v>244022</v>
      </c>
      <c r="C176" s="119" t="s">
        <v>11</v>
      </c>
      <c r="D176" s="166">
        <v>680131</v>
      </c>
      <c r="E176" s="119" t="s">
        <v>779</v>
      </c>
      <c r="F176" s="190" t="s">
        <v>780</v>
      </c>
      <c r="G176" s="119">
        <v>680208</v>
      </c>
      <c r="H176" s="187" t="s">
        <v>39</v>
      </c>
      <c r="I176" s="147" t="s">
        <v>76</v>
      </c>
      <c r="J176" s="142">
        <v>776</v>
      </c>
      <c r="K176" s="209" t="s">
        <v>124</v>
      </c>
      <c r="L176" s="142">
        <v>4</v>
      </c>
      <c r="M176" s="257" t="s">
        <v>781</v>
      </c>
      <c r="N176" s="257" t="s">
        <v>53</v>
      </c>
      <c r="O176" s="141">
        <f t="shared" si="97"/>
        <v>244022</v>
      </c>
      <c r="P176" s="141">
        <f t="shared" si="98"/>
        <v>244029</v>
      </c>
      <c r="Q176" s="141">
        <f t="shared" si="99"/>
        <v>244024</v>
      </c>
      <c r="R176" s="139" t="s">
        <v>55</v>
      </c>
      <c r="S176" s="143">
        <v>244024</v>
      </c>
      <c r="T176" s="139" t="s">
        <v>55</v>
      </c>
      <c r="U176" s="143">
        <v>244025</v>
      </c>
      <c r="V176" s="139" t="s">
        <v>55</v>
      </c>
      <c r="W176" s="143">
        <v>244024</v>
      </c>
      <c r="X176" s="139"/>
      <c r="Y176" s="139"/>
      <c r="Z176" s="119" t="s">
        <v>790</v>
      </c>
      <c r="AA176" s="195"/>
    </row>
    <row r="177" spans="1:27" s="196" customFormat="1" ht="36" customHeight="1" x14ac:dyDescent="0.25">
      <c r="A177" s="119" t="s">
        <v>19</v>
      </c>
      <c r="B177" s="139">
        <v>244022</v>
      </c>
      <c r="C177" s="119" t="s">
        <v>11</v>
      </c>
      <c r="D177" s="166">
        <v>680131</v>
      </c>
      <c r="E177" s="119" t="s">
        <v>779</v>
      </c>
      <c r="F177" s="190" t="s">
        <v>780</v>
      </c>
      <c r="G177" s="119">
        <v>680208</v>
      </c>
      <c r="H177" s="187" t="s">
        <v>39</v>
      </c>
      <c r="I177" s="147" t="s">
        <v>61</v>
      </c>
      <c r="J177" s="142">
        <v>52</v>
      </c>
      <c r="K177" s="210" t="s">
        <v>62</v>
      </c>
      <c r="L177" s="142">
        <v>22</v>
      </c>
      <c r="M177" s="258"/>
      <c r="N177" s="258"/>
      <c r="O177" s="141">
        <f t="shared" ref="O177" si="161">B177</f>
        <v>244022</v>
      </c>
      <c r="P177" s="141">
        <f t="shared" ref="P177" si="162">B177+7</f>
        <v>244029</v>
      </c>
      <c r="Q177" s="141">
        <f t="shared" ref="Q177" si="163">O177+2</f>
        <v>244024</v>
      </c>
      <c r="R177" s="139" t="s">
        <v>55</v>
      </c>
      <c r="S177" s="143">
        <v>244024</v>
      </c>
      <c r="T177" s="139" t="s">
        <v>55</v>
      </c>
      <c r="U177" s="143">
        <v>244025</v>
      </c>
      <c r="V177" s="139" t="s">
        <v>55</v>
      </c>
      <c r="W177" s="143">
        <v>244024</v>
      </c>
      <c r="X177" s="139"/>
      <c r="Y177" s="139"/>
      <c r="Z177" s="119" t="s">
        <v>790</v>
      </c>
      <c r="AA177" s="195"/>
    </row>
    <row r="178" spans="1:27" s="145" customFormat="1" ht="36" customHeight="1" x14ac:dyDescent="0.25">
      <c r="A178" s="119" t="s">
        <v>19</v>
      </c>
      <c r="B178" s="139">
        <v>244022</v>
      </c>
      <c r="C178" s="119" t="s">
        <v>14</v>
      </c>
      <c r="D178" s="166">
        <v>680132</v>
      </c>
      <c r="E178" s="119" t="s">
        <v>426</v>
      </c>
      <c r="F178" s="190">
        <v>68020862</v>
      </c>
      <c r="G178" s="119" t="s">
        <v>783</v>
      </c>
      <c r="H178" s="187" t="s">
        <v>291</v>
      </c>
      <c r="I178" s="147" t="s">
        <v>428</v>
      </c>
      <c r="J178" s="146">
        <v>125.84</v>
      </c>
      <c r="K178" s="119" t="s">
        <v>201</v>
      </c>
      <c r="L178" s="146">
        <f>127-J178</f>
        <v>1.1599999999999966</v>
      </c>
      <c r="M178" s="119" t="s">
        <v>784</v>
      </c>
      <c r="N178" s="119" t="s">
        <v>93</v>
      </c>
      <c r="O178" s="141">
        <f t="shared" ref="O178:O251" si="164">B178</f>
        <v>244022</v>
      </c>
      <c r="P178" s="141">
        <f t="shared" ref="P178:P251" si="165">B178+7</f>
        <v>244029</v>
      </c>
      <c r="Q178" s="141">
        <f t="shared" ref="Q178:Q251" si="166">O178+2</f>
        <v>244024</v>
      </c>
      <c r="R178" s="139" t="s">
        <v>55</v>
      </c>
      <c r="S178" s="143">
        <v>244026</v>
      </c>
      <c r="T178" s="139" t="s">
        <v>55</v>
      </c>
      <c r="U178" s="143">
        <v>244028</v>
      </c>
      <c r="V178" s="139" t="s">
        <v>55</v>
      </c>
      <c r="W178" s="143">
        <v>244028</v>
      </c>
      <c r="X178" s="139"/>
      <c r="Y178" s="141"/>
      <c r="Z178" s="119" t="s">
        <v>851</v>
      </c>
      <c r="AA178" s="144"/>
    </row>
    <row r="179" spans="1:27" s="145" customFormat="1" ht="36" customHeight="1" x14ac:dyDescent="0.25">
      <c r="A179" s="119" t="s">
        <v>19</v>
      </c>
      <c r="B179" s="139">
        <v>244023</v>
      </c>
      <c r="C179" s="119" t="s">
        <v>14</v>
      </c>
      <c r="D179" s="166">
        <v>680133</v>
      </c>
      <c r="E179" s="119" t="s">
        <v>307</v>
      </c>
      <c r="F179" s="190">
        <v>68020931</v>
      </c>
      <c r="G179" s="119" t="s">
        <v>785</v>
      </c>
      <c r="H179" s="187" t="s">
        <v>236</v>
      </c>
      <c r="I179" s="147" t="s">
        <v>308</v>
      </c>
      <c r="J179" s="146">
        <v>62.78</v>
      </c>
      <c r="K179" s="119" t="s">
        <v>201</v>
      </c>
      <c r="L179" s="146">
        <f>64-J179</f>
        <v>1.2199999999999989</v>
      </c>
      <c r="M179" s="119" t="s">
        <v>786</v>
      </c>
      <c r="N179" s="119" t="s">
        <v>93</v>
      </c>
      <c r="O179" s="141">
        <f t="shared" si="164"/>
        <v>244023</v>
      </c>
      <c r="P179" s="141">
        <f t="shared" si="165"/>
        <v>244030</v>
      </c>
      <c r="Q179" s="141">
        <f t="shared" si="166"/>
        <v>244025</v>
      </c>
      <c r="R179" s="139" t="s">
        <v>55</v>
      </c>
      <c r="S179" s="143">
        <v>244026</v>
      </c>
      <c r="T179" s="139" t="s">
        <v>55</v>
      </c>
      <c r="U179" s="143">
        <v>244028</v>
      </c>
      <c r="V179" s="139" t="s">
        <v>55</v>
      </c>
      <c r="W179" s="143">
        <v>244028</v>
      </c>
      <c r="X179" s="139"/>
      <c r="Y179" s="141"/>
      <c r="Z179" s="119" t="s">
        <v>850</v>
      </c>
      <c r="AA179" s="144"/>
    </row>
    <row r="180" spans="1:27" s="145" customFormat="1" ht="36" customHeight="1" x14ac:dyDescent="0.25">
      <c r="A180" s="119" t="s">
        <v>19</v>
      </c>
      <c r="B180" s="139">
        <v>244023</v>
      </c>
      <c r="C180" s="119" t="s">
        <v>14</v>
      </c>
      <c r="D180" s="166">
        <v>680133</v>
      </c>
      <c r="E180" s="119" t="s">
        <v>307</v>
      </c>
      <c r="F180" s="190">
        <v>68020930</v>
      </c>
      <c r="G180" s="119" t="s">
        <v>787</v>
      </c>
      <c r="H180" s="187" t="s">
        <v>213</v>
      </c>
      <c r="I180" s="147" t="s">
        <v>308</v>
      </c>
      <c r="J180" s="146">
        <v>61.53</v>
      </c>
      <c r="K180" s="119" t="s">
        <v>201</v>
      </c>
      <c r="L180" s="146">
        <f>64-J180</f>
        <v>2.4699999999999989</v>
      </c>
      <c r="M180" s="119" t="s">
        <v>788</v>
      </c>
      <c r="N180" s="119" t="s">
        <v>93</v>
      </c>
      <c r="O180" s="141">
        <f t="shared" ref="O180" si="167">B180</f>
        <v>244023</v>
      </c>
      <c r="P180" s="141">
        <f t="shared" ref="P180" si="168">B180+7</f>
        <v>244030</v>
      </c>
      <c r="Q180" s="141">
        <f t="shared" ref="Q180" si="169">O180+2</f>
        <v>244025</v>
      </c>
      <c r="R180" s="139" t="s">
        <v>55</v>
      </c>
      <c r="S180" s="143">
        <v>244026</v>
      </c>
      <c r="T180" s="139" t="s">
        <v>55</v>
      </c>
      <c r="U180" s="143">
        <v>244028</v>
      </c>
      <c r="V180" s="139" t="s">
        <v>55</v>
      </c>
      <c r="W180" s="143">
        <v>244028</v>
      </c>
      <c r="X180" s="139"/>
      <c r="Y180" s="141"/>
      <c r="Z180" s="119" t="s">
        <v>850</v>
      </c>
      <c r="AA180" s="144"/>
    </row>
    <row r="181" spans="1:27" s="145" customFormat="1" ht="36" customHeight="1" x14ac:dyDescent="0.25">
      <c r="A181" s="119" t="s">
        <v>19</v>
      </c>
      <c r="B181" s="139">
        <v>244024</v>
      </c>
      <c r="C181" s="119" t="s">
        <v>14</v>
      </c>
      <c r="D181" s="166">
        <v>680134</v>
      </c>
      <c r="E181" s="119" t="s">
        <v>307</v>
      </c>
      <c r="F181" s="190">
        <v>68021032</v>
      </c>
      <c r="G181" s="119" t="s">
        <v>792</v>
      </c>
      <c r="H181" s="187" t="s">
        <v>232</v>
      </c>
      <c r="I181" s="147" t="s">
        <v>308</v>
      </c>
      <c r="J181" s="146">
        <v>62.61</v>
      </c>
      <c r="K181" s="119" t="s">
        <v>411</v>
      </c>
      <c r="L181" s="146">
        <f>64-J181</f>
        <v>1.3900000000000006</v>
      </c>
      <c r="M181" s="119" t="s">
        <v>793</v>
      </c>
      <c r="N181" s="119" t="s">
        <v>93</v>
      </c>
      <c r="O181" s="141">
        <f t="shared" si="164"/>
        <v>244024</v>
      </c>
      <c r="P181" s="141">
        <f t="shared" si="165"/>
        <v>244031</v>
      </c>
      <c r="Q181" s="141">
        <f t="shared" si="166"/>
        <v>244026</v>
      </c>
      <c r="R181" s="139" t="s">
        <v>55</v>
      </c>
      <c r="S181" s="143">
        <v>244034</v>
      </c>
      <c r="T181" s="139" t="s">
        <v>55</v>
      </c>
      <c r="U181" s="143">
        <v>244034</v>
      </c>
      <c r="V181" s="139" t="s">
        <v>55</v>
      </c>
      <c r="W181" s="143">
        <v>244031</v>
      </c>
      <c r="X181" s="139"/>
      <c r="Y181" s="141"/>
      <c r="Z181" s="119" t="s">
        <v>869</v>
      </c>
      <c r="AA181" s="144">
        <f>W181-P181</f>
        <v>0</v>
      </c>
    </row>
    <row r="182" spans="1:27" s="145" customFormat="1" ht="36" customHeight="1" x14ac:dyDescent="0.25">
      <c r="A182" s="119" t="s">
        <v>19</v>
      </c>
      <c r="B182" s="139">
        <v>244024</v>
      </c>
      <c r="C182" s="119" t="s">
        <v>14</v>
      </c>
      <c r="D182" s="166">
        <v>680135</v>
      </c>
      <c r="E182" s="119" t="s">
        <v>426</v>
      </c>
      <c r="F182" s="190">
        <v>68021018</v>
      </c>
      <c r="G182" s="119">
        <v>68021018</v>
      </c>
      <c r="H182" s="187" t="s">
        <v>225</v>
      </c>
      <c r="I182" s="147" t="s">
        <v>428</v>
      </c>
      <c r="J182" s="146">
        <v>131.38999999999999</v>
      </c>
      <c r="K182" s="119" t="s">
        <v>207</v>
      </c>
      <c r="L182" s="146">
        <f>J182-129</f>
        <v>2.3899999999999864</v>
      </c>
      <c r="M182" s="119" t="s">
        <v>794</v>
      </c>
      <c r="N182" s="119" t="s">
        <v>93</v>
      </c>
      <c r="O182" s="141">
        <f t="shared" si="164"/>
        <v>244024</v>
      </c>
      <c r="P182" s="141">
        <f t="shared" si="165"/>
        <v>244031</v>
      </c>
      <c r="Q182" s="141">
        <f t="shared" si="166"/>
        <v>244026</v>
      </c>
      <c r="R182" s="139" t="s">
        <v>55</v>
      </c>
      <c r="S182" s="143">
        <v>244048</v>
      </c>
      <c r="T182" s="139" t="s">
        <v>55</v>
      </c>
      <c r="U182" s="143">
        <v>244049</v>
      </c>
      <c r="V182" s="139" t="s">
        <v>55</v>
      </c>
      <c r="W182" s="143">
        <v>244027</v>
      </c>
      <c r="X182" s="139"/>
      <c r="Y182" s="141"/>
      <c r="Z182" s="119" t="s">
        <v>839</v>
      </c>
      <c r="AA182" s="144">
        <f>W182-P182</f>
        <v>-4</v>
      </c>
    </row>
    <row r="183" spans="1:27" s="145" customFormat="1" ht="36" customHeight="1" x14ac:dyDescent="0.25">
      <c r="A183" s="119" t="s">
        <v>19</v>
      </c>
      <c r="B183" s="139">
        <v>244024</v>
      </c>
      <c r="C183" s="119" t="s">
        <v>14</v>
      </c>
      <c r="D183" s="166">
        <v>680136</v>
      </c>
      <c r="E183" s="119" t="s">
        <v>426</v>
      </c>
      <c r="F183" s="190">
        <v>68021021</v>
      </c>
      <c r="G183" s="119">
        <v>68021021</v>
      </c>
      <c r="H183" s="187" t="s">
        <v>228</v>
      </c>
      <c r="I183" s="147" t="s">
        <v>795</v>
      </c>
      <c r="J183" s="146" t="s">
        <v>796</v>
      </c>
      <c r="K183" s="119" t="s">
        <v>797</v>
      </c>
      <c r="L183" s="146" t="s">
        <v>798</v>
      </c>
      <c r="M183" s="119" t="s">
        <v>799</v>
      </c>
      <c r="N183" s="119" t="s">
        <v>93</v>
      </c>
      <c r="O183" s="141">
        <f t="shared" si="164"/>
        <v>244024</v>
      </c>
      <c r="P183" s="141">
        <f t="shared" si="165"/>
        <v>244031</v>
      </c>
      <c r="Q183" s="141">
        <f t="shared" si="166"/>
        <v>244026</v>
      </c>
      <c r="R183" s="139" t="s">
        <v>55</v>
      </c>
      <c r="S183" s="143">
        <v>244048</v>
      </c>
      <c r="T183" s="139" t="s">
        <v>55</v>
      </c>
      <c r="U183" s="143">
        <v>244049</v>
      </c>
      <c r="V183" s="139" t="s">
        <v>55</v>
      </c>
      <c r="W183" s="143">
        <v>244027</v>
      </c>
      <c r="X183" s="139"/>
      <c r="Y183" s="141"/>
      <c r="Z183" s="119" t="s">
        <v>839</v>
      </c>
      <c r="AA183" s="144">
        <f>W183-P183</f>
        <v>-4</v>
      </c>
    </row>
    <row r="184" spans="1:27" s="145" customFormat="1" ht="36" customHeight="1" x14ac:dyDescent="0.25">
      <c r="A184" s="119" t="s">
        <v>19</v>
      </c>
      <c r="B184" s="139">
        <v>244024</v>
      </c>
      <c r="C184" s="119" t="s">
        <v>11</v>
      </c>
      <c r="D184" s="166">
        <v>680137</v>
      </c>
      <c r="E184" s="119" t="s">
        <v>424</v>
      </c>
      <c r="F184" s="190" t="s">
        <v>800</v>
      </c>
      <c r="G184" s="119">
        <v>680214</v>
      </c>
      <c r="H184" s="187" t="s">
        <v>135</v>
      </c>
      <c r="I184" s="147" t="s">
        <v>76</v>
      </c>
      <c r="J184" s="142">
        <v>1084</v>
      </c>
      <c r="K184" s="119" t="s">
        <v>124</v>
      </c>
      <c r="L184" s="142">
        <v>21</v>
      </c>
      <c r="M184" s="257" t="s">
        <v>801</v>
      </c>
      <c r="N184" s="257" t="s">
        <v>53</v>
      </c>
      <c r="O184" s="141">
        <f t="shared" si="164"/>
        <v>244024</v>
      </c>
      <c r="P184" s="141">
        <f t="shared" si="165"/>
        <v>244031</v>
      </c>
      <c r="Q184" s="141">
        <f t="shared" si="166"/>
        <v>244026</v>
      </c>
      <c r="R184" s="139" t="s">
        <v>55</v>
      </c>
      <c r="S184" s="143">
        <v>244026</v>
      </c>
      <c r="T184" s="139" t="s">
        <v>55</v>
      </c>
      <c r="U184" s="143">
        <v>244028</v>
      </c>
      <c r="V184" s="139" t="s">
        <v>55</v>
      </c>
      <c r="W184" s="143">
        <v>244028</v>
      </c>
      <c r="X184" s="139"/>
      <c r="Y184" s="141"/>
      <c r="Z184" s="119" t="s">
        <v>853</v>
      </c>
      <c r="AA184" s="144">
        <v>-243678</v>
      </c>
    </row>
    <row r="185" spans="1:27" s="145" customFormat="1" ht="36" customHeight="1" x14ac:dyDescent="0.25">
      <c r="A185" s="119" t="s">
        <v>19</v>
      </c>
      <c r="B185" s="139">
        <v>244024</v>
      </c>
      <c r="C185" s="119" t="s">
        <v>11</v>
      </c>
      <c r="D185" s="166">
        <v>680137</v>
      </c>
      <c r="E185" s="119" t="s">
        <v>424</v>
      </c>
      <c r="F185" s="190" t="s">
        <v>800</v>
      </c>
      <c r="G185" s="119">
        <v>680214</v>
      </c>
      <c r="H185" s="187" t="s">
        <v>135</v>
      </c>
      <c r="I185" s="147" t="s">
        <v>61</v>
      </c>
      <c r="J185" s="142">
        <v>63</v>
      </c>
      <c r="K185" s="119" t="s">
        <v>62</v>
      </c>
      <c r="L185" s="142">
        <v>33</v>
      </c>
      <c r="M185" s="258"/>
      <c r="N185" s="258"/>
      <c r="O185" s="141">
        <f t="shared" ref="O185" si="170">B185</f>
        <v>244024</v>
      </c>
      <c r="P185" s="141">
        <f t="shared" ref="P185" si="171">B185+7</f>
        <v>244031</v>
      </c>
      <c r="Q185" s="141">
        <f t="shared" ref="Q185" si="172">O185+2</f>
        <v>244026</v>
      </c>
      <c r="R185" s="139" t="s">
        <v>55</v>
      </c>
      <c r="S185" s="143">
        <v>244026</v>
      </c>
      <c r="T185" s="139"/>
      <c r="U185" s="143"/>
      <c r="V185" s="139"/>
      <c r="W185" s="143"/>
      <c r="X185" s="139"/>
      <c r="Y185" s="141"/>
      <c r="Z185" s="119"/>
      <c r="AA185" s="144">
        <v>-243678</v>
      </c>
    </row>
    <row r="186" spans="1:27" s="145" customFormat="1" ht="36" customHeight="1" x14ac:dyDescent="0.25">
      <c r="A186" s="119" t="s">
        <v>19</v>
      </c>
      <c r="B186" s="139">
        <v>244024</v>
      </c>
      <c r="C186" s="119" t="s">
        <v>14</v>
      </c>
      <c r="D186" s="166">
        <v>680138</v>
      </c>
      <c r="E186" s="119" t="s">
        <v>426</v>
      </c>
      <c r="F186" s="190">
        <v>68021057</v>
      </c>
      <c r="G186" s="119" t="s">
        <v>802</v>
      </c>
      <c r="H186" s="187" t="s">
        <v>410</v>
      </c>
      <c r="I186" s="147" t="s">
        <v>428</v>
      </c>
      <c r="J186" s="146">
        <v>131.21</v>
      </c>
      <c r="K186" s="119" t="s">
        <v>207</v>
      </c>
      <c r="L186" s="146">
        <f>J186-129</f>
        <v>2.210000000000008</v>
      </c>
      <c r="M186" s="119" t="s">
        <v>803</v>
      </c>
      <c r="N186" s="119" t="s">
        <v>93</v>
      </c>
      <c r="O186" s="141">
        <f t="shared" si="164"/>
        <v>244024</v>
      </c>
      <c r="P186" s="141">
        <f t="shared" si="165"/>
        <v>244031</v>
      </c>
      <c r="Q186" s="141">
        <f t="shared" si="166"/>
        <v>244026</v>
      </c>
      <c r="R186" s="139" t="s">
        <v>55</v>
      </c>
      <c r="S186" s="143">
        <v>244048</v>
      </c>
      <c r="T186" s="139" t="s">
        <v>55</v>
      </c>
      <c r="U186" s="143">
        <v>244049</v>
      </c>
      <c r="V186" s="139" t="s">
        <v>55</v>
      </c>
      <c r="W186" s="143">
        <v>244027</v>
      </c>
      <c r="X186" s="139"/>
      <c r="Y186" s="141"/>
      <c r="Z186" s="119" t="s">
        <v>839</v>
      </c>
      <c r="AA186" s="144">
        <v>-243678</v>
      </c>
    </row>
    <row r="187" spans="1:27" s="145" customFormat="1" ht="36" customHeight="1" x14ac:dyDescent="0.25">
      <c r="A187" s="119" t="s">
        <v>19</v>
      </c>
      <c r="B187" s="139">
        <v>244024</v>
      </c>
      <c r="C187" s="119" t="s">
        <v>14</v>
      </c>
      <c r="D187" s="166">
        <v>680139</v>
      </c>
      <c r="E187" s="119" t="s">
        <v>791</v>
      </c>
      <c r="F187" s="190">
        <v>68021042</v>
      </c>
      <c r="G187" s="119" t="s">
        <v>804</v>
      </c>
      <c r="H187" s="187" t="s">
        <v>236</v>
      </c>
      <c r="I187" s="147" t="s">
        <v>308</v>
      </c>
      <c r="J187" s="146">
        <v>69.89</v>
      </c>
      <c r="K187" s="119" t="s">
        <v>207</v>
      </c>
      <c r="L187" s="146">
        <f>J187-66</f>
        <v>3.8900000000000006</v>
      </c>
      <c r="M187" s="119" t="s">
        <v>805</v>
      </c>
      <c r="N187" s="119" t="s">
        <v>93</v>
      </c>
      <c r="O187" s="141">
        <f t="shared" si="164"/>
        <v>244024</v>
      </c>
      <c r="P187" s="141">
        <f t="shared" si="165"/>
        <v>244031</v>
      </c>
      <c r="Q187" s="141">
        <f t="shared" si="166"/>
        <v>244026</v>
      </c>
      <c r="R187" s="139" t="s">
        <v>55</v>
      </c>
      <c r="S187" s="143">
        <v>244035</v>
      </c>
      <c r="T187" s="139" t="s">
        <v>55</v>
      </c>
      <c r="U187" s="143">
        <v>244035</v>
      </c>
      <c r="V187" s="139" t="s">
        <v>55</v>
      </c>
      <c r="W187" s="143">
        <v>244034</v>
      </c>
      <c r="X187" s="139"/>
      <c r="Y187" s="141"/>
      <c r="Z187" s="119" t="s">
        <v>895</v>
      </c>
      <c r="AA187" s="144">
        <v>-243678</v>
      </c>
    </row>
    <row r="188" spans="1:27" s="145" customFormat="1" ht="36" customHeight="1" x14ac:dyDescent="0.25">
      <c r="A188" s="119" t="s">
        <v>19</v>
      </c>
      <c r="B188" s="139">
        <v>244024</v>
      </c>
      <c r="C188" s="119" t="s">
        <v>14</v>
      </c>
      <c r="D188" s="166">
        <v>680140</v>
      </c>
      <c r="E188" s="119" t="s">
        <v>420</v>
      </c>
      <c r="F188" s="190">
        <v>68021050</v>
      </c>
      <c r="G188" s="119" t="s">
        <v>806</v>
      </c>
      <c r="H188" s="187" t="s">
        <v>274</v>
      </c>
      <c r="I188" s="147" t="s">
        <v>422</v>
      </c>
      <c r="J188" s="146">
        <v>120.1</v>
      </c>
      <c r="K188" s="119" t="s">
        <v>201</v>
      </c>
      <c r="L188" s="146">
        <f>122-J188</f>
        <v>1.9000000000000057</v>
      </c>
      <c r="M188" s="119" t="s">
        <v>807</v>
      </c>
      <c r="N188" s="119" t="s">
        <v>93</v>
      </c>
      <c r="O188" s="141">
        <f t="shared" si="164"/>
        <v>244024</v>
      </c>
      <c r="P188" s="141">
        <f t="shared" si="165"/>
        <v>244031</v>
      </c>
      <c r="Q188" s="141">
        <f t="shared" si="166"/>
        <v>244026</v>
      </c>
      <c r="R188" s="139" t="s">
        <v>55</v>
      </c>
      <c r="S188" s="143">
        <v>244034</v>
      </c>
      <c r="T188" s="139" t="s">
        <v>55</v>
      </c>
      <c r="U188" s="143">
        <v>244034</v>
      </c>
      <c r="V188" s="139" t="s">
        <v>55</v>
      </c>
      <c r="W188" s="143">
        <v>244031</v>
      </c>
      <c r="X188" s="139"/>
      <c r="Y188" s="141"/>
      <c r="Z188" s="119" t="s">
        <v>868</v>
      </c>
      <c r="AA188" s="144">
        <v>-243678</v>
      </c>
    </row>
    <row r="189" spans="1:27" s="145" customFormat="1" ht="36" customHeight="1" x14ac:dyDescent="0.25">
      <c r="A189" s="119" t="s">
        <v>19</v>
      </c>
      <c r="B189" s="139">
        <v>244024</v>
      </c>
      <c r="C189" s="119" t="s">
        <v>14</v>
      </c>
      <c r="D189" s="166">
        <v>680141</v>
      </c>
      <c r="E189" s="119" t="s">
        <v>808</v>
      </c>
      <c r="F189" s="190">
        <v>68021065</v>
      </c>
      <c r="G189" s="119" t="s">
        <v>809</v>
      </c>
      <c r="H189" s="187" t="s">
        <v>563</v>
      </c>
      <c r="I189" s="147" t="s">
        <v>810</v>
      </c>
      <c r="J189" s="146">
        <v>119.95</v>
      </c>
      <c r="K189" s="119" t="s">
        <v>207</v>
      </c>
      <c r="L189" s="146">
        <f>J189-115</f>
        <v>4.9500000000000028</v>
      </c>
      <c r="M189" s="119" t="s">
        <v>811</v>
      </c>
      <c r="N189" s="119" t="s">
        <v>93</v>
      </c>
      <c r="O189" s="141">
        <f t="shared" si="164"/>
        <v>244024</v>
      </c>
      <c r="P189" s="141">
        <f t="shared" si="165"/>
        <v>244031</v>
      </c>
      <c r="Q189" s="141">
        <f t="shared" si="166"/>
        <v>244026</v>
      </c>
      <c r="R189" s="139" t="s">
        <v>55</v>
      </c>
      <c r="S189" s="143">
        <v>244035</v>
      </c>
      <c r="T189" s="139" t="s">
        <v>55</v>
      </c>
      <c r="U189" s="143">
        <v>244035</v>
      </c>
      <c r="V189" s="139" t="s">
        <v>55</v>
      </c>
      <c r="W189" s="143">
        <v>244027</v>
      </c>
      <c r="X189" s="139"/>
      <c r="Y189" s="141"/>
      <c r="Z189" s="119" t="s">
        <v>838</v>
      </c>
      <c r="AA189" s="144">
        <f>W189-P189</f>
        <v>-4</v>
      </c>
    </row>
    <row r="190" spans="1:27" s="145" customFormat="1" ht="36" customHeight="1" x14ac:dyDescent="0.25">
      <c r="A190" s="119" t="s">
        <v>19</v>
      </c>
      <c r="B190" s="139">
        <v>244025</v>
      </c>
      <c r="C190" s="119" t="s">
        <v>14</v>
      </c>
      <c r="D190" s="166">
        <v>680142</v>
      </c>
      <c r="E190" s="119" t="s">
        <v>791</v>
      </c>
      <c r="F190" s="190">
        <v>68021117</v>
      </c>
      <c r="G190" s="119" t="s">
        <v>812</v>
      </c>
      <c r="H190" s="187" t="s">
        <v>231</v>
      </c>
      <c r="I190" s="147" t="s">
        <v>725</v>
      </c>
      <c r="J190" s="142" t="s">
        <v>814</v>
      </c>
      <c r="K190" s="119" t="s">
        <v>816</v>
      </c>
      <c r="L190" s="146" t="s">
        <v>815</v>
      </c>
      <c r="M190" s="119" t="s">
        <v>813</v>
      </c>
      <c r="N190" s="119" t="s">
        <v>93</v>
      </c>
      <c r="O190" s="141">
        <f t="shared" si="164"/>
        <v>244025</v>
      </c>
      <c r="P190" s="141">
        <f t="shared" si="165"/>
        <v>244032</v>
      </c>
      <c r="Q190" s="141">
        <f t="shared" si="166"/>
        <v>244027</v>
      </c>
      <c r="R190" s="139" t="s">
        <v>55</v>
      </c>
      <c r="S190" s="143">
        <v>244034</v>
      </c>
      <c r="T190" s="139" t="s">
        <v>55</v>
      </c>
      <c r="U190" s="143">
        <v>244034</v>
      </c>
      <c r="V190" s="139" t="s">
        <v>55</v>
      </c>
      <c r="W190" s="143">
        <v>244031</v>
      </c>
      <c r="X190" s="139"/>
      <c r="Y190" s="141"/>
      <c r="Z190" s="119" t="s">
        <v>869</v>
      </c>
      <c r="AA190" s="144">
        <f t="shared" ref="AA190" si="173">W190-P190</f>
        <v>-1</v>
      </c>
    </row>
    <row r="191" spans="1:27" s="145" customFormat="1" ht="36" customHeight="1" x14ac:dyDescent="0.25">
      <c r="A191" s="119" t="s">
        <v>19</v>
      </c>
      <c r="B191" s="139">
        <v>244025</v>
      </c>
      <c r="C191" s="119" t="s">
        <v>14</v>
      </c>
      <c r="D191" s="166">
        <v>680143</v>
      </c>
      <c r="E191" s="119" t="s">
        <v>413</v>
      </c>
      <c r="F191" s="190">
        <v>68021133</v>
      </c>
      <c r="G191" s="119" t="s">
        <v>817</v>
      </c>
      <c r="H191" s="187" t="s">
        <v>208</v>
      </c>
      <c r="I191" s="147" t="s">
        <v>415</v>
      </c>
      <c r="J191" s="146">
        <v>85.31</v>
      </c>
      <c r="K191" s="119" t="s">
        <v>207</v>
      </c>
      <c r="L191" s="146">
        <f>J191-80</f>
        <v>5.3100000000000023</v>
      </c>
      <c r="M191" s="119" t="s">
        <v>818</v>
      </c>
      <c r="N191" s="119" t="s">
        <v>93</v>
      </c>
      <c r="O191" s="141">
        <f t="shared" si="164"/>
        <v>244025</v>
      </c>
      <c r="P191" s="141">
        <f t="shared" si="165"/>
        <v>244032</v>
      </c>
      <c r="Q191" s="141">
        <f t="shared" si="166"/>
        <v>244027</v>
      </c>
      <c r="R191" s="139" t="s">
        <v>55</v>
      </c>
      <c r="S191" s="143">
        <v>244035</v>
      </c>
      <c r="T191" s="139" t="s">
        <v>55</v>
      </c>
      <c r="U191" s="143">
        <v>244035</v>
      </c>
      <c r="V191" s="139" t="s">
        <v>55</v>
      </c>
      <c r="W191" s="143">
        <v>244028</v>
      </c>
      <c r="X191" s="139"/>
      <c r="Y191" s="141"/>
      <c r="Z191" s="119" t="s">
        <v>857</v>
      </c>
      <c r="AA191" s="144">
        <f t="shared" ref="AA191:AA198" si="174">W191-P191</f>
        <v>-4</v>
      </c>
    </row>
    <row r="192" spans="1:27" s="145" customFormat="1" ht="36" customHeight="1" x14ac:dyDescent="0.25">
      <c r="A192" s="119" t="s">
        <v>19</v>
      </c>
      <c r="B192" s="139">
        <v>244025</v>
      </c>
      <c r="C192" s="119" t="s">
        <v>14</v>
      </c>
      <c r="D192" s="166">
        <v>680144</v>
      </c>
      <c r="E192" s="119" t="s">
        <v>307</v>
      </c>
      <c r="F192" s="190">
        <v>68021148</v>
      </c>
      <c r="G192" s="119" t="s">
        <v>819</v>
      </c>
      <c r="H192" s="187" t="s">
        <v>239</v>
      </c>
      <c r="I192" s="147" t="s">
        <v>308</v>
      </c>
      <c r="J192" s="146">
        <v>60.91</v>
      </c>
      <c r="K192" s="119" t="s">
        <v>411</v>
      </c>
      <c r="L192" s="146">
        <f>64-J192</f>
        <v>3.0900000000000034</v>
      </c>
      <c r="M192" s="119" t="s">
        <v>820</v>
      </c>
      <c r="N192" s="119" t="s">
        <v>93</v>
      </c>
      <c r="O192" s="141">
        <f t="shared" si="164"/>
        <v>244025</v>
      </c>
      <c r="P192" s="141">
        <f t="shared" si="165"/>
        <v>244032</v>
      </c>
      <c r="Q192" s="141">
        <f t="shared" si="166"/>
        <v>244027</v>
      </c>
      <c r="R192" s="139" t="s">
        <v>55</v>
      </c>
      <c r="S192" s="143">
        <v>244034</v>
      </c>
      <c r="T192" s="139" t="s">
        <v>55</v>
      </c>
      <c r="U192" s="143">
        <v>244034</v>
      </c>
      <c r="V192" s="139" t="s">
        <v>55</v>
      </c>
      <c r="W192" s="143">
        <v>244031</v>
      </c>
      <c r="X192" s="139"/>
      <c r="Y192" s="141"/>
      <c r="Z192" s="119" t="s">
        <v>869</v>
      </c>
      <c r="AA192" s="144">
        <f t="shared" si="174"/>
        <v>-1</v>
      </c>
    </row>
    <row r="193" spans="1:27" s="145" customFormat="1" ht="36" customHeight="1" x14ac:dyDescent="0.25">
      <c r="A193" s="119" t="s">
        <v>19</v>
      </c>
      <c r="B193" s="139">
        <v>244025</v>
      </c>
      <c r="C193" s="119" t="s">
        <v>14</v>
      </c>
      <c r="D193" s="166">
        <v>680144</v>
      </c>
      <c r="E193" s="119" t="s">
        <v>307</v>
      </c>
      <c r="F193" s="190">
        <v>68021151</v>
      </c>
      <c r="G193" s="119" t="s">
        <v>821</v>
      </c>
      <c r="H193" s="187" t="s">
        <v>248</v>
      </c>
      <c r="I193" s="147" t="s">
        <v>308</v>
      </c>
      <c r="J193" s="146">
        <v>60.53</v>
      </c>
      <c r="K193" s="119" t="s">
        <v>411</v>
      </c>
      <c r="L193" s="146">
        <f>64-J193</f>
        <v>3.4699999999999989</v>
      </c>
      <c r="M193" s="119" t="s">
        <v>822</v>
      </c>
      <c r="N193" s="119" t="s">
        <v>93</v>
      </c>
      <c r="O193" s="141">
        <f t="shared" ref="O193" si="175">B193</f>
        <v>244025</v>
      </c>
      <c r="P193" s="141">
        <f t="shared" ref="P193" si="176">B193+7</f>
        <v>244032</v>
      </c>
      <c r="Q193" s="141">
        <f t="shared" ref="Q193" si="177">O193+2</f>
        <v>244027</v>
      </c>
      <c r="R193" s="139" t="s">
        <v>55</v>
      </c>
      <c r="S193" s="143">
        <v>244034</v>
      </c>
      <c r="T193" s="139" t="s">
        <v>55</v>
      </c>
      <c r="U193" s="143">
        <v>244034</v>
      </c>
      <c r="V193" s="139" t="s">
        <v>55</v>
      </c>
      <c r="W193" s="143">
        <v>244031</v>
      </c>
      <c r="X193" s="139"/>
      <c r="Y193" s="141"/>
      <c r="Z193" s="119" t="s">
        <v>869</v>
      </c>
      <c r="AA193" s="144"/>
    </row>
    <row r="194" spans="1:27" s="145" customFormat="1" ht="36" customHeight="1" x14ac:dyDescent="0.25">
      <c r="A194" s="119" t="s">
        <v>19</v>
      </c>
      <c r="B194" s="139">
        <v>244025</v>
      </c>
      <c r="C194" s="119" t="s">
        <v>14</v>
      </c>
      <c r="D194" s="166">
        <v>680145</v>
      </c>
      <c r="E194" s="119" t="s">
        <v>433</v>
      </c>
      <c r="F194" s="190">
        <v>68021159</v>
      </c>
      <c r="G194" s="119" t="s">
        <v>823</v>
      </c>
      <c r="H194" s="187" t="s">
        <v>205</v>
      </c>
      <c r="I194" s="147" t="s">
        <v>304</v>
      </c>
      <c r="J194" s="146">
        <v>74.599999999999994</v>
      </c>
      <c r="K194" s="119" t="s">
        <v>411</v>
      </c>
      <c r="L194" s="146">
        <f>76-J194</f>
        <v>1.4000000000000057</v>
      </c>
      <c r="M194" s="119" t="s">
        <v>824</v>
      </c>
      <c r="N194" s="119" t="s">
        <v>93</v>
      </c>
      <c r="O194" s="141">
        <f t="shared" si="164"/>
        <v>244025</v>
      </c>
      <c r="P194" s="141">
        <f t="shared" si="165"/>
        <v>244032</v>
      </c>
      <c r="Q194" s="141">
        <f t="shared" si="166"/>
        <v>244027</v>
      </c>
      <c r="R194" s="139" t="s">
        <v>55</v>
      </c>
      <c r="S194" s="143">
        <v>244035</v>
      </c>
      <c r="T194" s="139" t="s">
        <v>55</v>
      </c>
      <c r="U194" s="143">
        <v>244035</v>
      </c>
      <c r="V194" s="139" t="s">
        <v>55</v>
      </c>
      <c r="W194" s="143">
        <v>244028</v>
      </c>
      <c r="X194" s="139"/>
      <c r="Y194" s="141"/>
      <c r="Z194" s="119" t="s">
        <v>856</v>
      </c>
      <c r="AA194" s="144">
        <f t="shared" si="174"/>
        <v>-4</v>
      </c>
    </row>
    <row r="195" spans="1:27" s="145" customFormat="1" ht="36" customHeight="1" x14ac:dyDescent="0.25">
      <c r="A195" s="119" t="s">
        <v>19</v>
      </c>
      <c r="B195" s="139">
        <v>244026</v>
      </c>
      <c r="C195" s="119" t="s">
        <v>14</v>
      </c>
      <c r="D195" s="166">
        <v>680146</v>
      </c>
      <c r="E195" s="119" t="s">
        <v>433</v>
      </c>
      <c r="F195" s="190">
        <v>68021207</v>
      </c>
      <c r="G195" s="119" t="s">
        <v>825</v>
      </c>
      <c r="H195" s="187" t="s">
        <v>220</v>
      </c>
      <c r="I195" s="147" t="s">
        <v>304</v>
      </c>
      <c r="J195" s="146">
        <v>74.14</v>
      </c>
      <c r="K195" s="119" t="s">
        <v>411</v>
      </c>
      <c r="L195" s="146">
        <f>76-J195</f>
        <v>1.8599999999999994</v>
      </c>
      <c r="M195" s="119" t="s">
        <v>826</v>
      </c>
      <c r="N195" s="119" t="s">
        <v>93</v>
      </c>
      <c r="O195" s="141">
        <f t="shared" si="164"/>
        <v>244026</v>
      </c>
      <c r="P195" s="141">
        <f t="shared" si="165"/>
        <v>244033</v>
      </c>
      <c r="Q195" s="141">
        <f t="shared" si="166"/>
        <v>244028</v>
      </c>
      <c r="R195" s="139" t="s">
        <v>55</v>
      </c>
      <c r="S195" s="143">
        <v>244035</v>
      </c>
      <c r="T195" s="139" t="s">
        <v>55</v>
      </c>
      <c r="U195" s="143">
        <v>244035</v>
      </c>
      <c r="V195" s="139" t="s">
        <v>55</v>
      </c>
      <c r="W195" s="143">
        <v>244028</v>
      </c>
      <c r="X195" s="139"/>
      <c r="Y195" s="141"/>
      <c r="Z195" s="119" t="s">
        <v>856</v>
      </c>
      <c r="AA195" s="144">
        <f t="shared" si="174"/>
        <v>-5</v>
      </c>
    </row>
    <row r="196" spans="1:27" s="145" customFormat="1" ht="36" customHeight="1" x14ac:dyDescent="0.25">
      <c r="A196" s="119" t="s">
        <v>19</v>
      </c>
      <c r="B196" s="139">
        <v>244026</v>
      </c>
      <c r="C196" s="119" t="s">
        <v>14</v>
      </c>
      <c r="D196" s="166">
        <v>680147</v>
      </c>
      <c r="E196" s="119" t="s">
        <v>827</v>
      </c>
      <c r="F196" s="190">
        <v>68021211</v>
      </c>
      <c r="G196" s="119" t="s">
        <v>831</v>
      </c>
      <c r="H196" s="187" t="s">
        <v>205</v>
      </c>
      <c r="I196" s="147" t="s">
        <v>829</v>
      </c>
      <c r="J196" s="146">
        <v>109.71</v>
      </c>
      <c r="K196" s="119" t="s">
        <v>200</v>
      </c>
      <c r="L196" s="146">
        <f>J196-105</f>
        <v>4.7099999999999937</v>
      </c>
      <c r="M196" s="119" t="s">
        <v>832</v>
      </c>
      <c r="N196" s="119" t="s">
        <v>93</v>
      </c>
      <c r="O196" s="141">
        <f t="shared" ref="O196" si="178">B196</f>
        <v>244026</v>
      </c>
      <c r="P196" s="141">
        <f t="shared" ref="P196" si="179">B196+7</f>
        <v>244033</v>
      </c>
      <c r="Q196" s="141">
        <f t="shared" ref="Q196" si="180">O196+2</f>
        <v>244028</v>
      </c>
      <c r="R196" s="139" t="s">
        <v>55</v>
      </c>
      <c r="S196" s="143">
        <v>244035</v>
      </c>
      <c r="T196" s="139" t="s">
        <v>55</v>
      </c>
      <c r="U196" s="143">
        <v>244035</v>
      </c>
      <c r="V196" s="139" t="s">
        <v>55</v>
      </c>
      <c r="W196" s="143">
        <v>244026</v>
      </c>
      <c r="X196" s="139"/>
      <c r="Y196" s="141"/>
      <c r="Z196" s="119" t="s">
        <v>833</v>
      </c>
      <c r="AA196" s="144">
        <f t="shared" ref="AA196" si="181">W196-P196</f>
        <v>-7</v>
      </c>
    </row>
    <row r="197" spans="1:27" s="145" customFormat="1" ht="36" customHeight="1" x14ac:dyDescent="0.25">
      <c r="A197" s="119" t="s">
        <v>19</v>
      </c>
      <c r="B197" s="139">
        <v>244026</v>
      </c>
      <c r="C197" s="119" t="s">
        <v>14</v>
      </c>
      <c r="D197" s="166">
        <v>680147</v>
      </c>
      <c r="E197" s="119" t="s">
        <v>827</v>
      </c>
      <c r="F197" s="190">
        <v>68021210</v>
      </c>
      <c r="G197" s="119" t="s">
        <v>828</v>
      </c>
      <c r="H197" s="187" t="s">
        <v>289</v>
      </c>
      <c r="I197" s="147" t="s">
        <v>829</v>
      </c>
      <c r="J197" s="146">
        <v>106.95</v>
      </c>
      <c r="K197" s="119" t="s">
        <v>200</v>
      </c>
      <c r="L197" s="146">
        <f>J197-105</f>
        <v>1.9500000000000028</v>
      </c>
      <c r="M197" s="119" t="s">
        <v>830</v>
      </c>
      <c r="N197" s="119" t="s">
        <v>93</v>
      </c>
      <c r="O197" s="141">
        <f t="shared" si="164"/>
        <v>244026</v>
      </c>
      <c r="P197" s="141">
        <f t="shared" si="165"/>
        <v>244033</v>
      </c>
      <c r="Q197" s="141">
        <f t="shared" si="166"/>
        <v>244028</v>
      </c>
      <c r="R197" s="139" t="s">
        <v>55</v>
      </c>
      <c r="S197" s="143">
        <v>244035</v>
      </c>
      <c r="T197" s="139" t="s">
        <v>55</v>
      </c>
      <c r="U197" s="143">
        <v>244035</v>
      </c>
      <c r="V197" s="139" t="s">
        <v>55</v>
      </c>
      <c r="W197" s="143">
        <v>244026</v>
      </c>
      <c r="X197" s="139"/>
      <c r="Y197" s="141"/>
      <c r="Z197" s="119" t="s">
        <v>833</v>
      </c>
      <c r="AA197" s="144">
        <f t="shared" si="174"/>
        <v>-7</v>
      </c>
    </row>
    <row r="198" spans="1:27" s="145" customFormat="1" ht="36" customHeight="1" x14ac:dyDescent="0.25">
      <c r="A198" s="119" t="s">
        <v>19</v>
      </c>
      <c r="B198" s="139">
        <v>244027</v>
      </c>
      <c r="C198" s="119" t="s">
        <v>14</v>
      </c>
      <c r="D198" s="166">
        <v>680148</v>
      </c>
      <c r="E198" s="119" t="s">
        <v>827</v>
      </c>
      <c r="F198" s="190">
        <v>68021305</v>
      </c>
      <c r="G198" s="119" t="s">
        <v>835</v>
      </c>
      <c r="H198" s="187" t="s">
        <v>205</v>
      </c>
      <c r="I198" s="147" t="s">
        <v>829</v>
      </c>
      <c r="J198" s="146">
        <v>107.75</v>
      </c>
      <c r="K198" s="119" t="s">
        <v>200</v>
      </c>
      <c r="L198" s="146">
        <f>J198-105</f>
        <v>2.75</v>
      </c>
      <c r="M198" s="119" t="s">
        <v>836</v>
      </c>
      <c r="N198" s="119" t="s">
        <v>93</v>
      </c>
      <c r="O198" s="141">
        <f t="shared" si="164"/>
        <v>244027</v>
      </c>
      <c r="P198" s="141">
        <f t="shared" si="165"/>
        <v>244034</v>
      </c>
      <c r="Q198" s="141">
        <f t="shared" si="166"/>
        <v>244029</v>
      </c>
      <c r="R198" s="139" t="s">
        <v>55</v>
      </c>
      <c r="S198" s="143">
        <v>244048</v>
      </c>
      <c r="T198" s="139" t="s">
        <v>55</v>
      </c>
      <c r="U198" s="143">
        <v>244049</v>
      </c>
      <c r="V198" s="139" t="s">
        <v>55</v>
      </c>
      <c r="W198" s="143">
        <v>244027</v>
      </c>
      <c r="X198" s="139"/>
      <c r="Y198" s="141"/>
      <c r="Z198" s="119" t="s">
        <v>837</v>
      </c>
      <c r="AA198" s="144">
        <f t="shared" si="174"/>
        <v>-7</v>
      </c>
    </row>
    <row r="199" spans="1:27" s="145" customFormat="1" ht="36" customHeight="1" x14ac:dyDescent="0.25">
      <c r="A199" s="119" t="s">
        <v>19</v>
      </c>
      <c r="B199" s="139">
        <v>244027</v>
      </c>
      <c r="C199" s="119" t="s">
        <v>14</v>
      </c>
      <c r="D199" s="166">
        <v>680149</v>
      </c>
      <c r="E199" s="119" t="s">
        <v>402</v>
      </c>
      <c r="F199" s="190">
        <v>68021323</v>
      </c>
      <c r="G199" s="119" t="s">
        <v>840</v>
      </c>
      <c r="H199" s="187" t="s">
        <v>841</v>
      </c>
      <c r="I199" s="147" t="s">
        <v>404</v>
      </c>
      <c r="J199" s="146">
        <v>69.45</v>
      </c>
      <c r="K199" s="119" t="s">
        <v>207</v>
      </c>
      <c r="L199" s="146">
        <f>J199-67</f>
        <v>2.4500000000000028</v>
      </c>
      <c r="M199" s="119" t="s">
        <v>847</v>
      </c>
      <c r="N199" s="119" t="s">
        <v>93</v>
      </c>
      <c r="O199" s="141">
        <f t="shared" si="164"/>
        <v>244027</v>
      </c>
      <c r="P199" s="141">
        <f t="shared" si="165"/>
        <v>244034</v>
      </c>
      <c r="Q199" s="141">
        <f t="shared" si="166"/>
        <v>244029</v>
      </c>
      <c r="R199" s="139" t="s">
        <v>55</v>
      </c>
      <c r="S199" s="143">
        <v>244035</v>
      </c>
      <c r="T199" s="139" t="s">
        <v>55</v>
      </c>
      <c r="U199" s="143">
        <v>244035</v>
      </c>
      <c r="V199" s="139" t="s">
        <v>55</v>
      </c>
      <c r="W199" s="143">
        <v>244028</v>
      </c>
      <c r="X199" s="139"/>
      <c r="Y199" s="141"/>
      <c r="Z199" s="119" t="s">
        <v>858</v>
      </c>
      <c r="AA199" s="144"/>
    </row>
    <row r="200" spans="1:27" s="145" customFormat="1" ht="36" customHeight="1" x14ac:dyDescent="0.25">
      <c r="A200" s="119" t="s">
        <v>19</v>
      </c>
      <c r="B200" s="139">
        <v>244027</v>
      </c>
      <c r="C200" s="119" t="s">
        <v>14</v>
      </c>
      <c r="D200" s="166">
        <v>680150</v>
      </c>
      <c r="E200" s="119" t="s">
        <v>842</v>
      </c>
      <c r="F200" s="190">
        <v>68021336</v>
      </c>
      <c r="G200" s="119" t="s">
        <v>843</v>
      </c>
      <c r="H200" s="187" t="s">
        <v>844</v>
      </c>
      <c r="I200" s="147" t="s">
        <v>845</v>
      </c>
      <c r="J200" s="146">
        <v>62.5</v>
      </c>
      <c r="K200" s="119" t="s">
        <v>207</v>
      </c>
      <c r="L200" s="146">
        <f>J200-60</f>
        <v>2.5</v>
      </c>
      <c r="M200" s="119" t="s">
        <v>848</v>
      </c>
      <c r="N200" s="119" t="s">
        <v>93</v>
      </c>
      <c r="O200" s="141">
        <f t="shared" si="164"/>
        <v>244027</v>
      </c>
      <c r="P200" s="141">
        <f t="shared" si="165"/>
        <v>244034</v>
      </c>
      <c r="Q200" s="141">
        <f t="shared" si="166"/>
        <v>244029</v>
      </c>
      <c r="R200" s="139" t="s">
        <v>55</v>
      </c>
      <c r="S200" s="143">
        <v>244035</v>
      </c>
      <c r="T200" s="139" t="s">
        <v>55</v>
      </c>
      <c r="U200" s="143">
        <v>244035</v>
      </c>
      <c r="V200" s="139" t="s">
        <v>55</v>
      </c>
      <c r="W200" s="143">
        <v>244031</v>
      </c>
      <c r="X200" s="139"/>
      <c r="Y200" s="141"/>
      <c r="Z200" s="119" t="s">
        <v>869</v>
      </c>
      <c r="AA200" s="144">
        <f t="shared" ref="AA200:AA208" si="182">W200-P200</f>
        <v>-3</v>
      </c>
    </row>
    <row r="201" spans="1:27" s="145" customFormat="1" ht="36" customHeight="1" x14ac:dyDescent="0.25">
      <c r="A201" s="119" t="s">
        <v>19</v>
      </c>
      <c r="B201" s="139">
        <v>244027</v>
      </c>
      <c r="C201" s="119" t="s">
        <v>14</v>
      </c>
      <c r="D201" s="166">
        <v>680150</v>
      </c>
      <c r="E201" s="119" t="s">
        <v>842</v>
      </c>
      <c r="F201" s="190">
        <v>68021335</v>
      </c>
      <c r="G201" s="119" t="s">
        <v>846</v>
      </c>
      <c r="H201" s="187" t="s">
        <v>237</v>
      </c>
      <c r="I201" s="147" t="s">
        <v>845</v>
      </c>
      <c r="J201" s="146">
        <v>62.56</v>
      </c>
      <c r="K201" s="119" t="s">
        <v>207</v>
      </c>
      <c r="L201" s="146">
        <f>J201-60</f>
        <v>2.5600000000000023</v>
      </c>
      <c r="M201" s="119" t="s">
        <v>849</v>
      </c>
      <c r="N201" s="119" t="s">
        <v>93</v>
      </c>
      <c r="O201" s="141">
        <f t="shared" ref="O201" si="183">B201</f>
        <v>244027</v>
      </c>
      <c r="P201" s="141">
        <f t="shared" ref="P201" si="184">B201+7</f>
        <v>244034</v>
      </c>
      <c r="Q201" s="141">
        <f t="shared" ref="Q201" si="185">O201+2</f>
        <v>244029</v>
      </c>
      <c r="R201" s="139" t="s">
        <v>55</v>
      </c>
      <c r="S201" s="143">
        <v>244035</v>
      </c>
      <c r="T201" s="139" t="s">
        <v>55</v>
      </c>
      <c r="U201" s="143">
        <v>244035</v>
      </c>
      <c r="V201" s="139" t="s">
        <v>55</v>
      </c>
      <c r="W201" s="143">
        <v>244031</v>
      </c>
      <c r="X201" s="139"/>
      <c r="Y201" s="141"/>
      <c r="Z201" s="119" t="s">
        <v>869</v>
      </c>
      <c r="AA201" s="144"/>
    </row>
    <row r="202" spans="1:27" s="145" customFormat="1" ht="36" customHeight="1" x14ac:dyDescent="0.25">
      <c r="A202" s="119" t="s">
        <v>19</v>
      </c>
      <c r="B202" s="139">
        <v>244028</v>
      </c>
      <c r="C202" s="119" t="s">
        <v>14</v>
      </c>
      <c r="D202" s="166">
        <v>680151</v>
      </c>
      <c r="E202" s="119" t="s">
        <v>433</v>
      </c>
      <c r="F202" s="190">
        <v>68021403</v>
      </c>
      <c r="G202" s="119" t="s">
        <v>854</v>
      </c>
      <c r="H202" s="187" t="s">
        <v>292</v>
      </c>
      <c r="I202" s="147" t="s">
        <v>304</v>
      </c>
      <c r="J202" s="146">
        <v>84.29</v>
      </c>
      <c r="K202" s="119" t="s">
        <v>207</v>
      </c>
      <c r="L202" s="146">
        <f>J202-78</f>
        <v>6.2900000000000063</v>
      </c>
      <c r="M202" s="119" t="s">
        <v>855</v>
      </c>
      <c r="N202" s="119" t="s">
        <v>93</v>
      </c>
      <c r="O202" s="141">
        <f t="shared" si="164"/>
        <v>244028</v>
      </c>
      <c r="P202" s="141">
        <f t="shared" si="165"/>
        <v>244035</v>
      </c>
      <c r="Q202" s="141">
        <f t="shared" si="166"/>
        <v>244030</v>
      </c>
      <c r="R202" s="139" t="s">
        <v>55</v>
      </c>
      <c r="S202" s="143">
        <v>244034</v>
      </c>
      <c r="T202" s="139" t="s">
        <v>55</v>
      </c>
      <c r="U202" s="143">
        <v>244034</v>
      </c>
      <c r="V202" s="139" t="s">
        <v>55</v>
      </c>
      <c r="W202" s="143">
        <v>244029</v>
      </c>
      <c r="X202" s="139"/>
      <c r="Y202" s="141"/>
      <c r="Z202" s="119" t="s">
        <v>859</v>
      </c>
      <c r="AA202" s="144">
        <f t="shared" si="182"/>
        <v>-6</v>
      </c>
    </row>
    <row r="203" spans="1:27" s="145" customFormat="1" ht="36" customHeight="1" x14ac:dyDescent="0.25">
      <c r="A203" s="119" t="s">
        <v>19</v>
      </c>
      <c r="B203" s="139">
        <v>244029</v>
      </c>
      <c r="C203" s="119" t="s">
        <v>14</v>
      </c>
      <c r="D203" s="166">
        <v>680152</v>
      </c>
      <c r="E203" s="119" t="s">
        <v>306</v>
      </c>
      <c r="F203" s="190">
        <v>68021511</v>
      </c>
      <c r="G203" s="119" t="s">
        <v>860</v>
      </c>
      <c r="H203" s="187" t="s">
        <v>269</v>
      </c>
      <c r="I203" s="147" t="s">
        <v>305</v>
      </c>
      <c r="J203" s="146">
        <v>72.67</v>
      </c>
      <c r="K203" s="119" t="s">
        <v>200</v>
      </c>
      <c r="L203" s="146">
        <f>J203-70</f>
        <v>2.6700000000000017</v>
      </c>
      <c r="M203" s="119" t="s">
        <v>861</v>
      </c>
      <c r="N203" s="119" t="s">
        <v>93</v>
      </c>
      <c r="O203" s="141">
        <f t="shared" si="164"/>
        <v>244029</v>
      </c>
      <c r="P203" s="141">
        <f t="shared" si="165"/>
        <v>244036</v>
      </c>
      <c r="Q203" s="141">
        <f t="shared" si="166"/>
        <v>244031</v>
      </c>
      <c r="R203" s="139" t="s">
        <v>55</v>
      </c>
      <c r="S203" s="143">
        <v>244034</v>
      </c>
      <c r="T203" s="139"/>
      <c r="U203" s="143"/>
      <c r="V203" s="139" t="s">
        <v>55</v>
      </c>
      <c r="W203" s="143">
        <v>244034</v>
      </c>
      <c r="X203" s="139"/>
      <c r="Y203" s="141"/>
      <c r="Z203" s="119" t="s">
        <v>306</v>
      </c>
      <c r="AA203" s="144">
        <f t="shared" si="182"/>
        <v>-2</v>
      </c>
    </row>
    <row r="204" spans="1:27" s="145" customFormat="1" ht="36" customHeight="1" x14ac:dyDescent="0.25">
      <c r="A204" s="119" t="s">
        <v>19</v>
      </c>
      <c r="B204" s="139">
        <v>244029</v>
      </c>
      <c r="C204" s="119" t="s">
        <v>14</v>
      </c>
      <c r="D204" s="166">
        <v>680153</v>
      </c>
      <c r="E204" s="119" t="s">
        <v>420</v>
      </c>
      <c r="F204" s="190">
        <v>68021518</v>
      </c>
      <c r="G204" s="119" t="s">
        <v>862</v>
      </c>
      <c r="H204" s="187" t="s">
        <v>274</v>
      </c>
      <c r="I204" s="147" t="s">
        <v>422</v>
      </c>
      <c r="J204" s="146">
        <v>128.19</v>
      </c>
      <c r="K204" s="119" t="s">
        <v>207</v>
      </c>
      <c r="L204" s="146">
        <f>J204-125</f>
        <v>3.1899999999999977</v>
      </c>
      <c r="M204" s="119" t="s">
        <v>863</v>
      </c>
      <c r="N204" s="119" t="s">
        <v>93</v>
      </c>
      <c r="O204" s="141">
        <f t="shared" si="164"/>
        <v>244029</v>
      </c>
      <c r="P204" s="141">
        <f t="shared" si="165"/>
        <v>244036</v>
      </c>
      <c r="Q204" s="141">
        <f t="shared" si="166"/>
        <v>244031</v>
      </c>
      <c r="R204" s="139" t="s">
        <v>55</v>
      </c>
      <c r="S204" s="143">
        <v>244035</v>
      </c>
      <c r="T204" s="139" t="s">
        <v>55</v>
      </c>
      <c r="U204" s="143">
        <v>244035</v>
      </c>
      <c r="V204" s="139" t="s">
        <v>55</v>
      </c>
      <c r="W204" s="143">
        <v>244031</v>
      </c>
      <c r="X204" s="139"/>
      <c r="Y204" s="141"/>
      <c r="Z204" s="119" t="s">
        <v>868</v>
      </c>
      <c r="AA204" s="144">
        <f t="shared" si="182"/>
        <v>-5</v>
      </c>
    </row>
    <row r="205" spans="1:27" s="145" customFormat="1" ht="36" customHeight="1" x14ac:dyDescent="0.25">
      <c r="A205" s="119" t="s">
        <v>19</v>
      </c>
      <c r="B205" s="139">
        <v>244030</v>
      </c>
      <c r="C205" s="119" t="s">
        <v>14</v>
      </c>
      <c r="D205" s="166">
        <v>680154</v>
      </c>
      <c r="E205" s="119" t="s">
        <v>842</v>
      </c>
      <c r="F205" s="190">
        <v>68021605</v>
      </c>
      <c r="G205" s="119" t="s">
        <v>864</v>
      </c>
      <c r="H205" s="187" t="s">
        <v>237</v>
      </c>
      <c r="I205" s="147" t="s">
        <v>845</v>
      </c>
      <c r="J205" s="146">
        <v>61.78</v>
      </c>
      <c r="K205" s="119" t="s">
        <v>200</v>
      </c>
      <c r="L205" s="146">
        <f>J205-60</f>
        <v>1.7800000000000011</v>
      </c>
      <c r="M205" s="119" t="s">
        <v>865</v>
      </c>
      <c r="N205" s="119" t="s">
        <v>93</v>
      </c>
      <c r="O205" s="141">
        <f t="shared" si="164"/>
        <v>244030</v>
      </c>
      <c r="P205" s="141">
        <f t="shared" si="165"/>
        <v>244037</v>
      </c>
      <c r="Q205" s="141">
        <f t="shared" si="166"/>
        <v>244032</v>
      </c>
      <c r="R205" s="139" t="s">
        <v>55</v>
      </c>
      <c r="S205" s="143">
        <v>244035</v>
      </c>
      <c r="T205" s="139" t="s">
        <v>55</v>
      </c>
      <c r="U205" s="143">
        <v>244035</v>
      </c>
      <c r="V205" s="139" t="s">
        <v>55</v>
      </c>
      <c r="W205" s="143">
        <v>244031</v>
      </c>
      <c r="X205" s="139"/>
      <c r="Y205" s="141"/>
      <c r="Z205" s="119" t="s">
        <v>869</v>
      </c>
      <c r="AA205" s="144">
        <f t="shared" si="182"/>
        <v>-6</v>
      </c>
    </row>
    <row r="206" spans="1:27" s="145" customFormat="1" ht="36" customHeight="1" x14ac:dyDescent="0.25">
      <c r="A206" s="119" t="s">
        <v>19</v>
      </c>
      <c r="B206" s="139">
        <v>244030</v>
      </c>
      <c r="C206" s="119" t="s">
        <v>14</v>
      </c>
      <c r="D206" s="166">
        <v>680155</v>
      </c>
      <c r="E206" s="119" t="s">
        <v>306</v>
      </c>
      <c r="F206" s="190">
        <v>68021643</v>
      </c>
      <c r="G206" s="119" t="s">
        <v>866</v>
      </c>
      <c r="H206" s="187" t="s">
        <v>269</v>
      </c>
      <c r="I206" s="147" t="s">
        <v>305</v>
      </c>
      <c r="J206" s="146">
        <v>73.44</v>
      </c>
      <c r="K206" s="119" t="s">
        <v>200</v>
      </c>
      <c r="L206" s="146">
        <v>3.44</v>
      </c>
      <c r="M206" s="119" t="s">
        <v>867</v>
      </c>
      <c r="N206" s="119" t="s">
        <v>93</v>
      </c>
      <c r="O206" s="141">
        <f t="shared" si="164"/>
        <v>244030</v>
      </c>
      <c r="P206" s="141">
        <f t="shared" si="165"/>
        <v>244037</v>
      </c>
      <c r="Q206" s="141">
        <f t="shared" si="166"/>
        <v>244032</v>
      </c>
      <c r="R206" s="139" t="s">
        <v>55</v>
      </c>
      <c r="S206" s="143">
        <v>244034</v>
      </c>
      <c r="T206" s="139"/>
      <c r="U206" s="143"/>
      <c r="V206" s="139" t="s">
        <v>55</v>
      </c>
      <c r="W206" s="143">
        <v>244034</v>
      </c>
      <c r="X206" s="139"/>
      <c r="Y206" s="141"/>
      <c r="Z206" s="119" t="s">
        <v>306</v>
      </c>
      <c r="AA206" s="144">
        <f t="shared" si="182"/>
        <v>-3</v>
      </c>
    </row>
    <row r="207" spans="1:27" s="145" customFormat="1" ht="36" customHeight="1" x14ac:dyDescent="0.25">
      <c r="A207" s="119" t="s">
        <v>19</v>
      </c>
      <c r="B207" s="139">
        <v>244031</v>
      </c>
      <c r="C207" s="119" t="s">
        <v>14</v>
      </c>
      <c r="D207" s="166">
        <v>680156</v>
      </c>
      <c r="E207" s="119" t="s">
        <v>827</v>
      </c>
      <c r="F207" s="190">
        <v>68021731</v>
      </c>
      <c r="G207" s="119" t="s">
        <v>870</v>
      </c>
      <c r="H207" s="187" t="s">
        <v>488</v>
      </c>
      <c r="I207" s="147" t="s">
        <v>829</v>
      </c>
      <c r="J207" s="146">
        <v>110.65</v>
      </c>
      <c r="K207" s="119" t="s">
        <v>207</v>
      </c>
      <c r="L207" s="146">
        <f>J207-105</f>
        <v>5.6500000000000057</v>
      </c>
      <c r="M207" s="119" t="s">
        <v>871</v>
      </c>
      <c r="N207" s="119" t="s">
        <v>93</v>
      </c>
      <c r="O207" s="141">
        <f t="shared" si="164"/>
        <v>244031</v>
      </c>
      <c r="P207" s="141">
        <f t="shared" si="165"/>
        <v>244038</v>
      </c>
      <c r="Q207" s="141">
        <f t="shared" si="166"/>
        <v>244033</v>
      </c>
      <c r="R207" s="139" t="s">
        <v>55</v>
      </c>
      <c r="S207" s="143">
        <v>244034</v>
      </c>
      <c r="T207" s="139"/>
      <c r="U207" s="143"/>
      <c r="V207" s="139" t="s">
        <v>55</v>
      </c>
      <c r="W207" s="143">
        <v>244034</v>
      </c>
      <c r="X207" s="139"/>
      <c r="Y207" s="141"/>
      <c r="Z207" s="119" t="s">
        <v>827</v>
      </c>
      <c r="AA207" s="144">
        <f t="shared" si="182"/>
        <v>-4</v>
      </c>
    </row>
    <row r="208" spans="1:27" s="145" customFormat="1" ht="36" customHeight="1" x14ac:dyDescent="0.25">
      <c r="A208" s="119" t="s">
        <v>19</v>
      </c>
      <c r="B208" s="139">
        <v>244031</v>
      </c>
      <c r="C208" s="119" t="s">
        <v>14</v>
      </c>
      <c r="D208" s="166">
        <v>680157</v>
      </c>
      <c r="E208" s="119" t="s">
        <v>872</v>
      </c>
      <c r="F208" s="190">
        <v>68021747</v>
      </c>
      <c r="G208" s="119" t="s">
        <v>873</v>
      </c>
      <c r="H208" s="187" t="s">
        <v>250</v>
      </c>
      <c r="I208" s="147" t="s">
        <v>845</v>
      </c>
      <c r="J208" s="146">
        <v>62.29</v>
      </c>
      <c r="K208" s="119" t="s">
        <v>207</v>
      </c>
      <c r="L208" s="146">
        <v>2.29</v>
      </c>
      <c r="M208" s="119" t="s">
        <v>874</v>
      </c>
      <c r="N208" s="119" t="s">
        <v>93</v>
      </c>
      <c r="O208" s="141">
        <f t="shared" si="164"/>
        <v>244031</v>
      </c>
      <c r="P208" s="141">
        <f t="shared" si="165"/>
        <v>244038</v>
      </c>
      <c r="Q208" s="141">
        <f t="shared" si="166"/>
        <v>244033</v>
      </c>
      <c r="R208" s="139" t="s">
        <v>55</v>
      </c>
      <c r="S208" s="143">
        <v>244034</v>
      </c>
      <c r="T208" s="139"/>
      <c r="U208" s="143"/>
      <c r="V208" s="139" t="s">
        <v>55</v>
      </c>
      <c r="W208" s="143">
        <v>244034</v>
      </c>
      <c r="X208" s="139"/>
      <c r="Y208" s="141"/>
      <c r="Z208" s="119" t="s">
        <v>872</v>
      </c>
      <c r="AA208" s="144">
        <f t="shared" si="182"/>
        <v>-4</v>
      </c>
    </row>
    <row r="209" spans="1:27" s="145" customFormat="1" ht="36" customHeight="1" x14ac:dyDescent="0.25">
      <c r="A209" s="119" t="s">
        <v>19</v>
      </c>
      <c r="B209" s="139">
        <v>244032</v>
      </c>
      <c r="C209" s="119" t="s">
        <v>14</v>
      </c>
      <c r="D209" s="166">
        <v>680158</v>
      </c>
      <c r="E209" s="119" t="s">
        <v>306</v>
      </c>
      <c r="F209" s="190">
        <v>68021802</v>
      </c>
      <c r="G209" s="119" t="s">
        <v>875</v>
      </c>
      <c r="H209" s="187" t="s">
        <v>269</v>
      </c>
      <c r="I209" s="147" t="s">
        <v>305</v>
      </c>
      <c r="J209" s="146">
        <v>73.8</v>
      </c>
      <c r="K209" s="119" t="s">
        <v>200</v>
      </c>
      <c r="L209" s="146">
        <f>J209-70</f>
        <v>3.7999999999999972</v>
      </c>
      <c r="M209" s="119" t="s">
        <v>876</v>
      </c>
      <c r="N209" s="119" t="s">
        <v>93</v>
      </c>
      <c r="O209" s="141">
        <f t="shared" si="164"/>
        <v>244032</v>
      </c>
      <c r="P209" s="141">
        <f t="shared" si="165"/>
        <v>244039</v>
      </c>
      <c r="Q209" s="141">
        <f t="shared" si="166"/>
        <v>244034</v>
      </c>
      <c r="R209" s="139" t="s">
        <v>55</v>
      </c>
      <c r="S209" s="143">
        <v>244034</v>
      </c>
      <c r="T209" s="139"/>
      <c r="U209" s="143"/>
      <c r="V209" s="139" t="s">
        <v>55</v>
      </c>
      <c r="W209" s="143">
        <v>244034</v>
      </c>
      <c r="X209" s="139"/>
      <c r="Y209" s="141"/>
      <c r="Z209" s="119" t="s">
        <v>306</v>
      </c>
      <c r="AA209" s="144">
        <f t="shared" ref="AA209" si="186">W209-P209</f>
        <v>-5</v>
      </c>
    </row>
    <row r="210" spans="1:27" s="145" customFormat="1" ht="36" customHeight="1" x14ac:dyDescent="0.25">
      <c r="A210" s="119" t="s">
        <v>19</v>
      </c>
      <c r="B210" s="139">
        <v>244032</v>
      </c>
      <c r="C210" s="119" t="s">
        <v>14</v>
      </c>
      <c r="D210" s="166">
        <v>680159</v>
      </c>
      <c r="E210" s="119" t="s">
        <v>872</v>
      </c>
      <c r="F210" s="190">
        <v>68021803</v>
      </c>
      <c r="G210" s="119" t="s">
        <v>877</v>
      </c>
      <c r="H210" s="187" t="s">
        <v>285</v>
      </c>
      <c r="I210" s="147" t="s">
        <v>845</v>
      </c>
      <c r="J210" s="146">
        <v>62.04</v>
      </c>
      <c r="K210" s="119" t="s">
        <v>200</v>
      </c>
      <c r="L210" s="146">
        <f>J210-70</f>
        <v>-7.9600000000000009</v>
      </c>
      <c r="M210" s="119" t="s">
        <v>878</v>
      </c>
      <c r="N210" s="119" t="s">
        <v>93</v>
      </c>
      <c r="O210" s="141">
        <f t="shared" si="164"/>
        <v>244032</v>
      </c>
      <c r="P210" s="141">
        <f t="shared" si="165"/>
        <v>244039</v>
      </c>
      <c r="Q210" s="141">
        <f t="shared" si="166"/>
        <v>244034</v>
      </c>
      <c r="R210" s="139" t="s">
        <v>55</v>
      </c>
      <c r="S210" s="143">
        <v>244034</v>
      </c>
      <c r="T210" s="139"/>
      <c r="U210" s="143"/>
      <c r="V210" s="139" t="s">
        <v>55</v>
      </c>
      <c r="W210" s="143">
        <v>244034</v>
      </c>
      <c r="X210" s="139"/>
      <c r="Y210" s="141"/>
      <c r="Z210" s="119" t="s">
        <v>872</v>
      </c>
      <c r="AA210" s="144">
        <f>W210-P210</f>
        <v>-5</v>
      </c>
    </row>
    <row r="211" spans="1:27" s="145" customFormat="1" ht="36" customHeight="1" x14ac:dyDescent="0.25">
      <c r="A211" s="119" t="s">
        <v>19</v>
      </c>
      <c r="B211" s="139">
        <v>244032</v>
      </c>
      <c r="C211" s="119" t="s">
        <v>132</v>
      </c>
      <c r="D211" s="166">
        <v>680160</v>
      </c>
      <c r="E211" s="119" t="s">
        <v>879</v>
      </c>
      <c r="F211" s="190" t="s">
        <v>586</v>
      </c>
      <c r="G211" s="119" t="s">
        <v>880</v>
      </c>
      <c r="H211" s="187" t="s">
        <v>881</v>
      </c>
      <c r="I211" s="147" t="s">
        <v>203</v>
      </c>
      <c r="J211" s="146" t="s">
        <v>584</v>
      </c>
      <c r="K211" s="119" t="s">
        <v>584</v>
      </c>
      <c r="L211" s="146" t="s">
        <v>346</v>
      </c>
      <c r="M211" s="119">
        <v>1</v>
      </c>
      <c r="N211" s="119" t="s">
        <v>52</v>
      </c>
      <c r="O211" s="141">
        <f t="shared" si="164"/>
        <v>244032</v>
      </c>
      <c r="P211" s="141">
        <f t="shared" si="165"/>
        <v>244039</v>
      </c>
      <c r="Q211" s="141">
        <f t="shared" si="166"/>
        <v>244034</v>
      </c>
      <c r="R211" s="139" t="s">
        <v>55</v>
      </c>
      <c r="S211" s="143">
        <v>244034</v>
      </c>
      <c r="T211" s="139" t="s">
        <v>55</v>
      </c>
      <c r="U211" s="143">
        <v>244034</v>
      </c>
      <c r="V211" s="139"/>
      <c r="W211" s="143"/>
      <c r="X211" s="139"/>
      <c r="Y211" s="141"/>
      <c r="Z211" s="119"/>
      <c r="AA211" s="144">
        <f>W211-P211</f>
        <v>-244039</v>
      </c>
    </row>
    <row r="212" spans="1:27" s="145" customFormat="1" ht="36.75" customHeight="1" x14ac:dyDescent="0.25">
      <c r="A212" s="119" t="s">
        <v>19</v>
      </c>
      <c r="B212" s="139">
        <v>244032</v>
      </c>
      <c r="C212" s="119" t="s">
        <v>14</v>
      </c>
      <c r="D212" s="166">
        <v>680161</v>
      </c>
      <c r="E212" s="119" t="s">
        <v>872</v>
      </c>
      <c r="F212" s="190">
        <v>68021835</v>
      </c>
      <c r="G212" s="119" t="s">
        <v>882</v>
      </c>
      <c r="H212" s="187" t="s">
        <v>284</v>
      </c>
      <c r="I212" s="147" t="s">
        <v>845</v>
      </c>
      <c r="J212" s="146">
        <v>61.77</v>
      </c>
      <c r="K212" s="119" t="s">
        <v>207</v>
      </c>
      <c r="L212" s="146">
        <v>1.77</v>
      </c>
      <c r="M212" s="119" t="s">
        <v>883</v>
      </c>
      <c r="N212" s="119" t="s">
        <v>93</v>
      </c>
      <c r="O212" s="141">
        <f t="shared" si="164"/>
        <v>244032</v>
      </c>
      <c r="P212" s="141">
        <f t="shared" si="165"/>
        <v>244039</v>
      </c>
      <c r="Q212" s="141">
        <f t="shared" si="166"/>
        <v>244034</v>
      </c>
      <c r="R212" s="139" t="s">
        <v>55</v>
      </c>
      <c r="S212" s="143">
        <v>244034</v>
      </c>
      <c r="T212" s="139"/>
      <c r="U212" s="143"/>
      <c r="V212" s="139" t="s">
        <v>55</v>
      </c>
      <c r="W212" s="143">
        <v>244034</v>
      </c>
      <c r="X212" s="139"/>
      <c r="Y212" s="141"/>
      <c r="Z212" s="119" t="s">
        <v>872</v>
      </c>
      <c r="AA212" s="144">
        <f>W212-P212</f>
        <v>-5</v>
      </c>
    </row>
    <row r="213" spans="1:27" s="145" customFormat="1" ht="36.75" customHeight="1" x14ac:dyDescent="0.25">
      <c r="A213" s="119" t="s">
        <v>19</v>
      </c>
      <c r="B213" s="139">
        <v>244032</v>
      </c>
      <c r="C213" s="119" t="s">
        <v>14</v>
      </c>
      <c r="D213" s="166">
        <v>680161</v>
      </c>
      <c r="E213" s="119" t="s">
        <v>872</v>
      </c>
      <c r="F213" s="190">
        <v>68021832</v>
      </c>
      <c r="G213" s="119" t="s">
        <v>885</v>
      </c>
      <c r="H213" s="187" t="s">
        <v>248</v>
      </c>
      <c r="I213" s="147" t="s">
        <v>845</v>
      </c>
      <c r="J213" s="146">
        <v>61.88</v>
      </c>
      <c r="K213" s="119" t="s">
        <v>207</v>
      </c>
      <c r="L213" s="146">
        <v>1.88</v>
      </c>
      <c r="M213" s="119" t="s">
        <v>884</v>
      </c>
      <c r="N213" s="119" t="s">
        <v>93</v>
      </c>
      <c r="O213" s="141">
        <f t="shared" si="164"/>
        <v>244032</v>
      </c>
      <c r="P213" s="141">
        <f t="shared" si="165"/>
        <v>244039</v>
      </c>
      <c r="Q213" s="141">
        <f t="shared" si="166"/>
        <v>244034</v>
      </c>
      <c r="R213" s="139" t="s">
        <v>55</v>
      </c>
      <c r="S213" s="143">
        <v>244034</v>
      </c>
      <c r="T213" s="139"/>
      <c r="U213" s="143"/>
      <c r="V213" s="139" t="s">
        <v>55</v>
      </c>
      <c r="W213" s="143">
        <v>244034</v>
      </c>
      <c r="X213" s="139"/>
      <c r="Y213" s="141"/>
      <c r="Z213" s="119" t="s">
        <v>872</v>
      </c>
      <c r="AA213" s="144">
        <f>W213-P213</f>
        <v>-5</v>
      </c>
    </row>
    <row r="214" spans="1:27" s="145" customFormat="1" ht="36.75" customHeight="1" x14ac:dyDescent="0.25">
      <c r="A214" s="119" t="s">
        <v>19</v>
      </c>
      <c r="B214" s="139">
        <v>244033</v>
      </c>
      <c r="C214" s="119" t="s">
        <v>14</v>
      </c>
      <c r="D214" s="166">
        <v>680162</v>
      </c>
      <c r="E214" s="119" t="s">
        <v>420</v>
      </c>
      <c r="F214" s="190">
        <v>68021919</v>
      </c>
      <c r="G214" s="119" t="s">
        <v>886</v>
      </c>
      <c r="H214" s="187" t="s">
        <v>290</v>
      </c>
      <c r="I214" s="147" t="s">
        <v>422</v>
      </c>
      <c r="J214" s="146">
        <v>127.01</v>
      </c>
      <c r="K214" s="119" t="s">
        <v>207</v>
      </c>
      <c r="L214" s="146">
        <f>J214-125</f>
        <v>2.0100000000000051</v>
      </c>
      <c r="M214" s="119" t="s">
        <v>887</v>
      </c>
      <c r="N214" s="119" t="s">
        <v>93</v>
      </c>
      <c r="O214" s="141">
        <f t="shared" si="164"/>
        <v>244033</v>
      </c>
      <c r="P214" s="141">
        <f t="shared" si="165"/>
        <v>244040</v>
      </c>
      <c r="Q214" s="141">
        <f t="shared" si="166"/>
        <v>244035</v>
      </c>
      <c r="R214" s="139" t="s">
        <v>55</v>
      </c>
      <c r="S214" s="143">
        <v>244035</v>
      </c>
      <c r="T214" s="139" t="s">
        <v>55</v>
      </c>
      <c r="U214" s="143">
        <v>244035</v>
      </c>
      <c r="V214" s="139" t="s">
        <v>55</v>
      </c>
      <c r="W214" s="143">
        <v>244034</v>
      </c>
      <c r="X214" s="139"/>
      <c r="Y214" s="141"/>
      <c r="Z214" s="119" t="s">
        <v>896</v>
      </c>
      <c r="AA214" s="144">
        <f t="shared" ref="AA214:AA277" si="187">W214-P214</f>
        <v>-6</v>
      </c>
    </row>
    <row r="215" spans="1:27" s="145" customFormat="1" ht="36.75" customHeight="1" x14ac:dyDescent="0.25">
      <c r="A215" s="119" t="s">
        <v>19</v>
      </c>
      <c r="B215" s="139">
        <v>244033</v>
      </c>
      <c r="C215" s="119" t="s">
        <v>14</v>
      </c>
      <c r="D215" s="166">
        <v>680162</v>
      </c>
      <c r="E215" s="119" t="s">
        <v>420</v>
      </c>
      <c r="F215" s="190">
        <v>68021927</v>
      </c>
      <c r="G215" s="119" t="s">
        <v>888</v>
      </c>
      <c r="H215" s="187" t="s">
        <v>255</v>
      </c>
      <c r="I215" s="147" t="s">
        <v>422</v>
      </c>
      <c r="J215" s="146">
        <v>128.38</v>
      </c>
      <c r="K215" s="119" t="s">
        <v>207</v>
      </c>
      <c r="L215" s="146">
        <f>J215-125</f>
        <v>3.3799999999999955</v>
      </c>
      <c r="M215" s="119" t="s">
        <v>889</v>
      </c>
      <c r="N215" s="119" t="s">
        <v>93</v>
      </c>
      <c r="O215" s="141">
        <f t="shared" ref="O215:O216" si="188">B215</f>
        <v>244033</v>
      </c>
      <c r="P215" s="141">
        <f t="shared" ref="P215:P216" si="189">B215+7</f>
        <v>244040</v>
      </c>
      <c r="Q215" s="141">
        <f t="shared" ref="Q215:Q216" si="190">O215+2</f>
        <v>244035</v>
      </c>
      <c r="R215" s="139" t="s">
        <v>55</v>
      </c>
      <c r="S215" s="143">
        <v>244035</v>
      </c>
      <c r="T215" s="139" t="s">
        <v>55</v>
      </c>
      <c r="U215" s="143">
        <v>244035</v>
      </c>
      <c r="V215" s="139" t="s">
        <v>55</v>
      </c>
      <c r="W215" s="143">
        <v>244034</v>
      </c>
      <c r="X215" s="139"/>
      <c r="Y215" s="141"/>
      <c r="Z215" s="119" t="s">
        <v>896</v>
      </c>
      <c r="AA215" s="144"/>
    </row>
    <row r="216" spans="1:27" s="145" customFormat="1" ht="36.75" customHeight="1" x14ac:dyDescent="0.25">
      <c r="A216" s="119" t="s">
        <v>19</v>
      </c>
      <c r="B216" s="139">
        <v>244033</v>
      </c>
      <c r="C216" s="119" t="s">
        <v>14</v>
      </c>
      <c r="D216" s="166">
        <v>680163</v>
      </c>
      <c r="E216" s="119" t="s">
        <v>872</v>
      </c>
      <c r="F216" s="190">
        <v>68021932</v>
      </c>
      <c r="G216" s="119" t="s">
        <v>890</v>
      </c>
      <c r="H216" s="187" t="s">
        <v>239</v>
      </c>
      <c r="I216" s="147" t="s">
        <v>845</v>
      </c>
      <c r="J216" s="119">
        <v>61.96</v>
      </c>
      <c r="K216" s="119" t="s">
        <v>200</v>
      </c>
      <c r="L216" s="119">
        <v>1.96</v>
      </c>
      <c r="M216" s="119" t="s">
        <v>891</v>
      </c>
      <c r="N216" s="119" t="s">
        <v>93</v>
      </c>
      <c r="O216" s="141">
        <f t="shared" si="188"/>
        <v>244033</v>
      </c>
      <c r="P216" s="141">
        <f t="shared" si="189"/>
        <v>244040</v>
      </c>
      <c r="Q216" s="141">
        <f t="shared" si="190"/>
        <v>244035</v>
      </c>
      <c r="R216" s="139" t="s">
        <v>55</v>
      </c>
      <c r="S216" s="143">
        <v>244035</v>
      </c>
      <c r="T216" s="139" t="s">
        <v>55</v>
      </c>
      <c r="U216" s="143">
        <v>244035</v>
      </c>
      <c r="V216" s="139" t="s">
        <v>55</v>
      </c>
      <c r="W216" s="143">
        <v>244035</v>
      </c>
      <c r="X216" s="139"/>
      <c r="Y216" s="141"/>
      <c r="Z216" s="119" t="s">
        <v>903</v>
      </c>
      <c r="AA216" s="144">
        <f t="shared" ref="AA216" si="191">W216-P216</f>
        <v>-5</v>
      </c>
    </row>
    <row r="217" spans="1:27" s="145" customFormat="1" ht="36.75" customHeight="1" x14ac:dyDescent="0.25">
      <c r="A217" s="119" t="s">
        <v>19</v>
      </c>
      <c r="B217" s="139">
        <v>244033</v>
      </c>
      <c r="C217" s="119" t="s">
        <v>14</v>
      </c>
      <c r="D217" s="166">
        <v>680163</v>
      </c>
      <c r="E217" s="119" t="s">
        <v>872</v>
      </c>
      <c r="F217" s="190">
        <v>68021947</v>
      </c>
      <c r="G217" s="119" t="s">
        <v>892</v>
      </c>
      <c r="H217" s="187" t="s">
        <v>284</v>
      </c>
      <c r="I217" s="147" t="s">
        <v>845</v>
      </c>
      <c r="J217" s="119">
        <v>61.9</v>
      </c>
      <c r="K217" s="119" t="s">
        <v>200</v>
      </c>
      <c r="L217" s="119">
        <v>1.9</v>
      </c>
      <c r="M217" s="119" t="s">
        <v>865</v>
      </c>
      <c r="N217" s="119" t="s">
        <v>93</v>
      </c>
      <c r="O217" s="141">
        <f t="shared" si="164"/>
        <v>244033</v>
      </c>
      <c r="P217" s="141">
        <f t="shared" si="165"/>
        <v>244040</v>
      </c>
      <c r="Q217" s="141">
        <f t="shared" si="166"/>
        <v>244035</v>
      </c>
      <c r="R217" s="139" t="s">
        <v>55</v>
      </c>
      <c r="S217" s="143">
        <v>244035</v>
      </c>
      <c r="T217" s="139" t="s">
        <v>55</v>
      </c>
      <c r="U217" s="143">
        <v>244035</v>
      </c>
      <c r="V217" s="139" t="s">
        <v>55</v>
      </c>
      <c r="W217" s="143">
        <v>244035</v>
      </c>
      <c r="X217" s="139"/>
      <c r="Y217" s="141"/>
      <c r="Z217" s="119" t="s">
        <v>903</v>
      </c>
      <c r="AA217" s="144">
        <f t="shared" si="187"/>
        <v>-5</v>
      </c>
    </row>
    <row r="218" spans="1:27" s="145" customFormat="1" ht="36.75" customHeight="1" x14ac:dyDescent="0.25">
      <c r="A218" s="119" t="s">
        <v>19</v>
      </c>
      <c r="B218" s="139">
        <v>244033</v>
      </c>
      <c r="C218" s="119" t="s">
        <v>14</v>
      </c>
      <c r="D218" s="166">
        <v>680164</v>
      </c>
      <c r="E218" s="119" t="s">
        <v>420</v>
      </c>
      <c r="F218" s="190">
        <v>68021946</v>
      </c>
      <c r="G218" s="119" t="s">
        <v>893</v>
      </c>
      <c r="H218" s="187" t="s">
        <v>272</v>
      </c>
      <c r="I218" s="147" t="s">
        <v>422</v>
      </c>
      <c r="J218" s="146">
        <v>126.35</v>
      </c>
      <c r="K218" s="119" t="s">
        <v>200</v>
      </c>
      <c r="L218" s="146">
        <v>1.35</v>
      </c>
      <c r="M218" s="119" t="s">
        <v>894</v>
      </c>
      <c r="N218" s="119" t="s">
        <v>93</v>
      </c>
      <c r="O218" s="141">
        <f t="shared" si="164"/>
        <v>244033</v>
      </c>
      <c r="P218" s="141">
        <f t="shared" si="165"/>
        <v>244040</v>
      </c>
      <c r="Q218" s="141">
        <f t="shared" si="166"/>
        <v>244035</v>
      </c>
      <c r="R218" s="139" t="s">
        <v>55</v>
      </c>
      <c r="S218" s="143">
        <v>244035</v>
      </c>
      <c r="T218" s="139" t="s">
        <v>55</v>
      </c>
      <c r="U218" s="143">
        <v>244035</v>
      </c>
      <c r="V218" s="139" t="s">
        <v>55</v>
      </c>
      <c r="W218" s="143">
        <v>244034</v>
      </c>
      <c r="X218" s="139"/>
      <c r="Y218" s="141"/>
      <c r="Z218" s="119" t="s">
        <v>896</v>
      </c>
      <c r="AA218" s="144">
        <f t="shared" si="187"/>
        <v>-6</v>
      </c>
    </row>
    <row r="219" spans="1:27" s="145" customFormat="1" ht="36" customHeight="1" x14ac:dyDescent="0.25">
      <c r="A219" s="119" t="s">
        <v>19</v>
      </c>
      <c r="B219" s="139">
        <v>244034</v>
      </c>
      <c r="C219" s="119" t="s">
        <v>14</v>
      </c>
      <c r="D219" s="166">
        <v>680165</v>
      </c>
      <c r="E219" s="119" t="s">
        <v>897</v>
      </c>
      <c r="F219" s="190">
        <v>68022035</v>
      </c>
      <c r="G219" s="119" t="s">
        <v>898</v>
      </c>
      <c r="H219" s="187" t="s">
        <v>209</v>
      </c>
      <c r="I219" s="147" t="s">
        <v>899</v>
      </c>
      <c r="J219" s="146">
        <v>58.82</v>
      </c>
      <c r="K219" s="119" t="s">
        <v>200</v>
      </c>
      <c r="L219" s="146">
        <f>J219-56</f>
        <v>2.8200000000000003</v>
      </c>
      <c r="M219" s="119" t="s">
        <v>900</v>
      </c>
      <c r="N219" s="119" t="s">
        <v>93</v>
      </c>
      <c r="O219" s="141">
        <f t="shared" si="164"/>
        <v>244034</v>
      </c>
      <c r="P219" s="141">
        <f t="shared" si="165"/>
        <v>244041</v>
      </c>
      <c r="Q219" s="141">
        <f t="shared" si="166"/>
        <v>244036</v>
      </c>
      <c r="R219" s="139" t="s">
        <v>55</v>
      </c>
      <c r="S219" s="143">
        <v>244040</v>
      </c>
      <c r="T219" s="139" t="s">
        <v>55</v>
      </c>
      <c r="U219" s="143">
        <v>244041</v>
      </c>
      <c r="V219" s="139" t="s">
        <v>55</v>
      </c>
      <c r="W219" s="143">
        <v>244042</v>
      </c>
      <c r="X219" s="139"/>
      <c r="Y219" s="141"/>
      <c r="Z219" s="119" t="s">
        <v>932</v>
      </c>
      <c r="AA219" s="144">
        <f t="shared" si="187"/>
        <v>1</v>
      </c>
    </row>
    <row r="220" spans="1:27" s="145" customFormat="1" ht="36" customHeight="1" x14ac:dyDescent="0.25">
      <c r="A220" s="119" t="s">
        <v>19</v>
      </c>
      <c r="B220" s="139">
        <v>244035</v>
      </c>
      <c r="C220" s="119" t="s">
        <v>14</v>
      </c>
      <c r="D220" s="166">
        <v>680166</v>
      </c>
      <c r="E220" s="119" t="s">
        <v>872</v>
      </c>
      <c r="F220" s="190">
        <v>68022110</v>
      </c>
      <c r="G220" s="119" t="s">
        <v>901</v>
      </c>
      <c r="H220" s="187" t="s">
        <v>280</v>
      </c>
      <c r="I220" s="147" t="s">
        <v>845</v>
      </c>
      <c r="J220" s="146">
        <v>63.4</v>
      </c>
      <c r="K220" s="119" t="s">
        <v>207</v>
      </c>
      <c r="L220" s="146">
        <f>J220-60</f>
        <v>3.3999999999999986</v>
      </c>
      <c r="M220" s="119" t="s">
        <v>902</v>
      </c>
      <c r="N220" s="119" t="s">
        <v>93</v>
      </c>
      <c r="O220" s="141">
        <f t="shared" si="164"/>
        <v>244035</v>
      </c>
      <c r="P220" s="141">
        <f t="shared" si="165"/>
        <v>244042</v>
      </c>
      <c r="Q220" s="141">
        <f t="shared" si="166"/>
        <v>244037</v>
      </c>
      <c r="R220" s="139" t="s">
        <v>55</v>
      </c>
      <c r="S220" s="143">
        <v>244048</v>
      </c>
      <c r="T220" s="139" t="s">
        <v>55</v>
      </c>
      <c r="U220" s="143">
        <v>244049</v>
      </c>
      <c r="V220" s="139" t="s">
        <v>55</v>
      </c>
      <c r="W220" s="143">
        <v>244038</v>
      </c>
      <c r="X220" s="139"/>
      <c r="Y220" s="141"/>
      <c r="Z220" s="119" t="s">
        <v>908</v>
      </c>
      <c r="AA220" s="144">
        <f t="shared" si="187"/>
        <v>-4</v>
      </c>
    </row>
    <row r="221" spans="1:27" s="145" customFormat="1" ht="36" customHeight="1" x14ac:dyDescent="0.25">
      <c r="A221" s="119" t="s">
        <v>19</v>
      </c>
      <c r="B221" s="139">
        <v>244036</v>
      </c>
      <c r="C221" s="119" t="s">
        <v>14</v>
      </c>
      <c r="D221" s="166">
        <v>680167</v>
      </c>
      <c r="E221" s="119" t="s">
        <v>420</v>
      </c>
      <c r="F221" s="190">
        <v>68022227</v>
      </c>
      <c r="G221" s="119" t="s">
        <v>904</v>
      </c>
      <c r="H221" s="187" t="s">
        <v>205</v>
      </c>
      <c r="I221" s="147" t="s">
        <v>422</v>
      </c>
      <c r="J221" s="146">
        <v>116.77</v>
      </c>
      <c r="K221" s="119" t="s">
        <v>201</v>
      </c>
      <c r="L221" s="146">
        <f>122-J221</f>
        <v>5.230000000000004</v>
      </c>
      <c r="M221" s="119" t="s">
        <v>905</v>
      </c>
      <c r="N221" s="119" t="s">
        <v>93</v>
      </c>
      <c r="O221" s="141">
        <f t="shared" si="164"/>
        <v>244036</v>
      </c>
      <c r="P221" s="141">
        <f t="shared" si="165"/>
        <v>244043</v>
      </c>
      <c r="Q221" s="141">
        <f t="shared" si="166"/>
        <v>244038</v>
      </c>
      <c r="R221" s="139" t="s">
        <v>55</v>
      </c>
      <c r="S221" s="143">
        <v>244040</v>
      </c>
      <c r="T221" s="139" t="s">
        <v>55</v>
      </c>
      <c r="U221" s="143">
        <v>244041</v>
      </c>
      <c r="V221" s="139" t="s">
        <v>55</v>
      </c>
      <c r="W221" s="143">
        <v>244041</v>
      </c>
      <c r="X221" s="139"/>
      <c r="Y221" s="141"/>
      <c r="Z221" s="119" t="s">
        <v>926</v>
      </c>
      <c r="AA221" s="144">
        <f t="shared" ref="AA221" si="192">W221-P221</f>
        <v>-2</v>
      </c>
    </row>
    <row r="222" spans="1:27" s="145" customFormat="1" ht="36" customHeight="1" x14ac:dyDescent="0.25">
      <c r="A222" s="119" t="s">
        <v>19</v>
      </c>
      <c r="B222" s="139">
        <v>244038</v>
      </c>
      <c r="C222" s="119" t="s">
        <v>14</v>
      </c>
      <c r="D222" s="166">
        <v>680168</v>
      </c>
      <c r="E222" s="119" t="s">
        <v>307</v>
      </c>
      <c r="F222" s="190">
        <v>68022403</v>
      </c>
      <c r="G222" s="119" t="s">
        <v>906</v>
      </c>
      <c r="H222" s="187" t="s">
        <v>284</v>
      </c>
      <c r="I222" s="147" t="s">
        <v>308</v>
      </c>
      <c r="J222" s="146">
        <v>62.56</v>
      </c>
      <c r="K222" s="119" t="s">
        <v>201</v>
      </c>
      <c r="L222" s="146">
        <f>64-J222</f>
        <v>1.4399999999999977</v>
      </c>
      <c r="M222" s="119" t="s">
        <v>907</v>
      </c>
      <c r="N222" s="119" t="s">
        <v>93</v>
      </c>
      <c r="O222" s="141">
        <f t="shared" si="164"/>
        <v>244038</v>
      </c>
      <c r="P222" s="141">
        <f t="shared" si="165"/>
        <v>244045</v>
      </c>
      <c r="Q222" s="141">
        <f t="shared" si="166"/>
        <v>244040</v>
      </c>
      <c r="R222" s="139" t="s">
        <v>55</v>
      </c>
      <c r="S222" s="143">
        <v>244048</v>
      </c>
      <c r="T222" s="139" t="s">
        <v>55</v>
      </c>
      <c r="U222" s="143">
        <v>244049</v>
      </c>
      <c r="V222" s="139" t="s">
        <v>55</v>
      </c>
      <c r="W222" s="143">
        <v>244038</v>
      </c>
      <c r="X222" s="139"/>
      <c r="Y222" s="141"/>
      <c r="Z222" s="119" t="s">
        <v>908</v>
      </c>
      <c r="AA222" s="144">
        <f t="shared" si="187"/>
        <v>-7</v>
      </c>
    </row>
    <row r="223" spans="1:27" s="145" customFormat="1" ht="36" customHeight="1" x14ac:dyDescent="0.25">
      <c r="A223" s="119" t="s">
        <v>19</v>
      </c>
      <c r="B223" s="139">
        <v>244038</v>
      </c>
      <c r="C223" s="119" t="s">
        <v>14</v>
      </c>
      <c r="D223" s="166">
        <v>680169</v>
      </c>
      <c r="E223" s="119" t="s">
        <v>307</v>
      </c>
      <c r="F223" s="190">
        <v>68022410</v>
      </c>
      <c r="G223" s="119" t="s">
        <v>909</v>
      </c>
      <c r="H223" s="187" t="s">
        <v>241</v>
      </c>
      <c r="I223" s="147" t="s">
        <v>442</v>
      </c>
      <c r="J223" s="146" t="s">
        <v>557</v>
      </c>
      <c r="K223" s="146" t="s">
        <v>557</v>
      </c>
      <c r="L223" s="146" t="s">
        <v>69</v>
      </c>
      <c r="M223" s="119" t="s">
        <v>910</v>
      </c>
      <c r="N223" s="119" t="s">
        <v>93</v>
      </c>
      <c r="O223" s="141">
        <f t="shared" si="164"/>
        <v>244038</v>
      </c>
      <c r="P223" s="141">
        <f t="shared" si="165"/>
        <v>244045</v>
      </c>
      <c r="Q223" s="141">
        <f t="shared" si="166"/>
        <v>244040</v>
      </c>
      <c r="R223" s="139" t="s">
        <v>55</v>
      </c>
      <c r="S223" s="143">
        <v>244048</v>
      </c>
      <c r="T223" s="139" t="s">
        <v>55</v>
      </c>
      <c r="U223" s="143">
        <v>244049</v>
      </c>
      <c r="V223" s="139" t="s">
        <v>55</v>
      </c>
      <c r="W223" s="143">
        <v>244038</v>
      </c>
      <c r="X223" s="139"/>
      <c r="Y223" s="141"/>
      <c r="Z223" s="119" t="s">
        <v>908</v>
      </c>
      <c r="AA223" s="144">
        <f t="shared" si="187"/>
        <v>-7</v>
      </c>
    </row>
    <row r="224" spans="1:27" s="145" customFormat="1" ht="36" customHeight="1" x14ac:dyDescent="0.25">
      <c r="A224" s="119" t="s">
        <v>19</v>
      </c>
      <c r="B224" s="139">
        <v>244038</v>
      </c>
      <c r="C224" s="119" t="s">
        <v>14</v>
      </c>
      <c r="D224" s="166">
        <v>680170</v>
      </c>
      <c r="E224" s="119" t="s">
        <v>420</v>
      </c>
      <c r="F224" s="190">
        <v>68022413</v>
      </c>
      <c r="G224" s="119" t="s">
        <v>911</v>
      </c>
      <c r="H224" s="187" t="s">
        <v>290</v>
      </c>
      <c r="I224" s="147" t="s">
        <v>422</v>
      </c>
      <c r="J224" s="146">
        <v>129.35</v>
      </c>
      <c r="K224" s="119" t="s">
        <v>207</v>
      </c>
      <c r="L224" s="146">
        <f>J224-125</f>
        <v>4.3499999999999943</v>
      </c>
      <c r="M224" s="119" t="s">
        <v>912</v>
      </c>
      <c r="N224" s="119" t="s">
        <v>93</v>
      </c>
      <c r="O224" s="141">
        <f t="shared" si="164"/>
        <v>244038</v>
      </c>
      <c r="P224" s="141">
        <f t="shared" si="165"/>
        <v>244045</v>
      </c>
      <c r="Q224" s="141">
        <f t="shared" si="166"/>
        <v>244040</v>
      </c>
      <c r="R224" s="139" t="s">
        <v>55</v>
      </c>
      <c r="S224" s="143">
        <v>244048</v>
      </c>
      <c r="T224" s="139" t="s">
        <v>55</v>
      </c>
      <c r="U224" s="143">
        <v>244049</v>
      </c>
      <c r="V224" s="139" t="s">
        <v>55</v>
      </c>
      <c r="W224" s="143">
        <v>244049</v>
      </c>
      <c r="X224" s="139"/>
      <c r="Y224" s="141"/>
      <c r="Z224" s="119" t="s">
        <v>420</v>
      </c>
      <c r="AA224" s="144">
        <f t="shared" ref="AA224" si="193">W224-P224</f>
        <v>4</v>
      </c>
    </row>
    <row r="225" spans="1:27" s="145" customFormat="1" ht="36" customHeight="1" x14ac:dyDescent="0.25">
      <c r="A225" s="119" t="s">
        <v>19</v>
      </c>
      <c r="B225" s="139">
        <v>244039</v>
      </c>
      <c r="C225" s="119" t="s">
        <v>14</v>
      </c>
      <c r="D225" s="166">
        <v>680171</v>
      </c>
      <c r="E225" s="119" t="s">
        <v>433</v>
      </c>
      <c r="F225" s="190">
        <v>68022503</v>
      </c>
      <c r="G225" s="119" t="s">
        <v>913</v>
      </c>
      <c r="H225" s="187" t="s">
        <v>914</v>
      </c>
      <c r="I225" s="147" t="s">
        <v>732</v>
      </c>
      <c r="J225" s="146" t="s">
        <v>731</v>
      </c>
      <c r="K225" s="146" t="s">
        <v>731</v>
      </c>
      <c r="L225" s="146" t="s">
        <v>69</v>
      </c>
      <c r="M225" s="119" t="s">
        <v>915</v>
      </c>
      <c r="N225" s="119" t="s">
        <v>93</v>
      </c>
      <c r="O225" s="141">
        <f t="shared" si="164"/>
        <v>244039</v>
      </c>
      <c r="P225" s="141">
        <f t="shared" si="165"/>
        <v>244046</v>
      </c>
      <c r="Q225" s="141">
        <f t="shared" si="166"/>
        <v>244041</v>
      </c>
      <c r="R225" s="139" t="s">
        <v>55</v>
      </c>
      <c r="S225" s="143">
        <v>244040</v>
      </c>
      <c r="T225" s="139" t="s">
        <v>55</v>
      </c>
      <c r="U225" s="143">
        <v>244041</v>
      </c>
      <c r="V225" s="139" t="s">
        <v>55</v>
      </c>
      <c r="W225" s="143">
        <v>244039</v>
      </c>
      <c r="X225" s="139"/>
      <c r="Y225" s="141"/>
      <c r="Z225" s="119" t="s">
        <v>920</v>
      </c>
      <c r="AA225" s="144">
        <f t="shared" si="187"/>
        <v>-7</v>
      </c>
    </row>
    <row r="226" spans="1:27" s="145" customFormat="1" ht="36" customHeight="1" x14ac:dyDescent="0.25">
      <c r="A226" s="119" t="s">
        <v>19</v>
      </c>
      <c r="B226" s="139">
        <v>244039</v>
      </c>
      <c r="C226" s="119" t="s">
        <v>14</v>
      </c>
      <c r="D226" s="166">
        <v>680172</v>
      </c>
      <c r="E226" s="119" t="s">
        <v>916</v>
      </c>
      <c r="F226" s="190">
        <v>68022511</v>
      </c>
      <c r="G226" s="119" t="s">
        <v>917</v>
      </c>
      <c r="H226" s="187" t="s">
        <v>238</v>
      </c>
      <c r="I226" s="147" t="s">
        <v>732</v>
      </c>
      <c r="J226" s="146" t="s">
        <v>918</v>
      </c>
      <c r="K226" s="146" t="s">
        <v>918</v>
      </c>
      <c r="L226" s="146" t="s">
        <v>69</v>
      </c>
      <c r="M226" s="119" t="s">
        <v>919</v>
      </c>
      <c r="N226" s="119" t="s">
        <v>93</v>
      </c>
      <c r="O226" s="141">
        <f t="shared" si="164"/>
        <v>244039</v>
      </c>
      <c r="P226" s="141">
        <f t="shared" si="165"/>
        <v>244046</v>
      </c>
      <c r="Q226" s="141">
        <f t="shared" si="166"/>
        <v>244041</v>
      </c>
      <c r="R226" s="139" t="s">
        <v>55</v>
      </c>
      <c r="S226" s="143">
        <v>244040</v>
      </c>
      <c r="T226" s="139" t="s">
        <v>55</v>
      </c>
      <c r="U226" s="143">
        <v>244041</v>
      </c>
      <c r="V226" s="139" t="s">
        <v>55</v>
      </c>
      <c r="W226" s="143">
        <v>244042</v>
      </c>
      <c r="X226" s="139"/>
      <c r="Y226" s="141"/>
      <c r="Z226" s="119" t="s">
        <v>931</v>
      </c>
      <c r="AA226" s="144">
        <f t="shared" si="187"/>
        <v>-4</v>
      </c>
    </row>
    <row r="227" spans="1:27" s="145" customFormat="1" ht="36" customHeight="1" x14ac:dyDescent="0.25">
      <c r="A227" s="119" t="s">
        <v>19</v>
      </c>
      <c r="B227" s="139">
        <v>244040</v>
      </c>
      <c r="C227" s="119" t="s">
        <v>14</v>
      </c>
      <c r="D227" s="166">
        <v>680173</v>
      </c>
      <c r="E227" s="119" t="s">
        <v>306</v>
      </c>
      <c r="F227" s="190">
        <v>68022620</v>
      </c>
      <c r="G227" s="119" t="s">
        <v>921</v>
      </c>
      <c r="H227" s="187" t="s">
        <v>269</v>
      </c>
      <c r="I227" s="147" t="s">
        <v>305</v>
      </c>
      <c r="J227" s="146">
        <v>73.8</v>
      </c>
      <c r="K227" s="119" t="s">
        <v>207</v>
      </c>
      <c r="L227" s="146">
        <f>J227-70</f>
        <v>3.7999999999999972</v>
      </c>
      <c r="M227" s="119" t="s">
        <v>922</v>
      </c>
      <c r="N227" s="119" t="s">
        <v>93</v>
      </c>
      <c r="O227" s="141">
        <f t="shared" si="164"/>
        <v>244040</v>
      </c>
      <c r="P227" s="141">
        <f t="shared" si="165"/>
        <v>244047</v>
      </c>
      <c r="Q227" s="141">
        <f t="shared" si="166"/>
        <v>244042</v>
      </c>
      <c r="R227" s="139" t="s">
        <v>55</v>
      </c>
      <c r="S227" s="143">
        <v>244048</v>
      </c>
      <c r="T227" s="139" t="s">
        <v>55</v>
      </c>
      <c r="U227" s="143">
        <v>244049</v>
      </c>
      <c r="V227" s="139" t="s">
        <v>55</v>
      </c>
      <c r="W227" s="143">
        <v>244049</v>
      </c>
      <c r="X227" s="139"/>
      <c r="Y227" s="141"/>
      <c r="Z227" s="119" t="s">
        <v>306</v>
      </c>
      <c r="AA227" s="144">
        <f t="shared" si="187"/>
        <v>2</v>
      </c>
    </row>
    <row r="228" spans="1:27" s="145" customFormat="1" ht="36" customHeight="1" x14ac:dyDescent="0.25">
      <c r="A228" s="119" t="s">
        <v>19</v>
      </c>
      <c r="B228" s="139">
        <v>244040</v>
      </c>
      <c r="C228" s="119" t="s">
        <v>14</v>
      </c>
      <c r="D228" s="166">
        <v>680174</v>
      </c>
      <c r="E228" s="119" t="s">
        <v>433</v>
      </c>
      <c r="F228" s="190">
        <v>68022623</v>
      </c>
      <c r="G228" s="119" t="s">
        <v>923</v>
      </c>
      <c r="H228" s="187" t="s">
        <v>218</v>
      </c>
      <c r="I228" s="147" t="s">
        <v>304</v>
      </c>
      <c r="J228" s="146">
        <v>81</v>
      </c>
      <c r="K228" s="119" t="s">
        <v>207</v>
      </c>
      <c r="L228" s="146">
        <f>J228-78</f>
        <v>3</v>
      </c>
      <c r="M228" s="119" t="s">
        <v>924</v>
      </c>
      <c r="N228" s="119" t="s">
        <v>93</v>
      </c>
      <c r="O228" s="141">
        <f t="shared" si="164"/>
        <v>244040</v>
      </c>
      <c r="P228" s="141">
        <f t="shared" si="165"/>
        <v>244047</v>
      </c>
      <c r="Q228" s="141">
        <f t="shared" si="166"/>
        <v>244042</v>
      </c>
      <c r="R228" s="139" t="s">
        <v>55</v>
      </c>
      <c r="S228" s="143">
        <v>244048</v>
      </c>
      <c r="T228" s="139" t="s">
        <v>55</v>
      </c>
      <c r="U228" s="143">
        <v>244049</v>
      </c>
      <c r="V228" s="139" t="s">
        <v>55</v>
      </c>
      <c r="W228" s="143">
        <v>244040</v>
      </c>
      <c r="X228" s="139"/>
      <c r="Y228" s="141"/>
      <c r="Z228" s="119" t="s">
        <v>925</v>
      </c>
      <c r="AA228" s="144">
        <f t="shared" si="187"/>
        <v>-7</v>
      </c>
    </row>
    <row r="229" spans="1:27" s="145" customFormat="1" ht="36" customHeight="1" x14ac:dyDescent="0.25">
      <c r="A229" s="119" t="s">
        <v>19</v>
      </c>
      <c r="B229" s="139">
        <v>244041</v>
      </c>
      <c r="C229" s="119" t="s">
        <v>14</v>
      </c>
      <c r="D229" s="166">
        <v>680175</v>
      </c>
      <c r="E229" s="119" t="s">
        <v>413</v>
      </c>
      <c r="F229" s="190">
        <v>68022727</v>
      </c>
      <c r="G229" s="119" t="s">
        <v>927</v>
      </c>
      <c r="H229" s="187" t="s">
        <v>293</v>
      </c>
      <c r="I229" s="147" t="s">
        <v>732</v>
      </c>
      <c r="J229" s="146" t="s">
        <v>928</v>
      </c>
      <c r="K229" s="146" t="s">
        <v>928</v>
      </c>
      <c r="L229" s="146" t="s">
        <v>69</v>
      </c>
      <c r="M229" s="119" t="s">
        <v>929</v>
      </c>
      <c r="N229" s="119" t="s">
        <v>93</v>
      </c>
      <c r="O229" s="141">
        <f t="shared" si="164"/>
        <v>244041</v>
      </c>
      <c r="P229" s="141">
        <f t="shared" si="165"/>
        <v>244048</v>
      </c>
      <c r="Q229" s="141">
        <f t="shared" si="166"/>
        <v>244043</v>
      </c>
      <c r="R229" s="139" t="s">
        <v>55</v>
      </c>
      <c r="S229" s="143">
        <v>244048</v>
      </c>
      <c r="T229" s="139" t="s">
        <v>55</v>
      </c>
      <c r="U229" s="143">
        <v>244049</v>
      </c>
      <c r="V229" s="139" t="s">
        <v>55</v>
      </c>
      <c r="W229" s="143">
        <v>244041</v>
      </c>
      <c r="X229" s="139"/>
      <c r="Y229" s="141"/>
      <c r="Z229" s="119" t="s">
        <v>930</v>
      </c>
      <c r="AA229" s="144">
        <f t="shared" si="187"/>
        <v>-7</v>
      </c>
    </row>
    <row r="230" spans="1:27" s="145" customFormat="1" ht="36" customHeight="1" x14ac:dyDescent="0.25">
      <c r="A230" s="119" t="s">
        <v>20</v>
      </c>
      <c r="B230" s="139">
        <v>244044</v>
      </c>
      <c r="C230" s="119" t="s">
        <v>14</v>
      </c>
      <c r="D230" s="166">
        <v>680176</v>
      </c>
      <c r="E230" s="119" t="s">
        <v>307</v>
      </c>
      <c r="F230" s="190">
        <v>68030130</v>
      </c>
      <c r="G230" s="119" t="s">
        <v>933</v>
      </c>
      <c r="H230" s="187" t="s">
        <v>250</v>
      </c>
      <c r="I230" s="147" t="s">
        <v>938</v>
      </c>
      <c r="J230" s="146" t="s">
        <v>934</v>
      </c>
      <c r="K230" s="146" t="s">
        <v>936</v>
      </c>
      <c r="L230" s="146" t="s">
        <v>935</v>
      </c>
      <c r="M230" s="119" t="s">
        <v>937</v>
      </c>
      <c r="N230" s="119" t="s">
        <v>93</v>
      </c>
      <c r="O230" s="141">
        <f t="shared" si="164"/>
        <v>244044</v>
      </c>
      <c r="P230" s="141">
        <f t="shared" si="165"/>
        <v>244051</v>
      </c>
      <c r="Q230" s="141">
        <f t="shared" si="166"/>
        <v>244046</v>
      </c>
      <c r="R230" s="139"/>
      <c r="S230" s="143"/>
      <c r="T230" s="139"/>
      <c r="U230" s="143"/>
      <c r="V230" s="139" t="s">
        <v>55</v>
      </c>
      <c r="W230" s="143">
        <v>244048</v>
      </c>
      <c r="X230" s="139"/>
      <c r="Y230" s="141"/>
      <c r="Z230" s="119" t="s">
        <v>954</v>
      </c>
      <c r="AA230" s="144">
        <f t="shared" si="187"/>
        <v>-3</v>
      </c>
    </row>
    <row r="231" spans="1:27" s="145" customFormat="1" ht="36" customHeight="1" x14ac:dyDescent="0.25">
      <c r="A231" s="119" t="s">
        <v>20</v>
      </c>
      <c r="B231" s="139">
        <v>244047</v>
      </c>
      <c r="C231" s="119" t="s">
        <v>14</v>
      </c>
      <c r="D231" s="166">
        <v>680177</v>
      </c>
      <c r="E231" s="119" t="s">
        <v>939</v>
      </c>
      <c r="F231" s="190">
        <v>68030440</v>
      </c>
      <c r="G231" s="119" t="s">
        <v>940</v>
      </c>
      <c r="H231" s="187" t="s">
        <v>227</v>
      </c>
      <c r="I231" s="154" t="s">
        <v>941</v>
      </c>
      <c r="J231" s="146">
        <v>107.33</v>
      </c>
      <c r="K231" s="119" t="s">
        <v>200</v>
      </c>
      <c r="L231" s="146">
        <v>1.33</v>
      </c>
      <c r="M231" s="119" t="s">
        <v>942</v>
      </c>
      <c r="N231" s="119" t="s">
        <v>93</v>
      </c>
      <c r="O231" s="141">
        <f t="shared" si="164"/>
        <v>244047</v>
      </c>
      <c r="P231" s="141">
        <f t="shared" si="165"/>
        <v>244054</v>
      </c>
      <c r="Q231" s="141">
        <f t="shared" si="166"/>
        <v>244049</v>
      </c>
      <c r="R231" s="139" t="s">
        <v>55</v>
      </c>
      <c r="S231" s="143">
        <v>244049</v>
      </c>
      <c r="T231" s="139" t="s">
        <v>55</v>
      </c>
      <c r="U231" s="143">
        <v>244053</v>
      </c>
      <c r="V231" s="139" t="s">
        <v>55</v>
      </c>
      <c r="W231" s="143">
        <v>244053</v>
      </c>
      <c r="X231" s="139"/>
      <c r="Y231" s="141"/>
      <c r="Z231" s="119" t="s">
        <v>965</v>
      </c>
      <c r="AA231" s="144">
        <f t="shared" si="187"/>
        <v>-1</v>
      </c>
    </row>
    <row r="232" spans="1:27" s="145" customFormat="1" ht="36" customHeight="1" x14ac:dyDescent="0.25">
      <c r="A232" s="119" t="s">
        <v>20</v>
      </c>
      <c r="B232" s="139">
        <v>244047</v>
      </c>
      <c r="C232" s="119" t="s">
        <v>14</v>
      </c>
      <c r="D232" s="166">
        <v>680178</v>
      </c>
      <c r="E232" s="119" t="s">
        <v>420</v>
      </c>
      <c r="F232" s="190">
        <v>68030435</v>
      </c>
      <c r="G232" s="119" t="s">
        <v>943</v>
      </c>
      <c r="H232" s="187" t="s">
        <v>272</v>
      </c>
      <c r="I232" s="147" t="s">
        <v>422</v>
      </c>
      <c r="J232" s="146" t="s">
        <v>944</v>
      </c>
      <c r="K232" s="119" t="s">
        <v>945</v>
      </c>
      <c r="L232" s="146" t="s">
        <v>946</v>
      </c>
      <c r="M232" s="119" t="s">
        <v>947</v>
      </c>
      <c r="N232" s="119" t="s">
        <v>93</v>
      </c>
      <c r="O232" s="141">
        <f t="shared" si="164"/>
        <v>244047</v>
      </c>
      <c r="P232" s="141">
        <f t="shared" si="165"/>
        <v>244054</v>
      </c>
      <c r="Q232" s="141">
        <f t="shared" si="166"/>
        <v>244049</v>
      </c>
      <c r="R232" s="139" t="s">
        <v>55</v>
      </c>
      <c r="S232" s="143">
        <v>244049</v>
      </c>
      <c r="T232" s="139" t="s">
        <v>55</v>
      </c>
      <c r="U232" s="143">
        <v>244053</v>
      </c>
      <c r="V232" s="139" t="s">
        <v>55</v>
      </c>
      <c r="W232" s="143">
        <v>244053</v>
      </c>
      <c r="X232" s="139"/>
      <c r="Y232" s="141"/>
      <c r="Z232" s="119" t="s">
        <v>966</v>
      </c>
      <c r="AA232" s="144">
        <f t="shared" si="187"/>
        <v>-1</v>
      </c>
    </row>
    <row r="233" spans="1:27" s="145" customFormat="1" ht="36" customHeight="1" x14ac:dyDescent="0.25">
      <c r="A233" s="119" t="s">
        <v>20</v>
      </c>
      <c r="B233" s="139">
        <v>244047</v>
      </c>
      <c r="C233" s="119" t="s">
        <v>14</v>
      </c>
      <c r="D233" s="166">
        <v>680179</v>
      </c>
      <c r="E233" s="119" t="s">
        <v>420</v>
      </c>
      <c r="F233" s="190">
        <v>68030454</v>
      </c>
      <c r="G233" s="119" t="s">
        <v>948</v>
      </c>
      <c r="H233" s="187" t="s">
        <v>205</v>
      </c>
      <c r="I233" s="147" t="s">
        <v>422</v>
      </c>
      <c r="J233" s="146">
        <v>119.3</v>
      </c>
      <c r="K233" s="119" t="s">
        <v>201</v>
      </c>
      <c r="L233" s="146">
        <f>122-J233</f>
        <v>2.7000000000000028</v>
      </c>
      <c r="M233" s="119" t="s">
        <v>949</v>
      </c>
      <c r="N233" s="119" t="s">
        <v>93</v>
      </c>
      <c r="O233" s="141">
        <f t="shared" si="164"/>
        <v>244047</v>
      </c>
      <c r="P233" s="141">
        <f t="shared" si="165"/>
        <v>244054</v>
      </c>
      <c r="Q233" s="141">
        <f t="shared" si="166"/>
        <v>244049</v>
      </c>
      <c r="R233" s="139" t="s">
        <v>55</v>
      </c>
      <c r="S233" s="143">
        <v>244049</v>
      </c>
      <c r="T233" s="139" t="s">
        <v>55</v>
      </c>
      <c r="U233" s="143">
        <v>244053</v>
      </c>
      <c r="V233" s="139" t="s">
        <v>55</v>
      </c>
      <c r="W233" s="143">
        <v>244053</v>
      </c>
      <c r="X233" s="139"/>
      <c r="Y233" s="141"/>
      <c r="Z233" s="119" t="s">
        <v>967</v>
      </c>
      <c r="AA233" s="144">
        <f t="shared" si="187"/>
        <v>-1</v>
      </c>
    </row>
    <row r="234" spans="1:27" s="145" customFormat="1" ht="36" customHeight="1" x14ac:dyDescent="0.25">
      <c r="A234" s="119" t="s">
        <v>20</v>
      </c>
      <c r="B234" s="139">
        <v>244047</v>
      </c>
      <c r="C234" s="119" t="s">
        <v>14</v>
      </c>
      <c r="D234" s="166">
        <v>680179</v>
      </c>
      <c r="E234" s="119" t="s">
        <v>420</v>
      </c>
      <c r="F234" s="190">
        <v>68030455</v>
      </c>
      <c r="G234" s="119" t="s">
        <v>950</v>
      </c>
      <c r="H234" s="187" t="s">
        <v>290</v>
      </c>
      <c r="I234" s="147" t="s">
        <v>422</v>
      </c>
      <c r="J234" s="146">
        <v>118.91</v>
      </c>
      <c r="K234" s="119" t="s">
        <v>201</v>
      </c>
      <c r="L234" s="146">
        <f>122-J234</f>
        <v>3.0900000000000034</v>
      </c>
      <c r="M234" s="119" t="s">
        <v>951</v>
      </c>
      <c r="N234" s="119" t="s">
        <v>93</v>
      </c>
      <c r="O234" s="141">
        <f t="shared" ref="O234" si="194">B234</f>
        <v>244047</v>
      </c>
      <c r="P234" s="141">
        <f t="shared" ref="P234" si="195">B234+7</f>
        <v>244054</v>
      </c>
      <c r="Q234" s="141">
        <f t="shared" ref="Q234" si="196">O234+2</f>
        <v>244049</v>
      </c>
      <c r="R234" s="139" t="s">
        <v>55</v>
      </c>
      <c r="S234" s="143">
        <v>244049</v>
      </c>
      <c r="T234" s="139" t="s">
        <v>55</v>
      </c>
      <c r="U234" s="143">
        <v>244053</v>
      </c>
      <c r="V234" s="139" t="s">
        <v>55</v>
      </c>
      <c r="W234" s="143">
        <v>244053</v>
      </c>
      <c r="X234" s="139"/>
      <c r="Y234" s="141"/>
      <c r="Z234" s="119" t="s">
        <v>967</v>
      </c>
      <c r="AA234" s="144">
        <f t="shared" ref="AA234" si="197">W234-P234</f>
        <v>-1</v>
      </c>
    </row>
    <row r="235" spans="1:27" s="145" customFormat="1" ht="36" customHeight="1" x14ac:dyDescent="0.25">
      <c r="A235" s="119" t="s">
        <v>20</v>
      </c>
      <c r="B235" s="139">
        <v>244048</v>
      </c>
      <c r="C235" s="119" t="s">
        <v>14</v>
      </c>
      <c r="D235" s="166">
        <v>680180</v>
      </c>
      <c r="E235" s="119" t="s">
        <v>420</v>
      </c>
      <c r="F235" s="190">
        <v>68030519</v>
      </c>
      <c r="G235" s="119" t="s">
        <v>952</v>
      </c>
      <c r="H235" s="187" t="s">
        <v>274</v>
      </c>
      <c r="I235" s="147" t="s">
        <v>422</v>
      </c>
      <c r="J235" s="146">
        <v>118.86</v>
      </c>
      <c r="K235" s="119" t="s">
        <v>201</v>
      </c>
      <c r="L235" s="146">
        <f>122-J235</f>
        <v>3.1400000000000006</v>
      </c>
      <c r="M235" s="119" t="s">
        <v>953</v>
      </c>
      <c r="N235" s="119" t="s">
        <v>93</v>
      </c>
      <c r="O235" s="141">
        <f t="shared" si="164"/>
        <v>244048</v>
      </c>
      <c r="P235" s="141">
        <f t="shared" si="165"/>
        <v>244055</v>
      </c>
      <c r="Q235" s="141">
        <f t="shared" si="166"/>
        <v>244050</v>
      </c>
      <c r="R235" s="139" t="s">
        <v>55</v>
      </c>
      <c r="S235" s="143">
        <v>244049</v>
      </c>
      <c r="T235" s="139" t="s">
        <v>55</v>
      </c>
      <c r="U235" s="143">
        <v>244053</v>
      </c>
      <c r="V235" s="139" t="s">
        <v>55</v>
      </c>
      <c r="W235" s="143">
        <v>244053</v>
      </c>
      <c r="X235" s="139"/>
      <c r="Y235" s="141"/>
      <c r="Z235" s="119" t="s">
        <v>967</v>
      </c>
      <c r="AA235" s="144">
        <f t="shared" ref="AA235" si="198">W235-P235</f>
        <v>-2</v>
      </c>
    </row>
    <row r="236" spans="1:27" s="145" customFormat="1" ht="36" customHeight="1" x14ac:dyDescent="0.25">
      <c r="A236" s="119" t="s">
        <v>20</v>
      </c>
      <c r="B236" s="139">
        <v>244048</v>
      </c>
      <c r="C236" s="119" t="s">
        <v>14</v>
      </c>
      <c r="D236" s="166">
        <v>680181</v>
      </c>
      <c r="E236" s="119" t="s">
        <v>939</v>
      </c>
      <c r="F236" s="190">
        <v>68030538</v>
      </c>
      <c r="G236" s="119" t="s">
        <v>955</v>
      </c>
      <c r="H236" s="187" t="s">
        <v>227</v>
      </c>
      <c r="I236" s="154" t="s">
        <v>941</v>
      </c>
      <c r="J236" s="146">
        <v>109.25</v>
      </c>
      <c r="K236" s="119" t="s">
        <v>200</v>
      </c>
      <c r="L236" s="146">
        <v>9.25</v>
      </c>
      <c r="M236" s="119" t="s">
        <v>956</v>
      </c>
      <c r="N236" s="119" t="s">
        <v>93</v>
      </c>
      <c r="O236" s="141">
        <f t="shared" si="164"/>
        <v>244048</v>
      </c>
      <c r="P236" s="141">
        <f t="shared" si="165"/>
        <v>244055</v>
      </c>
      <c r="Q236" s="141">
        <f t="shared" si="166"/>
        <v>244050</v>
      </c>
      <c r="R236" s="139" t="s">
        <v>55</v>
      </c>
      <c r="S236" s="143">
        <v>244056</v>
      </c>
      <c r="T236" s="139" t="s">
        <v>55</v>
      </c>
      <c r="U236" s="143">
        <v>244056</v>
      </c>
      <c r="V236" s="139" t="s">
        <v>55</v>
      </c>
      <c r="W236" s="143">
        <v>244056</v>
      </c>
      <c r="X236" s="139"/>
      <c r="Y236" s="141"/>
      <c r="Z236" s="119" t="s">
        <v>965</v>
      </c>
      <c r="AA236" s="144">
        <f t="shared" si="187"/>
        <v>1</v>
      </c>
    </row>
    <row r="237" spans="1:27" s="145" customFormat="1" ht="36" customHeight="1" x14ac:dyDescent="0.25">
      <c r="A237" s="119" t="s">
        <v>20</v>
      </c>
      <c r="B237" s="139">
        <v>244049</v>
      </c>
      <c r="C237" s="119" t="s">
        <v>14</v>
      </c>
      <c r="D237" s="166">
        <v>680182</v>
      </c>
      <c r="E237" s="119" t="s">
        <v>939</v>
      </c>
      <c r="F237" s="190">
        <v>68030632</v>
      </c>
      <c r="G237" s="119" t="s">
        <v>957</v>
      </c>
      <c r="H237" s="187" t="s">
        <v>227</v>
      </c>
      <c r="I237" s="154" t="s">
        <v>941</v>
      </c>
      <c r="J237" s="146">
        <v>106.94</v>
      </c>
      <c r="K237" s="119" t="s">
        <v>200</v>
      </c>
      <c r="L237" s="146">
        <v>6.94</v>
      </c>
      <c r="M237" s="119" t="s">
        <v>958</v>
      </c>
      <c r="N237" s="119" t="s">
        <v>93</v>
      </c>
      <c r="O237" s="141">
        <f t="shared" si="164"/>
        <v>244049</v>
      </c>
      <c r="P237" s="141">
        <f t="shared" si="165"/>
        <v>244056</v>
      </c>
      <c r="Q237" s="141">
        <f t="shared" si="166"/>
        <v>244051</v>
      </c>
      <c r="R237" s="139" t="s">
        <v>55</v>
      </c>
      <c r="S237" s="143">
        <v>244056</v>
      </c>
      <c r="T237" s="139" t="s">
        <v>55</v>
      </c>
      <c r="U237" s="143">
        <v>244056</v>
      </c>
      <c r="V237" s="139" t="s">
        <v>55</v>
      </c>
      <c r="W237" s="143">
        <v>244056</v>
      </c>
      <c r="X237" s="139"/>
      <c r="Y237" s="141"/>
      <c r="Z237" s="119" t="s">
        <v>965</v>
      </c>
      <c r="AA237" s="144">
        <f t="shared" si="187"/>
        <v>0</v>
      </c>
    </row>
    <row r="238" spans="1:27" s="145" customFormat="1" ht="36" customHeight="1" x14ac:dyDescent="0.25">
      <c r="A238" s="119" t="s">
        <v>20</v>
      </c>
      <c r="B238" s="139">
        <v>244049</v>
      </c>
      <c r="C238" s="119" t="s">
        <v>14</v>
      </c>
      <c r="D238" s="166">
        <v>680183</v>
      </c>
      <c r="E238" s="119" t="s">
        <v>420</v>
      </c>
      <c r="F238" s="190">
        <v>68030624</v>
      </c>
      <c r="G238" s="119" t="s">
        <v>960</v>
      </c>
      <c r="H238" s="187" t="s">
        <v>276</v>
      </c>
      <c r="I238" s="154" t="s">
        <v>422</v>
      </c>
      <c r="J238" s="146">
        <v>128.36000000000001</v>
      </c>
      <c r="K238" s="119" t="s">
        <v>207</v>
      </c>
      <c r="L238" s="146">
        <f>J238-125</f>
        <v>3.3600000000000136</v>
      </c>
      <c r="M238" s="119" t="s">
        <v>959</v>
      </c>
      <c r="N238" s="119" t="s">
        <v>93</v>
      </c>
      <c r="O238" s="141">
        <f t="shared" si="164"/>
        <v>244049</v>
      </c>
      <c r="P238" s="141">
        <f t="shared" si="165"/>
        <v>244056</v>
      </c>
      <c r="Q238" s="141">
        <f t="shared" si="166"/>
        <v>244051</v>
      </c>
      <c r="R238" s="139" t="s">
        <v>55</v>
      </c>
      <c r="S238" s="143">
        <v>244056</v>
      </c>
      <c r="T238" s="139" t="s">
        <v>55</v>
      </c>
      <c r="U238" s="143">
        <v>244056</v>
      </c>
      <c r="V238" s="139" t="s">
        <v>55</v>
      </c>
      <c r="W238" s="143">
        <v>244056</v>
      </c>
      <c r="X238" s="139"/>
      <c r="Y238" s="141"/>
      <c r="Z238" s="119" t="s">
        <v>966</v>
      </c>
      <c r="AA238" s="144">
        <f t="shared" si="187"/>
        <v>0</v>
      </c>
    </row>
    <row r="239" spans="1:27" s="145" customFormat="1" ht="36" customHeight="1" x14ac:dyDescent="0.25">
      <c r="A239" s="119" t="s">
        <v>20</v>
      </c>
      <c r="B239" s="139">
        <v>244050</v>
      </c>
      <c r="C239" s="119" t="s">
        <v>14</v>
      </c>
      <c r="D239" s="166">
        <v>680184</v>
      </c>
      <c r="E239" s="119" t="s">
        <v>307</v>
      </c>
      <c r="F239" s="190">
        <v>68030730</v>
      </c>
      <c r="G239" s="119" t="s">
        <v>961</v>
      </c>
      <c r="H239" s="187" t="s">
        <v>280</v>
      </c>
      <c r="I239" s="147" t="s">
        <v>442</v>
      </c>
      <c r="J239" s="146" t="s">
        <v>557</v>
      </c>
      <c r="K239" s="146" t="s">
        <v>557</v>
      </c>
      <c r="L239" s="146" t="s">
        <v>69</v>
      </c>
      <c r="M239" s="119" t="s">
        <v>962</v>
      </c>
      <c r="N239" s="119" t="s">
        <v>93</v>
      </c>
      <c r="O239" s="141">
        <f t="shared" si="164"/>
        <v>244050</v>
      </c>
      <c r="P239" s="141">
        <f t="shared" si="165"/>
        <v>244057</v>
      </c>
      <c r="Q239" s="141">
        <f t="shared" si="166"/>
        <v>244052</v>
      </c>
      <c r="R239" s="139" t="s">
        <v>55</v>
      </c>
      <c r="S239" s="143">
        <v>244056</v>
      </c>
      <c r="T239" s="139" t="s">
        <v>55</v>
      </c>
      <c r="U239" s="143">
        <v>244056</v>
      </c>
      <c r="V239" s="139" t="s">
        <v>55</v>
      </c>
      <c r="W239" s="143">
        <v>244053</v>
      </c>
      <c r="X239" s="139"/>
      <c r="Y239" s="141"/>
      <c r="Z239" s="119" t="s">
        <v>559</v>
      </c>
      <c r="AA239" s="144"/>
    </row>
    <row r="240" spans="1:27" s="145" customFormat="1" ht="36" customHeight="1" x14ac:dyDescent="0.25">
      <c r="A240" s="119" t="s">
        <v>20</v>
      </c>
      <c r="B240" s="139">
        <v>244051</v>
      </c>
      <c r="C240" s="119" t="s">
        <v>14</v>
      </c>
      <c r="D240" s="166">
        <v>680185</v>
      </c>
      <c r="E240" s="119" t="s">
        <v>420</v>
      </c>
      <c r="F240" s="190">
        <v>68030833</v>
      </c>
      <c r="G240" s="119" t="s">
        <v>963</v>
      </c>
      <c r="H240" s="187" t="s">
        <v>290</v>
      </c>
      <c r="I240" s="154" t="s">
        <v>422</v>
      </c>
      <c r="J240" s="146">
        <v>119.44</v>
      </c>
      <c r="K240" s="119" t="s">
        <v>201</v>
      </c>
      <c r="L240" s="146">
        <f>122-J240</f>
        <v>2.5600000000000023</v>
      </c>
      <c r="M240" s="119" t="s">
        <v>964</v>
      </c>
      <c r="N240" s="119" t="s">
        <v>93</v>
      </c>
      <c r="O240" s="141">
        <f t="shared" si="164"/>
        <v>244051</v>
      </c>
      <c r="P240" s="141">
        <f t="shared" si="165"/>
        <v>244058</v>
      </c>
      <c r="Q240" s="141">
        <f t="shared" si="166"/>
        <v>244053</v>
      </c>
      <c r="R240" s="139" t="s">
        <v>55</v>
      </c>
      <c r="S240" s="143">
        <v>244056</v>
      </c>
      <c r="T240" s="139" t="s">
        <v>55</v>
      </c>
      <c r="U240" s="143">
        <v>244056</v>
      </c>
      <c r="V240" s="139" t="s">
        <v>55</v>
      </c>
      <c r="W240" s="143">
        <v>244056</v>
      </c>
      <c r="X240" s="139"/>
      <c r="Y240" s="141"/>
      <c r="Z240" s="119" t="s">
        <v>966</v>
      </c>
      <c r="AA240" s="144"/>
    </row>
    <row r="241" spans="1:27" s="145" customFormat="1" ht="36" customHeight="1" x14ac:dyDescent="0.25">
      <c r="A241" s="119" t="s">
        <v>20</v>
      </c>
      <c r="B241" s="139">
        <v>244054</v>
      </c>
      <c r="C241" s="119" t="s">
        <v>14</v>
      </c>
      <c r="D241" s="166">
        <v>680186</v>
      </c>
      <c r="E241" s="119" t="s">
        <v>307</v>
      </c>
      <c r="F241" s="190">
        <v>68031119</v>
      </c>
      <c r="G241" s="119" t="s">
        <v>968</v>
      </c>
      <c r="H241" s="187" t="s">
        <v>280</v>
      </c>
      <c r="I241" s="147" t="s">
        <v>442</v>
      </c>
      <c r="J241" s="146" t="s">
        <v>557</v>
      </c>
      <c r="K241" s="146" t="s">
        <v>557</v>
      </c>
      <c r="L241" s="146" t="s">
        <v>69</v>
      </c>
      <c r="M241" s="150" t="s">
        <v>969</v>
      </c>
      <c r="N241" s="119" t="s">
        <v>93</v>
      </c>
      <c r="O241" s="141">
        <f t="shared" si="164"/>
        <v>244054</v>
      </c>
      <c r="P241" s="141">
        <f t="shared" si="165"/>
        <v>244061</v>
      </c>
      <c r="Q241" s="141">
        <f t="shared" si="166"/>
        <v>244056</v>
      </c>
      <c r="R241" s="139" t="s">
        <v>55</v>
      </c>
      <c r="S241" s="143">
        <v>244057</v>
      </c>
      <c r="T241" s="139" t="s">
        <v>55</v>
      </c>
      <c r="U241" s="143">
        <v>244060</v>
      </c>
      <c r="V241" s="139" t="s">
        <v>55</v>
      </c>
      <c r="W241" s="143">
        <v>244054</v>
      </c>
      <c r="X241" s="139"/>
      <c r="Y241" s="141"/>
      <c r="Z241" s="119" t="s">
        <v>970</v>
      </c>
      <c r="AA241" s="144"/>
    </row>
    <row r="242" spans="1:27" s="145" customFormat="1" ht="36" customHeight="1" x14ac:dyDescent="0.25">
      <c r="A242" s="119" t="s">
        <v>20</v>
      </c>
      <c r="B242" s="139">
        <v>244056</v>
      </c>
      <c r="C242" s="119" t="s">
        <v>14</v>
      </c>
      <c r="D242" s="166">
        <v>680187</v>
      </c>
      <c r="E242" s="119" t="s">
        <v>872</v>
      </c>
      <c r="F242" s="190">
        <v>68031317</v>
      </c>
      <c r="G242" s="119" t="s">
        <v>971</v>
      </c>
      <c r="H242" s="187" t="s">
        <v>280</v>
      </c>
      <c r="I242" s="147" t="s">
        <v>845</v>
      </c>
      <c r="J242" s="146">
        <v>60.91</v>
      </c>
      <c r="K242" s="119" t="s">
        <v>200</v>
      </c>
      <c r="L242" s="146">
        <v>0.91</v>
      </c>
      <c r="M242" s="119" t="s">
        <v>972</v>
      </c>
      <c r="N242" s="119" t="s">
        <v>93</v>
      </c>
      <c r="O242" s="141">
        <f t="shared" si="164"/>
        <v>244056</v>
      </c>
      <c r="P242" s="141">
        <f t="shared" si="165"/>
        <v>244063</v>
      </c>
      <c r="Q242" s="141">
        <f t="shared" si="166"/>
        <v>244058</v>
      </c>
      <c r="R242" s="139" t="s">
        <v>55</v>
      </c>
      <c r="S242" s="143">
        <v>244061</v>
      </c>
      <c r="T242" s="139" t="s">
        <v>55</v>
      </c>
      <c r="U242" s="143">
        <v>244062</v>
      </c>
      <c r="V242" s="139" t="s">
        <v>55</v>
      </c>
      <c r="W242" s="143">
        <v>244062</v>
      </c>
      <c r="X242" s="119"/>
      <c r="Y242" s="141"/>
      <c r="Z242" s="119" t="s">
        <v>872</v>
      </c>
      <c r="AA242" s="144">
        <v>0</v>
      </c>
    </row>
    <row r="243" spans="1:27" s="145" customFormat="1" ht="36" customHeight="1" x14ac:dyDescent="0.25">
      <c r="A243" s="119" t="s">
        <v>20</v>
      </c>
      <c r="B243" s="139">
        <v>244056</v>
      </c>
      <c r="C243" s="119" t="s">
        <v>11</v>
      </c>
      <c r="D243" s="166">
        <v>680188</v>
      </c>
      <c r="E243" s="119" t="s">
        <v>779</v>
      </c>
      <c r="F243" s="190" t="s">
        <v>973</v>
      </c>
      <c r="G243" s="119">
        <v>680313</v>
      </c>
      <c r="H243" s="187" t="s">
        <v>39</v>
      </c>
      <c r="I243" s="147" t="s">
        <v>76</v>
      </c>
      <c r="J243" s="146">
        <v>843</v>
      </c>
      <c r="K243" s="209" t="s">
        <v>124</v>
      </c>
      <c r="L243" s="146">
        <v>23</v>
      </c>
      <c r="M243" s="257">
        <v>218.6</v>
      </c>
      <c r="N243" s="257" t="s">
        <v>53</v>
      </c>
      <c r="O243" s="141">
        <f t="shared" ref="O243" si="199">B243</f>
        <v>244056</v>
      </c>
      <c r="P243" s="141">
        <f t="shared" ref="P243" si="200">B243+7</f>
        <v>244063</v>
      </c>
      <c r="Q243" s="141">
        <f t="shared" ref="Q243" si="201">O243+2</f>
        <v>244058</v>
      </c>
      <c r="R243" s="139" t="s">
        <v>55</v>
      </c>
      <c r="S243" s="143">
        <v>244057</v>
      </c>
      <c r="T243" s="139" t="s">
        <v>55</v>
      </c>
      <c r="U243" s="143">
        <v>244060</v>
      </c>
      <c r="V243" s="139" t="s">
        <v>55</v>
      </c>
      <c r="W243" s="143">
        <v>244056</v>
      </c>
      <c r="X243" s="139"/>
      <c r="Y243" s="141"/>
      <c r="Z243" s="119" t="s">
        <v>976</v>
      </c>
      <c r="AA243" s="144"/>
    </row>
    <row r="244" spans="1:27" s="145" customFormat="1" ht="36.75" customHeight="1" x14ac:dyDescent="0.25">
      <c r="A244" s="119" t="s">
        <v>20</v>
      </c>
      <c r="B244" s="139">
        <v>244056</v>
      </c>
      <c r="C244" s="119" t="s">
        <v>11</v>
      </c>
      <c r="D244" s="166">
        <v>680188</v>
      </c>
      <c r="E244" s="119" t="s">
        <v>779</v>
      </c>
      <c r="F244" s="190" t="s">
        <v>973</v>
      </c>
      <c r="G244" s="119">
        <v>680313</v>
      </c>
      <c r="H244" s="187" t="s">
        <v>39</v>
      </c>
      <c r="I244" s="147" t="s">
        <v>61</v>
      </c>
      <c r="J244" s="146">
        <v>63</v>
      </c>
      <c r="K244" s="210" t="s">
        <v>62</v>
      </c>
      <c r="L244" s="146">
        <v>33</v>
      </c>
      <c r="M244" s="258"/>
      <c r="N244" s="258"/>
      <c r="O244" s="141">
        <f t="shared" si="164"/>
        <v>244056</v>
      </c>
      <c r="P244" s="141">
        <f t="shared" si="165"/>
        <v>244063</v>
      </c>
      <c r="Q244" s="141">
        <f t="shared" si="166"/>
        <v>244058</v>
      </c>
      <c r="R244" s="139" t="s">
        <v>55</v>
      </c>
      <c r="S244" s="143">
        <v>244057</v>
      </c>
      <c r="T244" s="139" t="s">
        <v>55</v>
      </c>
      <c r="U244" s="143">
        <v>244060</v>
      </c>
      <c r="V244" s="139" t="s">
        <v>55</v>
      </c>
      <c r="W244" s="143">
        <v>244056</v>
      </c>
      <c r="X244" s="119"/>
      <c r="Y244" s="141"/>
      <c r="Z244" s="119" t="s">
        <v>976</v>
      </c>
      <c r="AA244" s="144">
        <f t="shared" ref="AA244:AA245" si="202">W244-P244</f>
        <v>-7</v>
      </c>
    </row>
    <row r="245" spans="1:27" s="145" customFormat="1" ht="36.75" customHeight="1" x14ac:dyDescent="0.25">
      <c r="A245" s="119" t="s">
        <v>20</v>
      </c>
      <c r="B245" s="139">
        <v>244057</v>
      </c>
      <c r="C245" s="119" t="s">
        <v>11</v>
      </c>
      <c r="D245" s="166">
        <v>680189</v>
      </c>
      <c r="E245" s="119" t="s">
        <v>779</v>
      </c>
      <c r="F245" s="190" t="s">
        <v>973</v>
      </c>
      <c r="G245" s="119">
        <v>680313</v>
      </c>
      <c r="H245" s="187" t="s">
        <v>39</v>
      </c>
      <c r="I245" s="147" t="s">
        <v>978</v>
      </c>
      <c r="J245" s="146">
        <v>831</v>
      </c>
      <c r="K245" s="119" t="s">
        <v>123</v>
      </c>
      <c r="L245" s="146">
        <v>11</v>
      </c>
      <c r="M245" s="257" t="s">
        <v>979</v>
      </c>
      <c r="N245" s="257" t="s">
        <v>53</v>
      </c>
      <c r="O245" s="141">
        <f t="shared" si="164"/>
        <v>244057</v>
      </c>
      <c r="P245" s="141">
        <f t="shared" si="165"/>
        <v>244064</v>
      </c>
      <c r="Q245" s="141">
        <f t="shared" si="166"/>
        <v>244059</v>
      </c>
      <c r="R245" s="139" t="s">
        <v>55</v>
      </c>
      <c r="S245" s="143">
        <v>244061</v>
      </c>
      <c r="T245" s="139" t="s">
        <v>55</v>
      </c>
      <c r="U245" s="143">
        <v>244061</v>
      </c>
      <c r="V245" s="139"/>
      <c r="W245" s="143"/>
      <c r="X245" s="119"/>
      <c r="Y245" s="141"/>
      <c r="Z245" s="119"/>
      <c r="AA245" s="144">
        <f t="shared" si="202"/>
        <v>-244064</v>
      </c>
    </row>
    <row r="246" spans="1:27" s="145" customFormat="1" ht="36.75" customHeight="1" x14ac:dyDescent="0.25">
      <c r="A246" s="119" t="s">
        <v>20</v>
      </c>
      <c r="B246" s="139">
        <v>244057</v>
      </c>
      <c r="C246" s="119" t="s">
        <v>11</v>
      </c>
      <c r="D246" s="166">
        <v>680189</v>
      </c>
      <c r="E246" s="119" t="s">
        <v>779</v>
      </c>
      <c r="F246" s="190" t="s">
        <v>973</v>
      </c>
      <c r="G246" s="119">
        <v>680313</v>
      </c>
      <c r="H246" s="187" t="s">
        <v>39</v>
      </c>
      <c r="I246" s="147" t="s">
        <v>61</v>
      </c>
      <c r="J246" s="146">
        <v>48</v>
      </c>
      <c r="K246" s="119" t="s">
        <v>62</v>
      </c>
      <c r="L246" s="212">
        <v>18</v>
      </c>
      <c r="M246" s="258"/>
      <c r="N246" s="258"/>
      <c r="O246" s="141">
        <f t="shared" ref="O246" si="203">B246</f>
        <v>244057</v>
      </c>
      <c r="P246" s="141">
        <f t="shared" ref="P246" si="204">B246+7</f>
        <v>244064</v>
      </c>
      <c r="Q246" s="141">
        <f t="shared" ref="Q246" si="205">O246+2</f>
        <v>244059</v>
      </c>
      <c r="R246" s="139" t="s">
        <v>55</v>
      </c>
      <c r="S246" s="143">
        <v>244061</v>
      </c>
      <c r="T246" s="139" t="s">
        <v>55</v>
      </c>
      <c r="U246" s="143">
        <v>244061</v>
      </c>
      <c r="V246" s="139"/>
      <c r="W246" s="143"/>
      <c r="X246" s="119"/>
      <c r="Y246" s="141"/>
      <c r="Z246" s="119"/>
      <c r="AA246" s="144">
        <f t="shared" ref="AA246" si="206">W246-P246</f>
        <v>-244064</v>
      </c>
    </row>
    <row r="247" spans="1:27" s="145" customFormat="1" ht="36.75" customHeight="1" x14ac:dyDescent="0.25">
      <c r="A247" s="119" t="s">
        <v>20</v>
      </c>
      <c r="B247" s="139">
        <v>244057</v>
      </c>
      <c r="C247" s="119" t="s">
        <v>14</v>
      </c>
      <c r="D247" s="166">
        <v>680190</v>
      </c>
      <c r="E247" s="119" t="s">
        <v>307</v>
      </c>
      <c r="F247" s="190">
        <v>68031401</v>
      </c>
      <c r="G247" s="119" t="s">
        <v>974</v>
      </c>
      <c r="H247" s="187" t="s">
        <v>214</v>
      </c>
      <c r="I247" s="147" t="s">
        <v>732</v>
      </c>
      <c r="J247" s="146" t="s">
        <v>918</v>
      </c>
      <c r="K247" s="146" t="s">
        <v>918</v>
      </c>
      <c r="L247" s="146" t="s">
        <v>69</v>
      </c>
      <c r="M247" s="119" t="s">
        <v>975</v>
      </c>
      <c r="N247" s="119" t="s">
        <v>93</v>
      </c>
      <c r="O247" s="141">
        <f t="shared" si="164"/>
        <v>244057</v>
      </c>
      <c r="P247" s="141">
        <f t="shared" si="165"/>
        <v>244064</v>
      </c>
      <c r="Q247" s="141">
        <f t="shared" si="166"/>
        <v>244059</v>
      </c>
      <c r="R247" s="139" t="s">
        <v>55</v>
      </c>
      <c r="S247" s="143">
        <v>244061</v>
      </c>
      <c r="T247" s="139" t="s">
        <v>55</v>
      </c>
      <c r="U247" s="143">
        <v>244062</v>
      </c>
      <c r="V247" s="139" t="s">
        <v>55</v>
      </c>
      <c r="W247" s="143">
        <v>244057</v>
      </c>
      <c r="X247" s="119"/>
      <c r="Y247" s="141"/>
      <c r="Z247" s="119" t="s">
        <v>977</v>
      </c>
      <c r="AA247" s="144">
        <f t="shared" si="187"/>
        <v>-7</v>
      </c>
    </row>
    <row r="248" spans="1:27" s="145" customFormat="1" ht="36.75" customHeight="1" x14ac:dyDescent="0.25">
      <c r="A248" s="119" t="s">
        <v>20</v>
      </c>
      <c r="B248" s="139">
        <v>244057</v>
      </c>
      <c r="C248" s="119" t="s">
        <v>13</v>
      </c>
      <c r="D248" s="166">
        <v>680191</v>
      </c>
      <c r="E248" s="119" t="s">
        <v>980</v>
      </c>
      <c r="F248" s="190">
        <v>67071305</v>
      </c>
      <c r="G248" s="119">
        <v>680332</v>
      </c>
      <c r="H248" s="187" t="s">
        <v>394</v>
      </c>
      <c r="I248" s="147" t="s">
        <v>981</v>
      </c>
      <c r="J248" s="146">
        <v>111.33</v>
      </c>
      <c r="K248" s="119" t="s">
        <v>201</v>
      </c>
      <c r="L248" s="146">
        <v>8.67</v>
      </c>
      <c r="M248" s="119" t="s">
        <v>982</v>
      </c>
      <c r="N248" s="119" t="s">
        <v>93</v>
      </c>
      <c r="O248" s="141">
        <f t="shared" si="164"/>
        <v>244057</v>
      </c>
      <c r="P248" s="141">
        <f t="shared" si="165"/>
        <v>244064</v>
      </c>
      <c r="Q248" s="141">
        <f t="shared" si="166"/>
        <v>244059</v>
      </c>
      <c r="R248" s="139"/>
      <c r="S248" s="143"/>
      <c r="T248" s="139"/>
      <c r="U248" s="143">
        <v>244078</v>
      </c>
      <c r="V248" s="139" t="s">
        <v>55</v>
      </c>
      <c r="W248" s="143">
        <v>244078</v>
      </c>
      <c r="X248" s="119"/>
      <c r="Y248" s="141"/>
      <c r="Z248" s="119" t="s">
        <v>1046</v>
      </c>
      <c r="AA248" s="144">
        <f t="shared" ref="AA248" si="207">W248-P248</f>
        <v>14</v>
      </c>
    </row>
    <row r="249" spans="1:27" s="145" customFormat="1" ht="36.75" customHeight="1" x14ac:dyDescent="0.25">
      <c r="A249" s="119" t="s">
        <v>20</v>
      </c>
      <c r="B249" s="139">
        <v>244057</v>
      </c>
      <c r="C249" s="119" t="s">
        <v>11</v>
      </c>
      <c r="D249" s="166">
        <v>680192</v>
      </c>
      <c r="E249" s="119" t="s">
        <v>983</v>
      </c>
      <c r="F249" s="190" t="s">
        <v>984</v>
      </c>
      <c r="G249" s="119">
        <v>680312</v>
      </c>
      <c r="H249" s="187" t="s">
        <v>135</v>
      </c>
      <c r="I249" s="147" t="s">
        <v>75</v>
      </c>
      <c r="J249" s="146">
        <v>3.98</v>
      </c>
      <c r="K249" s="119" t="s">
        <v>125</v>
      </c>
      <c r="L249" s="146">
        <v>0.06</v>
      </c>
      <c r="M249" s="257" t="s">
        <v>985</v>
      </c>
      <c r="N249" s="257" t="s">
        <v>53</v>
      </c>
      <c r="O249" s="141">
        <f t="shared" si="164"/>
        <v>244057</v>
      </c>
      <c r="P249" s="141">
        <f t="shared" si="165"/>
        <v>244064</v>
      </c>
      <c r="Q249" s="141">
        <f t="shared" si="166"/>
        <v>244059</v>
      </c>
      <c r="R249" s="139" t="s">
        <v>55</v>
      </c>
      <c r="S249" s="143">
        <v>244061</v>
      </c>
      <c r="T249" s="139" t="s">
        <v>55</v>
      </c>
      <c r="U249" s="143">
        <v>244061</v>
      </c>
      <c r="V249" s="139"/>
      <c r="W249" s="143"/>
      <c r="X249" s="119"/>
      <c r="Y249" s="141"/>
      <c r="Z249" s="119"/>
      <c r="AA249" s="144">
        <f t="shared" si="187"/>
        <v>-244064</v>
      </c>
    </row>
    <row r="250" spans="1:27" s="145" customFormat="1" ht="36.75" customHeight="1" x14ac:dyDescent="0.25">
      <c r="A250" s="119" t="s">
        <v>20</v>
      </c>
      <c r="B250" s="139">
        <v>244057</v>
      </c>
      <c r="C250" s="119" t="s">
        <v>11</v>
      </c>
      <c r="D250" s="166">
        <v>680192</v>
      </c>
      <c r="E250" s="119" t="s">
        <v>983</v>
      </c>
      <c r="F250" s="190" t="s">
        <v>984</v>
      </c>
      <c r="G250" s="119">
        <v>680312</v>
      </c>
      <c r="H250" s="187" t="s">
        <v>135</v>
      </c>
      <c r="I250" s="147" t="s">
        <v>85</v>
      </c>
      <c r="J250" s="146">
        <v>4.2300000000000004</v>
      </c>
      <c r="K250" s="119" t="s">
        <v>127</v>
      </c>
      <c r="L250" s="146">
        <v>7.0000000000000007E-2</v>
      </c>
      <c r="M250" s="258"/>
      <c r="N250" s="258"/>
      <c r="O250" s="141">
        <f t="shared" ref="O250" si="208">B250</f>
        <v>244057</v>
      </c>
      <c r="P250" s="141">
        <f t="shared" ref="P250" si="209">B250+7</f>
        <v>244064</v>
      </c>
      <c r="Q250" s="141">
        <f t="shared" ref="Q250" si="210">O250+2</f>
        <v>244059</v>
      </c>
      <c r="R250" s="139" t="s">
        <v>55</v>
      </c>
      <c r="S250" s="143">
        <v>244061</v>
      </c>
      <c r="T250" s="139" t="s">
        <v>55</v>
      </c>
      <c r="U250" s="143">
        <v>244061</v>
      </c>
      <c r="V250" s="139"/>
      <c r="W250" s="143"/>
      <c r="X250" s="119"/>
      <c r="Y250" s="141"/>
      <c r="Z250" s="119"/>
      <c r="AA250" s="144">
        <f t="shared" ref="AA250" si="211">W250-P250</f>
        <v>-244064</v>
      </c>
    </row>
    <row r="251" spans="1:27" s="145" customFormat="1" ht="36.75" customHeight="1" x14ac:dyDescent="0.25">
      <c r="A251" s="119" t="s">
        <v>20</v>
      </c>
      <c r="B251" s="139">
        <v>244058</v>
      </c>
      <c r="C251" s="119" t="s">
        <v>14</v>
      </c>
      <c r="D251" s="166">
        <v>680193</v>
      </c>
      <c r="E251" s="119" t="s">
        <v>413</v>
      </c>
      <c r="F251" s="190">
        <v>68031511</v>
      </c>
      <c r="G251" s="119" t="s">
        <v>986</v>
      </c>
      <c r="H251" s="187" t="s">
        <v>217</v>
      </c>
      <c r="I251" s="147" t="s">
        <v>415</v>
      </c>
      <c r="J251" s="146">
        <v>83.61</v>
      </c>
      <c r="K251" s="119" t="s">
        <v>200</v>
      </c>
      <c r="L251" s="146">
        <f>J251-80</f>
        <v>3.6099999999999994</v>
      </c>
      <c r="M251" s="119" t="s">
        <v>987</v>
      </c>
      <c r="N251" s="119" t="s">
        <v>93</v>
      </c>
      <c r="O251" s="141">
        <f t="shared" si="164"/>
        <v>244058</v>
      </c>
      <c r="P251" s="141">
        <f t="shared" si="165"/>
        <v>244065</v>
      </c>
      <c r="Q251" s="141">
        <f t="shared" si="166"/>
        <v>244060</v>
      </c>
      <c r="R251" s="139" t="s">
        <v>55</v>
      </c>
      <c r="S251" s="143">
        <v>244061</v>
      </c>
      <c r="T251" s="139" t="s">
        <v>55</v>
      </c>
      <c r="U251" s="143">
        <v>244062</v>
      </c>
      <c r="V251" s="139" t="s">
        <v>55</v>
      </c>
      <c r="W251" s="143">
        <v>244062</v>
      </c>
      <c r="X251" s="119"/>
      <c r="Y251" s="141"/>
      <c r="Z251" s="119" t="s">
        <v>413</v>
      </c>
      <c r="AA251" s="144">
        <f t="shared" si="187"/>
        <v>-3</v>
      </c>
    </row>
    <row r="252" spans="1:27" s="145" customFormat="1" ht="36.75" customHeight="1" x14ac:dyDescent="0.25">
      <c r="A252" s="119" t="s">
        <v>20</v>
      </c>
      <c r="B252" s="139">
        <v>244058</v>
      </c>
      <c r="C252" s="119" t="s">
        <v>14</v>
      </c>
      <c r="D252" s="166">
        <v>680194</v>
      </c>
      <c r="E252" s="119" t="s">
        <v>872</v>
      </c>
      <c r="F252" s="190">
        <v>68031524</v>
      </c>
      <c r="G252" s="119" t="s">
        <v>988</v>
      </c>
      <c r="H252" s="187" t="s">
        <v>280</v>
      </c>
      <c r="I252" s="147" t="s">
        <v>845</v>
      </c>
      <c r="J252" s="119">
        <v>62.11</v>
      </c>
      <c r="K252" s="119" t="s">
        <v>200</v>
      </c>
      <c r="L252" s="119">
        <v>2.11</v>
      </c>
      <c r="M252" s="119" t="s">
        <v>989</v>
      </c>
      <c r="N252" s="119" t="s">
        <v>93</v>
      </c>
      <c r="O252" s="141">
        <f t="shared" ref="O252" si="212">B252</f>
        <v>244058</v>
      </c>
      <c r="P252" s="141">
        <f t="shared" ref="P252" si="213">B252+7</f>
        <v>244065</v>
      </c>
      <c r="Q252" s="141">
        <f t="shared" ref="Q252" si="214">O252+2</f>
        <v>244060</v>
      </c>
      <c r="R252" s="139" t="s">
        <v>55</v>
      </c>
      <c r="S252" s="143">
        <v>244061</v>
      </c>
      <c r="T252" s="139" t="s">
        <v>55</v>
      </c>
      <c r="U252" s="143">
        <v>244062</v>
      </c>
      <c r="V252" s="139" t="s">
        <v>55</v>
      </c>
      <c r="W252" s="143">
        <v>244060</v>
      </c>
      <c r="X252" s="119"/>
      <c r="Y252" s="141"/>
      <c r="Z252" s="119" t="s">
        <v>994</v>
      </c>
      <c r="AA252" s="144">
        <f t="shared" ref="AA252" si="215">W252-P252</f>
        <v>-5</v>
      </c>
    </row>
    <row r="253" spans="1:27" s="145" customFormat="1" ht="36.75" customHeight="1" x14ac:dyDescent="0.25">
      <c r="A253" s="119" t="s">
        <v>20</v>
      </c>
      <c r="B253" s="139">
        <v>244058</v>
      </c>
      <c r="C253" s="119" t="s">
        <v>14</v>
      </c>
      <c r="D253" s="166">
        <v>680194</v>
      </c>
      <c r="E253" s="119" t="s">
        <v>872</v>
      </c>
      <c r="F253" s="190">
        <v>68031546</v>
      </c>
      <c r="G253" s="119" t="s">
        <v>990</v>
      </c>
      <c r="H253" s="187" t="s">
        <v>269</v>
      </c>
      <c r="I253" s="147" t="s">
        <v>845</v>
      </c>
      <c r="J253" s="146">
        <v>61</v>
      </c>
      <c r="K253" s="119" t="s">
        <v>200</v>
      </c>
      <c r="L253" s="146">
        <v>1</v>
      </c>
      <c r="M253" s="119" t="s">
        <v>991</v>
      </c>
      <c r="N253" s="119" t="s">
        <v>93</v>
      </c>
      <c r="O253" s="141">
        <f t="shared" ref="O253:O318" si="216">B253</f>
        <v>244058</v>
      </c>
      <c r="P253" s="141">
        <f t="shared" ref="P253:P318" si="217">B253+7</f>
        <v>244065</v>
      </c>
      <c r="Q253" s="141">
        <f t="shared" ref="Q253:Q318" si="218">O253+2</f>
        <v>244060</v>
      </c>
      <c r="R253" s="139" t="s">
        <v>55</v>
      </c>
      <c r="S253" s="143">
        <v>244061</v>
      </c>
      <c r="T253" s="139" t="s">
        <v>55</v>
      </c>
      <c r="U253" s="143">
        <v>244062</v>
      </c>
      <c r="V253" s="139" t="s">
        <v>55</v>
      </c>
      <c r="W253" s="143">
        <v>244060</v>
      </c>
      <c r="X253" s="119"/>
      <c r="Y253" s="141"/>
      <c r="Z253" s="119" t="s">
        <v>994</v>
      </c>
      <c r="AA253" s="144">
        <f t="shared" si="187"/>
        <v>-5</v>
      </c>
    </row>
    <row r="254" spans="1:27" s="145" customFormat="1" ht="36.75" customHeight="1" x14ac:dyDescent="0.25">
      <c r="A254" s="119" t="s">
        <v>20</v>
      </c>
      <c r="B254" s="139">
        <v>244059</v>
      </c>
      <c r="C254" s="119" t="s">
        <v>14</v>
      </c>
      <c r="D254" s="166">
        <v>680195</v>
      </c>
      <c r="E254" s="119" t="s">
        <v>413</v>
      </c>
      <c r="F254" s="190">
        <v>68031612</v>
      </c>
      <c r="G254" s="119" t="s">
        <v>992</v>
      </c>
      <c r="H254" s="187" t="s">
        <v>299</v>
      </c>
      <c r="I254" s="147" t="s">
        <v>415</v>
      </c>
      <c r="J254" s="119">
        <v>84.34</v>
      </c>
      <c r="K254" s="119" t="s">
        <v>207</v>
      </c>
      <c r="L254" s="119">
        <f>J254-80</f>
        <v>4.3400000000000034</v>
      </c>
      <c r="M254" s="119" t="s">
        <v>993</v>
      </c>
      <c r="N254" s="119" t="s">
        <v>93</v>
      </c>
      <c r="O254" s="141">
        <f t="shared" si="216"/>
        <v>244059</v>
      </c>
      <c r="P254" s="141">
        <f t="shared" si="217"/>
        <v>244066</v>
      </c>
      <c r="Q254" s="141">
        <f t="shared" si="218"/>
        <v>244061</v>
      </c>
      <c r="R254" s="139" t="s">
        <v>55</v>
      </c>
      <c r="S254" s="143">
        <v>244061</v>
      </c>
      <c r="T254" s="139" t="s">
        <v>55</v>
      </c>
      <c r="U254" s="143">
        <v>244062</v>
      </c>
      <c r="V254" s="139" t="s">
        <v>55</v>
      </c>
      <c r="W254" s="143">
        <v>244062</v>
      </c>
      <c r="X254" s="119"/>
      <c r="Y254" s="141"/>
      <c r="Z254" s="119" t="s">
        <v>413</v>
      </c>
      <c r="AA254" s="144">
        <f t="shared" ref="AA254" si="219">W254-P254</f>
        <v>-4</v>
      </c>
    </row>
    <row r="255" spans="1:27" s="145" customFormat="1" ht="36.75" customHeight="1" x14ac:dyDescent="0.25">
      <c r="A255" s="119" t="s">
        <v>20</v>
      </c>
      <c r="B255" s="139">
        <v>244061</v>
      </c>
      <c r="C255" s="119" t="s">
        <v>14</v>
      </c>
      <c r="D255" s="166">
        <v>680196</v>
      </c>
      <c r="E255" s="119" t="s">
        <v>413</v>
      </c>
      <c r="F255" s="190">
        <v>68031810</v>
      </c>
      <c r="G255" s="119" t="s">
        <v>995</v>
      </c>
      <c r="H255" s="187" t="s">
        <v>217</v>
      </c>
      <c r="I255" s="147" t="s">
        <v>415</v>
      </c>
      <c r="J255" s="119">
        <v>85.43</v>
      </c>
      <c r="K255" s="119" t="s">
        <v>207</v>
      </c>
      <c r="L255" s="119">
        <f>J255-80</f>
        <v>5.4300000000000068</v>
      </c>
      <c r="M255" s="119" t="s">
        <v>996</v>
      </c>
      <c r="N255" s="119" t="s">
        <v>93</v>
      </c>
      <c r="O255" s="141">
        <f t="shared" si="216"/>
        <v>244061</v>
      </c>
      <c r="P255" s="141">
        <f t="shared" si="217"/>
        <v>244068</v>
      </c>
      <c r="Q255" s="141">
        <f t="shared" si="218"/>
        <v>244063</v>
      </c>
      <c r="R255" s="139" t="s">
        <v>55</v>
      </c>
      <c r="S255" s="143">
        <v>244064</v>
      </c>
      <c r="T255" s="139" t="s">
        <v>55</v>
      </c>
      <c r="U255" s="143">
        <v>243987</v>
      </c>
      <c r="V255" s="139" t="s">
        <v>55</v>
      </c>
      <c r="W255" s="143">
        <v>244072</v>
      </c>
      <c r="X255" s="139"/>
      <c r="Y255" s="141"/>
      <c r="Z255" s="119" t="s">
        <v>1026</v>
      </c>
      <c r="AA255" s="144"/>
    </row>
    <row r="256" spans="1:27" s="145" customFormat="1" ht="36.75" customHeight="1" x14ac:dyDescent="0.25">
      <c r="A256" s="119" t="s">
        <v>20</v>
      </c>
      <c r="B256" s="139">
        <v>244062</v>
      </c>
      <c r="C256" s="119" t="s">
        <v>11</v>
      </c>
      <c r="D256" s="166">
        <v>680197</v>
      </c>
      <c r="E256" s="119" t="s">
        <v>733</v>
      </c>
      <c r="F256" s="190" t="s">
        <v>997</v>
      </c>
      <c r="G256" s="119">
        <v>680317</v>
      </c>
      <c r="H256" s="187" t="s">
        <v>135</v>
      </c>
      <c r="I256" s="147" t="s">
        <v>61</v>
      </c>
      <c r="J256" s="119">
        <v>52</v>
      </c>
      <c r="K256" s="119" t="s">
        <v>62</v>
      </c>
      <c r="L256" s="119">
        <v>22</v>
      </c>
      <c r="M256" s="119" t="s">
        <v>998</v>
      </c>
      <c r="N256" s="119" t="s">
        <v>53</v>
      </c>
      <c r="O256" s="141"/>
      <c r="P256" s="141"/>
      <c r="Q256" s="141"/>
      <c r="R256" s="139" t="s">
        <v>55</v>
      </c>
      <c r="S256" s="143">
        <v>244064</v>
      </c>
      <c r="T256" s="139" t="s">
        <v>55</v>
      </c>
      <c r="U256" s="143">
        <v>244074</v>
      </c>
      <c r="V256" s="139"/>
      <c r="W256" s="143"/>
      <c r="X256" s="139"/>
      <c r="Y256" s="141"/>
      <c r="Z256" s="119"/>
      <c r="AA256" s="144"/>
    </row>
    <row r="257" spans="1:27" s="145" customFormat="1" ht="36.75" customHeight="1" x14ac:dyDescent="0.25">
      <c r="A257" s="119" t="s">
        <v>20</v>
      </c>
      <c r="B257" s="139">
        <v>244062</v>
      </c>
      <c r="C257" s="119" t="s">
        <v>11</v>
      </c>
      <c r="D257" s="166">
        <v>680197</v>
      </c>
      <c r="E257" s="119" t="s">
        <v>733</v>
      </c>
      <c r="F257" s="190" t="s">
        <v>997</v>
      </c>
      <c r="G257" s="119">
        <v>680317</v>
      </c>
      <c r="H257" s="187" t="s">
        <v>135</v>
      </c>
      <c r="I257" s="147" t="s">
        <v>65</v>
      </c>
      <c r="J257" s="119">
        <v>37.22</v>
      </c>
      <c r="K257" s="119" t="s">
        <v>122</v>
      </c>
      <c r="L257" s="119">
        <v>2.2200000000000002</v>
      </c>
      <c r="M257" s="119"/>
      <c r="N257" s="119" t="s">
        <v>53</v>
      </c>
      <c r="O257" s="141">
        <f t="shared" si="216"/>
        <v>244062</v>
      </c>
      <c r="P257" s="141">
        <f t="shared" si="217"/>
        <v>244069</v>
      </c>
      <c r="Q257" s="141">
        <f t="shared" si="218"/>
        <v>244064</v>
      </c>
      <c r="R257" s="139" t="s">
        <v>55</v>
      </c>
      <c r="S257" s="143">
        <v>244064</v>
      </c>
      <c r="T257" s="139" t="s">
        <v>55</v>
      </c>
      <c r="U257" s="143">
        <v>244074</v>
      </c>
      <c r="V257" s="139"/>
      <c r="W257" s="143"/>
      <c r="X257" s="119"/>
      <c r="Y257" s="141"/>
      <c r="Z257" s="119"/>
      <c r="AA257" s="144"/>
    </row>
    <row r="258" spans="1:27" s="145" customFormat="1" ht="36.75" customHeight="1" x14ac:dyDescent="0.25">
      <c r="A258" s="119" t="s">
        <v>20</v>
      </c>
      <c r="B258" s="139">
        <v>244062</v>
      </c>
      <c r="C258" s="119" t="s">
        <v>14</v>
      </c>
      <c r="D258" s="166">
        <v>680198</v>
      </c>
      <c r="E258" s="119" t="s">
        <v>413</v>
      </c>
      <c r="F258" s="190">
        <v>68031919</v>
      </c>
      <c r="G258" s="119" t="s">
        <v>999</v>
      </c>
      <c r="H258" s="187" t="s">
        <v>267</v>
      </c>
      <c r="I258" s="147" t="s">
        <v>415</v>
      </c>
      <c r="J258" s="119">
        <v>84.64</v>
      </c>
      <c r="K258" s="119" t="s">
        <v>207</v>
      </c>
      <c r="L258" s="119">
        <f>J258-80</f>
        <v>4.6400000000000006</v>
      </c>
      <c r="M258" s="119" t="s">
        <v>1000</v>
      </c>
      <c r="N258" s="119" t="s">
        <v>93</v>
      </c>
      <c r="O258" s="141">
        <f t="shared" si="216"/>
        <v>244062</v>
      </c>
      <c r="P258" s="141">
        <f t="shared" si="217"/>
        <v>244069</v>
      </c>
      <c r="Q258" s="141">
        <f t="shared" si="218"/>
        <v>244064</v>
      </c>
      <c r="R258" s="139" t="s">
        <v>55</v>
      </c>
      <c r="S258" s="143">
        <v>244064</v>
      </c>
      <c r="T258" s="139" t="s">
        <v>55</v>
      </c>
      <c r="U258" s="143">
        <v>243987</v>
      </c>
      <c r="V258" s="139" t="s">
        <v>55</v>
      </c>
      <c r="W258" s="143">
        <v>244072</v>
      </c>
      <c r="X258" s="139"/>
      <c r="Y258" s="141"/>
      <c r="Z258" s="119" t="s">
        <v>1026</v>
      </c>
      <c r="AA258" s="144"/>
    </row>
    <row r="259" spans="1:27" s="145" customFormat="1" ht="36.75" customHeight="1" x14ac:dyDescent="0.25">
      <c r="A259" s="119" t="s">
        <v>20</v>
      </c>
      <c r="B259" s="139">
        <v>244062</v>
      </c>
      <c r="C259" s="119" t="s">
        <v>11</v>
      </c>
      <c r="D259" s="166">
        <v>680199</v>
      </c>
      <c r="E259" s="119" t="s">
        <v>779</v>
      </c>
      <c r="F259" s="190" t="s">
        <v>1001</v>
      </c>
      <c r="G259" s="119">
        <v>680318</v>
      </c>
      <c r="H259" s="187" t="s">
        <v>135</v>
      </c>
      <c r="I259" s="147" t="s">
        <v>73</v>
      </c>
      <c r="J259" s="119" t="s">
        <v>1002</v>
      </c>
      <c r="K259" s="119" t="s">
        <v>1003</v>
      </c>
      <c r="L259" s="119">
        <v>0</v>
      </c>
      <c r="M259" s="119" t="s">
        <v>1004</v>
      </c>
      <c r="N259" s="119" t="s">
        <v>53</v>
      </c>
      <c r="O259" s="141">
        <f t="shared" si="216"/>
        <v>244062</v>
      </c>
      <c r="P259" s="141">
        <f t="shared" si="217"/>
        <v>244069</v>
      </c>
      <c r="Q259" s="141">
        <f t="shared" si="218"/>
        <v>244064</v>
      </c>
      <c r="R259" s="139" t="s">
        <v>55</v>
      </c>
      <c r="S259" s="143">
        <v>244062</v>
      </c>
      <c r="T259" s="139" t="s">
        <v>55</v>
      </c>
      <c r="U259" s="143">
        <v>244064</v>
      </c>
      <c r="V259" s="139" t="s">
        <v>55</v>
      </c>
      <c r="W259" s="143">
        <v>244062</v>
      </c>
      <c r="X259" s="139"/>
      <c r="Y259" s="141"/>
      <c r="Z259" s="119" t="s">
        <v>1005</v>
      </c>
      <c r="AA259" s="144"/>
    </row>
    <row r="260" spans="1:27" s="145" customFormat="1" ht="36.75" customHeight="1" x14ac:dyDescent="0.25">
      <c r="A260" s="119" t="s">
        <v>20</v>
      </c>
      <c r="B260" s="139">
        <v>244065</v>
      </c>
      <c r="C260" s="119" t="s">
        <v>14</v>
      </c>
      <c r="D260" s="166">
        <v>680200</v>
      </c>
      <c r="E260" s="119" t="s">
        <v>1006</v>
      </c>
      <c r="F260" s="190">
        <v>68032232</v>
      </c>
      <c r="G260" s="119" t="s">
        <v>1007</v>
      </c>
      <c r="H260" s="187" t="s">
        <v>224</v>
      </c>
      <c r="I260" s="147" t="s">
        <v>370</v>
      </c>
      <c r="J260" s="146" t="s">
        <v>731</v>
      </c>
      <c r="K260" s="146" t="s">
        <v>731</v>
      </c>
      <c r="L260" s="146" t="s">
        <v>69</v>
      </c>
      <c r="M260" s="119" t="s">
        <v>1008</v>
      </c>
      <c r="N260" s="119" t="s">
        <v>93</v>
      </c>
      <c r="O260" s="141">
        <f t="shared" si="216"/>
        <v>244065</v>
      </c>
      <c r="P260" s="141">
        <f t="shared" si="217"/>
        <v>244072</v>
      </c>
      <c r="Q260" s="141">
        <f t="shared" si="218"/>
        <v>244067</v>
      </c>
      <c r="R260" s="139" t="s">
        <v>55</v>
      </c>
      <c r="S260" s="143">
        <v>244070</v>
      </c>
      <c r="T260" s="139" t="s">
        <v>55</v>
      </c>
      <c r="U260" s="143">
        <v>243987</v>
      </c>
      <c r="V260" s="139" t="s">
        <v>55</v>
      </c>
      <c r="W260" s="143">
        <v>243987</v>
      </c>
      <c r="X260" s="139"/>
      <c r="Y260" s="141"/>
      <c r="Z260" s="119" t="s">
        <v>1006</v>
      </c>
      <c r="AA260" s="144"/>
    </row>
    <row r="261" spans="1:27" s="145" customFormat="1" ht="36" customHeight="1" x14ac:dyDescent="0.25">
      <c r="A261" s="119" t="s">
        <v>20</v>
      </c>
      <c r="B261" s="139">
        <v>244065</v>
      </c>
      <c r="C261" s="119" t="s">
        <v>14</v>
      </c>
      <c r="D261" s="166">
        <v>680201</v>
      </c>
      <c r="E261" s="119" t="s">
        <v>307</v>
      </c>
      <c r="F261" s="190">
        <v>68032235</v>
      </c>
      <c r="G261" s="119" t="s">
        <v>1009</v>
      </c>
      <c r="H261" s="187" t="s">
        <v>209</v>
      </c>
      <c r="I261" s="147" t="s">
        <v>308</v>
      </c>
      <c r="J261" s="119">
        <v>68.58</v>
      </c>
      <c r="K261" s="119" t="s">
        <v>207</v>
      </c>
      <c r="L261" s="146">
        <f>J261-66</f>
        <v>2.5799999999999983</v>
      </c>
      <c r="M261" s="119" t="s">
        <v>1010</v>
      </c>
      <c r="N261" s="119" t="s">
        <v>93</v>
      </c>
      <c r="O261" s="141">
        <f t="shared" si="216"/>
        <v>244065</v>
      </c>
      <c r="P261" s="141">
        <f t="shared" si="217"/>
        <v>244072</v>
      </c>
      <c r="Q261" s="141">
        <f t="shared" si="218"/>
        <v>244067</v>
      </c>
      <c r="R261" s="139" t="s">
        <v>55</v>
      </c>
      <c r="S261" s="143">
        <v>244086</v>
      </c>
      <c r="T261" s="139" t="s">
        <v>55</v>
      </c>
      <c r="U261" s="143">
        <v>244091</v>
      </c>
      <c r="V261" s="139" t="s">
        <v>55</v>
      </c>
      <c r="W261" s="143">
        <v>244018</v>
      </c>
      <c r="X261" s="139"/>
      <c r="Y261" s="141"/>
      <c r="Z261" s="119" t="s">
        <v>954</v>
      </c>
      <c r="AA261" s="144">
        <f t="shared" si="187"/>
        <v>-54</v>
      </c>
    </row>
    <row r="262" spans="1:27" s="145" customFormat="1" ht="36" customHeight="1" x14ac:dyDescent="0.25">
      <c r="A262" s="119" t="s">
        <v>20</v>
      </c>
      <c r="B262" s="139">
        <v>244065</v>
      </c>
      <c r="C262" s="119" t="s">
        <v>14</v>
      </c>
      <c r="D262" s="166">
        <v>680202</v>
      </c>
      <c r="E262" s="119" t="s">
        <v>413</v>
      </c>
      <c r="F262" s="190">
        <v>68032219</v>
      </c>
      <c r="G262" s="119" t="s">
        <v>1011</v>
      </c>
      <c r="H262" s="187" t="s">
        <v>215</v>
      </c>
      <c r="I262" s="147" t="s">
        <v>415</v>
      </c>
      <c r="J262" s="119">
        <v>84.03</v>
      </c>
      <c r="K262" s="119" t="s">
        <v>207</v>
      </c>
      <c r="L262" s="146">
        <f>J262-80</f>
        <v>4.0300000000000011</v>
      </c>
      <c r="M262" s="119" t="s">
        <v>1012</v>
      </c>
      <c r="N262" s="119" t="s">
        <v>93</v>
      </c>
      <c r="O262" s="141">
        <f t="shared" si="216"/>
        <v>244065</v>
      </c>
      <c r="P262" s="141">
        <f t="shared" si="217"/>
        <v>244072</v>
      </c>
      <c r="Q262" s="141">
        <f t="shared" si="218"/>
        <v>244067</v>
      </c>
      <c r="R262" s="139" t="s">
        <v>55</v>
      </c>
      <c r="S262" s="143">
        <v>244072</v>
      </c>
      <c r="T262" s="139" t="s">
        <v>55</v>
      </c>
      <c r="U262" s="143">
        <v>243987</v>
      </c>
      <c r="V262" s="139" t="s">
        <v>55</v>
      </c>
      <c r="W262" s="143">
        <v>244072</v>
      </c>
      <c r="X262" s="139"/>
      <c r="Y262" s="141"/>
      <c r="Z262" s="119" t="s">
        <v>1026</v>
      </c>
      <c r="AA262" s="144">
        <f t="shared" si="187"/>
        <v>0</v>
      </c>
    </row>
    <row r="263" spans="1:27" s="145" customFormat="1" ht="36" customHeight="1" x14ac:dyDescent="0.25">
      <c r="A263" s="119" t="s">
        <v>20</v>
      </c>
      <c r="B263" s="139">
        <v>244066</v>
      </c>
      <c r="C263" s="119" t="s">
        <v>14</v>
      </c>
      <c r="D263" s="166">
        <v>680203</v>
      </c>
      <c r="E263" s="119" t="s">
        <v>307</v>
      </c>
      <c r="F263" s="190">
        <v>68032313</v>
      </c>
      <c r="G263" s="119" t="s">
        <v>1013</v>
      </c>
      <c r="H263" s="187" t="s">
        <v>237</v>
      </c>
      <c r="I263" s="147" t="s">
        <v>442</v>
      </c>
      <c r="J263" s="146" t="s">
        <v>557</v>
      </c>
      <c r="K263" s="146" t="s">
        <v>557</v>
      </c>
      <c r="L263" s="146" t="s">
        <v>69</v>
      </c>
      <c r="M263" s="119" t="s">
        <v>1014</v>
      </c>
      <c r="N263" s="119" t="s">
        <v>93</v>
      </c>
      <c r="O263" s="141">
        <f t="shared" si="216"/>
        <v>244066</v>
      </c>
      <c r="P263" s="141">
        <f t="shared" si="217"/>
        <v>244073</v>
      </c>
      <c r="Q263" s="141">
        <f t="shared" si="218"/>
        <v>244068</v>
      </c>
      <c r="R263" s="139" t="s">
        <v>55</v>
      </c>
      <c r="S263" s="143">
        <v>244070</v>
      </c>
      <c r="T263" s="139" t="s">
        <v>55</v>
      </c>
      <c r="U263" s="143">
        <v>243987</v>
      </c>
      <c r="V263" s="139" t="s">
        <v>55</v>
      </c>
      <c r="W263" s="143">
        <v>244067</v>
      </c>
      <c r="X263" s="139"/>
      <c r="Y263" s="141"/>
      <c r="Z263" s="119" t="s">
        <v>1022</v>
      </c>
      <c r="AA263" s="144">
        <f t="shared" ref="AA263:AA264" si="220">W263-P263</f>
        <v>-6</v>
      </c>
    </row>
    <row r="264" spans="1:27" s="145" customFormat="1" ht="36" customHeight="1" x14ac:dyDescent="0.25">
      <c r="A264" s="119" t="s">
        <v>20</v>
      </c>
      <c r="B264" s="139">
        <v>244066</v>
      </c>
      <c r="C264" s="119" t="s">
        <v>14</v>
      </c>
      <c r="D264" s="166">
        <v>680204</v>
      </c>
      <c r="E264" s="119" t="s">
        <v>413</v>
      </c>
      <c r="F264" s="190">
        <v>68032359</v>
      </c>
      <c r="G264" s="119" t="s">
        <v>1015</v>
      </c>
      <c r="H264" s="187" t="s">
        <v>297</v>
      </c>
      <c r="I264" s="147" t="s">
        <v>415</v>
      </c>
      <c r="J264" s="119">
        <v>83.99</v>
      </c>
      <c r="K264" s="119" t="s">
        <v>200</v>
      </c>
      <c r="L264" s="146">
        <f>J264-80</f>
        <v>3.9899999999999949</v>
      </c>
      <c r="M264" s="119" t="s">
        <v>1016</v>
      </c>
      <c r="N264" s="119" t="s">
        <v>93</v>
      </c>
      <c r="O264" s="141">
        <f t="shared" si="216"/>
        <v>244066</v>
      </c>
      <c r="P264" s="141">
        <f t="shared" si="217"/>
        <v>244073</v>
      </c>
      <c r="Q264" s="141">
        <f t="shared" si="218"/>
        <v>244068</v>
      </c>
      <c r="R264" s="139" t="s">
        <v>55</v>
      </c>
      <c r="S264" s="143">
        <v>244071</v>
      </c>
      <c r="T264" s="139" t="s">
        <v>55</v>
      </c>
      <c r="U264" s="143">
        <v>243987</v>
      </c>
      <c r="V264" s="139" t="s">
        <v>55</v>
      </c>
      <c r="W264" s="143">
        <v>244062</v>
      </c>
      <c r="X264" s="119"/>
      <c r="Y264" s="141"/>
      <c r="Z264" s="119" t="s">
        <v>1026</v>
      </c>
      <c r="AA264" s="144">
        <f t="shared" si="220"/>
        <v>-11</v>
      </c>
    </row>
    <row r="265" spans="1:27" s="145" customFormat="1" ht="36" customHeight="1" x14ac:dyDescent="0.25">
      <c r="A265" s="119" t="s">
        <v>20</v>
      </c>
      <c r="B265" s="139">
        <v>243701</v>
      </c>
      <c r="C265" s="119" t="s">
        <v>14</v>
      </c>
      <c r="D265" s="166">
        <v>680205</v>
      </c>
      <c r="E265" s="119" t="s">
        <v>827</v>
      </c>
      <c r="F265" s="190">
        <v>68032402</v>
      </c>
      <c r="G265" s="119" t="s">
        <v>1017</v>
      </c>
      <c r="H265" s="187" t="s">
        <v>277</v>
      </c>
      <c r="I265" s="147" t="s">
        <v>829</v>
      </c>
      <c r="J265" s="146">
        <v>107.11</v>
      </c>
      <c r="K265" s="119" t="s">
        <v>200</v>
      </c>
      <c r="L265" s="146">
        <v>2.11</v>
      </c>
      <c r="M265" s="119" t="s">
        <v>1018</v>
      </c>
      <c r="N265" s="119" t="s">
        <v>93</v>
      </c>
      <c r="O265" s="141">
        <f t="shared" si="216"/>
        <v>243701</v>
      </c>
      <c r="P265" s="141">
        <f t="shared" si="217"/>
        <v>243708</v>
      </c>
      <c r="Q265" s="141">
        <f t="shared" si="218"/>
        <v>243703</v>
      </c>
      <c r="R265" s="139" t="s">
        <v>55</v>
      </c>
      <c r="S265" s="143">
        <v>244070</v>
      </c>
      <c r="T265" s="139" t="s">
        <v>55</v>
      </c>
      <c r="U265" s="143">
        <v>243987</v>
      </c>
      <c r="V265" s="139" t="s">
        <v>55</v>
      </c>
      <c r="W265" s="143">
        <v>244067</v>
      </c>
      <c r="X265" s="139"/>
      <c r="Y265" s="141"/>
      <c r="Z265" s="119" t="s">
        <v>1021</v>
      </c>
      <c r="AA265" s="144">
        <f t="shared" si="187"/>
        <v>359</v>
      </c>
    </row>
    <row r="266" spans="1:27" s="145" customFormat="1" ht="36" customHeight="1" x14ac:dyDescent="0.25">
      <c r="A266" s="119" t="s">
        <v>20</v>
      </c>
      <c r="B266" s="139">
        <v>243701</v>
      </c>
      <c r="C266" s="119" t="s">
        <v>14</v>
      </c>
      <c r="D266" s="166">
        <v>680206</v>
      </c>
      <c r="E266" s="119" t="s">
        <v>433</v>
      </c>
      <c r="F266" s="190">
        <v>68032406</v>
      </c>
      <c r="G266" s="119" t="s">
        <v>1019</v>
      </c>
      <c r="H266" s="187" t="s">
        <v>217</v>
      </c>
      <c r="I266" s="147" t="s">
        <v>304</v>
      </c>
      <c r="J266" s="146">
        <v>75.400000000000006</v>
      </c>
      <c r="K266" s="119" t="s">
        <v>201</v>
      </c>
      <c r="L266" s="146">
        <f>76-J266</f>
        <v>0.59999999999999432</v>
      </c>
      <c r="M266" s="119" t="s">
        <v>1020</v>
      </c>
      <c r="N266" s="119" t="s">
        <v>93</v>
      </c>
      <c r="O266" s="141">
        <f t="shared" si="216"/>
        <v>243701</v>
      </c>
      <c r="P266" s="141">
        <f t="shared" si="217"/>
        <v>243708</v>
      </c>
      <c r="Q266" s="141">
        <f t="shared" si="218"/>
        <v>243703</v>
      </c>
      <c r="R266" s="139" t="s">
        <v>55</v>
      </c>
      <c r="S266" s="143">
        <v>244047</v>
      </c>
      <c r="T266" s="139" t="s">
        <v>55</v>
      </c>
      <c r="U266" s="143">
        <v>244082</v>
      </c>
      <c r="V266" s="139" t="s">
        <v>55</v>
      </c>
      <c r="W266" s="143">
        <v>244076</v>
      </c>
      <c r="X266" s="139"/>
      <c r="Y266" s="141"/>
      <c r="Z266" s="119" t="s">
        <v>1037</v>
      </c>
      <c r="AA266" s="144">
        <f t="shared" ref="AA266:AA267" si="221">W266-P266</f>
        <v>368</v>
      </c>
    </row>
    <row r="267" spans="1:27" s="145" customFormat="1" ht="36" customHeight="1" x14ac:dyDescent="0.25">
      <c r="A267" s="119" t="s">
        <v>20</v>
      </c>
      <c r="B267" s="139">
        <v>243702</v>
      </c>
      <c r="C267" s="119" t="s">
        <v>14</v>
      </c>
      <c r="D267" s="166">
        <v>680207</v>
      </c>
      <c r="E267" s="119" t="s">
        <v>827</v>
      </c>
      <c r="F267" s="190">
        <v>68032518</v>
      </c>
      <c r="G267" s="119" t="s">
        <v>1023</v>
      </c>
      <c r="H267" s="187" t="s">
        <v>205</v>
      </c>
      <c r="I267" s="147" t="s">
        <v>829</v>
      </c>
      <c r="J267" s="146">
        <v>106.37</v>
      </c>
      <c r="K267" s="119" t="s">
        <v>200</v>
      </c>
      <c r="L267" s="155">
        <v>1.37</v>
      </c>
      <c r="M267" s="119" t="s">
        <v>1024</v>
      </c>
      <c r="N267" s="119" t="s">
        <v>93</v>
      </c>
      <c r="O267" s="141">
        <f t="shared" si="216"/>
        <v>243702</v>
      </c>
      <c r="P267" s="141">
        <f t="shared" si="217"/>
        <v>243709</v>
      </c>
      <c r="Q267" s="141">
        <f t="shared" si="218"/>
        <v>243704</v>
      </c>
      <c r="R267" s="139" t="s">
        <v>55</v>
      </c>
      <c r="S267" s="143">
        <v>244072</v>
      </c>
      <c r="T267" s="139" t="s">
        <v>55</v>
      </c>
      <c r="U267" s="143">
        <v>243987</v>
      </c>
      <c r="V267" s="139" t="s">
        <v>55</v>
      </c>
      <c r="W267" s="143">
        <v>244070</v>
      </c>
      <c r="X267" s="119"/>
      <c r="Y267" s="141"/>
      <c r="Z267" s="119" t="s">
        <v>1025</v>
      </c>
      <c r="AA267" s="144">
        <f t="shared" si="221"/>
        <v>361</v>
      </c>
    </row>
    <row r="268" spans="1:27" s="145" customFormat="1" ht="36" customHeight="1" x14ac:dyDescent="0.25">
      <c r="A268" s="119" t="s">
        <v>20</v>
      </c>
      <c r="B268" s="139">
        <v>243707</v>
      </c>
      <c r="C268" s="119" t="s">
        <v>14</v>
      </c>
      <c r="D268" s="166">
        <v>680208</v>
      </c>
      <c r="E268" s="119" t="s">
        <v>413</v>
      </c>
      <c r="F268" s="190">
        <v>68033013</v>
      </c>
      <c r="G268" s="119" t="s">
        <v>1027</v>
      </c>
      <c r="H268" s="187" t="s">
        <v>299</v>
      </c>
      <c r="I268" s="147" t="s">
        <v>415</v>
      </c>
      <c r="J268" s="146">
        <v>84.67</v>
      </c>
      <c r="K268" s="119" t="s">
        <v>207</v>
      </c>
      <c r="L268" s="155">
        <f>J268-80</f>
        <v>4.6700000000000017</v>
      </c>
      <c r="M268" s="119" t="s">
        <v>993</v>
      </c>
      <c r="N268" s="119" t="s">
        <v>93</v>
      </c>
      <c r="O268" s="141">
        <f t="shared" si="216"/>
        <v>243707</v>
      </c>
      <c r="P268" s="141">
        <f t="shared" si="217"/>
        <v>243714</v>
      </c>
      <c r="Q268" s="141">
        <f t="shared" si="218"/>
        <v>243709</v>
      </c>
      <c r="R268" s="139" t="s">
        <v>55</v>
      </c>
      <c r="S268" s="143">
        <v>244047</v>
      </c>
      <c r="T268" s="139" t="s">
        <v>55</v>
      </c>
      <c r="U268" s="143">
        <v>244082</v>
      </c>
      <c r="V268" s="139" t="s">
        <v>55</v>
      </c>
      <c r="W268" s="143">
        <v>244076</v>
      </c>
      <c r="X268" s="139"/>
      <c r="Y268" s="141"/>
      <c r="Z268" s="119" t="s">
        <v>1038</v>
      </c>
      <c r="AA268" s="144">
        <f t="shared" si="187"/>
        <v>362</v>
      </c>
    </row>
    <row r="269" spans="1:27" s="145" customFormat="1" ht="36" customHeight="1" x14ac:dyDescent="0.25">
      <c r="A269" s="119" t="s">
        <v>21</v>
      </c>
      <c r="B269" s="139">
        <v>244075</v>
      </c>
      <c r="C269" s="119" t="s">
        <v>14</v>
      </c>
      <c r="D269" s="166">
        <v>680209</v>
      </c>
      <c r="E269" s="119" t="s">
        <v>420</v>
      </c>
      <c r="F269" s="190">
        <v>68040162</v>
      </c>
      <c r="G269" s="119" t="s">
        <v>1028</v>
      </c>
      <c r="H269" s="187" t="s">
        <v>205</v>
      </c>
      <c r="I269" s="147">
        <v>121.124</v>
      </c>
      <c r="J269" s="146">
        <v>126.21</v>
      </c>
      <c r="K269" s="119" t="s">
        <v>200</v>
      </c>
      <c r="L269" s="155">
        <f>J269-124</f>
        <v>2.2099999999999937</v>
      </c>
      <c r="M269" s="119" t="s">
        <v>1029</v>
      </c>
      <c r="N269" s="119" t="s">
        <v>93</v>
      </c>
      <c r="O269" s="141">
        <f t="shared" si="216"/>
        <v>244075</v>
      </c>
      <c r="P269" s="141">
        <f t="shared" si="217"/>
        <v>244082</v>
      </c>
      <c r="Q269" s="141">
        <f t="shared" si="218"/>
        <v>244077</v>
      </c>
      <c r="R269" s="139" t="s">
        <v>55</v>
      </c>
      <c r="S269" s="143">
        <v>244085</v>
      </c>
      <c r="T269" s="139" t="s">
        <v>55</v>
      </c>
      <c r="U269" s="143">
        <v>244091</v>
      </c>
      <c r="V269" s="139" t="s">
        <v>55</v>
      </c>
      <c r="W269" s="143">
        <v>244083</v>
      </c>
      <c r="X269" s="119"/>
      <c r="Y269" s="141"/>
      <c r="Z269" s="119" t="s">
        <v>1075</v>
      </c>
      <c r="AA269" s="144">
        <f t="shared" ref="AA269" si="222">W269-P269</f>
        <v>1</v>
      </c>
    </row>
    <row r="270" spans="1:27" s="145" customFormat="1" ht="36" customHeight="1" x14ac:dyDescent="0.25">
      <c r="A270" s="119" t="s">
        <v>21</v>
      </c>
      <c r="B270" s="139">
        <v>244075</v>
      </c>
      <c r="C270" s="119" t="s">
        <v>14</v>
      </c>
      <c r="D270" s="166">
        <v>680210</v>
      </c>
      <c r="E270" s="119" t="s">
        <v>517</v>
      </c>
      <c r="F270" s="190">
        <v>68040161</v>
      </c>
      <c r="G270" s="119" t="s">
        <v>1030</v>
      </c>
      <c r="H270" s="187" t="s">
        <v>273</v>
      </c>
      <c r="I270" s="147" t="s">
        <v>519</v>
      </c>
      <c r="J270" s="146">
        <v>77.61</v>
      </c>
      <c r="K270" s="119" t="s">
        <v>207</v>
      </c>
      <c r="L270" s="155">
        <f>J270-68</f>
        <v>9.61</v>
      </c>
      <c r="M270" s="119" t="s">
        <v>1031</v>
      </c>
      <c r="N270" s="119" t="s">
        <v>93</v>
      </c>
      <c r="O270" s="141">
        <f t="shared" si="216"/>
        <v>244075</v>
      </c>
      <c r="P270" s="141">
        <f t="shared" si="217"/>
        <v>244082</v>
      </c>
      <c r="Q270" s="141">
        <f t="shared" si="218"/>
        <v>244077</v>
      </c>
      <c r="R270" s="139" t="s">
        <v>55</v>
      </c>
      <c r="S270" s="143">
        <v>244085</v>
      </c>
      <c r="T270" s="139" t="s">
        <v>55</v>
      </c>
      <c r="U270" s="143">
        <v>244091</v>
      </c>
      <c r="V270" s="139" t="s">
        <v>55</v>
      </c>
      <c r="W270" s="143">
        <v>244076</v>
      </c>
      <c r="X270" s="139"/>
      <c r="Y270" s="141"/>
      <c r="Z270" s="119" t="s">
        <v>1039</v>
      </c>
      <c r="AA270" s="144">
        <f t="shared" si="187"/>
        <v>-6</v>
      </c>
    </row>
    <row r="271" spans="1:27" s="145" customFormat="1" ht="36" customHeight="1" x14ac:dyDescent="0.25">
      <c r="A271" s="119" t="s">
        <v>21</v>
      </c>
      <c r="B271" s="139">
        <v>244076</v>
      </c>
      <c r="C271" s="119" t="s">
        <v>14</v>
      </c>
      <c r="D271" s="166">
        <v>680211</v>
      </c>
      <c r="E271" s="119" t="s">
        <v>433</v>
      </c>
      <c r="F271" s="190">
        <v>68040228</v>
      </c>
      <c r="G271" s="119" t="s">
        <v>1032</v>
      </c>
      <c r="H271" s="187" t="s">
        <v>270</v>
      </c>
      <c r="I271" s="147" t="s">
        <v>304</v>
      </c>
      <c r="J271" s="146" t="s">
        <v>1034</v>
      </c>
      <c r="K271" s="146" t="s">
        <v>1034</v>
      </c>
      <c r="L271" s="146" t="s">
        <v>69</v>
      </c>
      <c r="M271" s="119" t="s">
        <v>1033</v>
      </c>
      <c r="N271" s="119" t="s">
        <v>93</v>
      </c>
      <c r="O271" s="141">
        <f t="shared" si="216"/>
        <v>244076</v>
      </c>
      <c r="P271" s="141">
        <f t="shared" si="217"/>
        <v>244083</v>
      </c>
      <c r="Q271" s="141">
        <f t="shared" si="218"/>
        <v>244078</v>
      </c>
      <c r="R271" s="139" t="s">
        <v>55</v>
      </c>
      <c r="S271" s="143">
        <v>244085</v>
      </c>
      <c r="T271" s="139" t="s">
        <v>55</v>
      </c>
      <c r="U271" s="143">
        <v>244091</v>
      </c>
      <c r="V271" s="139" t="s">
        <v>55</v>
      </c>
      <c r="W271" s="143">
        <v>244091</v>
      </c>
      <c r="X271" s="139"/>
      <c r="Y271" s="141"/>
      <c r="Z271" s="119" t="s">
        <v>1091</v>
      </c>
      <c r="AA271" s="144">
        <f t="shared" si="187"/>
        <v>8</v>
      </c>
    </row>
    <row r="272" spans="1:27" s="145" customFormat="1" ht="36" customHeight="1" x14ac:dyDescent="0.25">
      <c r="A272" s="119" t="s">
        <v>21</v>
      </c>
      <c r="B272" s="139">
        <v>244076</v>
      </c>
      <c r="C272" s="119" t="s">
        <v>14</v>
      </c>
      <c r="D272" s="166">
        <v>680211</v>
      </c>
      <c r="E272" s="119" t="s">
        <v>433</v>
      </c>
      <c r="F272" s="190">
        <v>68040227</v>
      </c>
      <c r="G272" s="119" t="s">
        <v>1035</v>
      </c>
      <c r="H272" s="187" t="s">
        <v>271</v>
      </c>
      <c r="I272" s="147" t="s">
        <v>304</v>
      </c>
      <c r="J272" s="146" t="s">
        <v>1034</v>
      </c>
      <c r="K272" s="146" t="s">
        <v>1034</v>
      </c>
      <c r="L272" s="146" t="s">
        <v>69</v>
      </c>
      <c r="M272" s="119" t="s">
        <v>1036</v>
      </c>
      <c r="N272" s="119" t="s">
        <v>93</v>
      </c>
      <c r="O272" s="141">
        <f t="shared" ref="O272" si="223">B272</f>
        <v>244076</v>
      </c>
      <c r="P272" s="141">
        <f t="shared" ref="P272" si="224">B272+7</f>
        <v>244083</v>
      </c>
      <c r="Q272" s="141">
        <f t="shared" ref="Q272" si="225">O272+2</f>
        <v>244078</v>
      </c>
      <c r="R272" s="139" t="s">
        <v>55</v>
      </c>
      <c r="S272" s="143">
        <v>244085</v>
      </c>
      <c r="T272" s="139" t="s">
        <v>55</v>
      </c>
      <c r="U272" s="143">
        <v>244091</v>
      </c>
      <c r="V272" s="139" t="s">
        <v>55</v>
      </c>
      <c r="W272" s="143">
        <v>244091</v>
      </c>
      <c r="X272" s="139"/>
      <c r="Y272" s="141"/>
      <c r="Z272" s="119" t="s">
        <v>1091</v>
      </c>
      <c r="AA272" s="144"/>
    </row>
    <row r="273" spans="1:27" s="145" customFormat="1" ht="36" customHeight="1" x14ac:dyDescent="0.25">
      <c r="A273" s="119" t="s">
        <v>21</v>
      </c>
      <c r="B273" s="139">
        <v>244076</v>
      </c>
      <c r="C273" s="119" t="s">
        <v>14</v>
      </c>
      <c r="D273" s="166">
        <v>680212</v>
      </c>
      <c r="E273" s="119" t="s">
        <v>420</v>
      </c>
      <c r="F273" s="190">
        <v>68040241</v>
      </c>
      <c r="G273" s="119" t="s">
        <v>1040</v>
      </c>
      <c r="H273" s="187" t="s">
        <v>205</v>
      </c>
      <c r="I273" s="147" t="s">
        <v>1041</v>
      </c>
      <c r="J273" s="146">
        <v>124.77</v>
      </c>
      <c r="K273" s="119" t="s">
        <v>207</v>
      </c>
      <c r="L273" s="146">
        <v>0.77</v>
      </c>
      <c r="M273" s="119" t="s">
        <v>1042</v>
      </c>
      <c r="N273" s="119" t="s">
        <v>93</v>
      </c>
      <c r="O273" s="141">
        <f t="shared" si="216"/>
        <v>244076</v>
      </c>
      <c r="P273" s="141">
        <f t="shared" si="217"/>
        <v>244083</v>
      </c>
      <c r="Q273" s="141">
        <f t="shared" si="218"/>
        <v>244078</v>
      </c>
      <c r="R273" s="139" t="s">
        <v>55</v>
      </c>
      <c r="S273" s="143">
        <v>244085</v>
      </c>
      <c r="T273" s="139" t="s">
        <v>55</v>
      </c>
      <c r="U273" s="143">
        <v>244091</v>
      </c>
      <c r="V273" s="139" t="s">
        <v>55</v>
      </c>
      <c r="W273" s="143">
        <v>244083</v>
      </c>
      <c r="X273" s="119"/>
      <c r="Y273" s="141"/>
      <c r="Z273" s="119" t="s">
        <v>1075</v>
      </c>
      <c r="AA273" s="144">
        <f t="shared" si="187"/>
        <v>0</v>
      </c>
    </row>
    <row r="274" spans="1:27" s="145" customFormat="1" ht="36" customHeight="1" x14ac:dyDescent="0.25">
      <c r="A274" s="119" t="s">
        <v>21</v>
      </c>
      <c r="B274" s="139">
        <v>244076</v>
      </c>
      <c r="C274" s="119" t="s">
        <v>14</v>
      </c>
      <c r="D274" s="166">
        <v>680213</v>
      </c>
      <c r="E274" s="119" t="s">
        <v>307</v>
      </c>
      <c r="F274" s="190">
        <v>68040230</v>
      </c>
      <c r="G274" s="119" t="s">
        <v>1043</v>
      </c>
      <c r="H274" s="187" t="s">
        <v>287</v>
      </c>
      <c r="I274" s="147" t="s">
        <v>308</v>
      </c>
      <c r="J274" s="146">
        <v>68.17</v>
      </c>
      <c r="K274" s="119" t="s">
        <v>207</v>
      </c>
      <c r="L274" s="146">
        <f>J274-66</f>
        <v>2.1700000000000017</v>
      </c>
      <c r="M274" s="119" t="s">
        <v>1044</v>
      </c>
      <c r="N274" s="119" t="s">
        <v>93</v>
      </c>
      <c r="O274" s="141">
        <f t="shared" si="216"/>
        <v>244076</v>
      </c>
      <c r="P274" s="141">
        <f t="shared" si="217"/>
        <v>244083</v>
      </c>
      <c r="Q274" s="141">
        <f t="shared" si="218"/>
        <v>244078</v>
      </c>
      <c r="R274" s="139" t="s">
        <v>55</v>
      </c>
      <c r="S274" s="143">
        <v>244085</v>
      </c>
      <c r="T274" s="139" t="s">
        <v>55</v>
      </c>
      <c r="U274" s="143">
        <v>244091</v>
      </c>
      <c r="V274" s="139" t="s">
        <v>55</v>
      </c>
      <c r="W274" s="143">
        <v>244077</v>
      </c>
      <c r="X274" s="119"/>
      <c r="Y274" s="141"/>
      <c r="Z274" s="119" t="s">
        <v>1045</v>
      </c>
      <c r="AA274" s="144">
        <f t="shared" si="187"/>
        <v>-6</v>
      </c>
    </row>
    <row r="275" spans="1:27" s="145" customFormat="1" ht="36" customHeight="1" x14ac:dyDescent="0.25">
      <c r="A275" s="119" t="s">
        <v>21</v>
      </c>
      <c r="B275" s="139">
        <v>244078</v>
      </c>
      <c r="C275" s="119" t="s">
        <v>14</v>
      </c>
      <c r="D275" s="166">
        <v>680214</v>
      </c>
      <c r="E275" s="119" t="s">
        <v>420</v>
      </c>
      <c r="F275" s="190">
        <v>68040424</v>
      </c>
      <c r="G275" s="119" t="s">
        <v>1047</v>
      </c>
      <c r="H275" s="187" t="s">
        <v>205</v>
      </c>
      <c r="I275" s="147" t="s">
        <v>1041</v>
      </c>
      <c r="J275" s="146">
        <v>119.51</v>
      </c>
      <c r="K275" s="119" t="s">
        <v>411</v>
      </c>
      <c r="L275" s="146">
        <f>121-J275</f>
        <v>1.4899999999999949</v>
      </c>
      <c r="M275" s="119" t="s">
        <v>1048</v>
      </c>
      <c r="N275" s="119" t="s">
        <v>93</v>
      </c>
      <c r="O275" s="141">
        <f t="shared" si="216"/>
        <v>244078</v>
      </c>
      <c r="P275" s="141">
        <f t="shared" si="217"/>
        <v>244085</v>
      </c>
      <c r="Q275" s="141">
        <f t="shared" si="218"/>
        <v>244080</v>
      </c>
      <c r="R275" s="139" t="s">
        <v>55</v>
      </c>
      <c r="S275" s="143">
        <v>244085</v>
      </c>
      <c r="T275" s="139" t="s">
        <v>55</v>
      </c>
      <c r="U275" s="143">
        <v>244091</v>
      </c>
      <c r="V275" s="139" t="s">
        <v>55</v>
      </c>
      <c r="W275" s="143">
        <v>244091</v>
      </c>
      <c r="X275" s="139"/>
      <c r="Y275" s="141"/>
      <c r="Z275" s="119" t="s">
        <v>967</v>
      </c>
      <c r="AA275" s="144">
        <f t="shared" ref="AA275" si="226">W275-P275</f>
        <v>6</v>
      </c>
    </row>
    <row r="276" spans="1:27" s="145" customFormat="1" ht="36" customHeight="1" x14ac:dyDescent="0.25">
      <c r="A276" s="119" t="s">
        <v>21</v>
      </c>
      <c r="B276" s="139">
        <v>244079</v>
      </c>
      <c r="C276" s="119" t="s">
        <v>14</v>
      </c>
      <c r="D276" s="166">
        <v>680215</v>
      </c>
      <c r="E276" s="119" t="s">
        <v>1049</v>
      </c>
      <c r="F276" s="190">
        <v>68040508</v>
      </c>
      <c r="G276" s="119" t="s">
        <v>1050</v>
      </c>
      <c r="H276" s="187" t="s">
        <v>221</v>
      </c>
      <c r="I276" s="147" t="s">
        <v>1051</v>
      </c>
      <c r="J276" s="146">
        <v>40.57</v>
      </c>
      <c r="K276" s="119" t="s">
        <v>1052</v>
      </c>
      <c r="L276" s="146">
        <v>1.43</v>
      </c>
      <c r="M276" s="119" t="s">
        <v>1053</v>
      </c>
      <c r="N276" s="119" t="s">
        <v>93</v>
      </c>
      <c r="O276" s="141">
        <f t="shared" si="216"/>
        <v>244079</v>
      </c>
      <c r="P276" s="141">
        <f t="shared" si="217"/>
        <v>244086</v>
      </c>
      <c r="Q276" s="141">
        <f t="shared" si="218"/>
        <v>244081</v>
      </c>
      <c r="R276" s="139" t="s">
        <v>55</v>
      </c>
      <c r="S276" s="143">
        <v>244085</v>
      </c>
      <c r="T276" s="139" t="s">
        <v>55</v>
      </c>
      <c r="U276" s="143">
        <v>244091</v>
      </c>
      <c r="V276" s="139" t="s">
        <v>55</v>
      </c>
      <c r="W276" s="143">
        <v>244081</v>
      </c>
      <c r="X276" s="139"/>
      <c r="Y276" s="141"/>
      <c r="Z276" s="119" t="s">
        <v>1060</v>
      </c>
      <c r="AA276" s="144">
        <f t="shared" ref="AA276" si="227">W276-P276</f>
        <v>-5</v>
      </c>
    </row>
    <row r="277" spans="1:27" s="145" customFormat="1" ht="36" customHeight="1" x14ac:dyDescent="0.25">
      <c r="A277" s="119" t="s">
        <v>21</v>
      </c>
      <c r="B277" s="139">
        <v>244079</v>
      </c>
      <c r="C277" s="119" t="s">
        <v>14</v>
      </c>
      <c r="D277" s="166">
        <v>680216</v>
      </c>
      <c r="E277" s="119" t="s">
        <v>433</v>
      </c>
      <c r="F277" s="190">
        <v>68040552</v>
      </c>
      <c r="G277" s="119" t="s">
        <v>1054</v>
      </c>
      <c r="H277" s="187" t="s">
        <v>217</v>
      </c>
      <c r="I277" s="147" t="s">
        <v>304</v>
      </c>
      <c r="J277" s="146">
        <v>74.34</v>
      </c>
      <c r="K277" s="119" t="s">
        <v>201</v>
      </c>
      <c r="L277" s="146">
        <f>76-J277</f>
        <v>1.6599999999999966</v>
      </c>
      <c r="M277" s="119" t="s">
        <v>1055</v>
      </c>
      <c r="N277" s="119" t="s">
        <v>93</v>
      </c>
      <c r="O277" s="141">
        <f t="shared" si="216"/>
        <v>244079</v>
      </c>
      <c r="P277" s="141">
        <f t="shared" si="217"/>
        <v>244086</v>
      </c>
      <c r="Q277" s="141">
        <f t="shared" si="218"/>
        <v>244081</v>
      </c>
      <c r="R277" s="139" t="s">
        <v>55</v>
      </c>
      <c r="S277" s="143">
        <v>244085</v>
      </c>
      <c r="T277" s="139" t="s">
        <v>55</v>
      </c>
      <c r="U277" s="143">
        <v>244091</v>
      </c>
      <c r="V277" s="139" t="s">
        <v>55</v>
      </c>
      <c r="W277" s="143">
        <v>244085</v>
      </c>
      <c r="X277" s="139"/>
      <c r="Y277" s="141"/>
      <c r="Z277" s="119" t="s">
        <v>1088</v>
      </c>
      <c r="AA277" s="144">
        <f t="shared" si="187"/>
        <v>-1</v>
      </c>
    </row>
    <row r="278" spans="1:27" s="145" customFormat="1" ht="36" customHeight="1" x14ac:dyDescent="0.25">
      <c r="A278" s="119" t="s">
        <v>21</v>
      </c>
      <c r="B278" s="139">
        <v>244080</v>
      </c>
      <c r="C278" s="119" t="s">
        <v>14</v>
      </c>
      <c r="D278" s="166">
        <v>680217</v>
      </c>
      <c r="E278" s="119" t="s">
        <v>1049</v>
      </c>
      <c r="F278" s="190">
        <v>68040605</v>
      </c>
      <c r="G278" s="119" t="s">
        <v>1056</v>
      </c>
      <c r="H278" s="187" t="s">
        <v>221</v>
      </c>
      <c r="I278" s="147" t="s">
        <v>1051</v>
      </c>
      <c r="J278" s="146">
        <v>39.96</v>
      </c>
      <c r="K278" s="119" t="s">
        <v>1052</v>
      </c>
      <c r="L278" s="155">
        <f>42-J278</f>
        <v>2.0399999999999991</v>
      </c>
      <c r="M278" s="119" t="s">
        <v>1057</v>
      </c>
      <c r="N278" s="119" t="s">
        <v>93</v>
      </c>
      <c r="O278" s="141">
        <f t="shared" si="216"/>
        <v>244080</v>
      </c>
      <c r="P278" s="141">
        <f t="shared" si="217"/>
        <v>244087</v>
      </c>
      <c r="Q278" s="141">
        <f t="shared" si="218"/>
        <v>244082</v>
      </c>
      <c r="R278" s="139" t="s">
        <v>55</v>
      </c>
      <c r="S278" s="143">
        <v>244085</v>
      </c>
      <c r="T278" s="139" t="s">
        <v>55</v>
      </c>
      <c r="U278" s="143">
        <v>244091</v>
      </c>
      <c r="V278" s="139" t="s">
        <v>55</v>
      </c>
      <c r="W278" s="143">
        <v>244081</v>
      </c>
      <c r="X278" s="139"/>
      <c r="Y278" s="141"/>
      <c r="Z278" s="119" t="s">
        <v>1060</v>
      </c>
      <c r="AA278" s="144"/>
    </row>
    <row r="279" spans="1:27" s="145" customFormat="1" ht="36" customHeight="1" x14ac:dyDescent="0.25">
      <c r="A279" s="119" t="s">
        <v>21</v>
      </c>
      <c r="B279" s="139">
        <v>244080</v>
      </c>
      <c r="C279" s="119" t="s">
        <v>14</v>
      </c>
      <c r="D279" s="166">
        <v>680218</v>
      </c>
      <c r="E279" s="119" t="s">
        <v>420</v>
      </c>
      <c r="F279" s="190">
        <v>68040659</v>
      </c>
      <c r="G279" s="119" t="s">
        <v>1058</v>
      </c>
      <c r="H279" s="187" t="s">
        <v>205</v>
      </c>
      <c r="I279" s="147" t="s">
        <v>1041</v>
      </c>
      <c r="J279" s="146">
        <v>125.42</v>
      </c>
      <c r="K279" s="119" t="s">
        <v>207</v>
      </c>
      <c r="L279" s="146">
        <f>J279-124</f>
        <v>1.4200000000000017</v>
      </c>
      <c r="M279" s="119" t="s">
        <v>1059</v>
      </c>
      <c r="N279" s="119" t="s">
        <v>93</v>
      </c>
      <c r="O279" s="141">
        <f t="shared" si="216"/>
        <v>244080</v>
      </c>
      <c r="P279" s="141">
        <f t="shared" si="217"/>
        <v>244087</v>
      </c>
      <c r="Q279" s="141">
        <f t="shared" si="218"/>
        <v>244082</v>
      </c>
      <c r="R279" s="139" t="s">
        <v>55</v>
      </c>
      <c r="S279" s="143">
        <v>244085</v>
      </c>
      <c r="T279" s="139" t="s">
        <v>55</v>
      </c>
      <c r="U279" s="143">
        <v>244091</v>
      </c>
      <c r="V279" s="139" t="s">
        <v>55</v>
      </c>
      <c r="W279" s="143">
        <v>244083</v>
      </c>
      <c r="X279" s="119"/>
      <c r="Y279" s="141"/>
      <c r="Z279" s="119" t="s">
        <v>1075</v>
      </c>
      <c r="AA279" s="144">
        <f t="shared" ref="AA279:AA323" si="228">W279-P279</f>
        <v>-4</v>
      </c>
    </row>
    <row r="280" spans="1:27" s="145" customFormat="1" ht="36" customHeight="1" x14ac:dyDescent="0.25">
      <c r="A280" s="119" t="s">
        <v>21</v>
      </c>
      <c r="B280" s="139">
        <v>244081</v>
      </c>
      <c r="C280" s="119" t="s">
        <v>14</v>
      </c>
      <c r="D280" s="166">
        <v>680219</v>
      </c>
      <c r="E280" s="119" t="s">
        <v>1049</v>
      </c>
      <c r="F280" s="190">
        <v>68040720</v>
      </c>
      <c r="G280" s="119" t="s">
        <v>1061</v>
      </c>
      <c r="H280" s="187" t="s">
        <v>221</v>
      </c>
      <c r="I280" s="147" t="s">
        <v>1051</v>
      </c>
      <c r="J280" s="146">
        <v>40.69</v>
      </c>
      <c r="K280" s="119" t="s">
        <v>1052</v>
      </c>
      <c r="L280" s="155">
        <f>42-J280</f>
        <v>1.3100000000000023</v>
      </c>
      <c r="M280" s="119" t="s">
        <v>1062</v>
      </c>
      <c r="N280" s="119" t="s">
        <v>93</v>
      </c>
      <c r="O280" s="141">
        <f t="shared" si="216"/>
        <v>244081</v>
      </c>
      <c r="P280" s="141">
        <f t="shared" si="217"/>
        <v>244088</v>
      </c>
      <c r="Q280" s="141">
        <f t="shared" si="218"/>
        <v>244083</v>
      </c>
      <c r="R280" s="139" t="s">
        <v>55</v>
      </c>
      <c r="S280" s="143">
        <v>244085</v>
      </c>
      <c r="T280" s="139" t="s">
        <v>55</v>
      </c>
      <c r="U280" s="143">
        <v>244091</v>
      </c>
      <c r="V280" s="139" t="s">
        <v>55</v>
      </c>
      <c r="W280" s="143">
        <v>244081</v>
      </c>
      <c r="X280" s="139"/>
      <c r="Y280" s="141"/>
      <c r="Z280" s="119" t="s">
        <v>1060</v>
      </c>
      <c r="AA280" s="144">
        <f t="shared" ref="AA280" si="229">W280-P280</f>
        <v>-7</v>
      </c>
    </row>
    <row r="281" spans="1:27" s="145" customFormat="1" ht="36" customHeight="1" x14ac:dyDescent="0.25">
      <c r="A281" s="119" t="s">
        <v>21</v>
      </c>
      <c r="B281" s="139">
        <v>244081</v>
      </c>
      <c r="C281" s="119" t="s">
        <v>14</v>
      </c>
      <c r="D281" s="166">
        <v>680220</v>
      </c>
      <c r="E281" s="119" t="s">
        <v>420</v>
      </c>
      <c r="F281" s="190">
        <v>68040750</v>
      </c>
      <c r="G281" s="119" t="s">
        <v>1063</v>
      </c>
      <c r="H281" s="187" t="s">
        <v>274</v>
      </c>
      <c r="I281" s="147" t="s">
        <v>1041</v>
      </c>
      <c r="J281" s="146">
        <v>126.52</v>
      </c>
      <c r="K281" s="119" t="s">
        <v>207</v>
      </c>
      <c r="L281" s="146">
        <f>J281-124</f>
        <v>2.519999999999996</v>
      </c>
      <c r="M281" s="119" t="s">
        <v>1064</v>
      </c>
      <c r="N281" s="119" t="s">
        <v>93</v>
      </c>
      <c r="O281" s="141">
        <f t="shared" si="216"/>
        <v>244081</v>
      </c>
      <c r="P281" s="141">
        <f t="shared" si="217"/>
        <v>244088</v>
      </c>
      <c r="Q281" s="141">
        <f t="shared" si="218"/>
        <v>244083</v>
      </c>
      <c r="R281" s="139" t="s">
        <v>55</v>
      </c>
      <c r="S281" s="143">
        <v>244085</v>
      </c>
      <c r="T281" s="139" t="s">
        <v>55</v>
      </c>
      <c r="U281" s="143">
        <v>244091</v>
      </c>
      <c r="V281" s="139" t="s">
        <v>55</v>
      </c>
      <c r="W281" s="143">
        <v>244082</v>
      </c>
      <c r="X281" s="139"/>
      <c r="Y281" s="141"/>
      <c r="Z281" s="119" t="s">
        <v>1068</v>
      </c>
      <c r="AA281" s="144">
        <f t="shared" si="228"/>
        <v>-6</v>
      </c>
    </row>
    <row r="282" spans="1:27" s="145" customFormat="1" ht="36" customHeight="1" x14ac:dyDescent="0.25">
      <c r="A282" s="119" t="s">
        <v>21</v>
      </c>
      <c r="B282" s="139">
        <v>244082</v>
      </c>
      <c r="C282" s="119" t="s">
        <v>14</v>
      </c>
      <c r="D282" s="166">
        <v>680221</v>
      </c>
      <c r="E282" s="119" t="s">
        <v>402</v>
      </c>
      <c r="F282" s="190">
        <v>68040802</v>
      </c>
      <c r="G282" s="119" t="s">
        <v>1065</v>
      </c>
      <c r="H282" s="187" t="s">
        <v>249</v>
      </c>
      <c r="I282" s="147" t="s">
        <v>404</v>
      </c>
      <c r="J282" s="146">
        <v>71.709999999999994</v>
      </c>
      <c r="K282" s="119" t="s">
        <v>207</v>
      </c>
      <c r="L282" s="155">
        <f>J282-67</f>
        <v>4.7099999999999937</v>
      </c>
      <c r="M282" s="119" t="s">
        <v>1066</v>
      </c>
      <c r="N282" s="119" t="s">
        <v>93</v>
      </c>
      <c r="O282" s="141">
        <f t="shared" si="216"/>
        <v>244082</v>
      </c>
      <c r="P282" s="141">
        <f t="shared" si="217"/>
        <v>244089</v>
      </c>
      <c r="Q282" s="141">
        <f t="shared" si="218"/>
        <v>244084</v>
      </c>
      <c r="R282" s="139" t="s">
        <v>55</v>
      </c>
      <c r="S282" s="143">
        <v>244085</v>
      </c>
      <c r="T282" s="139" t="s">
        <v>55</v>
      </c>
      <c r="U282" s="143">
        <v>244091</v>
      </c>
      <c r="V282" s="139" t="s">
        <v>55</v>
      </c>
      <c r="W282" s="143">
        <v>244082</v>
      </c>
      <c r="X282" s="139"/>
      <c r="Y282" s="141"/>
      <c r="Z282" s="119" t="s">
        <v>1067</v>
      </c>
      <c r="AA282" s="144">
        <f t="shared" si="228"/>
        <v>-7</v>
      </c>
    </row>
    <row r="283" spans="1:27" s="145" customFormat="1" ht="36" customHeight="1" x14ac:dyDescent="0.25">
      <c r="A283" s="119" t="s">
        <v>21</v>
      </c>
      <c r="B283" s="139">
        <v>244082</v>
      </c>
      <c r="C283" s="119" t="s">
        <v>14</v>
      </c>
      <c r="D283" s="166">
        <v>680222</v>
      </c>
      <c r="E283" s="119" t="s">
        <v>420</v>
      </c>
      <c r="F283" s="190">
        <v>68040837</v>
      </c>
      <c r="G283" s="119" t="s">
        <v>1069</v>
      </c>
      <c r="H283" s="187" t="s">
        <v>274</v>
      </c>
      <c r="I283" s="147" t="s">
        <v>1041</v>
      </c>
      <c r="J283" s="146">
        <v>125.4</v>
      </c>
      <c r="K283" s="119" t="s">
        <v>207</v>
      </c>
      <c r="L283" s="155">
        <f>J283-124</f>
        <v>1.4000000000000057</v>
      </c>
      <c r="M283" s="119" t="s">
        <v>1070</v>
      </c>
      <c r="N283" s="119" t="s">
        <v>93</v>
      </c>
      <c r="O283" s="141">
        <f t="shared" si="216"/>
        <v>244082</v>
      </c>
      <c r="P283" s="141">
        <f t="shared" si="217"/>
        <v>244089</v>
      </c>
      <c r="Q283" s="141">
        <f t="shared" si="218"/>
        <v>244084</v>
      </c>
      <c r="R283" s="139" t="s">
        <v>55</v>
      </c>
      <c r="S283" s="143">
        <v>244085</v>
      </c>
      <c r="T283" s="139" t="s">
        <v>55</v>
      </c>
      <c r="U283" s="143">
        <v>244091</v>
      </c>
      <c r="V283" s="139" t="s">
        <v>55</v>
      </c>
      <c r="W283" s="143">
        <v>244083</v>
      </c>
      <c r="X283" s="119"/>
      <c r="Y283" s="141"/>
      <c r="Z283" s="119" t="s">
        <v>1075</v>
      </c>
      <c r="AA283" s="144">
        <f t="shared" si="228"/>
        <v>-6</v>
      </c>
    </row>
    <row r="284" spans="1:27" s="145" customFormat="1" ht="36" customHeight="1" x14ac:dyDescent="0.25">
      <c r="A284" s="119" t="s">
        <v>21</v>
      </c>
      <c r="B284" s="139">
        <v>244082</v>
      </c>
      <c r="C284" s="119" t="s">
        <v>14</v>
      </c>
      <c r="D284" s="166">
        <v>680222</v>
      </c>
      <c r="E284" s="119" t="s">
        <v>420</v>
      </c>
      <c r="F284" s="190">
        <v>68040836</v>
      </c>
      <c r="G284" s="119" t="s">
        <v>1071</v>
      </c>
      <c r="H284" s="187" t="s">
        <v>276</v>
      </c>
      <c r="I284" s="147" t="s">
        <v>1041</v>
      </c>
      <c r="J284" s="146">
        <v>128.4</v>
      </c>
      <c r="K284" s="119" t="s">
        <v>207</v>
      </c>
      <c r="L284" s="155">
        <f>J284-124</f>
        <v>4.4000000000000057</v>
      </c>
      <c r="M284" s="119" t="s">
        <v>1072</v>
      </c>
      <c r="N284" s="119" t="s">
        <v>93</v>
      </c>
      <c r="O284" s="141">
        <f t="shared" si="216"/>
        <v>244082</v>
      </c>
      <c r="P284" s="141">
        <f t="shared" si="217"/>
        <v>244089</v>
      </c>
      <c r="Q284" s="141">
        <f t="shared" si="218"/>
        <v>244084</v>
      </c>
      <c r="R284" s="139" t="s">
        <v>55</v>
      </c>
      <c r="S284" s="143">
        <v>244085</v>
      </c>
      <c r="T284" s="139" t="s">
        <v>55</v>
      </c>
      <c r="U284" s="143">
        <v>244091</v>
      </c>
      <c r="V284" s="139" t="s">
        <v>55</v>
      </c>
      <c r="W284" s="143">
        <v>244083</v>
      </c>
      <c r="X284" s="119"/>
      <c r="Y284" s="141"/>
      <c r="Z284" s="119" t="s">
        <v>1075</v>
      </c>
      <c r="AA284" s="144"/>
    </row>
    <row r="285" spans="1:27" s="145" customFormat="1" ht="36" customHeight="1" x14ac:dyDescent="0.25">
      <c r="A285" s="119" t="s">
        <v>21</v>
      </c>
      <c r="B285" s="139">
        <v>244082</v>
      </c>
      <c r="C285" s="119" t="s">
        <v>14</v>
      </c>
      <c r="D285" s="166">
        <v>680223</v>
      </c>
      <c r="E285" s="119" t="s">
        <v>517</v>
      </c>
      <c r="F285" s="190">
        <v>68040856</v>
      </c>
      <c r="G285" s="119" t="s">
        <v>1073</v>
      </c>
      <c r="H285" s="187" t="s">
        <v>291</v>
      </c>
      <c r="I285" s="147" t="s">
        <v>519</v>
      </c>
      <c r="J285" s="146">
        <v>74.489999999999995</v>
      </c>
      <c r="K285" s="119" t="s">
        <v>200</v>
      </c>
      <c r="L285" s="155">
        <f>J285-68</f>
        <v>6.4899999999999949</v>
      </c>
      <c r="M285" s="119" t="s">
        <v>1074</v>
      </c>
      <c r="N285" s="119" t="s">
        <v>93</v>
      </c>
      <c r="O285" s="141">
        <f t="shared" si="216"/>
        <v>244082</v>
      </c>
      <c r="P285" s="141">
        <f t="shared" si="217"/>
        <v>244089</v>
      </c>
      <c r="Q285" s="141">
        <f t="shared" si="218"/>
        <v>244084</v>
      </c>
      <c r="R285" s="139" t="s">
        <v>55</v>
      </c>
      <c r="S285" s="143">
        <v>244085</v>
      </c>
      <c r="T285" s="139" t="s">
        <v>55</v>
      </c>
      <c r="U285" s="143">
        <v>244091</v>
      </c>
      <c r="V285" s="139" t="s">
        <v>55</v>
      </c>
      <c r="W285" s="143">
        <v>244091</v>
      </c>
      <c r="X285" s="139"/>
      <c r="Y285" s="141"/>
      <c r="Z285" s="119" t="s">
        <v>1092</v>
      </c>
      <c r="AA285" s="144"/>
    </row>
    <row r="286" spans="1:27" s="145" customFormat="1" ht="36" customHeight="1" x14ac:dyDescent="0.25">
      <c r="A286" s="119" t="s">
        <v>21</v>
      </c>
      <c r="B286" s="139">
        <v>244083</v>
      </c>
      <c r="C286" s="119" t="s">
        <v>14</v>
      </c>
      <c r="D286" s="166">
        <v>680224</v>
      </c>
      <c r="E286" s="119" t="s">
        <v>402</v>
      </c>
      <c r="F286" s="190">
        <v>68040916</v>
      </c>
      <c r="G286" s="119" t="s">
        <v>1076</v>
      </c>
      <c r="H286" s="187" t="s">
        <v>263</v>
      </c>
      <c r="I286" s="147" t="s">
        <v>404</v>
      </c>
      <c r="J286" s="146">
        <v>76.39</v>
      </c>
      <c r="K286" s="119" t="s">
        <v>200</v>
      </c>
      <c r="L286" s="155">
        <f>J286-67</f>
        <v>9.39</v>
      </c>
      <c r="M286" s="119" t="s">
        <v>1077</v>
      </c>
      <c r="N286" s="119" t="s">
        <v>93</v>
      </c>
      <c r="O286" s="141">
        <f t="shared" si="216"/>
        <v>244083</v>
      </c>
      <c r="P286" s="141">
        <f t="shared" si="217"/>
        <v>244090</v>
      </c>
      <c r="Q286" s="141">
        <f t="shared" si="218"/>
        <v>244085</v>
      </c>
      <c r="R286" s="139" t="s">
        <v>55</v>
      </c>
      <c r="S286" s="143">
        <v>244085</v>
      </c>
      <c r="T286" s="139" t="s">
        <v>55</v>
      </c>
      <c r="U286" s="143">
        <v>244091</v>
      </c>
      <c r="V286" s="139" t="s">
        <v>55</v>
      </c>
      <c r="W286" s="143">
        <v>244083</v>
      </c>
      <c r="X286" s="139"/>
      <c r="Y286" s="141"/>
      <c r="Z286" s="119" t="s">
        <v>1078</v>
      </c>
      <c r="AA286" s="144"/>
    </row>
    <row r="287" spans="1:27" s="145" customFormat="1" ht="36" customHeight="1" x14ac:dyDescent="0.25">
      <c r="A287" s="119" t="s">
        <v>21</v>
      </c>
      <c r="B287" s="139">
        <v>244083</v>
      </c>
      <c r="C287" s="119" t="s">
        <v>14</v>
      </c>
      <c r="D287" s="166">
        <v>680225</v>
      </c>
      <c r="E287" s="119" t="s">
        <v>433</v>
      </c>
      <c r="F287" s="190">
        <v>68040949</v>
      </c>
      <c r="G287" s="119" t="s">
        <v>1079</v>
      </c>
      <c r="H287" s="187" t="s">
        <v>224</v>
      </c>
      <c r="I287" s="147" t="s">
        <v>304</v>
      </c>
      <c r="J287" s="146">
        <v>74.94</v>
      </c>
      <c r="K287" s="119" t="s">
        <v>201</v>
      </c>
      <c r="L287" s="155">
        <f>76-J287</f>
        <v>1.0600000000000023</v>
      </c>
      <c r="M287" s="119" t="s">
        <v>1080</v>
      </c>
      <c r="N287" s="119" t="s">
        <v>93</v>
      </c>
      <c r="O287" s="141">
        <f t="shared" si="216"/>
        <v>244083</v>
      </c>
      <c r="P287" s="141">
        <f t="shared" si="217"/>
        <v>244090</v>
      </c>
      <c r="Q287" s="141">
        <f t="shared" si="218"/>
        <v>244085</v>
      </c>
      <c r="R287" s="139" t="s">
        <v>55</v>
      </c>
      <c r="S287" s="143">
        <v>244092</v>
      </c>
      <c r="T287" s="139" t="s">
        <v>55</v>
      </c>
      <c r="U287" s="143">
        <v>244095</v>
      </c>
      <c r="V287" s="139" t="s">
        <v>55</v>
      </c>
      <c r="W287" s="143">
        <v>244095</v>
      </c>
      <c r="X287" s="139"/>
      <c r="Y287" s="141"/>
      <c r="Z287" s="119" t="s">
        <v>1112</v>
      </c>
      <c r="AA287" s="144">
        <f t="shared" si="228"/>
        <v>5</v>
      </c>
    </row>
    <row r="288" spans="1:27" s="145" customFormat="1" ht="36" customHeight="1" x14ac:dyDescent="0.25">
      <c r="A288" s="119" t="s">
        <v>21</v>
      </c>
      <c r="B288" s="139">
        <v>244084</v>
      </c>
      <c r="C288" s="119" t="s">
        <v>14</v>
      </c>
      <c r="D288" s="166">
        <v>680226</v>
      </c>
      <c r="E288" s="119" t="s">
        <v>402</v>
      </c>
      <c r="F288" s="190">
        <v>68041003</v>
      </c>
      <c r="G288" s="119" t="s">
        <v>1081</v>
      </c>
      <c r="H288" s="187" t="s">
        <v>263</v>
      </c>
      <c r="I288" s="147" t="s">
        <v>404</v>
      </c>
      <c r="J288" s="146">
        <v>73.36</v>
      </c>
      <c r="K288" s="119" t="s">
        <v>200</v>
      </c>
      <c r="L288" s="146">
        <f>J288-67</f>
        <v>6.3599999999999994</v>
      </c>
      <c r="M288" s="119" t="s">
        <v>1082</v>
      </c>
      <c r="N288" s="119" t="s">
        <v>53</v>
      </c>
      <c r="O288" s="141">
        <f t="shared" si="216"/>
        <v>244084</v>
      </c>
      <c r="P288" s="141">
        <f t="shared" si="217"/>
        <v>244091</v>
      </c>
      <c r="Q288" s="141">
        <f t="shared" si="218"/>
        <v>244086</v>
      </c>
      <c r="R288" s="139" t="s">
        <v>55</v>
      </c>
      <c r="S288" s="143">
        <v>244092</v>
      </c>
      <c r="T288" s="139" t="s">
        <v>55</v>
      </c>
      <c r="U288" s="143">
        <v>244095</v>
      </c>
      <c r="V288" s="139" t="s">
        <v>55</v>
      </c>
      <c r="W288" s="143">
        <v>244084</v>
      </c>
      <c r="X288" s="139"/>
      <c r="Y288" s="141"/>
      <c r="Z288" s="119" t="s">
        <v>1083</v>
      </c>
      <c r="AA288" s="144">
        <f t="shared" si="228"/>
        <v>-7</v>
      </c>
    </row>
    <row r="289" spans="1:27" s="145" customFormat="1" ht="36" customHeight="1" x14ac:dyDescent="0.25">
      <c r="A289" s="119" t="s">
        <v>21</v>
      </c>
      <c r="B289" s="139">
        <v>244084</v>
      </c>
      <c r="C289" s="119" t="s">
        <v>14</v>
      </c>
      <c r="D289" s="166">
        <v>680227</v>
      </c>
      <c r="E289" s="119" t="s">
        <v>420</v>
      </c>
      <c r="F289" s="190">
        <v>68041029</v>
      </c>
      <c r="G289" s="119" t="s">
        <v>1084</v>
      </c>
      <c r="H289" s="187" t="s">
        <v>274</v>
      </c>
      <c r="I289" s="147" t="s">
        <v>1041</v>
      </c>
      <c r="J289" s="146">
        <v>126.13</v>
      </c>
      <c r="K289" s="119" t="s">
        <v>207</v>
      </c>
      <c r="L289" s="155">
        <f>J289-124</f>
        <v>2.1299999999999955</v>
      </c>
      <c r="M289" s="119" t="s">
        <v>1085</v>
      </c>
      <c r="N289" s="119" t="s">
        <v>93</v>
      </c>
      <c r="O289" s="141">
        <f t="shared" si="216"/>
        <v>244084</v>
      </c>
      <c r="P289" s="141">
        <f t="shared" si="217"/>
        <v>244091</v>
      </c>
      <c r="Q289" s="141">
        <f t="shared" si="218"/>
        <v>244086</v>
      </c>
      <c r="R289" s="139" t="s">
        <v>55</v>
      </c>
      <c r="S289" s="143">
        <v>244092</v>
      </c>
      <c r="T289" s="139" t="s">
        <v>55</v>
      </c>
      <c r="U289" s="143">
        <v>244095</v>
      </c>
      <c r="V289" s="139" t="s">
        <v>55</v>
      </c>
      <c r="W289" s="143">
        <v>244095</v>
      </c>
      <c r="X289" s="139"/>
      <c r="Y289" s="141"/>
      <c r="Z289" s="119" t="s">
        <v>966</v>
      </c>
      <c r="AA289" s="144">
        <f t="shared" si="228"/>
        <v>4</v>
      </c>
    </row>
    <row r="290" spans="1:27" s="145" customFormat="1" ht="36" customHeight="1" x14ac:dyDescent="0.25">
      <c r="A290" s="119" t="s">
        <v>21</v>
      </c>
      <c r="B290" s="139">
        <v>244084</v>
      </c>
      <c r="C290" s="119" t="s">
        <v>14</v>
      </c>
      <c r="D290" s="166">
        <v>680228</v>
      </c>
      <c r="E290" s="119" t="s">
        <v>433</v>
      </c>
      <c r="F290" s="190">
        <v>68041028</v>
      </c>
      <c r="G290" s="119" t="s">
        <v>1086</v>
      </c>
      <c r="H290" s="187" t="s">
        <v>252</v>
      </c>
      <c r="I290" s="147" t="s">
        <v>304</v>
      </c>
      <c r="J290" s="146">
        <v>73.66</v>
      </c>
      <c r="K290" s="119" t="s">
        <v>411</v>
      </c>
      <c r="L290" s="146">
        <f>76-J290</f>
        <v>2.3400000000000034</v>
      </c>
      <c r="M290" s="119" t="s">
        <v>1087</v>
      </c>
      <c r="N290" s="119" t="s">
        <v>93</v>
      </c>
      <c r="O290" s="141">
        <f t="shared" si="216"/>
        <v>244084</v>
      </c>
      <c r="P290" s="141">
        <f t="shared" si="217"/>
        <v>244091</v>
      </c>
      <c r="Q290" s="141">
        <f t="shared" si="218"/>
        <v>244086</v>
      </c>
      <c r="R290" s="139" t="s">
        <v>55</v>
      </c>
      <c r="S290" s="143">
        <v>244092</v>
      </c>
      <c r="T290" s="139" t="s">
        <v>55</v>
      </c>
      <c r="U290" s="143">
        <v>244095</v>
      </c>
      <c r="V290" s="139" t="s">
        <v>55</v>
      </c>
      <c r="W290" s="143">
        <v>244095</v>
      </c>
      <c r="X290" s="139"/>
      <c r="Y290" s="141"/>
      <c r="Z290" s="119" t="s">
        <v>1111</v>
      </c>
      <c r="AA290" s="144">
        <f t="shared" si="228"/>
        <v>4</v>
      </c>
    </row>
    <row r="291" spans="1:27" s="145" customFormat="1" ht="36" customHeight="1" x14ac:dyDescent="0.25">
      <c r="A291" s="119" t="s">
        <v>21</v>
      </c>
      <c r="B291" s="139">
        <v>244086</v>
      </c>
      <c r="C291" s="119" t="s">
        <v>14</v>
      </c>
      <c r="D291" s="166">
        <v>680229</v>
      </c>
      <c r="E291" s="119" t="s">
        <v>420</v>
      </c>
      <c r="F291" s="190">
        <v>68041208</v>
      </c>
      <c r="G291" s="119" t="s">
        <v>1089</v>
      </c>
      <c r="H291" s="187" t="s">
        <v>274</v>
      </c>
      <c r="I291" s="147" t="s">
        <v>1041</v>
      </c>
      <c r="J291" s="146">
        <v>125.34</v>
      </c>
      <c r="K291" s="119" t="s">
        <v>207</v>
      </c>
      <c r="L291" s="155">
        <f>J291-124</f>
        <v>1.3400000000000034</v>
      </c>
      <c r="M291" s="119" t="s">
        <v>1090</v>
      </c>
      <c r="N291" s="119" t="s">
        <v>93</v>
      </c>
      <c r="O291" s="141">
        <f t="shared" si="216"/>
        <v>244086</v>
      </c>
      <c r="P291" s="141">
        <f t="shared" si="217"/>
        <v>244093</v>
      </c>
      <c r="Q291" s="141">
        <f t="shared" si="218"/>
        <v>244088</v>
      </c>
      <c r="R291" s="139" t="s">
        <v>55</v>
      </c>
      <c r="S291" s="143">
        <v>244092</v>
      </c>
      <c r="T291" s="139" t="s">
        <v>55</v>
      </c>
      <c r="U291" s="143">
        <v>244095</v>
      </c>
      <c r="V291" s="139" t="s">
        <v>55</v>
      </c>
      <c r="W291" s="143">
        <v>244095</v>
      </c>
      <c r="X291" s="139"/>
      <c r="Y291" s="141"/>
      <c r="Z291" s="119" t="s">
        <v>966</v>
      </c>
      <c r="AA291" s="144">
        <f t="shared" si="228"/>
        <v>2</v>
      </c>
    </row>
    <row r="292" spans="1:27" s="145" customFormat="1" ht="36" customHeight="1" x14ac:dyDescent="0.25">
      <c r="A292" s="119" t="s">
        <v>21</v>
      </c>
      <c r="B292" s="139">
        <v>244092</v>
      </c>
      <c r="C292" s="119" t="s">
        <v>14</v>
      </c>
      <c r="D292" s="166">
        <v>680230</v>
      </c>
      <c r="E292" s="119" t="s">
        <v>827</v>
      </c>
      <c r="F292" s="190">
        <v>68041818</v>
      </c>
      <c r="G292" s="119" t="s">
        <v>1093</v>
      </c>
      <c r="H292" s="187" t="s">
        <v>277</v>
      </c>
      <c r="I292" s="147" t="s">
        <v>829</v>
      </c>
      <c r="J292" s="146">
        <v>107.19</v>
      </c>
      <c r="K292" s="119" t="s">
        <v>200</v>
      </c>
      <c r="L292" s="146">
        <f>J292-105</f>
        <v>2.1899999999999977</v>
      </c>
      <c r="M292" s="119" t="s">
        <v>1094</v>
      </c>
      <c r="N292" s="119" t="s">
        <v>93</v>
      </c>
      <c r="O292" s="141">
        <f t="shared" si="216"/>
        <v>244092</v>
      </c>
      <c r="P292" s="141">
        <f t="shared" ref="P292" si="230">B292+7</f>
        <v>244099</v>
      </c>
      <c r="Q292" s="141">
        <f t="shared" ref="Q292" si="231">O292+2</f>
        <v>244094</v>
      </c>
      <c r="R292" s="139" t="s">
        <v>55</v>
      </c>
      <c r="S292" s="143">
        <v>244106</v>
      </c>
      <c r="T292" s="139" t="s">
        <v>55</v>
      </c>
      <c r="U292" s="143">
        <v>244107</v>
      </c>
      <c r="V292" s="139" t="s">
        <v>55</v>
      </c>
      <c r="W292" s="143">
        <v>244098</v>
      </c>
      <c r="X292" s="139"/>
      <c r="Y292" s="141"/>
      <c r="Z292" s="119" t="s">
        <v>1131</v>
      </c>
      <c r="AA292" s="144">
        <f t="shared" si="228"/>
        <v>-1</v>
      </c>
    </row>
    <row r="293" spans="1:27" s="145" customFormat="1" ht="36" customHeight="1" x14ac:dyDescent="0.25">
      <c r="A293" s="119" t="s">
        <v>21</v>
      </c>
      <c r="B293" s="139">
        <v>244092</v>
      </c>
      <c r="C293" s="119" t="s">
        <v>14</v>
      </c>
      <c r="D293" s="166">
        <v>680231</v>
      </c>
      <c r="E293" s="119" t="s">
        <v>433</v>
      </c>
      <c r="F293" s="190">
        <v>68041837</v>
      </c>
      <c r="G293" s="119" t="s">
        <v>1095</v>
      </c>
      <c r="H293" s="187" t="s">
        <v>217</v>
      </c>
      <c r="I293" s="147" t="s">
        <v>304</v>
      </c>
      <c r="J293" s="146">
        <v>75.2</v>
      </c>
      <c r="K293" s="119" t="s">
        <v>411</v>
      </c>
      <c r="L293" s="146">
        <f>76-J293</f>
        <v>0.79999999999999716</v>
      </c>
      <c r="M293" s="119" t="s">
        <v>1096</v>
      </c>
      <c r="N293" s="119" t="s">
        <v>93</v>
      </c>
      <c r="O293" s="141">
        <f t="shared" si="216"/>
        <v>244092</v>
      </c>
      <c r="P293" s="141">
        <f t="shared" si="217"/>
        <v>244099</v>
      </c>
      <c r="Q293" s="141">
        <f t="shared" si="218"/>
        <v>244094</v>
      </c>
      <c r="R293" s="139" t="s">
        <v>55</v>
      </c>
      <c r="S293" s="143">
        <v>244100</v>
      </c>
      <c r="T293" s="139" t="s">
        <v>55</v>
      </c>
      <c r="U293" s="143">
        <v>244102</v>
      </c>
      <c r="V293" s="139" t="s">
        <v>55</v>
      </c>
      <c r="W293" s="143">
        <v>244102</v>
      </c>
      <c r="X293" s="139"/>
      <c r="Y293" s="141"/>
      <c r="Z293" s="119" t="s">
        <v>433</v>
      </c>
      <c r="AA293" s="144">
        <f t="shared" si="228"/>
        <v>3</v>
      </c>
    </row>
    <row r="294" spans="1:27" s="145" customFormat="1" ht="36" customHeight="1" x14ac:dyDescent="0.25">
      <c r="A294" s="119" t="s">
        <v>21</v>
      </c>
      <c r="B294" s="139">
        <v>244093</v>
      </c>
      <c r="C294" s="119" t="s">
        <v>14</v>
      </c>
      <c r="D294" s="166">
        <v>680232</v>
      </c>
      <c r="E294" s="119" t="s">
        <v>872</v>
      </c>
      <c r="F294" s="190">
        <v>68041912</v>
      </c>
      <c r="G294" s="119" t="s">
        <v>1097</v>
      </c>
      <c r="H294" s="187" t="s">
        <v>265</v>
      </c>
      <c r="I294" s="147" t="s">
        <v>845</v>
      </c>
      <c r="J294" s="146">
        <v>61.41</v>
      </c>
      <c r="K294" s="119" t="s">
        <v>200</v>
      </c>
      <c r="L294" s="146">
        <v>1.41</v>
      </c>
      <c r="M294" s="213" t="s">
        <v>1098</v>
      </c>
      <c r="N294" s="213" t="s">
        <v>93</v>
      </c>
      <c r="O294" s="141">
        <f t="shared" si="216"/>
        <v>244093</v>
      </c>
      <c r="P294" s="141">
        <f t="shared" si="217"/>
        <v>244100</v>
      </c>
      <c r="Q294" s="141">
        <f t="shared" si="218"/>
        <v>244095</v>
      </c>
      <c r="R294" s="139" t="s">
        <v>55</v>
      </c>
      <c r="S294" s="143">
        <v>244100</v>
      </c>
      <c r="T294" s="139" t="s">
        <v>55</v>
      </c>
      <c r="U294" s="143">
        <v>244102</v>
      </c>
      <c r="V294" s="139" t="s">
        <v>55</v>
      </c>
      <c r="W294" s="143">
        <v>244093</v>
      </c>
      <c r="X294" s="139"/>
      <c r="Y294" s="141"/>
      <c r="Z294" s="119" t="s">
        <v>1099</v>
      </c>
      <c r="AA294" s="144">
        <f t="shared" si="228"/>
        <v>-7</v>
      </c>
    </row>
    <row r="295" spans="1:27" s="145" customFormat="1" ht="36" customHeight="1" x14ac:dyDescent="0.25">
      <c r="A295" s="119" t="s">
        <v>21</v>
      </c>
      <c r="B295" s="139">
        <v>244093</v>
      </c>
      <c r="C295" s="119" t="s">
        <v>14</v>
      </c>
      <c r="D295" s="166">
        <v>680233</v>
      </c>
      <c r="E295" s="119" t="s">
        <v>356</v>
      </c>
      <c r="F295" s="190">
        <v>68041921</v>
      </c>
      <c r="G295" s="119" t="s">
        <v>1100</v>
      </c>
      <c r="H295" s="187" t="s">
        <v>230</v>
      </c>
      <c r="I295" s="147" t="s">
        <v>358</v>
      </c>
      <c r="J295" s="119">
        <v>76.989999999999995</v>
      </c>
      <c r="K295" s="119" t="s">
        <v>201</v>
      </c>
      <c r="L295" s="215">
        <f>78-J295</f>
        <v>1.0100000000000051</v>
      </c>
      <c r="M295" s="119" t="s">
        <v>1101</v>
      </c>
      <c r="N295" s="148" t="s">
        <v>93</v>
      </c>
      <c r="O295" s="216">
        <f t="shared" si="216"/>
        <v>244093</v>
      </c>
      <c r="P295" s="141">
        <f t="shared" si="217"/>
        <v>244100</v>
      </c>
      <c r="Q295" s="141">
        <f t="shared" si="218"/>
        <v>244095</v>
      </c>
      <c r="R295" s="139" t="s">
        <v>55</v>
      </c>
      <c r="S295" s="143">
        <v>244106</v>
      </c>
      <c r="T295" s="139" t="s">
        <v>55</v>
      </c>
      <c r="U295" s="143">
        <v>244107</v>
      </c>
      <c r="V295" s="139" t="s">
        <v>55</v>
      </c>
      <c r="W295" s="143">
        <v>244098</v>
      </c>
      <c r="X295" s="139"/>
      <c r="Y295" s="141"/>
      <c r="Z295" s="119" t="s">
        <v>1129</v>
      </c>
      <c r="AA295" s="144">
        <f t="shared" si="228"/>
        <v>-2</v>
      </c>
    </row>
    <row r="296" spans="1:27" s="145" customFormat="1" ht="36" customHeight="1" x14ac:dyDescent="0.25">
      <c r="A296" s="119" t="s">
        <v>21</v>
      </c>
      <c r="B296" s="139">
        <v>244094</v>
      </c>
      <c r="C296" s="119" t="s">
        <v>14</v>
      </c>
      <c r="D296" s="166">
        <v>680234</v>
      </c>
      <c r="E296" s="119" t="s">
        <v>1102</v>
      </c>
      <c r="F296" s="190">
        <v>68042003</v>
      </c>
      <c r="G296" s="119" t="s">
        <v>1103</v>
      </c>
      <c r="H296" s="187" t="s">
        <v>226</v>
      </c>
      <c r="I296" s="147" t="s">
        <v>1104</v>
      </c>
      <c r="J296" s="119">
        <v>87.23</v>
      </c>
      <c r="K296" s="119" t="s">
        <v>200</v>
      </c>
      <c r="L296" s="215">
        <v>2.23</v>
      </c>
      <c r="M296" s="119" t="s">
        <v>1105</v>
      </c>
      <c r="N296" s="148" t="s">
        <v>93</v>
      </c>
      <c r="O296" s="216">
        <f t="shared" si="216"/>
        <v>244094</v>
      </c>
      <c r="P296" s="141">
        <f t="shared" si="217"/>
        <v>244101</v>
      </c>
      <c r="Q296" s="141">
        <f t="shared" si="218"/>
        <v>244096</v>
      </c>
      <c r="R296" s="139" t="s">
        <v>55</v>
      </c>
      <c r="S296" s="143">
        <v>244106</v>
      </c>
      <c r="T296" s="139" t="s">
        <v>55</v>
      </c>
      <c r="U296" s="143">
        <v>244107</v>
      </c>
      <c r="V296" s="139" t="s">
        <v>55</v>
      </c>
      <c r="W296" s="143">
        <v>244098</v>
      </c>
      <c r="X296" s="139"/>
      <c r="Y296" s="141"/>
      <c r="Z296" s="119" t="s">
        <v>1130</v>
      </c>
      <c r="AA296" s="144">
        <f t="shared" ref="AA296" si="232">W296-P296</f>
        <v>-3</v>
      </c>
    </row>
    <row r="297" spans="1:27" s="145" customFormat="1" ht="36" customHeight="1" x14ac:dyDescent="0.25">
      <c r="A297" s="119" t="s">
        <v>21</v>
      </c>
      <c r="B297" s="139">
        <v>244094</v>
      </c>
      <c r="C297" s="119" t="s">
        <v>14</v>
      </c>
      <c r="D297" s="166">
        <v>680235</v>
      </c>
      <c r="E297" s="119" t="s">
        <v>413</v>
      </c>
      <c r="F297" s="190">
        <v>68042013</v>
      </c>
      <c r="G297" s="119" t="s">
        <v>1106</v>
      </c>
      <c r="H297" s="187" t="s">
        <v>262</v>
      </c>
      <c r="I297" s="147" t="s">
        <v>415</v>
      </c>
      <c r="J297" s="119">
        <v>86.55</v>
      </c>
      <c r="K297" s="119" t="s">
        <v>207</v>
      </c>
      <c r="L297" s="119">
        <v>1.55</v>
      </c>
      <c r="M297" s="214" t="s">
        <v>1107</v>
      </c>
      <c r="N297" s="148" t="s">
        <v>93</v>
      </c>
      <c r="O297" s="141">
        <f t="shared" si="216"/>
        <v>244094</v>
      </c>
      <c r="P297" s="141">
        <f t="shared" si="217"/>
        <v>244101</v>
      </c>
      <c r="Q297" s="141">
        <f t="shared" si="218"/>
        <v>244096</v>
      </c>
      <c r="R297" s="139" t="s">
        <v>55</v>
      </c>
      <c r="S297" s="143">
        <v>244100</v>
      </c>
      <c r="T297" s="139" t="s">
        <v>55</v>
      </c>
      <c r="U297" s="143">
        <v>244102</v>
      </c>
      <c r="V297" s="139" t="s">
        <v>55</v>
      </c>
      <c r="W297" s="143">
        <v>244102</v>
      </c>
      <c r="X297" s="139"/>
      <c r="Y297" s="141"/>
      <c r="Z297" s="119" t="s">
        <v>413</v>
      </c>
      <c r="AA297" s="144">
        <f t="shared" si="228"/>
        <v>1</v>
      </c>
    </row>
    <row r="298" spans="1:27" s="145" customFormat="1" ht="36" customHeight="1" x14ac:dyDescent="0.25">
      <c r="A298" s="119" t="s">
        <v>21</v>
      </c>
      <c r="B298" s="139">
        <v>244095</v>
      </c>
      <c r="C298" s="119" t="s">
        <v>14</v>
      </c>
      <c r="D298" s="166">
        <v>680236</v>
      </c>
      <c r="E298" s="119" t="s">
        <v>420</v>
      </c>
      <c r="F298" s="190">
        <v>68042117</v>
      </c>
      <c r="G298" s="119" t="s">
        <v>1108</v>
      </c>
      <c r="H298" s="187" t="s">
        <v>276</v>
      </c>
      <c r="I298" s="147" t="s">
        <v>1041</v>
      </c>
      <c r="J298" s="146">
        <v>126.71</v>
      </c>
      <c r="K298" s="119" t="s">
        <v>207</v>
      </c>
      <c r="L298" s="146">
        <f>J298-124</f>
        <v>2.7099999999999937</v>
      </c>
      <c r="M298" s="119" t="s">
        <v>1109</v>
      </c>
      <c r="N298" s="119" t="s">
        <v>93</v>
      </c>
      <c r="O298" s="141">
        <f t="shared" si="216"/>
        <v>244095</v>
      </c>
      <c r="P298" s="141">
        <f t="shared" si="217"/>
        <v>244102</v>
      </c>
      <c r="Q298" s="141">
        <f t="shared" si="218"/>
        <v>244097</v>
      </c>
      <c r="R298" s="139" t="s">
        <v>55</v>
      </c>
      <c r="S298" s="143">
        <v>244100</v>
      </c>
      <c r="T298" s="139" t="s">
        <v>55</v>
      </c>
      <c r="U298" s="143">
        <v>244102</v>
      </c>
      <c r="V298" s="139" t="s">
        <v>55</v>
      </c>
      <c r="W298" s="143">
        <v>244102</v>
      </c>
      <c r="X298" s="139"/>
      <c r="Y298" s="141"/>
      <c r="Z298" s="119" t="s">
        <v>420</v>
      </c>
      <c r="AA298" s="144">
        <f t="shared" si="228"/>
        <v>0</v>
      </c>
    </row>
    <row r="299" spans="1:27" s="145" customFormat="1" ht="36" customHeight="1" x14ac:dyDescent="0.25">
      <c r="A299" s="149" t="s">
        <v>21</v>
      </c>
      <c r="B299" s="198">
        <v>244095</v>
      </c>
      <c r="C299" s="149" t="s">
        <v>14</v>
      </c>
      <c r="D299" s="166">
        <v>680237</v>
      </c>
      <c r="E299" s="149" t="s">
        <v>872</v>
      </c>
      <c r="F299" s="190">
        <v>68042116</v>
      </c>
      <c r="G299" s="149" t="s">
        <v>1110</v>
      </c>
      <c r="H299" s="199" t="s">
        <v>299</v>
      </c>
      <c r="I299" s="156" t="s">
        <v>845</v>
      </c>
      <c r="J299" s="149">
        <v>62.26</v>
      </c>
      <c r="K299" s="119" t="s">
        <v>207</v>
      </c>
      <c r="L299" s="149">
        <v>2.2599999999999998</v>
      </c>
      <c r="M299" s="149" t="s">
        <v>902</v>
      </c>
      <c r="N299" s="149" t="s">
        <v>93</v>
      </c>
      <c r="O299" s="141">
        <f t="shared" si="216"/>
        <v>244095</v>
      </c>
      <c r="P299" s="141">
        <f t="shared" si="217"/>
        <v>244102</v>
      </c>
      <c r="Q299" s="141">
        <f t="shared" si="218"/>
        <v>244097</v>
      </c>
      <c r="R299" s="139" t="s">
        <v>55</v>
      </c>
      <c r="S299" s="143">
        <v>244100</v>
      </c>
      <c r="T299" s="139" t="s">
        <v>55</v>
      </c>
      <c r="U299" s="143">
        <v>244102</v>
      </c>
      <c r="V299" s="139" t="s">
        <v>55</v>
      </c>
      <c r="W299" s="143">
        <v>244095</v>
      </c>
      <c r="X299" s="139"/>
      <c r="Y299" s="141"/>
      <c r="Z299" s="149" t="s">
        <v>1113</v>
      </c>
      <c r="AA299" s="200">
        <f t="shared" si="228"/>
        <v>-7</v>
      </c>
    </row>
    <row r="300" spans="1:27" s="145" customFormat="1" ht="36" customHeight="1" x14ac:dyDescent="0.25">
      <c r="A300" s="149" t="s">
        <v>21</v>
      </c>
      <c r="B300" s="198">
        <v>244096</v>
      </c>
      <c r="C300" s="149" t="s">
        <v>14</v>
      </c>
      <c r="D300" s="166">
        <v>680238</v>
      </c>
      <c r="E300" s="119" t="s">
        <v>420</v>
      </c>
      <c r="F300" s="190">
        <v>68042202</v>
      </c>
      <c r="G300" s="119" t="s">
        <v>1114</v>
      </c>
      <c r="H300" s="187" t="s">
        <v>276</v>
      </c>
      <c r="I300" s="147" t="s">
        <v>1041</v>
      </c>
      <c r="J300" s="146">
        <v>125.63</v>
      </c>
      <c r="K300" s="119" t="s">
        <v>207</v>
      </c>
      <c r="L300" s="146">
        <v>1.63</v>
      </c>
      <c r="M300" s="119" t="s">
        <v>1059</v>
      </c>
      <c r="N300" s="119" t="s">
        <v>93</v>
      </c>
      <c r="O300" s="141">
        <f t="shared" si="216"/>
        <v>244096</v>
      </c>
      <c r="P300" s="141">
        <f t="shared" si="217"/>
        <v>244103</v>
      </c>
      <c r="Q300" s="141">
        <f t="shared" si="218"/>
        <v>244098</v>
      </c>
      <c r="R300" s="139" t="s">
        <v>55</v>
      </c>
      <c r="S300" s="143">
        <v>244100</v>
      </c>
      <c r="T300" s="139" t="s">
        <v>55</v>
      </c>
      <c r="U300" s="143">
        <v>244102</v>
      </c>
      <c r="V300" s="139" t="s">
        <v>55</v>
      </c>
      <c r="W300" s="143">
        <v>244102</v>
      </c>
      <c r="X300" s="139"/>
      <c r="Y300" s="141"/>
      <c r="Z300" s="119" t="s">
        <v>420</v>
      </c>
      <c r="AA300" s="144">
        <f t="shared" si="228"/>
        <v>-1</v>
      </c>
    </row>
    <row r="301" spans="1:27" s="145" customFormat="1" ht="36" customHeight="1" x14ac:dyDescent="0.25">
      <c r="A301" s="149" t="s">
        <v>21</v>
      </c>
      <c r="B301" s="198">
        <v>244097</v>
      </c>
      <c r="C301" s="119" t="s">
        <v>11</v>
      </c>
      <c r="D301" s="166">
        <v>680239</v>
      </c>
      <c r="E301" s="119" t="s">
        <v>983</v>
      </c>
      <c r="F301" s="190" t="s">
        <v>1117</v>
      </c>
      <c r="G301" s="119">
        <v>680413</v>
      </c>
      <c r="H301" s="187" t="s">
        <v>135</v>
      </c>
      <c r="I301" s="147" t="s">
        <v>76</v>
      </c>
      <c r="J301" s="119">
        <v>961</v>
      </c>
      <c r="K301" s="119" t="s">
        <v>123</v>
      </c>
      <c r="L301" s="142">
        <v>11</v>
      </c>
      <c r="M301" s="119" t="s">
        <v>1118</v>
      </c>
      <c r="N301" s="119" t="s">
        <v>53</v>
      </c>
      <c r="O301" s="141">
        <f t="shared" si="216"/>
        <v>244097</v>
      </c>
      <c r="P301" s="141">
        <f t="shared" si="217"/>
        <v>244104</v>
      </c>
      <c r="Q301" s="141">
        <f t="shared" si="218"/>
        <v>244099</v>
      </c>
      <c r="R301" s="139" t="s">
        <v>55</v>
      </c>
      <c r="S301" s="143">
        <v>244100</v>
      </c>
      <c r="T301" s="139" t="s">
        <v>55</v>
      </c>
      <c r="U301" s="143">
        <v>244102</v>
      </c>
      <c r="V301" s="139" t="s">
        <v>55</v>
      </c>
      <c r="W301" s="143">
        <v>244097</v>
      </c>
      <c r="X301" s="139"/>
      <c r="Y301" s="141"/>
      <c r="Z301" s="149" t="s">
        <v>1119</v>
      </c>
      <c r="AA301" s="144">
        <f t="shared" ref="AA301" si="233">W301-P301</f>
        <v>-7</v>
      </c>
    </row>
    <row r="302" spans="1:27" s="145" customFormat="1" ht="36" customHeight="1" x14ac:dyDescent="0.25">
      <c r="A302" s="149" t="s">
        <v>21</v>
      </c>
      <c r="B302" s="198">
        <v>244097</v>
      </c>
      <c r="C302" s="119" t="s">
        <v>14</v>
      </c>
      <c r="D302" s="166">
        <v>680240</v>
      </c>
      <c r="E302" s="119" t="s">
        <v>420</v>
      </c>
      <c r="F302" s="190">
        <v>68042302</v>
      </c>
      <c r="G302" s="119" t="s">
        <v>1115</v>
      </c>
      <c r="H302" s="187" t="s">
        <v>276</v>
      </c>
      <c r="I302" s="147" t="s">
        <v>1041</v>
      </c>
      <c r="J302" s="146">
        <v>126.3</v>
      </c>
      <c r="K302" s="119" t="s">
        <v>207</v>
      </c>
      <c r="L302" s="146">
        <f>J302-124</f>
        <v>2.2999999999999972</v>
      </c>
      <c r="M302" s="119" t="s">
        <v>423</v>
      </c>
      <c r="N302" s="119" t="s">
        <v>93</v>
      </c>
      <c r="O302" s="141">
        <f t="shared" si="216"/>
        <v>244097</v>
      </c>
      <c r="P302" s="141">
        <f t="shared" si="217"/>
        <v>244104</v>
      </c>
      <c r="Q302" s="141">
        <f t="shared" si="218"/>
        <v>244099</v>
      </c>
      <c r="R302" s="139" t="s">
        <v>55</v>
      </c>
      <c r="S302" s="143">
        <v>244100</v>
      </c>
      <c r="T302" s="139" t="s">
        <v>55</v>
      </c>
      <c r="U302" s="143">
        <v>244102</v>
      </c>
      <c r="V302" s="139" t="s">
        <v>55</v>
      </c>
      <c r="W302" s="143">
        <v>244102</v>
      </c>
      <c r="X302" s="139"/>
      <c r="Y302" s="141"/>
      <c r="Z302" s="119" t="s">
        <v>420</v>
      </c>
      <c r="AA302" s="144">
        <f t="shared" si="228"/>
        <v>-2</v>
      </c>
    </row>
    <row r="303" spans="1:27" s="145" customFormat="1" ht="36" customHeight="1" x14ac:dyDescent="0.25">
      <c r="A303" s="149" t="s">
        <v>21</v>
      </c>
      <c r="B303" s="198">
        <v>244097</v>
      </c>
      <c r="C303" s="119" t="s">
        <v>14</v>
      </c>
      <c r="D303" s="166">
        <v>680241</v>
      </c>
      <c r="E303" s="149" t="s">
        <v>872</v>
      </c>
      <c r="F303" s="190">
        <v>68042316</v>
      </c>
      <c r="G303" s="119" t="s">
        <v>1116</v>
      </c>
      <c r="H303" s="187" t="s">
        <v>299</v>
      </c>
      <c r="I303" s="156" t="s">
        <v>845</v>
      </c>
      <c r="J303" s="146">
        <v>61.87</v>
      </c>
      <c r="K303" s="119" t="s">
        <v>207</v>
      </c>
      <c r="L303" s="146">
        <v>1.87</v>
      </c>
      <c r="M303" s="119" t="s">
        <v>874</v>
      </c>
      <c r="N303" s="119" t="s">
        <v>93</v>
      </c>
      <c r="O303" s="141">
        <f t="shared" si="216"/>
        <v>244097</v>
      </c>
      <c r="P303" s="141">
        <f t="shared" si="217"/>
        <v>244104</v>
      </c>
      <c r="Q303" s="141">
        <f t="shared" si="218"/>
        <v>244099</v>
      </c>
      <c r="R303" s="139" t="s">
        <v>55</v>
      </c>
      <c r="S303" s="143">
        <v>244100</v>
      </c>
      <c r="T303" s="139" t="s">
        <v>55</v>
      </c>
      <c r="U303" s="143">
        <v>244102</v>
      </c>
      <c r="V303" s="139" t="s">
        <v>55</v>
      </c>
      <c r="W303" s="143">
        <v>244102</v>
      </c>
      <c r="X303" s="139"/>
      <c r="Y303" s="141"/>
      <c r="Z303" s="149" t="s">
        <v>872</v>
      </c>
      <c r="AA303" s="144">
        <f t="shared" si="228"/>
        <v>-2</v>
      </c>
    </row>
    <row r="304" spans="1:27" s="145" customFormat="1" ht="36" customHeight="1" x14ac:dyDescent="0.25">
      <c r="A304" s="149" t="s">
        <v>21</v>
      </c>
      <c r="B304" s="198">
        <v>244098</v>
      </c>
      <c r="C304" s="119" t="s">
        <v>14</v>
      </c>
      <c r="D304" s="166">
        <v>680242</v>
      </c>
      <c r="E304" s="149" t="s">
        <v>420</v>
      </c>
      <c r="F304" s="190">
        <v>68042403</v>
      </c>
      <c r="G304" s="119" t="s">
        <v>1120</v>
      </c>
      <c r="H304" s="187" t="s">
        <v>205</v>
      </c>
      <c r="I304" s="156" t="s">
        <v>1041</v>
      </c>
      <c r="J304" s="146" t="s">
        <v>1125</v>
      </c>
      <c r="K304" s="119" t="s">
        <v>1121</v>
      </c>
      <c r="L304" s="146" t="s">
        <v>1126</v>
      </c>
      <c r="M304" s="119" t="s">
        <v>1127</v>
      </c>
      <c r="N304" s="119" t="s">
        <v>93</v>
      </c>
      <c r="O304" s="141">
        <f t="shared" si="216"/>
        <v>244098</v>
      </c>
      <c r="P304" s="141">
        <f t="shared" si="217"/>
        <v>244105</v>
      </c>
      <c r="Q304" s="141">
        <f t="shared" si="218"/>
        <v>244100</v>
      </c>
      <c r="R304" s="139" t="s">
        <v>55</v>
      </c>
      <c r="S304" s="143">
        <v>244106</v>
      </c>
      <c r="T304" s="139" t="s">
        <v>55</v>
      </c>
      <c r="U304" s="143">
        <v>244107</v>
      </c>
      <c r="V304" s="139" t="s">
        <v>55</v>
      </c>
      <c r="W304" s="143">
        <v>244107</v>
      </c>
      <c r="X304" s="139"/>
      <c r="Y304" s="141"/>
      <c r="Z304" s="119" t="s">
        <v>967</v>
      </c>
      <c r="AA304" s="144">
        <f t="shared" si="228"/>
        <v>2</v>
      </c>
    </row>
    <row r="305" spans="1:27" s="145" customFormat="1" ht="39.75" customHeight="1" x14ac:dyDescent="0.25">
      <c r="A305" s="149" t="s">
        <v>21</v>
      </c>
      <c r="B305" s="198">
        <v>244098</v>
      </c>
      <c r="C305" s="119" t="s">
        <v>14</v>
      </c>
      <c r="D305" s="166">
        <v>680243</v>
      </c>
      <c r="E305" s="119" t="s">
        <v>1122</v>
      </c>
      <c r="F305" s="190">
        <v>68042407</v>
      </c>
      <c r="G305" s="119" t="s">
        <v>1123</v>
      </c>
      <c r="H305" s="187" t="s">
        <v>283</v>
      </c>
      <c r="I305" s="147" t="s">
        <v>1124</v>
      </c>
      <c r="J305" s="146">
        <v>49.62</v>
      </c>
      <c r="K305" s="119" t="s">
        <v>200</v>
      </c>
      <c r="L305" s="146">
        <v>1.62</v>
      </c>
      <c r="M305" s="119" t="s">
        <v>1128</v>
      </c>
      <c r="N305" s="119" t="s">
        <v>93</v>
      </c>
      <c r="O305" s="141">
        <f t="shared" si="216"/>
        <v>244098</v>
      </c>
      <c r="P305" s="141">
        <f t="shared" si="217"/>
        <v>244105</v>
      </c>
      <c r="Q305" s="141">
        <f t="shared" si="218"/>
        <v>244100</v>
      </c>
      <c r="R305" s="139" t="s">
        <v>55</v>
      </c>
      <c r="S305" s="143">
        <v>244106</v>
      </c>
      <c r="T305" s="139"/>
      <c r="U305" s="143"/>
      <c r="V305" s="139" t="s">
        <v>55</v>
      </c>
      <c r="W305" s="143">
        <v>244103</v>
      </c>
      <c r="X305" s="139"/>
      <c r="Y305" s="141"/>
      <c r="Z305" s="119" t="s">
        <v>1159</v>
      </c>
      <c r="AA305" s="144">
        <f t="shared" si="228"/>
        <v>-2</v>
      </c>
    </row>
    <row r="306" spans="1:27" s="145" customFormat="1" ht="39.75" customHeight="1" x14ac:dyDescent="0.25">
      <c r="A306" s="149" t="s">
        <v>21</v>
      </c>
      <c r="B306" s="198">
        <v>244098</v>
      </c>
      <c r="C306" s="119" t="s">
        <v>14</v>
      </c>
      <c r="D306" s="166">
        <v>680243</v>
      </c>
      <c r="E306" s="119" t="s">
        <v>1122</v>
      </c>
      <c r="F306" s="190">
        <v>68042429</v>
      </c>
      <c r="G306" s="119" t="s">
        <v>1123</v>
      </c>
      <c r="H306" s="187" t="s">
        <v>283</v>
      </c>
      <c r="I306" s="147" t="s">
        <v>1124</v>
      </c>
      <c r="J306" s="146">
        <v>50.01</v>
      </c>
      <c r="K306" s="119" t="s">
        <v>200</v>
      </c>
      <c r="L306" s="146">
        <f>J306-48</f>
        <v>2.009999999999998</v>
      </c>
      <c r="M306" s="119" t="s">
        <v>1132</v>
      </c>
      <c r="N306" s="119" t="s">
        <v>93</v>
      </c>
      <c r="O306" s="141">
        <f t="shared" ref="O306" si="234">B306</f>
        <v>244098</v>
      </c>
      <c r="P306" s="141">
        <f t="shared" ref="P306" si="235">B306+7</f>
        <v>244105</v>
      </c>
      <c r="Q306" s="141">
        <f t="shared" ref="Q306" si="236">O306+2</f>
        <v>244100</v>
      </c>
      <c r="R306" s="139" t="s">
        <v>55</v>
      </c>
      <c r="S306" s="143">
        <v>244106</v>
      </c>
      <c r="T306" s="139" t="s">
        <v>55</v>
      </c>
      <c r="U306" s="143">
        <v>244107</v>
      </c>
      <c r="V306" s="139" t="s">
        <v>55</v>
      </c>
      <c r="W306" s="143">
        <v>244103</v>
      </c>
      <c r="X306" s="139"/>
      <c r="Y306" s="141"/>
      <c r="Z306" s="119" t="s">
        <v>1159</v>
      </c>
      <c r="AA306" s="144">
        <f t="shared" ref="AA306" si="237">W306-P306</f>
        <v>-2</v>
      </c>
    </row>
    <row r="307" spans="1:27" s="145" customFormat="1" ht="36" customHeight="1" x14ac:dyDescent="0.25">
      <c r="A307" s="149" t="s">
        <v>21</v>
      </c>
      <c r="B307" s="198">
        <v>244098</v>
      </c>
      <c r="C307" s="119" t="s">
        <v>14</v>
      </c>
      <c r="D307" s="166">
        <v>680244</v>
      </c>
      <c r="E307" s="149" t="s">
        <v>420</v>
      </c>
      <c r="F307" s="190">
        <v>68042451</v>
      </c>
      <c r="G307" s="119" t="s">
        <v>1133</v>
      </c>
      <c r="H307" s="187" t="s">
        <v>276</v>
      </c>
      <c r="I307" s="156" t="s">
        <v>1041</v>
      </c>
      <c r="J307" s="146">
        <v>125.8</v>
      </c>
      <c r="K307" s="119" t="s">
        <v>207</v>
      </c>
      <c r="L307" s="146">
        <f>J307-124</f>
        <v>1.7999999999999972</v>
      </c>
      <c r="M307" s="119" t="s">
        <v>1134</v>
      </c>
      <c r="N307" s="119" t="s">
        <v>93</v>
      </c>
      <c r="O307" s="141">
        <f t="shared" si="216"/>
        <v>244098</v>
      </c>
      <c r="P307" s="141">
        <f t="shared" si="217"/>
        <v>244105</v>
      </c>
      <c r="Q307" s="141">
        <f t="shared" si="218"/>
        <v>244100</v>
      </c>
      <c r="R307" s="139" t="s">
        <v>55</v>
      </c>
      <c r="S307" s="143">
        <v>244106</v>
      </c>
      <c r="T307" s="139" t="s">
        <v>55</v>
      </c>
      <c r="U307" s="143">
        <v>244107</v>
      </c>
      <c r="V307" s="139" t="s">
        <v>55</v>
      </c>
      <c r="W307" s="143">
        <v>244107</v>
      </c>
      <c r="X307" s="139"/>
      <c r="Y307" s="141"/>
      <c r="Z307" s="119" t="s">
        <v>966</v>
      </c>
      <c r="AA307" s="144">
        <f t="shared" ref="AA307" si="238">W307-P307</f>
        <v>2</v>
      </c>
    </row>
    <row r="308" spans="1:27" s="145" customFormat="1" ht="36" customHeight="1" x14ac:dyDescent="0.25">
      <c r="A308" s="149" t="s">
        <v>21</v>
      </c>
      <c r="B308" s="198">
        <v>244099</v>
      </c>
      <c r="C308" s="119" t="s">
        <v>14</v>
      </c>
      <c r="D308" s="166">
        <v>680245</v>
      </c>
      <c r="E308" s="149" t="s">
        <v>1135</v>
      </c>
      <c r="F308" s="190">
        <v>68042502</v>
      </c>
      <c r="G308" s="119" t="s">
        <v>1136</v>
      </c>
      <c r="H308" s="187" t="s">
        <v>289</v>
      </c>
      <c r="I308" s="147" t="s">
        <v>519</v>
      </c>
      <c r="J308" s="146">
        <v>73.87</v>
      </c>
      <c r="K308" s="119" t="s">
        <v>207</v>
      </c>
      <c r="L308" s="146">
        <f>J308-68</f>
        <v>5.8700000000000045</v>
      </c>
      <c r="M308" s="119" t="s">
        <v>1137</v>
      </c>
      <c r="N308" s="119" t="s">
        <v>93</v>
      </c>
      <c r="O308" s="141">
        <f t="shared" si="216"/>
        <v>244099</v>
      </c>
      <c r="P308" s="141">
        <f t="shared" si="217"/>
        <v>244106</v>
      </c>
      <c r="Q308" s="141">
        <f t="shared" si="218"/>
        <v>244101</v>
      </c>
      <c r="R308" s="139"/>
      <c r="S308" s="143"/>
      <c r="T308" s="139"/>
      <c r="U308" s="143"/>
      <c r="V308" s="139" t="s">
        <v>55</v>
      </c>
      <c r="W308" s="143">
        <v>244099</v>
      </c>
      <c r="X308" s="139"/>
      <c r="Y308" s="141"/>
      <c r="Z308" s="119" t="s">
        <v>1140</v>
      </c>
      <c r="AA308" s="144">
        <f t="shared" si="228"/>
        <v>-7</v>
      </c>
    </row>
    <row r="309" spans="1:27" s="145" customFormat="1" ht="36" customHeight="1" x14ac:dyDescent="0.25">
      <c r="A309" s="149" t="s">
        <v>21</v>
      </c>
      <c r="B309" s="198">
        <v>244099</v>
      </c>
      <c r="C309" s="119" t="s">
        <v>14</v>
      </c>
      <c r="D309" s="166">
        <v>680245</v>
      </c>
      <c r="E309" s="149" t="s">
        <v>1135</v>
      </c>
      <c r="F309" s="190">
        <v>68042503</v>
      </c>
      <c r="G309" s="119" t="s">
        <v>1138</v>
      </c>
      <c r="H309" s="187" t="s">
        <v>277</v>
      </c>
      <c r="I309" s="147" t="s">
        <v>519</v>
      </c>
      <c r="J309" s="146">
        <v>75.67</v>
      </c>
      <c r="K309" s="119" t="s">
        <v>207</v>
      </c>
      <c r="L309" s="146">
        <f>J309-68</f>
        <v>7.6700000000000017</v>
      </c>
      <c r="M309" s="119" t="s">
        <v>1139</v>
      </c>
      <c r="N309" s="119" t="s">
        <v>93</v>
      </c>
      <c r="O309" s="141">
        <f t="shared" si="216"/>
        <v>244099</v>
      </c>
      <c r="P309" s="141">
        <f t="shared" si="217"/>
        <v>244106</v>
      </c>
      <c r="Q309" s="141">
        <f t="shared" si="218"/>
        <v>244101</v>
      </c>
      <c r="R309" s="139" t="s">
        <v>55</v>
      </c>
      <c r="S309" s="143">
        <v>244106</v>
      </c>
      <c r="T309" s="139" t="s">
        <v>55</v>
      </c>
      <c r="U309" s="143">
        <v>244107</v>
      </c>
      <c r="V309" s="139" t="s">
        <v>55</v>
      </c>
      <c r="W309" s="143">
        <v>244099</v>
      </c>
      <c r="X309" s="139"/>
      <c r="Y309" s="141"/>
      <c r="Z309" s="119" t="s">
        <v>1140</v>
      </c>
      <c r="AA309" s="144">
        <f t="shared" ref="AA309" si="239">W309-P309</f>
        <v>-7</v>
      </c>
    </row>
    <row r="310" spans="1:27" s="145" customFormat="1" ht="36" customHeight="1" x14ac:dyDescent="0.25">
      <c r="A310" s="119" t="s">
        <v>21</v>
      </c>
      <c r="B310" s="139">
        <v>244100</v>
      </c>
      <c r="C310" s="119" t="s">
        <v>14</v>
      </c>
      <c r="D310" s="166">
        <v>680246</v>
      </c>
      <c r="E310" s="119" t="s">
        <v>827</v>
      </c>
      <c r="F310" s="190">
        <v>68042628</v>
      </c>
      <c r="G310" s="119" t="s">
        <v>1141</v>
      </c>
      <c r="H310" s="187" t="s">
        <v>226</v>
      </c>
      <c r="I310" s="147" t="s">
        <v>829</v>
      </c>
      <c r="J310" s="119">
        <v>107.97</v>
      </c>
      <c r="K310" s="119" t="s">
        <v>200</v>
      </c>
      <c r="L310" s="119">
        <v>2.97</v>
      </c>
      <c r="M310" s="119" t="s">
        <v>1142</v>
      </c>
      <c r="N310" s="119" t="s">
        <v>93</v>
      </c>
      <c r="O310" s="141">
        <f t="shared" si="216"/>
        <v>244100</v>
      </c>
      <c r="P310" s="141">
        <f t="shared" si="217"/>
        <v>244107</v>
      </c>
      <c r="Q310" s="141">
        <f t="shared" si="218"/>
        <v>244102</v>
      </c>
      <c r="R310" s="139" t="s">
        <v>55</v>
      </c>
      <c r="S310" s="143">
        <v>244106</v>
      </c>
      <c r="T310" s="139" t="s">
        <v>55</v>
      </c>
      <c r="U310" s="143">
        <v>244107</v>
      </c>
      <c r="V310" s="139" t="s">
        <v>55</v>
      </c>
      <c r="W310" s="143">
        <v>244102</v>
      </c>
      <c r="X310" s="139"/>
      <c r="Y310" s="141"/>
      <c r="Z310" s="119" t="s">
        <v>1157</v>
      </c>
      <c r="AA310" s="144">
        <f t="shared" si="228"/>
        <v>-5</v>
      </c>
    </row>
    <row r="311" spans="1:27" s="145" customFormat="1" ht="36" customHeight="1" x14ac:dyDescent="0.25">
      <c r="A311" s="119" t="s">
        <v>21</v>
      </c>
      <c r="B311" s="139">
        <v>244100</v>
      </c>
      <c r="C311" s="119" t="s">
        <v>14</v>
      </c>
      <c r="D311" s="166">
        <v>680247</v>
      </c>
      <c r="E311" s="149" t="s">
        <v>420</v>
      </c>
      <c r="F311" s="190">
        <v>68042635</v>
      </c>
      <c r="G311" s="119" t="s">
        <v>1143</v>
      </c>
      <c r="H311" s="187" t="s">
        <v>276</v>
      </c>
      <c r="I311" s="147" t="s">
        <v>1041</v>
      </c>
      <c r="J311" s="119">
        <v>126.74</v>
      </c>
      <c r="K311" s="119" t="s">
        <v>200</v>
      </c>
      <c r="L311" s="119">
        <f>J311-124</f>
        <v>2.7399999999999949</v>
      </c>
      <c r="M311" s="119" t="s">
        <v>1144</v>
      </c>
      <c r="N311" s="119" t="s">
        <v>93</v>
      </c>
      <c r="O311" s="141">
        <f t="shared" si="216"/>
        <v>244100</v>
      </c>
      <c r="P311" s="141">
        <f t="shared" si="217"/>
        <v>244107</v>
      </c>
      <c r="Q311" s="141">
        <f t="shared" si="218"/>
        <v>244102</v>
      </c>
      <c r="R311" s="139" t="s">
        <v>55</v>
      </c>
      <c r="S311" s="143">
        <v>244106</v>
      </c>
      <c r="T311" s="139" t="s">
        <v>55</v>
      </c>
      <c r="U311" s="143">
        <v>244107</v>
      </c>
      <c r="V311" s="139" t="s">
        <v>55</v>
      </c>
      <c r="W311" s="143">
        <v>244107</v>
      </c>
      <c r="X311" s="139"/>
      <c r="Y311" s="141"/>
      <c r="Z311" s="119" t="s">
        <v>966</v>
      </c>
      <c r="AA311" s="144">
        <f t="shared" si="228"/>
        <v>0</v>
      </c>
    </row>
    <row r="312" spans="1:27" s="145" customFormat="1" ht="36" customHeight="1" x14ac:dyDescent="0.25">
      <c r="A312" s="119" t="s">
        <v>21</v>
      </c>
      <c r="B312" s="139">
        <v>244101</v>
      </c>
      <c r="C312" s="119" t="s">
        <v>14</v>
      </c>
      <c r="D312" s="166">
        <v>680248</v>
      </c>
      <c r="E312" s="149" t="s">
        <v>433</v>
      </c>
      <c r="F312" s="190">
        <v>68042715</v>
      </c>
      <c r="G312" s="119" t="s">
        <v>1145</v>
      </c>
      <c r="H312" s="187" t="s">
        <v>293</v>
      </c>
      <c r="I312" s="147" t="s">
        <v>304</v>
      </c>
      <c r="J312" s="119">
        <v>75.489999999999995</v>
      </c>
      <c r="K312" s="119" t="s">
        <v>201</v>
      </c>
      <c r="L312" s="215">
        <f>76-J312</f>
        <v>0.51000000000000512</v>
      </c>
      <c r="M312" s="119" t="s">
        <v>401</v>
      </c>
      <c r="N312" s="119" t="s">
        <v>93</v>
      </c>
      <c r="O312" s="141">
        <f t="shared" si="216"/>
        <v>244101</v>
      </c>
      <c r="P312" s="141">
        <f t="shared" si="217"/>
        <v>244108</v>
      </c>
      <c r="Q312" s="141">
        <f t="shared" si="218"/>
        <v>244103</v>
      </c>
      <c r="R312" s="139"/>
      <c r="S312" s="143"/>
      <c r="T312" s="139"/>
      <c r="U312" s="143"/>
      <c r="V312" s="139" t="s">
        <v>55</v>
      </c>
      <c r="W312" s="143">
        <v>244103</v>
      </c>
      <c r="X312" s="139"/>
      <c r="Y312" s="141"/>
      <c r="Z312" s="119" t="s">
        <v>1160</v>
      </c>
      <c r="AA312" s="144">
        <f t="shared" si="228"/>
        <v>-5</v>
      </c>
    </row>
    <row r="313" spans="1:27" s="145" customFormat="1" ht="36" customHeight="1" x14ac:dyDescent="0.25">
      <c r="A313" s="119" t="s">
        <v>21</v>
      </c>
      <c r="B313" s="139">
        <v>244101</v>
      </c>
      <c r="C313" s="119" t="s">
        <v>14</v>
      </c>
      <c r="D313" s="166">
        <v>680248</v>
      </c>
      <c r="E313" s="149" t="s">
        <v>433</v>
      </c>
      <c r="F313" s="190">
        <v>68042723</v>
      </c>
      <c r="G313" s="119" t="s">
        <v>1146</v>
      </c>
      <c r="H313" s="187" t="s">
        <v>1147</v>
      </c>
      <c r="I313" s="147" t="s">
        <v>304</v>
      </c>
      <c r="J313" s="119">
        <v>75.209999999999994</v>
      </c>
      <c r="K313" s="119" t="s">
        <v>411</v>
      </c>
      <c r="L313" s="215">
        <f>76-J313</f>
        <v>0.79000000000000625</v>
      </c>
      <c r="M313" s="119" t="s">
        <v>1148</v>
      </c>
      <c r="N313" s="119" t="s">
        <v>93</v>
      </c>
      <c r="O313" s="141">
        <f t="shared" si="216"/>
        <v>244101</v>
      </c>
      <c r="P313" s="141">
        <f t="shared" si="217"/>
        <v>244108</v>
      </c>
      <c r="Q313" s="141">
        <f t="shared" si="218"/>
        <v>244103</v>
      </c>
      <c r="R313" s="139" t="s">
        <v>55</v>
      </c>
      <c r="S313" s="143">
        <v>244106</v>
      </c>
      <c r="T313" s="139" t="s">
        <v>55</v>
      </c>
      <c r="U313" s="143">
        <v>244107</v>
      </c>
      <c r="V313" s="139" t="s">
        <v>55</v>
      </c>
      <c r="W313" s="143">
        <v>244103</v>
      </c>
      <c r="X313" s="139"/>
      <c r="Y313" s="141"/>
      <c r="Z313" s="119" t="s">
        <v>1160</v>
      </c>
      <c r="AA313" s="144">
        <f t="shared" si="228"/>
        <v>-5</v>
      </c>
    </row>
    <row r="314" spans="1:27" s="145" customFormat="1" ht="36" customHeight="1" x14ac:dyDescent="0.25">
      <c r="A314" s="119" t="s">
        <v>21</v>
      </c>
      <c r="B314" s="139">
        <v>244101</v>
      </c>
      <c r="C314" s="119" t="s">
        <v>14</v>
      </c>
      <c r="D314" s="166">
        <v>680249</v>
      </c>
      <c r="E314" s="119" t="s">
        <v>356</v>
      </c>
      <c r="F314" s="190">
        <v>68042734</v>
      </c>
      <c r="G314" s="119" t="s">
        <v>1149</v>
      </c>
      <c r="H314" s="187" t="s">
        <v>247</v>
      </c>
      <c r="I314" s="147" t="s">
        <v>358</v>
      </c>
      <c r="J314" s="119">
        <v>77.2</v>
      </c>
      <c r="K314" s="119" t="s">
        <v>201</v>
      </c>
      <c r="L314" s="119">
        <f>78-J314</f>
        <v>0.79999999999999716</v>
      </c>
      <c r="M314" s="119" t="s">
        <v>1150</v>
      </c>
      <c r="N314" s="119" t="s">
        <v>93</v>
      </c>
      <c r="O314" s="141">
        <f t="shared" si="216"/>
        <v>244101</v>
      </c>
      <c r="P314" s="141">
        <f t="shared" si="217"/>
        <v>244108</v>
      </c>
      <c r="Q314" s="141">
        <f t="shared" si="218"/>
        <v>244103</v>
      </c>
      <c r="R314" s="139" t="s">
        <v>55</v>
      </c>
      <c r="S314" s="143">
        <v>244106</v>
      </c>
      <c r="T314" s="139" t="s">
        <v>55</v>
      </c>
      <c r="U314" s="143">
        <v>244107</v>
      </c>
      <c r="V314" s="139" t="s">
        <v>55</v>
      </c>
      <c r="W314" s="143">
        <v>244103</v>
      </c>
      <c r="X314" s="139"/>
      <c r="Y314" s="141"/>
      <c r="Z314" s="119" t="s">
        <v>1158</v>
      </c>
      <c r="AA314" s="144">
        <f t="shared" si="228"/>
        <v>-5</v>
      </c>
    </row>
    <row r="315" spans="1:27" s="145" customFormat="1" ht="36" customHeight="1" x14ac:dyDescent="0.25">
      <c r="A315" s="119" t="s">
        <v>21</v>
      </c>
      <c r="B315" s="139">
        <v>244101</v>
      </c>
      <c r="C315" s="119" t="s">
        <v>14</v>
      </c>
      <c r="D315" s="166">
        <v>680250</v>
      </c>
      <c r="E315" s="119" t="s">
        <v>420</v>
      </c>
      <c r="F315" s="190">
        <v>68042741</v>
      </c>
      <c r="G315" s="119" t="s">
        <v>1151</v>
      </c>
      <c r="H315" s="187" t="s">
        <v>205</v>
      </c>
      <c r="I315" s="147" t="s">
        <v>1041</v>
      </c>
      <c r="J315" s="146">
        <v>125.8</v>
      </c>
      <c r="K315" s="119" t="s">
        <v>207</v>
      </c>
      <c r="L315" s="146">
        <f>J315-124</f>
        <v>1.7999999999999972</v>
      </c>
      <c r="M315" s="119" t="s">
        <v>1152</v>
      </c>
      <c r="N315" s="119" t="s">
        <v>93</v>
      </c>
      <c r="O315" s="141">
        <f t="shared" si="216"/>
        <v>244101</v>
      </c>
      <c r="P315" s="141">
        <f t="shared" si="217"/>
        <v>244108</v>
      </c>
      <c r="Q315" s="141">
        <f t="shared" si="218"/>
        <v>244103</v>
      </c>
      <c r="R315" s="139" t="s">
        <v>55</v>
      </c>
      <c r="S315" s="143">
        <v>244106</v>
      </c>
      <c r="T315" s="139" t="s">
        <v>55</v>
      </c>
      <c r="U315" s="143">
        <v>244107</v>
      </c>
      <c r="V315" s="139" t="s">
        <v>55</v>
      </c>
      <c r="W315" s="143">
        <v>244107</v>
      </c>
      <c r="X315" s="139"/>
      <c r="Y315" s="141"/>
      <c r="Z315" s="119" t="s">
        <v>966</v>
      </c>
      <c r="AA315" s="144">
        <f t="shared" si="228"/>
        <v>-1</v>
      </c>
    </row>
    <row r="316" spans="1:27" s="145" customFormat="1" ht="36" customHeight="1" x14ac:dyDescent="0.25">
      <c r="A316" s="119" t="s">
        <v>21</v>
      </c>
      <c r="B316" s="139">
        <v>244101</v>
      </c>
      <c r="C316" s="119" t="s">
        <v>14</v>
      </c>
      <c r="D316" s="166">
        <v>680250</v>
      </c>
      <c r="E316" s="119" t="s">
        <v>420</v>
      </c>
      <c r="F316" s="190">
        <v>68042738</v>
      </c>
      <c r="G316" s="119" t="s">
        <v>1153</v>
      </c>
      <c r="H316" s="187" t="s">
        <v>276</v>
      </c>
      <c r="I316" s="147" t="s">
        <v>1041</v>
      </c>
      <c r="J316" s="146">
        <v>126.1</v>
      </c>
      <c r="K316" s="119" t="s">
        <v>207</v>
      </c>
      <c r="L316" s="146">
        <f>J316-124</f>
        <v>2.0999999999999943</v>
      </c>
      <c r="M316" s="119" t="s">
        <v>1154</v>
      </c>
      <c r="N316" s="119" t="s">
        <v>93</v>
      </c>
      <c r="O316" s="141">
        <f t="shared" ref="O316" si="240">B316</f>
        <v>244101</v>
      </c>
      <c r="P316" s="141">
        <f t="shared" ref="P316" si="241">B316+7</f>
        <v>244108</v>
      </c>
      <c r="Q316" s="141">
        <f t="shared" ref="Q316" si="242">O316+2</f>
        <v>244103</v>
      </c>
      <c r="R316" s="139" t="s">
        <v>55</v>
      </c>
      <c r="S316" s="143">
        <v>244106</v>
      </c>
      <c r="T316" s="139"/>
      <c r="U316" s="143"/>
      <c r="V316" s="139"/>
      <c r="W316" s="143"/>
      <c r="X316" s="139"/>
      <c r="Y316" s="141"/>
      <c r="Z316" s="119"/>
      <c r="AA316" s="144">
        <f t="shared" ref="AA316" si="243">W316-P316</f>
        <v>-244108</v>
      </c>
    </row>
    <row r="317" spans="1:27" s="145" customFormat="1" ht="36" customHeight="1" x14ac:dyDescent="0.25">
      <c r="A317" s="119" t="s">
        <v>21</v>
      </c>
      <c r="B317" s="139">
        <v>244102</v>
      </c>
      <c r="C317" s="119" t="s">
        <v>14</v>
      </c>
      <c r="D317" s="166">
        <v>680251</v>
      </c>
      <c r="E317" s="119" t="s">
        <v>872</v>
      </c>
      <c r="F317" s="190">
        <v>68042805</v>
      </c>
      <c r="G317" s="119" t="s">
        <v>1155</v>
      </c>
      <c r="H317" s="187" t="s">
        <v>299</v>
      </c>
      <c r="I317" s="147" t="s">
        <v>845</v>
      </c>
      <c r="J317" s="146">
        <v>62.37</v>
      </c>
      <c r="K317" s="119" t="s">
        <v>207</v>
      </c>
      <c r="L317" s="146">
        <f>J317-60</f>
        <v>2.3699999999999974</v>
      </c>
      <c r="M317" s="119" t="s">
        <v>1156</v>
      </c>
      <c r="N317" s="119" t="s">
        <v>93</v>
      </c>
      <c r="O317" s="141">
        <f t="shared" si="216"/>
        <v>244102</v>
      </c>
      <c r="P317" s="141">
        <f t="shared" si="217"/>
        <v>244109</v>
      </c>
      <c r="Q317" s="141">
        <f t="shared" si="218"/>
        <v>244104</v>
      </c>
      <c r="R317" s="139" t="s">
        <v>55</v>
      </c>
      <c r="S317" s="143">
        <v>244106</v>
      </c>
      <c r="T317" s="139" t="s">
        <v>55</v>
      </c>
      <c r="U317" s="143">
        <v>244107</v>
      </c>
      <c r="V317" s="139" t="s">
        <v>55</v>
      </c>
      <c r="W317" s="143">
        <v>244106</v>
      </c>
      <c r="X317" s="139"/>
      <c r="Y317" s="141"/>
      <c r="Z317" s="119" t="s">
        <v>1174</v>
      </c>
      <c r="AA317" s="144">
        <f t="shared" ref="AA317" si="244">W317-P317</f>
        <v>-3</v>
      </c>
    </row>
    <row r="318" spans="1:27" s="145" customFormat="1" ht="36" customHeight="1" x14ac:dyDescent="0.25">
      <c r="A318" s="119" t="s">
        <v>21</v>
      </c>
      <c r="B318" s="139">
        <v>244103</v>
      </c>
      <c r="C318" s="119" t="s">
        <v>14</v>
      </c>
      <c r="D318" s="166">
        <v>680252</v>
      </c>
      <c r="E318" s="119" t="s">
        <v>872</v>
      </c>
      <c r="F318" s="190">
        <v>68042954</v>
      </c>
      <c r="G318" s="119" t="s">
        <v>1161</v>
      </c>
      <c r="H318" s="187" t="s">
        <v>299</v>
      </c>
      <c r="I318" s="147" t="s">
        <v>845</v>
      </c>
      <c r="J318" s="119">
        <v>61.71</v>
      </c>
      <c r="K318" s="119" t="s">
        <v>207</v>
      </c>
      <c r="L318" s="146">
        <v>1.71</v>
      </c>
      <c r="M318" s="119" t="s">
        <v>1162</v>
      </c>
      <c r="N318" s="119" t="s">
        <v>93</v>
      </c>
      <c r="O318" s="141">
        <f t="shared" si="216"/>
        <v>244103</v>
      </c>
      <c r="P318" s="141">
        <f t="shared" si="217"/>
        <v>244110</v>
      </c>
      <c r="Q318" s="141">
        <f t="shared" si="218"/>
        <v>244105</v>
      </c>
      <c r="R318" s="139" t="s">
        <v>55</v>
      </c>
      <c r="S318" s="143">
        <v>244117</v>
      </c>
      <c r="T318" s="139" t="s">
        <v>55</v>
      </c>
      <c r="U318" s="143">
        <v>244117</v>
      </c>
      <c r="V318" s="139" t="s">
        <v>55</v>
      </c>
      <c r="W318" s="143">
        <v>244106</v>
      </c>
      <c r="X318" s="139"/>
      <c r="Y318" s="141"/>
      <c r="Z318" s="119" t="s">
        <v>1174</v>
      </c>
      <c r="AA318" s="144">
        <f t="shared" ref="AA318" si="245">W318-P318</f>
        <v>-4</v>
      </c>
    </row>
    <row r="319" spans="1:27" s="145" customFormat="1" ht="36" customHeight="1" x14ac:dyDescent="0.25">
      <c r="A319" s="119" t="s">
        <v>21</v>
      </c>
      <c r="B319" s="139">
        <v>244103</v>
      </c>
      <c r="C319" s="119" t="s">
        <v>14</v>
      </c>
      <c r="D319" s="166">
        <v>680253</v>
      </c>
      <c r="E319" s="119" t="s">
        <v>420</v>
      </c>
      <c r="F319" s="190">
        <v>68042956</v>
      </c>
      <c r="G319" s="119" t="s">
        <v>1163</v>
      </c>
      <c r="H319" s="187" t="s">
        <v>274</v>
      </c>
      <c r="I319" s="147" t="s">
        <v>1041</v>
      </c>
      <c r="J319" s="119">
        <v>125.42</v>
      </c>
      <c r="K319" s="119" t="s">
        <v>207</v>
      </c>
      <c r="L319" s="146">
        <v>1.42</v>
      </c>
      <c r="M319" s="119" t="s">
        <v>1164</v>
      </c>
      <c r="N319" s="119" t="s">
        <v>93</v>
      </c>
      <c r="O319" s="141">
        <f t="shared" ref="O319:O386" si="246">B319</f>
        <v>244103</v>
      </c>
      <c r="P319" s="141">
        <f t="shared" ref="P319:P386" si="247">B319+7</f>
        <v>244110</v>
      </c>
      <c r="Q319" s="141">
        <f t="shared" ref="Q319:Q386" si="248">O319+2</f>
        <v>244105</v>
      </c>
      <c r="R319" s="139" t="s">
        <v>55</v>
      </c>
      <c r="S319" s="143">
        <v>244106</v>
      </c>
      <c r="T319" s="139" t="s">
        <v>55</v>
      </c>
      <c r="U319" s="143">
        <v>244109</v>
      </c>
      <c r="V319" s="139" t="s">
        <v>55</v>
      </c>
      <c r="W319" s="143">
        <v>244109</v>
      </c>
      <c r="X319" s="139"/>
      <c r="Y319" s="141"/>
      <c r="Z319" s="119" t="s">
        <v>1198</v>
      </c>
      <c r="AA319" s="144">
        <f t="shared" si="228"/>
        <v>-1</v>
      </c>
    </row>
    <row r="320" spans="1:27" s="145" customFormat="1" ht="36" customHeight="1" x14ac:dyDescent="0.25">
      <c r="A320" s="119" t="s">
        <v>21</v>
      </c>
      <c r="B320" s="139">
        <v>244103</v>
      </c>
      <c r="C320" s="119" t="s">
        <v>14</v>
      </c>
      <c r="D320" s="166">
        <v>680254</v>
      </c>
      <c r="E320" s="119" t="s">
        <v>433</v>
      </c>
      <c r="F320" s="190">
        <v>68042964</v>
      </c>
      <c r="G320" s="119" t="s">
        <v>1165</v>
      </c>
      <c r="H320" s="187" t="s">
        <v>262</v>
      </c>
      <c r="I320" s="147" t="s">
        <v>304</v>
      </c>
      <c r="J320" s="119">
        <v>74.77</v>
      </c>
      <c r="K320" s="119" t="s">
        <v>201</v>
      </c>
      <c r="L320" s="146">
        <f>76-J320</f>
        <v>1.230000000000004</v>
      </c>
      <c r="M320" s="119" t="s">
        <v>1166</v>
      </c>
      <c r="N320" s="119" t="s">
        <v>93</v>
      </c>
      <c r="O320" s="141">
        <f t="shared" si="246"/>
        <v>244103</v>
      </c>
      <c r="P320" s="141">
        <f t="shared" si="247"/>
        <v>244110</v>
      </c>
      <c r="Q320" s="141">
        <f t="shared" si="248"/>
        <v>244105</v>
      </c>
      <c r="R320" s="139" t="s">
        <v>55</v>
      </c>
      <c r="S320" s="143">
        <v>244106</v>
      </c>
      <c r="T320" s="139" t="s">
        <v>55</v>
      </c>
      <c r="U320" s="143">
        <v>244109</v>
      </c>
      <c r="V320" s="139" t="s">
        <v>55</v>
      </c>
      <c r="W320" s="143">
        <v>244109</v>
      </c>
      <c r="X320" s="139"/>
      <c r="Y320" s="141"/>
      <c r="Z320" s="119" t="s">
        <v>1112</v>
      </c>
      <c r="AA320" s="144">
        <f t="shared" si="228"/>
        <v>-1</v>
      </c>
    </row>
    <row r="321" spans="1:27" s="145" customFormat="1" ht="36" customHeight="1" x14ac:dyDescent="0.25">
      <c r="A321" s="119" t="s">
        <v>21</v>
      </c>
      <c r="B321" s="139">
        <v>244104</v>
      </c>
      <c r="C321" s="119" t="s">
        <v>14</v>
      </c>
      <c r="D321" s="166">
        <v>680255</v>
      </c>
      <c r="E321" s="119" t="s">
        <v>827</v>
      </c>
      <c r="F321" s="190">
        <v>68043002</v>
      </c>
      <c r="G321" s="119" t="s">
        <v>1167</v>
      </c>
      <c r="H321" s="187" t="s">
        <v>1168</v>
      </c>
      <c r="I321" s="147" t="s">
        <v>829</v>
      </c>
      <c r="J321" s="119">
        <v>107.45</v>
      </c>
      <c r="K321" s="119" t="s">
        <v>200</v>
      </c>
      <c r="L321" s="146">
        <f>J321-105</f>
        <v>2.4500000000000028</v>
      </c>
      <c r="M321" s="119" t="s">
        <v>1169</v>
      </c>
      <c r="N321" s="119" t="s">
        <v>93</v>
      </c>
      <c r="O321" s="141">
        <f t="shared" si="246"/>
        <v>244104</v>
      </c>
      <c r="P321" s="141">
        <f t="shared" si="247"/>
        <v>244111</v>
      </c>
      <c r="Q321" s="141">
        <f t="shared" si="248"/>
        <v>244106</v>
      </c>
      <c r="R321" s="139" t="s">
        <v>55</v>
      </c>
      <c r="S321" s="143">
        <v>244106</v>
      </c>
      <c r="T321" s="139" t="s">
        <v>55</v>
      </c>
      <c r="U321" s="143">
        <v>244109</v>
      </c>
      <c r="V321" s="139" t="s">
        <v>55</v>
      </c>
      <c r="W321" s="143">
        <v>244104</v>
      </c>
      <c r="X321" s="139"/>
      <c r="Y321" s="141"/>
      <c r="Z321" s="119" t="s">
        <v>1170</v>
      </c>
      <c r="AA321" s="144">
        <f t="shared" si="228"/>
        <v>-7</v>
      </c>
    </row>
    <row r="322" spans="1:27" s="145" customFormat="1" ht="29.25" customHeight="1" x14ac:dyDescent="0.25">
      <c r="A322" s="119" t="s">
        <v>21</v>
      </c>
      <c r="B322" s="139">
        <v>244104</v>
      </c>
      <c r="C322" s="119" t="s">
        <v>14</v>
      </c>
      <c r="D322" s="166">
        <v>680256</v>
      </c>
      <c r="E322" s="119" t="s">
        <v>307</v>
      </c>
      <c r="F322" s="190">
        <v>68043012</v>
      </c>
      <c r="G322" s="119" t="s">
        <v>1171</v>
      </c>
      <c r="H322" s="187" t="s">
        <v>280</v>
      </c>
      <c r="I322" s="147" t="s">
        <v>400</v>
      </c>
      <c r="J322" s="119">
        <v>69.34</v>
      </c>
      <c r="K322" s="119" t="s">
        <v>207</v>
      </c>
      <c r="L322" s="146">
        <f>J322-66</f>
        <v>3.3400000000000034</v>
      </c>
      <c r="M322" s="119" t="s">
        <v>1172</v>
      </c>
      <c r="N322" s="119" t="s">
        <v>93</v>
      </c>
      <c r="O322" s="141">
        <f t="shared" si="246"/>
        <v>244104</v>
      </c>
      <c r="P322" s="141">
        <f t="shared" si="247"/>
        <v>244111</v>
      </c>
      <c r="Q322" s="141">
        <f t="shared" si="248"/>
        <v>244106</v>
      </c>
      <c r="R322" s="139" t="s">
        <v>55</v>
      </c>
      <c r="S322" s="143">
        <v>244106</v>
      </c>
      <c r="T322" s="139" t="s">
        <v>55</v>
      </c>
      <c r="U322" s="143">
        <v>244109</v>
      </c>
      <c r="V322" s="139" t="s">
        <v>55</v>
      </c>
      <c r="W322" s="143">
        <v>244104</v>
      </c>
      <c r="X322" s="139"/>
      <c r="Y322" s="141"/>
      <c r="Z322" s="119" t="s">
        <v>1173</v>
      </c>
      <c r="AA322" s="144">
        <f t="shared" si="228"/>
        <v>-7</v>
      </c>
    </row>
    <row r="323" spans="1:27" s="145" customFormat="1" ht="36" customHeight="1" x14ac:dyDescent="0.25">
      <c r="A323" s="119" t="s">
        <v>22</v>
      </c>
      <c r="B323" s="139">
        <v>244106</v>
      </c>
      <c r="C323" s="119" t="s">
        <v>14</v>
      </c>
      <c r="D323" s="166">
        <v>680257</v>
      </c>
      <c r="E323" s="119" t="s">
        <v>420</v>
      </c>
      <c r="F323" s="190">
        <v>68050212</v>
      </c>
      <c r="G323" s="119" t="s">
        <v>1175</v>
      </c>
      <c r="H323" s="187" t="s">
        <v>276</v>
      </c>
      <c r="I323" s="147" t="s">
        <v>1041</v>
      </c>
      <c r="J323" s="119">
        <v>125.75</v>
      </c>
      <c r="K323" s="119" t="s">
        <v>207</v>
      </c>
      <c r="L323" s="146">
        <f>J323-124</f>
        <v>1.75</v>
      </c>
      <c r="M323" s="119" t="s">
        <v>863</v>
      </c>
      <c r="N323" s="119" t="s">
        <v>93</v>
      </c>
      <c r="O323" s="141">
        <f t="shared" si="246"/>
        <v>244106</v>
      </c>
      <c r="P323" s="141">
        <f t="shared" si="247"/>
        <v>244113</v>
      </c>
      <c r="Q323" s="141">
        <f t="shared" si="248"/>
        <v>244108</v>
      </c>
      <c r="R323" s="139" t="s">
        <v>55</v>
      </c>
      <c r="S323" s="143">
        <v>244119</v>
      </c>
      <c r="T323" s="139" t="s">
        <v>55</v>
      </c>
      <c r="U323" s="143">
        <v>244121</v>
      </c>
      <c r="V323" s="139" t="s">
        <v>55</v>
      </c>
      <c r="W323" s="143">
        <v>244113</v>
      </c>
      <c r="X323" s="139"/>
      <c r="Y323" s="141"/>
      <c r="Z323" s="119" t="s">
        <v>1266</v>
      </c>
      <c r="AA323" s="144">
        <f t="shared" si="228"/>
        <v>0</v>
      </c>
    </row>
    <row r="324" spans="1:27" s="145" customFormat="1" ht="36" customHeight="1" x14ac:dyDescent="0.25">
      <c r="A324" s="119" t="s">
        <v>22</v>
      </c>
      <c r="B324" s="139">
        <v>244107</v>
      </c>
      <c r="C324" s="119" t="s">
        <v>14</v>
      </c>
      <c r="D324" s="166">
        <v>680258</v>
      </c>
      <c r="E324" s="119" t="s">
        <v>306</v>
      </c>
      <c r="F324" s="190">
        <v>68050322</v>
      </c>
      <c r="G324" s="119" t="s">
        <v>1176</v>
      </c>
      <c r="H324" s="187" t="s">
        <v>262</v>
      </c>
      <c r="I324" s="147" t="s">
        <v>305</v>
      </c>
      <c r="J324" s="146">
        <v>73.430000000000007</v>
      </c>
      <c r="K324" s="119" t="s">
        <v>200</v>
      </c>
      <c r="L324" s="146">
        <v>3.43</v>
      </c>
      <c r="M324" s="119" t="s">
        <v>1177</v>
      </c>
      <c r="N324" s="119" t="s">
        <v>93</v>
      </c>
      <c r="O324" s="141">
        <f t="shared" si="246"/>
        <v>244107</v>
      </c>
      <c r="P324" s="141">
        <f t="shared" si="247"/>
        <v>244114</v>
      </c>
      <c r="Q324" s="141">
        <f t="shared" si="248"/>
        <v>244109</v>
      </c>
      <c r="R324" s="139" t="s">
        <v>55</v>
      </c>
      <c r="S324" s="143">
        <v>244119</v>
      </c>
      <c r="T324" s="139" t="s">
        <v>55</v>
      </c>
      <c r="U324" s="143">
        <v>244121</v>
      </c>
      <c r="V324" s="139" t="s">
        <v>55</v>
      </c>
      <c r="W324" s="143">
        <v>244107</v>
      </c>
      <c r="X324" s="139"/>
      <c r="Y324" s="141"/>
      <c r="Z324" s="119" t="s">
        <v>1178</v>
      </c>
      <c r="AA324" s="144">
        <f t="shared" ref="AA324:AA393" si="249">W324-P324</f>
        <v>-7</v>
      </c>
    </row>
    <row r="325" spans="1:27" s="145" customFormat="1" ht="36" customHeight="1" x14ac:dyDescent="0.25">
      <c r="A325" s="119" t="s">
        <v>22</v>
      </c>
      <c r="B325" s="139">
        <v>244107</v>
      </c>
      <c r="C325" s="119" t="s">
        <v>14</v>
      </c>
      <c r="D325" s="166">
        <v>680259</v>
      </c>
      <c r="E325" s="119" t="s">
        <v>433</v>
      </c>
      <c r="F325" s="190">
        <v>68050313</v>
      </c>
      <c r="G325" s="119" t="s">
        <v>1179</v>
      </c>
      <c r="H325" s="187" t="s">
        <v>224</v>
      </c>
      <c r="I325" s="147" t="s">
        <v>304</v>
      </c>
      <c r="J325" s="146">
        <v>74.83</v>
      </c>
      <c r="K325" s="119" t="s">
        <v>201</v>
      </c>
      <c r="L325" s="146">
        <f>76-J325</f>
        <v>1.1700000000000017</v>
      </c>
      <c r="M325" s="214" t="s">
        <v>1180</v>
      </c>
      <c r="N325" s="119" t="s">
        <v>93</v>
      </c>
      <c r="O325" s="141">
        <f t="shared" si="246"/>
        <v>244107</v>
      </c>
      <c r="P325" s="141">
        <f t="shared" si="247"/>
        <v>244114</v>
      </c>
      <c r="Q325" s="141">
        <f t="shared" si="248"/>
        <v>244109</v>
      </c>
      <c r="R325" s="139" t="s">
        <v>55</v>
      </c>
      <c r="S325" s="143">
        <v>244119</v>
      </c>
      <c r="T325" s="139" t="s">
        <v>55</v>
      </c>
      <c r="U325" s="143">
        <v>244121</v>
      </c>
      <c r="V325" s="139" t="s">
        <v>55</v>
      </c>
      <c r="W325" s="143">
        <v>244107</v>
      </c>
      <c r="X325" s="139"/>
      <c r="Y325" s="141"/>
      <c r="Z325" s="119" t="s">
        <v>1178</v>
      </c>
      <c r="AA325" s="144">
        <f t="shared" ref="AA325" si="250">W325-P325</f>
        <v>-7</v>
      </c>
    </row>
    <row r="326" spans="1:27" s="145" customFormat="1" ht="36" customHeight="1" x14ac:dyDescent="0.25">
      <c r="A326" s="119" t="s">
        <v>22</v>
      </c>
      <c r="B326" s="139">
        <v>244107</v>
      </c>
      <c r="C326" s="119" t="s">
        <v>14</v>
      </c>
      <c r="D326" s="166">
        <v>680260</v>
      </c>
      <c r="E326" s="119" t="s">
        <v>307</v>
      </c>
      <c r="F326" s="190">
        <v>68050319</v>
      </c>
      <c r="G326" s="119" t="s">
        <v>1181</v>
      </c>
      <c r="H326" s="187" t="s">
        <v>283</v>
      </c>
      <c r="I326" s="147" t="s">
        <v>308</v>
      </c>
      <c r="J326" s="146">
        <v>62.58</v>
      </c>
      <c r="K326" s="119" t="s">
        <v>201</v>
      </c>
      <c r="L326" s="146">
        <f>64-J326</f>
        <v>1.4200000000000017</v>
      </c>
      <c r="M326" s="119" t="s">
        <v>1182</v>
      </c>
      <c r="N326" s="119" t="s">
        <v>93</v>
      </c>
      <c r="O326" s="141">
        <f t="shared" si="246"/>
        <v>244107</v>
      </c>
      <c r="P326" s="141">
        <f t="shared" si="247"/>
        <v>244114</v>
      </c>
      <c r="Q326" s="141">
        <f t="shared" si="248"/>
        <v>244109</v>
      </c>
      <c r="R326" s="139" t="s">
        <v>55</v>
      </c>
      <c r="S326" s="143">
        <v>244119</v>
      </c>
      <c r="T326" s="139" t="s">
        <v>55</v>
      </c>
      <c r="U326" s="143">
        <v>244121</v>
      </c>
      <c r="V326" s="139" t="s">
        <v>55</v>
      </c>
      <c r="W326" s="143">
        <v>244107</v>
      </c>
      <c r="X326" s="139"/>
      <c r="Y326" s="141"/>
      <c r="Z326" s="119" t="s">
        <v>1183</v>
      </c>
      <c r="AA326" s="144">
        <f t="shared" si="249"/>
        <v>-7</v>
      </c>
    </row>
    <row r="327" spans="1:27" s="145" customFormat="1" ht="36" customHeight="1" x14ac:dyDescent="0.25">
      <c r="A327" s="119" t="s">
        <v>22</v>
      </c>
      <c r="B327" s="139">
        <v>244107</v>
      </c>
      <c r="C327" s="119" t="s">
        <v>14</v>
      </c>
      <c r="D327" s="166">
        <v>680261</v>
      </c>
      <c r="E327" s="119" t="s">
        <v>827</v>
      </c>
      <c r="F327" s="190">
        <v>68050329</v>
      </c>
      <c r="G327" s="119" t="s">
        <v>1184</v>
      </c>
      <c r="H327" s="187" t="s">
        <v>226</v>
      </c>
      <c r="I327" s="147" t="s">
        <v>829</v>
      </c>
      <c r="J327" s="146">
        <v>107.42</v>
      </c>
      <c r="K327" s="119" t="s">
        <v>200</v>
      </c>
      <c r="L327" s="146">
        <v>2.42</v>
      </c>
      <c r="M327" s="119" t="s">
        <v>1185</v>
      </c>
      <c r="N327" s="119" t="s">
        <v>93</v>
      </c>
      <c r="O327" s="141">
        <f t="shared" si="246"/>
        <v>244107</v>
      </c>
      <c r="P327" s="141">
        <f t="shared" si="247"/>
        <v>244114</v>
      </c>
      <c r="Q327" s="141">
        <f t="shared" si="248"/>
        <v>244109</v>
      </c>
      <c r="R327" s="139" t="s">
        <v>55</v>
      </c>
      <c r="S327" s="143">
        <v>244118</v>
      </c>
      <c r="T327" s="139" t="s">
        <v>55</v>
      </c>
      <c r="U327" s="143">
        <v>244119</v>
      </c>
      <c r="V327" s="139" t="s">
        <v>55</v>
      </c>
      <c r="W327" s="143">
        <v>244118</v>
      </c>
      <c r="X327" s="139"/>
      <c r="Y327" s="141"/>
      <c r="Z327" s="119" t="s">
        <v>1312</v>
      </c>
      <c r="AA327" s="144">
        <f t="shared" si="249"/>
        <v>4</v>
      </c>
    </row>
    <row r="328" spans="1:27" s="145" customFormat="1" ht="36" customHeight="1" x14ac:dyDescent="0.25">
      <c r="A328" s="119" t="s">
        <v>22</v>
      </c>
      <c r="B328" s="139">
        <v>244107</v>
      </c>
      <c r="C328" s="119" t="s">
        <v>14</v>
      </c>
      <c r="D328" s="166">
        <v>680262</v>
      </c>
      <c r="E328" s="119" t="s">
        <v>420</v>
      </c>
      <c r="F328" s="190">
        <v>68050341</v>
      </c>
      <c r="G328" s="119" t="s">
        <v>1186</v>
      </c>
      <c r="H328" s="187" t="s">
        <v>205</v>
      </c>
      <c r="I328" s="147" t="s">
        <v>1041</v>
      </c>
      <c r="J328" s="146">
        <v>125.82</v>
      </c>
      <c r="K328" s="119" t="s">
        <v>207</v>
      </c>
      <c r="L328" s="146">
        <f>J328-124</f>
        <v>1.8199999999999932</v>
      </c>
      <c r="M328" s="119" t="s">
        <v>1187</v>
      </c>
      <c r="N328" s="119" t="s">
        <v>93</v>
      </c>
      <c r="O328" s="141">
        <f t="shared" si="246"/>
        <v>244107</v>
      </c>
      <c r="P328" s="141">
        <f t="shared" si="247"/>
        <v>244114</v>
      </c>
      <c r="Q328" s="141">
        <f t="shared" si="248"/>
        <v>244109</v>
      </c>
      <c r="R328" s="139" t="s">
        <v>55</v>
      </c>
      <c r="S328" s="143">
        <v>244119</v>
      </c>
      <c r="T328" s="139" t="s">
        <v>55</v>
      </c>
      <c r="U328" s="143">
        <v>244121</v>
      </c>
      <c r="V328" s="139" t="s">
        <v>55</v>
      </c>
      <c r="W328" s="143">
        <v>244113</v>
      </c>
      <c r="X328" s="139"/>
      <c r="Y328" s="141"/>
      <c r="Z328" s="119" t="s">
        <v>1266</v>
      </c>
      <c r="AA328" s="144">
        <f t="shared" si="249"/>
        <v>-1</v>
      </c>
    </row>
    <row r="329" spans="1:27" s="145" customFormat="1" ht="36" customHeight="1" x14ac:dyDescent="0.25">
      <c r="A329" s="119" t="s">
        <v>22</v>
      </c>
      <c r="B329" s="139">
        <v>244109</v>
      </c>
      <c r="C329" s="119" t="s">
        <v>14</v>
      </c>
      <c r="D329" s="166">
        <v>680263</v>
      </c>
      <c r="E329" s="119" t="s">
        <v>827</v>
      </c>
      <c r="F329" s="190">
        <v>68050522</v>
      </c>
      <c r="G329" s="119" t="s">
        <v>1188</v>
      </c>
      <c r="H329" s="187" t="s">
        <v>226</v>
      </c>
      <c r="I329" s="147" t="s">
        <v>829</v>
      </c>
      <c r="J329" s="119">
        <v>107.53</v>
      </c>
      <c r="K329" s="119" t="s">
        <v>200</v>
      </c>
      <c r="L329" s="146">
        <v>2.5299999999999998</v>
      </c>
      <c r="M329" s="119" t="s">
        <v>1189</v>
      </c>
      <c r="N329" s="119" t="s">
        <v>93</v>
      </c>
      <c r="O329" s="141">
        <f t="shared" si="246"/>
        <v>244109</v>
      </c>
      <c r="P329" s="141">
        <f t="shared" si="247"/>
        <v>244116</v>
      </c>
      <c r="Q329" s="141">
        <f t="shared" si="248"/>
        <v>244111</v>
      </c>
      <c r="R329" s="139" t="s">
        <v>55</v>
      </c>
      <c r="S329" s="143">
        <v>244118</v>
      </c>
      <c r="T329" s="139" t="s">
        <v>55</v>
      </c>
      <c r="U329" s="143">
        <v>244119</v>
      </c>
      <c r="V329" s="139" t="s">
        <v>55</v>
      </c>
      <c r="W329" s="143">
        <v>244118</v>
      </c>
      <c r="X329" s="139"/>
      <c r="Y329" s="141"/>
      <c r="Z329" s="119" t="s">
        <v>1312</v>
      </c>
      <c r="AA329" s="144">
        <f t="shared" ref="AA329" si="251">W329-P329</f>
        <v>2</v>
      </c>
    </row>
    <row r="330" spans="1:27" s="145" customFormat="1" ht="36" customHeight="1" x14ac:dyDescent="0.25">
      <c r="A330" s="119" t="s">
        <v>22</v>
      </c>
      <c r="B330" s="139">
        <v>244109</v>
      </c>
      <c r="C330" s="119" t="s">
        <v>11</v>
      </c>
      <c r="D330" s="166">
        <v>680264</v>
      </c>
      <c r="E330" s="119" t="s">
        <v>1190</v>
      </c>
      <c r="F330" s="190" t="s">
        <v>1191</v>
      </c>
      <c r="G330" s="119">
        <v>680505</v>
      </c>
      <c r="H330" s="187" t="s">
        <v>135</v>
      </c>
      <c r="I330" s="147" t="s">
        <v>1192</v>
      </c>
      <c r="J330" s="146" t="s">
        <v>1194</v>
      </c>
      <c r="K330" s="119" t="s">
        <v>1195</v>
      </c>
      <c r="L330" s="146" t="s">
        <v>1197</v>
      </c>
      <c r="M330" s="257" t="s">
        <v>1209</v>
      </c>
      <c r="N330" s="257" t="s">
        <v>53</v>
      </c>
      <c r="O330" s="141">
        <f t="shared" si="246"/>
        <v>244109</v>
      </c>
      <c r="P330" s="141">
        <f t="shared" si="247"/>
        <v>244116</v>
      </c>
      <c r="Q330" s="141">
        <f t="shared" si="248"/>
        <v>244111</v>
      </c>
      <c r="R330" s="139" t="s">
        <v>55</v>
      </c>
      <c r="S330" s="143">
        <v>244110</v>
      </c>
      <c r="T330" s="139" t="s">
        <v>55</v>
      </c>
      <c r="U330" s="143">
        <v>244110</v>
      </c>
      <c r="V330" s="139" t="s">
        <v>55</v>
      </c>
      <c r="W330" s="143">
        <v>244110</v>
      </c>
      <c r="X330" s="139"/>
      <c r="Y330" s="141"/>
      <c r="Z330" s="119" t="s">
        <v>976</v>
      </c>
      <c r="AA330" s="144">
        <f t="shared" ref="AA330" si="252">W330-P330</f>
        <v>-6</v>
      </c>
    </row>
    <row r="331" spans="1:27" s="145" customFormat="1" ht="36" customHeight="1" x14ac:dyDescent="0.25">
      <c r="A331" s="119" t="s">
        <v>22</v>
      </c>
      <c r="B331" s="139">
        <v>244109</v>
      </c>
      <c r="C331" s="119" t="s">
        <v>11</v>
      </c>
      <c r="D331" s="166">
        <v>680264</v>
      </c>
      <c r="E331" s="119" t="s">
        <v>1190</v>
      </c>
      <c r="F331" s="190" t="s">
        <v>1191</v>
      </c>
      <c r="G331" s="119">
        <v>680505</v>
      </c>
      <c r="H331" s="187" t="s">
        <v>135</v>
      </c>
      <c r="I331" s="147" t="s">
        <v>1193</v>
      </c>
      <c r="J331" s="146">
        <v>2.37</v>
      </c>
      <c r="K331" s="119" t="s">
        <v>1196</v>
      </c>
      <c r="L331" s="146">
        <v>0.03</v>
      </c>
      <c r="M331" s="258"/>
      <c r="N331" s="258"/>
      <c r="O331" s="141">
        <f t="shared" ref="O331" si="253">B331</f>
        <v>244109</v>
      </c>
      <c r="P331" s="141">
        <f t="shared" ref="P331" si="254">B331+7</f>
        <v>244116</v>
      </c>
      <c r="Q331" s="141">
        <f t="shared" ref="Q331" si="255">O331+2</f>
        <v>244111</v>
      </c>
      <c r="R331" s="139" t="s">
        <v>55</v>
      </c>
      <c r="S331" s="143">
        <v>244110</v>
      </c>
      <c r="T331" s="139" t="s">
        <v>55</v>
      </c>
      <c r="U331" s="143">
        <v>244110</v>
      </c>
      <c r="V331" s="139" t="s">
        <v>55</v>
      </c>
      <c r="W331" s="143">
        <v>244110</v>
      </c>
      <c r="X331" s="139"/>
      <c r="Y331" s="141"/>
      <c r="Z331" s="119" t="s">
        <v>976</v>
      </c>
      <c r="AA331" s="144">
        <f t="shared" ref="AA331" si="256">W331-P331</f>
        <v>-6</v>
      </c>
    </row>
    <row r="332" spans="1:27" s="145" customFormat="1" ht="36" customHeight="1" x14ac:dyDescent="0.25">
      <c r="A332" s="119" t="s">
        <v>22</v>
      </c>
      <c r="B332" s="139">
        <v>244109</v>
      </c>
      <c r="C332" s="119" t="s">
        <v>14</v>
      </c>
      <c r="D332" s="166">
        <v>680265</v>
      </c>
      <c r="E332" s="119" t="s">
        <v>1199</v>
      </c>
      <c r="F332" s="190">
        <v>68050540</v>
      </c>
      <c r="G332" s="119" t="s">
        <v>1207</v>
      </c>
      <c r="H332" s="187" t="s">
        <v>293</v>
      </c>
      <c r="I332" s="147" t="s">
        <v>1201</v>
      </c>
      <c r="J332" s="146" t="s">
        <v>1202</v>
      </c>
      <c r="K332" s="119" t="s">
        <v>1203</v>
      </c>
      <c r="L332" s="146" t="s">
        <v>69</v>
      </c>
      <c r="M332" s="119" t="s">
        <v>1208</v>
      </c>
      <c r="N332" s="119" t="s">
        <v>93</v>
      </c>
      <c r="O332" s="141">
        <f t="shared" si="246"/>
        <v>244109</v>
      </c>
      <c r="P332" s="141">
        <f t="shared" si="247"/>
        <v>244116</v>
      </c>
      <c r="Q332" s="141">
        <f t="shared" si="248"/>
        <v>244111</v>
      </c>
      <c r="R332" s="139" t="s">
        <v>55</v>
      </c>
      <c r="S332" s="143">
        <v>244118</v>
      </c>
      <c r="T332" s="139" t="s">
        <v>55</v>
      </c>
      <c r="U332" s="143">
        <v>244119</v>
      </c>
      <c r="V332" s="139" t="s">
        <v>55</v>
      </c>
      <c r="W332" s="143">
        <v>244119</v>
      </c>
      <c r="X332" s="139"/>
      <c r="Y332" s="141"/>
      <c r="Z332" s="119" t="s">
        <v>1317</v>
      </c>
      <c r="AA332" s="144">
        <f t="shared" si="249"/>
        <v>3</v>
      </c>
    </row>
    <row r="333" spans="1:27" s="145" customFormat="1" ht="36" customHeight="1" x14ac:dyDescent="0.25">
      <c r="A333" s="119" t="s">
        <v>22</v>
      </c>
      <c r="B333" s="139">
        <v>244109</v>
      </c>
      <c r="C333" s="119" t="s">
        <v>14</v>
      </c>
      <c r="D333" s="166">
        <v>680265</v>
      </c>
      <c r="E333" s="119" t="s">
        <v>1199</v>
      </c>
      <c r="F333" s="190">
        <v>68050541</v>
      </c>
      <c r="G333" s="119" t="s">
        <v>1205</v>
      </c>
      <c r="H333" s="187" t="s">
        <v>294</v>
      </c>
      <c r="I333" s="147" t="s">
        <v>1201</v>
      </c>
      <c r="J333" s="146" t="s">
        <v>1202</v>
      </c>
      <c r="K333" s="119" t="s">
        <v>1203</v>
      </c>
      <c r="L333" s="146" t="s">
        <v>69</v>
      </c>
      <c r="M333" s="119" t="s">
        <v>1206</v>
      </c>
      <c r="N333" s="119" t="s">
        <v>93</v>
      </c>
      <c r="O333" s="141">
        <f t="shared" ref="O333:O334" si="257">B333</f>
        <v>244109</v>
      </c>
      <c r="P333" s="141">
        <f t="shared" ref="P333:P334" si="258">B333+7</f>
        <v>244116</v>
      </c>
      <c r="Q333" s="141">
        <f t="shared" ref="Q333:Q334" si="259">O333+2</f>
        <v>244111</v>
      </c>
      <c r="R333" s="139" t="s">
        <v>55</v>
      </c>
      <c r="S333" s="143">
        <v>244118</v>
      </c>
      <c r="T333" s="139" t="s">
        <v>55</v>
      </c>
      <c r="U333" s="143">
        <v>244119</v>
      </c>
      <c r="V333" s="139" t="s">
        <v>55</v>
      </c>
      <c r="W333" s="143">
        <v>244119</v>
      </c>
      <c r="X333" s="139"/>
      <c r="Y333" s="141"/>
      <c r="Z333" s="119" t="s">
        <v>1317</v>
      </c>
      <c r="AA333" s="144">
        <f t="shared" ref="AA333:AA334" si="260">W333-P333</f>
        <v>3</v>
      </c>
    </row>
    <row r="334" spans="1:27" s="145" customFormat="1" ht="36" customHeight="1" x14ac:dyDescent="0.25">
      <c r="A334" s="119" t="s">
        <v>22</v>
      </c>
      <c r="B334" s="139">
        <v>244109</v>
      </c>
      <c r="C334" s="119" t="s">
        <v>14</v>
      </c>
      <c r="D334" s="166">
        <v>680265</v>
      </c>
      <c r="E334" s="119" t="s">
        <v>1199</v>
      </c>
      <c r="F334" s="190">
        <v>68050542</v>
      </c>
      <c r="G334" s="119" t="s">
        <v>1200</v>
      </c>
      <c r="H334" s="187" t="s">
        <v>295</v>
      </c>
      <c r="I334" s="147" t="s">
        <v>1201</v>
      </c>
      <c r="J334" s="146" t="s">
        <v>1202</v>
      </c>
      <c r="K334" s="119" t="s">
        <v>1203</v>
      </c>
      <c r="L334" s="146" t="s">
        <v>69</v>
      </c>
      <c r="M334" s="119" t="s">
        <v>1204</v>
      </c>
      <c r="N334" s="119" t="s">
        <v>93</v>
      </c>
      <c r="O334" s="141">
        <f t="shared" si="257"/>
        <v>244109</v>
      </c>
      <c r="P334" s="141">
        <f t="shared" si="258"/>
        <v>244116</v>
      </c>
      <c r="Q334" s="141">
        <f t="shared" si="259"/>
        <v>244111</v>
      </c>
      <c r="R334" s="139" t="s">
        <v>55</v>
      </c>
      <c r="S334" s="143">
        <v>244118</v>
      </c>
      <c r="T334" s="139" t="s">
        <v>55</v>
      </c>
      <c r="U334" s="143">
        <v>244119</v>
      </c>
      <c r="V334" s="139" t="s">
        <v>55</v>
      </c>
      <c r="W334" s="143">
        <v>244119</v>
      </c>
      <c r="X334" s="139"/>
      <c r="Y334" s="141"/>
      <c r="Z334" s="119" t="s">
        <v>1317</v>
      </c>
      <c r="AA334" s="144">
        <f t="shared" si="260"/>
        <v>3</v>
      </c>
    </row>
    <row r="335" spans="1:27" s="145" customFormat="1" ht="36" customHeight="1" x14ac:dyDescent="0.25">
      <c r="A335" s="119" t="s">
        <v>22</v>
      </c>
      <c r="B335" s="139">
        <v>244109</v>
      </c>
      <c r="C335" s="119" t="s">
        <v>11</v>
      </c>
      <c r="D335" s="166">
        <v>680266</v>
      </c>
      <c r="E335" s="119" t="s">
        <v>779</v>
      </c>
      <c r="F335" s="190" t="s">
        <v>1210</v>
      </c>
      <c r="G335" s="119">
        <v>680506</v>
      </c>
      <c r="H335" s="187" t="s">
        <v>39</v>
      </c>
      <c r="I335" s="147" t="s">
        <v>1211</v>
      </c>
      <c r="J335" s="142">
        <v>792</v>
      </c>
      <c r="K335" s="119" t="s">
        <v>1195</v>
      </c>
      <c r="L335" s="142">
        <v>18</v>
      </c>
      <c r="M335" s="119" t="s">
        <v>1212</v>
      </c>
      <c r="N335" s="119" t="s">
        <v>53</v>
      </c>
      <c r="O335" s="141">
        <f t="shared" si="246"/>
        <v>244109</v>
      </c>
      <c r="P335" s="141">
        <f t="shared" si="247"/>
        <v>244116</v>
      </c>
      <c r="Q335" s="141">
        <f t="shared" si="248"/>
        <v>244111</v>
      </c>
      <c r="R335" s="139" t="s">
        <v>55</v>
      </c>
      <c r="S335" s="143">
        <v>244110</v>
      </c>
      <c r="T335" s="139" t="s">
        <v>55</v>
      </c>
      <c r="U335" s="143">
        <v>244110</v>
      </c>
      <c r="V335" s="139" t="s">
        <v>55</v>
      </c>
      <c r="W335" s="143">
        <v>244110</v>
      </c>
      <c r="X335" s="139"/>
      <c r="Y335" s="141"/>
      <c r="Z335" s="119" t="s">
        <v>976</v>
      </c>
      <c r="AA335" s="144">
        <f t="shared" ref="AA335" si="261">W335-P335</f>
        <v>-6</v>
      </c>
    </row>
    <row r="336" spans="1:27" s="145" customFormat="1" ht="36" customHeight="1" x14ac:dyDescent="0.25">
      <c r="A336" s="119" t="s">
        <v>22</v>
      </c>
      <c r="B336" s="139">
        <v>244110</v>
      </c>
      <c r="C336" s="119" t="s">
        <v>14</v>
      </c>
      <c r="D336" s="166">
        <v>680267</v>
      </c>
      <c r="E336" s="119" t="s">
        <v>433</v>
      </c>
      <c r="F336" s="190">
        <v>68050615</v>
      </c>
      <c r="G336" s="119" t="s">
        <v>1213</v>
      </c>
      <c r="H336" s="187" t="s">
        <v>209</v>
      </c>
      <c r="I336" s="147" t="s">
        <v>304</v>
      </c>
      <c r="J336" s="146">
        <v>75.44</v>
      </c>
      <c r="K336" s="119" t="s">
        <v>201</v>
      </c>
      <c r="L336" s="146">
        <f>76-J336</f>
        <v>0.56000000000000227</v>
      </c>
      <c r="M336" s="119" t="s">
        <v>1214</v>
      </c>
      <c r="N336" s="119" t="s">
        <v>93</v>
      </c>
      <c r="O336" s="141">
        <f t="shared" si="246"/>
        <v>244110</v>
      </c>
      <c r="P336" s="141">
        <f t="shared" si="247"/>
        <v>244117</v>
      </c>
      <c r="Q336" s="141">
        <f t="shared" si="248"/>
        <v>244112</v>
      </c>
      <c r="R336" s="139" t="s">
        <v>55</v>
      </c>
      <c r="S336" s="143">
        <v>244118</v>
      </c>
      <c r="T336" s="139" t="s">
        <v>55</v>
      </c>
      <c r="U336" s="143">
        <v>244119</v>
      </c>
      <c r="V336" s="139" t="s">
        <v>55</v>
      </c>
      <c r="W336" s="143">
        <v>244119</v>
      </c>
      <c r="X336" s="139"/>
      <c r="Y336" s="141"/>
      <c r="Z336" s="119" t="s">
        <v>1318</v>
      </c>
      <c r="AA336" s="144">
        <f t="shared" si="249"/>
        <v>2</v>
      </c>
    </row>
    <row r="337" spans="1:27" s="145" customFormat="1" ht="36" customHeight="1" x14ac:dyDescent="0.25">
      <c r="A337" s="119" t="s">
        <v>22</v>
      </c>
      <c r="B337" s="139">
        <v>244110</v>
      </c>
      <c r="C337" s="119" t="s">
        <v>14</v>
      </c>
      <c r="D337" s="166">
        <v>680268</v>
      </c>
      <c r="E337" s="119" t="s">
        <v>402</v>
      </c>
      <c r="F337" s="190">
        <v>68050614</v>
      </c>
      <c r="G337" s="119" t="s">
        <v>1215</v>
      </c>
      <c r="H337" s="187" t="s">
        <v>206</v>
      </c>
      <c r="I337" s="147" t="s">
        <v>404</v>
      </c>
      <c r="J337" s="146">
        <v>72.819999999999993</v>
      </c>
      <c r="K337" s="119" t="s">
        <v>200</v>
      </c>
      <c r="L337" s="146">
        <f>J337-67</f>
        <v>5.8199999999999932</v>
      </c>
      <c r="M337" s="119" t="s">
        <v>1216</v>
      </c>
      <c r="N337" s="119" t="s">
        <v>93</v>
      </c>
      <c r="O337" s="141">
        <f t="shared" si="246"/>
        <v>244110</v>
      </c>
      <c r="P337" s="141">
        <f t="shared" si="247"/>
        <v>244117</v>
      </c>
      <c r="Q337" s="141">
        <f t="shared" si="248"/>
        <v>244112</v>
      </c>
      <c r="R337" s="139" t="s">
        <v>55</v>
      </c>
      <c r="S337" s="143">
        <v>244119</v>
      </c>
      <c r="T337" s="139" t="s">
        <v>55</v>
      </c>
      <c r="U337" s="143">
        <v>244121</v>
      </c>
      <c r="V337" s="139" t="s">
        <v>55</v>
      </c>
      <c r="W337" s="143">
        <v>244110</v>
      </c>
      <c r="X337" s="139"/>
      <c r="Y337" s="141"/>
      <c r="Z337" s="119" t="s">
        <v>1219</v>
      </c>
      <c r="AA337" s="144">
        <f t="shared" si="249"/>
        <v>-7</v>
      </c>
    </row>
    <row r="338" spans="1:27" s="145" customFormat="1" ht="36" customHeight="1" x14ac:dyDescent="0.25">
      <c r="A338" s="119" t="s">
        <v>22</v>
      </c>
      <c r="B338" s="139">
        <v>244110</v>
      </c>
      <c r="C338" s="119" t="s">
        <v>14</v>
      </c>
      <c r="D338" s="166">
        <v>680268</v>
      </c>
      <c r="E338" s="119" t="s">
        <v>402</v>
      </c>
      <c r="F338" s="190">
        <v>68050613</v>
      </c>
      <c r="G338" s="119" t="s">
        <v>1217</v>
      </c>
      <c r="H338" s="187" t="s">
        <v>247</v>
      </c>
      <c r="I338" s="147" t="s">
        <v>404</v>
      </c>
      <c r="J338" s="146">
        <v>72.87</v>
      </c>
      <c r="K338" s="119" t="s">
        <v>200</v>
      </c>
      <c r="L338" s="146">
        <f>J338-67</f>
        <v>5.8700000000000045</v>
      </c>
      <c r="M338" s="119" t="s">
        <v>1218</v>
      </c>
      <c r="N338" s="119" t="s">
        <v>93</v>
      </c>
      <c r="O338" s="141">
        <f t="shared" ref="O338" si="262">B338</f>
        <v>244110</v>
      </c>
      <c r="P338" s="141">
        <f t="shared" ref="P338" si="263">B338+7</f>
        <v>244117</v>
      </c>
      <c r="Q338" s="141">
        <f t="shared" ref="Q338" si="264">O338+2</f>
        <v>244112</v>
      </c>
      <c r="R338" s="139" t="s">
        <v>55</v>
      </c>
      <c r="S338" s="143">
        <v>244119</v>
      </c>
      <c r="T338" s="139" t="s">
        <v>55</v>
      </c>
      <c r="U338" s="143">
        <v>244121</v>
      </c>
      <c r="V338" s="139" t="s">
        <v>55</v>
      </c>
      <c r="W338" s="143">
        <v>244110</v>
      </c>
      <c r="X338" s="139"/>
      <c r="Y338" s="141"/>
      <c r="Z338" s="119" t="s">
        <v>1219</v>
      </c>
      <c r="AA338" s="144">
        <f t="shared" ref="AA338" si="265">W338-P338</f>
        <v>-7</v>
      </c>
    </row>
    <row r="339" spans="1:27" s="145" customFormat="1" ht="36" customHeight="1" x14ac:dyDescent="0.25">
      <c r="A339" s="119" t="s">
        <v>22</v>
      </c>
      <c r="B339" s="139">
        <v>244110</v>
      </c>
      <c r="C339" s="119" t="s">
        <v>14</v>
      </c>
      <c r="D339" s="166">
        <v>680269</v>
      </c>
      <c r="E339" s="119" t="s">
        <v>827</v>
      </c>
      <c r="F339" s="190">
        <v>68050617</v>
      </c>
      <c r="G339" s="119" t="s">
        <v>1220</v>
      </c>
      <c r="H339" s="187" t="s">
        <v>226</v>
      </c>
      <c r="I339" s="147" t="s">
        <v>829</v>
      </c>
      <c r="J339" s="119">
        <v>106.93</v>
      </c>
      <c r="K339" s="119" t="s">
        <v>200</v>
      </c>
      <c r="L339" s="146">
        <v>1.93</v>
      </c>
      <c r="M339" s="119" t="s">
        <v>1221</v>
      </c>
      <c r="N339" s="119" t="s">
        <v>93</v>
      </c>
      <c r="O339" s="141">
        <f t="shared" si="246"/>
        <v>244110</v>
      </c>
      <c r="P339" s="141">
        <f t="shared" si="247"/>
        <v>244117</v>
      </c>
      <c r="Q339" s="141">
        <f t="shared" si="248"/>
        <v>244112</v>
      </c>
      <c r="R339" s="139" t="s">
        <v>55</v>
      </c>
      <c r="S339" s="143">
        <v>244118</v>
      </c>
      <c r="T339" s="139" t="s">
        <v>55</v>
      </c>
      <c r="U339" s="143">
        <v>244119</v>
      </c>
      <c r="V339" s="139" t="s">
        <v>55</v>
      </c>
      <c r="W339" s="143">
        <v>244118</v>
      </c>
      <c r="X339" s="139"/>
      <c r="Y339" s="141"/>
      <c r="Z339" s="119" t="s">
        <v>1312</v>
      </c>
      <c r="AA339" s="144">
        <f t="shared" si="249"/>
        <v>1</v>
      </c>
    </row>
    <row r="340" spans="1:27" s="145" customFormat="1" ht="36" customHeight="1" x14ac:dyDescent="0.25">
      <c r="A340" s="119" t="s">
        <v>22</v>
      </c>
      <c r="B340" s="139">
        <v>244110</v>
      </c>
      <c r="C340" s="119" t="s">
        <v>14</v>
      </c>
      <c r="D340" s="166">
        <v>680270</v>
      </c>
      <c r="E340" s="119" t="s">
        <v>402</v>
      </c>
      <c r="F340" s="190">
        <v>68050632</v>
      </c>
      <c r="G340" s="119" t="s">
        <v>1222</v>
      </c>
      <c r="H340" s="187" t="s">
        <v>488</v>
      </c>
      <c r="I340" s="147" t="s">
        <v>404</v>
      </c>
      <c r="J340" s="146">
        <v>70.5</v>
      </c>
      <c r="K340" s="119" t="s">
        <v>200</v>
      </c>
      <c r="L340" s="146">
        <f>J340-67</f>
        <v>3.5</v>
      </c>
      <c r="M340" s="119" t="s">
        <v>1223</v>
      </c>
      <c r="N340" s="119" t="s">
        <v>93</v>
      </c>
      <c r="O340" s="141">
        <f t="shared" si="246"/>
        <v>244110</v>
      </c>
      <c r="P340" s="141">
        <f t="shared" si="247"/>
        <v>244117</v>
      </c>
      <c r="Q340" s="141">
        <f t="shared" si="248"/>
        <v>244112</v>
      </c>
      <c r="R340" s="139" t="s">
        <v>55</v>
      </c>
      <c r="S340" s="143">
        <v>244119</v>
      </c>
      <c r="T340" s="139" t="s">
        <v>55</v>
      </c>
      <c r="U340" s="143">
        <v>244121</v>
      </c>
      <c r="V340" s="139" t="s">
        <v>55</v>
      </c>
      <c r="W340" s="143">
        <v>244112</v>
      </c>
      <c r="X340" s="139"/>
      <c r="Y340" s="141"/>
      <c r="Z340" s="119" t="s">
        <v>1245</v>
      </c>
      <c r="AA340" s="144">
        <f t="shared" si="249"/>
        <v>-5</v>
      </c>
    </row>
    <row r="341" spans="1:27" s="145" customFormat="1" ht="36" customHeight="1" x14ac:dyDescent="0.25">
      <c r="A341" s="119" t="s">
        <v>22</v>
      </c>
      <c r="B341" s="139">
        <v>244111</v>
      </c>
      <c r="C341" s="119" t="s">
        <v>11</v>
      </c>
      <c r="D341" s="166">
        <v>680271</v>
      </c>
      <c r="E341" s="119" t="s">
        <v>983</v>
      </c>
      <c r="F341" s="190" t="s">
        <v>1236</v>
      </c>
      <c r="G341" s="119">
        <v>680508</v>
      </c>
      <c r="H341" s="187" t="s">
        <v>135</v>
      </c>
      <c r="I341" s="147" t="s">
        <v>1237</v>
      </c>
      <c r="J341" s="119">
        <v>918</v>
      </c>
      <c r="K341" s="119" t="s">
        <v>1195</v>
      </c>
      <c r="L341" s="142">
        <v>22</v>
      </c>
      <c r="M341" s="257" t="s">
        <v>1238</v>
      </c>
      <c r="N341" s="257" t="s">
        <v>53</v>
      </c>
      <c r="O341" s="141">
        <f t="shared" si="246"/>
        <v>244111</v>
      </c>
      <c r="P341" s="141">
        <f t="shared" si="247"/>
        <v>244118</v>
      </c>
      <c r="Q341" s="141">
        <f t="shared" si="248"/>
        <v>244113</v>
      </c>
      <c r="R341" s="139" t="s">
        <v>55</v>
      </c>
      <c r="S341" s="143">
        <v>244112</v>
      </c>
      <c r="T341" s="139" t="s">
        <v>55</v>
      </c>
      <c r="U341" s="143">
        <v>244117</v>
      </c>
      <c r="V341" s="139" t="s">
        <v>55</v>
      </c>
      <c r="W341" s="143">
        <v>244111</v>
      </c>
      <c r="X341" s="139"/>
      <c r="Y341" s="141"/>
      <c r="Z341" s="119" t="s">
        <v>1242</v>
      </c>
      <c r="AA341" s="144">
        <f t="shared" si="249"/>
        <v>-7</v>
      </c>
    </row>
    <row r="342" spans="1:27" s="145" customFormat="1" ht="36" customHeight="1" x14ac:dyDescent="0.25">
      <c r="A342" s="119" t="s">
        <v>22</v>
      </c>
      <c r="B342" s="139">
        <v>244111</v>
      </c>
      <c r="C342" s="119" t="s">
        <v>11</v>
      </c>
      <c r="D342" s="166">
        <v>680271</v>
      </c>
      <c r="E342" s="119" t="s">
        <v>983</v>
      </c>
      <c r="F342" s="190" t="s">
        <v>1236</v>
      </c>
      <c r="G342" s="119">
        <v>680508</v>
      </c>
      <c r="H342" s="187" t="s">
        <v>135</v>
      </c>
      <c r="I342" s="147" t="s">
        <v>61</v>
      </c>
      <c r="J342" s="119">
        <v>34</v>
      </c>
      <c r="K342" s="119" t="s">
        <v>62</v>
      </c>
      <c r="L342" s="142">
        <v>4</v>
      </c>
      <c r="M342" s="258"/>
      <c r="N342" s="258"/>
      <c r="O342" s="141">
        <f t="shared" ref="O342" si="266">B342</f>
        <v>244111</v>
      </c>
      <c r="P342" s="141">
        <f t="shared" ref="P342" si="267">B342+7</f>
        <v>244118</v>
      </c>
      <c r="Q342" s="141">
        <f t="shared" ref="Q342" si="268">O342+2</f>
        <v>244113</v>
      </c>
      <c r="R342" s="139" t="s">
        <v>55</v>
      </c>
      <c r="S342" s="143">
        <v>244112</v>
      </c>
      <c r="T342" s="139" t="s">
        <v>55</v>
      </c>
      <c r="U342" s="143">
        <v>244117</v>
      </c>
      <c r="V342" s="139" t="s">
        <v>55</v>
      </c>
      <c r="W342" s="143">
        <v>244111</v>
      </c>
      <c r="X342" s="139"/>
      <c r="Y342" s="141"/>
      <c r="Z342" s="119" t="s">
        <v>1242</v>
      </c>
      <c r="AA342" s="144">
        <f t="shared" ref="AA342" si="269">W342-P342</f>
        <v>-7</v>
      </c>
    </row>
    <row r="343" spans="1:27" s="145" customFormat="1" ht="36" customHeight="1" x14ac:dyDescent="0.25">
      <c r="A343" s="119" t="s">
        <v>22</v>
      </c>
      <c r="B343" s="139">
        <v>244111</v>
      </c>
      <c r="C343" s="119" t="s">
        <v>14</v>
      </c>
      <c r="D343" s="166">
        <v>680272</v>
      </c>
      <c r="E343" s="119" t="s">
        <v>402</v>
      </c>
      <c r="F343" s="190">
        <v>68050726</v>
      </c>
      <c r="G343" s="119" t="s">
        <v>1224</v>
      </c>
      <c r="H343" s="187" t="s">
        <v>247</v>
      </c>
      <c r="I343" s="147" t="s">
        <v>404</v>
      </c>
      <c r="J343" s="119">
        <v>72.16</v>
      </c>
      <c r="K343" s="119" t="s">
        <v>200</v>
      </c>
      <c r="L343" s="146">
        <f>J343-67</f>
        <v>5.1599999999999966</v>
      </c>
      <c r="M343" s="119" t="s">
        <v>1225</v>
      </c>
      <c r="N343" s="119" t="s">
        <v>93</v>
      </c>
      <c r="O343" s="141">
        <f t="shared" si="246"/>
        <v>244111</v>
      </c>
      <c r="P343" s="141">
        <f t="shared" si="247"/>
        <v>244118</v>
      </c>
      <c r="Q343" s="141">
        <f t="shared" si="248"/>
        <v>244113</v>
      </c>
      <c r="R343" s="139" t="s">
        <v>55</v>
      </c>
      <c r="S343" s="143">
        <v>244119</v>
      </c>
      <c r="T343" s="139" t="s">
        <v>55</v>
      </c>
      <c r="U343" s="143">
        <v>244121</v>
      </c>
      <c r="V343" s="139" t="s">
        <v>55</v>
      </c>
      <c r="W343" s="143">
        <v>244112</v>
      </c>
      <c r="X343" s="139"/>
      <c r="Y343" s="141"/>
      <c r="Z343" s="119" t="s">
        <v>1245</v>
      </c>
      <c r="AA343" s="144">
        <f t="shared" si="249"/>
        <v>-6</v>
      </c>
    </row>
    <row r="344" spans="1:27" s="145" customFormat="1" ht="36" customHeight="1" x14ac:dyDescent="0.25">
      <c r="A344" s="119" t="s">
        <v>22</v>
      </c>
      <c r="B344" s="139">
        <v>244111</v>
      </c>
      <c r="C344" s="119" t="s">
        <v>14</v>
      </c>
      <c r="D344" s="166">
        <v>680273</v>
      </c>
      <c r="E344" s="119" t="s">
        <v>433</v>
      </c>
      <c r="F344" s="190">
        <v>68080725</v>
      </c>
      <c r="G344" s="119" t="s">
        <v>1234</v>
      </c>
      <c r="H344" s="187" t="s">
        <v>209</v>
      </c>
      <c r="I344" s="147" t="s">
        <v>304</v>
      </c>
      <c r="J344" s="119">
        <v>74.78</v>
      </c>
      <c r="K344" s="119" t="s">
        <v>201</v>
      </c>
      <c r="L344" s="146">
        <f>76-J344</f>
        <v>1.2199999999999989</v>
      </c>
      <c r="M344" s="119" t="s">
        <v>1235</v>
      </c>
      <c r="N344" s="119" t="s">
        <v>93</v>
      </c>
      <c r="O344" s="141">
        <f t="shared" si="246"/>
        <v>244111</v>
      </c>
      <c r="P344" s="141">
        <f t="shared" si="247"/>
        <v>244118</v>
      </c>
      <c r="Q344" s="141">
        <f t="shared" si="248"/>
        <v>244113</v>
      </c>
      <c r="R344" s="139" t="s">
        <v>55</v>
      </c>
      <c r="S344" s="143">
        <v>244118</v>
      </c>
      <c r="T344" s="139" t="s">
        <v>55</v>
      </c>
      <c r="U344" s="143">
        <v>244119</v>
      </c>
      <c r="V344" s="139" t="s">
        <v>55</v>
      </c>
      <c r="W344" s="143">
        <v>244119</v>
      </c>
      <c r="X344" s="139"/>
      <c r="Y344" s="141"/>
      <c r="Z344" s="119" t="s">
        <v>1318</v>
      </c>
      <c r="AA344" s="144">
        <f t="shared" ref="AA344" si="270">W344-P344</f>
        <v>1</v>
      </c>
    </row>
    <row r="345" spans="1:27" s="145" customFormat="1" ht="36" customHeight="1" x14ac:dyDescent="0.25">
      <c r="A345" s="119" t="s">
        <v>22</v>
      </c>
      <c r="B345" s="139">
        <v>244111</v>
      </c>
      <c r="C345" s="119" t="s">
        <v>14</v>
      </c>
      <c r="D345" s="166">
        <v>680274</v>
      </c>
      <c r="E345" s="119" t="s">
        <v>827</v>
      </c>
      <c r="F345" s="190">
        <v>68050707</v>
      </c>
      <c r="G345" s="119" t="s">
        <v>1228</v>
      </c>
      <c r="H345" s="187" t="s">
        <v>226</v>
      </c>
      <c r="I345" s="147" t="s">
        <v>829</v>
      </c>
      <c r="J345" s="119">
        <v>106.48</v>
      </c>
      <c r="K345" s="119" t="s">
        <v>200</v>
      </c>
      <c r="L345" s="146">
        <v>1.48</v>
      </c>
      <c r="M345" s="119" t="s">
        <v>1229</v>
      </c>
      <c r="N345" s="119" t="s">
        <v>93</v>
      </c>
      <c r="O345" s="141">
        <f t="shared" si="246"/>
        <v>244111</v>
      </c>
      <c r="P345" s="141">
        <f t="shared" si="247"/>
        <v>244118</v>
      </c>
      <c r="Q345" s="141">
        <f t="shared" si="248"/>
        <v>244113</v>
      </c>
      <c r="R345" s="139" t="s">
        <v>55</v>
      </c>
      <c r="S345" s="143">
        <v>244118</v>
      </c>
      <c r="T345" s="139" t="s">
        <v>55</v>
      </c>
      <c r="U345" s="143">
        <v>244119</v>
      </c>
      <c r="V345" s="139" t="s">
        <v>55</v>
      </c>
      <c r="W345" s="143">
        <v>244118</v>
      </c>
      <c r="X345" s="139"/>
      <c r="Y345" s="141"/>
      <c r="Z345" s="119" t="s">
        <v>1312</v>
      </c>
      <c r="AA345" s="144">
        <f t="shared" si="249"/>
        <v>0</v>
      </c>
    </row>
    <row r="346" spans="1:27" s="145" customFormat="1" ht="32.25" customHeight="1" x14ac:dyDescent="0.25">
      <c r="A346" s="119" t="s">
        <v>22</v>
      </c>
      <c r="B346" s="139">
        <v>244111</v>
      </c>
      <c r="C346" s="119" t="s">
        <v>14</v>
      </c>
      <c r="D346" s="166">
        <v>680275</v>
      </c>
      <c r="E346" s="119" t="s">
        <v>307</v>
      </c>
      <c r="F346" s="190">
        <v>68050705</v>
      </c>
      <c r="G346" s="119" t="s">
        <v>1230</v>
      </c>
      <c r="H346" s="187" t="s">
        <v>239</v>
      </c>
      <c r="I346" s="147" t="s">
        <v>442</v>
      </c>
      <c r="J346" s="146" t="s">
        <v>557</v>
      </c>
      <c r="K346" s="146" t="s">
        <v>557</v>
      </c>
      <c r="L346" s="146" t="s">
        <v>69</v>
      </c>
      <c r="M346" s="119" t="s">
        <v>1231</v>
      </c>
      <c r="N346" s="119" t="s">
        <v>93</v>
      </c>
      <c r="O346" s="141">
        <f t="shared" si="246"/>
        <v>244111</v>
      </c>
      <c r="P346" s="141">
        <f t="shared" si="247"/>
        <v>244118</v>
      </c>
      <c r="Q346" s="141">
        <f t="shared" si="248"/>
        <v>244113</v>
      </c>
      <c r="R346" s="139" t="s">
        <v>55</v>
      </c>
      <c r="S346" s="143">
        <v>244118</v>
      </c>
      <c r="T346" s="139" t="s">
        <v>55</v>
      </c>
      <c r="U346" s="143">
        <v>244119</v>
      </c>
      <c r="V346" s="139" t="s">
        <v>55</v>
      </c>
      <c r="W346" s="143">
        <v>244119</v>
      </c>
      <c r="X346" s="139"/>
      <c r="Y346" s="141"/>
      <c r="Z346" s="119" t="s">
        <v>1319</v>
      </c>
      <c r="AA346" s="144">
        <f t="shared" ref="AA346" si="271">W346-P346</f>
        <v>1</v>
      </c>
    </row>
    <row r="347" spans="1:27" s="145" customFormat="1" ht="32.25" customHeight="1" x14ac:dyDescent="0.25">
      <c r="A347" s="119" t="s">
        <v>22</v>
      </c>
      <c r="B347" s="139">
        <v>244111</v>
      </c>
      <c r="C347" s="119" t="s">
        <v>14</v>
      </c>
      <c r="D347" s="166">
        <v>680276</v>
      </c>
      <c r="E347" s="119" t="s">
        <v>307</v>
      </c>
      <c r="F347" s="190">
        <v>68050716</v>
      </c>
      <c r="G347" s="119" t="s">
        <v>1232</v>
      </c>
      <c r="H347" s="187" t="s">
        <v>280</v>
      </c>
      <c r="I347" s="147" t="s">
        <v>308</v>
      </c>
      <c r="J347" s="146">
        <v>67.64</v>
      </c>
      <c r="K347" s="119" t="s">
        <v>200</v>
      </c>
      <c r="L347" s="146">
        <f>J347-66</f>
        <v>1.6400000000000006</v>
      </c>
      <c r="M347" s="119" t="s">
        <v>1233</v>
      </c>
      <c r="N347" s="119" t="s">
        <v>93</v>
      </c>
      <c r="O347" s="141">
        <f t="shared" si="246"/>
        <v>244111</v>
      </c>
      <c r="P347" s="141">
        <f t="shared" si="247"/>
        <v>244118</v>
      </c>
      <c r="Q347" s="141">
        <f t="shared" si="248"/>
        <v>244113</v>
      </c>
      <c r="R347" s="139" t="s">
        <v>55</v>
      </c>
      <c r="S347" s="143">
        <v>244119</v>
      </c>
      <c r="T347" s="139" t="s">
        <v>55</v>
      </c>
      <c r="U347" s="143">
        <v>244121</v>
      </c>
      <c r="V347" s="139" t="s">
        <v>55</v>
      </c>
      <c r="W347" s="143">
        <v>244111</v>
      </c>
      <c r="X347" s="139"/>
      <c r="Y347" s="141"/>
      <c r="Z347" s="119" t="s">
        <v>1239</v>
      </c>
      <c r="AA347" s="144">
        <f t="shared" si="249"/>
        <v>-7</v>
      </c>
    </row>
    <row r="348" spans="1:27" s="145" customFormat="1" ht="36" customHeight="1" x14ac:dyDescent="0.25">
      <c r="A348" s="119" t="s">
        <v>22</v>
      </c>
      <c r="B348" s="139">
        <v>244111</v>
      </c>
      <c r="C348" s="119" t="s">
        <v>14</v>
      </c>
      <c r="D348" s="166">
        <v>680277</v>
      </c>
      <c r="E348" s="119" t="s">
        <v>307</v>
      </c>
      <c r="F348" s="190">
        <v>68050712</v>
      </c>
      <c r="G348" s="119" t="s">
        <v>1226</v>
      </c>
      <c r="H348" s="187" t="s">
        <v>283</v>
      </c>
      <c r="I348" s="147" t="s">
        <v>308</v>
      </c>
      <c r="J348" s="146">
        <v>62.13</v>
      </c>
      <c r="K348" s="119" t="s">
        <v>201</v>
      </c>
      <c r="L348" s="146">
        <f>64-J348</f>
        <v>1.8699999999999974</v>
      </c>
      <c r="M348" s="119" t="s">
        <v>1227</v>
      </c>
      <c r="N348" s="119" t="s">
        <v>93</v>
      </c>
      <c r="O348" s="141">
        <f t="shared" si="246"/>
        <v>244111</v>
      </c>
      <c r="P348" s="141">
        <f t="shared" si="247"/>
        <v>244118</v>
      </c>
      <c r="Q348" s="141">
        <f t="shared" si="248"/>
        <v>244113</v>
      </c>
      <c r="R348" s="139" t="s">
        <v>55</v>
      </c>
      <c r="S348" s="143">
        <v>244119</v>
      </c>
      <c r="T348" s="139" t="s">
        <v>55</v>
      </c>
      <c r="U348" s="143">
        <v>244121</v>
      </c>
      <c r="V348" s="139" t="s">
        <v>55</v>
      </c>
      <c r="W348" s="143">
        <v>244113</v>
      </c>
      <c r="X348" s="139"/>
      <c r="Y348" s="141"/>
      <c r="Z348" s="119" t="s">
        <v>1265</v>
      </c>
      <c r="AA348" s="144">
        <f t="shared" si="249"/>
        <v>-5</v>
      </c>
    </row>
    <row r="349" spans="1:27" s="145" customFormat="1" ht="36" customHeight="1" x14ac:dyDescent="0.25">
      <c r="A349" s="119" t="s">
        <v>22</v>
      </c>
      <c r="B349" s="139">
        <v>244111</v>
      </c>
      <c r="C349" s="119" t="s">
        <v>14</v>
      </c>
      <c r="D349" s="166">
        <v>680278</v>
      </c>
      <c r="E349" s="119" t="s">
        <v>402</v>
      </c>
      <c r="F349" s="190">
        <v>68050745</v>
      </c>
      <c r="G349" s="119" t="s">
        <v>1240</v>
      </c>
      <c r="H349" s="187" t="s">
        <v>206</v>
      </c>
      <c r="I349" s="147" t="s">
        <v>404</v>
      </c>
      <c r="J349" s="146">
        <v>73.3</v>
      </c>
      <c r="K349" s="119" t="s">
        <v>200</v>
      </c>
      <c r="L349" s="146">
        <f>J349-67</f>
        <v>6.2999999999999972</v>
      </c>
      <c r="M349" s="119" t="s">
        <v>1241</v>
      </c>
      <c r="N349" s="119" t="s">
        <v>93</v>
      </c>
      <c r="O349" s="141">
        <f t="shared" si="246"/>
        <v>244111</v>
      </c>
      <c r="P349" s="141">
        <f t="shared" si="247"/>
        <v>244118</v>
      </c>
      <c r="Q349" s="141">
        <f t="shared" si="248"/>
        <v>244113</v>
      </c>
      <c r="R349" s="139" t="s">
        <v>55</v>
      </c>
      <c r="S349" s="143">
        <v>244119</v>
      </c>
      <c r="T349" s="139" t="s">
        <v>55</v>
      </c>
      <c r="U349" s="143">
        <v>244121</v>
      </c>
      <c r="V349" s="139" t="s">
        <v>55</v>
      </c>
      <c r="W349" s="143">
        <v>244112</v>
      </c>
      <c r="X349" s="139"/>
      <c r="Y349" s="141"/>
      <c r="Z349" s="119" t="s">
        <v>1245</v>
      </c>
      <c r="AA349" s="144">
        <f t="shared" si="249"/>
        <v>-6</v>
      </c>
    </row>
    <row r="350" spans="1:27" s="145" customFormat="1" ht="36" customHeight="1" x14ac:dyDescent="0.25">
      <c r="A350" s="119" t="s">
        <v>22</v>
      </c>
      <c r="B350" s="139">
        <v>244112</v>
      </c>
      <c r="C350" s="119" t="s">
        <v>14</v>
      </c>
      <c r="D350" s="166">
        <v>680279</v>
      </c>
      <c r="E350" s="119" t="s">
        <v>872</v>
      </c>
      <c r="F350" s="190">
        <v>68050814</v>
      </c>
      <c r="G350" s="119" t="s">
        <v>1243</v>
      </c>
      <c r="H350" s="187" t="s">
        <v>265</v>
      </c>
      <c r="I350" s="147" t="s">
        <v>845</v>
      </c>
      <c r="J350" s="146">
        <v>62.01</v>
      </c>
      <c r="K350" s="119" t="s">
        <v>207</v>
      </c>
      <c r="L350" s="146">
        <v>2.0099999999999998</v>
      </c>
      <c r="M350" s="119" t="s">
        <v>1244</v>
      </c>
      <c r="N350" s="119" t="s">
        <v>93</v>
      </c>
      <c r="O350" s="141">
        <f t="shared" si="246"/>
        <v>244112</v>
      </c>
      <c r="P350" s="141">
        <f t="shared" si="247"/>
        <v>244119</v>
      </c>
      <c r="Q350" s="141">
        <f t="shared" si="248"/>
        <v>244114</v>
      </c>
      <c r="R350" s="139" t="s">
        <v>55</v>
      </c>
      <c r="S350" s="143">
        <v>244118</v>
      </c>
      <c r="T350" s="139" t="s">
        <v>55</v>
      </c>
      <c r="U350" s="143">
        <v>244119</v>
      </c>
      <c r="V350" s="139" t="s">
        <v>55</v>
      </c>
      <c r="W350" s="143">
        <v>244119</v>
      </c>
      <c r="X350" s="139"/>
      <c r="Y350" s="141"/>
      <c r="Z350" s="119" t="s">
        <v>1320</v>
      </c>
      <c r="AA350" s="144"/>
    </row>
    <row r="351" spans="1:27" s="145" customFormat="1" ht="36" customHeight="1" x14ac:dyDescent="0.25">
      <c r="A351" s="119" t="s">
        <v>22</v>
      </c>
      <c r="B351" s="139">
        <v>244112</v>
      </c>
      <c r="C351" s="119" t="s">
        <v>14</v>
      </c>
      <c r="D351" s="166">
        <v>680280</v>
      </c>
      <c r="E351" s="119" t="s">
        <v>872</v>
      </c>
      <c r="F351" s="190">
        <v>68050837</v>
      </c>
      <c r="G351" s="119" t="s">
        <v>1246</v>
      </c>
      <c r="H351" s="187" t="s">
        <v>269</v>
      </c>
      <c r="I351" s="147" t="s">
        <v>845</v>
      </c>
      <c r="J351" s="146">
        <v>61.21</v>
      </c>
      <c r="K351" s="119" t="s">
        <v>207</v>
      </c>
      <c r="L351" s="146">
        <v>1.21</v>
      </c>
      <c r="M351" s="119" t="s">
        <v>1247</v>
      </c>
      <c r="N351" s="119" t="s">
        <v>93</v>
      </c>
      <c r="O351" s="141">
        <f t="shared" si="246"/>
        <v>244112</v>
      </c>
      <c r="P351" s="141">
        <f t="shared" si="247"/>
        <v>244119</v>
      </c>
      <c r="Q351" s="141">
        <f t="shared" si="248"/>
        <v>244114</v>
      </c>
      <c r="R351" s="139" t="s">
        <v>55</v>
      </c>
      <c r="S351" s="143">
        <v>244118</v>
      </c>
      <c r="T351" s="139" t="s">
        <v>55</v>
      </c>
      <c r="U351" s="143">
        <v>244119</v>
      </c>
      <c r="V351" s="139" t="s">
        <v>55</v>
      </c>
      <c r="W351" s="143">
        <v>244119</v>
      </c>
      <c r="X351" s="139"/>
      <c r="Y351" s="141"/>
      <c r="Z351" s="119" t="s">
        <v>1320</v>
      </c>
      <c r="AA351" s="144"/>
    </row>
    <row r="352" spans="1:27" s="145" customFormat="1" ht="36" customHeight="1" x14ac:dyDescent="0.25">
      <c r="A352" s="119" t="s">
        <v>22</v>
      </c>
      <c r="B352" s="139">
        <v>244112</v>
      </c>
      <c r="C352" s="119" t="s">
        <v>14</v>
      </c>
      <c r="D352" s="166">
        <v>680281</v>
      </c>
      <c r="E352" s="119" t="s">
        <v>307</v>
      </c>
      <c r="F352" s="190">
        <v>68050836</v>
      </c>
      <c r="G352" s="119" t="s">
        <v>1248</v>
      </c>
      <c r="H352" s="187" t="s">
        <v>239</v>
      </c>
      <c r="I352" s="147" t="s">
        <v>442</v>
      </c>
      <c r="J352" s="146" t="s">
        <v>557</v>
      </c>
      <c r="K352" s="146" t="s">
        <v>1249</v>
      </c>
      <c r="L352" s="146" t="s">
        <v>69</v>
      </c>
      <c r="M352" s="119" t="s">
        <v>1250</v>
      </c>
      <c r="N352" s="119" t="s">
        <v>93</v>
      </c>
      <c r="O352" s="141">
        <f t="shared" si="246"/>
        <v>244112</v>
      </c>
      <c r="P352" s="141">
        <f t="shared" si="247"/>
        <v>244119</v>
      </c>
      <c r="Q352" s="141">
        <f t="shared" si="248"/>
        <v>244114</v>
      </c>
      <c r="R352" s="139" t="s">
        <v>55</v>
      </c>
      <c r="S352" s="143">
        <v>244118</v>
      </c>
      <c r="T352" s="139" t="s">
        <v>55</v>
      </c>
      <c r="U352" s="143">
        <v>244119</v>
      </c>
      <c r="V352" s="139" t="s">
        <v>55</v>
      </c>
      <c r="W352" s="143">
        <v>244119</v>
      </c>
      <c r="X352" s="139"/>
      <c r="Y352" s="141"/>
      <c r="Z352" s="119" t="s">
        <v>1319</v>
      </c>
      <c r="AA352" s="144">
        <f t="shared" si="249"/>
        <v>0</v>
      </c>
    </row>
    <row r="353" spans="1:27" s="145" customFormat="1" ht="36" customHeight="1" x14ac:dyDescent="0.25">
      <c r="A353" s="119" t="s">
        <v>22</v>
      </c>
      <c r="B353" s="139">
        <v>244112</v>
      </c>
      <c r="C353" s="119" t="s">
        <v>132</v>
      </c>
      <c r="D353" s="166">
        <v>680282</v>
      </c>
      <c r="E353" s="119" t="s">
        <v>1251</v>
      </c>
      <c r="F353" s="190" t="s">
        <v>1252</v>
      </c>
      <c r="G353" s="119" t="s">
        <v>1253</v>
      </c>
      <c r="H353" s="187" t="s">
        <v>1254</v>
      </c>
      <c r="I353" s="187" t="s">
        <v>203</v>
      </c>
      <c r="J353" s="146" t="s">
        <v>1255</v>
      </c>
      <c r="K353" s="146" t="s">
        <v>1255</v>
      </c>
      <c r="L353" s="146" t="s">
        <v>346</v>
      </c>
      <c r="M353" s="119">
        <v>2</v>
      </c>
      <c r="N353" s="119" t="s">
        <v>52</v>
      </c>
      <c r="O353" s="141">
        <f t="shared" si="246"/>
        <v>244112</v>
      </c>
      <c r="P353" s="141">
        <f t="shared" si="247"/>
        <v>244119</v>
      </c>
      <c r="Q353" s="141">
        <f t="shared" si="248"/>
        <v>244114</v>
      </c>
      <c r="R353" s="139" t="s">
        <v>55</v>
      </c>
      <c r="S353" s="143">
        <v>244119</v>
      </c>
      <c r="T353" s="139" t="s">
        <v>55</v>
      </c>
      <c r="U353" s="143">
        <v>244119</v>
      </c>
      <c r="V353" s="139" t="s">
        <v>55</v>
      </c>
      <c r="W353" s="143">
        <v>244119</v>
      </c>
      <c r="X353" s="139"/>
      <c r="Y353" s="141"/>
      <c r="Z353" s="119" t="s">
        <v>771</v>
      </c>
      <c r="AA353" s="144">
        <f t="shared" si="249"/>
        <v>0</v>
      </c>
    </row>
    <row r="354" spans="1:27" s="145" customFormat="1" ht="36" customHeight="1" x14ac:dyDescent="0.25">
      <c r="A354" s="119" t="s">
        <v>22</v>
      </c>
      <c r="B354" s="139">
        <v>244112</v>
      </c>
      <c r="C354" s="119" t="s">
        <v>14</v>
      </c>
      <c r="D354" s="166">
        <v>680283</v>
      </c>
      <c r="E354" s="119" t="s">
        <v>827</v>
      </c>
      <c r="F354" s="190">
        <v>68050853</v>
      </c>
      <c r="G354" s="119" t="s">
        <v>1256</v>
      </c>
      <c r="H354" s="187" t="s">
        <v>226</v>
      </c>
      <c r="I354" s="147" t="s">
        <v>829</v>
      </c>
      <c r="J354" s="119">
        <v>107.64</v>
      </c>
      <c r="K354" s="119" t="s">
        <v>200</v>
      </c>
      <c r="L354" s="146">
        <f>J354-105</f>
        <v>2.6400000000000006</v>
      </c>
      <c r="M354" s="119" t="s">
        <v>1257</v>
      </c>
      <c r="N354" s="119" t="s">
        <v>93</v>
      </c>
      <c r="O354" s="141">
        <f t="shared" si="246"/>
        <v>244112</v>
      </c>
      <c r="P354" s="141">
        <f t="shared" si="247"/>
        <v>244119</v>
      </c>
      <c r="Q354" s="141">
        <f t="shared" si="248"/>
        <v>244114</v>
      </c>
      <c r="R354" s="139" t="s">
        <v>55</v>
      </c>
      <c r="S354" s="143">
        <v>244118</v>
      </c>
      <c r="T354" s="139" t="s">
        <v>55</v>
      </c>
      <c r="U354" s="143">
        <v>244119</v>
      </c>
      <c r="V354" s="139" t="s">
        <v>55</v>
      </c>
      <c r="W354" s="143">
        <v>244118</v>
      </c>
      <c r="X354" s="139"/>
      <c r="Y354" s="141"/>
      <c r="Z354" s="119" t="s">
        <v>1312</v>
      </c>
      <c r="AA354" s="144">
        <f t="shared" ref="AA354" si="272">W354-P354</f>
        <v>-1</v>
      </c>
    </row>
    <row r="355" spans="1:27" s="145" customFormat="1" ht="36" customHeight="1" x14ac:dyDescent="0.25">
      <c r="A355" s="119" t="s">
        <v>22</v>
      </c>
      <c r="B355" s="139">
        <v>244112</v>
      </c>
      <c r="C355" s="119" t="s">
        <v>14</v>
      </c>
      <c r="D355" s="166">
        <v>680284</v>
      </c>
      <c r="E355" s="119" t="s">
        <v>368</v>
      </c>
      <c r="F355" s="190">
        <v>68050854</v>
      </c>
      <c r="G355" s="119" t="s">
        <v>1258</v>
      </c>
      <c r="H355" s="187" t="s">
        <v>1259</v>
      </c>
      <c r="I355" s="147" t="s">
        <v>1260</v>
      </c>
      <c r="J355" s="119">
        <v>85.21</v>
      </c>
      <c r="K355" s="119" t="s">
        <v>200</v>
      </c>
      <c r="L355" s="146">
        <f>J355-78</f>
        <v>7.2099999999999937</v>
      </c>
      <c r="M355" s="119" t="s">
        <v>1261</v>
      </c>
      <c r="N355" s="119" t="s">
        <v>93</v>
      </c>
      <c r="O355" s="141">
        <f t="shared" si="246"/>
        <v>244112</v>
      </c>
      <c r="P355" s="141">
        <f t="shared" si="247"/>
        <v>244119</v>
      </c>
      <c r="Q355" s="141">
        <f t="shared" si="248"/>
        <v>244114</v>
      </c>
      <c r="R355" s="139" t="s">
        <v>55</v>
      </c>
      <c r="S355" s="143">
        <v>244119</v>
      </c>
      <c r="T355" s="139" t="s">
        <v>55</v>
      </c>
      <c r="U355" s="143">
        <v>244121</v>
      </c>
      <c r="V355" s="139" t="s">
        <v>55</v>
      </c>
      <c r="W355" s="143">
        <v>244113</v>
      </c>
      <c r="X355" s="139"/>
      <c r="Y355" s="141"/>
      <c r="Z355" s="119" t="s">
        <v>1264</v>
      </c>
      <c r="AA355" s="144">
        <f t="shared" ref="AA355" si="273">W355-P355</f>
        <v>-6</v>
      </c>
    </row>
    <row r="356" spans="1:27" s="145" customFormat="1" ht="36" customHeight="1" x14ac:dyDescent="0.25">
      <c r="A356" s="119" t="s">
        <v>22</v>
      </c>
      <c r="B356" s="139">
        <v>244113</v>
      </c>
      <c r="C356" s="119" t="s">
        <v>14</v>
      </c>
      <c r="D356" s="166">
        <v>680285</v>
      </c>
      <c r="E356" s="119" t="s">
        <v>307</v>
      </c>
      <c r="F356" s="190">
        <v>68050918</v>
      </c>
      <c r="G356" s="119" t="s">
        <v>1262</v>
      </c>
      <c r="H356" s="187" t="s">
        <v>214</v>
      </c>
      <c r="I356" s="147" t="s">
        <v>400</v>
      </c>
      <c r="J356" s="146">
        <v>70.58</v>
      </c>
      <c r="K356" s="119" t="s">
        <v>200</v>
      </c>
      <c r="L356" s="146">
        <f>J356-66</f>
        <v>4.5799999999999983</v>
      </c>
      <c r="M356" s="119" t="s">
        <v>1263</v>
      </c>
      <c r="N356" s="119" t="s">
        <v>93</v>
      </c>
      <c r="O356" s="141">
        <f t="shared" si="246"/>
        <v>244113</v>
      </c>
      <c r="P356" s="141">
        <f t="shared" si="247"/>
        <v>244120</v>
      </c>
      <c r="Q356" s="141">
        <f t="shared" si="248"/>
        <v>244115</v>
      </c>
      <c r="R356" s="139" t="s">
        <v>55</v>
      </c>
      <c r="S356" s="143">
        <v>244119</v>
      </c>
      <c r="T356" s="139" t="s">
        <v>55</v>
      </c>
      <c r="U356" s="143">
        <v>244121</v>
      </c>
      <c r="V356" s="139" t="s">
        <v>55</v>
      </c>
      <c r="W356" s="143">
        <v>244113</v>
      </c>
      <c r="X356" s="139"/>
      <c r="Y356" s="141"/>
      <c r="Z356" s="119" t="s">
        <v>1265</v>
      </c>
      <c r="AA356" s="144"/>
    </row>
    <row r="357" spans="1:27" s="145" customFormat="1" ht="36" customHeight="1" x14ac:dyDescent="0.25">
      <c r="A357" s="119" t="s">
        <v>22</v>
      </c>
      <c r="B357" s="139">
        <v>244114</v>
      </c>
      <c r="C357" s="119" t="s">
        <v>14</v>
      </c>
      <c r="D357" s="166">
        <v>680286</v>
      </c>
      <c r="E357" s="119" t="s">
        <v>368</v>
      </c>
      <c r="F357" s="190">
        <v>68051017</v>
      </c>
      <c r="G357" s="119" t="s">
        <v>1267</v>
      </c>
      <c r="H357" s="187" t="s">
        <v>208</v>
      </c>
      <c r="I357" s="147" t="s">
        <v>1260</v>
      </c>
      <c r="J357" s="146">
        <v>83.7</v>
      </c>
      <c r="K357" s="119" t="s">
        <v>200</v>
      </c>
      <c r="L357" s="146">
        <f>J357-78</f>
        <v>5.7000000000000028</v>
      </c>
      <c r="M357" s="119" t="s">
        <v>1268</v>
      </c>
      <c r="N357" s="119" t="s">
        <v>93</v>
      </c>
      <c r="O357" s="141">
        <f t="shared" si="246"/>
        <v>244114</v>
      </c>
      <c r="P357" s="141">
        <f t="shared" si="247"/>
        <v>244121</v>
      </c>
      <c r="Q357" s="141">
        <f t="shared" si="248"/>
        <v>244116</v>
      </c>
      <c r="R357" s="139" t="s">
        <v>55</v>
      </c>
      <c r="S357" s="143">
        <v>244119</v>
      </c>
      <c r="T357" s="139" t="s">
        <v>55</v>
      </c>
      <c r="U357" s="143">
        <v>244121</v>
      </c>
      <c r="V357" s="139" t="s">
        <v>55</v>
      </c>
      <c r="W357" s="143">
        <v>244116</v>
      </c>
      <c r="X357" s="139"/>
      <c r="Y357" s="141"/>
      <c r="Z357" s="119" t="s">
        <v>1278</v>
      </c>
      <c r="AA357" s="144"/>
    </row>
    <row r="358" spans="1:27" s="145" customFormat="1" ht="36" customHeight="1" x14ac:dyDescent="0.25">
      <c r="A358" s="119" t="s">
        <v>22</v>
      </c>
      <c r="B358" s="139">
        <v>244114</v>
      </c>
      <c r="C358" s="119" t="s">
        <v>14</v>
      </c>
      <c r="D358" s="166">
        <v>680286</v>
      </c>
      <c r="E358" s="119" t="s">
        <v>368</v>
      </c>
      <c r="F358" s="190">
        <v>68051018</v>
      </c>
      <c r="G358" s="119" t="s">
        <v>1269</v>
      </c>
      <c r="H358" s="187" t="s">
        <v>296</v>
      </c>
      <c r="I358" s="147" t="s">
        <v>1260</v>
      </c>
      <c r="J358" s="119">
        <v>83.63</v>
      </c>
      <c r="K358" s="119" t="s">
        <v>200</v>
      </c>
      <c r="L358" s="146">
        <f>J358-78</f>
        <v>5.6299999999999955</v>
      </c>
      <c r="M358" s="119" t="s">
        <v>1270</v>
      </c>
      <c r="N358" s="119" t="s">
        <v>93</v>
      </c>
      <c r="O358" s="141">
        <f t="shared" si="246"/>
        <v>244114</v>
      </c>
      <c r="P358" s="141">
        <f t="shared" si="247"/>
        <v>244121</v>
      </c>
      <c r="Q358" s="141">
        <f t="shared" si="248"/>
        <v>244116</v>
      </c>
      <c r="R358" s="139" t="s">
        <v>55</v>
      </c>
      <c r="S358" s="143">
        <v>244119</v>
      </c>
      <c r="T358" s="139" t="s">
        <v>55</v>
      </c>
      <c r="U358" s="143">
        <v>244121</v>
      </c>
      <c r="V358" s="139" t="s">
        <v>55</v>
      </c>
      <c r="W358" s="143">
        <v>244116</v>
      </c>
      <c r="X358" s="139"/>
      <c r="Y358" s="141"/>
      <c r="Z358" s="119" t="s">
        <v>1278</v>
      </c>
      <c r="AA358" s="144">
        <f t="shared" si="249"/>
        <v>-5</v>
      </c>
    </row>
    <row r="359" spans="1:27" s="145" customFormat="1" ht="36" customHeight="1" x14ac:dyDescent="0.25">
      <c r="A359" s="119" t="s">
        <v>22</v>
      </c>
      <c r="B359" s="139">
        <v>244115</v>
      </c>
      <c r="C359" s="119" t="s">
        <v>14</v>
      </c>
      <c r="D359" s="166">
        <v>680287</v>
      </c>
      <c r="E359" s="119" t="s">
        <v>368</v>
      </c>
      <c r="F359" s="190">
        <v>68051121</v>
      </c>
      <c r="G359" s="119" t="s">
        <v>1271</v>
      </c>
      <c r="H359" s="187" t="s">
        <v>296</v>
      </c>
      <c r="I359" s="147" t="s">
        <v>1260</v>
      </c>
      <c r="J359" s="146">
        <v>81.05</v>
      </c>
      <c r="K359" s="119" t="s">
        <v>200</v>
      </c>
      <c r="L359" s="146">
        <f>J359-78</f>
        <v>3.0499999999999972</v>
      </c>
      <c r="M359" s="119" t="s">
        <v>1272</v>
      </c>
      <c r="N359" s="119" t="s">
        <v>93</v>
      </c>
      <c r="O359" s="141">
        <f t="shared" si="246"/>
        <v>244115</v>
      </c>
      <c r="P359" s="141">
        <f t="shared" si="247"/>
        <v>244122</v>
      </c>
      <c r="Q359" s="141">
        <f t="shared" si="248"/>
        <v>244117</v>
      </c>
      <c r="R359" s="139" t="s">
        <v>55</v>
      </c>
      <c r="S359" s="143">
        <v>244119</v>
      </c>
      <c r="T359" s="139" t="s">
        <v>55</v>
      </c>
      <c r="U359" s="143">
        <v>244121</v>
      </c>
      <c r="V359" s="139" t="s">
        <v>55</v>
      </c>
      <c r="W359" s="143">
        <v>244116</v>
      </c>
      <c r="X359" s="139"/>
      <c r="Y359" s="141"/>
      <c r="Z359" s="119" t="s">
        <v>1278</v>
      </c>
      <c r="AA359" s="144"/>
    </row>
    <row r="360" spans="1:27" s="145" customFormat="1" ht="36" customHeight="1" x14ac:dyDescent="0.25">
      <c r="A360" s="119" t="s">
        <v>22</v>
      </c>
      <c r="B360" s="139">
        <v>244115</v>
      </c>
      <c r="C360" s="119" t="s">
        <v>14</v>
      </c>
      <c r="D360" s="166">
        <v>680288</v>
      </c>
      <c r="E360" s="119" t="s">
        <v>307</v>
      </c>
      <c r="F360" s="190">
        <v>68051130</v>
      </c>
      <c r="G360" s="119" t="s">
        <v>1273</v>
      </c>
      <c r="H360" s="187" t="s">
        <v>221</v>
      </c>
      <c r="I360" s="147" t="s">
        <v>400</v>
      </c>
      <c r="J360" s="146">
        <v>68.14</v>
      </c>
      <c r="K360" s="119" t="s">
        <v>1274</v>
      </c>
      <c r="L360" s="146">
        <f>J360-66</f>
        <v>2.1400000000000006</v>
      </c>
      <c r="M360" s="119" t="s">
        <v>1275</v>
      </c>
      <c r="N360" s="119" t="s">
        <v>93</v>
      </c>
      <c r="O360" s="141">
        <f t="shared" si="246"/>
        <v>244115</v>
      </c>
      <c r="P360" s="141">
        <f t="shared" si="247"/>
        <v>244122</v>
      </c>
      <c r="Q360" s="141">
        <f t="shared" si="248"/>
        <v>244117</v>
      </c>
      <c r="R360" s="139" t="s">
        <v>55</v>
      </c>
      <c r="S360" s="143">
        <v>244119</v>
      </c>
      <c r="T360" s="139" t="s">
        <v>55</v>
      </c>
      <c r="U360" s="143">
        <v>244121</v>
      </c>
      <c r="V360" s="139" t="s">
        <v>55</v>
      </c>
      <c r="W360" s="143">
        <v>244118</v>
      </c>
      <c r="X360" s="139"/>
      <c r="Y360" s="141"/>
      <c r="Z360" s="119" t="s">
        <v>1309</v>
      </c>
      <c r="AA360" s="144"/>
    </row>
    <row r="361" spans="1:27" s="145" customFormat="1" ht="36" customHeight="1" x14ac:dyDescent="0.25">
      <c r="A361" s="119" t="s">
        <v>22</v>
      </c>
      <c r="B361" s="139">
        <v>244115</v>
      </c>
      <c r="C361" s="119" t="s">
        <v>14</v>
      </c>
      <c r="D361" s="166">
        <v>680289</v>
      </c>
      <c r="E361" s="119" t="s">
        <v>413</v>
      </c>
      <c r="F361" s="190">
        <v>68051137</v>
      </c>
      <c r="G361" s="119" t="s">
        <v>1276</v>
      </c>
      <c r="H361" s="187" t="s">
        <v>292</v>
      </c>
      <c r="I361" s="147" t="s">
        <v>415</v>
      </c>
      <c r="J361" s="146">
        <v>85.56</v>
      </c>
      <c r="K361" s="119" t="s">
        <v>200</v>
      </c>
      <c r="L361" s="146">
        <f>J361-80</f>
        <v>5.5600000000000023</v>
      </c>
      <c r="M361" s="119" t="s">
        <v>1277</v>
      </c>
      <c r="N361" s="119" t="s">
        <v>93</v>
      </c>
      <c r="O361" s="141">
        <f t="shared" si="246"/>
        <v>244115</v>
      </c>
      <c r="P361" s="141">
        <f t="shared" si="247"/>
        <v>244122</v>
      </c>
      <c r="Q361" s="141">
        <f t="shared" si="248"/>
        <v>244117</v>
      </c>
      <c r="R361" s="139" t="s">
        <v>55</v>
      </c>
      <c r="S361" s="143">
        <v>244119</v>
      </c>
      <c r="T361" s="139" t="s">
        <v>55</v>
      </c>
      <c r="U361" s="143">
        <v>244121</v>
      </c>
      <c r="V361" s="139" t="s">
        <v>55</v>
      </c>
      <c r="W361" s="143">
        <v>244121</v>
      </c>
      <c r="X361" s="139"/>
      <c r="Y361" s="141"/>
      <c r="Z361" s="119" t="s">
        <v>1334</v>
      </c>
      <c r="AA361" s="144"/>
    </row>
    <row r="362" spans="1:27" s="145" customFormat="1" ht="36" customHeight="1" x14ac:dyDescent="0.25">
      <c r="A362" s="119" t="s">
        <v>22</v>
      </c>
      <c r="B362" s="139">
        <v>244116</v>
      </c>
      <c r="C362" s="119" t="s">
        <v>14</v>
      </c>
      <c r="D362" s="166">
        <v>680290</v>
      </c>
      <c r="E362" s="119" t="s">
        <v>307</v>
      </c>
      <c r="F362" s="190">
        <v>68051244</v>
      </c>
      <c r="G362" s="119" t="s">
        <v>1279</v>
      </c>
      <c r="H362" s="187" t="s">
        <v>213</v>
      </c>
      <c r="I362" s="147" t="s">
        <v>400</v>
      </c>
      <c r="J362" s="146" t="s">
        <v>543</v>
      </c>
      <c r="K362" s="119" t="s">
        <v>1280</v>
      </c>
      <c r="L362" s="146" t="s">
        <v>69</v>
      </c>
      <c r="M362" s="119" t="s">
        <v>1281</v>
      </c>
      <c r="N362" s="119" t="s">
        <v>93</v>
      </c>
      <c r="O362" s="141">
        <f t="shared" si="246"/>
        <v>244116</v>
      </c>
      <c r="P362" s="141">
        <f t="shared" si="247"/>
        <v>244123</v>
      </c>
      <c r="Q362" s="141">
        <f t="shared" si="248"/>
        <v>244118</v>
      </c>
      <c r="R362" s="139" t="s">
        <v>55</v>
      </c>
      <c r="S362" s="143">
        <v>244119</v>
      </c>
      <c r="T362" s="139" t="s">
        <v>55</v>
      </c>
      <c r="U362" s="143">
        <v>244121</v>
      </c>
      <c r="V362" s="139" t="s">
        <v>55</v>
      </c>
      <c r="W362" s="143">
        <v>244118</v>
      </c>
      <c r="X362" s="139"/>
      <c r="Y362" s="141"/>
      <c r="Z362" s="119" t="s">
        <v>1309</v>
      </c>
      <c r="AA362" s="144"/>
    </row>
    <row r="363" spans="1:27" s="145" customFormat="1" ht="36" customHeight="1" x14ac:dyDescent="0.25">
      <c r="A363" s="119" t="s">
        <v>22</v>
      </c>
      <c r="B363" s="139">
        <v>244116</v>
      </c>
      <c r="C363" s="119" t="s">
        <v>14</v>
      </c>
      <c r="D363" s="166">
        <v>680291</v>
      </c>
      <c r="E363" s="119" t="s">
        <v>420</v>
      </c>
      <c r="F363" s="190">
        <v>68051205</v>
      </c>
      <c r="G363" s="119" t="s">
        <v>1282</v>
      </c>
      <c r="H363" s="187" t="s">
        <v>276</v>
      </c>
      <c r="I363" s="147" t="s">
        <v>1041</v>
      </c>
      <c r="J363" s="146">
        <v>126.26</v>
      </c>
      <c r="K363" s="119" t="s">
        <v>207</v>
      </c>
      <c r="L363" s="146">
        <f>J363-124</f>
        <v>2.2600000000000051</v>
      </c>
      <c r="M363" s="119" t="s">
        <v>1283</v>
      </c>
      <c r="N363" s="119" t="s">
        <v>93</v>
      </c>
      <c r="O363" s="141">
        <f t="shared" si="246"/>
        <v>244116</v>
      </c>
      <c r="P363" s="141">
        <f t="shared" si="247"/>
        <v>244123</v>
      </c>
      <c r="Q363" s="141">
        <f t="shared" si="248"/>
        <v>244118</v>
      </c>
      <c r="R363" s="139" t="s">
        <v>55</v>
      </c>
      <c r="S363" s="143">
        <v>244119</v>
      </c>
      <c r="T363" s="139" t="s">
        <v>55</v>
      </c>
      <c r="U363" s="143">
        <v>244121</v>
      </c>
      <c r="V363" s="139" t="s">
        <v>55</v>
      </c>
      <c r="W363" s="143">
        <v>244121</v>
      </c>
      <c r="X363" s="139"/>
      <c r="Y363" s="141"/>
      <c r="Z363" s="119" t="s">
        <v>966</v>
      </c>
      <c r="AA363" s="144">
        <f t="shared" si="249"/>
        <v>-2</v>
      </c>
    </row>
    <row r="364" spans="1:27" s="145" customFormat="1" ht="36" customHeight="1" x14ac:dyDescent="0.25">
      <c r="A364" s="119" t="s">
        <v>22</v>
      </c>
      <c r="B364" s="139">
        <v>244116</v>
      </c>
      <c r="C364" s="119" t="s">
        <v>14</v>
      </c>
      <c r="D364" s="166">
        <v>680292</v>
      </c>
      <c r="E364" s="119" t="s">
        <v>368</v>
      </c>
      <c r="F364" s="190">
        <v>68051249</v>
      </c>
      <c r="G364" s="119" t="s">
        <v>1284</v>
      </c>
      <c r="H364" s="187" t="s">
        <v>208</v>
      </c>
      <c r="I364" s="147" t="s">
        <v>1260</v>
      </c>
      <c r="J364" s="146">
        <v>82.97</v>
      </c>
      <c r="K364" s="119" t="s">
        <v>200</v>
      </c>
      <c r="L364" s="146">
        <f>J364-78</f>
        <v>4.9699999999999989</v>
      </c>
      <c r="M364" s="119" t="s">
        <v>1285</v>
      </c>
      <c r="N364" s="119" t="s">
        <v>93</v>
      </c>
      <c r="O364" s="141">
        <f t="shared" si="246"/>
        <v>244116</v>
      </c>
      <c r="P364" s="141">
        <f t="shared" si="247"/>
        <v>244123</v>
      </c>
      <c r="Q364" s="141">
        <f t="shared" si="248"/>
        <v>244118</v>
      </c>
      <c r="R364" s="139" t="s">
        <v>55</v>
      </c>
      <c r="S364" s="143">
        <v>244119</v>
      </c>
      <c r="T364" s="139" t="s">
        <v>55</v>
      </c>
      <c r="U364" s="143">
        <v>244121</v>
      </c>
      <c r="V364" s="139" t="s">
        <v>55</v>
      </c>
      <c r="W364" s="143">
        <v>244118</v>
      </c>
      <c r="X364" s="139"/>
      <c r="Y364" s="141"/>
      <c r="Z364" s="119" t="s">
        <v>1306</v>
      </c>
      <c r="AA364" s="144">
        <f t="shared" si="249"/>
        <v>-5</v>
      </c>
    </row>
    <row r="365" spans="1:27" s="145" customFormat="1" ht="36" customHeight="1" x14ac:dyDescent="0.25">
      <c r="A365" s="119" t="s">
        <v>22</v>
      </c>
      <c r="B365" s="139">
        <v>244116</v>
      </c>
      <c r="C365" s="119" t="s">
        <v>14</v>
      </c>
      <c r="D365" s="166">
        <v>680292</v>
      </c>
      <c r="E365" s="119" t="s">
        <v>368</v>
      </c>
      <c r="F365" s="190">
        <v>68051250</v>
      </c>
      <c r="G365" s="119" t="s">
        <v>1286</v>
      </c>
      <c r="H365" s="187" t="s">
        <v>296</v>
      </c>
      <c r="I365" s="147" t="s">
        <v>1260</v>
      </c>
      <c r="J365" s="146">
        <v>82.68</v>
      </c>
      <c r="K365" s="119" t="s">
        <v>1288</v>
      </c>
      <c r="L365" s="146">
        <f>J365-78</f>
        <v>4.6800000000000068</v>
      </c>
      <c r="M365" s="119" t="s">
        <v>1287</v>
      </c>
      <c r="N365" s="119" t="s">
        <v>93</v>
      </c>
      <c r="O365" s="141">
        <f t="shared" si="246"/>
        <v>244116</v>
      </c>
      <c r="P365" s="141">
        <f t="shared" si="247"/>
        <v>244123</v>
      </c>
      <c r="Q365" s="141">
        <f t="shared" si="248"/>
        <v>244118</v>
      </c>
      <c r="R365" s="139" t="s">
        <v>55</v>
      </c>
      <c r="S365" s="143">
        <v>244119</v>
      </c>
      <c r="T365" s="139" t="s">
        <v>55</v>
      </c>
      <c r="U365" s="143">
        <v>244121</v>
      </c>
      <c r="V365" s="139" t="s">
        <v>55</v>
      </c>
      <c r="W365" s="143">
        <v>244118</v>
      </c>
      <c r="X365" s="139"/>
      <c r="Y365" s="141"/>
      <c r="Z365" s="119" t="s">
        <v>1306</v>
      </c>
      <c r="AA365" s="144"/>
    </row>
    <row r="366" spans="1:27" s="145" customFormat="1" ht="36" customHeight="1" x14ac:dyDescent="0.25">
      <c r="A366" s="119" t="s">
        <v>22</v>
      </c>
      <c r="B366" s="139">
        <v>244116</v>
      </c>
      <c r="C366" s="119" t="s">
        <v>14</v>
      </c>
      <c r="D366" s="166">
        <v>680293</v>
      </c>
      <c r="E366" s="119" t="s">
        <v>356</v>
      </c>
      <c r="F366" s="190">
        <v>68051253</v>
      </c>
      <c r="G366" s="119" t="s">
        <v>1289</v>
      </c>
      <c r="H366" s="187" t="s">
        <v>563</v>
      </c>
      <c r="I366" s="147" t="s">
        <v>358</v>
      </c>
      <c r="J366" s="146">
        <v>85.21</v>
      </c>
      <c r="K366" s="119" t="s">
        <v>207</v>
      </c>
      <c r="L366" s="146">
        <f>J366-83</f>
        <v>2.2099999999999937</v>
      </c>
      <c r="M366" s="119" t="s">
        <v>526</v>
      </c>
      <c r="N366" s="119" t="s">
        <v>93</v>
      </c>
      <c r="O366" s="141">
        <f t="shared" si="246"/>
        <v>244116</v>
      </c>
      <c r="P366" s="141">
        <f t="shared" si="247"/>
        <v>244123</v>
      </c>
      <c r="Q366" s="141">
        <f t="shared" si="248"/>
        <v>244118</v>
      </c>
      <c r="R366" s="139" t="s">
        <v>55</v>
      </c>
      <c r="S366" s="143">
        <v>244119</v>
      </c>
      <c r="T366" s="139" t="s">
        <v>55</v>
      </c>
      <c r="U366" s="143">
        <v>244121</v>
      </c>
      <c r="V366" s="139" t="s">
        <v>55</v>
      </c>
      <c r="W366" s="143">
        <v>244117</v>
      </c>
      <c r="X366" s="139"/>
      <c r="Y366" s="141"/>
      <c r="Z366" s="119" t="s">
        <v>1299</v>
      </c>
      <c r="AA366" s="144">
        <f t="shared" si="249"/>
        <v>-6</v>
      </c>
    </row>
    <row r="367" spans="1:27" s="145" customFormat="1" ht="36" customHeight="1" x14ac:dyDescent="0.25">
      <c r="A367" s="119" t="s">
        <v>22</v>
      </c>
      <c r="B367" s="139">
        <v>244117</v>
      </c>
      <c r="C367" s="119" t="s">
        <v>14</v>
      </c>
      <c r="D367" s="166">
        <v>680294</v>
      </c>
      <c r="E367" s="119" t="s">
        <v>1290</v>
      </c>
      <c r="F367" s="190">
        <v>68051327</v>
      </c>
      <c r="G367" s="119" t="s">
        <v>1291</v>
      </c>
      <c r="H367" s="187" t="s">
        <v>237</v>
      </c>
      <c r="I367" s="147" t="s">
        <v>1104</v>
      </c>
      <c r="J367" s="146">
        <v>87.03</v>
      </c>
      <c r="K367" s="119" t="s">
        <v>200</v>
      </c>
      <c r="L367" s="146">
        <f>J367-85</f>
        <v>2.0300000000000011</v>
      </c>
      <c r="M367" s="119" t="s">
        <v>1292</v>
      </c>
      <c r="N367" s="119" t="s">
        <v>93</v>
      </c>
      <c r="O367" s="141">
        <f t="shared" si="246"/>
        <v>244117</v>
      </c>
      <c r="P367" s="141">
        <f t="shared" si="247"/>
        <v>244124</v>
      </c>
      <c r="Q367" s="141">
        <f t="shared" si="248"/>
        <v>244119</v>
      </c>
      <c r="R367" s="139" t="s">
        <v>55</v>
      </c>
      <c r="S367" s="143">
        <v>244119</v>
      </c>
      <c r="T367" s="139" t="s">
        <v>55</v>
      </c>
      <c r="U367" s="143">
        <v>244121</v>
      </c>
      <c r="V367" s="139" t="s">
        <v>55</v>
      </c>
      <c r="W367" s="143">
        <v>244121</v>
      </c>
      <c r="X367" s="139"/>
      <c r="Y367" s="141"/>
      <c r="Z367" s="119" t="s">
        <v>1335</v>
      </c>
      <c r="AA367" s="144"/>
    </row>
    <row r="368" spans="1:27" s="145" customFormat="1" ht="36" customHeight="1" x14ac:dyDescent="0.25">
      <c r="A368" s="119" t="s">
        <v>22</v>
      </c>
      <c r="B368" s="139">
        <v>244117</v>
      </c>
      <c r="C368" s="119" t="s">
        <v>14</v>
      </c>
      <c r="D368" s="166">
        <v>680295</v>
      </c>
      <c r="E368" s="119" t="s">
        <v>368</v>
      </c>
      <c r="F368" s="190">
        <v>68051317</v>
      </c>
      <c r="G368" s="119" t="s">
        <v>1293</v>
      </c>
      <c r="H368" s="187" t="s">
        <v>208</v>
      </c>
      <c r="I368" s="147" t="s">
        <v>1260</v>
      </c>
      <c r="J368" s="146">
        <v>81.12</v>
      </c>
      <c r="K368" s="119" t="s">
        <v>1288</v>
      </c>
      <c r="L368" s="146">
        <f>J368-78</f>
        <v>3.1200000000000045</v>
      </c>
      <c r="M368" s="119" t="s">
        <v>1294</v>
      </c>
      <c r="N368" s="119" t="s">
        <v>93</v>
      </c>
      <c r="O368" s="141">
        <f t="shared" si="246"/>
        <v>244117</v>
      </c>
      <c r="P368" s="141">
        <f t="shared" si="247"/>
        <v>244124</v>
      </c>
      <c r="Q368" s="141">
        <f t="shared" si="248"/>
        <v>244119</v>
      </c>
      <c r="R368" s="139" t="s">
        <v>55</v>
      </c>
      <c r="S368" s="143">
        <v>244119</v>
      </c>
      <c r="T368" s="139" t="s">
        <v>55</v>
      </c>
      <c r="U368" s="143">
        <v>244121</v>
      </c>
      <c r="V368" s="139" t="s">
        <v>55</v>
      </c>
      <c r="W368" s="143">
        <v>244121</v>
      </c>
      <c r="X368" s="139"/>
      <c r="Y368" s="141"/>
      <c r="Z368" s="119" t="s">
        <v>1336</v>
      </c>
      <c r="AA368" s="144">
        <f t="shared" si="249"/>
        <v>-3</v>
      </c>
    </row>
    <row r="369" spans="1:27" s="145" customFormat="1" ht="36" customHeight="1" x14ac:dyDescent="0.25">
      <c r="A369" s="119" t="s">
        <v>22</v>
      </c>
      <c r="B369" s="139">
        <v>244117</v>
      </c>
      <c r="C369" s="119" t="s">
        <v>14</v>
      </c>
      <c r="D369" s="166">
        <v>680295</v>
      </c>
      <c r="E369" s="119" t="s">
        <v>368</v>
      </c>
      <c r="F369" s="190">
        <v>68051358</v>
      </c>
      <c r="G369" s="119" t="s">
        <v>1293</v>
      </c>
      <c r="H369" s="187" t="s">
        <v>208</v>
      </c>
      <c r="I369" s="147" t="s">
        <v>1260</v>
      </c>
      <c r="J369" s="146">
        <v>79.64</v>
      </c>
      <c r="K369" s="119" t="s">
        <v>200</v>
      </c>
      <c r="L369" s="146">
        <f>J369-78</f>
        <v>1.6400000000000006</v>
      </c>
      <c r="M369" s="119" t="s">
        <v>1302</v>
      </c>
      <c r="N369" s="119" t="s">
        <v>93</v>
      </c>
      <c r="O369" s="141">
        <f t="shared" ref="O369" si="274">B369</f>
        <v>244117</v>
      </c>
      <c r="P369" s="141">
        <f t="shared" ref="P369" si="275">B369+7</f>
        <v>244124</v>
      </c>
      <c r="Q369" s="141">
        <f t="shared" ref="Q369" si="276">O369+2</f>
        <v>244119</v>
      </c>
      <c r="R369" s="139" t="s">
        <v>55</v>
      </c>
      <c r="S369" s="143">
        <v>244119</v>
      </c>
      <c r="T369" s="139" t="s">
        <v>55</v>
      </c>
      <c r="U369" s="143">
        <v>244121</v>
      </c>
      <c r="V369" s="139" t="s">
        <v>55</v>
      </c>
      <c r="W369" s="143">
        <v>244121</v>
      </c>
      <c r="X369" s="139"/>
      <c r="Y369" s="141"/>
      <c r="Z369" s="119" t="s">
        <v>1336</v>
      </c>
      <c r="AA369" s="144"/>
    </row>
    <row r="370" spans="1:27" s="145" customFormat="1" ht="36" customHeight="1" x14ac:dyDescent="0.25">
      <c r="A370" s="119" t="s">
        <v>22</v>
      </c>
      <c r="B370" s="139">
        <v>244117</v>
      </c>
      <c r="C370" s="119" t="s">
        <v>14</v>
      </c>
      <c r="D370" s="166">
        <v>680296</v>
      </c>
      <c r="E370" s="119" t="s">
        <v>307</v>
      </c>
      <c r="F370" s="190">
        <v>68051343</v>
      </c>
      <c r="G370" s="119" t="s">
        <v>1295</v>
      </c>
      <c r="H370" s="187" t="s">
        <v>238</v>
      </c>
      <c r="I370" s="147" t="s">
        <v>400</v>
      </c>
      <c r="J370" s="146">
        <v>69.069999999999993</v>
      </c>
      <c r="K370" s="119" t="s">
        <v>200</v>
      </c>
      <c r="L370" s="146">
        <f>J370-66</f>
        <v>3.0699999999999932</v>
      </c>
      <c r="M370" s="119" t="s">
        <v>1296</v>
      </c>
      <c r="N370" s="119" t="s">
        <v>93</v>
      </c>
      <c r="O370" s="141">
        <f t="shared" si="246"/>
        <v>244117</v>
      </c>
      <c r="P370" s="141">
        <f t="shared" si="247"/>
        <v>244124</v>
      </c>
      <c r="Q370" s="141">
        <f t="shared" si="248"/>
        <v>244119</v>
      </c>
      <c r="R370" s="139" t="s">
        <v>55</v>
      </c>
      <c r="S370" s="143">
        <v>244119</v>
      </c>
      <c r="T370" s="139" t="s">
        <v>55</v>
      </c>
      <c r="U370" s="143">
        <v>244121</v>
      </c>
      <c r="V370" s="139" t="s">
        <v>55</v>
      </c>
      <c r="W370" s="143">
        <v>244118</v>
      </c>
      <c r="X370" s="139"/>
      <c r="Y370" s="141"/>
      <c r="Z370" s="119" t="s">
        <v>954</v>
      </c>
      <c r="AA370" s="144">
        <f t="shared" si="249"/>
        <v>-6</v>
      </c>
    </row>
    <row r="371" spans="1:27" s="145" customFormat="1" ht="36" customHeight="1" x14ac:dyDescent="0.25">
      <c r="A371" s="119" t="s">
        <v>22</v>
      </c>
      <c r="B371" s="139">
        <v>244117</v>
      </c>
      <c r="C371" s="119" t="s">
        <v>14</v>
      </c>
      <c r="D371" s="166">
        <v>680296</v>
      </c>
      <c r="E371" s="119" t="s">
        <v>307</v>
      </c>
      <c r="F371" s="190">
        <v>68051340</v>
      </c>
      <c r="G371" s="119" t="s">
        <v>1297</v>
      </c>
      <c r="H371" s="187" t="s">
        <v>214</v>
      </c>
      <c r="I371" s="147" t="s">
        <v>400</v>
      </c>
      <c r="J371" s="146">
        <v>69.91</v>
      </c>
      <c r="K371" s="119" t="s">
        <v>200</v>
      </c>
      <c r="L371" s="146">
        <f>J371-66</f>
        <v>3.9099999999999966</v>
      </c>
      <c r="M371" s="119" t="s">
        <v>1298</v>
      </c>
      <c r="N371" s="119" t="s">
        <v>93</v>
      </c>
      <c r="O371" s="141">
        <f t="shared" si="246"/>
        <v>244117</v>
      </c>
      <c r="P371" s="141">
        <f t="shared" si="247"/>
        <v>244124</v>
      </c>
      <c r="Q371" s="141">
        <f t="shared" si="248"/>
        <v>244119</v>
      </c>
      <c r="R371" s="139" t="s">
        <v>55</v>
      </c>
      <c r="S371" s="143">
        <v>244119</v>
      </c>
      <c r="T371" s="139"/>
      <c r="U371" s="143"/>
      <c r="V371" s="139" t="s">
        <v>55</v>
      </c>
      <c r="W371" s="143">
        <v>244118</v>
      </c>
      <c r="X371" s="139"/>
      <c r="Y371" s="141"/>
      <c r="Z371" s="119" t="s">
        <v>954</v>
      </c>
      <c r="AA371" s="144">
        <f t="shared" ref="AA371" si="277">W371-P371</f>
        <v>-6</v>
      </c>
    </row>
    <row r="372" spans="1:27" s="145" customFormat="1" ht="36" customHeight="1" x14ac:dyDescent="0.25">
      <c r="A372" s="119" t="s">
        <v>22</v>
      </c>
      <c r="B372" s="139">
        <v>244117</v>
      </c>
      <c r="C372" s="119" t="s">
        <v>14</v>
      </c>
      <c r="D372" s="166">
        <v>680296</v>
      </c>
      <c r="E372" s="119" t="s">
        <v>307</v>
      </c>
      <c r="F372" s="190">
        <v>68051354</v>
      </c>
      <c r="G372" s="119" t="s">
        <v>1300</v>
      </c>
      <c r="H372" s="187" t="s">
        <v>221</v>
      </c>
      <c r="I372" s="147" t="s">
        <v>400</v>
      </c>
      <c r="J372" s="146">
        <v>70.38</v>
      </c>
      <c r="K372" s="119" t="s">
        <v>207</v>
      </c>
      <c r="L372" s="146">
        <f>J372-66</f>
        <v>4.3799999999999955</v>
      </c>
      <c r="M372" s="119" t="s">
        <v>1301</v>
      </c>
      <c r="N372" s="119" t="s">
        <v>93</v>
      </c>
      <c r="O372" s="141">
        <f t="shared" si="246"/>
        <v>244117</v>
      </c>
      <c r="P372" s="141">
        <f t="shared" si="247"/>
        <v>244124</v>
      </c>
      <c r="Q372" s="141">
        <f t="shared" si="248"/>
        <v>244119</v>
      </c>
      <c r="R372" s="139" t="s">
        <v>55</v>
      </c>
      <c r="S372" s="143">
        <v>244119</v>
      </c>
      <c r="T372" s="139"/>
      <c r="U372" s="143"/>
      <c r="V372" s="139" t="s">
        <v>55</v>
      </c>
      <c r="W372" s="143">
        <v>244118</v>
      </c>
      <c r="X372" s="139"/>
      <c r="Y372" s="141"/>
      <c r="Z372" s="119" t="s">
        <v>954</v>
      </c>
      <c r="AA372" s="144">
        <f t="shared" ref="AA372" si="278">W372-P372</f>
        <v>-6</v>
      </c>
    </row>
    <row r="373" spans="1:27" s="145" customFormat="1" ht="36" customHeight="1" x14ac:dyDescent="0.25">
      <c r="A373" s="119" t="s">
        <v>22</v>
      </c>
      <c r="B373" s="139">
        <v>244117</v>
      </c>
      <c r="C373" s="119" t="s">
        <v>11</v>
      </c>
      <c r="D373" s="166">
        <v>680297</v>
      </c>
      <c r="E373" s="119" t="s">
        <v>1303</v>
      </c>
      <c r="F373" s="190" t="s">
        <v>1304</v>
      </c>
      <c r="G373" s="119">
        <v>680516</v>
      </c>
      <c r="H373" s="187" t="s">
        <v>135</v>
      </c>
      <c r="I373" s="147" t="s">
        <v>76</v>
      </c>
      <c r="J373" s="146">
        <v>726</v>
      </c>
      <c r="K373" s="119" t="s">
        <v>123</v>
      </c>
      <c r="L373" s="146">
        <v>6</v>
      </c>
      <c r="M373" s="257">
        <v>241</v>
      </c>
      <c r="N373" s="119" t="s">
        <v>53</v>
      </c>
      <c r="O373" s="141">
        <f t="shared" ref="O373" si="279">B373</f>
        <v>244117</v>
      </c>
      <c r="P373" s="141">
        <f t="shared" ref="P373" si="280">B373+7</f>
        <v>244124</v>
      </c>
      <c r="Q373" s="141">
        <f t="shared" ref="Q373" si="281">O373+2</f>
        <v>244119</v>
      </c>
      <c r="R373" s="139" t="s">
        <v>55</v>
      </c>
      <c r="S373" s="143">
        <v>244117</v>
      </c>
      <c r="T373" s="139" t="s">
        <v>55</v>
      </c>
      <c r="U373" s="143">
        <v>244120</v>
      </c>
      <c r="V373" s="139" t="s">
        <v>55</v>
      </c>
      <c r="W373" s="143">
        <v>244117</v>
      </c>
      <c r="X373" s="139"/>
      <c r="Y373" s="141"/>
      <c r="Z373" s="119" t="s">
        <v>1305</v>
      </c>
      <c r="AA373" s="144"/>
    </row>
    <row r="374" spans="1:27" s="145" customFormat="1" ht="36" customHeight="1" x14ac:dyDescent="0.25">
      <c r="A374" s="119" t="s">
        <v>22</v>
      </c>
      <c r="B374" s="139">
        <v>244117</v>
      </c>
      <c r="C374" s="119" t="s">
        <v>11</v>
      </c>
      <c r="D374" s="166">
        <v>680297</v>
      </c>
      <c r="E374" s="119" t="s">
        <v>1303</v>
      </c>
      <c r="F374" s="190" t="s">
        <v>1304</v>
      </c>
      <c r="G374" s="119">
        <v>680516</v>
      </c>
      <c r="H374" s="187" t="s">
        <v>135</v>
      </c>
      <c r="I374" s="147" t="s">
        <v>61</v>
      </c>
      <c r="J374" s="146">
        <v>38</v>
      </c>
      <c r="K374" s="119" t="s">
        <v>62</v>
      </c>
      <c r="L374" s="146">
        <v>8</v>
      </c>
      <c r="M374" s="258"/>
      <c r="N374" s="119" t="s">
        <v>53</v>
      </c>
      <c r="O374" s="141">
        <f t="shared" si="246"/>
        <v>244117</v>
      </c>
      <c r="P374" s="141">
        <f t="shared" si="247"/>
        <v>244124</v>
      </c>
      <c r="Q374" s="141">
        <f t="shared" si="248"/>
        <v>244119</v>
      </c>
      <c r="R374" s="139" t="s">
        <v>55</v>
      </c>
      <c r="S374" s="143">
        <v>244117</v>
      </c>
      <c r="T374" s="139" t="s">
        <v>55</v>
      </c>
      <c r="U374" s="143">
        <v>244120</v>
      </c>
      <c r="V374" s="139" t="s">
        <v>55</v>
      </c>
      <c r="W374" s="143">
        <v>244117</v>
      </c>
      <c r="X374" s="139"/>
      <c r="Y374" s="141"/>
      <c r="Z374" s="119" t="s">
        <v>1305</v>
      </c>
      <c r="AA374" s="144">
        <f t="shared" ref="AA374" si="282">W374-P374</f>
        <v>-7</v>
      </c>
    </row>
    <row r="375" spans="1:27" s="145" customFormat="1" ht="36" customHeight="1" x14ac:dyDescent="0.25">
      <c r="A375" s="119" t="s">
        <v>22</v>
      </c>
      <c r="B375" s="139">
        <v>244118</v>
      </c>
      <c r="C375" s="119" t="s">
        <v>14</v>
      </c>
      <c r="D375" s="166">
        <v>680298</v>
      </c>
      <c r="E375" s="119" t="s">
        <v>1290</v>
      </c>
      <c r="F375" s="190">
        <v>68051406</v>
      </c>
      <c r="G375" s="119" t="s">
        <v>1307</v>
      </c>
      <c r="H375" s="187" t="s">
        <v>237</v>
      </c>
      <c r="I375" s="147" t="s">
        <v>1104</v>
      </c>
      <c r="J375" s="146">
        <v>86.41</v>
      </c>
      <c r="K375" s="119" t="s">
        <v>207</v>
      </c>
      <c r="L375" s="146">
        <f>J375-85</f>
        <v>1.4099999999999966</v>
      </c>
      <c r="M375" s="119" t="s">
        <v>1308</v>
      </c>
      <c r="N375" s="119" t="s">
        <v>93</v>
      </c>
      <c r="O375" s="141">
        <f t="shared" si="246"/>
        <v>244118</v>
      </c>
      <c r="P375" s="141">
        <f t="shared" si="247"/>
        <v>244125</v>
      </c>
      <c r="Q375" s="141">
        <f t="shared" si="248"/>
        <v>244120</v>
      </c>
      <c r="R375" s="139" t="s">
        <v>55</v>
      </c>
      <c r="S375" s="143">
        <v>244131</v>
      </c>
      <c r="T375" s="139" t="s">
        <v>55</v>
      </c>
      <c r="U375" s="143">
        <v>244133</v>
      </c>
      <c r="V375" s="139" t="s">
        <v>55</v>
      </c>
      <c r="W375" s="143">
        <v>244133</v>
      </c>
      <c r="X375" s="139"/>
      <c r="Y375" s="139"/>
      <c r="Z375" s="119" t="s">
        <v>1335</v>
      </c>
      <c r="AA375" s="144">
        <f t="shared" si="249"/>
        <v>8</v>
      </c>
    </row>
    <row r="376" spans="1:27" s="145" customFormat="1" ht="36" customHeight="1" x14ac:dyDescent="0.25">
      <c r="A376" s="119" t="s">
        <v>22</v>
      </c>
      <c r="B376" s="139">
        <v>244118</v>
      </c>
      <c r="C376" s="119" t="s">
        <v>14</v>
      </c>
      <c r="D376" s="166">
        <v>680299</v>
      </c>
      <c r="E376" s="119" t="s">
        <v>420</v>
      </c>
      <c r="F376" s="190">
        <v>68051418</v>
      </c>
      <c r="G376" s="119" t="s">
        <v>1310</v>
      </c>
      <c r="H376" s="187" t="s">
        <v>274</v>
      </c>
      <c r="I376" s="147" t="s">
        <v>1311</v>
      </c>
      <c r="J376" s="146">
        <v>127.79</v>
      </c>
      <c r="K376" s="119" t="s">
        <v>207</v>
      </c>
      <c r="L376" s="146">
        <f>J376-124</f>
        <v>3.7900000000000063</v>
      </c>
      <c r="M376" s="119" t="s">
        <v>1164</v>
      </c>
      <c r="N376" s="119" t="s">
        <v>93</v>
      </c>
      <c r="O376" s="141">
        <f t="shared" si="246"/>
        <v>244118</v>
      </c>
      <c r="P376" s="141">
        <f t="shared" si="247"/>
        <v>244125</v>
      </c>
      <c r="Q376" s="141">
        <f t="shared" si="248"/>
        <v>244120</v>
      </c>
      <c r="R376" s="139" t="s">
        <v>55</v>
      </c>
      <c r="S376" s="143">
        <v>244131</v>
      </c>
      <c r="T376" s="139" t="s">
        <v>55</v>
      </c>
      <c r="U376" s="143">
        <v>244133</v>
      </c>
      <c r="V376" s="139" t="s">
        <v>55</v>
      </c>
      <c r="W376" s="143">
        <v>244133</v>
      </c>
      <c r="X376" s="139"/>
      <c r="Y376" s="139"/>
      <c r="Z376" s="119" t="s">
        <v>966</v>
      </c>
      <c r="AA376" s="144">
        <f t="shared" si="249"/>
        <v>8</v>
      </c>
    </row>
    <row r="377" spans="1:27" s="145" customFormat="1" ht="36" customHeight="1" x14ac:dyDescent="0.25">
      <c r="A377" s="119" t="s">
        <v>22</v>
      </c>
      <c r="B377" s="139">
        <v>244119</v>
      </c>
      <c r="C377" s="119" t="s">
        <v>14</v>
      </c>
      <c r="D377" s="166">
        <v>680300</v>
      </c>
      <c r="E377" s="119" t="s">
        <v>420</v>
      </c>
      <c r="F377" s="190">
        <v>68051506</v>
      </c>
      <c r="G377" s="119" t="s">
        <v>1313</v>
      </c>
      <c r="H377" s="187" t="s">
        <v>205</v>
      </c>
      <c r="I377" s="147" t="s">
        <v>1311</v>
      </c>
      <c r="J377" s="146">
        <v>125.35</v>
      </c>
      <c r="K377" s="119" t="s">
        <v>207</v>
      </c>
      <c r="L377" s="146">
        <f>J377-124</f>
        <v>1.3499999999999943</v>
      </c>
      <c r="M377" s="119" t="s">
        <v>1314</v>
      </c>
      <c r="N377" s="119" t="s">
        <v>93</v>
      </c>
      <c r="O377" s="141">
        <f t="shared" si="246"/>
        <v>244119</v>
      </c>
      <c r="P377" s="141">
        <f t="shared" si="247"/>
        <v>244126</v>
      </c>
      <c r="Q377" s="141">
        <f t="shared" si="248"/>
        <v>244121</v>
      </c>
      <c r="R377" s="139" t="s">
        <v>55</v>
      </c>
      <c r="S377" s="143">
        <v>244131</v>
      </c>
      <c r="T377" s="139" t="s">
        <v>55</v>
      </c>
      <c r="U377" s="143">
        <v>244133</v>
      </c>
      <c r="V377" s="139" t="s">
        <v>55</v>
      </c>
      <c r="W377" s="143">
        <v>244133</v>
      </c>
      <c r="X377" s="139"/>
      <c r="Y377" s="139"/>
      <c r="Z377" s="119" t="s">
        <v>966</v>
      </c>
      <c r="AA377" s="144">
        <f t="shared" ref="AA377" si="283">W377-P377</f>
        <v>7</v>
      </c>
    </row>
    <row r="378" spans="1:27" s="145" customFormat="1" ht="36" customHeight="1" x14ac:dyDescent="0.25">
      <c r="A378" s="119" t="s">
        <v>22</v>
      </c>
      <c r="B378" s="139">
        <v>244119</v>
      </c>
      <c r="C378" s="119" t="s">
        <v>14</v>
      </c>
      <c r="D378" s="166">
        <v>680300</v>
      </c>
      <c r="E378" s="119" t="s">
        <v>420</v>
      </c>
      <c r="F378" s="190">
        <v>68051505</v>
      </c>
      <c r="G378" s="119" t="s">
        <v>1315</v>
      </c>
      <c r="H378" s="187" t="s">
        <v>274</v>
      </c>
      <c r="I378" s="147" t="s">
        <v>1311</v>
      </c>
      <c r="J378" s="146">
        <v>125.54</v>
      </c>
      <c r="K378" s="119" t="s">
        <v>207</v>
      </c>
      <c r="L378" s="146">
        <f>J378-124</f>
        <v>1.5400000000000063</v>
      </c>
      <c r="M378" s="119" t="s">
        <v>1072</v>
      </c>
      <c r="N378" s="119" t="s">
        <v>93</v>
      </c>
      <c r="O378" s="141">
        <f t="shared" si="246"/>
        <v>244119</v>
      </c>
      <c r="P378" s="141">
        <f t="shared" si="247"/>
        <v>244126</v>
      </c>
      <c r="Q378" s="141">
        <f t="shared" si="248"/>
        <v>244121</v>
      </c>
      <c r="R378" s="139" t="s">
        <v>55</v>
      </c>
      <c r="S378" s="143">
        <v>244131</v>
      </c>
      <c r="T378" s="139" t="s">
        <v>55</v>
      </c>
      <c r="U378" s="143">
        <v>244133</v>
      </c>
      <c r="V378" s="139" t="s">
        <v>55</v>
      </c>
      <c r="W378" s="143">
        <v>244133</v>
      </c>
      <c r="X378" s="139"/>
      <c r="Y378" s="139"/>
      <c r="Z378" s="119" t="s">
        <v>966</v>
      </c>
      <c r="AA378" s="144">
        <f t="shared" ref="AA378" si="284">W378-P378</f>
        <v>7</v>
      </c>
    </row>
    <row r="379" spans="1:27" s="145" customFormat="1" ht="36" customHeight="1" x14ac:dyDescent="0.25">
      <c r="A379" s="119" t="s">
        <v>22</v>
      </c>
      <c r="B379" s="139">
        <v>244119</v>
      </c>
      <c r="C379" s="119" t="s">
        <v>11</v>
      </c>
      <c r="D379" s="166">
        <v>680301</v>
      </c>
      <c r="E379" s="119" t="s">
        <v>1316</v>
      </c>
      <c r="F379" s="201" t="s">
        <v>1321</v>
      </c>
      <c r="G379" s="119">
        <v>680519</v>
      </c>
      <c r="H379" s="187" t="s">
        <v>39</v>
      </c>
      <c r="I379" s="147" t="s">
        <v>76</v>
      </c>
      <c r="J379" s="146">
        <v>679</v>
      </c>
      <c r="K379" s="119" t="s">
        <v>123</v>
      </c>
      <c r="L379" s="146">
        <v>19</v>
      </c>
      <c r="M379" s="119" t="s">
        <v>1322</v>
      </c>
      <c r="N379" s="119" t="s">
        <v>53</v>
      </c>
      <c r="O379" s="141">
        <f t="shared" si="246"/>
        <v>244119</v>
      </c>
      <c r="P379" s="141">
        <f t="shared" si="247"/>
        <v>244126</v>
      </c>
      <c r="Q379" s="141">
        <f t="shared" si="248"/>
        <v>244121</v>
      </c>
      <c r="R379" s="139" t="s">
        <v>55</v>
      </c>
      <c r="S379" s="143">
        <v>244133</v>
      </c>
      <c r="T379" s="139" t="s">
        <v>55</v>
      </c>
      <c r="U379" s="143">
        <v>244134</v>
      </c>
      <c r="V379" s="139" t="s">
        <v>55</v>
      </c>
      <c r="W379" s="143">
        <v>244121</v>
      </c>
      <c r="X379" s="139"/>
      <c r="Y379" s="141"/>
      <c r="Z379" s="119" t="s">
        <v>1340</v>
      </c>
      <c r="AA379" s="144">
        <f t="shared" ref="AA379:AA380" si="285">W379-P379</f>
        <v>-5</v>
      </c>
    </row>
    <row r="380" spans="1:27" s="145" customFormat="1" ht="36" customHeight="1" x14ac:dyDescent="0.25">
      <c r="A380" s="119" t="s">
        <v>22</v>
      </c>
      <c r="B380" s="139">
        <v>244120</v>
      </c>
      <c r="C380" s="119" t="s">
        <v>14</v>
      </c>
      <c r="D380" s="166">
        <v>680302</v>
      </c>
      <c r="E380" s="119" t="s">
        <v>420</v>
      </c>
      <c r="F380" s="201">
        <v>68051622</v>
      </c>
      <c r="G380" s="119" t="s">
        <v>1323</v>
      </c>
      <c r="H380" s="187" t="s">
        <v>205</v>
      </c>
      <c r="I380" s="147" t="s">
        <v>1041</v>
      </c>
      <c r="J380" s="146">
        <v>125.79</v>
      </c>
      <c r="K380" s="119" t="s">
        <v>207</v>
      </c>
      <c r="L380" s="146">
        <f>J380-124</f>
        <v>1.7900000000000063</v>
      </c>
      <c r="M380" s="119" t="s">
        <v>1324</v>
      </c>
      <c r="N380" s="119" t="s">
        <v>93</v>
      </c>
      <c r="O380" s="141">
        <f t="shared" si="246"/>
        <v>244120</v>
      </c>
      <c r="P380" s="141">
        <f t="shared" si="247"/>
        <v>244127</v>
      </c>
      <c r="Q380" s="141">
        <f t="shared" si="248"/>
        <v>244122</v>
      </c>
      <c r="R380" s="139" t="s">
        <v>55</v>
      </c>
      <c r="S380" s="143">
        <v>244131</v>
      </c>
      <c r="T380" s="139" t="s">
        <v>55</v>
      </c>
      <c r="U380" s="143">
        <v>244133</v>
      </c>
      <c r="V380" s="139" t="s">
        <v>55</v>
      </c>
      <c r="W380" s="143">
        <v>244133</v>
      </c>
      <c r="X380" s="139"/>
      <c r="Y380" s="139"/>
      <c r="Z380" s="119" t="s">
        <v>966</v>
      </c>
      <c r="AA380" s="144">
        <f t="shared" si="285"/>
        <v>6</v>
      </c>
    </row>
    <row r="381" spans="1:27" s="145" customFormat="1" ht="36" customHeight="1" x14ac:dyDescent="0.25">
      <c r="A381" s="119" t="s">
        <v>22</v>
      </c>
      <c r="B381" s="139">
        <v>244120</v>
      </c>
      <c r="C381" s="119" t="s">
        <v>14</v>
      </c>
      <c r="D381" s="166">
        <v>680303</v>
      </c>
      <c r="E381" s="119" t="s">
        <v>872</v>
      </c>
      <c r="F381" s="201">
        <v>68051615</v>
      </c>
      <c r="G381" s="119" t="s">
        <v>1325</v>
      </c>
      <c r="H381" s="187" t="s">
        <v>263</v>
      </c>
      <c r="I381" s="147" t="s">
        <v>845</v>
      </c>
      <c r="J381" s="146">
        <v>61.52</v>
      </c>
      <c r="K381" s="119" t="s">
        <v>207</v>
      </c>
      <c r="L381" s="146">
        <f>J381-60</f>
        <v>1.5200000000000031</v>
      </c>
      <c r="M381" s="119" t="s">
        <v>1326</v>
      </c>
      <c r="N381" s="119" t="s">
        <v>93</v>
      </c>
      <c r="O381" s="141">
        <f t="shared" si="246"/>
        <v>244120</v>
      </c>
      <c r="P381" s="141">
        <f t="shared" si="247"/>
        <v>244127</v>
      </c>
      <c r="Q381" s="141">
        <f t="shared" si="248"/>
        <v>244122</v>
      </c>
      <c r="R381" s="139" t="s">
        <v>55</v>
      </c>
      <c r="S381" s="143">
        <v>244131</v>
      </c>
      <c r="T381" s="139" t="s">
        <v>55</v>
      </c>
      <c r="U381" s="143">
        <v>244133</v>
      </c>
      <c r="V381" s="139" t="s">
        <v>55</v>
      </c>
      <c r="W381" s="143">
        <v>244125</v>
      </c>
      <c r="X381" s="119"/>
      <c r="Y381" s="139"/>
      <c r="Z381" s="119" t="s">
        <v>1356</v>
      </c>
      <c r="AA381" s="144">
        <f t="shared" ref="AA381" si="286">W381-P381</f>
        <v>-2</v>
      </c>
    </row>
    <row r="382" spans="1:27" s="145" customFormat="1" ht="36" customHeight="1" x14ac:dyDescent="0.25">
      <c r="A382" s="119" t="s">
        <v>22</v>
      </c>
      <c r="B382" s="139">
        <v>244120</v>
      </c>
      <c r="C382" s="119" t="s">
        <v>14</v>
      </c>
      <c r="D382" s="166">
        <v>680304</v>
      </c>
      <c r="E382" s="119" t="s">
        <v>420</v>
      </c>
      <c r="F382" s="201">
        <v>68051649</v>
      </c>
      <c r="G382" s="119" t="s">
        <v>1327</v>
      </c>
      <c r="H382" s="187" t="s">
        <v>254</v>
      </c>
      <c r="I382" s="147" t="s">
        <v>1041</v>
      </c>
      <c r="J382" s="146">
        <v>120</v>
      </c>
      <c r="K382" s="119" t="s">
        <v>411</v>
      </c>
      <c r="L382" s="146">
        <f>121-J382</f>
        <v>1</v>
      </c>
      <c r="M382" s="119" t="s">
        <v>1328</v>
      </c>
      <c r="N382" s="119" t="s">
        <v>93</v>
      </c>
      <c r="O382" s="141">
        <f t="shared" si="246"/>
        <v>244120</v>
      </c>
      <c r="P382" s="141">
        <f t="shared" si="247"/>
        <v>244127</v>
      </c>
      <c r="Q382" s="141">
        <f t="shared" si="248"/>
        <v>244122</v>
      </c>
      <c r="R382" s="139" t="s">
        <v>55</v>
      </c>
      <c r="S382" s="143">
        <v>244131</v>
      </c>
      <c r="T382" s="139" t="s">
        <v>55</v>
      </c>
      <c r="U382" s="143">
        <v>244133</v>
      </c>
      <c r="V382" s="139" t="s">
        <v>55</v>
      </c>
      <c r="W382" s="143">
        <v>244133</v>
      </c>
      <c r="X382" s="139"/>
      <c r="Y382" s="139"/>
      <c r="Z382" s="119" t="s">
        <v>966</v>
      </c>
      <c r="AA382" s="144">
        <f t="shared" ref="AA382" si="287">W382-P382</f>
        <v>6</v>
      </c>
    </row>
    <row r="383" spans="1:27" s="145" customFormat="1" ht="36" customHeight="1" x14ac:dyDescent="0.25">
      <c r="A383" s="119" t="s">
        <v>22</v>
      </c>
      <c r="B383" s="139">
        <v>244120</v>
      </c>
      <c r="C383" s="119" t="s">
        <v>14</v>
      </c>
      <c r="D383" s="166">
        <v>680305</v>
      </c>
      <c r="E383" s="119" t="s">
        <v>307</v>
      </c>
      <c r="F383" s="201">
        <v>68051638</v>
      </c>
      <c r="G383" s="119" t="s">
        <v>1329</v>
      </c>
      <c r="H383" s="187" t="s">
        <v>265</v>
      </c>
      <c r="I383" s="147" t="s">
        <v>1330</v>
      </c>
      <c r="J383" s="146">
        <v>62.63</v>
      </c>
      <c r="K383" s="119" t="s">
        <v>201</v>
      </c>
      <c r="L383" s="146">
        <f>63-J383</f>
        <v>0.36999999999999744</v>
      </c>
      <c r="M383" s="119" t="s">
        <v>1331</v>
      </c>
      <c r="N383" s="119" t="s">
        <v>93</v>
      </c>
      <c r="O383" s="141">
        <f t="shared" si="246"/>
        <v>244120</v>
      </c>
      <c r="P383" s="141">
        <f t="shared" si="247"/>
        <v>244127</v>
      </c>
      <c r="Q383" s="141">
        <f t="shared" si="248"/>
        <v>244122</v>
      </c>
      <c r="R383" s="139" t="s">
        <v>55</v>
      </c>
      <c r="S383" s="143">
        <v>244131</v>
      </c>
      <c r="T383" s="139" t="s">
        <v>55</v>
      </c>
      <c r="U383" s="143">
        <v>244133</v>
      </c>
      <c r="V383" s="139" t="s">
        <v>55</v>
      </c>
      <c r="W383" s="143">
        <v>244125</v>
      </c>
      <c r="X383" s="119"/>
      <c r="Y383" s="139"/>
      <c r="Z383" s="119" t="s">
        <v>1356</v>
      </c>
      <c r="AA383" s="144">
        <f t="shared" si="249"/>
        <v>-2</v>
      </c>
    </row>
    <row r="384" spans="1:27" s="145" customFormat="1" ht="36" customHeight="1" x14ac:dyDescent="0.25">
      <c r="A384" s="119" t="s">
        <v>22</v>
      </c>
      <c r="B384" s="139">
        <v>244120</v>
      </c>
      <c r="C384" s="119" t="s">
        <v>14</v>
      </c>
      <c r="D384" s="166">
        <v>680305</v>
      </c>
      <c r="E384" s="119" t="s">
        <v>307</v>
      </c>
      <c r="F384" s="201">
        <v>68051641</v>
      </c>
      <c r="G384" s="119" t="s">
        <v>1332</v>
      </c>
      <c r="H384" s="187" t="s">
        <v>266</v>
      </c>
      <c r="I384" s="147" t="s">
        <v>1330</v>
      </c>
      <c r="J384" s="146">
        <v>62.61</v>
      </c>
      <c r="K384" s="119" t="s">
        <v>201</v>
      </c>
      <c r="L384" s="146">
        <f>63-J384</f>
        <v>0.39000000000000057</v>
      </c>
      <c r="M384" s="119" t="s">
        <v>1333</v>
      </c>
      <c r="N384" s="119" t="s">
        <v>93</v>
      </c>
      <c r="O384" s="141">
        <f t="shared" si="246"/>
        <v>244120</v>
      </c>
      <c r="P384" s="141">
        <f t="shared" si="247"/>
        <v>244127</v>
      </c>
      <c r="Q384" s="141">
        <f t="shared" si="248"/>
        <v>244122</v>
      </c>
      <c r="R384" s="139" t="s">
        <v>55</v>
      </c>
      <c r="S384" s="143">
        <v>244131</v>
      </c>
      <c r="T384" s="139" t="s">
        <v>55</v>
      </c>
      <c r="U384" s="143">
        <v>244133</v>
      </c>
      <c r="V384" s="139" t="s">
        <v>55</v>
      </c>
      <c r="W384" s="143">
        <v>244125</v>
      </c>
      <c r="X384" s="119"/>
      <c r="Y384" s="139"/>
      <c r="Z384" s="119" t="s">
        <v>1356</v>
      </c>
      <c r="AA384" s="144"/>
    </row>
    <row r="385" spans="1:27" s="145" customFormat="1" ht="36" customHeight="1" x14ac:dyDescent="0.25">
      <c r="A385" s="119" t="s">
        <v>22</v>
      </c>
      <c r="B385" s="139">
        <v>244121</v>
      </c>
      <c r="C385" s="119" t="s">
        <v>14</v>
      </c>
      <c r="D385" s="166">
        <v>680306</v>
      </c>
      <c r="E385" s="119" t="s">
        <v>307</v>
      </c>
      <c r="F385" s="201">
        <v>68051705</v>
      </c>
      <c r="G385" s="119" t="s">
        <v>1337</v>
      </c>
      <c r="H385" s="187" t="s">
        <v>231</v>
      </c>
      <c r="I385" s="147" t="s">
        <v>308</v>
      </c>
      <c r="J385" s="146">
        <v>62.13</v>
      </c>
      <c r="K385" s="119" t="s">
        <v>201</v>
      </c>
      <c r="L385" s="146">
        <f>64-J385</f>
        <v>1.8699999999999974</v>
      </c>
      <c r="M385" s="119" t="s">
        <v>401</v>
      </c>
      <c r="N385" s="119" t="s">
        <v>93</v>
      </c>
      <c r="O385" s="141">
        <f t="shared" si="246"/>
        <v>244121</v>
      </c>
      <c r="P385" s="141">
        <f t="shared" si="247"/>
        <v>244128</v>
      </c>
      <c r="Q385" s="141">
        <f t="shared" si="248"/>
        <v>244123</v>
      </c>
      <c r="R385" s="139" t="s">
        <v>55</v>
      </c>
      <c r="S385" s="143">
        <v>244131</v>
      </c>
      <c r="T385" s="139" t="s">
        <v>55</v>
      </c>
      <c r="U385" s="143">
        <v>244133</v>
      </c>
      <c r="V385" s="139" t="s">
        <v>55</v>
      </c>
      <c r="W385" s="143">
        <v>244125</v>
      </c>
      <c r="X385" s="119"/>
      <c r="Y385" s="139"/>
      <c r="Z385" s="119" t="s">
        <v>1356</v>
      </c>
      <c r="AA385" s="144"/>
    </row>
    <row r="386" spans="1:27" s="145" customFormat="1" ht="36" customHeight="1" x14ac:dyDescent="0.25">
      <c r="A386" s="119" t="s">
        <v>22</v>
      </c>
      <c r="B386" s="139">
        <v>244121</v>
      </c>
      <c r="C386" s="119" t="s">
        <v>14</v>
      </c>
      <c r="D386" s="166">
        <v>680307</v>
      </c>
      <c r="E386" s="119" t="s">
        <v>420</v>
      </c>
      <c r="F386" s="201">
        <v>68051713</v>
      </c>
      <c r="G386" s="119" t="s">
        <v>1338</v>
      </c>
      <c r="H386" s="187" t="s">
        <v>253</v>
      </c>
      <c r="I386" s="147" t="s">
        <v>1041</v>
      </c>
      <c r="J386" s="146">
        <v>124.75</v>
      </c>
      <c r="K386" s="119" t="s">
        <v>200</v>
      </c>
      <c r="L386" s="146">
        <f>J386-124</f>
        <v>0.75</v>
      </c>
      <c r="M386" s="119" t="s">
        <v>1339</v>
      </c>
      <c r="N386" s="119" t="s">
        <v>93</v>
      </c>
      <c r="O386" s="141">
        <f t="shared" si="246"/>
        <v>244121</v>
      </c>
      <c r="P386" s="141">
        <f t="shared" si="247"/>
        <v>244128</v>
      </c>
      <c r="Q386" s="141">
        <f t="shared" si="248"/>
        <v>244123</v>
      </c>
      <c r="R386" s="139" t="s">
        <v>55</v>
      </c>
      <c r="S386" s="143">
        <v>244131</v>
      </c>
      <c r="T386" s="139" t="s">
        <v>55</v>
      </c>
      <c r="U386" s="143">
        <v>244133</v>
      </c>
      <c r="V386" s="139" t="s">
        <v>55</v>
      </c>
      <c r="W386" s="143">
        <v>244133</v>
      </c>
      <c r="X386" s="139"/>
      <c r="Y386" s="139"/>
      <c r="Z386" s="119" t="s">
        <v>966</v>
      </c>
      <c r="AA386" s="144">
        <f t="shared" si="249"/>
        <v>5</v>
      </c>
    </row>
    <row r="387" spans="1:27" s="145" customFormat="1" ht="36" customHeight="1" x14ac:dyDescent="0.25">
      <c r="A387" s="119" t="s">
        <v>22</v>
      </c>
      <c r="B387" s="139">
        <v>244124</v>
      </c>
      <c r="C387" s="119" t="s">
        <v>14</v>
      </c>
      <c r="D387" s="166">
        <v>680308</v>
      </c>
      <c r="E387" s="119" t="s">
        <v>307</v>
      </c>
      <c r="F387" s="201">
        <v>68052005</v>
      </c>
      <c r="G387" s="119" t="s">
        <v>1341</v>
      </c>
      <c r="H387" s="187" t="s">
        <v>280</v>
      </c>
      <c r="I387" s="147" t="s">
        <v>308</v>
      </c>
      <c r="J387" s="146">
        <v>68.5</v>
      </c>
      <c r="K387" s="119" t="s">
        <v>207</v>
      </c>
      <c r="L387" s="146">
        <f>J387-66</f>
        <v>2.5</v>
      </c>
      <c r="M387" s="119" t="s">
        <v>1342</v>
      </c>
      <c r="N387" s="119" t="s">
        <v>93</v>
      </c>
      <c r="O387" s="141">
        <f t="shared" ref="O387:O465" si="288">B387</f>
        <v>244124</v>
      </c>
      <c r="P387" s="141">
        <f t="shared" ref="P387:P465" si="289">B387+7</f>
        <v>244131</v>
      </c>
      <c r="Q387" s="141">
        <f t="shared" ref="Q387:Q465" si="290">O387+2</f>
        <v>244126</v>
      </c>
      <c r="R387" s="139" t="s">
        <v>55</v>
      </c>
      <c r="S387" s="143">
        <v>244131</v>
      </c>
      <c r="T387" s="139" t="s">
        <v>55</v>
      </c>
      <c r="U387" s="143">
        <v>244133</v>
      </c>
      <c r="V387" s="139" t="s">
        <v>55</v>
      </c>
      <c r="W387" s="143">
        <v>244125</v>
      </c>
      <c r="X387" s="119"/>
      <c r="Y387" s="139"/>
      <c r="Z387" s="119" t="s">
        <v>1356</v>
      </c>
      <c r="AA387" s="144">
        <f t="shared" si="249"/>
        <v>-6</v>
      </c>
    </row>
    <row r="388" spans="1:27" s="145" customFormat="1" ht="36" customHeight="1" x14ac:dyDescent="0.25">
      <c r="A388" s="119" t="s">
        <v>22</v>
      </c>
      <c r="B388" s="139">
        <v>244124</v>
      </c>
      <c r="C388" s="119" t="s">
        <v>14</v>
      </c>
      <c r="D388" s="166">
        <v>680309</v>
      </c>
      <c r="E388" s="119" t="s">
        <v>433</v>
      </c>
      <c r="F388" s="190">
        <v>68052011</v>
      </c>
      <c r="G388" s="119" t="s">
        <v>1343</v>
      </c>
      <c r="H388" s="187" t="s">
        <v>214</v>
      </c>
      <c r="I388" s="147" t="s">
        <v>845</v>
      </c>
      <c r="J388" s="146">
        <v>62.42</v>
      </c>
      <c r="K388" s="119" t="s">
        <v>207</v>
      </c>
      <c r="L388" s="146">
        <v>2.42</v>
      </c>
      <c r="M388" s="119" t="s">
        <v>1344</v>
      </c>
      <c r="N388" s="119" t="s">
        <v>93</v>
      </c>
      <c r="O388" s="141">
        <f t="shared" si="288"/>
        <v>244124</v>
      </c>
      <c r="P388" s="141">
        <f t="shared" si="289"/>
        <v>244131</v>
      </c>
      <c r="Q388" s="141">
        <f t="shared" si="290"/>
        <v>244126</v>
      </c>
      <c r="R388" s="139" t="s">
        <v>55</v>
      </c>
      <c r="S388" s="143">
        <v>244131</v>
      </c>
      <c r="T388" s="139" t="s">
        <v>55</v>
      </c>
      <c r="U388" s="143">
        <v>244133</v>
      </c>
      <c r="V388" s="139" t="s">
        <v>55</v>
      </c>
      <c r="W388" s="143">
        <v>244125</v>
      </c>
      <c r="X388" s="119"/>
      <c r="Y388" s="139"/>
      <c r="Z388" s="119" t="s">
        <v>1356</v>
      </c>
      <c r="AA388" s="144">
        <f t="shared" si="249"/>
        <v>-6</v>
      </c>
    </row>
    <row r="389" spans="1:27" s="145" customFormat="1" ht="36" customHeight="1" x14ac:dyDescent="0.25">
      <c r="A389" s="119" t="s">
        <v>22</v>
      </c>
      <c r="B389" s="139">
        <v>244124</v>
      </c>
      <c r="C389" s="119" t="s">
        <v>11</v>
      </c>
      <c r="D389" s="166">
        <v>680310</v>
      </c>
      <c r="E389" s="119" t="s">
        <v>779</v>
      </c>
      <c r="F389" s="190" t="s">
        <v>1352</v>
      </c>
      <c r="G389" s="119">
        <v>680523</v>
      </c>
      <c r="H389" s="187" t="s">
        <v>39</v>
      </c>
      <c r="I389" s="147" t="s">
        <v>76</v>
      </c>
      <c r="J389" s="142">
        <v>795</v>
      </c>
      <c r="K389" s="119" t="s">
        <v>124</v>
      </c>
      <c r="L389" s="142">
        <v>15</v>
      </c>
      <c r="M389" s="257" t="s">
        <v>1353</v>
      </c>
      <c r="N389" s="257" t="s">
        <v>53</v>
      </c>
      <c r="O389" s="141">
        <f t="shared" si="288"/>
        <v>244124</v>
      </c>
      <c r="P389" s="141">
        <f t="shared" si="289"/>
        <v>244131</v>
      </c>
      <c r="Q389" s="141">
        <f t="shared" si="290"/>
        <v>244126</v>
      </c>
      <c r="R389" s="139" t="s">
        <v>55</v>
      </c>
      <c r="S389" s="143">
        <v>244125</v>
      </c>
      <c r="T389" s="139" t="s">
        <v>55</v>
      </c>
      <c r="U389" s="143">
        <v>244126</v>
      </c>
      <c r="V389" s="139" t="s">
        <v>55</v>
      </c>
      <c r="W389" s="143">
        <v>244124</v>
      </c>
      <c r="X389" s="139"/>
      <c r="Y389" s="141"/>
      <c r="Z389" s="119" t="s">
        <v>1369</v>
      </c>
      <c r="AA389" s="144">
        <f t="shared" ref="AA389" si="291">W389-P389</f>
        <v>-7</v>
      </c>
    </row>
    <row r="390" spans="1:27" s="145" customFormat="1" ht="36" customHeight="1" x14ac:dyDescent="0.25">
      <c r="A390" s="119" t="s">
        <v>22</v>
      </c>
      <c r="B390" s="139">
        <v>244124</v>
      </c>
      <c r="C390" s="119" t="s">
        <v>11</v>
      </c>
      <c r="D390" s="166">
        <v>680310</v>
      </c>
      <c r="E390" s="119" t="s">
        <v>779</v>
      </c>
      <c r="F390" s="190" t="s">
        <v>1352</v>
      </c>
      <c r="G390" s="119">
        <v>680523</v>
      </c>
      <c r="H390" s="187" t="s">
        <v>39</v>
      </c>
      <c r="I390" s="147" t="s">
        <v>61</v>
      </c>
      <c r="J390" s="142">
        <v>35</v>
      </c>
      <c r="K390" s="119" t="s">
        <v>62</v>
      </c>
      <c r="L390" s="142">
        <v>5</v>
      </c>
      <c r="M390" s="258"/>
      <c r="N390" s="258"/>
      <c r="O390" s="141">
        <f t="shared" ref="O390" si="292">B390</f>
        <v>244124</v>
      </c>
      <c r="P390" s="141">
        <f t="shared" ref="P390" si="293">B390+7</f>
        <v>244131</v>
      </c>
      <c r="Q390" s="141">
        <f t="shared" ref="Q390" si="294">O390+2</f>
        <v>244126</v>
      </c>
      <c r="R390" s="139" t="s">
        <v>55</v>
      </c>
      <c r="S390" s="143">
        <v>244125</v>
      </c>
      <c r="T390" s="139" t="s">
        <v>55</v>
      </c>
      <c r="U390" s="143">
        <v>244126</v>
      </c>
      <c r="V390" s="139" t="s">
        <v>55</v>
      </c>
      <c r="W390" s="143">
        <v>244124</v>
      </c>
      <c r="X390" s="139"/>
      <c r="Y390" s="141"/>
      <c r="Z390" s="119" t="s">
        <v>1369</v>
      </c>
      <c r="AA390" s="144">
        <f t="shared" ref="AA390" si="295">W390-P390</f>
        <v>-7</v>
      </c>
    </row>
    <row r="391" spans="1:27" s="145" customFormat="1" ht="36" customHeight="1" x14ac:dyDescent="0.25">
      <c r="A391" s="119" t="s">
        <v>22</v>
      </c>
      <c r="B391" s="139">
        <v>244124</v>
      </c>
      <c r="C391" s="119" t="s">
        <v>14</v>
      </c>
      <c r="D391" s="166">
        <v>680311</v>
      </c>
      <c r="E391" s="119" t="s">
        <v>1345</v>
      </c>
      <c r="F391" s="190">
        <v>68052021</v>
      </c>
      <c r="G391" s="119" t="s">
        <v>1346</v>
      </c>
      <c r="H391" s="187" t="s">
        <v>299</v>
      </c>
      <c r="I391" s="147" t="s">
        <v>1347</v>
      </c>
      <c r="J391" s="146" t="s">
        <v>1348</v>
      </c>
      <c r="K391" s="119" t="s">
        <v>1349</v>
      </c>
      <c r="L391" s="218" t="s">
        <v>1350</v>
      </c>
      <c r="M391" s="119" t="s">
        <v>1351</v>
      </c>
      <c r="N391" s="119" t="s">
        <v>93</v>
      </c>
      <c r="O391" s="141">
        <f t="shared" si="288"/>
        <v>244124</v>
      </c>
      <c r="P391" s="141">
        <f t="shared" si="289"/>
        <v>244131</v>
      </c>
      <c r="Q391" s="141">
        <f t="shared" si="290"/>
        <v>244126</v>
      </c>
      <c r="R391" s="139" t="s">
        <v>55</v>
      </c>
      <c r="S391" s="143">
        <v>244127</v>
      </c>
      <c r="T391" s="139" t="s">
        <v>55</v>
      </c>
      <c r="U391" s="143">
        <v>244130</v>
      </c>
      <c r="V391" s="139" t="s">
        <v>55</v>
      </c>
      <c r="W391" s="143">
        <v>244127</v>
      </c>
      <c r="X391" s="139"/>
      <c r="Y391" s="141"/>
      <c r="Z391" s="119" t="s">
        <v>1379</v>
      </c>
      <c r="AA391" s="144">
        <f t="shared" si="249"/>
        <v>-4</v>
      </c>
    </row>
    <row r="392" spans="1:27" s="145" customFormat="1" ht="36" customHeight="1" x14ac:dyDescent="0.25">
      <c r="A392" s="119" t="s">
        <v>22</v>
      </c>
      <c r="B392" s="139">
        <v>244124</v>
      </c>
      <c r="C392" s="119" t="s">
        <v>14</v>
      </c>
      <c r="D392" s="166">
        <v>680312</v>
      </c>
      <c r="E392" s="119" t="s">
        <v>827</v>
      </c>
      <c r="F392" s="201">
        <v>68052031</v>
      </c>
      <c r="G392" s="119" t="s">
        <v>1354</v>
      </c>
      <c r="H392" s="187" t="s">
        <v>205</v>
      </c>
      <c r="I392" s="147" t="s">
        <v>829</v>
      </c>
      <c r="J392" s="146">
        <v>108.8</v>
      </c>
      <c r="K392" s="119" t="s">
        <v>207</v>
      </c>
      <c r="L392" s="146">
        <f>J392-105</f>
        <v>3.7999999999999972</v>
      </c>
      <c r="M392" s="119" t="s">
        <v>1355</v>
      </c>
      <c r="N392" s="119" t="s">
        <v>93</v>
      </c>
      <c r="O392" s="141">
        <f t="shared" si="288"/>
        <v>244124</v>
      </c>
      <c r="P392" s="141">
        <f t="shared" si="289"/>
        <v>244131</v>
      </c>
      <c r="Q392" s="141">
        <f t="shared" si="290"/>
        <v>244126</v>
      </c>
      <c r="R392" s="139" t="s">
        <v>55</v>
      </c>
      <c r="S392" s="143">
        <v>244131</v>
      </c>
      <c r="T392" s="139" t="s">
        <v>55</v>
      </c>
      <c r="U392" s="143">
        <v>244133</v>
      </c>
      <c r="V392" s="139" t="s">
        <v>55</v>
      </c>
      <c r="W392" s="143">
        <v>244125</v>
      </c>
      <c r="X392" s="119"/>
      <c r="Y392" s="139"/>
      <c r="Z392" s="119" t="s">
        <v>1357</v>
      </c>
      <c r="AA392" s="144">
        <f t="shared" si="249"/>
        <v>-6</v>
      </c>
    </row>
    <row r="393" spans="1:27" s="145" customFormat="1" ht="36" customHeight="1" x14ac:dyDescent="0.25">
      <c r="A393" s="119" t="s">
        <v>22</v>
      </c>
      <c r="B393" s="139">
        <v>244125</v>
      </c>
      <c r="C393" s="119" t="s">
        <v>14</v>
      </c>
      <c r="D393" s="166">
        <v>680313</v>
      </c>
      <c r="E393" s="119" t="s">
        <v>1345</v>
      </c>
      <c r="F393" s="190">
        <v>68052128</v>
      </c>
      <c r="G393" s="119" t="s">
        <v>1358</v>
      </c>
      <c r="H393" s="187" t="s">
        <v>299</v>
      </c>
      <c r="I393" s="147" t="s">
        <v>1347</v>
      </c>
      <c r="J393" s="146" t="s">
        <v>1359</v>
      </c>
      <c r="K393" s="119" t="s">
        <v>1349</v>
      </c>
      <c r="L393" s="218" t="s">
        <v>1360</v>
      </c>
      <c r="M393" s="119" t="s">
        <v>1361</v>
      </c>
      <c r="N393" s="119" t="s">
        <v>93</v>
      </c>
      <c r="O393" s="141">
        <f t="shared" si="288"/>
        <v>244125</v>
      </c>
      <c r="P393" s="141">
        <f t="shared" si="289"/>
        <v>244132</v>
      </c>
      <c r="Q393" s="141">
        <f t="shared" si="290"/>
        <v>244127</v>
      </c>
      <c r="R393" s="139" t="s">
        <v>55</v>
      </c>
      <c r="S393" s="143">
        <v>244131</v>
      </c>
      <c r="T393" s="139" t="s">
        <v>55</v>
      </c>
      <c r="U393" s="143">
        <v>244133</v>
      </c>
      <c r="V393" s="139" t="s">
        <v>55</v>
      </c>
      <c r="W393" s="143">
        <v>244133</v>
      </c>
      <c r="X393" s="139"/>
      <c r="Y393" s="141"/>
      <c r="Z393" s="119" t="s">
        <v>1401</v>
      </c>
      <c r="AA393" s="144">
        <f t="shared" si="249"/>
        <v>1</v>
      </c>
    </row>
    <row r="394" spans="1:27" s="145" customFormat="1" ht="36" customHeight="1" x14ac:dyDescent="0.25">
      <c r="A394" s="119" t="s">
        <v>22</v>
      </c>
      <c r="B394" s="139">
        <v>244125</v>
      </c>
      <c r="C394" s="119" t="s">
        <v>14</v>
      </c>
      <c r="D394" s="166">
        <v>680314</v>
      </c>
      <c r="E394" s="119" t="s">
        <v>827</v>
      </c>
      <c r="F394" s="190">
        <v>68052148</v>
      </c>
      <c r="G394" s="119" t="s">
        <v>1362</v>
      </c>
      <c r="H394" s="187" t="s">
        <v>277</v>
      </c>
      <c r="I394" s="147" t="s">
        <v>829</v>
      </c>
      <c r="J394" s="146">
        <v>109.17</v>
      </c>
      <c r="K394" s="119" t="s">
        <v>207</v>
      </c>
      <c r="L394" s="146">
        <f>J394-105</f>
        <v>4.1700000000000017</v>
      </c>
      <c r="M394" s="119" t="s">
        <v>1363</v>
      </c>
      <c r="N394" s="119" t="s">
        <v>93</v>
      </c>
      <c r="O394" s="141">
        <f t="shared" ref="O394" si="296">B394</f>
        <v>244125</v>
      </c>
      <c r="P394" s="141">
        <f t="shared" si="289"/>
        <v>244132</v>
      </c>
      <c r="Q394" s="141">
        <f t="shared" si="290"/>
        <v>244127</v>
      </c>
      <c r="R394" s="139" t="s">
        <v>55</v>
      </c>
      <c r="S394" s="143">
        <v>244131</v>
      </c>
      <c r="T394" s="139" t="s">
        <v>55</v>
      </c>
      <c r="U394" s="143">
        <v>244133</v>
      </c>
      <c r="V394" s="139" t="s">
        <v>55</v>
      </c>
      <c r="W394" s="143">
        <v>244127</v>
      </c>
      <c r="X394" s="139"/>
      <c r="Y394" s="141"/>
      <c r="Z394" s="119" t="s">
        <v>1378</v>
      </c>
      <c r="AA394" s="144">
        <f t="shared" ref="AA394:AA462" si="297">W394-P394</f>
        <v>-5</v>
      </c>
    </row>
    <row r="395" spans="1:27" s="145" customFormat="1" ht="36" customHeight="1" x14ac:dyDescent="0.25">
      <c r="A395" s="119" t="s">
        <v>22</v>
      </c>
      <c r="B395" s="139">
        <v>244126</v>
      </c>
      <c r="C395" s="119" t="s">
        <v>14</v>
      </c>
      <c r="D395" s="166">
        <v>680315</v>
      </c>
      <c r="E395" s="119" t="s">
        <v>872</v>
      </c>
      <c r="F395" s="190">
        <v>68052211</v>
      </c>
      <c r="G395" s="119" t="s">
        <v>1364</v>
      </c>
      <c r="H395" s="187" t="s">
        <v>280</v>
      </c>
      <c r="I395" s="147" t="s">
        <v>845</v>
      </c>
      <c r="J395" s="146">
        <v>61.51</v>
      </c>
      <c r="K395" s="119" t="s">
        <v>200</v>
      </c>
      <c r="L395" s="146">
        <v>1.51</v>
      </c>
      <c r="M395" s="119" t="s">
        <v>1368</v>
      </c>
      <c r="N395" s="119" t="s">
        <v>93</v>
      </c>
      <c r="O395" s="141">
        <f t="shared" si="288"/>
        <v>244126</v>
      </c>
      <c r="P395" s="141">
        <f t="shared" si="289"/>
        <v>244133</v>
      </c>
      <c r="Q395" s="141">
        <f t="shared" si="290"/>
        <v>244128</v>
      </c>
      <c r="R395" s="139" t="s">
        <v>55</v>
      </c>
      <c r="S395" s="143">
        <v>244131</v>
      </c>
      <c r="T395" s="139" t="s">
        <v>55</v>
      </c>
      <c r="U395" s="143">
        <v>244133</v>
      </c>
      <c r="V395" s="139" t="s">
        <v>55</v>
      </c>
      <c r="W395" s="143">
        <v>244133</v>
      </c>
      <c r="X395" s="139"/>
      <c r="Y395" s="141"/>
      <c r="Z395" s="119" t="s">
        <v>1320</v>
      </c>
      <c r="AA395" s="144">
        <f t="shared" si="297"/>
        <v>0</v>
      </c>
    </row>
    <row r="396" spans="1:27" s="145" customFormat="1" ht="36" customHeight="1" x14ac:dyDescent="0.25">
      <c r="A396" s="119" t="s">
        <v>22</v>
      </c>
      <c r="B396" s="139">
        <v>244126</v>
      </c>
      <c r="C396" s="119" t="s">
        <v>11</v>
      </c>
      <c r="D396" s="166">
        <v>680316</v>
      </c>
      <c r="E396" s="119" t="s">
        <v>1316</v>
      </c>
      <c r="F396" s="190" t="s">
        <v>1365</v>
      </c>
      <c r="G396" s="119">
        <v>680525</v>
      </c>
      <c r="H396" s="187" t="s">
        <v>39</v>
      </c>
      <c r="I396" s="147" t="s">
        <v>61</v>
      </c>
      <c r="J396" s="146">
        <v>41</v>
      </c>
      <c r="K396" s="119" t="s">
        <v>62</v>
      </c>
      <c r="L396" s="146">
        <v>31</v>
      </c>
      <c r="M396" s="119" t="s">
        <v>1366</v>
      </c>
      <c r="N396" s="119" t="s">
        <v>53</v>
      </c>
      <c r="O396" s="141">
        <f t="shared" si="288"/>
        <v>244126</v>
      </c>
      <c r="P396" s="141">
        <f t="shared" si="289"/>
        <v>244133</v>
      </c>
      <c r="Q396" s="141">
        <f t="shared" si="290"/>
        <v>244128</v>
      </c>
      <c r="R396" s="139" t="s">
        <v>55</v>
      </c>
      <c r="S396" s="143">
        <v>244127</v>
      </c>
      <c r="T396" s="139" t="s">
        <v>55</v>
      </c>
      <c r="U396" s="143">
        <v>244130</v>
      </c>
      <c r="V396" s="139" t="s">
        <v>55</v>
      </c>
      <c r="W396" s="143">
        <v>244126</v>
      </c>
      <c r="X396" s="139"/>
      <c r="Y396" s="141"/>
      <c r="Z396" s="119" t="s">
        <v>1367</v>
      </c>
      <c r="AA396" s="144">
        <f t="shared" ref="AA396" si="298">W396-P396</f>
        <v>-7</v>
      </c>
    </row>
    <row r="397" spans="1:27" s="145" customFormat="1" ht="36" customHeight="1" x14ac:dyDescent="0.25">
      <c r="A397" s="119" t="s">
        <v>22</v>
      </c>
      <c r="B397" s="139">
        <v>244126</v>
      </c>
      <c r="C397" s="119" t="s">
        <v>11</v>
      </c>
      <c r="D397" s="166">
        <v>680317</v>
      </c>
      <c r="E397" s="119" t="s">
        <v>603</v>
      </c>
      <c r="F397" s="190" t="s">
        <v>1370</v>
      </c>
      <c r="G397" s="119">
        <v>680528</v>
      </c>
      <c r="H397" s="187" t="s">
        <v>39</v>
      </c>
      <c r="I397" s="147" t="s">
        <v>76</v>
      </c>
      <c r="J397" s="146">
        <v>1056</v>
      </c>
      <c r="K397" s="119" t="s">
        <v>124</v>
      </c>
      <c r="L397" s="146">
        <v>4</v>
      </c>
      <c r="M397" s="257" t="s">
        <v>1375</v>
      </c>
      <c r="N397" s="119" t="s">
        <v>53</v>
      </c>
      <c r="O397" s="141">
        <f t="shared" si="288"/>
        <v>244126</v>
      </c>
      <c r="P397" s="141">
        <f t="shared" si="289"/>
        <v>244133</v>
      </c>
      <c r="Q397" s="141">
        <f t="shared" si="290"/>
        <v>244128</v>
      </c>
      <c r="R397" s="139" t="s">
        <v>55</v>
      </c>
      <c r="S397" s="143">
        <v>244127</v>
      </c>
      <c r="T397" s="139" t="s">
        <v>55</v>
      </c>
      <c r="U397" s="143">
        <v>244130</v>
      </c>
      <c r="V397" s="139" t="s">
        <v>55</v>
      </c>
      <c r="W397" s="143">
        <v>244130</v>
      </c>
      <c r="X397" s="139"/>
      <c r="Y397" s="141"/>
      <c r="Z397" s="119" t="s">
        <v>603</v>
      </c>
      <c r="AA397" s="144"/>
    </row>
    <row r="398" spans="1:27" s="145" customFormat="1" ht="36" customHeight="1" x14ac:dyDescent="0.25">
      <c r="A398" s="119" t="s">
        <v>22</v>
      </c>
      <c r="B398" s="139">
        <v>244126</v>
      </c>
      <c r="C398" s="119" t="s">
        <v>11</v>
      </c>
      <c r="D398" s="166">
        <v>680317</v>
      </c>
      <c r="E398" s="119" t="s">
        <v>603</v>
      </c>
      <c r="F398" s="190" t="s">
        <v>1370</v>
      </c>
      <c r="G398" s="119">
        <v>680528</v>
      </c>
      <c r="H398" s="187" t="s">
        <v>39</v>
      </c>
      <c r="I398" s="147" t="s">
        <v>61</v>
      </c>
      <c r="J398" s="146">
        <v>52</v>
      </c>
      <c r="K398" s="119" t="s">
        <v>62</v>
      </c>
      <c r="L398" s="146">
        <v>22</v>
      </c>
      <c r="M398" s="258"/>
      <c r="N398" s="119" t="s">
        <v>53</v>
      </c>
      <c r="O398" s="141">
        <f t="shared" si="288"/>
        <v>244126</v>
      </c>
      <c r="P398" s="141">
        <f t="shared" si="289"/>
        <v>244133</v>
      </c>
      <c r="Q398" s="141">
        <f t="shared" si="290"/>
        <v>244128</v>
      </c>
      <c r="R398" s="139" t="s">
        <v>55</v>
      </c>
      <c r="S398" s="143">
        <v>244127</v>
      </c>
      <c r="T398" s="139" t="s">
        <v>55</v>
      </c>
      <c r="U398" s="143">
        <v>244130</v>
      </c>
      <c r="V398" s="139" t="s">
        <v>55</v>
      </c>
      <c r="W398" s="143">
        <v>244130</v>
      </c>
      <c r="X398" s="139"/>
      <c r="Y398" s="141"/>
      <c r="Z398" s="119" t="s">
        <v>603</v>
      </c>
      <c r="AA398" s="144"/>
    </row>
    <row r="399" spans="1:27" s="145" customFormat="1" ht="36" customHeight="1" x14ac:dyDescent="0.25">
      <c r="A399" s="119" t="s">
        <v>22</v>
      </c>
      <c r="B399" s="139">
        <v>244126</v>
      </c>
      <c r="C399" s="119" t="s">
        <v>14</v>
      </c>
      <c r="D399" s="166">
        <v>680318</v>
      </c>
      <c r="E399" s="119" t="s">
        <v>872</v>
      </c>
      <c r="F399" s="190">
        <v>68052235</v>
      </c>
      <c r="G399" s="119" t="s">
        <v>1371</v>
      </c>
      <c r="H399" s="187" t="s">
        <v>266</v>
      </c>
      <c r="I399" s="147" t="s">
        <v>845</v>
      </c>
      <c r="J399" s="146">
        <v>62.98</v>
      </c>
      <c r="K399" s="119" t="s">
        <v>207</v>
      </c>
      <c r="L399" s="146">
        <f>J399-60</f>
        <v>2.9799999999999969</v>
      </c>
      <c r="M399" s="119" t="s">
        <v>1372</v>
      </c>
      <c r="N399" s="119" t="s">
        <v>93</v>
      </c>
      <c r="O399" s="141">
        <f t="shared" si="288"/>
        <v>244126</v>
      </c>
      <c r="P399" s="141">
        <f t="shared" si="289"/>
        <v>244133</v>
      </c>
      <c r="Q399" s="141">
        <f t="shared" si="290"/>
        <v>244128</v>
      </c>
      <c r="R399" s="139" t="s">
        <v>55</v>
      </c>
      <c r="S399" s="143">
        <v>244131</v>
      </c>
      <c r="T399" s="139" t="s">
        <v>55</v>
      </c>
      <c r="U399" s="143">
        <v>244133</v>
      </c>
      <c r="V399" s="139" t="s">
        <v>55</v>
      </c>
      <c r="W399" s="143">
        <v>244133</v>
      </c>
      <c r="X399" s="139"/>
      <c r="Y399" s="141"/>
      <c r="Z399" s="119" t="s">
        <v>1320</v>
      </c>
      <c r="AA399" s="144">
        <f t="shared" si="297"/>
        <v>0</v>
      </c>
    </row>
    <row r="400" spans="1:27" s="145" customFormat="1" ht="36" customHeight="1" x14ac:dyDescent="0.25">
      <c r="A400" s="119" t="s">
        <v>22</v>
      </c>
      <c r="B400" s="139">
        <v>244126</v>
      </c>
      <c r="C400" s="119" t="s">
        <v>14</v>
      </c>
      <c r="D400" s="166">
        <v>680319</v>
      </c>
      <c r="E400" s="119" t="s">
        <v>1345</v>
      </c>
      <c r="F400" s="190">
        <v>68052230</v>
      </c>
      <c r="G400" s="119" t="s">
        <v>1373</v>
      </c>
      <c r="H400" s="187" t="s">
        <v>299</v>
      </c>
      <c r="I400" s="147" t="s">
        <v>1347</v>
      </c>
      <c r="J400" s="146">
        <v>49.79</v>
      </c>
      <c r="K400" s="119" t="s">
        <v>1349</v>
      </c>
      <c r="L400" s="146">
        <f>J400-47</f>
        <v>2.7899999999999991</v>
      </c>
      <c r="M400" s="119" t="s">
        <v>1374</v>
      </c>
      <c r="N400" s="119" t="s">
        <v>93</v>
      </c>
      <c r="O400" s="141">
        <f t="shared" si="288"/>
        <v>244126</v>
      </c>
      <c r="P400" s="141">
        <f t="shared" si="289"/>
        <v>244133</v>
      </c>
      <c r="Q400" s="141">
        <f t="shared" si="290"/>
        <v>244128</v>
      </c>
      <c r="R400" s="139" t="s">
        <v>55</v>
      </c>
      <c r="S400" s="143">
        <v>244131</v>
      </c>
      <c r="T400" s="139" t="s">
        <v>55</v>
      </c>
      <c r="U400" s="143">
        <v>244133</v>
      </c>
      <c r="V400" s="139" t="s">
        <v>55</v>
      </c>
      <c r="W400" s="143">
        <v>244133</v>
      </c>
      <c r="X400" s="139"/>
      <c r="Y400" s="141"/>
      <c r="Z400" s="119" t="s">
        <v>1401</v>
      </c>
      <c r="AA400" s="144"/>
    </row>
    <row r="401" spans="1:27" s="145" customFormat="1" ht="36" customHeight="1" x14ac:dyDescent="0.25">
      <c r="A401" s="119" t="s">
        <v>22</v>
      </c>
      <c r="B401" s="139">
        <v>244126</v>
      </c>
      <c r="C401" s="119" t="s">
        <v>14</v>
      </c>
      <c r="D401" s="166">
        <v>680320</v>
      </c>
      <c r="E401" s="119" t="s">
        <v>827</v>
      </c>
      <c r="F401" s="190">
        <v>68052247</v>
      </c>
      <c r="G401" s="119" t="s">
        <v>1376</v>
      </c>
      <c r="H401" s="187" t="s">
        <v>205</v>
      </c>
      <c r="I401" s="147" t="s">
        <v>829</v>
      </c>
      <c r="J401" s="146">
        <v>108.14</v>
      </c>
      <c r="K401" s="119" t="s">
        <v>207</v>
      </c>
      <c r="L401" s="146">
        <f>J401-105</f>
        <v>3.1400000000000006</v>
      </c>
      <c r="M401" s="119" t="s">
        <v>1377</v>
      </c>
      <c r="N401" s="119" t="s">
        <v>93</v>
      </c>
      <c r="O401" s="141">
        <f t="shared" si="288"/>
        <v>244126</v>
      </c>
      <c r="P401" s="141">
        <f t="shared" si="289"/>
        <v>244133</v>
      </c>
      <c r="Q401" s="141">
        <f t="shared" si="290"/>
        <v>244128</v>
      </c>
      <c r="R401" s="139" t="s">
        <v>55</v>
      </c>
      <c r="S401" s="143">
        <v>244131</v>
      </c>
      <c r="T401" s="139" t="s">
        <v>55</v>
      </c>
      <c r="U401" s="143">
        <v>244133</v>
      </c>
      <c r="V401" s="139" t="s">
        <v>55</v>
      </c>
      <c r="W401" s="143">
        <v>244127</v>
      </c>
      <c r="X401" s="139"/>
      <c r="Y401" s="141"/>
      <c r="Z401" s="119" t="s">
        <v>1378</v>
      </c>
      <c r="AA401" s="144"/>
    </row>
    <row r="402" spans="1:27" s="145" customFormat="1" ht="36" customHeight="1" x14ac:dyDescent="0.25">
      <c r="A402" s="119" t="s">
        <v>22</v>
      </c>
      <c r="B402" s="139">
        <v>244129</v>
      </c>
      <c r="C402" s="119" t="s">
        <v>14</v>
      </c>
      <c r="D402" s="166">
        <v>680321</v>
      </c>
      <c r="E402" s="119" t="s">
        <v>872</v>
      </c>
      <c r="F402" s="190">
        <v>68052512</v>
      </c>
      <c r="G402" s="119" t="s">
        <v>1380</v>
      </c>
      <c r="H402" s="187" t="s">
        <v>280</v>
      </c>
      <c r="I402" s="147" t="s">
        <v>845</v>
      </c>
      <c r="J402" s="146">
        <v>61.32</v>
      </c>
      <c r="K402" s="119" t="s">
        <v>207</v>
      </c>
      <c r="L402" s="146">
        <f>J402-60</f>
        <v>1.3200000000000003</v>
      </c>
      <c r="M402" s="119" t="s">
        <v>1386</v>
      </c>
      <c r="N402" s="119" t="s">
        <v>93</v>
      </c>
      <c r="O402" s="141">
        <f t="shared" si="288"/>
        <v>244129</v>
      </c>
      <c r="P402" s="141">
        <f t="shared" si="289"/>
        <v>244136</v>
      </c>
      <c r="Q402" s="141">
        <f t="shared" si="290"/>
        <v>244131</v>
      </c>
      <c r="R402" s="139" t="s">
        <v>55</v>
      </c>
      <c r="S402" s="143">
        <v>244144</v>
      </c>
      <c r="T402" s="139" t="s">
        <v>55</v>
      </c>
      <c r="U402" s="143">
        <v>244145</v>
      </c>
      <c r="V402" s="139" t="s">
        <v>55</v>
      </c>
      <c r="W402" s="143">
        <v>244145</v>
      </c>
      <c r="X402" s="139"/>
      <c r="Y402" s="141"/>
      <c r="Z402" s="119" t="s">
        <v>872</v>
      </c>
      <c r="AA402" s="144">
        <f t="shared" si="297"/>
        <v>9</v>
      </c>
    </row>
    <row r="403" spans="1:27" s="145" customFormat="1" ht="36" customHeight="1" x14ac:dyDescent="0.25">
      <c r="A403" s="119" t="s">
        <v>22</v>
      </c>
      <c r="B403" s="139">
        <v>244129</v>
      </c>
      <c r="C403" s="119" t="s">
        <v>14</v>
      </c>
      <c r="D403" s="166">
        <v>680321</v>
      </c>
      <c r="E403" s="119" t="s">
        <v>872</v>
      </c>
      <c r="F403" s="190">
        <v>68052513</v>
      </c>
      <c r="G403" s="119" t="s">
        <v>1381</v>
      </c>
      <c r="H403" s="187" t="s">
        <v>284</v>
      </c>
      <c r="I403" s="147" t="s">
        <v>845</v>
      </c>
      <c r="J403" s="146">
        <v>61.42</v>
      </c>
      <c r="K403" s="119" t="s">
        <v>207</v>
      </c>
      <c r="L403" s="146">
        <f>J403-60</f>
        <v>1.4200000000000017</v>
      </c>
      <c r="M403" s="119" t="s">
        <v>1387</v>
      </c>
      <c r="N403" s="119" t="s">
        <v>93</v>
      </c>
      <c r="O403" s="141">
        <f t="shared" si="288"/>
        <v>244129</v>
      </c>
      <c r="P403" s="141">
        <f t="shared" si="289"/>
        <v>244136</v>
      </c>
      <c r="Q403" s="141">
        <f t="shared" si="290"/>
        <v>244131</v>
      </c>
      <c r="R403" s="139" t="s">
        <v>55</v>
      </c>
      <c r="S403" s="143">
        <v>244144</v>
      </c>
      <c r="T403" s="139" t="s">
        <v>55</v>
      </c>
      <c r="U403" s="143">
        <v>244145</v>
      </c>
      <c r="V403" s="139" t="s">
        <v>55</v>
      </c>
      <c r="W403" s="143">
        <v>244145</v>
      </c>
      <c r="X403" s="139"/>
      <c r="Y403" s="141"/>
      <c r="Z403" s="119" t="s">
        <v>872</v>
      </c>
      <c r="AA403" s="144">
        <f t="shared" si="297"/>
        <v>9</v>
      </c>
    </row>
    <row r="404" spans="1:27" s="145" customFormat="1" ht="36" customHeight="1" x14ac:dyDescent="0.25">
      <c r="A404" s="119" t="s">
        <v>22</v>
      </c>
      <c r="B404" s="139">
        <v>244129</v>
      </c>
      <c r="C404" s="119" t="s">
        <v>14</v>
      </c>
      <c r="D404" s="166">
        <v>680322</v>
      </c>
      <c r="E404" s="119" t="s">
        <v>1382</v>
      </c>
      <c r="F404" s="190">
        <v>68052531</v>
      </c>
      <c r="G404" s="119" t="s">
        <v>1383</v>
      </c>
      <c r="H404" s="187" t="s">
        <v>293</v>
      </c>
      <c r="I404" s="147" t="s">
        <v>1201</v>
      </c>
      <c r="J404" s="119" t="s">
        <v>1385</v>
      </c>
      <c r="K404" s="119" t="s">
        <v>1385</v>
      </c>
      <c r="L404" s="218" t="s">
        <v>69</v>
      </c>
      <c r="M404" s="119" t="s">
        <v>1384</v>
      </c>
      <c r="N404" s="119" t="s">
        <v>93</v>
      </c>
      <c r="O404" s="141">
        <f t="shared" si="288"/>
        <v>244129</v>
      </c>
      <c r="P404" s="141">
        <f t="shared" si="289"/>
        <v>244136</v>
      </c>
      <c r="Q404" s="141">
        <f t="shared" si="290"/>
        <v>244131</v>
      </c>
      <c r="R404" s="139" t="s">
        <v>55</v>
      </c>
      <c r="S404" s="143">
        <v>244144</v>
      </c>
      <c r="T404" s="139" t="s">
        <v>55</v>
      </c>
      <c r="U404" s="143">
        <v>244145</v>
      </c>
      <c r="V404" s="139" t="s">
        <v>55</v>
      </c>
      <c r="W404" s="143">
        <v>244145</v>
      </c>
      <c r="X404" s="139"/>
      <c r="Y404" s="141"/>
      <c r="Z404" s="119" t="s">
        <v>1535</v>
      </c>
      <c r="AA404" s="144">
        <f t="shared" ref="AA404:AA405" si="299">W404-P404</f>
        <v>9</v>
      </c>
    </row>
    <row r="405" spans="1:27" s="145" customFormat="1" ht="36" customHeight="1" x14ac:dyDescent="0.25">
      <c r="A405" s="119" t="s">
        <v>22</v>
      </c>
      <c r="B405" s="139">
        <v>244130</v>
      </c>
      <c r="C405" s="119" t="s">
        <v>14</v>
      </c>
      <c r="D405" s="166">
        <v>680323</v>
      </c>
      <c r="E405" s="119" t="s">
        <v>827</v>
      </c>
      <c r="F405" s="190">
        <v>68052630</v>
      </c>
      <c r="G405" s="119" t="s">
        <v>1388</v>
      </c>
      <c r="H405" s="187" t="s">
        <v>205</v>
      </c>
      <c r="I405" s="147" t="s">
        <v>829</v>
      </c>
      <c r="J405" s="119">
        <v>109.29</v>
      </c>
      <c r="K405" s="119" t="s">
        <v>207</v>
      </c>
      <c r="L405" s="146">
        <f>J405-105</f>
        <v>4.2900000000000063</v>
      </c>
      <c r="M405" s="119" t="s">
        <v>1389</v>
      </c>
      <c r="N405" s="119" t="s">
        <v>93</v>
      </c>
      <c r="O405" s="141">
        <f t="shared" si="288"/>
        <v>244130</v>
      </c>
      <c r="P405" s="141">
        <f t="shared" si="289"/>
        <v>244137</v>
      </c>
      <c r="Q405" s="141">
        <f t="shared" si="290"/>
        <v>244132</v>
      </c>
      <c r="R405" s="139" t="s">
        <v>55</v>
      </c>
      <c r="S405" s="143">
        <v>244144</v>
      </c>
      <c r="T405" s="139" t="s">
        <v>55</v>
      </c>
      <c r="U405" s="143">
        <v>244145</v>
      </c>
      <c r="V405" s="139" t="s">
        <v>55</v>
      </c>
      <c r="W405" s="143">
        <v>244145</v>
      </c>
      <c r="X405" s="139"/>
      <c r="Y405" s="141"/>
      <c r="Z405" s="119" t="s">
        <v>827</v>
      </c>
      <c r="AA405" s="144">
        <f t="shared" si="299"/>
        <v>8</v>
      </c>
    </row>
    <row r="406" spans="1:27" s="145" customFormat="1" ht="36" customHeight="1" x14ac:dyDescent="0.25">
      <c r="A406" s="119" t="s">
        <v>22</v>
      </c>
      <c r="B406" s="139">
        <v>244131</v>
      </c>
      <c r="C406" s="119" t="s">
        <v>11</v>
      </c>
      <c r="D406" s="166">
        <v>680324</v>
      </c>
      <c r="E406" s="119" t="s">
        <v>424</v>
      </c>
      <c r="F406" s="190" t="s">
        <v>1390</v>
      </c>
      <c r="G406" s="119">
        <v>680531</v>
      </c>
      <c r="H406" s="187" t="s">
        <v>135</v>
      </c>
      <c r="I406" s="147" t="s">
        <v>74</v>
      </c>
      <c r="J406" s="119">
        <v>4.38</v>
      </c>
      <c r="K406" s="119" t="s">
        <v>125</v>
      </c>
      <c r="L406" s="146">
        <v>0.12</v>
      </c>
      <c r="M406" s="257" t="s">
        <v>1392</v>
      </c>
      <c r="N406" s="257" t="s">
        <v>53</v>
      </c>
      <c r="O406" s="141">
        <f t="shared" si="288"/>
        <v>244131</v>
      </c>
      <c r="P406" s="141">
        <f t="shared" si="289"/>
        <v>244138</v>
      </c>
      <c r="Q406" s="141">
        <f t="shared" si="290"/>
        <v>244133</v>
      </c>
      <c r="R406" s="139" t="s">
        <v>55</v>
      </c>
      <c r="S406" s="143">
        <v>244133</v>
      </c>
      <c r="T406" s="139" t="s">
        <v>55</v>
      </c>
      <c r="U406" s="143">
        <v>244134</v>
      </c>
      <c r="V406" s="139" t="s">
        <v>55</v>
      </c>
      <c r="W406" s="143">
        <v>244131</v>
      </c>
      <c r="X406" s="139"/>
      <c r="Y406" s="141"/>
      <c r="Z406" s="119" t="s">
        <v>1391</v>
      </c>
      <c r="AA406" s="144">
        <f t="shared" si="297"/>
        <v>-7</v>
      </c>
    </row>
    <row r="407" spans="1:27" s="145" customFormat="1" ht="36" customHeight="1" x14ac:dyDescent="0.25">
      <c r="A407" s="119" t="s">
        <v>22</v>
      </c>
      <c r="B407" s="139">
        <v>244131</v>
      </c>
      <c r="C407" s="119" t="s">
        <v>11</v>
      </c>
      <c r="D407" s="166">
        <v>680324</v>
      </c>
      <c r="E407" s="119" t="s">
        <v>424</v>
      </c>
      <c r="F407" s="190" t="s">
        <v>1390</v>
      </c>
      <c r="G407" s="119">
        <v>680531</v>
      </c>
      <c r="H407" s="187" t="s">
        <v>135</v>
      </c>
      <c r="I407" s="147" t="s">
        <v>84</v>
      </c>
      <c r="J407" s="119">
        <v>3.95</v>
      </c>
      <c r="K407" s="119" t="s">
        <v>127</v>
      </c>
      <c r="L407" s="146">
        <v>0.05</v>
      </c>
      <c r="M407" s="258"/>
      <c r="N407" s="258"/>
      <c r="O407" s="141">
        <f t="shared" ref="O407" si="300">B407</f>
        <v>244131</v>
      </c>
      <c r="P407" s="141">
        <f t="shared" ref="P407" si="301">B407+7</f>
        <v>244138</v>
      </c>
      <c r="Q407" s="141">
        <f t="shared" ref="Q407" si="302">O407+2</f>
        <v>244133</v>
      </c>
      <c r="R407" s="139" t="s">
        <v>55</v>
      </c>
      <c r="S407" s="143">
        <v>244133</v>
      </c>
      <c r="T407" s="139" t="s">
        <v>55</v>
      </c>
      <c r="U407" s="143">
        <v>244134</v>
      </c>
      <c r="V407" s="139" t="s">
        <v>55</v>
      </c>
      <c r="W407" s="143">
        <v>244131</v>
      </c>
      <c r="X407" s="139"/>
      <c r="Y407" s="141"/>
      <c r="Z407" s="119" t="s">
        <v>1391</v>
      </c>
      <c r="AA407" s="144">
        <f t="shared" ref="AA407" si="303">W407-P407</f>
        <v>-7</v>
      </c>
    </row>
    <row r="408" spans="1:27" s="145" customFormat="1" ht="36" customHeight="1" x14ac:dyDescent="0.25">
      <c r="A408" s="119" t="s">
        <v>22</v>
      </c>
      <c r="B408" s="139">
        <v>244132</v>
      </c>
      <c r="C408" s="119" t="s">
        <v>14</v>
      </c>
      <c r="D408" s="166">
        <v>680325</v>
      </c>
      <c r="E408" s="119" t="s">
        <v>1382</v>
      </c>
      <c r="F408" s="190">
        <v>68052820</v>
      </c>
      <c r="G408" s="119" t="s">
        <v>1393</v>
      </c>
      <c r="H408" s="187" t="s">
        <v>251</v>
      </c>
      <c r="I408" s="147" t="s">
        <v>1201</v>
      </c>
      <c r="J408" s="119" t="s">
        <v>1395</v>
      </c>
      <c r="K408" s="119" t="s">
        <v>1395</v>
      </c>
      <c r="L408" s="218" t="s">
        <v>69</v>
      </c>
      <c r="M408" s="119" t="s">
        <v>1394</v>
      </c>
      <c r="N408" s="119" t="s">
        <v>93</v>
      </c>
      <c r="O408" s="141">
        <f t="shared" si="288"/>
        <v>244132</v>
      </c>
      <c r="P408" s="141">
        <f t="shared" si="289"/>
        <v>244139</v>
      </c>
      <c r="Q408" s="141">
        <f t="shared" si="290"/>
        <v>244134</v>
      </c>
      <c r="R408" s="139" t="s">
        <v>55</v>
      </c>
      <c r="S408" s="143">
        <v>244144</v>
      </c>
      <c r="T408" s="139" t="s">
        <v>55</v>
      </c>
      <c r="U408" s="143">
        <v>244145</v>
      </c>
      <c r="V408" s="139" t="s">
        <v>55</v>
      </c>
      <c r="W408" s="143">
        <v>244145</v>
      </c>
      <c r="X408" s="139"/>
      <c r="Y408" s="141"/>
      <c r="Z408" s="119" t="s">
        <v>1536</v>
      </c>
      <c r="AA408" s="144">
        <f t="shared" si="297"/>
        <v>6</v>
      </c>
    </row>
    <row r="409" spans="1:27" s="145" customFormat="1" ht="36" customHeight="1" x14ac:dyDescent="0.25">
      <c r="A409" s="119" t="s">
        <v>22</v>
      </c>
      <c r="B409" s="139">
        <v>244133</v>
      </c>
      <c r="C409" s="119" t="s">
        <v>132</v>
      </c>
      <c r="D409" s="166">
        <v>680326</v>
      </c>
      <c r="E409" s="119" t="s">
        <v>1396</v>
      </c>
      <c r="F409" s="190" t="s">
        <v>1397</v>
      </c>
      <c r="G409" s="119" t="s">
        <v>1399</v>
      </c>
      <c r="H409" s="187" t="s">
        <v>1398</v>
      </c>
      <c r="I409" s="147" t="s">
        <v>203</v>
      </c>
      <c r="J409" s="119" t="s">
        <v>1400</v>
      </c>
      <c r="K409" s="119" t="s">
        <v>1400</v>
      </c>
      <c r="L409" s="146" t="s">
        <v>346</v>
      </c>
      <c r="M409" s="119">
        <v>1</v>
      </c>
      <c r="N409" s="119" t="s">
        <v>52</v>
      </c>
      <c r="O409" s="141">
        <f t="shared" si="288"/>
        <v>244133</v>
      </c>
      <c r="P409" s="141">
        <f t="shared" si="289"/>
        <v>244140</v>
      </c>
      <c r="Q409" s="141">
        <f t="shared" si="290"/>
        <v>244135</v>
      </c>
      <c r="R409" s="139" t="s">
        <v>55</v>
      </c>
      <c r="S409" s="143">
        <v>244226</v>
      </c>
      <c r="T409" s="139" t="s">
        <v>55</v>
      </c>
      <c r="U409" s="143">
        <v>244229</v>
      </c>
      <c r="V409" s="139" t="s">
        <v>55</v>
      </c>
      <c r="W409" s="143">
        <v>244229</v>
      </c>
      <c r="X409" s="139"/>
      <c r="Y409" s="141"/>
      <c r="Z409" s="119" t="s">
        <v>771</v>
      </c>
      <c r="AA409" s="144"/>
    </row>
    <row r="410" spans="1:27" s="145" customFormat="1" ht="36" customHeight="1" x14ac:dyDescent="0.25">
      <c r="A410" s="119" t="s">
        <v>22</v>
      </c>
      <c r="B410" s="139">
        <v>244134</v>
      </c>
      <c r="C410" s="119" t="s">
        <v>14</v>
      </c>
      <c r="D410" s="166">
        <v>680327</v>
      </c>
      <c r="E410" s="119" t="s">
        <v>368</v>
      </c>
      <c r="F410" s="190">
        <v>68053003</v>
      </c>
      <c r="G410" s="119" t="s">
        <v>1402</v>
      </c>
      <c r="H410" s="187" t="s">
        <v>236</v>
      </c>
      <c r="I410" s="147" t="s">
        <v>1403</v>
      </c>
      <c r="J410" s="146">
        <v>82.52</v>
      </c>
      <c r="K410" s="119" t="s">
        <v>207</v>
      </c>
      <c r="L410" s="146">
        <f>J410-78</f>
        <v>4.519999999999996</v>
      </c>
      <c r="M410" s="119" t="s">
        <v>1404</v>
      </c>
      <c r="N410" s="119" t="s">
        <v>93</v>
      </c>
      <c r="O410" s="141">
        <f t="shared" si="288"/>
        <v>244134</v>
      </c>
      <c r="P410" s="141">
        <f t="shared" si="289"/>
        <v>244141</v>
      </c>
      <c r="Q410" s="141">
        <f t="shared" si="290"/>
        <v>244136</v>
      </c>
      <c r="R410" s="139" t="s">
        <v>55</v>
      </c>
      <c r="S410" s="143">
        <v>244144</v>
      </c>
      <c r="T410" s="139" t="s">
        <v>55</v>
      </c>
      <c r="U410" s="143">
        <v>244145</v>
      </c>
      <c r="V410" s="139" t="s">
        <v>55</v>
      </c>
      <c r="W410" s="143">
        <v>244134</v>
      </c>
      <c r="X410" s="139"/>
      <c r="Y410" s="141"/>
      <c r="Z410" s="119" t="s">
        <v>1409</v>
      </c>
      <c r="AA410" s="144">
        <f t="shared" ref="AA410" si="304">W410-P410</f>
        <v>-7</v>
      </c>
    </row>
    <row r="411" spans="1:27" s="145" customFormat="1" ht="36" customHeight="1" x14ac:dyDescent="0.25">
      <c r="A411" s="119" t="s">
        <v>22</v>
      </c>
      <c r="B411" s="139">
        <v>244134</v>
      </c>
      <c r="C411" s="119" t="s">
        <v>14</v>
      </c>
      <c r="D411" s="166">
        <v>680327</v>
      </c>
      <c r="E411" s="119" t="s">
        <v>368</v>
      </c>
      <c r="F411" s="190">
        <v>68053004</v>
      </c>
      <c r="G411" s="119" t="s">
        <v>1405</v>
      </c>
      <c r="H411" s="187" t="s">
        <v>296</v>
      </c>
      <c r="I411" s="147" t="s">
        <v>1403</v>
      </c>
      <c r="J411" s="146">
        <v>81.05</v>
      </c>
      <c r="K411" s="119" t="s">
        <v>207</v>
      </c>
      <c r="L411" s="146">
        <f>J411-78</f>
        <v>3.0499999999999972</v>
      </c>
      <c r="M411" s="119" t="s">
        <v>1406</v>
      </c>
      <c r="N411" s="119" t="s">
        <v>93</v>
      </c>
      <c r="O411" s="141">
        <f t="shared" si="288"/>
        <v>244134</v>
      </c>
      <c r="P411" s="141">
        <f t="shared" si="289"/>
        <v>244141</v>
      </c>
      <c r="Q411" s="141">
        <f t="shared" si="290"/>
        <v>244136</v>
      </c>
      <c r="R411" s="139" t="s">
        <v>55</v>
      </c>
      <c r="S411" s="143">
        <v>244144</v>
      </c>
      <c r="T411" s="139" t="s">
        <v>55</v>
      </c>
      <c r="U411" s="143">
        <v>244145</v>
      </c>
      <c r="V411" s="139" t="s">
        <v>55</v>
      </c>
      <c r="W411" s="143">
        <v>244134</v>
      </c>
      <c r="X411" s="139"/>
      <c r="Y411" s="141"/>
      <c r="Z411" s="119" t="s">
        <v>1409</v>
      </c>
      <c r="AA411" s="144">
        <f t="shared" si="297"/>
        <v>-7</v>
      </c>
    </row>
    <row r="412" spans="1:27" s="145" customFormat="1" ht="36" customHeight="1" x14ac:dyDescent="0.25">
      <c r="A412" s="119" t="s">
        <v>22</v>
      </c>
      <c r="B412" s="139">
        <v>244134</v>
      </c>
      <c r="C412" s="119" t="s">
        <v>14</v>
      </c>
      <c r="D412" s="166">
        <v>680327</v>
      </c>
      <c r="E412" s="119" t="s">
        <v>368</v>
      </c>
      <c r="F412" s="190">
        <v>68053005</v>
      </c>
      <c r="G412" s="119" t="s">
        <v>1407</v>
      </c>
      <c r="H412" s="187" t="s">
        <v>299</v>
      </c>
      <c r="I412" s="147" t="s">
        <v>1403</v>
      </c>
      <c r="J412" s="146">
        <v>81.900000000000006</v>
      </c>
      <c r="K412" s="119" t="s">
        <v>207</v>
      </c>
      <c r="L412" s="146">
        <f>J412-78</f>
        <v>3.9000000000000057</v>
      </c>
      <c r="M412" s="119" t="s">
        <v>1408</v>
      </c>
      <c r="N412" s="119" t="s">
        <v>93</v>
      </c>
      <c r="O412" s="141">
        <f t="shared" si="288"/>
        <v>244134</v>
      </c>
      <c r="P412" s="141">
        <f t="shared" si="289"/>
        <v>244141</v>
      </c>
      <c r="Q412" s="141">
        <f t="shared" si="290"/>
        <v>244136</v>
      </c>
      <c r="R412" s="139" t="s">
        <v>55</v>
      </c>
      <c r="S412" s="143">
        <v>244144</v>
      </c>
      <c r="T412" s="139" t="s">
        <v>55</v>
      </c>
      <c r="U412" s="143">
        <v>244145</v>
      </c>
      <c r="V412" s="139" t="s">
        <v>55</v>
      </c>
      <c r="W412" s="143">
        <v>244134</v>
      </c>
      <c r="X412" s="139"/>
      <c r="Y412" s="141"/>
      <c r="Z412" s="119" t="s">
        <v>1409</v>
      </c>
      <c r="AA412" s="144">
        <f t="shared" ref="AA412" si="305">W412-P412</f>
        <v>-7</v>
      </c>
    </row>
    <row r="413" spans="1:27" s="145" customFormat="1" ht="36" customHeight="1" x14ac:dyDescent="0.25">
      <c r="A413" s="119" t="s">
        <v>22</v>
      </c>
      <c r="B413" s="139">
        <v>244134</v>
      </c>
      <c r="C413" s="119" t="s">
        <v>14</v>
      </c>
      <c r="D413" s="166">
        <v>680328</v>
      </c>
      <c r="E413" s="119" t="s">
        <v>827</v>
      </c>
      <c r="F413" s="190">
        <v>68053018</v>
      </c>
      <c r="G413" s="119" t="s">
        <v>1410</v>
      </c>
      <c r="H413" s="187" t="s">
        <v>205</v>
      </c>
      <c r="I413" s="147" t="s">
        <v>829</v>
      </c>
      <c r="J413" s="146">
        <v>108.72</v>
      </c>
      <c r="K413" s="119" t="s">
        <v>200</v>
      </c>
      <c r="L413" s="146">
        <f>J413-105</f>
        <v>3.7199999999999989</v>
      </c>
      <c r="M413" s="119" t="s">
        <v>1411</v>
      </c>
      <c r="N413" s="119" t="s">
        <v>93</v>
      </c>
      <c r="O413" s="141">
        <f t="shared" si="288"/>
        <v>244134</v>
      </c>
      <c r="P413" s="141">
        <f t="shared" si="289"/>
        <v>244141</v>
      </c>
      <c r="Q413" s="141">
        <f t="shared" si="290"/>
        <v>244136</v>
      </c>
      <c r="R413" s="139" t="s">
        <v>55</v>
      </c>
      <c r="S413" s="143">
        <v>244144</v>
      </c>
      <c r="T413" s="139" t="s">
        <v>55</v>
      </c>
      <c r="U413" s="143">
        <v>244145</v>
      </c>
      <c r="V413" s="139" t="s">
        <v>55</v>
      </c>
      <c r="W413" s="143">
        <v>244145</v>
      </c>
      <c r="X413" s="139"/>
      <c r="Y413" s="141"/>
      <c r="Z413" s="119" t="s">
        <v>827</v>
      </c>
      <c r="AA413" s="144">
        <f t="shared" si="297"/>
        <v>4</v>
      </c>
    </row>
    <row r="414" spans="1:27" s="145" customFormat="1" ht="36" customHeight="1" x14ac:dyDescent="0.25">
      <c r="A414" s="119" t="s">
        <v>22</v>
      </c>
      <c r="B414" s="139">
        <v>244135</v>
      </c>
      <c r="C414" s="119" t="s">
        <v>14</v>
      </c>
      <c r="D414" s="166">
        <v>680329</v>
      </c>
      <c r="E414" s="119" t="s">
        <v>307</v>
      </c>
      <c r="F414" s="190">
        <v>68053107</v>
      </c>
      <c r="G414" s="119" t="s">
        <v>1412</v>
      </c>
      <c r="H414" s="187" t="s">
        <v>265</v>
      </c>
      <c r="I414" s="147" t="s">
        <v>1330</v>
      </c>
      <c r="J414" s="146" t="s">
        <v>1413</v>
      </c>
      <c r="K414" s="146" t="s">
        <v>1414</v>
      </c>
      <c r="L414" s="146" t="s">
        <v>1415</v>
      </c>
      <c r="M414" s="119" t="s">
        <v>1416</v>
      </c>
      <c r="N414" s="119" t="s">
        <v>93</v>
      </c>
      <c r="O414" s="141">
        <f t="shared" si="288"/>
        <v>244135</v>
      </c>
      <c r="P414" s="141">
        <f t="shared" si="289"/>
        <v>244142</v>
      </c>
      <c r="Q414" s="141">
        <f t="shared" si="290"/>
        <v>244137</v>
      </c>
      <c r="R414" s="139" t="s">
        <v>55</v>
      </c>
      <c r="S414" s="143">
        <v>244151</v>
      </c>
      <c r="T414" s="139" t="s">
        <v>55</v>
      </c>
      <c r="U414" s="143">
        <v>244154</v>
      </c>
      <c r="V414" s="139" t="s">
        <v>55</v>
      </c>
      <c r="W414" s="143">
        <v>244146</v>
      </c>
      <c r="X414" s="139"/>
      <c r="Y414" s="141"/>
      <c r="Z414" s="119" t="s">
        <v>1544</v>
      </c>
      <c r="AA414" s="144">
        <f t="shared" si="297"/>
        <v>4</v>
      </c>
    </row>
    <row r="415" spans="1:27" s="145" customFormat="1" ht="36" customHeight="1" x14ac:dyDescent="0.25">
      <c r="A415" s="119" t="s">
        <v>22</v>
      </c>
      <c r="B415" s="139">
        <v>244135</v>
      </c>
      <c r="C415" s="119" t="s">
        <v>14</v>
      </c>
      <c r="D415" s="166">
        <v>680330</v>
      </c>
      <c r="E415" s="119" t="s">
        <v>420</v>
      </c>
      <c r="F415" s="190">
        <v>68053111</v>
      </c>
      <c r="G415" s="119" t="s">
        <v>1417</v>
      </c>
      <c r="H415" s="187" t="s">
        <v>253</v>
      </c>
      <c r="I415" s="147" t="s">
        <v>1041</v>
      </c>
      <c r="J415" s="146" t="s">
        <v>1419</v>
      </c>
      <c r="K415" s="146" t="s">
        <v>1418</v>
      </c>
      <c r="L415" s="146" t="s">
        <v>1420</v>
      </c>
      <c r="M415" s="119" t="s">
        <v>1421</v>
      </c>
      <c r="N415" s="119" t="s">
        <v>93</v>
      </c>
      <c r="O415" s="141">
        <f t="shared" si="288"/>
        <v>244135</v>
      </c>
      <c r="P415" s="141">
        <f t="shared" si="289"/>
        <v>244142</v>
      </c>
      <c r="Q415" s="141">
        <f t="shared" si="290"/>
        <v>244137</v>
      </c>
      <c r="R415" s="139" t="s">
        <v>55</v>
      </c>
      <c r="S415" s="143">
        <v>244147</v>
      </c>
      <c r="T415" s="139" t="s">
        <v>55</v>
      </c>
      <c r="U415" s="143">
        <v>244149</v>
      </c>
      <c r="V415" s="139" t="s">
        <v>55</v>
      </c>
      <c r="W415" s="143">
        <v>244149</v>
      </c>
      <c r="X415" s="139"/>
      <c r="Y415" s="141"/>
      <c r="Z415" s="119" t="s">
        <v>420</v>
      </c>
      <c r="AA415" s="144">
        <f t="shared" si="297"/>
        <v>7</v>
      </c>
    </row>
    <row r="416" spans="1:27" s="145" customFormat="1" ht="36" customHeight="1" x14ac:dyDescent="0.25">
      <c r="A416" s="119" t="s">
        <v>23</v>
      </c>
      <c r="B416" s="139">
        <v>244136</v>
      </c>
      <c r="C416" s="119" t="s">
        <v>14</v>
      </c>
      <c r="D416" s="166">
        <v>680331</v>
      </c>
      <c r="E416" s="119" t="s">
        <v>426</v>
      </c>
      <c r="F416" s="190">
        <v>68060105</v>
      </c>
      <c r="G416" s="119" t="s">
        <v>1422</v>
      </c>
      <c r="H416" s="187" t="s">
        <v>277</v>
      </c>
      <c r="I416" s="147" t="s">
        <v>428</v>
      </c>
      <c r="J416" s="146">
        <v>133.47999999999999</v>
      </c>
      <c r="K416" s="119" t="s">
        <v>207</v>
      </c>
      <c r="L416" s="146">
        <f>J416-129</f>
        <v>4.4799999999999898</v>
      </c>
      <c r="M416" s="119" t="s">
        <v>1423</v>
      </c>
      <c r="N416" s="119" t="s">
        <v>93</v>
      </c>
      <c r="O416" s="141">
        <f t="shared" si="288"/>
        <v>244136</v>
      </c>
      <c r="P416" s="141">
        <f t="shared" si="289"/>
        <v>244143</v>
      </c>
      <c r="Q416" s="141">
        <f t="shared" si="290"/>
        <v>244138</v>
      </c>
      <c r="R416" s="139" t="s">
        <v>55</v>
      </c>
      <c r="S416" s="143">
        <v>244147</v>
      </c>
      <c r="T416" s="139" t="s">
        <v>55</v>
      </c>
      <c r="U416" s="143">
        <v>244149</v>
      </c>
      <c r="V416" s="139" t="s">
        <v>55</v>
      </c>
      <c r="W416" s="143">
        <v>244149</v>
      </c>
      <c r="X416" s="139"/>
      <c r="Y416" s="141"/>
      <c r="Z416" s="119" t="s">
        <v>426</v>
      </c>
      <c r="AA416" s="144">
        <f t="shared" ref="AA416" si="306">W416-P416</f>
        <v>6</v>
      </c>
    </row>
    <row r="417" spans="1:27" s="145" customFormat="1" ht="36" customHeight="1" x14ac:dyDescent="0.25">
      <c r="A417" s="119" t="s">
        <v>23</v>
      </c>
      <c r="B417" s="139">
        <v>244136</v>
      </c>
      <c r="C417" s="119" t="s">
        <v>14</v>
      </c>
      <c r="D417" s="166">
        <v>680331</v>
      </c>
      <c r="E417" s="119" t="s">
        <v>426</v>
      </c>
      <c r="F417" s="190">
        <v>68060103</v>
      </c>
      <c r="G417" s="119" t="s">
        <v>1424</v>
      </c>
      <c r="H417" s="187" t="s">
        <v>291</v>
      </c>
      <c r="I417" s="147" t="s">
        <v>428</v>
      </c>
      <c r="J417" s="146">
        <v>133.82</v>
      </c>
      <c r="K417" s="119" t="s">
        <v>207</v>
      </c>
      <c r="L417" s="146">
        <f>J417-129</f>
        <v>4.8199999999999932</v>
      </c>
      <c r="M417" s="119" t="s">
        <v>1425</v>
      </c>
      <c r="N417" s="119" t="s">
        <v>93</v>
      </c>
      <c r="O417" s="141">
        <f t="shared" ref="O417" si="307">B417</f>
        <v>244136</v>
      </c>
      <c r="P417" s="141">
        <f t="shared" ref="P417" si="308">B417+7</f>
        <v>244143</v>
      </c>
      <c r="Q417" s="141">
        <f t="shared" ref="Q417" si="309">O417+2</f>
        <v>244138</v>
      </c>
      <c r="R417" s="139" t="s">
        <v>55</v>
      </c>
      <c r="S417" s="143">
        <v>244147</v>
      </c>
      <c r="T417" s="139" t="s">
        <v>55</v>
      </c>
      <c r="U417" s="143">
        <v>244149</v>
      </c>
      <c r="V417" s="139" t="s">
        <v>55</v>
      </c>
      <c r="W417" s="143">
        <v>244149</v>
      </c>
      <c r="X417" s="139"/>
      <c r="Y417" s="141"/>
      <c r="Z417" s="119" t="s">
        <v>426</v>
      </c>
      <c r="AA417" s="144"/>
    </row>
    <row r="418" spans="1:27" s="145" customFormat="1" ht="36" customHeight="1" x14ac:dyDescent="0.25">
      <c r="A418" s="119" t="s">
        <v>23</v>
      </c>
      <c r="B418" s="139">
        <v>244136</v>
      </c>
      <c r="C418" s="119" t="s">
        <v>14</v>
      </c>
      <c r="D418" s="166">
        <v>680332</v>
      </c>
      <c r="E418" s="119" t="s">
        <v>433</v>
      </c>
      <c r="F418" s="190">
        <v>68060123</v>
      </c>
      <c r="G418" s="119" t="s">
        <v>1428</v>
      </c>
      <c r="H418" s="187" t="s">
        <v>262</v>
      </c>
      <c r="I418" s="147" t="s">
        <v>304</v>
      </c>
      <c r="J418" s="146">
        <v>75.099999999999994</v>
      </c>
      <c r="K418" s="119" t="s">
        <v>411</v>
      </c>
      <c r="L418" s="146">
        <f>76-J418</f>
        <v>0.90000000000000568</v>
      </c>
      <c r="M418" s="119" t="s">
        <v>1426</v>
      </c>
      <c r="N418" s="119" t="s">
        <v>93</v>
      </c>
      <c r="O418" s="141">
        <f t="shared" si="288"/>
        <v>244136</v>
      </c>
      <c r="P418" s="141">
        <f t="shared" si="289"/>
        <v>244143</v>
      </c>
      <c r="Q418" s="141">
        <f t="shared" si="290"/>
        <v>244138</v>
      </c>
      <c r="R418" s="139" t="s">
        <v>55</v>
      </c>
      <c r="S418" s="143">
        <v>244147</v>
      </c>
      <c r="T418" s="139" t="s">
        <v>55</v>
      </c>
      <c r="U418" s="143">
        <v>244149</v>
      </c>
      <c r="V418" s="139" t="s">
        <v>55</v>
      </c>
      <c r="W418" s="143">
        <v>244149</v>
      </c>
      <c r="X418" s="139"/>
      <c r="Y418" s="141"/>
      <c r="Z418" s="119" t="s">
        <v>433</v>
      </c>
      <c r="AA418" s="144">
        <f t="shared" si="297"/>
        <v>6</v>
      </c>
    </row>
    <row r="419" spans="1:27" s="145" customFormat="1" ht="36" customHeight="1" x14ac:dyDescent="0.25">
      <c r="A419" s="119" t="s">
        <v>23</v>
      </c>
      <c r="B419" s="139">
        <v>244136</v>
      </c>
      <c r="C419" s="119" t="s">
        <v>14</v>
      </c>
      <c r="D419" s="166">
        <v>680332</v>
      </c>
      <c r="E419" s="119" t="s">
        <v>433</v>
      </c>
      <c r="F419" s="190">
        <v>68060138</v>
      </c>
      <c r="G419" s="119" t="s">
        <v>1427</v>
      </c>
      <c r="H419" s="187" t="s">
        <v>278</v>
      </c>
      <c r="I419" s="147" t="s">
        <v>304</v>
      </c>
      <c r="J419" s="146">
        <v>75.150000000000006</v>
      </c>
      <c r="K419" s="119" t="s">
        <v>411</v>
      </c>
      <c r="L419" s="146">
        <f>76-J419</f>
        <v>0.84999999999999432</v>
      </c>
      <c r="M419" s="119" t="s">
        <v>1429</v>
      </c>
      <c r="N419" s="119" t="s">
        <v>93</v>
      </c>
      <c r="O419" s="141">
        <f t="shared" ref="O419" si="310">B419</f>
        <v>244136</v>
      </c>
      <c r="P419" s="141">
        <f t="shared" ref="P419" si="311">B419+7</f>
        <v>244143</v>
      </c>
      <c r="Q419" s="141">
        <f t="shared" ref="Q419" si="312">O419+2</f>
        <v>244138</v>
      </c>
      <c r="R419" s="139" t="s">
        <v>55</v>
      </c>
      <c r="S419" s="143">
        <v>244147</v>
      </c>
      <c r="T419" s="139" t="s">
        <v>55</v>
      </c>
      <c r="U419" s="143">
        <v>244149</v>
      </c>
      <c r="V419" s="139" t="s">
        <v>55</v>
      </c>
      <c r="W419" s="143">
        <v>244149</v>
      </c>
      <c r="X419" s="139"/>
      <c r="Y419" s="141"/>
      <c r="Z419" s="119" t="s">
        <v>433</v>
      </c>
      <c r="AA419" s="144"/>
    </row>
    <row r="420" spans="1:27" s="145" customFormat="1" ht="36" customHeight="1" x14ac:dyDescent="0.25">
      <c r="A420" s="119" t="s">
        <v>23</v>
      </c>
      <c r="B420" s="139">
        <v>244136</v>
      </c>
      <c r="C420" s="119" t="s">
        <v>14</v>
      </c>
      <c r="D420" s="166">
        <v>680333</v>
      </c>
      <c r="E420" s="119" t="s">
        <v>368</v>
      </c>
      <c r="F420" s="190">
        <v>68060157</v>
      </c>
      <c r="G420" s="119" t="s">
        <v>1430</v>
      </c>
      <c r="H420" s="187" t="s">
        <v>236</v>
      </c>
      <c r="I420" s="147" t="s">
        <v>1260</v>
      </c>
      <c r="J420" s="146">
        <v>80.150000000000006</v>
      </c>
      <c r="K420" s="119" t="s">
        <v>207</v>
      </c>
      <c r="L420" s="146">
        <f>J420-78</f>
        <v>2.1500000000000057</v>
      </c>
      <c r="M420" s="119" t="s">
        <v>1437</v>
      </c>
      <c r="N420" s="119" t="s">
        <v>93</v>
      </c>
      <c r="O420" s="141">
        <f t="shared" si="288"/>
        <v>244136</v>
      </c>
      <c r="P420" s="141">
        <f t="shared" si="289"/>
        <v>244143</v>
      </c>
      <c r="Q420" s="141">
        <f t="shared" si="290"/>
        <v>244138</v>
      </c>
      <c r="R420" s="139" t="s">
        <v>55</v>
      </c>
      <c r="S420" s="143">
        <v>244147</v>
      </c>
      <c r="T420" s="139" t="s">
        <v>55</v>
      </c>
      <c r="U420" s="143">
        <v>244149</v>
      </c>
      <c r="V420" s="139" t="s">
        <v>55</v>
      </c>
      <c r="W420" s="143">
        <v>244138</v>
      </c>
      <c r="X420" s="139"/>
      <c r="Y420" s="141"/>
      <c r="Z420" s="119" t="s">
        <v>1475</v>
      </c>
      <c r="AA420" s="144">
        <f t="shared" ref="AA420" si="313">W420-P420</f>
        <v>-5</v>
      </c>
    </row>
    <row r="421" spans="1:27" s="145" customFormat="1" ht="36" customHeight="1" x14ac:dyDescent="0.25">
      <c r="A421" s="119" t="s">
        <v>23</v>
      </c>
      <c r="B421" s="139">
        <v>244136</v>
      </c>
      <c r="C421" s="119" t="s">
        <v>14</v>
      </c>
      <c r="D421" s="166">
        <v>680333</v>
      </c>
      <c r="E421" s="119" t="s">
        <v>368</v>
      </c>
      <c r="F421" s="190">
        <v>68060151</v>
      </c>
      <c r="G421" s="119" t="s">
        <v>1431</v>
      </c>
      <c r="H421" s="187" t="s">
        <v>296</v>
      </c>
      <c r="I421" s="147" t="s">
        <v>1260</v>
      </c>
      <c r="J421" s="146">
        <v>80.55</v>
      </c>
      <c r="K421" s="119" t="s">
        <v>207</v>
      </c>
      <c r="L421" s="146">
        <f>J421-78</f>
        <v>2.5499999999999972</v>
      </c>
      <c r="M421" s="119" t="s">
        <v>1438</v>
      </c>
      <c r="N421" s="119" t="s">
        <v>93</v>
      </c>
      <c r="O421" s="141">
        <f t="shared" si="288"/>
        <v>244136</v>
      </c>
      <c r="P421" s="141">
        <f t="shared" si="289"/>
        <v>244143</v>
      </c>
      <c r="Q421" s="141">
        <f t="shared" si="290"/>
        <v>244138</v>
      </c>
      <c r="R421" s="139" t="s">
        <v>55</v>
      </c>
      <c r="S421" s="143">
        <v>244147</v>
      </c>
      <c r="T421" s="139" t="s">
        <v>55</v>
      </c>
      <c r="U421" s="143">
        <v>244149</v>
      </c>
      <c r="V421" s="139" t="s">
        <v>55</v>
      </c>
      <c r="W421" s="143">
        <v>244138</v>
      </c>
      <c r="X421" s="139"/>
      <c r="Y421" s="141"/>
      <c r="Z421" s="119" t="s">
        <v>1475</v>
      </c>
      <c r="AA421" s="144">
        <f t="shared" si="297"/>
        <v>-5</v>
      </c>
    </row>
    <row r="422" spans="1:27" s="145" customFormat="1" ht="36" customHeight="1" x14ac:dyDescent="0.25">
      <c r="A422" s="119" t="s">
        <v>23</v>
      </c>
      <c r="B422" s="139">
        <v>244136</v>
      </c>
      <c r="C422" s="119" t="s">
        <v>14</v>
      </c>
      <c r="D422" s="166">
        <v>680333</v>
      </c>
      <c r="E422" s="119" t="s">
        <v>368</v>
      </c>
      <c r="F422" s="190">
        <v>68060154</v>
      </c>
      <c r="G422" s="119" t="s">
        <v>1432</v>
      </c>
      <c r="H422" s="187" t="s">
        <v>299</v>
      </c>
      <c r="I422" s="147" t="s">
        <v>1260</v>
      </c>
      <c r="J422" s="146">
        <v>80.53</v>
      </c>
      <c r="K422" s="119" t="s">
        <v>200</v>
      </c>
      <c r="L422" s="146">
        <f>J422-78</f>
        <v>2.5300000000000011</v>
      </c>
      <c r="M422" s="119" t="s">
        <v>1439</v>
      </c>
      <c r="N422" s="119" t="s">
        <v>93</v>
      </c>
      <c r="O422" s="141">
        <f t="shared" si="288"/>
        <v>244136</v>
      </c>
      <c r="P422" s="141">
        <f t="shared" si="289"/>
        <v>244143</v>
      </c>
      <c r="Q422" s="141">
        <f t="shared" si="290"/>
        <v>244138</v>
      </c>
      <c r="R422" s="139" t="s">
        <v>55</v>
      </c>
      <c r="S422" s="143">
        <v>244147</v>
      </c>
      <c r="T422" s="139" t="s">
        <v>55</v>
      </c>
      <c r="U422" s="143">
        <v>244149</v>
      </c>
      <c r="V422" s="139" t="s">
        <v>55</v>
      </c>
      <c r="W422" s="143">
        <v>244138</v>
      </c>
      <c r="X422" s="139"/>
      <c r="Y422" s="141"/>
      <c r="Z422" s="119" t="s">
        <v>1475</v>
      </c>
      <c r="AA422" s="144">
        <f t="shared" si="297"/>
        <v>-5</v>
      </c>
    </row>
    <row r="423" spans="1:27" s="145" customFormat="1" ht="36" customHeight="1" x14ac:dyDescent="0.25">
      <c r="A423" s="119" t="s">
        <v>23</v>
      </c>
      <c r="B423" s="139">
        <v>244136</v>
      </c>
      <c r="C423" s="119" t="s">
        <v>14</v>
      </c>
      <c r="D423" s="166">
        <v>680334</v>
      </c>
      <c r="E423" s="119" t="s">
        <v>426</v>
      </c>
      <c r="F423" s="190">
        <v>68060142</v>
      </c>
      <c r="G423" s="119" t="s">
        <v>1433</v>
      </c>
      <c r="H423" s="187" t="s">
        <v>217</v>
      </c>
      <c r="I423" s="147" t="s">
        <v>428</v>
      </c>
      <c r="J423" s="146">
        <v>124.37</v>
      </c>
      <c r="K423" s="119" t="s">
        <v>411</v>
      </c>
      <c r="L423" s="146">
        <f>127-J423</f>
        <v>2.6299999999999955</v>
      </c>
      <c r="M423" s="119" t="s">
        <v>1440</v>
      </c>
      <c r="N423" s="119" t="s">
        <v>93</v>
      </c>
      <c r="O423" s="141">
        <f t="shared" si="288"/>
        <v>244136</v>
      </c>
      <c r="P423" s="141">
        <f t="shared" si="289"/>
        <v>244143</v>
      </c>
      <c r="Q423" s="141">
        <f t="shared" si="290"/>
        <v>244138</v>
      </c>
      <c r="R423" s="139" t="s">
        <v>55</v>
      </c>
      <c r="S423" s="143">
        <v>244147</v>
      </c>
      <c r="T423" s="139" t="s">
        <v>55</v>
      </c>
      <c r="U423" s="143">
        <v>244149</v>
      </c>
      <c r="V423" s="139" t="s">
        <v>55</v>
      </c>
      <c r="W423" s="143">
        <v>244149</v>
      </c>
      <c r="X423" s="139"/>
      <c r="Y423" s="141"/>
      <c r="Z423" s="119" t="s">
        <v>1560</v>
      </c>
      <c r="AA423" s="144">
        <f t="shared" si="297"/>
        <v>6</v>
      </c>
    </row>
    <row r="424" spans="1:27" s="145" customFormat="1" ht="36" customHeight="1" x14ac:dyDescent="0.25">
      <c r="A424" s="119" t="s">
        <v>23</v>
      </c>
      <c r="B424" s="139">
        <v>244136</v>
      </c>
      <c r="C424" s="119" t="s">
        <v>14</v>
      </c>
      <c r="D424" s="166">
        <v>680334</v>
      </c>
      <c r="E424" s="119" t="s">
        <v>426</v>
      </c>
      <c r="F424" s="190">
        <v>68060166</v>
      </c>
      <c r="G424" s="119" t="s">
        <v>1441</v>
      </c>
      <c r="H424" s="187" t="s">
        <v>265</v>
      </c>
      <c r="I424" s="147" t="s">
        <v>428</v>
      </c>
      <c r="J424" s="146">
        <v>124.06</v>
      </c>
      <c r="K424" s="119" t="s">
        <v>201</v>
      </c>
      <c r="L424" s="146">
        <f>127-J424</f>
        <v>2.9399999999999977</v>
      </c>
      <c r="M424" s="119" t="s">
        <v>1442</v>
      </c>
      <c r="N424" s="119" t="s">
        <v>93</v>
      </c>
      <c r="O424" s="141">
        <f t="shared" ref="O424" si="314">B424</f>
        <v>244136</v>
      </c>
      <c r="P424" s="141">
        <f t="shared" ref="P424" si="315">B424+7</f>
        <v>244143</v>
      </c>
      <c r="Q424" s="141">
        <f t="shared" ref="Q424" si="316">O424+2</f>
        <v>244138</v>
      </c>
      <c r="R424" s="139" t="s">
        <v>55</v>
      </c>
      <c r="S424" s="143">
        <v>244147</v>
      </c>
      <c r="T424" s="139" t="s">
        <v>55</v>
      </c>
      <c r="U424" s="143">
        <v>244149</v>
      </c>
      <c r="V424" s="139" t="s">
        <v>55</v>
      </c>
      <c r="W424" s="143">
        <v>244149</v>
      </c>
      <c r="X424" s="139"/>
      <c r="Y424" s="141"/>
      <c r="Z424" s="119" t="s">
        <v>1560</v>
      </c>
      <c r="AA424" s="144">
        <f t="shared" si="297"/>
        <v>6</v>
      </c>
    </row>
    <row r="425" spans="1:27" s="145" customFormat="1" ht="36" customHeight="1" x14ac:dyDescent="0.25">
      <c r="A425" s="119" t="s">
        <v>23</v>
      </c>
      <c r="B425" s="139">
        <v>244136</v>
      </c>
      <c r="C425" s="119" t="s">
        <v>14</v>
      </c>
      <c r="D425" s="166">
        <v>680335</v>
      </c>
      <c r="E425" s="119" t="s">
        <v>376</v>
      </c>
      <c r="F425" s="190">
        <v>68060145</v>
      </c>
      <c r="G425" s="119" t="s">
        <v>1434</v>
      </c>
      <c r="H425" s="187" t="s">
        <v>205</v>
      </c>
      <c r="I425" s="147" t="s">
        <v>378</v>
      </c>
      <c r="J425" s="146" t="s">
        <v>1435</v>
      </c>
      <c r="K425" s="119" t="s">
        <v>1436</v>
      </c>
      <c r="L425" s="218" t="s">
        <v>69</v>
      </c>
      <c r="M425" s="119" t="s">
        <v>1481</v>
      </c>
      <c r="N425" s="119" t="s">
        <v>93</v>
      </c>
      <c r="O425" s="141">
        <f t="shared" si="288"/>
        <v>244136</v>
      </c>
      <c r="P425" s="141">
        <f t="shared" si="289"/>
        <v>244143</v>
      </c>
      <c r="Q425" s="141">
        <f t="shared" si="290"/>
        <v>244138</v>
      </c>
      <c r="R425" s="139" t="s">
        <v>55</v>
      </c>
      <c r="S425" s="143">
        <v>244147</v>
      </c>
      <c r="T425" s="139" t="s">
        <v>55</v>
      </c>
      <c r="U425" s="143">
        <v>244149</v>
      </c>
      <c r="V425" s="139" t="s">
        <v>55</v>
      </c>
      <c r="W425" s="143">
        <v>244149</v>
      </c>
      <c r="X425" s="139"/>
      <c r="Y425" s="141"/>
      <c r="Z425" s="119" t="s">
        <v>376</v>
      </c>
      <c r="AA425" s="144">
        <f t="shared" si="297"/>
        <v>6</v>
      </c>
    </row>
    <row r="426" spans="1:27" s="145" customFormat="1" ht="36" customHeight="1" x14ac:dyDescent="0.25">
      <c r="A426" s="119" t="s">
        <v>23</v>
      </c>
      <c r="B426" s="139">
        <v>244137</v>
      </c>
      <c r="C426" s="119" t="s">
        <v>14</v>
      </c>
      <c r="D426" s="166">
        <v>680336</v>
      </c>
      <c r="E426" s="119" t="s">
        <v>368</v>
      </c>
      <c r="F426" s="190">
        <v>68060215</v>
      </c>
      <c r="G426" s="119" t="s">
        <v>1447</v>
      </c>
      <c r="H426" s="187" t="s">
        <v>236</v>
      </c>
      <c r="I426" s="147" t="s">
        <v>1260</v>
      </c>
      <c r="J426" s="146">
        <v>79.989999999999995</v>
      </c>
      <c r="K426" s="119" t="s">
        <v>200</v>
      </c>
      <c r="L426" s="146">
        <v>1.99</v>
      </c>
      <c r="M426" s="119" t="s">
        <v>1448</v>
      </c>
      <c r="N426" s="119" t="s">
        <v>93</v>
      </c>
      <c r="O426" s="141">
        <f t="shared" si="288"/>
        <v>244137</v>
      </c>
      <c r="P426" s="141">
        <f t="shared" si="289"/>
        <v>244144</v>
      </c>
      <c r="Q426" s="141">
        <f t="shared" si="290"/>
        <v>244139</v>
      </c>
      <c r="R426" s="139" t="s">
        <v>55</v>
      </c>
      <c r="S426" s="143">
        <v>244147</v>
      </c>
      <c r="T426" s="139" t="s">
        <v>55</v>
      </c>
      <c r="U426" s="143">
        <v>244149</v>
      </c>
      <c r="V426" s="139" t="s">
        <v>55</v>
      </c>
      <c r="W426" s="143">
        <v>244138</v>
      </c>
      <c r="X426" s="139"/>
      <c r="Y426" s="141"/>
      <c r="Z426" s="119" t="s">
        <v>1475</v>
      </c>
      <c r="AA426" s="144">
        <f t="shared" si="297"/>
        <v>-6</v>
      </c>
    </row>
    <row r="427" spans="1:27" s="145" customFormat="1" ht="36" customHeight="1" x14ac:dyDescent="0.25">
      <c r="A427" s="119" t="s">
        <v>23</v>
      </c>
      <c r="B427" s="139">
        <v>244137</v>
      </c>
      <c r="C427" s="119" t="s">
        <v>14</v>
      </c>
      <c r="D427" s="166">
        <v>680336</v>
      </c>
      <c r="E427" s="119" t="s">
        <v>368</v>
      </c>
      <c r="F427" s="190">
        <v>68060203</v>
      </c>
      <c r="G427" s="119" t="s">
        <v>1445</v>
      </c>
      <c r="H427" s="187" t="s">
        <v>298</v>
      </c>
      <c r="I427" s="147" t="s">
        <v>1260</v>
      </c>
      <c r="J427" s="146">
        <v>78.27</v>
      </c>
      <c r="K427" s="119" t="s">
        <v>200</v>
      </c>
      <c r="L427" s="146">
        <v>0.27</v>
      </c>
      <c r="M427" s="119" t="s">
        <v>1446</v>
      </c>
      <c r="N427" s="119" t="s">
        <v>93</v>
      </c>
      <c r="O427" s="141">
        <f t="shared" si="288"/>
        <v>244137</v>
      </c>
      <c r="P427" s="141">
        <f t="shared" si="289"/>
        <v>244144</v>
      </c>
      <c r="Q427" s="141">
        <f t="shared" si="290"/>
        <v>244139</v>
      </c>
      <c r="R427" s="139" t="s">
        <v>55</v>
      </c>
      <c r="S427" s="143">
        <v>244147</v>
      </c>
      <c r="T427" s="139" t="s">
        <v>55</v>
      </c>
      <c r="U427" s="143">
        <v>244149</v>
      </c>
      <c r="V427" s="139" t="s">
        <v>55</v>
      </c>
      <c r="W427" s="143">
        <v>244138</v>
      </c>
      <c r="X427" s="139"/>
      <c r="Y427" s="141"/>
      <c r="Z427" s="119" t="s">
        <v>1475</v>
      </c>
      <c r="AA427" s="144">
        <f t="shared" si="297"/>
        <v>-6</v>
      </c>
    </row>
    <row r="428" spans="1:27" s="145" customFormat="1" ht="36" customHeight="1" x14ac:dyDescent="0.25">
      <c r="A428" s="119" t="s">
        <v>23</v>
      </c>
      <c r="B428" s="139">
        <v>244137</v>
      </c>
      <c r="C428" s="119" t="s">
        <v>14</v>
      </c>
      <c r="D428" s="166">
        <v>680336</v>
      </c>
      <c r="E428" s="119" t="s">
        <v>368</v>
      </c>
      <c r="F428" s="190">
        <v>68060204</v>
      </c>
      <c r="G428" s="119" t="s">
        <v>1443</v>
      </c>
      <c r="H428" s="187" t="s">
        <v>299</v>
      </c>
      <c r="I428" s="147" t="s">
        <v>1260</v>
      </c>
      <c r="J428" s="146">
        <v>80.62</v>
      </c>
      <c r="K428" s="119" t="s">
        <v>200</v>
      </c>
      <c r="L428" s="146">
        <f>J428-78</f>
        <v>2.6200000000000045</v>
      </c>
      <c r="M428" s="119" t="s">
        <v>1444</v>
      </c>
      <c r="N428" s="119" t="s">
        <v>93</v>
      </c>
      <c r="O428" s="141">
        <f t="shared" si="288"/>
        <v>244137</v>
      </c>
      <c r="P428" s="141">
        <f t="shared" si="289"/>
        <v>244144</v>
      </c>
      <c r="Q428" s="141">
        <f t="shared" si="290"/>
        <v>244139</v>
      </c>
      <c r="R428" s="139" t="s">
        <v>55</v>
      </c>
      <c r="S428" s="143">
        <v>244147</v>
      </c>
      <c r="T428" s="139" t="s">
        <v>55</v>
      </c>
      <c r="U428" s="143">
        <v>244149</v>
      </c>
      <c r="V428" s="139" t="s">
        <v>55</v>
      </c>
      <c r="W428" s="143">
        <v>244138</v>
      </c>
      <c r="X428" s="139"/>
      <c r="Y428" s="141"/>
      <c r="Z428" s="119" t="s">
        <v>1475</v>
      </c>
      <c r="AA428" s="144">
        <f t="shared" si="297"/>
        <v>-6</v>
      </c>
    </row>
    <row r="429" spans="1:27" s="145" customFormat="1" ht="36" customHeight="1" x14ac:dyDescent="0.25">
      <c r="A429" s="119" t="s">
        <v>23</v>
      </c>
      <c r="B429" s="139">
        <v>244137</v>
      </c>
      <c r="C429" s="119" t="s">
        <v>14</v>
      </c>
      <c r="D429" s="166">
        <v>680337</v>
      </c>
      <c r="E429" s="119" t="s">
        <v>426</v>
      </c>
      <c r="F429" s="190">
        <v>68060222</v>
      </c>
      <c r="G429" s="119" t="s">
        <v>1449</v>
      </c>
      <c r="H429" s="187" t="s">
        <v>265</v>
      </c>
      <c r="I429" s="147" t="s">
        <v>428</v>
      </c>
      <c r="J429" s="146">
        <v>124.38</v>
      </c>
      <c r="K429" s="119" t="s">
        <v>201</v>
      </c>
      <c r="L429" s="146">
        <f>127-J429</f>
        <v>2.6200000000000045</v>
      </c>
      <c r="M429" s="119" t="s">
        <v>1450</v>
      </c>
      <c r="N429" s="119" t="s">
        <v>93</v>
      </c>
      <c r="O429" s="141">
        <f t="shared" si="288"/>
        <v>244137</v>
      </c>
      <c r="P429" s="141">
        <f t="shared" si="289"/>
        <v>244144</v>
      </c>
      <c r="Q429" s="141">
        <f t="shared" si="290"/>
        <v>244139</v>
      </c>
      <c r="R429" s="139" t="s">
        <v>55</v>
      </c>
      <c r="S429" s="143">
        <v>244147</v>
      </c>
      <c r="T429" s="139" t="s">
        <v>55</v>
      </c>
      <c r="U429" s="143">
        <v>244149</v>
      </c>
      <c r="V429" s="139" t="s">
        <v>55</v>
      </c>
      <c r="W429" s="143">
        <v>244149</v>
      </c>
      <c r="X429" s="139"/>
      <c r="Y429" s="141"/>
      <c r="Z429" s="119" t="s">
        <v>1560</v>
      </c>
      <c r="AA429" s="144">
        <f t="shared" si="297"/>
        <v>5</v>
      </c>
    </row>
    <row r="430" spans="1:27" s="145" customFormat="1" ht="36" customHeight="1" x14ac:dyDescent="0.25">
      <c r="A430" s="119" t="s">
        <v>23</v>
      </c>
      <c r="B430" s="139">
        <v>244137</v>
      </c>
      <c r="C430" s="119" t="s">
        <v>14</v>
      </c>
      <c r="D430" s="166">
        <v>680338</v>
      </c>
      <c r="E430" s="119" t="s">
        <v>872</v>
      </c>
      <c r="F430" s="190">
        <v>68060233</v>
      </c>
      <c r="G430" s="119" t="s">
        <v>1463</v>
      </c>
      <c r="H430" s="187" t="s">
        <v>221</v>
      </c>
      <c r="I430" s="147" t="s">
        <v>845</v>
      </c>
      <c r="J430" s="146">
        <v>62.02</v>
      </c>
      <c r="K430" s="119" t="s">
        <v>200</v>
      </c>
      <c r="L430" s="146">
        <v>2.02</v>
      </c>
      <c r="M430" s="119" t="s">
        <v>1464</v>
      </c>
      <c r="N430" s="119" t="s">
        <v>93</v>
      </c>
      <c r="O430" s="141">
        <f t="shared" ref="O430:O431" si="317">B430</f>
        <v>244137</v>
      </c>
      <c r="P430" s="141">
        <f t="shared" ref="P430:P431" si="318">B430+7</f>
        <v>244144</v>
      </c>
      <c r="Q430" s="141">
        <f t="shared" ref="Q430:Q431" si="319">O430+2</f>
        <v>244139</v>
      </c>
      <c r="R430" s="139" t="s">
        <v>55</v>
      </c>
      <c r="S430" s="143">
        <v>244151</v>
      </c>
      <c r="T430" s="139" t="s">
        <v>55</v>
      </c>
      <c r="U430" s="143">
        <v>244154</v>
      </c>
      <c r="V430" s="139" t="s">
        <v>55</v>
      </c>
      <c r="W430" s="143">
        <v>244146</v>
      </c>
      <c r="X430" s="139"/>
      <c r="Y430" s="141"/>
      <c r="Z430" s="119" t="s">
        <v>1545</v>
      </c>
      <c r="AA430" s="144">
        <f t="shared" si="297"/>
        <v>2</v>
      </c>
    </row>
    <row r="431" spans="1:27" s="145" customFormat="1" ht="36" customHeight="1" x14ac:dyDescent="0.25">
      <c r="A431" s="119" t="s">
        <v>23</v>
      </c>
      <c r="B431" s="139">
        <v>244137</v>
      </c>
      <c r="C431" s="119" t="s">
        <v>14</v>
      </c>
      <c r="D431" s="166">
        <v>680338</v>
      </c>
      <c r="E431" s="119" t="s">
        <v>872</v>
      </c>
      <c r="F431" s="190">
        <v>68060206</v>
      </c>
      <c r="G431" s="119" t="s">
        <v>1451</v>
      </c>
      <c r="H431" s="187" t="s">
        <v>281</v>
      </c>
      <c r="I431" s="147" t="s">
        <v>845</v>
      </c>
      <c r="J431" s="146">
        <v>61.28</v>
      </c>
      <c r="K431" s="119" t="s">
        <v>200</v>
      </c>
      <c r="L431" s="146">
        <v>1.28</v>
      </c>
      <c r="M431" s="119" t="s">
        <v>1452</v>
      </c>
      <c r="N431" s="119" t="s">
        <v>93</v>
      </c>
      <c r="O431" s="141">
        <f t="shared" si="317"/>
        <v>244137</v>
      </c>
      <c r="P431" s="141">
        <f t="shared" si="318"/>
        <v>244144</v>
      </c>
      <c r="Q431" s="141">
        <f t="shared" si="319"/>
        <v>244139</v>
      </c>
      <c r="R431" s="139" t="s">
        <v>55</v>
      </c>
      <c r="S431" s="143">
        <v>244151</v>
      </c>
      <c r="T431" s="139" t="s">
        <v>55</v>
      </c>
      <c r="U431" s="143">
        <v>244154</v>
      </c>
      <c r="V431" s="139" t="s">
        <v>55</v>
      </c>
      <c r="W431" s="143">
        <v>244146</v>
      </c>
      <c r="X431" s="139"/>
      <c r="Y431" s="141"/>
      <c r="Z431" s="119" t="s">
        <v>1545</v>
      </c>
      <c r="AA431" s="144">
        <f t="shared" si="297"/>
        <v>2</v>
      </c>
    </row>
    <row r="432" spans="1:27" s="145" customFormat="1" ht="36" customHeight="1" x14ac:dyDescent="0.25">
      <c r="A432" s="119" t="s">
        <v>23</v>
      </c>
      <c r="B432" s="139">
        <v>244137</v>
      </c>
      <c r="C432" s="119" t="s">
        <v>14</v>
      </c>
      <c r="D432" s="166">
        <v>680338</v>
      </c>
      <c r="E432" s="119" t="s">
        <v>872</v>
      </c>
      <c r="F432" s="190">
        <v>68060242</v>
      </c>
      <c r="G432" s="119" t="s">
        <v>1467</v>
      </c>
      <c r="H432" s="187" t="s">
        <v>283</v>
      </c>
      <c r="I432" s="147" t="s">
        <v>845</v>
      </c>
      <c r="J432" s="146">
        <v>61.84</v>
      </c>
      <c r="K432" s="119" t="s">
        <v>200</v>
      </c>
      <c r="L432" s="146">
        <v>1.84</v>
      </c>
      <c r="M432" s="119" t="s">
        <v>1468</v>
      </c>
      <c r="N432" s="119" t="s">
        <v>93</v>
      </c>
      <c r="O432" s="141">
        <f t="shared" si="288"/>
        <v>244137</v>
      </c>
      <c r="P432" s="141">
        <f t="shared" si="289"/>
        <v>244144</v>
      </c>
      <c r="Q432" s="141">
        <f t="shared" si="290"/>
        <v>244139</v>
      </c>
      <c r="R432" s="139" t="s">
        <v>55</v>
      </c>
      <c r="S432" s="143">
        <v>244151</v>
      </c>
      <c r="T432" s="139" t="s">
        <v>55</v>
      </c>
      <c r="U432" s="143">
        <v>244154</v>
      </c>
      <c r="V432" s="139" t="s">
        <v>55</v>
      </c>
      <c r="W432" s="143">
        <v>244146</v>
      </c>
      <c r="X432" s="139"/>
      <c r="Y432" s="141"/>
      <c r="Z432" s="119" t="s">
        <v>1545</v>
      </c>
      <c r="AA432" s="144">
        <f t="shared" si="297"/>
        <v>2</v>
      </c>
    </row>
    <row r="433" spans="1:27" s="145" customFormat="1" ht="36" customHeight="1" x14ac:dyDescent="0.25">
      <c r="A433" s="119" t="s">
        <v>23</v>
      </c>
      <c r="B433" s="139">
        <v>244137</v>
      </c>
      <c r="C433" s="119" t="s">
        <v>14</v>
      </c>
      <c r="D433" s="166">
        <v>680339</v>
      </c>
      <c r="E433" s="119" t="s">
        <v>426</v>
      </c>
      <c r="F433" s="190">
        <v>68060252</v>
      </c>
      <c r="G433" s="119" t="s">
        <v>1465</v>
      </c>
      <c r="H433" s="187" t="s">
        <v>217</v>
      </c>
      <c r="I433" s="147" t="s">
        <v>428</v>
      </c>
      <c r="J433" s="146">
        <v>131.68</v>
      </c>
      <c r="K433" s="119" t="s">
        <v>200</v>
      </c>
      <c r="L433" s="146">
        <f>J433-129</f>
        <v>2.6800000000000068</v>
      </c>
      <c r="M433" s="119" t="s">
        <v>1466</v>
      </c>
      <c r="N433" s="119" t="s">
        <v>93</v>
      </c>
      <c r="O433" s="141">
        <f t="shared" ref="O433" si="320">B433</f>
        <v>244137</v>
      </c>
      <c r="P433" s="141">
        <f t="shared" ref="P433" si="321">B433+7</f>
        <v>244144</v>
      </c>
      <c r="Q433" s="141">
        <f t="shared" ref="Q433" si="322">O433+2</f>
        <v>244139</v>
      </c>
      <c r="R433" s="139" t="s">
        <v>55</v>
      </c>
      <c r="S433" s="143">
        <v>244147</v>
      </c>
      <c r="T433" s="139" t="s">
        <v>55</v>
      </c>
      <c r="U433" s="143">
        <v>244149</v>
      </c>
      <c r="V433" s="139" t="s">
        <v>55</v>
      </c>
      <c r="W433" s="143">
        <v>244149</v>
      </c>
      <c r="X433" s="139"/>
      <c r="Y433" s="141"/>
      <c r="Z433" s="119" t="s">
        <v>426</v>
      </c>
      <c r="AA433" s="144">
        <f t="shared" si="297"/>
        <v>5</v>
      </c>
    </row>
    <row r="434" spans="1:27" s="145" customFormat="1" ht="36" customHeight="1" x14ac:dyDescent="0.25">
      <c r="A434" s="119" t="s">
        <v>23</v>
      </c>
      <c r="B434" s="139">
        <v>244137</v>
      </c>
      <c r="C434" s="119" t="s">
        <v>14</v>
      </c>
      <c r="D434" s="166">
        <v>680339</v>
      </c>
      <c r="E434" s="119" t="s">
        <v>426</v>
      </c>
      <c r="F434" s="190">
        <v>68060221</v>
      </c>
      <c r="G434" s="119" t="s">
        <v>1453</v>
      </c>
      <c r="H434" s="187" t="s">
        <v>273</v>
      </c>
      <c r="I434" s="147" t="s">
        <v>428</v>
      </c>
      <c r="J434" s="146">
        <v>131.12</v>
      </c>
      <c r="K434" s="119" t="s">
        <v>200</v>
      </c>
      <c r="L434" s="146">
        <f>J434-129</f>
        <v>2.1200000000000045</v>
      </c>
      <c r="M434" s="119" t="s">
        <v>1454</v>
      </c>
      <c r="N434" s="119" t="s">
        <v>93</v>
      </c>
      <c r="O434" s="141">
        <f t="shared" si="288"/>
        <v>244137</v>
      </c>
      <c r="P434" s="141">
        <f t="shared" si="289"/>
        <v>244144</v>
      </c>
      <c r="Q434" s="141">
        <f t="shared" si="290"/>
        <v>244139</v>
      </c>
      <c r="R434" s="139" t="s">
        <v>55</v>
      </c>
      <c r="S434" s="143">
        <v>244147</v>
      </c>
      <c r="T434" s="139" t="s">
        <v>55</v>
      </c>
      <c r="U434" s="143">
        <v>244149</v>
      </c>
      <c r="V434" s="139" t="s">
        <v>55</v>
      </c>
      <c r="W434" s="143">
        <v>244149</v>
      </c>
      <c r="X434" s="139"/>
      <c r="Y434" s="141"/>
      <c r="Z434" s="119" t="s">
        <v>426</v>
      </c>
      <c r="AA434" s="144">
        <f t="shared" si="297"/>
        <v>5</v>
      </c>
    </row>
    <row r="435" spans="1:27" s="145" customFormat="1" ht="36" customHeight="1" x14ac:dyDescent="0.25">
      <c r="A435" s="119" t="s">
        <v>23</v>
      </c>
      <c r="B435" s="139">
        <v>244137</v>
      </c>
      <c r="C435" s="119" t="s">
        <v>14</v>
      </c>
      <c r="D435" s="166">
        <v>680340</v>
      </c>
      <c r="E435" s="119" t="s">
        <v>897</v>
      </c>
      <c r="F435" s="190">
        <v>68060238</v>
      </c>
      <c r="G435" s="119" t="s">
        <v>1461</v>
      </c>
      <c r="H435" s="187" t="s">
        <v>214</v>
      </c>
      <c r="I435" s="147" t="s">
        <v>899</v>
      </c>
      <c r="J435" s="146">
        <v>57.89</v>
      </c>
      <c r="K435" s="119" t="s">
        <v>200</v>
      </c>
      <c r="L435" s="219">
        <f>J435-56</f>
        <v>1.8900000000000006</v>
      </c>
      <c r="M435" s="205" t="s">
        <v>1462</v>
      </c>
      <c r="N435" s="205" t="s">
        <v>93</v>
      </c>
      <c r="O435" s="141">
        <f t="shared" si="288"/>
        <v>244137</v>
      </c>
      <c r="P435" s="141">
        <f t="shared" si="289"/>
        <v>244144</v>
      </c>
      <c r="Q435" s="141">
        <f t="shared" si="290"/>
        <v>244139</v>
      </c>
      <c r="R435" s="139" t="s">
        <v>55</v>
      </c>
      <c r="S435" s="143">
        <v>244151</v>
      </c>
      <c r="T435" s="139" t="s">
        <v>55</v>
      </c>
      <c r="U435" s="143">
        <v>244154</v>
      </c>
      <c r="V435" s="139" t="s">
        <v>55</v>
      </c>
      <c r="W435" s="143">
        <v>244146</v>
      </c>
      <c r="X435" s="139"/>
      <c r="Y435" s="141"/>
      <c r="Z435" s="119" t="s">
        <v>1546</v>
      </c>
      <c r="AA435" s="144">
        <f t="shared" si="297"/>
        <v>2</v>
      </c>
    </row>
    <row r="436" spans="1:27" s="145" customFormat="1" ht="63" x14ac:dyDescent="0.25">
      <c r="A436" s="119" t="s">
        <v>23</v>
      </c>
      <c r="B436" s="139">
        <v>244138</v>
      </c>
      <c r="C436" s="119" t="s">
        <v>15</v>
      </c>
      <c r="D436" s="166">
        <v>680341</v>
      </c>
      <c r="E436" s="119" t="s">
        <v>1455</v>
      </c>
      <c r="F436" s="190" t="s">
        <v>1456</v>
      </c>
      <c r="G436" s="119" t="s">
        <v>1457</v>
      </c>
      <c r="H436" s="187" t="s">
        <v>47</v>
      </c>
      <c r="I436" s="187" t="s">
        <v>1458</v>
      </c>
      <c r="J436" s="142" t="s">
        <v>1460</v>
      </c>
      <c r="K436" s="142" t="s">
        <v>1459</v>
      </c>
      <c r="L436" s="142" t="s">
        <v>704</v>
      </c>
      <c r="M436" s="119">
        <v>3900</v>
      </c>
      <c r="N436" s="119" t="s">
        <v>52</v>
      </c>
      <c r="O436" s="141">
        <f t="shared" si="288"/>
        <v>244138</v>
      </c>
      <c r="P436" s="141">
        <f t="shared" si="289"/>
        <v>244145</v>
      </c>
      <c r="Q436" s="141">
        <f t="shared" si="290"/>
        <v>244140</v>
      </c>
      <c r="R436" s="139" t="s">
        <v>55</v>
      </c>
      <c r="S436" s="143">
        <v>244141</v>
      </c>
      <c r="T436" s="139" t="s">
        <v>55</v>
      </c>
      <c r="U436" s="143">
        <v>244141</v>
      </c>
      <c r="V436" s="139"/>
      <c r="W436" s="143"/>
      <c r="X436" s="139"/>
      <c r="Y436" s="141"/>
      <c r="Z436" s="119"/>
      <c r="AA436" s="144">
        <f t="shared" si="297"/>
        <v>-244145</v>
      </c>
    </row>
    <row r="437" spans="1:27" s="145" customFormat="1" ht="36" customHeight="1" x14ac:dyDescent="0.25">
      <c r="A437" s="119" t="s">
        <v>23</v>
      </c>
      <c r="B437" s="139">
        <v>244137</v>
      </c>
      <c r="C437" s="119" t="s">
        <v>14</v>
      </c>
      <c r="D437" s="166">
        <v>680342</v>
      </c>
      <c r="E437" s="119" t="s">
        <v>426</v>
      </c>
      <c r="F437" s="190">
        <v>68060261</v>
      </c>
      <c r="G437" s="119" t="s">
        <v>1469</v>
      </c>
      <c r="H437" s="187" t="s">
        <v>238</v>
      </c>
      <c r="I437" s="147" t="s">
        <v>428</v>
      </c>
      <c r="J437" s="146" t="s">
        <v>1470</v>
      </c>
      <c r="K437" s="119" t="s">
        <v>797</v>
      </c>
      <c r="L437" s="146" t="s">
        <v>1472</v>
      </c>
      <c r="M437" s="119" t="s">
        <v>1471</v>
      </c>
      <c r="N437" s="119" t="s">
        <v>93</v>
      </c>
      <c r="O437" s="141">
        <f t="shared" si="288"/>
        <v>244137</v>
      </c>
      <c r="P437" s="141">
        <f t="shared" si="289"/>
        <v>244144</v>
      </c>
      <c r="Q437" s="141">
        <f t="shared" si="290"/>
        <v>244139</v>
      </c>
      <c r="R437" s="139" t="s">
        <v>55</v>
      </c>
      <c r="S437" s="143">
        <v>244147</v>
      </c>
      <c r="T437" s="139" t="s">
        <v>55</v>
      </c>
      <c r="U437" s="143">
        <v>244149</v>
      </c>
      <c r="V437" s="139" t="s">
        <v>55</v>
      </c>
      <c r="W437" s="143">
        <v>244149</v>
      </c>
      <c r="X437" s="139"/>
      <c r="Y437" s="141"/>
      <c r="Z437" s="119" t="s">
        <v>1560</v>
      </c>
      <c r="AA437" s="144">
        <f t="shared" si="297"/>
        <v>5</v>
      </c>
    </row>
    <row r="438" spans="1:27" s="145" customFormat="1" ht="36" customHeight="1" x14ac:dyDescent="0.25">
      <c r="A438" s="119" t="s">
        <v>23</v>
      </c>
      <c r="B438" s="139">
        <v>244137</v>
      </c>
      <c r="C438" s="119" t="s">
        <v>11</v>
      </c>
      <c r="D438" s="166">
        <v>680343</v>
      </c>
      <c r="E438" s="119" t="s">
        <v>779</v>
      </c>
      <c r="F438" s="190" t="s">
        <v>1473</v>
      </c>
      <c r="G438" s="119">
        <v>680604</v>
      </c>
      <c r="H438" s="187" t="s">
        <v>39</v>
      </c>
      <c r="I438" s="147" t="s">
        <v>61</v>
      </c>
      <c r="J438" s="146">
        <v>55</v>
      </c>
      <c r="K438" s="119" t="s">
        <v>62</v>
      </c>
      <c r="L438" s="146">
        <v>25</v>
      </c>
      <c r="M438" s="119" t="s">
        <v>1474</v>
      </c>
      <c r="N438" s="119" t="s">
        <v>53</v>
      </c>
      <c r="O438" s="141">
        <f t="shared" si="288"/>
        <v>244137</v>
      </c>
      <c r="P438" s="141">
        <f t="shared" si="289"/>
        <v>244144</v>
      </c>
      <c r="Q438" s="141">
        <f t="shared" si="290"/>
        <v>244139</v>
      </c>
      <c r="R438" s="139" t="s">
        <v>55</v>
      </c>
      <c r="S438" s="143">
        <v>244139</v>
      </c>
      <c r="T438" s="139" t="s">
        <v>55</v>
      </c>
      <c r="U438" s="143">
        <v>244141</v>
      </c>
      <c r="V438" s="139"/>
      <c r="W438" s="143"/>
      <c r="X438" s="139"/>
      <c r="Y438" s="141"/>
      <c r="Z438" s="119"/>
      <c r="AA438" s="144">
        <f t="shared" si="297"/>
        <v>-244144</v>
      </c>
    </row>
    <row r="439" spans="1:27" s="145" customFormat="1" ht="36" customHeight="1" x14ac:dyDescent="0.25">
      <c r="A439" s="119" t="s">
        <v>23</v>
      </c>
      <c r="B439" s="139">
        <v>244138</v>
      </c>
      <c r="C439" s="119" t="s">
        <v>11</v>
      </c>
      <c r="D439" s="166">
        <v>680344</v>
      </c>
      <c r="E439" s="119" t="s">
        <v>779</v>
      </c>
      <c r="F439" s="190" t="s">
        <v>1473</v>
      </c>
      <c r="G439" s="119">
        <v>680604</v>
      </c>
      <c r="H439" s="187" t="s">
        <v>39</v>
      </c>
      <c r="I439" s="147" t="s">
        <v>76</v>
      </c>
      <c r="J439" s="142">
        <v>806</v>
      </c>
      <c r="K439" s="119" t="s">
        <v>124</v>
      </c>
      <c r="L439" s="142">
        <v>4</v>
      </c>
      <c r="M439" s="257" t="s">
        <v>1476</v>
      </c>
      <c r="N439" s="257" t="s">
        <v>53</v>
      </c>
      <c r="O439" s="141">
        <f t="shared" si="288"/>
        <v>244138</v>
      </c>
      <c r="P439" s="141">
        <f t="shared" si="289"/>
        <v>244145</v>
      </c>
      <c r="Q439" s="141">
        <f t="shared" si="290"/>
        <v>244140</v>
      </c>
      <c r="R439" s="139" t="s">
        <v>55</v>
      </c>
      <c r="S439" s="143">
        <v>244138</v>
      </c>
      <c r="T439" s="139" t="s">
        <v>55</v>
      </c>
      <c r="U439" s="143">
        <v>244141</v>
      </c>
      <c r="V439" s="139"/>
      <c r="W439" s="143"/>
      <c r="X439" s="139"/>
      <c r="Y439" s="141"/>
      <c r="Z439" s="119"/>
      <c r="AA439" s="144">
        <f t="shared" si="297"/>
        <v>-244145</v>
      </c>
    </row>
    <row r="440" spans="1:27" s="145" customFormat="1" ht="36" customHeight="1" x14ac:dyDescent="0.25">
      <c r="A440" s="119" t="s">
        <v>23</v>
      </c>
      <c r="B440" s="139">
        <v>244138</v>
      </c>
      <c r="C440" s="119" t="s">
        <v>11</v>
      </c>
      <c r="D440" s="166">
        <v>680344</v>
      </c>
      <c r="E440" s="119" t="s">
        <v>779</v>
      </c>
      <c r="F440" s="190" t="s">
        <v>1473</v>
      </c>
      <c r="G440" s="119">
        <v>680604</v>
      </c>
      <c r="H440" s="187" t="s">
        <v>39</v>
      </c>
      <c r="I440" s="147" t="s">
        <v>61</v>
      </c>
      <c r="J440" s="142">
        <v>50</v>
      </c>
      <c r="K440" s="119" t="s">
        <v>62</v>
      </c>
      <c r="L440" s="142">
        <v>20</v>
      </c>
      <c r="M440" s="258"/>
      <c r="N440" s="258"/>
      <c r="O440" s="141">
        <f t="shared" ref="O440" si="323">B440</f>
        <v>244138</v>
      </c>
      <c r="P440" s="141">
        <f t="shared" ref="P440" si="324">B440+7</f>
        <v>244145</v>
      </c>
      <c r="Q440" s="141">
        <f t="shared" ref="Q440" si="325">O440+2</f>
        <v>244140</v>
      </c>
      <c r="R440" s="139" t="s">
        <v>55</v>
      </c>
      <c r="S440" s="143">
        <v>244138</v>
      </c>
      <c r="T440" s="139" t="s">
        <v>55</v>
      </c>
      <c r="U440" s="143">
        <v>244141</v>
      </c>
      <c r="V440" s="139"/>
      <c r="W440" s="143"/>
      <c r="X440" s="139"/>
      <c r="Y440" s="141"/>
      <c r="Z440" s="119"/>
      <c r="AA440" s="144">
        <f t="shared" si="297"/>
        <v>-244145</v>
      </c>
    </row>
    <row r="441" spans="1:27" s="145" customFormat="1" ht="36" customHeight="1" x14ac:dyDescent="0.25">
      <c r="A441" s="119" t="s">
        <v>23</v>
      </c>
      <c r="B441" s="139">
        <v>244138</v>
      </c>
      <c r="C441" s="119" t="s">
        <v>14</v>
      </c>
      <c r="D441" s="166">
        <v>680345</v>
      </c>
      <c r="E441" s="119" t="s">
        <v>426</v>
      </c>
      <c r="F441" s="190">
        <v>68060318</v>
      </c>
      <c r="G441" s="119" t="s">
        <v>1477</v>
      </c>
      <c r="H441" s="187" t="s">
        <v>217</v>
      </c>
      <c r="I441" s="147" t="s">
        <v>428</v>
      </c>
      <c r="J441" s="146">
        <v>130.63</v>
      </c>
      <c r="K441" s="119" t="s">
        <v>200</v>
      </c>
      <c r="L441" s="146">
        <f>J441-129</f>
        <v>1.6299999999999955</v>
      </c>
      <c r="M441" s="119" t="s">
        <v>1478</v>
      </c>
      <c r="N441" s="119" t="s">
        <v>93</v>
      </c>
      <c r="O441" s="141">
        <f t="shared" si="288"/>
        <v>244138</v>
      </c>
      <c r="P441" s="141">
        <f t="shared" si="289"/>
        <v>244145</v>
      </c>
      <c r="Q441" s="141">
        <f t="shared" si="290"/>
        <v>244140</v>
      </c>
      <c r="R441" s="139" t="s">
        <v>55</v>
      </c>
      <c r="S441" s="143">
        <v>244147</v>
      </c>
      <c r="T441" s="139" t="s">
        <v>55</v>
      </c>
      <c r="U441" s="143">
        <v>244149</v>
      </c>
      <c r="V441" s="139" t="s">
        <v>55</v>
      </c>
      <c r="W441" s="143">
        <v>244149</v>
      </c>
      <c r="X441" s="139"/>
      <c r="Y441" s="141"/>
      <c r="Z441" s="119" t="s">
        <v>426</v>
      </c>
      <c r="AA441" s="144">
        <f t="shared" si="297"/>
        <v>4</v>
      </c>
    </row>
    <row r="442" spans="1:27" s="145" customFormat="1" ht="36" customHeight="1" x14ac:dyDescent="0.25">
      <c r="A442" s="119" t="s">
        <v>23</v>
      </c>
      <c r="B442" s="139">
        <v>244138</v>
      </c>
      <c r="C442" s="119" t="s">
        <v>14</v>
      </c>
      <c r="D442" s="166">
        <v>680345</v>
      </c>
      <c r="E442" s="119" t="s">
        <v>426</v>
      </c>
      <c r="F442" s="190">
        <v>68060325</v>
      </c>
      <c r="G442" s="119" t="s">
        <v>1479</v>
      </c>
      <c r="H442" s="187" t="s">
        <v>277</v>
      </c>
      <c r="I442" s="147" t="s">
        <v>428</v>
      </c>
      <c r="J442" s="146">
        <v>132.01</v>
      </c>
      <c r="K442" s="119" t="s">
        <v>200</v>
      </c>
      <c r="L442" s="146">
        <f>J442-129</f>
        <v>3.0099999999999909</v>
      </c>
      <c r="M442" s="119" t="s">
        <v>1480</v>
      </c>
      <c r="N442" s="119" t="s">
        <v>93</v>
      </c>
      <c r="O442" s="141">
        <f t="shared" ref="O442" si="326">B442</f>
        <v>244138</v>
      </c>
      <c r="P442" s="141">
        <f t="shared" ref="P442" si="327">B442+7</f>
        <v>244145</v>
      </c>
      <c r="Q442" s="141">
        <f t="shared" ref="Q442" si="328">O442+2</f>
        <v>244140</v>
      </c>
      <c r="R442" s="139" t="s">
        <v>55</v>
      </c>
      <c r="S442" s="143">
        <v>244147</v>
      </c>
      <c r="T442" s="139" t="s">
        <v>55</v>
      </c>
      <c r="U442" s="143">
        <v>244149</v>
      </c>
      <c r="V442" s="139" t="s">
        <v>55</v>
      </c>
      <c r="W442" s="143">
        <v>244149</v>
      </c>
      <c r="X442" s="139"/>
      <c r="Y442" s="141"/>
      <c r="Z442" s="119" t="s">
        <v>426</v>
      </c>
      <c r="AA442" s="144">
        <f t="shared" si="297"/>
        <v>4</v>
      </c>
    </row>
    <row r="443" spans="1:27" s="145" customFormat="1" ht="36" customHeight="1" x14ac:dyDescent="0.25">
      <c r="A443" s="119" t="s">
        <v>23</v>
      </c>
      <c r="B443" s="139">
        <v>244138</v>
      </c>
      <c r="C443" s="119" t="s">
        <v>14</v>
      </c>
      <c r="D443" s="166">
        <v>680346</v>
      </c>
      <c r="E443" s="119" t="s">
        <v>872</v>
      </c>
      <c r="F443" s="190">
        <v>68060345</v>
      </c>
      <c r="G443" s="119" t="s">
        <v>1482</v>
      </c>
      <c r="H443" s="187" t="s">
        <v>283</v>
      </c>
      <c r="I443" s="147" t="s">
        <v>845</v>
      </c>
      <c r="J443" s="146">
        <v>60.69</v>
      </c>
      <c r="K443" s="119" t="s">
        <v>200</v>
      </c>
      <c r="L443" s="146">
        <v>0.69</v>
      </c>
      <c r="M443" s="119" t="s">
        <v>1483</v>
      </c>
      <c r="N443" s="119" t="s">
        <v>93</v>
      </c>
      <c r="O443" s="141">
        <f t="shared" si="288"/>
        <v>244138</v>
      </c>
      <c r="P443" s="141">
        <f t="shared" si="289"/>
        <v>244145</v>
      </c>
      <c r="Q443" s="141">
        <f t="shared" si="290"/>
        <v>244140</v>
      </c>
      <c r="R443" s="139" t="s">
        <v>55</v>
      </c>
      <c r="S443" s="143">
        <v>244151</v>
      </c>
      <c r="T443" s="139" t="s">
        <v>55</v>
      </c>
      <c r="U443" s="143">
        <v>244154</v>
      </c>
      <c r="V443" s="139" t="s">
        <v>55</v>
      </c>
      <c r="W443" s="143">
        <v>244146</v>
      </c>
      <c r="X443" s="139"/>
      <c r="Y443" s="141"/>
      <c r="Z443" s="119" t="s">
        <v>1545</v>
      </c>
      <c r="AA443" s="144">
        <f t="shared" si="297"/>
        <v>1</v>
      </c>
    </row>
    <row r="444" spans="1:27" s="145" customFormat="1" ht="36" customHeight="1" x14ac:dyDescent="0.25">
      <c r="A444" s="119" t="s">
        <v>23</v>
      </c>
      <c r="B444" s="139">
        <v>244138</v>
      </c>
      <c r="C444" s="119" t="s">
        <v>14</v>
      </c>
      <c r="D444" s="166">
        <v>680347</v>
      </c>
      <c r="E444" s="119" t="s">
        <v>897</v>
      </c>
      <c r="F444" s="190">
        <v>68060339</v>
      </c>
      <c r="G444" s="119" t="s">
        <v>1484</v>
      </c>
      <c r="H444" s="187" t="s">
        <v>213</v>
      </c>
      <c r="I444" s="147" t="s">
        <v>899</v>
      </c>
      <c r="J444" s="146">
        <v>58.9</v>
      </c>
      <c r="K444" s="119" t="s">
        <v>200</v>
      </c>
      <c r="L444" s="146">
        <f>J444-56</f>
        <v>2.8999999999999986</v>
      </c>
      <c r="M444" s="119" t="s">
        <v>1485</v>
      </c>
      <c r="N444" s="119" t="s">
        <v>93</v>
      </c>
      <c r="O444" s="141">
        <f t="shared" si="288"/>
        <v>244138</v>
      </c>
      <c r="P444" s="141">
        <f t="shared" si="289"/>
        <v>244145</v>
      </c>
      <c r="Q444" s="141">
        <f t="shared" si="290"/>
        <v>244140</v>
      </c>
      <c r="R444" s="139" t="s">
        <v>55</v>
      </c>
      <c r="S444" s="143">
        <v>244151</v>
      </c>
      <c r="T444" s="139" t="s">
        <v>55</v>
      </c>
      <c r="U444" s="143">
        <v>244154</v>
      </c>
      <c r="V444" s="139" t="s">
        <v>55</v>
      </c>
      <c r="W444" s="143">
        <v>244146</v>
      </c>
      <c r="X444" s="139"/>
      <c r="Y444" s="141"/>
      <c r="Z444" s="119" t="s">
        <v>1546</v>
      </c>
      <c r="AA444" s="144">
        <f t="shared" si="297"/>
        <v>1</v>
      </c>
    </row>
    <row r="445" spans="1:27" s="145" customFormat="1" ht="36" customHeight="1" x14ac:dyDescent="0.25">
      <c r="A445" s="119" t="s">
        <v>23</v>
      </c>
      <c r="B445" s="139">
        <v>244139</v>
      </c>
      <c r="C445" s="119" t="s">
        <v>14</v>
      </c>
      <c r="D445" s="166">
        <v>680348</v>
      </c>
      <c r="E445" s="119" t="s">
        <v>426</v>
      </c>
      <c r="F445" s="190">
        <v>68060463</v>
      </c>
      <c r="G445" s="119" t="s">
        <v>1486</v>
      </c>
      <c r="H445" s="187" t="s">
        <v>291</v>
      </c>
      <c r="I445" s="147" t="s">
        <v>428</v>
      </c>
      <c r="J445" s="146">
        <v>132.66999999999999</v>
      </c>
      <c r="K445" s="119" t="s">
        <v>207</v>
      </c>
      <c r="L445" s="146">
        <f>J445-129</f>
        <v>3.6699999999999875</v>
      </c>
      <c r="M445" s="119" t="s">
        <v>1487</v>
      </c>
      <c r="N445" s="119" t="s">
        <v>93</v>
      </c>
      <c r="O445" s="141">
        <f t="shared" si="288"/>
        <v>244139</v>
      </c>
      <c r="P445" s="141">
        <f t="shared" si="289"/>
        <v>244146</v>
      </c>
      <c r="Q445" s="141">
        <f t="shared" si="290"/>
        <v>244141</v>
      </c>
      <c r="R445" s="139" t="s">
        <v>55</v>
      </c>
      <c r="S445" s="143">
        <v>244147</v>
      </c>
      <c r="T445" s="139" t="s">
        <v>55</v>
      </c>
      <c r="U445" s="143">
        <v>244149</v>
      </c>
      <c r="V445" s="139" t="s">
        <v>55</v>
      </c>
      <c r="W445" s="143">
        <v>244149</v>
      </c>
      <c r="X445" s="139"/>
      <c r="Y445" s="141"/>
      <c r="Z445" s="119" t="s">
        <v>426</v>
      </c>
      <c r="AA445" s="144">
        <f t="shared" si="297"/>
        <v>3</v>
      </c>
    </row>
    <row r="446" spans="1:27" s="145" customFormat="1" ht="36" customHeight="1" x14ac:dyDescent="0.25">
      <c r="A446" s="119" t="s">
        <v>23</v>
      </c>
      <c r="B446" s="139">
        <v>244139</v>
      </c>
      <c r="C446" s="119" t="s">
        <v>14</v>
      </c>
      <c r="D446" s="166">
        <v>680348</v>
      </c>
      <c r="E446" s="119" t="s">
        <v>426</v>
      </c>
      <c r="F446" s="190">
        <v>68060423</v>
      </c>
      <c r="G446" s="119" t="s">
        <v>1488</v>
      </c>
      <c r="H446" s="187" t="s">
        <v>265</v>
      </c>
      <c r="I446" s="147" t="s">
        <v>428</v>
      </c>
      <c r="J446" s="146">
        <v>136.16999999999999</v>
      </c>
      <c r="K446" s="119" t="s">
        <v>207</v>
      </c>
      <c r="L446" s="146">
        <f>J446-129</f>
        <v>7.1699999999999875</v>
      </c>
      <c r="M446" s="119" t="s">
        <v>1489</v>
      </c>
      <c r="N446" s="119" t="s">
        <v>93</v>
      </c>
      <c r="O446" s="141">
        <f t="shared" ref="O446:O447" si="329">B446</f>
        <v>244139</v>
      </c>
      <c r="P446" s="141">
        <f t="shared" ref="P446:P447" si="330">B446+7</f>
        <v>244146</v>
      </c>
      <c r="Q446" s="141">
        <f t="shared" ref="Q446:Q447" si="331">O446+2</f>
        <v>244141</v>
      </c>
      <c r="R446" s="139" t="s">
        <v>55</v>
      </c>
      <c r="S446" s="143">
        <v>244147</v>
      </c>
      <c r="T446" s="139" t="s">
        <v>55</v>
      </c>
      <c r="U446" s="143">
        <v>244149</v>
      </c>
      <c r="V446" s="139" t="s">
        <v>55</v>
      </c>
      <c r="W446" s="143">
        <v>244149</v>
      </c>
      <c r="X446" s="139"/>
      <c r="Y446" s="141"/>
      <c r="Z446" s="119" t="s">
        <v>426</v>
      </c>
      <c r="AA446" s="144">
        <f t="shared" si="297"/>
        <v>3</v>
      </c>
    </row>
    <row r="447" spans="1:27" s="145" customFormat="1" ht="36" customHeight="1" x14ac:dyDescent="0.25">
      <c r="A447" s="119" t="s">
        <v>23</v>
      </c>
      <c r="B447" s="139">
        <v>244139</v>
      </c>
      <c r="C447" s="119" t="s">
        <v>14</v>
      </c>
      <c r="D447" s="166">
        <v>680348</v>
      </c>
      <c r="E447" s="119" t="s">
        <v>426</v>
      </c>
      <c r="F447" s="190">
        <v>68060471</v>
      </c>
      <c r="G447" s="119" t="s">
        <v>1490</v>
      </c>
      <c r="H447" s="187" t="s">
        <v>238</v>
      </c>
      <c r="I447" s="147" t="s">
        <v>428</v>
      </c>
      <c r="J447" s="146">
        <v>136.47</v>
      </c>
      <c r="K447" s="119" t="s">
        <v>207</v>
      </c>
      <c r="L447" s="146">
        <f>J447-129</f>
        <v>7.4699999999999989</v>
      </c>
      <c r="M447" s="119" t="s">
        <v>1491</v>
      </c>
      <c r="N447" s="119" t="s">
        <v>93</v>
      </c>
      <c r="O447" s="141">
        <f t="shared" si="329"/>
        <v>244139</v>
      </c>
      <c r="P447" s="141">
        <f t="shared" si="330"/>
        <v>244146</v>
      </c>
      <c r="Q447" s="141">
        <f t="shared" si="331"/>
        <v>244141</v>
      </c>
      <c r="R447" s="139" t="s">
        <v>55</v>
      </c>
      <c r="S447" s="143">
        <v>244147</v>
      </c>
      <c r="T447" s="139" t="s">
        <v>55</v>
      </c>
      <c r="U447" s="143">
        <v>244149</v>
      </c>
      <c r="V447" s="139" t="s">
        <v>55</v>
      </c>
      <c r="W447" s="143">
        <v>244149</v>
      </c>
      <c r="X447" s="139"/>
      <c r="Y447" s="141"/>
      <c r="Z447" s="119" t="s">
        <v>426</v>
      </c>
      <c r="AA447" s="144">
        <f t="shared" si="297"/>
        <v>3</v>
      </c>
    </row>
    <row r="448" spans="1:27" s="145" customFormat="1" ht="36" customHeight="1" x14ac:dyDescent="0.25">
      <c r="A448" s="119" t="s">
        <v>23</v>
      </c>
      <c r="B448" s="139">
        <v>244139</v>
      </c>
      <c r="C448" s="119" t="s">
        <v>14</v>
      </c>
      <c r="D448" s="166">
        <v>680349</v>
      </c>
      <c r="E448" s="119" t="s">
        <v>368</v>
      </c>
      <c r="F448" s="190">
        <v>68060439</v>
      </c>
      <c r="G448" s="119" t="s">
        <v>1492</v>
      </c>
      <c r="H448" s="187" t="s">
        <v>235</v>
      </c>
      <c r="I448" s="147" t="s">
        <v>1493</v>
      </c>
      <c r="J448" s="146" t="s">
        <v>1494</v>
      </c>
      <c r="K448" s="119" t="s">
        <v>1495</v>
      </c>
      <c r="L448" s="146" t="s">
        <v>69</v>
      </c>
      <c r="M448" s="119" t="s">
        <v>1496</v>
      </c>
      <c r="N448" s="119" t="s">
        <v>93</v>
      </c>
      <c r="O448" s="141">
        <f t="shared" si="288"/>
        <v>244139</v>
      </c>
      <c r="P448" s="141">
        <f t="shared" si="289"/>
        <v>244146</v>
      </c>
      <c r="Q448" s="141">
        <f t="shared" si="290"/>
        <v>244141</v>
      </c>
      <c r="R448" s="139" t="s">
        <v>55</v>
      </c>
      <c r="S448" s="143">
        <v>244147</v>
      </c>
      <c r="T448" s="139" t="s">
        <v>55</v>
      </c>
      <c r="U448" s="143">
        <v>244149</v>
      </c>
      <c r="V448" s="139" t="s">
        <v>55</v>
      </c>
      <c r="W448" s="143">
        <v>244141</v>
      </c>
      <c r="X448" s="139"/>
      <c r="Y448" s="141"/>
      <c r="Z448" s="119" t="s">
        <v>1518</v>
      </c>
      <c r="AA448" s="144">
        <f t="shared" si="297"/>
        <v>-5</v>
      </c>
    </row>
    <row r="449" spans="1:27" s="145" customFormat="1" ht="36" customHeight="1" x14ac:dyDescent="0.25">
      <c r="A449" s="119" t="s">
        <v>23</v>
      </c>
      <c r="B449" s="139">
        <v>244139</v>
      </c>
      <c r="C449" s="119" t="s">
        <v>14</v>
      </c>
      <c r="D449" s="166">
        <v>680350</v>
      </c>
      <c r="E449" s="119" t="s">
        <v>356</v>
      </c>
      <c r="F449" s="190">
        <v>68060455</v>
      </c>
      <c r="G449" s="119" t="s">
        <v>1497</v>
      </c>
      <c r="H449" s="187" t="s">
        <v>249</v>
      </c>
      <c r="I449" s="147" t="s">
        <v>358</v>
      </c>
      <c r="J449" s="146">
        <v>77.03</v>
      </c>
      <c r="K449" s="119" t="s">
        <v>201</v>
      </c>
      <c r="L449" s="146">
        <f>78-J449</f>
        <v>0.96999999999999886</v>
      </c>
      <c r="M449" s="119" t="s">
        <v>1498</v>
      </c>
      <c r="N449" s="119" t="s">
        <v>93</v>
      </c>
      <c r="O449" s="141">
        <f t="shared" si="288"/>
        <v>244139</v>
      </c>
      <c r="P449" s="141">
        <f t="shared" si="289"/>
        <v>244146</v>
      </c>
      <c r="Q449" s="141">
        <f t="shared" si="290"/>
        <v>244141</v>
      </c>
      <c r="R449" s="139" t="s">
        <v>55</v>
      </c>
      <c r="S449" s="143">
        <v>244147</v>
      </c>
      <c r="T449" s="139" t="s">
        <v>55</v>
      </c>
      <c r="U449" s="143">
        <v>244149</v>
      </c>
      <c r="V449" s="139" t="s">
        <v>55</v>
      </c>
      <c r="W449" s="143">
        <v>244141</v>
      </c>
      <c r="X449" s="139"/>
      <c r="Y449" s="141"/>
      <c r="Z449" s="119" t="s">
        <v>1519</v>
      </c>
      <c r="AA449" s="144">
        <f t="shared" si="297"/>
        <v>-5</v>
      </c>
    </row>
    <row r="450" spans="1:27" s="145" customFormat="1" ht="36" customHeight="1" x14ac:dyDescent="0.25">
      <c r="A450" s="119" t="s">
        <v>23</v>
      </c>
      <c r="B450" s="139">
        <v>244139</v>
      </c>
      <c r="C450" s="119" t="s">
        <v>14</v>
      </c>
      <c r="D450" s="166">
        <v>680351</v>
      </c>
      <c r="E450" s="119" t="s">
        <v>872</v>
      </c>
      <c r="F450" s="190">
        <v>68060449</v>
      </c>
      <c r="G450" s="119" t="s">
        <v>1499</v>
      </c>
      <c r="H450" s="187" t="s">
        <v>221</v>
      </c>
      <c r="I450" s="147" t="s">
        <v>845</v>
      </c>
      <c r="J450" s="146">
        <v>62.13</v>
      </c>
      <c r="K450" s="119" t="s">
        <v>200</v>
      </c>
      <c r="L450" s="146">
        <f>J450-60</f>
        <v>2.1300000000000026</v>
      </c>
      <c r="M450" s="119" t="s">
        <v>1500</v>
      </c>
      <c r="N450" s="119" t="s">
        <v>93</v>
      </c>
      <c r="O450" s="141">
        <f t="shared" si="288"/>
        <v>244139</v>
      </c>
      <c r="P450" s="141">
        <f t="shared" si="289"/>
        <v>244146</v>
      </c>
      <c r="Q450" s="141">
        <f t="shared" si="290"/>
        <v>244141</v>
      </c>
      <c r="R450" s="139" t="s">
        <v>55</v>
      </c>
      <c r="S450" s="143">
        <v>244151</v>
      </c>
      <c r="T450" s="139" t="s">
        <v>55</v>
      </c>
      <c r="U450" s="143">
        <v>244154</v>
      </c>
      <c r="V450" s="139" t="s">
        <v>55</v>
      </c>
      <c r="W450" s="143">
        <v>244146</v>
      </c>
      <c r="X450" s="139"/>
      <c r="Y450" s="141"/>
      <c r="Z450" s="119" t="s">
        <v>1545</v>
      </c>
      <c r="AA450" s="144">
        <f t="shared" si="297"/>
        <v>0</v>
      </c>
    </row>
    <row r="451" spans="1:27" s="145" customFormat="1" ht="36" customHeight="1" x14ac:dyDescent="0.25">
      <c r="A451" s="119" t="s">
        <v>23</v>
      </c>
      <c r="B451" s="139">
        <v>244139</v>
      </c>
      <c r="C451" s="119" t="s">
        <v>14</v>
      </c>
      <c r="D451" s="166">
        <v>680352</v>
      </c>
      <c r="E451" s="119" t="s">
        <v>307</v>
      </c>
      <c r="F451" s="190">
        <v>68060418</v>
      </c>
      <c r="G451" s="119" t="s">
        <v>1501</v>
      </c>
      <c r="H451" s="187" t="s">
        <v>269</v>
      </c>
      <c r="I451" s="147" t="s">
        <v>308</v>
      </c>
      <c r="J451" s="146">
        <v>68.569999999999993</v>
      </c>
      <c r="K451" s="119" t="s">
        <v>207</v>
      </c>
      <c r="L451" s="146">
        <f>J451-66</f>
        <v>2.5699999999999932</v>
      </c>
      <c r="M451" s="119" t="s">
        <v>1502</v>
      </c>
      <c r="N451" s="119" t="s">
        <v>93</v>
      </c>
      <c r="O451" s="141">
        <f t="shared" si="288"/>
        <v>244139</v>
      </c>
      <c r="P451" s="141">
        <f t="shared" si="289"/>
        <v>244146</v>
      </c>
      <c r="Q451" s="141">
        <f t="shared" si="290"/>
        <v>244141</v>
      </c>
      <c r="R451" s="139" t="s">
        <v>55</v>
      </c>
      <c r="S451" s="143">
        <v>244151</v>
      </c>
      <c r="T451" s="139" t="s">
        <v>55</v>
      </c>
      <c r="U451" s="143">
        <v>244154</v>
      </c>
      <c r="V451" s="139" t="s">
        <v>55</v>
      </c>
      <c r="W451" s="143">
        <v>244146</v>
      </c>
      <c r="X451" s="139"/>
      <c r="Y451" s="141"/>
      <c r="Z451" s="119" t="s">
        <v>1544</v>
      </c>
      <c r="AA451" s="144">
        <f t="shared" si="297"/>
        <v>0</v>
      </c>
    </row>
    <row r="452" spans="1:27" s="145" customFormat="1" ht="36" customHeight="1" x14ac:dyDescent="0.25">
      <c r="A452" s="119" t="s">
        <v>23</v>
      </c>
      <c r="B452" s="139">
        <v>244139</v>
      </c>
      <c r="C452" s="119" t="s">
        <v>14</v>
      </c>
      <c r="D452" s="166">
        <v>680353</v>
      </c>
      <c r="E452" s="119" t="s">
        <v>307</v>
      </c>
      <c r="F452" s="190">
        <v>68060473</v>
      </c>
      <c r="G452" s="119" t="s">
        <v>1503</v>
      </c>
      <c r="H452" s="187" t="s">
        <v>283</v>
      </c>
      <c r="I452" s="147" t="s">
        <v>1504</v>
      </c>
      <c r="J452" s="119" t="s">
        <v>1505</v>
      </c>
      <c r="K452" s="119" t="s">
        <v>1506</v>
      </c>
      <c r="L452" s="146" t="s">
        <v>69</v>
      </c>
      <c r="M452" s="119" t="s">
        <v>1507</v>
      </c>
      <c r="N452" s="119" t="s">
        <v>93</v>
      </c>
      <c r="O452" s="141">
        <f t="shared" si="288"/>
        <v>244139</v>
      </c>
      <c r="P452" s="141">
        <f t="shared" si="289"/>
        <v>244146</v>
      </c>
      <c r="Q452" s="141">
        <f t="shared" si="290"/>
        <v>244141</v>
      </c>
      <c r="R452" s="139" t="s">
        <v>55</v>
      </c>
      <c r="S452" s="143">
        <v>244147</v>
      </c>
      <c r="T452" s="139" t="s">
        <v>55</v>
      </c>
      <c r="U452" s="143">
        <v>244149</v>
      </c>
      <c r="V452" s="139" t="s">
        <v>55</v>
      </c>
      <c r="W452" s="143">
        <v>244149</v>
      </c>
      <c r="X452" s="139"/>
      <c r="Y452" s="141"/>
      <c r="Z452" s="119" t="s">
        <v>1559</v>
      </c>
      <c r="AA452" s="144">
        <f t="shared" si="297"/>
        <v>3</v>
      </c>
    </row>
    <row r="453" spans="1:27" s="145" customFormat="1" ht="36" customHeight="1" x14ac:dyDescent="0.25">
      <c r="A453" s="119" t="s">
        <v>23</v>
      </c>
      <c r="B453" s="139">
        <v>244139</v>
      </c>
      <c r="C453" s="119" t="s">
        <v>14</v>
      </c>
      <c r="D453" s="166">
        <v>680354</v>
      </c>
      <c r="E453" s="119" t="s">
        <v>433</v>
      </c>
      <c r="F453" s="190">
        <v>68060466</v>
      </c>
      <c r="G453" s="119" t="s">
        <v>1508</v>
      </c>
      <c r="H453" s="187" t="s">
        <v>278</v>
      </c>
      <c r="I453" s="147" t="s">
        <v>304</v>
      </c>
      <c r="J453" s="146">
        <v>81.41</v>
      </c>
      <c r="K453" s="119" t="s">
        <v>207</v>
      </c>
      <c r="L453" s="146">
        <f>J453-78</f>
        <v>3.4099999999999966</v>
      </c>
      <c r="M453" s="119" t="s">
        <v>1509</v>
      </c>
      <c r="N453" s="119" t="s">
        <v>93</v>
      </c>
      <c r="O453" s="141">
        <f t="shared" si="288"/>
        <v>244139</v>
      </c>
      <c r="P453" s="141">
        <f t="shared" si="289"/>
        <v>244146</v>
      </c>
      <c r="Q453" s="141">
        <f t="shared" si="290"/>
        <v>244141</v>
      </c>
      <c r="R453" s="139" t="s">
        <v>55</v>
      </c>
      <c r="S453" s="143">
        <v>244147</v>
      </c>
      <c r="T453" s="139" t="s">
        <v>55</v>
      </c>
      <c r="U453" s="143">
        <v>244149</v>
      </c>
      <c r="V453" s="139" t="s">
        <v>55</v>
      </c>
      <c r="W453" s="143">
        <v>244149</v>
      </c>
      <c r="X453" s="139"/>
      <c r="Y453" s="141"/>
      <c r="Z453" s="119" t="s">
        <v>433</v>
      </c>
      <c r="AA453" s="144">
        <f t="shared" si="297"/>
        <v>3</v>
      </c>
    </row>
    <row r="454" spans="1:27" s="145" customFormat="1" ht="36" customHeight="1" x14ac:dyDescent="0.25">
      <c r="A454" s="119" t="s">
        <v>23</v>
      </c>
      <c r="B454" s="139">
        <v>244139</v>
      </c>
      <c r="C454" s="119" t="s">
        <v>14</v>
      </c>
      <c r="D454" s="166">
        <v>680355</v>
      </c>
      <c r="E454" s="119" t="s">
        <v>1290</v>
      </c>
      <c r="F454" s="190">
        <v>68060424</v>
      </c>
      <c r="G454" s="119" t="s">
        <v>1510</v>
      </c>
      <c r="H454" s="187" t="s">
        <v>285</v>
      </c>
      <c r="I454" s="147" t="s">
        <v>1104</v>
      </c>
      <c r="J454" s="146" t="s">
        <v>1511</v>
      </c>
      <c r="K454" s="146" t="s">
        <v>1511</v>
      </c>
      <c r="L454" s="146" t="s">
        <v>69</v>
      </c>
      <c r="M454" s="119" t="s">
        <v>1512</v>
      </c>
      <c r="N454" s="119" t="s">
        <v>93</v>
      </c>
      <c r="O454" s="141">
        <f t="shared" si="288"/>
        <v>244139</v>
      </c>
      <c r="P454" s="141">
        <f t="shared" si="289"/>
        <v>244146</v>
      </c>
      <c r="Q454" s="141">
        <f t="shared" si="290"/>
        <v>244141</v>
      </c>
      <c r="R454" s="139" t="s">
        <v>55</v>
      </c>
      <c r="S454" s="143">
        <v>244147</v>
      </c>
      <c r="T454" s="139" t="s">
        <v>55</v>
      </c>
      <c r="U454" s="143">
        <v>244149</v>
      </c>
      <c r="V454" s="139" t="s">
        <v>55</v>
      </c>
      <c r="W454" s="143">
        <v>244149</v>
      </c>
      <c r="X454" s="139"/>
      <c r="Y454" s="141"/>
      <c r="Z454" s="119" t="s">
        <v>1290</v>
      </c>
      <c r="AA454" s="144">
        <f t="shared" si="297"/>
        <v>3</v>
      </c>
    </row>
    <row r="455" spans="1:27" s="145" customFormat="1" ht="36" customHeight="1" x14ac:dyDescent="0.25">
      <c r="A455" s="119" t="s">
        <v>23</v>
      </c>
      <c r="B455" s="139">
        <v>244140</v>
      </c>
      <c r="C455" s="119" t="s">
        <v>132</v>
      </c>
      <c r="D455" s="166">
        <v>680356</v>
      </c>
      <c r="E455" s="119" t="s">
        <v>580</v>
      </c>
      <c r="F455" s="190" t="s">
        <v>1513</v>
      </c>
      <c r="G455" s="119" t="s">
        <v>1514</v>
      </c>
      <c r="H455" s="187" t="s">
        <v>1515</v>
      </c>
      <c r="I455" s="147" t="s">
        <v>203</v>
      </c>
      <c r="J455" s="119" t="s">
        <v>1255</v>
      </c>
      <c r="K455" s="119" t="s">
        <v>1255</v>
      </c>
      <c r="L455" s="119" t="s">
        <v>346</v>
      </c>
      <c r="M455" s="119">
        <v>1</v>
      </c>
      <c r="N455" s="119" t="s">
        <v>52</v>
      </c>
      <c r="O455" s="141">
        <f t="shared" si="288"/>
        <v>244140</v>
      </c>
      <c r="P455" s="141">
        <f t="shared" si="289"/>
        <v>244147</v>
      </c>
      <c r="Q455" s="141">
        <f t="shared" si="290"/>
        <v>244142</v>
      </c>
      <c r="R455" s="139" t="s">
        <v>55</v>
      </c>
      <c r="S455" s="143">
        <v>244288</v>
      </c>
      <c r="T455" s="139" t="s">
        <v>55</v>
      </c>
      <c r="U455" s="143">
        <v>244291</v>
      </c>
      <c r="V455" s="139"/>
      <c r="W455" s="143"/>
      <c r="X455" s="139"/>
      <c r="Y455" s="141"/>
      <c r="Z455" s="119"/>
      <c r="AA455" s="144">
        <f t="shared" si="297"/>
        <v>-244147</v>
      </c>
    </row>
    <row r="456" spans="1:27" s="145" customFormat="1" ht="36" customHeight="1" x14ac:dyDescent="0.25">
      <c r="A456" s="119" t="s">
        <v>23</v>
      </c>
      <c r="B456" s="139">
        <v>244140</v>
      </c>
      <c r="C456" s="119" t="s">
        <v>14</v>
      </c>
      <c r="D456" s="166">
        <v>680357</v>
      </c>
      <c r="E456" s="119" t="s">
        <v>426</v>
      </c>
      <c r="F456" s="190">
        <v>68060531</v>
      </c>
      <c r="G456" s="119" t="s">
        <v>1516</v>
      </c>
      <c r="H456" s="187" t="s">
        <v>291</v>
      </c>
      <c r="I456" s="147" t="s">
        <v>428</v>
      </c>
      <c r="J456" s="119">
        <v>131.19</v>
      </c>
      <c r="K456" s="119" t="s">
        <v>200</v>
      </c>
      <c r="L456" s="119">
        <f>J456-129</f>
        <v>2.1899999999999977</v>
      </c>
      <c r="M456" s="119" t="s">
        <v>1517</v>
      </c>
      <c r="N456" s="119" t="s">
        <v>93</v>
      </c>
      <c r="O456" s="141">
        <f t="shared" si="288"/>
        <v>244140</v>
      </c>
      <c r="P456" s="141">
        <f t="shared" si="289"/>
        <v>244147</v>
      </c>
      <c r="Q456" s="141">
        <f t="shared" si="290"/>
        <v>244142</v>
      </c>
      <c r="R456" s="139" t="s">
        <v>55</v>
      </c>
      <c r="S456" s="143">
        <v>244147</v>
      </c>
      <c r="T456" s="139" t="s">
        <v>55</v>
      </c>
      <c r="U456" s="143">
        <v>244149</v>
      </c>
      <c r="V456" s="139" t="s">
        <v>55</v>
      </c>
      <c r="W456" s="143">
        <v>244149</v>
      </c>
      <c r="X456" s="139"/>
      <c r="Y456" s="141"/>
      <c r="Z456" s="119" t="s">
        <v>426</v>
      </c>
      <c r="AA456" s="144">
        <f t="shared" si="297"/>
        <v>2</v>
      </c>
    </row>
    <row r="457" spans="1:27" s="145" customFormat="1" ht="36" customHeight="1" x14ac:dyDescent="0.25">
      <c r="A457" s="119" t="s">
        <v>23</v>
      </c>
      <c r="B457" s="139">
        <v>244142</v>
      </c>
      <c r="C457" s="119" t="s">
        <v>14</v>
      </c>
      <c r="D457" s="166">
        <v>680358</v>
      </c>
      <c r="E457" s="119" t="s">
        <v>368</v>
      </c>
      <c r="F457" s="190">
        <v>68060711</v>
      </c>
      <c r="G457" s="119" t="s">
        <v>1520</v>
      </c>
      <c r="H457" s="187" t="s">
        <v>298</v>
      </c>
      <c r="I457" s="147" t="s">
        <v>1260</v>
      </c>
      <c r="J457" s="119">
        <v>82.82</v>
      </c>
      <c r="K457" s="119" t="s">
        <v>207</v>
      </c>
      <c r="L457" s="119">
        <f>J457-78</f>
        <v>4.8199999999999932</v>
      </c>
      <c r="M457" s="119" t="s">
        <v>1406</v>
      </c>
      <c r="N457" s="119" t="s">
        <v>93</v>
      </c>
      <c r="O457" s="141">
        <f t="shared" si="288"/>
        <v>244142</v>
      </c>
      <c r="P457" s="141">
        <f t="shared" si="289"/>
        <v>244149</v>
      </c>
      <c r="Q457" s="141">
        <f t="shared" si="290"/>
        <v>244144</v>
      </c>
      <c r="R457" s="139" t="s">
        <v>55</v>
      </c>
      <c r="S457" s="143">
        <v>244147</v>
      </c>
      <c r="T457" s="139" t="s">
        <v>55</v>
      </c>
      <c r="U457" s="143">
        <v>244149</v>
      </c>
      <c r="V457" s="139" t="s">
        <v>55</v>
      </c>
      <c r="W457" s="143">
        <v>244142</v>
      </c>
      <c r="X457" s="139"/>
      <c r="Y457" s="141"/>
      <c r="Z457" s="119" t="s">
        <v>1521</v>
      </c>
      <c r="AA457" s="144">
        <f t="shared" si="297"/>
        <v>-7</v>
      </c>
    </row>
    <row r="458" spans="1:27" s="145" customFormat="1" ht="36" customHeight="1" x14ac:dyDescent="0.25">
      <c r="A458" s="119" t="s">
        <v>20</v>
      </c>
      <c r="B458" s="139">
        <v>244143</v>
      </c>
      <c r="C458" s="119" t="s">
        <v>14</v>
      </c>
      <c r="D458" s="166">
        <v>680359</v>
      </c>
      <c r="E458" s="119" t="s">
        <v>827</v>
      </c>
      <c r="F458" s="190">
        <v>68060808</v>
      </c>
      <c r="G458" s="119" t="s">
        <v>1522</v>
      </c>
      <c r="H458" s="187" t="s">
        <v>226</v>
      </c>
      <c r="I458" s="147" t="s">
        <v>829</v>
      </c>
      <c r="J458" s="119">
        <v>106.1</v>
      </c>
      <c r="K458" s="119" t="s">
        <v>200</v>
      </c>
      <c r="L458" s="146">
        <v>1.1000000000000001</v>
      </c>
      <c r="M458" s="119" t="s">
        <v>1355</v>
      </c>
      <c r="N458" s="119" t="s">
        <v>93</v>
      </c>
      <c r="O458" s="141">
        <f t="shared" si="288"/>
        <v>244143</v>
      </c>
      <c r="P458" s="141">
        <f t="shared" si="289"/>
        <v>244150</v>
      </c>
      <c r="Q458" s="141">
        <f t="shared" si="290"/>
        <v>244145</v>
      </c>
      <c r="R458" s="139" t="s">
        <v>55</v>
      </c>
      <c r="S458" s="143">
        <v>244147</v>
      </c>
      <c r="T458" s="139" t="s">
        <v>55</v>
      </c>
      <c r="U458" s="143">
        <v>244149</v>
      </c>
      <c r="V458" s="139" t="s">
        <v>55</v>
      </c>
      <c r="W458" s="143">
        <v>244146</v>
      </c>
      <c r="X458" s="139"/>
      <c r="Y458" s="141"/>
      <c r="Z458" s="119" t="s">
        <v>1537</v>
      </c>
      <c r="AA458" s="144">
        <f t="shared" si="297"/>
        <v>-4</v>
      </c>
    </row>
    <row r="459" spans="1:27" s="145" customFormat="1" ht="36" customHeight="1" x14ac:dyDescent="0.25">
      <c r="A459" s="119" t="s">
        <v>23</v>
      </c>
      <c r="B459" s="139">
        <v>244144</v>
      </c>
      <c r="C459" s="119" t="s">
        <v>11</v>
      </c>
      <c r="D459" s="166">
        <v>680360</v>
      </c>
      <c r="E459" s="119" t="s">
        <v>1303</v>
      </c>
      <c r="F459" s="190" t="s">
        <v>1523</v>
      </c>
      <c r="G459" s="119">
        <v>680609</v>
      </c>
      <c r="H459" s="187" t="s">
        <v>135</v>
      </c>
      <c r="I459" s="147" t="s">
        <v>76</v>
      </c>
      <c r="J459" s="119">
        <v>767</v>
      </c>
      <c r="K459" s="119" t="s">
        <v>124</v>
      </c>
      <c r="L459" s="146">
        <v>37</v>
      </c>
      <c r="M459" s="257" t="s">
        <v>1528</v>
      </c>
      <c r="N459" s="257" t="s">
        <v>53</v>
      </c>
      <c r="O459" s="260">
        <f>B461</f>
        <v>244144</v>
      </c>
      <c r="P459" s="260">
        <f>B461+7</f>
        <v>244151</v>
      </c>
      <c r="Q459" s="141">
        <f t="shared" si="290"/>
        <v>244146</v>
      </c>
      <c r="R459" s="139" t="s">
        <v>55</v>
      </c>
      <c r="S459" s="143">
        <v>244181</v>
      </c>
      <c r="T459" s="139" t="s">
        <v>55</v>
      </c>
      <c r="U459" s="143">
        <v>244182</v>
      </c>
      <c r="V459" s="139" t="s">
        <v>55</v>
      </c>
      <c r="W459" s="143">
        <v>244182</v>
      </c>
      <c r="X459" s="139"/>
      <c r="Y459" s="141"/>
      <c r="Z459" s="119" t="s">
        <v>1303</v>
      </c>
      <c r="AA459" s="144" t="e">
        <f>W459-#REF!</f>
        <v>#REF!</v>
      </c>
    </row>
    <row r="460" spans="1:27" s="145" customFormat="1" ht="36" customHeight="1" x14ac:dyDescent="0.25">
      <c r="A460" s="119" t="s">
        <v>23</v>
      </c>
      <c r="B460" s="139">
        <v>244144</v>
      </c>
      <c r="C460" s="119" t="s">
        <v>11</v>
      </c>
      <c r="D460" s="166">
        <v>680360</v>
      </c>
      <c r="E460" s="119" t="s">
        <v>1303</v>
      </c>
      <c r="F460" s="190" t="s">
        <v>1523</v>
      </c>
      <c r="G460" s="119">
        <v>680609</v>
      </c>
      <c r="H460" s="187" t="s">
        <v>135</v>
      </c>
      <c r="I460" s="147" t="s">
        <v>1524</v>
      </c>
      <c r="J460" s="119">
        <v>2.16</v>
      </c>
      <c r="K460" s="119" t="s">
        <v>1525</v>
      </c>
      <c r="L460" s="146">
        <v>0.06</v>
      </c>
      <c r="M460" s="259"/>
      <c r="N460" s="259"/>
      <c r="O460" s="261"/>
      <c r="P460" s="261"/>
      <c r="Q460" s="141">
        <f t="shared" si="290"/>
        <v>2</v>
      </c>
      <c r="R460" s="139" t="s">
        <v>55</v>
      </c>
      <c r="S460" s="143">
        <v>244181</v>
      </c>
      <c r="T460" s="139" t="s">
        <v>55</v>
      </c>
      <c r="U460" s="143">
        <v>244182</v>
      </c>
      <c r="V460" s="139" t="s">
        <v>55</v>
      </c>
      <c r="W460" s="143">
        <v>244182</v>
      </c>
      <c r="X460" s="139"/>
      <c r="Y460" s="141"/>
      <c r="Z460" s="119" t="s">
        <v>1303</v>
      </c>
      <c r="AA460" s="144">
        <f t="shared" si="297"/>
        <v>244182</v>
      </c>
    </row>
    <row r="461" spans="1:27" s="145" customFormat="1" ht="36" customHeight="1" x14ac:dyDescent="0.25">
      <c r="A461" s="119" t="s">
        <v>23</v>
      </c>
      <c r="B461" s="139">
        <v>244144</v>
      </c>
      <c r="C461" s="119" t="s">
        <v>11</v>
      </c>
      <c r="D461" s="166">
        <v>680360</v>
      </c>
      <c r="E461" s="119" t="s">
        <v>1303</v>
      </c>
      <c r="F461" s="190" t="s">
        <v>1523</v>
      </c>
      <c r="G461" s="119">
        <v>680609</v>
      </c>
      <c r="H461" s="187" t="s">
        <v>135</v>
      </c>
      <c r="I461" s="147" t="s">
        <v>85</v>
      </c>
      <c r="J461" s="119">
        <v>4.24</v>
      </c>
      <c r="K461" s="119" t="s">
        <v>127</v>
      </c>
      <c r="L461" s="119">
        <v>0.06</v>
      </c>
      <c r="M461" s="258"/>
      <c r="N461" s="258"/>
      <c r="O461" s="262"/>
      <c r="P461" s="262"/>
      <c r="Q461" s="141">
        <f>O459+2</f>
        <v>244146</v>
      </c>
      <c r="R461" s="139" t="s">
        <v>55</v>
      </c>
      <c r="S461" s="143">
        <v>244181</v>
      </c>
      <c r="T461" s="139" t="s">
        <v>55</v>
      </c>
      <c r="U461" s="143">
        <v>244182</v>
      </c>
      <c r="V461" s="139" t="s">
        <v>55</v>
      </c>
      <c r="W461" s="143">
        <v>244182</v>
      </c>
      <c r="X461" s="139"/>
      <c r="Y461" s="141"/>
      <c r="Z461" s="119" t="s">
        <v>1303</v>
      </c>
      <c r="AA461" s="144">
        <f>W461-P459</f>
        <v>31</v>
      </c>
    </row>
    <row r="462" spans="1:27" s="145" customFormat="1" ht="36" customHeight="1" x14ac:dyDescent="0.25">
      <c r="A462" s="119" t="s">
        <v>23</v>
      </c>
      <c r="B462" s="139">
        <v>244144</v>
      </c>
      <c r="C462" s="119" t="s">
        <v>14</v>
      </c>
      <c r="D462" s="166">
        <v>680361</v>
      </c>
      <c r="E462" s="119" t="s">
        <v>827</v>
      </c>
      <c r="F462" s="190">
        <v>68060937</v>
      </c>
      <c r="G462" s="119" t="s">
        <v>1526</v>
      </c>
      <c r="H462" s="187" t="s">
        <v>206</v>
      </c>
      <c r="I462" s="147" t="s">
        <v>829</v>
      </c>
      <c r="J462" s="119">
        <v>107.55</v>
      </c>
      <c r="K462" s="119" t="s">
        <v>207</v>
      </c>
      <c r="L462" s="146">
        <f>J462-105</f>
        <v>2.5499999999999972</v>
      </c>
      <c r="M462" s="119" t="s">
        <v>1527</v>
      </c>
      <c r="N462" s="119" t="s">
        <v>93</v>
      </c>
      <c r="O462" s="141">
        <f t="shared" si="288"/>
        <v>244144</v>
      </c>
      <c r="P462" s="141">
        <f t="shared" si="289"/>
        <v>244151</v>
      </c>
      <c r="Q462" s="141">
        <f t="shared" si="290"/>
        <v>244146</v>
      </c>
      <c r="R462" s="139" t="s">
        <v>55</v>
      </c>
      <c r="S462" s="143">
        <v>244147</v>
      </c>
      <c r="T462" s="139" t="s">
        <v>55</v>
      </c>
      <c r="U462" s="143">
        <v>244149</v>
      </c>
      <c r="V462" s="139" t="s">
        <v>55</v>
      </c>
      <c r="W462" s="143">
        <v>244146</v>
      </c>
      <c r="X462" s="139"/>
      <c r="Y462" s="141"/>
      <c r="Z462" s="119" t="s">
        <v>1537</v>
      </c>
      <c r="AA462" s="144">
        <f t="shared" si="297"/>
        <v>-5</v>
      </c>
    </row>
    <row r="463" spans="1:27" s="145" customFormat="1" ht="36" customHeight="1" x14ac:dyDescent="0.25">
      <c r="A463" s="119" t="s">
        <v>23</v>
      </c>
      <c r="B463" s="139">
        <v>244144</v>
      </c>
      <c r="C463" s="119" t="s">
        <v>14</v>
      </c>
      <c r="D463" s="166">
        <v>680362</v>
      </c>
      <c r="E463" s="119" t="s">
        <v>1529</v>
      </c>
      <c r="F463" s="190">
        <v>68060982</v>
      </c>
      <c r="G463" s="119" t="s">
        <v>1532</v>
      </c>
      <c r="H463" s="187" t="s">
        <v>239</v>
      </c>
      <c r="I463" s="147" t="s">
        <v>1260</v>
      </c>
      <c r="J463" s="119">
        <v>81.19</v>
      </c>
      <c r="K463" s="119" t="s">
        <v>207</v>
      </c>
      <c r="L463" s="119">
        <f>J463-78</f>
        <v>3.1899999999999977</v>
      </c>
      <c r="M463" s="119" t="s">
        <v>1533</v>
      </c>
      <c r="N463" s="119" t="s">
        <v>93</v>
      </c>
      <c r="O463" s="141">
        <f t="shared" ref="O463" si="332">B463</f>
        <v>244144</v>
      </c>
      <c r="P463" s="141">
        <f t="shared" ref="P463" si="333">B463+7</f>
        <v>244151</v>
      </c>
      <c r="Q463" s="141">
        <f t="shared" ref="Q463" si="334">O463+2</f>
        <v>244146</v>
      </c>
      <c r="R463" s="139" t="s">
        <v>55</v>
      </c>
      <c r="S463" s="143">
        <v>244147</v>
      </c>
      <c r="T463" s="139" t="s">
        <v>55</v>
      </c>
      <c r="U463" s="143">
        <v>244149</v>
      </c>
      <c r="V463" s="139" t="s">
        <v>55</v>
      </c>
      <c r="W463" s="143">
        <v>244146</v>
      </c>
      <c r="X463" s="139"/>
      <c r="Y463" s="141"/>
      <c r="Z463" s="119" t="s">
        <v>1521</v>
      </c>
      <c r="AA463" s="144">
        <f t="shared" ref="AA463:AA526" si="335">W463-P463</f>
        <v>-5</v>
      </c>
    </row>
    <row r="464" spans="1:27" s="145" customFormat="1" ht="36" customHeight="1" x14ac:dyDescent="0.25">
      <c r="A464" s="119" t="s">
        <v>23</v>
      </c>
      <c r="B464" s="139">
        <v>244144</v>
      </c>
      <c r="C464" s="119" t="s">
        <v>14</v>
      </c>
      <c r="D464" s="166">
        <v>680362</v>
      </c>
      <c r="E464" s="119" t="s">
        <v>1529</v>
      </c>
      <c r="F464" s="190">
        <v>68060978</v>
      </c>
      <c r="G464" s="119" t="s">
        <v>1530</v>
      </c>
      <c r="H464" s="187" t="s">
        <v>221</v>
      </c>
      <c r="I464" s="147" t="s">
        <v>1260</v>
      </c>
      <c r="J464" s="119">
        <v>81.5</v>
      </c>
      <c r="K464" s="119" t="s">
        <v>207</v>
      </c>
      <c r="L464" s="119">
        <f>J464-78</f>
        <v>3.5</v>
      </c>
      <c r="M464" s="119" t="s">
        <v>1531</v>
      </c>
      <c r="N464" s="119" t="s">
        <v>93</v>
      </c>
      <c r="O464" s="141">
        <f t="shared" si="288"/>
        <v>244144</v>
      </c>
      <c r="P464" s="141">
        <f t="shared" si="289"/>
        <v>244151</v>
      </c>
      <c r="Q464" s="141">
        <f t="shared" si="290"/>
        <v>244146</v>
      </c>
      <c r="R464" s="139" t="s">
        <v>55</v>
      </c>
      <c r="S464" s="143">
        <v>244147</v>
      </c>
      <c r="T464" s="139" t="s">
        <v>55</v>
      </c>
      <c r="U464" s="143">
        <v>244149</v>
      </c>
      <c r="V464" s="139" t="s">
        <v>55</v>
      </c>
      <c r="W464" s="143">
        <v>244146</v>
      </c>
      <c r="X464" s="139"/>
      <c r="Y464" s="141"/>
      <c r="Z464" s="119" t="s">
        <v>1521</v>
      </c>
      <c r="AA464" s="144">
        <f t="shared" si="335"/>
        <v>-5</v>
      </c>
    </row>
    <row r="465" spans="1:27" s="145" customFormat="1" ht="36" customHeight="1" x14ac:dyDescent="0.25">
      <c r="A465" s="119" t="s">
        <v>23</v>
      </c>
      <c r="B465" s="139">
        <v>244144</v>
      </c>
      <c r="C465" s="119" t="s">
        <v>14</v>
      </c>
      <c r="D465" s="166">
        <v>680363</v>
      </c>
      <c r="E465" s="119" t="s">
        <v>827</v>
      </c>
      <c r="F465" s="190">
        <v>68060985</v>
      </c>
      <c r="G465" s="119" t="s">
        <v>1526</v>
      </c>
      <c r="H465" s="187" t="s">
        <v>206</v>
      </c>
      <c r="I465" s="147" t="s">
        <v>829</v>
      </c>
      <c r="J465" s="146">
        <v>107.36</v>
      </c>
      <c r="K465" s="119" t="s">
        <v>207</v>
      </c>
      <c r="L465" s="146">
        <v>2.36</v>
      </c>
      <c r="M465" s="119" t="s">
        <v>1534</v>
      </c>
      <c r="N465" s="119" t="s">
        <v>93</v>
      </c>
      <c r="O465" s="141">
        <f t="shared" si="288"/>
        <v>244144</v>
      </c>
      <c r="P465" s="141">
        <f t="shared" si="289"/>
        <v>244151</v>
      </c>
      <c r="Q465" s="141">
        <f t="shared" si="290"/>
        <v>244146</v>
      </c>
      <c r="R465" s="139" t="s">
        <v>55</v>
      </c>
      <c r="S465" s="143">
        <v>244147</v>
      </c>
      <c r="T465" s="139" t="s">
        <v>55</v>
      </c>
      <c r="U465" s="143">
        <v>244149</v>
      </c>
      <c r="V465" s="139" t="s">
        <v>55</v>
      </c>
      <c r="W465" s="143">
        <v>244146</v>
      </c>
      <c r="X465" s="139"/>
      <c r="Y465" s="141"/>
      <c r="Z465" s="119" t="s">
        <v>1537</v>
      </c>
      <c r="AA465" s="144">
        <f t="shared" si="335"/>
        <v>-5</v>
      </c>
    </row>
    <row r="466" spans="1:27" s="145" customFormat="1" ht="36" customHeight="1" x14ac:dyDescent="0.25">
      <c r="A466" s="119" t="s">
        <v>23</v>
      </c>
      <c r="B466" s="139">
        <v>244146</v>
      </c>
      <c r="C466" s="119" t="s">
        <v>14</v>
      </c>
      <c r="D466" s="166">
        <v>680364</v>
      </c>
      <c r="E466" s="119" t="s">
        <v>827</v>
      </c>
      <c r="F466" s="190">
        <v>68061126</v>
      </c>
      <c r="G466" s="119" t="s">
        <v>1538</v>
      </c>
      <c r="H466" s="187" t="s">
        <v>206</v>
      </c>
      <c r="I466" s="147" t="s">
        <v>829</v>
      </c>
      <c r="J466" s="146">
        <v>108.88</v>
      </c>
      <c r="K466" s="119" t="s">
        <v>207</v>
      </c>
      <c r="L466" s="146">
        <f>J466-105</f>
        <v>3.8799999999999955</v>
      </c>
      <c r="M466" s="119" t="s">
        <v>1539</v>
      </c>
      <c r="N466" s="119" t="s">
        <v>93</v>
      </c>
      <c r="O466" s="141">
        <f t="shared" ref="O466:O541" si="336">B466</f>
        <v>244146</v>
      </c>
      <c r="P466" s="141">
        <f t="shared" ref="P466:P541" si="337">B466+7</f>
        <v>244153</v>
      </c>
      <c r="Q466" s="141">
        <f t="shared" ref="Q466:Q541" si="338">O466+2</f>
        <v>244148</v>
      </c>
      <c r="R466" s="139" t="s">
        <v>55</v>
      </c>
      <c r="S466" s="143">
        <v>244147</v>
      </c>
      <c r="T466" s="139"/>
      <c r="U466" s="143"/>
      <c r="V466" s="139" t="s">
        <v>55</v>
      </c>
      <c r="W466" s="143">
        <v>244158</v>
      </c>
      <c r="X466" s="119"/>
      <c r="Y466" s="141"/>
      <c r="Z466" s="119" t="s">
        <v>1581</v>
      </c>
      <c r="AA466" s="144">
        <f t="shared" si="335"/>
        <v>5</v>
      </c>
    </row>
    <row r="467" spans="1:27" s="145" customFormat="1" ht="36" customHeight="1" x14ac:dyDescent="0.25">
      <c r="A467" s="119" t="s">
        <v>23</v>
      </c>
      <c r="B467" s="139">
        <v>244146</v>
      </c>
      <c r="C467" s="119" t="s">
        <v>14</v>
      </c>
      <c r="D467" s="166">
        <v>680365</v>
      </c>
      <c r="E467" s="119" t="s">
        <v>1540</v>
      </c>
      <c r="F467" s="190">
        <v>68061121</v>
      </c>
      <c r="G467" s="119" t="s">
        <v>1538</v>
      </c>
      <c r="H467" s="187" t="s">
        <v>217</v>
      </c>
      <c r="I467" s="147" t="s">
        <v>428</v>
      </c>
      <c r="J467" s="146">
        <v>126.7</v>
      </c>
      <c r="K467" s="119" t="s">
        <v>207</v>
      </c>
      <c r="L467" s="146">
        <f>127-J467</f>
        <v>0.29999999999999716</v>
      </c>
      <c r="M467" s="119" t="s">
        <v>1541</v>
      </c>
      <c r="N467" s="119" t="s">
        <v>93</v>
      </c>
      <c r="O467" s="141">
        <f t="shared" si="336"/>
        <v>244146</v>
      </c>
      <c r="P467" s="141">
        <f t="shared" si="337"/>
        <v>244153</v>
      </c>
      <c r="Q467" s="141">
        <f t="shared" si="338"/>
        <v>244148</v>
      </c>
      <c r="R467" s="139"/>
      <c r="S467" s="143"/>
      <c r="T467" s="139"/>
      <c r="U467" s="143"/>
      <c r="V467" s="139" t="s">
        <v>55</v>
      </c>
      <c r="W467" s="143">
        <v>25007</v>
      </c>
      <c r="X467" s="139"/>
      <c r="Y467" s="141"/>
      <c r="Z467" s="119" t="s">
        <v>1565</v>
      </c>
      <c r="AA467" s="144">
        <f t="shared" si="335"/>
        <v>-219146</v>
      </c>
    </row>
    <row r="468" spans="1:27" s="145" customFormat="1" ht="36" customHeight="1" x14ac:dyDescent="0.25">
      <c r="A468" s="119" t="s">
        <v>23</v>
      </c>
      <c r="B468" s="139">
        <v>244146</v>
      </c>
      <c r="C468" s="119" t="s">
        <v>14</v>
      </c>
      <c r="D468" s="166">
        <v>680366</v>
      </c>
      <c r="E468" s="119" t="s">
        <v>827</v>
      </c>
      <c r="F468" s="190">
        <v>68061139</v>
      </c>
      <c r="G468" s="119" t="s">
        <v>1542</v>
      </c>
      <c r="H468" s="187" t="s">
        <v>208</v>
      </c>
      <c r="I468" s="147" t="s">
        <v>829</v>
      </c>
      <c r="J468" s="146">
        <v>106.97</v>
      </c>
      <c r="K468" s="119" t="s">
        <v>207</v>
      </c>
      <c r="L468" s="146">
        <f>J468-105</f>
        <v>1.9699999999999989</v>
      </c>
      <c r="M468" s="119" t="s">
        <v>1543</v>
      </c>
      <c r="N468" s="119" t="s">
        <v>93</v>
      </c>
      <c r="O468" s="141">
        <f t="shared" si="336"/>
        <v>244146</v>
      </c>
      <c r="P468" s="141">
        <f t="shared" si="337"/>
        <v>244153</v>
      </c>
      <c r="Q468" s="141">
        <f t="shared" si="338"/>
        <v>244148</v>
      </c>
      <c r="R468" s="139"/>
      <c r="S468" s="143"/>
      <c r="T468" s="139"/>
      <c r="U468" s="143"/>
      <c r="V468" s="139" t="s">
        <v>55</v>
      </c>
      <c r="W468" s="143">
        <v>244158</v>
      </c>
      <c r="X468" s="119"/>
      <c r="Y468" s="141"/>
      <c r="Z468" s="119" t="s">
        <v>1581</v>
      </c>
      <c r="AA468" s="144">
        <f t="shared" si="335"/>
        <v>5</v>
      </c>
    </row>
    <row r="469" spans="1:27" s="145" customFormat="1" ht="36" customHeight="1" x14ac:dyDescent="0.25">
      <c r="A469" s="119" t="s">
        <v>23</v>
      </c>
      <c r="B469" s="139">
        <v>244147</v>
      </c>
      <c r="C469" s="119" t="s">
        <v>14</v>
      </c>
      <c r="D469" s="166">
        <v>680367</v>
      </c>
      <c r="E469" s="119" t="s">
        <v>1540</v>
      </c>
      <c r="F469" s="190">
        <v>68061241</v>
      </c>
      <c r="G469" s="119" t="s">
        <v>1547</v>
      </c>
      <c r="H469" s="187" t="s">
        <v>273</v>
      </c>
      <c r="I469" s="147" t="s">
        <v>428</v>
      </c>
      <c r="J469" s="146" t="s">
        <v>1548</v>
      </c>
      <c r="K469" s="119" t="s">
        <v>1549</v>
      </c>
      <c r="L469" s="146" t="s">
        <v>1550</v>
      </c>
      <c r="M469" s="119" t="s">
        <v>1551</v>
      </c>
      <c r="N469" s="119" t="s">
        <v>93</v>
      </c>
      <c r="O469" s="141">
        <f t="shared" si="336"/>
        <v>244147</v>
      </c>
      <c r="P469" s="141">
        <f t="shared" si="337"/>
        <v>244154</v>
      </c>
      <c r="Q469" s="141">
        <f t="shared" si="338"/>
        <v>244149</v>
      </c>
      <c r="R469" s="139"/>
      <c r="S469" s="143"/>
      <c r="T469" s="139"/>
      <c r="U469" s="143"/>
      <c r="V469" s="139" t="s">
        <v>55</v>
      </c>
      <c r="W469" s="143">
        <v>25007</v>
      </c>
      <c r="X469" s="139"/>
      <c r="Y469" s="141"/>
      <c r="Z469" s="119" t="s">
        <v>1565</v>
      </c>
      <c r="AA469" s="144">
        <f t="shared" si="335"/>
        <v>-219147</v>
      </c>
    </row>
    <row r="470" spans="1:27" s="145" customFormat="1" ht="36" customHeight="1" x14ac:dyDescent="0.25">
      <c r="A470" s="119" t="s">
        <v>23</v>
      </c>
      <c r="B470" s="139">
        <v>244147</v>
      </c>
      <c r="C470" s="119" t="s">
        <v>14</v>
      </c>
      <c r="D470" s="166">
        <v>680368</v>
      </c>
      <c r="E470" s="119" t="s">
        <v>827</v>
      </c>
      <c r="F470" s="190">
        <v>68061240</v>
      </c>
      <c r="G470" s="119" t="s">
        <v>1552</v>
      </c>
      <c r="H470" s="187" t="s">
        <v>226</v>
      </c>
      <c r="I470" s="147" t="s">
        <v>829</v>
      </c>
      <c r="J470" s="146">
        <v>106.68</v>
      </c>
      <c r="K470" s="119" t="s">
        <v>207</v>
      </c>
      <c r="L470" s="146">
        <v>1.68</v>
      </c>
      <c r="M470" s="119" t="s">
        <v>1389</v>
      </c>
      <c r="N470" s="119" t="s">
        <v>93</v>
      </c>
      <c r="O470" s="141">
        <f t="shared" si="336"/>
        <v>244147</v>
      </c>
      <c r="P470" s="141">
        <f t="shared" si="337"/>
        <v>244154</v>
      </c>
      <c r="Q470" s="141">
        <f t="shared" si="338"/>
        <v>244149</v>
      </c>
      <c r="R470" s="139"/>
      <c r="S470" s="143"/>
      <c r="T470" s="139"/>
      <c r="U470" s="143"/>
      <c r="V470" s="139" t="s">
        <v>55</v>
      </c>
      <c r="W470" s="143">
        <v>244158</v>
      </c>
      <c r="X470" s="119"/>
      <c r="Y470" s="141"/>
      <c r="Z470" s="119" t="s">
        <v>1581</v>
      </c>
      <c r="AA470" s="144">
        <f t="shared" si="335"/>
        <v>4</v>
      </c>
    </row>
    <row r="471" spans="1:27" s="145" customFormat="1" ht="36" customHeight="1" x14ac:dyDescent="0.25">
      <c r="A471" s="119" t="s">
        <v>23</v>
      </c>
      <c r="B471" s="139">
        <v>244147</v>
      </c>
      <c r="C471" s="119" t="s">
        <v>14</v>
      </c>
      <c r="D471" s="166">
        <v>680369</v>
      </c>
      <c r="E471" s="119" t="s">
        <v>433</v>
      </c>
      <c r="F471" s="190">
        <v>68061243</v>
      </c>
      <c r="G471" s="119" t="s">
        <v>1553</v>
      </c>
      <c r="H471" s="187" t="s">
        <v>276</v>
      </c>
      <c r="I471" s="147" t="s">
        <v>732</v>
      </c>
      <c r="J471" s="146" t="s">
        <v>918</v>
      </c>
      <c r="K471" s="146" t="s">
        <v>918</v>
      </c>
      <c r="L471" s="146" t="s">
        <v>69</v>
      </c>
      <c r="M471" s="119" t="s">
        <v>1554</v>
      </c>
      <c r="N471" s="119" t="s">
        <v>93</v>
      </c>
      <c r="O471" s="141">
        <f t="shared" si="336"/>
        <v>244147</v>
      </c>
      <c r="P471" s="141">
        <f t="shared" si="337"/>
        <v>244154</v>
      </c>
      <c r="Q471" s="141">
        <f t="shared" si="338"/>
        <v>244149</v>
      </c>
      <c r="R471" s="139"/>
      <c r="S471" s="143"/>
      <c r="T471" s="139"/>
      <c r="U471" s="143"/>
      <c r="V471" s="139" t="s">
        <v>55</v>
      </c>
      <c r="W471" s="143">
        <v>244161</v>
      </c>
      <c r="X471" s="139"/>
      <c r="Y471" s="141"/>
      <c r="Z471" s="119" t="s">
        <v>1627</v>
      </c>
      <c r="AA471" s="144">
        <f t="shared" si="335"/>
        <v>7</v>
      </c>
    </row>
    <row r="472" spans="1:27" s="145" customFormat="1" ht="36" customHeight="1" x14ac:dyDescent="0.25">
      <c r="A472" s="119" t="s">
        <v>23</v>
      </c>
      <c r="B472" s="139">
        <v>244149</v>
      </c>
      <c r="C472" s="119" t="s">
        <v>14</v>
      </c>
      <c r="D472" s="166">
        <v>680370</v>
      </c>
      <c r="E472" s="119" t="s">
        <v>420</v>
      </c>
      <c r="F472" s="190">
        <v>68061406</v>
      </c>
      <c r="G472" s="119" t="s">
        <v>1555</v>
      </c>
      <c r="H472" s="187" t="s">
        <v>289</v>
      </c>
      <c r="I472" s="147" t="s">
        <v>1041</v>
      </c>
      <c r="J472" s="146" t="s">
        <v>1557</v>
      </c>
      <c r="K472" s="119" t="s">
        <v>797</v>
      </c>
      <c r="L472" s="146" t="s">
        <v>1556</v>
      </c>
      <c r="M472" s="119" t="s">
        <v>1558</v>
      </c>
      <c r="N472" s="119" t="s">
        <v>93</v>
      </c>
      <c r="O472" s="141">
        <f t="shared" si="336"/>
        <v>244149</v>
      </c>
      <c r="P472" s="141">
        <f t="shared" si="337"/>
        <v>244156</v>
      </c>
      <c r="Q472" s="141">
        <f t="shared" si="338"/>
        <v>244151</v>
      </c>
      <c r="R472" s="139" t="s">
        <v>55</v>
      </c>
      <c r="S472" s="143">
        <v>244173</v>
      </c>
      <c r="T472" s="139" t="s">
        <v>55</v>
      </c>
      <c r="U472" s="143">
        <v>244173</v>
      </c>
      <c r="V472" s="139" t="s">
        <v>55</v>
      </c>
      <c r="W472" s="143">
        <v>244173</v>
      </c>
      <c r="X472" s="139"/>
      <c r="Y472" s="141"/>
      <c r="Z472" s="119" t="s">
        <v>420</v>
      </c>
      <c r="AA472" s="144">
        <f t="shared" si="335"/>
        <v>17</v>
      </c>
    </row>
    <row r="473" spans="1:27" s="145" customFormat="1" ht="36" customHeight="1" x14ac:dyDescent="0.25">
      <c r="A473" s="119" t="s">
        <v>23</v>
      </c>
      <c r="B473" s="139">
        <v>244151</v>
      </c>
      <c r="C473" s="119" t="s">
        <v>14</v>
      </c>
      <c r="D473" s="166">
        <v>680371</v>
      </c>
      <c r="E473" s="119" t="s">
        <v>420</v>
      </c>
      <c r="F473" s="190">
        <v>68061601</v>
      </c>
      <c r="G473" s="119" t="s">
        <v>1561</v>
      </c>
      <c r="H473" s="187" t="s">
        <v>254</v>
      </c>
      <c r="I473" s="147" t="s">
        <v>1041</v>
      </c>
      <c r="J473" s="146">
        <v>119.95</v>
      </c>
      <c r="K473" s="119" t="s">
        <v>411</v>
      </c>
      <c r="L473" s="146">
        <f>121-J473</f>
        <v>1.0499999999999972</v>
      </c>
      <c r="M473" s="119" t="s">
        <v>1562</v>
      </c>
      <c r="N473" s="119" t="s">
        <v>93</v>
      </c>
      <c r="O473" s="141">
        <f t="shared" si="336"/>
        <v>244151</v>
      </c>
      <c r="P473" s="141">
        <f t="shared" si="337"/>
        <v>244158</v>
      </c>
      <c r="Q473" s="141">
        <f t="shared" si="338"/>
        <v>244153</v>
      </c>
      <c r="R473" s="139" t="s">
        <v>55</v>
      </c>
      <c r="S473" s="143">
        <v>244173</v>
      </c>
      <c r="T473" s="139" t="s">
        <v>55</v>
      </c>
      <c r="U473" s="143">
        <v>244173</v>
      </c>
      <c r="V473" s="139" t="s">
        <v>55</v>
      </c>
      <c r="W473" s="143">
        <v>244173</v>
      </c>
      <c r="X473" s="139"/>
      <c r="Y473" s="141"/>
      <c r="Z473" s="119" t="s">
        <v>420</v>
      </c>
      <c r="AA473" s="144">
        <f t="shared" si="335"/>
        <v>15</v>
      </c>
    </row>
    <row r="474" spans="1:27" s="145" customFormat="1" ht="36" customHeight="1" x14ac:dyDescent="0.25">
      <c r="A474" s="119" t="s">
        <v>23</v>
      </c>
      <c r="B474" s="139">
        <v>244152</v>
      </c>
      <c r="C474" s="119" t="s">
        <v>11</v>
      </c>
      <c r="D474" s="166">
        <v>680372</v>
      </c>
      <c r="E474" s="119" t="s">
        <v>983</v>
      </c>
      <c r="F474" s="190" t="s">
        <v>1563</v>
      </c>
      <c r="G474" s="119">
        <v>680618</v>
      </c>
      <c r="H474" s="187" t="s">
        <v>39</v>
      </c>
      <c r="I474" s="147" t="s">
        <v>76</v>
      </c>
      <c r="J474" s="142">
        <v>831</v>
      </c>
      <c r="K474" s="119" t="s">
        <v>124</v>
      </c>
      <c r="L474" s="142">
        <v>109</v>
      </c>
      <c r="M474" s="257" t="s">
        <v>1564</v>
      </c>
      <c r="N474" s="257" t="s">
        <v>53</v>
      </c>
      <c r="O474" s="141">
        <f t="shared" si="336"/>
        <v>244152</v>
      </c>
      <c r="P474" s="141">
        <f t="shared" si="337"/>
        <v>244159</v>
      </c>
      <c r="Q474" s="141">
        <f t="shared" si="338"/>
        <v>244154</v>
      </c>
      <c r="R474" s="139" t="s">
        <v>55</v>
      </c>
      <c r="S474" s="143">
        <v>244154</v>
      </c>
      <c r="T474" s="139" t="s">
        <v>55</v>
      </c>
      <c r="U474" s="143">
        <v>244154</v>
      </c>
      <c r="V474" s="139" t="s">
        <v>55</v>
      </c>
      <c r="W474" s="143">
        <v>244152</v>
      </c>
      <c r="X474" s="139"/>
      <c r="Y474" s="141"/>
      <c r="Z474" s="119" t="s">
        <v>1568</v>
      </c>
      <c r="AA474" s="144">
        <f t="shared" si="335"/>
        <v>-7</v>
      </c>
    </row>
    <row r="475" spans="1:27" s="145" customFormat="1" ht="36" customHeight="1" x14ac:dyDescent="0.25">
      <c r="A475" s="119" t="s">
        <v>23</v>
      </c>
      <c r="B475" s="139">
        <v>244152</v>
      </c>
      <c r="C475" s="119" t="s">
        <v>11</v>
      </c>
      <c r="D475" s="166">
        <v>680372</v>
      </c>
      <c r="E475" s="119" t="s">
        <v>983</v>
      </c>
      <c r="F475" s="190" t="s">
        <v>1563</v>
      </c>
      <c r="G475" s="119">
        <v>680618</v>
      </c>
      <c r="H475" s="187" t="s">
        <v>39</v>
      </c>
      <c r="I475" s="147" t="s">
        <v>61</v>
      </c>
      <c r="J475" s="142">
        <v>49</v>
      </c>
      <c r="K475" s="119" t="s">
        <v>62</v>
      </c>
      <c r="L475" s="142">
        <v>19</v>
      </c>
      <c r="M475" s="258"/>
      <c r="N475" s="258"/>
      <c r="O475" s="141">
        <f t="shared" ref="O475" si="339">B475</f>
        <v>244152</v>
      </c>
      <c r="P475" s="141">
        <f t="shared" ref="P475" si="340">B475+7</f>
        <v>244159</v>
      </c>
      <c r="Q475" s="141">
        <f t="shared" ref="Q475" si="341">O475+2</f>
        <v>244154</v>
      </c>
      <c r="R475" s="139" t="s">
        <v>55</v>
      </c>
      <c r="S475" s="143">
        <v>244154</v>
      </c>
      <c r="T475" s="139" t="s">
        <v>55</v>
      </c>
      <c r="U475" s="143">
        <v>244154</v>
      </c>
      <c r="V475" s="139" t="s">
        <v>55</v>
      </c>
      <c r="W475" s="143">
        <v>244152</v>
      </c>
      <c r="X475" s="139"/>
      <c r="Y475" s="141"/>
      <c r="Z475" s="119" t="s">
        <v>1568</v>
      </c>
      <c r="AA475" s="144">
        <f t="shared" si="335"/>
        <v>-7</v>
      </c>
    </row>
    <row r="476" spans="1:27" s="145" customFormat="1" ht="36" customHeight="1" x14ac:dyDescent="0.25">
      <c r="A476" s="119" t="s">
        <v>23</v>
      </c>
      <c r="B476" s="139">
        <v>244153</v>
      </c>
      <c r="C476" s="119" t="s">
        <v>11</v>
      </c>
      <c r="D476" s="166">
        <v>680373</v>
      </c>
      <c r="E476" s="119" t="s">
        <v>424</v>
      </c>
      <c r="F476" s="190" t="s">
        <v>1566</v>
      </c>
      <c r="G476" s="119">
        <v>680620</v>
      </c>
      <c r="H476" s="187" t="s">
        <v>39</v>
      </c>
      <c r="I476" s="147" t="s">
        <v>76</v>
      </c>
      <c r="J476" s="142">
        <v>1146</v>
      </c>
      <c r="K476" s="119" t="s">
        <v>123</v>
      </c>
      <c r="L476" s="142">
        <v>11</v>
      </c>
      <c r="M476" s="257" t="s">
        <v>1567</v>
      </c>
      <c r="N476" s="257" t="s">
        <v>53</v>
      </c>
      <c r="O476" s="141">
        <f t="shared" si="336"/>
        <v>244153</v>
      </c>
      <c r="P476" s="141">
        <f t="shared" si="337"/>
        <v>244160</v>
      </c>
      <c r="Q476" s="141">
        <f t="shared" si="338"/>
        <v>244155</v>
      </c>
      <c r="R476" s="139" t="s">
        <v>55</v>
      </c>
      <c r="S476" s="143">
        <v>244154</v>
      </c>
      <c r="T476" s="139" t="s">
        <v>55</v>
      </c>
      <c r="U476" s="143">
        <v>244154</v>
      </c>
      <c r="V476" s="139" t="s">
        <v>55</v>
      </c>
      <c r="W476" s="143">
        <v>244153</v>
      </c>
      <c r="X476" s="119"/>
      <c r="Y476" s="141"/>
      <c r="Z476" s="119" t="s">
        <v>1569</v>
      </c>
      <c r="AA476" s="144">
        <f t="shared" si="335"/>
        <v>-7</v>
      </c>
    </row>
    <row r="477" spans="1:27" s="145" customFormat="1" ht="36" customHeight="1" x14ac:dyDescent="0.25">
      <c r="A477" s="119" t="s">
        <v>23</v>
      </c>
      <c r="B477" s="139">
        <v>244153</v>
      </c>
      <c r="C477" s="119" t="s">
        <v>11</v>
      </c>
      <c r="D477" s="166">
        <v>680373</v>
      </c>
      <c r="E477" s="119" t="s">
        <v>424</v>
      </c>
      <c r="F477" s="190" t="s">
        <v>1566</v>
      </c>
      <c r="G477" s="119">
        <v>680620</v>
      </c>
      <c r="H477" s="187" t="s">
        <v>39</v>
      </c>
      <c r="I477" s="147" t="s">
        <v>61</v>
      </c>
      <c r="J477" s="142">
        <v>35</v>
      </c>
      <c r="K477" s="119" t="s">
        <v>62</v>
      </c>
      <c r="L477" s="142">
        <v>5</v>
      </c>
      <c r="M477" s="258"/>
      <c r="N477" s="258"/>
      <c r="O477" s="141">
        <f t="shared" ref="O477" si="342">B477</f>
        <v>244153</v>
      </c>
      <c r="P477" s="141">
        <f t="shared" ref="P477" si="343">B477+7</f>
        <v>244160</v>
      </c>
      <c r="Q477" s="141">
        <f t="shared" ref="Q477" si="344">O477+2</f>
        <v>244155</v>
      </c>
      <c r="R477" s="139" t="s">
        <v>55</v>
      </c>
      <c r="S477" s="143">
        <v>244154</v>
      </c>
      <c r="T477" s="139" t="s">
        <v>55</v>
      </c>
      <c r="U477" s="143">
        <v>244154</v>
      </c>
      <c r="V477" s="139" t="s">
        <v>55</v>
      </c>
      <c r="W477" s="143">
        <v>244153</v>
      </c>
      <c r="X477" s="119"/>
      <c r="Y477" s="141"/>
      <c r="Z477" s="119" t="s">
        <v>1569</v>
      </c>
      <c r="AA477" s="144">
        <f t="shared" si="335"/>
        <v>-7</v>
      </c>
    </row>
    <row r="478" spans="1:27" s="145" customFormat="1" ht="36" customHeight="1" x14ac:dyDescent="0.25">
      <c r="A478" s="119" t="s">
        <v>23</v>
      </c>
      <c r="B478" s="139">
        <v>244153</v>
      </c>
      <c r="C478" s="119" t="s">
        <v>11</v>
      </c>
      <c r="D478" s="166">
        <v>680374</v>
      </c>
      <c r="E478" s="119" t="s">
        <v>1570</v>
      </c>
      <c r="F478" s="190" t="s">
        <v>1571</v>
      </c>
      <c r="G478" s="119">
        <v>680621</v>
      </c>
      <c r="H478" s="187" t="s">
        <v>39</v>
      </c>
      <c r="I478" s="147" t="s">
        <v>76</v>
      </c>
      <c r="J478" s="119">
        <v>735</v>
      </c>
      <c r="K478" s="119" t="s">
        <v>123</v>
      </c>
      <c r="L478" s="146">
        <v>15</v>
      </c>
      <c r="M478" s="257" t="s">
        <v>1572</v>
      </c>
      <c r="N478" s="257" t="s">
        <v>53</v>
      </c>
      <c r="O478" s="141">
        <f t="shared" si="336"/>
        <v>244153</v>
      </c>
      <c r="P478" s="141">
        <f t="shared" si="337"/>
        <v>244160</v>
      </c>
      <c r="Q478" s="141">
        <f t="shared" si="338"/>
        <v>244155</v>
      </c>
      <c r="R478" s="139" t="s">
        <v>55</v>
      </c>
      <c r="S478" s="143">
        <v>244154</v>
      </c>
      <c r="T478" s="139" t="s">
        <v>55</v>
      </c>
      <c r="U478" s="143">
        <v>244154</v>
      </c>
      <c r="V478" s="139" t="s">
        <v>55</v>
      </c>
      <c r="W478" s="143">
        <v>244154</v>
      </c>
      <c r="X478" s="119"/>
      <c r="Y478" s="141"/>
      <c r="Z478" s="119"/>
      <c r="AA478" s="144">
        <f t="shared" si="335"/>
        <v>-6</v>
      </c>
    </row>
    <row r="479" spans="1:27" s="145" customFormat="1" ht="36" customHeight="1" x14ac:dyDescent="0.25">
      <c r="A479" s="119" t="s">
        <v>23</v>
      </c>
      <c r="B479" s="139">
        <v>244153</v>
      </c>
      <c r="C479" s="119" t="s">
        <v>11</v>
      </c>
      <c r="D479" s="166">
        <v>680374</v>
      </c>
      <c r="E479" s="119" t="s">
        <v>1570</v>
      </c>
      <c r="F479" s="190" t="s">
        <v>1571</v>
      </c>
      <c r="G479" s="119">
        <v>680621</v>
      </c>
      <c r="H479" s="187" t="s">
        <v>39</v>
      </c>
      <c r="I479" s="147" t="s">
        <v>61</v>
      </c>
      <c r="J479" s="119">
        <v>32</v>
      </c>
      <c r="K479" s="119" t="s">
        <v>62</v>
      </c>
      <c r="L479" s="146">
        <v>2</v>
      </c>
      <c r="M479" s="258"/>
      <c r="N479" s="258"/>
      <c r="O479" s="141">
        <f t="shared" si="336"/>
        <v>244153</v>
      </c>
      <c r="P479" s="141">
        <f t="shared" si="337"/>
        <v>244160</v>
      </c>
      <c r="Q479" s="141">
        <f t="shared" si="338"/>
        <v>244155</v>
      </c>
      <c r="R479" s="139" t="s">
        <v>55</v>
      </c>
      <c r="S479" s="143">
        <v>244154</v>
      </c>
      <c r="T479" s="139" t="s">
        <v>55</v>
      </c>
      <c r="U479" s="143">
        <v>244154</v>
      </c>
      <c r="V479" s="139" t="s">
        <v>55</v>
      </c>
      <c r="W479" s="143">
        <v>244154</v>
      </c>
      <c r="X479" s="139"/>
      <c r="Y479" s="141"/>
      <c r="Z479" s="119"/>
      <c r="AA479" s="144">
        <f t="shared" si="335"/>
        <v>-6</v>
      </c>
    </row>
    <row r="480" spans="1:27" s="145" customFormat="1" ht="36" customHeight="1" x14ac:dyDescent="0.25">
      <c r="A480" s="119" t="s">
        <v>23</v>
      </c>
      <c r="B480" s="139">
        <v>244155</v>
      </c>
      <c r="C480" s="119" t="s">
        <v>14</v>
      </c>
      <c r="D480" s="166">
        <v>680375</v>
      </c>
      <c r="E480" s="119" t="s">
        <v>307</v>
      </c>
      <c r="F480" s="190">
        <v>68061929</v>
      </c>
      <c r="G480" s="119" t="s">
        <v>1573</v>
      </c>
      <c r="H480" s="187" t="s">
        <v>284</v>
      </c>
      <c r="I480" s="147" t="s">
        <v>308</v>
      </c>
      <c r="J480" s="119">
        <v>62.29</v>
      </c>
      <c r="K480" s="119" t="s">
        <v>201</v>
      </c>
      <c r="L480" s="146">
        <f>64-J480</f>
        <v>1.7100000000000009</v>
      </c>
      <c r="M480" s="119" t="s">
        <v>1574</v>
      </c>
      <c r="N480" s="119" t="s">
        <v>93</v>
      </c>
      <c r="O480" s="141">
        <f t="shared" si="336"/>
        <v>244155</v>
      </c>
      <c r="P480" s="141">
        <f t="shared" si="337"/>
        <v>244162</v>
      </c>
      <c r="Q480" s="141">
        <f t="shared" si="338"/>
        <v>244157</v>
      </c>
      <c r="R480" s="139"/>
      <c r="S480" s="143"/>
      <c r="T480" s="139"/>
      <c r="U480" s="143"/>
      <c r="V480" s="139" t="s">
        <v>55</v>
      </c>
      <c r="W480" s="143">
        <v>244163</v>
      </c>
      <c r="X480" s="139"/>
      <c r="Y480" s="141"/>
      <c r="Z480" s="119" t="s">
        <v>1663</v>
      </c>
      <c r="AA480" s="144">
        <f t="shared" si="335"/>
        <v>1</v>
      </c>
    </row>
    <row r="481" spans="1:27" s="145" customFormat="1" ht="36" customHeight="1" x14ac:dyDescent="0.25">
      <c r="A481" s="119" t="s">
        <v>23</v>
      </c>
      <c r="B481" s="139">
        <v>244155</v>
      </c>
      <c r="C481" s="119" t="s">
        <v>11</v>
      </c>
      <c r="D481" s="166">
        <v>680376</v>
      </c>
      <c r="E481" s="119" t="s">
        <v>1575</v>
      </c>
      <c r="F481" s="190" t="s">
        <v>1576</v>
      </c>
      <c r="G481" s="119">
        <v>680623</v>
      </c>
      <c r="H481" s="187" t="s">
        <v>39</v>
      </c>
      <c r="I481" s="147" t="s">
        <v>76</v>
      </c>
      <c r="J481" s="119">
        <v>874</v>
      </c>
      <c r="K481" s="119" t="s">
        <v>123</v>
      </c>
      <c r="L481" s="142">
        <v>24</v>
      </c>
      <c r="M481" s="257" t="s">
        <v>1577</v>
      </c>
      <c r="N481" s="257" t="s">
        <v>53</v>
      </c>
      <c r="O481" s="141">
        <f t="shared" si="336"/>
        <v>244155</v>
      </c>
      <c r="P481" s="141">
        <f t="shared" si="337"/>
        <v>244162</v>
      </c>
      <c r="Q481" s="141">
        <f t="shared" si="338"/>
        <v>244157</v>
      </c>
      <c r="R481" s="139" t="s">
        <v>55</v>
      </c>
      <c r="S481" s="143">
        <v>244155</v>
      </c>
      <c r="T481" s="139" t="s">
        <v>55</v>
      </c>
      <c r="U481" s="143">
        <v>244159</v>
      </c>
      <c r="V481" s="139" t="s">
        <v>55</v>
      </c>
      <c r="W481" s="143">
        <v>244155</v>
      </c>
      <c r="X481" s="139"/>
      <c r="Y481" s="141"/>
      <c r="Z481" s="119" t="s">
        <v>1578</v>
      </c>
      <c r="AA481" s="144">
        <f t="shared" si="335"/>
        <v>-7</v>
      </c>
    </row>
    <row r="482" spans="1:27" s="145" customFormat="1" ht="36" customHeight="1" x14ac:dyDescent="0.25">
      <c r="A482" s="119" t="s">
        <v>23</v>
      </c>
      <c r="B482" s="139">
        <v>244155</v>
      </c>
      <c r="C482" s="119" t="s">
        <v>11</v>
      </c>
      <c r="D482" s="166">
        <v>680376</v>
      </c>
      <c r="E482" s="119" t="s">
        <v>1575</v>
      </c>
      <c r="F482" s="190" t="s">
        <v>1576</v>
      </c>
      <c r="G482" s="119">
        <v>680623</v>
      </c>
      <c r="H482" s="187" t="s">
        <v>39</v>
      </c>
      <c r="I482" s="147" t="s">
        <v>61</v>
      </c>
      <c r="J482" s="119">
        <v>37</v>
      </c>
      <c r="K482" s="119" t="s">
        <v>62</v>
      </c>
      <c r="L482" s="142">
        <v>7</v>
      </c>
      <c r="M482" s="258"/>
      <c r="N482" s="258"/>
      <c r="O482" s="141">
        <f t="shared" ref="O482" si="345">B482</f>
        <v>244155</v>
      </c>
      <c r="P482" s="141">
        <f t="shared" ref="P482" si="346">B482+7</f>
        <v>244162</v>
      </c>
      <c r="Q482" s="141">
        <f t="shared" ref="Q482" si="347">O482+2</f>
        <v>244157</v>
      </c>
      <c r="R482" s="139" t="s">
        <v>55</v>
      </c>
      <c r="S482" s="143">
        <v>244155</v>
      </c>
      <c r="T482" s="139" t="s">
        <v>55</v>
      </c>
      <c r="U482" s="143">
        <v>244159</v>
      </c>
      <c r="V482" s="139" t="s">
        <v>55</v>
      </c>
      <c r="W482" s="143">
        <v>244155</v>
      </c>
      <c r="X482" s="139"/>
      <c r="Y482" s="141"/>
      <c r="Z482" s="119" t="s">
        <v>1578</v>
      </c>
      <c r="AA482" s="144">
        <f t="shared" si="335"/>
        <v>-7</v>
      </c>
    </row>
    <row r="483" spans="1:27" s="145" customFormat="1" ht="36" customHeight="1" x14ac:dyDescent="0.25">
      <c r="A483" s="119" t="s">
        <v>23</v>
      </c>
      <c r="B483" s="139">
        <v>244156</v>
      </c>
      <c r="C483" s="119" t="s">
        <v>14</v>
      </c>
      <c r="D483" s="166">
        <v>680377</v>
      </c>
      <c r="E483" s="119" t="s">
        <v>1540</v>
      </c>
      <c r="F483" s="190">
        <v>68062137</v>
      </c>
      <c r="G483" s="119" t="s">
        <v>1579</v>
      </c>
      <c r="H483" s="187" t="s">
        <v>247</v>
      </c>
      <c r="I483" s="147" t="s">
        <v>428</v>
      </c>
      <c r="J483" s="146">
        <v>132.61000000000001</v>
      </c>
      <c r="K483" s="119" t="s">
        <v>207</v>
      </c>
      <c r="L483" s="146">
        <f>J483-129</f>
        <v>3.6100000000000136</v>
      </c>
      <c r="M483" s="119" t="s">
        <v>1580</v>
      </c>
      <c r="N483" s="119" t="s">
        <v>93</v>
      </c>
      <c r="O483" s="141">
        <f t="shared" si="336"/>
        <v>244156</v>
      </c>
      <c r="P483" s="141">
        <f t="shared" si="337"/>
        <v>244163</v>
      </c>
      <c r="Q483" s="141">
        <f t="shared" si="338"/>
        <v>244158</v>
      </c>
      <c r="R483" s="139"/>
      <c r="S483" s="143"/>
      <c r="T483" s="139"/>
      <c r="U483" s="143"/>
      <c r="V483" s="139" t="s">
        <v>55</v>
      </c>
      <c r="W483" s="143">
        <v>244159</v>
      </c>
      <c r="X483" s="139"/>
      <c r="Y483" s="141"/>
      <c r="Z483" s="119" t="s">
        <v>579</v>
      </c>
      <c r="AA483" s="144">
        <f t="shared" si="335"/>
        <v>-4</v>
      </c>
    </row>
    <row r="484" spans="1:27" s="145" customFormat="1" ht="36" customHeight="1" x14ac:dyDescent="0.25">
      <c r="A484" s="119" t="s">
        <v>23</v>
      </c>
      <c r="B484" s="139">
        <v>244158</v>
      </c>
      <c r="C484" s="119" t="s">
        <v>14</v>
      </c>
      <c r="D484" s="166">
        <v>680378</v>
      </c>
      <c r="E484" s="119" t="s">
        <v>1540</v>
      </c>
      <c r="F484" s="190">
        <v>68062322</v>
      </c>
      <c r="G484" s="119" t="s">
        <v>1582</v>
      </c>
      <c r="H484" s="187" t="s">
        <v>289</v>
      </c>
      <c r="I484" s="147" t="s">
        <v>428</v>
      </c>
      <c r="J484" s="146">
        <v>133.15</v>
      </c>
      <c r="K484" s="119" t="s">
        <v>207</v>
      </c>
      <c r="L484" s="146">
        <f>J484-129</f>
        <v>4.1500000000000057</v>
      </c>
      <c r="M484" s="119" t="s">
        <v>1583</v>
      </c>
      <c r="N484" s="119" t="s">
        <v>93</v>
      </c>
      <c r="O484" s="141">
        <f t="shared" si="336"/>
        <v>244158</v>
      </c>
      <c r="P484" s="141">
        <f t="shared" si="337"/>
        <v>244165</v>
      </c>
      <c r="Q484" s="141">
        <f t="shared" si="338"/>
        <v>244160</v>
      </c>
      <c r="R484" s="139"/>
      <c r="S484" s="143"/>
      <c r="T484" s="139"/>
      <c r="U484" s="143"/>
      <c r="V484" s="139" t="s">
        <v>55</v>
      </c>
      <c r="W484" s="143">
        <v>244159</v>
      </c>
      <c r="X484" s="139"/>
      <c r="Y484" s="141"/>
      <c r="Z484" s="119" t="s">
        <v>579</v>
      </c>
      <c r="AA484" s="144">
        <f t="shared" si="335"/>
        <v>-6</v>
      </c>
    </row>
    <row r="485" spans="1:27" s="145" customFormat="1" ht="36" customHeight="1" x14ac:dyDescent="0.25">
      <c r="A485" s="119" t="s">
        <v>23</v>
      </c>
      <c r="B485" s="139">
        <v>244158</v>
      </c>
      <c r="C485" s="119" t="s">
        <v>14</v>
      </c>
      <c r="D485" s="166">
        <v>680378</v>
      </c>
      <c r="E485" s="119" t="s">
        <v>1540</v>
      </c>
      <c r="F485" s="190">
        <v>68062336</v>
      </c>
      <c r="G485" s="119" t="s">
        <v>1584</v>
      </c>
      <c r="H485" s="187" t="s">
        <v>238</v>
      </c>
      <c r="I485" s="147" t="s">
        <v>428</v>
      </c>
      <c r="J485" s="146">
        <v>134.28</v>
      </c>
      <c r="K485" s="119" t="s">
        <v>207</v>
      </c>
      <c r="L485" s="146">
        <f>J485-129</f>
        <v>5.2800000000000011</v>
      </c>
      <c r="M485" s="119" t="s">
        <v>1585</v>
      </c>
      <c r="N485" s="119" t="s">
        <v>93</v>
      </c>
      <c r="O485" s="141">
        <f t="shared" ref="O485" si="348">B485</f>
        <v>244158</v>
      </c>
      <c r="P485" s="141">
        <f t="shared" ref="P485" si="349">B485+7</f>
        <v>244165</v>
      </c>
      <c r="Q485" s="141">
        <f t="shared" ref="Q485" si="350">O485+2</f>
        <v>244160</v>
      </c>
      <c r="R485" s="139"/>
      <c r="S485" s="143"/>
      <c r="T485" s="139"/>
      <c r="U485" s="143"/>
      <c r="V485" s="139" t="s">
        <v>55</v>
      </c>
      <c r="W485" s="143">
        <v>244159</v>
      </c>
      <c r="X485" s="139"/>
      <c r="Y485" s="141"/>
      <c r="Z485" s="119" t="s">
        <v>579</v>
      </c>
      <c r="AA485" s="144">
        <f t="shared" si="335"/>
        <v>-6</v>
      </c>
    </row>
    <row r="486" spans="1:27" s="145" customFormat="1" ht="36" customHeight="1" x14ac:dyDescent="0.25">
      <c r="A486" s="119" t="s">
        <v>23</v>
      </c>
      <c r="B486" s="139">
        <v>244158</v>
      </c>
      <c r="C486" s="119" t="s">
        <v>11</v>
      </c>
      <c r="D486" s="166">
        <v>680379</v>
      </c>
      <c r="E486" s="119" t="s">
        <v>1599</v>
      </c>
      <c r="F486" s="190" t="s">
        <v>1598</v>
      </c>
      <c r="G486" s="119">
        <v>680630</v>
      </c>
      <c r="H486" s="187" t="s">
        <v>135</v>
      </c>
      <c r="I486" s="147" t="s">
        <v>76</v>
      </c>
      <c r="J486" s="142">
        <v>902</v>
      </c>
      <c r="K486" s="119" t="s">
        <v>124</v>
      </c>
      <c r="L486" s="142">
        <v>28</v>
      </c>
      <c r="M486" s="257" t="s">
        <v>555</v>
      </c>
      <c r="N486" s="257" t="s">
        <v>53</v>
      </c>
      <c r="O486" s="141">
        <f t="shared" si="336"/>
        <v>244158</v>
      </c>
      <c r="P486" s="141">
        <f t="shared" si="337"/>
        <v>244165</v>
      </c>
      <c r="Q486" s="141">
        <f t="shared" si="338"/>
        <v>244160</v>
      </c>
      <c r="R486" s="139" t="s">
        <v>55</v>
      </c>
      <c r="S486" s="143">
        <v>244158</v>
      </c>
      <c r="T486" s="139" t="s">
        <v>55</v>
      </c>
      <c r="U486" s="143">
        <v>244160</v>
      </c>
      <c r="V486" s="139" t="s">
        <v>55</v>
      </c>
      <c r="W486" s="143">
        <v>244160</v>
      </c>
      <c r="X486" s="139"/>
      <c r="Y486" s="141"/>
      <c r="Z486" s="119"/>
      <c r="AA486" s="144">
        <f t="shared" si="335"/>
        <v>-5</v>
      </c>
    </row>
    <row r="487" spans="1:27" s="145" customFormat="1" ht="36" customHeight="1" x14ac:dyDescent="0.25">
      <c r="A487" s="119" t="s">
        <v>23</v>
      </c>
      <c r="B487" s="139">
        <v>244158</v>
      </c>
      <c r="C487" s="119" t="s">
        <v>11</v>
      </c>
      <c r="D487" s="166">
        <v>680379</v>
      </c>
      <c r="E487" s="119" t="s">
        <v>1599</v>
      </c>
      <c r="F487" s="190" t="s">
        <v>1598</v>
      </c>
      <c r="G487" s="119">
        <v>680630</v>
      </c>
      <c r="H487" s="187" t="s">
        <v>135</v>
      </c>
      <c r="I487" s="147" t="s">
        <v>75</v>
      </c>
      <c r="J487" s="146">
        <v>4.0199999999999996</v>
      </c>
      <c r="K487" s="119" t="s">
        <v>125</v>
      </c>
      <c r="L487" s="146">
        <v>0.02</v>
      </c>
      <c r="M487" s="258"/>
      <c r="N487" s="258"/>
      <c r="O487" s="141">
        <f t="shared" ref="O487" si="351">B487</f>
        <v>244158</v>
      </c>
      <c r="P487" s="141">
        <f t="shared" ref="P487" si="352">B487+7</f>
        <v>244165</v>
      </c>
      <c r="Q487" s="141">
        <f t="shared" ref="Q487" si="353">O487+2</f>
        <v>244160</v>
      </c>
      <c r="R487" s="139" t="s">
        <v>55</v>
      </c>
      <c r="S487" s="143">
        <v>244158</v>
      </c>
      <c r="T487" s="139" t="s">
        <v>55</v>
      </c>
      <c r="U487" s="143">
        <v>244160</v>
      </c>
      <c r="V487" s="139" t="s">
        <v>55</v>
      </c>
      <c r="W487" s="143">
        <v>244160</v>
      </c>
      <c r="X487" s="139"/>
      <c r="Y487" s="141"/>
      <c r="Z487" s="119"/>
      <c r="AA487" s="144">
        <f t="shared" si="335"/>
        <v>-5</v>
      </c>
    </row>
    <row r="488" spans="1:27" s="145" customFormat="1" ht="36" customHeight="1" x14ac:dyDescent="0.25">
      <c r="A488" s="119" t="s">
        <v>23</v>
      </c>
      <c r="B488" s="139">
        <v>244158</v>
      </c>
      <c r="C488" s="119" t="s">
        <v>14</v>
      </c>
      <c r="D488" s="166">
        <v>680380</v>
      </c>
      <c r="E488" s="119" t="s">
        <v>413</v>
      </c>
      <c r="F488" s="190">
        <v>68062348</v>
      </c>
      <c r="G488" s="119" t="s">
        <v>1586</v>
      </c>
      <c r="H488" s="187" t="s">
        <v>249</v>
      </c>
      <c r="I488" s="147" t="s">
        <v>1587</v>
      </c>
      <c r="J488" s="146" t="s">
        <v>1588</v>
      </c>
      <c r="K488" s="119" t="s">
        <v>1589</v>
      </c>
      <c r="L488" s="146" t="s">
        <v>1590</v>
      </c>
      <c r="M488" s="119" t="s">
        <v>1591</v>
      </c>
      <c r="N488" s="119" t="s">
        <v>93</v>
      </c>
      <c r="O488" s="141">
        <f t="shared" si="336"/>
        <v>244158</v>
      </c>
      <c r="P488" s="141">
        <f t="shared" si="337"/>
        <v>244165</v>
      </c>
      <c r="Q488" s="141">
        <f t="shared" si="338"/>
        <v>244160</v>
      </c>
      <c r="R488" s="139"/>
      <c r="S488" s="143"/>
      <c r="T488" s="139"/>
      <c r="U488" s="143"/>
      <c r="V488" s="139" t="s">
        <v>55</v>
      </c>
      <c r="W488" s="143">
        <v>244161</v>
      </c>
      <c r="X488" s="139"/>
      <c r="Y488" s="141"/>
      <c r="Z488" s="119" t="s">
        <v>1627</v>
      </c>
      <c r="AA488" s="144">
        <f t="shared" si="335"/>
        <v>-4</v>
      </c>
    </row>
    <row r="489" spans="1:27" s="226" customFormat="1" ht="36" customHeight="1" x14ac:dyDescent="0.25">
      <c r="A489" s="220" t="s">
        <v>23</v>
      </c>
      <c r="B489" s="221">
        <v>244158</v>
      </c>
      <c r="C489" s="220" t="s">
        <v>14</v>
      </c>
      <c r="D489" s="222">
        <v>680381</v>
      </c>
      <c r="E489" s="220" t="s">
        <v>433</v>
      </c>
      <c r="F489" s="223">
        <v>68062350</v>
      </c>
      <c r="G489" s="220" t="s">
        <v>1592</v>
      </c>
      <c r="H489" s="224" t="s">
        <v>263</v>
      </c>
      <c r="I489" s="220" t="s">
        <v>304</v>
      </c>
      <c r="J489" s="225">
        <v>72.489999999999995</v>
      </c>
      <c r="K489" s="220" t="s">
        <v>411</v>
      </c>
      <c r="L489" s="225">
        <f>76-J489</f>
        <v>3.5100000000000051</v>
      </c>
      <c r="M489" s="220" t="s">
        <v>1593</v>
      </c>
      <c r="N489" s="220" t="s">
        <v>93</v>
      </c>
      <c r="O489" s="221">
        <f t="shared" si="336"/>
        <v>244158</v>
      </c>
      <c r="P489" s="221">
        <f t="shared" si="337"/>
        <v>244165</v>
      </c>
      <c r="Q489" s="221">
        <f t="shared" si="338"/>
        <v>244160</v>
      </c>
      <c r="R489" s="221"/>
      <c r="S489" s="221"/>
      <c r="T489" s="221"/>
      <c r="U489" s="221"/>
      <c r="V489" s="221"/>
      <c r="W489" s="221"/>
      <c r="X489" s="221"/>
      <c r="Y489" s="221"/>
      <c r="Z489" s="220" t="s">
        <v>1608</v>
      </c>
      <c r="AA489" s="144">
        <f t="shared" si="335"/>
        <v>-244165</v>
      </c>
    </row>
    <row r="490" spans="1:27" s="226" customFormat="1" ht="36" customHeight="1" x14ac:dyDescent="0.25">
      <c r="A490" s="220" t="s">
        <v>23</v>
      </c>
      <c r="B490" s="221">
        <v>244158</v>
      </c>
      <c r="C490" s="220" t="s">
        <v>14</v>
      </c>
      <c r="D490" s="222">
        <v>680381</v>
      </c>
      <c r="E490" s="220" t="s">
        <v>433</v>
      </c>
      <c r="F490" s="223">
        <v>68062349</v>
      </c>
      <c r="G490" s="220" t="s">
        <v>1594</v>
      </c>
      <c r="H490" s="224" t="s">
        <v>282</v>
      </c>
      <c r="I490" s="220" t="s">
        <v>304</v>
      </c>
      <c r="J490" s="225">
        <v>73.930000000000007</v>
      </c>
      <c r="K490" s="220" t="s">
        <v>411</v>
      </c>
      <c r="L490" s="225">
        <f>76-J490</f>
        <v>2.0699999999999932</v>
      </c>
      <c r="M490" s="220" t="s">
        <v>1595</v>
      </c>
      <c r="N490" s="220" t="s">
        <v>93</v>
      </c>
      <c r="O490" s="221">
        <f t="shared" ref="O490" si="354">B490</f>
        <v>244158</v>
      </c>
      <c r="P490" s="221">
        <f t="shared" ref="P490" si="355">B490+7</f>
        <v>244165</v>
      </c>
      <c r="Q490" s="221">
        <f t="shared" ref="Q490" si="356">O490+2</f>
        <v>244160</v>
      </c>
      <c r="R490" s="221"/>
      <c r="S490" s="221"/>
      <c r="T490" s="221"/>
      <c r="U490" s="221"/>
      <c r="V490" s="221"/>
      <c r="W490" s="221"/>
      <c r="X490" s="221"/>
      <c r="Y490" s="221"/>
      <c r="Z490" s="220" t="s">
        <v>1608</v>
      </c>
      <c r="AA490" s="144">
        <f t="shared" si="335"/>
        <v>-244165</v>
      </c>
    </row>
    <row r="491" spans="1:27" s="145" customFormat="1" ht="36" customHeight="1" x14ac:dyDescent="0.25">
      <c r="A491" s="119" t="s">
        <v>23</v>
      </c>
      <c r="B491" s="139">
        <v>244158</v>
      </c>
      <c r="C491" s="119" t="s">
        <v>14</v>
      </c>
      <c r="D491" s="166">
        <v>680382</v>
      </c>
      <c r="E491" s="119" t="s">
        <v>307</v>
      </c>
      <c r="F491" s="190">
        <v>68062366</v>
      </c>
      <c r="G491" s="119" t="s">
        <v>1596</v>
      </c>
      <c r="H491" s="187" t="s">
        <v>214</v>
      </c>
      <c r="I491" s="147" t="s">
        <v>308</v>
      </c>
      <c r="J491" s="146">
        <v>61.75</v>
      </c>
      <c r="K491" s="119" t="s">
        <v>201</v>
      </c>
      <c r="L491" s="146">
        <f>64-J491</f>
        <v>2.25</v>
      </c>
      <c r="M491" s="119" t="s">
        <v>1597</v>
      </c>
      <c r="N491" s="119" t="s">
        <v>93</v>
      </c>
      <c r="O491" s="141">
        <f t="shared" si="336"/>
        <v>244158</v>
      </c>
      <c r="P491" s="141">
        <f t="shared" si="337"/>
        <v>244165</v>
      </c>
      <c r="Q491" s="141">
        <f t="shared" si="338"/>
        <v>244160</v>
      </c>
      <c r="R491" s="139"/>
      <c r="S491" s="143"/>
      <c r="T491" s="139"/>
      <c r="U491" s="143"/>
      <c r="V491" s="139" t="s">
        <v>55</v>
      </c>
      <c r="W491" s="143">
        <v>244163</v>
      </c>
      <c r="X491" s="139"/>
      <c r="Y491" s="141"/>
      <c r="Z491" s="119" t="s">
        <v>1663</v>
      </c>
      <c r="AA491" s="144">
        <f t="shared" si="335"/>
        <v>-2</v>
      </c>
    </row>
    <row r="492" spans="1:27" s="145" customFormat="1" ht="36" customHeight="1" x14ac:dyDescent="0.25">
      <c r="A492" s="119" t="s">
        <v>23</v>
      </c>
      <c r="B492" s="139">
        <v>244158</v>
      </c>
      <c r="C492" s="119" t="s">
        <v>11</v>
      </c>
      <c r="D492" s="166">
        <v>680383</v>
      </c>
      <c r="E492" s="119" t="s">
        <v>424</v>
      </c>
      <c r="F492" s="190" t="s">
        <v>1600</v>
      </c>
      <c r="G492" s="119">
        <v>680627</v>
      </c>
      <c r="H492" s="187" t="s">
        <v>135</v>
      </c>
      <c r="I492" s="147" t="s">
        <v>61</v>
      </c>
      <c r="J492" s="142">
        <v>70</v>
      </c>
      <c r="K492" s="119" t="s">
        <v>62</v>
      </c>
      <c r="L492" s="142">
        <v>40</v>
      </c>
      <c r="M492" s="119" t="s">
        <v>1601</v>
      </c>
      <c r="N492" s="119" t="s">
        <v>53</v>
      </c>
      <c r="O492" s="141">
        <f t="shared" si="336"/>
        <v>244158</v>
      </c>
      <c r="P492" s="141">
        <f t="shared" si="337"/>
        <v>244165</v>
      </c>
      <c r="Q492" s="141">
        <f t="shared" si="338"/>
        <v>244160</v>
      </c>
      <c r="R492" s="139" t="s">
        <v>55</v>
      </c>
      <c r="S492" s="143">
        <v>244158</v>
      </c>
      <c r="T492" s="139" t="s">
        <v>55</v>
      </c>
      <c r="U492" s="143">
        <v>244160</v>
      </c>
      <c r="V492" s="139" t="s">
        <v>55</v>
      </c>
      <c r="W492" s="143">
        <v>244160</v>
      </c>
      <c r="X492" s="139"/>
      <c r="Y492" s="141"/>
      <c r="Z492" s="119"/>
      <c r="AA492" s="144">
        <f t="shared" si="335"/>
        <v>-5</v>
      </c>
    </row>
    <row r="493" spans="1:27" s="145" customFormat="1" ht="36" customHeight="1" x14ac:dyDescent="0.25">
      <c r="A493" s="119" t="s">
        <v>23</v>
      </c>
      <c r="B493" s="139">
        <v>244159</v>
      </c>
      <c r="C493" s="119" t="s">
        <v>11</v>
      </c>
      <c r="D493" s="166">
        <v>680384</v>
      </c>
      <c r="E493" s="119" t="s">
        <v>1602</v>
      </c>
      <c r="F493" s="190" t="s">
        <v>1603</v>
      </c>
      <c r="G493" s="119">
        <v>680628</v>
      </c>
      <c r="H493" s="187" t="s">
        <v>39</v>
      </c>
      <c r="I493" s="147" t="s">
        <v>76</v>
      </c>
      <c r="J493" s="142">
        <v>1108</v>
      </c>
      <c r="K493" s="119" t="s">
        <v>123</v>
      </c>
      <c r="L493" s="142">
        <v>48</v>
      </c>
      <c r="M493" s="257">
        <v>217.1</v>
      </c>
      <c r="N493" s="257" t="s">
        <v>53</v>
      </c>
      <c r="O493" s="141">
        <f t="shared" si="336"/>
        <v>244159</v>
      </c>
      <c r="P493" s="141">
        <f t="shared" si="337"/>
        <v>244166</v>
      </c>
      <c r="Q493" s="141">
        <f t="shared" si="338"/>
        <v>244161</v>
      </c>
      <c r="R493" s="139" t="s">
        <v>55</v>
      </c>
      <c r="S493" s="143">
        <v>244162</v>
      </c>
      <c r="T493" s="139" t="s">
        <v>55</v>
      </c>
      <c r="U493" s="143">
        <v>244165</v>
      </c>
      <c r="V493" s="139" t="s">
        <v>55</v>
      </c>
      <c r="W493" s="143">
        <v>244165</v>
      </c>
      <c r="X493" s="139"/>
      <c r="Y493" s="141"/>
      <c r="Z493" s="119" t="s">
        <v>1602</v>
      </c>
      <c r="AA493" s="144">
        <f t="shared" si="335"/>
        <v>-1</v>
      </c>
    </row>
    <row r="494" spans="1:27" s="145" customFormat="1" ht="36" customHeight="1" x14ac:dyDescent="0.25">
      <c r="A494" s="119" t="s">
        <v>23</v>
      </c>
      <c r="B494" s="139">
        <v>244159</v>
      </c>
      <c r="C494" s="119" t="s">
        <v>11</v>
      </c>
      <c r="D494" s="166">
        <v>680384</v>
      </c>
      <c r="E494" s="119" t="s">
        <v>1602</v>
      </c>
      <c r="F494" s="190" t="s">
        <v>1603</v>
      </c>
      <c r="G494" s="119">
        <v>680628</v>
      </c>
      <c r="H494" s="187" t="s">
        <v>39</v>
      </c>
      <c r="I494" s="147" t="s">
        <v>1605</v>
      </c>
      <c r="J494" s="119">
        <v>2.6</v>
      </c>
      <c r="K494" s="119" t="s">
        <v>1604</v>
      </c>
      <c r="L494" s="146">
        <v>0.05</v>
      </c>
      <c r="M494" s="259"/>
      <c r="N494" s="259"/>
      <c r="O494" s="141">
        <f t="shared" si="336"/>
        <v>244159</v>
      </c>
      <c r="P494" s="141">
        <f t="shared" si="337"/>
        <v>244166</v>
      </c>
      <c r="Q494" s="141">
        <f t="shared" si="338"/>
        <v>244161</v>
      </c>
      <c r="R494" s="139" t="s">
        <v>55</v>
      </c>
      <c r="S494" s="143">
        <v>244162</v>
      </c>
      <c r="T494" s="139" t="s">
        <v>55</v>
      </c>
      <c r="U494" s="143">
        <v>244165</v>
      </c>
      <c r="V494" s="139" t="s">
        <v>55</v>
      </c>
      <c r="W494" s="143">
        <v>244165</v>
      </c>
      <c r="X494" s="139"/>
      <c r="Y494" s="141"/>
      <c r="Z494" s="119" t="s">
        <v>1602</v>
      </c>
      <c r="AA494" s="144">
        <f t="shared" si="335"/>
        <v>-1</v>
      </c>
    </row>
    <row r="495" spans="1:27" s="145" customFormat="1" ht="36" customHeight="1" x14ac:dyDescent="0.25">
      <c r="A495" s="119" t="s">
        <v>23</v>
      </c>
      <c r="B495" s="139">
        <v>244159</v>
      </c>
      <c r="C495" s="119" t="s">
        <v>11</v>
      </c>
      <c r="D495" s="166">
        <v>680384</v>
      </c>
      <c r="E495" s="119" t="s">
        <v>1602</v>
      </c>
      <c r="F495" s="190" t="s">
        <v>1603</v>
      </c>
      <c r="G495" s="119">
        <v>680628</v>
      </c>
      <c r="H495" s="187" t="s">
        <v>39</v>
      </c>
      <c r="I495" s="147" t="s">
        <v>84</v>
      </c>
      <c r="J495" s="146">
        <v>3.84</v>
      </c>
      <c r="K495" s="119" t="s">
        <v>127</v>
      </c>
      <c r="L495" s="146">
        <v>0.16</v>
      </c>
      <c r="M495" s="258"/>
      <c r="N495" s="258"/>
      <c r="O495" s="141">
        <f t="shared" si="336"/>
        <v>244159</v>
      </c>
      <c r="P495" s="141">
        <f t="shared" si="337"/>
        <v>244166</v>
      </c>
      <c r="Q495" s="141">
        <f t="shared" si="338"/>
        <v>244161</v>
      </c>
      <c r="R495" s="139" t="s">
        <v>55</v>
      </c>
      <c r="S495" s="143">
        <v>244162</v>
      </c>
      <c r="T495" s="139" t="s">
        <v>55</v>
      </c>
      <c r="U495" s="143">
        <v>244165</v>
      </c>
      <c r="V495" s="139" t="s">
        <v>55</v>
      </c>
      <c r="W495" s="143">
        <v>244165</v>
      </c>
      <c r="X495" s="139"/>
      <c r="Y495" s="141"/>
      <c r="Z495" s="119" t="s">
        <v>1602</v>
      </c>
      <c r="AA495" s="144">
        <f t="shared" si="335"/>
        <v>-1</v>
      </c>
    </row>
    <row r="496" spans="1:27" s="145" customFormat="1" ht="36" customHeight="1" x14ac:dyDescent="0.25">
      <c r="A496" s="119" t="s">
        <v>23</v>
      </c>
      <c r="B496" s="139">
        <v>244159</v>
      </c>
      <c r="C496" s="119" t="s">
        <v>14</v>
      </c>
      <c r="D496" s="166">
        <v>680385</v>
      </c>
      <c r="E496" s="119" t="s">
        <v>1540</v>
      </c>
      <c r="F496" s="190">
        <v>68062408</v>
      </c>
      <c r="G496" s="119" t="s">
        <v>1606</v>
      </c>
      <c r="H496" s="187" t="s">
        <v>277</v>
      </c>
      <c r="I496" s="147" t="s">
        <v>428</v>
      </c>
      <c r="J496" s="146">
        <v>134.69999999999999</v>
      </c>
      <c r="K496" s="119" t="s">
        <v>207</v>
      </c>
      <c r="L496" s="146">
        <f>J496-129</f>
        <v>5.6999999999999886</v>
      </c>
      <c r="M496" s="119" t="s">
        <v>1607</v>
      </c>
      <c r="N496" s="119" t="s">
        <v>93</v>
      </c>
      <c r="O496" s="141">
        <f t="shared" si="336"/>
        <v>244159</v>
      </c>
      <c r="P496" s="141">
        <f t="shared" si="337"/>
        <v>244166</v>
      </c>
      <c r="Q496" s="141">
        <f t="shared" si="338"/>
        <v>244161</v>
      </c>
      <c r="R496" s="139"/>
      <c r="S496" s="143"/>
      <c r="T496" s="139"/>
      <c r="U496" s="143"/>
      <c r="V496" s="139" t="s">
        <v>55</v>
      </c>
      <c r="W496" s="143">
        <v>244159</v>
      </c>
      <c r="X496" s="139"/>
      <c r="Y496" s="141"/>
      <c r="Z496" s="119" t="s">
        <v>579</v>
      </c>
      <c r="AA496" s="144">
        <f t="shared" si="335"/>
        <v>-7</v>
      </c>
    </row>
    <row r="497" spans="1:27" s="145" customFormat="1" ht="36" customHeight="1" x14ac:dyDescent="0.25">
      <c r="A497" s="119" t="s">
        <v>23</v>
      </c>
      <c r="B497" s="139">
        <v>244159</v>
      </c>
      <c r="C497" s="119" t="s">
        <v>14</v>
      </c>
      <c r="D497" s="166">
        <v>680386</v>
      </c>
      <c r="E497" s="119" t="s">
        <v>307</v>
      </c>
      <c r="F497" s="190">
        <v>68062438</v>
      </c>
      <c r="G497" s="119" t="s">
        <v>1609</v>
      </c>
      <c r="H497" s="187" t="s">
        <v>281</v>
      </c>
      <c r="I497" s="147" t="s">
        <v>308</v>
      </c>
      <c r="J497" s="146">
        <v>61.73</v>
      </c>
      <c r="K497" s="119" t="s">
        <v>201</v>
      </c>
      <c r="L497" s="146">
        <f>64-J497</f>
        <v>2.2700000000000031</v>
      </c>
      <c r="M497" s="214" t="s">
        <v>1610</v>
      </c>
      <c r="N497" s="119" t="s">
        <v>93</v>
      </c>
      <c r="O497" s="141">
        <f t="shared" si="336"/>
        <v>244159</v>
      </c>
      <c r="P497" s="141">
        <f t="shared" si="337"/>
        <v>244166</v>
      </c>
      <c r="Q497" s="141">
        <f t="shared" si="338"/>
        <v>244161</v>
      </c>
      <c r="R497" s="139"/>
      <c r="S497" s="143"/>
      <c r="T497" s="139"/>
      <c r="U497" s="143"/>
      <c r="V497" s="139" t="s">
        <v>55</v>
      </c>
      <c r="W497" s="143">
        <v>244160</v>
      </c>
      <c r="X497" s="139"/>
      <c r="Y497" s="141"/>
      <c r="Z497" s="119" t="s">
        <v>559</v>
      </c>
      <c r="AA497" s="144">
        <f t="shared" si="335"/>
        <v>-6</v>
      </c>
    </row>
    <row r="498" spans="1:27" s="145" customFormat="1" ht="36" customHeight="1" x14ac:dyDescent="0.25">
      <c r="A498" s="119" t="s">
        <v>23</v>
      </c>
      <c r="B498" s="139">
        <v>244159</v>
      </c>
      <c r="C498" s="119" t="s">
        <v>14</v>
      </c>
      <c r="D498" s="166">
        <v>680387</v>
      </c>
      <c r="E498" s="119" t="s">
        <v>307</v>
      </c>
      <c r="F498" s="190">
        <v>68062437</v>
      </c>
      <c r="G498" s="119" t="s">
        <v>1611</v>
      </c>
      <c r="H498" s="187" t="s">
        <v>219</v>
      </c>
      <c r="I498" s="147" t="s">
        <v>442</v>
      </c>
      <c r="J498" s="142" t="s">
        <v>557</v>
      </c>
      <c r="K498" s="119" t="s">
        <v>1249</v>
      </c>
      <c r="L498" s="142" t="s">
        <v>69</v>
      </c>
      <c r="M498" s="119" t="s">
        <v>1612</v>
      </c>
      <c r="N498" s="119" t="s">
        <v>93</v>
      </c>
      <c r="O498" s="141">
        <f t="shared" si="336"/>
        <v>244159</v>
      </c>
      <c r="P498" s="141">
        <f t="shared" si="337"/>
        <v>244166</v>
      </c>
      <c r="Q498" s="141">
        <f t="shared" si="338"/>
        <v>244161</v>
      </c>
      <c r="R498" s="139"/>
      <c r="S498" s="143"/>
      <c r="T498" s="139"/>
      <c r="U498" s="143"/>
      <c r="V498" s="139" t="s">
        <v>55</v>
      </c>
      <c r="W498" s="143">
        <v>244160</v>
      </c>
      <c r="X498" s="139"/>
      <c r="Y498" s="141"/>
      <c r="Z498" s="119" t="s">
        <v>559</v>
      </c>
      <c r="AA498" s="144">
        <f t="shared" si="335"/>
        <v>-6</v>
      </c>
    </row>
    <row r="499" spans="1:27" s="145" customFormat="1" ht="36" customHeight="1" x14ac:dyDescent="0.25">
      <c r="A499" s="119" t="s">
        <v>23</v>
      </c>
      <c r="B499" s="139">
        <v>244160</v>
      </c>
      <c r="C499" s="119" t="s">
        <v>14</v>
      </c>
      <c r="D499" s="166">
        <v>680388</v>
      </c>
      <c r="E499" s="119" t="s">
        <v>1540</v>
      </c>
      <c r="F499" s="190">
        <v>68062513</v>
      </c>
      <c r="G499" s="119" t="s">
        <v>1613</v>
      </c>
      <c r="H499" s="187" t="s">
        <v>844</v>
      </c>
      <c r="I499" s="147" t="s">
        <v>428</v>
      </c>
      <c r="J499" s="146">
        <v>132.82</v>
      </c>
      <c r="K499" s="119" t="s">
        <v>207</v>
      </c>
      <c r="L499" s="146">
        <f>J499-129</f>
        <v>3.8199999999999932</v>
      </c>
      <c r="M499" s="119" t="s">
        <v>1491</v>
      </c>
      <c r="N499" s="119" t="s">
        <v>93</v>
      </c>
      <c r="O499" s="141">
        <f t="shared" si="336"/>
        <v>244160</v>
      </c>
      <c r="P499" s="141">
        <f t="shared" si="337"/>
        <v>244167</v>
      </c>
      <c r="Q499" s="141">
        <f t="shared" si="338"/>
        <v>244162</v>
      </c>
      <c r="R499" s="139"/>
      <c r="S499" s="143"/>
      <c r="T499" s="139"/>
      <c r="U499" s="143"/>
      <c r="V499" s="139" t="s">
        <v>55</v>
      </c>
      <c r="W499" s="143">
        <v>244160</v>
      </c>
      <c r="X499" s="139"/>
      <c r="Y499" s="141"/>
      <c r="Z499" s="119" t="s">
        <v>1621</v>
      </c>
      <c r="AA499" s="144">
        <f t="shared" si="335"/>
        <v>-7</v>
      </c>
    </row>
    <row r="500" spans="1:27" s="145" customFormat="1" ht="36" customHeight="1" x14ac:dyDescent="0.25">
      <c r="A500" s="119" t="s">
        <v>23</v>
      </c>
      <c r="B500" s="139">
        <v>244160</v>
      </c>
      <c r="C500" s="119" t="s">
        <v>14</v>
      </c>
      <c r="D500" s="166">
        <v>680389</v>
      </c>
      <c r="E500" s="119" t="s">
        <v>1540</v>
      </c>
      <c r="F500" s="190">
        <v>68062515</v>
      </c>
      <c r="G500" s="119" t="s">
        <v>1614</v>
      </c>
      <c r="H500" s="187" t="s">
        <v>247</v>
      </c>
      <c r="I500" s="147" t="s">
        <v>428</v>
      </c>
      <c r="J500" s="146">
        <v>134.51</v>
      </c>
      <c r="K500" s="119" t="s">
        <v>1288</v>
      </c>
      <c r="L500" s="146">
        <f>J500-129</f>
        <v>5.5099999999999909</v>
      </c>
      <c r="M500" s="119" t="s">
        <v>1615</v>
      </c>
      <c r="N500" s="119" t="s">
        <v>93</v>
      </c>
      <c r="O500" s="141">
        <f t="shared" si="336"/>
        <v>244160</v>
      </c>
      <c r="P500" s="141">
        <f t="shared" si="337"/>
        <v>244167</v>
      </c>
      <c r="Q500" s="141">
        <f t="shared" si="338"/>
        <v>244162</v>
      </c>
      <c r="R500" s="139"/>
      <c r="S500" s="143"/>
      <c r="T500" s="139"/>
      <c r="U500" s="143"/>
      <c r="V500" s="139" t="s">
        <v>55</v>
      </c>
      <c r="W500" s="143">
        <v>244160</v>
      </c>
      <c r="X500" s="139"/>
      <c r="Y500" s="141"/>
      <c r="Z500" s="119" t="s">
        <v>1621</v>
      </c>
      <c r="AA500" s="144">
        <f t="shared" si="335"/>
        <v>-7</v>
      </c>
    </row>
    <row r="501" spans="1:27" s="145" customFormat="1" ht="36" customHeight="1" x14ac:dyDescent="0.25">
      <c r="A501" s="119" t="s">
        <v>23</v>
      </c>
      <c r="B501" s="139">
        <v>244160</v>
      </c>
      <c r="C501" s="119" t="s">
        <v>132</v>
      </c>
      <c r="D501" s="166">
        <v>680390</v>
      </c>
      <c r="E501" s="119" t="s">
        <v>585</v>
      </c>
      <c r="F501" s="190" t="s">
        <v>586</v>
      </c>
      <c r="G501" s="119" t="s">
        <v>1616</v>
      </c>
      <c r="H501" s="187" t="s">
        <v>1617</v>
      </c>
      <c r="I501" s="147" t="s">
        <v>203</v>
      </c>
      <c r="J501" s="146" t="s">
        <v>1618</v>
      </c>
      <c r="K501" s="146" t="s">
        <v>1618</v>
      </c>
      <c r="L501" s="146" t="s">
        <v>346</v>
      </c>
      <c r="M501" s="119">
        <v>1</v>
      </c>
      <c r="N501" s="119" t="s">
        <v>52</v>
      </c>
      <c r="O501" s="141">
        <f t="shared" si="336"/>
        <v>244160</v>
      </c>
      <c r="P501" s="141">
        <f t="shared" si="337"/>
        <v>244167</v>
      </c>
      <c r="Q501" s="141">
        <f t="shared" si="338"/>
        <v>244162</v>
      </c>
      <c r="R501" s="139"/>
      <c r="S501" s="143"/>
      <c r="T501" s="139"/>
      <c r="U501" s="143"/>
      <c r="V501" s="139"/>
      <c r="W501" s="143"/>
      <c r="X501" s="139"/>
      <c r="Y501" s="141"/>
      <c r="Z501" s="119"/>
      <c r="AA501" s="144">
        <f t="shared" si="335"/>
        <v>-244167</v>
      </c>
    </row>
    <row r="502" spans="1:27" s="145" customFormat="1" ht="36" customHeight="1" x14ac:dyDescent="0.25">
      <c r="A502" s="119" t="s">
        <v>23</v>
      </c>
      <c r="B502" s="139">
        <v>244160</v>
      </c>
      <c r="C502" s="119" t="s">
        <v>14</v>
      </c>
      <c r="D502" s="166">
        <v>680391</v>
      </c>
      <c r="E502" s="119" t="s">
        <v>433</v>
      </c>
      <c r="F502" s="190">
        <v>68062531</v>
      </c>
      <c r="G502" s="119" t="s">
        <v>1619</v>
      </c>
      <c r="H502" s="187" t="s">
        <v>285</v>
      </c>
      <c r="I502" s="147" t="s">
        <v>304</v>
      </c>
      <c r="J502" s="146">
        <v>75.81</v>
      </c>
      <c r="K502" s="119" t="s">
        <v>411</v>
      </c>
      <c r="L502" s="146">
        <f>76-J502</f>
        <v>0.18999999999999773</v>
      </c>
      <c r="M502" s="119" t="s">
        <v>1620</v>
      </c>
      <c r="N502" s="119" t="s">
        <v>93</v>
      </c>
      <c r="O502" s="141">
        <f t="shared" si="336"/>
        <v>244160</v>
      </c>
      <c r="P502" s="141">
        <f t="shared" si="337"/>
        <v>244167</v>
      </c>
      <c r="Q502" s="141">
        <f t="shared" si="338"/>
        <v>244162</v>
      </c>
      <c r="R502" s="139"/>
      <c r="S502" s="143"/>
      <c r="T502" s="139"/>
      <c r="U502" s="143"/>
      <c r="V502" s="139" t="s">
        <v>55</v>
      </c>
      <c r="W502" s="143">
        <v>244161</v>
      </c>
      <c r="X502" s="139"/>
      <c r="Y502" s="141"/>
      <c r="Z502" s="119" t="s">
        <v>1638</v>
      </c>
      <c r="AA502" s="144">
        <f t="shared" si="335"/>
        <v>-6</v>
      </c>
    </row>
    <row r="503" spans="1:27" s="145" customFormat="1" ht="36" customHeight="1" x14ac:dyDescent="0.25">
      <c r="A503" s="119" t="s">
        <v>23</v>
      </c>
      <c r="B503" s="139">
        <v>244160</v>
      </c>
      <c r="C503" s="119" t="s">
        <v>14</v>
      </c>
      <c r="D503" s="166">
        <v>680392</v>
      </c>
      <c r="E503" s="119" t="s">
        <v>1540</v>
      </c>
      <c r="F503" s="190">
        <v>68062535</v>
      </c>
      <c r="G503" s="119" t="s">
        <v>1622</v>
      </c>
      <c r="H503" s="187" t="s">
        <v>218</v>
      </c>
      <c r="I503" s="147" t="s">
        <v>428</v>
      </c>
      <c r="J503" s="146">
        <v>134.05000000000001</v>
      </c>
      <c r="K503" s="119" t="s">
        <v>207</v>
      </c>
      <c r="L503" s="146">
        <f>J503-129</f>
        <v>5.0500000000000114</v>
      </c>
      <c r="M503" s="119" t="s">
        <v>1623</v>
      </c>
      <c r="N503" s="119" t="s">
        <v>93</v>
      </c>
      <c r="O503" s="141">
        <f t="shared" si="336"/>
        <v>244160</v>
      </c>
      <c r="P503" s="141">
        <f t="shared" si="337"/>
        <v>244167</v>
      </c>
      <c r="Q503" s="141">
        <f t="shared" si="338"/>
        <v>244162</v>
      </c>
      <c r="R503" s="139"/>
      <c r="S503" s="143"/>
      <c r="T503" s="139"/>
      <c r="U503" s="143"/>
      <c r="V503" s="139" t="s">
        <v>55</v>
      </c>
      <c r="W503" s="143">
        <v>244160</v>
      </c>
      <c r="X503" s="139"/>
      <c r="Y503" s="141"/>
      <c r="Z503" s="119" t="s">
        <v>1621</v>
      </c>
      <c r="AA503" s="144">
        <f t="shared" si="335"/>
        <v>-7</v>
      </c>
    </row>
    <row r="504" spans="1:27" s="145" customFormat="1" ht="36" customHeight="1" x14ac:dyDescent="0.25">
      <c r="A504" s="119" t="s">
        <v>23</v>
      </c>
      <c r="B504" s="139">
        <v>244160</v>
      </c>
      <c r="C504" s="119" t="s">
        <v>14</v>
      </c>
      <c r="D504" s="166">
        <v>680393</v>
      </c>
      <c r="E504" s="119" t="s">
        <v>1540</v>
      </c>
      <c r="F504" s="190">
        <v>68062563</v>
      </c>
      <c r="G504" s="119" t="s">
        <v>1624</v>
      </c>
      <c r="H504" s="187" t="s">
        <v>226</v>
      </c>
      <c r="I504" s="147" t="s">
        <v>428</v>
      </c>
      <c r="J504" s="146">
        <v>122.72</v>
      </c>
      <c r="K504" s="119" t="s">
        <v>411</v>
      </c>
      <c r="L504" s="146">
        <f>127-J504</f>
        <v>4.2800000000000011</v>
      </c>
      <c r="M504" s="119" t="s">
        <v>1625</v>
      </c>
      <c r="N504" s="119" t="s">
        <v>93</v>
      </c>
      <c r="O504" s="141">
        <f t="shared" si="336"/>
        <v>244160</v>
      </c>
      <c r="P504" s="141">
        <f t="shared" si="337"/>
        <v>244167</v>
      </c>
      <c r="Q504" s="141">
        <f t="shared" si="338"/>
        <v>244162</v>
      </c>
      <c r="R504" s="139"/>
      <c r="S504" s="143"/>
      <c r="T504" s="139"/>
      <c r="U504" s="143"/>
      <c r="V504" s="139" t="s">
        <v>55</v>
      </c>
      <c r="W504" s="143">
        <v>244161</v>
      </c>
      <c r="X504" s="139"/>
      <c r="Y504" s="141"/>
      <c r="Z504" s="119" t="s">
        <v>1626</v>
      </c>
      <c r="AA504" s="144">
        <f t="shared" si="335"/>
        <v>-6</v>
      </c>
    </row>
    <row r="505" spans="1:27" s="145" customFormat="1" ht="36" customHeight="1" x14ac:dyDescent="0.25">
      <c r="A505" s="119" t="s">
        <v>23</v>
      </c>
      <c r="B505" s="139">
        <v>244161</v>
      </c>
      <c r="C505" s="119" t="s">
        <v>14</v>
      </c>
      <c r="D505" s="166">
        <v>680394</v>
      </c>
      <c r="E505" s="119" t="s">
        <v>306</v>
      </c>
      <c r="F505" s="190">
        <v>68062609</v>
      </c>
      <c r="G505" s="119" t="s">
        <v>1628</v>
      </c>
      <c r="H505" s="187" t="s">
        <v>239</v>
      </c>
      <c r="I505" s="147" t="s">
        <v>305</v>
      </c>
      <c r="J505" s="146">
        <v>73.5</v>
      </c>
      <c r="K505" s="119" t="s">
        <v>200</v>
      </c>
      <c r="L505" s="146">
        <f>J505-70</f>
        <v>3.5</v>
      </c>
      <c r="M505" s="119" t="s">
        <v>1629</v>
      </c>
      <c r="N505" s="119" t="s">
        <v>93</v>
      </c>
      <c r="O505" s="141">
        <f t="shared" si="336"/>
        <v>244161</v>
      </c>
      <c r="P505" s="141">
        <f t="shared" si="337"/>
        <v>244168</v>
      </c>
      <c r="Q505" s="141">
        <f t="shared" si="338"/>
        <v>244163</v>
      </c>
      <c r="R505" s="139"/>
      <c r="S505" s="143"/>
      <c r="T505" s="139"/>
      <c r="U505" s="143"/>
      <c r="V505" s="139" t="s">
        <v>55</v>
      </c>
      <c r="W505" s="143">
        <v>244161</v>
      </c>
      <c r="X505" s="139"/>
      <c r="Y505" s="141"/>
      <c r="Z505" s="119" t="s">
        <v>1638</v>
      </c>
      <c r="AA505" s="144">
        <f t="shared" si="335"/>
        <v>-7</v>
      </c>
    </row>
    <row r="506" spans="1:27" s="145" customFormat="1" ht="36" customHeight="1" x14ac:dyDescent="0.25">
      <c r="A506" s="119" t="s">
        <v>23</v>
      </c>
      <c r="B506" s="139">
        <v>244161</v>
      </c>
      <c r="C506" s="119" t="s">
        <v>14</v>
      </c>
      <c r="D506" s="166">
        <v>680395</v>
      </c>
      <c r="E506" s="119" t="s">
        <v>433</v>
      </c>
      <c r="F506" s="190">
        <v>68062608</v>
      </c>
      <c r="G506" s="119" t="s">
        <v>1630</v>
      </c>
      <c r="H506" s="187" t="s">
        <v>250</v>
      </c>
      <c r="I506" s="147" t="s">
        <v>304</v>
      </c>
      <c r="J506" s="146">
        <v>85.28</v>
      </c>
      <c r="K506" s="119" t="s">
        <v>207</v>
      </c>
      <c r="L506" s="146">
        <f>J506-78</f>
        <v>7.2800000000000011</v>
      </c>
      <c r="M506" s="119" t="s">
        <v>1631</v>
      </c>
      <c r="N506" s="119" t="s">
        <v>93</v>
      </c>
      <c r="O506" s="141">
        <f t="shared" si="336"/>
        <v>244161</v>
      </c>
      <c r="P506" s="141">
        <f t="shared" si="337"/>
        <v>244168</v>
      </c>
      <c r="Q506" s="141">
        <f t="shared" si="338"/>
        <v>244163</v>
      </c>
      <c r="R506" s="139" t="s">
        <v>55</v>
      </c>
      <c r="S506" s="143">
        <v>244173</v>
      </c>
      <c r="T506" s="139" t="s">
        <v>55</v>
      </c>
      <c r="U506" s="143">
        <v>244173</v>
      </c>
      <c r="V506" s="139" t="s">
        <v>55</v>
      </c>
      <c r="W506" s="143">
        <v>244173</v>
      </c>
      <c r="X506" s="139"/>
      <c r="Y506" s="141"/>
      <c r="Z506" s="119" t="s">
        <v>433</v>
      </c>
      <c r="AA506" s="144">
        <f t="shared" si="335"/>
        <v>5</v>
      </c>
    </row>
    <row r="507" spans="1:27" s="145" customFormat="1" ht="36" customHeight="1" x14ac:dyDescent="0.25">
      <c r="A507" s="119" t="s">
        <v>23</v>
      </c>
      <c r="B507" s="139">
        <v>244161</v>
      </c>
      <c r="C507" s="119" t="s">
        <v>14</v>
      </c>
      <c r="D507" s="166">
        <v>680396</v>
      </c>
      <c r="E507" s="119" t="s">
        <v>1540</v>
      </c>
      <c r="F507" s="190">
        <v>68062627</v>
      </c>
      <c r="G507" s="119" t="s">
        <v>1632</v>
      </c>
      <c r="H507" s="187" t="s">
        <v>1633</v>
      </c>
      <c r="I507" s="147" t="s">
        <v>428</v>
      </c>
      <c r="J507" s="146">
        <v>120.65</v>
      </c>
      <c r="K507" s="119" t="s">
        <v>201</v>
      </c>
      <c r="L507" s="146">
        <f>127-J507</f>
        <v>6.3499999999999943</v>
      </c>
      <c r="M507" s="119" t="s">
        <v>1634</v>
      </c>
      <c r="N507" s="119" t="s">
        <v>93</v>
      </c>
      <c r="O507" s="141">
        <f t="shared" ref="O507" si="357">B507</f>
        <v>244161</v>
      </c>
      <c r="P507" s="141">
        <f t="shared" ref="P507" si="358">B507+7</f>
        <v>244168</v>
      </c>
      <c r="Q507" s="141">
        <f t="shared" ref="Q507" si="359">O507+2</f>
        <v>244163</v>
      </c>
      <c r="R507" s="139"/>
      <c r="S507" s="143"/>
      <c r="T507" s="139"/>
      <c r="U507" s="143"/>
      <c r="V507" s="139" t="s">
        <v>55</v>
      </c>
      <c r="W507" s="143" t="s">
        <v>1655</v>
      </c>
      <c r="X507" s="139"/>
      <c r="Y507" s="141"/>
      <c r="Z507" s="119" t="s">
        <v>1656</v>
      </c>
      <c r="AA507" s="144" t="e">
        <f t="shared" si="335"/>
        <v>#VALUE!</v>
      </c>
    </row>
    <row r="508" spans="1:27" s="145" customFormat="1" ht="36" customHeight="1" x14ac:dyDescent="0.25">
      <c r="A508" s="119" t="s">
        <v>23</v>
      </c>
      <c r="B508" s="139">
        <v>244161</v>
      </c>
      <c r="C508" s="119" t="s">
        <v>14</v>
      </c>
      <c r="D508" s="166">
        <v>680396</v>
      </c>
      <c r="E508" s="119" t="s">
        <v>1540</v>
      </c>
      <c r="F508" s="190">
        <v>68062625</v>
      </c>
      <c r="G508" s="119" t="s">
        <v>1635</v>
      </c>
      <c r="H508" s="187" t="s">
        <v>1636</v>
      </c>
      <c r="I508" s="147" t="s">
        <v>428</v>
      </c>
      <c r="J508" s="146">
        <v>122.06</v>
      </c>
      <c r="K508" s="119" t="s">
        <v>411</v>
      </c>
      <c r="L508" s="146">
        <f>127-J508</f>
        <v>4.9399999999999977</v>
      </c>
      <c r="M508" s="119" t="s">
        <v>1637</v>
      </c>
      <c r="N508" s="119" t="s">
        <v>93</v>
      </c>
      <c r="O508" s="141">
        <f t="shared" si="336"/>
        <v>244161</v>
      </c>
      <c r="P508" s="141">
        <f t="shared" si="337"/>
        <v>244168</v>
      </c>
      <c r="Q508" s="141">
        <f t="shared" si="338"/>
        <v>244163</v>
      </c>
      <c r="R508" s="139"/>
      <c r="S508" s="143"/>
      <c r="T508" s="139"/>
      <c r="U508" s="143"/>
      <c r="V508" s="139" t="s">
        <v>55</v>
      </c>
      <c r="W508" s="143" t="s">
        <v>1655</v>
      </c>
      <c r="X508" s="139"/>
      <c r="Y508" s="141"/>
      <c r="Z508" s="119" t="s">
        <v>1716</v>
      </c>
      <c r="AA508" s="144" t="e">
        <f t="shared" si="335"/>
        <v>#VALUE!</v>
      </c>
    </row>
    <row r="509" spans="1:27" s="145" customFormat="1" ht="36" customHeight="1" x14ac:dyDescent="0.25">
      <c r="A509" s="119" t="s">
        <v>23</v>
      </c>
      <c r="B509" s="139">
        <v>244161</v>
      </c>
      <c r="C509" s="119" t="s">
        <v>14</v>
      </c>
      <c r="D509" s="166">
        <v>680397</v>
      </c>
      <c r="E509" s="119" t="s">
        <v>307</v>
      </c>
      <c r="F509" s="190">
        <v>68062636</v>
      </c>
      <c r="G509" s="119" t="s">
        <v>1639</v>
      </c>
      <c r="H509" s="187" t="s">
        <v>281</v>
      </c>
      <c r="I509" s="147" t="s">
        <v>308</v>
      </c>
      <c r="J509" s="146">
        <v>62.36</v>
      </c>
      <c r="K509" s="119" t="s">
        <v>201</v>
      </c>
      <c r="L509" s="146">
        <f>64-J509</f>
        <v>1.6400000000000006</v>
      </c>
      <c r="M509" s="119" t="s">
        <v>1640</v>
      </c>
      <c r="N509" s="119" t="s">
        <v>93</v>
      </c>
      <c r="O509" s="141">
        <f t="shared" si="336"/>
        <v>244161</v>
      </c>
      <c r="P509" s="141">
        <f t="shared" si="337"/>
        <v>244168</v>
      </c>
      <c r="Q509" s="141">
        <f t="shared" si="338"/>
        <v>244163</v>
      </c>
      <c r="R509" s="139"/>
      <c r="S509" s="143"/>
      <c r="T509" s="139"/>
      <c r="U509" s="143"/>
      <c r="V509" s="139" t="s">
        <v>55</v>
      </c>
      <c r="W509" s="143">
        <v>244163</v>
      </c>
      <c r="X509" s="139"/>
      <c r="Y509" s="141"/>
      <c r="Z509" s="119" t="s">
        <v>1663</v>
      </c>
      <c r="AA509" s="144">
        <f t="shared" si="335"/>
        <v>-5</v>
      </c>
    </row>
    <row r="510" spans="1:27" s="145" customFormat="1" ht="36" customHeight="1" x14ac:dyDescent="0.25">
      <c r="A510" s="119" t="s">
        <v>23</v>
      </c>
      <c r="B510" s="139">
        <v>244161</v>
      </c>
      <c r="C510" s="119" t="s">
        <v>14</v>
      </c>
      <c r="D510" s="166">
        <v>680398</v>
      </c>
      <c r="E510" s="119" t="s">
        <v>426</v>
      </c>
      <c r="F510" s="190">
        <v>68062640</v>
      </c>
      <c r="G510" s="119" t="s">
        <v>1645</v>
      </c>
      <c r="H510" s="187" t="s">
        <v>276</v>
      </c>
      <c r="I510" s="147" t="s">
        <v>428</v>
      </c>
      <c r="J510" s="146" t="s">
        <v>1646</v>
      </c>
      <c r="K510" s="119" t="s">
        <v>797</v>
      </c>
      <c r="L510" s="146" t="s">
        <v>1648</v>
      </c>
      <c r="M510" s="119" t="s">
        <v>1647</v>
      </c>
      <c r="N510" s="119" t="s">
        <v>93</v>
      </c>
      <c r="O510" s="141">
        <f t="shared" si="336"/>
        <v>244161</v>
      </c>
      <c r="P510" s="141">
        <f t="shared" si="337"/>
        <v>244168</v>
      </c>
      <c r="Q510" s="141">
        <f t="shared" si="338"/>
        <v>244163</v>
      </c>
      <c r="R510" s="139"/>
      <c r="S510" s="143"/>
      <c r="T510" s="139"/>
      <c r="U510" s="143"/>
      <c r="V510" s="139" t="s">
        <v>55</v>
      </c>
      <c r="W510" s="143" t="s">
        <v>1655</v>
      </c>
      <c r="X510" s="139"/>
      <c r="Y510" s="141"/>
      <c r="Z510" s="119" t="s">
        <v>1656</v>
      </c>
      <c r="AA510" s="144" t="e">
        <f t="shared" si="335"/>
        <v>#VALUE!</v>
      </c>
    </row>
    <row r="511" spans="1:27" s="145" customFormat="1" ht="36" customHeight="1" x14ac:dyDescent="0.25">
      <c r="A511" s="119" t="s">
        <v>23</v>
      </c>
      <c r="B511" s="139">
        <v>244161</v>
      </c>
      <c r="C511" s="119" t="s">
        <v>14</v>
      </c>
      <c r="D511" s="166">
        <v>680399</v>
      </c>
      <c r="E511" s="119" t="s">
        <v>1199</v>
      </c>
      <c r="F511" s="190">
        <v>68062654</v>
      </c>
      <c r="G511" s="119" t="s">
        <v>1643</v>
      </c>
      <c r="H511" s="187" t="s">
        <v>252</v>
      </c>
      <c r="I511" s="147" t="s">
        <v>1644</v>
      </c>
      <c r="J511" s="146">
        <v>80.599999999999994</v>
      </c>
      <c r="K511" s="119" t="s">
        <v>200</v>
      </c>
      <c r="L511" s="146">
        <f>J511-77</f>
        <v>3.5999999999999943</v>
      </c>
      <c r="M511" s="119" t="s">
        <v>1404</v>
      </c>
      <c r="N511" s="119" t="s">
        <v>93</v>
      </c>
      <c r="O511" s="141">
        <f t="shared" si="336"/>
        <v>244161</v>
      </c>
      <c r="P511" s="141">
        <f t="shared" si="337"/>
        <v>244168</v>
      </c>
      <c r="Q511" s="141">
        <f t="shared" si="338"/>
        <v>244163</v>
      </c>
      <c r="R511" s="139" t="s">
        <v>55</v>
      </c>
      <c r="S511" s="143">
        <v>244173</v>
      </c>
      <c r="T511" s="139" t="s">
        <v>55</v>
      </c>
      <c r="U511" s="143">
        <v>244173</v>
      </c>
      <c r="V511" s="139" t="s">
        <v>55</v>
      </c>
      <c r="W511" s="143">
        <v>244173</v>
      </c>
      <c r="X511" s="139"/>
      <c r="Y511" s="141"/>
      <c r="Z511" s="119" t="s">
        <v>1199</v>
      </c>
      <c r="AA511" s="144">
        <f t="shared" si="335"/>
        <v>5</v>
      </c>
    </row>
    <row r="512" spans="1:27" s="151" customFormat="1" ht="36" customHeight="1" x14ac:dyDescent="0.25">
      <c r="A512" s="119" t="s">
        <v>23</v>
      </c>
      <c r="B512" s="139">
        <v>244161</v>
      </c>
      <c r="C512" s="119" t="s">
        <v>14</v>
      </c>
      <c r="D512" s="166">
        <v>680400</v>
      </c>
      <c r="E512" s="119" t="s">
        <v>307</v>
      </c>
      <c r="F512" s="190">
        <v>68062653</v>
      </c>
      <c r="G512" s="119" t="s">
        <v>1641</v>
      </c>
      <c r="H512" s="187" t="s">
        <v>214</v>
      </c>
      <c r="I512" s="147" t="s">
        <v>308</v>
      </c>
      <c r="J512" s="146">
        <v>61.97</v>
      </c>
      <c r="K512" s="119" t="s">
        <v>411</v>
      </c>
      <c r="L512" s="146">
        <f>64-J512</f>
        <v>2.0300000000000011</v>
      </c>
      <c r="M512" s="119" t="s">
        <v>1642</v>
      </c>
      <c r="N512" s="119" t="s">
        <v>93</v>
      </c>
      <c r="O512" s="141">
        <f t="shared" si="336"/>
        <v>244161</v>
      </c>
      <c r="P512" s="141">
        <f t="shared" si="337"/>
        <v>244168</v>
      </c>
      <c r="Q512" s="141">
        <f t="shared" si="338"/>
        <v>244163</v>
      </c>
      <c r="R512" s="139"/>
      <c r="S512" s="143"/>
      <c r="T512" s="139"/>
      <c r="U512" s="143"/>
      <c r="V512" s="139" t="s">
        <v>55</v>
      </c>
      <c r="W512" s="143">
        <v>244163</v>
      </c>
      <c r="X512" s="139"/>
      <c r="Y512" s="141"/>
      <c r="Z512" s="119" t="s">
        <v>1663</v>
      </c>
      <c r="AA512" s="144">
        <f t="shared" si="335"/>
        <v>-5</v>
      </c>
    </row>
    <row r="513" spans="1:27" s="151" customFormat="1" ht="36" customHeight="1" x14ac:dyDescent="0.25">
      <c r="A513" s="119" t="s">
        <v>23</v>
      </c>
      <c r="B513" s="139">
        <v>244162</v>
      </c>
      <c r="C513" s="119" t="s">
        <v>14</v>
      </c>
      <c r="D513" s="166">
        <v>680401</v>
      </c>
      <c r="E513" s="119" t="s">
        <v>433</v>
      </c>
      <c r="F513" s="190">
        <v>68062725</v>
      </c>
      <c r="G513" s="119" t="s">
        <v>1649</v>
      </c>
      <c r="H513" s="187" t="s">
        <v>841</v>
      </c>
      <c r="I513" s="147" t="s">
        <v>304</v>
      </c>
      <c r="J513" s="146">
        <v>74.680000000000007</v>
      </c>
      <c r="K513" s="119" t="s">
        <v>201</v>
      </c>
      <c r="L513" s="146">
        <f>76-J513</f>
        <v>1.3199999999999932</v>
      </c>
      <c r="M513" s="119" t="s">
        <v>1650</v>
      </c>
      <c r="N513" s="119" t="s">
        <v>93</v>
      </c>
      <c r="O513" s="141">
        <f t="shared" si="336"/>
        <v>244162</v>
      </c>
      <c r="P513" s="141">
        <f t="shared" si="337"/>
        <v>244169</v>
      </c>
      <c r="Q513" s="141">
        <f t="shared" si="338"/>
        <v>244164</v>
      </c>
      <c r="R513" s="139" t="s">
        <v>55</v>
      </c>
      <c r="S513" s="143">
        <v>244173</v>
      </c>
      <c r="T513" s="139" t="s">
        <v>55</v>
      </c>
      <c r="U513" s="143">
        <v>244173</v>
      </c>
      <c r="V513" s="139" t="s">
        <v>55</v>
      </c>
      <c r="W513" s="143">
        <v>244173</v>
      </c>
      <c r="X513" s="139"/>
      <c r="Y513" s="141"/>
      <c r="Z513" s="119" t="s">
        <v>1757</v>
      </c>
      <c r="AA513" s="144">
        <f t="shared" si="335"/>
        <v>4</v>
      </c>
    </row>
    <row r="514" spans="1:27" s="145" customFormat="1" ht="36" customHeight="1" x14ac:dyDescent="0.25">
      <c r="A514" s="119" t="s">
        <v>23</v>
      </c>
      <c r="B514" s="139">
        <v>244162</v>
      </c>
      <c r="C514" s="119" t="s">
        <v>14</v>
      </c>
      <c r="D514" s="166">
        <v>680402</v>
      </c>
      <c r="E514" s="119" t="s">
        <v>1382</v>
      </c>
      <c r="F514" s="190">
        <v>68062712</v>
      </c>
      <c r="G514" s="119" t="s">
        <v>1651</v>
      </c>
      <c r="H514" s="187" t="s">
        <v>299</v>
      </c>
      <c r="I514" s="147" t="s">
        <v>1644</v>
      </c>
      <c r="J514" s="146">
        <v>80.09</v>
      </c>
      <c r="K514" s="119" t="s">
        <v>200</v>
      </c>
      <c r="L514" s="146">
        <f>J514-77</f>
        <v>3.0900000000000034</v>
      </c>
      <c r="M514" s="119" t="s">
        <v>1652</v>
      </c>
      <c r="N514" s="119" t="s">
        <v>93</v>
      </c>
      <c r="O514" s="141">
        <f t="shared" si="336"/>
        <v>244162</v>
      </c>
      <c r="P514" s="141">
        <f t="shared" si="337"/>
        <v>244169</v>
      </c>
      <c r="Q514" s="141">
        <f t="shared" si="338"/>
        <v>244164</v>
      </c>
      <c r="R514" s="139"/>
      <c r="S514" s="143"/>
      <c r="T514" s="139"/>
      <c r="U514" s="143"/>
      <c r="V514" s="139" t="s">
        <v>55</v>
      </c>
      <c r="W514" s="143">
        <v>244165</v>
      </c>
      <c r="X514" s="139"/>
      <c r="Y514" s="141"/>
      <c r="Z514" s="119" t="s">
        <v>1686</v>
      </c>
      <c r="AA514" s="144">
        <f t="shared" si="335"/>
        <v>-4</v>
      </c>
    </row>
    <row r="515" spans="1:27" s="151" customFormat="1" ht="36" customHeight="1" x14ac:dyDescent="0.25">
      <c r="A515" s="119" t="s">
        <v>23</v>
      </c>
      <c r="B515" s="139">
        <v>244162</v>
      </c>
      <c r="C515" s="119" t="s">
        <v>14</v>
      </c>
      <c r="D515" s="166">
        <v>680402</v>
      </c>
      <c r="E515" s="119" t="s">
        <v>1382</v>
      </c>
      <c r="F515" s="190">
        <v>68062724</v>
      </c>
      <c r="G515" s="119" t="s">
        <v>1653</v>
      </c>
      <c r="H515" s="187" t="s">
        <v>301</v>
      </c>
      <c r="I515" s="147" t="s">
        <v>1644</v>
      </c>
      <c r="J515" s="146">
        <v>82.19</v>
      </c>
      <c r="K515" s="119" t="s">
        <v>200</v>
      </c>
      <c r="L515" s="146">
        <f>J515-77</f>
        <v>5.1899999999999977</v>
      </c>
      <c r="M515" s="119" t="s">
        <v>1654</v>
      </c>
      <c r="N515" s="119" t="s">
        <v>93</v>
      </c>
      <c r="O515" s="141">
        <f t="shared" si="336"/>
        <v>244162</v>
      </c>
      <c r="P515" s="141">
        <f t="shared" si="337"/>
        <v>244169</v>
      </c>
      <c r="Q515" s="141">
        <f t="shared" si="338"/>
        <v>244164</v>
      </c>
      <c r="R515" s="139"/>
      <c r="S515" s="143"/>
      <c r="T515" s="139"/>
      <c r="U515" s="143"/>
      <c r="V515" s="139" t="s">
        <v>55</v>
      </c>
      <c r="W515" s="143">
        <v>244165</v>
      </c>
      <c r="X515" s="139"/>
      <c r="Y515" s="141"/>
      <c r="Z515" s="119" t="s">
        <v>1686</v>
      </c>
      <c r="AA515" s="144">
        <f t="shared" si="335"/>
        <v>-4</v>
      </c>
    </row>
    <row r="516" spans="1:27" s="145" customFormat="1" ht="36" customHeight="1" x14ac:dyDescent="0.25">
      <c r="A516" s="119" t="s">
        <v>23</v>
      </c>
      <c r="B516" s="139">
        <v>244163</v>
      </c>
      <c r="C516" s="119" t="s">
        <v>14</v>
      </c>
      <c r="D516" s="166">
        <v>680403</v>
      </c>
      <c r="E516" s="119" t="s">
        <v>433</v>
      </c>
      <c r="F516" s="190">
        <v>68062811</v>
      </c>
      <c r="G516" s="119" t="s">
        <v>1657</v>
      </c>
      <c r="H516" s="187" t="s">
        <v>270</v>
      </c>
      <c r="I516" s="147" t="s">
        <v>304</v>
      </c>
      <c r="J516" s="146">
        <v>75.02</v>
      </c>
      <c r="K516" s="119" t="s">
        <v>201</v>
      </c>
      <c r="L516" s="146">
        <f>76-J516</f>
        <v>0.98000000000000398</v>
      </c>
      <c r="M516" s="119" t="s">
        <v>1658</v>
      </c>
      <c r="N516" s="119" t="s">
        <v>93</v>
      </c>
      <c r="O516" s="141">
        <f t="shared" si="336"/>
        <v>244163</v>
      </c>
      <c r="P516" s="141">
        <f t="shared" si="337"/>
        <v>244170</v>
      </c>
      <c r="Q516" s="141">
        <f t="shared" si="338"/>
        <v>244165</v>
      </c>
      <c r="R516" s="139" t="s">
        <v>55</v>
      </c>
      <c r="S516" s="143">
        <v>244173</v>
      </c>
      <c r="T516" s="139" t="s">
        <v>55</v>
      </c>
      <c r="U516" s="143">
        <v>244173</v>
      </c>
      <c r="V516" s="139" t="s">
        <v>55</v>
      </c>
      <c r="W516" s="143">
        <v>244173</v>
      </c>
      <c r="X516" s="139"/>
      <c r="Y516" s="141"/>
      <c r="Z516" s="119" t="s">
        <v>1757</v>
      </c>
      <c r="AA516" s="144">
        <f t="shared" si="335"/>
        <v>3</v>
      </c>
    </row>
    <row r="517" spans="1:27" s="145" customFormat="1" ht="36" customHeight="1" x14ac:dyDescent="0.25">
      <c r="A517" s="119" t="s">
        <v>23</v>
      </c>
      <c r="B517" s="139">
        <v>244163</v>
      </c>
      <c r="C517" s="119" t="s">
        <v>14</v>
      </c>
      <c r="D517" s="166">
        <v>680404</v>
      </c>
      <c r="E517" s="119" t="s">
        <v>426</v>
      </c>
      <c r="F517" s="190">
        <v>68062809</v>
      </c>
      <c r="G517" s="119" t="s">
        <v>1659</v>
      </c>
      <c r="H517" s="187" t="s">
        <v>276</v>
      </c>
      <c r="I517" s="147" t="s">
        <v>428</v>
      </c>
      <c r="J517" s="146" t="s">
        <v>1660</v>
      </c>
      <c r="K517" s="119" t="s">
        <v>797</v>
      </c>
      <c r="L517" s="142" t="s">
        <v>1661</v>
      </c>
      <c r="M517" s="119" t="s">
        <v>1662</v>
      </c>
      <c r="N517" s="119" t="s">
        <v>93</v>
      </c>
      <c r="O517" s="141">
        <f t="shared" si="336"/>
        <v>244163</v>
      </c>
      <c r="P517" s="141">
        <f t="shared" si="337"/>
        <v>244170</v>
      </c>
      <c r="Q517" s="141">
        <f t="shared" si="338"/>
        <v>244165</v>
      </c>
      <c r="R517" s="139"/>
      <c r="S517" s="143"/>
      <c r="T517" s="139"/>
      <c r="U517" s="143"/>
      <c r="V517" s="139" t="s">
        <v>55</v>
      </c>
      <c r="W517" s="143">
        <v>244165</v>
      </c>
      <c r="X517" s="139"/>
      <c r="Y517" s="141"/>
      <c r="Z517" s="119" t="s">
        <v>1687</v>
      </c>
      <c r="AA517" s="144">
        <f t="shared" si="335"/>
        <v>-5</v>
      </c>
    </row>
    <row r="518" spans="1:27" s="145" customFormat="1" ht="36" customHeight="1" x14ac:dyDescent="0.25">
      <c r="A518" s="119" t="s">
        <v>23</v>
      </c>
      <c r="B518" s="139">
        <v>244163</v>
      </c>
      <c r="C518" s="119" t="s">
        <v>11</v>
      </c>
      <c r="D518" s="166">
        <v>680405</v>
      </c>
      <c r="E518" s="119" t="s">
        <v>424</v>
      </c>
      <c r="F518" s="190" t="s">
        <v>1666</v>
      </c>
      <c r="G518" s="119">
        <v>680636</v>
      </c>
      <c r="H518" s="187" t="s">
        <v>135</v>
      </c>
      <c r="I518" s="147" t="s">
        <v>74</v>
      </c>
      <c r="J518" s="142" t="s">
        <v>1667</v>
      </c>
      <c r="K518" s="119" t="s">
        <v>125</v>
      </c>
      <c r="L518" s="146" t="s">
        <v>1669</v>
      </c>
      <c r="M518" s="257" t="s">
        <v>1671</v>
      </c>
      <c r="N518" s="257" t="s">
        <v>53</v>
      </c>
      <c r="O518" s="141">
        <f t="shared" si="336"/>
        <v>244163</v>
      </c>
      <c r="P518" s="141">
        <f t="shared" si="337"/>
        <v>244170</v>
      </c>
      <c r="Q518" s="141">
        <f t="shared" si="338"/>
        <v>244165</v>
      </c>
      <c r="R518" s="139" t="s">
        <v>55</v>
      </c>
      <c r="S518" s="143">
        <v>244197</v>
      </c>
      <c r="T518" s="139" t="s">
        <v>55</v>
      </c>
      <c r="U518" s="143">
        <v>244168</v>
      </c>
      <c r="V518" s="139" t="s">
        <v>55</v>
      </c>
      <c r="W518" s="143">
        <v>244168</v>
      </c>
      <c r="X518" s="139"/>
      <c r="Y518" s="141"/>
      <c r="Z518" s="119" t="s">
        <v>424</v>
      </c>
      <c r="AA518" s="144">
        <f t="shared" si="335"/>
        <v>-2</v>
      </c>
    </row>
    <row r="519" spans="1:27" s="145" customFormat="1" ht="36" customHeight="1" x14ac:dyDescent="0.25">
      <c r="A519" s="119" t="s">
        <v>23</v>
      </c>
      <c r="B519" s="139">
        <v>244163</v>
      </c>
      <c r="C519" s="119" t="s">
        <v>11</v>
      </c>
      <c r="D519" s="166">
        <v>680405</v>
      </c>
      <c r="E519" s="119" t="s">
        <v>424</v>
      </c>
      <c r="F519" s="190" t="s">
        <v>1666</v>
      </c>
      <c r="G519" s="119">
        <v>680636</v>
      </c>
      <c r="H519" s="187" t="s">
        <v>135</v>
      </c>
      <c r="I519" s="147" t="s">
        <v>84</v>
      </c>
      <c r="J519" s="142" t="s">
        <v>1668</v>
      </c>
      <c r="K519" s="119" t="s">
        <v>127</v>
      </c>
      <c r="L519" s="146" t="s">
        <v>1670</v>
      </c>
      <c r="M519" s="258"/>
      <c r="N519" s="258"/>
      <c r="O519" s="141">
        <f t="shared" ref="O519" si="360">B519</f>
        <v>244163</v>
      </c>
      <c r="P519" s="141">
        <f t="shared" ref="P519" si="361">B519+7</f>
        <v>244170</v>
      </c>
      <c r="Q519" s="141">
        <f t="shared" ref="Q519" si="362">O519+2</f>
        <v>244165</v>
      </c>
      <c r="R519" s="139" t="s">
        <v>55</v>
      </c>
      <c r="S519" s="143">
        <v>244197</v>
      </c>
      <c r="T519" s="139" t="s">
        <v>55</v>
      </c>
      <c r="U519" s="143">
        <v>244168</v>
      </c>
      <c r="V519" s="139" t="s">
        <v>55</v>
      </c>
      <c r="W519" s="143">
        <v>244168</v>
      </c>
      <c r="X519" s="139"/>
      <c r="Y519" s="141"/>
      <c r="Z519" s="119" t="s">
        <v>424</v>
      </c>
      <c r="AA519" s="144">
        <f t="shared" si="335"/>
        <v>-2</v>
      </c>
    </row>
    <row r="520" spans="1:27" s="145" customFormat="1" ht="36" customHeight="1" x14ac:dyDescent="0.25">
      <c r="A520" s="119" t="s">
        <v>23</v>
      </c>
      <c r="B520" s="139">
        <v>244163</v>
      </c>
      <c r="C520" s="119" t="s">
        <v>14</v>
      </c>
      <c r="D520" s="166">
        <v>680406</v>
      </c>
      <c r="E520" s="119" t="s">
        <v>1382</v>
      </c>
      <c r="F520" s="190">
        <v>68062828</v>
      </c>
      <c r="G520" s="119" t="s">
        <v>1665</v>
      </c>
      <c r="H520" s="187" t="s">
        <v>298</v>
      </c>
      <c r="I520" s="147" t="s">
        <v>1644</v>
      </c>
      <c r="J520" s="146">
        <v>82.19</v>
      </c>
      <c r="K520" s="119" t="s">
        <v>207</v>
      </c>
      <c r="L520" s="146">
        <f>J520-77</f>
        <v>5.1899999999999977</v>
      </c>
      <c r="M520" s="119" t="s">
        <v>1664</v>
      </c>
      <c r="N520" s="119" t="s">
        <v>93</v>
      </c>
      <c r="O520" s="141">
        <f t="shared" si="336"/>
        <v>244163</v>
      </c>
      <c r="P520" s="141">
        <f t="shared" si="337"/>
        <v>244170</v>
      </c>
      <c r="Q520" s="141">
        <f t="shared" si="338"/>
        <v>244165</v>
      </c>
      <c r="R520" s="139"/>
      <c r="S520" s="143"/>
      <c r="T520" s="139"/>
      <c r="U520" s="143"/>
      <c r="V520" s="139" t="s">
        <v>55</v>
      </c>
      <c r="W520" s="143">
        <v>244165</v>
      </c>
      <c r="X520" s="139"/>
      <c r="Y520" s="141"/>
      <c r="Z520" s="119" t="s">
        <v>1686</v>
      </c>
      <c r="AA520" s="144">
        <f t="shared" si="335"/>
        <v>-5</v>
      </c>
    </row>
    <row r="521" spans="1:27" s="145" customFormat="1" ht="36" customHeight="1" x14ac:dyDescent="0.25">
      <c r="A521" s="119" t="s">
        <v>23</v>
      </c>
      <c r="B521" s="139">
        <v>244164</v>
      </c>
      <c r="C521" s="119" t="s">
        <v>14</v>
      </c>
      <c r="D521" s="166">
        <v>680407</v>
      </c>
      <c r="E521" s="119" t="s">
        <v>426</v>
      </c>
      <c r="F521" s="190">
        <v>68062916</v>
      </c>
      <c r="G521" s="119" t="s">
        <v>1672</v>
      </c>
      <c r="H521" s="187" t="s">
        <v>295</v>
      </c>
      <c r="I521" s="147" t="s">
        <v>1673</v>
      </c>
      <c r="J521" s="146">
        <v>121.32</v>
      </c>
      <c r="K521" s="119" t="s">
        <v>201</v>
      </c>
      <c r="L521" s="146">
        <f>124-J521</f>
        <v>2.6800000000000068</v>
      </c>
      <c r="M521" s="119" t="s">
        <v>1685</v>
      </c>
      <c r="N521" s="119" t="s">
        <v>93</v>
      </c>
      <c r="O521" s="141">
        <f t="shared" si="336"/>
        <v>244164</v>
      </c>
      <c r="P521" s="141">
        <f t="shared" si="337"/>
        <v>244171</v>
      </c>
      <c r="Q521" s="141">
        <f t="shared" si="338"/>
        <v>244166</v>
      </c>
      <c r="R521" s="139"/>
      <c r="S521" s="143"/>
      <c r="T521" s="139"/>
      <c r="U521" s="143"/>
      <c r="V521" s="139" t="s">
        <v>55</v>
      </c>
      <c r="W521" s="143" t="s">
        <v>1655</v>
      </c>
      <c r="X521" s="139"/>
      <c r="Y521" s="141"/>
      <c r="Z521" s="119" t="s">
        <v>1716</v>
      </c>
      <c r="AA521" s="144" t="e">
        <f t="shared" si="335"/>
        <v>#VALUE!</v>
      </c>
    </row>
    <row r="522" spans="1:27" s="145" customFormat="1" ht="36" customHeight="1" x14ac:dyDescent="0.25">
      <c r="A522" s="119" t="s">
        <v>23</v>
      </c>
      <c r="B522" s="139">
        <v>244164</v>
      </c>
      <c r="C522" s="119" t="s">
        <v>14</v>
      </c>
      <c r="D522" s="166">
        <v>680408</v>
      </c>
      <c r="E522" s="119" t="s">
        <v>1382</v>
      </c>
      <c r="F522" s="190">
        <v>68062911</v>
      </c>
      <c r="G522" s="119" t="s">
        <v>1676</v>
      </c>
      <c r="H522" s="187" t="s">
        <v>299</v>
      </c>
      <c r="I522" s="147" t="s">
        <v>1644</v>
      </c>
      <c r="J522" s="146">
        <v>80.319999999999993</v>
      </c>
      <c r="K522" s="119" t="s">
        <v>200</v>
      </c>
      <c r="L522" s="146">
        <f>J522-77</f>
        <v>3.3199999999999932</v>
      </c>
      <c r="M522" s="119" t="s">
        <v>1677</v>
      </c>
      <c r="N522" s="119" t="s">
        <v>93</v>
      </c>
      <c r="O522" s="141">
        <f t="shared" si="336"/>
        <v>244164</v>
      </c>
      <c r="P522" s="141">
        <f t="shared" si="337"/>
        <v>244171</v>
      </c>
      <c r="Q522" s="141">
        <f t="shared" si="338"/>
        <v>244166</v>
      </c>
      <c r="R522" s="139" t="s">
        <v>55</v>
      </c>
      <c r="S522" s="143">
        <v>244173</v>
      </c>
      <c r="T522" s="139" t="s">
        <v>55</v>
      </c>
      <c r="U522" s="143">
        <v>244173</v>
      </c>
      <c r="V522" s="139" t="s">
        <v>55</v>
      </c>
      <c r="W522" s="143">
        <v>244173</v>
      </c>
      <c r="X522" s="139"/>
      <c r="Y522" s="141"/>
      <c r="Z522" s="119" t="s">
        <v>1382</v>
      </c>
      <c r="AA522" s="144">
        <f t="shared" si="335"/>
        <v>2</v>
      </c>
    </row>
    <row r="523" spans="1:27" s="145" customFormat="1" ht="36" customHeight="1" x14ac:dyDescent="0.25">
      <c r="A523" s="119" t="s">
        <v>23</v>
      </c>
      <c r="B523" s="139">
        <v>244164</v>
      </c>
      <c r="C523" s="119" t="s">
        <v>14</v>
      </c>
      <c r="D523" s="166">
        <v>680408</v>
      </c>
      <c r="E523" s="119" t="s">
        <v>1382</v>
      </c>
      <c r="F523" s="190">
        <v>68062912</v>
      </c>
      <c r="G523" s="119" t="s">
        <v>1674</v>
      </c>
      <c r="H523" s="187" t="s">
        <v>301</v>
      </c>
      <c r="I523" s="147" t="s">
        <v>1644</v>
      </c>
      <c r="J523" s="146">
        <v>82.12</v>
      </c>
      <c r="K523" s="119" t="s">
        <v>200</v>
      </c>
      <c r="L523" s="146">
        <f>J523-77</f>
        <v>5.1200000000000045</v>
      </c>
      <c r="M523" s="119" t="s">
        <v>1675</v>
      </c>
      <c r="N523" s="119" t="s">
        <v>93</v>
      </c>
      <c r="O523" s="141">
        <f t="shared" ref="O523" si="363">B523</f>
        <v>244164</v>
      </c>
      <c r="P523" s="141">
        <f t="shared" ref="P523" si="364">B523+7</f>
        <v>244171</v>
      </c>
      <c r="Q523" s="141">
        <f t="shared" ref="Q523" si="365">O523+2</f>
        <v>244166</v>
      </c>
      <c r="R523" s="139" t="s">
        <v>55</v>
      </c>
      <c r="S523" s="143">
        <v>244173</v>
      </c>
      <c r="T523" s="139" t="s">
        <v>55</v>
      </c>
      <c r="U523" s="143">
        <v>244173</v>
      </c>
      <c r="V523" s="139" t="s">
        <v>55</v>
      </c>
      <c r="W523" s="143">
        <v>244165</v>
      </c>
      <c r="X523" s="139"/>
      <c r="Y523" s="141"/>
      <c r="Z523" s="119" t="s">
        <v>1686</v>
      </c>
      <c r="AA523" s="144">
        <f t="shared" si="335"/>
        <v>-6</v>
      </c>
    </row>
    <row r="524" spans="1:27" s="145" customFormat="1" ht="36" customHeight="1" x14ac:dyDescent="0.25">
      <c r="A524" s="119" t="s">
        <v>23</v>
      </c>
      <c r="B524" s="139">
        <v>244164</v>
      </c>
      <c r="C524" s="119" t="s">
        <v>14</v>
      </c>
      <c r="D524" s="166">
        <v>680408</v>
      </c>
      <c r="E524" s="119" t="s">
        <v>1382</v>
      </c>
      <c r="F524" s="190">
        <v>68062917</v>
      </c>
      <c r="G524" s="119" t="s">
        <v>1678</v>
      </c>
      <c r="H524" s="187" t="s">
        <v>298</v>
      </c>
      <c r="I524" s="147" t="s">
        <v>1644</v>
      </c>
      <c r="J524" s="146">
        <v>81.19</v>
      </c>
      <c r="K524" s="119" t="s">
        <v>200</v>
      </c>
      <c r="L524" s="146">
        <f>J524-77</f>
        <v>4.1899999999999977</v>
      </c>
      <c r="M524" s="119" t="s">
        <v>1679</v>
      </c>
      <c r="N524" s="119" t="s">
        <v>93</v>
      </c>
      <c r="O524" s="141">
        <f t="shared" ref="O524" si="366">B524</f>
        <v>244164</v>
      </c>
      <c r="P524" s="141">
        <f t="shared" ref="P524" si="367">B524+7</f>
        <v>244171</v>
      </c>
      <c r="Q524" s="141">
        <f t="shared" ref="Q524" si="368">O524+2</f>
        <v>244166</v>
      </c>
      <c r="R524" s="139" t="s">
        <v>55</v>
      </c>
      <c r="S524" s="143">
        <v>244173</v>
      </c>
      <c r="T524" s="139" t="s">
        <v>55</v>
      </c>
      <c r="U524" s="143">
        <v>244173</v>
      </c>
      <c r="V524" s="139" t="s">
        <v>55</v>
      </c>
      <c r="W524" s="143">
        <v>244165</v>
      </c>
      <c r="X524" s="139"/>
      <c r="Y524" s="141"/>
      <c r="Z524" s="119" t="s">
        <v>1686</v>
      </c>
      <c r="AA524" s="144">
        <f t="shared" si="335"/>
        <v>-6</v>
      </c>
    </row>
    <row r="525" spans="1:27" s="145" customFormat="1" ht="34.5" customHeight="1" x14ac:dyDescent="0.25">
      <c r="A525" s="119" t="s">
        <v>23</v>
      </c>
      <c r="B525" s="139">
        <v>244164</v>
      </c>
      <c r="C525" s="119" t="s">
        <v>14</v>
      </c>
      <c r="D525" s="166">
        <v>680409</v>
      </c>
      <c r="E525" s="119" t="s">
        <v>1199</v>
      </c>
      <c r="F525" s="190">
        <v>68062937</v>
      </c>
      <c r="G525" s="119" t="s">
        <v>1680</v>
      </c>
      <c r="H525" s="187" t="s">
        <v>252</v>
      </c>
      <c r="I525" s="147" t="s">
        <v>1644</v>
      </c>
      <c r="J525" s="146">
        <v>80.459999999999994</v>
      </c>
      <c r="K525" s="119" t="s">
        <v>200</v>
      </c>
      <c r="L525" s="146">
        <f>J525-77</f>
        <v>3.4599999999999937</v>
      </c>
      <c r="M525" s="119" t="s">
        <v>1439</v>
      </c>
      <c r="N525" s="119" t="s">
        <v>93</v>
      </c>
      <c r="O525" s="141">
        <f t="shared" si="336"/>
        <v>244164</v>
      </c>
      <c r="P525" s="141">
        <f t="shared" si="337"/>
        <v>244171</v>
      </c>
      <c r="Q525" s="141">
        <f t="shared" si="338"/>
        <v>244166</v>
      </c>
      <c r="R525" s="139" t="s">
        <v>55</v>
      </c>
      <c r="S525" s="143">
        <v>244173</v>
      </c>
      <c r="T525" s="139" t="s">
        <v>55</v>
      </c>
      <c r="U525" s="143">
        <v>244173</v>
      </c>
      <c r="V525" s="139" t="s">
        <v>55</v>
      </c>
      <c r="W525" s="143">
        <v>244173</v>
      </c>
      <c r="X525" s="139"/>
      <c r="Y525" s="141"/>
      <c r="Z525" s="119" t="s">
        <v>1199</v>
      </c>
      <c r="AA525" s="144">
        <f t="shared" si="335"/>
        <v>2</v>
      </c>
    </row>
    <row r="526" spans="1:27" s="196" customFormat="1" ht="36" customHeight="1" x14ac:dyDescent="0.25">
      <c r="A526" s="119" t="s">
        <v>23</v>
      </c>
      <c r="B526" s="139">
        <v>244164</v>
      </c>
      <c r="C526" s="119" t="s">
        <v>14</v>
      </c>
      <c r="D526" s="166">
        <v>680410</v>
      </c>
      <c r="E526" s="119" t="s">
        <v>433</v>
      </c>
      <c r="F526" s="190">
        <v>68062945</v>
      </c>
      <c r="G526" s="119" t="s">
        <v>1681</v>
      </c>
      <c r="H526" s="187" t="s">
        <v>270</v>
      </c>
      <c r="I526" s="147" t="s">
        <v>304</v>
      </c>
      <c r="J526" s="146">
        <v>75.069999999999993</v>
      </c>
      <c r="K526" s="119" t="s">
        <v>201</v>
      </c>
      <c r="L526" s="146">
        <f>76-J526</f>
        <v>0.93000000000000682</v>
      </c>
      <c r="M526" s="119" t="s">
        <v>1683</v>
      </c>
      <c r="N526" s="119" t="s">
        <v>93</v>
      </c>
      <c r="O526" s="141">
        <f t="shared" si="336"/>
        <v>244164</v>
      </c>
      <c r="P526" s="141">
        <f t="shared" si="337"/>
        <v>244171</v>
      </c>
      <c r="Q526" s="141">
        <f t="shared" si="338"/>
        <v>244166</v>
      </c>
      <c r="R526" s="139" t="s">
        <v>55</v>
      </c>
      <c r="S526" s="143">
        <v>244173</v>
      </c>
      <c r="T526" s="139" t="s">
        <v>55</v>
      </c>
      <c r="U526" s="143">
        <v>244173</v>
      </c>
      <c r="V526" s="139" t="s">
        <v>55</v>
      </c>
      <c r="W526" s="143">
        <v>244173</v>
      </c>
      <c r="X526" s="139"/>
      <c r="Y526" s="141"/>
      <c r="Z526" s="119" t="s">
        <v>1755</v>
      </c>
      <c r="AA526" s="144">
        <f t="shared" si="335"/>
        <v>2</v>
      </c>
    </row>
    <row r="527" spans="1:27" s="145" customFormat="1" ht="36" customHeight="1" x14ac:dyDescent="0.25">
      <c r="A527" s="119" t="s">
        <v>23</v>
      </c>
      <c r="B527" s="139">
        <v>244164</v>
      </c>
      <c r="C527" s="119" t="s">
        <v>14</v>
      </c>
      <c r="D527" s="166">
        <v>680411</v>
      </c>
      <c r="E527" s="119" t="s">
        <v>426</v>
      </c>
      <c r="F527" s="190">
        <v>68062932</v>
      </c>
      <c r="G527" s="119" t="s">
        <v>1682</v>
      </c>
      <c r="H527" s="187" t="s">
        <v>289</v>
      </c>
      <c r="I527" s="147" t="s">
        <v>428</v>
      </c>
      <c r="J527" s="146">
        <v>132.04</v>
      </c>
      <c r="K527" s="119" t="s">
        <v>207</v>
      </c>
      <c r="L527" s="146">
        <f>J527-129</f>
        <v>3.039999999999992</v>
      </c>
      <c r="M527" s="119" t="s">
        <v>1684</v>
      </c>
      <c r="N527" s="119" t="s">
        <v>93</v>
      </c>
      <c r="O527" s="141">
        <f t="shared" si="336"/>
        <v>244164</v>
      </c>
      <c r="P527" s="141">
        <f t="shared" si="337"/>
        <v>244171</v>
      </c>
      <c r="Q527" s="141">
        <f t="shared" si="338"/>
        <v>244166</v>
      </c>
      <c r="R527" s="139"/>
      <c r="S527" s="143"/>
      <c r="T527" s="139"/>
      <c r="U527" s="143"/>
      <c r="V527" s="139" t="s">
        <v>55</v>
      </c>
      <c r="W527" s="143">
        <v>244165</v>
      </c>
      <c r="X527" s="139"/>
      <c r="Y527" s="141"/>
      <c r="Z527" s="119" t="s">
        <v>1687</v>
      </c>
      <c r="AA527" s="144">
        <f t="shared" ref="AA527:AA591" si="369">W527-P527</f>
        <v>-6</v>
      </c>
    </row>
    <row r="528" spans="1:27" s="145" customFormat="1" ht="36" customHeight="1" x14ac:dyDescent="0.25">
      <c r="A528" s="119" t="s">
        <v>23</v>
      </c>
      <c r="B528" s="139">
        <v>244165</v>
      </c>
      <c r="C528" s="119" t="s">
        <v>14</v>
      </c>
      <c r="D528" s="166">
        <v>680412</v>
      </c>
      <c r="E528" s="119" t="s">
        <v>420</v>
      </c>
      <c r="F528" s="190">
        <v>68063001</v>
      </c>
      <c r="G528" s="119" t="s">
        <v>1688</v>
      </c>
      <c r="H528" s="187" t="s">
        <v>272</v>
      </c>
      <c r="I528" s="147" t="s">
        <v>1689</v>
      </c>
      <c r="J528" s="146">
        <v>125.22</v>
      </c>
      <c r="K528" s="119" t="s">
        <v>207</v>
      </c>
      <c r="L528" s="146">
        <f>J528-124</f>
        <v>1.2199999999999989</v>
      </c>
      <c r="M528" s="119" t="s">
        <v>1690</v>
      </c>
      <c r="N528" s="119" t="s">
        <v>93</v>
      </c>
      <c r="O528" s="141">
        <f t="shared" si="336"/>
        <v>244165</v>
      </c>
      <c r="P528" s="141">
        <f t="shared" si="337"/>
        <v>244172</v>
      </c>
      <c r="Q528" s="141">
        <f t="shared" si="338"/>
        <v>244167</v>
      </c>
      <c r="R528" s="139" t="s">
        <v>55</v>
      </c>
      <c r="S528" s="143">
        <v>244173</v>
      </c>
      <c r="T528" s="139" t="s">
        <v>55</v>
      </c>
      <c r="U528" s="143">
        <v>244173</v>
      </c>
      <c r="V528" s="139" t="s">
        <v>55</v>
      </c>
      <c r="W528" s="143">
        <v>244173</v>
      </c>
      <c r="X528" s="139"/>
      <c r="Y528" s="141"/>
      <c r="Z528" s="119" t="s">
        <v>420</v>
      </c>
      <c r="AA528" s="144">
        <f t="shared" si="369"/>
        <v>1</v>
      </c>
    </row>
    <row r="529" spans="1:27" s="145" customFormat="1" ht="36" customHeight="1" x14ac:dyDescent="0.25">
      <c r="A529" s="119" t="s">
        <v>23</v>
      </c>
      <c r="B529" s="139">
        <v>244165</v>
      </c>
      <c r="C529" s="119" t="s">
        <v>14</v>
      </c>
      <c r="D529" s="166">
        <v>680413</v>
      </c>
      <c r="E529" s="119" t="s">
        <v>426</v>
      </c>
      <c r="F529" s="190">
        <v>68063020</v>
      </c>
      <c r="G529" s="119" t="s">
        <v>1691</v>
      </c>
      <c r="H529" s="187" t="s">
        <v>247</v>
      </c>
      <c r="I529" s="147" t="s">
        <v>428</v>
      </c>
      <c r="J529" s="146">
        <v>131.49</v>
      </c>
      <c r="K529" s="119" t="s">
        <v>207</v>
      </c>
      <c r="L529" s="146">
        <f>J529-129</f>
        <v>2.4900000000000091</v>
      </c>
      <c r="M529" s="119" t="s">
        <v>1692</v>
      </c>
      <c r="N529" s="119" t="s">
        <v>93</v>
      </c>
      <c r="O529" s="141">
        <f t="shared" si="336"/>
        <v>244165</v>
      </c>
      <c r="P529" s="141">
        <f t="shared" si="337"/>
        <v>244172</v>
      </c>
      <c r="Q529" s="141">
        <f t="shared" si="338"/>
        <v>244167</v>
      </c>
      <c r="R529" s="139" t="s">
        <v>55</v>
      </c>
      <c r="S529" s="143">
        <v>244173</v>
      </c>
      <c r="T529" s="139" t="s">
        <v>55</v>
      </c>
      <c r="U529" s="143">
        <v>244173</v>
      </c>
      <c r="V529" s="139" t="s">
        <v>55</v>
      </c>
      <c r="W529" s="143">
        <v>244173</v>
      </c>
      <c r="X529" s="139"/>
      <c r="Y529" s="141"/>
      <c r="Z529" s="119" t="s">
        <v>426</v>
      </c>
      <c r="AA529" s="144">
        <f t="shared" si="369"/>
        <v>1</v>
      </c>
    </row>
    <row r="530" spans="1:27" s="145" customFormat="1" ht="36" customHeight="1" x14ac:dyDescent="0.25">
      <c r="A530" s="119" t="s">
        <v>23</v>
      </c>
      <c r="B530" s="139">
        <v>244165</v>
      </c>
      <c r="C530" s="119" t="s">
        <v>14</v>
      </c>
      <c r="D530" s="166">
        <v>680414</v>
      </c>
      <c r="E530" s="119" t="s">
        <v>1529</v>
      </c>
      <c r="F530" s="190">
        <v>68063034</v>
      </c>
      <c r="G530" s="119" t="s">
        <v>1693</v>
      </c>
      <c r="H530" s="187" t="s">
        <v>236</v>
      </c>
      <c r="I530" s="147" t="s">
        <v>1260</v>
      </c>
      <c r="J530" s="146">
        <v>80.8</v>
      </c>
      <c r="K530" s="119" t="s">
        <v>200</v>
      </c>
      <c r="L530" s="146">
        <f>J530-78</f>
        <v>2.7999999999999972</v>
      </c>
      <c r="M530" s="119" t="s">
        <v>1694</v>
      </c>
      <c r="N530" s="119" t="s">
        <v>93</v>
      </c>
      <c r="O530" s="141">
        <f t="shared" si="336"/>
        <v>244165</v>
      </c>
      <c r="P530" s="141">
        <f t="shared" si="337"/>
        <v>244172</v>
      </c>
      <c r="Q530" s="141">
        <f t="shared" si="338"/>
        <v>244167</v>
      </c>
      <c r="R530" s="139" t="s">
        <v>55</v>
      </c>
      <c r="S530" s="143">
        <v>244173</v>
      </c>
      <c r="T530" s="139" t="s">
        <v>55</v>
      </c>
      <c r="U530" s="143">
        <v>244173</v>
      </c>
      <c r="V530" s="139" t="s">
        <v>55</v>
      </c>
      <c r="W530" s="143">
        <v>244173</v>
      </c>
      <c r="X530" s="139"/>
      <c r="Y530" s="141"/>
      <c r="Z530" s="119" t="s">
        <v>1529</v>
      </c>
      <c r="AA530" s="144">
        <f t="shared" si="369"/>
        <v>1</v>
      </c>
    </row>
    <row r="531" spans="1:27" s="145" customFormat="1" ht="36" customHeight="1" x14ac:dyDescent="0.25">
      <c r="A531" s="227" t="s">
        <v>23</v>
      </c>
      <c r="B531" s="228">
        <v>244165</v>
      </c>
      <c r="C531" s="227" t="s">
        <v>14</v>
      </c>
      <c r="D531" s="229">
        <v>680415</v>
      </c>
      <c r="E531" s="227" t="s">
        <v>426</v>
      </c>
      <c r="F531" s="230">
        <v>68063037</v>
      </c>
      <c r="G531" s="227" t="s">
        <v>1695</v>
      </c>
      <c r="H531" s="231" t="s">
        <v>238</v>
      </c>
      <c r="I531" s="227" t="s">
        <v>428</v>
      </c>
      <c r="J531" s="232">
        <v>125.63</v>
      </c>
      <c r="K531" s="227" t="s">
        <v>201</v>
      </c>
      <c r="L531" s="232">
        <f>127-J531</f>
        <v>1.3700000000000045</v>
      </c>
      <c r="M531" s="227" t="s">
        <v>1696</v>
      </c>
      <c r="N531" s="227" t="s">
        <v>93</v>
      </c>
      <c r="O531" s="228">
        <f t="shared" ref="O531" si="370">B531</f>
        <v>244165</v>
      </c>
      <c r="P531" s="228">
        <f t="shared" ref="P531" si="371">B531+7</f>
        <v>244172</v>
      </c>
      <c r="Q531" s="228">
        <f t="shared" ref="Q531" si="372">O531+2</f>
        <v>244167</v>
      </c>
      <c r="R531" s="228"/>
      <c r="S531" s="228"/>
      <c r="T531" s="228"/>
      <c r="U531" s="228"/>
      <c r="V531" s="228"/>
      <c r="W531" s="228"/>
      <c r="X531" s="227"/>
      <c r="Y531" s="228"/>
      <c r="Z531" s="227" t="s">
        <v>1701</v>
      </c>
      <c r="AA531" s="144">
        <f t="shared" si="369"/>
        <v>-244172</v>
      </c>
    </row>
    <row r="532" spans="1:27" s="145" customFormat="1" ht="36" customHeight="1" x14ac:dyDescent="0.25">
      <c r="A532" s="227" t="s">
        <v>23</v>
      </c>
      <c r="B532" s="228">
        <v>244165</v>
      </c>
      <c r="C532" s="227" t="s">
        <v>14</v>
      </c>
      <c r="D532" s="229">
        <v>680415</v>
      </c>
      <c r="E532" s="227" t="s">
        <v>426</v>
      </c>
      <c r="F532" s="230">
        <v>68063036</v>
      </c>
      <c r="G532" s="227" t="s">
        <v>1697</v>
      </c>
      <c r="H532" s="231" t="s">
        <v>271</v>
      </c>
      <c r="I532" s="227" t="s">
        <v>428</v>
      </c>
      <c r="J532" s="232">
        <v>124.17</v>
      </c>
      <c r="K532" s="227" t="s">
        <v>201</v>
      </c>
      <c r="L532" s="232">
        <f>127-J532</f>
        <v>2.8299999999999983</v>
      </c>
      <c r="M532" s="227" t="s">
        <v>1698</v>
      </c>
      <c r="N532" s="227" t="s">
        <v>93</v>
      </c>
      <c r="O532" s="228">
        <f t="shared" ref="O532" si="373">B532</f>
        <v>244165</v>
      </c>
      <c r="P532" s="228">
        <f t="shared" ref="P532" si="374">B532+7</f>
        <v>244172</v>
      </c>
      <c r="Q532" s="228">
        <f t="shared" ref="Q532" si="375">O532+2</f>
        <v>244167</v>
      </c>
      <c r="R532" s="228"/>
      <c r="S532" s="228"/>
      <c r="T532" s="228"/>
      <c r="U532" s="228"/>
      <c r="V532" s="228"/>
      <c r="W532" s="228"/>
      <c r="X532" s="227"/>
      <c r="Y532" s="228"/>
      <c r="Z532" s="227" t="s">
        <v>1701</v>
      </c>
      <c r="AA532" s="144">
        <f t="shared" si="369"/>
        <v>-244172</v>
      </c>
    </row>
    <row r="533" spans="1:27" s="145" customFormat="1" ht="36" customHeight="1" x14ac:dyDescent="0.25">
      <c r="A533" s="227" t="s">
        <v>23</v>
      </c>
      <c r="B533" s="228">
        <v>244165</v>
      </c>
      <c r="C533" s="227" t="s">
        <v>14</v>
      </c>
      <c r="D533" s="229">
        <v>680415</v>
      </c>
      <c r="E533" s="227" t="s">
        <v>426</v>
      </c>
      <c r="F533" s="230">
        <v>68063035</v>
      </c>
      <c r="G533" s="227" t="s">
        <v>1699</v>
      </c>
      <c r="H533" s="231" t="s">
        <v>277</v>
      </c>
      <c r="I533" s="227" t="s">
        <v>428</v>
      </c>
      <c r="J533" s="232">
        <v>124.98</v>
      </c>
      <c r="K533" s="227" t="s">
        <v>201</v>
      </c>
      <c r="L533" s="232">
        <f>127-J533</f>
        <v>2.019999999999996</v>
      </c>
      <c r="M533" s="227" t="s">
        <v>1700</v>
      </c>
      <c r="N533" s="227" t="s">
        <v>93</v>
      </c>
      <c r="O533" s="228">
        <f t="shared" ref="O533" si="376">B533</f>
        <v>244165</v>
      </c>
      <c r="P533" s="228">
        <f t="shared" ref="P533" si="377">B533+7</f>
        <v>244172</v>
      </c>
      <c r="Q533" s="228">
        <f t="shared" ref="Q533" si="378">O533+2</f>
        <v>244167</v>
      </c>
      <c r="R533" s="228"/>
      <c r="S533" s="228"/>
      <c r="T533" s="228"/>
      <c r="U533" s="228"/>
      <c r="V533" s="228"/>
      <c r="W533" s="228"/>
      <c r="X533" s="227"/>
      <c r="Y533" s="228"/>
      <c r="Z533" s="227" t="s">
        <v>1701</v>
      </c>
      <c r="AA533" s="144">
        <f t="shared" si="369"/>
        <v>-244172</v>
      </c>
    </row>
    <row r="534" spans="1:27" s="145" customFormat="1" ht="36" customHeight="1" x14ac:dyDescent="0.25">
      <c r="A534" s="119" t="s">
        <v>24</v>
      </c>
      <c r="B534" s="139">
        <v>244166</v>
      </c>
      <c r="C534" s="119" t="s">
        <v>14</v>
      </c>
      <c r="D534" s="166">
        <v>680416</v>
      </c>
      <c r="E534" s="119" t="s">
        <v>420</v>
      </c>
      <c r="F534" s="190">
        <v>68070113</v>
      </c>
      <c r="G534" s="119" t="s">
        <v>1702</v>
      </c>
      <c r="H534" s="187" t="s">
        <v>272</v>
      </c>
      <c r="I534" s="147" t="s">
        <v>1041</v>
      </c>
      <c r="J534" s="146">
        <v>126.59</v>
      </c>
      <c r="K534" s="119" t="s">
        <v>207</v>
      </c>
      <c r="L534" s="146">
        <f>J534-124</f>
        <v>2.5900000000000034</v>
      </c>
      <c r="M534" s="119" t="s">
        <v>1703</v>
      </c>
      <c r="N534" s="119" t="s">
        <v>93</v>
      </c>
      <c r="O534" s="141">
        <f t="shared" si="336"/>
        <v>244166</v>
      </c>
      <c r="P534" s="141">
        <f t="shared" si="337"/>
        <v>244173</v>
      </c>
      <c r="Q534" s="141">
        <f t="shared" si="338"/>
        <v>244168</v>
      </c>
      <c r="R534" s="139" t="s">
        <v>55</v>
      </c>
      <c r="S534" s="143">
        <v>244173</v>
      </c>
      <c r="T534" s="139" t="s">
        <v>55</v>
      </c>
      <c r="U534" s="143">
        <v>244173</v>
      </c>
      <c r="V534" s="139" t="s">
        <v>55</v>
      </c>
      <c r="W534" s="143">
        <v>244173</v>
      </c>
      <c r="X534" s="139"/>
      <c r="Y534" s="141"/>
      <c r="Z534" s="119" t="s">
        <v>420</v>
      </c>
      <c r="AA534" s="144">
        <f t="shared" si="369"/>
        <v>0</v>
      </c>
    </row>
    <row r="535" spans="1:27" s="145" customFormat="1" ht="36" customHeight="1" x14ac:dyDescent="0.25">
      <c r="A535" s="119" t="s">
        <v>24</v>
      </c>
      <c r="B535" s="139">
        <v>244166</v>
      </c>
      <c r="C535" s="119" t="s">
        <v>14</v>
      </c>
      <c r="D535" s="166">
        <v>680416</v>
      </c>
      <c r="E535" s="119" t="s">
        <v>420</v>
      </c>
      <c r="F535" s="190">
        <v>68070128</v>
      </c>
      <c r="G535" s="119" t="s">
        <v>1706</v>
      </c>
      <c r="H535" s="187" t="s">
        <v>253</v>
      </c>
      <c r="I535" s="147" t="s">
        <v>1041</v>
      </c>
      <c r="J535" s="146">
        <v>125.04</v>
      </c>
      <c r="K535" s="119" t="s">
        <v>207</v>
      </c>
      <c r="L535" s="146">
        <f>J535-124</f>
        <v>1.0400000000000063</v>
      </c>
      <c r="M535" s="119" t="s">
        <v>1283</v>
      </c>
      <c r="N535" s="119" t="s">
        <v>93</v>
      </c>
      <c r="O535" s="141">
        <f t="shared" ref="O535" si="379">B535</f>
        <v>244166</v>
      </c>
      <c r="P535" s="141">
        <f t="shared" ref="P535" si="380">B535+7</f>
        <v>244173</v>
      </c>
      <c r="Q535" s="141">
        <f t="shared" ref="Q535" si="381">O535+2</f>
        <v>244168</v>
      </c>
      <c r="R535" s="139" t="s">
        <v>55</v>
      </c>
      <c r="S535" s="143">
        <v>244173</v>
      </c>
      <c r="T535" s="139" t="s">
        <v>55</v>
      </c>
      <c r="U535" s="143">
        <v>244173</v>
      </c>
      <c r="V535" s="139" t="s">
        <v>55</v>
      </c>
      <c r="W535" s="143">
        <v>244173</v>
      </c>
      <c r="X535" s="139"/>
      <c r="Y535" s="141"/>
      <c r="Z535" s="119" t="s">
        <v>420</v>
      </c>
      <c r="AA535" s="144">
        <f t="shared" si="369"/>
        <v>0</v>
      </c>
    </row>
    <row r="536" spans="1:27" s="145" customFormat="1" ht="29.25" customHeight="1" x14ac:dyDescent="0.25">
      <c r="A536" s="119" t="s">
        <v>24</v>
      </c>
      <c r="B536" s="139">
        <v>244166</v>
      </c>
      <c r="C536" s="119" t="s">
        <v>14</v>
      </c>
      <c r="D536" s="166">
        <v>680417</v>
      </c>
      <c r="E536" s="119" t="s">
        <v>426</v>
      </c>
      <c r="F536" s="190">
        <v>68070136</v>
      </c>
      <c r="G536" s="119" t="s">
        <v>1704</v>
      </c>
      <c r="H536" s="187" t="s">
        <v>295</v>
      </c>
      <c r="I536" s="147" t="s">
        <v>428</v>
      </c>
      <c r="J536" s="146">
        <v>130.5</v>
      </c>
      <c r="K536" s="119" t="s">
        <v>200</v>
      </c>
      <c r="L536" s="146">
        <f>J536-129</f>
        <v>1.5</v>
      </c>
      <c r="M536" s="119" t="s">
        <v>1705</v>
      </c>
      <c r="N536" s="119" t="s">
        <v>93</v>
      </c>
      <c r="O536" s="141">
        <f t="shared" si="336"/>
        <v>244166</v>
      </c>
      <c r="P536" s="141">
        <f t="shared" si="337"/>
        <v>244173</v>
      </c>
      <c r="Q536" s="141">
        <f t="shared" si="338"/>
        <v>244168</v>
      </c>
      <c r="R536" s="139" t="s">
        <v>55</v>
      </c>
      <c r="S536" s="143">
        <v>244173</v>
      </c>
      <c r="T536" s="139" t="s">
        <v>55</v>
      </c>
      <c r="U536" s="143">
        <v>244173</v>
      </c>
      <c r="V536" s="139" t="s">
        <v>55</v>
      </c>
      <c r="W536" s="143">
        <v>244173</v>
      </c>
      <c r="X536" s="139"/>
      <c r="Y536" s="141"/>
      <c r="Z536" s="119" t="s">
        <v>426</v>
      </c>
      <c r="AA536" s="144">
        <f t="shared" si="369"/>
        <v>0</v>
      </c>
    </row>
    <row r="537" spans="1:27" s="145" customFormat="1" ht="29.25" customHeight="1" x14ac:dyDescent="0.25">
      <c r="A537" s="119" t="s">
        <v>24</v>
      </c>
      <c r="B537" s="139">
        <v>244166</v>
      </c>
      <c r="C537" s="119" t="s">
        <v>14</v>
      </c>
      <c r="D537" s="166">
        <v>680418</v>
      </c>
      <c r="E537" s="119" t="s">
        <v>413</v>
      </c>
      <c r="F537" s="190">
        <v>68070139</v>
      </c>
      <c r="G537" s="119" t="s">
        <v>1707</v>
      </c>
      <c r="H537" s="187" t="s">
        <v>261</v>
      </c>
      <c r="I537" s="147" t="s">
        <v>415</v>
      </c>
      <c r="J537" s="146">
        <v>83.95</v>
      </c>
      <c r="K537" s="119" t="s">
        <v>207</v>
      </c>
      <c r="L537" s="146">
        <f>J537-80</f>
        <v>3.9500000000000028</v>
      </c>
      <c r="M537" s="119" t="s">
        <v>1708</v>
      </c>
      <c r="N537" s="119" t="s">
        <v>93</v>
      </c>
      <c r="O537" s="141">
        <f t="shared" si="336"/>
        <v>244166</v>
      </c>
      <c r="P537" s="141">
        <f t="shared" si="337"/>
        <v>244173</v>
      </c>
      <c r="Q537" s="141">
        <f t="shared" si="338"/>
        <v>244168</v>
      </c>
      <c r="R537" s="139" t="s">
        <v>55</v>
      </c>
      <c r="S537" s="143">
        <v>244173</v>
      </c>
      <c r="T537" s="139" t="s">
        <v>55</v>
      </c>
      <c r="U537" s="143">
        <v>244173</v>
      </c>
      <c r="V537" s="139" t="s">
        <v>55</v>
      </c>
      <c r="W537" s="143">
        <v>244173</v>
      </c>
      <c r="X537" s="139"/>
      <c r="Y537" s="141"/>
      <c r="Z537" s="119" t="s">
        <v>413</v>
      </c>
      <c r="AA537" s="144">
        <f t="shared" si="369"/>
        <v>0</v>
      </c>
    </row>
    <row r="538" spans="1:27" s="145" customFormat="1" ht="36" customHeight="1" x14ac:dyDescent="0.25">
      <c r="A538" s="119" t="s">
        <v>24</v>
      </c>
      <c r="B538" s="139">
        <v>244166</v>
      </c>
      <c r="C538" s="119" t="s">
        <v>14</v>
      </c>
      <c r="D538" s="166">
        <v>680419</v>
      </c>
      <c r="E538" s="119" t="s">
        <v>426</v>
      </c>
      <c r="F538" s="190">
        <v>68070148</v>
      </c>
      <c r="G538" s="119" t="s">
        <v>1709</v>
      </c>
      <c r="H538" s="187" t="s">
        <v>1168</v>
      </c>
      <c r="I538" s="147" t="s">
        <v>428</v>
      </c>
      <c r="J538" s="146">
        <v>134.06</v>
      </c>
      <c r="K538" s="119" t="s">
        <v>207</v>
      </c>
      <c r="L538" s="146">
        <f>J538-129</f>
        <v>5.0600000000000023</v>
      </c>
      <c r="M538" s="119" t="s">
        <v>658</v>
      </c>
      <c r="N538" s="119" t="s">
        <v>93</v>
      </c>
      <c r="O538" s="141">
        <f t="shared" si="336"/>
        <v>244166</v>
      </c>
      <c r="P538" s="141">
        <f t="shared" si="337"/>
        <v>244173</v>
      </c>
      <c r="Q538" s="141">
        <f t="shared" si="338"/>
        <v>244168</v>
      </c>
      <c r="R538" s="139" t="s">
        <v>55</v>
      </c>
      <c r="S538" s="143">
        <v>244173</v>
      </c>
      <c r="T538" s="139" t="s">
        <v>55</v>
      </c>
      <c r="U538" s="143">
        <v>244173</v>
      </c>
      <c r="V538" s="139" t="s">
        <v>55</v>
      </c>
      <c r="W538" s="143">
        <v>244173</v>
      </c>
      <c r="X538" s="139"/>
      <c r="Y538" s="141"/>
      <c r="Z538" s="119" t="s">
        <v>426</v>
      </c>
      <c r="AA538" s="144">
        <f t="shared" si="369"/>
        <v>0</v>
      </c>
    </row>
    <row r="539" spans="1:27" s="145" customFormat="1" ht="36" customHeight="1" x14ac:dyDescent="0.25">
      <c r="A539" s="119" t="s">
        <v>24</v>
      </c>
      <c r="B539" s="139">
        <v>244167</v>
      </c>
      <c r="C539" s="119" t="s">
        <v>16</v>
      </c>
      <c r="D539" s="166">
        <v>680420</v>
      </c>
      <c r="E539" s="119" t="s">
        <v>1710</v>
      </c>
      <c r="F539" s="190" t="s">
        <v>1456</v>
      </c>
      <c r="G539" s="119" t="s">
        <v>1711</v>
      </c>
      <c r="H539" s="187" t="s">
        <v>1712</v>
      </c>
      <c r="I539" s="147" t="s">
        <v>701</v>
      </c>
      <c r="J539" s="146" t="s">
        <v>1713</v>
      </c>
      <c r="K539" s="146" t="s">
        <v>1713</v>
      </c>
      <c r="L539" s="146" t="s">
        <v>1714</v>
      </c>
      <c r="M539" s="119" t="s">
        <v>1715</v>
      </c>
      <c r="N539" s="119" t="s">
        <v>52</v>
      </c>
      <c r="O539" s="141">
        <f t="shared" si="336"/>
        <v>244167</v>
      </c>
      <c r="P539" s="141">
        <f t="shared" si="337"/>
        <v>244174</v>
      </c>
      <c r="Q539" s="141">
        <f t="shared" si="338"/>
        <v>244169</v>
      </c>
      <c r="R539" s="139" t="s">
        <v>55</v>
      </c>
      <c r="S539" s="143">
        <v>244167</v>
      </c>
      <c r="T539" s="139" t="s">
        <v>55</v>
      </c>
      <c r="U539" s="143">
        <v>244168</v>
      </c>
      <c r="V539" s="139"/>
      <c r="W539" s="143"/>
      <c r="X539" s="139"/>
      <c r="Y539" s="141"/>
      <c r="Z539" s="119"/>
      <c r="AA539" s="144">
        <f t="shared" si="369"/>
        <v>-244174</v>
      </c>
    </row>
    <row r="540" spans="1:27" s="145" customFormat="1" ht="36" customHeight="1" x14ac:dyDescent="0.25">
      <c r="A540" s="119" t="s">
        <v>24</v>
      </c>
      <c r="B540" s="139">
        <v>244167</v>
      </c>
      <c r="C540" s="119" t="s">
        <v>14</v>
      </c>
      <c r="D540" s="166">
        <v>680421</v>
      </c>
      <c r="E540" s="119" t="s">
        <v>420</v>
      </c>
      <c r="F540" s="190">
        <v>68070201</v>
      </c>
      <c r="G540" s="119" t="s">
        <v>1717</v>
      </c>
      <c r="H540" s="187" t="s">
        <v>272</v>
      </c>
      <c r="I540" s="147" t="s">
        <v>1041</v>
      </c>
      <c r="J540" s="146">
        <v>129.41999999999999</v>
      </c>
      <c r="K540" s="119" t="s">
        <v>200</v>
      </c>
      <c r="L540" s="146">
        <f>J540-124</f>
        <v>5.4199999999999875</v>
      </c>
      <c r="M540" s="119" t="s">
        <v>1144</v>
      </c>
      <c r="N540" s="119" t="s">
        <v>93</v>
      </c>
      <c r="O540" s="141">
        <f t="shared" si="336"/>
        <v>244167</v>
      </c>
      <c r="P540" s="141">
        <f t="shared" si="337"/>
        <v>244174</v>
      </c>
      <c r="Q540" s="141">
        <f t="shared" si="338"/>
        <v>244169</v>
      </c>
      <c r="R540" s="139" t="s">
        <v>55</v>
      </c>
      <c r="S540" s="143">
        <v>244173</v>
      </c>
      <c r="T540" s="139" t="s">
        <v>55</v>
      </c>
      <c r="U540" s="143">
        <v>244173</v>
      </c>
      <c r="V540" s="139" t="s">
        <v>55</v>
      </c>
      <c r="W540" s="143">
        <v>244173</v>
      </c>
      <c r="X540" s="139"/>
      <c r="Y540" s="141"/>
      <c r="Z540" s="119" t="s">
        <v>420</v>
      </c>
      <c r="AA540" s="144">
        <f t="shared" si="369"/>
        <v>-1</v>
      </c>
    </row>
    <row r="541" spans="1:27" s="145" customFormat="1" ht="36" customHeight="1" x14ac:dyDescent="0.25">
      <c r="A541" s="119" t="s">
        <v>24</v>
      </c>
      <c r="B541" s="139">
        <v>244167</v>
      </c>
      <c r="C541" s="119" t="s">
        <v>14</v>
      </c>
      <c r="D541" s="166">
        <v>680422</v>
      </c>
      <c r="E541" s="119" t="s">
        <v>433</v>
      </c>
      <c r="F541" s="190">
        <v>68070220</v>
      </c>
      <c r="G541" s="119" t="s">
        <v>1718</v>
      </c>
      <c r="H541" s="187" t="s">
        <v>217</v>
      </c>
      <c r="I541" s="147" t="s">
        <v>304</v>
      </c>
      <c r="J541" s="146">
        <v>74.209999999999994</v>
      </c>
      <c r="K541" s="119" t="s">
        <v>201</v>
      </c>
      <c r="L541" s="146">
        <v>1.79</v>
      </c>
      <c r="M541" s="119" t="s">
        <v>1719</v>
      </c>
      <c r="N541" s="119" t="s">
        <v>93</v>
      </c>
      <c r="O541" s="141">
        <f t="shared" si="336"/>
        <v>244167</v>
      </c>
      <c r="P541" s="141">
        <f t="shared" si="337"/>
        <v>244174</v>
      </c>
      <c r="Q541" s="141">
        <f t="shared" si="338"/>
        <v>244169</v>
      </c>
      <c r="R541" s="139" t="s">
        <v>55</v>
      </c>
      <c r="S541" s="143">
        <v>244173</v>
      </c>
      <c r="T541" s="139" t="s">
        <v>55</v>
      </c>
      <c r="U541" s="143">
        <v>244173</v>
      </c>
      <c r="V541" s="139" t="s">
        <v>55</v>
      </c>
      <c r="W541" s="143">
        <v>244173</v>
      </c>
      <c r="X541" s="139"/>
      <c r="Y541" s="141"/>
      <c r="Z541" s="119" t="s">
        <v>1756</v>
      </c>
      <c r="AA541" s="144">
        <f t="shared" si="369"/>
        <v>-1</v>
      </c>
    </row>
    <row r="542" spans="1:27" s="145" customFormat="1" ht="36" customHeight="1" x14ac:dyDescent="0.25">
      <c r="A542" s="119" t="s">
        <v>24</v>
      </c>
      <c r="B542" s="139">
        <v>244167</v>
      </c>
      <c r="C542" s="119" t="s">
        <v>14</v>
      </c>
      <c r="D542" s="166">
        <v>680423</v>
      </c>
      <c r="E542" s="119" t="s">
        <v>307</v>
      </c>
      <c r="F542" s="190">
        <v>68070229</v>
      </c>
      <c r="G542" s="119" t="s">
        <v>1720</v>
      </c>
      <c r="H542" s="187" t="s">
        <v>278</v>
      </c>
      <c r="I542" s="147" t="s">
        <v>400</v>
      </c>
      <c r="J542" s="119">
        <v>62.59</v>
      </c>
      <c r="K542" s="119" t="s">
        <v>411</v>
      </c>
      <c r="L542" s="146" t="s">
        <v>1721</v>
      </c>
      <c r="M542" s="119" t="s">
        <v>1722</v>
      </c>
      <c r="N542" s="119" t="s">
        <v>93</v>
      </c>
      <c r="O542" s="141">
        <f t="shared" ref="O542:O548" si="382">B542</f>
        <v>244167</v>
      </c>
      <c r="P542" s="141">
        <f t="shared" ref="P542:P548" si="383">B542+7</f>
        <v>244174</v>
      </c>
      <c r="Q542" s="141">
        <f t="shared" ref="Q542:Q548" si="384">O542+2</f>
        <v>244169</v>
      </c>
      <c r="R542" s="139" t="s">
        <v>55</v>
      </c>
      <c r="S542" s="143">
        <v>244218</v>
      </c>
      <c r="T542" s="139" t="s">
        <v>55</v>
      </c>
      <c r="U542" s="143">
        <v>244218</v>
      </c>
      <c r="V542" s="139" t="s">
        <v>55</v>
      </c>
      <c r="W542" s="143">
        <v>244172</v>
      </c>
      <c r="X542" s="139"/>
      <c r="Y542" s="141"/>
      <c r="Z542" s="119" t="s">
        <v>1743</v>
      </c>
      <c r="AA542" s="144">
        <f t="shared" si="369"/>
        <v>-2</v>
      </c>
    </row>
    <row r="543" spans="1:27" s="145" customFormat="1" ht="36" customHeight="1" x14ac:dyDescent="0.25">
      <c r="A543" s="119" t="s">
        <v>24</v>
      </c>
      <c r="B543" s="139">
        <v>244167</v>
      </c>
      <c r="C543" s="119" t="s">
        <v>14</v>
      </c>
      <c r="D543" s="166">
        <v>680424</v>
      </c>
      <c r="E543" s="119" t="s">
        <v>426</v>
      </c>
      <c r="F543" s="190">
        <v>68070237</v>
      </c>
      <c r="G543" s="119" t="s">
        <v>1723</v>
      </c>
      <c r="H543" s="187" t="s">
        <v>844</v>
      </c>
      <c r="I543" s="147" t="s">
        <v>428</v>
      </c>
      <c r="J543" s="119">
        <v>131.16999999999999</v>
      </c>
      <c r="K543" s="119" t="s">
        <v>207</v>
      </c>
      <c r="L543" s="146">
        <f>J543-129</f>
        <v>2.1699999999999875</v>
      </c>
      <c r="M543" s="119" t="s">
        <v>1724</v>
      </c>
      <c r="N543" s="119" t="s">
        <v>93</v>
      </c>
      <c r="O543" s="141">
        <f t="shared" si="382"/>
        <v>244167</v>
      </c>
      <c r="P543" s="141">
        <f t="shared" si="383"/>
        <v>244174</v>
      </c>
      <c r="Q543" s="141">
        <f t="shared" si="384"/>
        <v>244169</v>
      </c>
      <c r="R543" s="139" t="s">
        <v>55</v>
      </c>
      <c r="S543" s="143">
        <v>244173</v>
      </c>
      <c r="T543" s="139" t="s">
        <v>55</v>
      </c>
      <c r="U543" s="143">
        <v>244173</v>
      </c>
      <c r="V543" s="139" t="s">
        <v>55</v>
      </c>
      <c r="W543" s="143">
        <v>244173</v>
      </c>
      <c r="X543" s="139"/>
      <c r="Y543" s="141"/>
      <c r="Z543" s="119" t="s">
        <v>426</v>
      </c>
      <c r="AA543" s="144">
        <f t="shared" si="369"/>
        <v>-1</v>
      </c>
    </row>
    <row r="544" spans="1:27" s="145" customFormat="1" ht="36" customHeight="1" x14ac:dyDescent="0.25">
      <c r="A544" s="119" t="s">
        <v>24</v>
      </c>
      <c r="B544" s="139">
        <v>244168</v>
      </c>
      <c r="C544" s="119" t="s">
        <v>11</v>
      </c>
      <c r="D544" s="166">
        <v>680425</v>
      </c>
      <c r="E544" s="119" t="s">
        <v>1316</v>
      </c>
      <c r="F544" s="190" t="s">
        <v>1727</v>
      </c>
      <c r="G544" s="119">
        <v>680703</v>
      </c>
      <c r="H544" s="187" t="s">
        <v>39</v>
      </c>
      <c r="I544" s="147" t="s">
        <v>61</v>
      </c>
      <c r="J544" s="142">
        <v>58</v>
      </c>
      <c r="K544" s="119" t="s">
        <v>62</v>
      </c>
      <c r="L544" s="142">
        <v>28</v>
      </c>
      <c r="M544" s="119" t="s">
        <v>1728</v>
      </c>
      <c r="N544" s="119" t="s">
        <v>53</v>
      </c>
      <c r="O544" s="141">
        <f t="shared" si="382"/>
        <v>244168</v>
      </c>
      <c r="P544" s="141">
        <f t="shared" si="383"/>
        <v>244175</v>
      </c>
      <c r="Q544" s="141">
        <f t="shared" si="384"/>
        <v>244170</v>
      </c>
      <c r="R544" s="139" t="s">
        <v>55</v>
      </c>
      <c r="S544" s="143">
        <v>244181</v>
      </c>
      <c r="T544" s="139" t="s">
        <v>55</v>
      </c>
      <c r="U544" s="143">
        <v>244182</v>
      </c>
      <c r="V544" s="139" t="s">
        <v>55</v>
      </c>
      <c r="W544" s="143">
        <v>244182</v>
      </c>
      <c r="X544" s="119"/>
      <c r="Y544" s="141"/>
      <c r="Z544" s="119" t="s">
        <v>1316</v>
      </c>
      <c r="AA544" s="144">
        <f t="shared" si="369"/>
        <v>7</v>
      </c>
    </row>
    <row r="545" spans="1:27" s="145" customFormat="1" ht="36" customHeight="1" x14ac:dyDescent="0.25">
      <c r="A545" s="119" t="s">
        <v>24</v>
      </c>
      <c r="B545" s="139">
        <v>244168</v>
      </c>
      <c r="C545" s="119" t="s">
        <v>14</v>
      </c>
      <c r="D545" s="166">
        <v>680426</v>
      </c>
      <c r="E545" s="119" t="s">
        <v>872</v>
      </c>
      <c r="F545" s="190">
        <v>68070332</v>
      </c>
      <c r="G545" s="119" t="s">
        <v>1725</v>
      </c>
      <c r="H545" s="187" t="s">
        <v>268</v>
      </c>
      <c r="I545" s="147" t="s">
        <v>845</v>
      </c>
      <c r="J545" s="119">
        <v>62.51</v>
      </c>
      <c r="K545" s="119" t="s">
        <v>207</v>
      </c>
      <c r="L545" s="146">
        <v>2.5099999999999998</v>
      </c>
      <c r="M545" s="119" t="s">
        <v>1726</v>
      </c>
      <c r="N545" s="119" t="s">
        <v>93</v>
      </c>
      <c r="O545" s="141">
        <f t="shared" si="382"/>
        <v>244168</v>
      </c>
      <c r="P545" s="141">
        <f t="shared" si="383"/>
        <v>244175</v>
      </c>
      <c r="Q545" s="141">
        <f t="shared" si="384"/>
        <v>244170</v>
      </c>
      <c r="R545" s="139" t="s">
        <v>55</v>
      </c>
      <c r="S545" s="143">
        <v>244218</v>
      </c>
      <c r="T545" s="139" t="s">
        <v>55</v>
      </c>
      <c r="U545" s="143">
        <v>244218</v>
      </c>
      <c r="V545" s="139" t="s">
        <v>55</v>
      </c>
      <c r="W545" s="143">
        <v>244172</v>
      </c>
      <c r="X545" s="139"/>
      <c r="Y545" s="141"/>
      <c r="Z545" s="119" t="s">
        <v>1743</v>
      </c>
      <c r="AA545" s="144">
        <f t="shared" si="369"/>
        <v>-3</v>
      </c>
    </row>
    <row r="546" spans="1:27" s="151" customFormat="1" ht="36" customHeight="1" x14ac:dyDescent="0.25">
      <c r="A546" s="119" t="s">
        <v>24</v>
      </c>
      <c r="B546" s="139">
        <v>244169</v>
      </c>
      <c r="C546" s="119" t="s">
        <v>14</v>
      </c>
      <c r="D546" s="166">
        <v>680427</v>
      </c>
      <c r="E546" s="119" t="s">
        <v>827</v>
      </c>
      <c r="F546" s="190">
        <v>68070417</v>
      </c>
      <c r="G546" s="119" t="s">
        <v>1729</v>
      </c>
      <c r="H546" s="187" t="s">
        <v>205</v>
      </c>
      <c r="I546" s="147" t="s">
        <v>829</v>
      </c>
      <c r="J546" s="119">
        <v>107.06</v>
      </c>
      <c r="K546" s="119" t="s">
        <v>207</v>
      </c>
      <c r="L546" s="146">
        <f>J546-105</f>
        <v>2.0600000000000023</v>
      </c>
      <c r="M546" s="119" t="s">
        <v>1730</v>
      </c>
      <c r="N546" s="119" t="s">
        <v>93</v>
      </c>
      <c r="O546" s="141">
        <f t="shared" si="382"/>
        <v>244169</v>
      </c>
      <c r="P546" s="141">
        <f t="shared" si="383"/>
        <v>244176</v>
      </c>
      <c r="Q546" s="141">
        <f t="shared" si="384"/>
        <v>244171</v>
      </c>
      <c r="R546" s="139"/>
      <c r="S546" s="143"/>
      <c r="T546" s="139"/>
      <c r="U546" s="143"/>
      <c r="V546" s="139" t="s">
        <v>55</v>
      </c>
      <c r="W546" s="143">
        <v>244170</v>
      </c>
      <c r="X546" s="139"/>
      <c r="Y546" s="141"/>
      <c r="Z546" s="119" t="s">
        <v>1733</v>
      </c>
      <c r="AA546" s="144">
        <f t="shared" si="369"/>
        <v>-6</v>
      </c>
    </row>
    <row r="547" spans="1:27" s="151" customFormat="1" ht="36" customHeight="1" x14ac:dyDescent="0.25">
      <c r="A547" s="119" t="s">
        <v>24</v>
      </c>
      <c r="B547" s="139">
        <v>244169</v>
      </c>
      <c r="C547" s="119" t="s">
        <v>14</v>
      </c>
      <c r="D547" s="166">
        <v>680428</v>
      </c>
      <c r="E547" s="119" t="s">
        <v>426</v>
      </c>
      <c r="F547" s="190">
        <v>68070413</v>
      </c>
      <c r="G547" s="119" t="s">
        <v>1731</v>
      </c>
      <c r="H547" s="187" t="s">
        <v>295</v>
      </c>
      <c r="I547" s="147" t="s">
        <v>428</v>
      </c>
      <c r="J547" s="119">
        <v>123.1</v>
      </c>
      <c r="K547" s="119" t="s">
        <v>411</v>
      </c>
      <c r="L547" s="146">
        <f>127-J547</f>
        <v>3.9000000000000057</v>
      </c>
      <c r="M547" s="119" t="s">
        <v>1732</v>
      </c>
      <c r="N547" s="119" t="s">
        <v>93</v>
      </c>
      <c r="O547" s="141">
        <f t="shared" si="382"/>
        <v>244169</v>
      </c>
      <c r="P547" s="141">
        <f t="shared" si="383"/>
        <v>244176</v>
      </c>
      <c r="Q547" s="141">
        <f t="shared" si="384"/>
        <v>244171</v>
      </c>
      <c r="R547" s="139" t="s">
        <v>55</v>
      </c>
      <c r="S547" s="143">
        <v>244173</v>
      </c>
      <c r="T547" s="139" t="s">
        <v>55</v>
      </c>
      <c r="U547" s="143">
        <v>244173</v>
      </c>
      <c r="V547" s="139" t="s">
        <v>55</v>
      </c>
      <c r="W547" s="143">
        <v>244173</v>
      </c>
      <c r="X547" s="139"/>
      <c r="Y547" s="141"/>
      <c r="Z547" s="119" t="s">
        <v>1758</v>
      </c>
      <c r="AA547" s="144">
        <f t="shared" si="369"/>
        <v>-3</v>
      </c>
    </row>
    <row r="548" spans="1:27" s="151" customFormat="1" ht="36" customHeight="1" x14ac:dyDescent="0.25">
      <c r="A548" s="119" t="s">
        <v>24</v>
      </c>
      <c r="B548" s="139">
        <v>244170</v>
      </c>
      <c r="C548" s="119" t="s">
        <v>14</v>
      </c>
      <c r="D548" s="166">
        <v>680429</v>
      </c>
      <c r="E548" s="119" t="s">
        <v>872</v>
      </c>
      <c r="F548" s="190">
        <v>68070507</v>
      </c>
      <c r="G548" s="119" t="s">
        <v>1734</v>
      </c>
      <c r="H548" s="187" t="s">
        <v>284</v>
      </c>
      <c r="I548" s="147" t="s">
        <v>845</v>
      </c>
      <c r="J548" s="119">
        <v>62.38</v>
      </c>
      <c r="K548" s="119" t="s">
        <v>207</v>
      </c>
      <c r="L548" s="146">
        <f>J548-60</f>
        <v>2.3800000000000026</v>
      </c>
      <c r="M548" s="119" t="s">
        <v>1735</v>
      </c>
      <c r="N548" s="119" t="s">
        <v>93</v>
      </c>
      <c r="O548" s="141">
        <f t="shared" si="382"/>
        <v>244170</v>
      </c>
      <c r="P548" s="141">
        <f t="shared" si="383"/>
        <v>244177</v>
      </c>
      <c r="Q548" s="141">
        <f t="shared" si="384"/>
        <v>244172</v>
      </c>
      <c r="R548" s="139" t="s">
        <v>55</v>
      </c>
      <c r="S548" s="143">
        <v>244218</v>
      </c>
      <c r="T548" s="139" t="s">
        <v>55</v>
      </c>
      <c r="U548" s="143">
        <v>244218</v>
      </c>
      <c r="V548" s="139" t="s">
        <v>55</v>
      </c>
      <c r="W548" s="143">
        <v>244172</v>
      </c>
      <c r="X548" s="139"/>
      <c r="Y548" s="141"/>
      <c r="Z548" s="119" t="s">
        <v>1743</v>
      </c>
      <c r="AA548" s="144">
        <f t="shared" si="369"/>
        <v>-5</v>
      </c>
    </row>
    <row r="549" spans="1:27" s="151" customFormat="1" ht="36" customHeight="1" x14ac:dyDescent="0.25">
      <c r="A549" s="119" t="s">
        <v>24</v>
      </c>
      <c r="B549" s="139">
        <v>244170</v>
      </c>
      <c r="C549" s="119" t="s">
        <v>14</v>
      </c>
      <c r="D549" s="166">
        <v>680430</v>
      </c>
      <c r="E549" s="119" t="s">
        <v>426</v>
      </c>
      <c r="F549" s="190">
        <v>68070523</v>
      </c>
      <c r="G549" s="119" t="s">
        <v>1736</v>
      </c>
      <c r="H549" s="187" t="s">
        <v>277</v>
      </c>
      <c r="I549" s="147" t="s">
        <v>428</v>
      </c>
      <c r="J549" s="119">
        <v>133.18</v>
      </c>
      <c r="K549" s="119" t="s">
        <v>207</v>
      </c>
      <c r="L549" s="146">
        <f>J549-129</f>
        <v>4.1800000000000068</v>
      </c>
      <c r="M549" s="119" t="s">
        <v>1737</v>
      </c>
      <c r="N549" s="119" t="s">
        <v>93</v>
      </c>
      <c r="O549" s="141">
        <f t="shared" ref="O549" si="385">B549</f>
        <v>244170</v>
      </c>
      <c r="P549" s="141">
        <f t="shared" ref="P549" si="386">B549+7</f>
        <v>244177</v>
      </c>
      <c r="Q549" s="141">
        <f t="shared" ref="Q549" si="387">O549+2</f>
        <v>244172</v>
      </c>
      <c r="R549" s="139" t="s">
        <v>55</v>
      </c>
      <c r="S549" s="143">
        <v>244173</v>
      </c>
      <c r="T549" s="139" t="s">
        <v>55</v>
      </c>
      <c r="U549" s="143">
        <v>244173</v>
      </c>
      <c r="V549" s="139" t="s">
        <v>55</v>
      </c>
      <c r="W549" s="143">
        <v>244173</v>
      </c>
      <c r="X549" s="139"/>
      <c r="Y549" s="141"/>
      <c r="Z549" s="119" t="s">
        <v>426</v>
      </c>
      <c r="AA549" s="144">
        <f t="shared" si="369"/>
        <v>-4</v>
      </c>
    </row>
    <row r="550" spans="1:27" s="151" customFormat="1" ht="36" customHeight="1" x14ac:dyDescent="0.25">
      <c r="A550" s="119" t="s">
        <v>24</v>
      </c>
      <c r="B550" s="139">
        <v>244170</v>
      </c>
      <c r="C550" s="119" t="s">
        <v>14</v>
      </c>
      <c r="D550" s="166">
        <v>680431</v>
      </c>
      <c r="E550" s="119" t="s">
        <v>426</v>
      </c>
      <c r="F550" s="190">
        <v>68070538</v>
      </c>
      <c r="G550" s="119" t="s">
        <v>1738</v>
      </c>
      <c r="H550" s="187" t="s">
        <v>295</v>
      </c>
      <c r="I550" s="147" t="s">
        <v>428</v>
      </c>
      <c r="J550" s="146">
        <v>125.5</v>
      </c>
      <c r="K550" s="119" t="s">
        <v>411</v>
      </c>
      <c r="L550" s="146">
        <f>127-J550</f>
        <v>1.5</v>
      </c>
      <c r="M550" s="119" t="s">
        <v>672</v>
      </c>
      <c r="N550" s="119" t="s">
        <v>93</v>
      </c>
      <c r="O550" s="141">
        <f t="shared" ref="O550" si="388">B550</f>
        <v>244170</v>
      </c>
      <c r="P550" s="141">
        <f t="shared" ref="P550" si="389">B550+7</f>
        <v>244177</v>
      </c>
      <c r="Q550" s="141">
        <f t="shared" ref="Q550" si="390">O550+2</f>
        <v>244172</v>
      </c>
      <c r="R550" s="139" t="s">
        <v>55</v>
      </c>
      <c r="S550" s="143">
        <v>244173</v>
      </c>
      <c r="T550" s="139" t="s">
        <v>55</v>
      </c>
      <c r="U550" s="143">
        <v>244173</v>
      </c>
      <c r="V550" s="139" t="s">
        <v>55</v>
      </c>
      <c r="W550" s="143">
        <v>244173</v>
      </c>
      <c r="X550" s="139"/>
      <c r="Y550" s="141"/>
      <c r="Z550" s="119" t="s">
        <v>426</v>
      </c>
      <c r="AA550" s="144">
        <f t="shared" si="369"/>
        <v>-4</v>
      </c>
    </row>
    <row r="551" spans="1:27" s="145" customFormat="1" ht="36" customHeight="1" x14ac:dyDescent="0.25">
      <c r="A551" s="119" t="s">
        <v>24</v>
      </c>
      <c r="B551" s="139">
        <v>244170</v>
      </c>
      <c r="C551" s="119" t="s">
        <v>14</v>
      </c>
      <c r="D551" s="166">
        <v>680432</v>
      </c>
      <c r="E551" s="119" t="s">
        <v>827</v>
      </c>
      <c r="F551" s="190">
        <v>68070539</v>
      </c>
      <c r="G551" s="119" t="s">
        <v>1739</v>
      </c>
      <c r="H551" s="187" t="s">
        <v>205</v>
      </c>
      <c r="I551" s="147" t="s">
        <v>829</v>
      </c>
      <c r="J551" s="146">
        <v>109.35</v>
      </c>
      <c r="K551" s="119" t="s">
        <v>207</v>
      </c>
      <c r="L551" s="146">
        <f>J551-105</f>
        <v>4.3499999999999943</v>
      </c>
      <c r="M551" s="119" t="s">
        <v>1740</v>
      </c>
      <c r="N551" s="119" t="s">
        <v>93</v>
      </c>
      <c r="O551" s="141">
        <f t="shared" ref="O551:O588" si="391">B551</f>
        <v>244170</v>
      </c>
      <c r="P551" s="141">
        <f t="shared" ref="P551:P589" si="392">B551+7</f>
        <v>244177</v>
      </c>
      <c r="Q551" s="141">
        <f t="shared" ref="Q551:Q588" si="393">O551+2</f>
        <v>244172</v>
      </c>
      <c r="R551" s="139" t="s">
        <v>55</v>
      </c>
      <c r="S551" s="143">
        <v>244173</v>
      </c>
      <c r="T551" s="139" t="s">
        <v>55</v>
      </c>
      <c r="U551" s="143">
        <v>244173</v>
      </c>
      <c r="V551" s="139" t="s">
        <v>55</v>
      </c>
      <c r="W551" s="143">
        <v>244173</v>
      </c>
      <c r="X551" s="139"/>
      <c r="Y551" s="141"/>
      <c r="Z551" s="119" t="s">
        <v>827</v>
      </c>
      <c r="AA551" s="144">
        <f t="shared" si="369"/>
        <v>-4</v>
      </c>
    </row>
    <row r="552" spans="1:27" s="145" customFormat="1" ht="36" customHeight="1" x14ac:dyDescent="0.25">
      <c r="A552" s="119" t="s">
        <v>24</v>
      </c>
      <c r="B552" s="139">
        <v>244171</v>
      </c>
      <c r="C552" s="119" t="s">
        <v>14</v>
      </c>
      <c r="D552" s="166">
        <v>680433</v>
      </c>
      <c r="E552" s="119" t="s">
        <v>426</v>
      </c>
      <c r="F552" s="190">
        <v>68070631</v>
      </c>
      <c r="G552" s="119" t="s">
        <v>1741</v>
      </c>
      <c r="H552" s="187" t="s">
        <v>289</v>
      </c>
      <c r="I552" s="147" t="s">
        <v>428</v>
      </c>
      <c r="J552" s="146">
        <v>124.85</v>
      </c>
      <c r="K552" s="119" t="s">
        <v>201</v>
      </c>
      <c r="L552" s="146">
        <f>127-J552</f>
        <v>2.1500000000000057</v>
      </c>
      <c r="M552" s="119" t="s">
        <v>1742</v>
      </c>
      <c r="N552" s="119" t="s">
        <v>93</v>
      </c>
      <c r="O552" s="141">
        <f t="shared" si="391"/>
        <v>244171</v>
      </c>
      <c r="P552" s="141">
        <f t="shared" si="392"/>
        <v>244178</v>
      </c>
      <c r="Q552" s="141">
        <f t="shared" si="393"/>
        <v>244173</v>
      </c>
      <c r="R552" s="139" t="s">
        <v>55</v>
      </c>
      <c r="S552" s="143">
        <v>244173</v>
      </c>
      <c r="T552" s="139" t="s">
        <v>55</v>
      </c>
      <c r="U552" s="143">
        <v>244173</v>
      </c>
      <c r="V552" s="139" t="s">
        <v>55</v>
      </c>
      <c r="W552" s="143">
        <v>244173</v>
      </c>
      <c r="X552" s="139"/>
      <c r="Y552" s="141"/>
      <c r="Z552" s="119" t="s">
        <v>426</v>
      </c>
      <c r="AA552" s="144">
        <f t="shared" si="369"/>
        <v>-5</v>
      </c>
    </row>
    <row r="553" spans="1:27" s="145" customFormat="1" ht="36" customHeight="1" x14ac:dyDescent="0.25">
      <c r="A553" s="119" t="s">
        <v>24</v>
      </c>
      <c r="B553" s="139">
        <v>244172</v>
      </c>
      <c r="C553" s="119" t="s">
        <v>14</v>
      </c>
      <c r="D553" s="166">
        <v>680434</v>
      </c>
      <c r="E553" s="119" t="s">
        <v>307</v>
      </c>
      <c r="F553" s="190">
        <v>68070758</v>
      </c>
      <c r="G553" s="119" t="s">
        <v>1746</v>
      </c>
      <c r="H553" s="187" t="s">
        <v>213</v>
      </c>
      <c r="I553" s="147" t="s">
        <v>442</v>
      </c>
      <c r="J553" s="146" t="s">
        <v>557</v>
      </c>
      <c r="K553" s="119" t="s">
        <v>557</v>
      </c>
      <c r="L553" s="146" t="s">
        <v>69</v>
      </c>
      <c r="M553" s="119" t="s">
        <v>1747</v>
      </c>
      <c r="N553" s="119" t="s">
        <v>93</v>
      </c>
      <c r="O553" s="141">
        <f t="shared" si="391"/>
        <v>244172</v>
      </c>
      <c r="P553" s="141">
        <f t="shared" si="392"/>
        <v>244179</v>
      </c>
      <c r="Q553" s="141">
        <f t="shared" si="393"/>
        <v>244174</v>
      </c>
      <c r="R553" s="139" t="s">
        <v>55</v>
      </c>
      <c r="S553" s="143">
        <v>244176</v>
      </c>
      <c r="T553" s="139" t="s">
        <v>55</v>
      </c>
      <c r="U553" s="143">
        <v>244176</v>
      </c>
      <c r="V553" s="139" t="s">
        <v>55</v>
      </c>
      <c r="W553" s="143">
        <v>244176</v>
      </c>
      <c r="X553" s="119"/>
      <c r="Y553" s="141"/>
      <c r="Z553" s="119" t="s">
        <v>1769</v>
      </c>
      <c r="AA553" s="144">
        <f t="shared" si="369"/>
        <v>-3</v>
      </c>
    </row>
    <row r="554" spans="1:27" s="145" customFormat="1" ht="36" customHeight="1" x14ac:dyDescent="0.25">
      <c r="A554" s="119" t="s">
        <v>24</v>
      </c>
      <c r="B554" s="139">
        <v>244172</v>
      </c>
      <c r="C554" s="119" t="s">
        <v>14</v>
      </c>
      <c r="D554" s="166">
        <v>680434</v>
      </c>
      <c r="E554" s="119" t="s">
        <v>307</v>
      </c>
      <c r="F554" s="190">
        <v>68070753</v>
      </c>
      <c r="G554" s="119" t="s">
        <v>1744</v>
      </c>
      <c r="H554" s="187" t="s">
        <v>266</v>
      </c>
      <c r="I554" s="147" t="s">
        <v>442</v>
      </c>
      <c r="J554" s="146" t="s">
        <v>557</v>
      </c>
      <c r="K554" s="119" t="s">
        <v>557</v>
      </c>
      <c r="L554" s="146" t="s">
        <v>69</v>
      </c>
      <c r="M554" s="119" t="s">
        <v>1745</v>
      </c>
      <c r="N554" s="119" t="s">
        <v>93</v>
      </c>
      <c r="O554" s="141">
        <f t="shared" ref="O554" si="394">B554</f>
        <v>244172</v>
      </c>
      <c r="P554" s="141">
        <f t="shared" ref="P554" si="395">B554+7</f>
        <v>244179</v>
      </c>
      <c r="Q554" s="141">
        <f t="shared" ref="Q554" si="396">O554+2</f>
        <v>244174</v>
      </c>
      <c r="R554" s="139" t="s">
        <v>55</v>
      </c>
      <c r="S554" s="143">
        <v>244176</v>
      </c>
      <c r="T554" s="139" t="s">
        <v>55</v>
      </c>
      <c r="U554" s="143">
        <v>244176</v>
      </c>
      <c r="V554" s="139" t="s">
        <v>55</v>
      </c>
      <c r="W554" s="143">
        <v>244176</v>
      </c>
      <c r="X554" s="119"/>
      <c r="Y554" s="141"/>
      <c r="Z554" s="119" t="s">
        <v>1769</v>
      </c>
      <c r="AA554" s="144">
        <f t="shared" si="369"/>
        <v>-3</v>
      </c>
    </row>
    <row r="555" spans="1:27" s="145" customFormat="1" ht="36" customHeight="1" x14ac:dyDescent="0.25">
      <c r="A555" s="119" t="s">
        <v>24</v>
      </c>
      <c r="B555" s="139">
        <v>244172</v>
      </c>
      <c r="C555" s="119" t="s">
        <v>14</v>
      </c>
      <c r="D555" s="166">
        <v>680435</v>
      </c>
      <c r="E555" s="119" t="s">
        <v>872</v>
      </c>
      <c r="F555" s="190">
        <v>68070775</v>
      </c>
      <c r="G555" s="119" t="s">
        <v>1748</v>
      </c>
      <c r="H555" s="187" t="s">
        <v>224</v>
      </c>
      <c r="I555" s="147" t="s">
        <v>845</v>
      </c>
      <c r="J555" s="146">
        <v>62.93</v>
      </c>
      <c r="K555" s="119" t="s">
        <v>200</v>
      </c>
      <c r="L555" s="146">
        <v>2.93</v>
      </c>
      <c r="M555" s="119" t="s">
        <v>1749</v>
      </c>
      <c r="N555" s="119" t="s">
        <v>93</v>
      </c>
      <c r="O555" s="141">
        <f t="shared" si="391"/>
        <v>244172</v>
      </c>
      <c r="P555" s="141">
        <f t="shared" si="392"/>
        <v>244179</v>
      </c>
      <c r="Q555" s="141">
        <f t="shared" si="393"/>
        <v>244174</v>
      </c>
      <c r="R555" s="139" t="s">
        <v>55</v>
      </c>
      <c r="S555" s="143">
        <v>244174</v>
      </c>
      <c r="T555" s="139" t="s">
        <v>55</v>
      </c>
      <c r="U555" s="143">
        <v>244176</v>
      </c>
      <c r="V555" s="139" t="s">
        <v>55</v>
      </c>
      <c r="W555" s="143">
        <v>244173</v>
      </c>
      <c r="X555" s="119"/>
      <c r="Y555" s="141"/>
      <c r="Z555" s="119" t="s">
        <v>1766</v>
      </c>
      <c r="AA555" s="144">
        <f t="shared" si="369"/>
        <v>-6</v>
      </c>
    </row>
    <row r="556" spans="1:27" s="145" customFormat="1" ht="36" customHeight="1" x14ac:dyDescent="0.25">
      <c r="A556" s="119" t="s">
        <v>24</v>
      </c>
      <c r="B556" s="139">
        <v>244173</v>
      </c>
      <c r="C556" s="119" t="s">
        <v>13</v>
      </c>
      <c r="D556" s="166">
        <v>680436</v>
      </c>
      <c r="E556" s="119" t="s">
        <v>1750</v>
      </c>
      <c r="F556" s="190">
        <v>68052230</v>
      </c>
      <c r="G556" s="119">
        <v>680717</v>
      </c>
      <c r="H556" s="187" t="s">
        <v>394</v>
      </c>
      <c r="I556" s="147" t="s">
        <v>1751</v>
      </c>
      <c r="J556" s="146">
        <v>66.569999999999993</v>
      </c>
      <c r="K556" s="119" t="s">
        <v>200</v>
      </c>
      <c r="L556" s="146">
        <v>5.57</v>
      </c>
      <c r="M556" s="119" t="s">
        <v>1752</v>
      </c>
      <c r="N556" s="119" t="s">
        <v>93</v>
      </c>
      <c r="O556" s="141">
        <f t="shared" si="391"/>
        <v>244173</v>
      </c>
      <c r="P556" s="141">
        <f t="shared" si="392"/>
        <v>244180</v>
      </c>
      <c r="Q556" s="141">
        <f t="shared" si="393"/>
        <v>244175</v>
      </c>
      <c r="R556" s="139" t="s">
        <v>55</v>
      </c>
      <c r="S556" s="143">
        <v>244173</v>
      </c>
      <c r="T556" s="139" t="s">
        <v>55</v>
      </c>
      <c r="U556" s="143">
        <v>244176</v>
      </c>
      <c r="V556" s="139" t="s">
        <v>55</v>
      </c>
      <c r="W556" s="143">
        <v>244176</v>
      </c>
      <c r="X556" s="119"/>
      <c r="Y556" s="141"/>
      <c r="Z556" s="119" t="s">
        <v>1770</v>
      </c>
      <c r="AA556" s="144">
        <f t="shared" si="369"/>
        <v>-4</v>
      </c>
    </row>
    <row r="557" spans="1:27" s="145" customFormat="1" ht="36" customHeight="1" x14ac:dyDescent="0.25">
      <c r="A557" s="119" t="s">
        <v>24</v>
      </c>
      <c r="B557" s="139">
        <v>244173</v>
      </c>
      <c r="C557" s="119" t="s">
        <v>14</v>
      </c>
      <c r="D557" s="166">
        <v>680437</v>
      </c>
      <c r="E557" s="119" t="s">
        <v>413</v>
      </c>
      <c r="F557" s="190">
        <v>68070806</v>
      </c>
      <c r="G557" s="119" t="s">
        <v>1753</v>
      </c>
      <c r="H557" s="187" t="s">
        <v>275</v>
      </c>
      <c r="I557" s="147" t="s">
        <v>415</v>
      </c>
      <c r="J557" s="146">
        <v>83.22</v>
      </c>
      <c r="K557" s="119" t="s">
        <v>207</v>
      </c>
      <c r="L557" s="146">
        <f>J557-80</f>
        <v>3.2199999999999989</v>
      </c>
      <c r="M557" s="119" t="s">
        <v>1754</v>
      </c>
      <c r="N557" s="119" t="s">
        <v>93</v>
      </c>
      <c r="O557" s="141">
        <f t="shared" si="391"/>
        <v>244173</v>
      </c>
      <c r="P557" s="141">
        <f t="shared" si="392"/>
        <v>244180</v>
      </c>
      <c r="Q557" s="141">
        <f t="shared" si="393"/>
        <v>244175</v>
      </c>
      <c r="R557" s="139" t="s">
        <v>55</v>
      </c>
      <c r="S557" s="143">
        <v>244174</v>
      </c>
      <c r="T557" s="139" t="s">
        <v>55</v>
      </c>
      <c r="U557" s="143">
        <v>244176</v>
      </c>
      <c r="V557" s="139" t="s">
        <v>55</v>
      </c>
      <c r="W557" s="143">
        <v>244176</v>
      </c>
      <c r="X557" s="119"/>
      <c r="Y557" s="141"/>
      <c r="Z557" s="119" t="s">
        <v>1767</v>
      </c>
      <c r="AA557" s="144">
        <f t="shared" si="369"/>
        <v>-4</v>
      </c>
    </row>
    <row r="558" spans="1:27" s="145" customFormat="1" ht="36" customHeight="1" x14ac:dyDescent="0.25">
      <c r="A558" s="119" t="s">
        <v>24</v>
      </c>
      <c r="B558" s="139">
        <v>244173</v>
      </c>
      <c r="C558" s="119" t="s">
        <v>14</v>
      </c>
      <c r="D558" s="166">
        <v>680438</v>
      </c>
      <c r="E558" s="119" t="s">
        <v>827</v>
      </c>
      <c r="F558" s="190">
        <v>68070828</v>
      </c>
      <c r="G558" s="119" t="s">
        <v>1759</v>
      </c>
      <c r="H558" s="187" t="s">
        <v>205</v>
      </c>
      <c r="I558" s="147" t="s">
        <v>829</v>
      </c>
      <c r="J558" s="146">
        <v>106.81</v>
      </c>
      <c r="K558" s="119" t="s">
        <v>200</v>
      </c>
      <c r="L558" s="146">
        <v>1.81</v>
      </c>
      <c r="M558" s="119" t="s">
        <v>1760</v>
      </c>
      <c r="N558" s="119" t="s">
        <v>93</v>
      </c>
      <c r="O558" s="141">
        <f t="shared" si="391"/>
        <v>244173</v>
      </c>
      <c r="P558" s="141">
        <f t="shared" si="392"/>
        <v>244180</v>
      </c>
      <c r="Q558" s="141">
        <f t="shared" si="393"/>
        <v>244175</v>
      </c>
      <c r="R558" s="139" t="s">
        <v>55</v>
      </c>
      <c r="S558" s="143">
        <v>244174</v>
      </c>
      <c r="T558" s="139" t="s">
        <v>55</v>
      </c>
      <c r="U558" s="143">
        <v>244176</v>
      </c>
      <c r="V558" s="139" t="s">
        <v>55</v>
      </c>
      <c r="W558" s="143">
        <v>244176</v>
      </c>
      <c r="X558" s="119"/>
      <c r="Y558" s="141"/>
      <c r="Z558" s="119" t="s">
        <v>1768</v>
      </c>
      <c r="AA558" s="144">
        <f t="shared" si="369"/>
        <v>-4</v>
      </c>
    </row>
    <row r="559" spans="1:27" s="145" customFormat="1" ht="36" customHeight="1" x14ac:dyDescent="0.25">
      <c r="A559" s="119" t="s">
        <v>24</v>
      </c>
      <c r="B559" s="139">
        <v>244174</v>
      </c>
      <c r="C559" s="119" t="s">
        <v>14</v>
      </c>
      <c r="D559" s="166">
        <v>680439</v>
      </c>
      <c r="E559" s="119" t="s">
        <v>420</v>
      </c>
      <c r="F559" s="190">
        <v>68070906</v>
      </c>
      <c r="G559" s="119" t="s">
        <v>1761</v>
      </c>
      <c r="H559" s="187" t="s">
        <v>272</v>
      </c>
      <c r="I559" s="147" t="s">
        <v>1041</v>
      </c>
      <c r="J559" s="146">
        <v>127.69</v>
      </c>
      <c r="K559" s="119" t="s">
        <v>207</v>
      </c>
      <c r="L559" s="146">
        <f>J559-124</f>
        <v>3.6899999999999977</v>
      </c>
      <c r="M559" s="119" t="s">
        <v>1762</v>
      </c>
      <c r="N559" s="119" t="s">
        <v>93</v>
      </c>
      <c r="O559" s="141">
        <f t="shared" si="391"/>
        <v>244174</v>
      </c>
      <c r="P559" s="141">
        <f t="shared" si="392"/>
        <v>244181</v>
      </c>
      <c r="Q559" s="141">
        <f t="shared" si="393"/>
        <v>244176</v>
      </c>
      <c r="R559" s="139" t="s">
        <v>55</v>
      </c>
      <c r="S559" s="143">
        <v>244179</v>
      </c>
      <c r="T559" s="139" t="s">
        <v>55</v>
      </c>
      <c r="U559" s="143">
        <v>244180</v>
      </c>
      <c r="V559" s="139" t="s">
        <v>55</v>
      </c>
      <c r="W559" s="143">
        <v>244180</v>
      </c>
      <c r="X559" s="139"/>
      <c r="Y559" s="141"/>
      <c r="Z559" s="119" t="s">
        <v>1794</v>
      </c>
      <c r="AA559" s="144">
        <f t="shared" si="369"/>
        <v>-1</v>
      </c>
    </row>
    <row r="560" spans="1:27" s="145" customFormat="1" ht="36" customHeight="1" x14ac:dyDescent="0.25">
      <c r="A560" s="119" t="s">
        <v>24</v>
      </c>
      <c r="B560" s="139">
        <v>244174</v>
      </c>
      <c r="C560" s="119" t="s">
        <v>14</v>
      </c>
      <c r="D560" s="166">
        <v>680440</v>
      </c>
      <c r="E560" s="119" t="s">
        <v>1529</v>
      </c>
      <c r="F560" s="190">
        <v>68070912</v>
      </c>
      <c r="G560" s="119" t="s">
        <v>1763</v>
      </c>
      <c r="H560" s="187" t="s">
        <v>1764</v>
      </c>
      <c r="I560" s="147" t="s">
        <v>1260</v>
      </c>
      <c r="J560" s="146">
        <v>82.72</v>
      </c>
      <c r="K560" s="119" t="s">
        <v>207</v>
      </c>
      <c r="L560" s="146">
        <f>J560-78</f>
        <v>4.7199999999999989</v>
      </c>
      <c r="M560" s="119" t="s">
        <v>1765</v>
      </c>
      <c r="N560" s="119" t="s">
        <v>93</v>
      </c>
      <c r="O560" s="141">
        <f t="shared" si="391"/>
        <v>244174</v>
      </c>
      <c r="P560" s="141">
        <f t="shared" si="392"/>
        <v>244181</v>
      </c>
      <c r="Q560" s="141">
        <f t="shared" si="393"/>
        <v>244176</v>
      </c>
      <c r="R560" s="139" t="s">
        <v>55</v>
      </c>
      <c r="S560" s="143">
        <v>244179</v>
      </c>
      <c r="T560" s="139" t="s">
        <v>55</v>
      </c>
      <c r="U560" s="143">
        <v>244180</v>
      </c>
      <c r="V560" s="139" t="s">
        <v>55</v>
      </c>
      <c r="W560" s="143">
        <v>244180</v>
      </c>
      <c r="X560" s="139"/>
      <c r="Y560" s="141"/>
      <c r="Z560" s="119" t="s">
        <v>1793</v>
      </c>
      <c r="AA560" s="144">
        <f t="shared" si="369"/>
        <v>-1</v>
      </c>
    </row>
    <row r="561" spans="1:27" s="145" customFormat="1" ht="36" customHeight="1" x14ac:dyDescent="0.25">
      <c r="A561" s="119" t="s">
        <v>24</v>
      </c>
      <c r="B561" s="139">
        <v>244176</v>
      </c>
      <c r="C561" s="119" t="s">
        <v>14</v>
      </c>
      <c r="D561" s="166">
        <v>680441</v>
      </c>
      <c r="E561" s="119" t="s">
        <v>827</v>
      </c>
      <c r="F561" s="190">
        <v>68071119</v>
      </c>
      <c r="G561" s="119" t="s">
        <v>1771</v>
      </c>
      <c r="H561" s="187" t="s">
        <v>276</v>
      </c>
      <c r="I561" s="147" t="s">
        <v>829</v>
      </c>
      <c r="J561" s="146">
        <v>107.42</v>
      </c>
      <c r="K561" s="119" t="s">
        <v>207</v>
      </c>
      <c r="L561" s="146">
        <v>2.42</v>
      </c>
      <c r="M561" s="119" t="s">
        <v>1772</v>
      </c>
      <c r="N561" s="119" t="s">
        <v>93</v>
      </c>
      <c r="O561" s="141">
        <f t="shared" si="391"/>
        <v>244176</v>
      </c>
      <c r="P561" s="141">
        <f t="shared" si="392"/>
        <v>244183</v>
      </c>
      <c r="Q561" s="141">
        <f t="shared" si="393"/>
        <v>244178</v>
      </c>
      <c r="R561" s="139" t="s">
        <v>55</v>
      </c>
      <c r="S561" s="143">
        <v>244179</v>
      </c>
      <c r="T561" s="139" t="s">
        <v>55</v>
      </c>
      <c r="U561" s="143">
        <v>244180</v>
      </c>
      <c r="V561" s="139" t="s">
        <v>55</v>
      </c>
      <c r="W561" s="143">
        <v>244180</v>
      </c>
      <c r="X561" s="139"/>
      <c r="Y561" s="141"/>
      <c r="Z561" s="119" t="s">
        <v>1768</v>
      </c>
      <c r="AA561" s="144">
        <f t="shared" si="369"/>
        <v>-3</v>
      </c>
    </row>
    <row r="562" spans="1:27" s="145" customFormat="1" ht="36" customHeight="1" x14ac:dyDescent="0.25">
      <c r="A562" s="119" t="s">
        <v>24</v>
      </c>
      <c r="B562" s="139">
        <v>244177</v>
      </c>
      <c r="C562" s="119" t="s">
        <v>14</v>
      </c>
      <c r="D562" s="166">
        <v>680442</v>
      </c>
      <c r="E562" s="119" t="s">
        <v>420</v>
      </c>
      <c r="F562" s="190">
        <v>68071206</v>
      </c>
      <c r="G562" s="119" t="s">
        <v>1773</v>
      </c>
      <c r="H562" s="187" t="s">
        <v>272</v>
      </c>
      <c r="I562" s="147" t="s">
        <v>1041</v>
      </c>
      <c r="J562" s="146">
        <v>116.54</v>
      </c>
      <c r="K562" s="119" t="s">
        <v>201</v>
      </c>
      <c r="L562" s="146">
        <f>121-J562</f>
        <v>4.4599999999999937</v>
      </c>
      <c r="M562" s="119" t="s">
        <v>1774</v>
      </c>
      <c r="N562" s="119" t="s">
        <v>93</v>
      </c>
      <c r="O562" s="141">
        <f t="shared" si="391"/>
        <v>244177</v>
      </c>
      <c r="P562" s="141">
        <f t="shared" si="392"/>
        <v>244184</v>
      </c>
      <c r="Q562" s="141">
        <f t="shared" si="393"/>
        <v>244179</v>
      </c>
      <c r="R562" s="139" t="s">
        <v>55</v>
      </c>
      <c r="S562" s="143">
        <v>244180</v>
      </c>
      <c r="T562" s="139" t="s">
        <v>55</v>
      </c>
      <c r="U562" s="143">
        <v>244181</v>
      </c>
      <c r="V562" s="139" t="s">
        <v>55</v>
      </c>
      <c r="W562" s="143">
        <v>244181</v>
      </c>
      <c r="X562" s="139"/>
      <c r="Y562" s="141"/>
      <c r="Z562" s="119" t="s">
        <v>1804</v>
      </c>
      <c r="AA562" s="144">
        <f>W562-P562</f>
        <v>-3</v>
      </c>
    </row>
    <row r="563" spans="1:27" s="145" customFormat="1" ht="36" customHeight="1" x14ac:dyDescent="0.25">
      <c r="A563" s="119" t="s">
        <v>24</v>
      </c>
      <c r="B563" s="139">
        <v>244178</v>
      </c>
      <c r="C563" s="119" t="s">
        <v>14</v>
      </c>
      <c r="D563" s="166">
        <v>680443</v>
      </c>
      <c r="E563" s="119" t="s">
        <v>307</v>
      </c>
      <c r="F563" s="190">
        <v>68071306</v>
      </c>
      <c r="G563" s="119" t="s">
        <v>1775</v>
      </c>
      <c r="H563" s="187" t="s">
        <v>283</v>
      </c>
      <c r="I563" s="147" t="s">
        <v>308</v>
      </c>
      <c r="J563" s="146">
        <v>62.44</v>
      </c>
      <c r="K563" s="119" t="s">
        <v>201</v>
      </c>
      <c r="L563" s="146">
        <f>64-J563</f>
        <v>1.5600000000000023</v>
      </c>
      <c r="M563" s="119" t="s">
        <v>1776</v>
      </c>
      <c r="N563" s="119" t="s">
        <v>93</v>
      </c>
      <c r="O563" s="141">
        <f t="shared" ref="O563" si="397">B563</f>
        <v>244178</v>
      </c>
      <c r="P563" s="141">
        <f t="shared" ref="P563" si="398">B563+7</f>
        <v>244185</v>
      </c>
      <c r="Q563" s="141">
        <f t="shared" ref="Q563" si="399">O563+2</f>
        <v>244180</v>
      </c>
      <c r="R563" s="139" t="s">
        <v>55</v>
      </c>
      <c r="S563" s="143">
        <v>244180</v>
      </c>
      <c r="T563" s="139" t="s">
        <v>55</v>
      </c>
      <c r="U563" s="143">
        <v>244181</v>
      </c>
      <c r="V563" s="139" t="s">
        <v>55</v>
      </c>
      <c r="W563" s="143">
        <v>244181</v>
      </c>
      <c r="X563" s="139"/>
      <c r="Y563" s="141"/>
      <c r="Z563" s="119" t="s">
        <v>1805</v>
      </c>
      <c r="AA563" s="144">
        <f t="shared" si="369"/>
        <v>-4</v>
      </c>
    </row>
    <row r="564" spans="1:27" s="145" customFormat="1" ht="36" customHeight="1" x14ac:dyDescent="0.25">
      <c r="A564" s="119" t="s">
        <v>24</v>
      </c>
      <c r="B564" s="139">
        <v>244178</v>
      </c>
      <c r="C564" s="119" t="s">
        <v>14</v>
      </c>
      <c r="D564" s="166">
        <v>680443</v>
      </c>
      <c r="E564" s="119" t="s">
        <v>307</v>
      </c>
      <c r="F564" s="190">
        <v>68071309</v>
      </c>
      <c r="G564" s="119" t="s">
        <v>1779</v>
      </c>
      <c r="H564" s="187" t="s">
        <v>288</v>
      </c>
      <c r="I564" s="147" t="s">
        <v>308</v>
      </c>
      <c r="J564" s="146">
        <v>61.96</v>
      </c>
      <c r="K564" s="119" t="s">
        <v>201</v>
      </c>
      <c r="L564" s="146">
        <f>64-J564</f>
        <v>2.0399999999999991</v>
      </c>
      <c r="M564" s="119" t="s">
        <v>1780</v>
      </c>
      <c r="N564" s="119" t="s">
        <v>93</v>
      </c>
      <c r="O564" s="141">
        <f t="shared" si="391"/>
        <v>244178</v>
      </c>
      <c r="P564" s="141">
        <f t="shared" si="392"/>
        <v>244185</v>
      </c>
      <c r="Q564" s="141">
        <f t="shared" si="393"/>
        <v>244180</v>
      </c>
      <c r="R564" s="139" t="s">
        <v>55</v>
      </c>
      <c r="S564" s="143">
        <v>244180</v>
      </c>
      <c r="T564" s="139" t="s">
        <v>55</v>
      </c>
      <c r="U564" s="143">
        <v>244181</v>
      </c>
      <c r="V564" s="139" t="s">
        <v>55</v>
      </c>
      <c r="W564" s="143">
        <v>244181</v>
      </c>
      <c r="X564" s="139"/>
      <c r="Y564" s="141"/>
      <c r="Z564" s="119" t="s">
        <v>1805</v>
      </c>
      <c r="AA564" s="144">
        <f t="shared" si="369"/>
        <v>-4</v>
      </c>
    </row>
    <row r="565" spans="1:27" s="145" customFormat="1" ht="36" customHeight="1" x14ac:dyDescent="0.25">
      <c r="A565" s="119" t="s">
        <v>24</v>
      </c>
      <c r="B565" s="139">
        <v>244178</v>
      </c>
      <c r="C565" s="119" t="s">
        <v>14</v>
      </c>
      <c r="D565" s="166">
        <v>680444</v>
      </c>
      <c r="E565" s="119" t="s">
        <v>413</v>
      </c>
      <c r="F565" s="190">
        <v>68071320</v>
      </c>
      <c r="G565" s="119" t="s">
        <v>1777</v>
      </c>
      <c r="H565" s="187" t="s">
        <v>294</v>
      </c>
      <c r="I565" s="147" t="s">
        <v>415</v>
      </c>
      <c r="J565" s="146">
        <v>84.16</v>
      </c>
      <c r="K565" s="119" t="s">
        <v>207</v>
      </c>
      <c r="L565" s="146">
        <v>1.1599999999999999</v>
      </c>
      <c r="M565" s="119" t="s">
        <v>1778</v>
      </c>
      <c r="N565" s="119" t="s">
        <v>93</v>
      </c>
      <c r="O565" s="141">
        <f t="shared" si="391"/>
        <v>244178</v>
      </c>
      <c r="P565" s="141">
        <f t="shared" si="392"/>
        <v>244185</v>
      </c>
      <c r="Q565" s="141">
        <f t="shared" si="393"/>
        <v>244180</v>
      </c>
      <c r="R565" s="139" t="s">
        <v>55</v>
      </c>
      <c r="S565" s="143">
        <v>244180</v>
      </c>
      <c r="T565" s="139" t="s">
        <v>55</v>
      </c>
      <c r="U565" s="143">
        <v>244181</v>
      </c>
      <c r="V565" s="139" t="s">
        <v>55</v>
      </c>
      <c r="W565" s="143">
        <v>244181</v>
      </c>
      <c r="X565" s="139"/>
      <c r="Y565" s="141"/>
      <c r="Z565" s="119" t="s">
        <v>1334</v>
      </c>
      <c r="AA565" s="144">
        <f t="shared" si="369"/>
        <v>-4</v>
      </c>
    </row>
    <row r="566" spans="1:27" s="145" customFormat="1" ht="36" customHeight="1" x14ac:dyDescent="0.25">
      <c r="A566" s="119" t="s">
        <v>24</v>
      </c>
      <c r="B566" s="139">
        <v>244178</v>
      </c>
      <c r="C566" s="119" t="s">
        <v>14</v>
      </c>
      <c r="D566" s="166">
        <v>680445</v>
      </c>
      <c r="E566" s="119" t="s">
        <v>426</v>
      </c>
      <c r="F566" s="190">
        <v>68071325</v>
      </c>
      <c r="G566" s="119" t="s">
        <v>1781</v>
      </c>
      <c r="H566" s="187" t="s">
        <v>289</v>
      </c>
      <c r="I566" s="147" t="s">
        <v>428</v>
      </c>
      <c r="J566" s="146">
        <v>125.41</v>
      </c>
      <c r="K566" s="119" t="s">
        <v>201</v>
      </c>
      <c r="L566" s="146">
        <f>127-J566</f>
        <v>1.5900000000000034</v>
      </c>
      <c r="M566" s="119" t="s">
        <v>1782</v>
      </c>
      <c r="N566" s="119" t="s">
        <v>93</v>
      </c>
      <c r="O566" s="141">
        <f t="shared" si="391"/>
        <v>244178</v>
      </c>
      <c r="P566" s="141">
        <f t="shared" si="392"/>
        <v>244185</v>
      </c>
      <c r="Q566" s="141">
        <f t="shared" si="393"/>
        <v>244180</v>
      </c>
      <c r="R566" s="139" t="s">
        <v>55</v>
      </c>
      <c r="S566" s="143">
        <v>244180</v>
      </c>
      <c r="T566" s="139" t="s">
        <v>55</v>
      </c>
      <c r="U566" s="143">
        <v>244181</v>
      </c>
      <c r="V566" s="139" t="s">
        <v>55</v>
      </c>
      <c r="W566" s="143">
        <v>244181</v>
      </c>
      <c r="X566" s="139"/>
      <c r="Y566" s="141"/>
      <c r="Z566" s="119" t="s">
        <v>1806</v>
      </c>
      <c r="AA566" s="144">
        <f t="shared" si="369"/>
        <v>-4</v>
      </c>
    </row>
    <row r="567" spans="1:27" s="145" customFormat="1" ht="36" customHeight="1" x14ac:dyDescent="0.25">
      <c r="A567" s="119" t="s">
        <v>24</v>
      </c>
      <c r="B567" s="139">
        <v>244179</v>
      </c>
      <c r="C567" s="119" t="s">
        <v>14</v>
      </c>
      <c r="D567" s="166">
        <v>680446</v>
      </c>
      <c r="E567" s="119" t="s">
        <v>872</v>
      </c>
      <c r="F567" s="190">
        <v>68071424</v>
      </c>
      <c r="G567" s="119" t="s">
        <v>1783</v>
      </c>
      <c r="H567" s="187" t="s">
        <v>280</v>
      </c>
      <c r="I567" s="147" t="s">
        <v>1784</v>
      </c>
      <c r="J567" s="146">
        <v>61.42</v>
      </c>
      <c r="K567" s="119" t="s">
        <v>207</v>
      </c>
      <c r="L567" s="146">
        <v>1.42</v>
      </c>
      <c r="M567" s="119" t="s">
        <v>1785</v>
      </c>
      <c r="N567" s="119" t="s">
        <v>93</v>
      </c>
      <c r="O567" s="141">
        <f t="shared" si="391"/>
        <v>244179</v>
      </c>
      <c r="P567" s="141">
        <f t="shared" si="392"/>
        <v>244186</v>
      </c>
      <c r="Q567" s="141">
        <f t="shared" si="393"/>
        <v>244181</v>
      </c>
      <c r="R567" s="139" t="s">
        <v>55</v>
      </c>
      <c r="S567" s="143">
        <v>244180</v>
      </c>
      <c r="T567" s="139" t="s">
        <v>55</v>
      </c>
      <c r="U567" s="143">
        <v>244181</v>
      </c>
      <c r="V567" s="139" t="s">
        <v>55</v>
      </c>
      <c r="W567" s="143">
        <v>244181</v>
      </c>
      <c r="X567" s="139"/>
      <c r="Y567" s="141"/>
      <c r="Z567" s="119" t="s">
        <v>1320</v>
      </c>
      <c r="AA567" s="144">
        <f t="shared" si="369"/>
        <v>-5</v>
      </c>
    </row>
    <row r="568" spans="1:27" s="145" customFormat="1" ht="36" customHeight="1" x14ac:dyDescent="0.25">
      <c r="A568" s="119" t="s">
        <v>24</v>
      </c>
      <c r="B568" s="139">
        <v>244179</v>
      </c>
      <c r="C568" s="119" t="s">
        <v>14</v>
      </c>
      <c r="D568" s="166">
        <v>680447</v>
      </c>
      <c r="E568" s="119" t="s">
        <v>426</v>
      </c>
      <c r="F568" s="190">
        <v>68071456</v>
      </c>
      <c r="G568" s="119" t="s">
        <v>1786</v>
      </c>
      <c r="H568" s="187" t="s">
        <v>295</v>
      </c>
      <c r="I568" s="147" t="s">
        <v>428</v>
      </c>
      <c r="J568" s="146">
        <v>125.98</v>
      </c>
      <c r="K568" s="119" t="s">
        <v>201</v>
      </c>
      <c r="L568" s="146">
        <f>127-J568</f>
        <v>1.019999999999996</v>
      </c>
      <c r="M568" s="119" t="s">
        <v>1787</v>
      </c>
      <c r="N568" s="119" t="s">
        <v>93</v>
      </c>
      <c r="O568" s="141">
        <f t="shared" si="391"/>
        <v>244179</v>
      </c>
      <c r="P568" s="141">
        <f t="shared" si="392"/>
        <v>244186</v>
      </c>
      <c r="Q568" s="141">
        <f t="shared" si="393"/>
        <v>244181</v>
      </c>
      <c r="R568" s="139" t="s">
        <v>55</v>
      </c>
      <c r="S568" s="143">
        <v>244180</v>
      </c>
      <c r="T568" s="139" t="s">
        <v>55</v>
      </c>
      <c r="U568" s="143">
        <v>244181</v>
      </c>
      <c r="V568" s="139" t="s">
        <v>55</v>
      </c>
      <c r="W568" s="143">
        <v>244181</v>
      </c>
      <c r="X568" s="139"/>
      <c r="Y568" s="141"/>
      <c r="Z568" s="119" t="s">
        <v>1806</v>
      </c>
      <c r="AA568" s="144">
        <f t="shared" si="369"/>
        <v>-5</v>
      </c>
    </row>
    <row r="569" spans="1:27" s="145" customFormat="1" ht="36" customHeight="1" x14ac:dyDescent="0.25">
      <c r="A569" s="119" t="s">
        <v>24</v>
      </c>
      <c r="B569" s="139">
        <v>244180</v>
      </c>
      <c r="C569" s="119" t="s">
        <v>14</v>
      </c>
      <c r="D569" s="166">
        <v>680448</v>
      </c>
      <c r="E569" s="119" t="s">
        <v>413</v>
      </c>
      <c r="F569" s="190">
        <v>68071501</v>
      </c>
      <c r="G569" s="119" t="s">
        <v>1788</v>
      </c>
      <c r="H569" s="187" t="s">
        <v>294</v>
      </c>
      <c r="I569" s="147" t="s">
        <v>415</v>
      </c>
      <c r="J569" s="146">
        <v>85.31</v>
      </c>
      <c r="K569" s="119" t="s">
        <v>207</v>
      </c>
      <c r="L569" s="146">
        <v>5.31</v>
      </c>
      <c r="M569" s="119" t="s">
        <v>1789</v>
      </c>
      <c r="N569" s="119" t="s">
        <v>93</v>
      </c>
      <c r="O569" s="141">
        <f t="shared" si="391"/>
        <v>244180</v>
      </c>
      <c r="P569" s="141">
        <f t="shared" si="392"/>
        <v>244187</v>
      </c>
      <c r="Q569" s="141">
        <f t="shared" si="393"/>
        <v>244182</v>
      </c>
      <c r="R569" s="139" t="s">
        <v>55</v>
      </c>
      <c r="S569" s="143">
        <v>244184</v>
      </c>
      <c r="T569" s="139" t="s">
        <v>55</v>
      </c>
      <c r="U569" s="143">
        <v>244186</v>
      </c>
      <c r="V569" s="139" t="s">
        <v>55</v>
      </c>
      <c r="W569" s="143">
        <v>244186</v>
      </c>
      <c r="X569" s="139"/>
      <c r="Y569" s="141"/>
      <c r="Z569" s="119" t="s">
        <v>413</v>
      </c>
      <c r="AA569" s="144">
        <f t="shared" si="369"/>
        <v>-1</v>
      </c>
    </row>
    <row r="570" spans="1:27" s="145" customFormat="1" ht="36" customHeight="1" x14ac:dyDescent="0.25">
      <c r="A570" s="119" t="s">
        <v>24</v>
      </c>
      <c r="B570" s="139">
        <v>244180</v>
      </c>
      <c r="C570" s="119" t="s">
        <v>132</v>
      </c>
      <c r="D570" s="166">
        <v>680449</v>
      </c>
      <c r="E570" s="119" t="s">
        <v>1455</v>
      </c>
      <c r="F570" s="190" t="s">
        <v>1456</v>
      </c>
      <c r="G570" s="119" t="s">
        <v>1790</v>
      </c>
      <c r="H570" s="187" t="s">
        <v>1791</v>
      </c>
      <c r="I570" s="147" t="s">
        <v>203</v>
      </c>
      <c r="J570" s="146" t="s">
        <v>1792</v>
      </c>
      <c r="K570" s="146" t="s">
        <v>1792</v>
      </c>
      <c r="L570" s="146" t="s">
        <v>346</v>
      </c>
      <c r="M570" s="119">
        <v>1</v>
      </c>
      <c r="N570" s="119" t="s">
        <v>52</v>
      </c>
      <c r="O570" s="141">
        <f t="shared" si="391"/>
        <v>244180</v>
      </c>
      <c r="P570" s="141">
        <f t="shared" si="392"/>
        <v>244187</v>
      </c>
      <c r="Q570" s="141">
        <f t="shared" si="393"/>
        <v>244182</v>
      </c>
      <c r="R570" s="139" t="s">
        <v>55</v>
      </c>
      <c r="S570" s="143">
        <v>244226</v>
      </c>
      <c r="T570" s="139" t="s">
        <v>55</v>
      </c>
      <c r="U570" s="143">
        <v>244229</v>
      </c>
      <c r="V570" s="139" t="s">
        <v>55</v>
      </c>
      <c r="W570" s="143">
        <v>244229</v>
      </c>
      <c r="X570" s="139"/>
      <c r="Y570" s="141"/>
      <c r="Z570" s="119" t="s">
        <v>771</v>
      </c>
      <c r="AA570" s="144">
        <f t="shared" si="369"/>
        <v>42</v>
      </c>
    </row>
    <row r="571" spans="1:27" s="145" customFormat="1" ht="36" customHeight="1" x14ac:dyDescent="0.25">
      <c r="A571" s="119" t="s">
        <v>24</v>
      </c>
      <c r="B571" s="139">
        <v>244180</v>
      </c>
      <c r="C571" s="119" t="s">
        <v>14</v>
      </c>
      <c r="D571" s="166">
        <v>680450</v>
      </c>
      <c r="E571" s="119" t="s">
        <v>433</v>
      </c>
      <c r="F571" s="190">
        <v>68071548</v>
      </c>
      <c r="G571" s="119" t="s">
        <v>1795</v>
      </c>
      <c r="H571" s="187" t="s">
        <v>217</v>
      </c>
      <c r="I571" s="147" t="s">
        <v>304</v>
      </c>
      <c r="J571" s="146">
        <v>72.8</v>
      </c>
      <c r="K571" s="119" t="s">
        <v>201</v>
      </c>
      <c r="L571" s="146">
        <f>76-J571</f>
        <v>3.2000000000000028</v>
      </c>
      <c r="M571" s="119" t="s">
        <v>1796</v>
      </c>
      <c r="N571" s="119" t="s">
        <v>93</v>
      </c>
      <c r="O571" s="141">
        <f t="shared" si="391"/>
        <v>244180</v>
      </c>
      <c r="P571" s="141">
        <f t="shared" si="392"/>
        <v>244187</v>
      </c>
      <c r="Q571" s="141">
        <f t="shared" si="393"/>
        <v>244182</v>
      </c>
      <c r="R571" s="139" t="s">
        <v>55</v>
      </c>
      <c r="S571" s="143">
        <v>244184</v>
      </c>
      <c r="T571" s="139" t="s">
        <v>55</v>
      </c>
      <c r="U571" s="143">
        <v>244186</v>
      </c>
      <c r="V571" s="139" t="s">
        <v>55</v>
      </c>
      <c r="W571" s="143">
        <v>244186</v>
      </c>
      <c r="X571" s="139"/>
      <c r="Y571" s="141"/>
      <c r="Z571" s="119" t="s">
        <v>1836</v>
      </c>
      <c r="AA571" s="144">
        <f t="shared" si="369"/>
        <v>-1</v>
      </c>
    </row>
    <row r="572" spans="1:27" s="145" customFormat="1" ht="36" customHeight="1" x14ac:dyDescent="0.25">
      <c r="A572" s="119" t="s">
        <v>24</v>
      </c>
      <c r="B572" s="139">
        <v>244181</v>
      </c>
      <c r="C572" s="119" t="s">
        <v>14</v>
      </c>
      <c r="D572" s="166">
        <v>680451</v>
      </c>
      <c r="E572" s="119" t="s">
        <v>872</v>
      </c>
      <c r="F572" s="190">
        <v>68071604</v>
      </c>
      <c r="G572" s="119" t="s">
        <v>1797</v>
      </c>
      <c r="H572" s="187" t="s">
        <v>285</v>
      </c>
      <c r="I572" s="147" t="s">
        <v>845</v>
      </c>
      <c r="J572" s="146">
        <v>61</v>
      </c>
      <c r="K572" s="119" t="s">
        <v>200</v>
      </c>
      <c r="L572" s="146">
        <v>1</v>
      </c>
      <c r="M572" s="119" t="s">
        <v>1798</v>
      </c>
      <c r="N572" s="119" t="s">
        <v>93</v>
      </c>
      <c r="O572" s="141">
        <f t="shared" si="391"/>
        <v>244181</v>
      </c>
      <c r="P572" s="141">
        <f t="shared" si="392"/>
        <v>244188</v>
      </c>
      <c r="Q572" s="141">
        <f t="shared" si="393"/>
        <v>244183</v>
      </c>
      <c r="R572" s="139" t="s">
        <v>55</v>
      </c>
      <c r="S572" s="143">
        <v>244184</v>
      </c>
      <c r="T572" s="139" t="s">
        <v>55</v>
      </c>
      <c r="U572" s="143">
        <v>244186</v>
      </c>
      <c r="V572" s="139" t="s">
        <v>55</v>
      </c>
      <c r="W572" s="143">
        <v>244186</v>
      </c>
      <c r="X572" s="139"/>
      <c r="Y572" s="141"/>
      <c r="Z572" s="119" t="s">
        <v>872</v>
      </c>
      <c r="AA572" s="144">
        <f t="shared" si="369"/>
        <v>-2</v>
      </c>
    </row>
    <row r="573" spans="1:27" s="145" customFormat="1" ht="36" customHeight="1" x14ac:dyDescent="0.25">
      <c r="A573" s="119" t="s">
        <v>24</v>
      </c>
      <c r="B573" s="139">
        <v>244181</v>
      </c>
      <c r="C573" s="119" t="s">
        <v>14</v>
      </c>
      <c r="D573" s="166">
        <v>680452</v>
      </c>
      <c r="E573" s="119" t="s">
        <v>426</v>
      </c>
      <c r="F573" s="190">
        <v>68071611</v>
      </c>
      <c r="G573" s="119" t="s">
        <v>1799</v>
      </c>
      <c r="H573" s="187" t="s">
        <v>295</v>
      </c>
      <c r="I573" s="147" t="s">
        <v>428</v>
      </c>
      <c r="J573" s="146" t="s">
        <v>1800</v>
      </c>
      <c r="K573" s="119" t="s">
        <v>1803</v>
      </c>
      <c r="L573" s="146" t="s">
        <v>69</v>
      </c>
      <c r="M573" s="119" t="s">
        <v>1801</v>
      </c>
      <c r="N573" s="119" t="s">
        <v>93</v>
      </c>
      <c r="O573" s="141">
        <f t="shared" si="391"/>
        <v>244181</v>
      </c>
      <c r="P573" s="141">
        <f t="shared" si="392"/>
        <v>244188</v>
      </c>
      <c r="Q573" s="141">
        <f t="shared" si="393"/>
        <v>244183</v>
      </c>
      <c r="R573" s="139" t="s">
        <v>55</v>
      </c>
      <c r="S573" s="143">
        <v>244033</v>
      </c>
      <c r="T573" s="139" t="s">
        <v>55</v>
      </c>
      <c r="U573" s="143">
        <v>244186</v>
      </c>
      <c r="V573" s="139" t="s">
        <v>55</v>
      </c>
      <c r="W573" s="143">
        <v>244186</v>
      </c>
      <c r="X573" s="139"/>
      <c r="Y573" s="141"/>
      <c r="Z573" s="119" t="s">
        <v>1837</v>
      </c>
      <c r="AA573" s="144">
        <f t="shared" si="369"/>
        <v>-2</v>
      </c>
    </row>
    <row r="574" spans="1:27" s="145" customFormat="1" ht="36" customHeight="1" x14ac:dyDescent="0.25">
      <c r="A574" s="119" t="s">
        <v>24</v>
      </c>
      <c r="B574" s="139">
        <v>244181</v>
      </c>
      <c r="C574" s="119" t="s">
        <v>14</v>
      </c>
      <c r="D574" s="166">
        <v>680453</v>
      </c>
      <c r="E574" s="119" t="s">
        <v>433</v>
      </c>
      <c r="F574" s="190">
        <v>68071619</v>
      </c>
      <c r="G574" s="119" t="s">
        <v>1802</v>
      </c>
      <c r="H574" s="187" t="s">
        <v>250</v>
      </c>
      <c r="I574" s="147" t="s">
        <v>304</v>
      </c>
      <c r="J574" s="146">
        <v>75.64</v>
      </c>
      <c r="K574" s="119" t="s">
        <v>411</v>
      </c>
      <c r="L574" s="146">
        <f>76-J574</f>
        <v>0.35999999999999943</v>
      </c>
      <c r="M574" s="119" t="s">
        <v>1500</v>
      </c>
      <c r="N574" s="119" t="s">
        <v>93</v>
      </c>
      <c r="O574" s="141">
        <f t="shared" si="391"/>
        <v>244181</v>
      </c>
      <c r="P574" s="141">
        <f t="shared" si="392"/>
        <v>244188</v>
      </c>
      <c r="Q574" s="141">
        <f t="shared" si="393"/>
        <v>244183</v>
      </c>
      <c r="R574" s="139" t="s">
        <v>55</v>
      </c>
      <c r="S574" s="143">
        <v>244184</v>
      </c>
      <c r="T574" s="139" t="s">
        <v>55</v>
      </c>
      <c r="U574" s="143">
        <v>244186</v>
      </c>
      <c r="V574" s="139" t="s">
        <v>55</v>
      </c>
      <c r="W574" s="143">
        <v>244186</v>
      </c>
      <c r="X574" s="139"/>
      <c r="Y574" s="141"/>
      <c r="Z574" s="119" t="s">
        <v>433</v>
      </c>
      <c r="AA574" s="144">
        <f t="shared" si="369"/>
        <v>-2</v>
      </c>
    </row>
    <row r="575" spans="1:27" s="145" customFormat="1" ht="36" customHeight="1" x14ac:dyDescent="0.25">
      <c r="A575" s="119" t="s">
        <v>24</v>
      </c>
      <c r="B575" s="139">
        <v>244182</v>
      </c>
      <c r="C575" s="119" t="s">
        <v>14</v>
      </c>
      <c r="D575" s="166">
        <v>680454</v>
      </c>
      <c r="E575" s="119" t="s">
        <v>1807</v>
      </c>
      <c r="F575" s="190" t="s">
        <v>1397</v>
      </c>
      <c r="G575" s="119" t="s">
        <v>1808</v>
      </c>
      <c r="H575" s="187" t="s">
        <v>1809</v>
      </c>
      <c r="I575" s="147" t="s">
        <v>1812</v>
      </c>
      <c r="J575" s="146" t="s">
        <v>1810</v>
      </c>
      <c r="K575" s="146" t="s">
        <v>1810</v>
      </c>
      <c r="L575" s="146" t="s">
        <v>1811</v>
      </c>
      <c r="M575" s="119"/>
      <c r="N575" s="119" t="s">
        <v>52</v>
      </c>
      <c r="O575" s="141">
        <f t="shared" si="391"/>
        <v>244182</v>
      </c>
      <c r="P575" s="141">
        <f t="shared" si="392"/>
        <v>244189</v>
      </c>
      <c r="Q575" s="141">
        <f t="shared" si="393"/>
        <v>244184</v>
      </c>
      <c r="R575" s="139" t="s">
        <v>55</v>
      </c>
      <c r="S575" s="143">
        <v>244226</v>
      </c>
      <c r="T575" s="139" t="s">
        <v>55</v>
      </c>
      <c r="U575" s="143">
        <v>244229</v>
      </c>
      <c r="V575" s="139" t="s">
        <v>55</v>
      </c>
      <c r="W575" s="143">
        <v>244229</v>
      </c>
      <c r="X575" s="139"/>
      <c r="Y575" s="141"/>
      <c r="Z575" s="119" t="s">
        <v>1992</v>
      </c>
      <c r="AA575" s="144">
        <f t="shared" si="369"/>
        <v>40</v>
      </c>
    </row>
    <row r="576" spans="1:27" s="145" customFormat="1" ht="36" customHeight="1" x14ac:dyDescent="0.25">
      <c r="A576" s="119" t="s">
        <v>24</v>
      </c>
      <c r="B576" s="139">
        <v>244182</v>
      </c>
      <c r="C576" s="119" t="s">
        <v>13</v>
      </c>
      <c r="D576" s="166">
        <v>680455</v>
      </c>
      <c r="E576" s="119" t="s">
        <v>1813</v>
      </c>
      <c r="F576" s="190">
        <v>68071521</v>
      </c>
      <c r="G576" s="119">
        <v>680732</v>
      </c>
      <c r="H576" s="187" t="s">
        <v>394</v>
      </c>
      <c r="I576" s="147" t="s">
        <v>1812</v>
      </c>
      <c r="J576" s="146" t="s">
        <v>1810</v>
      </c>
      <c r="K576" s="146" t="s">
        <v>1810</v>
      </c>
      <c r="L576" s="146" t="s">
        <v>69</v>
      </c>
      <c r="M576" s="119" t="s">
        <v>1814</v>
      </c>
      <c r="N576" s="119" t="s">
        <v>93</v>
      </c>
      <c r="O576" s="141">
        <f t="shared" si="391"/>
        <v>244182</v>
      </c>
      <c r="P576" s="141">
        <f t="shared" si="392"/>
        <v>244189</v>
      </c>
      <c r="Q576" s="141">
        <f t="shared" si="393"/>
        <v>244184</v>
      </c>
      <c r="R576" s="139" t="s">
        <v>55</v>
      </c>
      <c r="S576" s="143">
        <v>244189</v>
      </c>
      <c r="T576" s="139" t="s">
        <v>55</v>
      </c>
      <c r="U576" s="143">
        <v>244191</v>
      </c>
      <c r="V576" s="139" t="s">
        <v>55</v>
      </c>
      <c r="W576" s="143">
        <v>244191</v>
      </c>
      <c r="X576" s="119"/>
      <c r="Y576" s="141"/>
      <c r="Z576" s="119" t="s">
        <v>1843</v>
      </c>
      <c r="AA576" s="144">
        <f t="shared" si="369"/>
        <v>2</v>
      </c>
    </row>
    <row r="577" spans="1:27" s="145" customFormat="1" ht="36" customHeight="1" x14ac:dyDescent="0.25">
      <c r="A577" s="119" t="s">
        <v>24</v>
      </c>
      <c r="B577" s="139">
        <v>244183</v>
      </c>
      <c r="C577" s="119" t="s">
        <v>14</v>
      </c>
      <c r="D577" s="166">
        <v>680456</v>
      </c>
      <c r="E577" s="119" t="s">
        <v>420</v>
      </c>
      <c r="F577" s="190">
        <v>68071803</v>
      </c>
      <c r="G577" s="119" t="s">
        <v>1815</v>
      </c>
      <c r="H577" s="187" t="s">
        <v>272</v>
      </c>
      <c r="I577" s="147" t="s">
        <v>1041</v>
      </c>
      <c r="J577" s="146">
        <v>120.76</v>
      </c>
      <c r="K577" s="119" t="s">
        <v>201</v>
      </c>
      <c r="L577" s="146">
        <f>121-J577</f>
        <v>0.23999999999999488</v>
      </c>
      <c r="M577" s="119" t="s">
        <v>1816</v>
      </c>
      <c r="N577" s="119" t="s">
        <v>93</v>
      </c>
      <c r="O577" s="141">
        <f t="shared" si="391"/>
        <v>244183</v>
      </c>
      <c r="P577" s="141">
        <f t="shared" si="392"/>
        <v>244190</v>
      </c>
      <c r="Q577" s="141">
        <f t="shared" si="393"/>
        <v>244185</v>
      </c>
      <c r="R577" s="139" t="s">
        <v>55</v>
      </c>
      <c r="S577" s="143">
        <v>244189</v>
      </c>
      <c r="T577" s="139" t="s">
        <v>55</v>
      </c>
      <c r="U577" s="143">
        <v>244191</v>
      </c>
      <c r="V577" s="139" t="s">
        <v>55</v>
      </c>
      <c r="W577" s="143">
        <v>244191</v>
      </c>
      <c r="X577" s="139"/>
      <c r="Y577" s="141"/>
      <c r="Z577" s="119" t="s">
        <v>420</v>
      </c>
      <c r="AA577" s="144">
        <f t="shared" si="369"/>
        <v>1</v>
      </c>
    </row>
    <row r="578" spans="1:27" s="145" customFormat="1" ht="36" customHeight="1" x14ac:dyDescent="0.25">
      <c r="A578" s="119" t="s">
        <v>24</v>
      </c>
      <c r="B578" s="139">
        <v>244184</v>
      </c>
      <c r="C578" s="119" t="s">
        <v>14</v>
      </c>
      <c r="D578" s="166">
        <v>680457</v>
      </c>
      <c r="E578" s="119" t="s">
        <v>402</v>
      </c>
      <c r="F578" s="190">
        <v>68071920</v>
      </c>
      <c r="G578" s="119" t="s">
        <v>1817</v>
      </c>
      <c r="H578" s="187" t="s">
        <v>297</v>
      </c>
      <c r="I578" s="147" t="s">
        <v>1818</v>
      </c>
      <c r="J578" s="146">
        <v>76.33</v>
      </c>
      <c r="K578" s="119" t="s">
        <v>200</v>
      </c>
      <c r="L578" s="146">
        <f>J578-73</f>
        <v>3.3299999999999983</v>
      </c>
      <c r="M578" s="119" t="s">
        <v>1597</v>
      </c>
      <c r="N578" s="119" t="s">
        <v>93</v>
      </c>
      <c r="O578" s="141">
        <f t="shared" si="391"/>
        <v>244184</v>
      </c>
      <c r="P578" s="141">
        <f t="shared" si="392"/>
        <v>244191</v>
      </c>
      <c r="Q578" s="141">
        <f t="shared" si="393"/>
        <v>244186</v>
      </c>
      <c r="R578" s="139" t="s">
        <v>55</v>
      </c>
      <c r="S578" s="143">
        <v>244189</v>
      </c>
      <c r="T578" s="139" t="s">
        <v>55</v>
      </c>
      <c r="U578" s="143">
        <v>244191</v>
      </c>
      <c r="V578" s="139" t="s">
        <v>55</v>
      </c>
      <c r="W578" s="143">
        <v>244186</v>
      </c>
      <c r="X578" s="139"/>
      <c r="Y578" s="141"/>
      <c r="Z578" s="119" t="s">
        <v>1832</v>
      </c>
      <c r="AA578" s="144">
        <f t="shared" si="369"/>
        <v>-5</v>
      </c>
    </row>
    <row r="579" spans="1:27" s="145" customFormat="1" ht="36" customHeight="1" x14ac:dyDescent="0.25">
      <c r="A579" s="119" t="s">
        <v>24</v>
      </c>
      <c r="B579" s="139">
        <v>244184</v>
      </c>
      <c r="C579" s="119" t="s">
        <v>14</v>
      </c>
      <c r="D579" s="166">
        <v>680458</v>
      </c>
      <c r="E579" s="119" t="s">
        <v>307</v>
      </c>
      <c r="F579" s="190">
        <v>68071927</v>
      </c>
      <c r="G579" s="119" t="s">
        <v>1819</v>
      </c>
      <c r="H579" s="187" t="s">
        <v>288</v>
      </c>
      <c r="I579" s="147" t="s">
        <v>308</v>
      </c>
      <c r="J579" s="146">
        <v>62.85</v>
      </c>
      <c r="K579" s="119" t="s">
        <v>201</v>
      </c>
      <c r="L579" s="146">
        <f>64-J579</f>
        <v>1.1499999999999986</v>
      </c>
      <c r="M579" s="119" t="s">
        <v>1820</v>
      </c>
      <c r="N579" s="119" t="s">
        <v>93</v>
      </c>
      <c r="O579" s="141">
        <f t="shared" si="391"/>
        <v>244184</v>
      </c>
      <c r="P579" s="141">
        <f t="shared" si="392"/>
        <v>244191</v>
      </c>
      <c r="Q579" s="141">
        <f t="shared" si="393"/>
        <v>244186</v>
      </c>
      <c r="R579" s="139" t="s">
        <v>55</v>
      </c>
      <c r="S579" s="143">
        <v>244189</v>
      </c>
      <c r="T579" s="139" t="s">
        <v>55</v>
      </c>
      <c r="U579" s="143">
        <v>244191</v>
      </c>
      <c r="V579" s="139" t="s">
        <v>55</v>
      </c>
      <c r="W579" s="143">
        <v>244191</v>
      </c>
      <c r="X579" s="139"/>
      <c r="Y579" s="141"/>
      <c r="Z579" s="119" t="s">
        <v>1842</v>
      </c>
      <c r="AA579" s="144">
        <f t="shared" si="369"/>
        <v>0</v>
      </c>
    </row>
    <row r="580" spans="1:27" s="145" customFormat="1" ht="36" customHeight="1" x14ac:dyDescent="0.25">
      <c r="A580" s="119" t="s">
        <v>24</v>
      </c>
      <c r="B580" s="139">
        <v>244184</v>
      </c>
      <c r="C580" s="119" t="s">
        <v>14</v>
      </c>
      <c r="D580" s="166">
        <v>680459</v>
      </c>
      <c r="E580" s="119" t="s">
        <v>307</v>
      </c>
      <c r="F580" s="190">
        <v>68071945</v>
      </c>
      <c r="G580" s="119" t="s">
        <v>1821</v>
      </c>
      <c r="H580" s="187" t="s">
        <v>283</v>
      </c>
      <c r="I580" s="147" t="s">
        <v>308</v>
      </c>
      <c r="J580" s="146">
        <v>61.82</v>
      </c>
      <c r="K580" s="119" t="s">
        <v>201</v>
      </c>
      <c r="L580" s="146">
        <f>64-J580</f>
        <v>2.1799999999999997</v>
      </c>
      <c r="M580" s="119" t="s">
        <v>1822</v>
      </c>
      <c r="N580" s="119" t="s">
        <v>93</v>
      </c>
      <c r="O580" s="141">
        <f t="shared" si="391"/>
        <v>244184</v>
      </c>
      <c r="P580" s="141">
        <f t="shared" si="392"/>
        <v>244191</v>
      </c>
      <c r="Q580" s="141">
        <f t="shared" si="393"/>
        <v>244186</v>
      </c>
      <c r="R580" s="139" t="s">
        <v>55</v>
      </c>
      <c r="S580" s="143">
        <v>244189</v>
      </c>
      <c r="T580" s="139" t="s">
        <v>55</v>
      </c>
      <c r="U580" s="143">
        <v>244191</v>
      </c>
      <c r="V580" s="139" t="s">
        <v>55</v>
      </c>
      <c r="W580" s="143">
        <v>244191</v>
      </c>
      <c r="X580" s="139"/>
      <c r="Y580" s="141"/>
      <c r="Z580" s="119" t="s">
        <v>1842</v>
      </c>
      <c r="AA580" s="144">
        <f t="shared" si="369"/>
        <v>0</v>
      </c>
    </row>
    <row r="581" spans="1:27" s="145" customFormat="1" ht="36" customHeight="1" x14ac:dyDescent="0.25">
      <c r="A581" s="119" t="s">
        <v>24</v>
      </c>
      <c r="B581" s="139">
        <v>244185</v>
      </c>
      <c r="C581" s="119" t="s">
        <v>14</v>
      </c>
      <c r="D581" s="166">
        <v>680460</v>
      </c>
      <c r="E581" s="119" t="s">
        <v>402</v>
      </c>
      <c r="F581" s="190">
        <v>67082001</v>
      </c>
      <c r="G581" s="119" t="s">
        <v>1827</v>
      </c>
      <c r="H581" s="187" t="s">
        <v>225</v>
      </c>
      <c r="I581" s="147" t="s">
        <v>1818</v>
      </c>
      <c r="J581" s="146">
        <v>75.25</v>
      </c>
      <c r="K581" s="119" t="s">
        <v>207</v>
      </c>
      <c r="L581" s="146">
        <f>J581-73</f>
        <v>2.25</v>
      </c>
      <c r="M581" s="119" t="s">
        <v>874</v>
      </c>
      <c r="N581" s="119" t="s">
        <v>93</v>
      </c>
      <c r="O581" s="141">
        <f t="shared" si="391"/>
        <v>244185</v>
      </c>
      <c r="P581" s="141">
        <f t="shared" si="392"/>
        <v>244192</v>
      </c>
      <c r="Q581" s="141">
        <f t="shared" si="393"/>
        <v>244187</v>
      </c>
      <c r="R581" s="139" t="s">
        <v>55</v>
      </c>
      <c r="S581" s="143">
        <v>244189</v>
      </c>
      <c r="T581" s="139" t="s">
        <v>55</v>
      </c>
      <c r="U581" s="143">
        <v>244191</v>
      </c>
      <c r="V581" s="139" t="s">
        <v>55</v>
      </c>
      <c r="W581" s="143">
        <v>244186</v>
      </c>
      <c r="X581" s="139"/>
      <c r="Y581" s="141"/>
      <c r="Z581" s="119" t="s">
        <v>1832</v>
      </c>
      <c r="AA581" s="144">
        <f t="shared" si="369"/>
        <v>-6</v>
      </c>
    </row>
    <row r="582" spans="1:27" s="145" customFormat="1" ht="36" customHeight="1" x14ac:dyDescent="0.25">
      <c r="A582" s="119" t="s">
        <v>24</v>
      </c>
      <c r="B582" s="139">
        <v>244185</v>
      </c>
      <c r="C582" s="119" t="s">
        <v>14</v>
      </c>
      <c r="D582" s="166">
        <v>680461</v>
      </c>
      <c r="E582" s="119" t="s">
        <v>413</v>
      </c>
      <c r="F582" s="190">
        <v>67072003</v>
      </c>
      <c r="G582" s="119" t="s">
        <v>1823</v>
      </c>
      <c r="H582" s="187" t="s">
        <v>294</v>
      </c>
      <c r="I582" s="147" t="s">
        <v>415</v>
      </c>
      <c r="J582" s="146">
        <v>84.78</v>
      </c>
      <c r="K582" s="119" t="s">
        <v>207</v>
      </c>
      <c r="L582" s="146">
        <v>4.78</v>
      </c>
      <c r="M582" s="119" t="s">
        <v>1824</v>
      </c>
      <c r="N582" s="119" t="s">
        <v>93</v>
      </c>
      <c r="O582" s="141">
        <f t="shared" si="391"/>
        <v>244185</v>
      </c>
      <c r="P582" s="141">
        <f t="shared" si="392"/>
        <v>244192</v>
      </c>
      <c r="Q582" s="141">
        <f t="shared" si="393"/>
        <v>244187</v>
      </c>
      <c r="R582" s="139" t="s">
        <v>55</v>
      </c>
      <c r="S582" s="143">
        <v>244189</v>
      </c>
      <c r="T582" s="139" t="s">
        <v>55</v>
      </c>
      <c r="U582" s="143">
        <v>244191</v>
      </c>
      <c r="V582" s="139" t="s">
        <v>55</v>
      </c>
      <c r="W582" s="143">
        <v>244191</v>
      </c>
      <c r="X582" s="139"/>
      <c r="Y582" s="141"/>
      <c r="Z582" s="119" t="s">
        <v>413</v>
      </c>
      <c r="AA582" s="144">
        <f t="shared" si="369"/>
        <v>-1</v>
      </c>
    </row>
    <row r="583" spans="1:27" s="145" customFormat="1" ht="36" customHeight="1" x14ac:dyDescent="0.25">
      <c r="A583" s="119" t="s">
        <v>24</v>
      </c>
      <c r="B583" s="139">
        <v>244185</v>
      </c>
      <c r="C583" s="119" t="s">
        <v>14</v>
      </c>
      <c r="D583" s="166">
        <v>680462</v>
      </c>
      <c r="E583" s="119" t="s">
        <v>872</v>
      </c>
      <c r="F583" s="190">
        <v>67072002</v>
      </c>
      <c r="G583" s="119" t="s">
        <v>1825</v>
      </c>
      <c r="H583" s="187" t="s">
        <v>280</v>
      </c>
      <c r="I583" s="147" t="s">
        <v>845</v>
      </c>
      <c r="J583" s="146">
        <v>61.91</v>
      </c>
      <c r="K583" s="119" t="s">
        <v>207</v>
      </c>
      <c r="L583" s="146">
        <v>1.91</v>
      </c>
      <c r="M583" s="119" t="s">
        <v>1826</v>
      </c>
      <c r="N583" s="119" t="s">
        <v>93</v>
      </c>
      <c r="O583" s="141">
        <f t="shared" si="391"/>
        <v>244185</v>
      </c>
      <c r="P583" s="141">
        <f t="shared" si="392"/>
        <v>244192</v>
      </c>
      <c r="Q583" s="141">
        <f t="shared" si="393"/>
        <v>244187</v>
      </c>
      <c r="R583" s="139" t="s">
        <v>55</v>
      </c>
      <c r="S583" s="143">
        <v>244189</v>
      </c>
      <c r="T583" s="139" t="s">
        <v>55</v>
      </c>
      <c r="U583" s="143">
        <v>244191</v>
      </c>
      <c r="V583" s="139" t="s">
        <v>55</v>
      </c>
      <c r="W583" s="143">
        <v>244191</v>
      </c>
      <c r="X583" s="139"/>
      <c r="Y583" s="141"/>
      <c r="Z583" s="119" t="s">
        <v>872</v>
      </c>
      <c r="AA583" s="144">
        <f t="shared" si="369"/>
        <v>-1</v>
      </c>
    </row>
    <row r="584" spans="1:27" s="145" customFormat="1" ht="36" customHeight="1" x14ac:dyDescent="0.25">
      <c r="A584" s="119" t="s">
        <v>24</v>
      </c>
      <c r="B584" s="139">
        <v>244185</v>
      </c>
      <c r="C584" s="119" t="s">
        <v>14</v>
      </c>
      <c r="D584" s="166">
        <v>680463</v>
      </c>
      <c r="E584" s="119" t="s">
        <v>307</v>
      </c>
      <c r="F584" s="190">
        <v>67072030</v>
      </c>
      <c r="G584" s="119" t="s">
        <v>1828</v>
      </c>
      <c r="H584" s="187" t="s">
        <v>278</v>
      </c>
      <c r="I584" s="147" t="s">
        <v>308</v>
      </c>
      <c r="J584" s="146">
        <v>62.45</v>
      </c>
      <c r="K584" s="119" t="s">
        <v>1829</v>
      </c>
      <c r="L584" s="146" t="s">
        <v>1831</v>
      </c>
      <c r="M584" s="119" t="s">
        <v>1830</v>
      </c>
      <c r="N584" s="119" t="s">
        <v>93</v>
      </c>
      <c r="O584" s="141">
        <f t="shared" si="391"/>
        <v>244185</v>
      </c>
      <c r="P584" s="141">
        <f t="shared" si="392"/>
        <v>244192</v>
      </c>
      <c r="Q584" s="141">
        <f t="shared" si="393"/>
        <v>244187</v>
      </c>
      <c r="R584" s="139" t="s">
        <v>55</v>
      </c>
      <c r="S584" s="143">
        <v>244189</v>
      </c>
      <c r="T584" s="139" t="s">
        <v>55</v>
      </c>
      <c r="U584" s="143">
        <v>244191</v>
      </c>
      <c r="V584" s="139" t="s">
        <v>55</v>
      </c>
      <c r="W584" s="143">
        <v>244191</v>
      </c>
      <c r="X584" s="139"/>
      <c r="Y584" s="141"/>
      <c r="Z584" s="119" t="s">
        <v>1842</v>
      </c>
      <c r="AA584" s="144">
        <f t="shared" si="369"/>
        <v>-1</v>
      </c>
    </row>
    <row r="585" spans="1:27" s="145" customFormat="1" ht="36" customHeight="1" x14ac:dyDescent="0.25">
      <c r="A585" s="119" t="s">
        <v>24</v>
      </c>
      <c r="B585" s="139">
        <v>244186</v>
      </c>
      <c r="C585" s="119" t="s">
        <v>14</v>
      </c>
      <c r="D585" s="166">
        <v>680464</v>
      </c>
      <c r="E585" s="119" t="s">
        <v>433</v>
      </c>
      <c r="F585" s="190">
        <v>68072122</v>
      </c>
      <c r="G585" s="119" t="s">
        <v>1833</v>
      </c>
      <c r="H585" s="187" t="s">
        <v>274</v>
      </c>
      <c r="I585" s="147" t="s">
        <v>304</v>
      </c>
      <c r="J585" s="146">
        <v>75.69</v>
      </c>
      <c r="K585" s="119" t="s">
        <v>201</v>
      </c>
      <c r="L585" s="146">
        <f>76-J585</f>
        <v>0.31000000000000227</v>
      </c>
      <c r="M585" s="119" t="s">
        <v>1834</v>
      </c>
      <c r="N585" s="119" t="s">
        <v>93</v>
      </c>
      <c r="O585" s="141">
        <f t="shared" si="391"/>
        <v>244186</v>
      </c>
      <c r="P585" s="141">
        <f t="shared" si="392"/>
        <v>244193</v>
      </c>
      <c r="Q585" s="141">
        <f t="shared" si="393"/>
        <v>244188</v>
      </c>
      <c r="R585" s="139" t="s">
        <v>55</v>
      </c>
      <c r="S585" s="143">
        <v>244189</v>
      </c>
      <c r="T585" s="139" t="s">
        <v>55</v>
      </c>
      <c r="U585" s="143">
        <v>244191</v>
      </c>
      <c r="V585" s="139" t="s">
        <v>55</v>
      </c>
      <c r="W585" s="143">
        <v>244191</v>
      </c>
      <c r="X585" s="139"/>
      <c r="Y585" s="141"/>
      <c r="Z585" s="119" t="s">
        <v>1757</v>
      </c>
      <c r="AA585" s="144">
        <f t="shared" si="369"/>
        <v>-2</v>
      </c>
    </row>
    <row r="586" spans="1:27" s="145" customFormat="1" ht="36" customHeight="1" x14ac:dyDescent="0.25">
      <c r="A586" s="119" t="s">
        <v>24</v>
      </c>
      <c r="B586" s="139">
        <v>244186</v>
      </c>
      <c r="C586" s="119" t="s">
        <v>14</v>
      </c>
      <c r="D586" s="166">
        <v>680464</v>
      </c>
      <c r="E586" s="119" t="s">
        <v>433</v>
      </c>
      <c r="F586" s="190">
        <v>68072123</v>
      </c>
      <c r="G586" s="119" t="s">
        <v>1835</v>
      </c>
      <c r="H586" s="187" t="s">
        <v>213</v>
      </c>
      <c r="I586" s="147" t="s">
        <v>304</v>
      </c>
      <c r="J586" s="146">
        <v>75.72</v>
      </c>
      <c r="K586" s="119" t="s">
        <v>201</v>
      </c>
      <c r="L586" s="146">
        <f>76-J586</f>
        <v>0.28000000000000114</v>
      </c>
      <c r="M586" s="119" t="s">
        <v>1650</v>
      </c>
      <c r="N586" s="119" t="s">
        <v>93</v>
      </c>
      <c r="O586" s="141">
        <f t="shared" ref="O586" si="400">B586</f>
        <v>244186</v>
      </c>
      <c r="P586" s="141">
        <f t="shared" ref="P586" si="401">B586+7</f>
        <v>244193</v>
      </c>
      <c r="Q586" s="141">
        <f t="shared" ref="Q586" si="402">O586+2</f>
        <v>244188</v>
      </c>
      <c r="R586" s="139" t="s">
        <v>55</v>
      </c>
      <c r="S586" s="143">
        <v>244189</v>
      </c>
      <c r="T586" s="139" t="s">
        <v>55</v>
      </c>
      <c r="U586" s="143">
        <v>244191</v>
      </c>
      <c r="V586" s="139" t="s">
        <v>55</v>
      </c>
      <c r="W586" s="143">
        <v>244191</v>
      </c>
      <c r="X586" s="139"/>
      <c r="Y586" s="141"/>
      <c r="Z586" s="119" t="s">
        <v>1757</v>
      </c>
      <c r="AA586" s="144"/>
    </row>
    <row r="587" spans="1:27" s="145" customFormat="1" ht="36" customHeight="1" x14ac:dyDescent="0.25">
      <c r="A587" s="119" t="s">
        <v>24</v>
      </c>
      <c r="B587" s="139">
        <v>244187</v>
      </c>
      <c r="C587" s="119" t="s">
        <v>14</v>
      </c>
      <c r="D587" s="166">
        <v>680465</v>
      </c>
      <c r="E587" s="119" t="s">
        <v>433</v>
      </c>
      <c r="F587" s="190">
        <v>68072214</v>
      </c>
      <c r="G587" s="119" t="s">
        <v>1838</v>
      </c>
      <c r="H587" s="187" t="s">
        <v>294</v>
      </c>
      <c r="I587" s="147" t="s">
        <v>304</v>
      </c>
      <c r="J587" s="146">
        <v>86.12</v>
      </c>
      <c r="K587" s="119" t="s">
        <v>207</v>
      </c>
      <c r="L587" s="146">
        <f>J587-78</f>
        <v>8.1200000000000045</v>
      </c>
      <c r="M587" s="119" t="s">
        <v>1839</v>
      </c>
      <c r="N587" s="119" t="s">
        <v>93</v>
      </c>
      <c r="O587" s="141">
        <f t="shared" si="391"/>
        <v>244187</v>
      </c>
      <c r="P587" s="141">
        <f t="shared" si="392"/>
        <v>244194</v>
      </c>
      <c r="Q587" s="141">
        <f t="shared" si="393"/>
        <v>244189</v>
      </c>
      <c r="R587" s="139" t="s">
        <v>55</v>
      </c>
      <c r="S587" s="143">
        <v>244189</v>
      </c>
      <c r="T587" s="139" t="s">
        <v>55</v>
      </c>
      <c r="U587" s="143">
        <v>244190</v>
      </c>
      <c r="V587" s="139" t="s">
        <v>55</v>
      </c>
      <c r="W587" s="143">
        <v>244202</v>
      </c>
      <c r="X587" s="139"/>
      <c r="Y587" s="141"/>
      <c r="Z587" s="119" t="s">
        <v>1856</v>
      </c>
      <c r="AA587" s="144">
        <f t="shared" si="369"/>
        <v>8</v>
      </c>
    </row>
    <row r="588" spans="1:27" s="145" customFormat="1" ht="36" customHeight="1" x14ac:dyDescent="0.25">
      <c r="A588" s="119" t="s">
        <v>24</v>
      </c>
      <c r="B588" s="139">
        <v>244189</v>
      </c>
      <c r="C588" s="119" t="s">
        <v>14</v>
      </c>
      <c r="D588" s="166">
        <v>680466</v>
      </c>
      <c r="E588" s="119" t="s">
        <v>413</v>
      </c>
      <c r="F588" s="190">
        <v>68072437</v>
      </c>
      <c r="G588" s="119" t="s">
        <v>1840</v>
      </c>
      <c r="H588" s="187" t="s">
        <v>294</v>
      </c>
      <c r="I588" s="147" t="s">
        <v>304</v>
      </c>
      <c r="J588" s="146">
        <v>82.73</v>
      </c>
      <c r="K588" s="119" t="s">
        <v>200</v>
      </c>
      <c r="L588" s="146">
        <f>J588-80</f>
        <v>2.730000000000004</v>
      </c>
      <c r="M588" s="119" t="s">
        <v>1841</v>
      </c>
      <c r="N588" s="119" t="s">
        <v>93</v>
      </c>
      <c r="O588" s="141">
        <f t="shared" si="391"/>
        <v>244189</v>
      </c>
      <c r="P588" s="141">
        <f t="shared" si="392"/>
        <v>244196</v>
      </c>
      <c r="Q588" s="141">
        <f t="shared" si="393"/>
        <v>244191</v>
      </c>
      <c r="R588" s="139" t="s">
        <v>55</v>
      </c>
      <c r="S588" s="143">
        <v>244197</v>
      </c>
      <c r="T588" s="139" t="s">
        <v>55</v>
      </c>
      <c r="U588" s="143">
        <v>244204</v>
      </c>
      <c r="V588" s="139" t="s">
        <v>55</v>
      </c>
      <c r="W588" s="143">
        <v>244204</v>
      </c>
      <c r="X588" s="139"/>
      <c r="Y588" s="141"/>
      <c r="Z588" s="119" t="s">
        <v>413</v>
      </c>
      <c r="AA588" s="144">
        <f t="shared" si="369"/>
        <v>8</v>
      </c>
    </row>
    <row r="589" spans="1:27" s="145" customFormat="1" ht="36" customHeight="1" x14ac:dyDescent="0.25">
      <c r="A589" s="119" t="s">
        <v>25</v>
      </c>
      <c r="B589" s="139">
        <v>244198</v>
      </c>
      <c r="C589" s="119" t="s">
        <v>14</v>
      </c>
      <c r="D589" s="166">
        <v>680467</v>
      </c>
      <c r="E589" s="119" t="s">
        <v>307</v>
      </c>
      <c r="F589" s="190">
        <v>68080219</v>
      </c>
      <c r="G589" s="119" t="s">
        <v>1845</v>
      </c>
      <c r="H589" s="187" t="s">
        <v>213</v>
      </c>
      <c r="I589" s="147" t="s">
        <v>308</v>
      </c>
      <c r="J589" s="146" t="s">
        <v>1846</v>
      </c>
      <c r="K589" s="119" t="s">
        <v>1847</v>
      </c>
      <c r="L589" s="146" t="s">
        <v>1848</v>
      </c>
      <c r="M589" s="119" t="s">
        <v>1844</v>
      </c>
      <c r="N589" s="119" t="s">
        <v>93</v>
      </c>
      <c r="O589" s="141">
        <f t="shared" ref="O589:O660" si="403">B589</f>
        <v>244198</v>
      </c>
      <c r="P589" s="141">
        <f t="shared" si="392"/>
        <v>244205</v>
      </c>
      <c r="Q589" s="141">
        <f t="shared" ref="Q589:Q660" si="404">O589+2</f>
        <v>244200</v>
      </c>
      <c r="R589" s="139" t="s">
        <v>55</v>
      </c>
      <c r="S589" s="143">
        <v>244218</v>
      </c>
      <c r="T589" s="139" t="s">
        <v>55</v>
      </c>
      <c r="U589" s="143">
        <v>244218</v>
      </c>
      <c r="V589" s="139" t="s">
        <v>55</v>
      </c>
      <c r="W589" s="143">
        <v>244200</v>
      </c>
      <c r="X589" s="139"/>
      <c r="Y589" s="141"/>
      <c r="Z589" s="119" t="s">
        <v>1849</v>
      </c>
      <c r="AA589" s="144">
        <f t="shared" si="369"/>
        <v>-5</v>
      </c>
    </row>
    <row r="590" spans="1:27" s="145" customFormat="1" ht="36" customHeight="1" x14ac:dyDescent="0.25">
      <c r="A590" s="119" t="s">
        <v>25</v>
      </c>
      <c r="B590" s="139">
        <v>244200</v>
      </c>
      <c r="C590" s="119" t="s">
        <v>14</v>
      </c>
      <c r="D590" s="166">
        <v>680468</v>
      </c>
      <c r="E590" s="119" t="s">
        <v>426</v>
      </c>
      <c r="F590" s="190">
        <v>680804</v>
      </c>
      <c r="G590" s="119" t="s">
        <v>1850</v>
      </c>
      <c r="H590" s="187" t="s">
        <v>277</v>
      </c>
      <c r="I590" s="147" t="s">
        <v>428</v>
      </c>
      <c r="J590" s="146">
        <v>124.63</v>
      </c>
      <c r="K590" s="119" t="s">
        <v>201</v>
      </c>
      <c r="L590" s="146">
        <f>127-J590</f>
        <v>2.3700000000000045</v>
      </c>
      <c r="M590" s="119" t="s">
        <v>1851</v>
      </c>
      <c r="N590" s="119" t="s">
        <v>93</v>
      </c>
      <c r="O590" s="141">
        <f t="shared" si="403"/>
        <v>244200</v>
      </c>
      <c r="P590" s="141">
        <f t="shared" ref="P590:P665" si="405">B590+7</f>
        <v>244207</v>
      </c>
      <c r="Q590" s="141">
        <f t="shared" si="404"/>
        <v>244202</v>
      </c>
      <c r="R590" s="139" t="s">
        <v>55</v>
      </c>
      <c r="S590" s="143">
        <v>244218</v>
      </c>
      <c r="T590" s="139" t="s">
        <v>55</v>
      </c>
      <c r="U590" s="143">
        <v>244218</v>
      </c>
      <c r="V590" s="139" t="s">
        <v>55</v>
      </c>
      <c r="W590" s="143">
        <v>244211</v>
      </c>
      <c r="X590" s="139"/>
      <c r="Y590" s="141"/>
      <c r="Z590" s="119" t="s">
        <v>1925</v>
      </c>
      <c r="AA590" s="144">
        <f t="shared" si="369"/>
        <v>4</v>
      </c>
    </row>
    <row r="591" spans="1:27" s="145" customFormat="1" ht="36" customHeight="1" x14ac:dyDescent="0.25">
      <c r="A591" s="119" t="s">
        <v>25</v>
      </c>
      <c r="B591" s="139">
        <v>244201</v>
      </c>
      <c r="C591" s="119" t="s">
        <v>14</v>
      </c>
      <c r="D591" s="166">
        <v>680469</v>
      </c>
      <c r="E591" s="119" t="s">
        <v>420</v>
      </c>
      <c r="F591" s="190">
        <v>68080518</v>
      </c>
      <c r="G591" s="119" t="s">
        <v>1852</v>
      </c>
      <c r="H591" s="187" t="s">
        <v>205</v>
      </c>
      <c r="I591" s="147" t="s">
        <v>1041</v>
      </c>
      <c r="J591" s="146">
        <v>127.53</v>
      </c>
      <c r="K591" s="119" t="s">
        <v>207</v>
      </c>
      <c r="L591" s="146">
        <f>J591-124</f>
        <v>3.5300000000000011</v>
      </c>
      <c r="M591" s="146" t="s">
        <v>1853</v>
      </c>
      <c r="N591" s="119" t="s">
        <v>93</v>
      </c>
      <c r="O591" s="141">
        <f t="shared" si="403"/>
        <v>244201</v>
      </c>
      <c r="P591" s="141">
        <f t="shared" si="405"/>
        <v>244208</v>
      </c>
      <c r="Q591" s="141">
        <f t="shared" si="404"/>
        <v>244203</v>
      </c>
      <c r="R591" s="139" t="s">
        <v>55</v>
      </c>
      <c r="S591" s="143">
        <v>244218</v>
      </c>
      <c r="T591" s="139" t="s">
        <v>55</v>
      </c>
      <c r="U591" s="143">
        <v>244218</v>
      </c>
      <c r="V591" s="139" t="s">
        <v>55</v>
      </c>
      <c r="W591" s="143">
        <v>244204</v>
      </c>
      <c r="X591" s="139"/>
      <c r="Y591" s="141"/>
      <c r="Z591" s="119" t="s">
        <v>1883</v>
      </c>
      <c r="AA591" s="144">
        <f t="shared" si="369"/>
        <v>-4</v>
      </c>
    </row>
    <row r="592" spans="1:27" s="145" customFormat="1" ht="34.5" customHeight="1" x14ac:dyDescent="0.25">
      <c r="A592" s="119" t="s">
        <v>25</v>
      </c>
      <c r="B592" s="139">
        <v>233243</v>
      </c>
      <c r="C592" s="119" t="s">
        <v>14</v>
      </c>
      <c r="D592" s="166">
        <v>680470</v>
      </c>
      <c r="E592" s="119" t="s">
        <v>307</v>
      </c>
      <c r="F592" s="190">
        <v>68080542</v>
      </c>
      <c r="G592" s="119" t="s">
        <v>1854</v>
      </c>
      <c r="H592" s="187" t="s">
        <v>237</v>
      </c>
      <c r="I592" s="147" t="s">
        <v>442</v>
      </c>
      <c r="J592" s="146" t="s">
        <v>557</v>
      </c>
      <c r="K592" s="119" t="s">
        <v>557</v>
      </c>
      <c r="L592" s="146" t="s">
        <v>69</v>
      </c>
      <c r="M592" s="119" t="s">
        <v>1855</v>
      </c>
      <c r="N592" s="119" t="s">
        <v>93</v>
      </c>
      <c r="O592" s="141">
        <f t="shared" si="403"/>
        <v>233243</v>
      </c>
      <c r="P592" s="141">
        <f t="shared" si="405"/>
        <v>233250</v>
      </c>
      <c r="Q592" s="141">
        <f t="shared" si="404"/>
        <v>233245</v>
      </c>
      <c r="R592" s="139" t="s">
        <v>55</v>
      </c>
      <c r="S592" s="143">
        <v>244218</v>
      </c>
      <c r="T592" s="139" t="s">
        <v>55</v>
      </c>
      <c r="U592" s="143">
        <v>244218</v>
      </c>
      <c r="V592" s="139" t="s">
        <v>55</v>
      </c>
      <c r="W592" s="143">
        <v>244204</v>
      </c>
      <c r="X592" s="139"/>
      <c r="Y592" s="141"/>
      <c r="Z592" s="119" t="s">
        <v>1886</v>
      </c>
      <c r="AA592" s="144">
        <f t="shared" ref="AA592:AA649" si="406">W592-P592</f>
        <v>10954</v>
      </c>
    </row>
    <row r="593" spans="1:27" s="145" customFormat="1" ht="34.5" customHeight="1" x14ac:dyDescent="0.25">
      <c r="A593" s="119" t="s">
        <v>25</v>
      </c>
      <c r="B593" s="139">
        <v>244202</v>
      </c>
      <c r="C593" s="119" t="s">
        <v>14</v>
      </c>
      <c r="D593" s="166">
        <v>680471</v>
      </c>
      <c r="E593" s="119" t="s">
        <v>433</v>
      </c>
      <c r="F593" s="190">
        <v>68080613</v>
      </c>
      <c r="G593" s="119" t="s">
        <v>1857</v>
      </c>
      <c r="H593" s="187" t="s">
        <v>248</v>
      </c>
      <c r="I593" s="147" t="s">
        <v>304</v>
      </c>
      <c r="J593" s="146">
        <v>84.42</v>
      </c>
      <c r="K593" s="119" t="s">
        <v>207</v>
      </c>
      <c r="L593" s="146">
        <f>J593-78</f>
        <v>6.4200000000000017</v>
      </c>
      <c r="M593" s="146" t="s">
        <v>1858</v>
      </c>
      <c r="N593" s="119" t="s">
        <v>93</v>
      </c>
      <c r="O593" s="141">
        <f t="shared" si="403"/>
        <v>244202</v>
      </c>
      <c r="P593" s="141">
        <f t="shared" si="405"/>
        <v>244209</v>
      </c>
      <c r="Q593" s="141">
        <f t="shared" si="404"/>
        <v>244204</v>
      </c>
      <c r="R593" s="139" t="s">
        <v>55</v>
      </c>
      <c r="S593" s="143">
        <v>244218</v>
      </c>
      <c r="T593" s="139" t="s">
        <v>55</v>
      </c>
      <c r="U593" s="143">
        <v>244218</v>
      </c>
      <c r="V593" s="139" t="s">
        <v>55</v>
      </c>
      <c r="W593" s="143">
        <v>244219</v>
      </c>
      <c r="X593" s="139"/>
      <c r="Y593" s="141"/>
      <c r="Z593" s="119" t="s">
        <v>433</v>
      </c>
      <c r="AA593" s="144">
        <f t="shared" si="406"/>
        <v>10</v>
      </c>
    </row>
    <row r="594" spans="1:27" s="145" customFormat="1" ht="34.5" customHeight="1" x14ac:dyDescent="0.25">
      <c r="A594" s="119" t="s">
        <v>25</v>
      </c>
      <c r="B594" s="139">
        <v>244202</v>
      </c>
      <c r="C594" s="119" t="s">
        <v>14</v>
      </c>
      <c r="D594" s="166">
        <v>680472</v>
      </c>
      <c r="E594" s="119" t="s">
        <v>426</v>
      </c>
      <c r="F594" s="190">
        <v>68080621</v>
      </c>
      <c r="G594" s="119" t="s">
        <v>1859</v>
      </c>
      <c r="H594" s="187" t="s">
        <v>263</v>
      </c>
      <c r="I594" s="147" t="s">
        <v>428</v>
      </c>
      <c r="J594" s="146">
        <v>124.67</v>
      </c>
      <c r="K594" s="119" t="s">
        <v>201</v>
      </c>
      <c r="L594" s="146">
        <f>127-J594</f>
        <v>2.3299999999999983</v>
      </c>
      <c r="M594" s="146" t="s">
        <v>1860</v>
      </c>
      <c r="N594" s="119" t="s">
        <v>93</v>
      </c>
      <c r="O594" s="141">
        <f t="shared" si="403"/>
        <v>244202</v>
      </c>
      <c r="P594" s="141">
        <f t="shared" si="405"/>
        <v>244209</v>
      </c>
      <c r="Q594" s="141">
        <f t="shared" si="404"/>
        <v>244204</v>
      </c>
      <c r="R594" s="139" t="s">
        <v>55</v>
      </c>
      <c r="S594" s="143">
        <v>244218</v>
      </c>
      <c r="T594" s="139" t="s">
        <v>55</v>
      </c>
      <c r="U594" s="143">
        <v>244218</v>
      </c>
      <c r="V594" s="139" t="s">
        <v>55</v>
      </c>
      <c r="W594" s="143">
        <v>244211</v>
      </c>
      <c r="X594" s="139"/>
      <c r="Y594" s="141"/>
      <c r="Z594" s="119" t="s">
        <v>1925</v>
      </c>
      <c r="AA594" s="144">
        <f t="shared" si="406"/>
        <v>2</v>
      </c>
    </row>
    <row r="595" spans="1:27" s="145" customFormat="1" ht="34.5" customHeight="1" x14ac:dyDescent="0.25">
      <c r="A595" s="119" t="s">
        <v>25</v>
      </c>
      <c r="B595" s="139">
        <v>244202</v>
      </c>
      <c r="C595" s="119" t="s">
        <v>13</v>
      </c>
      <c r="D595" s="166">
        <v>680473</v>
      </c>
      <c r="E595" s="119" t="s">
        <v>1861</v>
      </c>
      <c r="F595" s="190" t="s">
        <v>1862</v>
      </c>
      <c r="G595" s="119" t="s">
        <v>1863</v>
      </c>
      <c r="H595" s="187" t="s">
        <v>394</v>
      </c>
      <c r="I595" s="147" t="s">
        <v>1864</v>
      </c>
      <c r="J595" s="146" t="s">
        <v>1865</v>
      </c>
      <c r="K595" s="119" t="s">
        <v>201</v>
      </c>
      <c r="L595" s="146" t="s">
        <v>1866</v>
      </c>
      <c r="M595" s="119" t="s">
        <v>1867</v>
      </c>
      <c r="N595" s="119" t="s">
        <v>93</v>
      </c>
      <c r="O595" s="141">
        <f t="shared" si="403"/>
        <v>244202</v>
      </c>
      <c r="P595" s="141">
        <f t="shared" si="405"/>
        <v>244209</v>
      </c>
      <c r="Q595" s="141">
        <f t="shared" si="404"/>
        <v>244204</v>
      </c>
      <c r="R595" s="139" t="s">
        <v>55</v>
      </c>
      <c r="S595" s="143">
        <v>244203</v>
      </c>
      <c r="T595" s="139" t="s">
        <v>55</v>
      </c>
      <c r="U595" s="143">
        <v>244204</v>
      </c>
      <c r="V595" s="139" t="s">
        <v>55</v>
      </c>
      <c r="W595" s="143">
        <v>244204</v>
      </c>
      <c r="X595" s="139"/>
      <c r="Y595" s="141"/>
      <c r="Z595" s="119" t="s">
        <v>1887</v>
      </c>
      <c r="AA595" s="144">
        <f t="shared" si="406"/>
        <v>-5</v>
      </c>
    </row>
    <row r="596" spans="1:27" s="145" customFormat="1" ht="36" customHeight="1" x14ac:dyDescent="0.25">
      <c r="A596" s="119" t="s">
        <v>25</v>
      </c>
      <c r="B596" s="139">
        <v>244202</v>
      </c>
      <c r="C596" s="119" t="s">
        <v>14</v>
      </c>
      <c r="D596" s="166">
        <v>680474</v>
      </c>
      <c r="E596" s="119" t="s">
        <v>420</v>
      </c>
      <c r="F596" s="190">
        <v>68080641</v>
      </c>
      <c r="G596" s="119" t="s">
        <v>1868</v>
      </c>
      <c r="H596" s="187" t="s">
        <v>205</v>
      </c>
      <c r="I596" s="147" t="s">
        <v>1041</v>
      </c>
      <c r="J596" s="146">
        <v>125.48</v>
      </c>
      <c r="K596" s="119" t="s">
        <v>207</v>
      </c>
      <c r="L596" s="146">
        <v>1.48</v>
      </c>
      <c r="M596" s="119" t="s">
        <v>1109</v>
      </c>
      <c r="N596" s="119" t="s">
        <v>93</v>
      </c>
      <c r="O596" s="141">
        <f t="shared" si="403"/>
        <v>244202</v>
      </c>
      <c r="P596" s="141">
        <f t="shared" si="405"/>
        <v>244209</v>
      </c>
      <c r="Q596" s="141">
        <f t="shared" si="404"/>
        <v>244204</v>
      </c>
      <c r="R596" s="139" t="s">
        <v>55</v>
      </c>
      <c r="S596" s="143">
        <v>244218</v>
      </c>
      <c r="T596" s="139" t="s">
        <v>55</v>
      </c>
      <c r="U596" s="143">
        <v>244218</v>
      </c>
      <c r="V596" s="139" t="s">
        <v>55</v>
      </c>
      <c r="W596" s="143">
        <v>244204</v>
      </c>
      <c r="X596" s="139"/>
      <c r="Y596" s="141"/>
      <c r="Z596" s="119" t="s">
        <v>1883</v>
      </c>
      <c r="AA596" s="144">
        <f t="shared" si="406"/>
        <v>-5</v>
      </c>
    </row>
    <row r="597" spans="1:27" s="145" customFormat="1" ht="36" customHeight="1" x14ac:dyDescent="0.25">
      <c r="A597" s="119" t="s">
        <v>25</v>
      </c>
      <c r="B597" s="139">
        <v>244203</v>
      </c>
      <c r="C597" s="119" t="s">
        <v>14</v>
      </c>
      <c r="D597" s="166">
        <v>680475</v>
      </c>
      <c r="E597" s="119" t="s">
        <v>420</v>
      </c>
      <c r="F597" s="190">
        <v>68080730</v>
      </c>
      <c r="G597" s="119" t="s">
        <v>1869</v>
      </c>
      <c r="H597" s="187" t="s">
        <v>253</v>
      </c>
      <c r="I597" s="147" t="s">
        <v>1041</v>
      </c>
      <c r="J597" s="146">
        <v>127.4</v>
      </c>
      <c r="K597" s="119" t="s">
        <v>207</v>
      </c>
      <c r="L597" s="146">
        <f>J597-124</f>
        <v>3.4000000000000057</v>
      </c>
      <c r="M597" s="119" t="s">
        <v>1870</v>
      </c>
      <c r="N597" s="119" t="s">
        <v>93</v>
      </c>
      <c r="O597" s="141">
        <f t="shared" si="403"/>
        <v>244203</v>
      </c>
      <c r="P597" s="141">
        <f t="shared" si="405"/>
        <v>244210</v>
      </c>
      <c r="Q597" s="141">
        <f t="shared" si="404"/>
        <v>244205</v>
      </c>
      <c r="R597" s="139" t="s">
        <v>55</v>
      </c>
      <c r="S597" s="143">
        <v>244218</v>
      </c>
      <c r="T597" s="139" t="s">
        <v>55</v>
      </c>
      <c r="U597" s="143">
        <v>244218</v>
      </c>
      <c r="V597" s="139" t="s">
        <v>55</v>
      </c>
      <c r="W597" s="143">
        <v>244204</v>
      </c>
      <c r="X597" s="139"/>
      <c r="Y597" s="141"/>
      <c r="Z597" s="119" t="s">
        <v>1883</v>
      </c>
      <c r="AA597" s="144">
        <f t="shared" si="406"/>
        <v>-6</v>
      </c>
    </row>
    <row r="598" spans="1:27" s="145" customFormat="1" ht="36" customHeight="1" x14ac:dyDescent="0.25">
      <c r="A598" s="119" t="s">
        <v>25</v>
      </c>
      <c r="B598" s="139">
        <v>244203</v>
      </c>
      <c r="C598" s="119" t="s">
        <v>11</v>
      </c>
      <c r="D598" s="166">
        <v>680476</v>
      </c>
      <c r="E598" s="119" t="s">
        <v>1316</v>
      </c>
      <c r="F598" s="190" t="s">
        <v>1871</v>
      </c>
      <c r="G598" s="119">
        <v>680807</v>
      </c>
      <c r="H598" s="187" t="s">
        <v>135</v>
      </c>
      <c r="I598" s="147" t="s">
        <v>61</v>
      </c>
      <c r="J598" s="146">
        <v>43</v>
      </c>
      <c r="K598" s="119" t="s">
        <v>62</v>
      </c>
      <c r="L598" s="146">
        <v>13</v>
      </c>
      <c r="M598" s="257" t="s">
        <v>1873</v>
      </c>
      <c r="N598" s="257" t="s">
        <v>53</v>
      </c>
      <c r="O598" s="141">
        <f t="shared" si="403"/>
        <v>244203</v>
      </c>
      <c r="P598" s="141">
        <f t="shared" si="405"/>
        <v>244210</v>
      </c>
      <c r="Q598" s="141">
        <f t="shared" si="404"/>
        <v>244205</v>
      </c>
      <c r="R598" s="139" t="s">
        <v>55</v>
      </c>
      <c r="S598" s="143">
        <v>244204</v>
      </c>
      <c r="T598" s="139" t="s">
        <v>55</v>
      </c>
      <c r="U598" s="143">
        <v>244211</v>
      </c>
      <c r="V598" s="139" t="s">
        <v>55</v>
      </c>
      <c r="W598" s="143">
        <v>244211</v>
      </c>
      <c r="X598" s="139"/>
      <c r="Y598" s="141"/>
      <c r="Z598" s="119" t="s">
        <v>1316</v>
      </c>
      <c r="AA598" s="144">
        <f t="shared" si="406"/>
        <v>1</v>
      </c>
    </row>
    <row r="599" spans="1:27" s="145" customFormat="1" ht="36" customHeight="1" x14ac:dyDescent="0.25">
      <c r="A599" s="119" t="s">
        <v>25</v>
      </c>
      <c r="B599" s="139">
        <v>244203</v>
      </c>
      <c r="C599" s="119" t="s">
        <v>11</v>
      </c>
      <c r="D599" s="166">
        <v>680476</v>
      </c>
      <c r="E599" s="119" t="s">
        <v>1316</v>
      </c>
      <c r="F599" s="190" t="s">
        <v>1871</v>
      </c>
      <c r="G599" s="119">
        <v>680807</v>
      </c>
      <c r="H599" s="187" t="s">
        <v>135</v>
      </c>
      <c r="I599" s="147" t="s">
        <v>73</v>
      </c>
      <c r="J599" s="146" t="s">
        <v>1872</v>
      </c>
      <c r="K599" s="119" t="s">
        <v>69</v>
      </c>
      <c r="L599" s="119" t="s">
        <v>69</v>
      </c>
      <c r="M599" s="258"/>
      <c r="N599" s="258"/>
      <c r="O599" s="141">
        <f t="shared" si="403"/>
        <v>244203</v>
      </c>
      <c r="P599" s="141">
        <f t="shared" si="405"/>
        <v>244210</v>
      </c>
      <c r="Q599" s="141">
        <f t="shared" si="404"/>
        <v>244205</v>
      </c>
      <c r="R599" s="139" t="s">
        <v>55</v>
      </c>
      <c r="S599" s="143">
        <v>244204</v>
      </c>
      <c r="T599" s="139" t="s">
        <v>55</v>
      </c>
      <c r="U599" s="143">
        <v>244211</v>
      </c>
      <c r="V599" s="139" t="s">
        <v>55</v>
      </c>
      <c r="W599" s="143">
        <v>244211</v>
      </c>
      <c r="X599" s="139"/>
      <c r="Y599" s="141"/>
      <c r="Z599" s="119" t="s">
        <v>1316</v>
      </c>
      <c r="AA599" s="144">
        <f t="shared" ref="AA599" si="407">W599-P599</f>
        <v>1</v>
      </c>
    </row>
    <row r="600" spans="1:27" s="145" customFormat="1" ht="36" customHeight="1" x14ac:dyDescent="0.25">
      <c r="A600" s="119" t="s">
        <v>25</v>
      </c>
      <c r="B600" s="139">
        <v>244203</v>
      </c>
      <c r="C600" s="119" t="s">
        <v>14</v>
      </c>
      <c r="D600" s="166">
        <v>680477</v>
      </c>
      <c r="E600" s="119" t="s">
        <v>426</v>
      </c>
      <c r="F600" s="190">
        <v>68080733</v>
      </c>
      <c r="G600" s="119" t="s">
        <v>1874</v>
      </c>
      <c r="H600" s="187" t="s">
        <v>281</v>
      </c>
      <c r="I600" s="147" t="s">
        <v>428</v>
      </c>
      <c r="J600" s="146">
        <v>125.46</v>
      </c>
      <c r="K600" s="119" t="s">
        <v>201</v>
      </c>
      <c r="L600" s="146">
        <f>127-J600</f>
        <v>1.5400000000000063</v>
      </c>
      <c r="M600" s="214" t="s">
        <v>1875</v>
      </c>
      <c r="N600" s="119" t="s">
        <v>93</v>
      </c>
      <c r="O600" s="141">
        <f t="shared" si="403"/>
        <v>244203</v>
      </c>
      <c r="P600" s="141">
        <f t="shared" si="405"/>
        <v>244210</v>
      </c>
      <c r="Q600" s="141">
        <f t="shared" si="404"/>
        <v>244205</v>
      </c>
      <c r="R600" s="139" t="s">
        <v>55</v>
      </c>
      <c r="S600" s="143">
        <v>244218</v>
      </c>
      <c r="T600" s="139" t="s">
        <v>55</v>
      </c>
      <c r="U600" s="143">
        <v>244218</v>
      </c>
      <c r="V600" s="139" t="s">
        <v>55</v>
      </c>
      <c r="W600" s="143">
        <v>244211</v>
      </c>
      <c r="X600" s="139"/>
      <c r="Y600" s="141"/>
      <c r="Z600" s="119" t="s">
        <v>1925</v>
      </c>
      <c r="AA600" s="144">
        <f t="shared" si="406"/>
        <v>1</v>
      </c>
    </row>
    <row r="601" spans="1:27" s="145" customFormat="1" ht="36" customHeight="1" x14ac:dyDescent="0.25">
      <c r="A601" s="119" t="s">
        <v>25</v>
      </c>
      <c r="B601" s="139">
        <v>244203</v>
      </c>
      <c r="C601" s="119" t="s">
        <v>14</v>
      </c>
      <c r="D601" s="166">
        <v>680478</v>
      </c>
      <c r="E601" s="119" t="s">
        <v>808</v>
      </c>
      <c r="F601" s="190">
        <v>68080757</v>
      </c>
      <c r="G601" s="119" t="s">
        <v>1876</v>
      </c>
      <c r="H601" s="187" t="s">
        <v>226</v>
      </c>
      <c r="I601" s="147" t="s">
        <v>810</v>
      </c>
      <c r="J601" s="146">
        <v>118.58</v>
      </c>
      <c r="K601" s="119" t="s">
        <v>207</v>
      </c>
      <c r="L601" s="146">
        <v>3.58</v>
      </c>
      <c r="M601" s="119" t="s">
        <v>1877</v>
      </c>
      <c r="N601" s="119" t="s">
        <v>93</v>
      </c>
      <c r="O601" s="141">
        <f t="shared" si="403"/>
        <v>244203</v>
      </c>
      <c r="P601" s="141">
        <f t="shared" si="405"/>
        <v>244210</v>
      </c>
      <c r="Q601" s="141">
        <f t="shared" si="404"/>
        <v>244205</v>
      </c>
      <c r="R601" s="139" t="s">
        <v>55</v>
      </c>
      <c r="S601" s="143">
        <v>244218</v>
      </c>
      <c r="T601" s="139" t="s">
        <v>55</v>
      </c>
      <c r="U601" s="143">
        <v>244218</v>
      </c>
      <c r="V601" s="139" t="s">
        <v>55</v>
      </c>
      <c r="W601" s="143">
        <v>244219</v>
      </c>
      <c r="X601" s="139"/>
      <c r="Y601" s="141"/>
      <c r="Z601" s="119" t="s">
        <v>808</v>
      </c>
      <c r="AA601" s="144">
        <f t="shared" si="406"/>
        <v>9</v>
      </c>
    </row>
    <row r="602" spans="1:27" s="145" customFormat="1" ht="36" customHeight="1" x14ac:dyDescent="0.25">
      <c r="A602" s="119" t="s">
        <v>25</v>
      </c>
      <c r="B602" s="139">
        <v>244203</v>
      </c>
      <c r="C602" s="119" t="s">
        <v>14</v>
      </c>
      <c r="D602" s="166">
        <v>680479</v>
      </c>
      <c r="E602" s="119" t="s">
        <v>808</v>
      </c>
      <c r="F602" s="190">
        <v>68080755</v>
      </c>
      <c r="G602" s="119" t="s">
        <v>1878</v>
      </c>
      <c r="H602" s="187" t="s">
        <v>241</v>
      </c>
      <c r="I602" s="147" t="s">
        <v>810</v>
      </c>
      <c r="J602" s="146">
        <v>105.51</v>
      </c>
      <c r="K602" s="119" t="s">
        <v>1879</v>
      </c>
      <c r="L602" s="146">
        <f>110-J602</f>
        <v>4.4899999999999949</v>
      </c>
      <c r="M602" s="119" t="s">
        <v>1534</v>
      </c>
      <c r="N602" s="119" t="s">
        <v>93</v>
      </c>
      <c r="O602" s="141">
        <f t="shared" si="403"/>
        <v>244203</v>
      </c>
      <c r="P602" s="141">
        <f t="shared" si="405"/>
        <v>244210</v>
      </c>
      <c r="Q602" s="141">
        <f t="shared" si="404"/>
        <v>244205</v>
      </c>
      <c r="R602" s="139" t="s">
        <v>55</v>
      </c>
      <c r="S602" s="143">
        <v>244218</v>
      </c>
      <c r="T602" s="139" t="s">
        <v>55</v>
      </c>
      <c r="U602" s="143">
        <v>244218</v>
      </c>
      <c r="V602" s="139" t="s">
        <v>55</v>
      </c>
      <c r="W602" s="143">
        <v>244219</v>
      </c>
      <c r="X602" s="139"/>
      <c r="Y602" s="141"/>
      <c r="Z602" s="119" t="s">
        <v>808</v>
      </c>
      <c r="AA602" s="144">
        <f t="shared" si="406"/>
        <v>9</v>
      </c>
    </row>
    <row r="603" spans="1:27" s="145" customFormat="1" ht="36" customHeight="1" x14ac:dyDescent="0.25">
      <c r="A603" s="119" t="s">
        <v>25</v>
      </c>
      <c r="B603" s="139">
        <v>244203</v>
      </c>
      <c r="C603" s="119" t="s">
        <v>14</v>
      </c>
      <c r="D603" s="166">
        <v>680480</v>
      </c>
      <c r="E603" s="119" t="s">
        <v>307</v>
      </c>
      <c r="F603" s="190">
        <v>68080756</v>
      </c>
      <c r="G603" s="119" t="s">
        <v>1881</v>
      </c>
      <c r="H603" s="187" t="s">
        <v>265</v>
      </c>
      <c r="I603" s="147" t="s">
        <v>308</v>
      </c>
      <c r="J603" s="146">
        <v>62.46</v>
      </c>
      <c r="K603" s="119" t="s">
        <v>201</v>
      </c>
      <c r="L603" s="146">
        <f>64-J603</f>
        <v>1.5399999999999991</v>
      </c>
      <c r="M603" s="119" t="s">
        <v>1880</v>
      </c>
      <c r="N603" s="119" t="s">
        <v>93</v>
      </c>
      <c r="O603" s="141">
        <f t="shared" si="403"/>
        <v>244203</v>
      </c>
      <c r="P603" s="141">
        <f t="shared" si="405"/>
        <v>244210</v>
      </c>
      <c r="Q603" s="141">
        <f t="shared" si="404"/>
        <v>244205</v>
      </c>
      <c r="R603" s="139" t="s">
        <v>55</v>
      </c>
      <c r="S603" s="143">
        <v>244218</v>
      </c>
      <c r="T603" s="139" t="s">
        <v>55</v>
      </c>
      <c r="U603" s="143">
        <v>244218</v>
      </c>
      <c r="V603" s="139" t="s">
        <v>55</v>
      </c>
      <c r="W603" s="143">
        <v>244204</v>
      </c>
      <c r="X603" s="139"/>
      <c r="Y603" s="141"/>
      <c r="Z603" s="119" t="s">
        <v>1886</v>
      </c>
      <c r="AA603" s="144">
        <f t="shared" si="406"/>
        <v>-6</v>
      </c>
    </row>
    <row r="604" spans="1:27" s="145" customFormat="1" ht="36" customHeight="1" x14ac:dyDescent="0.25">
      <c r="A604" s="119" t="s">
        <v>25</v>
      </c>
      <c r="B604" s="139">
        <v>244203</v>
      </c>
      <c r="C604" s="119" t="s">
        <v>14</v>
      </c>
      <c r="D604" s="166">
        <v>680481</v>
      </c>
      <c r="E604" s="119" t="s">
        <v>420</v>
      </c>
      <c r="F604" s="190">
        <v>68080747</v>
      </c>
      <c r="G604" s="119" t="s">
        <v>1882</v>
      </c>
      <c r="H604" s="187" t="s">
        <v>272</v>
      </c>
      <c r="I604" s="147" t="s">
        <v>1041</v>
      </c>
      <c r="J604" s="146">
        <v>126.72</v>
      </c>
      <c r="K604" s="119" t="s">
        <v>207</v>
      </c>
      <c r="L604" s="146">
        <f>J604-124</f>
        <v>2.7199999999999989</v>
      </c>
      <c r="M604" s="119" t="s">
        <v>1314</v>
      </c>
      <c r="N604" s="119" t="s">
        <v>93</v>
      </c>
      <c r="O604" s="141">
        <f t="shared" si="403"/>
        <v>244203</v>
      </c>
      <c r="P604" s="141">
        <f t="shared" si="405"/>
        <v>244210</v>
      </c>
      <c r="Q604" s="141">
        <f t="shared" si="404"/>
        <v>244205</v>
      </c>
      <c r="R604" s="139" t="s">
        <v>55</v>
      </c>
      <c r="S604" s="143">
        <v>244218</v>
      </c>
      <c r="T604" s="139" t="s">
        <v>55</v>
      </c>
      <c r="U604" s="143">
        <v>244218</v>
      </c>
      <c r="V604" s="139" t="s">
        <v>55</v>
      </c>
      <c r="W604" s="143">
        <v>244219</v>
      </c>
      <c r="X604" s="139"/>
      <c r="Y604" s="141"/>
      <c r="Z604" s="119" t="s">
        <v>420</v>
      </c>
      <c r="AA604" s="144">
        <f t="shared" si="406"/>
        <v>9</v>
      </c>
    </row>
    <row r="605" spans="1:27" s="145" customFormat="1" ht="36" customHeight="1" x14ac:dyDescent="0.25">
      <c r="A605" s="119" t="s">
        <v>25</v>
      </c>
      <c r="B605" s="139">
        <v>244204</v>
      </c>
      <c r="C605" s="119" t="s">
        <v>14</v>
      </c>
      <c r="D605" s="166">
        <v>680482</v>
      </c>
      <c r="E605" s="119" t="s">
        <v>420</v>
      </c>
      <c r="F605" s="190">
        <v>68080802</v>
      </c>
      <c r="G605" s="119" t="s">
        <v>1884</v>
      </c>
      <c r="H605" s="187" t="s">
        <v>208</v>
      </c>
      <c r="I605" s="147" t="s">
        <v>1041</v>
      </c>
      <c r="J605" s="146">
        <v>128.84</v>
      </c>
      <c r="K605" s="119" t="s">
        <v>207</v>
      </c>
      <c r="L605" s="146">
        <f>J605-124</f>
        <v>4.8400000000000034</v>
      </c>
      <c r="M605" s="119" t="s">
        <v>1885</v>
      </c>
      <c r="N605" s="119" t="s">
        <v>93</v>
      </c>
      <c r="O605" s="141">
        <f t="shared" si="403"/>
        <v>244204</v>
      </c>
      <c r="P605" s="141">
        <f t="shared" si="405"/>
        <v>244211</v>
      </c>
      <c r="Q605" s="141">
        <f t="shared" si="404"/>
        <v>244206</v>
      </c>
      <c r="R605" s="139" t="s">
        <v>55</v>
      </c>
      <c r="S605" s="143">
        <v>244212</v>
      </c>
      <c r="T605" s="139" t="s">
        <v>55</v>
      </c>
      <c r="U605" s="143">
        <v>244214</v>
      </c>
      <c r="V605" s="139" t="s">
        <v>55</v>
      </c>
      <c r="W605" s="143">
        <v>244214</v>
      </c>
      <c r="X605" s="139"/>
      <c r="Y605" s="141"/>
      <c r="Z605" s="119" t="s">
        <v>966</v>
      </c>
      <c r="AA605" s="144">
        <f t="shared" si="406"/>
        <v>3</v>
      </c>
    </row>
    <row r="606" spans="1:27" s="145" customFormat="1" ht="36" customHeight="1" x14ac:dyDescent="0.25">
      <c r="A606" s="119" t="s">
        <v>25</v>
      </c>
      <c r="B606" s="139">
        <v>244204</v>
      </c>
      <c r="C606" s="119" t="s">
        <v>14</v>
      </c>
      <c r="D606" s="166">
        <v>680483</v>
      </c>
      <c r="E606" s="119" t="s">
        <v>1382</v>
      </c>
      <c r="F606" s="190">
        <v>68080832</v>
      </c>
      <c r="G606" s="119" t="s">
        <v>1888</v>
      </c>
      <c r="H606" s="187" t="s">
        <v>252</v>
      </c>
      <c r="I606" s="147" t="s">
        <v>1892</v>
      </c>
      <c r="J606" s="146" t="s">
        <v>1893</v>
      </c>
      <c r="K606" s="119" t="s">
        <v>1889</v>
      </c>
      <c r="L606" s="146" t="s">
        <v>1890</v>
      </c>
      <c r="M606" s="119" t="s">
        <v>1891</v>
      </c>
      <c r="N606" s="119" t="s">
        <v>93</v>
      </c>
      <c r="O606" s="141">
        <f t="shared" si="403"/>
        <v>244204</v>
      </c>
      <c r="P606" s="141">
        <f t="shared" si="405"/>
        <v>244211</v>
      </c>
      <c r="Q606" s="141">
        <f t="shared" si="404"/>
        <v>244206</v>
      </c>
      <c r="R606" s="139" t="s">
        <v>55</v>
      </c>
      <c r="S606" s="143">
        <v>244212</v>
      </c>
      <c r="T606" s="139" t="s">
        <v>55</v>
      </c>
      <c r="U606" s="143">
        <v>244214</v>
      </c>
      <c r="V606" s="139" t="s">
        <v>55</v>
      </c>
      <c r="W606" s="143">
        <v>244214</v>
      </c>
      <c r="X606" s="139"/>
      <c r="Y606" s="141"/>
      <c r="Z606" s="119" t="s">
        <v>1939</v>
      </c>
      <c r="AA606" s="144">
        <f t="shared" si="406"/>
        <v>3</v>
      </c>
    </row>
    <row r="607" spans="1:27" s="145" customFormat="1" ht="36" customHeight="1" x14ac:dyDescent="0.25">
      <c r="A607" s="119" t="s">
        <v>25</v>
      </c>
      <c r="B607" s="139">
        <v>244204</v>
      </c>
      <c r="C607" s="119" t="s">
        <v>14</v>
      </c>
      <c r="D607" s="166">
        <v>680484</v>
      </c>
      <c r="E607" s="119" t="s">
        <v>808</v>
      </c>
      <c r="F607" s="190">
        <v>68080845</v>
      </c>
      <c r="G607" s="119" t="s">
        <v>1894</v>
      </c>
      <c r="H607" s="187" t="s">
        <v>211</v>
      </c>
      <c r="I607" s="147" t="s">
        <v>1895</v>
      </c>
      <c r="J607" s="146" t="s">
        <v>1896</v>
      </c>
      <c r="K607" s="119" t="s">
        <v>1897</v>
      </c>
      <c r="L607" s="146" t="s">
        <v>1898</v>
      </c>
      <c r="M607" s="119" t="s">
        <v>1899</v>
      </c>
      <c r="N607" s="119" t="s">
        <v>93</v>
      </c>
      <c r="O607" s="141">
        <f t="shared" si="403"/>
        <v>244204</v>
      </c>
      <c r="P607" s="141">
        <f t="shared" si="405"/>
        <v>244211</v>
      </c>
      <c r="Q607" s="141">
        <f t="shared" si="404"/>
        <v>244206</v>
      </c>
      <c r="R607" s="139" t="s">
        <v>55</v>
      </c>
      <c r="S607" s="143">
        <v>244212</v>
      </c>
      <c r="T607" s="139" t="s">
        <v>55</v>
      </c>
      <c r="U607" s="143">
        <v>244214</v>
      </c>
      <c r="V607" s="139" t="s">
        <v>55</v>
      </c>
      <c r="W607" s="143">
        <v>244214</v>
      </c>
      <c r="X607" s="139"/>
      <c r="Y607" s="141"/>
      <c r="Z607" s="119" t="s">
        <v>1938</v>
      </c>
      <c r="AA607" s="144">
        <f t="shared" si="406"/>
        <v>3</v>
      </c>
    </row>
    <row r="608" spans="1:27" s="145" customFormat="1" ht="29.25" customHeight="1" x14ac:dyDescent="0.25">
      <c r="A608" s="119" t="s">
        <v>25</v>
      </c>
      <c r="B608" s="139">
        <v>244204</v>
      </c>
      <c r="C608" s="119" t="s">
        <v>14</v>
      </c>
      <c r="D608" s="166">
        <v>680485</v>
      </c>
      <c r="E608" s="119" t="s">
        <v>827</v>
      </c>
      <c r="F608" s="190">
        <v>68080844</v>
      </c>
      <c r="G608" s="119" t="s">
        <v>1900</v>
      </c>
      <c r="H608" s="187" t="s">
        <v>276</v>
      </c>
      <c r="I608" s="147" t="s">
        <v>829</v>
      </c>
      <c r="J608" s="146">
        <v>97.71</v>
      </c>
      <c r="K608" s="119" t="s">
        <v>201</v>
      </c>
      <c r="L608" s="146">
        <f>100-J608</f>
        <v>2.2900000000000063</v>
      </c>
      <c r="M608" s="119" t="s">
        <v>1901</v>
      </c>
      <c r="N608" s="119" t="s">
        <v>93</v>
      </c>
      <c r="O608" s="141">
        <f t="shared" si="403"/>
        <v>244204</v>
      </c>
      <c r="P608" s="141">
        <f t="shared" si="405"/>
        <v>244211</v>
      </c>
      <c r="Q608" s="141">
        <f t="shared" si="404"/>
        <v>244206</v>
      </c>
      <c r="R608" s="139" t="s">
        <v>55</v>
      </c>
      <c r="S608" s="143">
        <v>244212</v>
      </c>
      <c r="T608" s="139" t="s">
        <v>55</v>
      </c>
      <c r="U608" s="143">
        <v>244214</v>
      </c>
      <c r="V608" s="139" t="s">
        <v>55</v>
      </c>
      <c r="W608" s="143">
        <v>244214</v>
      </c>
      <c r="X608" s="139"/>
      <c r="Y608" s="141"/>
      <c r="Z608" s="119" t="s">
        <v>1940</v>
      </c>
      <c r="AA608" s="144">
        <f t="shared" si="406"/>
        <v>3</v>
      </c>
    </row>
    <row r="609" spans="1:27" s="145" customFormat="1" ht="36" customHeight="1" x14ac:dyDescent="0.25">
      <c r="A609" s="119" t="s">
        <v>25</v>
      </c>
      <c r="B609" s="139">
        <v>244205</v>
      </c>
      <c r="C609" s="119" t="s">
        <v>11</v>
      </c>
      <c r="D609" s="166">
        <v>680486</v>
      </c>
      <c r="E609" s="119" t="s">
        <v>603</v>
      </c>
      <c r="F609" s="190" t="s">
        <v>1902</v>
      </c>
      <c r="G609" s="119">
        <v>680809</v>
      </c>
      <c r="H609" s="187" t="s">
        <v>135</v>
      </c>
      <c r="I609" s="147" t="s">
        <v>61</v>
      </c>
      <c r="J609" s="146">
        <v>53</v>
      </c>
      <c r="K609" s="119" t="s">
        <v>62</v>
      </c>
      <c r="L609" s="146">
        <v>23</v>
      </c>
      <c r="M609" s="119" t="s">
        <v>1903</v>
      </c>
      <c r="N609" s="119" t="s">
        <v>53</v>
      </c>
      <c r="O609" s="141">
        <f t="shared" si="403"/>
        <v>244205</v>
      </c>
      <c r="P609" s="141">
        <f t="shared" si="405"/>
        <v>244212</v>
      </c>
      <c r="Q609" s="141">
        <f t="shared" si="404"/>
        <v>244207</v>
      </c>
      <c r="R609" s="139" t="s">
        <v>55</v>
      </c>
      <c r="S609" s="143">
        <v>244211</v>
      </c>
      <c r="T609" s="139" t="s">
        <v>55</v>
      </c>
      <c r="U609" s="143">
        <v>244211</v>
      </c>
      <c r="V609" s="139" t="s">
        <v>55</v>
      </c>
      <c r="W609" s="143">
        <v>244211</v>
      </c>
      <c r="X609" s="139"/>
      <c r="Y609" s="141"/>
      <c r="Z609" s="119" t="s">
        <v>603</v>
      </c>
      <c r="AA609" s="144">
        <f t="shared" si="406"/>
        <v>-1</v>
      </c>
    </row>
    <row r="610" spans="1:27" s="145" customFormat="1" ht="36" customHeight="1" x14ac:dyDescent="0.25">
      <c r="A610" s="119" t="s">
        <v>25</v>
      </c>
      <c r="B610" s="139">
        <v>244205</v>
      </c>
      <c r="C610" s="119" t="s">
        <v>14</v>
      </c>
      <c r="D610" s="166">
        <v>680487</v>
      </c>
      <c r="E610" s="119" t="s">
        <v>420</v>
      </c>
      <c r="F610" s="190">
        <v>68080939</v>
      </c>
      <c r="G610" s="119" t="s">
        <v>1906</v>
      </c>
      <c r="H610" s="187" t="s">
        <v>205</v>
      </c>
      <c r="I610" s="147" t="s">
        <v>1041</v>
      </c>
      <c r="J610" s="146">
        <v>125.35</v>
      </c>
      <c r="K610" s="119" t="s">
        <v>207</v>
      </c>
      <c r="L610" s="146">
        <f>J610-124</f>
        <v>1.3499999999999943</v>
      </c>
      <c r="M610" s="119" t="s">
        <v>1907</v>
      </c>
      <c r="N610" s="119" t="s">
        <v>93</v>
      </c>
      <c r="O610" s="141">
        <f t="shared" si="403"/>
        <v>244205</v>
      </c>
      <c r="P610" s="141">
        <f t="shared" si="405"/>
        <v>244212</v>
      </c>
      <c r="Q610" s="141">
        <f t="shared" si="404"/>
        <v>244207</v>
      </c>
      <c r="R610" s="139" t="s">
        <v>55</v>
      </c>
      <c r="S610" s="143">
        <v>244212</v>
      </c>
      <c r="T610" s="139" t="s">
        <v>55</v>
      </c>
      <c r="U610" s="143">
        <v>244214</v>
      </c>
      <c r="V610" s="139" t="s">
        <v>55</v>
      </c>
      <c r="W610" s="143">
        <v>244214</v>
      </c>
      <c r="X610" s="139"/>
      <c r="Y610" s="141"/>
      <c r="Z610" s="119" t="s">
        <v>1936</v>
      </c>
      <c r="AA610" s="144">
        <f t="shared" si="406"/>
        <v>2</v>
      </c>
    </row>
    <row r="611" spans="1:27" s="145" customFormat="1" ht="36" customHeight="1" x14ac:dyDescent="0.25">
      <c r="A611" s="119" t="s">
        <v>25</v>
      </c>
      <c r="B611" s="139">
        <v>244205</v>
      </c>
      <c r="C611" s="119" t="s">
        <v>14</v>
      </c>
      <c r="D611" s="166">
        <v>680488</v>
      </c>
      <c r="E611" s="119" t="s">
        <v>426</v>
      </c>
      <c r="F611" s="190">
        <v>68080940</v>
      </c>
      <c r="G611" s="119" t="s">
        <v>1904</v>
      </c>
      <c r="H611" s="187" t="s">
        <v>277</v>
      </c>
      <c r="I611" s="147" t="s">
        <v>428</v>
      </c>
      <c r="J611" s="146">
        <v>124.62</v>
      </c>
      <c r="K611" s="119" t="s">
        <v>201</v>
      </c>
      <c r="L611" s="146">
        <f>127-J611</f>
        <v>2.3799999999999955</v>
      </c>
      <c r="M611" s="119" t="s">
        <v>1905</v>
      </c>
      <c r="N611" s="119" t="s">
        <v>93</v>
      </c>
      <c r="O611" s="141">
        <f t="shared" si="403"/>
        <v>244205</v>
      </c>
      <c r="P611" s="141">
        <f t="shared" si="405"/>
        <v>244212</v>
      </c>
      <c r="Q611" s="141">
        <f t="shared" si="404"/>
        <v>244207</v>
      </c>
      <c r="R611" s="139" t="s">
        <v>55</v>
      </c>
      <c r="S611" s="143">
        <v>244218</v>
      </c>
      <c r="T611" s="139" t="s">
        <v>55</v>
      </c>
      <c r="U611" s="143">
        <v>244218</v>
      </c>
      <c r="V611" s="139" t="s">
        <v>55</v>
      </c>
      <c r="W611" s="143">
        <v>244211</v>
      </c>
      <c r="X611" s="139"/>
      <c r="Y611" s="141"/>
      <c r="Z611" s="119" t="s">
        <v>1925</v>
      </c>
      <c r="AA611" s="144">
        <f t="shared" si="406"/>
        <v>-1</v>
      </c>
    </row>
    <row r="612" spans="1:27" s="145" customFormat="1" ht="36" customHeight="1" x14ac:dyDescent="0.25">
      <c r="A612" s="119" t="s">
        <v>25</v>
      </c>
      <c r="B612" s="139">
        <v>244209</v>
      </c>
      <c r="C612" s="119" t="s">
        <v>14</v>
      </c>
      <c r="D612" s="166">
        <v>680489</v>
      </c>
      <c r="E612" s="119" t="s">
        <v>426</v>
      </c>
      <c r="F612" s="190">
        <v>68081326</v>
      </c>
      <c r="G612" s="119" t="s">
        <v>1908</v>
      </c>
      <c r="H612" s="187" t="s">
        <v>289</v>
      </c>
      <c r="I612" s="147" t="s">
        <v>428</v>
      </c>
      <c r="J612" s="146">
        <v>133.09</v>
      </c>
      <c r="K612" s="119" t="s">
        <v>207</v>
      </c>
      <c r="L612" s="146">
        <f>133.09-129</f>
        <v>4.0900000000000034</v>
      </c>
      <c r="M612" s="119" t="s">
        <v>1909</v>
      </c>
      <c r="N612" s="119" t="s">
        <v>93</v>
      </c>
      <c r="O612" s="141">
        <f t="shared" si="403"/>
        <v>244209</v>
      </c>
      <c r="P612" s="141">
        <f t="shared" si="405"/>
        <v>244216</v>
      </c>
      <c r="Q612" s="141">
        <f t="shared" si="404"/>
        <v>244211</v>
      </c>
      <c r="R612" s="139" t="s">
        <v>55</v>
      </c>
      <c r="S612" s="143">
        <v>244218</v>
      </c>
      <c r="T612" s="139" t="s">
        <v>55</v>
      </c>
      <c r="U612" s="143">
        <v>244218</v>
      </c>
      <c r="V612" s="139" t="s">
        <v>55</v>
      </c>
      <c r="W612" s="143">
        <v>244211</v>
      </c>
      <c r="X612" s="139"/>
      <c r="Y612" s="141"/>
      <c r="Z612" s="119" t="s">
        <v>1925</v>
      </c>
      <c r="AA612" s="144"/>
    </row>
    <row r="613" spans="1:27" s="145" customFormat="1" ht="36" customHeight="1" x14ac:dyDescent="0.25">
      <c r="A613" s="119" t="s">
        <v>25</v>
      </c>
      <c r="B613" s="139">
        <v>244209</v>
      </c>
      <c r="C613" s="119" t="s">
        <v>14</v>
      </c>
      <c r="D613" s="166">
        <v>680490</v>
      </c>
      <c r="E613" s="119" t="s">
        <v>420</v>
      </c>
      <c r="F613" s="190">
        <v>68081325</v>
      </c>
      <c r="G613" s="119" t="s">
        <v>1910</v>
      </c>
      <c r="H613" s="187" t="s">
        <v>254</v>
      </c>
      <c r="I613" s="147" t="s">
        <v>1041</v>
      </c>
      <c r="J613" s="146">
        <v>117.54</v>
      </c>
      <c r="K613" s="119" t="s">
        <v>1911</v>
      </c>
      <c r="L613" s="146">
        <f>121-J613</f>
        <v>3.4599999999999937</v>
      </c>
      <c r="M613" s="119" t="s">
        <v>1912</v>
      </c>
      <c r="N613" s="119" t="s">
        <v>93</v>
      </c>
      <c r="O613" s="141">
        <f t="shared" si="403"/>
        <v>244209</v>
      </c>
      <c r="P613" s="141">
        <f t="shared" si="405"/>
        <v>244216</v>
      </c>
      <c r="Q613" s="141">
        <f t="shared" si="404"/>
        <v>244211</v>
      </c>
      <c r="R613" s="139" t="s">
        <v>55</v>
      </c>
      <c r="S613" s="143">
        <v>244212</v>
      </c>
      <c r="T613" s="139" t="s">
        <v>55</v>
      </c>
      <c r="U613" s="143">
        <v>244214</v>
      </c>
      <c r="V613" s="139" t="s">
        <v>55</v>
      </c>
      <c r="W613" s="143">
        <v>244214</v>
      </c>
      <c r="X613" s="139"/>
      <c r="Y613" s="141"/>
      <c r="Z613" s="119" t="s">
        <v>1937</v>
      </c>
      <c r="AA613" s="144">
        <f t="shared" si="406"/>
        <v>-2</v>
      </c>
    </row>
    <row r="614" spans="1:27" s="145" customFormat="1" ht="36" customHeight="1" x14ac:dyDescent="0.25">
      <c r="A614" s="119" t="s">
        <v>25</v>
      </c>
      <c r="B614" s="139">
        <v>244209</v>
      </c>
      <c r="C614" s="119" t="s">
        <v>14</v>
      </c>
      <c r="D614" s="166">
        <v>680491</v>
      </c>
      <c r="E614" s="119" t="s">
        <v>420</v>
      </c>
      <c r="F614" s="190">
        <v>68081344</v>
      </c>
      <c r="G614" s="119" t="s">
        <v>1913</v>
      </c>
      <c r="H614" s="187" t="s">
        <v>273</v>
      </c>
      <c r="I614" s="147" t="s">
        <v>1041</v>
      </c>
      <c r="J614" s="146">
        <v>126.17</v>
      </c>
      <c r="K614" s="119" t="s">
        <v>207</v>
      </c>
      <c r="L614" s="146">
        <f>J614-124</f>
        <v>2.1700000000000017</v>
      </c>
      <c r="M614" s="119" t="s">
        <v>1914</v>
      </c>
      <c r="N614" s="119" t="s">
        <v>93</v>
      </c>
      <c r="O614" s="141">
        <f t="shared" si="403"/>
        <v>244209</v>
      </c>
      <c r="P614" s="141">
        <f t="shared" si="405"/>
        <v>244216</v>
      </c>
      <c r="Q614" s="141">
        <f t="shared" si="404"/>
        <v>244211</v>
      </c>
      <c r="R614" s="139" t="s">
        <v>55</v>
      </c>
      <c r="S614" s="143">
        <v>244219</v>
      </c>
      <c r="T614" s="139" t="s">
        <v>55</v>
      </c>
      <c r="U614" s="143">
        <v>244221</v>
      </c>
      <c r="V614" s="139" t="s">
        <v>55</v>
      </c>
      <c r="W614" s="143">
        <v>244221</v>
      </c>
      <c r="X614" s="139"/>
      <c r="Y614" s="141"/>
      <c r="Z614" s="119" t="s">
        <v>1959</v>
      </c>
      <c r="AA614" s="144">
        <f t="shared" si="406"/>
        <v>5</v>
      </c>
    </row>
    <row r="615" spans="1:27" s="145" customFormat="1" ht="36" customHeight="1" x14ac:dyDescent="0.25">
      <c r="A615" s="119" t="s">
        <v>25</v>
      </c>
      <c r="B615" s="139">
        <v>244209</v>
      </c>
      <c r="C615" s="119" t="s">
        <v>14</v>
      </c>
      <c r="D615" s="166">
        <v>680492</v>
      </c>
      <c r="E615" s="119" t="s">
        <v>413</v>
      </c>
      <c r="F615" s="190">
        <v>68081356</v>
      </c>
      <c r="G615" s="119" t="s">
        <v>1915</v>
      </c>
      <c r="H615" s="187" t="s">
        <v>269</v>
      </c>
      <c r="I615" s="147" t="s">
        <v>415</v>
      </c>
      <c r="J615" s="146">
        <v>83.63</v>
      </c>
      <c r="K615" s="119" t="s">
        <v>207</v>
      </c>
      <c r="L615" s="146">
        <f>J615-80</f>
        <v>3.6299999999999955</v>
      </c>
      <c r="M615" s="119" t="s">
        <v>1916</v>
      </c>
      <c r="N615" s="119" t="s">
        <v>93</v>
      </c>
      <c r="O615" s="141">
        <f t="shared" si="403"/>
        <v>244209</v>
      </c>
      <c r="P615" s="141">
        <f t="shared" si="405"/>
        <v>244216</v>
      </c>
      <c r="Q615" s="141">
        <f t="shared" si="404"/>
        <v>244211</v>
      </c>
      <c r="R615" s="139" t="s">
        <v>55</v>
      </c>
      <c r="S615" s="143">
        <v>244219</v>
      </c>
      <c r="T615" s="139" t="s">
        <v>55</v>
      </c>
      <c r="U615" s="143">
        <v>244221</v>
      </c>
      <c r="V615" s="139" t="s">
        <v>55</v>
      </c>
      <c r="W615" s="143">
        <v>244221</v>
      </c>
      <c r="X615" s="139"/>
      <c r="Y615" s="141"/>
      <c r="Z615" s="119" t="s">
        <v>1961</v>
      </c>
      <c r="AA615" s="144">
        <f t="shared" si="406"/>
        <v>5</v>
      </c>
    </row>
    <row r="616" spans="1:27" s="145" customFormat="1" ht="36" customHeight="1" x14ac:dyDescent="0.25">
      <c r="A616" s="119" t="s">
        <v>25</v>
      </c>
      <c r="B616" s="139">
        <v>244210</v>
      </c>
      <c r="C616" s="119" t="s">
        <v>14</v>
      </c>
      <c r="D616" s="166">
        <v>680493</v>
      </c>
      <c r="E616" s="119" t="s">
        <v>307</v>
      </c>
      <c r="F616" s="190">
        <v>68081415</v>
      </c>
      <c r="G616" s="119" t="s">
        <v>1917</v>
      </c>
      <c r="H616" s="187" t="s">
        <v>237</v>
      </c>
      <c r="I616" s="147" t="s">
        <v>442</v>
      </c>
      <c r="J616" s="146" t="s">
        <v>557</v>
      </c>
      <c r="K616" s="119" t="s">
        <v>557</v>
      </c>
      <c r="L616" s="146" t="s">
        <v>69</v>
      </c>
      <c r="M616" s="119" t="s">
        <v>1918</v>
      </c>
      <c r="N616" s="119" t="s">
        <v>93</v>
      </c>
      <c r="O616" s="141">
        <f t="shared" si="403"/>
        <v>244210</v>
      </c>
      <c r="P616" s="141">
        <f t="shared" si="405"/>
        <v>244217</v>
      </c>
      <c r="Q616" s="141">
        <f t="shared" si="404"/>
        <v>244212</v>
      </c>
      <c r="R616" s="139" t="s">
        <v>55</v>
      </c>
      <c r="S616" s="143">
        <v>244218</v>
      </c>
      <c r="T616" s="139" t="s">
        <v>55</v>
      </c>
      <c r="U616" s="143">
        <v>244218</v>
      </c>
      <c r="V616" s="139" t="s">
        <v>55</v>
      </c>
      <c r="W616" s="143">
        <v>244219</v>
      </c>
      <c r="X616" s="139"/>
      <c r="Y616" s="141"/>
      <c r="Z616" s="119" t="s">
        <v>1958</v>
      </c>
      <c r="AA616" s="144">
        <f t="shared" si="406"/>
        <v>2</v>
      </c>
    </row>
    <row r="617" spans="1:27" s="145" customFormat="1" ht="36" customHeight="1" x14ac:dyDescent="0.25">
      <c r="A617" s="119" t="s">
        <v>25</v>
      </c>
      <c r="B617" s="139">
        <v>244210</v>
      </c>
      <c r="C617" s="119" t="s">
        <v>14</v>
      </c>
      <c r="D617" s="166">
        <v>680494</v>
      </c>
      <c r="E617" s="119" t="s">
        <v>420</v>
      </c>
      <c r="F617" s="190">
        <v>68081407</v>
      </c>
      <c r="G617" s="119" t="s">
        <v>1919</v>
      </c>
      <c r="H617" s="187" t="s">
        <v>208</v>
      </c>
      <c r="I617" s="147" t="s">
        <v>1041</v>
      </c>
      <c r="J617" s="146">
        <v>131.01</v>
      </c>
      <c r="K617" s="119" t="s">
        <v>207</v>
      </c>
      <c r="L617" s="146">
        <f>J617-124</f>
        <v>7.0099999999999909</v>
      </c>
      <c r="M617" s="119" t="s">
        <v>1920</v>
      </c>
      <c r="N617" s="119" t="s">
        <v>93</v>
      </c>
      <c r="O617" s="141">
        <f t="shared" si="403"/>
        <v>244210</v>
      </c>
      <c r="P617" s="141">
        <f t="shared" si="405"/>
        <v>244217</v>
      </c>
      <c r="Q617" s="141">
        <f t="shared" si="404"/>
        <v>244212</v>
      </c>
      <c r="R617" s="139" t="s">
        <v>55</v>
      </c>
      <c r="S617" s="143">
        <v>244219</v>
      </c>
      <c r="T617" s="139" t="s">
        <v>55</v>
      </c>
      <c r="U617" s="143">
        <v>244221</v>
      </c>
      <c r="V617" s="139" t="s">
        <v>55</v>
      </c>
      <c r="W617" s="143">
        <v>244221</v>
      </c>
      <c r="X617" s="139"/>
      <c r="Y617" s="141"/>
      <c r="Z617" s="119" t="s">
        <v>1963</v>
      </c>
      <c r="AA617" s="144">
        <f t="shared" si="406"/>
        <v>4</v>
      </c>
    </row>
    <row r="618" spans="1:27" s="145" customFormat="1" ht="36" customHeight="1" x14ac:dyDescent="0.25">
      <c r="A618" s="119" t="s">
        <v>25</v>
      </c>
      <c r="B618" s="139">
        <v>244210</v>
      </c>
      <c r="C618" s="119" t="s">
        <v>14</v>
      </c>
      <c r="D618" s="166">
        <v>680495</v>
      </c>
      <c r="E618" s="119" t="s">
        <v>426</v>
      </c>
      <c r="F618" s="190">
        <v>68081421</v>
      </c>
      <c r="G618" s="119" t="s">
        <v>1921</v>
      </c>
      <c r="H618" s="187" t="s">
        <v>247</v>
      </c>
      <c r="I618" s="147" t="s">
        <v>428</v>
      </c>
      <c r="J618" s="146">
        <v>125.11</v>
      </c>
      <c r="K618" s="119" t="s">
        <v>411</v>
      </c>
      <c r="L618" s="146">
        <f>127-J618</f>
        <v>1.8900000000000006</v>
      </c>
      <c r="M618" s="119" t="s">
        <v>1923</v>
      </c>
      <c r="N618" s="119" t="s">
        <v>93</v>
      </c>
      <c r="O618" s="141">
        <f t="shared" si="403"/>
        <v>244210</v>
      </c>
      <c r="P618" s="141">
        <f t="shared" si="405"/>
        <v>244217</v>
      </c>
      <c r="Q618" s="141">
        <f t="shared" si="404"/>
        <v>244212</v>
      </c>
      <c r="R618" s="139" t="s">
        <v>55</v>
      </c>
      <c r="S618" s="143">
        <v>244218</v>
      </c>
      <c r="T618" s="139" t="s">
        <v>55</v>
      </c>
      <c r="U618" s="143">
        <v>244218</v>
      </c>
      <c r="V618" s="139" t="s">
        <v>55</v>
      </c>
      <c r="W618" s="143">
        <v>244211</v>
      </c>
      <c r="X618" s="139"/>
      <c r="Y618" s="141"/>
      <c r="Z618" s="119" t="s">
        <v>1925</v>
      </c>
      <c r="AA618" s="144">
        <f t="shared" si="406"/>
        <v>-6</v>
      </c>
    </row>
    <row r="619" spans="1:27" s="145" customFormat="1" ht="36" customHeight="1" x14ac:dyDescent="0.25">
      <c r="A619" s="119" t="s">
        <v>25</v>
      </c>
      <c r="B619" s="139">
        <v>244210</v>
      </c>
      <c r="C619" s="119" t="s">
        <v>14</v>
      </c>
      <c r="D619" s="166">
        <v>680496</v>
      </c>
      <c r="E619" s="119" t="s">
        <v>420</v>
      </c>
      <c r="F619" s="190">
        <v>68081427</v>
      </c>
      <c r="G619" s="119" t="s">
        <v>1922</v>
      </c>
      <c r="H619" s="187" t="s">
        <v>224</v>
      </c>
      <c r="I619" s="147" t="s">
        <v>1041</v>
      </c>
      <c r="J619" s="146">
        <v>126.61</v>
      </c>
      <c r="K619" s="119" t="s">
        <v>207</v>
      </c>
      <c r="L619" s="146">
        <f>J619-124</f>
        <v>2.6099999999999994</v>
      </c>
      <c r="M619" s="119" t="s">
        <v>1924</v>
      </c>
      <c r="N619" s="119" t="s">
        <v>93</v>
      </c>
      <c r="O619" s="141">
        <f t="shared" ref="O619" si="408">B619</f>
        <v>244210</v>
      </c>
      <c r="P619" s="141">
        <f t="shared" ref="P619" si="409">B619+7</f>
        <v>244217</v>
      </c>
      <c r="Q619" s="141">
        <f t="shared" ref="Q619" si="410">O619+2</f>
        <v>244212</v>
      </c>
      <c r="R619" s="139" t="s">
        <v>55</v>
      </c>
      <c r="S619" s="143">
        <v>244219</v>
      </c>
      <c r="T619" s="139" t="s">
        <v>55</v>
      </c>
      <c r="U619" s="143">
        <v>244221</v>
      </c>
      <c r="V619" s="139" t="s">
        <v>55</v>
      </c>
      <c r="W619" s="143">
        <v>244221</v>
      </c>
      <c r="X619" s="139"/>
      <c r="Y619" s="141"/>
      <c r="Z619" s="119" t="s">
        <v>1959</v>
      </c>
      <c r="AA619" s="144">
        <f t="shared" si="406"/>
        <v>4</v>
      </c>
    </row>
    <row r="620" spans="1:27" s="145" customFormat="1" ht="36" customHeight="1" x14ac:dyDescent="0.25">
      <c r="A620" s="119" t="s">
        <v>25</v>
      </c>
      <c r="B620" s="139">
        <v>244210</v>
      </c>
      <c r="C620" s="119" t="s">
        <v>14</v>
      </c>
      <c r="D620" s="166">
        <v>680497</v>
      </c>
      <c r="E620" s="119" t="s">
        <v>668</v>
      </c>
      <c r="F620" s="190">
        <v>68081517</v>
      </c>
      <c r="G620" s="119" t="s">
        <v>1926</v>
      </c>
      <c r="H620" s="187" t="s">
        <v>211</v>
      </c>
      <c r="I620" s="147" t="s">
        <v>670</v>
      </c>
      <c r="J620" s="146">
        <v>115.45</v>
      </c>
      <c r="K620" s="119" t="s">
        <v>201</v>
      </c>
      <c r="L620" s="146">
        <f>120-J620</f>
        <v>4.5499999999999972</v>
      </c>
      <c r="M620" s="119" t="s">
        <v>1927</v>
      </c>
      <c r="N620" s="119" t="s">
        <v>93</v>
      </c>
      <c r="O620" s="141">
        <f t="shared" si="403"/>
        <v>244210</v>
      </c>
      <c r="P620" s="141">
        <f t="shared" si="405"/>
        <v>244217</v>
      </c>
      <c r="Q620" s="141">
        <f t="shared" si="404"/>
        <v>244212</v>
      </c>
      <c r="R620" s="139" t="s">
        <v>55</v>
      </c>
      <c r="S620" s="143">
        <v>244219</v>
      </c>
      <c r="T620" s="139" t="s">
        <v>55</v>
      </c>
      <c r="U620" s="143">
        <v>244221</v>
      </c>
      <c r="V620" s="139" t="s">
        <v>55</v>
      </c>
      <c r="W620" s="143">
        <v>244221</v>
      </c>
      <c r="X620" s="139"/>
      <c r="Y620" s="141"/>
      <c r="Z620" s="119" t="s">
        <v>1962</v>
      </c>
      <c r="AA620" s="144">
        <f t="shared" si="406"/>
        <v>4</v>
      </c>
    </row>
    <row r="621" spans="1:27" s="145" customFormat="1" ht="36" customHeight="1" x14ac:dyDescent="0.25">
      <c r="A621" s="119" t="s">
        <v>25</v>
      </c>
      <c r="B621" s="139">
        <v>244210</v>
      </c>
      <c r="C621" s="119" t="s">
        <v>14</v>
      </c>
      <c r="D621" s="166">
        <v>680498</v>
      </c>
      <c r="E621" s="119" t="s">
        <v>420</v>
      </c>
      <c r="F621" s="190">
        <v>68081523</v>
      </c>
      <c r="G621" s="119" t="s">
        <v>1928</v>
      </c>
      <c r="H621" s="187" t="s">
        <v>208</v>
      </c>
      <c r="I621" s="147" t="s">
        <v>1041</v>
      </c>
      <c r="J621" s="146">
        <v>126.6</v>
      </c>
      <c r="K621" s="119" t="s">
        <v>207</v>
      </c>
      <c r="L621" s="146">
        <f>J621-124</f>
        <v>2.5999999999999943</v>
      </c>
      <c r="M621" s="119" t="s">
        <v>1929</v>
      </c>
      <c r="N621" s="119" t="s">
        <v>93</v>
      </c>
      <c r="O621" s="141">
        <f t="shared" si="403"/>
        <v>244210</v>
      </c>
      <c r="P621" s="141">
        <f t="shared" si="405"/>
        <v>244217</v>
      </c>
      <c r="Q621" s="141">
        <f t="shared" si="404"/>
        <v>244212</v>
      </c>
      <c r="R621" s="139" t="s">
        <v>55</v>
      </c>
      <c r="S621" s="143">
        <v>244219</v>
      </c>
      <c r="T621" s="139" t="s">
        <v>55</v>
      </c>
      <c r="U621" s="143">
        <v>244221</v>
      </c>
      <c r="V621" s="139" t="s">
        <v>55</v>
      </c>
      <c r="W621" s="143">
        <v>244221</v>
      </c>
      <c r="X621" s="139"/>
      <c r="Y621" s="141"/>
      <c r="Z621" s="119" t="s">
        <v>1959</v>
      </c>
      <c r="AA621" s="144">
        <f t="shared" si="406"/>
        <v>4</v>
      </c>
    </row>
    <row r="622" spans="1:27" s="145" customFormat="1" ht="36" customHeight="1" x14ac:dyDescent="0.25">
      <c r="A622" s="119" t="s">
        <v>25</v>
      </c>
      <c r="B622" s="139">
        <v>244210</v>
      </c>
      <c r="C622" s="119" t="s">
        <v>14</v>
      </c>
      <c r="D622" s="166">
        <v>680498</v>
      </c>
      <c r="E622" s="119" t="s">
        <v>420</v>
      </c>
      <c r="F622" s="190">
        <v>68081521</v>
      </c>
      <c r="G622" s="119" t="s">
        <v>1930</v>
      </c>
      <c r="H622" s="187" t="s">
        <v>224</v>
      </c>
      <c r="I622" s="147" t="s">
        <v>1041</v>
      </c>
      <c r="J622" s="146">
        <v>127.7</v>
      </c>
      <c r="K622" s="119" t="s">
        <v>207</v>
      </c>
      <c r="L622" s="146">
        <f>J622-124</f>
        <v>3.7000000000000028</v>
      </c>
      <c r="M622" s="119" t="s">
        <v>1931</v>
      </c>
      <c r="N622" s="119" t="s">
        <v>93</v>
      </c>
      <c r="O622" s="141">
        <f t="shared" si="403"/>
        <v>244210</v>
      </c>
      <c r="P622" s="141">
        <f t="shared" si="405"/>
        <v>244217</v>
      </c>
      <c r="Q622" s="141">
        <f t="shared" si="404"/>
        <v>244212</v>
      </c>
      <c r="R622" s="139" t="s">
        <v>55</v>
      </c>
      <c r="S622" s="143">
        <v>244221</v>
      </c>
      <c r="T622" s="139" t="s">
        <v>55</v>
      </c>
      <c r="U622" s="143">
        <v>244221</v>
      </c>
      <c r="V622" s="139" t="s">
        <v>55</v>
      </c>
      <c r="W622" s="143">
        <v>244221</v>
      </c>
      <c r="X622" s="139"/>
      <c r="Y622" s="141"/>
      <c r="Z622" s="119" t="s">
        <v>1959</v>
      </c>
      <c r="AA622" s="144">
        <f>W622-P622</f>
        <v>4</v>
      </c>
    </row>
    <row r="623" spans="1:27" s="145" customFormat="1" ht="36" customHeight="1" x14ac:dyDescent="0.25">
      <c r="A623" s="119" t="s">
        <v>25</v>
      </c>
      <c r="B623" s="139">
        <v>244214</v>
      </c>
      <c r="C623" s="119" t="s">
        <v>14</v>
      </c>
      <c r="D623" s="166">
        <v>680499</v>
      </c>
      <c r="E623" s="119" t="s">
        <v>668</v>
      </c>
      <c r="F623" s="190">
        <v>68081801</v>
      </c>
      <c r="G623" s="119" t="s">
        <v>1932</v>
      </c>
      <c r="H623" s="187" t="s">
        <v>211</v>
      </c>
      <c r="I623" s="147" t="s">
        <v>670</v>
      </c>
      <c r="J623" s="146">
        <v>127.83</v>
      </c>
      <c r="K623" s="119" t="s">
        <v>207</v>
      </c>
      <c r="L623" s="146">
        <f>J623-125</f>
        <v>2.8299999999999983</v>
      </c>
      <c r="M623" s="119" t="s">
        <v>1933</v>
      </c>
      <c r="N623" s="119" t="s">
        <v>93</v>
      </c>
      <c r="O623" s="141">
        <f t="shared" si="403"/>
        <v>244214</v>
      </c>
      <c r="P623" s="141">
        <f t="shared" si="405"/>
        <v>244221</v>
      </c>
      <c r="Q623" s="141">
        <f t="shared" si="404"/>
        <v>244216</v>
      </c>
      <c r="R623" s="139"/>
      <c r="S623" s="143"/>
      <c r="T623" s="139"/>
      <c r="U623" s="143"/>
      <c r="V623" s="139" t="s">
        <v>55</v>
      </c>
      <c r="W623" s="143">
        <v>244216</v>
      </c>
      <c r="X623" s="139"/>
      <c r="Y623" s="141"/>
      <c r="Z623" s="119" t="s">
        <v>1943</v>
      </c>
      <c r="AA623" s="144">
        <f t="shared" si="406"/>
        <v>-5</v>
      </c>
    </row>
    <row r="624" spans="1:27" s="145" customFormat="1" ht="36" customHeight="1" x14ac:dyDescent="0.25">
      <c r="A624" s="119" t="s">
        <v>25</v>
      </c>
      <c r="B624" s="139">
        <v>244214</v>
      </c>
      <c r="C624" s="119" t="s">
        <v>14</v>
      </c>
      <c r="D624" s="166">
        <v>680500</v>
      </c>
      <c r="E624" s="119" t="s">
        <v>420</v>
      </c>
      <c r="F624" s="190">
        <v>68081817</v>
      </c>
      <c r="G624" s="119" t="s">
        <v>1934</v>
      </c>
      <c r="H624" s="187" t="s">
        <v>227</v>
      </c>
      <c r="I624" s="147" t="s">
        <v>1041</v>
      </c>
      <c r="J624" s="146">
        <v>125.95</v>
      </c>
      <c r="K624" s="119" t="s">
        <v>207</v>
      </c>
      <c r="L624" s="146">
        <f>J624-124</f>
        <v>1.9500000000000028</v>
      </c>
      <c r="M624" s="119" t="s">
        <v>1935</v>
      </c>
      <c r="N624" s="119" t="s">
        <v>93</v>
      </c>
      <c r="O624" s="141">
        <f t="shared" si="403"/>
        <v>244214</v>
      </c>
      <c r="P624" s="141">
        <f t="shared" si="405"/>
        <v>244221</v>
      </c>
      <c r="Q624" s="141">
        <f t="shared" si="404"/>
        <v>244216</v>
      </c>
      <c r="R624" s="139" t="s">
        <v>55</v>
      </c>
      <c r="S624" s="143">
        <v>244219</v>
      </c>
      <c r="T624" s="139" t="s">
        <v>55</v>
      </c>
      <c r="U624" s="143">
        <v>244221</v>
      </c>
      <c r="V624" s="139" t="s">
        <v>55</v>
      </c>
      <c r="W624" s="143">
        <v>244221</v>
      </c>
      <c r="X624" s="139"/>
      <c r="Y624" s="141"/>
      <c r="Z624" s="119" t="s">
        <v>1959</v>
      </c>
      <c r="AA624" s="144">
        <f t="shared" si="406"/>
        <v>0</v>
      </c>
    </row>
    <row r="625" spans="1:27" s="145" customFormat="1" ht="36" customHeight="1" x14ac:dyDescent="0.25">
      <c r="A625" s="119" t="s">
        <v>25</v>
      </c>
      <c r="B625" s="139">
        <v>244215</v>
      </c>
      <c r="C625" s="119" t="s">
        <v>14</v>
      </c>
      <c r="D625" s="166">
        <v>680501</v>
      </c>
      <c r="E625" s="119" t="s">
        <v>420</v>
      </c>
      <c r="F625" s="190">
        <v>68081919</v>
      </c>
      <c r="G625" s="119" t="s">
        <v>1941</v>
      </c>
      <c r="H625" s="187" t="s">
        <v>227</v>
      </c>
      <c r="I625" s="147" t="s">
        <v>1041</v>
      </c>
      <c r="J625" s="146">
        <v>125.62</v>
      </c>
      <c r="K625" s="119" t="s">
        <v>207</v>
      </c>
      <c r="L625" s="146">
        <f>J625-124</f>
        <v>1.6200000000000045</v>
      </c>
      <c r="M625" s="119" t="s">
        <v>1942</v>
      </c>
      <c r="N625" s="119" t="s">
        <v>93</v>
      </c>
      <c r="O625" s="141">
        <f t="shared" si="403"/>
        <v>244215</v>
      </c>
      <c r="P625" s="141">
        <f t="shared" si="405"/>
        <v>244222</v>
      </c>
      <c r="Q625" s="141">
        <f t="shared" si="404"/>
        <v>244217</v>
      </c>
      <c r="R625" s="139" t="s">
        <v>55</v>
      </c>
      <c r="S625" s="143">
        <v>244219</v>
      </c>
      <c r="T625" s="139" t="s">
        <v>55</v>
      </c>
      <c r="U625" s="143">
        <v>244221</v>
      </c>
      <c r="V625" s="139" t="s">
        <v>55</v>
      </c>
      <c r="W625" s="143">
        <v>244221</v>
      </c>
      <c r="X625" s="139"/>
      <c r="Y625" s="141"/>
      <c r="Z625" s="119" t="s">
        <v>1959</v>
      </c>
      <c r="AA625" s="144">
        <f t="shared" si="406"/>
        <v>-1</v>
      </c>
    </row>
    <row r="626" spans="1:27" s="145" customFormat="1" ht="36" customHeight="1" x14ac:dyDescent="0.25">
      <c r="A626" s="119" t="s">
        <v>25</v>
      </c>
      <c r="B626" s="139">
        <v>244216</v>
      </c>
      <c r="C626" s="119" t="s">
        <v>14</v>
      </c>
      <c r="D626" s="166">
        <v>680502</v>
      </c>
      <c r="E626" s="119" t="s">
        <v>420</v>
      </c>
      <c r="F626" s="190">
        <v>68082034</v>
      </c>
      <c r="G626" s="119" t="s">
        <v>1944</v>
      </c>
      <c r="H626" s="187" t="s">
        <v>205</v>
      </c>
      <c r="I626" s="147" t="s">
        <v>1041</v>
      </c>
      <c r="J626" s="146">
        <v>125.17</v>
      </c>
      <c r="K626" s="119" t="s">
        <v>207</v>
      </c>
      <c r="L626" s="119">
        <f>J626-124</f>
        <v>1.1700000000000017</v>
      </c>
      <c r="M626" s="119" t="s">
        <v>1945</v>
      </c>
      <c r="N626" s="119" t="s">
        <v>93</v>
      </c>
      <c r="O626" s="141">
        <f t="shared" si="403"/>
        <v>244216</v>
      </c>
      <c r="P626" s="141">
        <f t="shared" si="405"/>
        <v>244223</v>
      </c>
      <c r="Q626" s="141">
        <f t="shared" si="404"/>
        <v>244218</v>
      </c>
      <c r="R626" s="139" t="s">
        <v>55</v>
      </c>
      <c r="S626" s="143">
        <v>244219</v>
      </c>
      <c r="T626" s="139" t="s">
        <v>55</v>
      </c>
      <c r="U626" s="143">
        <v>244221</v>
      </c>
      <c r="V626" s="139" t="s">
        <v>55</v>
      </c>
      <c r="W626" s="143">
        <v>244221</v>
      </c>
      <c r="X626" s="139"/>
      <c r="Y626" s="141"/>
      <c r="Z626" s="119" t="s">
        <v>1959</v>
      </c>
      <c r="AA626" s="144">
        <f t="shared" si="406"/>
        <v>-2</v>
      </c>
    </row>
    <row r="627" spans="1:27" s="145" customFormat="1" ht="36" customHeight="1" x14ac:dyDescent="0.25">
      <c r="A627" s="119" t="s">
        <v>25</v>
      </c>
      <c r="B627" s="139">
        <v>244217</v>
      </c>
      <c r="C627" s="119" t="s">
        <v>14</v>
      </c>
      <c r="D627" s="166">
        <v>680503</v>
      </c>
      <c r="E627" s="119" t="s">
        <v>668</v>
      </c>
      <c r="F627" s="190">
        <v>68082101</v>
      </c>
      <c r="G627" s="119" t="s">
        <v>1946</v>
      </c>
      <c r="H627" s="187" t="s">
        <v>1947</v>
      </c>
      <c r="I627" s="147" t="s">
        <v>670</v>
      </c>
      <c r="J627" s="146">
        <v>119.02</v>
      </c>
      <c r="K627" s="119" t="s">
        <v>201</v>
      </c>
      <c r="L627" s="146">
        <f>120-J627</f>
        <v>0.98000000000000398</v>
      </c>
      <c r="M627" s="119" t="s">
        <v>1948</v>
      </c>
      <c r="N627" s="119" t="s">
        <v>93</v>
      </c>
      <c r="O627" s="141">
        <f t="shared" si="403"/>
        <v>244217</v>
      </c>
      <c r="P627" s="141">
        <f t="shared" si="405"/>
        <v>244224</v>
      </c>
      <c r="Q627" s="141">
        <f t="shared" si="404"/>
        <v>244219</v>
      </c>
      <c r="R627" s="139" t="s">
        <v>55</v>
      </c>
      <c r="S627" s="143">
        <v>244219</v>
      </c>
      <c r="T627" s="139" t="s">
        <v>55</v>
      </c>
      <c r="U627" s="143">
        <v>244221</v>
      </c>
      <c r="V627" s="139" t="s">
        <v>55</v>
      </c>
      <c r="W627" s="143">
        <v>244221</v>
      </c>
      <c r="X627" s="139"/>
      <c r="Y627" s="141"/>
      <c r="Z627" s="119" t="s">
        <v>1960</v>
      </c>
      <c r="AA627" s="144">
        <f t="shared" si="406"/>
        <v>-3</v>
      </c>
    </row>
    <row r="628" spans="1:27" s="145" customFormat="1" ht="36" customHeight="1" x14ac:dyDescent="0.25">
      <c r="A628" s="119" t="s">
        <v>25</v>
      </c>
      <c r="B628" s="139">
        <v>244217</v>
      </c>
      <c r="C628" s="119" t="s">
        <v>14</v>
      </c>
      <c r="D628" s="166">
        <v>680504</v>
      </c>
      <c r="E628" s="119" t="s">
        <v>420</v>
      </c>
      <c r="F628" s="190">
        <v>68082122</v>
      </c>
      <c r="G628" s="119" t="s">
        <v>1949</v>
      </c>
      <c r="H628" s="187" t="s">
        <v>208</v>
      </c>
      <c r="I628" s="147" t="s">
        <v>1041</v>
      </c>
      <c r="J628" s="119">
        <v>125.57</v>
      </c>
      <c r="K628" s="119" t="s">
        <v>200</v>
      </c>
      <c r="L628" s="146">
        <f>J628-124</f>
        <v>1.5699999999999932</v>
      </c>
      <c r="M628" s="119" t="s">
        <v>1950</v>
      </c>
      <c r="N628" s="119" t="s">
        <v>93</v>
      </c>
      <c r="O628" s="141">
        <f t="shared" si="403"/>
        <v>244217</v>
      </c>
      <c r="P628" s="141">
        <f t="shared" si="405"/>
        <v>244224</v>
      </c>
      <c r="Q628" s="141">
        <f t="shared" si="404"/>
        <v>244219</v>
      </c>
      <c r="R628" s="139" t="s">
        <v>55</v>
      </c>
      <c r="S628" s="143">
        <v>244219</v>
      </c>
      <c r="T628" s="139" t="s">
        <v>55</v>
      </c>
      <c r="U628" s="143">
        <v>244221</v>
      </c>
      <c r="V628" s="139" t="s">
        <v>55</v>
      </c>
      <c r="W628" s="143">
        <v>244221</v>
      </c>
      <c r="X628" s="139"/>
      <c r="Y628" s="141"/>
      <c r="Z628" s="119" t="s">
        <v>1959</v>
      </c>
      <c r="AA628" s="144">
        <f t="shared" si="406"/>
        <v>-3</v>
      </c>
    </row>
    <row r="629" spans="1:27" s="145" customFormat="1" ht="36" customHeight="1" x14ac:dyDescent="0.25">
      <c r="A629" s="119" t="s">
        <v>25</v>
      </c>
      <c r="B629" s="139">
        <v>244218</v>
      </c>
      <c r="C629" s="119" t="s">
        <v>132</v>
      </c>
      <c r="D629" s="166">
        <v>680505</v>
      </c>
      <c r="E629" s="119" t="s">
        <v>1951</v>
      </c>
      <c r="F629" s="190" t="s">
        <v>698</v>
      </c>
      <c r="G629" s="119" t="s">
        <v>1952</v>
      </c>
      <c r="H629" s="187" t="s">
        <v>46</v>
      </c>
      <c r="I629" s="147" t="s">
        <v>1812</v>
      </c>
      <c r="J629" s="119" t="s">
        <v>1953</v>
      </c>
      <c r="K629" s="119" t="s">
        <v>1954</v>
      </c>
      <c r="L629" s="146" t="s">
        <v>1955</v>
      </c>
      <c r="M629" s="119">
        <v>993</v>
      </c>
      <c r="N629" s="119" t="s">
        <v>52</v>
      </c>
      <c r="O629" s="141">
        <f t="shared" si="403"/>
        <v>244218</v>
      </c>
      <c r="P629" s="141">
        <f t="shared" si="405"/>
        <v>244225</v>
      </c>
      <c r="Q629" s="141">
        <v>6</v>
      </c>
      <c r="R629" s="139"/>
      <c r="S629" s="143"/>
      <c r="T629" s="139"/>
      <c r="U629" s="143"/>
      <c r="V629" s="139"/>
      <c r="W629" s="143"/>
      <c r="X629" s="139"/>
      <c r="Y629" s="141"/>
      <c r="Z629" s="119"/>
      <c r="AA629" s="144">
        <f t="shared" si="406"/>
        <v>-244225</v>
      </c>
    </row>
    <row r="630" spans="1:27" s="145" customFormat="1" ht="36" customHeight="1" x14ac:dyDescent="0.25">
      <c r="A630" s="119" t="s">
        <v>25</v>
      </c>
      <c r="B630" s="139">
        <v>244219</v>
      </c>
      <c r="C630" s="119" t="s">
        <v>14</v>
      </c>
      <c r="D630" s="166">
        <v>680506</v>
      </c>
      <c r="E630" s="119" t="s">
        <v>413</v>
      </c>
      <c r="F630" s="190">
        <v>68082307</v>
      </c>
      <c r="G630" s="119" t="s">
        <v>1956</v>
      </c>
      <c r="H630" s="187" t="s">
        <v>410</v>
      </c>
      <c r="I630" s="147" t="s">
        <v>415</v>
      </c>
      <c r="J630" s="119">
        <v>83.81</v>
      </c>
      <c r="K630" s="119" t="s">
        <v>207</v>
      </c>
      <c r="L630" s="146">
        <f>J630-80</f>
        <v>3.8100000000000023</v>
      </c>
      <c r="M630" s="119" t="s">
        <v>1957</v>
      </c>
      <c r="N630" s="119" t="s">
        <v>93</v>
      </c>
      <c r="O630" s="141">
        <f t="shared" si="403"/>
        <v>244219</v>
      </c>
      <c r="P630" s="141">
        <f t="shared" si="405"/>
        <v>244226</v>
      </c>
      <c r="Q630" s="141">
        <f t="shared" si="404"/>
        <v>244221</v>
      </c>
      <c r="R630" s="139" t="s">
        <v>55</v>
      </c>
      <c r="S630" s="143">
        <v>244231</v>
      </c>
      <c r="T630" s="139" t="s">
        <v>55</v>
      </c>
      <c r="U630" s="143">
        <v>244235</v>
      </c>
      <c r="V630" s="139" t="s">
        <v>55</v>
      </c>
      <c r="W630" s="143">
        <v>244235</v>
      </c>
      <c r="X630" s="139"/>
      <c r="Y630" s="141"/>
      <c r="Z630" s="119" t="s">
        <v>1961</v>
      </c>
      <c r="AA630" s="144">
        <f t="shared" si="406"/>
        <v>9</v>
      </c>
    </row>
    <row r="631" spans="1:27" s="145" customFormat="1" ht="36" customHeight="1" x14ac:dyDescent="0.25">
      <c r="A631" s="119" t="s">
        <v>25</v>
      </c>
      <c r="B631" s="139">
        <v>244222</v>
      </c>
      <c r="C631" s="119" t="s">
        <v>15</v>
      </c>
      <c r="D631" s="166">
        <v>680507</v>
      </c>
      <c r="E631" s="119" t="s">
        <v>1964</v>
      </c>
      <c r="F631" s="190" t="s">
        <v>1965</v>
      </c>
      <c r="G631" s="119" t="s">
        <v>1966</v>
      </c>
      <c r="H631" s="187" t="s">
        <v>107</v>
      </c>
      <c r="I631" s="147" t="s">
        <v>1969</v>
      </c>
      <c r="J631" s="146" t="s">
        <v>1967</v>
      </c>
      <c r="K631" s="119" t="s">
        <v>1968</v>
      </c>
      <c r="L631" s="146" t="s">
        <v>69</v>
      </c>
      <c r="M631" s="119">
        <v>280</v>
      </c>
      <c r="N631" s="119" t="s">
        <v>52</v>
      </c>
      <c r="O631" s="141">
        <f t="shared" si="403"/>
        <v>244222</v>
      </c>
      <c r="P631" s="141">
        <f t="shared" si="405"/>
        <v>244229</v>
      </c>
      <c r="Q631" s="141">
        <f t="shared" si="404"/>
        <v>244224</v>
      </c>
      <c r="R631" s="139" t="s">
        <v>55</v>
      </c>
      <c r="S631" s="143">
        <v>244224</v>
      </c>
      <c r="T631" s="139" t="s">
        <v>55</v>
      </c>
      <c r="U631" s="143">
        <v>244229</v>
      </c>
      <c r="V631" s="139" t="s">
        <v>55</v>
      </c>
      <c r="W631" s="143">
        <v>244229</v>
      </c>
      <c r="X631" s="139"/>
      <c r="Y631" s="141"/>
      <c r="Z631" s="119" t="s">
        <v>1955</v>
      </c>
      <c r="AA631" s="144">
        <f t="shared" si="406"/>
        <v>0</v>
      </c>
    </row>
    <row r="632" spans="1:27" s="145" customFormat="1" ht="36" customHeight="1" x14ac:dyDescent="0.25">
      <c r="A632" s="119" t="s">
        <v>25</v>
      </c>
      <c r="B632" s="139">
        <v>244223</v>
      </c>
      <c r="C632" s="119" t="s">
        <v>14</v>
      </c>
      <c r="D632" s="166">
        <v>680508</v>
      </c>
      <c r="E632" s="119" t="s">
        <v>306</v>
      </c>
      <c r="F632" s="190">
        <v>68082701</v>
      </c>
      <c r="G632" s="119" t="s">
        <v>1970</v>
      </c>
      <c r="H632" s="187" t="s">
        <v>224</v>
      </c>
      <c r="I632" s="147" t="s">
        <v>305</v>
      </c>
      <c r="J632" s="146">
        <v>73.08</v>
      </c>
      <c r="K632" s="119" t="s">
        <v>207</v>
      </c>
      <c r="L632" s="146">
        <f>J632-70</f>
        <v>3.0799999999999983</v>
      </c>
      <c r="M632" s="119" t="s">
        <v>1971</v>
      </c>
      <c r="N632" s="119" t="s">
        <v>93</v>
      </c>
      <c r="O632" s="141">
        <f t="shared" si="403"/>
        <v>244223</v>
      </c>
      <c r="P632" s="141">
        <f t="shared" si="405"/>
        <v>244230</v>
      </c>
      <c r="Q632" s="141">
        <f t="shared" si="404"/>
        <v>244225</v>
      </c>
      <c r="R632" s="139"/>
      <c r="S632" s="143"/>
      <c r="T632" s="139"/>
      <c r="U632" s="143"/>
      <c r="V632" s="139" t="s">
        <v>55</v>
      </c>
      <c r="W632" s="143">
        <v>244223</v>
      </c>
      <c r="X632" s="139"/>
      <c r="Y632" s="141"/>
      <c r="Z632" s="119" t="s">
        <v>1972</v>
      </c>
      <c r="AA632" s="144">
        <f t="shared" si="406"/>
        <v>-7</v>
      </c>
    </row>
    <row r="633" spans="1:27" s="145" customFormat="1" ht="36" customHeight="1" x14ac:dyDescent="0.25">
      <c r="A633" s="119" t="s">
        <v>25</v>
      </c>
      <c r="B633" s="139">
        <v>244223</v>
      </c>
      <c r="C633" s="119" t="s">
        <v>14</v>
      </c>
      <c r="D633" s="166">
        <v>680509</v>
      </c>
      <c r="E633" s="119" t="s">
        <v>306</v>
      </c>
      <c r="F633" s="190">
        <v>68082710</v>
      </c>
      <c r="G633" s="119" t="s">
        <v>1974</v>
      </c>
      <c r="H633" s="187" t="s">
        <v>1147</v>
      </c>
      <c r="I633" s="147" t="s">
        <v>305</v>
      </c>
      <c r="J633" s="146">
        <v>73.73</v>
      </c>
      <c r="K633" s="119" t="s">
        <v>207</v>
      </c>
      <c r="L633" s="146">
        <f>J633-70</f>
        <v>3.730000000000004</v>
      </c>
      <c r="M633" s="119" t="s">
        <v>1973</v>
      </c>
      <c r="N633" s="119" t="s">
        <v>93</v>
      </c>
      <c r="O633" s="141">
        <f t="shared" si="403"/>
        <v>244223</v>
      </c>
      <c r="P633" s="141">
        <f>B633+7</f>
        <v>244230</v>
      </c>
      <c r="Q633" s="141">
        <f t="shared" si="404"/>
        <v>244225</v>
      </c>
      <c r="R633" s="139"/>
      <c r="S633" s="143"/>
      <c r="T633" s="139"/>
      <c r="U633" s="143"/>
      <c r="V633" s="139" t="s">
        <v>55</v>
      </c>
      <c r="W633" s="143">
        <v>244223</v>
      </c>
      <c r="X633" s="139"/>
      <c r="Y633" s="141"/>
      <c r="Z633" s="119" t="s">
        <v>1972</v>
      </c>
      <c r="AA633" s="144">
        <f t="shared" si="406"/>
        <v>-7</v>
      </c>
    </row>
    <row r="634" spans="1:27" s="145" customFormat="1" ht="36" customHeight="1" x14ac:dyDescent="0.25">
      <c r="A634" s="119" t="s">
        <v>25</v>
      </c>
      <c r="B634" s="139">
        <v>244223</v>
      </c>
      <c r="C634" s="119" t="s">
        <v>14</v>
      </c>
      <c r="D634" s="166">
        <v>680510</v>
      </c>
      <c r="E634" s="119" t="s">
        <v>307</v>
      </c>
      <c r="F634" s="190">
        <v>68082721</v>
      </c>
      <c r="G634" s="119" t="s">
        <v>1975</v>
      </c>
      <c r="H634" s="187" t="s">
        <v>285</v>
      </c>
      <c r="I634" s="147" t="s">
        <v>308</v>
      </c>
      <c r="J634" s="146">
        <v>61.61</v>
      </c>
      <c r="K634" s="119" t="s">
        <v>201</v>
      </c>
      <c r="L634" s="146">
        <f>64-J634</f>
        <v>2.3900000000000006</v>
      </c>
      <c r="M634" s="119" t="s">
        <v>1976</v>
      </c>
      <c r="N634" s="119" t="s">
        <v>93</v>
      </c>
      <c r="O634" s="141">
        <f t="shared" ref="O634:O635" si="411">B634</f>
        <v>244223</v>
      </c>
      <c r="P634" s="141">
        <f>B634+7</f>
        <v>244230</v>
      </c>
      <c r="Q634" s="141">
        <f t="shared" ref="Q634" si="412">O634+2</f>
        <v>244225</v>
      </c>
      <c r="R634" s="139" t="s">
        <v>55</v>
      </c>
      <c r="S634" s="143">
        <v>244231</v>
      </c>
      <c r="T634" s="139" t="s">
        <v>55</v>
      </c>
      <c r="U634" s="143">
        <v>244231</v>
      </c>
      <c r="V634" s="139" t="s">
        <v>55</v>
      </c>
      <c r="W634" s="143">
        <v>244232</v>
      </c>
      <c r="X634" s="139"/>
      <c r="Y634" s="141"/>
      <c r="Z634" s="119" t="s">
        <v>2003</v>
      </c>
      <c r="AA634" s="144">
        <f t="shared" si="406"/>
        <v>2</v>
      </c>
    </row>
    <row r="635" spans="1:27" s="145" customFormat="1" ht="36" customHeight="1" x14ac:dyDescent="0.25">
      <c r="A635" s="119" t="s">
        <v>25</v>
      </c>
      <c r="B635" s="139">
        <v>244224</v>
      </c>
      <c r="C635" s="119" t="s">
        <v>14</v>
      </c>
      <c r="D635" s="166">
        <v>680511</v>
      </c>
      <c r="E635" s="119" t="s">
        <v>1977</v>
      </c>
      <c r="F635" s="119">
        <v>68082815</v>
      </c>
      <c r="G635" s="140" t="s">
        <v>1978</v>
      </c>
      <c r="H635" s="187" t="s">
        <v>237</v>
      </c>
      <c r="I635" s="147" t="s">
        <v>1895</v>
      </c>
      <c r="J635" s="142" t="s">
        <v>1979</v>
      </c>
      <c r="K635" s="119" t="s">
        <v>1897</v>
      </c>
      <c r="L635" s="142" t="s">
        <v>1980</v>
      </c>
      <c r="M635" s="148" t="s">
        <v>1981</v>
      </c>
      <c r="N635" s="205" t="s">
        <v>93</v>
      </c>
      <c r="O635" s="141">
        <f t="shared" si="411"/>
        <v>244224</v>
      </c>
      <c r="P635" s="141">
        <f t="shared" ref="P635" si="413">B635+7</f>
        <v>244231</v>
      </c>
      <c r="Q635" s="141">
        <f t="shared" ref="Q635" si="414">O635+2</f>
        <v>244226</v>
      </c>
      <c r="R635" s="139" t="s">
        <v>55</v>
      </c>
      <c r="S635" s="143">
        <v>244231</v>
      </c>
      <c r="T635" s="139" t="s">
        <v>55</v>
      </c>
      <c r="U635" s="143">
        <v>244231</v>
      </c>
      <c r="V635" s="139" t="s">
        <v>55</v>
      </c>
      <c r="W635" s="143">
        <v>244231</v>
      </c>
      <c r="X635" s="139"/>
      <c r="Y635" s="141"/>
      <c r="Z635" s="119" t="s">
        <v>1995</v>
      </c>
      <c r="AA635" s="144">
        <f t="shared" si="406"/>
        <v>0</v>
      </c>
    </row>
    <row r="636" spans="1:27" s="145" customFormat="1" ht="36" customHeight="1" x14ac:dyDescent="0.25">
      <c r="A636" s="119" t="s">
        <v>25</v>
      </c>
      <c r="B636" s="139">
        <v>244225</v>
      </c>
      <c r="C636" s="119" t="s">
        <v>15</v>
      </c>
      <c r="D636" s="166">
        <v>680512</v>
      </c>
      <c r="E636" s="119" t="s">
        <v>1455</v>
      </c>
      <c r="F636" s="119" t="s">
        <v>1982</v>
      </c>
      <c r="G636" s="140" t="s">
        <v>1983</v>
      </c>
      <c r="H636" s="187" t="s">
        <v>46</v>
      </c>
      <c r="I636" s="147" t="s">
        <v>1984</v>
      </c>
      <c r="J636" s="142" t="s">
        <v>1985</v>
      </c>
      <c r="K636" s="119" t="s">
        <v>1986</v>
      </c>
      <c r="L636" s="142" t="s">
        <v>1987</v>
      </c>
      <c r="M636" s="119">
        <v>13252</v>
      </c>
      <c r="N636" s="205" t="s">
        <v>52</v>
      </c>
      <c r="O636" s="141">
        <f t="shared" ref="O636" si="415">B636</f>
        <v>244225</v>
      </c>
      <c r="P636" s="141">
        <f t="shared" ref="P636" si="416">B636+7</f>
        <v>244232</v>
      </c>
      <c r="Q636" s="141">
        <f t="shared" ref="Q636" si="417">O636+2</f>
        <v>244227</v>
      </c>
      <c r="R636" s="139"/>
      <c r="S636" s="143"/>
      <c r="T636" s="139"/>
      <c r="U636" s="143"/>
      <c r="V636" s="139"/>
      <c r="W636" s="143"/>
      <c r="X636" s="139"/>
      <c r="Y636" s="141"/>
      <c r="Z636" s="119"/>
      <c r="AA636" s="144">
        <f t="shared" si="406"/>
        <v>-244232</v>
      </c>
    </row>
    <row r="637" spans="1:27" s="145" customFormat="1" ht="36" customHeight="1" x14ac:dyDescent="0.25">
      <c r="A637" s="119" t="s">
        <v>26</v>
      </c>
      <c r="B637" s="139">
        <v>244228</v>
      </c>
      <c r="C637" s="119" t="s">
        <v>11</v>
      </c>
      <c r="D637" s="166">
        <v>680513</v>
      </c>
      <c r="E637" s="119" t="s">
        <v>779</v>
      </c>
      <c r="F637" s="191" t="s">
        <v>1988</v>
      </c>
      <c r="G637" s="140">
        <v>680901</v>
      </c>
      <c r="H637" s="187" t="s">
        <v>135</v>
      </c>
      <c r="I637" s="147" t="s">
        <v>76</v>
      </c>
      <c r="J637" s="142">
        <v>917</v>
      </c>
      <c r="K637" s="119" t="s">
        <v>123</v>
      </c>
      <c r="L637" s="142">
        <v>97</v>
      </c>
      <c r="M637" s="119" t="s">
        <v>1991</v>
      </c>
      <c r="N637" s="205" t="s">
        <v>53</v>
      </c>
      <c r="O637" s="141">
        <f>B637</f>
        <v>244228</v>
      </c>
      <c r="P637" s="141">
        <f>B637+7</f>
        <v>244235</v>
      </c>
      <c r="Q637" s="141">
        <f>O637+2</f>
        <v>244230</v>
      </c>
      <c r="R637" s="139" t="s">
        <v>55</v>
      </c>
      <c r="S637" s="143">
        <v>244230</v>
      </c>
      <c r="T637" s="139" t="s">
        <v>55</v>
      </c>
      <c r="U637" s="143">
        <v>244231</v>
      </c>
      <c r="V637" s="139" t="s">
        <v>55</v>
      </c>
      <c r="W637" s="143">
        <v>244232</v>
      </c>
      <c r="X637" s="139"/>
      <c r="Y637" s="141"/>
      <c r="Z637" s="119" t="s">
        <v>779</v>
      </c>
      <c r="AA637" s="144">
        <f t="shared" si="406"/>
        <v>-3</v>
      </c>
    </row>
    <row r="638" spans="1:27" s="145" customFormat="1" ht="36" customHeight="1" x14ac:dyDescent="0.25">
      <c r="A638" s="119" t="s">
        <v>26</v>
      </c>
      <c r="B638" s="139">
        <v>244228</v>
      </c>
      <c r="C638" s="119" t="s">
        <v>11</v>
      </c>
      <c r="D638" s="166">
        <v>680513</v>
      </c>
      <c r="E638" s="119" t="s">
        <v>779</v>
      </c>
      <c r="F638" s="191" t="s">
        <v>1988</v>
      </c>
      <c r="G638" s="140">
        <v>680901</v>
      </c>
      <c r="H638" s="187" t="s">
        <v>135</v>
      </c>
      <c r="I638" s="147" t="s">
        <v>61</v>
      </c>
      <c r="J638" s="142">
        <v>33</v>
      </c>
      <c r="K638" s="119" t="s">
        <v>62</v>
      </c>
      <c r="L638" s="234">
        <v>0.3</v>
      </c>
      <c r="M638" s="119" t="s">
        <v>1991</v>
      </c>
      <c r="N638" s="205" t="s">
        <v>53</v>
      </c>
      <c r="O638" s="141">
        <f t="shared" ref="O638:O640" si="418">B638</f>
        <v>244228</v>
      </c>
      <c r="P638" s="141">
        <f t="shared" ref="P638:P640" si="419">B638+7</f>
        <v>244235</v>
      </c>
      <c r="Q638" s="141">
        <f t="shared" ref="Q638:Q640" si="420">O638+2</f>
        <v>244230</v>
      </c>
      <c r="R638" s="139" t="s">
        <v>55</v>
      </c>
      <c r="S638" s="143">
        <v>244230</v>
      </c>
      <c r="T638" s="139" t="s">
        <v>55</v>
      </c>
      <c r="U638" s="143">
        <v>244231</v>
      </c>
      <c r="V638" s="139" t="s">
        <v>55</v>
      </c>
      <c r="W638" s="143">
        <v>244232</v>
      </c>
      <c r="X638" s="139"/>
      <c r="Y638" s="141"/>
      <c r="Z638" s="119" t="s">
        <v>779</v>
      </c>
      <c r="AA638" s="144"/>
    </row>
    <row r="639" spans="1:27" s="145" customFormat="1" ht="36" customHeight="1" x14ac:dyDescent="0.25">
      <c r="A639" s="119" t="s">
        <v>26</v>
      </c>
      <c r="B639" s="139">
        <v>244228</v>
      </c>
      <c r="C639" s="119" t="s">
        <v>11</v>
      </c>
      <c r="D639" s="166">
        <v>680513</v>
      </c>
      <c r="E639" s="119" t="s">
        <v>779</v>
      </c>
      <c r="F639" s="191" t="s">
        <v>1988</v>
      </c>
      <c r="G639" s="140">
        <v>680901</v>
      </c>
      <c r="H639" s="187" t="s">
        <v>135</v>
      </c>
      <c r="I639" s="147" t="s">
        <v>71</v>
      </c>
      <c r="J639" s="146">
        <v>2.59</v>
      </c>
      <c r="K639" s="119" t="s">
        <v>1604</v>
      </c>
      <c r="L639" s="146">
        <v>0.04</v>
      </c>
      <c r="M639" s="119" t="s">
        <v>1991</v>
      </c>
      <c r="N639" s="205" t="s">
        <v>53</v>
      </c>
      <c r="O639" s="141">
        <f t="shared" si="418"/>
        <v>244228</v>
      </c>
      <c r="P639" s="141">
        <f t="shared" si="419"/>
        <v>244235</v>
      </c>
      <c r="Q639" s="141">
        <f t="shared" si="420"/>
        <v>244230</v>
      </c>
      <c r="R639" s="139" t="s">
        <v>55</v>
      </c>
      <c r="S639" s="143">
        <v>244230</v>
      </c>
      <c r="T639" s="139" t="s">
        <v>55</v>
      </c>
      <c r="U639" s="143">
        <v>244231</v>
      </c>
      <c r="V639" s="139" t="s">
        <v>55</v>
      </c>
      <c r="W639" s="143">
        <v>244232</v>
      </c>
      <c r="X639" s="139"/>
      <c r="Y639" s="141"/>
      <c r="Z639" s="119" t="s">
        <v>779</v>
      </c>
      <c r="AA639" s="144"/>
    </row>
    <row r="640" spans="1:27" s="145" customFormat="1" ht="36" customHeight="1" x14ac:dyDescent="0.25">
      <c r="A640" s="119" t="s">
        <v>26</v>
      </c>
      <c r="B640" s="139">
        <v>244228</v>
      </c>
      <c r="C640" s="119" t="s">
        <v>11</v>
      </c>
      <c r="D640" s="166">
        <v>680513</v>
      </c>
      <c r="E640" s="119" t="s">
        <v>779</v>
      </c>
      <c r="F640" s="191" t="s">
        <v>1988</v>
      </c>
      <c r="G640" s="140">
        <v>680901</v>
      </c>
      <c r="H640" s="187" t="s">
        <v>135</v>
      </c>
      <c r="I640" s="147" t="s">
        <v>65</v>
      </c>
      <c r="J640" s="146">
        <v>36.18</v>
      </c>
      <c r="K640" s="119" t="s">
        <v>122</v>
      </c>
      <c r="L640" s="146">
        <v>1.18</v>
      </c>
      <c r="M640" s="119" t="s">
        <v>1991</v>
      </c>
      <c r="N640" s="205" t="s">
        <v>53</v>
      </c>
      <c r="O640" s="141">
        <f t="shared" si="418"/>
        <v>244228</v>
      </c>
      <c r="P640" s="141">
        <f t="shared" si="419"/>
        <v>244235</v>
      </c>
      <c r="Q640" s="141">
        <f t="shared" si="420"/>
        <v>244230</v>
      </c>
      <c r="R640" s="139" t="s">
        <v>55</v>
      </c>
      <c r="S640" s="143">
        <v>244230</v>
      </c>
      <c r="T640" s="139" t="s">
        <v>55</v>
      </c>
      <c r="U640" s="143">
        <v>244231</v>
      </c>
      <c r="V640" s="139" t="s">
        <v>55</v>
      </c>
      <c r="W640" s="143">
        <v>244232</v>
      </c>
      <c r="X640" s="139"/>
      <c r="Y640" s="141"/>
      <c r="Z640" s="119" t="s">
        <v>779</v>
      </c>
      <c r="AA640" s="144"/>
    </row>
    <row r="641" spans="1:27" s="145" customFormat="1" ht="36" customHeight="1" x14ac:dyDescent="0.25">
      <c r="A641" s="119" t="s">
        <v>26</v>
      </c>
      <c r="B641" s="139">
        <v>244228</v>
      </c>
      <c r="C641" s="119" t="s">
        <v>11</v>
      </c>
      <c r="D641" s="166">
        <v>680513</v>
      </c>
      <c r="E641" s="119" t="s">
        <v>779</v>
      </c>
      <c r="F641" s="191" t="s">
        <v>1988</v>
      </c>
      <c r="G641" s="140">
        <v>680901</v>
      </c>
      <c r="H641" s="187" t="s">
        <v>135</v>
      </c>
      <c r="I641" s="147" t="s">
        <v>85</v>
      </c>
      <c r="J641" s="146">
        <v>3.76</v>
      </c>
      <c r="K641" s="119" t="s">
        <v>127</v>
      </c>
      <c r="L641" s="146">
        <v>0.54</v>
      </c>
      <c r="M641" s="119" t="s">
        <v>1991</v>
      </c>
      <c r="N641" s="205" t="s">
        <v>53</v>
      </c>
      <c r="O641" s="141">
        <f t="shared" si="403"/>
        <v>244228</v>
      </c>
      <c r="P641" s="141">
        <f t="shared" si="405"/>
        <v>244235</v>
      </c>
      <c r="Q641" s="141">
        <f t="shared" si="404"/>
        <v>244230</v>
      </c>
      <c r="R641" s="139" t="s">
        <v>55</v>
      </c>
      <c r="S641" s="143">
        <v>244230</v>
      </c>
      <c r="T641" s="139" t="s">
        <v>55</v>
      </c>
      <c r="U641" s="143">
        <v>244231</v>
      </c>
      <c r="V641" s="139" t="s">
        <v>55</v>
      </c>
      <c r="W641" s="143">
        <v>244232</v>
      </c>
      <c r="X641" s="139"/>
      <c r="Y641" s="141"/>
      <c r="Z641" s="119" t="s">
        <v>779</v>
      </c>
      <c r="AA641" s="144">
        <f t="shared" si="406"/>
        <v>-3</v>
      </c>
    </row>
    <row r="642" spans="1:27" s="145" customFormat="1" ht="36" customHeight="1" x14ac:dyDescent="0.25">
      <c r="A642" s="119" t="s">
        <v>26</v>
      </c>
      <c r="B642" s="139">
        <v>244228</v>
      </c>
      <c r="C642" s="119" t="s">
        <v>14</v>
      </c>
      <c r="D642" s="166">
        <v>680514</v>
      </c>
      <c r="E642" s="119" t="s">
        <v>306</v>
      </c>
      <c r="F642" s="190">
        <v>68090120</v>
      </c>
      <c r="G642" s="119" t="s">
        <v>1989</v>
      </c>
      <c r="H642" s="187" t="s">
        <v>1147</v>
      </c>
      <c r="I642" s="147" t="s">
        <v>305</v>
      </c>
      <c r="J642" s="146">
        <v>73.31</v>
      </c>
      <c r="K642" s="119" t="s">
        <v>207</v>
      </c>
      <c r="L642" s="146">
        <f>J642-70</f>
        <v>3.3100000000000023</v>
      </c>
      <c r="M642" s="119" t="s">
        <v>1990</v>
      </c>
      <c r="N642" s="119" t="s">
        <v>93</v>
      </c>
      <c r="O642" s="141">
        <f t="shared" si="403"/>
        <v>244228</v>
      </c>
      <c r="P642" s="141">
        <f t="shared" si="405"/>
        <v>244235</v>
      </c>
      <c r="Q642" s="141">
        <f t="shared" si="404"/>
        <v>244230</v>
      </c>
      <c r="R642" s="139" t="s">
        <v>55</v>
      </c>
      <c r="S642" s="143">
        <v>244231</v>
      </c>
      <c r="T642" s="139" t="s">
        <v>55</v>
      </c>
      <c r="U642" s="143">
        <v>244231</v>
      </c>
      <c r="V642" s="139" t="s">
        <v>55</v>
      </c>
      <c r="W642" s="143">
        <v>244232</v>
      </c>
      <c r="X642" s="139"/>
      <c r="Y642" s="141"/>
      <c r="Z642" s="119" t="s">
        <v>2004</v>
      </c>
      <c r="AA642" s="144">
        <f t="shared" si="406"/>
        <v>-3</v>
      </c>
    </row>
    <row r="643" spans="1:27" s="145" customFormat="1" ht="36" customHeight="1" x14ac:dyDescent="0.25">
      <c r="A643" s="119" t="s">
        <v>26</v>
      </c>
      <c r="B643" s="139">
        <v>244230</v>
      </c>
      <c r="C643" s="119" t="s">
        <v>14</v>
      </c>
      <c r="D643" s="166">
        <v>680515</v>
      </c>
      <c r="E643" s="119" t="s">
        <v>307</v>
      </c>
      <c r="F643" s="190">
        <v>68090334</v>
      </c>
      <c r="G643" s="119" t="s">
        <v>1993</v>
      </c>
      <c r="H643" s="187" t="s">
        <v>288</v>
      </c>
      <c r="I643" s="147" t="s">
        <v>1330</v>
      </c>
      <c r="J643" s="119">
        <v>68.03</v>
      </c>
      <c r="K643" s="119" t="s">
        <v>207</v>
      </c>
      <c r="L643" s="146">
        <f>J643-67</f>
        <v>1.0300000000000011</v>
      </c>
      <c r="M643" s="150" t="s">
        <v>1994</v>
      </c>
      <c r="N643" s="205" t="s">
        <v>93</v>
      </c>
      <c r="O643" s="141">
        <f t="shared" si="403"/>
        <v>244230</v>
      </c>
      <c r="P643" s="141">
        <f t="shared" si="405"/>
        <v>244237</v>
      </c>
      <c r="Q643" s="141">
        <f t="shared" si="404"/>
        <v>244232</v>
      </c>
      <c r="R643" s="139" t="s">
        <v>55</v>
      </c>
      <c r="S643" s="143">
        <v>244237</v>
      </c>
      <c r="T643" s="139" t="s">
        <v>55</v>
      </c>
      <c r="U643" s="143">
        <v>244237</v>
      </c>
      <c r="V643" s="139" t="s">
        <v>55</v>
      </c>
      <c r="W643" s="143">
        <v>244232</v>
      </c>
      <c r="X643" s="139"/>
      <c r="Y643" s="141"/>
      <c r="Z643" s="119" t="s">
        <v>2000</v>
      </c>
      <c r="AA643" s="144">
        <f t="shared" si="406"/>
        <v>-5</v>
      </c>
    </row>
    <row r="644" spans="1:27" s="145" customFormat="1" ht="36" customHeight="1" x14ac:dyDescent="0.25">
      <c r="A644" s="119" t="s">
        <v>26</v>
      </c>
      <c r="B644" s="139">
        <v>244231</v>
      </c>
      <c r="C644" s="119" t="s">
        <v>14</v>
      </c>
      <c r="D644" s="166">
        <v>680516</v>
      </c>
      <c r="E644" s="119" t="s">
        <v>413</v>
      </c>
      <c r="F644" s="190">
        <v>68090437</v>
      </c>
      <c r="G644" s="119" t="s">
        <v>1996</v>
      </c>
      <c r="H644" s="187" t="s">
        <v>227</v>
      </c>
      <c r="I644" s="147" t="s">
        <v>415</v>
      </c>
      <c r="J644" s="146">
        <v>83.17</v>
      </c>
      <c r="K644" s="119" t="s">
        <v>207</v>
      </c>
      <c r="L644" s="146">
        <v>3.17</v>
      </c>
      <c r="M644" s="150" t="s">
        <v>1997</v>
      </c>
      <c r="N644" s="119" t="s">
        <v>93</v>
      </c>
      <c r="O644" s="141">
        <f t="shared" si="403"/>
        <v>244231</v>
      </c>
      <c r="P644" s="141">
        <f t="shared" si="405"/>
        <v>244238</v>
      </c>
      <c r="Q644" s="141">
        <f t="shared" si="404"/>
        <v>244233</v>
      </c>
      <c r="R644" s="139" t="s">
        <v>55</v>
      </c>
      <c r="S644" s="143">
        <v>244237</v>
      </c>
      <c r="T644" s="139" t="s">
        <v>55</v>
      </c>
      <c r="U644" s="143">
        <v>244237</v>
      </c>
      <c r="V644" s="139" t="s">
        <v>55</v>
      </c>
      <c r="W644" s="143">
        <v>244237</v>
      </c>
      <c r="X644" s="139"/>
      <c r="Y644" s="141"/>
      <c r="Z644" s="119" t="s">
        <v>413</v>
      </c>
      <c r="AA644" s="144">
        <f t="shared" si="406"/>
        <v>-1</v>
      </c>
    </row>
    <row r="645" spans="1:27" s="145" customFormat="1" ht="36" customHeight="1" x14ac:dyDescent="0.25">
      <c r="A645" s="119" t="s">
        <v>26</v>
      </c>
      <c r="B645" s="139">
        <v>244231</v>
      </c>
      <c r="C645" s="119" t="s">
        <v>14</v>
      </c>
      <c r="D645" s="166">
        <v>680516</v>
      </c>
      <c r="E645" s="119" t="s">
        <v>413</v>
      </c>
      <c r="F645" s="190">
        <v>68090442</v>
      </c>
      <c r="G645" s="119" t="s">
        <v>1999</v>
      </c>
      <c r="H645" s="187" t="s">
        <v>291</v>
      </c>
      <c r="I645" s="147" t="s">
        <v>415</v>
      </c>
      <c r="J645" s="146">
        <v>83.03</v>
      </c>
      <c r="K645" s="119" t="s">
        <v>207</v>
      </c>
      <c r="L645" s="142">
        <v>3.03</v>
      </c>
      <c r="M645" s="119" t="s">
        <v>1998</v>
      </c>
      <c r="N645" s="148" t="s">
        <v>93</v>
      </c>
      <c r="O645" s="141">
        <f t="shared" si="403"/>
        <v>244231</v>
      </c>
      <c r="P645" s="141">
        <f t="shared" si="405"/>
        <v>244238</v>
      </c>
      <c r="Q645" s="141">
        <f t="shared" si="404"/>
        <v>244233</v>
      </c>
      <c r="R645" s="139" t="s">
        <v>55</v>
      </c>
      <c r="S645" s="143">
        <v>244237</v>
      </c>
      <c r="T645" s="139" t="s">
        <v>55</v>
      </c>
      <c r="U645" s="143">
        <v>244237</v>
      </c>
      <c r="V645" s="139" t="s">
        <v>55</v>
      </c>
      <c r="W645" s="143">
        <v>244237</v>
      </c>
      <c r="X645" s="139"/>
      <c r="Y645" s="141"/>
      <c r="Z645" s="119" t="s">
        <v>413</v>
      </c>
      <c r="AA645" s="144">
        <f t="shared" si="406"/>
        <v>-1</v>
      </c>
    </row>
    <row r="646" spans="1:27" s="145" customFormat="1" ht="36" customHeight="1" x14ac:dyDescent="0.25">
      <c r="A646" s="119" t="s">
        <v>26</v>
      </c>
      <c r="B646" s="139">
        <v>244232</v>
      </c>
      <c r="C646" s="119" t="s">
        <v>14</v>
      </c>
      <c r="D646" s="166">
        <v>680517</v>
      </c>
      <c r="E646" s="119" t="s">
        <v>872</v>
      </c>
      <c r="F646" s="119">
        <v>68090506</v>
      </c>
      <c r="G646" s="140" t="s">
        <v>2001</v>
      </c>
      <c r="H646" s="187" t="s">
        <v>288</v>
      </c>
      <c r="I646" s="147" t="s">
        <v>845</v>
      </c>
      <c r="J646" s="146">
        <v>62.45</v>
      </c>
      <c r="K646" s="119" t="s">
        <v>207</v>
      </c>
      <c r="L646" s="146">
        <f>J646-60</f>
        <v>2.4500000000000028</v>
      </c>
      <c r="M646" s="214" t="s">
        <v>2002</v>
      </c>
      <c r="N646" s="148" t="s">
        <v>93</v>
      </c>
      <c r="O646" s="141">
        <f t="shared" si="403"/>
        <v>244232</v>
      </c>
      <c r="P646" s="141">
        <f t="shared" si="405"/>
        <v>244239</v>
      </c>
      <c r="Q646" s="141">
        <f t="shared" si="404"/>
        <v>244234</v>
      </c>
      <c r="R646" s="139" t="s">
        <v>55</v>
      </c>
      <c r="S646" s="143">
        <v>244237</v>
      </c>
      <c r="T646" s="139" t="s">
        <v>55</v>
      </c>
      <c r="U646" s="143">
        <v>244237</v>
      </c>
      <c r="V646" s="139" t="s">
        <v>55</v>
      </c>
      <c r="W646" s="143">
        <v>244237</v>
      </c>
      <c r="X646" s="139"/>
      <c r="Y646" s="141"/>
      <c r="Z646" s="119" t="s">
        <v>2051</v>
      </c>
      <c r="AA646" s="144">
        <f t="shared" si="406"/>
        <v>-2</v>
      </c>
    </row>
    <row r="647" spans="1:27" s="145" customFormat="1" ht="36" customHeight="1" x14ac:dyDescent="0.25">
      <c r="A647" s="119" t="s">
        <v>26</v>
      </c>
      <c r="B647" s="139">
        <v>244233</v>
      </c>
      <c r="C647" s="119" t="s">
        <v>132</v>
      </c>
      <c r="D647" s="166">
        <v>680518</v>
      </c>
      <c r="E647" s="119" t="s">
        <v>1807</v>
      </c>
      <c r="F647" s="190" t="s">
        <v>1397</v>
      </c>
      <c r="G647" s="119" t="s">
        <v>2005</v>
      </c>
      <c r="H647" s="187" t="s">
        <v>2006</v>
      </c>
      <c r="I647" s="147" t="s">
        <v>203</v>
      </c>
      <c r="J647" s="146" t="s">
        <v>2007</v>
      </c>
      <c r="K647" s="146" t="s">
        <v>2007</v>
      </c>
      <c r="L647" s="146" t="s">
        <v>346</v>
      </c>
      <c r="M647" s="150">
        <v>1</v>
      </c>
      <c r="N647" s="119" t="s">
        <v>52</v>
      </c>
      <c r="O647" s="141">
        <f t="shared" si="403"/>
        <v>244233</v>
      </c>
      <c r="P647" s="141">
        <f t="shared" si="405"/>
        <v>244240</v>
      </c>
      <c r="Q647" s="141">
        <f t="shared" si="404"/>
        <v>244235</v>
      </c>
      <c r="R647" s="139" t="s">
        <v>55</v>
      </c>
      <c r="S647" s="143">
        <v>244237</v>
      </c>
      <c r="T647" s="139"/>
      <c r="U647" s="143"/>
      <c r="V647" s="139"/>
      <c r="W647" s="143"/>
      <c r="X647" s="139"/>
      <c r="Y647" s="141"/>
      <c r="Z647" s="119"/>
      <c r="AA647" s="144">
        <f t="shared" si="406"/>
        <v>-244240</v>
      </c>
    </row>
    <row r="648" spans="1:27" s="145" customFormat="1" ht="36" customHeight="1" x14ac:dyDescent="0.25">
      <c r="A648" s="119" t="s">
        <v>26</v>
      </c>
      <c r="B648" s="139">
        <v>244233</v>
      </c>
      <c r="C648" s="119" t="s">
        <v>14</v>
      </c>
      <c r="D648" s="166">
        <v>680519</v>
      </c>
      <c r="E648" s="119" t="s">
        <v>307</v>
      </c>
      <c r="F648" s="190">
        <v>68090601</v>
      </c>
      <c r="G648" s="119" t="s">
        <v>2008</v>
      </c>
      <c r="H648" s="187" t="s">
        <v>213</v>
      </c>
      <c r="I648" s="147" t="s">
        <v>400</v>
      </c>
      <c r="J648" s="119">
        <v>68.709999999999994</v>
      </c>
      <c r="K648" s="119" t="s">
        <v>207</v>
      </c>
      <c r="L648" s="146">
        <f>J648-67</f>
        <v>1.7099999999999937</v>
      </c>
      <c r="M648" s="150" t="s">
        <v>1754</v>
      </c>
      <c r="N648" s="119" t="s">
        <v>93</v>
      </c>
      <c r="O648" s="141">
        <f t="shared" si="403"/>
        <v>244233</v>
      </c>
      <c r="P648" s="141">
        <f t="shared" si="405"/>
        <v>244240</v>
      </c>
      <c r="Q648" s="141">
        <f t="shared" si="404"/>
        <v>244235</v>
      </c>
      <c r="R648" s="139" t="s">
        <v>55</v>
      </c>
      <c r="S648" s="143">
        <v>244239</v>
      </c>
      <c r="T648" s="139" t="s">
        <v>55</v>
      </c>
      <c r="U648" s="143">
        <v>244242</v>
      </c>
      <c r="V648" s="139" t="s">
        <v>55</v>
      </c>
      <c r="W648" s="143">
        <v>244235</v>
      </c>
      <c r="X648" s="139"/>
      <c r="Y648" s="141"/>
      <c r="Z648" s="119" t="s">
        <v>2030</v>
      </c>
      <c r="AA648" s="144">
        <f t="shared" si="406"/>
        <v>-5</v>
      </c>
    </row>
    <row r="649" spans="1:27" s="145" customFormat="1" ht="36" customHeight="1" x14ac:dyDescent="0.25">
      <c r="A649" s="119" t="s">
        <v>26</v>
      </c>
      <c r="B649" s="139">
        <v>244233</v>
      </c>
      <c r="C649" s="119" t="s">
        <v>14</v>
      </c>
      <c r="D649" s="166">
        <v>680520</v>
      </c>
      <c r="E649" s="119" t="s">
        <v>517</v>
      </c>
      <c r="F649" s="190">
        <v>68090606</v>
      </c>
      <c r="G649" s="119" t="s">
        <v>2009</v>
      </c>
      <c r="H649" s="187" t="s">
        <v>249</v>
      </c>
      <c r="I649" s="147" t="s">
        <v>519</v>
      </c>
      <c r="J649" s="119">
        <v>70.33</v>
      </c>
      <c r="K649" s="119" t="s">
        <v>207</v>
      </c>
      <c r="L649" s="146">
        <f>J649-68</f>
        <v>2.3299999999999983</v>
      </c>
      <c r="M649" s="150" t="s">
        <v>2010</v>
      </c>
      <c r="N649" s="119" t="s">
        <v>93</v>
      </c>
      <c r="O649" s="141">
        <f t="shared" si="403"/>
        <v>244233</v>
      </c>
      <c r="P649" s="141">
        <f t="shared" si="405"/>
        <v>244240</v>
      </c>
      <c r="Q649" s="141">
        <f t="shared" si="404"/>
        <v>244235</v>
      </c>
      <c r="R649" s="139" t="s">
        <v>55</v>
      </c>
      <c r="S649" s="143">
        <v>244237</v>
      </c>
      <c r="T649" s="139" t="s">
        <v>55</v>
      </c>
      <c r="U649" s="143">
        <v>244237</v>
      </c>
      <c r="V649" s="139" t="s">
        <v>55</v>
      </c>
      <c r="W649" s="143">
        <v>244237</v>
      </c>
      <c r="X649" s="139"/>
      <c r="Y649" s="141"/>
      <c r="Z649" s="119" t="s">
        <v>517</v>
      </c>
      <c r="AA649" s="144">
        <f t="shared" si="406"/>
        <v>-3</v>
      </c>
    </row>
    <row r="650" spans="1:27" s="145" customFormat="1" ht="36" customHeight="1" x14ac:dyDescent="0.25">
      <c r="A650" s="119" t="s">
        <v>26</v>
      </c>
      <c r="B650" s="139">
        <v>244233</v>
      </c>
      <c r="C650" s="119" t="s">
        <v>14</v>
      </c>
      <c r="D650" s="166">
        <v>680521</v>
      </c>
      <c r="E650" s="119" t="s">
        <v>1382</v>
      </c>
      <c r="F650" s="190">
        <v>68090602</v>
      </c>
      <c r="G650" s="119" t="s">
        <v>2011</v>
      </c>
      <c r="H650" s="187" t="s">
        <v>292</v>
      </c>
      <c r="I650" s="147" t="s">
        <v>1201</v>
      </c>
      <c r="J650" s="146" t="s">
        <v>731</v>
      </c>
      <c r="K650" s="146" t="s">
        <v>731</v>
      </c>
      <c r="L650" s="146" t="s">
        <v>69</v>
      </c>
      <c r="M650" s="119" t="s">
        <v>2012</v>
      </c>
      <c r="N650" s="119" t="s">
        <v>93</v>
      </c>
      <c r="O650" s="141">
        <f t="shared" si="403"/>
        <v>244233</v>
      </c>
      <c r="P650" s="141">
        <f t="shared" si="405"/>
        <v>244240</v>
      </c>
      <c r="Q650" s="141">
        <f t="shared" si="404"/>
        <v>244235</v>
      </c>
      <c r="R650" s="139" t="s">
        <v>55</v>
      </c>
      <c r="S650" s="143">
        <v>244237</v>
      </c>
      <c r="T650" s="139" t="s">
        <v>55</v>
      </c>
      <c r="U650" s="143">
        <v>244237</v>
      </c>
      <c r="V650" s="139" t="s">
        <v>55</v>
      </c>
      <c r="W650" s="143">
        <v>244237</v>
      </c>
      <c r="X650" s="139"/>
      <c r="Y650" s="141"/>
      <c r="Z650" s="119" t="s">
        <v>2049</v>
      </c>
      <c r="AA650" s="144">
        <f>W650-P669</f>
        <v>-7</v>
      </c>
    </row>
    <row r="651" spans="1:27" s="145" customFormat="1" ht="36" customHeight="1" x14ac:dyDescent="0.25">
      <c r="A651" s="119" t="s">
        <v>26</v>
      </c>
      <c r="B651" s="139">
        <v>244233</v>
      </c>
      <c r="C651" s="119" t="s">
        <v>14</v>
      </c>
      <c r="D651" s="166">
        <v>680522</v>
      </c>
      <c r="E651" s="119" t="s">
        <v>808</v>
      </c>
      <c r="F651" s="190">
        <v>68090634</v>
      </c>
      <c r="G651" s="119" t="s">
        <v>2013</v>
      </c>
      <c r="H651" s="187" t="s">
        <v>841</v>
      </c>
      <c r="I651" s="147" t="s">
        <v>810</v>
      </c>
      <c r="J651" s="119">
        <v>119.8</v>
      </c>
      <c r="K651" s="119" t="s">
        <v>207</v>
      </c>
      <c r="L651" s="146">
        <f>J651-115</f>
        <v>4.7999999999999972</v>
      </c>
      <c r="M651" s="150" t="s">
        <v>2014</v>
      </c>
      <c r="N651" s="119" t="s">
        <v>93</v>
      </c>
      <c r="O651" s="141">
        <f t="shared" si="403"/>
        <v>244233</v>
      </c>
      <c r="P651" s="141">
        <f t="shared" si="405"/>
        <v>244240</v>
      </c>
      <c r="Q651" s="141">
        <f t="shared" si="404"/>
        <v>244235</v>
      </c>
      <c r="R651" s="139" t="s">
        <v>55</v>
      </c>
      <c r="S651" s="143">
        <v>244237</v>
      </c>
      <c r="T651" s="139" t="s">
        <v>55</v>
      </c>
      <c r="U651" s="143">
        <v>244237</v>
      </c>
      <c r="V651" s="139" t="s">
        <v>55</v>
      </c>
      <c r="W651" s="143">
        <v>244237</v>
      </c>
      <c r="X651" s="139"/>
      <c r="Y651" s="141"/>
      <c r="Z651" s="119" t="s">
        <v>2050</v>
      </c>
      <c r="AA651" s="144">
        <f>W651-P671</f>
        <v>-9</v>
      </c>
    </row>
    <row r="652" spans="1:27" s="145" customFormat="1" ht="36" customHeight="1" x14ac:dyDescent="0.25">
      <c r="A652" s="119" t="s">
        <v>26</v>
      </c>
      <c r="B652" s="139">
        <v>244234</v>
      </c>
      <c r="C652" s="119" t="s">
        <v>14</v>
      </c>
      <c r="D652" s="166">
        <v>680523</v>
      </c>
      <c r="E652" s="119" t="s">
        <v>1382</v>
      </c>
      <c r="F652" s="190">
        <v>68090711</v>
      </c>
      <c r="G652" s="119" t="s">
        <v>2015</v>
      </c>
      <c r="H652" s="187" t="s">
        <v>297</v>
      </c>
      <c r="I652" s="147" t="s">
        <v>1895</v>
      </c>
      <c r="J652" s="146" t="s">
        <v>2016</v>
      </c>
      <c r="K652" s="146" t="s">
        <v>1897</v>
      </c>
      <c r="L652" s="146" t="s">
        <v>2017</v>
      </c>
      <c r="M652" s="150" t="s">
        <v>2018</v>
      </c>
      <c r="N652" s="119" t="s">
        <v>93</v>
      </c>
      <c r="O652" s="141">
        <f t="shared" si="403"/>
        <v>244234</v>
      </c>
      <c r="P652" s="141">
        <f t="shared" si="405"/>
        <v>244241</v>
      </c>
      <c r="Q652" s="141">
        <f t="shared" si="404"/>
        <v>244236</v>
      </c>
      <c r="R652" s="139" t="s">
        <v>55</v>
      </c>
      <c r="S652" s="143">
        <v>244237</v>
      </c>
      <c r="T652" s="139" t="s">
        <v>55</v>
      </c>
      <c r="U652" s="143">
        <v>244237</v>
      </c>
      <c r="V652" s="139" t="s">
        <v>55</v>
      </c>
      <c r="W652" s="143">
        <v>244237</v>
      </c>
      <c r="X652" s="139"/>
      <c r="Y652" s="141"/>
      <c r="Z652" s="119" t="s">
        <v>2048</v>
      </c>
      <c r="AA652" s="144">
        <f>W652-P672</f>
        <v>-9</v>
      </c>
    </row>
    <row r="653" spans="1:27" s="145" customFormat="1" ht="36" customHeight="1" x14ac:dyDescent="0.25">
      <c r="A653" s="119" t="s">
        <v>26</v>
      </c>
      <c r="B653" s="139">
        <v>244234</v>
      </c>
      <c r="C653" s="119" t="s">
        <v>14</v>
      </c>
      <c r="D653" s="166">
        <v>680524</v>
      </c>
      <c r="E653" s="119" t="s">
        <v>413</v>
      </c>
      <c r="F653" s="190">
        <v>68090734</v>
      </c>
      <c r="G653" s="119" t="s">
        <v>2019</v>
      </c>
      <c r="H653" s="187" t="s">
        <v>227</v>
      </c>
      <c r="I653" s="147" t="s">
        <v>415</v>
      </c>
      <c r="J653" s="146">
        <v>84.51</v>
      </c>
      <c r="K653" s="119" t="s">
        <v>207</v>
      </c>
      <c r="L653" s="146">
        <f>J653-80</f>
        <v>4.5100000000000051</v>
      </c>
      <c r="M653" s="150" t="s">
        <v>2020</v>
      </c>
      <c r="N653" s="119" t="s">
        <v>93</v>
      </c>
      <c r="O653" s="141">
        <f t="shared" si="403"/>
        <v>244234</v>
      </c>
      <c r="P653" s="141">
        <f t="shared" si="405"/>
        <v>244241</v>
      </c>
      <c r="Q653" s="141">
        <f t="shared" si="404"/>
        <v>244236</v>
      </c>
      <c r="R653" s="139" t="s">
        <v>55</v>
      </c>
      <c r="S653" s="143">
        <v>244237</v>
      </c>
      <c r="T653" s="139" t="s">
        <v>55</v>
      </c>
      <c r="U653" s="143">
        <v>244237</v>
      </c>
      <c r="V653" s="139" t="s">
        <v>55</v>
      </c>
      <c r="W653" s="143">
        <v>244237</v>
      </c>
      <c r="X653" s="139"/>
      <c r="Y653" s="141"/>
      <c r="Z653" s="119" t="s">
        <v>413</v>
      </c>
      <c r="AA653" s="144"/>
    </row>
    <row r="654" spans="1:27" s="145" customFormat="1" ht="36" customHeight="1" x14ac:dyDescent="0.25">
      <c r="A654" s="119" t="s">
        <v>26</v>
      </c>
      <c r="B654" s="139">
        <v>244235</v>
      </c>
      <c r="C654" s="119" t="s">
        <v>14</v>
      </c>
      <c r="D654" s="166">
        <v>680525</v>
      </c>
      <c r="E654" s="119" t="s">
        <v>413</v>
      </c>
      <c r="F654" s="190">
        <v>68090820</v>
      </c>
      <c r="G654" s="119" t="s">
        <v>2021</v>
      </c>
      <c r="H654" s="187" t="s">
        <v>231</v>
      </c>
      <c r="I654" s="147" t="s">
        <v>415</v>
      </c>
      <c r="J654" s="119">
        <v>83.15</v>
      </c>
      <c r="K654" s="119" t="s">
        <v>200</v>
      </c>
      <c r="L654" s="119">
        <v>3.15</v>
      </c>
      <c r="M654" s="119" t="s">
        <v>2022</v>
      </c>
      <c r="N654" s="119" t="s">
        <v>93</v>
      </c>
      <c r="O654" s="141">
        <f t="shared" si="403"/>
        <v>244235</v>
      </c>
      <c r="P654" s="141">
        <f t="shared" si="405"/>
        <v>244242</v>
      </c>
      <c r="Q654" s="141">
        <f t="shared" si="404"/>
        <v>244237</v>
      </c>
      <c r="R654" s="139" t="s">
        <v>55</v>
      </c>
      <c r="S654" s="143">
        <v>244237</v>
      </c>
      <c r="T654" s="139" t="s">
        <v>55</v>
      </c>
      <c r="U654" s="143">
        <v>244237</v>
      </c>
      <c r="V654" s="139" t="s">
        <v>55</v>
      </c>
      <c r="W654" s="143">
        <v>244237</v>
      </c>
      <c r="X654" s="139"/>
      <c r="Y654" s="141"/>
      <c r="Z654" s="119" t="s">
        <v>413</v>
      </c>
      <c r="AA654" s="144">
        <f>W654-P674</f>
        <v>-10</v>
      </c>
    </row>
    <row r="655" spans="1:27" s="145" customFormat="1" ht="36" customHeight="1" x14ac:dyDescent="0.25">
      <c r="A655" s="119" t="s">
        <v>26</v>
      </c>
      <c r="B655" s="139">
        <v>244235</v>
      </c>
      <c r="C655" s="119" t="s">
        <v>14</v>
      </c>
      <c r="D655" s="166">
        <v>680526</v>
      </c>
      <c r="E655" s="119" t="s">
        <v>872</v>
      </c>
      <c r="F655" s="190">
        <v>68090821</v>
      </c>
      <c r="G655" s="119" t="s">
        <v>2023</v>
      </c>
      <c r="H655" s="187" t="s">
        <v>265</v>
      </c>
      <c r="I655" s="147" t="s">
        <v>845</v>
      </c>
      <c r="J655" s="119">
        <v>61.88</v>
      </c>
      <c r="K655" s="119" t="s">
        <v>200</v>
      </c>
      <c r="L655" s="146">
        <v>1.88</v>
      </c>
      <c r="M655" s="119" t="s">
        <v>2024</v>
      </c>
      <c r="N655" s="119" t="s">
        <v>93</v>
      </c>
      <c r="O655" s="141">
        <f t="shared" si="403"/>
        <v>244235</v>
      </c>
      <c r="P655" s="141">
        <f t="shared" si="405"/>
        <v>244242</v>
      </c>
      <c r="Q655" s="141">
        <f t="shared" si="404"/>
        <v>244237</v>
      </c>
      <c r="R655" s="139" t="s">
        <v>55</v>
      </c>
      <c r="S655" s="143">
        <v>244239</v>
      </c>
      <c r="T655" s="139" t="s">
        <v>55</v>
      </c>
      <c r="U655" s="143">
        <v>244242</v>
      </c>
      <c r="V655" s="139" t="s">
        <v>55</v>
      </c>
      <c r="W655" s="143">
        <v>244235</v>
      </c>
      <c r="X655" s="139"/>
      <c r="Y655" s="141"/>
      <c r="Z655" s="119" t="s">
        <v>2030</v>
      </c>
      <c r="AA655" s="144">
        <f>W655-P676</f>
        <v>-12</v>
      </c>
    </row>
    <row r="656" spans="1:27" s="145" customFormat="1" ht="36" customHeight="1" x14ac:dyDescent="0.25">
      <c r="A656" s="119" t="s">
        <v>26</v>
      </c>
      <c r="B656" s="139">
        <v>244235</v>
      </c>
      <c r="C656" s="119" t="s">
        <v>14</v>
      </c>
      <c r="D656" s="166">
        <v>680526</v>
      </c>
      <c r="E656" s="119" t="s">
        <v>872</v>
      </c>
      <c r="F656" s="190">
        <v>68090822</v>
      </c>
      <c r="G656" s="119" t="s">
        <v>2025</v>
      </c>
      <c r="H656" s="187" t="s">
        <v>266</v>
      </c>
      <c r="I656" s="147" t="s">
        <v>845</v>
      </c>
      <c r="J656" s="119">
        <v>62.68</v>
      </c>
      <c r="K656" s="119" t="s">
        <v>200</v>
      </c>
      <c r="L656" s="146">
        <v>2.68</v>
      </c>
      <c r="M656" s="119" t="s">
        <v>2026</v>
      </c>
      <c r="N656" s="119" t="s">
        <v>93</v>
      </c>
      <c r="O656" s="141">
        <f t="shared" ref="O656:O658" si="421">B656</f>
        <v>244235</v>
      </c>
      <c r="P656" s="141">
        <f t="shared" ref="P656:P658" si="422">B656+7</f>
        <v>244242</v>
      </c>
      <c r="Q656" s="141">
        <f t="shared" ref="Q656:Q658" si="423">O656+2</f>
        <v>244237</v>
      </c>
      <c r="R656" s="139" t="s">
        <v>55</v>
      </c>
      <c r="S656" s="143">
        <v>244239</v>
      </c>
      <c r="T656" s="139" t="s">
        <v>55</v>
      </c>
      <c r="U656" s="143">
        <v>244242</v>
      </c>
      <c r="V656" s="139" t="s">
        <v>55</v>
      </c>
      <c r="W656" s="143">
        <v>244235</v>
      </c>
      <c r="X656" s="139"/>
      <c r="Y656" s="141"/>
      <c r="Z656" s="119" t="s">
        <v>2030</v>
      </c>
      <c r="AA656" s="144">
        <f>W656-P677</f>
        <v>-12</v>
      </c>
    </row>
    <row r="657" spans="1:27" s="145" customFormat="1" ht="36" customHeight="1" x14ac:dyDescent="0.25">
      <c r="A657" s="119" t="s">
        <v>26</v>
      </c>
      <c r="B657" s="139">
        <v>244235</v>
      </c>
      <c r="C657" s="119" t="s">
        <v>14</v>
      </c>
      <c r="D657" s="166">
        <v>680526</v>
      </c>
      <c r="E657" s="119" t="s">
        <v>872</v>
      </c>
      <c r="F657" s="190">
        <v>68090823</v>
      </c>
      <c r="G657" s="119" t="s">
        <v>2027</v>
      </c>
      <c r="H657" s="187" t="s">
        <v>215</v>
      </c>
      <c r="I657" s="147" t="s">
        <v>845</v>
      </c>
      <c r="J657" s="119">
        <v>60.88</v>
      </c>
      <c r="K657" s="119" t="s">
        <v>200</v>
      </c>
      <c r="L657" s="146">
        <v>0.88</v>
      </c>
      <c r="M657" s="119" t="s">
        <v>2028</v>
      </c>
      <c r="N657" s="119" t="s">
        <v>93</v>
      </c>
      <c r="O657" s="141">
        <f t="shared" si="421"/>
        <v>244235</v>
      </c>
      <c r="P657" s="141">
        <f t="shared" si="422"/>
        <v>244242</v>
      </c>
      <c r="Q657" s="141">
        <f t="shared" si="423"/>
        <v>244237</v>
      </c>
      <c r="R657" s="139" t="s">
        <v>55</v>
      </c>
      <c r="S657" s="143">
        <v>244239</v>
      </c>
      <c r="T657" s="139" t="s">
        <v>55</v>
      </c>
      <c r="U657" s="143">
        <v>244242</v>
      </c>
      <c r="V657" s="139" t="s">
        <v>55</v>
      </c>
      <c r="W657" s="143">
        <v>244235</v>
      </c>
      <c r="X657" s="139"/>
      <c r="Y657" s="141"/>
      <c r="Z657" s="119" t="s">
        <v>2030</v>
      </c>
      <c r="AA657" s="144">
        <f>W657-P678</f>
        <v>-13</v>
      </c>
    </row>
    <row r="658" spans="1:27" s="145" customFormat="1" ht="36" customHeight="1" x14ac:dyDescent="0.25">
      <c r="A658" s="119" t="s">
        <v>26</v>
      </c>
      <c r="B658" s="139">
        <v>244235</v>
      </c>
      <c r="C658" s="119" t="s">
        <v>14</v>
      </c>
      <c r="D658" s="166">
        <v>680526</v>
      </c>
      <c r="E658" s="119" t="s">
        <v>872</v>
      </c>
      <c r="F658" s="190">
        <v>68090824</v>
      </c>
      <c r="G658" s="119" t="s">
        <v>2027</v>
      </c>
      <c r="H658" s="187" t="s">
        <v>267</v>
      </c>
      <c r="I658" s="147" t="s">
        <v>845</v>
      </c>
      <c r="J658" s="119">
        <v>62.87</v>
      </c>
      <c r="K658" s="119" t="s">
        <v>200</v>
      </c>
      <c r="L658" s="146">
        <v>2.87</v>
      </c>
      <c r="M658" s="119" t="s">
        <v>2029</v>
      </c>
      <c r="N658" s="119" t="s">
        <v>93</v>
      </c>
      <c r="O658" s="141">
        <f t="shared" si="421"/>
        <v>244235</v>
      </c>
      <c r="P658" s="141">
        <f t="shared" si="422"/>
        <v>244242</v>
      </c>
      <c r="Q658" s="141">
        <f t="shared" si="423"/>
        <v>244237</v>
      </c>
      <c r="R658" s="139" t="s">
        <v>55</v>
      </c>
      <c r="S658" s="143">
        <v>244239</v>
      </c>
      <c r="T658" s="139" t="s">
        <v>55</v>
      </c>
      <c r="U658" s="143">
        <v>244242</v>
      </c>
      <c r="V658" s="139" t="s">
        <v>55</v>
      </c>
      <c r="W658" s="143">
        <v>244235</v>
      </c>
      <c r="X658" s="139"/>
      <c r="Y658" s="141"/>
      <c r="Z658" s="119" t="s">
        <v>2030</v>
      </c>
      <c r="AA658" s="144">
        <f>W658-P679</f>
        <v>-14</v>
      </c>
    </row>
    <row r="659" spans="1:27" s="145" customFormat="1" ht="36" customHeight="1" x14ac:dyDescent="0.25">
      <c r="A659" s="119" t="s">
        <v>26</v>
      </c>
      <c r="B659" s="139">
        <v>244235</v>
      </c>
      <c r="C659" s="119" t="s">
        <v>14</v>
      </c>
      <c r="D659" s="166">
        <v>680527</v>
      </c>
      <c r="E659" s="119" t="s">
        <v>827</v>
      </c>
      <c r="F659" s="190">
        <v>68090830</v>
      </c>
      <c r="G659" s="119" t="s">
        <v>2031</v>
      </c>
      <c r="H659" s="187" t="s">
        <v>282</v>
      </c>
      <c r="I659" s="147" t="s">
        <v>829</v>
      </c>
      <c r="J659" s="119">
        <v>107.86</v>
      </c>
      <c r="K659" s="119" t="s">
        <v>207</v>
      </c>
      <c r="L659" s="146">
        <f>J659-105</f>
        <v>2.8599999999999994</v>
      </c>
      <c r="M659" s="119" t="s">
        <v>2032</v>
      </c>
      <c r="N659" s="119" t="s">
        <v>93</v>
      </c>
      <c r="O659" s="141">
        <f t="shared" si="403"/>
        <v>244235</v>
      </c>
      <c r="P659" s="141">
        <f t="shared" si="405"/>
        <v>244242</v>
      </c>
      <c r="Q659" s="141">
        <f t="shared" si="404"/>
        <v>244237</v>
      </c>
      <c r="R659" s="139" t="s">
        <v>55</v>
      </c>
      <c r="S659" s="143">
        <v>244239</v>
      </c>
      <c r="T659" s="139" t="s">
        <v>55</v>
      </c>
      <c r="U659" s="143">
        <v>244240</v>
      </c>
      <c r="V659" s="139" t="s">
        <v>55</v>
      </c>
      <c r="W659" s="143">
        <v>244240</v>
      </c>
      <c r="X659" s="139"/>
      <c r="Y659" s="141"/>
      <c r="Z659" s="119" t="s">
        <v>827</v>
      </c>
      <c r="AA659" s="144">
        <f>W659-P677</f>
        <v>-7</v>
      </c>
    </row>
    <row r="660" spans="1:27" s="145" customFormat="1" ht="36" customHeight="1" x14ac:dyDescent="0.25">
      <c r="A660" s="119" t="s">
        <v>26</v>
      </c>
      <c r="B660" s="139">
        <v>244235</v>
      </c>
      <c r="C660" s="119" t="s">
        <v>14</v>
      </c>
      <c r="D660" s="166">
        <v>680528</v>
      </c>
      <c r="E660" s="119" t="s">
        <v>307</v>
      </c>
      <c r="F660" s="190">
        <v>68090840</v>
      </c>
      <c r="G660" s="119" t="s">
        <v>2033</v>
      </c>
      <c r="H660" s="187" t="s">
        <v>238</v>
      </c>
      <c r="I660" s="147" t="s">
        <v>308</v>
      </c>
      <c r="J660" s="119">
        <v>59.94</v>
      </c>
      <c r="K660" s="119" t="s">
        <v>411</v>
      </c>
      <c r="L660" s="146">
        <f>64-J660</f>
        <v>4.0600000000000023</v>
      </c>
      <c r="M660" s="119" t="s">
        <v>813</v>
      </c>
      <c r="N660" s="119" t="s">
        <v>93</v>
      </c>
      <c r="O660" s="141">
        <f t="shared" si="403"/>
        <v>244235</v>
      </c>
      <c r="P660" s="141">
        <f t="shared" si="405"/>
        <v>244242</v>
      </c>
      <c r="Q660" s="141">
        <f t="shared" si="404"/>
        <v>244237</v>
      </c>
      <c r="R660" s="139" t="s">
        <v>55</v>
      </c>
      <c r="S660" s="143">
        <v>244239</v>
      </c>
      <c r="T660" s="139" t="s">
        <v>55</v>
      </c>
      <c r="U660" s="143">
        <v>244240</v>
      </c>
      <c r="V660" s="139" t="s">
        <v>55</v>
      </c>
      <c r="W660" s="143">
        <v>244240</v>
      </c>
      <c r="X660" s="139"/>
      <c r="Y660" s="141"/>
      <c r="Z660" s="119" t="s">
        <v>1842</v>
      </c>
      <c r="AA660" s="144">
        <f>W660-P678</f>
        <v>-8</v>
      </c>
    </row>
    <row r="661" spans="1:27" s="145" customFormat="1" ht="36" customHeight="1" x14ac:dyDescent="0.25">
      <c r="A661" s="119" t="s">
        <v>26</v>
      </c>
      <c r="B661" s="139">
        <v>244236</v>
      </c>
      <c r="C661" s="119" t="s">
        <v>11</v>
      </c>
      <c r="D661" s="166">
        <v>680529</v>
      </c>
      <c r="E661" s="119" t="s">
        <v>782</v>
      </c>
      <c r="F661" s="190" t="s">
        <v>2034</v>
      </c>
      <c r="G661" s="119">
        <v>680907</v>
      </c>
      <c r="H661" s="187" t="s">
        <v>135</v>
      </c>
      <c r="I661" s="147" t="s">
        <v>76</v>
      </c>
      <c r="J661" s="146">
        <v>715</v>
      </c>
      <c r="K661" s="119" t="s">
        <v>123</v>
      </c>
      <c r="L661" s="146">
        <v>25</v>
      </c>
      <c r="M661" s="257" t="s">
        <v>1873</v>
      </c>
      <c r="N661" s="257" t="s">
        <v>53</v>
      </c>
      <c r="O661" s="141">
        <f t="shared" ref="O661" si="424">B661</f>
        <v>244236</v>
      </c>
      <c r="P661" s="141">
        <f t="shared" ref="P661" si="425">B661+7</f>
        <v>244243</v>
      </c>
      <c r="Q661" s="141">
        <f t="shared" ref="Q661" si="426">O661+2</f>
        <v>244238</v>
      </c>
      <c r="R661" s="139" t="s">
        <v>55</v>
      </c>
      <c r="S661" s="143">
        <v>244237</v>
      </c>
      <c r="T661" s="139" t="s">
        <v>55</v>
      </c>
      <c r="U661" s="143">
        <v>244237</v>
      </c>
      <c r="V661" s="139" t="s">
        <v>55</v>
      </c>
      <c r="W661" s="143">
        <v>244237</v>
      </c>
      <c r="X661" s="139"/>
      <c r="Y661" s="141"/>
      <c r="Z661" s="119" t="s">
        <v>782</v>
      </c>
      <c r="AA661" s="144">
        <f>W661-P680</f>
        <v>-12</v>
      </c>
    </row>
    <row r="662" spans="1:27" s="145" customFormat="1" ht="36" customHeight="1" x14ac:dyDescent="0.25">
      <c r="A662" s="119" t="s">
        <v>26</v>
      </c>
      <c r="B662" s="139">
        <v>244236</v>
      </c>
      <c r="C662" s="119" t="s">
        <v>11</v>
      </c>
      <c r="D662" s="166">
        <v>680529</v>
      </c>
      <c r="E662" s="119" t="s">
        <v>782</v>
      </c>
      <c r="F662" s="190" t="s">
        <v>2034</v>
      </c>
      <c r="G662" s="119">
        <v>680907</v>
      </c>
      <c r="H662" s="187" t="s">
        <v>135</v>
      </c>
      <c r="I662" s="147" t="s">
        <v>61</v>
      </c>
      <c r="J662" s="146">
        <v>87</v>
      </c>
      <c r="K662" s="119" t="s">
        <v>62</v>
      </c>
      <c r="L662" s="146">
        <v>57</v>
      </c>
      <c r="M662" s="259"/>
      <c r="N662" s="259"/>
      <c r="O662" s="141">
        <f t="shared" ref="O662" si="427">B662</f>
        <v>244236</v>
      </c>
      <c r="P662" s="141">
        <f t="shared" ref="P662" si="428">B662+7</f>
        <v>244243</v>
      </c>
      <c r="Q662" s="141">
        <f t="shared" ref="Q662" si="429">O662+2</f>
        <v>244238</v>
      </c>
      <c r="R662" s="139" t="s">
        <v>55</v>
      </c>
      <c r="S662" s="143">
        <v>244237</v>
      </c>
      <c r="T662" s="139" t="s">
        <v>55</v>
      </c>
      <c r="U662" s="143">
        <v>244237</v>
      </c>
      <c r="V662" s="139" t="s">
        <v>55</v>
      </c>
      <c r="W662" s="143">
        <v>244237</v>
      </c>
      <c r="X662" s="139"/>
      <c r="Y662" s="141"/>
      <c r="Z662" s="119" t="s">
        <v>782</v>
      </c>
      <c r="AA662" s="144">
        <f>W662-P681</f>
        <v>-13</v>
      </c>
    </row>
    <row r="663" spans="1:27" s="145" customFormat="1" ht="36" customHeight="1" x14ac:dyDescent="0.25">
      <c r="A663" s="119" t="s">
        <v>26</v>
      </c>
      <c r="B663" s="139">
        <v>244236</v>
      </c>
      <c r="C663" s="119" t="s">
        <v>11</v>
      </c>
      <c r="D663" s="166">
        <v>680529</v>
      </c>
      <c r="E663" s="119" t="s">
        <v>782</v>
      </c>
      <c r="F663" s="190" t="s">
        <v>2034</v>
      </c>
      <c r="G663" s="119">
        <v>680907</v>
      </c>
      <c r="H663" s="187" t="s">
        <v>135</v>
      </c>
      <c r="I663" s="147" t="s">
        <v>73</v>
      </c>
      <c r="J663" s="146" t="s">
        <v>2035</v>
      </c>
      <c r="K663" s="119" t="s">
        <v>69</v>
      </c>
      <c r="L663" s="119" t="s">
        <v>69</v>
      </c>
      <c r="M663" s="258"/>
      <c r="N663" s="258"/>
      <c r="O663" s="141">
        <f t="shared" ref="O663" si="430">B663</f>
        <v>244236</v>
      </c>
      <c r="P663" s="141">
        <f t="shared" ref="P663" si="431">B663+7</f>
        <v>244243</v>
      </c>
      <c r="Q663" s="141">
        <f t="shared" ref="Q663" si="432">O663+2</f>
        <v>244238</v>
      </c>
      <c r="R663" s="139" t="s">
        <v>55</v>
      </c>
      <c r="S663" s="143">
        <v>244237</v>
      </c>
      <c r="T663" s="139" t="s">
        <v>55</v>
      </c>
      <c r="U663" s="143">
        <v>244237</v>
      </c>
      <c r="V663" s="139" t="s">
        <v>55</v>
      </c>
      <c r="W663" s="143">
        <v>244237</v>
      </c>
      <c r="X663" s="139"/>
      <c r="Y663" s="141"/>
      <c r="Z663" s="119" t="s">
        <v>782</v>
      </c>
      <c r="AA663" s="144">
        <f>W663-P682</f>
        <v>-13</v>
      </c>
    </row>
    <row r="664" spans="1:27" s="145" customFormat="1" ht="36" customHeight="1" x14ac:dyDescent="0.25">
      <c r="A664" s="119" t="s">
        <v>26</v>
      </c>
      <c r="B664" s="139">
        <v>244236</v>
      </c>
      <c r="C664" s="119" t="s">
        <v>11</v>
      </c>
      <c r="D664" s="166">
        <v>680530</v>
      </c>
      <c r="E664" s="119" t="s">
        <v>1303</v>
      </c>
      <c r="F664" s="190" t="s">
        <v>2036</v>
      </c>
      <c r="G664" s="119">
        <v>680908</v>
      </c>
      <c r="H664" s="187" t="s">
        <v>135</v>
      </c>
      <c r="I664" s="147" t="s">
        <v>76</v>
      </c>
      <c r="J664" s="146">
        <v>754</v>
      </c>
      <c r="K664" s="119" t="s">
        <v>123</v>
      </c>
      <c r="L664" s="119">
        <v>24</v>
      </c>
      <c r="M664" s="257">
        <v>235.8</v>
      </c>
      <c r="N664" s="119" t="s">
        <v>53</v>
      </c>
      <c r="O664" s="141"/>
      <c r="P664" s="141"/>
      <c r="Q664" s="141"/>
      <c r="R664" s="139" t="s">
        <v>55</v>
      </c>
      <c r="S664" s="143">
        <v>244237</v>
      </c>
      <c r="T664" s="139" t="s">
        <v>55</v>
      </c>
      <c r="U664" s="143">
        <v>244237</v>
      </c>
      <c r="V664" s="139" t="s">
        <v>55</v>
      </c>
      <c r="W664" s="143">
        <v>244237</v>
      </c>
      <c r="X664" s="139"/>
      <c r="Y664" s="141"/>
      <c r="Z664" s="119" t="s">
        <v>1303</v>
      </c>
      <c r="AA664" s="144"/>
    </row>
    <row r="665" spans="1:27" s="145" customFormat="1" ht="36" customHeight="1" x14ac:dyDescent="0.25">
      <c r="A665" s="119" t="s">
        <v>26</v>
      </c>
      <c r="B665" s="139">
        <v>244236</v>
      </c>
      <c r="C665" s="119" t="s">
        <v>11</v>
      </c>
      <c r="D665" s="166">
        <v>680530</v>
      </c>
      <c r="E665" s="119" t="s">
        <v>1303</v>
      </c>
      <c r="F665" s="190" t="s">
        <v>2036</v>
      </c>
      <c r="G665" s="119">
        <v>680908</v>
      </c>
      <c r="H665" s="187" t="s">
        <v>135</v>
      </c>
      <c r="I665" s="147" t="s">
        <v>71</v>
      </c>
      <c r="J665" s="146">
        <v>2.17</v>
      </c>
      <c r="K665" s="119" t="s">
        <v>1604</v>
      </c>
      <c r="L665" s="146">
        <v>0.02</v>
      </c>
      <c r="M665" s="258"/>
      <c r="N665" s="119" t="s">
        <v>53</v>
      </c>
      <c r="O665" s="141">
        <f t="shared" ref="O665:O748" si="433">B665</f>
        <v>244236</v>
      </c>
      <c r="P665" s="141">
        <f t="shared" si="405"/>
        <v>244243</v>
      </c>
      <c r="Q665" s="141">
        <f t="shared" ref="Q665:Q748" si="434">O665+2</f>
        <v>244238</v>
      </c>
      <c r="R665" s="139" t="s">
        <v>55</v>
      </c>
      <c r="S665" s="143">
        <v>244237</v>
      </c>
      <c r="T665" s="139" t="s">
        <v>55</v>
      </c>
      <c r="U665" s="143">
        <v>244237</v>
      </c>
      <c r="V665" s="139" t="s">
        <v>55</v>
      </c>
      <c r="W665" s="143">
        <v>244237</v>
      </c>
      <c r="X665" s="139"/>
      <c r="Y665" s="141"/>
      <c r="Z665" s="119" t="s">
        <v>1303</v>
      </c>
      <c r="AA665" s="144">
        <f>W665-P681</f>
        <v>-13</v>
      </c>
    </row>
    <row r="666" spans="1:27" s="145" customFormat="1" ht="36" customHeight="1" x14ac:dyDescent="0.25">
      <c r="A666" s="119" t="s">
        <v>26</v>
      </c>
      <c r="B666" s="139">
        <v>244237</v>
      </c>
      <c r="C666" s="119" t="s">
        <v>14</v>
      </c>
      <c r="D666" s="166">
        <v>680531</v>
      </c>
      <c r="E666" s="119" t="s">
        <v>307</v>
      </c>
      <c r="F666" s="190">
        <v>68091002</v>
      </c>
      <c r="G666" s="119" t="s">
        <v>2037</v>
      </c>
      <c r="H666" s="187" t="s">
        <v>286</v>
      </c>
      <c r="I666" s="147" t="s">
        <v>450</v>
      </c>
      <c r="J666" s="146" t="s">
        <v>2038</v>
      </c>
      <c r="K666" s="119" t="s">
        <v>2039</v>
      </c>
      <c r="L666" s="146" t="s">
        <v>69</v>
      </c>
      <c r="M666" s="119" t="s">
        <v>2040</v>
      </c>
      <c r="N666" s="119" t="s">
        <v>93</v>
      </c>
      <c r="O666" s="141">
        <f t="shared" si="433"/>
        <v>244237</v>
      </c>
      <c r="P666" s="141">
        <f t="shared" ref="P666:P748" si="435">B666+7</f>
        <v>244244</v>
      </c>
      <c r="Q666" s="141">
        <f t="shared" si="434"/>
        <v>244239</v>
      </c>
      <c r="R666" s="139" t="s">
        <v>55</v>
      </c>
      <c r="S666" s="143">
        <v>244239</v>
      </c>
      <c r="T666" s="139" t="s">
        <v>55</v>
      </c>
      <c r="U666" s="143">
        <v>244240</v>
      </c>
      <c r="V666" s="139" t="s">
        <v>55</v>
      </c>
      <c r="W666" s="143">
        <v>244240</v>
      </c>
      <c r="X666" s="139"/>
      <c r="Y666" s="141"/>
      <c r="Z666" s="119" t="s">
        <v>1842</v>
      </c>
      <c r="AA666" s="144"/>
    </row>
    <row r="667" spans="1:27" s="145" customFormat="1" ht="36" customHeight="1" x14ac:dyDescent="0.25">
      <c r="A667" s="119" t="s">
        <v>26</v>
      </c>
      <c r="B667" s="139">
        <v>244237</v>
      </c>
      <c r="C667" s="119" t="s">
        <v>14</v>
      </c>
      <c r="D667" s="166">
        <v>680532</v>
      </c>
      <c r="E667" s="119" t="s">
        <v>872</v>
      </c>
      <c r="F667" s="190">
        <v>68091001</v>
      </c>
      <c r="G667" s="119" t="s">
        <v>2041</v>
      </c>
      <c r="H667" s="187" t="s">
        <v>285</v>
      </c>
      <c r="I667" s="147" t="s">
        <v>845</v>
      </c>
      <c r="J667" s="146">
        <v>61.6</v>
      </c>
      <c r="K667" s="119" t="s">
        <v>200</v>
      </c>
      <c r="L667" s="146">
        <v>1.6</v>
      </c>
      <c r="M667" s="119" t="s">
        <v>2042</v>
      </c>
      <c r="N667" s="119" t="s">
        <v>93</v>
      </c>
      <c r="O667" s="141">
        <f t="shared" si="433"/>
        <v>244237</v>
      </c>
      <c r="P667" s="141">
        <f t="shared" si="435"/>
        <v>244244</v>
      </c>
      <c r="Q667" s="141">
        <f t="shared" si="434"/>
        <v>244239</v>
      </c>
      <c r="R667" s="139" t="s">
        <v>55</v>
      </c>
      <c r="S667" s="143">
        <v>244239</v>
      </c>
      <c r="T667" s="139" t="s">
        <v>55</v>
      </c>
      <c r="U667" s="143">
        <v>244240</v>
      </c>
      <c r="V667" s="139" t="s">
        <v>55</v>
      </c>
      <c r="W667" s="143">
        <v>244240</v>
      </c>
      <c r="X667" s="139"/>
      <c r="Y667" s="141"/>
      <c r="Z667" s="119" t="s">
        <v>872</v>
      </c>
      <c r="AA667" s="144"/>
    </row>
    <row r="668" spans="1:27" s="145" customFormat="1" ht="36" customHeight="1" x14ac:dyDescent="0.25">
      <c r="A668" s="119" t="s">
        <v>26</v>
      </c>
      <c r="B668" s="139">
        <v>244237</v>
      </c>
      <c r="C668" s="119" t="s">
        <v>14</v>
      </c>
      <c r="D668" s="166">
        <v>680533</v>
      </c>
      <c r="E668" s="119" t="s">
        <v>2043</v>
      </c>
      <c r="F668" s="190">
        <v>68091034</v>
      </c>
      <c r="G668" s="119" t="s">
        <v>2044</v>
      </c>
      <c r="H668" s="187" t="s">
        <v>281</v>
      </c>
      <c r="I668" s="147" t="s">
        <v>2045</v>
      </c>
      <c r="J668" s="146">
        <v>96.36</v>
      </c>
      <c r="K668" s="119" t="s">
        <v>200</v>
      </c>
      <c r="L668" s="146">
        <v>1.36</v>
      </c>
      <c r="M668" s="119" t="s">
        <v>2046</v>
      </c>
      <c r="N668" s="119" t="s">
        <v>93</v>
      </c>
      <c r="O668" s="141">
        <f t="shared" si="433"/>
        <v>244237</v>
      </c>
      <c r="P668" s="141">
        <f t="shared" si="435"/>
        <v>244244</v>
      </c>
      <c r="Q668" s="141">
        <f t="shared" si="434"/>
        <v>244239</v>
      </c>
      <c r="R668" s="139" t="s">
        <v>55</v>
      </c>
      <c r="S668" s="143">
        <v>244239</v>
      </c>
      <c r="T668" s="139" t="s">
        <v>55</v>
      </c>
      <c r="U668" s="143">
        <v>244240</v>
      </c>
      <c r="V668" s="139" t="s">
        <v>55</v>
      </c>
      <c r="W668" s="143">
        <v>244237</v>
      </c>
      <c r="X668" s="139"/>
      <c r="Y668" s="141"/>
      <c r="Z668" s="119" t="s">
        <v>2047</v>
      </c>
      <c r="AA668" s="144"/>
    </row>
    <row r="669" spans="1:27" s="145" customFormat="1" ht="36" customHeight="1" x14ac:dyDescent="0.25">
      <c r="A669" s="119" t="s">
        <v>26</v>
      </c>
      <c r="B669" s="139">
        <v>244237</v>
      </c>
      <c r="C669" s="119" t="s">
        <v>14</v>
      </c>
      <c r="D669" s="166">
        <v>680534</v>
      </c>
      <c r="E669" s="119" t="s">
        <v>426</v>
      </c>
      <c r="F669" s="190">
        <v>68091059</v>
      </c>
      <c r="G669" s="119" t="s">
        <v>2052</v>
      </c>
      <c r="H669" s="187" t="s">
        <v>277</v>
      </c>
      <c r="I669" s="147" t="s">
        <v>428</v>
      </c>
      <c r="J669" s="146">
        <v>134.71</v>
      </c>
      <c r="K669" s="119" t="s">
        <v>200</v>
      </c>
      <c r="L669" s="146">
        <f>J669-129</f>
        <v>5.710000000000008</v>
      </c>
      <c r="M669" s="119" t="s">
        <v>764</v>
      </c>
      <c r="N669" s="119" t="s">
        <v>93</v>
      </c>
      <c r="O669" s="141">
        <f t="shared" si="433"/>
        <v>244237</v>
      </c>
      <c r="P669" s="141">
        <f t="shared" si="435"/>
        <v>244244</v>
      </c>
      <c r="Q669" s="141">
        <f t="shared" si="434"/>
        <v>244239</v>
      </c>
      <c r="R669" s="139" t="s">
        <v>55</v>
      </c>
      <c r="S669" s="143">
        <v>244242</v>
      </c>
      <c r="T669" s="139" t="s">
        <v>55</v>
      </c>
      <c r="U669" s="143">
        <v>244242</v>
      </c>
      <c r="V669" s="139" t="s">
        <v>55</v>
      </c>
      <c r="W669" s="143">
        <v>244242</v>
      </c>
      <c r="X669" s="139"/>
      <c r="Y669" s="141"/>
      <c r="Z669" s="119" t="s">
        <v>426</v>
      </c>
      <c r="AA669" s="144">
        <f>W669-P682</f>
        <v>-8</v>
      </c>
    </row>
    <row r="670" spans="1:27" s="145" customFormat="1" ht="36" customHeight="1" x14ac:dyDescent="0.25">
      <c r="A670" s="119" t="s">
        <v>26</v>
      </c>
      <c r="B670" s="139">
        <v>244239</v>
      </c>
      <c r="C670" s="119" t="s">
        <v>14</v>
      </c>
      <c r="D670" s="166">
        <v>680535</v>
      </c>
      <c r="E670" s="119" t="s">
        <v>420</v>
      </c>
      <c r="F670" s="190">
        <v>68091212</v>
      </c>
      <c r="G670" s="119" t="s">
        <v>2053</v>
      </c>
      <c r="H670" s="187" t="s">
        <v>272</v>
      </c>
      <c r="I670" s="147" t="s">
        <v>1041</v>
      </c>
      <c r="J670" s="146">
        <v>119.87</v>
      </c>
      <c r="K670" s="119" t="s">
        <v>411</v>
      </c>
      <c r="L670" s="146">
        <f>121-J670</f>
        <v>1.1299999999999955</v>
      </c>
      <c r="M670" s="119" t="s">
        <v>1945</v>
      </c>
      <c r="N670" s="119" t="s">
        <v>93</v>
      </c>
      <c r="O670" s="141">
        <f t="shared" si="433"/>
        <v>244239</v>
      </c>
      <c r="P670" s="141">
        <f t="shared" si="435"/>
        <v>244246</v>
      </c>
      <c r="Q670" s="141">
        <f t="shared" si="434"/>
        <v>244241</v>
      </c>
      <c r="R670" s="139" t="s">
        <v>55</v>
      </c>
      <c r="S670" s="143">
        <v>244242</v>
      </c>
      <c r="T670" s="139" t="s">
        <v>55</v>
      </c>
      <c r="U670" s="143">
        <v>244242</v>
      </c>
      <c r="V670" s="139" t="s">
        <v>55</v>
      </c>
      <c r="W670" s="143">
        <v>244242</v>
      </c>
      <c r="X670" s="139"/>
      <c r="Y670" s="141"/>
      <c r="Z670" s="119" t="s">
        <v>2076</v>
      </c>
      <c r="AA670" s="144">
        <f>W670-P687</f>
        <v>-14</v>
      </c>
    </row>
    <row r="671" spans="1:27" s="145" customFormat="1" ht="36" customHeight="1" x14ac:dyDescent="0.25">
      <c r="A671" s="119" t="s">
        <v>26</v>
      </c>
      <c r="B671" s="139">
        <v>244239</v>
      </c>
      <c r="C671" s="119" t="s">
        <v>14</v>
      </c>
      <c r="D671" s="166">
        <v>680536</v>
      </c>
      <c r="E671" s="119" t="s">
        <v>420</v>
      </c>
      <c r="F671" s="190">
        <v>68091211</v>
      </c>
      <c r="G671" s="119" t="s">
        <v>2054</v>
      </c>
      <c r="H671" s="187" t="s">
        <v>279</v>
      </c>
      <c r="I671" s="147" t="s">
        <v>1041</v>
      </c>
      <c r="J671" s="146">
        <v>128.41</v>
      </c>
      <c r="K671" s="119" t="s">
        <v>207</v>
      </c>
      <c r="L671" s="146">
        <f>J671-124</f>
        <v>4.4099999999999966</v>
      </c>
      <c r="M671" s="119" t="s">
        <v>2055</v>
      </c>
      <c r="N671" s="119" t="s">
        <v>93</v>
      </c>
      <c r="O671" s="141">
        <f t="shared" ref="O671:O673" si="436">B671</f>
        <v>244239</v>
      </c>
      <c r="P671" s="141">
        <f t="shared" ref="P671:P673" si="437">B671+7</f>
        <v>244246</v>
      </c>
      <c r="Q671" s="141">
        <f t="shared" ref="Q671:Q673" si="438">O671+2</f>
        <v>244241</v>
      </c>
      <c r="R671" s="139" t="s">
        <v>55</v>
      </c>
      <c r="S671" s="143">
        <v>244242</v>
      </c>
      <c r="T671" s="139" t="s">
        <v>55</v>
      </c>
      <c r="U671" s="143">
        <v>244242</v>
      </c>
      <c r="V671" s="139" t="s">
        <v>55</v>
      </c>
      <c r="W671" s="143">
        <v>244242</v>
      </c>
      <c r="X671" s="139"/>
      <c r="Y671" s="141"/>
      <c r="Z671" s="119" t="s">
        <v>2076</v>
      </c>
      <c r="AA671" s="144">
        <f>W671-P688</f>
        <v>-23</v>
      </c>
    </row>
    <row r="672" spans="1:27" s="145" customFormat="1" ht="36" customHeight="1" x14ac:dyDescent="0.25">
      <c r="A672" s="119" t="s">
        <v>26</v>
      </c>
      <c r="B672" s="139">
        <v>244239</v>
      </c>
      <c r="C672" s="119" t="s">
        <v>14</v>
      </c>
      <c r="D672" s="166">
        <v>680537</v>
      </c>
      <c r="E672" s="119" t="s">
        <v>307</v>
      </c>
      <c r="F672" s="190">
        <v>68091232</v>
      </c>
      <c r="G672" s="119" t="s">
        <v>2056</v>
      </c>
      <c r="H672" s="187" t="s">
        <v>299</v>
      </c>
      <c r="I672" s="147" t="s">
        <v>400</v>
      </c>
      <c r="J672" s="146">
        <v>68.72</v>
      </c>
      <c r="K672" s="119" t="s">
        <v>207</v>
      </c>
      <c r="L672" s="146">
        <f>J672-67</f>
        <v>1.7199999999999989</v>
      </c>
      <c r="M672" s="119" t="s">
        <v>1554</v>
      </c>
      <c r="N672" s="119" t="s">
        <v>93</v>
      </c>
      <c r="O672" s="141">
        <f t="shared" si="436"/>
        <v>244239</v>
      </c>
      <c r="P672" s="141">
        <f t="shared" si="437"/>
        <v>244246</v>
      </c>
      <c r="Q672" s="141">
        <f t="shared" si="438"/>
        <v>244241</v>
      </c>
      <c r="R672" s="139" t="s">
        <v>55</v>
      </c>
      <c r="S672" s="143">
        <v>244240</v>
      </c>
      <c r="T672" s="139" t="s">
        <v>55</v>
      </c>
      <c r="U672" s="143">
        <v>244242</v>
      </c>
      <c r="V672" s="139" t="s">
        <v>55</v>
      </c>
      <c r="W672" s="143">
        <v>244240</v>
      </c>
      <c r="X672" s="139"/>
      <c r="Y672" s="141"/>
      <c r="Z672" s="119" t="s">
        <v>559</v>
      </c>
      <c r="AA672" s="144">
        <f>W672-P689</f>
        <v>-26</v>
      </c>
    </row>
    <row r="673" spans="1:27" s="145" customFormat="1" ht="36" customHeight="1" x14ac:dyDescent="0.25">
      <c r="A673" s="119" t="s">
        <v>26</v>
      </c>
      <c r="B673" s="139">
        <v>244240</v>
      </c>
      <c r="C673" s="119" t="s">
        <v>14</v>
      </c>
      <c r="D673" s="166">
        <v>680538</v>
      </c>
      <c r="E673" s="119" t="s">
        <v>420</v>
      </c>
      <c r="F673" s="190">
        <v>68091311</v>
      </c>
      <c r="G673" s="119" t="s">
        <v>2057</v>
      </c>
      <c r="H673" s="187" t="s">
        <v>227</v>
      </c>
      <c r="I673" s="147" t="s">
        <v>1041</v>
      </c>
      <c r="J673" s="146">
        <v>120.65</v>
      </c>
      <c r="K673" s="119" t="s">
        <v>201</v>
      </c>
      <c r="L673" s="146">
        <v>0.35</v>
      </c>
      <c r="M673" s="119" t="s">
        <v>2058</v>
      </c>
      <c r="N673" s="119" t="s">
        <v>93</v>
      </c>
      <c r="O673" s="141">
        <f t="shared" si="436"/>
        <v>244240</v>
      </c>
      <c r="P673" s="141">
        <f t="shared" si="437"/>
        <v>244247</v>
      </c>
      <c r="Q673" s="141">
        <f t="shared" si="438"/>
        <v>244242</v>
      </c>
      <c r="R673" s="139" t="s">
        <v>55</v>
      </c>
      <c r="S673" s="143">
        <v>244252</v>
      </c>
      <c r="T673" s="139" t="s">
        <v>55</v>
      </c>
      <c r="U673" s="143">
        <v>244253</v>
      </c>
      <c r="V673" s="139" t="s">
        <v>55</v>
      </c>
      <c r="W673" s="143">
        <v>244243</v>
      </c>
      <c r="X673" s="139"/>
      <c r="Y673" s="141"/>
      <c r="Z673" s="119" t="s">
        <v>896</v>
      </c>
      <c r="AA673" s="144">
        <f>W673-P690</f>
        <v>-24</v>
      </c>
    </row>
    <row r="674" spans="1:27" s="145" customFormat="1" ht="36" customHeight="1" x14ac:dyDescent="0.25">
      <c r="A674" s="119" t="s">
        <v>26</v>
      </c>
      <c r="B674" s="139">
        <v>244240</v>
      </c>
      <c r="C674" s="119" t="s">
        <v>14</v>
      </c>
      <c r="D674" s="166">
        <v>680539</v>
      </c>
      <c r="E674" s="119" t="s">
        <v>420</v>
      </c>
      <c r="F674" s="190">
        <v>68091322</v>
      </c>
      <c r="G674" s="119" t="s">
        <v>2059</v>
      </c>
      <c r="H674" s="187" t="s">
        <v>255</v>
      </c>
      <c r="I674" s="147" t="s">
        <v>1041</v>
      </c>
      <c r="J674" s="146" t="s">
        <v>2060</v>
      </c>
      <c r="K674" s="119" t="s">
        <v>2060</v>
      </c>
      <c r="L674" s="146" t="s">
        <v>69</v>
      </c>
      <c r="M674" s="119" t="s">
        <v>2061</v>
      </c>
      <c r="N674" s="119" t="s">
        <v>93</v>
      </c>
      <c r="O674" s="141">
        <f t="shared" si="433"/>
        <v>244240</v>
      </c>
      <c r="P674" s="141">
        <f t="shared" si="435"/>
        <v>244247</v>
      </c>
      <c r="Q674" s="141">
        <f t="shared" si="434"/>
        <v>244242</v>
      </c>
      <c r="R674" s="139" t="s">
        <v>55</v>
      </c>
      <c r="S674" s="143">
        <v>244244</v>
      </c>
      <c r="T674" s="139" t="s">
        <v>55</v>
      </c>
      <c r="U674" s="143">
        <v>244245</v>
      </c>
      <c r="V674" s="139" t="s">
        <v>55</v>
      </c>
      <c r="W674" s="143">
        <v>244245</v>
      </c>
      <c r="X674" s="139"/>
      <c r="Y674" s="141"/>
      <c r="Z674" s="119" t="s">
        <v>2088</v>
      </c>
      <c r="AA674" s="144">
        <f>W674-P689</f>
        <v>-21</v>
      </c>
    </row>
    <row r="675" spans="1:27" s="145" customFormat="1" ht="36" customHeight="1" x14ac:dyDescent="0.25">
      <c r="A675" s="119" t="s">
        <v>26</v>
      </c>
      <c r="B675" s="139">
        <v>244240</v>
      </c>
      <c r="C675" s="119" t="s">
        <v>14</v>
      </c>
      <c r="D675" s="166">
        <v>680540</v>
      </c>
      <c r="E675" s="119" t="s">
        <v>420</v>
      </c>
      <c r="F675" s="190">
        <v>68091323</v>
      </c>
      <c r="G675" s="119" t="s">
        <v>2062</v>
      </c>
      <c r="H675" s="187" t="s">
        <v>254</v>
      </c>
      <c r="I675" s="147" t="s">
        <v>2063</v>
      </c>
      <c r="J675" s="146" t="s">
        <v>2064</v>
      </c>
      <c r="K675" s="119" t="s">
        <v>2065</v>
      </c>
      <c r="L675" s="146" t="s">
        <v>2066</v>
      </c>
      <c r="M675" s="119" t="s">
        <v>2067</v>
      </c>
      <c r="N675" s="119" t="s">
        <v>93</v>
      </c>
      <c r="O675" s="141">
        <f t="shared" si="433"/>
        <v>244240</v>
      </c>
      <c r="P675" s="141">
        <f t="shared" si="435"/>
        <v>244247</v>
      </c>
      <c r="Q675" s="141">
        <f t="shared" si="434"/>
        <v>244242</v>
      </c>
      <c r="R675" s="139" t="s">
        <v>55</v>
      </c>
      <c r="S675" s="143">
        <v>244244</v>
      </c>
      <c r="T675" s="139" t="s">
        <v>55</v>
      </c>
      <c r="U675" s="143">
        <v>244245</v>
      </c>
      <c r="V675" s="139" t="s">
        <v>55</v>
      </c>
      <c r="W675" s="143">
        <v>244245</v>
      </c>
      <c r="X675" s="139"/>
      <c r="Y675" s="141"/>
      <c r="Z675" s="119" t="s">
        <v>2088</v>
      </c>
      <c r="AA675" s="144">
        <f>W675-P690</f>
        <v>-22</v>
      </c>
    </row>
    <row r="676" spans="1:27" s="145" customFormat="1" ht="36" customHeight="1" x14ac:dyDescent="0.25">
      <c r="A676" s="119" t="s">
        <v>26</v>
      </c>
      <c r="B676" s="139">
        <v>244240</v>
      </c>
      <c r="C676" s="119" t="s">
        <v>14</v>
      </c>
      <c r="D676" s="166">
        <v>680541</v>
      </c>
      <c r="E676" s="119" t="s">
        <v>420</v>
      </c>
      <c r="F676" s="190">
        <v>68091333</v>
      </c>
      <c r="G676" s="119" t="s">
        <v>2068</v>
      </c>
      <c r="H676" s="187" t="s">
        <v>272</v>
      </c>
      <c r="I676" s="147" t="s">
        <v>1041</v>
      </c>
      <c r="J676" s="146">
        <v>126.37</v>
      </c>
      <c r="K676" s="119" t="s">
        <v>207</v>
      </c>
      <c r="L676" s="146">
        <f>J676-124</f>
        <v>2.3700000000000045</v>
      </c>
      <c r="M676" s="119" t="s">
        <v>2069</v>
      </c>
      <c r="N676" s="119" t="s">
        <v>93</v>
      </c>
      <c r="O676" s="141">
        <f t="shared" si="433"/>
        <v>244240</v>
      </c>
      <c r="P676" s="141">
        <f t="shared" si="435"/>
        <v>244247</v>
      </c>
      <c r="Q676" s="141">
        <f t="shared" si="434"/>
        <v>244242</v>
      </c>
      <c r="R676" s="139" t="s">
        <v>55</v>
      </c>
      <c r="S676" s="143">
        <v>244252</v>
      </c>
      <c r="T676" s="139" t="s">
        <v>55</v>
      </c>
      <c r="U676" s="143">
        <v>244253</v>
      </c>
      <c r="V676" s="139" t="s">
        <v>55</v>
      </c>
      <c r="W676" s="143">
        <v>244243</v>
      </c>
      <c r="X676" s="139"/>
      <c r="Y676" s="141"/>
      <c r="Z676" s="119" t="s">
        <v>896</v>
      </c>
      <c r="AA676" s="144">
        <f>W676-P691</f>
        <v>-24</v>
      </c>
    </row>
    <row r="677" spans="1:27" s="145" customFormat="1" ht="36" customHeight="1" x14ac:dyDescent="0.25">
      <c r="A677" s="119" t="s">
        <v>26</v>
      </c>
      <c r="B677" s="139">
        <v>244240</v>
      </c>
      <c r="C677" s="119" t="s">
        <v>14</v>
      </c>
      <c r="D677" s="166">
        <v>680542</v>
      </c>
      <c r="E677" s="119" t="s">
        <v>1290</v>
      </c>
      <c r="F677" s="190">
        <v>68091339</v>
      </c>
      <c r="G677" s="119" t="s">
        <v>2070</v>
      </c>
      <c r="H677" s="187" t="s">
        <v>249</v>
      </c>
      <c r="I677" s="147" t="s">
        <v>1104</v>
      </c>
      <c r="J677" s="146">
        <v>91.14</v>
      </c>
      <c r="K677" s="119" t="s">
        <v>207</v>
      </c>
      <c r="L677" s="146">
        <f>J677-85</f>
        <v>6.1400000000000006</v>
      </c>
      <c r="M677" s="119" t="s">
        <v>1270</v>
      </c>
      <c r="N677" s="119" t="s">
        <v>93</v>
      </c>
      <c r="O677" s="141">
        <f t="shared" si="433"/>
        <v>244240</v>
      </c>
      <c r="P677" s="141">
        <f t="shared" si="435"/>
        <v>244247</v>
      </c>
      <c r="Q677" s="141">
        <f t="shared" si="434"/>
        <v>244242</v>
      </c>
      <c r="R677" s="139" t="s">
        <v>55</v>
      </c>
      <c r="S677" s="143">
        <v>244252</v>
      </c>
      <c r="T677" s="139" t="s">
        <v>55</v>
      </c>
      <c r="U677" s="143">
        <v>244253</v>
      </c>
      <c r="V677" s="139" t="s">
        <v>55</v>
      </c>
      <c r="W677" s="143">
        <v>244243</v>
      </c>
      <c r="X677" s="139"/>
      <c r="Y677" s="141"/>
      <c r="Z677" s="119" t="s">
        <v>2079</v>
      </c>
      <c r="AA677" s="144">
        <f>W677-P695</f>
        <v>-24</v>
      </c>
    </row>
    <row r="678" spans="1:27" s="145" customFormat="1" ht="36" customHeight="1" x14ac:dyDescent="0.25">
      <c r="A678" s="119" t="s">
        <v>26</v>
      </c>
      <c r="B678" s="139">
        <v>244241</v>
      </c>
      <c r="C678" s="119" t="s">
        <v>14</v>
      </c>
      <c r="D678" s="166">
        <v>680543</v>
      </c>
      <c r="E678" s="119" t="s">
        <v>420</v>
      </c>
      <c r="F678" s="190">
        <v>68091421</v>
      </c>
      <c r="G678" s="119" t="s">
        <v>2071</v>
      </c>
      <c r="H678" s="187" t="s">
        <v>1147</v>
      </c>
      <c r="I678" s="147" t="s">
        <v>1041</v>
      </c>
      <c r="J678" s="146" t="s">
        <v>2074</v>
      </c>
      <c r="K678" s="119" t="s">
        <v>2073</v>
      </c>
      <c r="L678" s="146" t="s">
        <v>69</v>
      </c>
      <c r="M678" s="119" t="s">
        <v>2072</v>
      </c>
      <c r="N678" s="119" t="s">
        <v>93</v>
      </c>
      <c r="O678" s="141">
        <f t="shared" si="433"/>
        <v>244241</v>
      </c>
      <c r="P678" s="141">
        <f t="shared" si="435"/>
        <v>244248</v>
      </c>
      <c r="Q678" s="141">
        <f t="shared" si="434"/>
        <v>244243</v>
      </c>
      <c r="R678" s="139" t="s">
        <v>55</v>
      </c>
      <c r="S678" s="143">
        <v>244252</v>
      </c>
      <c r="T678" s="139" t="s">
        <v>55</v>
      </c>
      <c r="U678" s="143">
        <v>244253</v>
      </c>
      <c r="V678" s="139" t="s">
        <v>55</v>
      </c>
      <c r="W678" s="143">
        <v>244243</v>
      </c>
      <c r="X678" s="139"/>
      <c r="Y678" s="141"/>
      <c r="Z678" s="119" t="s">
        <v>2080</v>
      </c>
      <c r="AA678" s="144">
        <f>W678-P696</f>
        <v>-24</v>
      </c>
    </row>
    <row r="679" spans="1:27" s="145" customFormat="1" ht="36" customHeight="1" x14ac:dyDescent="0.25">
      <c r="A679" s="119" t="s">
        <v>26</v>
      </c>
      <c r="B679" s="139">
        <v>244242</v>
      </c>
      <c r="C679" s="119" t="s">
        <v>14</v>
      </c>
      <c r="D679" s="166">
        <v>680544</v>
      </c>
      <c r="E679" s="119" t="s">
        <v>420</v>
      </c>
      <c r="F679" s="190">
        <v>68091509</v>
      </c>
      <c r="G679" s="119" t="s">
        <v>2075</v>
      </c>
      <c r="H679" s="187" t="s">
        <v>289</v>
      </c>
      <c r="I679" s="147" t="s">
        <v>1041</v>
      </c>
      <c r="J679" s="146">
        <v>127.45</v>
      </c>
      <c r="K679" s="119" t="s">
        <v>207</v>
      </c>
      <c r="L679" s="146">
        <f>J679-124</f>
        <v>3.4500000000000028</v>
      </c>
      <c r="M679" s="119" t="s">
        <v>1072</v>
      </c>
      <c r="N679" s="119" t="s">
        <v>93</v>
      </c>
      <c r="O679" s="141">
        <f t="shared" ref="O679:O681" si="439">B679</f>
        <v>244242</v>
      </c>
      <c r="P679" s="141">
        <f t="shared" ref="P679:P681" si="440">B679+7</f>
        <v>244249</v>
      </c>
      <c r="Q679" s="141">
        <f t="shared" ref="Q679:Q681" si="441">O679+2</f>
        <v>244244</v>
      </c>
      <c r="R679" s="139"/>
      <c r="S679" s="143"/>
      <c r="T679" s="139"/>
      <c r="U679" s="143"/>
      <c r="V679" s="139" t="s">
        <v>55</v>
      </c>
      <c r="W679" s="143">
        <v>244243</v>
      </c>
      <c r="X679" s="139"/>
      <c r="Y679" s="141"/>
      <c r="Z679" s="119" t="s">
        <v>2080</v>
      </c>
      <c r="AA679" s="144">
        <f>W679-P697</f>
        <v>-25</v>
      </c>
    </row>
    <row r="680" spans="1:27" s="145" customFormat="1" ht="36" customHeight="1" x14ac:dyDescent="0.25">
      <c r="A680" s="119" t="s">
        <v>26</v>
      </c>
      <c r="B680" s="139">
        <v>244242</v>
      </c>
      <c r="C680" s="119" t="s">
        <v>14</v>
      </c>
      <c r="D680" s="166">
        <v>680545</v>
      </c>
      <c r="E680" s="119" t="s">
        <v>420</v>
      </c>
      <c r="F680" s="190">
        <v>68091534</v>
      </c>
      <c r="G680" s="119" t="s">
        <v>2077</v>
      </c>
      <c r="H680" s="187" t="s">
        <v>227</v>
      </c>
      <c r="I680" s="147" t="s">
        <v>1041</v>
      </c>
      <c r="J680" s="146">
        <v>125.44</v>
      </c>
      <c r="K680" s="119" t="s">
        <v>207</v>
      </c>
      <c r="L680" s="146">
        <f>J680-124</f>
        <v>1.4399999999999977</v>
      </c>
      <c r="M680" s="119" t="s">
        <v>2078</v>
      </c>
      <c r="N680" s="119" t="s">
        <v>93</v>
      </c>
      <c r="O680" s="141">
        <f t="shared" si="439"/>
        <v>244242</v>
      </c>
      <c r="P680" s="141">
        <f t="shared" si="440"/>
        <v>244249</v>
      </c>
      <c r="Q680" s="141">
        <f t="shared" si="441"/>
        <v>244244</v>
      </c>
      <c r="R680" s="139"/>
      <c r="S680" s="143"/>
      <c r="T680" s="139"/>
      <c r="U680" s="143"/>
      <c r="V680" s="139" t="s">
        <v>55</v>
      </c>
      <c r="W680" s="143">
        <v>244243</v>
      </c>
      <c r="X680" s="139"/>
      <c r="Y680" s="141"/>
      <c r="Z680" s="119" t="s">
        <v>2080</v>
      </c>
      <c r="AA680" s="144">
        <f>W680-P698</f>
        <v>-25</v>
      </c>
    </row>
    <row r="681" spans="1:27" s="145" customFormat="1" ht="36" customHeight="1" x14ac:dyDescent="0.25">
      <c r="A681" s="119" t="s">
        <v>26</v>
      </c>
      <c r="B681" s="139">
        <v>244243</v>
      </c>
      <c r="C681" s="119" t="s">
        <v>14</v>
      </c>
      <c r="D681" s="166">
        <v>680546</v>
      </c>
      <c r="E681" s="119" t="s">
        <v>420</v>
      </c>
      <c r="F681" s="190">
        <v>68091611</v>
      </c>
      <c r="G681" s="119" t="s">
        <v>2081</v>
      </c>
      <c r="H681" s="187" t="s">
        <v>410</v>
      </c>
      <c r="I681" s="147" t="s">
        <v>1041</v>
      </c>
      <c r="J681" s="146">
        <v>127.51</v>
      </c>
      <c r="K681" s="119" t="s">
        <v>207</v>
      </c>
      <c r="L681" s="146">
        <f>J681-124</f>
        <v>3.5100000000000051</v>
      </c>
      <c r="M681" s="119" t="s">
        <v>2082</v>
      </c>
      <c r="N681" s="119" t="s">
        <v>93</v>
      </c>
      <c r="O681" s="141">
        <f t="shared" si="439"/>
        <v>244243</v>
      </c>
      <c r="P681" s="141">
        <f t="shared" si="440"/>
        <v>244250</v>
      </c>
      <c r="Q681" s="141">
        <f t="shared" si="441"/>
        <v>244245</v>
      </c>
      <c r="R681" s="139"/>
      <c r="S681" s="143"/>
      <c r="T681" s="139"/>
      <c r="U681" s="143"/>
      <c r="V681" s="139" t="s">
        <v>55</v>
      </c>
      <c r="W681" s="143">
        <v>244244</v>
      </c>
      <c r="X681" s="139"/>
      <c r="Y681" s="141"/>
      <c r="Z681" s="119" t="s">
        <v>2084</v>
      </c>
      <c r="AA681" s="144">
        <f>W681-P699</f>
        <v>-24</v>
      </c>
    </row>
    <row r="682" spans="1:27" s="145" customFormat="1" ht="36" customHeight="1" x14ac:dyDescent="0.25">
      <c r="A682" s="119" t="s">
        <v>26</v>
      </c>
      <c r="B682" s="139">
        <v>244243</v>
      </c>
      <c r="C682" s="119" t="s">
        <v>14</v>
      </c>
      <c r="D682" s="166">
        <v>680546</v>
      </c>
      <c r="E682" s="119" t="s">
        <v>420</v>
      </c>
      <c r="F682" s="190">
        <v>68091617</v>
      </c>
      <c r="G682" s="119" t="s">
        <v>2083</v>
      </c>
      <c r="H682" s="187" t="s">
        <v>270</v>
      </c>
      <c r="I682" s="147" t="s">
        <v>1041</v>
      </c>
      <c r="J682" s="146">
        <v>127.1</v>
      </c>
      <c r="K682" s="119" t="s">
        <v>207</v>
      </c>
      <c r="L682" s="146">
        <f>J682-124</f>
        <v>3.0999999999999943</v>
      </c>
      <c r="M682" s="119" t="s">
        <v>959</v>
      </c>
      <c r="N682" s="119" t="s">
        <v>93</v>
      </c>
      <c r="O682" s="141">
        <f t="shared" si="433"/>
        <v>244243</v>
      </c>
      <c r="P682" s="141">
        <f t="shared" si="435"/>
        <v>244250</v>
      </c>
      <c r="Q682" s="141">
        <f t="shared" si="434"/>
        <v>244245</v>
      </c>
      <c r="R682" s="139"/>
      <c r="S682" s="143"/>
      <c r="T682" s="139"/>
      <c r="U682" s="143"/>
      <c r="V682" s="139" t="s">
        <v>55</v>
      </c>
      <c r="W682" s="143">
        <v>244244</v>
      </c>
      <c r="X682" s="139"/>
      <c r="Y682" s="141"/>
      <c r="Z682" s="119" t="s">
        <v>2084</v>
      </c>
      <c r="AA682" s="144">
        <f>W682-P699</f>
        <v>-24</v>
      </c>
    </row>
    <row r="683" spans="1:27" s="145" customFormat="1" ht="36" customHeight="1" x14ac:dyDescent="0.25">
      <c r="A683" s="119" t="s">
        <v>26</v>
      </c>
      <c r="B683" s="139">
        <v>244244</v>
      </c>
      <c r="C683" s="119" t="s">
        <v>14</v>
      </c>
      <c r="D683" s="166">
        <v>680547</v>
      </c>
      <c r="E683" s="119" t="s">
        <v>420</v>
      </c>
      <c r="F683" s="190">
        <v>68091734</v>
      </c>
      <c r="G683" s="119" t="s">
        <v>2085</v>
      </c>
      <c r="H683" s="187" t="s">
        <v>272</v>
      </c>
      <c r="I683" s="147" t="s">
        <v>1041</v>
      </c>
      <c r="J683" s="146">
        <v>126.81</v>
      </c>
      <c r="K683" s="119" t="s">
        <v>207</v>
      </c>
      <c r="L683" s="146">
        <f>J683-124</f>
        <v>2.8100000000000023</v>
      </c>
      <c r="M683" s="119" t="s">
        <v>2087</v>
      </c>
      <c r="N683" s="119" t="s">
        <v>93</v>
      </c>
      <c r="O683" s="141">
        <f t="shared" ref="O683" si="442">B683</f>
        <v>244244</v>
      </c>
      <c r="P683" s="141">
        <f t="shared" ref="P683" si="443">B683+7</f>
        <v>244251</v>
      </c>
      <c r="Q683" s="141">
        <f t="shared" ref="Q683" si="444">O683+2</f>
        <v>244246</v>
      </c>
      <c r="R683" s="139"/>
      <c r="S683" s="143"/>
      <c r="T683" s="139"/>
      <c r="U683" s="143"/>
      <c r="V683" s="139" t="s">
        <v>55</v>
      </c>
      <c r="W683" s="143">
        <v>244244</v>
      </c>
      <c r="X683" s="139"/>
      <c r="Y683" s="141"/>
      <c r="Z683" s="119" t="s">
        <v>2084</v>
      </c>
      <c r="AA683" s="144">
        <f>W683-P698</f>
        <v>-24</v>
      </c>
    </row>
    <row r="684" spans="1:27" s="145" customFormat="1" ht="36" customHeight="1" x14ac:dyDescent="0.25">
      <c r="A684" s="119" t="s">
        <v>26</v>
      </c>
      <c r="B684" s="139">
        <v>244244</v>
      </c>
      <c r="C684" s="119" t="s">
        <v>14</v>
      </c>
      <c r="D684" s="166">
        <v>680548</v>
      </c>
      <c r="E684" s="119" t="s">
        <v>420</v>
      </c>
      <c r="F684" s="190">
        <v>68091735</v>
      </c>
      <c r="G684" s="119" t="s">
        <v>2086</v>
      </c>
      <c r="H684" s="187" t="s">
        <v>273</v>
      </c>
      <c r="I684" s="147" t="s">
        <v>1041</v>
      </c>
      <c r="J684" s="146">
        <v>119.98</v>
      </c>
      <c r="K684" s="119" t="s">
        <v>201</v>
      </c>
      <c r="L684" s="146">
        <f>121-J684</f>
        <v>1.019999999999996</v>
      </c>
      <c r="M684" s="119" t="s">
        <v>1048</v>
      </c>
      <c r="N684" s="119" t="s">
        <v>93</v>
      </c>
      <c r="O684" s="141">
        <f t="shared" si="433"/>
        <v>244244</v>
      </c>
      <c r="P684" s="141">
        <f t="shared" si="435"/>
        <v>244251</v>
      </c>
      <c r="Q684" s="141">
        <f t="shared" si="434"/>
        <v>244246</v>
      </c>
      <c r="R684" s="139"/>
      <c r="S684" s="143"/>
      <c r="T684" s="139"/>
      <c r="U684" s="143"/>
      <c r="V684" s="139" t="s">
        <v>55</v>
      </c>
      <c r="W684" s="143">
        <v>244244</v>
      </c>
      <c r="X684" s="139"/>
      <c r="Y684" s="141"/>
      <c r="Z684" s="119" t="s">
        <v>2084</v>
      </c>
      <c r="AA684" s="144">
        <f>W684-P699</f>
        <v>-24</v>
      </c>
    </row>
    <row r="685" spans="1:27" s="145" customFormat="1" ht="36" customHeight="1" x14ac:dyDescent="0.25">
      <c r="A685" s="119" t="s">
        <v>26</v>
      </c>
      <c r="B685" s="139">
        <v>244247</v>
      </c>
      <c r="C685" s="119" t="s">
        <v>14</v>
      </c>
      <c r="D685" s="166">
        <v>680549</v>
      </c>
      <c r="E685" s="119" t="s">
        <v>420</v>
      </c>
      <c r="F685" s="190">
        <v>68092032</v>
      </c>
      <c r="G685" s="119" t="s">
        <v>2089</v>
      </c>
      <c r="H685" s="187" t="s">
        <v>253</v>
      </c>
      <c r="I685" s="147" t="s">
        <v>1041</v>
      </c>
      <c r="J685" s="146">
        <v>125.62</v>
      </c>
      <c r="K685" s="119" t="s">
        <v>207</v>
      </c>
      <c r="L685" s="146">
        <f>J685-124</f>
        <v>1.6200000000000045</v>
      </c>
      <c r="M685" s="119" t="s">
        <v>2090</v>
      </c>
      <c r="N685" s="119" t="s">
        <v>93</v>
      </c>
      <c r="O685" s="141">
        <f t="shared" si="433"/>
        <v>244247</v>
      </c>
      <c r="P685" s="141">
        <f t="shared" si="435"/>
        <v>244254</v>
      </c>
      <c r="Q685" s="141">
        <f t="shared" si="434"/>
        <v>244249</v>
      </c>
      <c r="R685" s="139" t="s">
        <v>55</v>
      </c>
      <c r="S685" s="143">
        <v>244256</v>
      </c>
      <c r="T685" s="139" t="s">
        <v>55</v>
      </c>
      <c r="U685" s="143">
        <v>244264</v>
      </c>
      <c r="V685" s="139" t="s">
        <v>55</v>
      </c>
      <c r="W685" s="143">
        <v>244261</v>
      </c>
      <c r="X685" s="139"/>
      <c r="Y685" s="141"/>
      <c r="Z685" s="119" t="s">
        <v>2119</v>
      </c>
      <c r="AA685" s="144">
        <f>W685-P700</f>
        <v>-7</v>
      </c>
    </row>
    <row r="686" spans="1:27" s="145" customFormat="1" ht="36" customHeight="1" x14ac:dyDescent="0.25">
      <c r="A686" s="119" t="s">
        <v>26</v>
      </c>
      <c r="B686" s="139">
        <v>244248</v>
      </c>
      <c r="C686" s="119" t="s">
        <v>14</v>
      </c>
      <c r="D686" s="166">
        <v>680550</v>
      </c>
      <c r="E686" s="119" t="s">
        <v>420</v>
      </c>
      <c r="F686" s="190">
        <v>68092116</v>
      </c>
      <c r="G686" s="119" t="s">
        <v>2091</v>
      </c>
      <c r="H686" s="187" t="s">
        <v>254</v>
      </c>
      <c r="I686" s="147" t="s">
        <v>1041</v>
      </c>
      <c r="J686" s="146">
        <v>118.06</v>
      </c>
      <c r="K686" s="119" t="s">
        <v>201</v>
      </c>
      <c r="L686" s="146">
        <f>121-J686</f>
        <v>2.9399999999999977</v>
      </c>
      <c r="M686" s="119" t="s">
        <v>2092</v>
      </c>
      <c r="N686" s="119" t="s">
        <v>93</v>
      </c>
      <c r="O686" s="141">
        <f t="shared" si="433"/>
        <v>244248</v>
      </c>
      <c r="P686" s="141">
        <f t="shared" si="435"/>
        <v>244255</v>
      </c>
      <c r="Q686" s="141">
        <f t="shared" si="434"/>
        <v>244250</v>
      </c>
      <c r="R686" s="139" t="s">
        <v>55</v>
      </c>
      <c r="S686" s="143">
        <v>244256</v>
      </c>
      <c r="T686" s="139" t="s">
        <v>55</v>
      </c>
      <c r="U686" s="143">
        <v>244264</v>
      </c>
      <c r="V686" s="139" t="s">
        <v>55</v>
      </c>
      <c r="W686" s="143">
        <v>244264</v>
      </c>
      <c r="X686" s="139"/>
      <c r="Y686" s="141"/>
      <c r="Z686" s="119" t="s">
        <v>2174</v>
      </c>
      <c r="AA686" s="144">
        <f t="shared" ref="AA686" si="445">W686-P699</f>
        <v>-4</v>
      </c>
    </row>
    <row r="687" spans="1:27" s="145" customFormat="1" ht="36" customHeight="1" x14ac:dyDescent="0.25">
      <c r="A687" s="119" t="s">
        <v>26</v>
      </c>
      <c r="B687" s="139">
        <v>244249</v>
      </c>
      <c r="C687" s="119" t="s">
        <v>14</v>
      </c>
      <c r="D687" s="166">
        <v>680551</v>
      </c>
      <c r="E687" s="119" t="s">
        <v>808</v>
      </c>
      <c r="F687" s="190">
        <v>68092202</v>
      </c>
      <c r="G687" s="119" t="s">
        <v>2093</v>
      </c>
      <c r="H687" s="187" t="s">
        <v>277</v>
      </c>
      <c r="I687" s="147" t="s">
        <v>810</v>
      </c>
      <c r="J687" s="146">
        <v>107.78</v>
      </c>
      <c r="K687" s="119" t="s">
        <v>201</v>
      </c>
      <c r="L687" s="146">
        <f>110-J687</f>
        <v>2.2199999999999989</v>
      </c>
      <c r="M687" s="119" t="s">
        <v>2094</v>
      </c>
      <c r="N687" s="119" t="s">
        <v>93</v>
      </c>
      <c r="O687" s="141">
        <f t="shared" si="433"/>
        <v>244249</v>
      </c>
      <c r="P687" s="141">
        <f t="shared" si="435"/>
        <v>244256</v>
      </c>
      <c r="Q687" s="141">
        <f t="shared" si="434"/>
        <v>244251</v>
      </c>
      <c r="R687" s="139" t="s">
        <v>55</v>
      </c>
      <c r="S687" s="143">
        <v>244256</v>
      </c>
      <c r="T687" s="139" t="s">
        <v>55</v>
      </c>
      <c r="U687" s="143">
        <v>244264</v>
      </c>
      <c r="V687" s="139" t="s">
        <v>55</v>
      </c>
      <c r="W687" s="143">
        <v>244254</v>
      </c>
      <c r="X687" s="119"/>
      <c r="Y687" s="141"/>
      <c r="Z687" s="119" t="s">
        <v>2095</v>
      </c>
      <c r="AA687" s="144">
        <f>W687-P700</f>
        <v>-14</v>
      </c>
    </row>
    <row r="688" spans="1:27" s="145" customFormat="1" ht="36" customHeight="1" x14ac:dyDescent="0.25">
      <c r="A688" s="119" t="s">
        <v>27</v>
      </c>
      <c r="B688" s="139">
        <v>244258</v>
      </c>
      <c r="C688" s="119" t="s">
        <v>14</v>
      </c>
      <c r="D688" s="166">
        <v>680552</v>
      </c>
      <c r="E688" s="119" t="s">
        <v>2096</v>
      </c>
      <c r="F688" s="190">
        <v>68100127</v>
      </c>
      <c r="G688" s="119" t="s">
        <v>2097</v>
      </c>
      <c r="H688" s="187" t="s">
        <v>252</v>
      </c>
      <c r="I688" s="147" t="s">
        <v>2098</v>
      </c>
      <c r="J688" s="146">
        <v>56.21</v>
      </c>
      <c r="K688" s="119" t="s">
        <v>207</v>
      </c>
      <c r="L688" s="146">
        <f>J688-54</f>
        <v>2.2100000000000009</v>
      </c>
      <c r="M688" s="119" t="s">
        <v>2099</v>
      </c>
      <c r="N688" s="119" t="s">
        <v>93</v>
      </c>
      <c r="O688" s="141">
        <f t="shared" si="433"/>
        <v>244258</v>
      </c>
      <c r="P688" s="141">
        <f t="shared" si="435"/>
        <v>244265</v>
      </c>
      <c r="Q688" s="141">
        <f t="shared" si="434"/>
        <v>244260</v>
      </c>
      <c r="R688" s="139" t="s">
        <v>55</v>
      </c>
      <c r="S688" s="143">
        <v>244263</v>
      </c>
      <c r="T688" s="139" t="s">
        <v>55</v>
      </c>
      <c r="U688" s="143">
        <v>244264</v>
      </c>
      <c r="V688" s="139" t="s">
        <v>55</v>
      </c>
      <c r="W688" s="143">
        <v>244264</v>
      </c>
      <c r="X688" s="139"/>
      <c r="Y688" s="141"/>
      <c r="Z688" s="119" t="s">
        <v>2173</v>
      </c>
      <c r="AA688" s="144">
        <f>W688-P702</f>
        <v>219140</v>
      </c>
    </row>
    <row r="689" spans="1:27" s="145" customFormat="1" ht="36" customHeight="1" x14ac:dyDescent="0.25">
      <c r="A689" s="119" t="s">
        <v>27</v>
      </c>
      <c r="B689" s="139">
        <v>244259</v>
      </c>
      <c r="C689" s="119" t="s">
        <v>14</v>
      </c>
      <c r="D689" s="166">
        <v>680553</v>
      </c>
      <c r="E689" s="119" t="s">
        <v>1345</v>
      </c>
      <c r="F689" s="190">
        <v>68100212</v>
      </c>
      <c r="G689" s="119" t="s">
        <v>2100</v>
      </c>
      <c r="H689" s="187" t="s">
        <v>263</v>
      </c>
      <c r="I689" s="147" t="s">
        <v>1051</v>
      </c>
      <c r="J689" s="146">
        <v>51.88</v>
      </c>
      <c r="K689" s="119" t="s">
        <v>200</v>
      </c>
      <c r="L689" s="146">
        <f>J689-47</f>
        <v>4.8800000000000026</v>
      </c>
      <c r="M689" s="119" t="s">
        <v>2101</v>
      </c>
      <c r="N689" s="119" t="s">
        <v>93</v>
      </c>
      <c r="O689" s="141">
        <f t="shared" si="433"/>
        <v>244259</v>
      </c>
      <c r="P689" s="141">
        <f t="shared" si="435"/>
        <v>244266</v>
      </c>
      <c r="Q689" s="141">
        <f t="shared" si="434"/>
        <v>244261</v>
      </c>
      <c r="R689" s="139" t="s">
        <v>55</v>
      </c>
      <c r="S689" s="143">
        <v>244263</v>
      </c>
      <c r="T689" s="139" t="s">
        <v>55</v>
      </c>
      <c r="U689" s="143">
        <v>244265</v>
      </c>
      <c r="V689" s="139" t="s">
        <v>55</v>
      </c>
      <c r="W689" s="143">
        <v>244265</v>
      </c>
      <c r="X689" s="139"/>
      <c r="Y689" s="141"/>
      <c r="Z689" s="119" t="s">
        <v>2172</v>
      </c>
      <c r="AA689" s="144">
        <f>W689-P705</f>
        <v>219141</v>
      </c>
    </row>
    <row r="690" spans="1:27" s="145" customFormat="1" ht="36" customHeight="1" x14ac:dyDescent="0.25">
      <c r="A690" s="119" t="s">
        <v>27</v>
      </c>
      <c r="B690" s="139">
        <v>244260</v>
      </c>
      <c r="C690" s="119" t="s">
        <v>14</v>
      </c>
      <c r="D690" s="166">
        <v>680554</v>
      </c>
      <c r="E690" s="119" t="s">
        <v>413</v>
      </c>
      <c r="F690" s="190">
        <v>68100308</v>
      </c>
      <c r="G690" s="119" t="s">
        <v>2102</v>
      </c>
      <c r="H690" s="187" t="s">
        <v>1168</v>
      </c>
      <c r="I690" s="154" t="s">
        <v>415</v>
      </c>
      <c r="J690" s="146">
        <v>85.04</v>
      </c>
      <c r="K690" s="119" t="s">
        <v>207</v>
      </c>
      <c r="L690" s="146">
        <f>J690-80</f>
        <v>5.0400000000000063</v>
      </c>
      <c r="M690" s="119" t="s">
        <v>2103</v>
      </c>
      <c r="N690" s="119" t="s">
        <v>93</v>
      </c>
      <c r="O690" s="141">
        <f t="shared" si="433"/>
        <v>244260</v>
      </c>
      <c r="P690" s="141">
        <f t="shared" si="435"/>
        <v>244267</v>
      </c>
      <c r="Q690" s="141">
        <f t="shared" si="434"/>
        <v>244262</v>
      </c>
      <c r="R690" s="139" t="s">
        <v>55</v>
      </c>
      <c r="S690" s="143">
        <v>244263</v>
      </c>
      <c r="T690" s="139" t="s">
        <v>55</v>
      </c>
      <c r="U690" s="143">
        <v>244264</v>
      </c>
      <c r="V690" s="139" t="s">
        <v>55</v>
      </c>
      <c r="W690" s="143">
        <v>244264</v>
      </c>
      <c r="X690" s="139"/>
      <c r="Y690" s="141"/>
      <c r="Z690" s="119" t="s">
        <v>1334</v>
      </c>
      <c r="AA690" s="144">
        <f>W690-P706</f>
        <v>219140</v>
      </c>
    </row>
    <row r="691" spans="1:27" s="145" customFormat="1" ht="36" customHeight="1" x14ac:dyDescent="0.25">
      <c r="A691" s="119" t="s">
        <v>27</v>
      </c>
      <c r="B691" s="139">
        <v>244260</v>
      </c>
      <c r="C691" s="119" t="s">
        <v>14</v>
      </c>
      <c r="D691" s="166">
        <v>680554</v>
      </c>
      <c r="E691" s="119" t="s">
        <v>413</v>
      </c>
      <c r="F691" s="190">
        <v>68100311</v>
      </c>
      <c r="G691" s="119" t="s">
        <v>2104</v>
      </c>
      <c r="H691" s="187" t="s">
        <v>237</v>
      </c>
      <c r="I691" s="154" t="s">
        <v>415</v>
      </c>
      <c r="J691" s="146">
        <v>83.65</v>
      </c>
      <c r="K691" s="119" t="s">
        <v>200</v>
      </c>
      <c r="L691" s="146">
        <f>J691-80</f>
        <v>3.6500000000000057</v>
      </c>
      <c r="M691" s="119" t="s">
        <v>2105</v>
      </c>
      <c r="N691" s="119" t="s">
        <v>93</v>
      </c>
      <c r="O691" s="141">
        <f t="shared" si="433"/>
        <v>244260</v>
      </c>
      <c r="P691" s="141">
        <f t="shared" si="435"/>
        <v>244267</v>
      </c>
      <c r="Q691" s="141">
        <f t="shared" si="434"/>
        <v>244262</v>
      </c>
      <c r="R691" s="139" t="s">
        <v>55</v>
      </c>
      <c r="S691" s="143">
        <v>244263</v>
      </c>
      <c r="T691" s="139" t="s">
        <v>55</v>
      </c>
      <c r="U691" s="143">
        <v>244264</v>
      </c>
      <c r="V691" s="139" t="s">
        <v>55</v>
      </c>
      <c r="W691" s="143">
        <v>244264</v>
      </c>
      <c r="X691" s="139"/>
      <c r="Y691" s="141"/>
      <c r="Z691" s="119" t="s">
        <v>1334</v>
      </c>
      <c r="AA691" s="144"/>
    </row>
    <row r="692" spans="1:27" s="145" customFormat="1" ht="36" customHeight="1" x14ac:dyDescent="0.25">
      <c r="A692" s="119" t="s">
        <v>27</v>
      </c>
      <c r="B692" s="139">
        <v>244260</v>
      </c>
      <c r="C692" s="119" t="s">
        <v>14</v>
      </c>
      <c r="D692" s="166">
        <v>680554</v>
      </c>
      <c r="E692" s="119" t="s">
        <v>413</v>
      </c>
      <c r="F692" s="190">
        <v>68100333</v>
      </c>
      <c r="G692" s="119" t="s">
        <v>2115</v>
      </c>
      <c r="H692" s="187" t="s">
        <v>297</v>
      </c>
      <c r="I692" s="154" t="s">
        <v>415</v>
      </c>
      <c r="J692" s="146">
        <v>84.36</v>
      </c>
      <c r="K692" s="119" t="s">
        <v>200</v>
      </c>
      <c r="L692" s="146">
        <f>J692-80</f>
        <v>4.3599999999999994</v>
      </c>
      <c r="M692" s="119" t="s">
        <v>2116</v>
      </c>
      <c r="N692" s="119" t="s">
        <v>93</v>
      </c>
      <c r="O692" s="141">
        <f t="shared" ref="O692" si="446">B692</f>
        <v>244260</v>
      </c>
      <c r="P692" s="141">
        <f t="shared" ref="P692" si="447">B692+7</f>
        <v>244267</v>
      </c>
      <c r="Q692" s="141">
        <f t="shared" ref="Q692" si="448">O692+2</f>
        <v>244262</v>
      </c>
      <c r="R692" s="139" t="s">
        <v>55</v>
      </c>
      <c r="S692" s="143">
        <v>244263</v>
      </c>
      <c r="T692" s="139" t="s">
        <v>55</v>
      </c>
      <c r="U692" s="143">
        <v>244264</v>
      </c>
      <c r="V692" s="139" t="s">
        <v>55</v>
      </c>
      <c r="W692" s="143">
        <v>244264</v>
      </c>
      <c r="X692" s="139"/>
      <c r="Y692" s="141"/>
      <c r="Z692" s="119" t="s">
        <v>1334</v>
      </c>
      <c r="AA692" s="144"/>
    </row>
    <row r="693" spans="1:27" s="145" customFormat="1" ht="36" customHeight="1" x14ac:dyDescent="0.25">
      <c r="A693" s="119" t="s">
        <v>27</v>
      </c>
      <c r="B693" s="139">
        <v>244260</v>
      </c>
      <c r="C693" s="119" t="s">
        <v>14</v>
      </c>
      <c r="D693" s="166">
        <v>680555</v>
      </c>
      <c r="E693" s="119" t="s">
        <v>306</v>
      </c>
      <c r="F693" s="190">
        <v>68100302</v>
      </c>
      <c r="G693" s="119" t="s">
        <v>2106</v>
      </c>
      <c r="H693" s="187" t="s">
        <v>290</v>
      </c>
      <c r="I693" s="154" t="s">
        <v>305</v>
      </c>
      <c r="J693" s="146">
        <v>73.06</v>
      </c>
      <c r="K693" s="119" t="s">
        <v>207</v>
      </c>
      <c r="L693" s="146">
        <f>J693-70</f>
        <v>3.0600000000000023</v>
      </c>
      <c r="M693" s="119" t="s">
        <v>2107</v>
      </c>
      <c r="N693" s="119" t="s">
        <v>93</v>
      </c>
      <c r="O693" s="141">
        <f t="shared" si="433"/>
        <v>244260</v>
      </c>
      <c r="P693" s="141">
        <f t="shared" si="435"/>
        <v>244267</v>
      </c>
      <c r="Q693" s="141">
        <f t="shared" si="434"/>
        <v>244262</v>
      </c>
      <c r="R693" s="139" t="s">
        <v>55</v>
      </c>
      <c r="S693" s="143">
        <v>244267</v>
      </c>
      <c r="T693" s="139" t="s">
        <v>55</v>
      </c>
      <c r="U693" s="143">
        <v>244270</v>
      </c>
      <c r="V693" s="139" t="s">
        <v>55</v>
      </c>
      <c r="W693" s="143">
        <v>244260</v>
      </c>
      <c r="X693" s="139"/>
      <c r="Y693" s="141"/>
      <c r="Z693" s="119" t="s">
        <v>2118</v>
      </c>
      <c r="AA693" s="144">
        <f>W693-P710</f>
        <v>219136</v>
      </c>
    </row>
    <row r="694" spans="1:27" s="145" customFormat="1" ht="36" customHeight="1" x14ac:dyDescent="0.25">
      <c r="A694" s="119" t="s">
        <v>27</v>
      </c>
      <c r="B694" s="139">
        <v>244260</v>
      </c>
      <c r="C694" s="119" t="s">
        <v>14</v>
      </c>
      <c r="D694" s="166">
        <v>680556</v>
      </c>
      <c r="E694" s="119" t="s">
        <v>307</v>
      </c>
      <c r="F694" s="190">
        <v>68100307</v>
      </c>
      <c r="G694" s="119" t="s">
        <v>2108</v>
      </c>
      <c r="H694" s="187" t="s">
        <v>266</v>
      </c>
      <c r="I694" s="154" t="s">
        <v>308</v>
      </c>
      <c r="J694" s="146" t="s">
        <v>2110</v>
      </c>
      <c r="K694" s="146" t="s">
        <v>2110</v>
      </c>
      <c r="L694" s="146" t="s">
        <v>69</v>
      </c>
      <c r="M694" s="119" t="s">
        <v>2109</v>
      </c>
      <c r="N694" s="119" t="s">
        <v>93</v>
      </c>
      <c r="O694" s="141">
        <f t="shared" si="433"/>
        <v>244260</v>
      </c>
      <c r="P694" s="141">
        <f t="shared" si="435"/>
        <v>244267</v>
      </c>
      <c r="Q694" s="141">
        <f t="shared" si="434"/>
        <v>244262</v>
      </c>
      <c r="R694" s="139" t="s">
        <v>55</v>
      </c>
      <c r="S694" s="143">
        <v>244267</v>
      </c>
      <c r="T694" s="139" t="s">
        <v>55</v>
      </c>
      <c r="U694" s="143">
        <v>244270</v>
      </c>
      <c r="V694" s="139" t="s">
        <v>55</v>
      </c>
      <c r="W694" s="143">
        <v>244260</v>
      </c>
      <c r="X694" s="139"/>
      <c r="Y694" s="141"/>
      <c r="Z694" s="119" t="s">
        <v>2117</v>
      </c>
      <c r="AA694" s="144">
        <f>W694-P710</f>
        <v>219136</v>
      </c>
    </row>
    <row r="695" spans="1:27" s="145" customFormat="1" ht="36" customHeight="1" x14ac:dyDescent="0.25">
      <c r="A695" s="119" t="s">
        <v>27</v>
      </c>
      <c r="B695" s="139">
        <v>244260</v>
      </c>
      <c r="C695" s="119" t="s">
        <v>14</v>
      </c>
      <c r="D695" s="166">
        <v>680557</v>
      </c>
      <c r="E695" s="119" t="s">
        <v>1345</v>
      </c>
      <c r="F695" s="190">
        <v>68100316</v>
      </c>
      <c r="G695" s="119" t="s">
        <v>2111</v>
      </c>
      <c r="H695" s="187" t="s">
        <v>263</v>
      </c>
      <c r="I695" s="154" t="s">
        <v>1051</v>
      </c>
      <c r="J695" s="146">
        <v>52.03</v>
      </c>
      <c r="K695" s="119" t="s">
        <v>200</v>
      </c>
      <c r="L695" s="146">
        <f>J695-47</f>
        <v>5.0300000000000011</v>
      </c>
      <c r="M695" s="146" t="s">
        <v>2112</v>
      </c>
      <c r="N695" s="119" t="s">
        <v>93</v>
      </c>
      <c r="O695" s="141">
        <f t="shared" si="433"/>
        <v>244260</v>
      </c>
      <c r="P695" s="141">
        <f t="shared" si="435"/>
        <v>244267</v>
      </c>
      <c r="Q695" s="141">
        <f t="shared" si="434"/>
        <v>244262</v>
      </c>
      <c r="R695" s="139" t="s">
        <v>55</v>
      </c>
      <c r="S695" s="143">
        <v>244263</v>
      </c>
      <c r="T695" s="139" t="s">
        <v>55</v>
      </c>
      <c r="U695" s="143">
        <v>244265</v>
      </c>
      <c r="V695" s="139" t="s">
        <v>55</v>
      </c>
      <c r="W695" s="143">
        <v>244265</v>
      </c>
      <c r="X695" s="139"/>
      <c r="Y695" s="141"/>
      <c r="Z695" s="119" t="s">
        <v>2172</v>
      </c>
      <c r="AA695" s="144">
        <f>W695-P715</f>
        <v>219141</v>
      </c>
    </row>
    <row r="696" spans="1:27" s="145" customFormat="1" ht="36" customHeight="1" x14ac:dyDescent="0.25">
      <c r="A696" s="119" t="s">
        <v>27</v>
      </c>
      <c r="B696" s="139">
        <v>244260</v>
      </c>
      <c r="C696" s="119" t="s">
        <v>14</v>
      </c>
      <c r="D696" s="166">
        <v>680558</v>
      </c>
      <c r="E696" s="119" t="s">
        <v>420</v>
      </c>
      <c r="F696" s="190">
        <v>68100326</v>
      </c>
      <c r="G696" s="119" t="s">
        <v>2113</v>
      </c>
      <c r="H696" s="187" t="s">
        <v>249</v>
      </c>
      <c r="I696" s="154" t="s">
        <v>1041</v>
      </c>
      <c r="J696" s="146">
        <v>127.29</v>
      </c>
      <c r="K696" s="119" t="s">
        <v>200</v>
      </c>
      <c r="L696" s="146">
        <f>J696-124</f>
        <v>3.2900000000000063</v>
      </c>
      <c r="M696" s="119" t="s">
        <v>2114</v>
      </c>
      <c r="N696" s="119" t="s">
        <v>93</v>
      </c>
      <c r="O696" s="141">
        <f t="shared" si="433"/>
        <v>244260</v>
      </c>
      <c r="P696" s="141">
        <f t="shared" si="435"/>
        <v>244267</v>
      </c>
      <c r="Q696" s="141">
        <f t="shared" si="434"/>
        <v>244262</v>
      </c>
      <c r="R696" s="139" t="s">
        <v>55</v>
      </c>
      <c r="S696" s="143">
        <v>244267</v>
      </c>
      <c r="T696" s="139" t="s">
        <v>55</v>
      </c>
      <c r="U696" s="143">
        <v>244270</v>
      </c>
      <c r="V696" s="139" t="s">
        <v>55</v>
      </c>
      <c r="W696" s="143">
        <v>244261</v>
      </c>
      <c r="X696" s="139"/>
      <c r="Y696" s="141"/>
      <c r="Z696" s="119" t="s">
        <v>2119</v>
      </c>
      <c r="AA696" s="144">
        <f>W696-P718</f>
        <v>-10</v>
      </c>
    </row>
    <row r="697" spans="1:27" s="145" customFormat="1" ht="36" customHeight="1" x14ac:dyDescent="0.25">
      <c r="A697" s="119" t="s">
        <v>27</v>
      </c>
      <c r="B697" s="139">
        <v>244261</v>
      </c>
      <c r="C697" s="119" t="s">
        <v>14</v>
      </c>
      <c r="D697" s="166">
        <v>680559</v>
      </c>
      <c r="E697" s="119" t="s">
        <v>376</v>
      </c>
      <c r="F697" s="190">
        <v>68100408</v>
      </c>
      <c r="G697" s="119" t="s">
        <v>2120</v>
      </c>
      <c r="H697" s="187" t="s">
        <v>488</v>
      </c>
      <c r="I697" s="154" t="s">
        <v>378</v>
      </c>
      <c r="J697" s="146">
        <v>118.96</v>
      </c>
      <c r="K697" s="119" t="s">
        <v>207</v>
      </c>
      <c r="L697" s="146">
        <f>J697-116</f>
        <v>2.9599999999999937</v>
      </c>
      <c r="M697" s="119" t="s">
        <v>2121</v>
      </c>
      <c r="N697" s="119" t="s">
        <v>93</v>
      </c>
      <c r="O697" s="141">
        <f t="shared" si="433"/>
        <v>244261</v>
      </c>
      <c r="P697" s="141">
        <f t="shared" si="435"/>
        <v>244268</v>
      </c>
      <c r="Q697" s="141">
        <f t="shared" si="434"/>
        <v>244263</v>
      </c>
      <c r="R697" s="139" t="s">
        <v>55</v>
      </c>
      <c r="S697" s="143">
        <v>244267</v>
      </c>
      <c r="T697" s="139" t="s">
        <v>55</v>
      </c>
      <c r="U697" s="143">
        <v>244270</v>
      </c>
      <c r="V697" s="139" t="s">
        <v>55</v>
      </c>
      <c r="W697" s="143">
        <v>244261</v>
      </c>
      <c r="X697" s="139"/>
      <c r="Y697" s="141"/>
      <c r="Z697" s="119" t="s">
        <v>2133</v>
      </c>
      <c r="AA697" s="144"/>
    </row>
    <row r="698" spans="1:27" s="145" customFormat="1" ht="36" customHeight="1" x14ac:dyDescent="0.25">
      <c r="A698" s="119" t="s">
        <v>27</v>
      </c>
      <c r="B698" s="139">
        <v>244261</v>
      </c>
      <c r="C698" s="119" t="s">
        <v>14</v>
      </c>
      <c r="D698" s="166">
        <v>680559</v>
      </c>
      <c r="E698" s="119" t="s">
        <v>376</v>
      </c>
      <c r="F698" s="190">
        <v>68100426</v>
      </c>
      <c r="G698" s="119" t="s">
        <v>2122</v>
      </c>
      <c r="H698" s="187" t="s">
        <v>563</v>
      </c>
      <c r="I698" s="154" t="s">
        <v>378</v>
      </c>
      <c r="J698" s="146">
        <v>120.05</v>
      </c>
      <c r="K698" s="119" t="s">
        <v>207</v>
      </c>
      <c r="L698" s="146">
        <f>J698-116</f>
        <v>4.0499999999999972</v>
      </c>
      <c r="M698" s="119" t="s">
        <v>2123</v>
      </c>
      <c r="N698" s="119" t="s">
        <v>93</v>
      </c>
      <c r="O698" s="141">
        <f t="shared" si="433"/>
        <v>244261</v>
      </c>
      <c r="P698" s="141">
        <f t="shared" si="435"/>
        <v>244268</v>
      </c>
      <c r="Q698" s="141">
        <f t="shared" si="434"/>
        <v>244263</v>
      </c>
      <c r="R698" s="139" t="s">
        <v>55</v>
      </c>
      <c r="S698" s="143">
        <v>244267</v>
      </c>
      <c r="T698" s="139" t="s">
        <v>55</v>
      </c>
      <c r="U698" s="143">
        <v>244270</v>
      </c>
      <c r="V698" s="139" t="s">
        <v>55</v>
      </c>
      <c r="W698" s="143">
        <v>244261</v>
      </c>
      <c r="X698" s="139"/>
      <c r="Y698" s="141"/>
      <c r="Z698" s="119" t="s">
        <v>2133</v>
      </c>
      <c r="AA698" s="144">
        <f>W698-P722</f>
        <v>-11</v>
      </c>
    </row>
    <row r="699" spans="1:27" s="145" customFormat="1" ht="36" customHeight="1" x14ac:dyDescent="0.25">
      <c r="A699" s="119" t="s">
        <v>27</v>
      </c>
      <c r="B699" s="139">
        <v>244261</v>
      </c>
      <c r="C699" s="119" t="s">
        <v>14</v>
      </c>
      <c r="D699" s="166">
        <v>680560</v>
      </c>
      <c r="E699" s="119" t="s">
        <v>2096</v>
      </c>
      <c r="F699" s="190">
        <v>68100445</v>
      </c>
      <c r="G699" s="119" t="s">
        <v>2124</v>
      </c>
      <c r="H699" s="187" t="s">
        <v>292</v>
      </c>
      <c r="I699" s="154" t="s">
        <v>2098</v>
      </c>
      <c r="J699" s="146">
        <v>58.49</v>
      </c>
      <c r="K699" s="119" t="s">
        <v>200</v>
      </c>
      <c r="L699" s="146">
        <f>J699-54</f>
        <v>4.490000000000002</v>
      </c>
      <c r="M699" s="119" t="s">
        <v>2125</v>
      </c>
      <c r="N699" s="119" t="s">
        <v>93</v>
      </c>
      <c r="O699" s="141">
        <f t="shared" si="433"/>
        <v>244261</v>
      </c>
      <c r="P699" s="141">
        <f t="shared" si="435"/>
        <v>244268</v>
      </c>
      <c r="Q699" s="141">
        <f t="shared" si="434"/>
        <v>244263</v>
      </c>
      <c r="R699" s="139" t="s">
        <v>55</v>
      </c>
      <c r="S699" s="143">
        <v>244267</v>
      </c>
      <c r="T699" s="139" t="s">
        <v>55</v>
      </c>
      <c r="U699" s="143">
        <v>244270</v>
      </c>
      <c r="V699" s="139" t="s">
        <v>55</v>
      </c>
      <c r="W699" s="143">
        <v>244270</v>
      </c>
      <c r="X699" s="139"/>
      <c r="Y699" s="141"/>
      <c r="Z699" s="119" t="s">
        <v>2173</v>
      </c>
      <c r="AA699" s="144">
        <f>W699-P724</f>
        <v>-2</v>
      </c>
    </row>
    <row r="700" spans="1:27" s="145" customFormat="1" ht="36" customHeight="1" x14ac:dyDescent="0.25">
      <c r="A700" s="119" t="s">
        <v>27</v>
      </c>
      <c r="B700" s="139">
        <v>244261</v>
      </c>
      <c r="C700" s="119" t="s">
        <v>14</v>
      </c>
      <c r="D700" s="166">
        <v>680561</v>
      </c>
      <c r="E700" s="119" t="s">
        <v>2126</v>
      </c>
      <c r="F700" s="190">
        <v>68100447</v>
      </c>
      <c r="G700" s="119" t="s">
        <v>2127</v>
      </c>
      <c r="H700" s="187" t="s">
        <v>281</v>
      </c>
      <c r="I700" s="154" t="s">
        <v>2128</v>
      </c>
      <c r="J700" s="146">
        <v>126.39</v>
      </c>
      <c r="K700" s="119" t="s">
        <v>207</v>
      </c>
      <c r="L700" s="146">
        <f>J700-123</f>
        <v>3.3900000000000006</v>
      </c>
      <c r="M700" s="119" t="s">
        <v>2129</v>
      </c>
      <c r="N700" s="119" t="s">
        <v>93</v>
      </c>
      <c r="O700" s="141">
        <f t="shared" si="433"/>
        <v>244261</v>
      </c>
      <c r="P700" s="141">
        <f t="shared" si="435"/>
        <v>244268</v>
      </c>
      <c r="Q700" s="141">
        <f t="shared" si="434"/>
        <v>244263</v>
      </c>
      <c r="R700" s="139" t="s">
        <v>55</v>
      </c>
      <c r="S700" s="143">
        <v>244267</v>
      </c>
      <c r="T700" s="139" t="s">
        <v>55</v>
      </c>
      <c r="U700" s="143">
        <v>244270</v>
      </c>
      <c r="V700" s="139" t="s">
        <v>55</v>
      </c>
      <c r="W700" s="143">
        <v>244261</v>
      </c>
      <c r="X700" s="139"/>
      <c r="Y700" s="141"/>
      <c r="Z700" s="119" t="s">
        <v>2132</v>
      </c>
      <c r="AA700" s="144">
        <f>W700-P725</f>
        <v>-12</v>
      </c>
    </row>
    <row r="701" spans="1:27" s="145" customFormat="1" ht="36" customHeight="1" x14ac:dyDescent="0.25">
      <c r="A701" s="119" t="s">
        <v>27</v>
      </c>
      <c r="B701" s="139">
        <v>244261</v>
      </c>
      <c r="C701" s="119" t="s">
        <v>14</v>
      </c>
      <c r="D701" s="166">
        <v>680562</v>
      </c>
      <c r="E701" s="119" t="s">
        <v>1345</v>
      </c>
      <c r="F701" s="190">
        <v>68100459</v>
      </c>
      <c r="G701" s="119" t="s">
        <v>2130</v>
      </c>
      <c r="H701" s="187" t="s">
        <v>263</v>
      </c>
      <c r="I701" s="154" t="s">
        <v>1051</v>
      </c>
      <c r="J701" s="146">
        <v>51.68</v>
      </c>
      <c r="K701" s="119" t="s">
        <v>200</v>
      </c>
      <c r="L701" s="146">
        <f>J701-47</f>
        <v>4.68</v>
      </c>
      <c r="M701" s="119" t="s">
        <v>2131</v>
      </c>
      <c r="N701" s="119" t="s">
        <v>93</v>
      </c>
      <c r="O701" s="141">
        <f t="shared" ref="O701" si="449">B701</f>
        <v>244261</v>
      </c>
      <c r="P701" s="141">
        <f t="shared" ref="P701" si="450">B701+7</f>
        <v>244268</v>
      </c>
      <c r="Q701" s="141">
        <f t="shared" ref="Q701" si="451">O701+2</f>
        <v>244263</v>
      </c>
      <c r="R701" s="139" t="s">
        <v>55</v>
      </c>
      <c r="S701" s="143">
        <v>244267</v>
      </c>
      <c r="T701" s="139" t="s">
        <v>55</v>
      </c>
      <c r="U701" s="143">
        <v>244270</v>
      </c>
      <c r="V701" s="139" t="s">
        <v>55</v>
      </c>
      <c r="W701" s="143">
        <v>244265</v>
      </c>
      <c r="X701" s="139"/>
      <c r="Y701" s="141"/>
      <c r="Z701" s="119" t="s">
        <v>2184</v>
      </c>
      <c r="AA701" s="144">
        <f>W701-P726</f>
        <v>-8</v>
      </c>
    </row>
    <row r="702" spans="1:27" s="145" customFormat="1" ht="36" customHeight="1" x14ac:dyDescent="0.25">
      <c r="A702" s="119" t="s">
        <v>27</v>
      </c>
      <c r="B702" s="139">
        <v>25117</v>
      </c>
      <c r="C702" s="119" t="s">
        <v>14</v>
      </c>
      <c r="D702" s="166">
        <v>680563</v>
      </c>
      <c r="E702" s="119" t="s">
        <v>413</v>
      </c>
      <c r="F702" s="190">
        <v>68100609</v>
      </c>
      <c r="G702" s="119" t="s">
        <v>2162</v>
      </c>
      <c r="H702" s="187" t="s">
        <v>278</v>
      </c>
      <c r="I702" s="147" t="s">
        <v>2163</v>
      </c>
      <c r="J702" s="119">
        <v>83.03</v>
      </c>
      <c r="K702" s="119" t="s">
        <v>797</v>
      </c>
      <c r="L702" s="142" t="s">
        <v>2165</v>
      </c>
      <c r="M702" s="119" t="s">
        <v>2164</v>
      </c>
      <c r="N702" s="119" t="s">
        <v>93</v>
      </c>
      <c r="O702" s="141">
        <f t="shared" si="433"/>
        <v>25117</v>
      </c>
      <c r="P702" s="141">
        <f t="shared" si="435"/>
        <v>25124</v>
      </c>
      <c r="Q702" s="141">
        <f t="shared" si="434"/>
        <v>25119</v>
      </c>
      <c r="R702" s="139" t="s">
        <v>55</v>
      </c>
      <c r="S702" s="143">
        <v>244267</v>
      </c>
      <c r="T702" s="139" t="s">
        <v>55</v>
      </c>
      <c r="U702" s="143">
        <v>244270</v>
      </c>
      <c r="V702" s="139" t="s">
        <v>55</v>
      </c>
      <c r="W702" s="143">
        <v>244270</v>
      </c>
      <c r="X702" s="139"/>
      <c r="Y702" s="141"/>
      <c r="Z702" s="119" t="s">
        <v>1334</v>
      </c>
      <c r="AA702" s="144">
        <f>W702-P726</f>
        <v>-3</v>
      </c>
    </row>
    <row r="703" spans="1:27" s="145" customFormat="1" ht="36" customHeight="1" x14ac:dyDescent="0.25">
      <c r="A703" s="119" t="s">
        <v>27</v>
      </c>
      <c r="B703" s="139">
        <v>25117</v>
      </c>
      <c r="C703" s="119" t="s">
        <v>14</v>
      </c>
      <c r="D703" s="166">
        <v>680564</v>
      </c>
      <c r="E703" s="119" t="s">
        <v>413</v>
      </c>
      <c r="F703" s="190">
        <v>68100608</v>
      </c>
      <c r="G703" s="119" t="s">
        <v>2160</v>
      </c>
      <c r="H703" s="187" t="s">
        <v>220</v>
      </c>
      <c r="I703" s="147" t="s">
        <v>415</v>
      </c>
      <c r="J703" s="146">
        <v>84.98</v>
      </c>
      <c r="K703" s="119" t="s">
        <v>207</v>
      </c>
      <c r="L703" s="146">
        <f>J703-80</f>
        <v>4.980000000000004</v>
      </c>
      <c r="M703" s="119" t="s">
        <v>2161</v>
      </c>
      <c r="N703" s="119" t="s">
        <v>93</v>
      </c>
      <c r="O703" s="141">
        <f t="shared" ref="O703" si="452">B703</f>
        <v>25117</v>
      </c>
      <c r="P703" s="141">
        <f t="shared" ref="P703" si="453">B703+7</f>
        <v>25124</v>
      </c>
      <c r="Q703" s="141">
        <f t="shared" ref="Q703" si="454">O703+2</f>
        <v>25119</v>
      </c>
      <c r="R703" s="139" t="s">
        <v>55</v>
      </c>
      <c r="S703" s="143">
        <v>244267</v>
      </c>
      <c r="T703" s="139" t="s">
        <v>55</v>
      </c>
      <c r="U703" s="143">
        <v>244270</v>
      </c>
      <c r="V703" s="139" t="s">
        <v>55</v>
      </c>
      <c r="W703" s="143">
        <v>244270</v>
      </c>
      <c r="X703" s="139"/>
      <c r="Y703" s="141"/>
      <c r="Z703" s="119" t="s">
        <v>1334</v>
      </c>
      <c r="AA703" s="144">
        <f>W703-P725</f>
        <v>-3</v>
      </c>
    </row>
    <row r="704" spans="1:27" s="145" customFormat="1" ht="36" customHeight="1" x14ac:dyDescent="0.25">
      <c r="A704" s="119" t="s">
        <v>27</v>
      </c>
      <c r="B704" s="139">
        <v>25117</v>
      </c>
      <c r="C704" s="119" t="s">
        <v>14</v>
      </c>
      <c r="D704" s="166">
        <v>680564</v>
      </c>
      <c r="E704" s="119" t="s">
        <v>413</v>
      </c>
      <c r="F704" s="190">
        <v>68100612</v>
      </c>
      <c r="G704" s="119" t="s">
        <v>2158</v>
      </c>
      <c r="H704" s="187" t="s">
        <v>268</v>
      </c>
      <c r="I704" s="147" t="s">
        <v>415</v>
      </c>
      <c r="J704" s="146">
        <v>83.38</v>
      </c>
      <c r="K704" s="119" t="s">
        <v>207</v>
      </c>
      <c r="L704" s="146">
        <f>J704-80</f>
        <v>3.3799999999999955</v>
      </c>
      <c r="M704" s="119" t="s">
        <v>2159</v>
      </c>
      <c r="N704" s="119" t="s">
        <v>93</v>
      </c>
      <c r="O704" s="141">
        <f t="shared" ref="O704" si="455">B704</f>
        <v>25117</v>
      </c>
      <c r="P704" s="141">
        <f t="shared" ref="P704" si="456">B704+7</f>
        <v>25124</v>
      </c>
      <c r="Q704" s="141">
        <f t="shared" ref="Q704" si="457">O704+2</f>
        <v>25119</v>
      </c>
      <c r="R704" s="139" t="s">
        <v>55</v>
      </c>
      <c r="S704" s="143">
        <v>244267</v>
      </c>
      <c r="T704" s="139" t="s">
        <v>55</v>
      </c>
      <c r="U704" s="143">
        <v>244270</v>
      </c>
      <c r="V704" s="139" t="s">
        <v>55</v>
      </c>
      <c r="W704" s="143">
        <v>244270</v>
      </c>
      <c r="X704" s="139"/>
      <c r="Y704" s="141"/>
      <c r="Z704" s="119" t="s">
        <v>1334</v>
      </c>
      <c r="AA704" s="144">
        <f>W704-P726</f>
        <v>-3</v>
      </c>
    </row>
    <row r="705" spans="1:27" s="145" customFormat="1" ht="36" customHeight="1" x14ac:dyDescent="0.25">
      <c r="A705" s="119" t="s">
        <v>27</v>
      </c>
      <c r="B705" s="139">
        <v>25117</v>
      </c>
      <c r="C705" s="119" t="s">
        <v>14</v>
      </c>
      <c r="D705" s="166">
        <v>680564</v>
      </c>
      <c r="E705" s="119" t="s">
        <v>413</v>
      </c>
      <c r="F705" s="190">
        <v>68100613</v>
      </c>
      <c r="G705" s="119" t="s">
        <v>2156</v>
      </c>
      <c r="H705" s="187" t="s">
        <v>217</v>
      </c>
      <c r="I705" s="147" t="s">
        <v>415</v>
      </c>
      <c r="J705" s="146">
        <v>83.93</v>
      </c>
      <c r="K705" s="119" t="s">
        <v>207</v>
      </c>
      <c r="L705" s="146">
        <f>J705-80</f>
        <v>3.9300000000000068</v>
      </c>
      <c r="M705" s="119" t="s">
        <v>2157</v>
      </c>
      <c r="N705" s="119" t="s">
        <v>93</v>
      </c>
      <c r="O705" s="141">
        <f t="shared" si="433"/>
        <v>25117</v>
      </c>
      <c r="P705" s="141">
        <f t="shared" si="435"/>
        <v>25124</v>
      </c>
      <c r="Q705" s="141">
        <f t="shared" si="434"/>
        <v>25119</v>
      </c>
      <c r="R705" s="139" t="s">
        <v>55</v>
      </c>
      <c r="S705" s="143">
        <v>244267</v>
      </c>
      <c r="T705" s="139" t="s">
        <v>55</v>
      </c>
      <c r="U705" s="143">
        <v>244270</v>
      </c>
      <c r="V705" s="139" t="s">
        <v>55</v>
      </c>
      <c r="W705" s="143">
        <v>244270</v>
      </c>
      <c r="X705" s="139"/>
      <c r="Y705" s="141"/>
      <c r="Z705" s="119" t="s">
        <v>1334</v>
      </c>
      <c r="AA705" s="144">
        <f>W705-P727</f>
        <v>-3</v>
      </c>
    </row>
    <row r="706" spans="1:27" s="145" customFormat="1" ht="36" customHeight="1" x14ac:dyDescent="0.25">
      <c r="A706" s="119" t="s">
        <v>27</v>
      </c>
      <c r="B706" s="139">
        <v>25117</v>
      </c>
      <c r="C706" s="119" t="s">
        <v>14</v>
      </c>
      <c r="D706" s="166">
        <v>680565</v>
      </c>
      <c r="E706" s="119" t="s">
        <v>307</v>
      </c>
      <c r="F706" s="190">
        <v>68100605</v>
      </c>
      <c r="G706" s="119" t="s">
        <v>2154</v>
      </c>
      <c r="H706" s="187" t="s">
        <v>212</v>
      </c>
      <c r="I706" s="154" t="s">
        <v>308</v>
      </c>
      <c r="J706" s="119">
        <v>62.73</v>
      </c>
      <c r="K706" s="119" t="s">
        <v>201</v>
      </c>
      <c r="L706" s="146">
        <f>64-J706</f>
        <v>1.2700000000000031</v>
      </c>
      <c r="M706" s="119" t="s">
        <v>2155</v>
      </c>
      <c r="N706" s="119" t="s">
        <v>93</v>
      </c>
      <c r="O706" s="141">
        <f t="shared" si="433"/>
        <v>25117</v>
      </c>
      <c r="P706" s="141">
        <f t="shared" si="435"/>
        <v>25124</v>
      </c>
      <c r="Q706" s="141">
        <f t="shared" si="434"/>
        <v>25119</v>
      </c>
      <c r="R706" s="139" t="s">
        <v>55</v>
      </c>
      <c r="S706" s="143">
        <v>244267</v>
      </c>
      <c r="T706" s="139" t="s">
        <v>55</v>
      </c>
      <c r="U706" s="143">
        <v>244270</v>
      </c>
      <c r="V706" s="139" t="s">
        <v>55</v>
      </c>
      <c r="W706" s="143">
        <v>244270</v>
      </c>
      <c r="X706" s="139"/>
      <c r="Y706" s="141"/>
      <c r="Z706" s="119" t="s">
        <v>2253</v>
      </c>
      <c r="AA706" s="144">
        <f>W706-P729</f>
        <v>-3</v>
      </c>
    </row>
    <row r="707" spans="1:27" s="145" customFormat="1" ht="36" customHeight="1" x14ac:dyDescent="0.25">
      <c r="A707" s="119" t="s">
        <v>27</v>
      </c>
      <c r="B707" s="139">
        <v>25117</v>
      </c>
      <c r="C707" s="119" t="s">
        <v>14</v>
      </c>
      <c r="D707" s="166">
        <v>680566</v>
      </c>
      <c r="E707" s="119" t="s">
        <v>420</v>
      </c>
      <c r="F707" s="190">
        <v>68100630</v>
      </c>
      <c r="G707" s="119" t="s">
        <v>2143</v>
      </c>
      <c r="H707" s="187" t="s">
        <v>228</v>
      </c>
      <c r="I707" s="154" t="s">
        <v>1041</v>
      </c>
      <c r="J707" s="119">
        <v>124.97</v>
      </c>
      <c r="K707" s="119" t="s">
        <v>207</v>
      </c>
      <c r="L707" s="146">
        <f>J707-124</f>
        <v>0.96999999999999886</v>
      </c>
      <c r="M707" s="119" t="s">
        <v>1029</v>
      </c>
      <c r="N707" s="119" t="s">
        <v>93</v>
      </c>
      <c r="O707" s="141">
        <f t="shared" si="433"/>
        <v>25117</v>
      </c>
      <c r="P707" s="141">
        <f t="shared" si="435"/>
        <v>25124</v>
      </c>
      <c r="Q707" s="141">
        <f t="shared" si="434"/>
        <v>25119</v>
      </c>
      <c r="R707" s="139" t="s">
        <v>55</v>
      </c>
      <c r="S707" s="143">
        <v>244267</v>
      </c>
      <c r="T707" s="139" t="s">
        <v>55</v>
      </c>
      <c r="U707" s="143">
        <v>244270</v>
      </c>
      <c r="V707" s="139" t="s">
        <v>55</v>
      </c>
      <c r="W707" s="143">
        <v>244270</v>
      </c>
      <c r="X707" s="139"/>
      <c r="Y707" s="141"/>
      <c r="Z707" s="119" t="s">
        <v>966</v>
      </c>
      <c r="AA707" s="144">
        <f>W707-P728</f>
        <v>-3</v>
      </c>
    </row>
    <row r="708" spans="1:27" s="145" customFormat="1" ht="36" customHeight="1" x14ac:dyDescent="0.25">
      <c r="A708" s="119" t="s">
        <v>27</v>
      </c>
      <c r="B708" s="139">
        <v>25117</v>
      </c>
      <c r="C708" s="119" t="s">
        <v>14</v>
      </c>
      <c r="D708" s="166">
        <v>680566</v>
      </c>
      <c r="E708" s="119" t="s">
        <v>420</v>
      </c>
      <c r="F708" s="190">
        <v>68100610</v>
      </c>
      <c r="G708" s="119" t="s">
        <v>2144</v>
      </c>
      <c r="H708" s="187" t="s">
        <v>205</v>
      </c>
      <c r="I708" s="154" t="s">
        <v>1041</v>
      </c>
      <c r="J708" s="119">
        <v>124.96</v>
      </c>
      <c r="K708" s="119" t="s">
        <v>207</v>
      </c>
      <c r="L708" s="146">
        <f>J708-124</f>
        <v>0.95999999999999375</v>
      </c>
      <c r="M708" s="119" t="s">
        <v>2145</v>
      </c>
      <c r="N708" s="119" t="s">
        <v>93</v>
      </c>
      <c r="O708" s="141">
        <f t="shared" ref="O708" si="458">B708</f>
        <v>25117</v>
      </c>
      <c r="P708" s="141">
        <f t="shared" ref="P708" si="459">B708+7</f>
        <v>25124</v>
      </c>
      <c r="Q708" s="141">
        <f t="shared" ref="Q708" si="460">O708+2</f>
        <v>25119</v>
      </c>
      <c r="R708" s="139" t="s">
        <v>55</v>
      </c>
      <c r="S708" s="143">
        <v>244267</v>
      </c>
      <c r="T708" s="139" t="s">
        <v>55</v>
      </c>
      <c r="U708" s="143">
        <v>244270</v>
      </c>
      <c r="V708" s="139" t="s">
        <v>55</v>
      </c>
      <c r="W708" s="143">
        <v>244270</v>
      </c>
      <c r="X708" s="139"/>
      <c r="Y708" s="141"/>
      <c r="Z708" s="119" t="s">
        <v>966</v>
      </c>
      <c r="AA708" s="144">
        <f>W708-P729</f>
        <v>-3</v>
      </c>
    </row>
    <row r="709" spans="1:27" s="145" customFormat="1" ht="36" customHeight="1" x14ac:dyDescent="0.25">
      <c r="A709" s="119" t="s">
        <v>27</v>
      </c>
      <c r="B709" s="139">
        <v>25117</v>
      </c>
      <c r="C709" s="119" t="s">
        <v>14</v>
      </c>
      <c r="D709" s="166">
        <v>680566</v>
      </c>
      <c r="E709" s="119" t="s">
        <v>420</v>
      </c>
      <c r="F709" s="190">
        <v>68100611</v>
      </c>
      <c r="G709" s="119" t="s">
        <v>2146</v>
      </c>
      <c r="H709" s="187" t="s">
        <v>273</v>
      </c>
      <c r="I709" s="154" t="s">
        <v>1041</v>
      </c>
      <c r="J709" s="119">
        <v>125.88</v>
      </c>
      <c r="K709" s="119" t="s">
        <v>207</v>
      </c>
      <c r="L709" s="146">
        <f>J709-124</f>
        <v>1.8799999999999955</v>
      </c>
      <c r="M709" s="119" t="s">
        <v>2147</v>
      </c>
      <c r="N709" s="119" t="s">
        <v>93</v>
      </c>
      <c r="O709" s="141">
        <f t="shared" ref="O709" si="461">B709</f>
        <v>25117</v>
      </c>
      <c r="P709" s="141">
        <f t="shared" ref="P709" si="462">B709+7</f>
        <v>25124</v>
      </c>
      <c r="Q709" s="141">
        <f t="shared" ref="Q709" si="463">O709+2</f>
        <v>25119</v>
      </c>
      <c r="R709" s="139" t="s">
        <v>55</v>
      </c>
      <c r="S709" s="143">
        <v>244267</v>
      </c>
      <c r="T709" s="139" t="s">
        <v>55</v>
      </c>
      <c r="U709" s="143">
        <v>244270</v>
      </c>
      <c r="V709" s="139" t="s">
        <v>55</v>
      </c>
      <c r="W709" s="143">
        <v>244270</v>
      </c>
      <c r="X709" s="139"/>
      <c r="Y709" s="141"/>
      <c r="Z709" s="119" t="s">
        <v>966</v>
      </c>
      <c r="AA709" s="144">
        <f>W709-P730</f>
        <v>-3</v>
      </c>
    </row>
    <row r="710" spans="1:27" s="145" customFormat="1" ht="36" customHeight="1" x14ac:dyDescent="0.25">
      <c r="A710" s="119" t="s">
        <v>27</v>
      </c>
      <c r="B710" s="139">
        <v>25117</v>
      </c>
      <c r="C710" s="119" t="s">
        <v>14</v>
      </c>
      <c r="D710" s="166">
        <v>680567</v>
      </c>
      <c r="E710" s="119" t="s">
        <v>376</v>
      </c>
      <c r="F710" s="190">
        <v>68100634</v>
      </c>
      <c r="G710" s="119" t="s">
        <v>2141</v>
      </c>
      <c r="H710" s="187" t="s">
        <v>231</v>
      </c>
      <c r="I710" s="154" t="s">
        <v>378</v>
      </c>
      <c r="J710" s="146">
        <v>118.57</v>
      </c>
      <c r="K710" s="119" t="s">
        <v>200</v>
      </c>
      <c r="L710" s="146">
        <f>J710-116</f>
        <v>2.5699999999999932</v>
      </c>
      <c r="M710" s="119" t="s">
        <v>2142</v>
      </c>
      <c r="N710" s="119" t="s">
        <v>93</v>
      </c>
      <c r="O710" s="141">
        <f t="shared" si="433"/>
        <v>25117</v>
      </c>
      <c r="P710" s="141">
        <f t="shared" si="435"/>
        <v>25124</v>
      </c>
      <c r="Q710" s="141">
        <f t="shared" si="434"/>
        <v>25119</v>
      </c>
      <c r="R710" s="139" t="s">
        <v>55</v>
      </c>
      <c r="S710" s="143">
        <v>244267</v>
      </c>
      <c r="T710" s="139" t="s">
        <v>55</v>
      </c>
      <c r="U710" s="143">
        <v>244270</v>
      </c>
      <c r="V710" s="139" t="s">
        <v>55</v>
      </c>
      <c r="W710" s="143">
        <v>244264</v>
      </c>
      <c r="X710" s="139"/>
      <c r="Y710" s="141"/>
      <c r="Z710" s="119" t="s">
        <v>2171</v>
      </c>
      <c r="AA710" s="144">
        <f>W710-P732</f>
        <v>-10</v>
      </c>
    </row>
    <row r="711" spans="1:27" s="145" customFormat="1" ht="36" customHeight="1" x14ac:dyDescent="0.25">
      <c r="A711" s="119" t="s">
        <v>27</v>
      </c>
      <c r="B711" s="139">
        <v>25117</v>
      </c>
      <c r="C711" s="119" t="s">
        <v>14</v>
      </c>
      <c r="D711" s="166">
        <v>680568</v>
      </c>
      <c r="E711" s="119" t="s">
        <v>2096</v>
      </c>
      <c r="F711" s="190">
        <v>68100646</v>
      </c>
      <c r="G711" s="119" t="s">
        <v>2152</v>
      </c>
      <c r="H711" s="187" t="s">
        <v>2202</v>
      </c>
      <c r="I711" s="156" t="s">
        <v>2098</v>
      </c>
      <c r="J711" s="146">
        <v>55.55</v>
      </c>
      <c r="K711" s="119" t="s">
        <v>207</v>
      </c>
      <c r="L711" s="146">
        <f>J711-54</f>
        <v>1.5499999999999972</v>
      </c>
      <c r="M711" s="119" t="s">
        <v>2153</v>
      </c>
      <c r="N711" s="119" t="s">
        <v>93</v>
      </c>
      <c r="O711" s="141">
        <f t="shared" ref="O711" si="464">B711</f>
        <v>25117</v>
      </c>
      <c r="P711" s="141">
        <f t="shared" ref="P711" si="465">B711+7</f>
        <v>25124</v>
      </c>
      <c r="Q711" s="141">
        <f t="shared" ref="Q711" si="466">O711+2</f>
        <v>25119</v>
      </c>
      <c r="R711" s="139" t="s">
        <v>55</v>
      </c>
      <c r="S711" s="143">
        <v>244267</v>
      </c>
      <c r="T711" s="139" t="s">
        <v>55</v>
      </c>
      <c r="U711" s="143">
        <v>244270</v>
      </c>
      <c r="V711" s="139" t="s">
        <v>55</v>
      </c>
      <c r="W711" s="143">
        <v>244270</v>
      </c>
      <c r="X711" s="139"/>
      <c r="Y711" s="141"/>
      <c r="Z711" s="119" t="s">
        <v>2173</v>
      </c>
      <c r="AA711" s="144"/>
    </row>
    <row r="712" spans="1:27" s="145" customFormat="1" ht="36" customHeight="1" x14ac:dyDescent="0.25">
      <c r="A712" s="119" t="s">
        <v>27</v>
      </c>
      <c r="B712" s="139">
        <v>25117</v>
      </c>
      <c r="C712" s="119" t="s">
        <v>14</v>
      </c>
      <c r="D712" s="166">
        <v>680568</v>
      </c>
      <c r="E712" s="119" t="s">
        <v>2096</v>
      </c>
      <c r="F712" s="190">
        <v>68100642</v>
      </c>
      <c r="G712" s="119" t="s">
        <v>2150</v>
      </c>
      <c r="H712" s="187" t="s">
        <v>251</v>
      </c>
      <c r="I712" s="156" t="s">
        <v>2098</v>
      </c>
      <c r="J712" s="146">
        <v>56.11</v>
      </c>
      <c r="K712" s="119" t="s">
        <v>207</v>
      </c>
      <c r="L712" s="146">
        <f>J712-54</f>
        <v>2.1099999999999994</v>
      </c>
      <c r="M712" s="119" t="s">
        <v>2151</v>
      </c>
      <c r="N712" s="119" t="s">
        <v>93</v>
      </c>
      <c r="O712" s="141">
        <f t="shared" ref="O712" si="467">B712</f>
        <v>25117</v>
      </c>
      <c r="P712" s="141">
        <f t="shared" ref="P712" si="468">B712+7</f>
        <v>25124</v>
      </c>
      <c r="Q712" s="141">
        <f t="shared" ref="Q712" si="469">O712+2</f>
        <v>25119</v>
      </c>
      <c r="R712" s="139" t="s">
        <v>55</v>
      </c>
      <c r="S712" s="143">
        <v>244267</v>
      </c>
      <c r="T712" s="139" t="s">
        <v>55</v>
      </c>
      <c r="U712" s="143">
        <v>244270</v>
      </c>
      <c r="V712" s="139" t="s">
        <v>55</v>
      </c>
      <c r="W712" s="143">
        <v>244270</v>
      </c>
      <c r="X712" s="139"/>
      <c r="Y712" s="141"/>
      <c r="Z712" s="119" t="s">
        <v>2173</v>
      </c>
      <c r="AA712" s="144"/>
    </row>
    <row r="713" spans="1:27" s="145" customFormat="1" ht="36" customHeight="1" x14ac:dyDescent="0.25">
      <c r="A713" s="119" t="s">
        <v>27</v>
      </c>
      <c r="B713" s="139">
        <v>25117</v>
      </c>
      <c r="C713" s="119" t="s">
        <v>14</v>
      </c>
      <c r="D713" s="166">
        <v>680568</v>
      </c>
      <c r="E713" s="119" t="s">
        <v>2096</v>
      </c>
      <c r="F713" s="190">
        <v>68100647</v>
      </c>
      <c r="G713" s="119" t="s">
        <v>2148</v>
      </c>
      <c r="H713" s="187" t="s">
        <v>293</v>
      </c>
      <c r="I713" s="156" t="s">
        <v>2098</v>
      </c>
      <c r="J713" s="146">
        <v>55.37</v>
      </c>
      <c r="K713" s="119" t="s">
        <v>207</v>
      </c>
      <c r="L713" s="146">
        <f>J713-54</f>
        <v>1.3699999999999974</v>
      </c>
      <c r="M713" s="119" t="s">
        <v>2149</v>
      </c>
      <c r="N713" s="119" t="s">
        <v>93</v>
      </c>
      <c r="O713" s="141">
        <f t="shared" ref="O713" si="470">B713</f>
        <v>25117</v>
      </c>
      <c r="P713" s="141">
        <f t="shared" ref="P713" si="471">B713+7</f>
        <v>25124</v>
      </c>
      <c r="Q713" s="141">
        <f t="shared" ref="Q713" si="472">O713+2</f>
        <v>25119</v>
      </c>
      <c r="R713" s="139" t="s">
        <v>55</v>
      </c>
      <c r="S713" s="143">
        <v>244267</v>
      </c>
      <c r="T713" s="139" t="s">
        <v>55</v>
      </c>
      <c r="U713" s="143">
        <v>244270</v>
      </c>
      <c r="V713" s="139" t="s">
        <v>55</v>
      </c>
      <c r="W713" s="143">
        <v>244270</v>
      </c>
      <c r="X713" s="139"/>
      <c r="Y713" s="141"/>
      <c r="Z713" s="119" t="s">
        <v>2173</v>
      </c>
      <c r="AA713" s="144"/>
    </row>
    <row r="714" spans="1:27" s="145" customFormat="1" ht="36" customHeight="1" x14ac:dyDescent="0.25">
      <c r="A714" s="119" t="s">
        <v>27</v>
      </c>
      <c r="B714" s="139">
        <v>25117</v>
      </c>
      <c r="C714" s="119" t="s">
        <v>14</v>
      </c>
      <c r="D714" s="166">
        <v>680568</v>
      </c>
      <c r="E714" s="119" t="s">
        <v>2096</v>
      </c>
      <c r="F714" s="190">
        <v>68100647</v>
      </c>
      <c r="G714" s="119" t="s">
        <v>2148</v>
      </c>
      <c r="H714" s="187" t="s">
        <v>293</v>
      </c>
      <c r="I714" s="156" t="s">
        <v>2098</v>
      </c>
      <c r="J714" s="146">
        <v>55.37</v>
      </c>
      <c r="K714" s="119" t="s">
        <v>207</v>
      </c>
      <c r="L714" s="146">
        <f>J714-54</f>
        <v>1.3699999999999974</v>
      </c>
      <c r="M714" s="119" t="s">
        <v>2149</v>
      </c>
      <c r="N714" s="119" t="s">
        <v>93</v>
      </c>
      <c r="O714" s="141">
        <f t="shared" si="433"/>
        <v>25117</v>
      </c>
      <c r="P714" s="141">
        <f t="shared" si="435"/>
        <v>25124</v>
      </c>
      <c r="Q714" s="141">
        <f t="shared" si="434"/>
        <v>25119</v>
      </c>
      <c r="R714" s="139" t="s">
        <v>55</v>
      </c>
      <c r="S714" s="143">
        <v>244267</v>
      </c>
      <c r="T714" s="139" t="s">
        <v>55</v>
      </c>
      <c r="U714" s="143">
        <v>244270</v>
      </c>
      <c r="V714" s="139" t="s">
        <v>55</v>
      </c>
      <c r="W714" s="143">
        <v>244270</v>
      </c>
      <c r="X714" s="139"/>
      <c r="Y714" s="141"/>
      <c r="Z714" s="119" t="s">
        <v>2173</v>
      </c>
      <c r="AA714" s="144"/>
    </row>
    <row r="715" spans="1:27" s="145" customFormat="1" ht="36" customHeight="1" x14ac:dyDescent="0.25">
      <c r="A715" s="119" t="s">
        <v>27</v>
      </c>
      <c r="B715" s="139">
        <v>25117</v>
      </c>
      <c r="C715" s="119" t="s">
        <v>14</v>
      </c>
      <c r="D715" s="166">
        <v>680569</v>
      </c>
      <c r="E715" s="119" t="s">
        <v>376</v>
      </c>
      <c r="F715" s="190">
        <v>68100639</v>
      </c>
      <c r="G715" s="119" t="s">
        <v>2134</v>
      </c>
      <c r="H715" s="187" t="s">
        <v>225</v>
      </c>
      <c r="I715" s="156" t="s">
        <v>335</v>
      </c>
      <c r="J715" s="146" t="s">
        <v>337</v>
      </c>
      <c r="K715" s="119" t="s">
        <v>336</v>
      </c>
      <c r="L715" s="146" t="s">
        <v>69</v>
      </c>
      <c r="M715" s="119" t="s">
        <v>2136</v>
      </c>
      <c r="N715" s="119" t="s">
        <v>93</v>
      </c>
      <c r="O715" s="141">
        <f t="shared" ref="O715" si="473">B715</f>
        <v>25117</v>
      </c>
      <c r="P715" s="141">
        <f t="shared" ref="P715" si="474">B715+7</f>
        <v>25124</v>
      </c>
      <c r="Q715" s="141">
        <f t="shared" ref="Q715" si="475">O715+2</f>
        <v>25119</v>
      </c>
      <c r="R715" s="139" t="s">
        <v>55</v>
      </c>
      <c r="S715" s="143">
        <v>244267</v>
      </c>
      <c r="T715" s="139" t="s">
        <v>55</v>
      </c>
      <c r="U715" s="143">
        <v>244270</v>
      </c>
      <c r="V715" s="139" t="s">
        <v>55</v>
      </c>
      <c r="W715" s="143">
        <v>244264</v>
      </c>
      <c r="X715" s="139"/>
      <c r="Y715" s="141"/>
      <c r="Z715" s="119" t="s">
        <v>2171</v>
      </c>
      <c r="AA715" s="144"/>
    </row>
    <row r="716" spans="1:27" s="145" customFormat="1" ht="36" customHeight="1" x14ac:dyDescent="0.25">
      <c r="A716" s="119" t="s">
        <v>27</v>
      </c>
      <c r="B716" s="139">
        <v>25117</v>
      </c>
      <c r="C716" s="119" t="s">
        <v>14</v>
      </c>
      <c r="D716" s="166">
        <v>680570</v>
      </c>
      <c r="E716" s="119" t="s">
        <v>376</v>
      </c>
      <c r="F716" s="190">
        <v>68100638</v>
      </c>
      <c r="G716" s="119" t="s">
        <v>2134</v>
      </c>
      <c r="H716" s="187" t="s">
        <v>225</v>
      </c>
      <c r="I716" s="156" t="s">
        <v>2137</v>
      </c>
      <c r="J716" s="146" t="s">
        <v>2138</v>
      </c>
      <c r="K716" s="119" t="s">
        <v>2139</v>
      </c>
      <c r="L716" s="146" t="s">
        <v>2140</v>
      </c>
      <c r="M716" s="119" t="s">
        <v>2135</v>
      </c>
      <c r="N716" s="119" t="s">
        <v>93</v>
      </c>
      <c r="O716" s="141">
        <f t="shared" ref="O716:O717" si="476">B716</f>
        <v>25117</v>
      </c>
      <c r="P716" s="141">
        <f t="shared" ref="P716:P717" si="477">B716+7</f>
        <v>25124</v>
      </c>
      <c r="Q716" s="141">
        <f t="shared" ref="Q716:Q717" si="478">O716+2</f>
        <v>25119</v>
      </c>
      <c r="R716" s="139" t="s">
        <v>55</v>
      </c>
      <c r="S716" s="143">
        <v>244267</v>
      </c>
      <c r="T716" s="139" t="s">
        <v>55</v>
      </c>
      <c r="U716" s="143">
        <v>244270</v>
      </c>
      <c r="V716" s="139" t="s">
        <v>55</v>
      </c>
      <c r="W716" s="143">
        <v>244264</v>
      </c>
      <c r="X716" s="139"/>
      <c r="Y716" s="141"/>
      <c r="Z716" s="119" t="s">
        <v>2171</v>
      </c>
      <c r="AA716" s="144"/>
    </row>
    <row r="717" spans="1:27" s="145" customFormat="1" ht="36" customHeight="1" x14ac:dyDescent="0.25">
      <c r="A717" s="119" t="s">
        <v>27</v>
      </c>
      <c r="B717" s="139">
        <v>244264</v>
      </c>
      <c r="C717" s="119" t="s">
        <v>14</v>
      </c>
      <c r="D717" s="166">
        <v>680571</v>
      </c>
      <c r="E717" s="119" t="s">
        <v>2126</v>
      </c>
      <c r="F717" s="190">
        <v>68100725</v>
      </c>
      <c r="G717" s="119" t="s">
        <v>2166</v>
      </c>
      <c r="H717" s="187" t="s">
        <v>281</v>
      </c>
      <c r="I717" s="156" t="s">
        <v>2128</v>
      </c>
      <c r="J717" s="146">
        <v>125.83</v>
      </c>
      <c r="K717" s="119" t="s">
        <v>207</v>
      </c>
      <c r="L717" s="146">
        <f>J717-123</f>
        <v>2.8299999999999983</v>
      </c>
      <c r="M717" s="119" t="s">
        <v>2168</v>
      </c>
      <c r="N717" s="119" t="s">
        <v>93</v>
      </c>
      <c r="O717" s="141">
        <f t="shared" si="476"/>
        <v>244264</v>
      </c>
      <c r="P717" s="141">
        <f t="shared" si="477"/>
        <v>244271</v>
      </c>
      <c r="Q717" s="141">
        <f t="shared" si="478"/>
        <v>244266</v>
      </c>
      <c r="R717" s="139" t="s">
        <v>55</v>
      </c>
      <c r="S717" s="143">
        <v>244267</v>
      </c>
      <c r="T717" s="139" t="s">
        <v>55</v>
      </c>
      <c r="U717" s="143">
        <v>244270</v>
      </c>
      <c r="V717" s="139" t="s">
        <v>55</v>
      </c>
      <c r="W717" s="143">
        <v>244265</v>
      </c>
      <c r="X717" s="139"/>
      <c r="Y717" s="141"/>
      <c r="Z717" s="119" t="s">
        <v>2182</v>
      </c>
      <c r="AA717" s="144"/>
    </row>
    <row r="718" spans="1:27" s="145" customFormat="1" ht="36" customHeight="1" x14ac:dyDescent="0.25">
      <c r="A718" s="119" t="s">
        <v>27</v>
      </c>
      <c r="B718" s="139">
        <v>244264</v>
      </c>
      <c r="C718" s="119" t="s">
        <v>14</v>
      </c>
      <c r="D718" s="166">
        <v>680572</v>
      </c>
      <c r="E718" s="119" t="s">
        <v>2126</v>
      </c>
      <c r="F718" s="190">
        <v>68100718</v>
      </c>
      <c r="G718" s="119" t="s">
        <v>2169</v>
      </c>
      <c r="H718" s="187" t="s">
        <v>224</v>
      </c>
      <c r="I718" s="156" t="s">
        <v>2167</v>
      </c>
      <c r="J718" s="119">
        <v>118.27</v>
      </c>
      <c r="K718" s="119" t="s">
        <v>201</v>
      </c>
      <c r="L718" s="146">
        <f>120-J718</f>
        <v>1.730000000000004</v>
      </c>
      <c r="M718" s="214" t="s">
        <v>2170</v>
      </c>
      <c r="N718" s="119" t="s">
        <v>93</v>
      </c>
      <c r="O718" s="141">
        <f t="shared" si="433"/>
        <v>244264</v>
      </c>
      <c r="P718" s="141">
        <f t="shared" si="435"/>
        <v>244271</v>
      </c>
      <c r="Q718" s="141">
        <f t="shared" si="434"/>
        <v>244266</v>
      </c>
      <c r="R718" s="139" t="s">
        <v>55</v>
      </c>
      <c r="S718" s="143">
        <v>244267</v>
      </c>
      <c r="T718" s="139" t="s">
        <v>55</v>
      </c>
      <c r="U718" s="143">
        <v>244270</v>
      </c>
      <c r="V718" s="139" t="s">
        <v>55</v>
      </c>
      <c r="W718" s="143">
        <v>244265</v>
      </c>
      <c r="X718" s="139"/>
      <c r="Y718" s="141"/>
      <c r="Z718" s="119" t="s">
        <v>2182</v>
      </c>
      <c r="AA718" s="144">
        <f>W718-P741</f>
        <v>-9</v>
      </c>
    </row>
    <row r="719" spans="1:27" s="145" customFormat="1" ht="36" customHeight="1" x14ac:dyDescent="0.25">
      <c r="A719" s="119" t="s">
        <v>27</v>
      </c>
      <c r="B719" s="139">
        <v>244265</v>
      </c>
      <c r="C719" s="119" t="s">
        <v>14</v>
      </c>
      <c r="D719" s="166">
        <v>680573</v>
      </c>
      <c r="E719" s="119" t="s">
        <v>1345</v>
      </c>
      <c r="F719" s="190">
        <v>68100801</v>
      </c>
      <c r="G719" s="119" t="s">
        <v>2175</v>
      </c>
      <c r="H719" s="187" t="s">
        <v>263</v>
      </c>
      <c r="I719" s="154" t="s">
        <v>1051</v>
      </c>
      <c r="J719" s="146">
        <v>55.03</v>
      </c>
      <c r="K719" s="119" t="s">
        <v>200</v>
      </c>
      <c r="L719" s="146">
        <f>J719-47</f>
        <v>8.0300000000000011</v>
      </c>
      <c r="M719" s="119" t="s">
        <v>2176</v>
      </c>
      <c r="N719" s="119" t="s">
        <v>93</v>
      </c>
      <c r="O719" s="141">
        <f t="shared" si="433"/>
        <v>244265</v>
      </c>
      <c r="P719" s="141">
        <f t="shared" si="435"/>
        <v>244272</v>
      </c>
      <c r="Q719" s="141">
        <f t="shared" si="434"/>
        <v>244267</v>
      </c>
      <c r="R719" s="139" t="s">
        <v>55</v>
      </c>
      <c r="S719" s="143">
        <v>244267</v>
      </c>
      <c r="T719" s="139" t="s">
        <v>55</v>
      </c>
      <c r="U719" s="143">
        <v>244270</v>
      </c>
      <c r="V719" s="139" t="s">
        <v>55</v>
      </c>
      <c r="W719" s="143">
        <v>244265</v>
      </c>
      <c r="X719" s="139"/>
      <c r="Y719" s="141"/>
      <c r="Z719" s="119" t="s">
        <v>2184</v>
      </c>
      <c r="AA719" s="144">
        <f>W719-P740</f>
        <v>-9</v>
      </c>
    </row>
    <row r="720" spans="1:27" s="145" customFormat="1" ht="36" customHeight="1" x14ac:dyDescent="0.25">
      <c r="A720" s="119" t="s">
        <v>27</v>
      </c>
      <c r="B720" s="139">
        <v>244265</v>
      </c>
      <c r="C720" s="119" t="s">
        <v>14</v>
      </c>
      <c r="D720" s="166">
        <v>680574</v>
      </c>
      <c r="E720" s="119" t="s">
        <v>420</v>
      </c>
      <c r="F720" s="190">
        <v>68100802</v>
      </c>
      <c r="G720" s="119" t="s">
        <v>2177</v>
      </c>
      <c r="H720" s="187" t="s">
        <v>289</v>
      </c>
      <c r="I720" s="156" t="s">
        <v>1041</v>
      </c>
      <c r="J720" s="119">
        <v>126.13</v>
      </c>
      <c r="K720" s="119" t="s">
        <v>207</v>
      </c>
      <c r="L720" s="146">
        <f>J720-124</f>
        <v>2.1299999999999955</v>
      </c>
      <c r="M720" s="119" t="s">
        <v>863</v>
      </c>
      <c r="N720" s="119" t="s">
        <v>93</v>
      </c>
      <c r="O720" s="141">
        <f t="shared" si="433"/>
        <v>244265</v>
      </c>
      <c r="P720" s="141">
        <f t="shared" si="435"/>
        <v>244272</v>
      </c>
      <c r="Q720" s="141">
        <f t="shared" si="434"/>
        <v>244267</v>
      </c>
      <c r="R720" s="139" t="s">
        <v>55</v>
      </c>
      <c r="S720" s="143">
        <v>244267</v>
      </c>
      <c r="T720" s="139" t="s">
        <v>55</v>
      </c>
      <c r="U720" s="143">
        <v>244270</v>
      </c>
      <c r="V720" s="139" t="s">
        <v>55</v>
      </c>
      <c r="W720" s="143">
        <v>244270</v>
      </c>
      <c r="X720" s="139"/>
      <c r="Y720" s="141"/>
      <c r="Z720" s="119" t="s">
        <v>966</v>
      </c>
      <c r="AA720" s="144">
        <f>W720-P741</f>
        <v>-4</v>
      </c>
    </row>
    <row r="721" spans="1:27" s="145" customFormat="1" ht="36" customHeight="1" x14ac:dyDescent="0.25">
      <c r="A721" s="119" t="s">
        <v>27</v>
      </c>
      <c r="B721" s="139">
        <v>244265</v>
      </c>
      <c r="C721" s="119" t="s">
        <v>14</v>
      </c>
      <c r="D721" s="166">
        <v>680575</v>
      </c>
      <c r="E721" s="119" t="s">
        <v>413</v>
      </c>
      <c r="F721" s="190">
        <v>68100804</v>
      </c>
      <c r="G721" s="119" t="s">
        <v>2180</v>
      </c>
      <c r="H721" s="187" t="s">
        <v>209</v>
      </c>
      <c r="I721" s="147" t="s">
        <v>415</v>
      </c>
      <c r="J721" s="119">
        <v>87.26</v>
      </c>
      <c r="K721" s="119" t="s">
        <v>207</v>
      </c>
      <c r="L721" s="146">
        <v>7.26</v>
      </c>
      <c r="M721" s="119" t="s">
        <v>2181</v>
      </c>
      <c r="N721" s="119" t="s">
        <v>93</v>
      </c>
      <c r="O721" s="141">
        <f t="shared" ref="O721" si="479">B721</f>
        <v>244265</v>
      </c>
      <c r="P721" s="141">
        <f t="shared" ref="P721" si="480">B721+7</f>
        <v>244272</v>
      </c>
      <c r="Q721" s="141">
        <f t="shared" ref="Q721" si="481">O721+2</f>
        <v>244267</v>
      </c>
      <c r="R721" s="139" t="s">
        <v>55</v>
      </c>
      <c r="S721" s="143">
        <v>244267</v>
      </c>
      <c r="T721" s="139" t="s">
        <v>55</v>
      </c>
      <c r="U721" s="143">
        <v>244270</v>
      </c>
      <c r="V721" s="139" t="s">
        <v>55</v>
      </c>
      <c r="W721" s="143">
        <v>244270</v>
      </c>
      <c r="X721" s="139"/>
      <c r="Y721" s="141"/>
      <c r="Z721" s="119" t="s">
        <v>1334</v>
      </c>
      <c r="AA721" s="144">
        <f>W721-P741</f>
        <v>-4</v>
      </c>
    </row>
    <row r="722" spans="1:27" s="145" customFormat="1" ht="36" customHeight="1" x14ac:dyDescent="0.25">
      <c r="A722" s="119" t="s">
        <v>27</v>
      </c>
      <c r="B722" s="139">
        <v>244265</v>
      </c>
      <c r="C722" s="119" t="s">
        <v>14</v>
      </c>
      <c r="D722" s="166">
        <v>680575</v>
      </c>
      <c r="E722" s="119" t="s">
        <v>413</v>
      </c>
      <c r="F722" s="190">
        <v>68100803</v>
      </c>
      <c r="G722" s="119" t="s">
        <v>2178</v>
      </c>
      <c r="H722" s="187" t="s">
        <v>206</v>
      </c>
      <c r="I722" s="147" t="s">
        <v>415</v>
      </c>
      <c r="J722" s="119">
        <v>86.56</v>
      </c>
      <c r="K722" s="119" t="s">
        <v>207</v>
      </c>
      <c r="L722" s="146">
        <v>6.56</v>
      </c>
      <c r="M722" s="119" t="s">
        <v>2179</v>
      </c>
      <c r="N722" s="119" t="s">
        <v>93</v>
      </c>
      <c r="O722" s="141">
        <f t="shared" si="433"/>
        <v>244265</v>
      </c>
      <c r="P722" s="141">
        <f t="shared" si="435"/>
        <v>244272</v>
      </c>
      <c r="Q722" s="141">
        <f t="shared" si="434"/>
        <v>244267</v>
      </c>
      <c r="R722" s="139" t="s">
        <v>55</v>
      </c>
      <c r="S722" s="143">
        <v>244267</v>
      </c>
      <c r="T722" s="139" t="s">
        <v>55</v>
      </c>
      <c r="U722" s="143">
        <v>244270</v>
      </c>
      <c r="V722" s="139" t="s">
        <v>55</v>
      </c>
      <c r="W722" s="143">
        <v>244270</v>
      </c>
      <c r="X722" s="139"/>
      <c r="Y722" s="141"/>
      <c r="Z722" s="119" t="s">
        <v>1334</v>
      </c>
      <c r="AA722" s="144">
        <f>W722-P742</f>
        <v>-4</v>
      </c>
    </row>
    <row r="723" spans="1:27" s="145" customFormat="1" ht="36" customHeight="1" x14ac:dyDescent="0.25">
      <c r="A723" s="119" t="s">
        <v>27</v>
      </c>
      <c r="B723" s="139">
        <v>244265</v>
      </c>
      <c r="C723" s="119" t="s">
        <v>14</v>
      </c>
      <c r="D723" s="166">
        <v>680576</v>
      </c>
      <c r="E723" s="119" t="s">
        <v>413</v>
      </c>
      <c r="F723" s="190">
        <v>68100817</v>
      </c>
      <c r="G723" s="119" t="s">
        <v>2183</v>
      </c>
      <c r="H723" s="187" t="s">
        <v>237</v>
      </c>
      <c r="I723" s="147" t="s">
        <v>415</v>
      </c>
      <c r="J723" s="119">
        <v>82.81</v>
      </c>
      <c r="K723" s="119" t="s">
        <v>200</v>
      </c>
      <c r="L723" s="146">
        <v>2.81</v>
      </c>
      <c r="M723" s="119" t="s">
        <v>1016</v>
      </c>
      <c r="N723" s="119" t="s">
        <v>93</v>
      </c>
      <c r="O723" s="141">
        <f t="shared" si="433"/>
        <v>244265</v>
      </c>
      <c r="P723" s="141">
        <f t="shared" si="435"/>
        <v>244272</v>
      </c>
      <c r="Q723" s="141">
        <f t="shared" si="434"/>
        <v>244267</v>
      </c>
      <c r="R723" s="139" t="s">
        <v>55</v>
      </c>
      <c r="S723" s="143">
        <v>244267</v>
      </c>
      <c r="T723" s="139" t="s">
        <v>55</v>
      </c>
      <c r="U723" s="143">
        <v>244270</v>
      </c>
      <c r="V723" s="139" t="s">
        <v>55</v>
      </c>
      <c r="W723" s="143">
        <v>244270</v>
      </c>
      <c r="X723" s="139"/>
      <c r="Y723" s="141"/>
      <c r="Z723" s="119" t="s">
        <v>1334</v>
      </c>
      <c r="AA723" s="144"/>
    </row>
    <row r="724" spans="1:27" s="145" customFormat="1" ht="36" customHeight="1" x14ac:dyDescent="0.25">
      <c r="A724" s="119" t="s">
        <v>27</v>
      </c>
      <c r="B724" s="139">
        <v>244265</v>
      </c>
      <c r="C724" s="119" t="s">
        <v>14</v>
      </c>
      <c r="D724" s="166">
        <v>680577</v>
      </c>
      <c r="E724" s="119" t="s">
        <v>2096</v>
      </c>
      <c r="F724" s="190">
        <v>68100836</v>
      </c>
      <c r="G724" s="119" t="s">
        <v>2185</v>
      </c>
      <c r="H724" s="187" t="s">
        <v>2202</v>
      </c>
      <c r="I724" s="147" t="s">
        <v>2098</v>
      </c>
      <c r="J724" s="146">
        <v>55.79</v>
      </c>
      <c r="K724" s="119" t="s">
        <v>207</v>
      </c>
      <c r="L724" s="146">
        <f>J724-54</f>
        <v>1.7899999999999991</v>
      </c>
      <c r="M724" s="119" t="s">
        <v>2186</v>
      </c>
      <c r="N724" s="119" t="s">
        <v>93</v>
      </c>
      <c r="O724" s="141">
        <f t="shared" si="433"/>
        <v>244265</v>
      </c>
      <c r="P724" s="141">
        <f t="shared" si="435"/>
        <v>244272</v>
      </c>
      <c r="Q724" s="141">
        <f t="shared" si="434"/>
        <v>244267</v>
      </c>
      <c r="R724" s="139" t="s">
        <v>55</v>
      </c>
      <c r="S724" s="143">
        <v>244267</v>
      </c>
      <c r="T724" s="139" t="s">
        <v>55</v>
      </c>
      <c r="U724" s="143">
        <v>244270</v>
      </c>
      <c r="V724" s="139" t="s">
        <v>55</v>
      </c>
      <c r="W724" s="143">
        <v>244270</v>
      </c>
      <c r="X724" s="139"/>
      <c r="Y724" s="141"/>
      <c r="Z724" s="119" t="s">
        <v>2173</v>
      </c>
      <c r="AA724" s="144">
        <f>W724-P743</f>
        <v>-5</v>
      </c>
    </row>
    <row r="725" spans="1:27" s="145" customFormat="1" ht="36" customHeight="1" x14ac:dyDescent="0.25">
      <c r="A725" s="119" t="s">
        <v>27</v>
      </c>
      <c r="B725" s="139">
        <v>244266</v>
      </c>
      <c r="C725" s="119" t="s">
        <v>14</v>
      </c>
      <c r="D725" s="166">
        <v>680578</v>
      </c>
      <c r="E725" s="119" t="s">
        <v>1345</v>
      </c>
      <c r="F725" s="140">
        <v>68100901</v>
      </c>
      <c r="G725" s="140" t="s">
        <v>2187</v>
      </c>
      <c r="H725" s="147" t="s">
        <v>263</v>
      </c>
      <c r="I725" s="154" t="s">
        <v>1051</v>
      </c>
      <c r="J725" s="146">
        <v>52.25</v>
      </c>
      <c r="K725" s="119" t="s">
        <v>200</v>
      </c>
      <c r="L725" s="146">
        <f>J725-47</f>
        <v>5.25</v>
      </c>
      <c r="M725" s="119" t="s">
        <v>2188</v>
      </c>
      <c r="N725" s="119" t="s">
        <v>93</v>
      </c>
      <c r="O725" s="141">
        <f t="shared" si="433"/>
        <v>244266</v>
      </c>
      <c r="P725" s="141">
        <f t="shared" si="435"/>
        <v>244273</v>
      </c>
      <c r="Q725" s="141">
        <f t="shared" si="434"/>
        <v>244268</v>
      </c>
      <c r="R725" s="139" t="s">
        <v>55</v>
      </c>
      <c r="S725" s="143">
        <v>244267</v>
      </c>
      <c r="T725" s="139" t="s">
        <v>55</v>
      </c>
      <c r="U725" s="143">
        <v>244270</v>
      </c>
      <c r="V725" s="139" t="s">
        <v>55</v>
      </c>
      <c r="W725" s="143">
        <v>244266</v>
      </c>
      <c r="X725" s="139"/>
      <c r="Y725" s="141"/>
      <c r="Z725" s="119" t="s">
        <v>2189</v>
      </c>
      <c r="AA725" s="144">
        <f>W725-P744</f>
        <v>-9</v>
      </c>
    </row>
    <row r="726" spans="1:27" s="145" customFormat="1" ht="36" customHeight="1" x14ac:dyDescent="0.25">
      <c r="A726" s="119" t="s">
        <v>27</v>
      </c>
      <c r="B726" s="139">
        <v>244266</v>
      </c>
      <c r="C726" s="119" t="s">
        <v>14</v>
      </c>
      <c r="D726" s="166">
        <v>680579</v>
      </c>
      <c r="E726" s="119" t="s">
        <v>2126</v>
      </c>
      <c r="F726" s="190">
        <v>68100920</v>
      </c>
      <c r="G726" s="119" t="s">
        <v>2190</v>
      </c>
      <c r="H726" s="187" t="s">
        <v>224</v>
      </c>
      <c r="I726" s="147" t="s">
        <v>2128</v>
      </c>
      <c r="J726" s="146">
        <v>125.45</v>
      </c>
      <c r="K726" s="119" t="s">
        <v>207</v>
      </c>
      <c r="L726" s="146">
        <f>J726-123</f>
        <v>2.4500000000000028</v>
      </c>
      <c r="M726" s="119" t="s">
        <v>2191</v>
      </c>
      <c r="N726" s="119" t="s">
        <v>93</v>
      </c>
      <c r="O726" s="141">
        <f t="shared" si="433"/>
        <v>244266</v>
      </c>
      <c r="P726" s="141">
        <f t="shared" si="435"/>
        <v>244273</v>
      </c>
      <c r="Q726" s="141">
        <f t="shared" si="434"/>
        <v>244268</v>
      </c>
      <c r="R726" s="139" t="s">
        <v>55</v>
      </c>
      <c r="S726" s="143">
        <v>244267</v>
      </c>
      <c r="T726" s="139" t="s">
        <v>55</v>
      </c>
      <c r="U726" s="143">
        <v>244270</v>
      </c>
      <c r="V726" s="139" t="s">
        <v>55</v>
      </c>
      <c r="W726" s="143">
        <v>244270</v>
      </c>
      <c r="X726" s="139"/>
      <c r="Y726" s="141"/>
      <c r="Z726" s="119" t="s">
        <v>2254</v>
      </c>
      <c r="AA726" s="144">
        <f>W726-P747</f>
        <v>-5</v>
      </c>
    </row>
    <row r="727" spans="1:27" s="145" customFormat="1" ht="36" customHeight="1" x14ac:dyDescent="0.25">
      <c r="A727" s="119" t="s">
        <v>27</v>
      </c>
      <c r="B727" s="139">
        <v>244266</v>
      </c>
      <c r="C727" s="119" t="s">
        <v>14</v>
      </c>
      <c r="D727" s="166">
        <v>680580</v>
      </c>
      <c r="E727" s="119" t="s">
        <v>872</v>
      </c>
      <c r="F727" s="190">
        <v>68100929</v>
      </c>
      <c r="G727" s="119" t="s">
        <v>2192</v>
      </c>
      <c r="H727" s="187" t="s">
        <v>284</v>
      </c>
      <c r="I727" s="147" t="s">
        <v>845</v>
      </c>
      <c r="J727" s="146">
        <v>62.61</v>
      </c>
      <c r="K727" s="119" t="s">
        <v>207</v>
      </c>
      <c r="L727" s="146">
        <v>2.61</v>
      </c>
      <c r="M727" s="119" t="s">
        <v>2193</v>
      </c>
      <c r="N727" s="119" t="s">
        <v>93</v>
      </c>
      <c r="O727" s="141">
        <f t="shared" si="433"/>
        <v>244266</v>
      </c>
      <c r="P727" s="141">
        <f t="shared" si="435"/>
        <v>244273</v>
      </c>
      <c r="Q727" s="141">
        <f t="shared" si="434"/>
        <v>244268</v>
      </c>
      <c r="R727" s="139" t="s">
        <v>55</v>
      </c>
      <c r="S727" s="143">
        <v>244267</v>
      </c>
      <c r="T727" s="139" t="s">
        <v>55</v>
      </c>
      <c r="U727" s="143">
        <v>244270</v>
      </c>
      <c r="V727" s="139" t="s">
        <v>55</v>
      </c>
      <c r="W727" s="143">
        <v>244270</v>
      </c>
      <c r="X727" s="139"/>
      <c r="Y727" s="141"/>
      <c r="Z727" s="119" t="s">
        <v>1320</v>
      </c>
      <c r="AA727" s="144">
        <f>W727-P748</f>
        <v>-5</v>
      </c>
    </row>
    <row r="728" spans="1:27" s="145" customFormat="1" ht="36" customHeight="1" x14ac:dyDescent="0.25">
      <c r="A728" s="119" t="s">
        <v>27</v>
      </c>
      <c r="B728" s="139">
        <v>244266</v>
      </c>
      <c r="C728" s="119" t="s">
        <v>14</v>
      </c>
      <c r="D728" s="166">
        <v>680581</v>
      </c>
      <c r="E728" s="119" t="s">
        <v>413</v>
      </c>
      <c r="F728" s="190">
        <v>68100934</v>
      </c>
      <c r="G728" s="119" t="s">
        <v>2194</v>
      </c>
      <c r="H728" s="187" t="s">
        <v>297</v>
      </c>
      <c r="I728" s="147" t="s">
        <v>415</v>
      </c>
      <c r="J728" s="146">
        <v>82.64</v>
      </c>
      <c r="K728" s="119" t="s">
        <v>200</v>
      </c>
      <c r="L728" s="146">
        <v>2.64</v>
      </c>
      <c r="M728" s="119" t="s">
        <v>2195</v>
      </c>
      <c r="N728" s="119" t="s">
        <v>93</v>
      </c>
      <c r="O728" s="141">
        <f t="shared" ref="O728" si="482">B728</f>
        <v>244266</v>
      </c>
      <c r="P728" s="141">
        <f t="shared" ref="P728" si="483">B728+7</f>
        <v>244273</v>
      </c>
      <c r="Q728" s="141">
        <f t="shared" ref="Q728" si="484">O728+2</f>
        <v>244268</v>
      </c>
      <c r="R728" s="139" t="s">
        <v>55</v>
      </c>
      <c r="S728" s="143">
        <v>244267</v>
      </c>
      <c r="T728" s="139" t="s">
        <v>55</v>
      </c>
      <c r="U728" s="143">
        <v>244270</v>
      </c>
      <c r="V728" s="139" t="s">
        <v>55</v>
      </c>
      <c r="W728" s="143">
        <v>244270</v>
      </c>
      <c r="X728" s="139"/>
      <c r="Y728" s="141"/>
      <c r="Z728" s="119" t="s">
        <v>1334</v>
      </c>
      <c r="AA728" s="144">
        <f>W728-P749</f>
        <v>-5</v>
      </c>
    </row>
    <row r="729" spans="1:27" s="145" customFormat="1" ht="36" customHeight="1" x14ac:dyDescent="0.25">
      <c r="A729" s="119" t="s">
        <v>27</v>
      </c>
      <c r="B729" s="139">
        <v>244266</v>
      </c>
      <c r="C729" s="119" t="s">
        <v>14</v>
      </c>
      <c r="D729" s="166">
        <v>680582</v>
      </c>
      <c r="E729" s="119" t="s">
        <v>433</v>
      </c>
      <c r="F729" s="190">
        <v>68100935</v>
      </c>
      <c r="G729" s="119" t="s">
        <v>2196</v>
      </c>
      <c r="H729" s="187" t="s">
        <v>282</v>
      </c>
      <c r="I729" s="147" t="s">
        <v>304</v>
      </c>
      <c r="J729" s="146">
        <v>83.7</v>
      </c>
      <c r="K729" s="119" t="s">
        <v>207</v>
      </c>
      <c r="L729" s="146">
        <f>J729-78</f>
        <v>5.7000000000000028</v>
      </c>
      <c r="M729" s="119" t="s">
        <v>2197</v>
      </c>
      <c r="N729" s="119" t="s">
        <v>93</v>
      </c>
      <c r="O729" s="141">
        <f t="shared" si="433"/>
        <v>244266</v>
      </c>
      <c r="P729" s="141">
        <f t="shared" si="435"/>
        <v>244273</v>
      </c>
      <c r="Q729" s="141">
        <f t="shared" si="434"/>
        <v>244268</v>
      </c>
      <c r="R729" s="139" t="s">
        <v>55</v>
      </c>
      <c r="S729" s="143">
        <v>244267</v>
      </c>
      <c r="T729" s="139" t="s">
        <v>55</v>
      </c>
      <c r="U729" s="143">
        <v>244270</v>
      </c>
      <c r="V729" s="139" t="s">
        <v>55</v>
      </c>
      <c r="W729" s="143">
        <v>244270</v>
      </c>
      <c r="X729" s="139"/>
      <c r="Y729" s="141"/>
      <c r="Z729" s="119" t="s">
        <v>2255</v>
      </c>
      <c r="AA729" s="144">
        <f>W729-P750</f>
        <v>-5</v>
      </c>
    </row>
    <row r="730" spans="1:27" s="145" customFormat="1" ht="36" customHeight="1" x14ac:dyDescent="0.25">
      <c r="A730" s="119" t="s">
        <v>27</v>
      </c>
      <c r="B730" s="139">
        <v>244266</v>
      </c>
      <c r="C730" s="119" t="s">
        <v>14</v>
      </c>
      <c r="D730" s="166">
        <v>680583</v>
      </c>
      <c r="E730" s="119" t="s">
        <v>307</v>
      </c>
      <c r="F730" s="190">
        <v>68100936</v>
      </c>
      <c r="G730" s="119" t="s">
        <v>2198</v>
      </c>
      <c r="H730" s="187" t="s">
        <v>266</v>
      </c>
      <c r="I730" s="147" t="s">
        <v>308</v>
      </c>
      <c r="J730" s="146">
        <v>61.2</v>
      </c>
      <c r="K730" s="119" t="s">
        <v>201</v>
      </c>
      <c r="L730" s="146">
        <f>64-J730</f>
        <v>2.7999999999999972</v>
      </c>
      <c r="M730" s="119" t="s">
        <v>2199</v>
      </c>
      <c r="N730" s="119" t="s">
        <v>93</v>
      </c>
      <c r="O730" s="141">
        <f t="shared" si="433"/>
        <v>244266</v>
      </c>
      <c r="P730" s="141">
        <f t="shared" si="435"/>
        <v>244273</v>
      </c>
      <c r="Q730" s="141">
        <f t="shared" si="434"/>
        <v>244268</v>
      </c>
      <c r="R730" s="139" t="s">
        <v>55</v>
      </c>
      <c r="S730" s="143">
        <v>244267</v>
      </c>
      <c r="T730" s="139" t="s">
        <v>55</v>
      </c>
      <c r="U730" s="143">
        <v>244270</v>
      </c>
      <c r="V730" s="139" t="s">
        <v>55</v>
      </c>
      <c r="W730" s="143">
        <v>244270</v>
      </c>
      <c r="X730" s="139"/>
      <c r="Y730" s="141"/>
      <c r="Z730" s="119" t="s">
        <v>2256</v>
      </c>
      <c r="AA730" s="144"/>
    </row>
    <row r="731" spans="1:27" s="145" customFormat="1" ht="36" customHeight="1" x14ac:dyDescent="0.25">
      <c r="A731" s="119" t="s">
        <v>27</v>
      </c>
      <c r="B731" s="139">
        <v>244266</v>
      </c>
      <c r="C731" s="119" t="s">
        <v>14</v>
      </c>
      <c r="D731" s="166">
        <v>680584</v>
      </c>
      <c r="E731" s="119" t="s">
        <v>420</v>
      </c>
      <c r="F731" s="190">
        <v>68100937</v>
      </c>
      <c r="G731" s="119" t="s">
        <v>2200</v>
      </c>
      <c r="H731" s="187" t="s">
        <v>270</v>
      </c>
      <c r="I731" s="147" t="s">
        <v>1041</v>
      </c>
      <c r="J731" s="146">
        <v>125.64</v>
      </c>
      <c r="K731" s="119" t="s">
        <v>207</v>
      </c>
      <c r="L731" s="146">
        <f>J731-124</f>
        <v>1.6400000000000006</v>
      </c>
      <c r="M731" s="119" t="s">
        <v>2201</v>
      </c>
      <c r="N731" s="119" t="s">
        <v>93</v>
      </c>
      <c r="O731" s="141">
        <f t="shared" ref="O731" si="485">B731</f>
        <v>244266</v>
      </c>
      <c r="P731" s="141">
        <f t="shared" ref="P731" si="486">B731+7</f>
        <v>244273</v>
      </c>
      <c r="Q731" s="141">
        <f t="shared" ref="Q731" si="487">O731+2</f>
        <v>244268</v>
      </c>
      <c r="R731" s="139" t="s">
        <v>55</v>
      </c>
      <c r="S731" s="143">
        <v>244267</v>
      </c>
      <c r="T731" s="139" t="s">
        <v>55</v>
      </c>
      <c r="U731" s="143">
        <v>244270</v>
      </c>
      <c r="V731" s="139" t="s">
        <v>55</v>
      </c>
      <c r="W731" s="143">
        <v>244270</v>
      </c>
      <c r="X731" s="139"/>
      <c r="Y731" s="141"/>
      <c r="Z731" s="119" t="s">
        <v>966</v>
      </c>
      <c r="AA731" s="144">
        <f>W731-P750</f>
        <v>-5</v>
      </c>
    </row>
    <row r="732" spans="1:27" s="145" customFormat="1" ht="36" customHeight="1" x14ac:dyDescent="0.25">
      <c r="A732" s="119" t="s">
        <v>27</v>
      </c>
      <c r="B732" s="139">
        <v>244267</v>
      </c>
      <c r="C732" s="119" t="s">
        <v>14</v>
      </c>
      <c r="D732" s="166">
        <v>680585</v>
      </c>
      <c r="E732" s="119" t="s">
        <v>1290</v>
      </c>
      <c r="F732" s="190">
        <v>68101027</v>
      </c>
      <c r="G732" s="119" t="s">
        <v>2203</v>
      </c>
      <c r="H732" s="187" t="s">
        <v>224</v>
      </c>
      <c r="I732" s="147" t="s">
        <v>1104</v>
      </c>
      <c r="J732" s="146">
        <v>87.15</v>
      </c>
      <c r="K732" s="119" t="s">
        <v>200</v>
      </c>
      <c r="L732" s="146">
        <v>2.15</v>
      </c>
      <c r="M732" s="119" t="s">
        <v>2204</v>
      </c>
      <c r="N732" s="119" t="s">
        <v>93</v>
      </c>
      <c r="O732" s="141">
        <f t="shared" si="433"/>
        <v>244267</v>
      </c>
      <c r="P732" s="141">
        <f t="shared" si="435"/>
        <v>244274</v>
      </c>
      <c r="Q732" s="141">
        <f t="shared" si="434"/>
        <v>244269</v>
      </c>
      <c r="R732" s="139" t="s">
        <v>55</v>
      </c>
      <c r="S732" s="143">
        <v>244274</v>
      </c>
      <c r="T732" s="139" t="s">
        <v>55</v>
      </c>
      <c r="U732" s="143">
        <v>244274</v>
      </c>
      <c r="V732" s="139" t="s">
        <v>55</v>
      </c>
      <c r="W732" s="143">
        <v>244270</v>
      </c>
      <c r="X732" s="139"/>
      <c r="Y732" s="141"/>
      <c r="Z732" s="119" t="s">
        <v>2241</v>
      </c>
      <c r="AA732" s="144">
        <f>W732-P751</f>
        <v>-5</v>
      </c>
    </row>
    <row r="733" spans="1:27" s="145" customFormat="1" ht="36" customHeight="1" x14ac:dyDescent="0.25">
      <c r="A733" s="119" t="s">
        <v>27</v>
      </c>
      <c r="B733" s="139">
        <v>244267</v>
      </c>
      <c r="C733" s="119" t="s">
        <v>14</v>
      </c>
      <c r="D733" s="166">
        <v>680586</v>
      </c>
      <c r="E733" s="119" t="s">
        <v>402</v>
      </c>
      <c r="F733" s="190">
        <v>68101058</v>
      </c>
      <c r="G733" s="119" t="s">
        <v>2205</v>
      </c>
      <c r="H733" s="187" t="s">
        <v>218</v>
      </c>
      <c r="I733" s="147" t="s">
        <v>365</v>
      </c>
      <c r="J733" s="146" t="s">
        <v>366</v>
      </c>
      <c r="K733" s="146" t="s">
        <v>366</v>
      </c>
      <c r="L733" s="146" t="s">
        <v>69</v>
      </c>
      <c r="M733" s="119" t="s">
        <v>2206</v>
      </c>
      <c r="N733" s="119" t="s">
        <v>93</v>
      </c>
      <c r="O733" s="141">
        <f t="shared" ref="O733:O736" si="488">B733</f>
        <v>244267</v>
      </c>
      <c r="P733" s="141">
        <f t="shared" ref="P733:P736" si="489">B733+7</f>
        <v>244274</v>
      </c>
      <c r="Q733" s="141">
        <f t="shared" ref="Q733:Q736" si="490">O733+2</f>
        <v>244269</v>
      </c>
      <c r="R733" s="139" t="s">
        <v>55</v>
      </c>
      <c r="S733" s="143">
        <v>244272</v>
      </c>
      <c r="T733" s="139" t="s">
        <v>55</v>
      </c>
      <c r="U733" s="143">
        <v>244272</v>
      </c>
      <c r="V733" s="139" t="s">
        <v>55</v>
      </c>
      <c r="W733" s="143">
        <v>244272</v>
      </c>
      <c r="X733" s="139"/>
      <c r="Y733" s="141"/>
      <c r="Z733" s="119" t="s">
        <v>2298</v>
      </c>
      <c r="AA733" s="144">
        <f>W733-P751</f>
        <v>-3</v>
      </c>
    </row>
    <row r="734" spans="1:27" s="145" customFormat="1" ht="36" customHeight="1" x14ac:dyDescent="0.25">
      <c r="A734" s="119" t="s">
        <v>27</v>
      </c>
      <c r="B734" s="139">
        <v>244267</v>
      </c>
      <c r="C734" s="119" t="s">
        <v>14</v>
      </c>
      <c r="D734" s="166">
        <v>680587</v>
      </c>
      <c r="E734" s="119" t="s">
        <v>413</v>
      </c>
      <c r="F734" s="190">
        <v>68101055</v>
      </c>
      <c r="G734" s="119" t="s">
        <v>2207</v>
      </c>
      <c r="H734" s="187" t="s">
        <v>209</v>
      </c>
      <c r="I734" s="147" t="s">
        <v>415</v>
      </c>
      <c r="J734" s="146">
        <v>82.59</v>
      </c>
      <c r="K734" s="119" t="s">
        <v>200</v>
      </c>
      <c r="L734" s="146">
        <v>2.59</v>
      </c>
      <c r="M734" s="119" t="s">
        <v>1778</v>
      </c>
      <c r="N734" s="119" t="s">
        <v>93</v>
      </c>
      <c r="O734" s="141">
        <f t="shared" si="488"/>
        <v>244267</v>
      </c>
      <c r="P734" s="141">
        <f t="shared" si="489"/>
        <v>244274</v>
      </c>
      <c r="Q734" s="141">
        <f t="shared" si="490"/>
        <v>244269</v>
      </c>
      <c r="R734" s="139" t="s">
        <v>55</v>
      </c>
      <c r="S734" s="143">
        <v>244272</v>
      </c>
      <c r="T734" s="139" t="s">
        <v>55</v>
      </c>
      <c r="U734" s="143">
        <v>244272</v>
      </c>
      <c r="V734" s="139" t="s">
        <v>55</v>
      </c>
      <c r="W734" s="143">
        <v>244272</v>
      </c>
      <c r="X734" s="139"/>
      <c r="Y734" s="141"/>
      <c r="Z734" s="119" t="s">
        <v>1334</v>
      </c>
      <c r="AA734" s="144">
        <f>W734-P749</f>
        <v>-3</v>
      </c>
    </row>
    <row r="735" spans="1:27" s="145" customFormat="1" ht="36" customHeight="1" x14ac:dyDescent="0.25">
      <c r="A735" s="119" t="s">
        <v>27</v>
      </c>
      <c r="B735" s="139">
        <v>244267</v>
      </c>
      <c r="C735" s="119" t="s">
        <v>14</v>
      </c>
      <c r="D735" s="166">
        <v>680587</v>
      </c>
      <c r="E735" s="119" t="s">
        <v>413</v>
      </c>
      <c r="F735" s="190">
        <v>68101063</v>
      </c>
      <c r="G735" s="119" t="s">
        <v>2208</v>
      </c>
      <c r="H735" s="187" t="s">
        <v>268</v>
      </c>
      <c r="I735" s="147" t="s">
        <v>415</v>
      </c>
      <c r="J735" s="146">
        <v>81.63</v>
      </c>
      <c r="K735" s="119" t="s">
        <v>200</v>
      </c>
      <c r="L735" s="146">
        <v>1.63</v>
      </c>
      <c r="M735" s="119" t="s">
        <v>2209</v>
      </c>
      <c r="N735" s="119" t="s">
        <v>93</v>
      </c>
      <c r="O735" s="141">
        <f t="shared" si="488"/>
        <v>244267</v>
      </c>
      <c r="P735" s="141">
        <f t="shared" si="489"/>
        <v>244274</v>
      </c>
      <c r="Q735" s="141">
        <f t="shared" si="490"/>
        <v>244269</v>
      </c>
      <c r="R735" s="139" t="s">
        <v>55</v>
      </c>
      <c r="S735" s="143">
        <v>244272</v>
      </c>
      <c r="T735" s="139" t="s">
        <v>55</v>
      </c>
      <c r="U735" s="143">
        <v>244272</v>
      </c>
      <c r="V735" s="139" t="s">
        <v>55</v>
      </c>
      <c r="W735" s="143">
        <v>244272</v>
      </c>
      <c r="X735" s="119" t="s">
        <v>1334</v>
      </c>
      <c r="Y735" s="141"/>
      <c r="Z735" s="119" t="s">
        <v>1334</v>
      </c>
      <c r="AA735" s="144">
        <f>W735-P750</f>
        <v>-3</v>
      </c>
    </row>
    <row r="736" spans="1:27" s="145" customFormat="1" ht="36" customHeight="1" x14ac:dyDescent="0.25">
      <c r="A736" s="119" t="s">
        <v>27</v>
      </c>
      <c r="B736" s="139">
        <v>244267</v>
      </c>
      <c r="C736" s="119" t="s">
        <v>14</v>
      </c>
      <c r="D736" s="166">
        <v>680587</v>
      </c>
      <c r="E736" s="119" t="s">
        <v>413</v>
      </c>
      <c r="F736" s="190">
        <v>68101059</v>
      </c>
      <c r="G736" s="119" t="s">
        <v>2210</v>
      </c>
      <c r="H736" s="187" t="s">
        <v>217</v>
      </c>
      <c r="I736" s="147" t="s">
        <v>415</v>
      </c>
      <c r="J736" s="146">
        <v>83.09</v>
      </c>
      <c r="K736" s="119" t="s">
        <v>200</v>
      </c>
      <c r="L736" s="146">
        <v>3.09</v>
      </c>
      <c r="M736" s="119" t="s">
        <v>2211</v>
      </c>
      <c r="N736" s="119" t="s">
        <v>93</v>
      </c>
      <c r="O736" s="141">
        <f t="shared" si="488"/>
        <v>244267</v>
      </c>
      <c r="P736" s="141">
        <f t="shared" si="489"/>
        <v>244274</v>
      </c>
      <c r="Q736" s="141">
        <f t="shared" si="490"/>
        <v>244269</v>
      </c>
      <c r="R736" s="139" t="s">
        <v>55</v>
      </c>
      <c r="S736" s="143">
        <v>244272</v>
      </c>
      <c r="T736" s="139" t="s">
        <v>55</v>
      </c>
      <c r="U736" s="143">
        <v>244272</v>
      </c>
      <c r="V736" s="139" t="s">
        <v>55</v>
      </c>
      <c r="W736" s="143">
        <v>244272</v>
      </c>
      <c r="X736" s="119" t="s">
        <v>1334</v>
      </c>
      <c r="Y736" s="141"/>
      <c r="Z736" s="119" t="s">
        <v>1334</v>
      </c>
      <c r="AA736" s="144">
        <f>W736-P751</f>
        <v>-3</v>
      </c>
    </row>
    <row r="737" spans="1:27" s="145" customFormat="1" ht="36" customHeight="1" x14ac:dyDescent="0.25">
      <c r="A737" s="119" t="s">
        <v>27</v>
      </c>
      <c r="B737" s="139">
        <v>244267</v>
      </c>
      <c r="C737" s="119" t="s">
        <v>14</v>
      </c>
      <c r="D737" s="166">
        <v>680587</v>
      </c>
      <c r="E737" s="119" t="s">
        <v>413</v>
      </c>
      <c r="F737" s="190">
        <v>68101014</v>
      </c>
      <c r="G737" s="119" t="s">
        <v>2212</v>
      </c>
      <c r="H737" s="187" t="s">
        <v>297</v>
      </c>
      <c r="I737" s="147" t="s">
        <v>415</v>
      </c>
      <c r="J737" s="146">
        <v>82.75</v>
      </c>
      <c r="K737" s="119" t="s">
        <v>200</v>
      </c>
      <c r="L737" s="146">
        <v>2.75</v>
      </c>
      <c r="M737" s="119" t="s">
        <v>2213</v>
      </c>
      <c r="N737" s="119" t="s">
        <v>93</v>
      </c>
      <c r="O737" s="141">
        <f t="shared" si="433"/>
        <v>244267</v>
      </c>
      <c r="P737" s="141">
        <f t="shared" si="435"/>
        <v>244274</v>
      </c>
      <c r="Q737" s="141">
        <f t="shared" si="434"/>
        <v>244269</v>
      </c>
      <c r="R737" s="139" t="s">
        <v>55</v>
      </c>
      <c r="S737" s="143">
        <v>244272</v>
      </c>
      <c r="T737" s="139" t="s">
        <v>55</v>
      </c>
      <c r="U737" s="143">
        <v>244272</v>
      </c>
      <c r="V737" s="139" t="s">
        <v>55</v>
      </c>
      <c r="W737" s="143">
        <v>244272</v>
      </c>
      <c r="X737" s="119" t="s">
        <v>1334</v>
      </c>
      <c r="Y737" s="141"/>
      <c r="Z737" s="119" t="s">
        <v>1334</v>
      </c>
      <c r="AA737" s="144">
        <f>W737-P752</f>
        <v>-5</v>
      </c>
    </row>
    <row r="738" spans="1:27" s="145" customFormat="1" ht="36" customHeight="1" x14ac:dyDescent="0.25">
      <c r="A738" s="119" t="s">
        <v>27</v>
      </c>
      <c r="B738" s="139">
        <v>244267</v>
      </c>
      <c r="C738" s="119" t="s">
        <v>14</v>
      </c>
      <c r="D738" s="166">
        <v>680588</v>
      </c>
      <c r="E738" s="119" t="s">
        <v>2096</v>
      </c>
      <c r="F738" s="190">
        <v>68101039</v>
      </c>
      <c r="G738" s="119" t="s">
        <v>2214</v>
      </c>
      <c r="H738" s="187" t="s">
        <v>214</v>
      </c>
      <c r="I738" s="147" t="s">
        <v>2098</v>
      </c>
      <c r="J738" s="146">
        <v>54.36</v>
      </c>
      <c r="K738" s="119" t="s">
        <v>200</v>
      </c>
      <c r="L738" s="146">
        <v>0.36</v>
      </c>
      <c r="M738" s="119" t="s">
        <v>2215</v>
      </c>
      <c r="N738" s="119" t="s">
        <v>93</v>
      </c>
      <c r="O738" s="141">
        <f t="shared" ref="O738:O739" si="491">B738</f>
        <v>244267</v>
      </c>
      <c r="P738" s="141">
        <f t="shared" ref="P738:P739" si="492">B738+7</f>
        <v>244274</v>
      </c>
      <c r="Q738" s="141">
        <f t="shared" ref="Q738:Q739" si="493">O738+2</f>
        <v>244269</v>
      </c>
      <c r="R738" s="139" t="s">
        <v>55</v>
      </c>
      <c r="S738" s="143">
        <v>244272</v>
      </c>
      <c r="T738" s="139" t="s">
        <v>55</v>
      </c>
      <c r="U738" s="143">
        <v>244272</v>
      </c>
      <c r="V738" s="139" t="s">
        <v>55</v>
      </c>
      <c r="W738" s="143">
        <v>244272</v>
      </c>
      <c r="X738" s="139"/>
      <c r="Y738" s="141"/>
      <c r="Z738" s="119" t="s">
        <v>2299</v>
      </c>
      <c r="AA738" s="144"/>
    </row>
    <row r="739" spans="1:27" s="145" customFormat="1" ht="36" customHeight="1" x14ac:dyDescent="0.25">
      <c r="A739" s="119" t="s">
        <v>27</v>
      </c>
      <c r="B739" s="139">
        <v>244267</v>
      </c>
      <c r="C739" s="119" t="s">
        <v>14</v>
      </c>
      <c r="D739" s="166">
        <v>680588</v>
      </c>
      <c r="E739" s="119" t="s">
        <v>2096</v>
      </c>
      <c r="F739" s="190">
        <v>68101041</v>
      </c>
      <c r="G739" s="119" t="s">
        <v>2216</v>
      </c>
      <c r="H739" s="187" t="s">
        <v>221</v>
      </c>
      <c r="I739" s="147" t="s">
        <v>2098</v>
      </c>
      <c r="J739" s="146">
        <v>54.92</v>
      </c>
      <c r="K739" s="119" t="s">
        <v>200</v>
      </c>
      <c r="L739" s="146">
        <v>0.92</v>
      </c>
      <c r="M739" s="119" t="s">
        <v>2217</v>
      </c>
      <c r="N739" s="119" t="s">
        <v>93</v>
      </c>
      <c r="O739" s="141">
        <f t="shared" si="491"/>
        <v>244267</v>
      </c>
      <c r="P739" s="141">
        <f t="shared" si="492"/>
        <v>244274</v>
      </c>
      <c r="Q739" s="141">
        <f t="shared" si="493"/>
        <v>244269</v>
      </c>
      <c r="R739" s="139" t="s">
        <v>55</v>
      </c>
      <c r="S739" s="143">
        <v>244272</v>
      </c>
      <c r="T739" s="139" t="s">
        <v>55</v>
      </c>
      <c r="U739" s="143">
        <v>244272</v>
      </c>
      <c r="V739" s="139" t="s">
        <v>55</v>
      </c>
      <c r="W739" s="143">
        <v>244272</v>
      </c>
      <c r="X739" s="139"/>
      <c r="Y739" s="141"/>
      <c r="Z739" s="119" t="s">
        <v>2299</v>
      </c>
      <c r="AA739" s="144"/>
    </row>
    <row r="740" spans="1:27" s="145" customFormat="1" ht="36" customHeight="1" x14ac:dyDescent="0.25">
      <c r="A740" s="119" t="s">
        <v>27</v>
      </c>
      <c r="B740" s="139">
        <v>244267</v>
      </c>
      <c r="C740" s="119" t="s">
        <v>14</v>
      </c>
      <c r="D740" s="166">
        <v>680588</v>
      </c>
      <c r="E740" s="119" t="s">
        <v>2096</v>
      </c>
      <c r="F740" s="190">
        <v>68101042</v>
      </c>
      <c r="G740" s="119" t="s">
        <v>2218</v>
      </c>
      <c r="H740" s="187" t="s">
        <v>293</v>
      </c>
      <c r="I740" s="147" t="s">
        <v>2098</v>
      </c>
      <c r="J740" s="146">
        <v>54.58</v>
      </c>
      <c r="K740" s="119" t="s">
        <v>200</v>
      </c>
      <c r="L740" s="146">
        <v>0.57999999999999996</v>
      </c>
      <c r="M740" s="119" t="s">
        <v>2219</v>
      </c>
      <c r="N740" s="119" t="s">
        <v>93</v>
      </c>
      <c r="O740" s="141">
        <f t="shared" si="433"/>
        <v>244267</v>
      </c>
      <c r="P740" s="141">
        <f t="shared" si="435"/>
        <v>244274</v>
      </c>
      <c r="Q740" s="141">
        <f t="shared" si="434"/>
        <v>244269</v>
      </c>
      <c r="R740" s="139" t="s">
        <v>55</v>
      </c>
      <c r="S740" s="143">
        <v>244272</v>
      </c>
      <c r="T740" s="139" t="s">
        <v>55</v>
      </c>
      <c r="U740" s="143">
        <v>244272</v>
      </c>
      <c r="V740" s="139" t="s">
        <v>55</v>
      </c>
      <c r="W740" s="143">
        <v>244272</v>
      </c>
      <c r="X740" s="139"/>
      <c r="Y740" s="141"/>
      <c r="Z740" s="119" t="s">
        <v>2299</v>
      </c>
      <c r="AA740" s="144"/>
    </row>
    <row r="741" spans="1:27" s="145" customFormat="1" ht="42" customHeight="1" x14ac:dyDescent="0.25">
      <c r="A741" s="119" t="s">
        <v>27</v>
      </c>
      <c r="B741" s="139">
        <v>244267</v>
      </c>
      <c r="C741" s="119" t="s">
        <v>14</v>
      </c>
      <c r="D741" s="166">
        <v>680589</v>
      </c>
      <c r="E741" s="119" t="s">
        <v>420</v>
      </c>
      <c r="F741" s="190">
        <v>68101030</v>
      </c>
      <c r="G741" s="119" t="s">
        <v>2220</v>
      </c>
      <c r="H741" s="187" t="s">
        <v>228</v>
      </c>
      <c r="I741" s="147" t="s">
        <v>1041</v>
      </c>
      <c r="J741" s="146">
        <v>125.38</v>
      </c>
      <c r="K741" s="119" t="s">
        <v>207</v>
      </c>
      <c r="L741" s="146">
        <f>J741-124</f>
        <v>1.3799999999999955</v>
      </c>
      <c r="M741" s="119" t="s">
        <v>2221</v>
      </c>
      <c r="N741" s="119" t="s">
        <v>93</v>
      </c>
      <c r="O741" s="141">
        <f t="shared" si="433"/>
        <v>244267</v>
      </c>
      <c r="P741" s="141">
        <f t="shared" si="435"/>
        <v>244274</v>
      </c>
      <c r="Q741" s="141">
        <f t="shared" si="434"/>
        <v>244269</v>
      </c>
      <c r="R741" s="139" t="s">
        <v>55</v>
      </c>
      <c r="S741" s="143">
        <v>244272</v>
      </c>
      <c r="T741" s="139" t="s">
        <v>55</v>
      </c>
      <c r="U741" s="143">
        <v>244272</v>
      </c>
      <c r="V741" s="139" t="s">
        <v>55</v>
      </c>
      <c r="W741" s="143">
        <v>244272</v>
      </c>
      <c r="X741" s="139"/>
      <c r="Y741" s="141"/>
      <c r="Z741" s="119" t="s">
        <v>966</v>
      </c>
      <c r="AA741" s="144">
        <f>W741-P753</f>
        <v>-5</v>
      </c>
    </row>
    <row r="742" spans="1:27" s="145" customFormat="1" ht="42" customHeight="1" x14ac:dyDescent="0.25">
      <c r="A742" s="119" t="s">
        <v>27</v>
      </c>
      <c r="B742" s="139">
        <v>244267</v>
      </c>
      <c r="C742" s="119" t="s">
        <v>14</v>
      </c>
      <c r="D742" s="166">
        <v>680589</v>
      </c>
      <c r="E742" s="119" t="s">
        <v>420</v>
      </c>
      <c r="F742" s="190">
        <v>68101060</v>
      </c>
      <c r="G742" s="119" t="s">
        <v>2222</v>
      </c>
      <c r="H742" s="187" t="s">
        <v>270</v>
      </c>
      <c r="I742" s="147" t="s">
        <v>1041</v>
      </c>
      <c r="J742" s="146">
        <v>126.19</v>
      </c>
      <c r="K742" s="119" t="s">
        <v>207</v>
      </c>
      <c r="L742" s="146">
        <f>J742-124</f>
        <v>2.1899999999999977</v>
      </c>
      <c r="M742" s="119" t="s">
        <v>2147</v>
      </c>
      <c r="N742" s="119" t="s">
        <v>93</v>
      </c>
      <c r="O742" s="141">
        <f t="shared" ref="O742" si="494">B742</f>
        <v>244267</v>
      </c>
      <c r="P742" s="141">
        <f t="shared" ref="P742" si="495">B742+7</f>
        <v>244274</v>
      </c>
      <c r="Q742" s="141">
        <f t="shared" ref="Q742" si="496">O742+2</f>
        <v>244269</v>
      </c>
      <c r="R742" s="139" t="s">
        <v>55</v>
      </c>
      <c r="S742" s="143">
        <v>244272</v>
      </c>
      <c r="T742" s="139" t="s">
        <v>55</v>
      </c>
      <c r="U742" s="143">
        <v>244272</v>
      </c>
      <c r="V742" s="139" t="s">
        <v>55</v>
      </c>
      <c r="W742" s="143">
        <v>244272</v>
      </c>
      <c r="X742" s="139"/>
      <c r="Y742" s="141"/>
      <c r="Z742" s="119" t="s">
        <v>966</v>
      </c>
      <c r="AA742" s="144">
        <f>W742-P754</f>
        <v>-5</v>
      </c>
    </row>
    <row r="743" spans="1:27" s="145" customFormat="1" ht="36" customHeight="1" x14ac:dyDescent="0.25">
      <c r="A743" s="119" t="s">
        <v>27</v>
      </c>
      <c r="B743" s="139">
        <v>244268</v>
      </c>
      <c r="C743" s="119" t="s">
        <v>14</v>
      </c>
      <c r="D743" s="166">
        <v>680590</v>
      </c>
      <c r="E743" s="119" t="s">
        <v>420</v>
      </c>
      <c r="F743" s="190">
        <v>68101113</v>
      </c>
      <c r="G743" s="119" t="s">
        <v>2223</v>
      </c>
      <c r="H743" s="187" t="s">
        <v>270</v>
      </c>
      <c r="I743" s="147" t="s">
        <v>1041</v>
      </c>
      <c r="J743" s="146">
        <v>126.73</v>
      </c>
      <c r="K743" s="119" t="s">
        <v>200</v>
      </c>
      <c r="L743" s="146">
        <f>J743-124</f>
        <v>2.730000000000004</v>
      </c>
      <c r="M743" s="119" t="s">
        <v>2224</v>
      </c>
      <c r="N743" s="119" t="s">
        <v>93</v>
      </c>
      <c r="O743" s="141">
        <f t="shared" ref="O743" si="497">B743</f>
        <v>244268</v>
      </c>
      <c r="P743" s="141">
        <f t="shared" ref="P743" si="498">B743+7</f>
        <v>244275</v>
      </c>
      <c r="Q743" s="141">
        <f t="shared" ref="Q743" si="499">O743+2</f>
        <v>244270</v>
      </c>
      <c r="R743" s="139" t="s">
        <v>55</v>
      </c>
      <c r="S743" s="143">
        <v>244272</v>
      </c>
      <c r="T743" s="139" t="s">
        <v>55</v>
      </c>
      <c r="U743" s="143">
        <v>244272</v>
      </c>
      <c r="V743" s="139" t="s">
        <v>55</v>
      </c>
      <c r="W743" s="143">
        <v>244272</v>
      </c>
      <c r="X743" s="139"/>
      <c r="Y743" s="141"/>
      <c r="Z743" s="119" t="s">
        <v>966</v>
      </c>
      <c r="AA743" s="144"/>
    </row>
    <row r="744" spans="1:27" s="145" customFormat="1" ht="36" customHeight="1" x14ac:dyDescent="0.25">
      <c r="A744" s="119" t="s">
        <v>27</v>
      </c>
      <c r="B744" s="139">
        <v>244268</v>
      </c>
      <c r="C744" s="119" t="s">
        <v>14</v>
      </c>
      <c r="D744" s="166">
        <v>680590</v>
      </c>
      <c r="E744" s="119" t="s">
        <v>420</v>
      </c>
      <c r="F744" s="190">
        <v>68101131</v>
      </c>
      <c r="G744" s="119" t="s">
        <v>2225</v>
      </c>
      <c r="H744" s="187" t="s">
        <v>1147</v>
      </c>
      <c r="I744" s="147" t="s">
        <v>1041</v>
      </c>
      <c r="J744" s="146">
        <v>125.04</v>
      </c>
      <c r="K744" s="119" t="s">
        <v>200</v>
      </c>
      <c r="L744" s="146">
        <f>J744-124</f>
        <v>1.0400000000000063</v>
      </c>
      <c r="M744" s="119" t="s">
        <v>2224</v>
      </c>
      <c r="N744" s="119" t="s">
        <v>93</v>
      </c>
      <c r="O744" s="141">
        <f t="shared" ref="O744" si="500">B744</f>
        <v>244268</v>
      </c>
      <c r="P744" s="141">
        <f t="shared" ref="P744" si="501">B744+7</f>
        <v>244275</v>
      </c>
      <c r="Q744" s="141">
        <f t="shared" ref="Q744" si="502">O744+2</f>
        <v>244270</v>
      </c>
      <c r="R744" s="139" t="s">
        <v>55</v>
      </c>
      <c r="S744" s="143">
        <v>244272</v>
      </c>
      <c r="T744" s="139" t="s">
        <v>55</v>
      </c>
      <c r="U744" s="143">
        <v>244272</v>
      </c>
      <c r="V744" s="139" t="s">
        <v>55</v>
      </c>
      <c r="W744" s="143">
        <v>244272</v>
      </c>
      <c r="X744" s="139"/>
      <c r="Y744" s="141"/>
      <c r="Z744" s="119" t="s">
        <v>966</v>
      </c>
      <c r="AA744" s="144"/>
    </row>
    <row r="745" spans="1:27" s="145" customFormat="1" ht="39.75" customHeight="1" x14ac:dyDescent="0.25">
      <c r="A745" s="119" t="s">
        <v>27</v>
      </c>
      <c r="B745" s="139">
        <v>244268</v>
      </c>
      <c r="C745" s="119" t="s">
        <v>14</v>
      </c>
      <c r="D745" s="166">
        <v>680591</v>
      </c>
      <c r="E745" s="119" t="s">
        <v>413</v>
      </c>
      <c r="F745" s="190">
        <v>68101109</v>
      </c>
      <c r="G745" s="119" t="s">
        <v>2226</v>
      </c>
      <c r="H745" s="187" t="s">
        <v>206</v>
      </c>
      <c r="I745" s="147" t="s">
        <v>415</v>
      </c>
      <c r="J745" s="146">
        <v>82.43</v>
      </c>
      <c r="K745" s="119" t="s">
        <v>200</v>
      </c>
      <c r="L745" s="146">
        <v>2.4300000000000002</v>
      </c>
      <c r="M745" s="119" t="s">
        <v>1754</v>
      </c>
      <c r="N745" s="119" t="s">
        <v>93</v>
      </c>
      <c r="O745" s="141">
        <f t="shared" si="433"/>
        <v>244268</v>
      </c>
      <c r="P745" s="141">
        <f t="shared" si="435"/>
        <v>244275</v>
      </c>
      <c r="Q745" s="141">
        <f t="shared" si="434"/>
        <v>244270</v>
      </c>
      <c r="R745" s="139" t="s">
        <v>55</v>
      </c>
      <c r="S745" s="143">
        <v>244272</v>
      </c>
      <c r="T745" s="139" t="s">
        <v>55</v>
      </c>
      <c r="U745" s="143">
        <v>244272</v>
      </c>
      <c r="V745" s="139" t="s">
        <v>55</v>
      </c>
      <c r="W745" s="143">
        <v>244272</v>
      </c>
      <c r="X745" s="139"/>
      <c r="Y745" s="141"/>
      <c r="Z745" s="119" t="s">
        <v>1334</v>
      </c>
      <c r="AA745" s="144">
        <f>W745-P757</f>
        <v>-5</v>
      </c>
    </row>
    <row r="746" spans="1:27" s="145" customFormat="1" ht="39.75" customHeight="1" x14ac:dyDescent="0.25">
      <c r="A746" s="119" t="s">
        <v>27</v>
      </c>
      <c r="B746" s="139">
        <v>244268</v>
      </c>
      <c r="C746" s="119" t="s">
        <v>14</v>
      </c>
      <c r="D746" s="166">
        <v>680592</v>
      </c>
      <c r="E746" s="119" t="s">
        <v>307</v>
      </c>
      <c r="F746" s="190">
        <v>68101137</v>
      </c>
      <c r="G746" s="119" t="s">
        <v>2227</v>
      </c>
      <c r="H746" s="187" t="s">
        <v>238</v>
      </c>
      <c r="I746" s="147" t="s">
        <v>308</v>
      </c>
      <c r="J746" s="146">
        <v>62.88</v>
      </c>
      <c r="K746" s="119" t="s">
        <v>411</v>
      </c>
      <c r="L746" s="146">
        <f>64-J746</f>
        <v>1.1199999999999974</v>
      </c>
      <c r="M746" s="146" t="s">
        <v>2228</v>
      </c>
      <c r="N746" s="119" t="s">
        <v>93</v>
      </c>
      <c r="O746" s="141">
        <f t="shared" ref="O746" si="503">B746</f>
        <v>244268</v>
      </c>
      <c r="P746" s="141">
        <f t="shared" ref="P746" si="504">B746+7</f>
        <v>244275</v>
      </c>
      <c r="Q746" s="141">
        <f t="shared" ref="Q746" si="505">O746+2</f>
        <v>244270</v>
      </c>
      <c r="R746" s="139" t="s">
        <v>55</v>
      </c>
      <c r="S746" s="143">
        <v>244274</v>
      </c>
      <c r="T746" s="139" t="s">
        <v>55</v>
      </c>
      <c r="U746" s="143">
        <v>244274</v>
      </c>
      <c r="V746" s="139" t="s">
        <v>55</v>
      </c>
      <c r="W746" s="143">
        <v>244274</v>
      </c>
      <c r="X746" s="139"/>
      <c r="Y746" s="141"/>
      <c r="Z746" s="119" t="s">
        <v>2306</v>
      </c>
      <c r="AA746" s="144">
        <f>W746-P758</f>
        <v>-3</v>
      </c>
    </row>
    <row r="747" spans="1:27" s="145" customFormat="1" ht="39.75" customHeight="1" x14ac:dyDescent="0.25">
      <c r="A747" s="119" t="s">
        <v>27</v>
      </c>
      <c r="B747" s="139">
        <v>244268</v>
      </c>
      <c r="C747" s="119" t="s">
        <v>14</v>
      </c>
      <c r="D747" s="166">
        <v>680593</v>
      </c>
      <c r="E747" s="119" t="s">
        <v>1290</v>
      </c>
      <c r="F747" s="190">
        <v>68101124</v>
      </c>
      <c r="G747" s="119" t="s">
        <v>2229</v>
      </c>
      <c r="H747" s="187" t="s">
        <v>224</v>
      </c>
      <c r="I747" s="147" t="s">
        <v>1104</v>
      </c>
      <c r="J747" s="146">
        <v>85.8</v>
      </c>
      <c r="K747" s="119" t="s">
        <v>200</v>
      </c>
      <c r="L747" s="146">
        <v>0.8</v>
      </c>
      <c r="M747" s="146" t="s">
        <v>2230</v>
      </c>
      <c r="N747" s="119" t="s">
        <v>93</v>
      </c>
      <c r="O747" s="141">
        <f t="shared" ref="O747" si="506">B747</f>
        <v>244268</v>
      </c>
      <c r="P747" s="141">
        <f t="shared" ref="P747" si="507">B747+7</f>
        <v>244275</v>
      </c>
      <c r="Q747" s="141">
        <f t="shared" ref="Q747" si="508">O747+2</f>
        <v>244270</v>
      </c>
      <c r="R747" s="139" t="s">
        <v>55</v>
      </c>
      <c r="S747" s="143">
        <v>244274</v>
      </c>
      <c r="T747" s="139" t="s">
        <v>55</v>
      </c>
      <c r="U747" s="143">
        <v>244274</v>
      </c>
      <c r="V747" s="139" t="s">
        <v>55</v>
      </c>
      <c r="W747" s="143">
        <v>244270</v>
      </c>
      <c r="X747" s="139"/>
      <c r="Y747" s="141"/>
      <c r="Z747" s="119" t="s">
        <v>2241</v>
      </c>
      <c r="AA747" s="144">
        <f>W747-P759</f>
        <v>-8</v>
      </c>
    </row>
    <row r="748" spans="1:27" s="145" customFormat="1" ht="36" customHeight="1" x14ac:dyDescent="0.25">
      <c r="A748" s="119" t="s">
        <v>27</v>
      </c>
      <c r="B748" s="139">
        <v>244268</v>
      </c>
      <c r="C748" s="119" t="s">
        <v>14</v>
      </c>
      <c r="D748" s="166">
        <v>680594</v>
      </c>
      <c r="E748" s="119" t="s">
        <v>2096</v>
      </c>
      <c r="F748" s="190">
        <v>68101139</v>
      </c>
      <c r="G748" s="119" t="s">
        <v>2231</v>
      </c>
      <c r="H748" s="187" t="s">
        <v>251</v>
      </c>
      <c r="I748" s="147" t="s">
        <v>2098</v>
      </c>
      <c r="J748" s="146">
        <v>54.73</v>
      </c>
      <c r="K748" s="119" t="s">
        <v>200</v>
      </c>
      <c r="L748" s="146">
        <v>0.73</v>
      </c>
      <c r="M748" s="119" t="s">
        <v>2232</v>
      </c>
      <c r="N748" s="119" t="s">
        <v>93</v>
      </c>
      <c r="O748" s="141">
        <f t="shared" si="433"/>
        <v>244268</v>
      </c>
      <c r="P748" s="141">
        <f t="shared" si="435"/>
        <v>244275</v>
      </c>
      <c r="Q748" s="141">
        <f t="shared" si="434"/>
        <v>244270</v>
      </c>
      <c r="R748" s="139" t="s">
        <v>55</v>
      </c>
      <c r="S748" s="143">
        <v>244272</v>
      </c>
      <c r="T748" s="139" t="s">
        <v>55</v>
      </c>
      <c r="U748" s="143">
        <v>244272</v>
      </c>
      <c r="V748" s="139" t="s">
        <v>55</v>
      </c>
      <c r="W748" s="143">
        <v>244272</v>
      </c>
      <c r="X748" s="139"/>
      <c r="Y748" s="141"/>
      <c r="Z748" s="119" t="s">
        <v>2299</v>
      </c>
      <c r="AA748" s="144">
        <f>W748-P761</f>
        <v>-6</v>
      </c>
    </row>
    <row r="749" spans="1:27" s="145" customFormat="1" ht="36" customHeight="1" x14ac:dyDescent="0.25">
      <c r="A749" s="119" t="s">
        <v>27</v>
      </c>
      <c r="B749" s="139">
        <v>244268</v>
      </c>
      <c r="C749" s="119" t="s">
        <v>14</v>
      </c>
      <c r="D749" s="166">
        <v>680594</v>
      </c>
      <c r="E749" s="119" t="s">
        <v>2096</v>
      </c>
      <c r="F749" s="190">
        <v>68101145</v>
      </c>
      <c r="G749" s="119" t="s">
        <v>2233</v>
      </c>
      <c r="H749" s="187" t="s">
        <v>214</v>
      </c>
      <c r="I749" s="147" t="s">
        <v>2098</v>
      </c>
      <c r="J749" s="146">
        <v>54.8</v>
      </c>
      <c r="K749" s="119" t="s">
        <v>200</v>
      </c>
      <c r="L749" s="146">
        <v>0.8</v>
      </c>
      <c r="M749" s="119" t="s">
        <v>2234</v>
      </c>
      <c r="N749" s="119" t="s">
        <v>93</v>
      </c>
      <c r="O749" s="141">
        <f t="shared" ref="O749:O751" si="509">B749</f>
        <v>244268</v>
      </c>
      <c r="P749" s="141">
        <f t="shared" ref="P749:P751" si="510">B749+7</f>
        <v>244275</v>
      </c>
      <c r="Q749" s="141">
        <f t="shared" ref="Q749:Q751" si="511">O749+2</f>
        <v>244270</v>
      </c>
      <c r="R749" s="139" t="s">
        <v>55</v>
      </c>
      <c r="S749" s="143">
        <v>244272</v>
      </c>
      <c r="T749" s="139" t="s">
        <v>55</v>
      </c>
      <c r="U749" s="143">
        <v>244272</v>
      </c>
      <c r="V749" s="139" t="s">
        <v>55</v>
      </c>
      <c r="W749" s="143">
        <v>244272</v>
      </c>
      <c r="X749" s="139"/>
      <c r="Y749" s="141"/>
      <c r="Z749" s="119" t="s">
        <v>2299</v>
      </c>
      <c r="AA749" s="144">
        <f>W749-P762</f>
        <v>-6</v>
      </c>
    </row>
    <row r="750" spans="1:27" s="145" customFormat="1" ht="36" customHeight="1" x14ac:dyDescent="0.25">
      <c r="A750" s="119" t="s">
        <v>27</v>
      </c>
      <c r="B750" s="139">
        <v>244268</v>
      </c>
      <c r="C750" s="119" t="s">
        <v>14</v>
      </c>
      <c r="D750" s="166">
        <v>680594</v>
      </c>
      <c r="E750" s="119" t="s">
        <v>2096</v>
      </c>
      <c r="F750" s="190">
        <v>68101143</v>
      </c>
      <c r="G750" s="119" t="s">
        <v>2235</v>
      </c>
      <c r="H750" s="187" t="s">
        <v>221</v>
      </c>
      <c r="I750" s="147" t="s">
        <v>2098</v>
      </c>
      <c r="J750" s="146">
        <v>56.03</v>
      </c>
      <c r="K750" s="119" t="s">
        <v>200</v>
      </c>
      <c r="L750" s="146">
        <f>J750-54</f>
        <v>2.0300000000000011</v>
      </c>
      <c r="M750" s="119" t="s">
        <v>2236</v>
      </c>
      <c r="N750" s="119" t="s">
        <v>93</v>
      </c>
      <c r="O750" s="141">
        <f t="shared" si="509"/>
        <v>244268</v>
      </c>
      <c r="P750" s="141">
        <f t="shared" si="510"/>
        <v>244275</v>
      </c>
      <c r="Q750" s="141">
        <f t="shared" si="511"/>
        <v>244270</v>
      </c>
      <c r="R750" s="139" t="s">
        <v>55</v>
      </c>
      <c r="S750" s="143">
        <v>244272</v>
      </c>
      <c r="T750" s="139" t="s">
        <v>55</v>
      </c>
      <c r="U750" s="143">
        <v>244272</v>
      </c>
      <c r="V750" s="139" t="s">
        <v>55</v>
      </c>
      <c r="W750" s="143">
        <v>244272</v>
      </c>
      <c r="X750" s="139"/>
      <c r="Y750" s="141"/>
      <c r="Z750" s="119" t="s">
        <v>2299</v>
      </c>
      <c r="AA750" s="144">
        <f>W750-P763</f>
        <v>-6</v>
      </c>
    </row>
    <row r="751" spans="1:27" s="145" customFormat="1" ht="36" customHeight="1" x14ac:dyDescent="0.25">
      <c r="A751" s="119" t="s">
        <v>27</v>
      </c>
      <c r="B751" s="139">
        <v>244268</v>
      </c>
      <c r="C751" s="119" t="s">
        <v>14</v>
      </c>
      <c r="D751" s="166">
        <v>680594</v>
      </c>
      <c r="E751" s="119" t="s">
        <v>2096</v>
      </c>
      <c r="F751" s="190">
        <v>68101144</v>
      </c>
      <c r="G751" s="119" t="s">
        <v>2237</v>
      </c>
      <c r="H751" s="187" t="s">
        <v>293</v>
      </c>
      <c r="I751" s="147" t="s">
        <v>2098</v>
      </c>
      <c r="J751" s="146">
        <v>54.47</v>
      </c>
      <c r="K751" s="119" t="s">
        <v>200</v>
      </c>
      <c r="L751" s="146">
        <v>0.47</v>
      </c>
      <c r="M751" s="119" t="s">
        <v>2238</v>
      </c>
      <c r="N751" s="119" t="s">
        <v>93</v>
      </c>
      <c r="O751" s="141">
        <f t="shared" si="509"/>
        <v>244268</v>
      </c>
      <c r="P751" s="141">
        <f t="shared" si="510"/>
        <v>244275</v>
      </c>
      <c r="Q751" s="141">
        <f t="shared" si="511"/>
        <v>244270</v>
      </c>
      <c r="R751" s="139" t="s">
        <v>55</v>
      </c>
      <c r="S751" s="143">
        <v>244272</v>
      </c>
      <c r="T751" s="139" t="s">
        <v>55</v>
      </c>
      <c r="U751" s="143">
        <v>244272</v>
      </c>
      <c r="V751" s="139" t="s">
        <v>55</v>
      </c>
      <c r="W751" s="143">
        <v>244272</v>
      </c>
      <c r="X751" s="139"/>
      <c r="Y751" s="141"/>
      <c r="Z751" s="119" t="s">
        <v>2299</v>
      </c>
      <c r="AA751" s="144">
        <f>W751-P764</f>
        <v>-6</v>
      </c>
    </row>
    <row r="752" spans="1:27" s="145" customFormat="1" ht="36" customHeight="1" x14ac:dyDescent="0.25">
      <c r="A752" s="119" t="s">
        <v>27</v>
      </c>
      <c r="B752" s="139">
        <v>244270</v>
      </c>
      <c r="C752" s="119" t="s">
        <v>14</v>
      </c>
      <c r="D752" s="166">
        <v>680595</v>
      </c>
      <c r="E752" s="119" t="s">
        <v>1290</v>
      </c>
      <c r="F752" s="190">
        <v>68101301</v>
      </c>
      <c r="G752" s="119" t="s">
        <v>2239</v>
      </c>
      <c r="H752" s="187" t="s">
        <v>224</v>
      </c>
      <c r="I752" s="147" t="s">
        <v>1104</v>
      </c>
      <c r="J752" s="146">
        <v>88.04</v>
      </c>
      <c r="K752" s="119" t="s">
        <v>207</v>
      </c>
      <c r="L752" s="146">
        <f>J752-85</f>
        <v>3.0400000000000063</v>
      </c>
      <c r="M752" s="146" t="s">
        <v>2240</v>
      </c>
      <c r="N752" s="119" t="s">
        <v>93</v>
      </c>
      <c r="O752" s="141">
        <f t="shared" ref="O752:O816" si="512">B752</f>
        <v>244270</v>
      </c>
      <c r="P752" s="141">
        <f t="shared" ref="P752:P816" si="513">B752+7</f>
        <v>244277</v>
      </c>
      <c r="Q752" s="141">
        <f t="shared" ref="Q752:Q816" si="514">O752+2</f>
        <v>244272</v>
      </c>
      <c r="R752" s="139" t="s">
        <v>55</v>
      </c>
      <c r="S752" s="143">
        <v>244274</v>
      </c>
      <c r="T752" s="139" t="s">
        <v>55</v>
      </c>
      <c r="U752" s="143">
        <v>244274</v>
      </c>
      <c r="V752" s="139" t="s">
        <v>55</v>
      </c>
      <c r="W752" s="143">
        <v>244270</v>
      </c>
      <c r="X752" s="139"/>
      <c r="Y752" s="141"/>
      <c r="Z752" s="119" t="s">
        <v>2241</v>
      </c>
      <c r="AA752" s="144">
        <f>W752-P766</f>
        <v>-9</v>
      </c>
    </row>
    <row r="753" spans="1:27" s="145" customFormat="1" ht="31.5" customHeight="1" x14ac:dyDescent="0.25">
      <c r="A753" s="119" t="s">
        <v>27</v>
      </c>
      <c r="B753" s="139">
        <v>244270</v>
      </c>
      <c r="C753" s="119" t="s">
        <v>14</v>
      </c>
      <c r="D753" s="166">
        <v>680596</v>
      </c>
      <c r="E753" s="119" t="s">
        <v>420</v>
      </c>
      <c r="F753" s="190">
        <v>68101314</v>
      </c>
      <c r="G753" s="119" t="s">
        <v>2242</v>
      </c>
      <c r="H753" s="187" t="s">
        <v>1147</v>
      </c>
      <c r="I753" s="147" t="s">
        <v>1041</v>
      </c>
      <c r="J753" s="146">
        <v>125.31</v>
      </c>
      <c r="K753" s="119" t="s">
        <v>207</v>
      </c>
      <c r="L753" s="146">
        <f>J753-124</f>
        <v>1.3100000000000023</v>
      </c>
      <c r="M753" s="146" t="s">
        <v>2243</v>
      </c>
      <c r="N753" s="119" t="s">
        <v>93</v>
      </c>
      <c r="O753" s="141">
        <f t="shared" si="512"/>
        <v>244270</v>
      </c>
      <c r="P753" s="141">
        <f t="shared" si="513"/>
        <v>244277</v>
      </c>
      <c r="Q753" s="141">
        <f t="shared" si="514"/>
        <v>244272</v>
      </c>
      <c r="R753" s="139" t="s">
        <v>55</v>
      </c>
      <c r="S753" s="143">
        <v>244274</v>
      </c>
      <c r="T753" s="139" t="s">
        <v>55</v>
      </c>
      <c r="U753" s="143">
        <v>244274</v>
      </c>
      <c r="V753" s="139" t="s">
        <v>55</v>
      </c>
      <c r="W753" s="143">
        <v>244274</v>
      </c>
      <c r="X753" s="139"/>
      <c r="Y753" s="141"/>
      <c r="Z753" s="119" t="s">
        <v>966</v>
      </c>
      <c r="AA753" s="144">
        <f>W753-P767</f>
        <v>-5</v>
      </c>
    </row>
    <row r="754" spans="1:27" s="145" customFormat="1" ht="31.5" customHeight="1" x14ac:dyDescent="0.25">
      <c r="A754" s="119" t="s">
        <v>27</v>
      </c>
      <c r="B754" s="139">
        <v>244270</v>
      </c>
      <c r="C754" s="119" t="s">
        <v>14</v>
      </c>
      <c r="D754" s="166">
        <v>680596</v>
      </c>
      <c r="E754" s="119" t="s">
        <v>420</v>
      </c>
      <c r="F754" s="190">
        <v>68101339</v>
      </c>
      <c r="G754" s="119" t="s">
        <v>2244</v>
      </c>
      <c r="H754" s="187" t="s">
        <v>289</v>
      </c>
      <c r="I754" s="147" t="s">
        <v>1041</v>
      </c>
      <c r="J754" s="146">
        <v>125.13</v>
      </c>
      <c r="K754" s="119" t="s">
        <v>207</v>
      </c>
      <c r="L754" s="146">
        <f>J754-124</f>
        <v>1.1299999999999955</v>
      </c>
      <c r="M754" s="146" t="s">
        <v>2245</v>
      </c>
      <c r="N754" s="119" t="s">
        <v>93</v>
      </c>
      <c r="O754" s="141">
        <f t="shared" si="512"/>
        <v>244270</v>
      </c>
      <c r="P754" s="141">
        <f t="shared" si="513"/>
        <v>244277</v>
      </c>
      <c r="Q754" s="141">
        <f t="shared" si="514"/>
        <v>244272</v>
      </c>
      <c r="R754" s="139" t="s">
        <v>55</v>
      </c>
      <c r="S754" s="143">
        <v>244274</v>
      </c>
      <c r="T754" s="139" t="s">
        <v>55</v>
      </c>
      <c r="U754" s="143">
        <v>244274</v>
      </c>
      <c r="V754" s="139" t="s">
        <v>55</v>
      </c>
      <c r="W754" s="143">
        <v>244274</v>
      </c>
      <c r="X754" s="139"/>
      <c r="Y754" s="141"/>
      <c r="Z754" s="119" t="s">
        <v>966</v>
      </c>
      <c r="AA754" s="144"/>
    </row>
    <row r="755" spans="1:27" s="145" customFormat="1" ht="31.5" customHeight="1" x14ac:dyDescent="0.25">
      <c r="A755" s="119" t="s">
        <v>27</v>
      </c>
      <c r="B755" s="139">
        <v>244270</v>
      </c>
      <c r="C755" s="119" t="s">
        <v>14</v>
      </c>
      <c r="D755" s="166">
        <v>680597</v>
      </c>
      <c r="E755" s="119" t="s">
        <v>413</v>
      </c>
      <c r="F755" s="190">
        <v>68101335</v>
      </c>
      <c r="G755" s="119" t="s">
        <v>2246</v>
      </c>
      <c r="H755" s="187" t="s">
        <v>237</v>
      </c>
      <c r="I755" s="147" t="s">
        <v>415</v>
      </c>
      <c r="J755" s="146">
        <v>85.32</v>
      </c>
      <c r="K755" s="119" t="s">
        <v>207</v>
      </c>
      <c r="L755" s="146">
        <f>J755-80</f>
        <v>5.3199999999999932</v>
      </c>
      <c r="M755" s="146" t="s">
        <v>2247</v>
      </c>
      <c r="N755" s="119" t="s">
        <v>93</v>
      </c>
      <c r="O755" s="141">
        <f t="shared" ref="O755" si="515">B755</f>
        <v>244270</v>
      </c>
      <c r="P755" s="141">
        <f t="shared" ref="P755" si="516">B755+7</f>
        <v>244277</v>
      </c>
      <c r="Q755" s="141">
        <f t="shared" ref="Q755" si="517">O755+2</f>
        <v>244272</v>
      </c>
      <c r="R755" s="139" t="s">
        <v>55</v>
      </c>
      <c r="S755" s="143">
        <v>244274</v>
      </c>
      <c r="T755" s="139" t="s">
        <v>55</v>
      </c>
      <c r="U755" s="143">
        <v>244274</v>
      </c>
      <c r="V755" s="139" t="s">
        <v>55</v>
      </c>
      <c r="W755" s="143">
        <v>244274</v>
      </c>
      <c r="X755" s="139"/>
      <c r="Y755" s="141"/>
      <c r="Z755" s="119" t="s">
        <v>1334</v>
      </c>
      <c r="AA755" s="144"/>
    </row>
    <row r="756" spans="1:27" s="145" customFormat="1" ht="36" customHeight="1" x14ac:dyDescent="0.25">
      <c r="A756" s="119" t="s">
        <v>27</v>
      </c>
      <c r="B756" s="139">
        <v>244270</v>
      </c>
      <c r="C756" s="119" t="s">
        <v>14</v>
      </c>
      <c r="D756" s="166">
        <v>680597</v>
      </c>
      <c r="E756" s="119" t="s">
        <v>413</v>
      </c>
      <c r="F756" s="190">
        <v>68101351</v>
      </c>
      <c r="G756" s="119" t="s">
        <v>2248</v>
      </c>
      <c r="H756" s="187" t="s">
        <v>250</v>
      </c>
      <c r="I756" s="147" t="s">
        <v>415</v>
      </c>
      <c r="J756" s="146">
        <v>84.86</v>
      </c>
      <c r="K756" s="119" t="s">
        <v>207</v>
      </c>
      <c r="L756" s="146">
        <f>J756-80</f>
        <v>4.8599999999999994</v>
      </c>
      <c r="M756" s="146" t="s">
        <v>2247</v>
      </c>
      <c r="N756" s="119" t="s">
        <v>93</v>
      </c>
      <c r="O756" s="141">
        <f t="shared" si="512"/>
        <v>244270</v>
      </c>
      <c r="P756" s="141">
        <f t="shared" si="513"/>
        <v>244277</v>
      </c>
      <c r="Q756" s="141">
        <f t="shared" si="514"/>
        <v>244272</v>
      </c>
      <c r="R756" s="139" t="s">
        <v>55</v>
      </c>
      <c r="S756" s="143">
        <v>244274</v>
      </c>
      <c r="T756" s="139" t="s">
        <v>55</v>
      </c>
      <c r="U756" s="143">
        <v>244274</v>
      </c>
      <c r="V756" s="139" t="s">
        <v>55</v>
      </c>
      <c r="W756" s="143">
        <v>244274</v>
      </c>
      <c r="X756" s="139"/>
      <c r="Y756" s="141"/>
      <c r="Z756" s="119" t="s">
        <v>1334</v>
      </c>
      <c r="AA756" s="144">
        <f>W756-P768</f>
        <v>-5</v>
      </c>
    </row>
    <row r="757" spans="1:27" s="145" customFormat="1" ht="36" customHeight="1" x14ac:dyDescent="0.25">
      <c r="A757" s="119" t="s">
        <v>27</v>
      </c>
      <c r="B757" s="139">
        <v>244270</v>
      </c>
      <c r="C757" s="119" t="s">
        <v>14</v>
      </c>
      <c r="D757" s="166">
        <v>680598</v>
      </c>
      <c r="E757" s="119" t="s">
        <v>2096</v>
      </c>
      <c r="F757" s="190">
        <v>68101352</v>
      </c>
      <c r="G757" s="119" t="s">
        <v>2249</v>
      </c>
      <c r="H757" s="187" t="s">
        <v>221</v>
      </c>
      <c r="I757" s="147" t="s">
        <v>2098</v>
      </c>
      <c r="J757" s="146">
        <v>55.85</v>
      </c>
      <c r="K757" s="119" t="s">
        <v>200</v>
      </c>
      <c r="L757" s="146">
        <f>J757-54</f>
        <v>1.8500000000000014</v>
      </c>
      <c r="M757" s="146" t="s">
        <v>2250</v>
      </c>
      <c r="N757" s="119" t="s">
        <v>93</v>
      </c>
      <c r="O757" s="141">
        <f t="shared" si="512"/>
        <v>244270</v>
      </c>
      <c r="P757" s="141">
        <f t="shared" si="513"/>
        <v>244277</v>
      </c>
      <c r="Q757" s="141">
        <f t="shared" si="514"/>
        <v>244272</v>
      </c>
      <c r="R757" s="139" t="s">
        <v>55</v>
      </c>
      <c r="S757" s="143">
        <v>244274</v>
      </c>
      <c r="T757" s="139" t="s">
        <v>55</v>
      </c>
      <c r="U757" s="143">
        <v>244274</v>
      </c>
      <c r="V757" s="139" t="s">
        <v>55</v>
      </c>
      <c r="W757" s="143">
        <v>244274</v>
      </c>
      <c r="X757" s="139"/>
      <c r="Y757" s="141"/>
      <c r="Z757" s="119" t="s">
        <v>2173</v>
      </c>
      <c r="AA757" s="144">
        <f>W757-P769</f>
        <v>-5</v>
      </c>
    </row>
    <row r="758" spans="1:27" s="145" customFormat="1" ht="31.5" customHeight="1" x14ac:dyDescent="0.25">
      <c r="A758" s="119" t="s">
        <v>27</v>
      </c>
      <c r="B758" s="139">
        <v>244270</v>
      </c>
      <c r="C758" s="119" t="s">
        <v>14</v>
      </c>
      <c r="D758" s="166">
        <v>680599</v>
      </c>
      <c r="E758" s="119" t="s">
        <v>2126</v>
      </c>
      <c r="F758" s="190">
        <v>68101353</v>
      </c>
      <c r="G758" s="119" t="s">
        <v>2251</v>
      </c>
      <c r="H758" s="187" t="s">
        <v>281</v>
      </c>
      <c r="I758" s="147" t="s">
        <v>2128</v>
      </c>
      <c r="J758" s="146">
        <v>125.21</v>
      </c>
      <c r="K758" s="119" t="s">
        <v>207</v>
      </c>
      <c r="L758" s="146">
        <f>J758-123</f>
        <v>2.2099999999999937</v>
      </c>
      <c r="M758" s="146" t="s">
        <v>2252</v>
      </c>
      <c r="N758" s="119" t="s">
        <v>93</v>
      </c>
      <c r="O758" s="141">
        <f t="shared" si="512"/>
        <v>244270</v>
      </c>
      <c r="P758" s="141">
        <f t="shared" si="513"/>
        <v>244277</v>
      </c>
      <c r="Q758" s="141">
        <f t="shared" si="514"/>
        <v>244272</v>
      </c>
      <c r="R758" s="139" t="s">
        <v>55</v>
      </c>
      <c r="S758" s="143">
        <v>244274</v>
      </c>
      <c r="T758" s="139" t="s">
        <v>55</v>
      </c>
      <c r="U758" s="143">
        <v>244274</v>
      </c>
      <c r="V758" s="139" t="s">
        <v>55</v>
      </c>
      <c r="W758" s="143">
        <v>244274</v>
      </c>
      <c r="X758" s="139"/>
      <c r="Y758" s="141"/>
      <c r="Z758" s="119" t="s">
        <v>2307</v>
      </c>
      <c r="AA758" s="144">
        <f t="shared" ref="AA758" si="518">W758-P769</f>
        <v>-5</v>
      </c>
    </row>
    <row r="759" spans="1:27" s="145" customFormat="1" ht="31.5" customHeight="1" x14ac:dyDescent="0.25">
      <c r="A759" s="119" t="s">
        <v>27</v>
      </c>
      <c r="B759" s="139">
        <v>244271</v>
      </c>
      <c r="C759" s="119" t="s">
        <v>14</v>
      </c>
      <c r="D759" s="166">
        <v>680600</v>
      </c>
      <c r="E759" s="119" t="s">
        <v>420</v>
      </c>
      <c r="F759" s="190">
        <v>68101407</v>
      </c>
      <c r="G759" s="119" t="s">
        <v>2257</v>
      </c>
      <c r="H759" s="187" t="s">
        <v>1147</v>
      </c>
      <c r="I759" s="147" t="s">
        <v>1041</v>
      </c>
      <c r="J759" s="146">
        <v>127.16</v>
      </c>
      <c r="K759" s="119" t="s">
        <v>200</v>
      </c>
      <c r="L759" s="146">
        <f>J759-124</f>
        <v>3.1599999999999966</v>
      </c>
      <c r="M759" s="146" t="s">
        <v>2258</v>
      </c>
      <c r="N759" s="119" t="s">
        <v>93</v>
      </c>
      <c r="O759" s="141">
        <f t="shared" ref="O759:O761" si="519">B759</f>
        <v>244271</v>
      </c>
      <c r="P759" s="141">
        <f t="shared" ref="P759:P761" si="520">B759+7</f>
        <v>244278</v>
      </c>
      <c r="Q759" s="141">
        <f t="shared" ref="Q759:Q761" si="521">O759+2</f>
        <v>244273</v>
      </c>
      <c r="R759" s="139" t="s">
        <v>55</v>
      </c>
      <c r="S759" s="143">
        <v>244274</v>
      </c>
      <c r="T759" s="139" t="s">
        <v>55</v>
      </c>
      <c r="U759" s="143">
        <v>244274</v>
      </c>
      <c r="V759" s="139" t="s">
        <v>55</v>
      </c>
      <c r="W759" s="143">
        <v>244274</v>
      </c>
      <c r="X759" s="139"/>
      <c r="Y759" s="141"/>
      <c r="Z759" s="119" t="s">
        <v>966</v>
      </c>
      <c r="AA759" s="144">
        <f t="shared" ref="AA759:AA761" si="522">W759-P770</f>
        <v>-5</v>
      </c>
    </row>
    <row r="760" spans="1:27" s="145" customFormat="1" ht="31.5" customHeight="1" x14ac:dyDescent="0.25">
      <c r="A760" s="119" t="s">
        <v>27</v>
      </c>
      <c r="B760" s="139">
        <v>244271</v>
      </c>
      <c r="C760" s="119" t="s">
        <v>14</v>
      </c>
      <c r="D760" s="166">
        <v>680600</v>
      </c>
      <c r="E760" s="119" t="s">
        <v>420</v>
      </c>
      <c r="F760" s="190">
        <v>68101403</v>
      </c>
      <c r="G760" s="119" t="s">
        <v>2259</v>
      </c>
      <c r="H760" s="187" t="s">
        <v>270</v>
      </c>
      <c r="I760" s="147" t="s">
        <v>1041</v>
      </c>
      <c r="J760" s="146">
        <v>128.5</v>
      </c>
      <c r="K760" s="119" t="s">
        <v>207</v>
      </c>
      <c r="L760" s="146">
        <f>J760-124</f>
        <v>4.5</v>
      </c>
      <c r="M760" s="146" t="s">
        <v>2260</v>
      </c>
      <c r="N760" s="119" t="s">
        <v>93</v>
      </c>
      <c r="O760" s="141">
        <f t="shared" si="519"/>
        <v>244271</v>
      </c>
      <c r="P760" s="141">
        <f t="shared" si="520"/>
        <v>244278</v>
      </c>
      <c r="Q760" s="141">
        <f t="shared" si="521"/>
        <v>244273</v>
      </c>
      <c r="R760" s="139" t="s">
        <v>55</v>
      </c>
      <c r="S760" s="143">
        <v>244274</v>
      </c>
      <c r="T760" s="139" t="s">
        <v>55</v>
      </c>
      <c r="U760" s="143">
        <v>244274</v>
      </c>
      <c r="V760" s="139" t="s">
        <v>55</v>
      </c>
      <c r="W760" s="143">
        <v>244274</v>
      </c>
      <c r="X760" s="139"/>
      <c r="Y760" s="141"/>
      <c r="Z760" s="119" t="s">
        <v>966</v>
      </c>
      <c r="AA760" s="144">
        <f t="shared" si="522"/>
        <v>-5</v>
      </c>
    </row>
    <row r="761" spans="1:27" s="145" customFormat="1" ht="31.5" customHeight="1" x14ac:dyDescent="0.25">
      <c r="A761" s="119" t="s">
        <v>27</v>
      </c>
      <c r="B761" s="139">
        <v>244271</v>
      </c>
      <c r="C761" s="119" t="s">
        <v>14</v>
      </c>
      <c r="D761" s="166">
        <v>680600</v>
      </c>
      <c r="E761" s="119" t="s">
        <v>420</v>
      </c>
      <c r="F761" s="190">
        <v>68101404</v>
      </c>
      <c r="G761" s="119" t="s">
        <v>2261</v>
      </c>
      <c r="H761" s="187" t="s">
        <v>289</v>
      </c>
      <c r="I761" s="147" t="s">
        <v>1041</v>
      </c>
      <c r="J761" s="146">
        <v>126.64</v>
      </c>
      <c r="K761" s="119" t="s">
        <v>200</v>
      </c>
      <c r="L761" s="146">
        <f>J761-124</f>
        <v>2.6400000000000006</v>
      </c>
      <c r="M761" s="237" t="s">
        <v>2264</v>
      </c>
      <c r="N761" s="119" t="s">
        <v>93</v>
      </c>
      <c r="O761" s="141">
        <f t="shared" si="519"/>
        <v>244271</v>
      </c>
      <c r="P761" s="141">
        <f t="shared" si="520"/>
        <v>244278</v>
      </c>
      <c r="Q761" s="141">
        <f t="shared" si="521"/>
        <v>244273</v>
      </c>
      <c r="R761" s="139" t="s">
        <v>55</v>
      </c>
      <c r="S761" s="143">
        <v>244274</v>
      </c>
      <c r="T761" s="139" t="s">
        <v>55</v>
      </c>
      <c r="U761" s="143">
        <v>244274</v>
      </c>
      <c r="V761" s="139" t="s">
        <v>55</v>
      </c>
      <c r="W761" s="143">
        <v>244274</v>
      </c>
      <c r="X761" s="139"/>
      <c r="Y761" s="141"/>
      <c r="Z761" s="119" t="s">
        <v>966</v>
      </c>
      <c r="AA761" s="144">
        <f t="shared" si="522"/>
        <v>-5</v>
      </c>
    </row>
    <row r="762" spans="1:27" s="145" customFormat="1" ht="36" customHeight="1" x14ac:dyDescent="0.25">
      <c r="A762" s="119" t="s">
        <v>27</v>
      </c>
      <c r="B762" s="139">
        <v>244271</v>
      </c>
      <c r="C762" s="119" t="s">
        <v>14</v>
      </c>
      <c r="D762" s="166">
        <v>680601</v>
      </c>
      <c r="E762" s="119" t="s">
        <v>1290</v>
      </c>
      <c r="F762" s="190">
        <v>68101408</v>
      </c>
      <c r="G762" s="119" t="s">
        <v>2262</v>
      </c>
      <c r="H762" s="187" t="s">
        <v>224</v>
      </c>
      <c r="I762" s="147" t="s">
        <v>1104</v>
      </c>
      <c r="J762" s="146">
        <v>87.07</v>
      </c>
      <c r="K762" s="119" t="s">
        <v>207</v>
      </c>
      <c r="L762" s="146">
        <f>J762-85</f>
        <v>2.0699999999999932</v>
      </c>
      <c r="M762" s="146" t="s">
        <v>2263</v>
      </c>
      <c r="N762" s="119" t="s">
        <v>93</v>
      </c>
      <c r="O762" s="141">
        <f t="shared" si="512"/>
        <v>244271</v>
      </c>
      <c r="P762" s="141">
        <f t="shared" si="513"/>
        <v>244278</v>
      </c>
      <c r="Q762" s="141">
        <f t="shared" si="514"/>
        <v>244273</v>
      </c>
      <c r="R762" s="139" t="s">
        <v>55</v>
      </c>
      <c r="S762" s="143">
        <v>244274</v>
      </c>
      <c r="T762" s="139" t="s">
        <v>55</v>
      </c>
      <c r="U762" s="143">
        <v>244274</v>
      </c>
      <c r="V762" s="139" t="s">
        <v>55</v>
      </c>
      <c r="W762" s="143">
        <v>244272</v>
      </c>
      <c r="X762" s="139"/>
      <c r="Y762" s="141"/>
      <c r="Z762" s="119" t="s">
        <v>2271</v>
      </c>
      <c r="AA762" s="144">
        <f t="shared" ref="AA762:AA763" si="523">W762-P774</f>
        <v>-7</v>
      </c>
    </row>
    <row r="763" spans="1:27" s="145" customFormat="1" ht="36" customHeight="1" x14ac:dyDescent="0.25">
      <c r="A763" s="119" t="s">
        <v>27</v>
      </c>
      <c r="B763" s="139">
        <v>244271</v>
      </c>
      <c r="C763" s="119" t="s">
        <v>14</v>
      </c>
      <c r="D763" s="166">
        <v>680602</v>
      </c>
      <c r="E763" s="119" t="s">
        <v>413</v>
      </c>
      <c r="F763" s="190">
        <v>68101422</v>
      </c>
      <c r="G763" s="119" t="s">
        <v>2265</v>
      </c>
      <c r="H763" s="187" t="s">
        <v>237</v>
      </c>
      <c r="I763" s="147" t="s">
        <v>415</v>
      </c>
      <c r="J763" s="146">
        <v>83.42</v>
      </c>
      <c r="K763" s="119" t="s">
        <v>200</v>
      </c>
      <c r="L763" s="146">
        <f>J763-80</f>
        <v>3.4200000000000017</v>
      </c>
      <c r="M763" s="146" t="s">
        <v>2266</v>
      </c>
      <c r="N763" s="119" t="s">
        <v>93</v>
      </c>
      <c r="O763" s="141">
        <f t="shared" si="512"/>
        <v>244271</v>
      </c>
      <c r="P763" s="141">
        <f t="shared" si="513"/>
        <v>244278</v>
      </c>
      <c r="Q763" s="141">
        <f t="shared" si="514"/>
        <v>244273</v>
      </c>
      <c r="R763" s="139" t="s">
        <v>55</v>
      </c>
      <c r="S763" s="143">
        <v>244274</v>
      </c>
      <c r="T763" s="139" t="s">
        <v>55</v>
      </c>
      <c r="U763" s="143">
        <v>244274</v>
      </c>
      <c r="V763" s="139" t="s">
        <v>55</v>
      </c>
      <c r="W763" s="143">
        <v>244274</v>
      </c>
      <c r="X763" s="139"/>
      <c r="Y763" s="141"/>
      <c r="Z763" s="119" t="s">
        <v>1334</v>
      </c>
      <c r="AA763" s="144">
        <f t="shared" si="523"/>
        <v>-6</v>
      </c>
    </row>
    <row r="764" spans="1:27" s="145" customFormat="1" ht="36" customHeight="1" x14ac:dyDescent="0.25">
      <c r="A764" s="119" t="s">
        <v>27</v>
      </c>
      <c r="B764" s="139">
        <v>244271</v>
      </c>
      <c r="C764" s="119" t="s">
        <v>14</v>
      </c>
      <c r="D764" s="166">
        <v>680602</v>
      </c>
      <c r="E764" s="119" t="s">
        <v>413</v>
      </c>
      <c r="F764" s="190">
        <v>68101424</v>
      </c>
      <c r="G764" s="119" t="s">
        <v>2267</v>
      </c>
      <c r="H764" s="187" t="s">
        <v>217</v>
      </c>
      <c r="I764" s="147" t="s">
        <v>415</v>
      </c>
      <c r="J764" s="146">
        <v>84.24</v>
      </c>
      <c r="K764" s="119" t="s">
        <v>207</v>
      </c>
      <c r="L764" s="146">
        <f>J764-80</f>
        <v>4.2399999999999949</v>
      </c>
      <c r="M764" s="146" t="s">
        <v>2268</v>
      </c>
      <c r="N764" s="119" t="s">
        <v>93</v>
      </c>
      <c r="O764" s="141">
        <f t="shared" ref="O764" si="524">B764</f>
        <v>244271</v>
      </c>
      <c r="P764" s="141">
        <f t="shared" ref="P764" si="525">B764+7</f>
        <v>244278</v>
      </c>
      <c r="Q764" s="141">
        <f t="shared" ref="Q764" si="526">O764+2</f>
        <v>244273</v>
      </c>
      <c r="R764" s="139" t="s">
        <v>55</v>
      </c>
      <c r="S764" s="143">
        <v>244274</v>
      </c>
      <c r="T764" s="139" t="s">
        <v>55</v>
      </c>
      <c r="U764" s="143">
        <v>244274</v>
      </c>
      <c r="V764" s="139" t="s">
        <v>55</v>
      </c>
      <c r="W764" s="143">
        <v>244274</v>
      </c>
      <c r="X764" s="139"/>
      <c r="Y764" s="141"/>
      <c r="Z764" s="119" t="s">
        <v>1334</v>
      </c>
      <c r="AA764" s="144">
        <f>W764-P778</f>
        <v>-7</v>
      </c>
    </row>
    <row r="765" spans="1:27" s="145" customFormat="1" ht="36" customHeight="1" x14ac:dyDescent="0.25">
      <c r="A765" s="119" t="s">
        <v>27</v>
      </c>
      <c r="B765" s="139">
        <v>244272</v>
      </c>
      <c r="C765" s="119" t="s">
        <v>14</v>
      </c>
      <c r="D765" s="166">
        <v>680603</v>
      </c>
      <c r="E765" s="119" t="s">
        <v>1290</v>
      </c>
      <c r="F765" s="190">
        <v>68101501</v>
      </c>
      <c r="G765" s="119" t="s">
        <v>2269</v>
      </c>
      <c r="H765" s="187" t="s">
        <v>224</v>
      </c>
      <c r="I765" s="147" t="s">
        <v>1104</v>
      </c>
      <c r="J765" s="146">
        <v>87.05</v>
      </c>
      <c r="K765" s="119" t="s">
        <v>207</v>
      </c>
      <c r="L765" s="146">
        <f>J765-85</f>
        <v>2.0499999999999972</v>
      </c>
      <c r="M765" s="146" t="s">
        <v>2270</v>
      </c>
      <c r="N765" s="119" t="s">
        <v>93</v>
      </c>
      <c r="O765" s="141">
        <f t="shared" si="512"/>
        <v>244272</v>
      </c>
      <c r="P765" s="141">
        <f t="shared" si="513"/>
        <v>244279</v>
      </c>
      <c r="Q765" s="141">
        <f t="shared" si="514"/>
        <v>244274</v>
      </c>
      <c r="R765" s="139" t="s">
        <v>55</v>
      </c>
      <c r="S765" s="143">
        <v>244274</v>
      </c>
      <c r="T765" s="139" t="s">
        <v>55</v>
      </c>
      <c r="U765" s="143">
        <v>244274</v>
      </c>
      <c r="V765" s="139" t="s">
        <v>55</v>
      </c>
      <c r="W765" s="143">
        <v>244272</v>
      </c>
      <c r="X765" s="139"/>
      <c r="Y765" s="141"/>
      <c r="Z765" s="119" t="s">
        <v>2271</v>
      </c>
      <c r="AA765" s="144"/>
    </row>
    <row r="766" spans="1:27" s="145" customFormat="1" ht="36" customHeight="1" x14ac:dyDescent="0.25">
      <c r="A766" s="119" t="s">
        <v>27</v>
      </c>
      <c r="B766" s="139">
        <v>244272</v>
      </c>
      <c r="C766" s="119" t="s">
        <v>14</v>
      </c>
      <c r="D766" s="166">
        <v>680604</v>
      </c>
      <c r="E766" s="119" t="s">
        <v>420</v>
      </c>
      <c r="F766" s="190">
        <v>68101539</v>
      </c>
      <c r="G766" s="119" t="s">
        <v>2272</v>
      </c>
      <c r="H766" s="187" t="s">
        <v>410</v>
      </c>
      <c r="I766" s="147" t="s">
        <v>1041</v>
      </c>
      <c r="J766" s="146">
        <v>126.9</v>
      </c>
      <c r="K766" s="119" t="s">
        <v>207</v>
      </c>
      <c r="L766" s="146">
        <f>J766-124</f>
        <v>2.9000000000000057</v>
      </c>
      <c r="M766" s="146" t="s">
        <v>2273</v>
      </c>
      <c r="N766" s="119" t="s">
        <v>93</v>
      </c>
      <c r="O766" s="141">
        <f t="shared" ref="O766:O768" si="527">B766</f>
        <v>244272</v>
      </c>
      <c r="P766" s="141">
        <f t="shared" ref="P766:P768" si="528">B766+7</f>
        <v>244279</v>
      </c>
      <c r="Q766" s="141">
        <f t="shared" ref="Q766:Q768" si="529">O766+2</f>
        <v>244274</v>
      </c>
      <c r="R766" s="139" t="s">
        <v>55</v>
      </c>
      <c r="S766" s="143">
        <v>244274</v>
      </c>
      <c r="T766" s="139" t="s">
        <v>55</v>
      </c>
      <c r="U766" s="143">
        <v>244274</v>
      </c>
      <c r="V766" s="139" t="s">
        <v>55</v>
      </c>
      <c r="W766" s="143">
        <v>244274</v>
      </c>
      <c r="X766" s="139"/>
      <c r="Y766" s="141"/>
      <c r="Z766" s="119" t="s">
        <v>966</v>
      </c>
      <c r="AA766" s="144"/>
    </row>
    <row r="767" spans="1:27" s="145" customFormat="1" ht="36" customHeight="1" x14ac:dyDescent="0.25">
      <c r="A767" s="119" t="s">
        <v>27</v>
      </c>
      <c r="B767" s="139">
        <v>244272</v>
      </c>
      <c r="C767" s="119" t="s">
        <v>14</v>
      </c>
      <c r="D767" s="166">
        <v>680604</v>
      </c>
      <c r="E767" s="119" t="s">
        <v>420</v>
      </c>
      <c r="F767" s="190">
        <v>68101535</v>
      </c>
      <c r="G767" s="119" t="s">
        <v>2274</v>
      </c>
      <c r="H767" s="187" t="s">
        <v>270</v>
      </c>
      <c r="I767" s="147" t="s">
        <v>1041</v>
      </c>
      <c r="J767" s="146">
        <v>125.49</v>
      </c>
      <c r="K767" s="119" t="s">
        <v>207</v>
      </c>
      <c r="L767" s="146">
        <f>J767-124</f>
        <v>1.4899999999999949</v>
      </c>
      <c r="M767" s="146" t="s">
        <v>2275</v>
      </c>
      <c r="N767" s="119" t="s">
        <v>93</v>
      </c>
      <c r="O767" s="141">
        <f t="shared" si="527"/>
        <v>244272</v>
      </c>
      <c r="P767" s="141">
        <f t="shared" si="528"/>
        <v>244279</v>
      </c>
      <c r="Q767" s="141">
        <f t="shared" si="529"/>
        <v>244274</v>
      </c>
      <c r="R767" s="139" t="s">
        <v>55</v>
      </c>
      <c r="S767" s="143">
        <v>244274</v>
      </c>
      <c r="T767" s="139" t="s">
        <v>55</v>
      </c>
      <c r="U767" s="143">
        <v>244274</v>
      </c>
      <c r="V767" s="139" t="s">
        <v>55</v>
      </c>
      <c r="W767" s="143">
        <v>244274</v>
      </c>
      <c r="X767" s="139"/>
      <c r="Y767" s="141"/>
      <c r="Z767" s="119" t="s">
        <v>966</v>
      </c>
      <c r="AA767" s="144"/>
    </row>
    <row r="768" spans="1:27" s="145" customFormat="1" ht="36" customHeight="1" x14ac:dyDescent="0.25">
      <c r="A768" s="119" t="s">
        <v>27</v>
      </c>
      <c r="B768" s="139">
        <v>244272</v>
      </c>
      <c r="C768" s="119" t="s">
        <v>14</v>
      </c>
      <c r="D768" s="166">
        <v>680605</v>
      </c>
      <c r="E768" s="119" t="s">
        <v>376</v>
      </c>
      <c r="F768" s="190">
        <v>68101536</v>
      </c>
      <c r="G768" s="119" t="s">
        <v>2276</v>
      </c>
      <c r="H768" s="187" t="s">
        <v>488</v>
      </c>
      <c r="I768" s="147" t="s">
        <v>378</v>
      </c>
      <c r="J768" s="146">
        <v>121.84</v>
      </c>
      <c r="K768" s="119" t="s">
        <v>200</v>
      </c>
      <c r="L768" s="146">
        <f>J768-116</f>
        <v>5.8400000000000034</v>
      </c>
      <c r="M768" s="146" t="s">
        <v>2277</v>
      </c>
      <c r="N768" s="119" t="s">
        <v>93</v>
      </c>
      <c r="O768" s="141">
        <f t="shared" si="527"/>
        <v>244272</v>
      </c>
      <c r="P768" s="141">
        <f t="shared" si="528"/>
        <v>244279</v>
      </c>
      <c r="Q768" s="141">
        <f t="shared" si="529"/>
        <v>244274</v>
      </c>
      <c r="R768" s="139" t="s">
        <v>55</v>
      </c>
      <c r="S768" s="143">
        <v>244274</v>
      </c>
      <c r="T768" s="139" t="s">
        <v>55</v>
      </c>
      <c r="U768" s="143">
        <v>244274</v>
      </c>
      <c r="V768" s="139" t="s">
        <v>55</v>
      </c>
      <c r="W768" s="143">
        <v>244274</v>
      </c>
      <c r="X768" s="139"/>
      <c r="Y768" s="141"/>
      <c r="Z768" s="119" t="s">
        <v>2309</v>
      </c>
      <c r="AA768" s="144"/>
    </row>
    <row r="769" spans="1:27" s="145" customFormat="1" ht="36" customHeight="1" x14ac:dyDescent="0.25">
      <c r="A769" s="119" t="s">
        <v>27</v>
      </c>
      <c r="B769" s="139">
        <v>244272</v>
      </c>
      <c r="C769" s="119" t="s">
        <v>14</v>
      </c>
      <c r="D769" s="166">
        <v>680605</v>
      </c>
      <c r="E769" s="119" t="s">
        <v>376</v>
      </c>
      <c r="F769" s="190">
        <v>68101537</v>
      </c>
      <c r="G769" s="119" t="s">
        <v>2278</v>
      </c>
      <c r="H769" s="187" t="s">
        <v>844</v>
      </c>
      <c r="I769" s="147" t="s">
        <v>378</v>
      </c>
      <c r="J769" s="146">
        <v>122.52</v>
      </c>
      <c r="K769" s="119" t="s">
        <v>200</v>
      </c>
      <c r="L769" s="146">
        <f>J769-116</f>
        <v>6.519999999999996</v>
      </c>
      <c r="M769" s="146" t="s">
        <v>2279</v>
      </c>
      <c r="N769" s="119" t="s">
        <v>93</v>
      </c>
      <c r="O769" s="141">
        <f t="shared" si="512"/>
        <v>244272</v>
      </c>
      <c r="P769" s="141">
        <f t="shared" si="513"/>
        <v>244279</v>
      </c>
      <c r="Q769" s="141">
        <f t="shared" si="514"/>
        <v>244274</v>
      </c>
      <c r="R769" s="139" t="s">
        <v>55</v>
      </c>
      <c r="S769" s="143">
        <v>244274</v>
      </c>
      <c r="T769" s="139" t="s">
        <v>55</v>
      </c>
      <c r="U769" s="143">
        <v>244274</v>
      </c>
      <c r="V769" s="139" t="s">
        <v>55</v>
      </c>
      <c r="W769" s="143">
        <v>244274</v>
      </c>
      <c r="X769" s="139"/>
      <c r="Y769" s="141"/>
      <c r="Z769" s="119" t="s">
        <v>2308</v>
      </c>
      <c r="AA769" s="144">
        <f>W769-P783</f>
        <v>-8</v>
      </c>
    </row>
    <row r="770" spans="1:27" s="145" customFormat="1" ht="36" customHeight="1" x14ac:dyDescent="0.25">
      <c r="A770" s="119" t="s">
        <v>27</v>
      </c>
      <c r="B770" s="139">
        <v>244272</v>
      </c>
      <c r="C770" s="119" t="s">
        <v>14</v>
      </c>
      <c r="D770" s="166">
        <v>680605</v>
      </c>
      <c r="E770" s="119" t="s">
        <v>376</v>
      </c>
      <c r="F770" s="190">
        <v>68101545</v>
      </c>
      <c r="G770" s="119" t="s">
        <v>2283</v>
      </c>
      <c r="H770" s="187" t="s">
        <v>841</v>
      </c>
      <c r="I770" s="147" t="s">
        <v>378</v>
      </c>
      <c r="J770" s="146">
        <v>119.26</v>
      </c>
      <c r="K770" s="119" t="s">
        <v>200</v>
      </c>
      <c r="L770" s="146">
        <f>J770-116</f>
        <v>3.2600000000000051</v>
      </c>
      <c r="M770" s="146" t="s">
        <v>2284</v>
      </c>
      <c r="N770" s="119" t="s">
        <v>93</v>
      </c>
      <c r="O770" s="141">
        <f t="shared" si="512"/>
        <v>244272</v>
      </c>
      <c r="P770" s="141">
        <f t="shared" si="513"/>
        <v>244279</v>
      </c>
      <c r="Q770" s="141">
        <f t="shared" si="514"/>
        <v>244274</v>
      </c>
      <c r="R770" s="139" t="s">
        <v>55</v>
      </c>
      <c r="S770" s="143">
        <v>244274</v>
      </c>
      <c r="T770" s="139" t="s">
        <v>55</v>
      </c>
      <c r="U770" s="143">
        <v>244274</v>
      </c>
      <c r="V770" s="139" t="s">
        <v>55</v>
      </c>
      <c r="W770" s="143">
        <v>244274</v>
      </c>
      <c r="X770" s="139"/>
      <c r="Y770" s="141"/>
      <c r="Z770" s="119" t="s">
        <v>2308</v>
      </c>
      <c r="AA770" s="144">
        <f>W770-P784</f>
        <v>-8</v>
      </c>
    </row>
    <row r="771" spans="1:27" s="145" customFormat="1" ht="36" customHeight="1" x14ac:dyDescent="0.25">
      <c r="A771" s="119" t="s">
        <v>27</v>
      </c>
      <c r="B771" s="139">
        <v>244272</v>
      </c>
      <c r="C771" s="119" t="s">
        <v>14</v>
      </c>
      <c r="D771" s="166">
        <v>680606</v>
      </c>
      <c r="E771" s="119" t="s">
        <v>413</v>
      </c>
      <c r="F771" s="190">
        <v>68101532</v>
      </c>
      <c r="G771" s="119" t="s">
        <v>2280</v>
      </c>
      <c r="H771" s="187" t="s">
        <v>249</v>
      </c>
      <c r="I771" s="147" t="s">
        <v>415</v>
      </c>
      <c r="J771" s="146">
        <v>84.34</v>
      </c>
      <c r="K771" s="119" t="s">
        <v>207</v>
      </c>
      <c r="L771" s="146">
        <f>J771-80</f>
        <v>4.3400000000000034</v>
      </c>
      <c r="M771" s="146" t="s">
        <v>2281</v>
      </c>
      <c r="N771" s="119" t="s">
        <v>93</v>
      </c>
      <c r="O771" s="141">
        <f t="shared" si="512"/>
        <v>244272</v>
      </c>
      <c r="P771" s="141">
        <f t="shared" si="513"/>
        <v>244279</v>
      </c>
      <c r="Q771" s="141">
        <f t="shared" si="514"/>
        <v>244274</v>
      </c>
      <c r="R771" s="139" t="s">
        <v>55</v>
      </c>
      <c r="S771" s="143">
        <v>244274</v>
      </c>
      <c r="T771" s="139" t="s">
        <v>55</v>
      </c>
      <c r="U771" s="143">
        <v>244274</v>
      </c>
      <c r="V771" s="139" t="s">
        <v>55</v>
      </c>
      <c r="W771" s="143">
        <v>244274</v>
      </c>
      <c r="X771" s="139"/>
      <c r="Y771" s="141"/>
      <c r="Z771" s="119" t="s">
        <v>1334</v>
      </c>
      <c r="AA771" s="144">
        <f>W771-P784</f>
        <v>-8</v>
      </c>
    </row>
    <row r="772" spans="1:27" s="145" customFormat="1" ht="36" customHeight="1" x14ac:dyDescent="0.25">
      <c r="A772" s="119" t="s">
        <v>27</v>
      </c>
      <c r="B772" s="139">
        <v>244272</v>
      </c>
      <c r="C772" s="119" t="s">
        <v>14</v>
      </c>
      <c r="D772" s="166">
        <v>680606</v>
      </c>
      <c r="E772" s="119" t="s">
        <v>413</v>
      </c>
      <c r="F772" s="190">
        <v>68101533</v>
      </c>
      <c r="G772" s="119" t="s">
        <v>2282</v>
      </c>
      <c r="H772" s="187" t="s">
        <v>250</v>
      </c>
      <c r="I772" s="147" t="s">
        <v>415</v>
      </c>
      <c r="J772" s="146">
        <v>84.07</v>
      </c>
      <c r="K772" s="119" t="s">
        <v>207</v>
      </c>
      <c r="L772" s="146">
        <f>J772-80</f>
        <v>4.0699999999999932</v>
      </c>
      <c r="M772" s="146" t="s">
        <v>2247</v>
      </c>
      <c r="N772" s="119" t="s">
        <v>93</v>
      </c>
      <c r="O772" s="141">
        <f t="shared" si="512"/>
        <v>244272</v>
      </c>
      <c r="P772" s="141">
        <f t="shared" si="513"/>
        <v>244279</v>
      </c>
      <c r="Q772" s="141">
        <f t="shared" si="514"/>
        <v>244274</v>
      </c>
      <c r="R772" s="139" t="s">
        <v>55</v>
      </c>
      <c r="S772" s="143">
        <v>244274</v>
      </c>
      <c r="T772" s="139" t="s">
        <v>55</v>
      </c>
      <c r="U772" s="143">
        <v>244274</v>
      </c>
      <c r="V772" s="139" t="s">
        <v>55</v>
      </c>
      <c r="W772" s="143">
        <v>244274</v>
      </c>
      <c r="X772" s="139"/>
      <c r="Y772" s="141"/>
      <c r="Z772" s="119" t="s">
        <v>1334</v>
      </c>
      <c r="AA772" s="144">
        <f>W772-P785</f>
        <v>-8</v>
      </c>
    </row>
    <row r="773" spans="1:27" s="145" customFormat="1" ht="40.5" customHeight="1" x14ac:dyDescent="0.25">
      <c r="A773" s="119" t="s">
        <v>27</v>
      </c>
      <c r="B773" s="139">
        <v>244272</v>
      </c>
      <c r="C773" s="119" t="s">
        <v>14</v>
      </c>
      <c r="D773" s="166">
        <v>680606</v>
      </c>
      <c r="E773" s="119" t="s">
        <v>413</v>
      </c>
      <c r="F773" s="190">
        <v>68101554</v>
      </c>
      <c r="G773" s="119" t="s">
        <v>2285</v>
      </c>
      <c r="H773" s="187" t="s">
        <v>217</v>
      </c>
      <c r="I773" s="147" t="s">
        <v>415</v>
      </c>
      <c r="J773" s="146">
        <v>84.61</v>
      </c>
      <c r="K773" s="119" t="s">
        <v>207</v>
      </c>
      <c r="L773" s="146">
        <f>J773-80</f>
        <v>4.6099999999999994</v>
      </c>
      <c r="M773" s="146" t="s">
        <v>2287</v>
      </c>
      <c r="N773" s="119" t="s">
        <v>93</v>
      </c>
      <c r="O773" s="141">
        <f t="shared" si="512"/>
        <v>244272</v>
      </c>
      <c r="P773" s="141">
        <f t="shared" si="513"/>
        <v>244279</v>
      </c>
      <c r="Q773" s="141">
        <f t="shared" si="514"/>
        <v>244274</v>
      </c>
      <c r="R773" s="139" t="s">
        <v>55</v>
      </c>
      <c r="S773" s="143">
        <v>244274</v>
      </c>
      <c r="T773" s="139" t="s">
        <v>55</v>
      </c>
      <c r="U773" s="143">
        <v>244274</v>
      </c>
      <c r="V773" s="139" t="s">
        <v>55</v>
      </c>
      <c r="W773" s="143">
        <v>244274</v>
      </c>
      <c r="X773" s="139"/>
      <c r="Y773" s="141"/>
      <c r="Z773" s="119" t="s">
        <v>1334</v>
      </c>
      <c r="AA773" s="144">
        <f>W773-P786</f>
        <v>-9</v>
      </c>
    </row>
    <row r="774" spans="1:27" s="145" customFormat="1" ht="40.5" customHeight="1" x14ac:dyDescent="0.25">
      <c r="A774" s="119" t="s">
        <v>27</v>
      </c>
      <c r="B774" s="139">
        <v>244272</v>
      </c>
      <c r="C774" s="119" t="s">
        <v>14</v>
      </c>
      <c r="D774" s="166">
        <v>680606</v>
      </c>
      <c r="E774" s="119" t="s">
        <v>413</v>
      </c>
      <c r="F774" s="190">
        <v>68101553</v>
      </c>
      <c r="G774" s="119" t="s">
        <v>2286</v>
      </c>
      <c r="H774" s="187" t="s">
        <v>280</v>
      </c>
      <c r="I774" s="147" t="s">
        <v>415</v>
      </c>
      <c r="J774" s="146">
        <v>86.61</v>
      </c>
      <c r="K774" s="119" t="s">
        <v>207</v>
      </c>
      <c r="L774" s="146">
        <f>J774-80</f>
        <v>6.6099999999999994</v>
      </c>
      <c r="M774" s="146" t="s">
        <v>2288</v>
      </c>
      <c r="N774" s="119" t="s">
        <v>93</v>
      </c>
      <c r="O774" s="141">
        <f t="shared" ref="O774:O775" si="530">B774</f>
        <v>244272</v>
      </c>
      <c r="P774" s="141">
        <f t="shared" ref="P774:P775" si="531">B774+7</f>
        <v>244279</v>
      </c>
      <c r="Q774" s="141">
        <f t="shared" ref="Q774:Q775" si="532">O774+2</f>
        <v>244274</v>
      </c>
      <c r="R774" s="139" t="s">
        <v>55</v>
      </c>
      <c r="S774" s="143">
        <v>244274</v>
      </c>
      <c r="T774" s="139" t="s">
        <v>55</v>
      </c>
      <c r="U774" s="143">
        <v>244274</v>
      </c>
      <c r="V774" s="139" t="s">
        <v>55</v>
      </c>
      <c r="W774" s="143">
        <v>244274</v>
      </c>
      <c r="X774" s="139"/>
      <c r="Y774" s="141"/>
      <c r="Z774" s="119" t="s">
        <v>1334</v>
      </c>
      <c r="AA774" s="144">
        <f>W774-P787</f>
        <v>-9</v>
      </c>
    </row>
    <row r="775" spans="1:27" s="145" customFormat="1" ht="40.5" customHeight="1" x14ac:dyDescent="0.25">
      <c r="A775" s="119" t="s">
        <v>27</v>
      </c>
      <c r="B775" s="139">
        <v>244273</v>
      </c>
      <c r="C775" s="119" t="s">
        <v>14</v>
      </c>
      <c r="D775" s="166">
        <v>680607</v>
      </c>
      <c r="E775" s="119" t="s">
        <v>808</v>
      </c>
      <c r="F775" s="190">
        <v>68101628</v>
      </c>
      <c r="G775" s="119" t="s">
        <v>2289</v>
      </c>
      <c r="H775" s="187" t="s">
        <v>844</v>
      </c>
      <c r="I775" s="147" t="s">
        <v>810</v>
      </c>
      <c r="J775" s="146">
        <v>117.68</v>
      </c>
      <c r="K775" s="119" t="s">
        <v>207</v>
      </c>
      <c r="L775" s="146">
        <f>J775-115</f>
        <v>2.6800000000000068</v>
      </c>
      <c r="M775" s="146" t="s">
        <v>2291</v>
      </c>
      <c r="N775" s="119" t="s">
        <v>93</v>
      </c>
      <c r="O775" s="141">
        <f t="shared" si="530"/>
        <v>244273</v>
      </c>
      <c r="P775" s="141">
        <f t="shared" si="531"/>
        <v>244280</v>
      </c>
      <c r="Q775" s="141">
        <f t="shared" si="532"/>
        <v>244275</v>
      </c>
      <c r="R775" s="139" t="s">
        <v>55</v>
      </c>
      <c r="S775" s="143">
        <v>244278</v>
      </c>
      <c r="T775" s="139" t="s">
        <v>55</v>
      </c>
      <c r="U775" s="143">
        <v>244280</v>
      </c>
      <c r="V775" s="139" t="s">
        <v>55</v>
      </c>
      <c r="W775" s="143">
        <v>244280</v>
      </c>
      <c r="X775" s="139"/>
      <c r="Y775" s="141"/>
      <c r="Z775" s="119" t="s">
        <v>808</v>
      </c>
      <c r="AA775" s="144">
        <f>W775-P788</f>
        <v>-3</v>
      </c>
    </row>
    <row r="776" spans="1:27" s="145" customFormat="1" ht="36" customHeight="1" x14ac:dyDescent="0.25">
      <c r="A776" s="119" t="s">
        <v>27</v>
      </c>
      <c r="B776" s="139">
        <v>244273</v>
      </c>
      <c r="C776" s="119" t="s">
        <v>14</v>
      </c>
      <c r="D776" s="166">
        <v>680608</v>
      </c>
      <c r="E776" s="119" t="s">
        <v>1290</v>
      </c>
      <c r="F776" s="190">
        <v>68101631</v>
      </c>
      <c r="G776" s="119" t="s">
        <v>2290</v>
      </c>
      <c r="H776" s="187" t="s">
        <v>224</v>
      </c>
      <c r="I776" s="147" t="s">
        <v>1104</v>
      </c>
      <c r="J776" s="146">
        <v>87.28</v>
      </c>
      <c r="K776" s="119" t="s">
        <v>207</v>
      </c>
      <c r="L776" s="146">
        <f>J776-85</f>
        <v>2.2800000000000011</v>
      </c>
      <c r="M776" s="146" t="s">
        <v>2292</v>
      </c>
      <c r="N776" s="119" t="s">
        <v>93</v>
      </c>
      <c r="O776" s="141">
        <f t="shared" si="512"/>
        <v>244273</v>
      </c>
      <c r="P776" s="141">
        <f t="shared" si="513"/>
        <v>244280</v>
      </c>
      <c r="Q776" s="141">
        <f t="shared" si="514"/>
        <v>244275</v>
      </c>
      <c r="R776" s="139" t="s">
        <v>55</v>
      </c>
      <c r="S776" s="143">
        <v>244278</v>
      </c>
      <c r="T776" s="139" t="s">
        <v>55</v>
      </c>
      <c r="U776" s="143">
        <v>244280</v>
      </c>
      <c r="V776" s="139" t="s">
        <v>55</v>
      </c>
      <c r="W776" s="143">
        <v>244280</v>
      </c>
      <c r="X776" s="139"/>
      <c r="Y776" s="141"/>
      <c r="Z776" s="119" t="s">
        <v>1290</v>
      </c>
      <c r="AA776" s="144">
        <f>W776-P779</f>
        <v>-1</v>
      </c>
    </row>
    <row r="777" spans="1:27" s="145" customFormat="1" ht="55.5" customHeight="1" x14ac:dyDescent="0.25">
      <c r="A777" s="119" t="s">
        <v>27</v>
      </c>
      <c r="B777" s="139">
        <v>244273</v>
      </c>
      <c r="C777" s="119" t="s">
        <v>132</v>
      </c>
      <c r="D777" s="166">
        <v>680609</v>
      </c>
      <c r="E777" s="119" t="s">
        <v>2293</v>
      </c>
      <c r="F777" s="190" t="s">
        <v>2294</v>
      </c>
      <c r="G777" s="119" t="s">
        <v>2295</v>
      </c>
      <c r="H777" s="187" t="s">
        <v>2296</v>
      </c>
      <c r="I777" s="147" t="s">
        <v>203</v>
      </c>
      <c r="J777" s="146" t="s">
        <v>2297</v>
      </c>
      <c r="K777" s="146" t="s">
        <v>2297</v>
      </c>
      <c r="L777" s="146" t="s">
        <v>346</v>
      </c>
      <c r="M777" s="119">
        <v>1</v>
      </c>
      <c r="N777" s="119" t="s">
        <v>52</v>
      </c>
      <c r="O777" s="141">
        <f t="shared" si="512"/>
        <v>244273</v>
      </c>
      <c r="P777" s="141">
        <f t="shared" si="513"/>
        <v>244280</v>
      </c>
      <c r="Q777" s="141">
        <f t="shared" si="514"/>
        <v>244275</v>
      </c>
      <c r="R777" s="139"/>
      <c r="S777" s="143"/>
      <c r="T777" s="139"/>
      <c r="U777" s="143"/>
      <c r="V777" s="139"/>
      <c r="W777" s="143"/>
      <c r="X777" s="139"/>
      <c r="Y777" s="141"/>
      <c r="Z777" s="119"/>
      <c r="AA777" s="144">
        <f>W777-P781</f>
        <v>-244281</v>
      </c>
    </row>
    <row r="778" spans="1:27" s="145" customFormat="1" ht="36" customHeight="1" x14ac:dyDescent="0.25">
      <c r="A778" s="119" t="s">
        <v>27</v>
      </c>
      <c r="B778" s="139">
        <v>244274</v>
      </c>
      <c r="C778" s="119" t="s">
        <v>14</v>
      </c>
      <c r="D778" s="166">
        <v>680610</v>
      </c>
      <c r="E778" s="119" t="s">
        <v>420</v>
      </c>
      <c r="F778" s="190">
        <v>68101702</v>
      </c>
      <c r="G778" s="119" t="s">
        <v>2300</v>
      </c>
      <c r="H778" s="187" t="s">
        <v>1147</v>
      </c>
      <c r="I778" s="147" t="s">
        <v>1041</v>
      </c>
      <c r="J778" s="146">
        <v>128.38999999999999</v>
      </c>
      <c r="K778" s="119" t="s">
        <v>207</v>
      </c>
      <c r="L778" s="146">
        <f>J778-124</f>
        <v>4.3899999999999864</v>
      </c>
      <c r="M778" s="119" t="s">
        <v>1914</v>
      </c>
      <c r="N778" s="119" t="s">
        <v>93</v>
      </c>
      <c r="O778" s="141">
        <f t="shared" si="512"/>
        <v>244274</v>
      </c>
      <c r="P778" s="141">
        <f t="shared" si="513"/>
        <v>244281</v>
      </c>
      <c r="Q778" s="141">
        <f t="shared" si="514"/>
        <v>244276</v>
      </c>
      <c r="R778" s="139" t="s">
        <v>55</v>
      </c>
      <c r="S778" s="143">
        <v>244278</v>
      </c>
      <c r="T778" s="139" t="s">
        <v>55</v>
      </c>
      <c r="U778" s="143">
        <v>244280</v>
      </c>
      <c r="V778" s="139" t="s">
        <v>55</v>
      </c>
      <c r="W778" s="143">
        <v>244280</v>
      </c>
      <c r="X778" s="139"/>
      <c r="Y778" s="141"/>
      <c r="Z778" s="119" t="s">
        <v>420</v>
      </c>
      <c r="AA778" s="144">
        <f>W778-P779</f>
        <v>-1</v>
      </c>
    </row>
    <row r="779" spans="1:27" s="145" customFormat="1" ht="36" customHeight="1" x14ac:dyDescent="0.25">
      <c r="A779" s="119" t="s">
        <v>27</v>
      </c>
      <c r="B779" s="139">
        <v>244274</v>
      </c>
      <c r="C779" s="119" t="s">
        <v>14</v>
      </c>
      <c r="D779" s="166">
        <v>680610</v>
      </c>
      <c r="E779" s="119" t="s">
        <v>420</v>
      </c>
      <c r="F779" s="190">
        <v>68101709</v>
      </c>
      <c r="G779" s="119" t="s">
        <v>2301</v>
      </c>
      <c r="H779" s="187" t="s">
        <v>410</v>
      </c>
      <c r="I779" s="147" t="s">
        <v>1041</v>
      </c>
      <c r="J779" s="146">
        <v>125.9</v>
      </c>
      <c r="K779" s="119" t="s">
        <v>207</v>
      </c>
      <c r="L779" s="146">
        <f>J779-124</f>
        <v>1.9000000000000057</v>
      </c>
      <c r="M779" s="119" t="s">
        <v>2302</v>
      </c>
      <c r="N779" s="119" t="s">
        <v>93</v>
      </c>
      <c r="O779" s="141">
        <f t="shared" si="512"/>
        <v>244274</v>
      </c>
      <c r="P779" s="141">
        <f t="shared" si="513"/>
        <v>244281</v>
      </c>
      <c r="Q779" s="141">
        <f t="shared" si="514"/>
        <v>244276</v>
      </c>
      <c r="R779" s="139" t="s">
        <v>55</v>
      </c>
      <c r="S779" s="143">
        <v>244278</v>
      </c>
      <c r="T779" s="139" t="s">
        <v>55</v>
      </c>
      <c r="U779" s="143">
        <v>244280</v>
      </c>
      <c r="V779" s="139" t="s">
        <v>55</v>
      </c>
      <c r="W779" s="143">
        <v>244280</v>
      </c>
      <c r="X779" s="139"/>
      <c r="Y779" s="141"/>
      <c r="Z779" s="119" t="s">
        <v>420</v>
      </c>
      <c r="AA779" s="144">
        <f>W779-P781</f>
        <v>-1</v>
      </c>
    </row>
    <row r="780" spans="1:27" s="145" customFormat="1" ht="36" customHeight="1" x14ac:dyDescent="0.25">
      <c r="A780" s="119" t="s">
        <v>27</v>
      </c>
      <c r="B780" s="139">
        <v>244274</v>
      </c>
      <c r="C780" s="119" t="s">
        <v>14</v>
      </c>
      <c r="D780" s="166">
        <v>680611</v>
      </c>
      <c r="E780" s="119" t="s">
        <v>413</v>
      </c>
      <c r="F780" s="190">
        <v>68101712</v>
      </c>
      <c r="G780" s="119" t="s">
        <v>2303</v>
      </c>
      <c r="H780" s="187" t="s">
        <v>237</v>
      </c>
      <c r="I780" s="147" t="s">
        <v>415</v>
      </c>
      <c r="J780" s="119">
        <v>83.82</v>
      </c>
      <c r="K780" s="119" t="s">
        <v>207</v>
      </c>
      <c r="L780" s="119">
        <f>J780-80</f>
        <v>3.8199999999999932</v>
      </c>
      <c r="M780" s="119" t="s">
        <v>1010</v>
      </c>
      <c r="N780" s="119" t="s">
        <v>93</v>
      </c>
      <c r="O780" s="141">
        <f t="shared" si="512"/>
        <v>244274</v>
      </c>
      <c r="P780" s="141">
        <f t="shared" si="513"/>
        <v>244281</v>
      </c>
      <c r="Q780" s="141">
        <f t="shared" si="514"/>
        <v>244276</v>
      </c>
      <c r="R780" s="139" t="s">
        <v>55</v>
      </c>
      <c r="S780" s="143">
        <v>244278</v>
      </c>
      <c r="T780" s="139" t="s">
        <v>55</v>
      </c>
      <c r="U780" s="143">
        <v>244280</v>
      </c>
      <c r="V780" s="139" t="s">
        <v>55</v>
      </c>
      <c r="W780" s="143">
        <v>244279</v>
      </c>
      <c r="X780" s="139"/>
      <c r="Y780" s="141"/>
      <c r="Z780" s="119" t="s">
        <v>2350</v>
      </c>
      <c r="AA780" s="144"/>
    </row>
    <row r="781" spans="1:27" s="145" customFormat="1" ht="36" customHeight="1" x14ac:dyDescent="0.25">
      <c r="A781" s="119" t="s">
        <v>27</v>
      </c>
      <c r="B781" s="139">
        <v>244274</v>
      </c>
      <c r="C781" s="119" t="s">
        <v>14</v>
      </c>
      <c r="D781" s="166">
        <v>680612</v>
      </c>
      <c r="E781" s="119" t="s">
        <v>433</v>
      </c>
      <c r="F781" s="190">
        <v>68101701</v>
      </c>
      <c r="G781" s="119" t="s">
        <v>2304</v>
      </c>
      <c r="H781" s="187" t="s">
        <v>263</v>
      </c>
      <c r="I781" s="147" t="s">
        <v>304</v>
      </c>
      <c r="J781" s="146">
        <v>87.18</v>
      </c>
      <c r="K781" s="119" t="s">
        <v>207</v>
      </c>
      <c r="L781" s="146">
        <f>J781-78</f>
        <v>9.1800000000000068</v>
      </c>
      <c r="M781" s="119" t="s">
        <v>2305</v>
      </c>
      <c r="N781" s="119" t="s">
        <v>93</v>
      </c>
      <c r="O781" s="141">
        <f t="shared" si="512"/>
        <v>244274</v>
      </c>
      <c r="P781" s="141">
        <f t="shared" si="513"/>
        <v>244281</v>
      </c>
      <c r="Q781" s="141">
        <f t="shared" si="514"/>
        <v>244276</v>
      </c>
      <c r="R781" s="139" t="s">
        <v>55</v>
      </c>
      <c r="S781" s="143">
        <v>244278</v>
      </c>
      <c r="T781" s="139" t="s">
        <v>55</v>
      </c>
      <c r="U781" s="143">
        <v>244280</v>
      </c>
      <c r="V781" s="139" t="s">
        <v>55</v>
      </c>
      <c r="W781" s="143">
        <v>244280</v>
      </c>
      <c r="X781" s="139"/>
      <c r="Y781" s="141"/>
      <c r="Z781" s="119" t="s">
        <v>433</v>
      </c>
      <c r="AA781" s="144">
        <f>W781-P782</f>
        <v>-2</v>
      </c>
    </row>
    <row r="782" spans="1:27" s="145" customFormat="1" ht="36" customHeight="1" x14ac:dyDescent="0.25">
      <c r="A782" s="119" t="s">
        <v>27</v>
      </c>
      <c r="B782" s="139">
        <v>244275</v>
      </c>
      <c r="C782" s="119" t="s">
        <v>14</v>
      </c>
      <c r="D782" s="166">
        <v>680613</v>
      </c>
      <c r="E782" s="119" t="s">
        <v>872</v>
      </c>
      <c r="F782" s="190">
        <v>68101803</v>
      </c>
      <c r="G782" s="119" t="s">
        <v>2310</v>
      </c>
      <c r="H782" s="187" t="s">
        <v>288</v>
      </c>
      <c r="I782" s="147" t="s">
        <v>845</v>
      </c>
      <c r="J782" s="146">
        <v>61.64</v>
      </c>
      <c r="K782" s="119" t="s">
        <v>207</v>
      </c>
      <c r="L782" s="146">
        <v>1.64</v>
      </c>
      <c r="M782" s="119" t="s">
        <v>2311</v>
      </c>
      <c r="N782" s="119" t="s">
        <v>93</v>
      </c>
      <c r="O782" s="141">
        <f t="shared" si="512"/>
        <v>244275</v>
      </c>
      <c r="P782" s="141">
        <f t="shared" si="513"/>
        <v>244282</v>
      </c>
      <c r="Q782" s="141">
        <f t="shared" si="514"/>
        <v>244277</v>
      </c>
      <c r="R782" s="139" t="s">
        <v>55</v>
      </c>
      <c r="S782" s="143">
        <v>244278</v>
      </c>
      <c r="T782" s="139" t="s">
        <v>55</v>
      </c>
      <c r="U782" s="143">
        <v>244280</v>
      </c>
      <c r="V782" s="139" t="s">
        <v>55</v>
      </c>
      <c r="W782" s="143">
        <v>244280</v>
      </c>
      <c r="X782" s="139"/>
      <c r="Y782" s="141"/>
      <c r="Z782" s="119" t="s">
        <v>872</v>
      </c>
      <c r="AA782" s="144">
        <f>W782-P783</f>
        <v>-2</v>
      </c>
    </row>
    <row r="783" spans="1:27" s="145" customFormat="1" ht="36" customHeight="1" x14ac:dyDescent="0.25">
      <c r="A783" s="119" t="s">
        <v>27</v>
      </c>
      <c r="B783" s="139">
        <v>244275</v>
      </c>
      <c r="C783" s="119" t="s">
        <v>14</v>
      </c>
      <c r="D783" s="166">
        <v>680614</v>
      </c>
      <c r="E783" s="119" t="s">
        <v>413</v>
      </c>
      <c r="F783" s="190">
        <v>68101806</v>
      </c>
      <c r="G783" s="119" t="s">
        <v>2312</v>
      </c>
      <c r="H783" s="187" t="s">
        <v>263</v>
      </c>
      <c r="I783" s="147" t="s">
        <v>415</v>
      </c>
      <c r="J783" s="146">
        <v>82.24</v>
      </c>
      <c r="K783" s="119" t="s">
        <v>200</v>
      </c>
      <c r="L783" s="146">
        <v>2.2400000000000002</v>
      </c>
      <c r="M783" s="119" t="s">
        <v>2313</v>
      </c>
      <c r="N783" s="119" t="s">
        <v>93</v>
      </c>
      <c r="O783" s="141">
        <f t="shared" si="512"/>
        <v>244275</v>
      </c>
      <c r="P783" s="141">
        <f t="shared" si="513"/>
        <v>244282</v>
      </c>
      <c r="Q783" s="141">
        <f t="shared" si="514"/>
        <v>244277</v>
      </c>
      <c r="R783" s="139" t="s">
        <v>55</v>
      </c>
      <c r="S783" s="143">
        <v>244278</v>
      </c>
      <c r="T783" s="139" t="s">
        <v>55</v>
      </c>
      <c r="U783" s="143">
        <v>244280</v>
      </c>
      <c r="V783" s="139" t="s">
        <v>55</v>
      </c>
      <c r="W783" s="143">
        <v>244279</v>
      </c>
      <c r="X783" s="139"/>
      <c r="Y783" s="141"/>
      <c r="Z783" s="119" t="s">
        <v>2350</v>
      </c>
      <c r="AA783" s="144">
        <f t="shared" ref="AA783:AA789" si="533">W783-P786</f>
        <v>-4</v>
      </c>
    </row>
    <row r="784" spans="1:27" s="145" customFormat="1" ht="36" customHeight="1" x14ac:dyDescent="0.25">
      <c r="A784" s="119" t="s">
        <v>27</v>
      </c>
      <c r="B784" s="139">
        <v>244275</v>
      </c>
      <c r="C784" s="119" t="s">
        <v>14</v>
      </c>
      <c r="D784" s="166">
        <v>680615</v>
      </c>
      <c r="E784" s="119" t="s">
        <v>433</v>
      </c>
      <c r="F784" s="190">
        <v>68101819</v>
      </c>
      <c r="G784" s="119" t="s">
        <v>2314</v>
      </c>
      <c r="H784" s="187" t="s">
        <v>214</v>
      </c>
      <c r="I784" s="147" t="s">
        <v>304</v>
      </c>
      <c r="J784" s="146">
        <v>80.569999999999993</v>
      </c>
      <c r="K784" s="119" t="s">
        <v>207</v>
      </c>
      <c r="L784" s="146">
        <f>J784-78</f>
        <v>2.5699999999999932</v>
      </c>
      <c r="M784" s="119" t="s">
        <v>2315</v>
      </c>
      <c r="N784" s="119" t="s">
        <v>93</v>
      </c>
      <c r="O784" s="141">
        <f t="shared" ref="O784" si="534">B784</f>
        <v>244275</v>
      </c>
      <c r="P784" s="141">
        <f t="shared" ref="P784" si="535">B784+7</f>
        <v>244282</v>
      </c>
      <c r="Q784" s="141">
        <f t="shared" ref="Q784" si="536">O784+2</f>
        <v>244277</v>
      </c>
      <c r="R784" s="139" t="s">
        <v>55</v>
      </c>
      <c r="S784" s="143">
        <v>244278</v>
      </c>
      <c r="T784" s="139" t="s">
        <v>55</v>
      </c>
      <c r="U784" s="143">
        <v>244280</v>
      </c>
      <c r="V784" s="139" t="s">
        <v>55</v>
      </c>
      <c r="W784" s="143">
        <v>244280</v>
      </c>
      <c r="X784" s="139"/>
      <c r="Y784" s="141"/>
      <c r="Z784" s="119" t="s">
        <v>433</v>
      </c>
      <c r="AA784" s="144">
        <f t="shared" si="533"/>
        <v>-3</v>
      </c>
    </row>
    <row r="785" spans="1:27" s="145" customFormat="1" ht="36" customHeight="1" x14ac:dyDescent="0.25">
      <c r="A785" s="119" t="s">
        <v>27</v>
      </c>
      <c r="B785" s="139">
        <v>244275</v>
      </c>
      <c r="C785" s="119" t="s">
        <v>14</v>
      </c>
      <c r="D785" s="166">
        <v>680615</v>
      </c>
      <c r="E785" s="119" t="s">
        <v>433</v>
      </c>
      <c r="F785" s="190">
        <v>68101818</v>
      </c>
      <c r="G785" s="119" t="s">
        <v>2316</v>
      </c>
      <c r="H785" s="187" t="s">
        <v>217</v>
      </c>
      <c r="I785" s="147" t="s">
        <v>304</v>
      </c>
      <c r="J785" s="146">
        <v>80.72</v>
      </c>
      <c r="K785" s="119" t="s">
        <v>207</v>
      </c>
      <c r="L785" s="146">
        <f>J785-78</f>
        <v>2.7199999999999989</v>
      </c>
      <c r="M785" s="119" t="s">
        <v>2317</v>
      </c>
      <c r="N785" s="119" t="s">
        <v>93</v>
      </c>
      <c r="O785" s="141">
        <f t="shared" ref="O785" si="537">B785</f>
        <v>244275</v>
      </c>
      <c r="P785" s="141">
        <f t="shared" ref="P785" si="538">B785+7</f>
        <v>244282</v>
      </c>
      <c r="Q785" s="141">
        <f t="shared" ref="Q785" si="539">O785+2</f>
        <v>244277</v>
      </c>
      <c r="R785" s="139" t="s">
        <v>55</v>
      </c>
      <c r="S785" s="143">
        <v>244278</v>
      </c>
      <c r="T785" s="139" t="s">
        <v>55</v>
      </c>
      <c r="U785" s="143">
        <v>244280</v>
      </c>
      <c r="V785" s="139" t="s">
        <v>55</v>
      </c>
      <c r="W785" s="143">
        <v>244280</v>
      </c>
      <c r="X785" s="139"/>
      <c r="Y785" s="141"/>
      <c r="Z785" s="119" t="s">
        <v>433</v>
      </c>
      <c r="AA785" s="144">
        <f t="shared" si="533"/>
        <v>-3</v>
      </c>
    </row>
    <row r="786" spans="1:27" s="145" customFormat="1" ht="35.25" customHeight="1" x14ac:dyDescent="0.25">
      <c r="A786" s="119" t="s">
        <v>27</v>
      </c>
      <c r="B786" s="139">
        <v>244276</v>
      </c>
      <c r="C786" s="119" t="s">
        <v>14</v>
      </c>
      <c r="D786" s="166">
        <v>680616</v>
      </c>
      <c r="E786" s="119" t="s">
        <v>1382</v>
      </c>
      <c r="F786" s="190">
        <v>68101926</v>
      </c>
      <c r="G786" s="119" t="s">
        <v>2318</v>
      </c>
      <c r="H786" s="187" t="s">
        <v>250</v>
      </c>
      <c r="I786" s="147" t="s">
        <v>1644</v>
      </c>
      <c r="J786" s="146">
        <v>69.03</v>
      </c>
      <c r="K786" s="119" t="s">
        <v>411</v>
      </c>
      <c r="L786" s="146">
        <f>72-J786</f>
        <v>2.9699999999999989</v>
      </c>
      <c r="M786" s="119" t="s">
        <v>2319</v>
      </c>
      <c r="N786" s="119" t="s">
        <v>93</v>
      </c>
      <c r="O786" s="141">
        <f t="shared" si="512"/>
        <v>244276</v>
      </c>
      <c r="P786" s="141">
        <f t="shared" si="513"/>
        <v>244283</v>
      </c>
      <c r="Q786" s="141">
        <f t="shared" si="514"/>
        <v>244278</v>
      </c>
      <c r="R786" s="139" t="s">
        <v>55</v>
      </c>
      <c r="S786" s="143">
        <v>244278</v>
      </c>
      <c r="T786" s="139" t="s">
        <v>55</v>
      </c>
      <c r="U786" s="143">
        <v>244280</v>
      </c>
      <c r="V786" s="139" t="s">
        <v>55</v>
      </c>
      <c r="W786" s="143">
        <v>244280</v>
      </c>
      <c r="X786" s="139"/>
      <c r="Y786" s="141"/>
      <c r="Z786" s="119" t="s">
        <v>1382</v>
      </c>
      <c r="AA786" s="144">
        <f t="shared" si="533"/>
        <v>-4</v>
      </c>
    </row>
    <row r="787" spans="1:27" s="145" customFormat="1" ht="35.25" customHeight="1" x14ac:dyDescent="0.25">
      <c r="A787" s="119" t="s">
        <v>27</v>
      </c>
      <c r="B787" s="139">
        <v>244276</v>
      </c>
      <c r="C787" s="119" t="s">
        <v>14</v>
      </c>
      <c r="D787" s="166">
        <v>680617</v>
      </c>
      <c r="E787" s="119" t="s">
        <v>433</v>
      </c>
      <c r="F787" s="190">
        <v>68101927</v>
      </c>
      <c r="G787" s="119" t="s">
        <v>2320</v>
      </c>
      <c r="H787" s="187" t="s">
        <v>264</v>
      </c>
      <c r="I787" s="147" t="s">
        <v>304</v>
      </c>
      <c r="J787" s="146" t="s">
        <v>2321</v>
      </c>
      <c r="K787" s="119" t="s">
        <v>2073</v>
      </c>
      <c r="L787" s="146" t="s">
        <v>69</v>
      </c>
      <c r="M787" s="119" t="s">
        <v>2322</v>
      </c>
      <c r="N787" s="119" t="s">
        <v>93</v>
      </c>
      <c r="O787" s="141">
        <f t="shared" ref="O787:O788" si="540">B787</f>
        <v>244276</v>
      </c>
      <c r="P787" s="141">
        <f t="shared" ref="P787:P788" si="541">B787+7</f>
        <v>244283</v>
      </c>
      <c r="Q787" s="141">
        <f t="shared" ref="Q787:Q788" si="542">O787+2</f>
        <v>244278</v>
      </c>
      <c r="R787" s="139" t="s">
        <v>55</v>
      </c>
      <c r="S787" s="143">
        <v>244278</v>
      </c>
      <c r="T787" s="139" t="s">
        <v>55</v>
      </c>
      <c r="U787" s="143">
        <v>244280</v>
      </c>
      <c r="V787" s="139" t="s">
        <v>55</v>
      </c>
      <c r="W787" s="143">
        <v>244280</v>
      </c>
      <c r="X787" s="139"/>
      <c r="Y787" s="141"/>
      <c r="Z787" s="119" t="s">
        <v>433</v>
      </c>
      <c r="AA787" s="144">
        <f t="shared" si="533"/>
        <v>-4</v>
      </c>
    </row>
    <row r="788" spans="1:27" s="145" customFormat="1" ht="35.25" customHeight="1" x14ac:dyDescent="0.25">
      <c r="A788" s="119" t="s">
        <v>27</v>
      </c>
      <c r="B788" s="139">
        <v>244276</v>
      </c>
      <c r="C788" s="119" t="s">
        <v>14</v>
      </c>
      <c r="D788" s="166">
        <v>680618</v>
      </c>
      <c r="E788" s="119" t="s">
        <v>433</v>
      </c>
      <c r="F788" s="190">
        <v>68101930</v>
      </c>
      <c r="G788" s="119" t="s">
        <v>2323</v>
      </c>
      <c r="H788" s="187" t="s">
        <v>293</v>
      </c>
      <c r="I788" s="147" t="s">
        <v>304</v>
      </c>
      <c r="J788" s="146">
        <v>82.08</v>
      </c>
      <c r="K788" s="119" t="s">
        <v>207</v>
      </c>
      <c r="L788" s="146">
        <f>J788-78</f>
        <v>4.0799999999999983</v>
      </c>
      <c r="M788" s="119" t="s">
        <v>766</v>
      </c>
      <c r="N788" s="119" t="s">
        <v>93</v>
      </c>
      <c r="O788" s="141">
        <f t="shared" si="540"/>
        <v>244276</v>
      </c>
      <c r="P788" s="141">
        <f t="shared" si="541"/>
        <v>244283</v>
      </c>
      <c r="Q788" s="141">
        <f t="shared" si="542"/>
        <v>244278</v>
      </c>
      <c r="R788" s="139" t="s">
        <v>55</v>
      </c>
      <c r="S788" s="143">
        <v>244278</v>
      </c>
      <c r="T788" s="139" t="s">
        <v>55</v>
      </c>
      <c r="U788" s="143">
        <v>244280</v>
      </c>
      <c r="V788" s="139" t="s">
        <v>55</v>
      </c>
      <c r="W788" s="143">
        <v>244280</v>
      </c>
      <c r="X788" s="139"/>
      <c r="Y788" s="141"/>
      <c r="Z788" s="119" t="s">
        <v>433</v>
      </c>
      <c r="AA788" s="144">
        <f t="shared" si="533"/>
        <v>-4</v>
      </c>
    </row>
    <row r="789" spans="1:27" s="145" customFormat="1" ht="35.25" customHeight="1" x14ac:dyDescent="0.25">
      <c r="A789" s="119" t="s">
        <v>27</v>
      </c>
      <c r="B789" s="139">
        <v>244277</v>
      </c>
      <c r="C789" s="119" t="s">
        <v>14</v>
      </c>
      <c r="D789" s="166">
        <v>680619</v>
      </c>
      <c r="E789" s="119" t="s">
        <v>1382</v>
      </c>
      <c r="F789" s="190">
        <v>68102011</v>
      </c>
      <c r="G789" s="119" t="s">
        <v>2324</v>
      </c>
      <c r="H789" s="187" t="s">
        <v>220</v>
      </c>
      <c r="I789" s="147" t="s">
        <v>1644</v>
      </c>
      <c r="J789" s="146">
        <v>80.62</v>
      </c>
      <c r="K789" s="119" t="s">
        <v>207</v>
      </c>
      <c r="L789" s="146">
        <f>J789-77</f>
        <v>3.6200000000000045</v>
      </c>
      <c r="M789" s="119" t="s">
        <v>2325</v>
      </c>
      <c r="N789" s="119" t="s">
        <v>93</v>
      </c>
      <c r="O789" s="141">
        <f t="shared" ref="O789" si="543">B789</f>
        <v>244277</v>
      </c>
      <c r="P789" s="141">
        <f t="shared" ref="P789" si="544">B789+7</f>
        <v>244284</v>
      </c>
      <c r="Q789" s="141">
        <f t="shared" ref="Q789" si="545">O789+2</f>
        <v>244279</v>
      </c>
      <c r="R789" s="139" t="s">
        <v>55</v>
      </c>
      <c r="S789" s="143">
        <v>244278</v>
      </c>
      <c r="T789" s="139" t="s">
        <v>55</v>
      </c>
      <c r="U789" s="143">
        <v>244280</v>
      </c>
      <c r="V789" s="139" t="s">
        <v>55</v>
      </c>
      <c r="W789" s="143">
        <v>244280</v>
      </c>
      <c r="X789" s="139"/>
      <c r="Y789" s="141"/>
      <c r="Z789" s="119" t="s">
        <v>1382</v>
      </c>
      <c r="AA789" s="144">
        <f t="shared" si="533"/>
        <v>-4</v>
      </c>
    </row>
    <row r="790" spans="1:27" s="145" customFormat="1" ht="36" customHeight="1" x14ac:dyDescent="0.25">
      <c r="A790" s="119" t="s">
        <v>27</v>
      </c>
      <c r="B790" s="139">
        <v>244277</v>
      </c>
      <c r="C790" s="119" t="s">
        <v>14</v>
      </c>
      <c r="D790" s="166">
        <v>680620</v>
      </c>
      <c r="E790" s="119" t="s">
        <v>306</v>
      </c>
      <c r="F790" s="190">
        <v>68102003</v>
      </c>
      <c r="G790" s="119" t="s">
        <v>2326</v>
      </c>
      <c r="H790" s="187" t="s">
        <v>292</v>
      </c>
      <c r="I790" s="147" t="s">
        <v>305</v>
      </c>
      <c r="J790" s="146">
        <v>73.05</v>
      </c>
      <c r="K790" s="119" t="s">
        <v>207</v>
      </c>
      <c r="L790" s="146">
        <f>J790-70</f>
        <v>3.0499999999999972</v>
      </c>
      <c r="M790" s="119" t="s">
        <v>2327</v>
      </c>
      <c r="N790" s="119" t="s">
        <v>93</v>
      </c>
      <c r="O790" s="141">
        <f t="shared" si="512"/>
        <v>244277</v>
      </c>
      <c r="P790" s="141">
        <f t="shared" si="513"/>
        <v>244284</v>
      </c>
      <c r="Q790" s="141">
        <f t="shared" si="514"/>
        <v>244279</v>
      </c>
      <c r="R790" s="139" t="s">
        <v>55</v>
      </c>
      <c r="S790" s="143">
        <v>244278</v>
      </c>
      <c r="T790" s="139" t="s">
        <v>55</v>
      </c>
      <c r="U790" s="143">
        <v>244280</v>
      </c>
      <c r="V790" s="139" t="s">
        <v>55</v>
      </c>
      <c r="W790" s="143">
        <v>25132</v>
      </c>
      <c r="X790" s="139"/>
      <c r="Y790" s="141"/>
      <c r="Z790" s="119" t="s">
        <v>2334</v>
      </c>
      <c r="AA790" s="144">
        <f>W790-P792</f>
        <v>-219152</v>
      </c>
    </row>
    <row r="791" spans="1:27" s="145" customFormat="1" ht="36" customHeight="1" x14ac:dyDescent="0.25">
      <c r="A791" s="119" t="s">
        <v>27</v>
      </c>
      <c r="B791" s="139">
        <v>244277</v>
      </c>
      <c r="C791" s="119" t="s">
        <v>14</v>
      </c>
      <c r="D791" s="166">
        <v>680621</v>
      </c>
      <c r="E791" s="119" t="s">
        <v>433</v>
      </c>
      <c r="F791" s="190">
        <v>68102002</v>
      </c>
      <c r="G791" s="119" t="s">
        <v>2328</v>
      </c>
      <c r="H791" s="187" t="s">
        <v>281</v>
      </c>
      <c r="I791" s="147" t="s">
        <v>304</v>
      </c>
      <c r="J791" s="146">
        <v>74.489999999999995</v>
      </c>
      <c r="K791" s="119" t="s">
        <v>201</v>
      </c>
      <c r="L791" s="146">
        <f>76-J791</f>
        <v>1.5100000000000051</v>
      </c>
      <c r="M791" s="146" t="s">
        <v>2329</v>
      </c>
      <c r="N791" s="119" t="s">
        <v>93</v>
      </c>
      <c r="O791" s="141">
        <f t="shared" si="512"/>
        <v>244277</v>
      </c>
      <c r="P791" s="141">
        <f t="shared" si="513"/>
        <v>244284</v>
      </c>
      <c r="Q791" s="141">
        <f t="shared" si="514"/>
        <v>244279</v>
      </c>
      <c r="R791" s="139" t="s">
        <v>55</v>
      </c>
      <c r="S791" s="143">
        <v>244278</v>
      </c>
      <c r="T791" s="139" t="s">
        <v>55</v>
      </c>
      <c r="U791" s="143">
        <v>244280</v>
      </c>
      <c r="V791" s="139" t="s">
        <v>55</v>
      </c>
      <c r="W791" s="143">
        <v>244280</v>
      </c>
      <c r="X791" s="139"/>
      <c r="Y791" s="141"/>
      <c r="Z791" s="119" t="s">
        <v>2371</v>
      </c>
      <c r="AA791" s="144">
        <f>W791-P792</f>
        <v>-4</v>
      </c>
    </row>
    <row r="792" spans="1:27" s="145" customFormat="1" ht="36" customHeight="1" x14ac:dyDescent="0.25">
      <c r="A792" s="119" t="s">
        <v>27</v>
      </c>
      <c r="B792" s="139">
        <v>244277</v>
      </c>
      <c r="C792" s="119" t="s">
        <v>14</v>
      </c>
      <c r="D792" s="166">
        <v>680622</v>
      </c>
      <c r="E792" s="119" t="s">
        <v>433</v>
      </c>
      <c r="F792" s="190">
        <v>68102018</v>
      </c>
      <c r="G792" s="119" t="s">
        <v>2330</v>
      </c>
      <c r="H792" s="187" t="s">
        <v>278</v>
      </c>
      <c r="I792" s="147" t="s">
        <v>304</v>
      </c>
      <c r="J792" s="146">
        <v>81.48</v>
      </c>
      <c r="K792" s="119" t="s">
        <v>207</v>
      </c>
      <c r="L792" s="146">
        <f t="shared" ref="L792:L797" si="546">J792-78</f>
        <v>3.480000000000004</v>
      </c>
      <c r="M792" s="146" t="s">
        <v>2331</v>
      </c>
      <c r="N792" s="119" t="s">
        <v>93</v>
      </c>
      <c r="O792" s="141">
        <f t="shared" ref="O792:O793" si="547">B792</f>
        <v>244277</v>
      </c>
      <c r="P792" s="141">
        <f t="shared" ref="P792:P793" si="548">B792+7</f>
        <v>244284</v>
      </c>
      <c r="Q792" s="141">
        <f t="shared" ref="Q792:Q793" si="549">O792+2</f>
        <v>244279</v>
      </c>
      <c r="R792" s="139" t="s">
        <v>55</v>
      </c>
      <c r="S792" s="143">
        <v>244278</v>
      </c>
      <c r="T792" s="139" t="s">
        <v>55</v>
      </c>
      <c r="U792" s="143">
        <v>244280</v>
      </c>
      <c r="V792" s="139" t="s">
        <v>55</v>
      </c>
      <c r="W792" s="143">
        <v>244280</v>
      </c>
      <c r="X792" s="139"/>
      <c r="Y792" s="141"/>
      <c r="Z792" s="119" t="s">
        <v>433</v>
      </c>
      <c r="AA792" s="144">
        <f>W792-P793</f>
        <v>-4</v>
      </c>
    </row>
    <row r="793" spans="1:27" s="145" customFormat="1" ht="36" customHeight="1" x14ac:dyDescent="0.25">
      <c r="A793" s="119" t="s">
        <v>27</v>
      </c>
      <c r="B793" s="139">
        <v>244277</v>
      </c>
      <c r="C793" s="119" t="s">
        <v>14</v>
      </c>
      <c r="D793" s="166">
        <v>680622</v>
      </c>
      <c r="E793" s="119" t="s">
        <v>433</v>
      </c>
      <c r="F793" s="190">
        <v>68102030</v>
      </c>
      <c r="G793" s="119" t="s">
        <v>2332</v>
      </c>
      <c r="H793" s="187" t="s">
        <v>217</v>
      </c>
      <c r="I793" s="147" t="s">
        <v>304</v>
      </c>
      <c r="J793" s="146">
        <v>83.95</v>
      </c>
      <c r="K793" s="119" t="s">
        <v>207</v>
      </c>
      <c r="L793" s="146">
        <f t="shared" si="546"/>
        <v>5.9500000000000028</v>
      </c>
      <c r="M793" s="146" t="s">
        <v>2333</v>
      </c>
      <c r="N793" s="119" t="s">
        <v>93</v>
      </c>
      <c r="O793" s="141">
        <f t="shared" si="547"/>
        <v>244277</v>
      </c>
      <c r="P793" s="141">
        <f t="shared" si="548"/>
        <v>244284</v>
      </c>
      <c r="Q793" s="141">
        <f t="shared" si="549"/>
        <v>244279</v>
      </c>
      <c r="R793" s="139" t="s">
        <v>55</v>
      </c>
      <c r="S793" s="143">
        <v>244278</v>
      </c>
      <c r="T793" s="139" t="s">
        <v>55</v>
      </c>
      <c r="U793" s="143">
        <v>244280</v>
      </c>
      <c r="V793" s="139" t="s">
        <v>55</v>
      </c>
      <c r="W793" s="143">
        <v>244280</v>
      </c>
      <c r="X793" s="139"/>
      <c r="Y793" s="141"/>
      <c r="Z793" s="119" t="s">
        <v>433</v>
      </c>
      <c r="AA793" s="144">
        <f>W793-P794</f>
        <v>-5</v>
      </c>
    </row>
    <row r="794" spans="1:27" s="145" customFormat="1" ht="36" customHeight="1" x14ac:dyDescent="0.25">
      <c r="A794" s="119" t="s">
        <v>27</v>
      </c>
      <c r="B794" s="139">
        <v>244278</v>
      </c>
      <c r="C794" s="119" t="s">
        <v>14</v>
      </c>
      <c r="D794" s="166">
        <v>680623</v>
      </c>
      <c r="E794" s="119" t="s">
        <v>433</v>
      </c>
      <c r="F794" s="190">
        <v>68102118</v>
      </c>
      <c r="G794" s="119" t="s">
        <v>2335</v>
      </c>
      <c r="H794" s="187" t="s">
        <v>268</v>
      </c>
      <c r="I794" s="147" t="s">
        <v>304</v>
      </c>
      <c r="J794" s="146">
        <v>81.22</v>
      </c>
      <c r="K794" s="119" t="s">
        <v>207</v>
      </c>
      <c r="L794" s="146">
        <f t="shared" si="546"/>
        <v>3.2199999999999989</v>
      </c>
      <c r="M794" s="119" t="s">
        <v>2336</v>
      </c>
      <c r="N794" s="119" t="s">
        <v>93</v>
      </c>
      <c r="O794" s="141">
        <f t="shared" si="512"/>
        <v>244278</v>
      </c>
      <c r="P794" s="141">
        <f t="shared" si="513"/>
        <v>244285</v>
      </c>
      <c r="Q794" s="141">
        <f t="shared" si="514"/>
        <v>244280</v>
      </c>
      <c r="R794" s="139" t="s">
        <v>55</v>
      </c>
      <c r="S794" s="143">
        <v>244281</v>
      </c>
      <c r="T794" s="139" t="s">
        <v>55</v>
      </c>
      <c r="U794" s="143">
        <v>244285</v>
      </c>
      <c r="V794" s="139" t="s">
        <v>55</v>
      </c>
      <c r="W794" s="143">
        <v>244282</v>
      </c>
      <c r="X794" s="139"/>
      <c r="Y794" s="141"/>
      <c r="Z794" s="119" t="s">
        <v>2380</v>
      </c>
      <c r="AA794" s="144"/>
    </row>
    <row r="795" spans="1:27" s="145" customFormat="1" ht="36" customHeight="1" x14ac:dyDescent="0.25">
      <c r="A795" s="119" t="s">
        <v>27</v>
      </c>
      <c r="B795" s="139">
        <v>244278</v>
      </c>
      <c r="C795" s="119" t="s">
        <v>14</v>
      </c>
      <c r="D795" s="166">
        <v>680624</v>
      </c>
      <c r="E795" s="119" t="s">
        <v>433</v>
      </c>
      <c r="F795" s="190">
        <v>68102125</v>
      </c>
      <c r="G795" s="119" t="s">
        <v>2337</v>
      </c>
      <c r="H795" s="187" t="s">
        <v>293</v>
      </c>
      <c r="I795" s="147" t="s">
        <v>304</v>
      </c>
      <c r="J795" s="146">
        <v>81.55</v>
      </c>
      <c r="K795" s="119" t="s">
        <v>207</v>
      </c>
      <c r="L795" s="146">
        <f t="shared" si="546"/>
        <v>3.5499999999999972</v>
      </c>
      <c r="M795" s="119" t="s">
        <v>2338</v>
      </c>
      <c r="N795" s="119" t="s">
        <v>93</v>
      </c>
      <c r="O795" s="141">
        <f t="shared" si="512"/>
        <v>244278</v>
      </c>
      <c r="P795" s="141">
        <f t="shared" si="513"/>
        <v>244285</v>
      </c>
      <c r="Q795" s="141">
        <f t="shared" si="514"/>
        <v>244280</v>
      </c>
      <c r="R795" s="139" t="s">
        <v>55</v>
      </c>
      <c r="S795" s="143">
        <v>244281</v>
      </c>
      <c r="T795" s="139" t="s">
        <v>55</v>
      </c>
      <c r="U795" s="143">
        <v>244285</v>
      </c>
      <c r="V795" s="139" t="s">
        <v>55</v>
      </c>
      <c r="W795" s="143">
        <v>244282</v>
      </c>
      <c r="X795" s="139" t="s">
        <v>2379</v>
      </c>
      <c r="Y795" s="141"/>
      <c r="Z795" s="119" t="s">
        <v>2380</v>
      </c>
      <c r="AA795" s="144">
        <f t="shared" ref="AA795:AA800" si="550">W795-P800</f>
        <v>-3</v>
      </c>
    </row>
    <row r="796" spans="1:27" s="145" customFormat="1" ht="36" customHeight="1" x14ac:dyDescent="0.25">
      <c r="A796" s="119" t="s">
        <v>27</v>
      </c>
      <c r="B796" s="139">
        <v>244278</v>
      </c>
      <c r="C796" s="119" t="s">
        <v>14</v>
      </c>
      <c r="D796" s="166">
        <v>680624</v>
      </c>
      <c r="E796" s="119" t="s">
        <v>433</v>
      </c>
      <c r="F796" s="190">
        <v>68102133</v>
      </c>
      <c r="G796" s="119" t="s">
        <v>2339</v>
      </c>
      <c r="H796" s="187" t="s">
        <v>269</v>
      </c>
      <c r="I796" s="147" t="s">
        <v>304</v>
      </c>
      <c r="J796" s="146">
        <v>81.790000000000006</v>
      </c>
      <c r="K796" s="119" t="s">
        <v>207</v>
      </c>
      <c r="L796" s="146">
        <f t="shared" si="546"/>
        <v>3.7900000000000063</v>
      </c>
      <c r="M796" s="119" t="s">
        <v>2340</v>
      </c>
      <c r="N796" s="119" t="s">
        <v>93</v>
      </c>
      <c r="O796" s="141">
        <f t="shared" ref="O796" si="551">B796</f>
        <v>244278</v>
      </c>
      <c r="P796" s="141">
        <f t="shared" ref="P796" si="552">B796+7</f>
        <v>244285</v>
      </c>
      <c r="Q796" s="141">
        <f t="shared" ref="Q796" si="553">O796+2</f>
        <v>244280</v>
      </c>
      <c r="R796" s="139" t="s">
        <v>55</v>
      </c>
      <c r="S796" s="143">
        <v>244281</v>
      </c>
      <c r="T796" s="139" t="s">
        <v>55</v>
      </c>
      <c r="U796" s="143">
        <v>244285</v>
      </c>
      <c r="V796" s="139" t="s">
        <v>55</v>
      </c>
      <c r="W796" s="143">
        <v>244282</v>
      </c>
      <c r="X796" s="139"/>
      <c r="Y796" s="141"/>
      <c r="Z796" s="119" t="s">
        <v>2380</v>
      </c>
      <c r="AA796" s="144">
        <f t="shared" si="550"/>
        <v>-4</v>
      </c>
    </row>
    <row r="797" spans="1:27" s="145" customFormat="1" ht="36" customHeight="1" x14ac:dyDescent="0.25">
      <c r="A797" s="119" t="s">
        <v>27</v>
      </c>
      <c r="B797" s="139">
        <v>244278</v>
      </c>
      <c r="C797" s="119" t="s">
        <v>14</v>
      </c>
      <c r="D797" s="166">
        <v>680625</v>
      </c>
      <c r="E797" s="119" t="s">
        <v>433</v>
      </c>
      <c r="F797" s="190">
        <v>68102143</v>
      </c>
      <c r="G797" s="119" t="s">
        <v>2341</v>
      </c>
      <c r="H797" s="187" t="s">
        <v>210</v>
      </c>
      <c r="I797" s="147" t="s">
        <v>304</v>
      </c>
      <c r="J797" s="146">
        <v>81.93</v>
      </c>
      <c r="K797" s="119" t="s">
        <v>200</v>
      </c>
      <c r="L797" s="146">
        <f t="shared" si="546"/>
        <v>3.9300000000000068</v>
      </c>
      <c r="M797" s="119" t="s">
        <v>2342</v>
      </c>
      <c r="N797" s="119" t="s">
        <v>93</v>
      </c>
      <c r="O797" s="141">
        <f t="shared" ref="O797" si="554">B797</f>
        <v>244278</v>
      </c>
      <c r="P797" s="141">
        <f t="shared" ref="P797" si="555">B797+7</f>
        <v>244285</v>
      </c>
      <c r="Q797" s="141">
        <f t="shared" ref="Q797" si="556">O797+2</f>
        <v>244280</v>
      </c>
      <c r="R797" s="139" t="s">
        <v>55</v>
      </c>
      <c r="S797" s="143">
        <v>244281</v>
      </c>
      <c r="T797" s="139" t="s">
        <v>55</v>
      </c>
      <c r="U797" s="143">
        <v>244285</v>
      </c>
      <c r="V797" s="139" t="s">
        <v>55</v>
      </c>
      <c r="W797" s="143">
        <v>244279</v>
      </c>
      <c r="X797" s="139"/>
      <c r="Y797" s="141"/>
      <c r="Z797" s="119" t="s">
        <v>2350</v>
      </c>
      <c r="AA797" s="144">
        <f t="shared" si="550"/>
        <v>-7</v>
      </c>
    </row>
    <row r="798" spans="1:27" s="145" customFormat="1" ht="36" customHeight="1" x14ac:dyDescent="0.25">
      <c r="A798" s="119" t="s">
        <v>27</v>
      </c>
      <c r="B798" s="139">
        <v>244278</v>
      </c>
      <c r="C798" s="119" t="s">
        <v>14</v>
      </c>
      <c r="D798" s="166">
        <v>680626</v>
      </c>
      <c r="E798" s="119" t="s">
        <v>433</v>
      </c>
      <c r="F798" s="190">
        <v>68102139</v>
      </c>
      <c r="G798" s="119" t="s">
        <v>2343</v>
      </c>
      <c r="H798" s="187" t="s">
        <v>264</v>
      </c>
      <c r="I798" s="147" t="s">
        <v>304</v>
      </c>
      <c r="J798" s="146">
        <v>75.41</v>
      </c>
      <c r="K798" s="119" t="s">
        <v>1879</v>
      </c>
      <c r="L798" s="146">
        <f>76-J798</f>
        <v>0.59000000000000341</v>
      </c>
      <c r="M798" s="119" t="s">
        <v>2342</v>
      </c>
      <c r="N798" s="119" t="s">
        <v>93</v>
      </c>
      <c r="O798" s="141">
        <f t="shared" ref="O798" si="557">B798</f>
        <v>244278</v>
      </c>
      <c r="P798" s="141">
        <f t="shared" ref="P798" si="558">B798+7</f>
        <v>244285</v>
      </c>
      <c r="Q798" s="141">
        <f t="shared" ref="Q798" si="559">O798+2</f>
        <v>244280</v>
      </c>
      <c r="R798" s="139" t="s">
        <v>55</v>
      </c>
      <c r="S798" s="143">
        <v>244281</v>
      </c>
      <c r="T798" s="139" t="s">
        <v>55</v>
      </c>
      <c r="U798" s="143">
        <v>244285</v>
      </c>
      <c r="V798" s="139" t="s">
        <v>55</v>
      </c>
      <c r="W798" s="143">
        <v>244282</v>
      </c>
      <c r="X798" s="139"/>
      <c r="Y798" s="141"/>
      <c r="Z798" s="119" t="s">
        <v>2380</v>
      </c>
      <c r="AA798" s="144">
        <f>W798-P804</f>
        <v>-4</v>
      </c>
    </row>
    <row r="799" spans="1:27" s="145" customFormat="1" ht="36" customHeight="1" x14ac:dyDescent="0.25">
      <c r="A799" s="119" t="s">
        <v>27</v>
      </c>
      <c r="B799" s="139">
        <v>244278</v>
      </c>
      <c r="C799" s="119" t="s">
        <v>14</v>
      </c>
      <c r="D799" s="166">
        <v>680627</v>
      </c>
      <c r="E799" s="119" t="s">
        <v>433</v>
      </c>
      <c r="F799" s="190">
        <v>68102135</v>
      </c>
      <c r="G799" s="119" t="s">
        <v>2344</v>
      </c>
      <c r="H799" s="187" t="s">
        <v>281</v>
      </c>
      <c r="I799" s="147" t="s">
        <v>304</v>
      </c>
      <c r="J799" s="146" t="s">
        <v>2346</v>
      </c>
      <c r="K799" s="119" t="s">
        <v>2345</v>
      </c>
      <c r="L799" s="146" t="s">
        <v>2347</v>
      </c>
      <c r="M799" s="119" t="s">
        <v>2342</v>
      </c>
      <c r="N799" s="119" t="s">
        <v>93</v>
      </c>
      <c r="O799" s="141">
        <f t="shared" ref="O799" si="560">B799</f>
        <v>244278</v>
      </c>
      <c r="P799" s="141">
        <f t="shared" ref="P799" si="561">B799+7</f>
        <v>244285</v>
      </c>
      <c r="Q799" s="141">
        <f t="shared" ref="Q799" si="562">O799+2</f>
        <v>244280</v>
      </c>
      <c r="R799" s="139" t="s">
        <v>55</v>
      </c>
      <c r="S799" s="143">
        <v>244281</v>
      </c>
      <c r="T799" s="139" t="s">
        <v>55</v>
      </c>
      <c r="U799" s="143">
        <v>244285</v>
      </c>
      <c r="V799" s="139" t="s">
        <v>55</v>
      </c>
      <c r="W799" s="143">
        <v>244282</v>
      </c>
      <c r="X799" s="139"/>
      <c r="Y799" s="141"/>
      <c r="Z799" s="119" t="s">
        <v>2380</v>
      </c>
      <c r="AA799" s="144" t="e">
        <f>W799-#REF!</f>
        <v>#REF!</v>
      </c>
    </row>
    <row r="800" spans="1:27" s="145" customFormat="1" ht="36" customHeight="1" x14ac:dyDescent="0.25">
      <c r="A800" s="119" t="s">
        <v>27</v>
      </c>
      <c r="B800" s="139">
        <v>244278</v>
      </c>
      <c r="C800" s="119" t="s">
        <v>14</v>
      </c>
      <c r="D800" s="166">
        <v>680628</v>
      </c>
      <c r="E800" s="119" t="s">
        <v>420</v>
      </c>
      <c r="F800" s="190">
        <v>68102130</v>
      </c>
      <c r="G800" s="119" t="s">
        <v>2348</v>
      </c>
      <c r="H800" s="187" t="s">
        <v>270</v>
      </c>
      <c r="I800" s="147" t="s">
        <v>1041</v>
      </c>
      <c r="J800" s="146">
        <v>125.16</v>
      </c>
      <c r="K800" s="119" t="s">
        <v>207</v>
      </c>
      <c r="L800" s="146">
        <f>J800-124</f>
        <v>1.1599999999999966</v>
      </c>
      <c r="M800" s="119" t="s">
        <v>2349</v>
      </c>
      <c r="N800" s="119" t="s">
        <v>93</v>
      </c>
      <c r="O800" s="141">
        <f t="shared" ref="O800" si="563">B800</f>
        <v>244278</v>
      </c>
      <c r="P800" s="141">
        <f t="shared" ref="P800" si="564">B800+7</f>
        <v>244285</v>
      </c>
      <c r="Q800" s="141">
        <f t="shared" ref="Q800" si="565">O800+2</f>
        <v>244280</v>
      </c>
      <c r="R800" s="139" t="s">
        <v>55</v>
      </c>
      <c r="S800" s="143">
        <v>244281</v>
      </c>
      <c r="T800" s="139" t="s">
        <v>55</v>
      </c>
      <c r="U800" s="143">
        <v>244285</v>
      </c>
      <c r="V800" s="139" t="s">
        <v>55</v>
      </c>
      <c r="W800" s="143">
        <v>244285</v>
      </c>
      <c r="X800" s="139"/>
      <c r="Y800" s="141"/>
      <c r="Z800" s="119" t="s">
        <v>420</v>
      </c>
      <c r="AA800" s="144">
        <f t="shared" si="550"/>
        <v>-1</v>
      </c>
    </row>
    <row r="801" spans="1:27" s="145" customFormat="1" ht="36" customHeight="1" x14ac:dyDescent="0.25">
      <c r="A801" s="119" t="s">
        <v>27</v>
      </c>
      <c r="B801" s="139">
        <v>244279</v>
      </c>
      <c r="C801" s="119" t="s">
        <v>14</v>
      </c>
      <c r="D801" s="166">
        <v>680629</v>
      </c>
      <c r="E801" s="119" t="s">
        <v>420</v>
      </c>
      <c r="F801" s="190">
        <v>68102219</v>
      </c>
      <c r="G801" s="119" t="s">
        <v>2351</v>
      </c>
      <c r="H801" s="187" t="s">
        <v>289</v>
      </c>
      <c r="I801" s="147" t="s">
        <v>415</v>
      </c>
      <c r="J801" s="146" t="s">
        <v>2352</v>
      </c>
      <c r="K801" s="119" t="s">
        <v>2345</v>
      </c>
      <c r="L801" s="146" t="s">
        <v>2354</v>
      </c>
      <c r="M801" s="119" t="s">
        <v>2353</v>
      </c>
      <c r="N801" s="119" t="s">
        <v>93</v>
      </c>
      <c r="O801" s="141">
        <f t="shared" si="512"/>
        <v>244279</v>
      </c>
      <c r="P801" s="141">
        <f t="shared" si="513"/>
        <v>244286</v>
      </c>
      <c r="Q801" s="141">
        <f t="shared" si="514"/>
        <v>244281</v>
      </c>
      <c r="R801" s="139" t="s">
        <v>55</v>
      </c>
      <c r="S801" s="143">
        <v>244281</v>
      </c>
      <c r="T801" s="139" t="s">
        <v>55</v>
      </c>
      <c r="U801" s="143">
        <v>244285</v>
      </c>
      <c r="V801" s="139" t="s">
        <v>55</v>
      </c>
      <c r="W801" s="143">
        <v>244285</v>
      </c>
      <c r="X801" s="139"/>
      <c r="Y801" s="141"/>
      <c r="Z801" s="119" t="s">
        <v>2076</v>
      </c>
      <c r="AA801" s="144">
        <f>W801-P807</f>
        <v>-1</v>
      </c>
    </row>
    <row r="802" spans="1:27" s="145" customFormat="1" ht="36" customHeight="1" x14ac:dyDescent="0.25">
      <c r="A802" s="119" t="s">
        <v>27</v>
      </c>
      <c r="B802" s="139">
        <v>244279</v>
      </c>
      <c r="C802" s="119" t="s">
        <v>14</v>
      </c>
      <c r="D802" s="166">
        <v>680630</v>
      </c>
      <c r="E802" s="119" t="s">
        <v>433</v>
      </c>
      <c r="F802" s="190">
        <v>68102207</v>
      </c>
      <c r="G802" s="119" t="s">
        <v>2355</v>
      </c>
      <c r="H802" s="187" t="s">
        <v>291</v>
      </c>
      <c r="I802" s="147" t="s">
        <v>304</v>
      </c>
      <c r="J802" s="146">
        <v>73.400000000000006</v>
      </c>
      <c r="K802" s="119" t="s">
        <v>411</v>
      </c>
      <c r="L802" s="146">
        <f>76-J802</f>
        <v>2.5999999999999943</v>
      </c>
      <c r="M802" s="119" t="s">
        <v>2356</v>
      </c>
      <c r="N802" s="119" t="s">
        <v>93</v>
      </c>
      <c r="O802" s="141">
        <f t="shared" si="512"/>
        <v>244279</v>
      </c>
      <c r="P802" s="141">
        <f t="shared" si="513"/>
        <v>244286</v>
      </c>
      <c r="Q802" s="141">
        <f t="shared" si="514"/>
        <v>244281</v>
      </c>
      <c r="R802" s="139" t="s">
        <v>55</v>
      </c>
      <c r="S802" s="143">
        <v>244281</v>
      </c>
      <c r="T802" s="139" t="s">
        <v>55</v>
      </c>
      <c r="U802" s="143">
        <v>244285</v>
      </c>
      <c r="V802" s="139" t="s">
        <v>55</v>
      </c>
      <c r="W802" s="143">
        <v>244282</v>
      </c>
      <c r="X802" s="119" t="s">
        <v>2378</v>
      </c>
      <c r="Y802" s="141"/>
      <c r="Z802" s="119" t="s">
        <v>2381</v>
      </c>
      <c r="AA802" s="144">
        <f>W802-P807</f>
        <v>-4</v>
      </c>
    </row>
    <row r="803" spans="1:27" s="145" customFormat="1" ht="36" customHeight="1" x14ac:dyDescent="0.25">
      <c r="A803" s="119" t="s">
        <v>27</v>
      </c>
      <c r="B803" s="139">
        <v>244279</v>
      </c>
      <c r="C803" s="119" t="s">
        <v>14</v>
      </c>
      <c r="D803" s="166">
        <v>680631</v>
      </c>
      <c r="E803" s="119" t="s">
        <v>433</v>
      </c>
      <c r="F803" s="190">
        <v>68102225</v>
      </c>
      <c r="G803" s="119" t="s">
        <v>2359</v>
      </c>
      <c r="H803" s="187" t="s">
        <v>206</v>
      </c>
      <c r="I803" s="147" t="s">
        <v>304</v>
      </c>
      <c r="J803" s="146">
        <v>81.290000000000006</v>
      </c>
      <c r="K803" s="119" t="s">
        <v>207</v>
      </c>
      <c r="L803" s="146">
        <f>J803-78</f>
        <v>3.2900000000000063</v>
      </c>
      <c r="M803" s="119" t="s">
        <v>2360</v>
      </c>
      <c r="N803" s="119" t="s">
        <v>93</v>
      </c>
      <c r="O803" s="141">
        <f>B803</f>
        <v>244279</v>
      </c>
      <c r="P803" s="141">
        <f>B803+7</f>
        <v>244286</v>
      </c>
      <c r="Q803" s="141">
        <f>O803+2</f>
        <v>244281</v>
      </c>
      <c r="R803" s="139" t="s">
        <v>55</v>
      </c>
      <c r="S803" s="143">
        <v>244281</v>
      </c>
      <c r="T803" s="139" t="s">
        <v>55</v>
      </c>
      <c r="U803" s="143">
        <v>244285</v>
      </c>
      <c r="V803" s="139" t="s">
        <v>55</v>
      </c>
      <c r="W803" s="143">
        <v>244282</v>
      </c>
      <c r="X803" s="139"/>
      <c r="Y803" s="141"/>
      <c r="Z803" s="119" t="s">
        <v>2380</v>
      </c>
      <c r="AA803" s="144">
        <f>W803-P805</f>
        <v>-4</v>
      </c>
    </row>
    <row r="804" spans="1:27" s="145" customFormat="1" ht="36" customHeight="1" x14ac:dyDescent="0.25">
      <c r="A804" s="119" t="s">
        <v>27</v>
      </c>
      <c r="B804" s="139">
        <v>244279</v>
      </c>
      <c r="C804" s="119" t="s">
        <v>14</v>
      </c>
      <c r="D804" s="166">
        <v>680631</v>
      </c>
      <c r="E804" s="119" t="s">
        <v>433</v>
      </c>
      <c r="F804" s="190">
        <v>68102226</v>
      </c>
      <c r="G804" s="119" t="s">
        <v>2357</v>
      </c>
      <c r="H804" s="187" t="s">
        <v>268</v>
      </c>
      <c r="I804" s="147" t="s">
        <v>304</v>
      </c>
      <c r="J804" s="146">
        <v>83.01</v>
      </c>
      <c r="K804" s="119" t="s">
        <v>207</v>
      </c>
      <c r="L804" s="146">
        <f>J804-78</f>
        <v>5.0100000000000051</v>
      </c>
      <c r="M804" s="119" t="s">
        <v>2358</v>
      </c>
      <c r="N804" s="119" t="s">
        <v>93</v>
      </c>
      <c r="O804" s="141">
        <f>B804</f>
        <v>244279</v>
      </c>
      <c r="P804" s="141">
        <f>B804+7</f>
        <v>244286</v>
      </c>
      <c r="Q804" s="141">
        <f>O804+2</f>
        <v>244281</v>
      </c>
      <c r="R804" s="139" t="s">
        <v>55</v>
      </c>
      <c r="S804" s="143">
        <v>244281</v>
      </c>
      <c r="T804" s="139" t="s">
        <v>55</v>
      </c>
      <c r="U804" s="143">
        <v>244285</v>
      </c>
      <c r="V804" s="139" t="s">
        <v>55</v>
      </c>
      <c r="W804" s="143">
        <v>244282</v>
      </c>
      <c r="X804" s="139"/>
      <c r="Y804" s="141"/>
      <c r="Z804" s="119" t="s">
        <v>2380</v>
      </c>
      <c r="AA804" s="144">
        <f>W804-P806</f>
        <v>-4</v>
      </c>
    </row>
    <row r="805" spans="1:27" s="145" customFormat="1" ht="36" customHeight="1" x14ac:dyDescent="0.25">
      <c r="A805" s="119" t="s">
        <v>27</v>
      </c>
      <c r="B805" s="139">
        <v>244279</v>
      </c>
      <c r="C805" s="119" t="s">
        <v>14</v>
      </c>
      <c r="D805" s="166">
        <v>680631</v>
      </c>
      <c r="E805" s="119" t="s">
        <v>433</v>
      </c>
      <c r="F805" s="190">
        <v>68102228</v>
      </c>
      <c r="G805" s="119" t="s">
        <v>2361</v>
      </c>
      <c r="H805" s="187" t="s">
        <v>217</v>
      </c>
      <c r="I805" s="147" t="s">
        <v>304</v>
      </c>
      <c r="J805" s="146">
        <v>81.87</v>
      </c>
      <c r="K805" s="119" t="s">
        <v>207</v>
      </c>
      <c r="L805" s="146">
        <f>J805-78</f>
        <v>3.8700000000000045</v>
      </c>
      <c r="M805" s="119" t="s">
        <v>2362</v>
      </c>
      <c r="N805" s="119" t="s">
        <v>93</v>
      </c>
      <c r="O805" s="141">
        <f>B805</f>
        <v>244279</v>
      </c>
      <c r="P805" s="141">
        <f>B805+7</f>
        <v>244286</v>
      </c>
      <c r="Q805" s="141">
        <f>O805+2</f>
        <v>244281</v>
      </c>
      <c r="R805" s="139" t="s">
        <v>55</v>
      </c>
      <c r="S805" s="143">
        <v>244281</v>
      </c>
      <c r="T805" s="139" t="s">
        <v>55</v>
      </c>
      <c r="U805" s="143">
        <v>244285</v>
      </c>
      <c r="V805" s="139" t="s">
        <v>55</v>
      </c>
      <c r="W805" s="143">
        <v>244282</v>
      </c>
      <c r="X805" s="139"/>
      <c r="Y805" s="141"/>
      <c r="Z805" s="119" t="s">
        <v>2380</v>
      </c>
      <c r="AA805" s="144">
        <f>W805-P807</f>
        <v>-4</v>
      </c>
    </row>
    <row r="806" spans="1:27" s="145" customFormat="1" ht="36" customHeight="1" x14ac:dyDescent="0.25">
      <c r="A806" s="119" t="s">
        <v>27</v>
      </c>
      <c r="B806" s="139">
        <v>244279</v>
      </c>
      <c r="C806" s="119" t="s">
        <v>14</v>
      </c>
      <c r="D806" s="166">
        <v>680631</v>
      </c>
      <c r="E806" s="119" t="s">
        <v>433</v>
      </c>
      <c r="F806" s="190">
        <v>68102230</v>
      </c>
      <c r="G806" s="119" t="s">
        <v>2363</v>
      </c>
      <c r="H806" s="187" t="s">
        <v>249</v>
      </c>
      <c r="I806" s="147" t="s">
        <v>304</v>
      </c>
      <c r="J806" s="146">
        <v>81.91</v>
      </c>
      <c r="K806" s="119" t="s">
        <v>207</v>
      </c>
      <c r="L806" s="146">
        <f>J806-78</f>
        <v>3.9099999999999966</v>
      </c>
      <c r="M806" s="119" t="s">
        <v>2364</v>
      </c>
      <c r="N806" s="119" t="s">
        <v>93</v>
      </c>
      <c r="O806" s="141">
        <f>B806</f>
        <v>244279</v>
      </c>
      <c r="P806" s="141">
        <f>B806+7</f>
        <v>244286</v>
      </c>
      <c r="Q806" s="141">
        <f>O806+2</f>
        <v>244281</v>
      </c>
      <c r="R806" s="139" t="s">
        <v>55</v>
      </c>
      <c r="S806" s="143">
        <v>244281</v>
      </c>
      <c r="T806" s="139" t="s">
        <v>55</v>
      </c>
      <c r="U806" s="143">
        <v>244285</v>
      </c>
      <c r="V806" s="139" t="s">
        <v>55</v>
      </c>
      <c r="W806" s="143">
        <v>244282</v>
      </c>
      <c r="X806" s="139"/>
      <c r="Y806" s="141"/>
      <c r="Z806" s="119" t="s">
        <v>2380</v>
      </c>
      <c r="AA806" s="144">
        <f>W806-P808</f>
        <v>-5</v>
      </c>
    </row>
    <row r="807" spans="1:27" s="145" customFormat="1" ht="38.25" customHeight="1" x14ac:dyDescent="0.25">
      <c r="A807" s="119" t="s">
        <v>27</v>
      </c>
      <c r="B807" s="139">
        <v>244279</v>
      </c>
      <c r="C807" s="119" t="s">
        <v>14</v>
      </c>
      <c r="D807" s="166">
        <v>680632</v>
      </c>
      <c r="E807" s="119" t="s">
        <v>872</v>
      </c>
      <c r="F807" s="190">
        <v>68102237</v>
      </c>
      <c r="G807" s="119" t="s">
        <v>2365</v>
      </c>
      <c r="H807" s="187" t="s">
        <v>294</v>
      </c>
      <c r="I807" s="147" t="s">
        <v>845</v>
      </c>
      <c r="J807" s="146">
        <v>62.91</v>
      </c>
      <c r="K807" s="119" t="s">
        <v>207</v>
      </c>
      <c r="L807" s="146">
        <v>2.91</v>
      </c>
      <c r="M807" s="119" t="s">
        <v>2366</v>
      </c>
      <c r="N807" s="119" t="s">
        <v>93</v>
      </c>
      <c r="O807" s="141">
        <f t="shared" si="512"/>
        <v>244279</v>
      </c>
      <c r="P807" s="141">
        <f t="shared" si="513"/>
        <v>244286</v>
      </c>
      <c r="Q807" s="141">
        <f t="shared" si="514"/>
        <v>244281</v>
      </c>
      <c r="R807" s="139" t="s">
        <v>55</v>
      </c>
      <c r="S807" s="143">
        <v>244281</v>
      </c>
      <c r="T807" s="139" t="s">
        <v>55</v>
      </c>
      <c r="U807" s="143">
        <v>244285</v>
      </c>
      <c r="V807" s="139" t="s">
        <v>55</v>
      </c>
      <c r="W807" s="143">
        <v>244285</v>
      </c>
      <c r="X807" s="139"/>
      <c r="Y807" s="141"/>
      <c r="Z807" s="119" t="s">
        <v>872</v>
      </c>
      <c r="AA807" s="144">
        <f>W807-P811</f>
        <v>-3</v>
      </c>
    </row>
    <row r="808" spans="1:27" s="145" customFormat="1" ht="36" customHeight="1" x14ac:dyDescent="0.25">
      <c r="A808" s="119" t="s">
        <v>27</v>
      </c>
      <c r="B808" s="139">
        <v>244280</v>
      </c>
      <c r="C808" s="119" t="s">
        <v>14</v>
      </c>
      <c r="D808" s="166">
        <v>680633</v>
      </c>
      <c r="E808" s="119" t="s">
        <v>433</v>
      </c>
      <c r="F808" s="190">
        <v>68102312</v>
      </c>
      <c r="G808" s="119" t="s">
        <v>2367</v>
      </c>
      <c r="H808" s="187" t="s">
        <v>280</v>
      </c>
      <c r="I808" s="147" t="s">
        <v>304</v>
      </c>
      <c r="J808" s="146">
        <v>81.42</v>
      </c>
      <c r="K808" s="119" t="s">
        <v>207</v>
      </c>
      <c r="L808" s="146">
        <f>J808-78</f>
        <v>3.4200000000000017</v>
      </c>
      <c r="M808" s="149" t="s">
        <v>2368</v>
      </c>
      <c r="N808" s="119" t="s">
        <v>93</v>
      </c>
      <c r="O808" s="141">
        <f t="shared" si="512"/>
        <v>244280</v>
      </c>
      <c r="P808" s="141">
        <f t="shared" si="513"/>
        <v>244287</v>
      </c>
      <c r="Q808" s="141">
        <f t="shared" si="514"/>
        <v>244282</v>
      </c>
      <c r="R808" s="139" t="s">
        <v>55</v>
      </c>
      <c r="S808" s="143">
        <v>244281</v>
      </c>
      <c r="T808" s="139" t="s">
        <v>55</v>
      </c>
      <c r="U808" s="143">
        <v>244285</v>
      </c>
      <c r="V808" s="139" t="s">
        <v>55</v>
      </c>
      <c r="W808" s="143">
        <v>244282</v>
      </c>
      <c r="X808" s="139"/>
      <c r="Y808" s="141"/>
      <c r="Z808" s="119" t="s">
        <v>2380</v>
      </c>
      <c r="AA808" s="144">
        <f>W808-P809</f>
        <v>-5</v>
      </c>
    </row>
    <row r="809" spans="1:27" s="145" customFormat="1" ht="36" customHeight="1" x14ac:dyDescent="0.25">
      <c r="A809" s="119" t="s">
        <v>27</v>
      </c>
      <c r="B809" s="139">
        <v>244280</v>
      </c>
      <c r="C809" s="119" t="s">
        <v>14</v>
      </c>
      <c r="D809" s="166">
        <v>680633</v>
      </c>
      <c r="E809" s="119" t="s">
        <v>433</v>
      </c>
      <c r="F809" s="190">
        <v>68102317</v>
      </c>
      <c r="G809" s="119" t="s">
        <v>2369</v>
      </c>
      <c r="H809" s="187" t="s">
        <v>295</v>
      </c>
      <c r="I809" s="147" t="s">
        <v>304</v>
      </c>
      <c r="J809" s="146">
        <v>82.12</v>
      </c>
      <c r="K809" s="119" t="s">
        <v>207</v>
      </c>
      <c r="L809" s="146">
        <f>J809-78</f>
        <v>4.1200000000000045</v>
      </c>
      <c r="M809" s="149" t="s">
        <v>2370</v>
      </c>
      <c r="N809" s="119" t="s">
        <v>93</v>
      </c>
      <c r="O809" s="141">
        <f t="shared" ref="O809:O810" si="566">B809</f>
        <v>244280</v>
      </c>
      <c r="P809" s="141">
        <f t="shared" ref="P809:P810" si="567">B809+7</f>
        <v>244287</v>
      </c>
      <c r="Q809" s="141">
        <f t="shared" ref="Q809:Q810" si="568">O809+2</f>
        <v>244282</v>
      </c>
      <c r="R809" s="139" t="s">
        <v>55</v>
      </c>
      <c r="S809" s="143">
        <v>244281</v>
      </c>
      <c r="T809" s="139" t="s">
        <v>55</v>
      </c>
      <c r="U809" s="143">
        <v>244285</v>
      </c>
      <c r="V809" s="139" t="s">
        <v>55</v>
      </c>
      <c r="W809" s="143">
        <v>244282</v>
      </c>
      <c r="X809" s="119" t="s">
        <v>2378</v>
      </c>
      <c r="Y809" s="141"/>
      <c r="Z809" s="119" t="s">
        <v>2380</v>
      </c>
      <c r="AA809" s="144">
        <f>W809-P811</f>
        <v>-6</v>
      </c>
    </row>
    <row r="810" spans="1:27" s="145" customFormat="1" ht="36" customHeight="1" x14ac:dyDescent="0.25">
      <c r="A810" s="119" t="s">
        <v>27</v>
      </c>
      <c r="B810" s="139">
        <v>244281</v>
      </c>
      <c r="C810" s="119" t="s">
        <v>14</v>
      </c>
      <c r="D810" s="166">
        <v>680634</v>
      </c>
      <c r="E810" s="119" t="s">
        <v>433</v>
      </c>
      <c r="F810" s="190">
        <v>68102405</v>
      </c>
      <c r="G810" s="119" t="s">
        <v>2372</v>
      </c>
      <c r="H810" s="187" t="s">
        <v>291</v>
      </c>
      <c r="I810" s="147" t="s">
        <v>304</v>
      </c>
      <c r="J810" s="146">
        <v>83.08</v>
      </c>
      <c r="K810" s="119" t="s">
        <v>207</v>
      </c>
      <c r="L810" s="146">
        <f>J810-78</f>
        <v>5.0799999999999983</v>
      </c>
      <c r="M810" s="149" t="s">
        <v>2373</v>
      </c>
      <c r="N810" s="119" t="s">
        <v>93</v>
      </c>
      <c r="O810" s="141">
        <f t="shared" si="566"/>
        <v>244281</v>
      </c>
      <c r="P810" s="141">
        <f t="shared" si="567"/>
        <v>244288</v>
      </c>
      <c r="Q810" s="141">
        <f t="shared" si="568"/>
        <v>244283</v>
      </c>
      <c r="R810" s="139" t="s">
        <v>55</v>
      </c>
      <c r="S810" s="143">
        <v>244285</v>
      </c>
      <c r="T810" s="139" t="s">
        <v>55</v>
      </c>
      <c r="U810" s="143">
        <v>244287</v>
      </c>
      <c r="V810" s="139" t="s">
        <v>55</v>
      </c>
      <c r="W810" s="143">
        <v>244282</v>
      </c>
      <c r="X810" s="139"/>
      <c r="Y810" s="141"/>
      <c r="Z810" s="119" t="s">
        <v>2380</v>
      </c>
      <c r="AA810" s="144">
        <f>W810-P813</f>
        <v>-11</v>
      </c>
    </row>
    <row r="811" spans="1:27" s="145" customFormat="1" ht="36" customHeight="1" x14ac:dyDescent="0.25">
      <c r="A811" s="119" t="s">
        <v>27</v>
      </c>
      <c r="B811" s="139">
        <v>244281</v>
      </c>
      <c r="C811" s="119" t="s">
        <v>14</v>
      </c>
      <c r="D811" s="166">
        <v>680634</v>
      </c>
      <c r="E811" s="119" t="s">
        <v>433</v>
      </c>
      <c r="F811" s="190">
        <v>68102425</v>
      </c>
      <c r="G811" s="119" t="s">
        <v>2376</v>
      </c>
      <c r="H811" s="187" t="s">
        <v>249</v>
      </c>
      <c r="I811" s="147" t="s">
        <v>304</v>
      </c>
      <c r="J811" s="146">
        <v>82.18</v>
      </c>
      <c r="K811" s="119" t="s">
        <v>207</v>
      </c>
      <c r="L811" s="146">
        <f>J811-78</f>
        <v>4.1800000000000068</v>
      </c>
      <c r="M811" s="149" t="s">
        <v>2377</v>
      </c>
      <c r="N811" s="119" t="s">
        <v>93</v>
      </c>
      <c r="O811" s="141">
        <f t="shared" si="512"/>
        <v>244281</v>
      </c>
      <c r="P811" s="141">
        <f t="shared" si="513"/>
        <v>244288</v>
      </c>
      <c r="Q811" s="141">
        <f t="shared" si="514"/>
        <v>244283</v>
      </c>
      <c r="R811" s="139" t="s">
        <v>55</v>
      </c>
      <c r="S811" s="143">
        <v>244285</v>
      </c>
      <c r="T811" s="139" t="s">
        <v>55</v>
      </c>
      <c r="U811" s="143">
        <v>244287</v>
      </c>
      <c r="V811" s="139" t="s">
        <v>55</v>
      </c>
      <c r="W811" s="143">
        <v>244282</v>
      </c>
      <c r="X811" s="139"/>
      <c r="Y811" s="141"/>
      <c r="Z811" s="119" t="s">
        <v>2380</v>
      </c>
      <c r="AA811" s="144">
        <f>W811-P814</f>
        <v>-11</v>
      </c>
    </row>
    <row r="812" spans="1:27" s="145" customFormat="1" ht="36" customHeight="1" x14ac:dyDescent="0.25">
      <c r="A812" s="119" t="s">
        <v>27</v>
      </c>
      <c r="B812" s="139">
        <v>244281</v>
      </c>
      <c r="C812" s="119" t="s">
        <v>14</v>
      </c>
      <c r="D812" s="166">
        <v>680635</v>
      </c>
      <c r="E812" s="119" t="s">
        <v>420</v>
      </c>
      <c r="F812" s="190">
        <v>68102411</v>
      </c>
      <c r="G812" s="119" t="s">
        <v>2374</v>
      </c>
      <c r="H812" s="187" t="s">
        <v>270</v>
      </c>
      <c r="I812" s="147" t="s">
        <v>1041</v>
      </c>
      <c r="J812" s="146">
        <v>126.44</v>
      </c>
      <c r="K812" s="119" t="s">
        <v>207</v>
      </c>
      <c r="L812" s="146">
        <f>J812-124</f>
        <v>2.4399999999999977</v>
      </c>
      <c r="M812" s="119" t="s">
        <v>2375</v>
      </c>
      <c r="N812" s="119" t="s">
        <v>93</v>
      </c>
      <c r="O812" s="141">
        <f t="shared" si="512"/>
        <v>244281</v>
      </c>
      <c r="P812" s="141">
        <f t="shared" si="513"/>
        <v>244288</v>
      </c>
      <c r="Q812" s="141">
        <f t="shared" si="514"/>
        <v>244283</v>
      </c>
      <c r="R812" s="139" t="s">
        <v>55</v>
      </c>
      <c r="S812" s="143">
        <v>244285</v>
      </c>
      <c r="T812" s="139" t="s">
        <v>55</v>
      </c>
      <c r="U812" s="143">
        <v>244287</v>
      </c>
      <c r="V812" s="139" t="s">
        <v>55</v>
      </c>
      <c r="W812" s="143">
        <v>25141</v>
      </c>
      <c r="X812" s="139"/>
      <c r="Y812" s="141"/>
      <c r="Z812" s="119" t="s">
        <v>966</v>
      </c>
      <c r="AA812" s="144">
        <f>W812-P815</f>
        <v>-219152</v>
      </c>
    </row>
    <row r="813" spans="1:27" s="145" customFormat="1" ht="36" customHeight="1" x14ac:dyDescent="0.25">
      <c r="A813" s="119" t="s">
        <v>27</v>
      </c>
      <c r="B813" s="139">
        <v>244286</v>
      </c>
      <c r="C813" s="119" t="s">
        <v>14</v>
      </c>
      <c r="D813" s="166">
        <v>680636</v>
      </c>
      <c r="E813" s="119" t="s">
        <v>1290</v>
      </c>
      <c r="F813" s="190">
        <v>68102902</v>
      </c>
      <c r="G813" s="119" t="s">
        <v>2382</v>
      </c>
      <c r="H813" s="187" t="s">
        <v>488</v>
      </c>
      <c r="I813" s="147" t="s">
        <v>1104</v>
      </c>
      <c r="J813" s="146">
        <v>88.53</v>
      </c>
      <c r="K813" s="119" t="s">
        <v>207</v>
      </c>
      <c r="L813" s="146">
        <f>J813-85</f>
        <v>3.5300000000000011</v>
      </c>
      <c r="M813" s="119" t="s">
        <v>2383</v>
      </c>
      <c r="N813" s="119" t="s">
        <v>93</v>
      </c>
      <c r="O813" s="141">
        <f t="shared" si="512"/>
        <v>244286</v>
      </c>
      <c r="P813" s="141">
        <f t="shared" si="513"/>
        <v>244293</v>
      </c>
      <c r="Q813" s="141">
        <f t="shared" si="514"/>
        <v>244288</v>
      </c>
      <c r="R813" s="139" t="s">
        <v>55</v>
      </c>
      <c r="S813" s="143">
        <v>244300</v>
      </c>
      <c r="T813" s="139" t="s">
        <v>55</v>
      </c>
      <c r="U813" s="143">
        <v>244307</v>
      </c>
      <c r="V813" s="139" t="s">
        <v>55</v>
      </c>
      <c r="W813" s="143">
        <v>244286</v>
      </c>
      <c r="X813" s="139"/>
      <c r="Y813" s="141"/>
      <c r="Z813" s="119" t="s">
        <v>2386</v>
      </c>
      <c r="AA813" s="144">
        <f>W813-P818</f>
        <v>-13</v>
      </c>
    </row>
    <row r="814" spans="1:27" s="145" customFormat="1" ht="36" customHeight="1" x14ac:dyDescent="0.25">
      <c r="A814" s="119" t="s">
        <v>27</v>
      </c>
      <c r="B814" s="139">
        <v>244286</v>
      </c>
      <c r="C814" s="119" t="s">
        <v>14</v>
      </c>
      <c r="D814" s="166">
        <v>680637</v>
      </c>
      <c r="E814" s="119" t="s">
        <v>413</v>
      </c>
      <c r="F814" s="190">
        <v>68102903</v>
      </c>
      <c r="G814" s="119" t="s">
        <v>2384</v>
      </c>
      <c r="H814" s="187" t="s">
        <v>281</v>
      </c>
      <c r="I814" s="147" t="s">
        <v>415</v>
      </c>
      <c r="J814" s="146">
        <v>83.24</v>
      </c>
      <c r="K814" s="119" t="s">
        <v>200</v>
      </c>
      <c r="L814" s="146">
        <f>J814-80</f>
        <v>3.2399999999999949</v>
      </c>
      <c r="M814" s="119" t="s">
        <v>2385</v>
      </c>
      <c r="N814" s="119" t="s">
        <v>93</v>
      </c>
      <c r="O814" s="141">
        <f t="shared" si="512"/>
        <v>244286</v>
      </c>
      <c r="P814" s="141">
        <f t="shared" si="513"/>
        <v>244293</v>
      </c>
      <c r="Q814" s="141">
        <f t="shared" si="514"/>
        <v>244288</v>
      </c>
      <c r="R814" s="139" t="s">
        <v>55</v>
      </c>
      <c r="S814" s="143">
        <v>244300</v>
      </c>
      <c r="T814" s="139" t="s">
        <v>55</v>
      </c>
      <c r="U814" s="143">
        <v>244302</v>
      </c>
      <c r="V814" s="139" t="s">
        <v>55</v>
      </c>
      <c r="W814" s="143">
        <v>244288</v>
      </c>
      <c r="X814" s="139"/>
      <c r="Y814" s="141"/>
      <c r="Z814" s="119" t="s">
        <v>2396</v>
      </c>
      <c r="AA814" s="144">
        <f>W814-P815</f>
        <v>-5</v>
      </c>
    </row>
    <row r="815" spans="1:27" s="145" customFormat="1" ht="66" customHeight="1" x14ac:dyDescent="0.25">
      <c r="A815" s="244" t="s">
        <v>27</v>
      </c>
      <c r="B815" s="245">
        <v>244286</v>
      </c>
      <c r="C815" s="244" t="s">
        <v>2387</v>
      </c>
      <c r="D815" s="246">
        <v>680638</v>
      </c>
      <c r="E815" s="244" t="s">
        <v>2388</v>
      </c>
      <c r="F815" s="247" t="s">
        <v>2389</v>
      </c>
      <c r="G815" s="244" t="s">
        <v>2390</v>
      </c>
      <c r="H815" s="248"/>
      <c r="I815" s="244" t="s">
        <v>203</v>
      </c>
      <c r="J815" s="249" t="s">
        <v>2391</v>
      </c>
      <c r="K815" s="249" t="s">
        <v>2392</v>
      </c>
      <c r="L815" s="249" t="s">
        <v>2393</v>
      </c>
      <c r="M815" s="244">
        <v>5113</v>
      </c>
      <c r="N815" s="244" t="s">
        <v>52</v>
      </c>
      <c r="O815" s="141">
        <f t="shared" si="512"/>
        <v>244286</v>
      </c>
      <c r="P815" s="141">
        <f t="shared" si="513"/>
        <v>244293</v>
      </c>
      <c r="Q815" s="141">
        <f t="shared" si="514"/>
        <v>244288</v>
      </c>
      <c r="R815" s="139"/>
      <c r="S815" s="143"/>
      <c r="T815" s="139"/>
      <c r="U815" s="143"/>
      <c r="V815" s="139"/>
      <c r="W815" s="143"/>
      <c r="X815" s="139"/>
      <c r="Y815" s="141"/>
      <c r="Z815" s="119"/>
      <c r="AA815" s="144">
        <f>W815-P819</f>
        <v>-244299</v>
      </c>
    </row>
    <row r="816" spans="1:27" s="145" customFormat="1" ht="36" customHeight="1" x14ac:dyDescent="0.25">
      <c r="A816" s="119" t="s">
        <v>27</v>
      </c>
      <c r="B816" s="139">
        <v>244287</v>
      </c>
      <c r="C816" s="119" t="s">
        <v>14</v>
      </c>
      <c r="D816" s="166">
        <v>680639</v>
      </c>
      <c r="E816" s="119" t="s">
        <v>668</v>
      </c>
      <c r="F816" s="190">
        <v>68103009</v>
      </c>
      <c r="G816" s="119" t="s">
        <v>2394</v>
      </c>
      <c r="H816" s="187" t="s">
        <v>247</v>
      </c>
      <c r="I816" s="147" t="s">
        <v>670</v>
      </c>
      <c r="J816" s="146">
        <v>131.77000000000001</v>
      </c>
      <c r="K816" s="119" t="s">
        <v>207</v>
      </c>
      <c r="L816" s="146">
        <f>J816-125</f>
        <v>6.7700000000000102</v>
      </c>
      <c r="M816" s="119" t="s">
        <v>2395</v>
      </c>
      <c r="N816" s="119" t="s">
        <v>93</v>
      </c>
      <c r="O816" s="141">
        <f t="shared" si="512"/>
        <v>244287</v>
      </c>
      <c r="P816" s="141">
        <f t="shared" si="513"/>
        <v>244294</v>
      </c>
      <c r="Q816" s="141">
        <f t="shared" si="514"/>
        <v>244289</v>
      </c>
      <c r="R816" s="139" t="s">
        <v>55</v>
      </c>
      <c r="S816" s="143">
        <v>244300</v>
      </c>
      <c r="T816" s="139" t="s">
        <v>55</v>
      </c>
      <c r="U816" s="143">
        <v>244302</v>
      </c>
      <c r="V816" s="139" t="s">
        <v>55</v>
      </c>
      <c r="W816" s="143">
        <v>244291</v>
      </c>
      <c r="X816" s="139"/>
      <c r="Y816" s="141"/>
      <c r="Z816" s="119" t="s">
        <v>2399</v>
      </c>
      <c r="AA816" s="144">
        <f>W816-P820</f>
        <v>-8</v>
      </c>
    </row>
    <row r="817" spans="1:27" s="145" customFormat="1" ht="36" customHeight="1" x14ac:dyDescent="0.25">
      <c r="A817" s="119" t="s">
        <v>27</v>
      </c>
      <c r="B817" s="139">
        <v>244288</v>
      </c>
      <c r="C817" s="119" t="s">
        <v>14</v>
      </c>
      <c r="D817" s="166">
        <v>680640</v>
      </c>
      <c r="E817" s="119" t="s">
        <v>1382</v>
      </c>
      <c r="F817" s="190">
        <v>68103141</v>
      </c>
      <c r="G817" s="119" t="s">
        <v>2397</v>
      </c>
      <c r="H817" s="187" t="s">
        <v>214</v>
      </c>
      <c r="I817" s="147" t="s">
        <v>1644</v>
      </c>
      <c r="J817" s="146">
        <v>82.19</v>
      </c>
      <c r="K817" s="119" t="s">
        <v>1288</v>
      </c>
      <c r="L817" s="146">
        <f>J817-77</f>
        <v>5.1899999999999977</v>
      </c>
      <c r="M817" s="119" t="s">
        <v>2398</v>
      </c>
      <c r="N817" s="119" t="s">
        <v>93</v>
      </c>
      <c r="O817" s="141">
        <f t="shared" ref="O817" si="569">B817</f>
        <v>244288</v>
      </c>
      <c r="P817" s="141">
        <f t="shared" ref="P817" si="570">B817+7</f>
        <v>244295</v>
      </c>
      <c r="Q817" s="141">
        <f t="shared" ref="Q817" si="571">O817+2</f>
        <v>244290</v>
      </c>
      <c r="R817" s="139" t="s">
        <v>55</v>
      </c>
      <c r="S817" s="143">
        <v>244300</v>
      </c>
      <c r="T817" s="139" t="s">
        <v>55</v>
      </c>
      <c r="U817" s="143">
        <v>244302</v>
      </c>
      <c r="V817" s="139" t="s">
        <v>55</v>
      </c>
      <c r="W817" s="143">
        <v>244302</v>
      </c>
      <c r="X817" s="139"/>
      <c r="Y817" s="141"/>
      <c r="Z817" s="119" t="s">
        <v>2499</v>
      </c>
      <c r="AA817" s="144"/>
    </row>
    <row r="818" spans="1:27" s="145" customFormat="1" ht="36" customHeight="1" x14ac:dyDescent="0.25">
      <c r="A818" s="119" t="s">
        <v>28</v>
      </c>
      <c r="B818" s="139">
        <v>244292</v>
      </c>
      <c r="C818" s="119" t="s">
        <v>14</v>
      </c>
      <c r="D818" s="166">
        <v>680641</v>
      </c>
      <c r="E818" s="119" t="s">
        <v>420</v>
      </c>
      <c r="F818" s="190">
        <v>68110427</v>
      </c>
      <c r="G818" s="119" t="s">
        <v>2401</v>
      </c>
      <c r="H818" s="187" t="s">
        <v>270</v>
      </c>
      <c r="I818" s="147" t="s">
        <v>1041</v>
      </c>
      <c r="J818" s="146">
        <v>131.09</v>
      </c>
      <c r="K818" s="119" t="s">
        <v>207</v>
      </c>
      <c r="L818" s="212">
        <f>J818-124</f>
        <v>7.0900000000000034</v>
      </c>
      <c r="M818" s="214" t="s">
        <v>2400</v>
      </c>
      <c r="N818" s="119" t="s">
        <v>93</v>
      </c>
      <c r="O818" s="141">
        <f t="shared" ref="O818:O820" si="572">B818</f>
        <v>244292</v>
      </c>
      <c r="P818" s="141">
        <f t="shared" ref="P818:P820" si="573">B818+7</f>
        <v>244299</v>
      </c>
      <c r="Q818" s="141">
        <f t="shared" ref="Q818:Q820" si="574">O818+2</f>
        <v>244294</v>
      </c>
      <c r="R818" s="139" t="s">
        <v>55</v>
      </c>
      <c r="S818" s="143">
        <v>244300</v>
      </c>
      <c r="T818" s="139" t="s">
        <v>55</v>
      </c>
      <c r="U818" s="143">
        <v>244302</v>
      </c>
      <c r="V818" s="139" t="s">
        <v>55</v>
      </c>
      <c r="W818" s="143">
        <v>244302</v>
      </c>
      <c r="X818" s="139"/>
      <c r="Y818" s="141"/>
      <c r="Z818" s="119" t="s">
        <v>966</v>
      </c>
      <c r="AA818" s="144">
        <f>W818-P821</f>
        <v>2</v>
      </c>
    </row>
    <row r="819" spans="1:27" s="145" customFormat="1" ht="36" customHeight="1" x14ac:dyDescent="0.25">
      <c r="A819" s="119" t="s">
        <v>28</v>
      </c>
      <c r="B819" s="139">
        <v>244292</v>
      </c>
      <c r="C819" s="119" t="s">
        <v>14</v>
      </c>
      <c r="D819" s="166">
        <v>680642</v>
      </c>
      <c r="E819" s="119" t="s">
        <v>420</v>
      </c>
      <c r="F819" s="190">
        <v>68110433</v>
      </c>
      <c r="G819" s="119" t="s">
        <v>2402</v>
      </c>
      <c r="H819" s="187" t="s">
        <v>410</v>
      </c>
      <c r="I819" s="147" t="s">
        <v>1041</v>
      </c>
      <c r="J819" s="146">
        <v>119.25</v>
      </c>
      <c r="K819" s="119" t="s">
        <v>201</v>
      </c>
      <c r="L819" s="146">
        <f>121-J819</f>
        <v>1.75</v>
      </c>
      <c r="M819" s="119" t="s">
        <v>2405</v>
      </c>
      <c r="N819" s="119" t="s">
        <v>93</v>
      </c>
      <c r="O819" s="141">
        <f t="shared" si="572"/>
        <v>244292</v>
      </c>
      <c r="P819" s="141">
        <f t="shared" si="573"/>
        <v>244299</v>
      </c>
      <c r="Q819" s="141">
        <f t="shared" si="574"/>
        <v>244294</v>
      </c>
      <c r="R819" s="139" t="s">
        <v>55</v>
      </c>
      <c r="S819" s="143">
        <v>244300</v>
      </c>
      <c r="T819" s="139" t="s">
        <v>55</v>
      </c>
      <c r="U819" s="143">
        <v>244302</v>
      </c>
      <c r="V819" s="139" t="s">
        <v>55</v>
      </c>
      <c r="W819" s="143">
        <v>244302</v>
      </c>
      <c r="X819" s="139"/>
      <c r="Y819" s="141"/>
      <c r="Z819" s="119" t="s">
        <v>966</v>
      </c>
      <c r="AA819" s="144">
        <f>W819-P821</f>
        <v>2</v>
      </c>
    </row>
    <row r="820" spans="1:27" s="145" customFormat="1" ht="29.25" customHeight="1" x14ac:dyDescent="0.25">
      <c r="A820" s="119" t="s">
        <v>28</v>
      </c>
      <c r="B820" s="139">
        <v>244292</v>
      </c>
      <c r="C820" s="119" t="s">
        <v>14</v>
      </c>
      <c r="D820" s="166">
        <v>680643</v>
      </c>
      <c r="E820" s="119" t="s">
        <v>872</v>
      </c>
      <c r="F820" s="190">
        <v>68110437</v>
      </c>
      <c r="G820" s="119" t="s">
        <v>2403</v>
      </c>
      <c r="H820" s="187" t="s">
        <v>294</v>
      </c>
      <c r="I820" s="147" t="s">
        <v>845</v>
      </c>
      <c r="J820" s="146">
        <v>61.96</v>
      </c>
      <c r="K820" s="119" t="s">
        <v>200</v>
      </c>
      <c r="L820" s="146">
        <v>1.96</v>
      </c>
      <c r="M820" s="119" t="s">
        <v>2404</v>
      </c>
      <c r="N820" s="119" t="s">
        <v>93</v>
      </c>
      <c r="O820" s="141">
        <f t="shared" si="572"/>
        <v>244292</v>
      </c>
      <c r="P820" s="141">
        <f t="shared" si="573"/>
        <v>244299</v>
      </c>
      <c r="Q820" s="141">
        <f t="shared" si="574"/>
        <v>244294</v>
      </c>
      <c r="R820" s="139" t="s">
        <v>55</v>
      </c>
      <c r="S820" s="143">
        <v>244300</v>
      </c>
      <c r="T820" s="139" t="s">
        <v>55</v>
      </c>
      <c r="U820" s="143">
        <v>244302</v>
      </c>
      <c r="V820" s="139" t="s">
        <v>55</v>
      </c>
      <c r="W820" s="143">
        <v>244302</v>
      </c>
      <c r="X820" s="139"/>
      <c r="Y820" s="141"/>
      <c r="Z820" s="119" t="s">
        <v>1320</v>
      </c>
      <c r="AA820" s="144"/>
    </row>
    <row r="821" spans="1:27" s="145" customFormat="1" ht="36" customHeight="1" x14ac:dyDescent="0.25">
      <c r="A821" s="119" t="s">
        <v>28</v>
      </c>
      <c r="B821" s="139">
        <v>244293</v>
      </c>
      <c r="C821" s="119" t="s">
        <v>14</v>
      </c>
      <c r="D821" s="166">
        <v>680644</v>
      </c>
      <c r="E821" s="119" t="s">
        <v>420</v>
      </c>
      <c r="F821" s="190">
        <v>68110519</v>
      </c>
      <c r="G821" s="119" t="s">
        <v>2406</v>
      </c>
      <c r="H821" s="187" t="s">
        <v>270</v>
      </c>
      <c r="I821" s="147" t="s">
        <v>1041</v>
      </c>
      <c r="J821" s="146">
        <v>127.12</v>
      </c>
      <c r="K821" s="119" t="s">
        <v>207</v>
      </c>
      <c r="L821" s="146">
        <f t="shared" ref="L821:L826" si="575">J821-124</f>
        <v>3.1200000000000045</v>
      </c>
      <c r="M821" s="119" t="s">
        <v>2407</v>
      </c>
      <c r="N821" s="119" t="s">
        <v>93</v>
      </c>
      <c r="O821" s="141">
        <f t="shared" ref="O821:O893" si="576">B821</f>
        <v>244293</v>
      </c>
      <c r="P821" s="141">
        <f t="shared" ref="P821:P897" si="577">B821+7</f>
        <v>244300</v>
      </c>
      <c r="Q821" s="141">
        <f t="shared" ref="Q821:Q893" si="578">O821+2</f>
        <v>244295</v>
      </c>
      <c r="R821" s="139" t="s">
        <v>55</v>
      </c>
      <c r="S821" s="143">
        <v>244300</v>
      </c>
      <c r="T821" s="139" t="s">
        <v>55</v>
      </c>
      <c r="U821" s="143">
        <v>244302</v>
      </c>
      <c r="V821" s="139" t="s">
        <v>55</v>
      </c>
      <c r="W821" s="143">
        <v>244302</v>
      </c>
      <c r="X821" s="139"/>
      <c r="Y821" s="141"/>
      <c r="Z821" s="119" t="s">
        <v>966</v>
      </c>
      <c r="AA821" s="144">
        <f>W821-P822</f>
        <v>2</v>
      </c>
    </row>
    <row r="822" spans="1:27" s="145" customFormat="1" ht="36" customHeight="1" x14ac:dyDescent="0.25">
      <c r="A822" s="119" t="s">
        <v>28</v>
      </c>
      <c r="B822" s="139">
        <v>244293</v>
      </c>
      <c r="C822" s="119" t="s">
        <v>14</v>
      </c>
      <c r="D822" s="166">
        <v>680644</v>
      </c>
      <c r="E822" s="119" t="s">
        <v>420</v>
      </c>
      <c r="F822" s="190">
        <v>68110527</v>
      </c>
      <c r="G822" s="119" t="s">
        <v>2408</v>
      </c>
      <c r="H822" s="187" t="s">
        <v>272</v>
      </c>
      <c r="I822" s="147" t="s">
        <v>1041</v>
      </c>
      <c r="J822" s="146">
        <v>125.01</v>
      </c>
      <c r="K822" s="119" t="s">
        <v>207</v>
      </c>
      <c r="L822" s="146">
        <f t="shared" si="575"/>
        <v>1.0100000000000051</v>
      </c>
      <c r="M822" s="119" t="s">
        <v>2409</v>
      </c>
      <c r="N822" s="119" t="s">
        <v>93</v>
      </c>
      <c r="O822" s="141">
        <f t="shared" ref="O822:O823" si="579">B822</f>
        <v>244293</v>
      </c>
      <c r="P822" s="141">
        <f t="shared" ref="P822:P823" si="580">B822+7</f>
        <v>244300</v>
      </c>
      <c r="Q822" s="141">
        <f t="shared" ref="Q822:Q823" si="581">O822+2</f>
        <v>244295</v>
      </c>
      <c r="R822" s="139" t="s">
        <v>55</v>
      </c>
      <c r="S822" s="143">
        <v>244300</v>
      </c>
      <c r="T822" s="139" t="s">
        <v>55</v>
      </c>
      <c r="U822" s="143">
        <v>244302</v>
      </c>
      <c r="V822" s="139" t="s">
        <v>55</v>
      </c>
      <c r="W822" s="143">
        <v>244302</v>
      </c>
      <c r="X822" s="139"/>
      <c r="Y822" s="141"/>
      <c r="Z822" s="119" t="s">
        <v>966</v>
      </c>
      <c r="AA822" s="144">
        <f>W822-P823</f>
        <v>2</v>
      </c>
    </row>
    <row r="823" spans="1:27" s="145" customFormat="1" ht="36" customHeight="1" x14ac:dyDescent="0.25">
      <c r="A823" s="119" t="s">
        <v>28</v>
      </c>
      <c r="B823" s="139">
        <v>244293</v>
      </c>
      <c r="C823" s="119" t="s">
        <v>14</v>
      </c>
      <c r="D823" s="166">
        <v>680644</v>
      </c>
      <c r="E823" s="119" t="s">
        <v>420</v>
      </c>
      <c r="F823" s="190">
        <v>68110525</v>
      </c>
      <c r="G823" s="119" t="s">
        <v>2410</v>
      </c>
      <c r="H823" s="187" t="s">
        <v>273</v>
      </c>
      <c r="I823" s="147" t="s">
        <v>1041</v>
      </c>
      <c r="J823" s="146">
        <v>125.2</v>
      </c>
      <c r="K823" s="119" t="s">
        <v>207</v>
      </c>
      <c r="L823" s="146">
        <f t="shared" si="575"/>
        <v>1.2000000000000028</v>
      </c>
      <c r="M823" s="119" t="s">
        <v>2411</v>
      </c>
      <c r="N823" s="119" t="s">
        <v>93</v>
      </c>
      <c r="O823" s="141">
        <f t="shared" si="579"/>
        <v>244293</v>
      </c>
      <c r="P823" s="141">
        <f t="shared" si="580"/>
        <v>244300</v>
      </c>
      <c r="Q823" s="141">
        <f t="shared" si="581"/>
        <v>244295</v>
      </c>
      <c r="R823" s="139" t="s">
        <v>55</v>
      </c>
      <c r="S823" s="143">
        <v>244300</v>
      </c>
      <c r="T823" s="139" t="s">
        <v>55</v>
      </c>
      <c r="U823" s="143">
        <v>244302</v>
      </c>
      <c r="V823" s="139" t="s">
        <v>55</v>
      </c>
      <c r="W823" s="143">
        <v>244302</v>
      </c>
      <c r="X823" s="139"/>
      <c r="Y823" s="141"/>
      <c r="Z823" s="119" t="s">
        <v>966</v>
      </c>
      <c r="AA823" s="144" t="e">
        <f>W823-#REF!</f>
        <v>#REF!</v>
      </c>
    </row>
    <row r="824" spans="1:27" s="145" customFormat="1" ht="36" customHeight="1" x14ac:dyDescent="0.25">
      <c r="A824" s="119" t="s">
        <v>28</v>
      </c>
      <c r="B824" s="139">
        <v>244294</v>
      </c>
      <c r="C824" s="119" t="s">
        <v>14</v>
      </c>
      <c r="D824" s="166">
        <v>680645</v>
      </c>
      <c r="E824" s="119" t="s">
        <v>420</v>
      </c>
      <c r="F824" s="190">
        <v>68110617</v>
      </c>
      <c r="G824" s="119" t="s">
        <v>2412</v>
      </c>
      <c r="H824" s="187" t="s">
        <v>227</v>
      </c>
      <c r="I824" s="147" t="s">
        <v>1041</v>
      </c>
      <c r="J824" s="146">
        <v>128.81</v>
      </c>
      <c r="K824" s="119" t="s">
        <v>207</v>
      </c>
      <c r="L824" s="146">
        <f t="shared" si="575"/>
        <v>4.8100000000000023</v>
      </c>
      <c r="M824" s="119" t="s">
        <v>2413</v>
      </c>
      <c r="N824" s="119" t="s">
        <v>93</v>
      </c>
      <c r="O824" s="141">
        <f t="shared" ref="O824:O825" si="582">B824</f>
        <v>244294</v>
      </c>
      <c r="P824" s="141">
        <f t="shared" ref="P824:P825" si="583">B824+7</f>
        <v>244301</v>
      </c>
      <c r="Q824" s="141">
        <f t="shared" ref="Q824:Q825" si="584">O824+2</f>
        <v>244296</v>
      </c>
      <c r="R824" s="139" t="s">
        <v>55</v>
      </c>
      <c r="S824" s="143">
        <v>244300</v>
      </c>
      <c r="T824" s="139" t="s">
        <v>55</v>
      </c>
      <c r="U824" s="143">
        <v>244302</v>
      </c>
      <c r="V824" s="139" t="s">
        <v>55</v>
      </c>
      <c r="W824" s="143">
        <v>244302</v>
      </c>
      <c r="X824" s="139"/>
      <c r="Y824" s="141"/>
      <c r="Z824" s="119" t="s">
        <v>966</v>
      </c>
      <c r="AA824" s="144">
        <f>W824-P830</f>
        <v>-2</v>
      </c>
    </row>
    <row r="825" spans="1:27" s="145" customFormat="1" ht="36" customHeight="1" x14ac:dyDescent="0.25">
      <c r="A825" s="119" t="s">
        <v>28</v>
      </c>
      <c r="B825" s="139">
        <v>244294</v>
      </c>
      <c r="C825" s="119" t="s">
        <v>14</v>
      </c>
      <c r="D825" s="166">
        <v>680645</v>
      </c>
      <c r="E825" s="119" t="s">
        <v>420</v>
      </c>
      <c r="F825" s="190">
        <v>68110605</v>
      </c>
      <c r="G825" s="119" t="s">
        <v>2414</v>
      </c>
      <c r="H825" s="187" t="s">
        <v>272</v>
      </c>
      <c r="I825" s="147" t="s">
        <v>1041</v>
      </c>
      <c r="J825" s="146">
        <v>125.37</v>
      </c>
      <c r="K825" s="119" t="s">
        <v>207</v>
      </c>
      <c r="L825" s="146">
        <f t="shared" si="575"/>
        <v>1.3700000000000045</v>
      </c>
      <c r="M825" s="119" t="s">
        <v>2415</v>
      </c>
      <c r="N825" s="119" t="s">
        <v>93</v>
      </c>
      <c r="O825" s="141">
        <f t="shared" si="582"/>
        <v>244294</v>
      </c>
      <c r="P825" s="141">
        <f t="shared" si="583"/>
        <v>244301</v>
      </c>
      <c r="Q825" s="141">
        <f t="shared" si="584"/>
        <v>244296</v>
      </c>
      <c r="R825" s="139" t="s">
        <v>55</v>
      </c>
      <c r="S825" s="143">
        <v>244300</v>
      </c>
      <c r="T825" s="139" t="s">
        <v>55</v>
      </c>
      <c r="U825" s="143">
        <v>244302</v>
      </c>
      <c r="V825" s="139" t="s">
        <v>55</v>
      </c>
      <c r="W825" s="143">
        <v>244302</v>
      </c>
      <c r="X825" s="139"/>
      <c r="Y825" s="141"/>
      <c r="Z825" s="119" t="s">
        <v>966</v>
      </c>
      <c r="AA825" s="144">
        <f>W825-P831</f>
        <v>-2</v>
      </c>
    </row>
    <row r="826" spans="1:27" s="145" customFormat="1" ht="36" customHeight="1" x14ac:dyDescent="0.25">
      <c r="A826" s="119" t="s">
        <v>28</v>
      </c>
      <c r="B826" s="139">
        <v>244294</v>
      </c>
      <c r="C826" s="119" t="s">
        <v>14</v>
      </c>
      <c r="D826" s="166">
        <v>680645</v>
      </c>
      <c r="E826" s="119" t="s">
        <v>420</v>
      </c>
      <c r="F826" s="190">
        <v>68110601</v>
      </c>
      <c r="G826" s="119" t="s">
        <v>2416</v>
      </c>
      <c r="H826" s="187" t="s">
        <v>228</v>
      </c>
      <c r="I826" s="147" t="s">
        <v>1041</v>
      </c>
      <c r="J826" s="146">
        <v>125.28</v>
      </c>
      <c r="K826" s="119" t="s">
        <v>207</v>
      </c>
      <c r="L826" s="146">
        <f t="shared" si="575"/>
        <v>1.2800000000000011</v>
      </c>
      <c r="M826" s="119" t="s">
        <v>2417</v>
      </c>
      <c r="N826" s="119" t="s">
        <v>93</v>
      </c>
      <c r="O826" s="141">
        <f t="shared" ref="O826" si="585">B826</f>
        <v>244294</v>
      </c>
      <c r="P826" s="141">
        <f t="shared" ref="P826" si="586">B826+7</f>
        <v>244301</v>
      </c>
      <c r="Q826" s="141">
        <f t="shared" ref="Q826" si="587">O826+2</f>
        <v>244296</v>
      </c>
      <c r="R826" s="139" t="s">
        <v>55</v>
      </c>
      <c r="S826" s="143">
        <v>244300</v>
      </c>
      <c r="T826" s="139" t="s">
        <v>55</v>
      </c>
      <c r="U826" s="143">
        <v>244302</v>
      </c>
      <c r="V826" s="139" t="s">
        <v>55</v>
      </c>
      <c r="W826" s="143">
        <v>244302</v>
      </c>
      <c r="X826" s="139"/>
      <c r="Y826" s="141"/>
      <c r="Z826" s="119" t="s">
        <v>966</v>
      </c>
      <c r="AA826" s="144">
        <f>W826-P832</f>
        <v>-2</v>
      </c>
    </row>
    <row r="827" spans="1:27" s="145" customFormat="1" ht="36" customHeight="1" x14ac:dyDescent="0.25">
      <c r="A827" s="119" t="s">
        <v>28</v>
      </c>
      <c r="B827" s="139">
        <v>244295</v>
      </c>
      <c r="C827" s="119" t="s">
        <v>14</v>
      </c>
      <c r="D827" s="166">
        <v>680646</v>
      </c>
      <c r="E827" s="119" t="s">
        <v>420</v>
      </c>
      <c r="F827" s="190">
        <v>68110715</v>
      </c>
      <c r="G827" s="119" t="s">
        <v>2418</v>
      </c>
      <c r="H827" s="187" t="s">
        <v>270</v>
      </c>
      <c r="I827" s="147" t="s">
        <v>1041</v>
      </c>
      <c r="J827" s="146">
        <v>126.05</v>
      </c>
      <c r="K827" s="119" t="s">
        <v>207</v>
      </c>
      <c r="L827" s="146">
        <f>J827-124</f>
        <v>2.0499999999999972</v>
      </c>
      <c r="M827" s="119" t="s">
        <v>2419</v>
      </c>
      <c r="N827" s="119" t="s">
        <v>93</v>
      </c>
      <c r="O827" s="141">
        <f t="shared" ref="O827" si="588">B827</f>
        <v>244295</v>
      </c>
      <c r="P827" s="141">
        <f t="shared" ref="P827" si="589">B827+7</f>
        <v>244302</v>
      </c>
      <c r="Q827" s="141">
        <f t="shared" ref="Q827" si="590">O827+2</f>
        <v>244297</v>
      </c>
      <c r="R827" s="139" t="s">
        <v>55</v>
      </c>
      <c r="S827" s="143">
        <v>244300</v>
      </c>
      <c r="T827" s="139" t="s">
        <v>55</v>
      </c>
      <c r="U827" s="143">
        <v>244302</v>
      </c>
      <c r="V827" s="139" t="s">
        <v>55</v>
      </c>
      <c r="W827" s="143">
        <v>244302</v>
      </c>
      <c r="X827" s="139"/>
      <c r="Y827" s="141"/>
      <c r="Z827" s="119" t="s">
        <v>966</v>
      </c>
      <c r="AA827" s="144">
        <f>W827-P836</f>
        <v>-2</v>
      </c>
    </row>
    <row r="828" spans="1:27" s="145" customFormat="1" ht="36" customHeight="1" x14ac:dyDescent="0.25">
      <c r="A828" s="119" t="s">
        <v>28</v>
      </c>
      <c r="B828" s="139">
        <v>244296</v>
      </c>
      <c r="C828" s="119" t="s">
        <v>11</v>
      </c>
      <c r="D828" s="166">
        <v>680647</v>
      </c>
      <c r="E828" s="119" t="s">
        <v>2420</v>
      </c>
      <c r="F828" s="190" t="s">
        <v>2421</v>
      </c>
      <c r="G828" s="119">
        <v>681104</v>
      </c>
      <c r="H828" s="187" t="s">
        <v>135</v>
      </c>
      <c r="I828" s="147" t="s">
        <v>61</v>
      </c>
      <c r="J828" s="146">
        <v>39</v>
      </c>
      <c r="K828" s="119" t="s">
        <v>62</v>
      </c>
      <c r="L828" s="146">
        <v>9</v>
      </c>
      <c r="M828" s="257" t="s">
        <v>2422</v>
      </c>
      <c r="N828" s="257" t="s">
        <v>53</v>
      </c>
      <c r="O828" s="141"/>
      <c r="P828" s="141"/>
      <c r="Q828" s="141"/>
      <c r="R828" s="139" t="s">
        <v>55</v>
      </c>
      <c r="S828" s="143">
        <v>244300</v>
      </c>
      <c r="T828" s="139" t="s">
        <v>55</v>
      </c>
      <c r="U828" s="143">
        <v>244302</v>
      </c>
      <c r="V828" s="139" t="s">
        <v>55</v>
      </c>
      <c r="W828" s="143">
        <v>244302</v>
      </c>
      <c r="X828" s="139"/>
      <c r="Y828" s="141"/>
      <c r="Z828" s="119" t="s">
        <v>424</v>
      </c>
      <c r="AA828" s="144"/>
    </row>
    <row r="829" spans="1:27" s="145" customFormat="1" ht="36" customHeight="1" x14ac:dyDescent="0.25">
      <c r="A829" s="119" t="s">
        <v>28</v>
      </c>
      <c r="B829" s="139">
        <v>244296</v>
      </c>
      <c r="C829" s="119" t="s">
        <v>11</v>
      </c>
      <c r="D829" s="166">
        <v>680647</v>
      </c>
      <c r="E829" s="119" t="s">
        <v>2420</v>
      </c>
      <c r="F829" s="190" t="s">
        <v>2421</v>
      </c>
      <c r="G829" s="119">
        <v>681104</v>
      </c>
      <c r="H829" s="187" t="s">
        <v>135</v>
      </c>
      <c r="I829" s="147" t="s">
        <v>76</v>
      </c>
      <c r="J829" s="146">
        <v>1149</v>
      </c>
      <c r="K829" s="119" t="s">
        <v>123</v>
      </c>
      <c r="L829" s="146">
        <v>19</v>
      </c>
      <c r="M829" s="258"/>
      <c r="N829" s="258"/>
      <c r="O829" s="141">
        <f t="shared" si="576"/>
        <v>244296</v>
      </c>
      <c r="P829" s="141">
        <f t="shared" si="577"/>
        <v>244303</v>
      </c>
      <c r="Q829" s="141">
        <f t="shared" si="578"/>
        <v>244298</v>
      </c>
      <c r="R829" s="139" t="s">
        <v>55</v>
      </c>
      <c r="S829" s="143">
        <v>244300</v>
      </c>
      <c r="T829" s="139" t="s">
        <v>55</v>
      </c>
      <c r="U829" s="143">
        <v>244302</v>
      </c>
      <c r="V829" s="139" t="s">
        <v>55</v>
      </c>
      <c r="W829" s="143">
        <v>244302</v>
      </c>
      <c r="X829" s="139"/>
      <c r="Y829" s="141"/>
      <c r="Z829" s="119" t="s">
        <v>424</v>
      </c>
      <c r="AA829" s="144">
        <f>W829-P834</f>
        <v>-2</v>
      </c>
    </row>
    <row r="830" spans="1:27" s="145" customFormat="1" ht="36" customHeight="1" x14ac:dyDescent="0.25">
      <c r="A830" s="119" t="s">
        <v>28</v>
      </c>
      <c r="B830" s="139">
        <v>244297</v>
      </c>
      <c r="C830" s="119" t="s">
        <v>14</v>
      </c>
      <c r="D830" s="166">
        <v>680648</v>
      </c>
      <c r="E830" s="119" t="s">
        <v>420</v>
      </c>
      <c r="F830" s="190">
        <v>68110923</v>
      </c>
      <c r="G830" s="119" t="s">
        <v>2423</v>
      </c>
      <c r="H830" s="187" t="s">
        <v>410</v>
      </c>
      <c r="I830" s="147" t="s">
        <v>1041</v>
      </c>
      <c r="J830" s="146">
        <v>125.92</v>
      </c>
      <c r="K830" s="119" t="s">
        <v>207</v>
      </c>
      <c r="L830" s="146">
        <f t="shared" ref="L830" si="591">J830-124</f>
        <v>1.9200000000000017</v>
      </c>
      <c r="M830" s="119" t="s">
        <v>2430</v>
      </c>
      <c r="N830" s="119" t="s">
        <v>93</v>
      </c>
      <c r="O830" s="141">
        <f t="shared" si="576"/>
        <v>244297</v>
      </c>
      <c r="P830" s="141">
        <f t="shared" si="577"/>
        <v>244304</v>
      </c>
      <c r="Q830" s="141">
        <f t="shared" si="578"/>
        <v>244299</v>
      </c>
      <c r="R830" s="139" t="s">
        <v>55</v>
      </c>
      <c r="S830" s="143">
        <v>244300</v>
      </c>
      <c r="T830" s="139" t="s">
        <v>55</v>
      </c>
      <c r="U830" s="143">
        <v>244302</v>
      </c>
      <c r="V830" s="139" t="s">
        <v>55</v>
      </c>
      <c r="W830" s="143">
        <v>244302</v>
      </c>
      <c r="X830" s="139"/>
      <c r="Y830" s="141"/>
      <c r="Z830" s="119" t="s">
        <v>966</v>
      </c>
      <c r="AA830" s="144"/>
    </row>
    <row r="831" spans="1:27" s="145" customFormat="1" ht="36" customHeight="1" x14ac:dyDescent="0.25">
      <c r="A831" s="119" t="s">
        <v>28</v>
      </c>
      <c r="B831" s="139">
        <v>244297</v>
      </c>
      <c r="C831" s="119" t="s">
        <v>14</v>
      </c>
      <c r="D831" s="166">
        <v>680649</v>
      </c>
      <c r="E831" s="119" t="s">
        <v>1122</v>
      </c>
      <c r="F831" s="190">
        <v>68110927</v>
      </c>
      <c r="G831" s="119" t="s">
        <v>2424</v>
      </c>
      <c r="H831" s="187" t="s">
        <v>280</v>
      </c>
      <c r="I831" s="147" t="s">
        <v>1124</v>
      </c>
      <c r="J831" s="146">
        <v>50.45</v>
      </c>
      <c r="K831" s="119" t="s">
        <v>200</v>
      </c>
      <c r="L831" s="146">
        <f>J831-48</f>
        <v>2.4500000000000028</v>
      </c>
      <c r="M831" s="119" t="s">
        <v>2429</v>
      </c>
      <c r="N831" s="119" t="s">
        <v>93</v>
      </c>
      <c r="O831" s="141">
        <f t="shared" si="576"/>
        <v>244297</v>
      </c>
      <c r="P831" s="141">
        <f t="shared" si="577"/>
        <v>244304</v>
      </c>
      <c r="Q831" s="141">
        <f t="shared" si="578"/>
        <v>244299</v>
      </c>
      <c r="R831" s="139" t="s">
        <v>55</v>
      </c>
      <c r="S831" s="143">
        <v>244300</v>
      </c>
      <c r="T831" s="139" t="s">
        <v>55</v>
      </c>
      <c r="U831" s="143">
        <v>244302</v>
      </c>
      <c r="V831" s="139" t="s">
        <v>55</v>
      </c>
      <c r="W831" s="143">
        <v>244301</v>
      </c>
      <c r="X831" s="139"/>
      <c r="Y831" s="141"/>
      <c r="Z831" s="119" t="s">
        <v>2472</v>
      </c>
      <c r="AA831" s="144"/>
    </row>
    <row r="832" spans="1:27" s="145" customFormat="1" ht="36" customHeight="1" x14ac:dyDescent="0.25">
      <c r="A832" s="119" t="s">
        <v>28</v>
      </c>
      <c r="B832" s="139">
        <v>244297</v>
      </c>
      <c r="C832" s="119" t="s">
        <v>14</v>
      </c>
      <c r="D832" s="166">
        <v>680650</v>
      </c>
      <c r="E832" s="119" t="s">
        <v>426</v>
      </c>
      <c r="F832" s="190">
        <v>68110910</v>
      </c>
      <c r="G832" s="119" t="s">
        <v>2425</v>
      </c>
      <c r="H832" s="187" t="s">
        <v>841</v>
      </c>
      <c r="I832" s="147" t="s">
        <v>428</v>
      </c>
      <c r="J832" s="146">
        <v>124.26</v>
      </c>
      <c r="K832" s="119" t="s">
        <v>201</v>
      </c>
      <c r="L832" s="146">
        <f>127-J832</f>
        <v>2.7399999999999949</v>
      </c>
      <c r="M832" s="119" t="s">
        <v>2431</v>
      </c>
      <c r="N832" s="119" t="s">
        <v>93</v>
      </c>
      <c r="O832" s="141">
        <f t="shared" ref="O832:O833" si="592">B832</f>
        <v>244297</v>
      </c>
      <c r="P832" s="141">
        <f t="shared" ref="P832:P833" si="593">B832+7</f>
        <v>244304</v>
      </c>
      <c r="Q832" s="141">
        <f t="shared" ref="Q832:Q833" si="594">O832+2</f>
        <v>244299</v>
      </c>
      <c r="R832" s="139" t="s">
        <v>55</v>
      </c>
      <c r="S832" s="143">
        <v>244300</v>
      </c>
      <c r="T832" s="139" t="s">
        <v>55</v>
      </c>
      <c r="U832" s="143">
        <v>244302</v>
      </c>
      <c r="V832" s="139" t="s">
        <v>55</v>
      </c>
      <c r="W832" s="143">
        <v>244298</v>
      </c>
      <c r="X832" s="139"/>
      <c r="Y832" s="141"/>
      <c r="Z832" s="119" t="s">
        <v>2440</v>
      </c>
      <c r="AA832" s="144"/>
    </row>
    <row r="833" spans="1:27" s="145" customFormat="1" ht="36" customHeight="1" x14ac:dyDescent="0.25">
      <c r="A833" s="119" t="s">
        <v>28</v>
      </c>
      <c r="B833" s="139">
        <v>244297</v>
      </c>
      <c r="C833" s="119" t="s">
        <v>14</v>
      </c>
      <c r="D833" s="166">
        <v>680650</v>
      </c>
      <c r="E833" s="119" t="s">
        <v>426</v>
      </c>
      <c r="F833" s="190">
        <v>68110909</v>
      </c>
      <c r="G833" s="119" t="s">
        <v>2426</v>
      </c>
      <c r="H833" s="187" t="s">
        <v>844</v>
      </c>
      <c r="I833" s="147" t="s">
        <v>428</v>
      </c>
      <c r="J833" s="146">
        <v>124.95</v>
      </c>
      <c r="K833" s="119" t="s">
        <v>201</v>
      </c>
      <c r="L833" s="146">
        <f>127-J833</f>
        <v>2.0499999999999972</v>
      </c>
      <c r="M833" s="119" t="s">
        <v>2432</v>
      </c>
      <c r="N833" s="119" t="s">
        <v>93</v>
      </c>
      <c r="O833" s="141">
        <f t="shared" si="592"/>
        <v>244297</v>
      </c>
      <c r="P833" s="141">
        <f t="shared" si="593"/>
        <v>244304</v>
      </c>
      <c r="Q833" s="141">
        <f t="shared" si="594"/>
        <v>244299</v>
      </c>
      <c r="R833" s="139" t="s">
        <v>55</v>
      </c>
      <c r="S833" s="143">
        <v>244300</v>
      </c>
      <c r="T833" s="139" t="s">
        <v>55</v>
      </c>
      <c r="U833" s="143">
        <v>244302</v>
      </c>
      <c r="V833" s="139" t="s">
        <v>55</v>
      </c>
      <c r="W833" s="143">
        <v>244298</v>
      </c>
      <c r="X833" s="139"/>
      <c r="Y833" s="141"/>
      <c r="Z833" s="119" t="s">
        <v>2440</v>
      </c>
      <c r="AA833" s="144"/>
    </row>
    <row r="834" spans="1:27" s="145" customFormat="1" ht="36" customHeight="1" x14ac:dyDescent="0.25">
      <c r="A834" s="119" t="s">
        <v>28</v>
      </c>
      <c r="B834" s="139">
        <v>244297</v>
      </c>
      <c r="C834" s="119" t="s">
        <v>14</v>
      </c>
      <c r="D834" s="166">
        <v>680651</v>
      </c>
      <c r="E834" s="119" t="s">
        <v>433</v>
      </c>
      <c r="F834" s="190">
        <v>68110916</v>
      </c>
      <c r="G834" s="119" t="s">
        <v>2427</v>
      </c>
      <c r="H834" s="187" t="s">
        <v>264</v>
      </c>
      <c r="I834" s="147" t="s">
        <v>304</v>
      </c>
      <c r="J834" s="146">
        <v>81.28</v>
      </c>
      <c r="K834" s="119" t="s">
        <v>207</v>
      </c>
      <c r="L834" s="146">
        <v>2.06</v>
      </c>
      <c r="M834" s="119" t="s">
        <v>2428</v>
      </c>
      <c r="N834" s="119" t="s">
        <v>93</v>
      </c>
      <c r="O834" s="141">
        <f t="shared" ref="O834" si="595">B834</f>
        <v>244297</v>
      </c>
      <c r="P834" s="141">
        <f t="shared" ref="P834" si="596">B834+7</f>
        <v>244304</v>
      </c>
      <c r="Q834" s="141">
        <f t="shared" ref="Q834" si="597">O834+2</f>
        <v>244299</v>
      </c>
      <c r="R834" s="139" t="s">
        <v>55</v>
      </c>
      <c r="S834" s="143">
        <v>244300</v>
      </c>
      <c r="T834" s="139" t="s">
        <v>55</v>
      </c>
      <c r="U834" s="143">
        <v>244307</v>
      </c>
      <c r="V834" s="139" t="s">
        <v>55</v>
      </c>
      <c r="W834" s="143">
        <v>244307</v>
      </c>
      <c r="X834" s="139"/>
      <c r="Y834" s="141"/>
      <c r="Z834" s="119" t="s">
        <v>2255</v>
      </c>
      <c r="AA834" s="144">
        <f>W834-P837</f>
        <v>2</v>
      </c>
    </row>
    <row r="835" spans="1:27" s="145" customFormat="1" ht="36" customHeight="1" x14ac:dyDescent="0.25">
      <c r="A835" s="119" t="s">
        <v>28</v>
      </c>
      <c r="B835" s="139">
        <v>244297</v>
      </c>
      <c r="C835" s="119" t="s">
        <v>14</v>
      </c>
      <c r="D835" s="166">
        <v>680652</v>
      </c>
      <c r="E835" s="119" t="s">
        <v>433</v>
      </c>
      <c r="F835" s="190">
        <v>68110944</v>
      </c>
      <c r="G835" s="119" t="s">
        <v>2433</v>
      </c>
      <c r="H835" s="187" t="s">
        <v>221</v>
      </c>
      <c r="I835" s="147" t="s">
        <v>304</v>
      </c>
      <c r="J835" s="146">
        <v>81.02</v>
      </c>
      <c r="K835" s="119" t="s">
        <v>1288</v>
      </c>
      <c r="L835" s="146">
        <v>1.85</v>
      </c>
      <c r="M835" s="119" t="s">
        <v>2434</v>
      </c>
      <c r="N835" s="119" t="s">
        <v>93</v>
      </c>
      <c r="O835" s="141">
        <f t="shared" si="576"/>
        <v>244297</v>
      </c>
      <c r="P835" s="141">
        <f t="shared" si="577"/>
        <v>244304</v>
      </c>
      <c r="Q835" s="141">
        <f t="shared" si="578"/>
        <v>244299</v>
      </c>
      <c r="R835" s="139" t="s">
        <v>55</v>
      </c>
      <c r="S835" s="143">
        <v>244300</v>
      </c>
      <c r="T835" s="139" t="s">
        <v>55</v>
      </c>
      <c r="U835" s="143">
        <v>244307</v>
      </c>
      <c r="V835" s="139" t="s">
        <v>55</v>
      </c>
      <c r="W835" s="143">
        <v>244307</v>
      </c>
      <c r="X835" s="139"/>
      <c r="Y835" s="141"/>
      <c r="Z835" s="119" t="s">
        <v>2255</v>
      </c>
      <c r="AA835" s="144">
        <f>W835-P840</f>
        <v>2</v>
      </c>
    </row>
    <row r="836" spans="1:27" s="145" customFormat="1" ht="36" customHeight="1" x14ac:dyDescent="0.25">
      <c r="A836" s="119" t="s">
        <v>28</v>
      </c>
      <c r="B836" s="139">
        <v>244297</v>
      </c>
      <c r="C836" s="119" t="s">
        <v>14</v>
      </c>
      <c r="D836" s="166">
        <v>680653</v>
      </c>
      <c r="E836" s="119" t="s">
        <v>420</v>
      </c>
      <c r="F836" s="190">
        <v>68110946</v>
      </c>
      <c r="G836" s="119" t="s">
        <v>2435</v>
      </c>
      <c r="H836" s="187" t="s">
        <v>205</v>
      </c>
      <c r="I836" s="147" t="s">
        <v>1041</v>
      </c>
      <c r="J836" s="146" t="s">
        <v>2438</v>
      </c>
      <c r="K836" s="119" t="s">
        <v>2437</v>
      </c>
      <c r="L836" s="146" t="s">
        <v>69</v>
      </c>
      <c r="M836" s="119" t="s">
        <v>2436</v>
      </c>
      <c r="N836" s="119" t="s">
        <v>93</v>
      </c>
      <c r="O836" s="141">
        <f t="shared" ref="O836" si="598">B836</f>
        <v>244297</v>
      </c>
      <c r="P836" s="141">
        <f t="shared" ref="P836" si="599">B836+7</f>
        <v>244304</v>
      </c>
      <c r="Q836" s="141">
        <f t="shared" ref="Q836" si="600">O836+2</f>
        <v>244299</v>
      </c>
      <c r="R836" s="139" t="s">
        <v>55</v>
      </c>
      <c r="S836" s="143">
        <v>244300</v>
      </c>
      <c r="T836" s="139" t="s">
        <v>55</v>
      </c>
      <c r="U836" s="143">
        <v>244302</v>
      </c>
      <c r="V836" s="139" t="s">
        <v>55</v>
      </c>
      <c r="W836" s="143">
        <v>244302</v>
      </c>
      <c r="X836" s="139"/>
      <c r="Y836" s="141"/>
      <c r="Z836" s="119" t="s">
        <v>966</v>
      </c>
      <c r="AA836" s="144">
        <f>W836-P841</f>
        <v>-3</v>
      </c>
    </row>
    <row r="837" spans="1:27" s="145" customFormat="1" ht="36" customHeight="1" x14ac:dyDescent="0.25">
      <c r="A837" s="119" t="s">
        <v>28</v>
      </c>
      <c r="B837" s="139">
        <v>244298</v>
      </c>
      <c r="C837" s="119" t="s">
        <v>14</v>
      </c>
      <c r="D837" s="166">
        <v>680654</v>
      </c>
      <c r="E837" s="119" t="s">
        <v>426</v>
      </c>
      <c r="F837" s="190">
        <v>68111035</v>
      </c>
      <c r="G837" s="119" t="s">
        <v>2439</v>
      </c>
      <c r="H837" s="187" t="s">
        <v>844</v>
      </c>
      <c r="I837" s="147" t="s">
        <v>428</v>
      </c>
      <c r="J837" s="146">
        <v>123.99</v>
      </c>
      <c r="K837" s="119" t="s">
        <v>201</v>
      </c>
      <c r="L837" s="142">
        <f>127-J837</f>
        <v>3.0100000000000051</v>
      </c>
      <c r="M837" s="213" t="s">
        <v>745</v>
      </c>
      <c r="N837" s="205" t="s">
        <v>93</v>
      </c>
      <c r="O837" s="141">
        <f t="shared" si="576"/>
        <v>244298</v>
      </c>
      <c r="P837" s="141">
        <f t="shared" si="577"/>
        <v>244305</v>
      </c>
      <c r="Q837" s="141">
        <f t="shared" si="578"/>
        <v>244300</v>
      </c>
      <c r="R837" s="139" t="s">
        <v>55</v>
      </c>
      <c r="S837" s="143">
        <v>244300</v>
      </c>
      <c r="T837" s="139" t="s">
        <v>55</v>
      </c>
      <c r="U837" s="143">
        <v>244302</v>
      </c>
      <c r="V837" s="139" t="s">
        <v>55</v>
      </c>
      <c r="W837" s="143">
        <v>244298</v>
      </c>
      <c r="X837" s="139"/>
      <c r="Y837" s="141"/>
      <c r="Z837" s="119" t="s">
        <v>2440</v>
      </c>
      <c r="AA837" s="144">
        <f>W837-P840</f>
        <v>-7</v>
      </c>
    </row>
    <row r="838" spans="1:27" s="145" customFormat="1" ht="36" customHeight="1" x14ac:dyDescent="0.25">
      <c r="A838" s="119" t="s">
        <v>28</v>
      </c>
      <c r="B838" s="139">
        <v>244298</v>
      </c>
      <c r="C838" s="119" t="s">
        <v>14</v>
      </c>
      <c r="D838" s="166">
        <v>680655</v>
      </c>
      <c r="E838" s="119" t="s">
        <v>1122</v>
      </c>
      <c r="F838" s="190">
        <v>68111039</v>
      </c>
      <c r="G838" s="119" t="s">
        <v>2441</v>
      </c>
      <c r="H838" s="187" t="s">
        <v>280</v>
      </c>
      <c r="I838" s="147" t="s">
        <v>1124</v>
      </c>
      <c r="J838" s="146">
        <v>49.69</v>
      </c>
      <c r="K838" s="119" t="s">
        <v>200</v>
      </c>
      <c r="L838" s="146">
        <f>J838-48</f>
        <v>1.6899999999999977</v>
      </c>
      <c r="M838" s="119" t="s">
        <v>2442</v>
      </c>
      <c r="N838" s="205" t="s">
        <v>93</v>
      </c>
      <c r="O838" s="141">
        <f t="shared" ref="O838" si="601">B838</f>
        <v>244298</v>
      </c>
      <c r="P838" s="141">
        <f t="shared" ref="P838" si="602">B838+7</f>
        <v>244305</v>
      </c>
      <c r="Q838" s="141">
        <f t="shared" ref="Q838" si="603">O838+2</f>
        <v>244300</v>
      </c>
      <c r="R838" s="139"/>
      <c r="S838" s="143"/>
      <c r="T838" s="139"/>
      <c r="U838" s="143"/>
      <c r="V838" s="139" t="s">
        <v>55</v>
      </c>
      <c r="W838" s="143">
        <v>244301</v>
      </c>
      <c r="X838" s="139"/>
      <c r="Y838" s="141"/>
      <c r="Z838" s="119" t="s">
        <v>2472</v>
      </c>
      <c r="AA838" s="144">
        <f>W838-P841</f>
        <v>-4</v>
      </c>
    </row>
    <row r="839" spans="1:27" s="145" customFormat="1" ht="36" customHeight="1" x14ac:dyDescent="0.25">
      <c r="A839" s="119" t="s">
        <v>28</v>
      </c>
      <c r="B839" s="139">
        <v>244298</v>
      </c>
      <c r="C839" s="119" t="s">
        <v>14</v>
      </c>
      <c r="D839" s="166">
        <v>680656</v>
      </c>
      <c r="E839" s="119" t="s">
        <v>426</v>
      </c>
      <c r="F839" s="190">
        <v>68111049</v>
      </c>
      <c r="G839" s="119" t="s">
        <v>2443</v>
      </c>
      <c r="H839" s="187" t="s">
        <v>227</v>
      </c>
      <c r="I839" s="147" t="s">
        <v>428</v>
      </c>
      <c r="J839" s="146">
        <v>130.55000000000001</v>
      </c>
      <c r="K839" s="119" t="s">
        <v>200</v>
      </c>
      <c r="L839" s="146">
        <f>J839-129</f>
        <v>1.5500000000000114</v>
      </c>
      <c r="M839" s="214" t="s">
        <v>2444</v>
      </c>
      <c r="N839" s="205" t="s">
        <v>93</v>
      </c>
      <c r="O839" s="141">
        <f t="shared" ref="O839" si="604">B839</f>
        <v>244298</v>
      </c>
      <c r="P839" s="141">
        <f t="shared" ref="P839" si="605">B839+7</f>
        <v>244305</v>
      </c>
      <c r="Q839" s="141">
        <f t="shared" ref="Q839" si="606">O839+2</f>
        <v>244300</v>
      </c>
      <c r="R839" s="139"/>
      <c r="S839" s="143"/>
      <c r="T839" s="139"/>
      <c r="U839" s="143"/>
      <c r="V839" s="139" t="s">
        <v>55</v>
      </c>
      <c r="W839" s="143">
        <v>244299</v>
      </c>
      <c r="X839" s="139"/>
      <c r="Y839" s="141"/>
      <c r="Z839" s="119" t="s">
        <v>2458</v>
      </c>
      <c r="AA839" s="144">
        <f>W839-P842</f>
        <v>-7</v>
      </c>
    </row>
    <row r="840" spans="1:27" s="145" customFormat="1" ht="36" customHeight="1" x14ac:dyDescent="0.25">
      <c r="A840" s="119" t="s">
        <v>28</v>
      </c>
      <c r="B840" s="139">
        <v>244298</v>
      </c>
      <c r="C840" s="119" t="s">
        <v>14</v>
      </c>
      <c r="D840" s="166">
        <v>680657</v>
      </c>
      <c r="E840" s="119" t="s">
        <v>307</v>
      </c>
      <c r="F840" s="190">
        <v>68111042</v>
      </c>
      <c r="G840" s="119" t="s">
        <v>2445</v>
      </c>
      <c r="H840" s="187" t="s">
        <v>265</v>
      </c>
      <c r="I840" s="147" t="s">
        <v>308</v>
      </c>
      <c r="J840" s="146">
        <v>67.91</v>
      </c>
      <c r="K840" s="119" t="s">
        <v>207</v>
      </c>
      <c r="L840" s="146">
        <f>J840-66</f>
        <v>1.9099999999999966</v>
      </c>
      <c r="M840" s="119" t="s">
        <v>2446</v>
      </c>
      <c r="N840" s="119" t="s">
        <v>93</v>
      </c>
      <c r="O840" s="141">
        <f t="shared" si="576"/>
        <v>244298</v>
      </c>
      <c r="P840" s="141">
        <f t="shared" si="577"/>
        <v>244305</v>
      </c>
      <c r="Q840" s="141">
        <f t="shared" si="578"/>
        <v>244300</v>
      </c>
      <c r="R840" s="139" t="s">
        <v>55</v>
      </c>
      <c r="S840" s="143">
        <v>244305</v>
      </c>
      <c r="T840" s="139" t="s">
        <v>55</v>
      </c>
      <c r="U840" s="143">
        <v>244307</v>
      </c>
      <c r="V840" s="139" t="s">
        <v>55</v>
      </c>
      <c r="W840" s="143">
        <v>244303</v>
      </c>
      <c r="X840" s="139"/>
      <c r="Y840" s="141"/>
      <c r="Z840" s="119" t="s">
        <v>2502</v>
      </c>
      <c r="AA840" s="144">
        <f>W840-P846</f>
        <v>-3</v>
      </c>
    </row>
    <row r="841" spans="1:27" s="145" customFormat="1" ht="36" customHeight="1" x14ac:dyDescent="0.25">
      <c r="A841" s="119" t="s">
        <v>28</v>
      </c>
      <c r="B841" s="139">
        <v>244298</v>
      </c>
      <c r="C841" s="119" t="s">
        <v>14</v>
      </c>
      <c r="D841" s="166">
        <v>680657</v>
      </c>
      <c r="E841" s="119" t="s">
        <v>307</v>
      </c>
      <c r="F841" s="190">
        <v>68111040</v>
      </c>
      <c r="G841" s="119" t="s">
        <v>2447</v>
      </c>
      <c r="H841" s="187" t="s">
        <v>215</v>
      </c>
      <c r="I841" s="147" t="s">
        <v>308</v>
      </c>
      <c r="J841" s="146">
        <v>68.92</v>
      </c>
      <c r="K841" s="119" t="s">
        <v>207</v>
      </c>
      <c r="L841" s="146">
        <f>J841-66</f>
        <v>2.9200000000000017</v>
      </c>
      <c r="M841" s="119" t="s">
        <v>2448</v>
      </c>
      <c r="N841" s="119" t="s">
        <v>93</v>
      </c>
      <c r="O841" s="141">
        <f t="shared" ref="O841" si="607">B841</f>
        <v>244298</v>
      </c>
      <c r="P841" s="141">
        <f t="shared" ref="P841" si="608">B841+7</f>
        <v>244305</v>
      </c>
      <c r="Q841" s="141">
        <f t="shared" ref="Q841" si="609">O841+2</f>
        <v>244300</v>
      </c>
      <c r="R841" s="139" t="s">
        <v>55</v>
      </c>
      <c r="S841" s="143">
        <v>244305</v>
      </c>
      <c r="T841" s="139" t="s">
        <v>55</v>
      </c>
      <c r="U841" s="143">
        <v>244307</v>
      </c>
      <c r="V841" s="139" t="s">
        <v>55</v>
      </c>
      <c r="W841" s="143">
        <v>244303</v>
      </c>
      <c r="X841" s="139"/>
      <c r="Y841" s="141"/>
      <c r="Z841" s="119" t="s">
        <v>2502</v>
      </c>
      <c r="AA841" s="144">
        <f>W841-P847</f>
        <v>-3</v>
      </c>
    </row>
    <row r="842" spans="1:27" s="145" customFormat="1" ht="36" customHeight="1" x14ac:dyDescent="0.25">
      <c r="A842" s="119" t="s">
        <v>28</v>
      </c>
      <c r="B842" s="139">
        <v>244299</v>
      </c>
      <c r="C842" s="119" t="s">
        <v>14</v>
      </c>
      <c r="D842" s="166">
        <v>680658</v>
      </c>
      <c r="E842" s="119" t="s">
        <v>426</v>
      </c>
      <c r="F842" s="190">
        <v>68111137</v>
      </c>
      <c r="G842" s="119" t="s">
        <v>2449</v>
      </c>
      <c r="H842" s="187" t="s">
        <v>844</v>
      </c>
      <c r="I842" s="147" t="s">
        <v>428</v>
      </c>
      <c r="J842" s="146">
        <v>124.97</v>
      </c>
      <c r="K842" s="119" t="s">
        <v>201</v>
      </c>
      <c r="L842" s="142">
        <f>127-J842</f>
        <v>2.0300000000000011</v>
      </c>
      <c r="M842" s="119" t="s">
        <v>2450</v>
      </c>
      <c r="N842" s="119" t="s">
        <v>93</v>
      </c>
      <c r="O842" s="141">
        <f t="shared" si="576"/>
        <v>244299</v>
      </c>
      <c r="P842" s="141">
        <f t="shared" si="577"/>
        <v>244306</v>
      </c>
      <c r="Q842" s="141">
        <f t="shared" si="578"/>
        <v>244301</v>
      </c>
      <c r="R842" s="139"/>
      <c r="S842" s="143"/>
      <c r="T842" s="139"/>
      <c r="U842" s="143"/>
      <c r="V842" s="139" t="s">
        <v>55</v>
      </c>
      <c r="W842" s="143">
        <v>244299</v>
      </c>
      <c r="X842" s="139"/>
      <c r="Y842" s="141"/>
      <c r="Z842" s="119" t="s">
        <v>2458</v>
      </c>
      <c r="AA842" s="144">
        <f>W842-P848</f>
        <v>-8</v>
      </c>
    </row>
    <row r="843" spans="1:27" s="145" customFormat="1" ht="36" customHeight="1" x14ac:dyDescent="0.25">
      <c r="A843" s="119" t="s">
        <v>28</v>
      </c>
      <c r="B843" s="139">
        <v>244299</v>
      </c>
      <c r="C843" s="119" t="s">
        <v>14</v>
      </c>
      <c r="D843" s="166">
        <v>680658</v>
      </c>
      <c r="E843" s="119" t="s">
        <v>426</v>
      </c>
      <c r="F843" s="190">
        <v>68111138</v>
      </c>
      <c r="G843" s="119" t="s">
        <v>2451</v>
      </c>
      <c r="H843" s="187" t="s">
        <v>247</v>
      </c>
      <c r="I843" s="147" t="s">
        <v>428</v>
      </c>
      <c r="J843" s="146">
        <v>124.6</v>
      </c>
      <c r="K843" s="119" t="s">
        <v>201</v>
      </c>
      <c r="L843" s="142">
        <f>127-J843</f>
        <v>2.4000000000000057</v>
      </c>
      <c r="M843" s="119" t="s">
        <v>2452</v>
      </c>
      <c r="N843" s="119" t="s">
        <v>93</v>
      </c>
      <c r="O843" s="141">
        <f t="shared" ref="O843" si="610">B843</f>
        <v>244299</v>
      </c>
      <c r="P843" s="141">
        <f t="shared" ref="P843" si="611">B843+7</f>
        <v>244306</v>
      </c>
      <c r="Q843" s="141">
        <f t="shared" ref="Q843" si="612">O843+2</f>
        <v>244301</v>
      </c>
      <c r="R843" s="139"/>
      <c r="S843" s="143"/>
      <c r="T843" s="139"/>
      <c r="U843" s="143"/>
      <c r="V843" s="139" t="s">
        <v>55</v>
      </c>
      <c r="W843" s="143">
        <v>244299</v>
      </c>
      <c r="X843" s="139"/>
      <c r="Y843" s="141"/>
      <c r="Z843" s="119" t="s">
        <v>2458</v>
      </c>
      <c r="AA843" s="144"/>
    </row>
    <row r="844" spans="1:27" s="145" customFormat="1" ht="36" customHeight="1" x14ac:dyDescent="0.25">
      <c r="A844" s="119" t="s">
        <v>28</v>
      </c>
      <c r="B844" s="139">
        <v>244299</v>
      </c>
      <c r="C844" s="119" t="s">
        <v>14</v>
      </c>
      <c r="D844" s="166">
        <v>680659</v>
      </c>
      <c r="E844" s="119" t="s">
        <v>426</v>
      </c>
      <c r="F844" s="190">
        <v>68111134</v>
      </c>
      <c r="G844" s="119" t="s">
        <v>2453</v>
      </c>
      <c r="H844" s="187" t="s">
        <v>1147</v>
      </c>
      <c r="I844" s="147" t="s">
        <v>428</v>
      </c>
      <c r="J844" s="146">
        <v>131.72999999999999</v>
      </c>
      <c r="K844" s="119" t="s">
        <v>200</v>
      </c>
      <c r="L844" s="146">
        <f>J844-129</f>
        <v>2.7299999999999898</v>
      </c>
      <c r="M844" s="119" t="s">
        <v>2454</v>
      </c>
      <c r="N844" s="119" t="s">
        <v>93</v>
      </c>
      <c r="O844" s="141">
        <f t="shared" si="576"/>
        <v>244299</v>
      </c>
      <c r="P844" s="141">
        <f t="shared" si="577"/>
        <v>244306</v>
      </c>
      <c r="Q844" s="141">
        <f t="shared" si="578"/>
        <v>244301</v>
      </c>
      <c r="R844" s="139"/>
      <c r="S844" s="143"/>
      <c r="T844" s="139"/>
      <c r="U844" s="143"/>
      <c r="V844" s="139" t="s">
        <v>55</v>
      </c>
      <c r="W844" s="143">
        <v>244299</v>
      </c>
      <c r="X844" s="139"/>
      <c r="Y844" s="141"/>
      <c r="Z844" s="119" t="s">
        <v>2458</v>
      </c>
      <c r="AA844" s="144"/>
    </row>
    <row r="845" spans="1:27" s="145" customFormat="1" ht="36" customHeight="1" x14ac:dyDescent="0.25">
      <c r="A845" s="119" t="s">
        <v>28</v>
      </c>
      <c r="B845" s="139">
        <v>244299</v>
      </c>
      <c r="C845" s="119" t="s">
        <v>14</v>
      </c>
      <c r="D845" s="166">
        <v>680660</v>
      </c>
      <c r="E845" s="119" t="s">
        <v>433</v>
      </c>
      <c r="F845" s="190">
        <v>68111129</v>
      </c>
      <c r="G845" s="119" t="s">
        <v>2455</v>
      </c>
      <c r="H845" s="187" t="s">
        <v>269</v>
      </c>
      <c r="I845" s="147" t="s">
        <v>304</v>
      </c>
      <c r="J845" s="146">
        <v>81.02</v>
      </c>
      <c r="K845" s="119" t="s">
        <v>207</v>
      </c>
      <c r="L845" s="146">
        <f>J845-78</f>
        <v>3.019999999999996</v>
      </c>
      <c r="M845" s="119" t="s">
        <v>2456</v>
      </c>
      <c r="N845" s="119" t="s">
        <v>93</v>
      </c>
      <c r="O845" s="141">
        <f t="shared" si="576"/>
        <v>244299</v>
      </c>
      <c r="P845" s="141">
        <f t="shared" si="577"/>
        <v>244306</v>
      </c>
      <c r="Q845" s="141">
        <f t="shared" si="578"/>
        <v>244301</v>
      </c>
      <c r="R845" s="139" t="s">
        <v>55</v>
      </c>
      <c r="S845" s="143">
        <v>244305</v>
      </c>
      <c r="T845" s="139" t="s">
        <v>55</v>
      </c>
      <c r="U845" s="143">
        <v>244307</v>
      </c>
      <c r="V845" s="139" t="s">
        <v>55</v>
      </c>
      <c r="W845" s="143">
        <v>244307</v>
      </c>
      <c r="X845" s="139"/>
      <c r="Y845" s="141"/>
      <c r="Z845" s="119" t="s">
        <v>2255</v>
      </c>
      <c r="AA845" s="144">
        <f>W845-P848</f>
        <v>0</v>
      </c>
    </row>
    <row r="846" spans="1:27" s="145" customFormat="1" ht="36" customHeight="1" x14ac:dyDescent="0.25">
      <c r="A846" s="119" t="s">
        <v>28</v>
      </c>
      <c r="B846" s="139">
        <v>244299</v>
      </c>
      <c r="C846" s="119" t="s">
        <v>14</v>
      </c>
      <c r="D846" s="166">
        <v>680661</v>
      </c>
      <c r="E846" s="119" t="s">
        <v>433</v>
      </c>
      <c r="F846" s="190">
        <v>68111132</v>
      </c>
      <c r="G846" s="119" t="s">
        <v>2457</v>
      </c>
      <c r="H846" s="187" t="s">
        <v>221</v>
      </c>
      <c r="I846" s="147" t="s">
        <v>304</v>
      </c>
      <c r="J846" s="146">
        <v>81.28</v>
      </c>
      <c r="K846" s="119" t="s">
        <v>1288</v>
      </c>
      <c r="L846" s="146">
        <f>J846-78</f>
        <v>3.2800000000000011</v>
      </c>
      <c r="M846" s="119" t="s">
        <v>1778</v>
      </c>
      <c r="N846" s="119" t="s">
        <v>93</v>
      </c>
      <c r="O846" s="141">
        <f t="shared" si="576"/>
        <v>244299</v>
      </c>
      <c r="P846" s="141">
        <f t="shared" si="577"/>
        <v>244306</v>
      </c>
      <c r="Q846" s="141">
        <f t="shared" si="578"/>
        <v>244301</v>
      </c>
      <c r="R846" s="139" t="s">
        <v>55</v>
      </c>
      <c r="S846" s="143">
        <v>244305</v>
      </c>
      <c r="T846" s="139" t="s">
        <v>55</v>
      </c>
      <c r="U846" s="143">
        <v>244307</v>
      </c>
      <c r="V846" s="139" t="s">
        <v>55</v>
      </c>
      <c r="W846" s="143">
        <v>244307</v>
      </c>
      <c r="X846" s="139"/>
      <c r="Y846" s="141"/>
      <c r="Z846" s="119" t="s">
        <v>2255</v>
      </c>
      <c r="AA846" s="144">
        <f>W846-P849</f>
        <v>0</v>
      </c>
    </row>
    <row r="847" spans="1:27" s="145" customFormat="1" ht="36" customHeight="1" x14ac:dyDescent="0.25">
      <c r="A847" s="119" t="s">
        <v>28</v>
      </c>
      <c r="B847" s="139">
        <v>244299</v>
      </c>
      <c r="C847" s="119" t="s">
        <v>14</v>
      </c>
      <c r="D847" s="166">
        <v>680662</v>
      </c>
      <c r="E847" s="119" t="s">
        <v>376</v>
      </c>
      <c r="F847" s="190">
        <v>68111143</v>
      </c>
      <c r="G847" s="119" t="s">
        <v>2459</v>
      </c>
      <c r="H847" s="187" t="s">
        <v>270</v>
      </c>
      <c r="I847" s="147" t="s">
        <v>378</v>
      </c>
      <c r="J847" s="146">
        <v>118.27</v>
      </c>
      <c r="K847" s="119" t="s">
        <v>207</v>
      </c>
      <c r="L847" s="146">
        <f>J847-116</f>
        <v>2.269999999999996</v>
      </c>
      <c r="M847" s="119" t="s">
        <v>2460</v>
      </c>
      <c r="N847" s="119" t="s">
        <v>93</v>
      </c>
      <c r="O847" s="141">
        <f t="shared" si="576"/>
        <v>244299</v>
      </c>
      <c r="P847" s="141">
        <f t="shared" si="577"/>
        <v>244306</v>
      </c>
      <c r="Q847" s="141">
        <f t="shared" si="578"/>
        <v>244301</v>
      </c>
      <c r="R847" s="139"/>
      <c r="S847" s="143"/>
      <c r="T847" s="139"/>
      <c r="U847" s="143"/>
      <c r="V847" s="139" t="s">
        <v>55</v>
      </c>
      <c r="W847" s="143">
        <v>244300</v>
      </c>
      <c r="X847" s="139"/>
      <c r="Y847" s="141"/>
      <c r="Z847" s="119" t="s">
        <v>2467</v>
      </c>
      <c r="AA847" s="144">
        <f>W847-P863</f>
        <v>-9</v>
      </c>
    </row>
    <row r="848" spans="1:27" s="145" customFormat="1" ht="36" customHeight="1" x14ac:dyDescent="0.25">
      <c r="A848" s="119" t="s">
        <v>28</v>
      </c>
      <c r="B848" s="139">
        <v>244300</v>
      </c>
      <c r="C848" s="119" t="s">
        <v>14</v>
      </c>
      <c r="D848" s="166">
        <v>680663</v>
      </c>
      <c r="E848" s="119" t="s">
        <v>426</v>
      </c>
      <c r="F848" s="190">
        <v>68111206</v>
      </c>
      <c r="G848" s="119" t="s">
        <v>2461</v>
      </c>
      <c r="H848" s="187" t="s">
        <v>1147</v>
      </c>
      <c r="I848" s="147" t="s">
        <v>428</v>
      </c>
      <c r="J848" s="146">
        <v>131.15</v>
      </c>
      <c r="K848" s="119" t="s">
        <v>207</v>
      </c>
      <c r="L848" s="146">
        <f>J848-129</f>
        <v>2.1500000000000057</v>
      </c>
      <c r="M848" s="119" t="s">
        <v>2462</v>
      </c>
      <c r="N848" s="119" t="s">
        <v>93</v>
      </c>
      <c r="O848" s="141">
        <f t="shared" si="576"/>
        <v>244300</v>
      </c>
      <c r="P848" s="141">
        <f t="shared" si="577"/>
        <v>244307</v>
      </c>
      <c r="Q848" s="141">
        <f t="shared" si="578"/>
        <v>244302</v>
      </c>
      <c r="R848" s="139" t="s">
        <v>55</v>
      </c>
      <c r="S848" s="143">
        <v>244343</v>
      </c>
      <c r="T848" s="139" t="s">
        <v>55</v>
      </c>
      <c r="U848" s="143">
        <v>244343</v>
      </c>
      <c r="V848" s="139" t="s">
        <v>55</v>
      </c>
      <c r="W848" s="143">
        <v>244303</v>
      </c>
      <c r="X848" s="139"/>
      <c r="Y848" s="141"/>
      <c r="Z848" s="119"/>
      <c r="AA848" s="144">
        <f>W848-P875</f>
        <v>-8</v>
      </c>
    </row>
    <row r="849" spans="1:27" s="145" customFormat="1" ht="36" customHeight="1" x14ac:dyDescent="0.25">
      <c r="A849" s="119" t="s">
        <v>28</v>
      </c>
      <c r="B849" s="139">
        <v>244300</v>
      </c>
      <c r="C849" s="119" t="s">
        <v>14</v>
      </c>
      <c r="D849" s="166">
        <v>680663</v>
      </c>
      <c r="E849" s="119" t="s">
        <v>426</v>
      </c>
      <c r="F849" s="190">
        <v>68111203</v>
      </c>
      <c r="G849" s="119" t="s">
        <v>2463</v>
      </c>
      <c r="H849" s="187" t="s">
        <v>247</v>
      </c>
      <c r="I849" s="147" t="s">
        <v>428</v>
      </c>
      <c r="J849" s="146">
        <v>133.61000000000001</v>
      </c>
      <c r="K849" s="119" t="s">
        <v>207</v>
      </c>
      <c r="L849" s="146">
        <f>J849-129</f>
        <v>4.6100000000000136</v>
      </c>
      <c r="M849" s="119" t="s">
        <v>2464</v>
      </c>
      <c r="N849" s="119" t="s">
        <v>93</v>
      </c>
      <c r="O849" s="141">
        <f t="shared" si="576"/>
        <v>244300</v>
      </c>
      <c r="P849" s="141">
        <f t="shared" si="577"/>
        <v>244307</v>
      </c>
      <c r="Q849" s="141">
        <f t="shared" si="578"/>
        <v>244302</v>
      </c>
      <c r="R849" s="139" t="s">
        <v>55</v>
      </c>
      <c r="S849" s="143">
        <v>244343</v>
      </c>
      <c r="T849" s="139" t="s">
        <v>55</v>
      </c>
      <c r="U849" s="143">
        <v>244343</v>
      </c>
      <c r="V849" s="139" t="s">
        <v>55</v>
      </c>
      <c r="W849" s="143">
        <v>244303</v>
      </c>
      <c r="X849" s="119" t="s">
        <v>2501</v>
      </c>
      <c r="Y849" s="141"/>
      <c r="Z849" s="119" t="s">
        <v>2501</v>
      </c>
      <c r="AA849" s="144">
        <f>W849-P863</f>
        <v>-6</v>
      </c>
    </row>
    <row r="850" spans="1:27" s="145" customFormat="1" ht="36" customHeight="1" x14ac:dyDescent="0.25">
      <c r="A850" s="119" t="s">
        <v>28</v>
      </c>
      <c r="B850" s="139">
        <v>244300</v>
      </c>
      <c r="C850" s="119" t="s">
        <v>14</v>
      </c>
      <c r="D850" s="166">
        <v>680664</v>
      </c>
      <c r="E850" s="119" t="s">
        <v>306</v>
      </c>
      <c r="F850" s="190">
        <v>68111236</v>
      </c>
      <c r="G850" s="119" t="s">
        <v>2465</v>
      </c>
      <c r="H850" s="187" t="s">
        <v>282</v>
      </c>
      <c r="I850" s="147" t="s">
        <v>305</v>
      </c>
      <c r="J850" s="146">
        <v>73.790000000000006</v>
      </c>
      <c r="K850" s="119" t="s">
        <v>207</v>
      </c>
      <c r="L850" s="146">
        <f>J850-70</f>
        <v>3.7900000000000063</v>
      </c>
      <c r="M850" s="119" t="s">
        <v>2466</v>
      </c>
      <c r="N850" s="119" t="s">
        <v>93</v>
      </c>
      <c r="O850" s="141">
        <f t="shared" si="576"/>
        <v>244300</v>
      </c>
      <c r="P850" s="141">
        <f t="shared" si="577"/>
        <v>244307</v>
      </c>
      <c r="Q850" s="141">
        <f t="shared" si="578"/>
        <v>244302</v>
      </c>
      <c r="R850" s="139"/>
      <c r="S850" s="143"/>
      <c r="T850" s="139"/>
      <c r="U850" s="143"/>
      <c r="V850" s="139" t="s">
        <v>55</v>
      </c>
      <c r="W850" s="143">
        <v>244302</v>
      </c>
      <c r="X850" s="139"/>
      <c r="Y850" s="141"/>
      <c r="Z850" s="119" t="s">
        <v>2489</v>
      </c>
      <c r="AA850" s="144">
        <f>W850-P875</f>
        <v>-9</v>
      </c>
    </row>
    <row r="851" spans="1:27" s="145" customFormat="1" ht="36" customHeight="1" x14ac:dyDescent="0.25">
      <c r="A851" s="119" t="s">
        <v>28</v>
      </c>
      <c r="B851" s="139">
        <v>244300</v>
      </c>
      <c r="C851" s="119" t="s">
        <v>14</v>
      </c>
      <c r="D851" s="166">
        <v>680665</v>
      </c>
      <c r="E851" s="119" t="s">
        <v>433</v>
      </c>
      <c r="F851" s="190">
        <v>68111246</v>
      </c>
      <c r="G851" s="119" t="s">
        <v>2468</v>
      </c>
      <c r="H851" s="187" t="s">
        <v>252</v>
      </c>
      <c r="I851" s="147" t="s">
        <v>304</v>
      </c>
      <c r="J851" s="146">
        <v>81.7</v>
      </c>
      <c r="K851" s="119" t="s">
        <v>207</v>
      </c>
      <c r="L851" s="146">
        <f>J851-78</f>
        <v>3.7000000000000028</v>
      </c>
      <c r="M851" s="119" t="s">
        <v>2469</v>
      </c>
      <c r="N851" s="119" t="s">
        <v>93</v>
      </c>
      <c r="O851" s="141">
        <f t="shared" si="576"/>
        <v>244300</v>
      </c>
      <c r="P851" s="141">
        <f t="shared" si="577"/>
        <v>244307</v>
      </c>
      <c r="Q851" s="141">
        <f t="shared" si="578"/>
        <v>244302</v>
      </c>
      <c r="R851" s="139" t="s">
        <v>55</v>
      </c>
      <c r="S851" s="143">
        <v>244305</v>
      </c>
      <c r="T851" s="139" t="s">
        <v>55</v>
      </c>
      <c r="U851" s="143">
        <v>244307</v>
      </c>
      <c r="V851" s="139" t="s">
        <v>55</v>
      </c>
      <c r="W851" s="143">
        <v>244307</v>
      </c>
      <c r="X851" s="139"/>
      <c r="Y851" s="141"/>
      <c r="Z851" s="119" t="s">
        <v>2255</v>
      </c>
      <c r="AA851" s="144">
        <f>W851-P888</f>
        <v>-5</v>
      </c>
    </row>
    <row r="852" spans="1:27" s="145" customFormat="1" ht="36" customHeight="1" x14ac:dyDescent="0.25">
      <c r="A852" s="119" t="s">
        <v>28</v>
      </c>
      <c r="B852" s="139">
        <v>244300</v>
      </c>
      <c r="C852" s="119" t="s">
        <v>14</v>
      </c>
      <c r="D852" s="166">
        <v>680666</v>
      </c>
      <c r="E852" s="119" t="s">
        <v>426</v>
      </c>
      <c r="F852" s="190">
        <v>68111251</v>
      </c>
      <c r="G852" s="119" t="s">
        <v>2470</v>
      </c>
      <c r="H852" s="187" t="s">
        <v>228</v>
      </c>
      <c r="I852" s="147" t="s">
        <v>428</v>
      </c>
      <c r="J852" s="119">
        <v>131.37</v>
      </c>
      <c r="K852" s="119" t="s">
        <v>200</v>
      </c>
      <c r="L852" s="146">
        <f>J852-129</f>
        <v>2.3700000000000045</v>
      </c>
      <c r="M852" s="119" t="s">
        <v>2471</v>
      </c>
      <c r="N852" s="119" t="s">
        <v>93</v>
      </c>
      <c r="O852" s="141">
        <f t="shared" ref="O852" si="613">B852</f>
        <v>244300</v>
      </c>
      <c r="P852" s="141">
        <f t="shared" ref="P852" si="614">B852+7</f>
        <v>244307</v>
      </c>
      <c r="Q852" s="141">
        <f t="shared" ref="Q852" si="615">O852+2</f>
        <v>244302</v>
      </c>
      <c r="R852" s="139" t="s">
        <v>55</v>
      </c>
      <c r="S852" s="143">
        <v>244343</v>
      </c>
      <c r="T852" s="139" t="s">
        <v>55</v>
      </c>
      <c r="U852" s="143">
        <v>244344</v>
      </c>
      <c r="V852" s="139" t="s">
        <v>55</v>
      </c>
      <c r="W852" s="143">
        <v>244303</v>
      </c>
      <c r="X852" s="119" t="s">
        <v>2501</v>
      </c>
      <c r="Y852" s="141"/>
      <c r="Z852" s="119" t="s">
        <v>2501</v>
      </c>
      <c r="AA852" s="144"/>
    </row>
    <row r="853" spans="1:27" s="145" customFormat="1" ht="36" customHeight="1" x14ac:dyDescent="0.25">
      <c r="A853" s="119" t="s">
        <v>28</v>
      </c>
      <c r="B853" s="139">
        <v>244301</v>
      </c>
      <c r="C853" s="119" t="s">
        <v>14</v>
      </c>
      <c r="D853" s="166">
        <v>680667</v>
      </c>
      <c r="E853" s="119" t="s">
        <v>426</v>
      </c>
      <c r="F853" s="190">
        <v>68111312</v>
      </c>
      <c r="G853" s="119" t="s">
        <v>2473</v>
      </c>
      <c r="H853" s="187" t="s">
        <v>410</v>
      </c>
      <c r="I853" s="147" t="s">
        <v>428</v>
      </c>
      <c r="J853" s="119">
        <v>132.22</v>
      </c>
      <c r="K853" s="119" t="s">
        <v>207</v>
      </c>
      <c r="L853" s="146">
        <f>J853-129</f>
        <v>3.2199999999999989</v>
      </c>
      <c r="M853" s="119" t="s">
        <v>2474</v>
      </c>
      <c r="N853" s="119" t="s">
        <v>93</v>
      </c>
      <c r="O853" s="141">
        <f t="shared" si="576"/>
        <v>244301</v>
      </c>
      <c r="P853" s="141">
        <f t="shared" si="577"/>
        <v>244308</v>
      </c>
      <c r="Q853" s="141">
        <f t="shared" si="578"/>
        <v>244303</v>
      </c>
      <c r="R853" s="139" t="s">
        <v>55</v>
      </c>
      <c r="S853" s="143">
        <v>244343</v>
      </c>
      <c r="T853" s="139" t="s">
        <v>55</v>
      </c>
      <c r="U853" s="143">
        <v>244344</v>
      </c>
      <c r="V853" s="139" t="s">
        <v>55</v>
      </c>
      <c r="W853" s="143">
        <v>244303</v>
      </c>
      <c r="X853" s="139"/>
      <c r="Y853" s="141"/>
      <c r="Z853" s="119" t="s">
        <v>2501</v>
      </c>
      <c r="AA853" s="144"/>
    </row>
    <row r="854" spans="1:27" s="145" customFormat="1" ht="36" customHeight="1" x14ac:dyDescent="0.25">
      <c r="A854" s="119" t="s">
        <v>28</v>
      </c>
      <c r="B854" s="139">
        <v>244301</v>
      </c>
      <c r="C854" s="119" t="s">
        <v>14</v>
      </c>
      <c r="D854" s="166">
        <v>680667</v>
      </c>
      <c r="E854" s="119" t="s">
        <v>426</v>
      </c>
      <c r="F854" s="190">
        <v>68111309</v>
      </c>
      <c r="G854" s="119" t="s">
        <v>2475</v>
      </c>
      <c r="H854" s="187" t="s">
        <v>264</v>
      </c>
      <c r="I854" s="147" t="s">
        <v>428</v>
      </c>
      <c r="J854" s="119">
        <v>132.12</v>
      </c>
      <c r="K854" s="119" t="s">
        <v>207</v>
      </c>
      <c r="L854" s="146">
        <f>J854-129</f>
        <v>3.1200000000000045</v>
      </c>
      <c r="M854" s="119" t="s">
        <v>2476</v>
      </c>
      <c r="N854" s="119" t="s">
        <v>93</v>
      </c>
      <c r="O854" s="141">
        <f t="shared" si="576"/>
        <v>244301</v>
      </c>
      <c r="P854" s="141">
        <f t="shared" si="577"/>
        <v>244308</v>
      </c>
      <c r="Q854" s="141">
        <f t="shared" si="578"/>
        <v>244303</v>
      </c>
      <c r="R854" s="139" t="s">
        <v>55</v>
      </c>
      <c r="S854" s="143">
        <v>244343</v>
      </c>
      <c r="T854" s="139" t="s">
        <v>55</v>
      </c>
      <c r="U854" s="143">
        <v>244344</v>
      </c>
      <c r="V854" s="139" t="s">
        <v>55</v>
      </c>
      <c r="W854" s="143">
        <v>244303</v>
      </c>
      <c r="X854" s="119" t="s">
        <v>2501</v>
      </c>
      <c r="Y854" s="141"/>
      <c r="Z854" s="119" t="s">
        <v>2501</v>
      </c>
      <c r="AA854" s="144"/>
    </row>
    <row r="855" spans="1:27" s="145" customFormat="1" ht="36" customHeight="1" x14ac:dyDescent="0.25">
      <c r="A855" s="119" t="s">
        <v>28</v>
      </c>
      <c r="B855" s="139">
        <v>244301</v>
      </c>
      <c r="C855" s="119" t="s">
        <v>14</v>
      </c>
      <c r="D855" s="166">
        <v>680668</v>
      </c>
      <c r="E855" s="119" t="s">
        <v>426</v>
      </c>
      <c r="F855" s="190">
        <v>68111311</v>
      </c>
      <c r="G855" s="119" t="s">
        <v>2477</v>
      </c>
      <c r="H855" s="187" t="s">
        <v>281</v>
      </c>
      <c r="I855" s="147" t="s">
        <v>428</v>
      </c>
      <c r="J855" s="119" t="s">
        <v>2478</v>
      </c>
      <c r="K855" s="119" t="s">
        <v>2073</v>
      </c>
      <c r="L855" s="146" t="s">
        <v>69</v>
      </c>
      <c r="M855" s="119" t="s">
        <v>2479</v>
      </c>
      <c r="N855" s="119" t="s">
        <v>93</v>
      </c>
      <c r="O855" s="141">
        <f t="shared" si="576"/>
        <v>244301</v>
      </c>
      <c r="P855" s="141">
        <f t="shared" si="577"/>
        <v>244308</v>
      </c>
      <c r="Q855" s="141">
        <f t="shared" si="578"/>
        <v>244303</v>
      </c>
      <c r="R855" s="139" t="s">
        <v>55</v>
      </c>
      <c r="S855" s="143">
        <v>244343</v>
      </c>
      <c r="T855" s="139" t="s">
        <v>55</v>
      </c>
      <c r="U855" s="143">
        <v>244344</v>
      </c>
      <c r="V855" s="139" t="s">
        <v>55</v>
      </c>
      <c r="W855" s="143">
        <v>244303</v>
      </c>
      <c r="X855" s="119" t="s">
        <v>2501</v>
      </c>
      <c r="Y855" s="141"/>
      <c r="Z855" s="119" t="s">
        <v>2501</v>
      </c>
      <c r="AA855" s="144">
        <f>W855-P891</f>
        <v>-9</v>
      </c>
    </row>
    <row r="856" spans="1:27" s="145" customFormat="1" ht="36" customHeight="1" x14ac:dyDescent="0.25">
      <c r="A856" s="119" t="s">
        <v>28</v>
      </c>
      <c r="B856" s="139">
        <v>244301</v>
      </c>
      <c r="C856" s="119" t="s">
        <v>14</v>
      </c>
      <c r="D856" s="166">
        <v>680669</v>
      </c>
      <c r="E856" s="119" t="s">
        <v>426</v>
      </c>
      <c r="F856" s="190">
        <v>68111313</v>
      </c>
      <c r="G856" s="119" t="s">
        <v>2480</v>
      </c>
      <c r="H856" s="187" t="s">
        <v>914</v>
      </c>
      <c r="I856" s="147" t="s">
        <v>428</v>
      </c>
      <c r="J856" s="119">
        <v>126.04</v>
      </c>
      <c r="K856" s="119" t="s">
        <v>201</v>
      </c>
      <c r="L856" s="146">
        <f>127-J856</f>
        <v>0.95999999999999375</v>
      </c>
      <c r="M856" s="119" t="s">
        <v>2481</v>
      </c>
      <c r="N856" s="119" t="s">
        <v>93</v>
      </c>
      <c r="O856" s="141">
        <f t="shared" si="576"/>
        <v>244301</v>
      </c>
      <c r="P856" s="141">
        <f t="shared" si="577"/>
        <v>244308</v>
      </c>
      <c r="Q856" s="141">
        <f t="shared" si="578"/>
        <v>244303</v>
      </c>
      <c r="R856" s="139" t="s">
        <v>55</v>
      </c>
      <c r="S856" s="143">
        <v>244343</v>
      </c>
      <c r="T856" s="139" t="s">
        <v>55</v>
      </c>
      <c r="U856" s="143">
        <v>244344</v>
      </c>
      <c r="V856" s="139" t="s">
        <v>55</v>
      </c>
      <c r="W856" s="143">
        <v>244303</v>
      </c>
      <c r="X856" s="119" t="s">
        <v>2501</v>
      </c>
      <c r="Y856" s="141"/>
      <c r="Z856" s="119" t="s">
        <v>2501</v>
      </c>
      <c r="AA856" s="144">
        <f>W856-P893</f>
        <v>-10</v>
      </c>
    </row>
    <row r="857" spans="1:27" s="145" customFormat="1" ht="36" customHeight="1" x14ac:dyDescent="0.25">
      <c r="A857" s="119" t="s">
        <v>28</v>
      </c>
      <c r="B857" s="139">
        <v>244301</v>
      </c>
      <c r="C857" s="119" t="s">
        <v>14</v>
      </c>
      <c r="D857" s="166">
        <v>680670</v>
      </c>
      <c r="E857" s="119" t="s">
        <v>306</v>
      </c>
      <c r="F857" s="190">
        <v>68111326</v>
      </c>
      <c r="G857" s="119" t="s">
        <v>2482</v>
      </c>
      <c r="H857" s="187" t="s">
        <v>282</v>
      </c>
      <c r="I857" s="147" t="s">
        <v>305</v>
      </c>
      <c r="J857" s="119">
        <v>72.709999999999994</v>
      </c>
      <c r="K857" s="119" t="s">
        <v>200</v>
      </c>
      <c r="L857" s="146">
        <f>J857-70</f>
        <v>2.7099999999999937</v>
      </c>
      <c r="M857" s="119" t="s">
        <v>2483</v>
      </c>
      <c r="N857" s="119" t="s">
        <v>93</v>
      </c>
      <c r="O857" s="141">
        <f t="shared" si="576"/>
        <v>244301</v>
      </c>
      <c r="P857" s="141">
        <f t="shared" si="577"/>
        <v>244308</v>
      </c>
      <c r="Q857" s="141">
        <f t="shared" si="578"/>
        <v>244303</v>
      </c>
      <c r="R857" s="139"/>
      <c r="S857" s="143"/>
      <c r="T857" s="139"/>
      <c r="U857" s="143"/>
      <c r="V857" s="139" t="s">
        <v>55</v>
      </c>
      <c r="W857" s="143">
        <v>244302</v>
      </c>
      <c r="X857" s="139"/>
      <c r="Y857" s="141"/>
      <c r="Z857" s="119" t="s">
        <v>2489</v>
      </c>
      <c r="AA857" s="144">
        <f>W857-P891</f>
        <v>-10</v>
      </c>
    </row>
    <row r="858" spans="1:27" s="145" customFormat="1" ht="36" customHeight="1" x14ac:dyDescent="0.25">
      <c r="A858" s="119" t="s">
        <v>28</v>
      </c>
      <c r="B858" s="139">
        <v>244301</v>
      </c>
      <c r="C858" s="119" t="s">
        <v>14</v>
      </c>
      <c r="D858" s="166">
        <v>680671</v>
      </c>
      <c r="E858" s="119" t="s">
        <v>426</v>
      </c>
      <c r="F858" s="190">
        <v>68111346</v>
      </c>
      <c r="G858" s="119" t="s">
        <v>2484</v>
      </c>
      <c r="H858" s="187" t="s">
        <v>488</v>
      </c>
      <c r="I858" s="147" t="s">
        <v>428</v>
      </c>
      <c r="J858" s="119">
        <v>133.61000000000001</v>
      </c>
      <c r="K858" s="119" t="s">
        <v>207</v>
      </c>
      <c r="L858" s="146">
        <f>J858-129</f>
        <v>4.6100000000000136</v>
      </c>
      <c r="M858" s="119" t="s">
        <v>2485</v>
      </c>
      <c r="N858" s="119" t="s">
        <v>93</v>
      </c>
      <c r="O858" s="141">
        <f t="shared" si="576"/>
        <v>244301</v>
      </c>
      <c r="P858" s="141">
        <f t="shared" si="577"/>
        <v>244308</v>
      </c>
      <c r="Q858" s="141">
        <f t="shared" si="578"/>
        <v>244303</v>
      </c>
      <c r="R858" s="139"/>
      <c r="S858" s="143"/>
      <c r="T858" s="139"/>
      <c r="U858" s="143"/>
      <c r="V858" s="139" t="s">
        <v>55</v>
      </c>
      <c r="W858" s="143">
        <v>244302</v>
      </c>
      <c r="X858" s="139"/>
      <c r="Y858" s="141"/>
      <c r="Z858" s="119" t="s">
        <v>2500</v>
      </c>
      <c r="AA858" s="144">
        <f>W858-P898</f>
        <v>-11</v>
      </c>
    </row>
    <row r="859" spans="1:27" s="145" customFormat="1" ht="36" customHeight="1" x14ac:dyDescent="0.25">
      <c r="A859" s="119" t="s">
        <v>28</v>
      </c>
      <c r="B859" s="139">
        <v>244301</v>
      </c>
      <c r="C859" s="119" t="s">
        <v>14</v>
      </c>
      <c r="D859" s="166">
        <v>680671</v>
      </c>
      <c r="E859" s="119" t="s">
        <v>426</v>
      </c>
      <c r="F859" s="190">
        <v>68111345</v>
      </c>
      <c r="G859" s="119" t="s">
        <v>2486</v>
      </c>
      <c r="H859" s="187" t="s">
        <v>219</v>
      </c>
      <c r="I859" s="147" t="s">
        <v>428</v>
      </c>
      <c r="J859" s="119">
        <v>133.63999999999999</v>
      </c>
      <c r="K859" s="119" t="s">
        <v>207</v>
      </c>
      <c r="L859" s="146">
        <f>J859-129</f>
        <v>4.6399999999999864</v>
      </c>
      <c r="M859" s="119" t="s">
        <v>658</v>
      </c>
      <c r="N859" s="119" t="s">
        <v>93</v>
      </c>
      <c r="O859" s="141">
        <f t="shared" ref="O859:O860" si="616">B859</f>
        <v>244301</v>
      </c>
      <c r="P859" s="141">
        <f t="shared" ref="P859:P860" si="617">B859+7</f>
        <v>244308</v>
      </c>
      <c r="Q859" s="141">
        <f t="shared" ref="Q859:Q860" si="618">O859+2</f>
        <v>244303</v>
      </c>
      <c r="R859" s="139"/>
      <c r="S859" s="143"/>
      <c r="T859" s="139"/>
      <c r="U859" s="143"/>
      <c r="V859" s="139" t="s">
        <v>55</v>
      </c>
      <c r="W859" s="143">
        <v>244302</v>
      </c>
      <c r="X859" s="139"/>
      <c r="Y859" s="141"/>
      <c r="Z859" s="119" t="s">
        <v>2500</v>
      </c>
      <c r="AA859" s="144">
        <f>W859-P899</f>
        <v>-11</v>
      </c>
    </row>
    <row r="860" spans="1:27" s="145" customFormat="1" ht="36" customHeight="1" x14ac:dyDescent="0.25">
      <c r="A860" s="119" t="s">
        <v>28</v>
      </c>
      <c r="B860" s="139">
        <v>244301</v>
      </c>
      <c r="C860" s="119" t="s">
        <v>14</v>
      </c>
      <c r="D860" s="166">
        <v>680671</v>
      </c>
      <c r="E860" s="119" t="s">
        <v>426</v>
      </c>
      <c r="F860" s="190">
        <v>68111344</v>
      </c>
      <c r="G860" s="119" t="s">
        <v>2487</v>
      </c>
      <c r="H860" s="187" t="s">
        <v>289</v>
      </c>
      <c r="I860" s="147" t="s">
        <v>428</v>
      </c>
      <c r="J860" s="119">
        <v>130.88</v>
      </c>
      <c r="K860" s="119" t="s">
        <v>207</v>
      </c>
      <c r="L860" s="146">
        <f>J860-129</f>
        <v>1.8799999999999955</v>
      </c>
      <c r="M860" s="119" t="s">
        <v>2488</v>
      </c>
      <c r="N860" s="119" t="s">
        <v>93</v>
      </c>
      <c r="O860" s="141">
        <f t="shared" si="616"/>
        <v>244301</v>
      </c>
      <c r="P860" s="141">
        <f t="shared" si="617"/>
        <v>244308</v>
      </c>
      <c r="Q860" s="141">
        <f t="shared" si="618"/>
        <v>244303</v>
      </c>
      <c r="R860" s="139"/>
      <c r="S860" s="143"/>
      <c r="T860" s="139"/>
      <c r="U860" s="143"/>
      <c r="V860" s="139" t="s">
        <v>55</v>
      </c>
      <c r="W860" s="143">
        <v>244302</v>
      </c>
      <c r="X860" s="139"/>
      <c r="Y860" s="141"/>
      <c r="Z860" s="119" t="s">
        <v>2500</v>
      </c>
      <c r="AA860" s="144">
        <f>W860-P900</f>
        <v>-11</v>
      </c>
    </row>
    <row r="861" spans="1:27" s="145" customFormat="1" ht="30.75" customHeight="1" x14ac:dyDescent="0.25">
      <c r="A861" s="119" t="s">
        <v>28</v>
      </c>
      <c r="B861" s="139">
        <v>244302</v>
      </c>
      <c r="C861" s="119" t="s">
        <v>14</v>
      </c>
      <c r="D861" s="166">
        <v>680672</v>
      </c>
      <c r="E861" s="119" t="s">
        <v>376</v>
      </c>
      <c r="F861" s="190">
        <v>68111407</v>
      </c>
      <c r="G861" s="119" t="s">
        <v>2490</v>
      </c>
      <c r="H861" s="187" t="s">
        <v>270</v>
      </c>
      <c r="I861" s="147" t="s">
        <v>378</v>
      </c>
      <c r="J861" s="146">
        <v>118.09</v>
      </c>
      <c r="K861" s="119" t="s">
        <v>207</v>
      </c>
      <c r="L861" s="146">
        <f>J861-116</f>
        <v>2.0900000000000034</v>
      </c>
      <c r="M861" s="119" t="s">
        <v>2491</v>
      </c>
      <c r="N861" s="119" t="s">
        <v>93</v>
      </c>
      <c r="O861" s="141">
        <f t="shared" ref="O861:O862" si="619">B861</f>
        <v>244302</v>
      </c>
      <c r="P861" s="141">
        <f t="shared" ref="P861:P862" si="620">B861+7</f>
        <v>244309</v>
      </c>
      <c r="Q861" s="141">
        <f t="shared" ref="Q861:Q862" si="621">O861+2</f>
        <v>244304</v>
      </c>
      <c r="R861" s="139"/>
      <c r="S861" s="143"/>
      <c r="T861" s="139"/>
      <c r="U861" s="143"/>
      <c r="V861" s="139" t="s">
        <v>55</v>
      </c>
      <c r="W861" s="143">
        <v>244302</v>
      </c>
      <c r="X861" s="139"/>
      <c r="Y861" s="141"/>
      <c r="Z861" s="119" t="s">
        <v>2496</v>
      </c>
      <c r="AA861" s="144"/>
    </row>
    <row r="862" spans="1:27" s="145" customFormat="1" ht="30.75" customHeight="1" x14ac:dyDescent="0.25">
      <c r="A862" s="119" t="s">
        <v>28</v>
      </c>
      <c r="B862" s="139">
        <v>244302</v>
      </c>
      <c r="C862" s="119" t="s">
        <v>14</v>
      </c>
      <c r="D862" s="166">
        <v>680673</v>
      </c>
      <c r="E862" s="119" t="s">
        <v>426</v>
      </c>
      <c r="F862" s="190">
        <v>68111410</v>
      </c>
      <c r="G862" s="119" t="s">
        <v>2492</v>
      </c>
      <c r="H862" s="187" t="s">
        <v>271</v>
      </c>
      <c r="I862" s="147" t="s">
        <v>428</v>
      </c>
      <c r="J862" s="146">
        <v>132.34</v>
      </c>
      <c r="K862" s="119" t="s">
        <v>207</v>
      </c>
      <c r="L862" s="146">
        <f>J862-129</f>
        <v>3.3400000000000034</v>
      </c>
      <c r="M862" s="213" t="s">
        <v>2493</v>
      </c>
      <c r="N862" s="119" t="s">
        <v>93</v>
      </c>
      <c r="O862" s="141">
        <f t="shared" si="619"/>
        <v>244302</v>
      </c>
      <c r="P862" s="141">
        <f t="shared" si="620"/>
        <v>244309</v>
      </c>
      <c r="Q862" s="141">
        <f t="shared" si="621"/>
        <v>244304</v>
      </c>
      <c r="R862" s="139"/>
      <c r="S862" s="143"/>
      <c r="T862" s="139"/>
      <c r="U862" s="143"/>
      <c r="V862" s="139" t="s">
        <v>55</v>
      </c>
      <c r="W862" s="143">
        <v>244302</v>
      </c>
      <c r="X862" s="139"/>
      <c r="Y862" s="141"/>
      <c r="Z862" s="119" t="s">
        <v>2500</v>
      </c>
      <c r="AA862" s="144"/>
    </row>
    <row r="863" spans="1:27" s="145" customFormat="1" ht="36" customHeight="1" x14ac:dyDescent="0.25">
      <c r="A863" s="119" t="s">
        <v>28</v>
      </c>
      <c r="B863" s="139">
        <v>244302</v>
      </c>
      <c r="C863" s="119" t="s">
        <v>14</v>
      </c>
      <c r="D863" s="166">
        <v>680673</v>
      </c>
      <c r="E863" s="119" t="s">
        <v>426</v>
      </c>
      <c r="F863" s="190">
        <v>68111414</v>
      </c>
      <c r="G863" s="119" t="s">
        <v>2494</v>
      </c>
      <c r="H863" s="187" t="s">
        <v>264</v>
      </c>
      <c r="I863" s="147" t="s">
        <v>428</v>
      </c>
      <c r="J863" s="119">
        <v>131.51</v>
      </c>
      <c r="K863" s="119" t="s">
        <v>207</v>
      </c>
      <c r="L863" s="119">
        <f>J863-129</f>
        <v>2.5099999999999909</v>
      </c>
      <c r="M863" s="214" t="s">
        <v>2495</v>
      </c>
      <c r="N863" s="119" t="s">
        <v>93</v>
      </c>
      <c r="O863" s="141">
        <f t="shared" si="576"/>
        <v>244302</v>
      </c>
      <c r="P863" s="141">
        <f t="shared" si="577"/>
        <v>244309</v>
      </c>
      <c r="Q863" s="141">
        <f t="shared" si="578"/>
        <v>244304</v>
      </c>
      <c r="R863" s="139"/>
      <c r="S863" s="143"/>
      <c r="T863" s="139"/>
      <c r="U863" s="143"/>
      <c r="V863" s="139" t="s">
        <v>55</v>
      </c>
      <c r="W863" s="143">
        <v>244302</v>
      </c>
      <c r="X863" s="139"/>
      <c r="Y863" s="141"/>
      <c r="Z863" s="119" t="s">
        <v>2500</v>
      </c>
      <c r="AA863" s="144">
        <f>W863-P875</f>
        <v>-9</v>
      </c>
    </row>
    <row r="864" spans="1:27" s="145" customFormat="1" ht="36" customHeight="1" x14ac:dyDescent="0.25">
      <c r="A864" s="119" t="s">
        <v>28</v>
      </c>
      <c r="B864" s="139">
        <v>244302</v>
      </c>
      <c r="C864" s="119" t="s">
        <v>14</v>
      </c>
      <c r="D864" s="166">
        <v>680674</v>
      </c>
      <c r="E864" s="119" t="s">
        <v>306</v>
      </c>
      <c r="F864" s="190">
        <v>68111429</v>
      </c>
      <c r="G864" s="119" t="s">
        <v>2497</v>
      </c>
      <c r="H864" s="187" t="s">
        <v>282</v>
      </c>
      <c r="I864" s="147" t="s">
        <v>305</v>
      </c>
      <c r="J864" s="146">
        <v>73.08</v>
      </c>
      <c r="K864" s="119" t="s">
        <v>200</v>
      </c>
      <c r="L864" s="146">
        <f>J864-70</f>
        <v>3.0799999999999983</v>
      </c>
      <c r="M864" s="213" t="s">
        <v>2498</v>
      </c>
      <c r="N864" s="213" t="s">
        <v>93</v>
      </c>
      <c r="O864" s="141">
        <f t="shared" si="576"/>
        <v>244302</v>
      </c>
      <c r="P864" s="141">
        <f t="shared" si="577"/>
        <v>244309</v>
      </c>
      <c r="Q864" s="141">
        <f t="shared" si="578"/>
        <v>244304</v>
      </c>
      <c r="R864" s="139"/>
      <c r="S864" s="143"/>
      <c r="T864" s="139"/>
      <c r="U864" s="143"/>
      <c r="V864" s="139" t="s">
        <v>55</v>
      </c>
      <c r="W864" s="143">
        <v>244302</v>
      </c>
      <c r="X864" s="139"/>
      <c r="Y864" s="141"/>
      <c r="Z864" s="119" t="s">
        <v>2489</v>
      </c>
      <c r="AA864" s="144">
        <f>W864-P891</f>
        <v>-10</v>
      </c>
    </row>
    <row r="865" spans="1:27" s="145" customFormat="1" ht="36" customHeight="1" x14ac:dyDescent="0.25">
      <c r="A865" s="119" t="s">
        <v>28</v>
      </c>
      <c r="B865" s="139">
        <v>244303</v>
      </c>
      <c r="C865" s="119" t="s">
        <v>14</v>
      </c>
      <c r="D865" s="166">
        <v>680675</v>
      </c>
      <c r="E865" s="119" t="s">
        <v>426</v>
      </c>
      <c r="F865" s="190">
        <v>68111512</v>
      </c>
      <c r="G865" s="119" t="s">
        <v>2503</v>
      </c>
      <c r="H865" s="187" t="s">
        <v>230</v>
      </c>
      <c r="I865" s="147" t="s">
        <v>428</v>
      </c>
      <c r="J865" s="146">
        <v>131.75</v>
      </c>
      <c r="K865" s="119" t="s">
        <v>200</v>
      </c>
      <c r="L865" s="146">
        <f>J865-129</f>
        <v>2.75</v>
      </c>
      <c r="M865" s="119" t="s">
        <v>2504</v>
      </c>
      <c r="N865" s="213" t="s">
        <v>93</v>
      </c>
      <c r="O865" s="141">
        <f t="shared" ref="O865" si="622">B865</f>
        <v>244303</v>
      </c>
      <c r="P865" s="141">
        <f t="shared" ref="P865" si="623">B865+7</f>
        <v>244310</v>
      </c>
      <c r="Q865" s="141">
        <f t="shared" ref="Q865" si="624">O865+2</f>
        <v>244305</v>
      </c>
      <c r="R865" s="139"/>
      <c r="S865" s="143"/>
      <c r="T865" s="139"/>
      <c r="U865" s="143"/>
      <c r="V865" s="139" t="s">
        <v>55</v>
      </c>
      <c r="W865" s="143">
        <v>244305</v>
      </c>
      <c r="X865" s="139"/>
      <c r="Y865" s="141"/>
      <c r="Z865" s="119" t="s">
        <v>2540</v>
      </c>
      <c r="AA865" s="144">
        <f>W865-P892</f>
        <v>-7</v>
      </c>
    </row>
    <row r="866" spans="1:27" s="145" customFormat="1" ht="36" customHeight="1" x14ac:dyDescent="0.25">
      <c r="A866" s="119" t="s">
        <v>28</v>
      </c>
      <c r="B866" s="139">
        <v>244303</v>
      </c>
      <c r="C866" s="119" t="s">
        <v>14</v>
      </c>
      <c r="D866" s="166">
        <v>680676</v>
      </c>
      <c r="E866" s="119" t="s">
        <v>2505</v>
      </c>
      <c r="F866" s="190">
        <v>68111511</v>
      </c>
      <c r="G866" s="119" t="s">
        <v>2506</v>
      </c>
      <c r="H866" s="187" t="s">
        <v>227</v>
      </c>
      <c r="I866" s="147" t="s">
        <v>2507</v>
      </c>
      <c r="J866" s="146">
        <v>127.97</v>
      </c>
      <c r="K866" s="119" t="s">
        <v>201</v>
      </c>
      <c r="L866" s="146">
        <f>133-J866</f>
        <v>5.0300000000000011</v>
      </c>
      <c r="M866" s="119" t="s">
        <v>2508</v>
      </c>
      <c r="N866" s="213" t="s">
        <v>93</v>
      </c>
      <c r="O866" s="141">
        <f t="shared" si="576"/>
        <v>244303</v>
      </c>
      <c r="P866" s="141">
        <f t="shared" si="577"/>
        <v>244310</v>
      </c>
      <c r="Q866" s="141">
        <f t="shared" si="578"/>
        <v>244305</v>
      </c>
      <c r="R866" s="139" t="s">
        <v>55</v>
      </c>
      <c r="S866" s="143">
        <v>244306</v>
      </c>
      <c r="T866" s="139" t="s">
        <v>55</v>
      </c>
      <c r="U866" s="143">
        <v>244309</v>
      </c>
      <c r="V866" s="139" t="s">
        <v>55</v>
      </c>
      <c r="W866" s="143">
        <v>244308</v>
      </c>
      <c r="X866" s="139"/>
      <c r="Y866" s="141"/>
      <c r="Z866" s="119" t="s">
        <v>2606</v>
      </c>
      <c r="AA866" s="144">
        <f>W866-P902</f>
        <v>-5</v>
      </c>
    </row>
    <row r="867" spans="1:27" s="145" customFormat="1" ht="36" customHeight="1" x14ac:dyDescent="0.25">
      <c r="A867" s="119" t="s">
        <v>28</v>
      </c>
      <c r="B867" s="139">
        <v>244303</v>
      </c>
      <c r="C867" s="119" t="s">
        <v>14</v>
      </c>
      <c r="D867" s="166">
        <v>680677</v>
      </c>
      <c r="E867" s="119" t="s">
        <v>307</v>
      </c>
      <c r="F867" s="190">
        <v>68111517</v>
      </c>
      <c r="G867" s="119" t="s">
        <v>2509</v>
      </c>
      <c r="H867" s="187" t="s">
        <v>265</v>
      </c>
      <c r="I867" s="147" t="s">
        <v>308</v>
      </c>
      <c r="J867" s="146">
        <v>69.27</v>
      </c>
      <c r="K867" s="119" t="s">
        <v>207</v>
      </c>
      <c r="L867" s="146">
        <f>J867-66</f>
        <v>3.269999999999996</v>
      </c>
      <c r="M867" s="119" t="s">
        <v>2510</v>
      </c>
      <c r="N867" s="213" t="s">
        <v>93</v>
      </c>
      <c r="O867" s="141">
        <f t="shared" si="576"/>
        <v>244303</v>
      </c>
      <c r="P867" s="141">
        <f t="shared" si="577"/>
        <v>244310</v>
      </c>
      <c r="Q867" s="141">
        <f t="shared" si="578"/>
        <v>244305</v>
      </c>
      <c r="R867" s="139"/>
      <c r="S867" s="143"/>
      <c r="T867" s="139"/>
      <c r="U867" s="143"/>
      <c r="V867" s="139" t="s">
        <v>55</v>
      </c>
      <c r="W867" s="143">
        <v>244305</v>
      </c>
      <c r="X867" s="139"/>
      <c r="Y867" s="141"/>
      <c r="Z867" s="119" t="s">
        <v>2541</v>
      </c>
      <c r="AA867" s="144">
        <f>W867-P899</f>
        <v>-8</v>
      </c>
    </row>
    <row r="868" spans="1:27" s="145" customFormat="1" ht="36" customHeight="1" x14ac:dyDescent="0.25">
      <c r="A868" s="119" t="s">
        <v>28</v>
      </c>
      <c r="B868" s="139">
        <v>244303</v>
      </c>
      <c r="C868" s="119" t="s">
        <v>14</v>
      </c>
      <c r="D868" s="166">
        <v>680678</v>
      </c>
      <c r="E868" s="119" t="s">
        <v>426</v>
      </c>
      <c r="F868" s="190">
        <v>68111525</v>
      </c>
      <c r="G868" s="119" t="s">
        <v>2511</v>
      </c>
      <c r="H868" s="187" t="s">
        <v>224</v>
      </c>
      <c r="I868" s="147" t="s">
        <v>428</v>
      </c>
      <c r="J868" s="146">
        <v>133.4</v>
      </c>
      <c r="K868" s="119" t="s">
        <v>207</v>
      </c>
      <c r="L868" s="146">
        <f>J868-129</f>
        <v>4.4000000000000057</v>
      </c>
      <c r="M868" s="119" t="s">
        <v>2512</v>
      </c>
      <c r="N868" s="213" t="s">
        <v>93</v>
      </c>
      <c r="O868" s="141">
        <f t="shared" si="576"/>
        <v>244303</v>
      </c>
      <c r="P868" s="141">
        <f t="shared" si="577"/>
        <v>244310</v>
      </c>
      <c r="Q868" s="141">
        <f t="shared" si="578"/>
        <v>244305</v>
      </c>
      <c r="R868" s="139"/>
      <c r="S868" s="143"/>
      <c r="T868" s="139"/>
      <c r="U868" s="143"/>
      <c r="V868" s="139" t="s">
        <v>55</v>
      </c>
      <c r="W868" s="143">
        <v>244305</v>
      </c>
      <c r="X868" s="139"/>
      <c r="Y868" s="141"/>
      <c r="Z868" s="119" t="s">
        <v>2540</v>
      </c>
      <c r="AA868" s="144">
        <f>W868-P900</f>
        <v>-8</v>
      </c>
    </row>
    <row r="869" spans="1:27" s="145" customFormat="1" ht="36" customHeight="1" x14ac:dyDescent="0.25">
      <c r="A869" s="119" t="s">
        <v>28</v>
      </c>
      <c r="B869" s="139">
        <v>244303</v>
      </c>
      <c r="C869" s="119" t="s">
        <v>14</v>
      </c>
      <c r="D869" s="166">
        <v>680678</v>
      </c>
      <c r="E869" s="119" t="s">
        <v>426</v>
      </c>
      <c r="F869" s="190">
        <v>68111526</v>
      </c>
      <c r="G869" s="119" t="s">
        <v>2513</v>
      </c>
      <c r="H869" s="187" t="s">
        <v>271</v>
      </c>
      <c r="I869" s="147" t="s">
        <v>428</v>
      </c>
      <c r="J869" s="146">
        <v>131.07</v>
      </c>
      <c r="K869" s="119" t="s">
        <v>207</v>
      </c>
      <c r="L869" s="146">
        <f>J869-129</f>
        <v>2.0699999999999932</v>
      </c>
      <c r="M869" s="119" t="s">
        <v>2514</v>
      </c>
      <c r="N869" s="213" t="s">
        <v>93</v>
      </c>
      <c r="O869" s="141">
        <f t="shared" ref="O869" si="625">B869</f>
        <v>244303</v>
      </c>
      <c r="P869" s="141">
        <f t="shared" ref="P869" si="626">B869+7</f>
        <v>244310</v>
      </c>
      <c r="Q869" s="141">
        <f t="shared" ref="Q869" si="627">O869+2</f>
        <v>244305</v>
      </c>
      <c r="R869" s="139"/>
      <c r="S869" s="143"/>
      <c r="T869" s="139"/>
      <c r="U869" s="143"/>
      <c r="V869" s="139" t="s">
        <v>55</v>
      </c>
      <c r="W869" s="143">
        <v>244305</v>
      </c>
      <c r="X869" s="139"/>
      <c r="Y869" s="141"/>
      <c r="Z869" s="119" t="s">
        <v>2540</v>
      </c>
      <c r="AA869" s="144">
        <f>W869-P901</f>
        <v>-8</v>
      </c>
    </row>
    <row r="870" spans="1:27" s="145" customFormat="1" ht="36" customHeight="1" x14ac:dyDescent="0.25">
      <c r="A870" s="119" t="s">
        <v>28</v>
      </c>
      <c r="B870" s="139">
        <v>244303</v>
      </c>
      <c r="C870" s="119" t="s">
        <v>14</v>
      </c>
      <c r="D870" s="166">
        <v>680679</v>
      </c>
      <c r="E870" s="119" t="s">
        <v>2505</v>
      </c>
      <c r="F870" s="190">
        <v>68111524</v>
      </c>
      <c r="G870" s="119" t="s">
        <v>2515</v>
      </c>
      <c r="H870" s="187" t="s">
        <v>290</v>
      </c>
      <c r="I870" s="147" t="s">
        <v>2507</v>
      </c>
      <c r="J870" s="146">
        <v>136.38999999999999</v>
      </c>
      <c r="K870" s="119" t="s">
        <v>207</v>
      </c>
      <c r="L870" s="146">
        <f>J870-135</f>
        <v>1.3899999999999864</v>
      </c>
      <c r="M870" s="119" t="s">
        <v>2516</v>
      </c>
      <c r="N870" s="213" t="s">
        <v>93</v>
      </c>
      <c r="O870" s="141">
        <f t="shared" si="576"/>
        <v>244303</v>
      </c>
      <c r="P870" s="141">
        <f t="shared" si="577"/>
        <v>244310</v>
      </c>
      <c r="Q870" s="141">
        <f t="shared" si="578"/>
        <v>244305</v>
      </c>
      <c r="R870" s="139"/>
      <c r="S870" s="143"/>
      <c r="T870" s="139"/>
      <c r="U870" s="143"/>
      <c r="V870" s="139" t="s">
        <v>55</v>
      </c>
      <c r="W870" s="143">
        <v>244305</v>
      </c>
      <c r="X870" s="139"/>
      <c r="Y870" s="141"/>
      <c r="Z870" s="119" t="s">
        <v>2539</v>
      </c>
      <c r="AA870" s="144">
        <f>W870-P902</f>
        <v>-8</v>
      </c>
    </row>
    <row r="871" spans="1:27" s="145" customFormat="1" ht="36" customHeight="1" x14ac:dyDescent="0.25">
      <c r="A871" s="119" t="s">
        <v>28</v>
      </c>
      <c r="B871" s="139">
        <v>244303</v>
      </c>
      <c r="C871" s="119" t="s">
        <v>14</v>
      </c>
      <c r="D871" s="166">
        <v>680680</v>
      </c>
      <c r="E871" s="119" t="s">
        <v>420</v>
      </c>
      <c r="F871" s="190">
        <v>68111531</v>
      </c>
      <c r="G871" s="119" t="s">
        <v>2517</v>
      </c>
      <c r="H871" s="187" t="s">
        <v>272</v>
      </c>
      <c r="I871" s="147" t="s">
        <v>1041</v>
      </c>
      <c r="J871" s="146">
        <v>127.31</v>
      </c>
      <c r="K871" s="119" t="s">
        <v>207</v>
      </c>
      <c r="L871" s="146">
        <f>J871-124</f>
        <v>3.3100000000000023</v>
      </c>
      <c r="M871" s="119" t="s">
        <v>2087</v>
      </c>
      <c r="N871" s="213" t="s">
        <v>93</v>
      </c>
      <c r="O871" s="141">
        <f t="shared" si="576"/>
        <v>244303</v>
      </c>
      <c r="P871" s="141">
        <f t="shared" si="577"/>
        <v>244310</v>
      </c>
      <c r="Q871" s="141">
        <f t="shared" si="578"/>
        <v>244305</v>
      </c>
      <c r="R871" s="139" t="s">
        <v>55</v>
      </c>
      <c r="S871" s="143">
        <v>244306</v>
      </c>
      <c r="T871" s="139" t="s">
        <v>55</v>
      </c>
      <c r="U871" s="143">
        <v>244309</v>
      </c>
      <c r="V871" s="139" t="s">
        <v>55</v>
      </c>
      <c r="W871" s="143">
        <v>244309</v>
      </c>
      <c r="X871" s="139"/>
      <c r="Y871" s="141"/>
      <c r="Z871" s="119" t="s">
        <v>966</v>
      </c>
      <c r="AA871" s="144">
        <f>W871-P904</f>
        <v>-5</v>
      </c>
    </row>
    <row r="872" spans="1:27" s="145" customFormat="1" ht="36" customHeight="1" x14ac:dyDescent="0.25">
      <c r="A872" s="119" t="s">
        <v>28</v>
      </c>
      <c r="B872" s="139">
        <v>244303</v>
      </c>
      <c r="C872" s="119" t="s">
        <v>14</v>
      </c>
      <c r="D872" s="166">
        <v>680681</v>
      </c>
      <c r="E872" s="119" t="s">
        <v>306</v>
      </c>
      <c r="F872" s="190">
        <v>68111529</v>
      </c>
      <c r="G872" s="119" t="s">
        <v>2518</v>
      </c>
      <c r="H872" s="187" t="s">
        <v>282</v>
      </c>
      <c r="I872" s="147" t="s">
        <v>305</v>
      </c>
      <c r="J872" s="146">
        <v>72.06</v>
      </c>
      <c r="K872" s="119" t="s">
        <v>207</v>
      </c>
      <c r="L872" s="146">
        <f>J872-70</f>
        <v>2.0600000000000023</v>
      </c>
      <c r="M872" s="119" t="s">
        <v>2519</v>
      </c>
      <c r="N872" s="213" t="s">
        <v>93</v>
      </c>
      <c r="O872" s="141">
        <f t="shared" si="576"/>
        <v>244303</v>
      </c>
      <c r="P872" s="141">
        <f t="shared" si="577"/>
        <v>244310</v>
      </c>
      <c r="Q872" s="141">
        <f t="shared" si="578"/>
        <v>244305</v>
      </c>
      <c r="R872" s="139" t="s">
        <v>55</v>
      </c>
      <c r="S872" s="143">
        <v>244306</v>
      </c>
      <c r="T872" s="139" t="s">
        <v>55</v>
      </c>
      <c r="U872" s="143">
        <v>244309</v>
      </c>
      <c r="V872" s="139" t="s">
        <v>55</v>
      </c>
      <c r="W872" s="143">
        <v>244308</v>
      </c>
      <c r="X872" s="139"/>
      <c r="Y872" s="141"/>
      <c r="Z872" s="119" t="s">
        <v>2598</v>
      </c>
      <c r="AA872" s="144">
        <f>W872-P907</f>
        <v>-6</v>
      </c>
    </row>
    <row r="873" spans="1:27" s="145" customFormat="1" ht="36" customHeight="1" x14ac:dyDescent="0.25">
      <c r="A873" s="119" t="s">
        <v>28</v>
      </c>
      <c r="B873" s="139">
        <v>244304</v>
      </c>
      <c r="C873" s="119" t="s">
        <v>14</v>
      </c>
      <c r="D873" s="166">
        <v>680682</v>
      </c>
      <c r="E873" s="119" t="s">
        <v>2505</v>
      </c>
      <c r="F873" s="190">
        <v>68111602</v>
      </c>
      <c r="G873" s="119" t="s">
        <v>2520</v>
      </c>
      <c r="H873" s="187" t="s">
        <v>410</v>
      </c>
      <c r="I873" s="147" t="s">
        <v>2507</v>
      </c>
      <c r="J873" s="146">
        <v>136.58000000000001</v>
      </c>
      <c r="K873" s="119" t="s">
        <v>200</v>
      </c>
      <c r="L873" s="146">
        <f>J873-135</f>
        <v>1.5800000000000125</v>
      </c>
      <c r="M873" s="119" t="s">
        <v>2521</v>
      </c>
      <c r="N873" s="119" t="s">
        <v>93</v>
      </c>
      <c r="O873" s="141">
        <f t="shared" si="576"/>
        <v>244304</v>
      </c>
      <c r="P873" s="141">
        <f t="shared" si="577"/>
        <v>244311</v>
      </c>
      <c r="Q873" s="141">
        <f t="shared" si="578"/>
        <v>244306</v>
      </c>
      <c r="R873" s="139"/>
      <c r="S873" s="143"/>
      <c r="T873" s="139"/>
      <c r="U873" s="143"/>
      <c r="V873" s="139" t="s">
        <v>55</v>
      </c>
      <c r="W873" s="143">
        <v>244305</v>
      </c>
      <c r="X873" s="139"/>
      <c r="Y873" s="141"/>
      <c r="Z873" s="119" t="s">
        <v>2539</v>
      </c>
      <c r="AA873" s="144">
        <f>W873-P909</f>
        <v>-10</v>
      </c>
    </row>
    <row r="874" spans="1:27" s="145" customFormat="1" ht="36" customHeight="1" x14ac:dyDescent="0.25">
      <c r="A874" s="119" t="s">
        <v>28</v>
      </c>
      <c r="B874" s="139">
        <v>244304</v>
      </c>
      <c r="C874" s="119" t="s">
        <v>14</v>
      </c>
      <c r="D874" s="166">
        <v>680683</v>
      </c>
      <c r="E874" s="119" t="s">
        <v>426</v>
      </c>
      <c r="F874" s="190">
        <v>68111627</v>
      </c>
      <c r="G874" s="119" t="s">
        <v>2522</v>
      </c>
      <c r="H874" s="187" t="s">
        <v>227</v>
      </c>
      <c r="I874" s="147" t="s">
        <v>428</v>
      </c>
      <c r="J874" s="146" t="s">
        <v>2523</v>
      </c>
      <c r="K874" s="119" t="s">
        <v>2073</v>
      </c>
      <c r="L874" s="146" t="s">
        <v>2524</v>
      </c>
      <c r="M874" s="119" t="s">
        <v>2525</v>
      </c>
      <c r="N874" s="119" t="s">
        <v>93</v>
      </c>
      <c r="O874" s="141">
        <f t="shared" si="576"/>
        <v>244304</v>
      </c>
      <c r="P874" s="141">
        <f t="shared" si="577"/>
        <v>244311</v>
      </c>
      <c r="Q874" s="141">
        <f t="shared" si="578"/>
        <v>244306</v>
      </c>
      <c r="R874" s="139"/>
      <c r="S874" s="143"/>
      <c r="T874" s="139"/>
      <c r="U874" s="143"/>
      <c r="V874" s="139" t="s">
        <v>55</v>
      </c>
      <c r="W874" s="143">
        <v>244305</v>
      </c>
      <c r="X874" s="139"/>
      <c r="Y874" s="141"/>
      <c r="Z874" s="119" t="s">
        <v>2540</v>
      </c>
      <c r="AA874" s="144">
        <f>W874-P910</f>
        <v>-10</v>
      </c>
    </row>
    <row r="875" spans="1:27" s="145" customFormat="1" ht="36" customHeight="1" x14ac:dyDescent="0.25">
      <c r="A875" s="119" t="s">
        <v>28</v>
      </c>
      <c r="B875" s="139">
        <v>244304</v>
      </c>
      <c r="C875" s="119" t="s">
        <v>14</v>
      </c>
      <c r="D875" s="166">
        <v>680684</v>
      </c>
      <c r="E875" s="119" t="s">
        <v>426</v>
      </c>
      <c r="F875" s="190">
        <v>68111626</v>
      </c>
      <c r="G875" s="119" t="s">
        <v>2532</v>
      </c>
      <c r="H875" s="187" t="s">
        <v>2202</v>
      </c>
      <c r="I875" s="147" t="s">
        <v>428</v>
      </c>
      <c r="J875" s="146">
        <v>131.1</v>
      </c>
      <c r="K875" s="146" t="s">
        <v>207</v>
      </c>
      <c r="L875" s="146">
        <f>J875-129</f>
        <v>2.0999999999999943</v>
      </c>
      <c r="M875" s="119" t="s">
        <v>1491</v>
      </c>
      <c r="N875" s="119" t="s">
        <v>93</v>
      </c>
      <c r="O875" s="141">
        <f t="shared" si="576"/>
        <v>244304</v>
      </c>
      <c r="P875" s="141">
        <f t="shared" si="577"/>
        <v>244311</v>
      </c>
      <c r="Q875" s="141">
        <f t="shared" si="578"/>
        <v>244306</v>
      </c>
      <c r="R875" s="139"/>
      <c r="S875" s="143"/>
      <c r="T875" s="139"/>
      <c r="U875" s="143"/>
      <c r="V875" s="139" t="s">
        <v>55</v>
      </c>
      <c r="W875" s="143">
        <v>244305</v>
      </c>
      <c r="X875" s="139"/>
      <c r="Y875" s="141"/>
      <c r="Z875" s="119" t="s">
        <v>2540</v>
      </c>
      <c r="AA875" s="144">
        <f>W875-P891</f>
        <v>-7</v>
      </c>
    </row>
    <row r="876" spans="1:27" s="145" customFormat="1" ht="36" customHeight="1" x14ac:dyDescent="0.25">
      <c r="A876" s="119" t="s">
        <v>28</v>
      </c>
      <c r="B876" s="139">
        <v>244304</v>
      </c>
      <c r="C876" s="119" t="s">
        <v>14</v>
      </c>
      <c r="D876" s="166">
        <v>680684</v>
      </c>
      <c r="E876" s="119" t="s">
        <v>426</v>
      </c>
      <c r="F876" s="190">
        <v>68111628</v>
      </c>
      <c r="G876" s="119" t="s">
        <v>2530</v>
      </c>
      <c r="H876" s="187" t="s">
        <v>271</v>
      </c>
      <c r="I876" s="147" t="s">
        <v>428</v>
      </c>
      <c r="J876" s="146">
        <v>131.62</v>
      </c>
      <c r="K876" s="146" t="s">
        <v>207</v>
      </c>
      <c r="L876" s="146">
        <f>J876-129</f>
        <v>2.6200000000000045</v>
      </c>
      <c r="M876" s="119" t="s">
        <v>2531</v>
      </c>
      <c r="N876" s="119" t="s">
        <v>93</v>
      </c>
      <c r="O876" s="141">
        <f t="shared" ref="O876:O878" si="628">B876</f>
        <v>244304</v>
      </c>
      <c r="P876" s="141">
        <f t="shared" ref="P876:P878" si="629">B876+7</f>
        <v>244311</v>
      </c>
      <c r="Q876" s="141">
        <f t="shared" ref="Q876:Q878" si="630">O876+2</f>
        <v>244306</v>
      </c>
      <c r="R876" s="139"/>
      <c r="S876" s="143"/>
      <c r="T876" s="139"/>
      <c r="U876" s="143"/>
      <c r="V876" s="139" t="s">
        <v>55</v>
      </c>
      <c r="W876" s="143">
        <v>244305</v>
      </c>
      <c r="X876" s="139"/>
      <c r="Y876" s="141"/>
      <c r="Z876" s="119" t="s">
        <v>2540</v>
      </c>
      <c r="AA876" s="144">
        <f>W876-P892</f>
        <v>-7</v>
      </c>
    </row>
    <row r="877" spans="1:27" s="145" customFormat="1" ht="36" customHeight="1" x14ac:dyDescent="0.25">
      <c r="A877" s="119" t="s">
        <v>28</v>
      </c>
      <c r="B877" s="139">
        <v>244304</v>
      </c>
      <c r="C877" s="119" t="s">
        <v>14</v>
      </c>
      <c r="D877" s="166">
        <v>680684</v>
      </c>
      <c r="E877" s="119" t="s">
        <v>426</v>
      </c>
      <c r="F877" s="190">
        <v>68111630</v>
      </c>
      <c r="G877" s="119" t="s">
        <v>2528</v>
      </c>
      <c r="H877" s="187" t="s">
        <v>281</v>
      </c>
      <c r="I877" s="147" t="s">
        <v>428</v>
      </c>
      <c r="J877" s="146">
        <v>130.41999999999999</v>
      </c>
      <c r="K877" s="146" t="s">
        <v>207</v>
      </c>
      <c r="L877" s="146">
        <f>J877-129</f>
        <v>1.4199999999999875</v>
      </c>
      <c r="M877" s="119" t="s">
        <v>2529</v>
      </c>
      <c r="N877" s="119" t="s">
        <v>93</v>
      </c>
      <c r="O877" s="141">
        <f t="shared" si="628"/>
        <v>244304</v>
      </c>
      <c r="P877" s="141">
        <f t="shared" si="629"/>
        <v>244311</v>
      </c>
      <c r="Q877" s="141">
        <f t="shared" si="630"/>
        <v>244306</v>
      </c>
      <c r="R877" s="139"/>
      <c r="S877" s="143"/>
      <c r="T877" s="139"/>
      <c r="U877" s="143"/>
      <c r="V877" s="139" t="s">
        <v>55</v>
      </c>
      <c r="W877" s="143">
        <v>244305</v>
      </c>
      <c r="X877" s="139"/>
      <c r="Y877" s="141"/>
      <c r="Z877" s="119" t="s">
        <v>2540</v>
      </c>
      <c r="AA877" s="144">
        <f>W877-P893</f>
        <v>-8</v>
      </c>
    </row>
    <row r="878" spans="1:27" s="145" customFormat="1" ht="36" customHeight="1" x14ac:dyDescent="0.25">
      <c r="A878" s="119" t="s">
        <v>28</v>
      </c>
      <c r="B878" s="139">
        <v>244304</v>
      </c>
      <c r="C878" s="119" t="s">
        <v>14</v>
      </c>
      <c r="D878" s="166">
        <v>680684</v>
      </c>
      <c r="E878" s="119" t="s">
        <v>426</v>
      </c>
      <c r="F878" s="190">
        <v>68111624</v>
      </c>
      <c r="G878" s="119" t="s">
        <v>2526</v>
      </c>
      <c r="H878" s="187" t="s">
        <v>224</v>
      </c>
      <c r="I878" s="147" t="s">
        <v>428</v>
      </c>
      <c r="J878" s="146">
        <v>133.15</v>
      </c>
      <c r="K878" s="146" t="s">
        <v>207</v>
      </c>
      <c r="L878" s="146">
        <f>J878-129</f>
        <v>4.1500000000000057</v>
      </c>
      <c r="M878" s="119" t="s">
        <v>2527</v>
      </c>
      <c r="N878" s="119" t="s">
        <v>93</v>
      </c>
      <c r="O878" s="141">
        <f t="shared" si="628"/>
        <v>244304</v>
      </c>
      <c r="P878" s="141">
        <f t="shared" si="629"/>
        <v>244311</v>
      </c>
      <c r="Q878" s="141">
        <f t="shared" si="630"/>
        <v>244306</v>
      </c>
      <c r="R878" s="139"/>
      <c r="S878" s="143"/>
      <c r="T878" s="139"/>
      <c r="U878" s="143"/>
      <c r="V878" s="139" t="s">
        <v>55</v>
      </c>
      <c r="W878" s="143">
        <v>244305</v>
      </c>
      <c r="X878" s="139"/>
      <c r="Y878" s="141"/>
      <c r="Z878" s="119" t="s">
        <v>2540</v>
      </c>
      <c r="AA878" s="144">
        <f>W878-P894</f>
        <v>-8</v>
      </c>
    </row>
    <row r="879" spans="1:27" s="145" customFormat="1" ht="36" customHeight="1" x14ac:dyDescent="0.25">
      <c r="A879" s="119" t="s">
        <v>28</v>
      </c>
      <c r="B879" s="139">
        <v>244304</v>
      </c>
      <c r="C879" s="119" t="s">
        <v>14</v>
      </c>
      <c r="D879" s="166">
        <v>680685</v>
      </c>
      <c r="E879" s="119" t="s">
        <v>2505</v>
      </c>
      <c r="F879" s="190">
        <v>68111638</v>
      </c>
      <c r="G879" s="119" t="s">
        <v>2533</v>
      </c>
      <c r="H879" s="187" t="s">
        <v>290</v>
      </c>
      <c r="I879" s="147" t="s">
        <v>2507</v>
      </c>
      <c r="J879" s="119">
        <v>138.13</v>
      </c>
      <c r="K879" s="146" t="s">
        <v>207</v>
      </c>
      <c r="L879" s="119">
        <f>J879-135</f>
        <v>3.1299999999999955</v>
      </c>
      <c r="M879" s="119" t="s">
        <v>2534</v>
      </c>
      <c r="N879" s="119" t="s">
        <v>93</v>
      </c>
      <c r="O879" s="141">
        <f t="shared" si="576"/>
        <v>244304</v>
      </c>
      <c r="P879" s="141">
        <f t="shared" si="577"/>
        <v>244311</v>
      </c>
      <c r="Q879" s="141">
        <f t="shared" si="578"/>
        <v>244306</v>
      </c>
      <c r="R879" s="139"/>
      <c r="S879" s="143"/>
      <c r="T879" s="139"/>
      <c r="U879" s="143"/>
      <c r="V879" s="139" t="s">
        <v>55</v>
      </c>
      <c r="W879" s="143">
        <v>244305</v>
      </c>
      <c r="X879" s="139"/>
      <c r="Y879" s="141"/>
      <c r="Z879" s="119" t="s">
        <v>2539</v>
      </c>
      <c r="AA879" s="144">
        <f>W879-P892</f>
        <v>-7</v>
      </c>
    </row>
    <row r="880" spans="1:27" s="145" customFormat="1" ht="36" customHeight="1" x14ac:dyDescent="0.25">
      <c r="A880" s="119" t="s">
        <v>28</v>
      </c>
      <c r="B880" s="139">
        <v>244304</v>
      </c>
      <c r="C880" s="119" t="s">
        <v>14</v>
      </c>
      <c r="D880" s="166">
        <v>680685</v>
      </c>
      <c r="E880" s="119" t="s">
        <v>2505</v>
      </c>
      <c r="F880" s="190">
        <v>68111639</v>
      </c>
      <c r="G880" s="119" t="s">
        <v>2535</v>
      </c>
      <c r="H880" s="187" t="s">
        <v>264</v>
      </c>
      <c r="I880" s="147" t="s">
        <v>2507</v>
      </c>
      <c r="J880" s="119">
        <v>136.63999999999999</v>
      </c>
      <c r="K880" s="146" t="s">
        <v>207</v>
      </c>
      <c r="L880" s="119">
        <f>J880-135</f>
        <v>1.6399999999999864</v>
      </c>
      <c r="M880" s="119" t="s">
        <v>2536</v>
      </c>
      <c r="N880" s="119" t="s">
        <v>93</v>
      </c>
      <c r="O880" s="141">
        <f t="shared" ref="O880" si="631">B880</f>
        <v>244304</v>
      </c>
      <c r="P880" s="141">
        <f t="shared" ref="P880" si="632">B880+7</f>
        <v>244311</v>
      </c>
      <c r="Q880" s="141">
        <f t="shared" ref="Q880" si="633">O880+2</f>
        <v>244306</v>
      </c>
      <c r="R880" s="139"/>
      <c r="S880" s="143"/>
      <c r="T880" s="139"/>
      <c r="U880" s="143"/>
      <c r="V880" s="139" t="s">
        <v>55</v>
      </c>
      <c r="W880" s="143">
        <v>244305</v>
      </c>
      <c r="X880" s="139"/>
      <c r="Y880" s="141"/>
      <c r="Z880" s="119" t="s">
        <v>2539</v>
      </c>
      <c r="AA880" s="144">
        <f>W880-P893</f>
        <v>-8</v>
      </c>
    </row>
    <row r="881" spans="1:27" s="145" customFormat="1" ht="36" customHeight="1" x14ac:dyDescent="0.25">
      <c r="A881" s="119" t="s">
        <v>28</v>
      </c>
      <c r="B881" s="139">
        <v>244304</v>
      </c>
      <c r="C881" s="119" t="s">
        <v>14</v>
      </c>
      <c r="D881" s="166">
        <v>680686</v>
      </c>
      <c r="E881" s="119" t="s">
        <v>413</v>
      </c>
      <c r="F881" s="190">
        <v>68111640</v>
      </c>
      <c r="G881" s="119" t="s">
        <v>2537</v>
      </c>
      <c r="H881" s="187" t="s">
        <v>263</v>
      </c>
      <c r="I881" s="147" t="s">
        <v>1104</v>
      </c>
      <c r="J881" s="146">
        <v>86.91</v>
      </c>
      <c r="K881" s="146" t="s">
        <v>207</v>
      </c>
      <c r="L881" s="119">
        <v>1.91</v>
      </c>
      <c r="M881" s="119" t="s">
        <v>2538</v>
      </c>
      <c r="N881" s="119" t="s">
        <v>93</v>
      </c>
      <c r="O881" s="141">
        <f t="shared" si="576"/>
        <v>244304</v>
      </c>
      <c r="P881" s="141">
        <f t="shared" si="577"/>
        <v>244311</v>
      </c>
      <c r="Q881" s="141">
        <f t="shared" si="578"/>
        <v>244306</v>
      </c>
      <c r="R881" s="139" t="s">
        <v>55</v>
      </c>
      <c r="S881" s="143">
        <v>244306</v>
      </c>
      <c r="T881" s="139" t="s">
        <v>55</v>
      </c>
      <c r="U881" s="143">
        <v>244309</v>
      </c>
      <c r="V881" s="139" t="s">
        <v>55</v>
      </c>
      <c r="W881" s="143">
        <v>244309</v>
      </c>
      <c r="X881" s="139"/>
      <c r="Y881" s="141"/>
      <c r="Z881" s="119" t="s">
        <v>1334</v>
      </c>
      <c r="AA881" s="144"/>
    </row>
    <row r="882" spans="1:27" s="145" customFormat="1" ht="36" customHeight="1" x14ac:dyDescent="0.25">
      <c r="A882" s="119" t="s">
        <v>28</v>
      </c>
      <c r="B882" s="139">
        <v>244305</v>
      </c>
      <c r="C882" s="119" t="s">
        <v>14</v>
      </c>
      <c r="D882" s="166">
        <v>680687</v>
      </c>
      <c r="E882" s="119" t="s">
        <v>426</v>
      </c>
      <c r="F882" s="190">
        <v>68111706</v>
      </c>
      <c r="G882" s="119" t="s">
        <v>2542</v>
      </c>
      <c r="H882" s="187" t="s">
        <v>2202</v>
      </c>
      <c r="I882" s="147" t="s">
        <v>428</v>
      </c>
      <c r="J882" s="146">
        <v>131.77000000000001</v>
      </c>
      <c r="K882" s="146" t="s">
        <v>207</v>
      </c>
      <c r="L882" s="146">
        <f>J882-129</f>
        <v>2.7700000000000102</v>
      </c>
      <c r="M882" s="119" t="s">
        <v>2543</v>
      </c>
      <c r="N882" s="119" t="s">
        <v>93</v>
      </c>
      <c r="O882" s="141">
        <f t="shared" si="576"/>
        <v>244305</v>
      </c>
      <c r="P882" s="141">
        <f t="shared" si="577"/>
        <v>244312</v>
      </c>
      <c r="Q882" s="141">
        <f t="shared" si="578"/>
        <v>244307</v>
      </c>
      <c r="R882" s="139" t="s">
        <v>55</v>
      </c>
      <c r="S882" s="143">
        <v>244306</v>
      </c>
      <c r="T882" s="139" t="s">
        <v>55</v>
      </c>
      <c r="U882" s="143">
        <v>244309</v>
      </c>
      <c r="V882" s="139" t="s">
        <v>55</v>
      </c>
      <c r="W882" s="143">
        <v>244309</v>
      </c>
      <c r="X882" s="139"/>
      <c r="Y882" s="141"/>
      <c r="Z882" s="119" t="s">
        <v>2613</v>
      </c>
      <c r="AA882" s="144"/>
    </row>
    <row r="883" spans="1:27" s="145" customFormat="1" ht="36" customHeight="1" x14ac:dyDescent="0.25">
      <c r="A883" s="119" t="s">
        <v>28</v>
      </c>
      <c r="B883" s="139">
        <v>244305</v>
      </c>
      <c r="C883" s="119" t="s">
        <v>14</v>
      </c>
      <c r="D883" s="166">
        <v>680687</v>
      </c>
      <c r="E883" s="119" t="s">
        <v>426</v>
      </c>
      <c r="F883" s="190">
        <v>68111712</v>
      </c>
      <c r="G883" s="119" t="s">
        <v>2544</v>
      </c>
      <c r="H883" s="187" t="s">
        <v>271</v>
      </c>
      <c r="I883" s="147" t="s">
        <v>428</v>
      </c>
      <c r="J883" s="146">
        <v>131.04</v>
      </c>
      <c r="K883" s="146" t="s">
        <v>207</v>
      </c>
      <c r="L883" s="146">
        <f>J883-129</f>
        <v>2.039999999999992</v>
      </c>
      <c r="M883" s="119" t="s">
        <v>2545</v>
      </c>
      <c r="N883" s="119" t="s">
        <v>93</v>
      </c>
      <c r="O883" s="141">
        <f t="shared" ref="O883" si="634">B883</f>
        <v>244305</v>
      </c>
      <c r="P883" s="141">
        <f t="shared" ref="P883" si="635">B883+7</f>
        <v>244312</v>
      </c>
      <c r="Q883" s="141">
        <f t="shared" ref="Q883" si="636">O883+2</f>
        <v>244307</v>
      </c>
      <c r="R883" s="139" t="s">
        <v>55</v>
      </c>
      <c r="S883" s="143">
        <v>244307</v>
      </c>
      <c r="T883" s="139" t="s">
        <v>55</v>
      </c>
      <c r="U883" s="143">
        <v>244309</v>
      </c>
      <c r="V883" s="139" t="s">
        <v>55</v>
      </c>
      <c r="W883" s="143">
        <v>244309</v>
      </c>
      <c r="X883" s="139"/>
      <c r="Y883" s="141"/>
      <c r="Z883" s="119" t="s">
        <v>2613</v>
      </c>
      <c r="AA883" s="144"/>
    </row>
    <row r="884" spans="1:27" s="145" customFormat="1" ht="36" customHeight="1" x14ac:dyDescent="0.25">
      <c r="A884" s="119" t="s">
        <v>28</v>
      </c>
      <c r="B884" s="139">
        <v>244305</v>
      </c>
      <c r="C884" s="119" t="s">
        <v>14</v>
      </c>
      <c r="D884" s="166">
        <v>680688</v>
      </c>
      <c r="E884" s="119" t="s">
        <v>2505</v>
      </c>
      <c r="F884" s="190">
        <v>68111704</v>
      </c>
      <c r="G884" s="119" t="s">
        <v>2546</v>
      </c>
      <c r="H884" s="187" t="s">
        <v>221</v>
      </c>
      <c r="I884" s="147" t="s">
        <v>2507</v>
      </c>
      <c r="J884" s="146">
        <v>137.75</v>
      </c>
      <c r="K884" s="119" t="s">
        <v>1288</v>
      </c>
      <c r="L884" s="146">
        <f>J884-135</f>
        <v>2.75</v>
      </c>
      <c r="M884" s="119" t="s">
        <v>2547</v>
      </c>
      <c r="N884" s="119" t="s">
        <v>93</v>
      </c>
      <c r="O884" s="141">
        <f t="shared" si="576"/>
        <v>244305</v>
      </c>
      <c r="P884" s="141">
        <f t="shared" si="577"/>
        <v>244312</v>
      </c>
      <c r="Q884" s="141">
        <f t="shared" si="578"/>
        <v>244307</v>
      </c>
      <c r="R884" s="139" t="s">
        <v>55</v>
      </c>
      <c r="S884" s="143">
        <v>244306</v>
      </c>
      <c r="T884" s="139" t="s">
        <v>55</v>
      </c>
      <c r="U884" s="143">
        <v>244309</v>
      </c>
      <c r="V884" s="139" t="s">
        <v>55</v>
      </c>
      <c r="W884" s="143">
        <v>244308</v>
      </c>
      <c r="X884" s="139"/>
      <c r="Y884" s="141"/>
      <c r="Z884" s="119" t="s">
        <v>2607</v>
      </c>
      <c r="AA884" s="144"/>
    </row>
    <row r="885" spans="1:27" s="145" customFormat="1" ht="36" customHeight="1" x14ac:dyDescent="0.25">
      <c r="A885" s="119" t="s">
        <v>28</v>
      </c>
      <c r="B885" s="139">
        <v>244305</v>
      </c>
      <c r="C885" s="119" t="s">
        <v>14</v>
      </c>
      <c r="D885" s="166">
        <v>680689</v>
      </c>
      <c r="E885" s="119" t="s">
        <v>307</v>
      </c>
      <c r="F885" s="190">
        <v>68111728</v>
      </c>
      <c r="G885" s="119" t="s">
        <v>2548</v>
      </c>
      <c r="H885" s="187" t="s">
        <v>265</v>
      </c>
      <c r="I885" s="147" t="s">
        <v>308</v>
      </c>
      <c r="J885" s="146">
        <v>69.510000000000005</v>
      </c>
      <c r="K885" s="146" t="s">
        <v>207</v>
      </c>
      <c r="L885" s="146">
        <f>J885-66</f>
        <v>3.5100000000000051</v>
      </c>
      <c r="M885" s="119" t="s">
        <v>2549</v>
      </c>
      <c r="N885" s="119" t="s">
        <v>93</v>
      </c>
      <c r="O885" s="141">
        <f t="shared" si="576"/>
        <v>244305</v>
      </c>
      <c r="P885" s="141">
        <f t="shared" si="577"/>
        <v>244312</v>
      </c>
      <c r="Q885" s="141">
        <f t="shared" si="578"/>
        <v>244307</v>
      </c>
      <c r="R885" s="139" t="s">
        <v>55</v>
      </c>
      <c r="S885" s="143">
        <v>244310</v>
      </c>
      <c r="T885" s="139" t="s">
        <v>55</v>
      </c>
      <c r="U885" s="143">
        <v>244315</v>
      </c>
      <c r="V885" s="139" t="s">
        <v>55</v>
      </c>
      <c r="W885" s="143">
        <v>244308</v>
      </c>
      <c r="X885" s="119"/>
      <c r="Y885" s="141"/>
      <c r="Z885" s="119" t="s">
        <v>2601</v>
      </c>
      <c r="AA885" s="144"/>
    </row>
    <row r="886" spans="1:27" s="145" customFormat="1" ht="36" customHeight="1" x14ac:dyDescent="0.25">
      <c r="A886" s="119" t="s">
        <v>28</v>
      </c>
      <c r="B886" s="139">
        <v>244305</v>
      </c>
      <c r="C886" s="119" t="s">
        <v>14</v>
      </c>
      <c r="D886" s="166">
        <v>680689</v>
      </c>
      <c r="E886" s="119" t="s">
        <v>307</v>
      </c>
      <c r="F886" s="190">
        <v>68111729</v>
      </c>
      <c r="G886" s="119" t="s">
        <v>2550</v>
      </c>
      <c r="H886" s="187" t="s">
        <v>215</v>
      </c>
      <c r="I886" s="147" t="s">
        <v>308</v>
      </c>
      <c r="J886" s="146">
        <v>69.12</v>
      </c>
      <c r="K886" s="146" t="s">
        <v>207</v>
      </c>
      <c r="L886" s="146">
        <f>J886-66</f>
        <v>3.1200000000000045</v>
      </c>
      <c r="M886" s="119" t="s">
        <v>2551</v>
      </c>
      <c r="N886" s="119" t="s">
        <v>93</v>
      </c>
      <c r="O886" s="141">
        <f t="shared" ref="O886" si="637">B886</f>
        <v>244305</v>
      </c>
      <c r="P886" s="141">
        <f t="shared" ref="P886" si="638">B886+7</f>
        <v>244312</v>
      </c>
      <c r="Q886" s="141">
        <f t="shared" ref="Q886" si="639">O886+2</f>
        <v>244307</v>
      </c>
      <c r="R886" s="139" t="s">
        <v>55</v>
      </c>
      <c r="S886" s="143">
        <v>244310</v>
      </c>
      <c r="T886" s="139" t="s">
        <v>55</v>
      </c>
      <c r="U886" s="143">
        <v>244315</v>
      </c>
      <c r="V886" s="139" t="s">
        <v>55</v>
      </c>
      <c r="W886" s="143">
        <v>244308</v>
      </c>
      <c r="X886" s="119"/>
      <c r="Y886" s="141"/>
      <c r="Z886" s="119" t="s">
        <v>2601</v>
      </c>
      <c r="AA886" s="144"/>
    </row>
    <row r="887" spans="1:27" s="145" customFormat="1" ht="36" customHeight="1" x14ac:dyDescent="0.25">
      <c r="A887" s="119" t="s">
        <v>28</v>
      </c>
      <c r="B887" s="139">
        <v>244305</v>
      </c>
      <c r="C887" s="119" t="s">
        <v>14</v>
      </c>
      <c r="D887" s="166">
        <v>680690</v>
      </c>
      <c r="E887" s="119" t="s">
        <v>2505</v>
      </c>
      <c r="F887" s="190">
        <v>68111743</v>
      </c>
      <c r="G887" s="119" t="s">
        <v>2552</v>
      </c>
      <c r="H887" s="187" t="s">
        <v>264</v>
      </c>
      <c r="I887" s="147" t="s">
        <v>2507</v>
      </c>
      <c r="J887" s="119">
        <v>136.34</v>
      </c>
      <c r="K887" s="146" t="s">
        <v>207</v>
      </c>
      <c r="L887" s="119">
        <f>J887-135</f>
        <v>1.3400000000000034</v>
      </c>
      <c r="M887" s="119" t="s">
        <v>2553</v>
      </c>
      <c r="N887" s="119" t="s">
        <v>93</v>
      </c>
      <c r="O887" s="141">
        <f t="shared" si="576"/>
        <v>244305</v>
      </c>
      <c r="P887" s="141">
        <f t="shared" si="577"/>
        <v>244312</v>
      </c>
      <c r="Q887" s="141">
        <f t="shared" si="578"/>
        <v>244307</v>
      </c>
      <c r="R887" s="139" t="s">
        <v>55</v>
      </c>
      <c r="S887" s="143">
        <v>244306</v>
      </c>
      <c r="T887" s="139" t="s">
        <v>55</v>
      </c>
      <c r="U887" s="143">
        <v>244309</v>
      </c>
      <c r="V887" s="139" t="s">
        <v>55</v>
      </c>
      <c r="W887" s="143">
        <v>244308</v>
      </c>
      <c r="X887" s="139"/>
      <c r="Y887" s="141"/>
      <c r="Z887" s="119" t="s">
        <v>2607</v>
      </c>
      <c r="AA887" s="144"/>
    </row>
    <row r="888" spans="1:27" s="145" customFormat="1" ht="36" customHeight="1" x14ac:dyDescent="0.25">
      <c r="A888" s="119" t="s">
        <v>28</v>
      </c>
      <c r="B888" s="139">
        <v>244305</v>
      </c>
      <c r="C888" s="119" t="s">
        <v>14</v>
      </c>
      <c r="D888" s="166">
        <v>680691</v>
      </c>
      <c r="E888" s="119" t="s">
        <v>2505</v>
      </c>
      <c r="F888" s="190">
        <v>68111742</v>
      </c>
      <c r="G888" s="119" t="s">
        <v>2554</v>
      </c>
      <c r="H888" s="187" t="s">
        <v>247</v>
      </c>
      <c r="I888" s="147" t="s">
        <v>2507</v>
      </c>
      <c r="J888" s="119">
        <v>130.87</v>
      </c>
      <c r="K888" s="119" t="s">
        <v>201</v>
      </c>
      <c r="L888" s="119">
        <f>133-J888</f>
        <v>2.1299999999999955</v>
      </c>
      <c r="M888" s="119" t="s">
        <v>2555</v>
      </c>
      <c r="N888" s="119" t="s">
        <v>93</v>
      </c>
      <c r="O888" s="141">
        <f t="shared" si="576"/>
        <v>244305</v>
      </c>
      <c r="P888" s="141">
        <f t="shared" si="577"/>
        <v>244312</v>
      </c>
      <c r="Q888" s="141">
        <f t="shared" si="578"/>
        <v>244307</v>
      </c>
      <c r="R888" s="139" t="s">
        <v>55</v>
      </c>
      <c r="S888" s="143">
        <v>244306</v>
      </c>
      <c r="T888" s="139" t="s">
        <v>55</v>
      </c>
      <c r="U888" s="143">
        <v>244309</v>
      </c>
      <c r="V888" s="139" t="s">
        <v>55</v>
      </c>
      <c r="W888" s="143">
        <v>244308</v>
      </c>
      <c r="X888" s="139"/>
      <c r="Y888" s="141"/>
      <c r="Z888" s="119" t="s">
        <v>2607</v>
      </c>
      <c r="AA888" s="144"/>
    </row>
    <row r="889" spans="1:27" s="145" customFormat="1" ht="36" customHeight="1" x14ac:dyDescent="0.25">
      <c r="A889" s="119" t="s">
        <v>28</v>
      </c>
      <c r="B889" s="139">
        <v>244305</v>
      </c>
      <c r="C889" s="119" t="s">
        <v>14</v>
      </c>
      <c r="D889" s="166">
        <v>680692</v>
      </c>
      <c r="E889" s="119" t="s">
        <v>433</v>
      </c>
      <c r="F889" s="190">
        <v>68111741</v>
      </c>
      <c r="G889" s="119" t="s">
        <v>2556</v>
      </c>
      <c r="H889" s="187" t="s">
        <v>241</v>
      </c>
      <c r="I889" s="147" t="s">
        <v>304</v>
      </c>
      <c r="J889" s="119">
        <v>82.92</v>
      </c>
      <c r="K889" s="146" t="s">
        <v>207</v>
      </c>
      <c r="L889" s="119">
        <f>J889-78</f>
        <v>4.9200000000000017</v>
      </c>
      <c r="M889" s="119" t="s">
        <v>2557</v>
      </c>
      <c r="N889" s="119" t="s">
        <v>93</v>
      </c>
      <c r="O889" s="141">
        <f t="shared" si="576"/>
        <v>244305</v>
      </c>
      <c r="P889" s="141">
        <f t="shared" si="577"/>
        <v>244312</v>
      </c>
      <c r="Q889" s="141">
        <f t="shared" si="578"/>
        <v>244307</v>
      </c>
      <c r="R889" s="139" t="s">
        <v>55</v>
      </c>
      <c r="S889" s="143">
        <v>244306</v>
      </c>
      <c r="T889" s="139" t="s">
        <v>55</v>
      </c>
      <c r="U889" s="143">
        <v>244309</v>
      </c>
      <c r="V889" s="139" t="s">
        <v>55</v>
      </c>
      <c r="W889" s="143">
        <v>244309</v>
      </c>
      <c r="X889" s="139"/>
      <c r="Y889" s="141"/>
      <c r="Z889" s="119" t="s">
        <v>2255</v>
      </c>
      <c r="AA889" s="144"/>
    </row>
    <row r="890" spans="1:27" s="145" customFormat="1" ht="36" customHeight="1" x14ac:dyDescent="0.25">
      <c r="A890" s="119" t="s">
        <v>28</v>
      </c>
      <c r="B890" s="139">
        <v>244305</v>
      </c>
      <c r="C890" s="119" t="s">
        <v>14</v>
      </c>
      <c r="D890" s="166">
        <v>680693</v>
      </c>
      <c r="E890" s="119" t="s">
        <v>426</v>
      </c>
      <c r="F890" s="190">
        <v>68111744</v>
      </c>
      <c r="G890" s="119" t="s">
        <v>2558</v>
      </c>
      <c r="H890" s="187" t="s">
        <v>281</v>
      </c>
      <c r="I890" s="147" t="s">
        <v>428</v>
      </c>
      <c r="J890" s="146">
        <v>130.77000000000001</v>
      </c>
      <c r="K890" s="146" t="s">
        <v>207</v>
      </c>
      <c r="L890" s="146">
        <f>J890-129</f>
        <v>1.7700000000000102</v>
      </c>
      <c r="M890" s="119" t="s">
        <v>2559</v>
      </c>
      <c r="N890" s="119" t="s">
        <v>93</v>
      </c>
      <c r="O890" s="141">
        <f t="shared" ref="O890" si="640">B890</f>
        <v>244305</v>
      </c>
      <c r="P890" s="141">
        <f t="shared" ref="P890" si="641">B890+7</f>
        <v>244312</v>
      </c>
      <c r="Q890" s="141">
        <f t="shared" ref="Q890" si="642">O890+2</f>
        <v>244307</v>
      </c>
      <c r="R890" s="139" t="s">
        <v>55</v>
      </c>
      <c r="S890" s="143">
        <v>244307</v>
      </c>
      <c r="T890" s="139" t="s">
        <v>55</v>
      </c>
      <c r="U890" s="143">
        <v>244309</v>
      </c>
      <c r="V890" s="139" t="s">
        <v>55</v>
      </c>
      <c r="W890" s="143">
        <v>244309</v>
      </c>
      <c r="X890" s="139"/>
      <c r="Y890" s="141"/>
      <c r="Z890" s="119" t="s">
        <v>2614</v>
      </c>
      <c r="AA890" s="144">
        <f>W890-P901</f>
        <v>-4</v>
      </c>
    </row>
    <row r="891" spans="1:27" s="145" customFormat="1" ht="36" customHeight="1" x14ac:dyDescent="0.25">
      <c r="A891" s="119" t="s">
        <v>28</v>
      </c>
      <c r="B891" s="139">
        <v>244305</v>
      </c>
      <c r="C891" s="119" t="s">
        <v>14</v>
      </c>
      <c r="D891" s="166">
        <v>680694</v>
      </c>
      <c r="E891" s="119" t="s">
        <v>307</v>
      </c>
      <c r="F891" s="190">
        <v>68111764</v>
      </c>
      <c r="G891" s="119" t="s">
        <v>2560</v>
      </c>
      <c r="H891" s="187" t="s">
        <v>236</v>
      </c>
      <c r="I891" s="147" t="s">
        <v>308</v>
      </c>
      <c r="J891" s="146">
        <v>70.37</v>
      </c>
      <c r="K891" s="146" t="s">
        <v>207</v>
      </c>
      <c r="L891" s="146">
        <f>J891-66</f>
        <v>4.3700000000000045</v>
      </c>
      <c r="M891" s="119" t="s">
        <v>2561</v>
      </c>
      <c r="N891" s="119" t="s">
        <v>93</v>
      </c>
      <c r="O891" s="141">
        <f t="shared" si="576"/>
        <v>244305</v>
      </c>
      <c r="P891" s="141">
        <f t="shared" si="577"/>
        <v>244312</v>
      </c>
      <c r="Q891" s="141">
        <f t="shared" si="578"/>
        <v>244307</v>
      </c>
      <c r="R891" s="139"/>
      <c r="S891" s="143"/>
      <c r="T891" s="139"/>
      <c r="U891" s="143"/>
      <c r="V891" s="139" t="s">
        <v>55</v>
      </c>
      <c r="W891" s="143">
        <v>244308</v>
      </c>
      <c r="X891" s="119"/>
      <c r="Y891" s="141"/>
      <c r="Z891" s="119" t="s">
        <v>2601</v>
      </c>
      <c r="AA891" s="144">
        <f>W891-P902</f>
        <v>-5</v>
      </c>
    </row>
    <row r="892" spans="1:27" s="145" customFormat="1" ht="36" customHeight="1" x14ac:dyDescent="0.25">
      <c r="A892" s="119" t="s">
        <v>28</v>
      </c>
      <c r="B892" s="139">
        <v>244305</v>
      </c>
      <c r="C892" s="119" t="s">
        <v>14</v>
      </c>
      <c r="D892" s="166">
        <v>680695</v>
      </c>
      <c r="E892" s="119" t="s">
        <v>426</v>
      </c>
      <c r="F892" s="190">
        <v>68111757</v>
      </c>
      <c r="G892" s="119" t="s">
        <v>2562</v>
      </c>
      <c r="H892" s="187" t="s">
        <v>289</v>
      </c>
      <c r="I892" s="147" t="s">
        <v>428</v>
      </c>
      <c r="J892" s="146">
        <v>133.06</v>
      </c>
      <c r="K892" s="146" t="s">
        <v>200</v>
      </c>
      <c r="L892" s="146">
        <f>J892-129</f>
        <v>4.0600000000000023</v>
      </c>
      <c r="M892" s="119" t="s">
        <v>2563</v>
      </c>
      <c r="N892" s="119" t="s">
        <v>93</v>
      </c>
      <c r="O892" s="141">
        <f t="shared" si="576"/>
        <v>244305</v>
      </c>
      <c r="P892" s="141">
        <f t="shared" si="577"/>
        <v>244312</v>
      </c>
      <c r="Q892" s="141">
        <f t="shared" si="578"/>
        <v>244307</v>
      </c>
      <c r="R892" s="139"/>
      <c r="S892" s="143"/>
      <c r="T892" s="139"/>
      <c r="U892" s="143"/>
      <c r="V892" s="139" t="s">
        <v>55</v>
      </c>
      <c r="W892" s="143" t="s">
        <v>2568</v>
      </c>
      <c r="X892" s="139"/>
      <c r="Y892" s="141"/>
      <c r="Z892" s="119" t="s">
        <v>2569</v>
      </c>
      <c r="AA892" s="144"/>
    </row>
    <row r="893" spans="1:27" s="145" customFormat="1" ht="36" customHeight="1" x14ac:dyDescent="0.25">
      <c r="A893" s="119" t="s">
        <v>28</v>
      </c>
      <c r="B893" s="139">
        <v>244306</v>
      </c>
      <c r="C893" s="119" t="s">
        <v>14</v>
      </c>
      <c r="D893" s="166">
        <v>680696</v>
      </c>
      <c r="E893" s="119" t="s">
        <v>426</v>
      </c>
      <c r="F893" s="190">
        <v>68111806</v>
      </c>
      <c r="G893" s="119" t="s">
        <v>2564</v>
      </c>
      <c r="H893" s="187" t="s">
        <v>211</v>
      </c>
      <c r="I893" s="147" t="s">
        <v>428</v>
      </c>
      <c r="J893" s="146">
        <v>130.37</v>
      </c>
      <c r="K893" s="146" t="s">
        <v>207</v>
      </c>
      <c r="L893" s="146">
        <f>J893-129</f>
        <v>1.3700000000000045</v>
      </c>
      <c r="M893" s="119" t="s">
        <v>2543</v>
      </c>
      <c r="N893" s="119" t="s">
        <v>93</v>
      </c>
      <c r="O893" s="141">
        <f t="shared" si="576"/>
        <v>244306</v>
      </c>
      <c r="P893" s="141">
        <f t="shared" si="577"/>
        <v>244313</v>
      </c>
      <c r="Q893" s="141">
        <f t="shared" si="578"/>
        <v>244308</v>
      </c>
      <c r="R893" s="139"/>
      <c r="S893" s="143"/>
      <c r="T893" s="139"/>
      <c r="U893" s="143"/>
      <c r="V893" s="139" t="s">
        <v>55</v>
      </c>
      <c r="W893" s="143" t="s">
        <v>2568</v>
      </c>
      <c r="X893" s="139"/>
      <c r="Y893" s="141"/>
      <c r="Z893" s="119" t="s">
        <v>2569</v>
      </c>
      <c r="AA893" s="144" t="e">
        <f>W893-P904</f>
        <v>#VALUE!</v>
      </c>
    </row>
    <row r="894" spans="1:27" s="145" customFormat="1" ht="36" customHeight="1" x14ac:dyDescent="0.25">
      <c r="A894" s="119" t="s">
        <v>28</v>
      </c>
      <c r="B894" s="139">
        <v>244306</v>
      </c>
      <c r="C894" s="119" t="s">
        <v>14</v>
      </c>
      <c r="D894" s="166">
        <v>680696</v>
      </c>
      <c r="E894" s="119" t="s">
        <v>426</v>
      </c>
      <c r="F894" s="190">
        <v>68111804</v>
      </c>
      <c r="G894" s="119" t="s">
        <v>2565</v>
      </c>
      <c r="H894" s="187" t="s">
        <v>224</v>
      </c>
      <c r="I894" s="147" t="s">
        <v>428</v>
      </c>
      <c r="J894" s="146">
        <v>130.16999999999999</v>
      </c>
      <c r="K894" s="146" t="s">
        <v>207</v>
      </c>
      <c r="L894" s="146">
        <f>J894-129</f>
        <v>1.1699999999999875</v>
      </c>
      <c r="M894" s="119" t="s">
        <v>2592</v>
      </c>
      <c r="N894" s="119" t="s">
        <v>93</v>
      </c>
      <c r="O894" s="141">
        <f t="shared" ref="O894" si="643">B894</f>
        <v>244306</v>
      </c>
      <c r="P894" s="141">
        <f t="shared" ref="P894" si="644">B894+7</f>
        <v>244313</v>
      </c>
      <c r="Q894" s="141">
        <f t="shared" ref="Q894" si="645">O894+2</f>
        <v>244308</v>
      </c>
      <c r="R894" s="139"/>
      <c r="S894" s="143"/>
      <c r="T894" s="139"/>
      <c r="U894" s="143"/>
      <c r="V894" s="139" t="s">
        <v>55</v>
      </c>
      <c r="W894" s="143" t="s">
        <v>2568</v>
      </c>
      <c r="X894" s="139"/>
      <c r="Y894" s="141"/>
      <c r="Z894" s="119" t="s">
        <v>2569</v>
      </c>
      <c r="AA894" s="144" t="e">
        <f>W894-P905</f>
        <v>#VALUE!</v>
      </c>
    </row>
    <row r="895" spans="1:27" s="145" customFormat="1" ht="36" customHeight="1" x14ac:dyDescent="0.25">
      <c r="A895" s="119" t="s">
        <v>28</v>
      </c>
      <c r="B895" s="139">
        <v>244306</v>
      </c>
      <c r="C895" s="119" t="s">
        <v>14</v>
      </c>
      <c r="D895" s="166">
        <v>680697</v>
      </c>
      <c r="E895" s="119" t="s">
        <v>426</v>
      </c>
      <c r="F895" s="190">
        <v>68111805</v>
      </c>
      <c r="G895" s="119" t="s">
        <v>2566</v>
      </c>
      <c r="H895" s="187" t="s">
        <v>231</v>
      </c>
      <c r="I895" s="147" t="s">
        <v>428</v>
      </c>
      <c r="J895" s="146">
        <v>126.06</v>
      </c>
      <c r="K895" s="119" t="s">
        <v>411</v>
      </c>
      <c r="L895" s="146">
        <f>127-J895</f>
        <v>0.93999999999999773</v>
      </c>
      <c r="M895" s="119" t="s">
        <v>2567</v>
      </c>
      <c r="N895" s="119" t="s">
        <v>93</v>
      </c>
      <c r="O895" s="141">
        <f t="shared" ref="O895" si="646">B895</f>
        <v>244306</v>
      </c>
      <c r="P895" s="141">
        <f t="shared" ref="P895" si="647">B895+7</f>
        <v>244313</v>
      </c>
      <c r="Q895" s="141">
        <f t="shared" ref="Q895" si="648">O895+2</f>
        <v>244308</v>
      </c>
      <c r="R895" s="139"/>
      <c r="S895" s="143"/>
      <c r="T895" s="139"/>
      <c r="U895" s="143"/>
      <c r="V895" s="139" t="s">
        <v>55</v>
      </c>
      <c r="W895" s="143" t="s">
        <v>2568</v>
      </c>
      <c r="X895" s="139"/>
      <c r="Y895" s="141"/>
      <c r="Z895" s="119" t="s">
        <v>2569</v>
      </c>
      <c r="AA895" s="144" t="e">
        <f>W895-P906</f>
        <v>#VALUE!</v>
      </c>
    </row>
    <row r="896" spans="1:27" s="145" customFormat="1" ht="36" customHeight="1" x14ac:dyDescent="0.25">
      <c r="A896" s="119" t="s">
        <v>28</v>
      </c>
      <c r="B896" s="139">
        <v>244306</v>
      </c>
      <c r="C896" s="119" t="s">
        <v>14</v>
      </c>
      <c r="D896" s="166">
        <v>680698</v>
      </c>
      <c r="E896" s="119" t="s">
        <v>426</v>
      </c>
      <c r="F896" s="190">
        <v>68111809</v>
      </c>
      <c r="G896" s="119" t="s">
        <v>2570</v>
      </c>
      <c r="H896" s="187" t="s">
        <v>230</v>
      </c>
      <c r="I896" s="147" t="s">
        <v>428</v>
      </c>
      <c r="J896" s="146">
        <v>132.84</v>
      </c>
      <c r="K896" s="146" t="s">
        <v>200</v>
      </c>
      <c r="L896" s="146">
        <f>J896-129</f>
        <v>3.8400000000000034</v>
      </c>
      <c r="M896" s="119" t="s">
        <v>2571</v>
      </c>
      <c r="N896" s="119" t="s">
        <v>93</v>
      </c>
      <c r="O896" s="141">
        <f t="shared" ref="O896" si="649">B896</f>
        <v>244306</v>
      </c>
      <c r="P896" s="141">
        <f t="shared" ref="P896" si="650">B896+7</f>
        <v>244313</v>
      </c>
      <c r="Q896" s="141">
        <f t="shared" ref="Q896" si="651">O896+2</f>
        <v>244308</v>
      </c>
      <c r="R896" s="139"/>
      <c r="S896" s="143"/>
      <c r="T896" s="139"/>
      <c r="U896" s="143"/>
      <c r="V896" s="139" t="s">
        <v>55</v>
      </c>
      <c r="W896" s="143" t="s">
        <v>2568</v>
      </c>
      <c r="X896" s="139"/>
      <c r="Y896" s="141"/>
      <c r="Z896" s="119" t="s">
        <v>2569</v>
      </c>
      <c r="AA896" s="144"/>
    </row>
    <row r="897" spans="1:27" s="145" customFormat="1" ht="36" customHeight="1" x14ac:dyDescent="0.25">
      <c r="A897" s="119" t="s">
        <v>28</v>
      </c>
      <c r="B897" s="139">
        <v>244306</v>
      </c>
      <c r="C897" s="119" t="s">
        <v>14</v>
      </c>
      <c r="D897" s="166">
        <v>680699</v>
      </c>
      <c r="E897" s="119" t="s">
        <v>2505</v>
      </c>
      <c r="F897" s="190">
        <v>68111807</v>
      </c>
      <c r="G897" s="119" t="s">
        <v>2572</v>
      </c>
      <c r="H897" s="187" t="s">
        <v>221</v>
      </c>
      <c r="I897" s="147" t="s">
        <v>2507</v>
      </c>
      <c r="J897" s="146">
        <v>137.47999999999999</v>
      </c>
      <c r="K897" s="146" t="s">
        <v>200</v>
      </c>
      <c r="L897" s="146">
        <f>J897-135</f>
        <v>2.4799999999999898</v>
      </c>
      <c r="M897" s="214" t="s">
        <v>2573</v>
      </c>
      <c r="N897" s="119" t="s">
        <v>93</v>
      </c>
      <c r="O897" s="141">
        <f t="shared" ref="O897:O970" si="652">B897</f>
        <v>244306</v>
      </c>
      <c r="P897" s="141">
        <f t="shared" si="577"/>
        <v>244313</v>
      </c>
      <c r="Q897" s="141">
        <f t="shared" ref="Q897:Q970" si="653">O897+2</f>
        <v>244308</v>
      </c>
      <c r="R897" s="139"/>
      <c r="S897" s="143"/>
      <c r="T897" s="139"/>
      <c r="U897" s="143"/>
      <c r="V897" s="139" t="s">
        <v>55</v>
      </c>
      <c r="W897" s="143">
        <v>244308</v>
      </c>
      <c r="X897" s="119" t="s">
        <v>2607</v>
      </c>
      <c r="Y897" s="141"/>
      <c r="Z897" s="119" t="s">
        <v>2607</v>
      </c>
      <c r="AA897" s="144">
        <f>W897-P907</f>
        <v>-6</v>
      </c>
    </row>
    <row r="898" spans="1:27" s="145" customFormat="1" ht="36" customHeight="1" x14ac:dyDescent="0.25">
      <c r="A898" s="119" t="s">
        <v>28</v>
      </c>
      <c r="B898" s="139">
        <v>244306</v>
      </c>
      <c r="C898" s="119" t="s">
        <v>14</v>
      </c>
      <c r="D898" s="166">
        <v>680700</v>
      </c>
      <c r="E898" s="119" t="s">
        <v>307</v>
      </c>
      <c r="F898" s="190">
        <v>68111829</v>
      </c>
      <c r="G898" s="119" t="s">
        <v>2580</v>
      </c>
      <c r="H898" s="187" t="s">
        <v>265</v>
      </c>
      <c r="I898" s="147" t="s">
        <v>308</v>
      </c>
      <c r="J898" s="146">
        <v>68.040000000000006</v>
      </c>
      <c r="K898" s="146" t="s">
        <v>200</v>
      </c>
      <c r="L898" s="146">
        <f>J898-66</f>
        <v>2.0400000000000063</v>
      </c>
      <c r="M898" s="119" t="s">
        <v>2581</v>
      </c>
      <c r="N898" s="119" t="s">
        <v>93</v>
      </c>
      <c r="O898" s="141">
        <f t="shared" si="652"/>
        <v>244306</v>
      </c>
      <c r="P898" s="141">
        <f t="shared" ref="P898:P971" si="654">B898+7</f>
        <v>244313</v>
      </c>
      <c r="Q898" s="141">
        <f t="shared" si="653"/>
        <v>244308</v>
      </c>
      <c r="R898" s="139"/>
      <c r="S898" s="143"/>
      <c r="T898" s="139"/>
      <c r="U898" s="143"/>
      <c r="V898" s="139" t="s">
        <v>55</v>
      </c>
      <c r="W898" s="143">
        <v>244308</v>
      </c>
      <c r="X898" s="119"/>
      <c r="Y898" s="141"/>
      <c r="Z898" s="119" t="s">
        <v>2601</v>
      </c>
      <c r="AA898" s="144">
        <f>W898-P910</f>
        <v>-7</v>
      </c>
    </row>
    <row r="899" spans="1:27" s="145" customFormat="1" ht="36" customHeight="1" x14ac:dyDescent="0.25">
      <c r="A899" s="119" t="s">
        <v>28</v>
      </c>
      <c r="B899" s="139">
        <v>244306</v>
      </c>
      <c r="C899" s="119" t="s">
        <v>14</v>
      </c>
      <c r="D899" s="166">
        <v>680701</v>
      </c>
      <c r="E899" s="119" t="s">
        <v>426</v>
      </c>
      <c r="F899" s="190">
        <v>68111811</v>
      </c>
      <c r="G899" s="119" t="s">
        <v>2574</v>
      </c>
      <c r="H899" s="187" t="s">
        <v>247</v>
      </c>
      <c r="I899" s="147" t="s">
        <v>428</v>
      </c>
      <c r="J899" s="146">
        <v>130.86000000000001</v>
      </c>
      <c r="K899" s="146" t="s">
        <v>207</v>
      </c>
      <c r="L899" s="146">
        <f>J899-129</f>
        <v>1.8600000000000136</v>
      </c>
      <c r="M899" s="119" t="s">
        <v>2575</v>
      </c>
      <c r="N899" s="119" t="s">
        <v>93</v>
      </c>
      <c r="O899" s="141">
        <f t="shared" si="652"/>
        <v>244306</v>
      </c>
      <c r="P899" s="141">
        <f t="shared" si="654"/>
        <v>244313</v>
      </c>
      <c r="Q899" s="141">
        <f t="shared" si="653"/>
        <v>244308</v>
      </c>
      <c r="R899" s="139"/>
      <c r="S899" s="143"/>
      <c r="T899" s="139"/>
      <c r="U899" s="143"/>
      <c r="V899" s="139" t="s">
        <v>55</v>
      </c>
      <c r="W899" s="143" t="s">
        <v>2568</v>
      </c>
      <c r="X899" s="139"/>
      <c r="Y899" s="141"/>
      <c r="Z899" s="119" t="s">
        <v>2569</v>
      </c>
      <c r="AA899" s="144"/>
    </row>
    <row r="900" spans="1:27" s="145" customFormat="1" ht="36" customHeight="1" x14ac:dyDescent="0.25">
      <c r="A900" s="119" t="s">
        <v>28</v>
      </c>
      <c r="B900" s="139">
        <v>244306</v>
      </c>
      <c r="C900" s="119" t="s">
        <v>14</v>
      </c>
      <c r="D900" s="166">
        <v>680702</v>
      </c>
      <c r="E900" s="119" t="s">
        <v>2505</v>
      </c>
      <c r="F900" s="190">
        <v>68111810</v>
      </c>
      <c r="G900" s="119" t="s">
        <v>2582</v>
      </c>
      <c r="H900" s="187" t="s">
        <v>290</v>
      </c>
      <c r="I900" s="147" t="s">
        <v>2507</v>
      </c>
      <c r="J900" s="146">
        <v>130.58000000000001</v>
      </c>
      <c r="K900" s="119" t="s">
        <v>201</v>
      </c>
      <c r="L900" s="146">
        <f>133-J900</f>
        <v>2.4199999999999875</v>
      </c>
      <c r="M900" s="119" t="s">
        <v>672</v>
      </c>
      <c r="N900" s="119" t="s">
        <v>93</v>
      </c>
      <c r="O900" s="141">
        <f t="shared" si="652"/>
        <v>244306</v>
      </c>
      <c r="P900" s="141">
        <f t="shared" si="654"/>
        <v>244313</v>
      </c>
      <c r="Q900" s="141">
        <f t="shared" si="653"/>
        <v>244308</v>
      </c>
      <c r="R900" s="139"/>
      <c r="S900" s="143"/>
      <c r="T900" s="139"/>
      <c r="U900" s="143"/>
      <c r="V900" s="139" t="s">
        <v>55</v>
      </c>
      <c r="W900" s="143">
        <v>244308</v>
      </c>
      <c r="X900" s="119" t="s">
        <v>2606</v>
      </c>
      <c r="Y900" s="141"/>
      <c r="Z900" s="119" t="s">
        <v>2606</v>
      </c>
      <c r="AA900" s="144" t="e">
        <f>W900-#REF!</f>
        <v>#REF!</v>
      </c>
    </row>
    <row r="901" spans="1:27" s="145" customFormat="1" ht="36" customHeight="1" x14ac:dyDescent="0.25">
      <c r="A901" s="119" t="s">
        <v>28</v>
      </c>
      <c r="B901" s="139">
        <v>244306</v>
      </c>
      <c r="C901" s="119" t="s">
        <v>14</v>
      </c>
      <c r="D901" s="166">
        <v>680703</v>
      </c>
      <c r="E901" s="119" t="s">
        <v>426</v>
      </c>
      <c r="F901" s="190">
        <v>68111838</v>
      </c>
      <c r="G901" s="119" t="s">
        <v>2576</v>
      </c>
      <c r="H901" s="187" t="s">
        <v>281</v>
      </c>
      <c r="I901" s="147" t="s">
        <v>428</v>
      </c>
      <c r="J901" s="146">
        <v>130.82</v>
      </c>
      <c r="K901" s="146" t="s">
        <v>207</v>
      </c>
      <c r="L901" s="146">
        <f>J901-129</f>
        <v>1.8199999999999932</v>
      </c>
      <c r="M901" s="119" t="s">
        <v>2577</v>
      </c>
      <c r="N901" s="119" t="s">
        <v>93</v>
      </c>
      <c r="O901" s="141">
        <f t="shared" si="652"/>
        <v>244306</v>
      </c>
      <c r="P901" s="141">
        <f t="shared" si="654"/>
        <v>244313</v>
      </c>
      <c r="Q901" s="141">
        <f t="shared" si="653"/>
        <v>244308</v>
      </c>
      <c r="R901" s="139"/>
      <c r="S901" s="143"/>
      <c r="T901" s="139"/>
      <c r="U901" s="143"/>
      <c r="V901" s="139" t="s">
        <v>55</v>
      </c>
      <c r="W901" s="143" t="s">
        <v>2568</v>
      </c>
      <c r="X901" s="139"/>
      <c r="Y901" s="141"/>
      <c r="Z901" s="119" t="s">
        <v>2569</v>
      </c>
      <c r="AA901" s="144"/>
    </row>
    <row r="902" spans="1:27" s="145" customFormat="1" ht="36" customHeight="1" x14ac:dyDescent="0.25">
      <c r="A902" s="119" t="s">
        <v>28</v>
      </c>
      <c r="B902" s="139">
        <v>244306</v>
      </c>
      <c r="C902" s="119" t="s">
        <v>14</v>
      </c>
      <c r="D902" s="166">
        <v>680703</v>
      </c>
      <c r="E902" s="119" t="s">
        <v>426</v>
      </c>
      <c r="F902" s="190">
        <v>68111837</v>
      </c>
      <c r="G902" s="119" t="s">
        <v>2578</v>
      </c>
      <c r="H902" s="187" t="s">
        <v>271</v>
      </c>
      <c r="I902" s="147" t="s">
        <v>428</v>
      </c>
      <c r="J902" s="146">
        <v>130.58000000000001</v>
      </c>
      <c r="K902" s="146" t="s">
        <v>207</v>
      </c>
      <c r="L902" s="146">
        <f>J902-129</f>
        <v>1.5800000000000125</v>
      </c>
      <c r="M902" s="119" t="s">
        <v>2579</v>
      </c>
      <c r="N902" s="119" t="s">
        <v>93</v>
      </c>
      <c r="O902" s="141">
        <f t="shared" ref="O902" si="655">B902</f>
        <v>244306</v>
      </c>
      <c r="P902" s="141">
        <f t="shared" ref="P902" si="656">B902+7</f>
        <v>244313</v>
      </c>
      <c r="Q902" s="141">
        <f t="shared" ref="Q902" si="657">O902+2</f>
        <v>244308</v>
      </c>
      <c r="R902" s="139"/>
      <c r="S902" s="143"/>
      <c r="T902" s="139"/>
      <c r="U902" s="143"/>
      <c r="V902" s="139" t="s">
        <v>55</v>
      </c>
      <c r="W902" s="143" t="s">
        <v>2568</v>
      </c>
      <c r="X902" s="139"/>
      <c r="Y902" s="141"/>
      <c r="Z902" s="119" t="s">
        <v>2569</v>
      </c>
      <c r="AA902" s="144"/>
    </row>
    <row r="903" spans="1:27" s="145" customFormat="1" ht="36" customHeight="1" x14ac:dyDescent="0.25">
      <c r="A903" s="119" t="s">
        <v>28</v>
      </c>
      <c r="B903" s="139">
        <v>244306</v>
      </c>
      <c r="C903" s="119" t="s">
        <v>14</v>
      </c>
      <c r="D903" s="166">
        <v>680704</v>
      </c>
      <c r="E903" s="119" t="s">
        <v>426</v>
      </c>
      <c r="F903" s="190">
        <v>68111852</v>
      </c>
      <c r="G903" s="119" t="s">
        <v>2583</v>
      </c>
      <c r="H903" s="187" t="s">
        <v>289</v>
      </c>
      <c r="I903" s="147" t="s">
        <v>428</v>
      </c>
      <c r="J903" s="146" t="s">
        <v>2586</v>
      </c>
      <c r="K903" s="146" t="s">
        <v>2585</v>
      </c>
      <c r="L903" s="146" t="s">
        <v>69</v>
      </c>
      <c r="M903" s="119" t="s">
        <v>2584</v>
      </c>
      <c r="N903" s="119" t="s">
        <v>93</v>
      </c>
      <c r="O903" s="141">
        <f t="shared" ref="O903" si="658">B903</f>
        <v>244306</v>
      </c>
      <c r="P903" s="141">
        <f t="shared" ref="P903" si="659">B903+7</f>
        <v>244313</v>
      </c>
      <c r="Q903" s="141">
        <f t="shared" ref="Q903" si="660">O903+2</f>
        <v>244308</v>
      </c>
      <c r="R903" s="139"/>
      <c r="S903" s="143"/>
      <c r="T903" s="139"/>
      <c r="U903" s="143"/>
      <c r="V903" s="139" t="s">
        <v>55</v>
      </c>
      <c r="W903" s="143" t="s">
        <v>2568</v>
      </c>
      <c r="X903" s="139"/>
      <c r="Y903" s="141"/>
      <c r="Z903" s="119" t="s">
        <v>2591</v>
      </c>
      <c r="AA903" s="144"/>
    </row>
    <row r="904" spans="1:27" s="145" customFormat="1" ht="36" customHeight="1" x14ac:dyDescent="0.25">
      <c r="A904" s="119" t="s">
        <v>28</v>
      </c>
      <c r="B904" s="139">
        <v>244307</v>
      </c>
      <c r="C904" s="119" t="s">
        <v>14</v>
      </c>
      <c r="D904" s="166">
        <v>680705</v>
      </c>
      <c r="E904" s="119" t="s">
        <v>426</v>
      </c>
      <c r="F904" s="190">
        <v>68111905</v>
      </c>
      <c r="G904" s="119" t="s">
        <v>2587</v>
      </c>
      <c r="H904" s="187" t="s">
        <v>289</v>
      </c>
      <c r="I904" s="147" t="s">
        <v>428</v>
      </c>
      <c r="J904" s="146">
        <v>130.6</v>
      </c>
      <c r="K904" s="146" t="s">
        <v>207</v>
      </c>
      <c r="L904" s="146">
        <f>J904-129</f>
        <v>1.5999999999999943</v>
      </c>
      <c r="M904" s="119" t="s">
        <v>2588</v>
      </c>
      <c r="N904" s="119" t="s">
        <v>93</v>
      </c>
      <c r="O904" s="141">
        <f t="shared" ref="O904" si="661">B904</f>
        <v>244307</v>
      </c>
      <c r="P904" s="141">
        <f t="shared" ref="P904" si="662">B904+7</f>
        <v>244314</v>
      </c>
      <c r="Q904" s="141">
        <f t="shared" ref="Q904" si="663">O904+2</f>
        <v>244309</v>
      </c>
      <c r="R904" s="139"/>
      <c r="S904" s="143"/>
      <c r="T904" s="139"/>
      <c r="U904" s="143"/>
      <c r="V904" s="139" t="s">
        <v>55</v>
      </c>
      <c r="W904" s="143" t="s">
        <v>2568</v>
      </c>
      <c r="X904" s="139"/>
      <c r="Y904" s="141"/>
      <c r="Z904" s="119" t="s">
        <v>2591</v>
      </c>
      <c r="AA904" s="144"/>
    </row>
    <row r="905" spans="1:27" s="145" customFormat="1" ht="36" customHeight="1" x14ac:dyDescent="0.25">
      <c r="A905" s="119" t="s">
        <v>28</v>
      </c>
      <c r="B905" s="139">
        <v>244307</v>
      </c>
      <c r="C905" s="119" t="s">
        <v>14</v>
      </c>
      <c r="D905" s="166">
        <v>680705</v>
      </c>
      <c r="E905" s="119" t="s">
        <v>426</v>
      </c>
      <c r="F905" s="190">
        <v>68111904</v>
      </c>
      <c r="G905" s="119" t="s">
        <v>2589</v>
      </c>
      <c r="H905" s="187" t="s">
        <v>2202</v>
      </c>
      <c r="I905" s="147" t="s">
        <v>428</v>
      </c>
      <c r="J905" s="146">
        <v>130.78</v>
      </c>
      <c r="K905" s="146" t="s">
        <v>207</v>
      </c>
      <c r="L905" s="146">
        <f>J905-129</f>
        <v>1.7800000000000011</v>
      </c>
      <c r="M905" s="119" t="s">
        <v>2590</v>
      </c>
      <c r="N905" s="119" t="s">
        <v>93</v>
      </c>
      <c r="O905" s="141">
        <f t="shared" si="652"/>
        <v>244307</v>
      </c>
      <c r="P905" s="141">
        <f t="shared" si="654"/>
        <v>244314</v>
      </c>
      <c r="Q905" s="141">
        <f t="shared" si="653"/>
        <v>244309</v>
      </c>
      <c r="R905" s="139"/>
      <c r="S905" s="143"/>
      <c r="T905" s="139"/>
      <c r="U905" s="143"/>
      <c r="V905" s="139" t="s">
        <v>55</v>
      </c>
      <c r="W905" s="143" t="s">
        <v>2568</v>
      </c>
      <c r="X905" s="139"/>
      <c r="Y905" s="141"/>
      <c r="Z905" s="119" t="s">
        <v>2591</v>
      </c>
      <c r="AA905" s="144" t="e">
        <f>W905-P918</f>
        <v>#VALUE!</v>
      </c>
    </row>
    <row r="906" spans="1:27" s="145" customFormat="1" ht="36" customHeight="1" x14ac:dyDescent="0.25">
      <c r="A906" s="119" t="s">
        <v>28</v>
      </c>
      <c r="B906" s="139">
        <v>244307</v>
      </c>
      <c r="C906" s="119" t="s">
        <v>14</v>
      </c>
      <c r="D906" s="166">
        <v>680706</v>
      </c>
      <c r="E906" s="119" t="s">
        <v>420</v>
      </c>
      <c r="F906" s="190">
        <v>68111918</v>
      </c>
      <c r="G906" s="119" t="s">
        <v>2593</v>
      </c>
      <c r="H906" s="187" t="s">
        <v>205</v>
      </c>
      <c r="I906" s="147" t="s">
        <v>1041</v>
      </c>
      <c r="J906" s="146">
        <v>126.48</v>
      </c>
      <c r="K906" s="146" t="s">
        <v>207</v>
      </c>
      <c r="L906" s="146">
        <f>J906-124</f>
        <v>2.480000000000004</v>
      </c>
      <c r="M906" s="119" t="s">
        <v>2594</v>
      </c>
      <c r="N906" s="119" t="s">
        <v>93</v>
      </c>
      <c r="O906" s="141">
        <f t="shared" si="652"/>
        <v>244307</v>
      </c>
      <c r="P906" s="141">
        <f t="shared" si="654"/>
        <v>244314</v>
      </c>
      <c r="Q906" s="141">
        <f t="shared" si="653"/>
        <v>244309</v>
      </c>
      <c r="R906" s="139"/>
      <c r="S906" s="143"/>
      <c r="T906" s="139"/>
      <c r="U906" s="143"/>
      <c r="V906" s="139" t="s">
        <v>55</v>
      </c>
      <c r="W906" s="143">
        <v>244312</v>
      </c>
      <c r="X906" s="119" t="s">
        <v>2606</v>
      </c>
      <c r="Y906" s="141"/>
      <c r="Z906" s="119" t="s">
        <v>896</v>
      </c>
      <c r="AA906" s="144">
        <f>W906-P919</f>
        <v>-6</v>
      </c>
    </row>
    <row r="907" spans="1:27" s="145" customFormat="1" ht="36" customHeight="1" x14ac:dyDescent="0.25">
      <c r="A907" s="119" t="s">
        <v>28</v>
      </c>
      <c r="B907" s="139">
        <v>244307</v>
      </c>
      <c r="C907" s="119" t="s">
        <v>14</v>
      </c>
      <c r="D907" s="166">
        <v>680706</v>
      </c>
      <c r="E907" s="119" t="s">
        <v>420</v>
      </c>
      <c r="F907" s="190">
        <v>68111940</v>
      </c>
      <c r="G907" s="119" t="s">
        <v>2595</v>
      </c>
      <c r="H907" s="187" t="s">
        <v>272</v>
      </c>
      <c r="I907" s="147" t="s">
        <v>1041</v>
      </c>
      <c r="J907" s="146">
        <v>125.3</v>
      </c>
      <c r="K907" s="146" t="s">
        <v>207</v>
      </c>
      <c r="L907" s="146">
        <f>J907-124</f>
        <v>1.2999999999999972</v>
      </c>
      <c r="M907" s="119" t="s">
        <v>2087</v>
      </c>
      <c r="N907" s="119" t="s">
        <v>93</v>
      </c>
      <c r="O907" s="141">
        <f t="shared" ref="O907" si="664">B907</f>
        <v>244307</v>
      </c>
      <c r="P907" s="141">
        <f t="shared" ref="P907" si="665">B907+7</f>
        <v>244314</v>
      </c>
      <c r="Q907" s="141">
        <f t="shared" ref="Q907" si="666">O907+2</f>
        <v>244309</v>
      </c>
      <c r="R907" s="139"/>
      <c r="S907" s="143"/>
      <c r="T907" s="139"/>
      <c r="U907" s="143"/>
      <c r="V907" s="139" t="s">
        <v>55</v>
      </c>
      <c r="W907" s="143">
        <v>244312</v>
      </c>
      <c r="X907" s="119" t="s">
        <v>2606</v>
      </c>
      <c r="Y907" s="141"/>
      <c r="Z907" s="119" t="s">
        <v>896</v>
      </c>
      <c r="AA907" s="144">
        <f>W907-P922</f>
        <v>-6</v>
      </c>
    </row>
    <row r="908" spans="1:27" s="145" customFormat="1" ht="36" customHeight="1" x14ac:dyDescent="0.25">
      <c r="A908" s="119" t="s">
        <v>28</v>
      </c>
      <c r="B908" s="139">
        <v>244307</v>
      </c>
      <c r="C908" s="119" t="s">
        <v>14</v>
      </c>
      <c r="D908" s="166">
        <v>680707</v>
      </c>
      <c r="E908" s="119" t="s">
        <v>2505</v>
      </c>
      <c r="F908" s="190">
        <v>68111927</v>
      </c>
      <c r="G908" s="119" t="s">
        <v>2596</v>
      </c>
      <c r="H908" s="187" t="s">
        <v>264</v>
      </c>
      <c r="I908" s="147" t="s">
        <v>2507</v>
      </c>
      <c r="J908" s="146">
        <v>137.99</v>
      </c>
      <c r="K908" s="146" t="s">
        <v>207</v>
      </c>
      <c r="L908" s="146">
        <f>J908-135</f>
        <v>2.9900000000000091</v>
      </c>
      <c r="M908" s="119" t="s">
        <v>2597</v>
      </c>
      <c r="N908" s="119" t="s">
        <v>93</v>
      </c>
      <c r="O908" s="141">
        <f t="shared" ref="O908" si="667">B908</f>
        <v>244307</v>
      </c>
      <c r="P908" s="141">
        <f t="shared" ref="P908" si="668">B908+7</f>
        <v>244314</v>
      </c>
      <c r="Q908" s="141">
        <f t="shared" ref="Q908" si="669">O908+2</f>
        <v>244309</v>
      </c>
      <c r="R908" s="139"/>
      <c r="S908" s="143"/>
      <c r="T908" s="139"/>
      <c r="U908" s="143"/>
      <c r="V908" s="139" t="s">
        <v>55</v>
      </c>
      <c r="W908" s="143">
        <v>244308</v>
      </c>
      <c r="X908" s="119" t="s">
        <v>2607</v>
      </c>
      <c r="Y908" s="141"/>
      <c r="Z908" s="119" t="s">
        <v>2607</v>
      </c>
      <c r="AA908" s="144">
        <f>W908-P924</f>
        <v>-10</v>
      </c>
    </row>
    <row r="909" spans="1:27" s="145" customFormat="1" ht="36" customHeight="1" x14ac:dyDescent="0.25">
      <c r="A909" s="119" t="s">
        <v>28</v>
      </c>
      <c r="B909" s="139">
        <v>244308</v>
      </c>
      <c r="C909" s="119" t="s">
        <v>14</v>
      </c>
      <c r="D909" s="166">
        <v>680708</v>
      </c>
      <c r="E909" s="119" t="s">
        <v>307</v>
      </c>
      <c r="F909" s="190">
        <v>68112002</v>
      </c>
      <c r="G909" s="119" t="s">
        <v>2599</v>
      </c>
      <c r="H909" s="187" t="s">
        <v>265</v>
      </c>
      <c r="I909" s="147" t="s">
        <v>308</v>
      </c>
      <c r="J909" s="146">
        <v>68.52</v>
      </c>
      <c r="K909" s="146" t="s">
        <v>207</v>
      </c>
      <c r="L909" s="146">
        <f>J909-66</f>
        <v>2.519999999999996</v>
      </c>
      <c r="M909" s="119" t="s">
        <v>2600</v>
      </c>
      <c r="N909" s="119" t="s">
        <v>93</v>
      </c>
      <c r="O909" s="141">
        <f t="shared" ref="O909" si="670">B909</f>
        <v>244308</v>
      </c>
      <c r="P909" s="141">
        <f t="shared" ref="P909" si="671">B909+7</f>
        <v>244315</v>
      </c>
      <c r="Q909" s="141">
        <f t="shared" ref="Q909" si="672">O909+2</f>
        <v>244310</v>
      </c>
      <c r="R909" s="139"/>
      <c r="S909" s="143"/>
      <c r="T909" s="139"/>
      <c r="U909" s="143"/>
      <c r="V909" s="139" t="s">
        <v>55</v>
      </c>
      <c r="W909" s="143">
        <v>244308</v>
      </c>
      <c r="X909" s="119"/>
      <c r="Y909" s="141"/>
      <c r="Z909" s="119" t="s">
        <v>2601</v>
      </c>
      <c r="AA909" s="144">
        <f>W909-P925</f>
        <v>-10</v>
      </c>
    </row>
    <row r="910" spans="1:27" s="145" customFormat="1" ht="36" customHeight="1" x14ac:dyDescent="0.25">
      <c r="A910" s="119" t="s">
        <v>28</v>
      </c>
      <c r="B910" s="139">
        <v>244308</v>
      </c>
      <c r="C910" s="119" t="s">
        <v>14</v>
      </c>
      <c r="D910" s="166">
        <v>680709</v>
      </c>
      <c r="E910" s="119" t="s">
        <v>2505</v>
      </c>
      <c r="F910" s="190">
        <v>68112021</v>
      </c>
      <c r="G910" s="119" t="s">
        <v>2602</v>
      </c>
      <c r="H910" s="187" t="s">
        <v>211</v>
      </c>
      <c r="I910" s="147" t="s">
        <v>2507</v>
      </c>
      <c r="J910" s="146">
        <v>128.63</v>
      </c>
      <c r="K910" s="146" t="s">
        <v>1052</v>
      </c>
      <c r="L910" s="146">
        <f>133-J910</f>
        <v>4.3700000000000045</v>
      </c>
      <c r="M910" s="119" t="s">
        <v>2603</v>
      </c>
      <c r="N910" s="119" t="s">
        <v>93</v>
      </c>
      <c r="O910" s="141">
        <f t="shared" si="652"/>
        <v>244308</v>
      </c>
      <c r="P910" s="141">
        <f t="shared" si="654"/>
        <v>244315</v>
      </c>
      <c r="Q910" s="141">
        <f t="shared" si="653"/>
        <v>244310</v>
      </c>
      <c r="R910" s="139"/>
      <c r="S910" s="143"/>
      <c r="T910" s="139"/>
      <c r="U910" s="143"/>
      <c r="V910" s="139" t="s">
        <v>55</v>
      </c>
      <c r="W910" s="143">
        <v>244308</v>
      </c>
      <c r="X910" s="119" t="s">
        <v>2606</v>
      </c>
      <c r="Y910" s="141"/>
      <c r="Z910" s="119" t="s">
        <v>2606</v>
      </c>
      <c r="AA910" s="144" t="e">
        <f>W910-#REF!</f>
        <v>#REF!</v>
      </c>
    </row>
    <row r="911" spans="1:27" s="145" customFormat="1" ht="36" customHeight="1" x14ac:dyDescent="0.25">
      <c r="A911" s="119" t="s">
        <v>28</v>
      </c>
      <c r="B911" s="139">
        <v>244308</v>
      </c>
      <c r="C911" s="119" t="s">
        <v>14</v>
      </c>
      <c r="D911" s="166">
        <v>680710</v>
      </c>
      <c r="E911" s="119" t="s">
        <v>2505</v>
      </c>
      <c r="F911" s="190">
        <v>68112039</v>
      </c>
      <c r="G911" s="119" t="s">
        <v>2604</v>
      </c>
      <c r="H911" s="187" t="s">
        <v>271</v>
      </c>
      <c r="I911" s="147" t="s">
        <v>2507</v>
      </c>
      <c r="J911" s="146">
        <v>137.09</v>
      </c>
      <c r="K911" s="146" t="s">
        <v>200</v>
      </c>
      <c r="L911" s="146">
        <f>J911-135</f>
        <v>2.0900000000000034</v>
      </c>
      <c r="M911" s="119" t="s">
        <v>2605</v>
      </c>
      <c r="N911" s="119" t="s">
        <v>93</v>
      </c>
      <c r="O911" s="141">
        <f t="shared" ref="O911" si="673">B911</f>
        <v>244308</v>
      </c>
      <c r="P911" s="141">
        <f t="shared" ref="P911" si="674">B911+7</f>
        <v>244315</v>
      </c>
      <c r="Q911" s="141">
        <f t="shared" ref="Q911" si="675">O911+2</f>
        <v>244310</v>
      </c>
      <c r="R911" s="139"/>
      <c r="S911" s="143"/>
      <c r="T911" s="139"/>
      <c r="U911" s="143"/>
      <c r="V911" s="139" t="s">
        <v>55</v>
      </c>
      <c r="W911" s="143">
        <v>244308</v>
      </c>
      <c r="X911" s="119" t="s">
        <v>2606</v>
      </c>
      <c r="Y911" s="141"/>
      <c r="Z911" s="119" t="s">
        <v>2607</v>
      </c>
      <c r="AA911" s="144">
        <f>W911-P918</f>
        <v>-9</v>
      </c>
    </row>
    <row r="912" spans="1:27" s="145" customFormat="1" ht="36" customHeight="1" x14ac:dyDescent="0.25">
      <c r="A912" s="119" t="s">
        <v>28</v>
      </c>
      <c r="B912" s="139">
        <v>244308</v>
      </c>
      <c r="C912" s="119" t="s">
        <v>14</v>
      </c>
      <c r="D912" s="166">
        <v>680711</v>
      </c>
      <c r="E912" s="119" t="s">
        <v>2505</v>
      </c>
      <c r="F912" s="190">
        <v>68112057</v>
      </c>
      <c r="G912" s="119" t="s">
        <v>2608</v>
      </c>
      <c r="H912" s="187" t="s">
        <v>844</v>
      </c>
      <c r="I912" s="147" t="s">
        <v>2507</v>
      </c>
      <c r="J912" s="146">
        <v>131.52000000000001</v>
      </c>
      <c r="K912" s="146" t="s">
        <v>201</v>
      </c>
      <c r="L912" s="146">
        <f>133-J912</f>
        <v>1.4799999999999898</v>
      </c>
      <c r="M912" s="119" t="s">
        <v>2609</v>
      </c>
      <c r="N912" s="119" t="s">
        <v>93</v>
      </c>
      <c r="O912" s="141">
        <f t="shared" si="652"/>
        <v>244308</v>
      </c>
      <c r="P912" s="141">
        <f t="shared" si="654"/>
        <v>244315</v>
      </c>
      <c r="Q912" s="141">
        <f t="shared" si="653"/>
        <v>244310</v>
      </c>
      <c r="R912" s="139"/>
      <c r="S912" s="143"/>
      <c r="T912" s="139"/>
      <c r="U912" s="143"/>
      <c r="V912" s="139" t="s">
        <v>55</v>
      </c>
      <c r="W912" s="143">
        <v>244334</v>
      </c>
      <c r="X912" s="139"/>
      <c r="Y912" s="141"/>
      <c r="Z912" s="119" t="s">
        <v>2765</v>
      </c>
      <c r="AA912" s="144"/>
    </row>
    <row r="913" spans="1:27" s="145" customFormat="1" ht="36" customHeight="1" x14ac:dyDescent="0.25">
      <c r="A913" s="119" t="s">
        <v>28</v>
      </c>
      <c r="B913" s="139">
        <v>244308</v>
      </c>
      <c r="C913" s="119" t="s">
        <v>14</v>
      </c>
      <c r="D913" s="166">
        <v>680712</v>
      </c>
      <c r="E913" s="119" t="s">
        <v>426</v>
      </c>
      <c r="F913" s="190">
        <v>68112055</v>
      </c>
      <c r="G913" s="119" t="s">
        <v>2610</v>
      </c>
      <c r="H913" s="187" t="s">
        <v>290</v>
      </c>
      <c r="I913" s="147" t="s">
        <v>428</v>
      </c>
      <c r="J913" s="146" t="s">
        <v>2612</v>
      </c>
      <c r="K913" s="146" t="s">
        <v>2585</v>
      </c>
      <c r="L913" s="146" t="s">
        <v>69</v>
      </c>
      <c r="M913" s="119" t="s">
        <v>2611</v>
      </c>
      <c r="N913" s="119" t="s">
        <v>93</v>
      </c>
      <c r="O913" s="141">
        <f t="shared" si="652"/>
        <v>244308</v>
      </c>
      <c r="P913" s="141">
        <f t="shared" si="654"/>
        <v>244315</v>
      </c>
      <c r="Q913" s="141">
        <f t="shared" si="653"/>
        <v>244310</v>
      </c>
      <c r="R913" s="139"/>
      <c r="S913" s="143"/>
      <c r="T913" s="139"/>
      <c r="U913" s="143"/>
      <c r="V913" s="139" t="s">
        <v>55</v>
      </c>
      <c r="W913" s="143">
        <v>277192</v>
      </c>
      <c r="X913" s="119"/>
      <c r="Y913" s="141"/>
      <c r="Z913" s="119" t="s">
        <v>2665</v>
      </c>
      <c r="AA913" s="144">
        <f>W913-P918</f>
        <v>32875</v>
      </c>
    </row>
    <row r="914" spans="1:27" s="145" customFormat="1" ht="36" customHeight="1" x14ac:dyDescent="0.25">
      <c r="A914" s="119" t="s">
        <v>28</v>
      </c>
      <c r="B914" s="139">
        <v>244310</v>
      </c>
      <c r="C914" s="119" t="s">
        <v>14</v>
      </c>
      <c r="D914" s="166">
        <v>680713</v>
      </c>
      <c r="E914" s="119" t="s">
        <v>2505</v>
      </c>
      <c r="F914" s="190">
        <v>68112222</v>
      </c>
      <c r="G914" s="119" t="s">
        <v>2617</v>
      </c>
      <c r="H914" s="187" t="s">
        <v>488</v>
      </c>
      <c r="I914" s="147" t="s">
        <v>2507</v>
      </c>
      <c r="J914" s="146">
        <v>131.88</v>
      </c>
      <c r="K914" s="146" t="s">
        <v>411</v>
      </c>
      <c r="L914" s="146">
        <f>133-J914</f>
        <v>1.1200000000000045</v>
      </c>
      <c r="M914" s="119" t="s">
        <v>2618</v>
      </c>
      <c r="N914" s="119" t="s">
        <v>93</v>
      </c>
      <c r="O914" s="141">
        <f t="shared" ref="O914:O915" si="676">B914</f>
        <v>244310</v>
      </c>
      <c r="P914" s="141">
        <f t="shared" ref="P914:P915" si="677">B914+7</f>
        <v>244317</v>
      </c>
      <c r="Q914" s="141">
        <f t="shared" ref="Q914:Q915" si="678">O914+2</f>
        <v>244312</v>
      </c>
      <c r="R914" s="139"/>
      <c r="S914" s="143"/>
      <c r="T914" s="139"/>
      <c r="U914" s="143"/>
      <c r="V914" s="139" t="s">
        <v>55</v>
      </c>
      <c r="W914" s="143">
        <v>244334</v>
      </c>
      <c r="X914" s="139"/>
      <c r="Y914" s="141"/>
      <c r="Z914" s="119" t="s">
        <v>2765</v>
      </c>
      <c r="AA914" s="144"/>
    </row>
    <row r="915" spans="1:27" s="145" customFormat="1" ht="36" customHeight="1" x14ac:dyDescent="0.25">
      <c r="A915" s="119" t="s">
        <v>28</v>
      </c>
      <c r="B915" s="139">
        <v>244310</v>
      </c>
      <c r="C915" s="119" t="s">
        <v>14</v>
      </c>
      <c r="D915" s="166">
        <v>680713</v>
      </c>
      <c r="E915" s="119" t="s">
        <v>2505</v>
      </c>
      <c r="F915" s="190">
        <v>68112242</v>
      </c>
      <c r="G915" s="119" t="s">
        <v>2622</v>
      </c>
      <c r="H915" s="187" t="s">
        <v>224</v>
      </c>
      <c r="I915" s="147" t="s">
        <v>2507</v>
      </c>
      <c r="J915" s="146">
        <v>130.01</v>
      </c>
      <c r="K915" s="146" t="s">
        <v>201</v>
      </c>
      <c r="L915" s="146">
        <f>133-J915</f>
        <v>2.9900000000000091</v>
      </c>
      <c r="M915" s="119" t="s">
        <v>2623</v>
      </c>
      <c r="N915" s="119" t="s">
        <v>93</v>
      </c>
      <c r="O915" s="141">
        <f t="shared" si="676"/>
        <v>244310</v>
      </c>
      <c r="P915" s="141">
        <f t="shared" si="677"/>
        <v>244317</v>
      </c>
      <c r="Q915" s="141">
        <f t="shared" si="678"/>
        <v>244312</v>
      </c>
      <c r="R915" s="139"/>
      <c r="S915" s="143"/>
      <c r="T915" s="139"/>
      <c r="U915" s="143"/>
      <c r="V915" s="139" t="s">
        <v>55</v>
      </c>
      <c r="W915" s="143">
        <v>244334</v>
      </c>
      <c r="X915" s="139"/>
      <c r="Y915" s="141"/>
      <c r="Z915" s="119" t="s">
        <v>2765</v>
      </c>
      <c r="AA915" s="144"/>
    </row>
    <row r="916" spans="1:27" s="145" customFormat="1" ht="36" customHeight="1" x14ac:dyDescent="0.25">
      <c r="A916" s="119" t="s">
        <v>28</v>
      </c>
      <c r="B916" s="139">
        <v>244310</v>
      </c>
      <c r="C916" s="119" t="s">
        <v>14</v>
      </c>
      <c r="D916" s="166">
        <v>680713</v>
      </c>
      <c r="E916" s="119" t="s">
        <v>2505</v>
      </c>
      <c r="F916" s="190">
        <v>68112263</v>
      </c>
      <c r="G916" s="119" t="s">
        <v>2624</v>
      </c>
      <c r="H916" s="187" t="s">
        <v>2202</v>
      </c>
      <c r="I916" s="147" t="s">
        <v>2507</v>
      </c>
      <c r="J916" s="146">
        <v>127.52</v>
      </c>
      <c r="K916" s="146" t="s">
        <v>201</v>
      </c>
      <c r="L916" s="146">
        <f>133-J916</f>
        <v>5.480000000000004</v>
      </c>
      <c r="M916" s="119" t="s">
        <v>2625</v>
      </c>
      <c r="N916" s="119" t="s">
        <v>93</v>
      </c>
      <c r="O916" s="141">
        <f t="shared" ref="O916" si="679">B916</f>
        <v>244310</v>
      </c>
      <c r="P916" s="141">
        <f t="shared" ref="P916" si="680">B916+7</f>
        <v>244317</v>
      </c>
      <c r="Q916" s="141">
        <f t="shared" ref="Q916" si="681">O916+2</f>
        <v>244312</v>
      </c>
      <c r="R916" s="139"/>
      <c r="S916" s="143"/>
      <c r="T916" s="139"/>
      <c r="U916" s="143"/>
      <c r="V916" s="139" t="s">
        <v>55</v>
      </c>
      <c r="W916" s="143">
        <v>244334</v>
      </c>
      <c r="X916" s="139"/>
      <c r="Y916" s="141"/>
      <c r="Z916" s="119" t="s">
        <v>2765</v>
      </c>
      <c r="AA916" s="144"/>
    </row>
    <row r="917" spans="1:27" s="145" customFormat="1" ht="36" customHeight="1" x14ac:dyDescent="0.25">
      <c r="A917" s="119" t="s">
        <v>28</v>
      </c>
      <c r="B917" s="139">
        <v>244310</v>
      </c>
      <c r="C917" s="119" t="s">
        <v>14</v>
      </c>
      <c r="D917" s="166">
        <v>680714</v>
      </c>
      <c r="E917" s="119" t="s">
        <v>2505</v>
      </c>
      <c r="F917" s="190">
        <v>68112224</v>
      </c>
      <c r="G917" s="119" t="s">
        <v>2615</v>
      </c>
      <c r="H917" s="187" t="s">
        <v>410</v>
      </c>
      <c r="I917" s="147" t="s">
        <v>2507</v>
      </c>
      <c r="J917" s="146">
        <v>137.87</v>
      </c>
      <c r="K917" s="146" t="s">
        <v>207</v>
      </c>
      <c r="L917" s="146">
        <f>J917-135</f>
        <v>2.8700000000000045</v>
      </c>
      <c r="M917" s="119" t="s">
        <v>2616</v>
      </c>
      <c r="N917" s="119" t="s">
        <v>93</v>
      </c>
      <c r="O917" s="141">
        <f t="shared" si="652"/>
        <v>244310</v>
      </c>
      <c r="P917" s="141">
        <f t="shared" si="654"/>
        <v>244317</v>
      </c>
      <c r="Q917" s="141">
        <f t="shared" si="653"/>
        <v>244312</v>
      </c>
      <c r="R917" s="139"/>
      <c r="S917" s="143"/>
      <c r="T917" s="139"/>
      <c r="U917" s="143"/>
      <c r="V917" s="139" t="s">
        <v>55</v>
      </c>
      <c r="W917" s="143">
        <v>244334</v>
      </c>
      <c r="X917" s="139"/>
      <c r="Y917" s="141"/>
      <c r="Z917" s="119" t="s">
        <v>2765</v>
      </c>
      <c r="AA917" s="144"/>
    </row>
    <row r="918" spans="1:27" s="145" customFormat="1" ht="36" customHeight="1" x14ac:dyDescent="0.25">
      <c r="A918" s="119" t="s">
        <v>28</v>
      </c>
      <c r="B918" s="139">
        <v>244310</v>
      </c>
      <c r="C918" s="119" t="s">
        <v>14</v>
      </c>
      <c r="D918" s="166">
        <v>680715</v>
      </c>
      <c r="E918" s="119" t="s">
        <v>2505</v>
      </c>
      <c r="F918" s="190">
        <v>68112223</v>
      </c>
      <c r="G918" s="119" t="s">
        <v>2619</v>
      </c>
      <c r="H918" s="187" t="s">
        <v>264</v>
      </c>
      <c r="I918" s="147" t="s">
        <v>2507</v>
      </c>
      <c r="J918" s="146" t="s">
        <v>2621</v>
      </c>
      <c r="K918" s="146" t="s">
        <v>2585</v>
      </c>
      <c r="L918" s="146" t="s">
        <v>69</v>
      </c>
      <c r="M918" s="119" t="s">
        <v>2620</v>
      </c>
      <c r="N918" s="119" t="s">
        <v>93</v>
      </c>
      <c r="O918" s="141">
        <f t="shared" si="652"/>
        <v>244310</v>
      </c>
      <c r="P918" s="141">
        <f t="shared" si="654"/>
        <v>244317</v>
      </c>
      <c r="Q918" s="141">
        <f t="shared" si="653"/>
        <v>244312</v>
      </c>
      <c r="R918" s="139"/>
      <c r="S918" s="143"/>
      <c r="T918" s="139"/>
      <c r="U918" s="143"/>
      <c r="V918" s="139" t="s">
        <v>55</v>
      </c>
      <c r="W918" s="143">
        <v>244334</v>
      </c>
      <c r="X918" s="139"/>
      <c r="Y918" s="141"/>
      <c r="Z918" s="119" t="s">
        <v>2765</v>
      </c>
      <c r="AA918" s="144">
        <f>W918-P928</f>
        <v>14</v>
      </c>
    </row>
    <row r="919" spans="1:27" s="145" customFormat="1" ht="36" customHeight="1" x14ac:dyDescent="0.25">
      <c r="A919" s="119" t="s">
        <v>28</v>
      </c>
      <c r="B919" s="139">
        <v>244311</v>
      </c>
      <c r="C919" s="119" t="s">
        <v>14</v>
      </c>
      <c r="D919" s="166">
        <v>680716</v>
      </c>
      <c r="E919" s="119" t="s">
        <v>426</v>
      </c>
      <c r="F919" s="190">
        <v>68112304</v>
      </c>
      <c r="G919" s="119" t="s">
        <v>2626</v>
      </c>
      <c r="H919" s="187" t="s">
        <v>264</v>
      </c>
      <c r="I919" s="147" t="s">
        <v>428</v>
      </c>
      <c r="J919" s="146">
        <v>131.35</v>
      </c>
      <c r="K919" s="146" t="s">
        <v>200</v>
      </c>
      <c r="L919" s="146">
        <v>2.35</v>
      </c>
      <c r="M919" s="149" t="s">
        <v>2629</v>
      </c>
      <c r="N919" s="119" t="s">
        <v>93</v>
      </c>
      <c r="O919" s="141">
        <f t="shared" si="652"/>
        <v>244311</v>
      </c>
      <c r="P919" s="141">
        <f t="shared" si="654"/>
        <v>244318</v>
      </c>
      <c r="Q919" s="141">
        <f t="shared" si="653"/>
        <v>244313</v>
      </c>
      <c r="R919" s="139"/>
      <c r="S919" s="143"/>
      <c r="T919" s="139"/>
      <c r="U919" s="143"/>
      <c r="V919" s="139" t="s">
        <v>55</v>
      </c>
      <c r="W919" s="143">
        <v>277192</v>
      </c>
      <c r="X919" s="139"/>
      <c r="Y919" s="141"/>
      <c r="Z919" s="119" t="s">
        <v>2665</v>
      </c>
      <c r="AA919" s="144">
        <f>W919-P931</f>
        <v>32871</v>
      </c>
    </row>
    <row r="920" spans="1:27" s="145" customFormat="1" ht="36" customHeight="1" x14ac:dyDescent="0.25">
      <c r="A920" s="119" t="s">
        <v>28</v>
      </c>
      <c r="B920" s="139">
        <v>244311</v>
      </c>
      <c r="C920" s="119" t="s">
        <v>14</v>
      </c>
      <c r="D920" s="166">
        <v>680716</v>
      </c>
      <c r="E920" s="119" t="s">
        <v>426</v>
      </c>
      <c r="F920" s="190">
        <v>68112324</v>
      </c>
      <c r="G920" s="119" t="s">
        <v>2631</v>
      </c>
      <c r="H920" s="187" t="s">
        <v>231</v>
      </c>
      <c r="I920" s="147" t="s">
        <v>428</v>
      </c>
      <c r="J920" s="146">
        <v>130.69999999999999</v>
      </c>
      <c r="K920" s="146" t="s">
        <v>200</v>
      </c>
      <c r="L920" s="146">
        <v>1.7</v>
      </c>
      <c r="M920" s="149" t="s">
        <v>2633</v>
      </c>
      <c r="N920" s="119" t="s">
        <v>93</v>
      </c>
      <c r="O920" s="141">
        <f t="shared" ref="O920:O921" si="682">B920</f>
        <v>244311</v>
      </c>
      <c r="P920" s="141">
        <f t="shared" ref="P920:P921" si="683">B920+7</f>
        <v>244318</v>
      </c>
      <c r="Q920" s="141">
        <f t="shared" ref="Q920:Q921" si="684">O920+2</f>
        <v>244313</v>
      </c>
      <c r="R920" s="139"/>
      <c r="S920" s="143"/>
      <c r="T920" s="139"/>
      <c r="U920" s="143"/>
      <c r="V920" s="139" t="s">
        <v>55</v>
      </c>
      <c r="W920" s="143">
        <v>277192</v>
      </c>
      <c r="X920" s="139"/>
      <c r="Y920" s="141"/>
      <c r="Z920" s="119" t="s">
        <v>2665</v>
      </c>
      <c r="AA920" s="144"/>
    </row>
    <row r="921" spans="1:27" s="145" customFormat="1" ht="36" customHeight="1" x14ac:dyDescent="0.25">
      <c r="A921" s="119" t="s">
        <v>28</v>
      </c>
      <c r="B921" s="139">
        <v>244311</v>
      </c>
      <c r="C921" s="119" t="s">
        <v>14</v>
      </c>
      <c r="D921" s="166">
        <v>680716</v>
      </c>
      <c r="E921" s="119" t="s">
        <v>426</v>
      </c>
      <c r="F921" s="190">
        <v>68112325</v>
      </c>
      <c r="G921" s="119" t="s">
        <v>2632</v>
      </c>
      <c r="H921" s="187" t="s">
        <v>227</v>
      </c>
      <c r="I921" s="147" t="s">
        <v>428</v>
      </c>
      <c r="J921" s="146">
        <v>131.53</v>
      </c>
      <c r="K921" s="146" t="s">
        <v>200</v>
      </c>
      <c r="L921" s="146">
        <v>2.5299999999999998</v>
      </c>
      <c r="M921" s="149" t="s">
        <v>2629</v>
      </c>
      <c r="N921" s="119" t="s">
        <v>93</v>
      </c>
      <c r="O921" s="141">
        <f t="shared" si="682"/>
        <v>244311</v>
      </c>
      <c r="P921" s="141">
        <f t="shared" si="683"/>
        <v>244318</v>
      </c>
      <c r="Q921" s="141">
        <f t="shared" si="684"/>
        <v>244313</v>
      </c>
      <c r="R921" s="139"/>
      <c r="S921" s="143"/>
      <c r="T921" s="139"/>
      <c r="U921" s="143"/>
      <c r="V921" s="139" t="s">
        <v>55</v>
      </c>
      <c r="W921" s="143">
        <v>277192</v>
      </c>
      <c r="X921" s="139"/>
      <c r="Y921" s="141"/>
      <c r="Z921" s="119" t="s">
        <v>2665</v>
      </c>
      <c r="AA921" s="144"/>
    </row>
    <row r="922" spans="1:27" s="145" customFormat="1" ht="36" customHeight="1" x14ac:dyDescent="0.25">
      <c r="A922" s="119" t="s">
        <v>28</v>
      </c>
      <c r="B922" s="139">
        <v>244311</v>
      </c>
      <c r="C922" s="119" t="s">
        <v>14</v>
      </c>
      <c r="D922" s="166">
        <v>680717</v>
      </c>
      <c r="E922" s="119" t="s">
        <v>426</v>
      </c>
      <c r="F922" s="190">
        <v>68112305</v>
      </c>
      <c r="G922" s="119" t="s">
        <v>2627</v>
      </c>
      <c r="H922" s="187" t="s">
        <v>271</v>
      </c>
      <c r="I922" s="147" t="s">
        <v>428</v>
      </c>
      <c r="J922" s="146" t="s">
        <v>2628</v>
      </c>
      <c r="K922" s="146" t="s">
        <v>207</v>
      </c>
      <c r="L922" s="146">
        <v>2.67</v>
      </c>
      <c r="M922" s="149" t="s">
        <v>2630</v>
      </c>
      <c r="N922" s="119" t="s">
        <v>93</v>
      </c>
      <c r="O922" s="141">
        <f t="shared" ref="O922" si="685">B922</f>
        <v>244311</v>
      </c>
      <c r="P922" s="141">
        <f t="shared" ref="P922" si="686">B922+7</f>
        <v>244318</v>
      </c>
      <c r="Q922" s="141">
        <f t="shared" ref="Q922" si="687">O922+2</f>
        <v>244313</v>
      </c>
      <c r="R922" s="139"/>
      <c r="S922" s="143"/>
      <c r="T922" s="139"/>
      <c r="U922" s="143"/>
      <c r="V922" s="139" t="s">
        <v>55</v>
      </c>
      <c r="W922" s="143">
        <v>277192</v>
      </c>
      <c r="X922" s="139"/>
      <c r="Y922" s="141"/>
      <c r="Z922" s="119" t="s">
        <v>2665</v>
      </c>
      <c r="AA922" s="144">
        <f>W922-P932</f>
        <v>32870</v>
      </c>
    </row>
    <row r="923" spans="1:27" s="145" customFormat="1" ht="36" customHeight="1" x14ac:dyDescent="0.25">
      <c r="A923" s="119" t="s">
        <v>28</v>
      </c>
      <c r="B923" s="139">
        <v>244311</v>
      </c>
      <c r="C923" s="119" t="s">
        <v>14</v>
      </c>
      <c r="D923" s="166">
        <v>680717</v>
      </c>
      <c r="E923" s="119" t="s">
        <v>426</v>
      </c>
      <c r="F923" s="190">
        <v>68112326</v>
      </c>
      <c r="G923" s="119" t="s">
        <v>2634</v>
      </c>
      <c r="H923" s="187" t="s">
        <v>2202</v>
      </c>
      <c r="I923" s="147" t="s">
        <v>428</v>
      </c>
      <c r="J923" s="146" t="s">
        <v>2635</v>
      </c>
      <c r="K923" s="146" t="s">
        <v>207</v>
      </c>
      <c r="L923" s="146">
        <v>2.67</v>
      </c>
      <c r="M923" s="149" t="s">
        <v>2630</v>
      </c>
      <c r="N923" s="119" t="s">
        <v>93</v>
      </c>
      <c r="O923" s="141">
        <f t="shared" ref="O923" si="688">B923</f>
        <v>244311</v>
      </c>
      <c r="P923" s="141">
        <f t="shared" ref="P923" si="689">B923+7</f>
        <v>244318</v>
      </c>
      <c r="Q923" s="141">
        <f t="shared" ref="Q923" si="690">O923+2</f>
        <v>244313</v>
      </c>
      <c r="R923" s="139"/>
      <c r="S923" s="143"/>
      <c r="T923" s="139"/>
      <c r="U923" s="143"/>
      <c r="V923" s="139" t="s">
        <v>55</v>
      </c>
      <c r="W923" s="143">
        <v>277192</v>
      </c>
      <c r="X923" s="139"/>
      <c r="Y923" s="141"/>
      <c r="Z923" s="119" t="s">
        <v>2665</v>
      </c>
      <c r="AA923" s="144">
        <f>W923-P933</f>
        <v>32870</v>
      </c>
    </row>
    <row r="924" spans="1:27" s="145" customFormat="1" ht="36" customHeight="1" x14ac:dyDescent="0.25">
      <c r="A924" s="119" t="s">
        <v>28</v>
      </c>
      <c r="B924" s="139">
        <v>244311</v>
      </c>
      <c r="C924" s="119" t="s">
        <v>14</v>
      </c>
      <c r="D924" s="166">
        <v>680718</v>
      </c>
      <c r="E924" s="119" t="s">
        <v>420</v>
      </c>
      <c r="F924" s="190">
        <v>68112335</v>
      </c>
      <c r="G924" s="119" t="s">
        <v>2636</v>
      </c>
      <c r="H924" s="187" t="s">
        <v>273</v>
      </c>
      <c r="I924" s="147" t="s">
        <v>1041</v>
      </c>
      <c r="J924" s="146">
        <v>120.08</v>
      </c>
      <c r="K924" s="146" t="s">
        <v>201</v>
      </c>
      <c r="L924" s="146">
        <v>0.92</v>
      </c>
      <c r="M924" s="149" t="s">
        <v>2637</v>
      </c>
      <c r="N924" s="119" t="s">
        <v>93</v>
      </c>
      <c r="O924" s="141">
        <f t="shared" si="652"/>
        <v>244311</v>
      </c>
      <c r="P924" s="141">
        <f t="shared" si="654"/>
        <v>244318</v>
      </c>
      <c r="Q924" s="141">
        <f t="shared" si="653"/>
        <v>244313</v>
      </c>
      <c r="R924" s="139"/>
      <c r="S924" s="143"/>
      <c r="T924" s="139"/>
      <c r="U924" s="143"/>
      <c r="V924" s="139" t="s">
        <v>55</v>
      </c>
      <c r="W924" s="143">
        <v>244312</v>
      </c>
      <c r="X924" s="119" t="s">
        <v>2606</v>
      </c>
      <c r="Y924" s="141"/>
      <c r="Z924" s="119" t="s">
        <v>896</v>
      </c>
      <c r="AA924" s="144"/>
    </row>
    <row r="925" spans="1:27" s="145" customFormat="1" ht="36" customHeight="1" x14ac:dyDescent="0.25">
      <c r="A925" s="119" t="s">
        <v>28</v>
      </c>
      <c r="B925" s="139">
        <v>244311</v>
      </c>
      <c r="C925" s="119" t="s">
        <v>14</v>
      </c>
      <c r="D925" s="166">
        <v>680719</v>
      </c>
      <c r="E925" s="119" t="s">
        <v>426</v>
      </c>
      <c r="F925" s="190">
        <v>68112434</v>
      </c>
      <c r="G925" s="119" t="s">
        <v>2638</v>
      </c>
      <c r="H925" s="187" t="s">
        <v>2202</v>
      </c>
      <c r="I925" s="147" t="s">
        <v>428</v>
      </c>
      <c r="J925" s="146">
        <v>132.38</v>
      </c>
      <c r="K925" s="146" t="s">
        <v>200</v>
      </c>
      <c r="L925" s="146">
        <f>J925-129</f>
        <v>3.3799999999999955</v>
      </c>
      <c r="M925" s="149" t="s">
        <v>2639</v>
      </c>
      <c r="N925" s="119" t="s">
        <v>93</v>
      </c>
      <c r="O925" s="141">
        <f t="shared" si="652"/>
        <v>244311</v>
      </c>
      <c r="P925" s="141">
        <f t="shared" si="654"/>
        <v>244318</v>
      </c>
      <c r="Q925" s="141">
        <f t="shared" si="653"/>
        <v>244313</v>
      </c>
      <c r="R925" s="139"/>
      <c r="S925" s="143"/>
      <c r="T925" s="139"/>
      <c r="U925" s="143"/>
      <c r="V925" s="139" t="s">
        <v>55</v>
      </c>
      <c r="W925" s="143">
        <v>277192</v>
      </c>
      <c r="X925" s="139"/>
      <c r="Y925" s="141"/>
      <c r="Z925" s="119" t="s">
        <v>2665</v>
      </c>
      <c r="AA925" s="144"/>
    </row>
    <row r="926" spans="1:27" s="145" customFormat="1" ht="36" customHeight="1" x14ac:dyDescent="0.25">
      <c r="A926" s="119" t="s">
        <v>28</v>
      </c>
      <c r="B926" s="139">
        <v>244312</v>
      </c>
      <c r="C926" s="119" t="s">
        <v>14</v>
      </c>
      <c r="D926" s="166">
        <v>680720</v>
      </c>
      <c r="E926" s="119" t="s">
        <v>420</v>
      </c>
      <c r="F926" s="190">
        <v>68112449</v>
      </c>
      <c r="G926" s="119" t="s">
        <v>2640</v>
      </c>
      <c r="H926" s="187" t="s">
        <v>273</v>
      </c>
      <c r="I926" s="147" t="s">
        <v>1041</v>
      </c>
      <c r="J926" s="146">
        <v>119.3</v>
      </c>
      <c r="K926" s="146" t="s">
        <v>201</v>
      </c>
      <c r="L926" s="146">
        <v>1.7</v>
      </c>
      <c r="M926" s="119" t="s">
        <v>1774</v>
      </c>
      <c r="N926" s="119" t="s">
        <v>93</v>
      </c>
      <c r="O926" s="141">
        <f t="shared" si="652"/>
        <v>244312</v>
      </c>
      <c r="P926" s="141">
        <f t="shared" si="654"/>
        <v>244319</v>
      </c>
      <c r="Q926" s="141">
        <f t="shared" si="653"/>
        <v>244314</v>
      </c>
      <c r="R926" s="139"/>
      <c r="S926" s="143"/>
      <c r="T926" s="139"/>
      <c r="U926" s="143"/>
      <c r="V926" s="139" t="s">
        <v>55</v>
      </c>
      <c r="W926" s="143">
        <v>244313</v>
      </c>
      <c r="X926" s="119" t="s">
        <v>2606</v>
      </c>
      <c r="Y926" s="141"/>
      <c r="Z926" s="119" t="s">
        <v>896</v>
      </c>
      <c r="AA926" s="144">
        <f>W926-P934</f>
        <v>-9</v>
      </c>
    </row>
    <row r="927" spans="1:27" s="145" customFormat="1" ht="36" customHeight="1" x14ac:dyDescent="0.25">
      <c r="A927" s="119" t="s">
        <v>28</v>
      </c>
      <c r="B927" s="139">
        <v>244312</v>
      </c>
      <c r="C927" s="119" t="s">
        <v>14</v>
      </c>
      <c r="D927" s="166">
        <v>680721</v>
      </c>
      <c r="E927" s="119" t="s">
        <v>420</v>
      </c>
      <c r="F927" s="190">
        <v>68112451</v>
      </c>
      <c r="G927" s="119" t="s">
        <v>2641</v>
      </c>
      <c r="H927" s="187" t="s">
        <v>272</v>
      </c>
      <c r="I927" s="147" t="s">
        <v>1041</v>
      </c>
      <c r="J927" s="146">
        <v>125.01</v>
      </c>
      <c r="K927" s="146" t="s">
        <v>207</v>
      </c>
      <c r="L927" s="146">
        <f>J927-124</f>
        <v>1.0100000000000051</v>
      </c>
      <c r="M927" s="119" t="s">
        <v>1324</v>
      </c>
      <c r="N927" s="119" t="s">
        <v>93</v>
      </c>
      <c r="O927" s="141">
        <f t="shared" si="652"/>
        <v>244312</v>
      </c>
      <c r="P927" s="141">
        <f t="shared" si="654"/>
        <v>244319</v>
      </c>
      <c r="Q927" s="141">
        <f t="shared" si="653"/>
        <v>244314</v>
      </c>
      <c r="R927" s="139"/>
      <c r="S927" s="143"/>
      <c r="T927" s="139"/>
      <c r="U927" s="143"/>
      <c r="V927" s="139" t="s">
        <v>55</v>
      </c>
      <c r="W927" s="143">
        <v>244313</v>
      </c>
      <c r="X927" s="119" t="s">
        <v>2606</v>
      </c>
      <c r="Y927" s="141"/>
      <c r="Z927" s="119" t="s">
        <v>896</v>
      </c>
      <c r="AA927" s="144"/>
    </row>
    <row r="928" spans="1:27" s="145" customFormat="1" ht="36" customHeight="1" x14ac:dyDescent="0.25">
      <c r="A928" s="119" t="s">
        <v>28</v>
      </c>
      <c r="B928" s="139">
        <v>244313</v>
      </c>
      <c r="C928" s="119" t="s">
        <v>14</v>
      </c>
      <c r="D928" s="166">
        <v>680722</v>
      </c>
      <c r="E928" s="119" t="s">
        <v>420</v>
      </c>
      <c r="F928" s="190">
        <v>68112529</v>
      </c>
      <c r="G928" s="119" t="s">
        <v>2642</v>
      </c>
      <c r="H928" s="187" t="s">
        <v>273</v>
      </c>
      <c r="I928" s="147" t="s">
        <v>1041</v>
      </c>
      <c r="J928" s="146">
        <v>126.61</v>
      </c>
      <c r="K928" s="146" t="s">
        <v>207</v>
      </c>
      <c r="L928" s="146">
        <f>J928-124</f>
        <v>2.6099999999999994</v>
      </c>
      <c r="M928" s="119" t="s">
        <v>2643</v>
      </c>
      <c r="N928" s="119" t="s">
        <v>93</v>
      </c>
      <c r="O928" s="141">
        <f t="shared" si="652"/>
        <v>244313</v>
      </c>
      <c r="P928" s="141">
        <f t="shared" si="654"/>
        <v>244320</v>
      </c>
      <c r="Q928" s="141">
        <f t="shared" si="653"/>
        <v>244315</v>
      </c>
      <c r="R928" s="139"/>
      <c r="S928" s="143"/>
      <c r="T928" s="139"/>
      <c r="U928" s="143"/>
      <c r="V928" s="139" t="s">
        <v>55</v>
      </c>
      <c r="W928" s="143">
        <v>244314</v>
      </c>
      <c r="X928" s="119" t="s">
        <v>2606</v>
      </c>
      <c r="Y928" s="141"/>
      <c r="Z928" s="119" t="s">
        <v>896</v>
      </c>
      <c r="AA928" s="144">
        <f>W928-P934</f>
        <v>-8</v>
      </c>
    </row>
    <row r="929" spans="1:27" s="145" customFormat="1" ht="36" customHeight="1" x14ac:dyDescent="0.25">
      <c r="A929" s="119" t="s">
        <v>28</v>
      </c>
      <c r="B929" s="139">
        <v>244314</v>
      </c>
      <c r="C929" s="119" t="s">
        <v>14</v>
      </c>
      <c r="D929" s="166">
        <v>680723</v>
      </c>
      <c r="E929" s="119" t="s">
        <v>420</v>
      </c>
      <c r="F929" s="190">
        <v>68112601</v>
      </c>
      <c r="G929" s="119" t="s">
        <v>2644</v>
      </c>
      <c r="H929" s="187" t="s">
        <v>205</v>
      </c>
      <c r="I929" s="147" t="s">
        <v>1041</v>
      </c>
      <c r="J929" s="146">
        <v>126.03</v>
      </c>
      <c r="K929" s="146" t="s">
        <v>207</v>
      </c>
      <c r="L929" s="146">
        <f>J929-124</f>
        <v>2.0300000000000011</v>
      </c>
      <c r="M929" s="119" t="s">
        <v>2645</v>
      </c>
      <c r="N929" s="119" t="s">
        <v>93</v>
      </c>
      <c r="O929" s="141">
        <f t="shared" si="652"/>
        <v>244314</v>
      </c>
      <c r="P929" s="141">
        <f t="shared" si="654"/>
        <v>244321</v>
      </c>
      <c r="Q929" s="141">
        <f t="shared" si="653"/>
        <v>244316</v>
      </c>
      <c r="R929" s="139"/>
      <c r="S929" s="143"/>
      <c r="T929" s="139"/>
      <c r="U929" s="143"/>
      <c r="V929" s="139" t="s">
        <v>55</v>
      </c>
      <c r="W929" s="143">
        <v>244314</v>
      </c>
      <c r="X929" s="119" t="s">
        <v>2606</v>
      </c>
      <c r="Y929" s="141"/>
      <c r="Z929" s="119" t="s">
        <v>896</v>
      </c>
      <c r="AA929" s="144"/>
    </row>
    <row r="930" spans="1:27" s="145" customFormat="1" ht="36" customHeight="1" x14ac:dyDescent="0.25">
      <c r="A930" s="119" t="s">
        <v>28</v>
      </c>
      <c r="B930" s="139">
        <v>244314</v>
      </c>
      <c r="C930" s="119" t="s">
        <v>14</v>
      </c>
      <c r="D930" s="166">
        <v>680724</v>
      </c>
      <c r="E930" s="119" t="s">
        <v>306</v>
      </c>
      <c r="F930" s="190">
        <v>68112622</v>
      </c>
      <c r="G930" s="119" t="s">
        <v>2648</v>
      </c>
      <c r="H930" s="187" t="s">
        <v>282</v>
      </c>
      <c r="I930" s="154" t="s">
        <v>305</v>
      </c>
      <c r="J930" s="146">
        <v>73.489999999999995</v>
      </c>
      <c r="K930" s="146" t="s">
        <v>207</v>
      </c>
      <c r="L930" s="146">
        <f>J930-70</f>
        <v>3.4899999999999949</v>
      </c>
      <c r="M930" s="119" t="s">
        <v>2649</v>
      </c>
      <c r="N930" s="119" t="s">
        <v>93</v>
      </c>
      <c r="O930" s="141">
        <f t="shared" si="652"/>
        <v>244314</v>
      </c>
      <c r="P930" s="141">
        <f t="shared" si="654"/>
        <v>244321</v>
      </c>
      <c r="Q930" s="141">
        <f t="shared" si="653"/>
        <v>244316</v>
      </c>
      <c r="R930" s="139"/>
      <c r="S930" s="143"/>
      <c r="T930" s="139"/>
      <c r="U930" s="143"/>
      <c r="V930" s="139" t="s">
        <v>55</v>
      </c>
      <c r="W930" s="143">
        <v>244335</v>
      </c>
      <c r="X930" s="119"/>
      <c r="Y930" s="141"/>
      <c r="Z930" s="119" t="s">
        <v>2767</v>
      </c>
      <c r="AA930" s="144">
        <f>W930-P946</f>
        <v>6</v>
      </c>
    </row>
    <row r="931" spans="1:27" s="145" customFormat="1" ht="36" customHeight="1" x14ac:dyDescent="0.25">
      <c r="A931" s="119" t="s">
        <v>28</v>
      </c>
      <c r="B931" s="139">
        <v>244314</v>
      </c>
      <c r="C931" s="119" t="s">
        <v>14</v>
      </c>
      <c r="D931" s="166">
        <v>680725</v>
      </c>
      <c r="E931" s="119" t="s">
        <v>376</v>
      </c>
      <c r="F931" s="190">
        <v>68112624</v>
      </c>
      <c r="G931" s="119" t="s">
        <v>2646</v>
      </c>
      <c r="H931" s="187" t="s">
        <v>208</v>
      </c>
      <c r="I931" s="147" t="s">
        <v>378</v>
      </c>
      <c r="J931" s="146">
        <v>119.42</v>
      </c>
      <c r="K931" s="146" t="s">
        <v>207</v>
      </c>
      <c r="L931" s="146">
        <f>J931-116</f>
        <v>3.4200000000000017</v>
      </c>
      <c r="M931" s="119" t="s">
        <v>2647</v>
      </c>
      <c r="N931" s="119" t="s">
        <v>93</v>
      </c>
      <c r="O931" s="141">
        <f t="shared" si="652"/>
        <v>244314</v>
      </c>
      <c r="P931" s="141">
        <f t="shared" si="654"/>
        <v>244321</v>
      </c>
      <c r="Q931" s="141">
        <f t="shared" si="653"/>
        <v>244316</v>
      </c>
      <c r="R931" s="139"/>
      <c r="S931" s="143"/>
      <c r="T931" s="139"/>
      <c r="U931" s="143"/>
      <c r="V931" s="139" t="s">
        <v>55</v>
      </c>
      <c r="W931" s="143">
        <v>244326</v>
      </c>
      <c r="X931" s="119"/>
      <c r="Y931" s="141"/>
      <c r="Z931" s="119" t="s">
        <v>2715</v>
      </c>
      <c r="AA931" s="144">
        <f>W931-P934</f>
        <v>4</v>
      </c>
    </row>
    <row r="932" spans="1:27" s="145" customFormat="1" ht="36" customHeight="1" x14ac:dyDescent="0.25">
      <c r="A932" s="119" t="s">
        <v>28</v>
      </c>
      <c r="B932" s="139">
        <v>244315</v>
      </c>
      <c r="C932" s="119" t="s">
        <v>14</v>
      </c>
      <c r="D932" s="166">
        <v>680726</v>
      </c>
      <c r="E932" s="119" t="s">
        <v>420</v>
      </c>
      <c r="F932" s="190">
        <v>68112716</v>
      </c>
      <c r="G932" s="119" t="s">
        <v>2650</v>
      </c>
      <c r="H932" s="187" t="s">
        <v>273</v>
      </c>
      <c r="I932" s="147" t="s">
        <v>1041</v>
      </c>
      <c r="J932" s="146">
        <v>119.44</v>
      </c>
      <c r="K932" s="146" t="s">
        <v>201</v>
      </c>
      <c r="L932" s="146">
        <f>121-J932</f>
        <v>1.5600000000000023</v>
      </c>
      <c r="M932" s="119" t="s">
        <v>2651</v>
      </c>
      <c r="N932" s="119" t="s">
        <v>93</v>
      </c>
      <c r="O932" s="141">
        <f t="shared" si="652"/>
        <v>244315</v>
      </c>
      <c r="P932" s="141">
        <f t="shared" si="654"/>
        <v>244322</v>
      </c>
      <c r="Q932" s="141">
        <f t="shared" si="653"/>
        <v>244317</v>
      </c>
      <c r="R932" s="139"/>
      <c r="S932" s="143"/>
      <c r="T932" s="139"/>
      <c r="U932" s="143"/>
      <c r="V932" s="139" t="s">
        <v>55</v>
      </c>
      <c r="W932" s="143">
        <v>244329</v>
      </c>
      <c r="X932" s="119"/>
      <c r="Y932" s="141"/>
      <c r="Z932" s="119" t="s">
        <v>2740</v>
      </c>
      <c r="AA932" s="144">
        <f>W932-P944</f>
        <v>0</v>
      </c>
    </row>
    <row r="933" spans="1:27" s="145" customFormat="1" ht="36" customHeight="1" x14ac:dyDescent="0.25">
      <c r="A933" s="119" t="s">
        <v>28</v>
      </c>
      <c r="B933" s="139">
        <v>244315</v>
      </c>
      <c r="C933" s="119" t="s">
        <v>14</v>
      </c>
      <c r="D933" s="166">
        <v>680727</v>
      </c>
      <c r="E933" s="119" t="s">
        <v>420</v>
      </c>
      <c r="F933" s="190">
        <v>68112713</v>
      </c>
      <c r="G933" s="119" t="s">
        <v>2652</v>
      </c>
      <c r="H933" s="187" t="s">
        <v>205</v>
      </c>
      <c r="I933" s="147" t="s">
        <v>1041</v>
      </c>
      <c r="J933" s="146">
        <v>125.6</v>
      </c>
      <c r="K933" s="146" t="s">
        <v>207</v>
      </c>
      <c r="L933" s="146">
        <f>J933-124</f>
        <v>1.5999999999999943</v>
      </c>
      <c r="M933" s="119" t="s">
        <v>1144</v>
      </c>
      <c r="N933" s="119" t="s">
        <v>93</v>
      </c>
      <c r="O933" s="141">
        <f t="shared" si="652"/>
        <v>244315</v>
      </c>
      <c r="P933" s="141">
        <f t="shared" si="654"/>
        <v>244322</v>
      </c>
      <c r="Q933" s="141">
        <f t="shared" si="653"/>
        <v>244317</v>
      </c>
      <c r="R933" s="139"/>
      <c r="S933" s="143"/>
      <c r="T933" s="139"/>
      <c r="U933" s="143"/>
      <c r="V933" s="139" t="s">
        <v>55</v>
      </c>
      <c r="W933" s="143">
        <v>244329</v>
      </c>
      <c r="X933" s="119"/>
      <c r="Y933" s="141"/>
      <c r="Z933" s="119" t="s">
        <v>2735</v>
      </c>
      <c r="AA933" s="144">
        <f>W933-P946</f>
        <v>0</v>
      </c>
    </row>
    <row r="934" spans="1:27" s="145" customFormat="1" ht="36" customHeight="1" x14ac:dyDescent="0.25">
      <c r="A934" s="119" t="s">
        <v>28</v>
      </c>
      <c r="B934" s="139">
        <v>244315</v>
      </c>
      <c r="C934" s="119" t="s">
        <v>14</v>
      </c>
      <c r="D934" s="166">
        <v>680728</v>
      </c>
      <c r="E934" s="119" t="s">
        <v>368</v>
      </c>
      <c r="F934" s="190">
        <v>68112701</v>
      </c>
      <c r="G934" s="119" t="s">
        <v>2653</v>
      </c>
      <c r="H934" s="187" t="s">
        <v>221</v>
      </c>
      <c r="I934" s="147" t="s">
        <v>1260</v>
      </c>
      <c r="J934" s="146">
        <v>84.26</v>
      </c>
      <c r="K934" s="146" t="s">
        <v>200</v>
      </c>
      <c r="L934" s="146">
        <f>J934-78</f>
        <v>6.2600000000000051</v>
      </c>
      <c r="M934" s="119" t="s">
        <v>2654</v>
      </c>
      <c r="N934" s="119" t="s">
        <v>93</v>
      </c>
      <c r="O934" s="141">
        <f t="shared" si="652"/>
        <v>244315</v>
      </c>
      <c r="P934" s="141">
        <f t="shared" si="654"/>
        <v>244322</v>
      </c>
      <c r="Q934" s="141">
        <f t="shared" si="653"/>
        <v>244317</v>
      </c>
      <c r="R934" s="139"/>
      <c r="S934" s="143"/>
      <c r="T934" s="139"/>
      <c r="U934" s="143"/>
      <c r="V934" s="139" t="s">
        <v>55</v>
      </c>
      <c r="W934" s="143">
        <v>244326</v>
      </c>
      <c r="X934" s="119"/>
      <c r="Y934" s="141"/>
      <c r="Z934" s="119" t="s">
        <v>2079</v>
      </c>
      <c r="AA934" s="144">
        <f>W934-P946</f>
        <v>-3</v>
      </c>
    </row>
    <row r="935" spans="1:27" s="145" customFormat="1" ht="36" customHeight="1" x14ac:dyDescent="0.25">
      <c r="A935" s="119" t="s">
        <v>28</v>
      </c>
      <c r="B935" s="139">
        <v>244315</v>
      </c>
      <c r="C935" s="119" t="s">
        <v>14</v>
      </c>
      <c r="D935" s="166">
        <v>680729</v>
      </c>
      <c r="E935" s="119" t="s">
        <v>306</v>
      </c>
      <c r="F935" s="190">
        <v>68112731</v>
      </c>
      <c r="G935" s="119" t="s">
        <v>2655</v>
      </c>
      <c r="H935" s="187" t="s">
        <v>282</v>
      </c>
      <c r="I935" s="147" t="s">
        <v>305</v>
      </c>
      <c r="J935" s="146">
        <v>73.33</v>
      </c>
      <c r="K935" s="146" t="s">
        <v>200</v>
      </c>
      <c r="L935" s="146">
        <f>J935-70</f>
        <v>3.3299999999999983</v>
      </c>
      <c r="M935" s="119" t="s">
        <v>2656</v>
      </c>
      <c r="N935" s="119" t="s">
        <v>93</v>
      </c>
      <c r="O935" s="141">
        <f t="shared" si="652"/>
        <v>244315</v>
      </c>
      <c r="P935" s="141">
        <f t="shared" si="654"/>
        <v>244322</v>
      </c>
      <c r="Q935" s="141">
        <f t="shared" si="653"/>
        <v>244317</v>
      </c>
      <c r="R935" s="139"/>
      <c r="S935" s="143"/>
      <c r="T935" s="139"/>
      <c r="U935" s="143"/>
      <c r="V935" s="139" t="s">
        <v>55</v>
      </c>
      <c r="W935" s="143">
        <v>244335</v>
      </c>
      <c r="X935" s="119"/>
      <c r="Y935" s="141"/>
      <c r="Z935" s="119" t="s">
        <v>2767</v>
      </c>
      <c r="AA935" s="144"/>
    </row>
    <row r="936" spans="1:27" s="145" customFormat="1" ht="36" customHeight="1" x14ac:dyDescent="0.25">
      <c r="A936" s="119" t="s">
        <v>28</v>
      </c>
      <c r="B936" s="139">
        <v>244315</v>
      </c>
      <c r="C936" s="119" t="s">
        <v>14</v>
      </c>
      <c r="D936" s="166">
        <v>680730</v>
      </c>
      <c r="E936" s="119" t="s">
        <v>433</v>
      </c>
      <c r="F936" s="190">
        <v>68112750</v>
      </c>
      <c r="G936" s="119" t="s">
        <v>2657</v>
      </c>
      <c r="H936" s="187" t="s">
        <v>252</v>
      </c>
      <c r="I936" s="147" t="s">
        <v>304</v>
      </c>
      <c r="J936" s="146">
        <v>81.08</v>
      </c>
      <c r="K936" s="146" t="s">
        <v>207</v>
      </c>
      <c r="L936" s="146">
        <f>J936-78</f>
        <v>3.0799999999999983</v>
      </c>
      <c r="M936" s="119" t="s">
        <v>2658</v>
      </c>
      <c r="N936" s="119" t="s">
        <v>93</v>
      </c>
      <c r="O936" s="141">
        <f t="shared" si="652"/>
        <v>244315</v>
      </c>
      <c r="P936" s="141">
        <f t="shared" si="654"/>
        <v>244322</v>
      </c>
      <c r="Q936" s="141">
        <f t="shared" si="653"/>
        <v>244317</v>
      </c>
      <c r="R936" s="139"/>
      <c r="S936" s="143"/>
      <c r="T936" s="139"/>
      <c r="U936" s="143"/>
      <c r="V936" s="139" t="s">
        <v>55</v>
      </c>
      <c r="W936" s="143">
        <v>244317</v>
      </c>
      <c r="X936" s="119" t="s">
        <v>2606</v>
      </c>
      <c r="Y936" s="141"/>
      <c r="Z936" s="119" t="s">
        <v>2663</v>
      </c>
      <c r="AA936" s="144"/>
    </row>
    <row r="937" spans="1:27" s="145" customFormat="1" ht="36" customHeight="1" x14ac:dyDescent="0.25">
      <c r="A937" s="119" t="s">
        <v>28</v>
      </c>
      <c r="B937" s="139">
        <v>244316</v>
      </c>
      <c r="C937" s="119" t="s">
        <v>14</v>
      </c>
      <c r="D937" s="166">
        <v>680731</v>
      </c>
      <c r="E937" s="119" t="s">
        <v>426</v>
      </c>
      <c r="F937" s="190">
        <v>68112801</v>
      </c>
      <c r="G937" s="119" t="s">
        <v>2659</v>
      </c>
      <c r="H937" s="187" t="s">
        <v>2202</v>
      </c>
      <c r="I937" s="147" t="s">
        <v>1041</v>
      </c>
      <c r="J937" s="146">
        <v>133.27000000000001</v>
      </c>
      <c r="K937" s="146" t="s">
        <v>207</v>
      </c>
      <c r="L937" s="146">
        <f>J937-129</f>
        <v>4.2700000000000102</v>
      </c>
      <c r="M937" s="119" t="s">
        <v>2660</v>
      </c>
      <c r="N937" s="119" t="s">
        <v>93</v>
      </c>
      <c r="O937" s="141">
        <f t="shared" si="652"/>
        <v>244316</v>
      </c>
      <c r="P937" s="141">
        <f t="shared" si="654"/>
        <v>244323</v>
      </c>
      <c r="Q937" s="141">
        <f t="shared" si="653"/>
        <v>244318</v>
      </c>
      <c r="R937" s="139"/>
      <c r="S937" s="143"/>
      <c r="T937" s="139"/>
      <c r="U937" s="143"/>
      <c r="V937" s="139" t="s">
        <v>55</v>
      </c>
      <c r="W937" s="143">
        <v>277192</v>
      </c>
      <c r="X937" s="119"/>
      <c r="Y937" s="141"/>
      <c r="Z937" s="119" t="s">
        <v>2665</v>
      </c>
      <c r="AA937" s="144"/>
    </row>
    <row r="938" spans="1:27" s="145" customFormat="1" ht="36" customHeight="1" x14ac:dyDescent="0.25">
      <c r="A938" s="119" t="s">
        <v>28</v>
      </c>
      <c r="B938" s="139">
        <v>244316</v>
      </c>
      <c r="C938" s="119" t="s">
        <v>14</v>
      </c>
      <c r="D938" s="166">
        <v>680732</v>
      </c>
      <c r="E938" s="119" t="s">
        <v>368</v>
      </c>
      <c r="F938" s="190">
        <v>68112823</v>
      </c>
      <c r="G938" s="119" t="s">
        <v>2661</v>
      </c>
      <c r="H938" s="187" t="s">
        <v>221</v>
      </c>
      <c r="I938" s="147" t="s">
        <v>1260</v>
      </c>
      <c r="J938" s="146">
        <v>84.48</v>
      </c>
      <c r="K938" s="146" t="s">
        <v>200</v>
      </c>
      <c r="L938" s="146">
        <f>J938-78</f>
        <v>6.480000000000004</v>
      </c>
      <c r="M938" s="119" t="s">
        <v>2662</v>
      </c>
      <c r="N938" s="119" t="s">
        <v>93</v>
      </c>
      <c r="O938" s="141">
        <f t="shared" si="652"/>
        <v>244316</v>
      </c>
      <c r="P938" s="141">
        <f t="shared" si="654"/>
        <v>244323</v>
      </c>
      <c r="Q938" s="141">
        <f t="shared" si="653"/>
        <v>244318</v>
      </c>
      <c r="R938" s="139"/>
      <c r="S938" s="143"/>
      <c r="T938" s="139"/>
      <c r="U938" s="143"/>
      <c r="V938" s="139" t="s">
        <v>55</v>
      </c>
      <c r="W938" s="143">
        <v>244326</v>
      </c>
      <c r="X938" s="119"/>
      <c r="Y938" s="141"/>
      <c r="Z938" s="119" t="s">
        <v>2079</v>
      </c>
      <c r="AA938" s="144"/>
    </row>
    <row r="939" spans="1:27" s="145" customFormat="1" ht="36" customHeight="1" x14ac:dyDescent="0.25">
      <c r="A939" s="119" t="s">
        <v>28</v>
      </c>
      <c r="B939" s="139">
        <v>244319</v>
      </c>
      <c r="C939" s="119" t="s">
        <v>14</v>
      </c>
      <c r="D939" s="166">
        <v>680733</v>
      </c>
      <c r="E939" s="119" t="s">
        <v>420</v>
      </c>
      <c r="F939" s="190">
        <v>68120136</v>
      </c>
      <c r="G939" s="119" t="s">
        <v>2664</v>
      </c>
      <c r="H939" s="187" t="s">
        <v>273</v>
      </c>
      <c r="I939" s="147" t="s">
        <v>1041</v>
      </c>
      <c r="J939" s="146">
        <v>125.71</v>
      </c>
      <c r="K939" s="146" t="s">
        <v>207</v>
      </c>
      <c r="L939" s="146">
        <f>J939-124</f>
        <v>1.7099999999999937</v>
      </c>
      <c r="M939" s="119" t="s">
        <v>959</v>
      </c>
      <c r="N939" s="119" t="s">
        <v>93</v>
      </c>
      <c r="O939" s="141">
        <f t="shared" si="652"/>
        <v>244319</v>
      </c>
      <c r="P939" s="141">
        <f t="shared" si="654"/>
        <v>244326</v>
      </c>
      <c r="Q939" s="141">
        <f t="shared" si="653"/>
        <v>244321</v>
      </c>
      <c r="R939" s="139"/>
      <c r="S939" s="143"/>
      <c r="T939" s="139"/>
      <c r="U939" s="143"/>
      <c r="V939" s="139" t="s">
        <v>55</v>
      </c>
      <c r="W939" s="143">
        <v>244329</v>
      </c>
      <c r="X939" s="119"/>
      <c r="Y939" s="141"/>
      <c r="Z939" s="119" t="s">
        <v>2735</v>
      </c>
      <c r="AA939" s="144"/>
    </row>
    <row r="940" spans="1:27" s="145" customFormat="1" ht="36" customHeight="1" x14ac:dyDescent="0.25">
      <c r="A940" s="119" t="s">
        <v>29</v>
      </c>
      <c r="B940" s="139">
        <v>244321</v>
      </c>
      <c r="C940" s="119" t="s">
        <v>14</v>
      </c>
      <c r="D940" s="166">
        <v>680734</v>
      </c>
      <c r="E940" s="119" t="s">
        <v>420</v>
      </c>
      <c r="F940" s="190">
        <v>68120312</v>
      </c>
      <c r="G940" s="119" t="s">
        <v>2666</v>
      </c>
      <c r="H940" s="187" t="s">
        <v>273</v>
      </c>
      <c r="I940" s="147" t="s">
        <v>1041</v>
      </c>
      <c r="J940" s="146">
        <v>119.74</v>
      </c>
      <c r="K940" s="146" t="s">
        <v>201</v>
      </c>
      <c r="L940" s="146">
        <f>121-J940</f>
        <v>1.2600000000000051</v>
      </c>
      <c r="M940" s="119" t="s">
        <v>2667</v>
      </c>
      <c r="N940" s="119" t="s">
        <v>93</v>
      </c>
      <c r="O940" s="141">
        <f t="shared" si="652"/>
        <v>244321</v>
      </c>
      <c r="P940" s="141">
        <f t="shared" si="654"/>
        <v>244328</v>
      </c>
      <c r="Q940" s="141">
        <f t="shared" si="653"/>
        <v>244323</v>
      </c>
      <c r="R940" s="139"/>
      <c r="S940" s="143"/>
      <c r="T940" s="139"/>
      <c r="U940" s="143"/>
      <c r="V940" s="139" t="s">
        <v>55</v>
      </c>
      <c r="W940" s="143">
        <v>244329</v>
      </c>
      <c r="X940" s="119"/>
      <c r="Y940" s="141"/>
      <c r="Z940" s="119" t="s">
        <v>2740</v>
      </c>
      <c r="AA940" s="144"/>
    </row>
    <row r="941" spans="1:27" s="145" customFormat="1" ht="36" customHeight="1" x14ac:dyDescent="0.25">
      <c r="A941" s="119" t="s">
        <v>29</v>
      </c>
      <c r="B941" s="139">
        <v>244321</v>
      </c>
      <c r="C941" s="119" t="s">
        <v>14</v>
      </c>
      <c r="D941" s="166">
        <v>680735</v>
      </c>
      <c r="E941" s="119" t="s">
        <v>420</v>
      </c>
      <c r="F941" s="190">
        <v>68120350</v>
      </c>
      <c r="G941" s="119" t="s">
        <v>2670</v>
      </c>
      <c r="H941" s="187" t="s">
        <v>272</v>
      </c>
      <c r="I941" s="147" t="s">
        <v>1041</v>
      </c>
      <c r="J941" s="146">
        <v>120</v>
      </c>
      <c r="K941" s="146" t="s">
        <v>201</v>
      </c>
      <c r="L941" s="146">
        <f>121-J941</f>
        <v>1</v>
      </c>
      <c r="M941" s="119" t="s">
        <v>2671</v>
      </c>
      <c r="N941" s="119" t="s">
        <v>93</v>
      </c>
      <c r="O941" s="141">
        <f t="shared" si="652"/>
        <v>244321</v>
      </c>
      <c r="P941" s="141">
        <f t="shared" si="654"/>
        <v>244328</v>
      </c>
      <c r="Q941" s="141">
        <f t="shared" si="653"/>
        <v>244323</v>
      </c>
      <c r="R941" s="139" t="s">
        <v>55</v>
      </c>
      <c r="S941" s="143">
        <v>244342</v>
      </c>
      <c r="T941" s="139" t="s">
        <v>55</v>
      </c>
      <c r="U941" s="143">
        <v>244343</v>
      </c>
      <c r="V941" s="139" t="s">
        <v>55</v>
      </c>
      <c r="W941" s="143">
        <v>244343</v>
      </c>
      <c r="X941" s="139"/>
      <c r="Y941" s="141"/>
      <c r="Z941" s="119" t="s">
        <v>966</v>
      </c>
      <c r="AA941" s="144"/>
    </row>
    <row r="942" spans="1:27" s="145" customFormat="1" ht="36" customHeight="1" x14ac:dyDescent="0.25">
      <c r="A942" s="119" t="s">
        <v>29</v>
      </c>
      <c r="B942" s="139">
        <v>244321</v>
      </c>
      <c r="C942" s="119" t="s">
        <v>14</v>
      </c>
      <c r="D942" s="166">
        <v>680736</v>
      </c>
      <c r="E942" s="119" t="s">
        <v>1122</v>
      </c>
      <c r="F942" s="190">
        <v>68120341</v>
      </c>
      <c r="G942" s="119" t="s">
        <v>2672</v>
      </c>
      <c r="H942" s="187" t="s">
        <v>238</v>
      </c>
      <c r="I942" s="147" t="s">
        <v>1124</v>
      </c>
      <c r="J942" s="146">
        <v>51.151000000000003</v>
      </c>
      <c r="K942" s="146" t="s">
        <v>207</v>
      </c>
      <c r="L942" s="146">
        <f>J942-48</f>
        <v>3.1510000000000034</v>
      </c>
      <c r="M942" s="119" t="s">
        <v>2673</v>
      </c>
      <c r="N942" s="119" t="s">
        <v>93</v>
      </c>
      <c r="O942" s="141">
        <f t="shared" si="652"/>
        <v>244321</v>
      </c>
      <c r="P942" s="141">
        <f t="shared" si="654"/>
        <v>244328</v>
      </c>
      <c r="Q942" s="141">
        <f t="shared" si="653"/>
        <v>244323</v>
      </c>
      <c r="R942" s="139" t="s">
        <v>55</v>
      </c>
      <c r="S942" s="143">
        <v>244342</v>
      </c>
      <c r="T942" s="139" t="s">
        <v>55</v>
      </c>
      <c r="U942" s="143">
        <v>244343</v>
      </c>
      <c r="V942" s="139" t="s">
        <v>55</v>
      </c>
      <c r="W942" s="143">
        <v>244343</v>
      </c>
      <c r="X942" s="139"/>
      <c r="Y942" s="141"/>
      <c r="Z942" s="119" t="s">
        <v>2782</v>
      </c>
      <c r="AA942" s="144"/>
    </row>
    <row r="943" spans="1:27" s="145" customFormat="1" ht="36" customHeight="1" x14ac:dyDescent="0.25">
      <c r="A943" s="119" t="s">
        <v>29</v>
      </c>
      <c r="B943" s="139">
        <v>244321</v>
      </c>
      <c r="C943" s="119" t="s">
        <v>14</v>
      </c>
      <c r="D943" s="166">
        <v>680737</v>
      </c>
      <c r="E943" s="119" t="s">
        <v>307</v>
      </c>
      <c r="F943" s="190">
        <v>68120342</v>
      </c>
      <c r="G943" s="119" t="s">
        <v>2668</v>
      </c>
      <c r="H943" s="187" t="s">
        <v>285</v>
      </c>
      <c r="I943" s="147" t="s">
        <v>308</v>
      </c>
      <c r="J943" s="146">
        <v>60.58</v>
      </c>
      <c r="K943" s="146" t="s">
        <v>411</v>
      </c>
      <c r="L943" s="146">
        <f>64-J943</f>
        <v>3.4200000000000017</v>
      </c>
      <c r="M943" s="119" t="s">
        <v>2669</v>
      </c>
      <c r="N943" s="119" t="s">
        <v>93</v>
      </c>
      <c r="O943" s="141">
        <f t="shared" ref="O943" si="691">B943</f>
        <v>244321</v>
      </c>
      <c r="P943" s="141">
        <f t="shared" ref="P943" si="692">B943+7</f>
        <v>244328</v>
      </c>
      <c r="Q943" s="141">
        <f t="shared" ref="Q943" si="693">O943+2</f>
        <v>244323</v>
      </c>
      <c r="R943" s="139"/>
      <c r="S943" s="143"/>
      <c r="T943" s="139"/>
      <c r="U943" s="143"/>
      <c r="V943" s="139" t="s">
        <v>55</v>
      </c>
      <c r="W943" s="143">
        <v>244331</v>
      </c>
      <c r="X943" s="139"/>
      <c r="Y943" s="141"/>
      <c r="Z943" s="119" t="s">
        <v>2749</v>
      </c>
      <c r="AA943" s="144"/>
    </row>
    <row r="944" spans="1:27" s="145" customFormat="1" ht="42" customHeight="1" x14ac:dyDescent="0.25">
      <c r="A944" s="119" t="s">
        <v>29</v>
      </c>
      <c r="B944" s="139">
        <v>244322</v>
      </c>
      <c r="C944" s="119" t="s">
        <v>14</v>
      </c>
      <c r="D944" s="166">
        <v>680738</v>
      </c>
      <c r="E944" s="119" t="s">
        <v>420</v>
      </c>
      <c r="F944" s="190">
        <v>68120417</v>
      </c>
      <c r="G944" s="119" t="s">
        <v>2674</v>
      </c>
      <c r="H944" s="187" t="s">
        <v>273</v>
      </c>
      <c r="I944" s="147" t="s">
        <v>1041</v>
      </c>
      <c r="J944" s="146">
        <v>119.24</v>
      </c>
      <c r="K944" s="146" t="s">
        <v>201</v>
      </c>
      <c r="L944" s="146">
        <f>121-J944</f>
        <v>1.7600000000000051</v>
      </c>
      <c r="M944" s="146" t="s">
        <v>2675</v>
      </c>
      <c r="N944" s="119" t="s">
        <v>93</v>
      </c>
      <c r="O944" s="141">
        <f t="shared" si="652"/>
        <v>244322</v>
      </c>
      <c r="P944" s="141">
        <f t="shared" si="654"/>
        <v>244329</v>
      </c>
      <c r="Q944" s="141">
        <f t="shared" si="653"/>
        <v>244324</v>
      </c>
      <c r="R944" s="139"/>
      <c r="S944" s="143"/>
      <c r="T944" s="139"/>
      <c r="U944" s="143"/>
      <c r="V944" s="139" t="s">
        <v>55</v>
      </c>
      <c r="W944" s="143">
        <v>244329</v>
      </c>
      <c r="X944" s="119"/>
      <c r="Y944" s="141"/>
      <c r="Z944" s="119" t="s">
        <v>2740</v>
      </c>
      <c r="AA944" s="144">
        <f>W944-P949</f>
        <v>-1</v>
      </c>
    </row>
    <row r="945" spans="1:27" s="145" customFormat="1" ht="42" customHeight="1" x14ac:dyDescent="0.25">
      <c r="A945" s="119" t="s">
        <v>29</v>
      </c>
      <c r="B945" s="139">
        <v>244322</v>
      </c>
      <c r="C945" s="119" t="s">
        <v>14</v>
      </c>
      <c r="D945" s="166">
        <v>680739</v>
      </c>
      <c r="E945" s="119" t="s">
        <v>376</v>
      </c>
      <c r="F945" s="190">
        <v>68120429</v>
      </c>
      <c r="G945" s="119" t="s">
        <v>2676</v>
      </c>
      <c r="H945" s="187" t="s">
        <v>290</v>
      </c>
      <c r="I945" s="147" t="s">
        <v>378</v>
      </c>
      <c r="J945" s="146">
        <v>117.1</v>
      </c>
      <c r="K945" s="146" t="s">
        <v>200</v>
      </c>
      <c r="L945" s="146">
        <v>1.1000000000000001</v>
      </c>
      <c r="M945" s="119" t="s">
        <v>2677</v>
      </c>
      <c r="N945" s="119" t="s">
        <v>93</v>
      </c>
      <c r="O945" s="141">
        <f t="shared" ref="O945" si="694">B945</f>
        <v>244322</v>
      </c>
      <c r="P945" s="141">
        <f t="shared" ref="P945" si="695">B945+7</f>
        <v>244329</v>
      </c>
      <c r="Q945" s="141">
        <f t="shared" ref="Q945" si="696">O945+2</f>
        <v>244324</v>
      </c>
      <c r="R945" s="139"/>
      <c r="S945" s="143"/>
      <c r="T945" s="139"/>
      <c r="U945" s="143"/>
      <c r="V945" s="139" t="s">
        <v>55</v>
      </c>
      <c r="W945" s="143">
        <v>244325</v>
      </c>
      <c r="X945" s="119"/>
      <c r="Y945" s="141"/>
      <c r="Z945" s="119" t="s">
        <v>2706</v>
      </c>
      <c r="AA945" s="144"/>
    </row>
    <row r="946" spans="1:27" s="145" customFormat="1" ht="36" customHeight="1" x14ac:dyDescent="0.25">
      <c r="A946" s="119" t="s">
        <v>29</v>
      </c>
      <c r="B946" s="139">
        <v>244322</v>
      </c>
      <c r="C946" s="119" t="s">
        <v>14</v>
      </c>
      <c r="D946" s="166">
        <v>680740</v>
      </c>
      <c r="E946" s="119" t="s">
        <v>426</v>
      </c>
      <c r="F946" s="190">
        <v>68120428</v>
      </c>
      <c r="G946" s="119" t="s">
        <v>2678</v>
      </c>
      <c r="H946" s="187" t="s">
        <v>247</v>
      </c>
      <c r="I946" s="147" t="s">
        <v>428</v>
      </c>
      <c r="J946" s="146">
        <v>131.5</v>
      </c>
      <c r="K946" s="146" t="s">
        <v>200</v>
      </c>
      <c r="L946" s="146">
        <f>J946-129</f>
        <v>2.5</v>
      </c>
      <c r="M946" s="119" t="s">
        <v>2679</v>
      </c>
      <c r="N946" s="119" t="s">
        <v>93</v>
      </c>
      <c r="O946" s="141">
        <f t="shared" si="652"/>
        <v>244322</v>
      </c>
      <c r="P946" s="141">
        <f t="shared" si="654"/>
        <v>244329</v>
      </c>
      <c r="Q946" s="141">
        <f t="shared" si="653"/>
        <v>244324</v>
      </c>
      <c r="R946" s="139"/>
      <c r="S946" s="143"/>
      <c r="T946" s="139"/>
      <c r="U946" s="143"/>
      <c r="V946" s="139" t="s">
        <v>55</v>
      </c>
      <c r="W946" s="143">
        <v>244323</v>
      </c>
      <c r="X946" s="119"/>
      <c r="Y946" s="141"/>
      <c r="Z946" s="119" t="s">
        <v>2685</v>
      </c>
      <c r="AA946" s="144">
        <f>W946-P953</f>
        <v>-8</v>
      </c>
    </row>
    <row r="947" spans="1:27" s="145" customFormat="1" ht="36" customHeight="1" x14ac:dyDescent="0.25">
      <c r="A947" s="119" t="s">
        <v>29</v>
      </c>
      <c r="B947" s="139">
        <v>244322</v>
      </c>
      <c r="C947" s="119" t="s">
        <v>14</v>
      </c>
      <c r="D947" s="166">
        <v>680741</v>
      </c>
      <c r="E947" s="119" t="s">
        <v>426</v>
      </c>
      <c r="F947" s="190">
        <v>68120437</v>
      </c>
      <c r="G947" s="119" t="s">
        <v>2680</v>
      </c>
      <c r="H947" s="187" t="s">
        <v>264</v>
      </c>
      <c r="I947" s="147" t="s">
        <v>428</v>
      </c>
      <c r="J947" s="146">
        <v>132.19</v>
      </c>
      <c r="K947" s="146" t="s">
        <v>207</v>
      </c>
      <c r="L947" s="146">
        <f>J947-129</f>
        <v>3.1899999999999977</v>
      </c>
      <c r="M947" s="119" t="s">
        <v>2681</v>
      </c>
      <c r="N947" s="119" t="s">
        <v>93</v>
      </c>
      <c r="O947" s="141">
        <f t="shared" si="652"/>
        <v>244322</v>
      </c>
      <c r="P947" s="141">
        <f t="shared" si="654"/>
        <v>244329</v>
      </c>
      <c r="Q947" s="141">
        <f t="shared" si="653"/>
        <v>244324</v>
      </c>
      <c r="R947" s="139"/>
      <c r="S947" s="143"/>
      <c r="T947" s="139"/>
      <c r="U947" s="143"/>
      <c r="V947" s="139" t="s">
        <v>55</v>
      </c>
      <c r="W947" s="143">
        <v>244323</v>
      </c>
      <c r="X947" s="119"/>
      <c r="Y947" s="141"/>
      <c r="Z947" s="119" t="s">
        <v>2685</v>
      </c>
      <c r="AA947" s="144"/>
    </row>
    <row r="948" spans="1:27" s="145" customFormat="1" ht="36" customHeight="1" x14ac:dyDescent="0.25">
      <c r="A948" s="119" t="s">
        <v>29</v>
      </c>
      <c r="B948" s="139">
        <v>244322</v>
      </c>
      <c r="C948" s="119" t="s">
        <v>14</v>
      </c>
      <c r="D948" s="166">
        <v>680742</v>
      </c>
      <c r="E948" s="119" t="s">
        <v>420</v>
      </c>
      <c r="F948" s="190">
        <v>68120438</v>
      </c>
      <c r="G948" s="119" t="s">
        <v>2682</v>
      </c>
      <c r="H948" s="187" t="s">
        <v>205</v>
      </c>
      <c r="I948" s="147" t="s">
        <v>1041</v>
      </c>
      <c r="J948" s="146">
        <v>118.28</v>
      </c>
      <c r="K948" s="146" t="s">
        <v>411</v>
      </c>
      <c r="L948" s="146">
        <f>121-J948</f>
        <v>2.7199999999999989</v>
      </c>
      <c r="M948" s="119" t="s">
        <v>1945</v>
      </c>
      <c r="N948" s="119" t="s">
        <v>93</v>
      </c>
      <c r="O948" s="141">
        <f t="shared" si="652"/>
        <v>244322</v>
      </c>
      <c r="P948" s="141">
        <f t="shared" si="654"/>
        <v>244329</v>
      </c>
      <c r="Q948" s="141">
        <f t="shared" si="653"/>
        <v>244324</v>
      </c>
      <c r="R948" s="139"/>
      <c r="S948" s="143"/>
      <c r="T948" s="139"/>
      <c r="U948" s="143"/>
      <c r="V948" s="139" t="s">
        <v>55</v>
      </c>
      <c r="W948" s="143">
        <v>244329</v>
      </c>
      <c r="X948" s="119"/>
      <c r="Y948" s="141"/>
      <c r="Z948" s="119" t="s">
        <v>2740</v>
      </c>
      <c r="AA948" s="144">
        <f>W948-P954</f>
        <v>-2</v>
      </c>
    </row>
    <row r="949" spans="1:27" s="145" customFormat="1" ht="36" customHeight="1" x14ac:dyDescent="0.25">
      <c r="A949" s="119" t="s">
        <v>29</v>
      </c>
      <c r="B949" s="139">
        <v>244323</v>
      </c>
      <c r="C949" s="119" t="s">
        <v>14</v>
      </c>
      <c r="D949" s="166">
        <v>680743</v>
      </c>
      <c r="E949" s="119" t="s">
        <v>307</v>
      </c>
      <c r="F949" s="190">
        <v>68120505</v>
      </c>
      <c r="G949" s="119" t="s">
        <v>2683</v>
      </c>
      <c r="H949" s="187" t="s">
        <v>285</v>
      </c>
      <c r="I949" s="147" t="s">
        <v>308</v>
      </c>
      <c r="J949" s="146">
        <v>62.09</v>
      </c>
      <c r="K949" s="146" t="s">
        <v>201</v>
      </c>
      <c r="L949" s="146">
        <f>64-J949</f>
        <v>1.9099999999999966</v>
      </c>
      <c r="M949" s="119" t="s">
        <v>2684</v>
      </c>
      <c r="N949" s="119" t="s">
        <v>93</v>
      </c>
      <c r="O949" s="141">
        <f t="shared" si="652"/>
        <v>244323</v>
      </c>
      <c r="P949" s="141">
        <f t="shared" si="654"/>
        <v>244330</v>
      </c>
      <c r="Q949" s="141">
        <f t="shared" si="653"/>
        <v>244325</v>
      </c>
      <c r="R949" s="139"/>
      <c r="S949" s="143"/>
      <c r="T949" s="139"/>
      <c r="U949" s="143"/>
      <c r="V949" s="139" t="s">
        <v>55</v>
      </c>
      <c r="W949" s="143">
        <v>244331</v>
      </c>
      <c r="X949" s="119"/>
      <c r="Y949" s="141"/>
      <c r="Z949" s="119" t="s">
        <v>2749</v>
      </c>
      <c r="AA949" s="144">
        <f>W949-P955</f>
        <v>0</v>
      </c>
    </row>
    <row r="950" spans="1:27" s="145" customFormat="1" ht="36" customHeight="1" x14ac:dyDescent="0.25">
      <c r="A950" s="119" t="s">
        <v>29</v>
      </c>
      <c r="B950" s="139">
        <v>244323</v>
      </c>
      <c r="C950" s="119" t="s">
        <v>14</v>
      </c>
      <c r="D950" s="166">
        <v>680744</v>
      </c>
      <c r="E950" s="119" t="s">
        <v>376</v>
      </c>
      <c r="F950" s="190">
        <v>68120526</v>
      </c>
      <c r="G950" s="119" t="s">
        <v>2686</v>
      </c>
      <c r="H950" s="187" t="s">
        <v>270</v>
      </c>
      <c r="I950" s="147" t="s">
        <v>378</v>
      </c>
      <c r="J950" s="146">
        <v>118.74</v>
      </c>
      <c r="K950" s="146" t="s">
        <v>200</v>
      </c>
      <c r="L950" s="146">
        <f>J950-116</f>
        <v>2.7399999999999949</v>
      </c>
      <c r="M950" s="119" t="s">
        <v>2687</v>
      </c>
      <c r="N950" s="119" t="s">
        <v>93</v>
      </c>
      <c r="O950" s="141">
        <f t="shared" ref="O950" si="697">B950</f>
        <v>244323</v>
      </c>
      <c r="P950" s="141">
        <f t="shared" ref="P950" si="698">B950+7</f>
        <v>244330</v>
      </c>
      <c r="Q950" s="141">
        <f t="shared" ref="Q950" si="699">O950+2</f>
        <v>244325</v>
      </c>
      <c r="R950" s="139"/>
      <c r="S950" s="143"/>
      <c r="T950" s="139"/>
      <c r="U950" s="143"/>
      <c r="V950" s="139" t="s">
        <v>55</v>
      </c>
      <c r="W950" s="143">
        <v>244326</v>
      </c>
      <c r="X950" s="119"/>
      <c r="Y950" s="141"/>
      <c r="Z950" s="119" t="s">
        <v>2715</v>
      </c>
      <c r="AA950" s="144">
        <f>W950-P954</f>
        <v>-5</v>
      </c>
    </row>
    <row r="951" spans="1:27" s="145" customFormat="1" ht="36" customHeight="1" x14ac:dyDescent="0.25">
      <c r="A951" s="119" t="s">
        <v>29</v>
      </c>
      <c r="B951" s="139">
        <v>244324</v>
      </c>
      <c r="C951" s="119" t="s">
        <v>14</v>
      </c>
      <c r="D951" s="166">
        <v>680745</v>
      </c>
      <c r="E951" s="119" t="s">
        <v>309</v>
      </c>
      <c r="F951" s="190">
        <v>68120605</v>
      </c>
      <c r="G951" s="119" t="s">
        <v>2688</v>
      </c>
      <c r="H951" s="187" t="s">
        <v>264</v>
      </c>
      <c r="I951" s="147" t="s">
        <v>310</v>
      </c>
      <c r="J951" s="146">
        <v>134.06</v>
      </c>
      <c r="K951" s="146" t="s">
        <v>207</v>
      </c>
      <c r="L951" s="146">
        <f>J951-132</f>
        <v>2.0600000000000023</v>
      </c>
      <c r="M951" s="119" t="s">
        <v>2689</v>
      </c>
      <c r="N951" s="119" t="s">
        <v>93</v>
      </c>
      <c r="O951" s="141">
        <f t="shared" si="652"/>
        <v>244324</v>
      </c>
      <c r="P951" s="141">
        <f t="shared" si="654"/>
        <v>244331</v>
      </c>
      <c r="Q951" s="141">
        <f t="shared" si="653"/>
        <v>244326</v>
      </c>
      <c r="R951" s="139"/>
      <c r="S951" s="143"/>
      <c r="T951" s="139"/>
      <c r="U951" s="143"/>
      <c r="V951" s="139" t="s">
        <v>55</v>
      </c>
      <c r="W951" s="143">
        <v>244334</v>
      </c>
      <c r="X951" s="139"/>
      <c r="Y951" s="141"/>
      <c r="Z951" s="119" t="s">
        <v>2764</v>
      </c>
      <c r="AA951" s="144">
        <f>W951-P955</f>
        <v>3</v>
      </c>
    </row>
    <row r="952" spans="1:27" s="145" customFormat="1" ht="36" customHeight="1" x14ac:dyDescent="0.25">
      <c r="A952" s="119" t="s">
        <v>29</v>
      </c>
      <c r="B952" s="139">
        <v>244324</v>
      </c>
      <c r="C952" s="119" t="s">
        <v>14</v>
      </c>
      <c r="D952" s="166">
        <v>680745</v>
      </c>
      <c r="E952" s="119" t="s">
        <v>309</v>
      </c>
      <c r="F952" s="190">
        <v>68120628</v>
      </c>
      <c r="G952" s="119" t="s">
        <v>2694</v>
      </c>
      <c r="H952" s="187" t="s">
        <v>247</v>
      </c>
      <c r="I952" s="147" t="s">
        <v>310</v>
      </c>
      <c r="J952" s="146">
        <v>135.81</v>
      </c>
      <c r="K952" s="146" t="s">
        <v>207</v>
      </c>
      <c r="L952" s="146">
        <f>J952-132</f>
        <v>3.8100000000000023</v>
      </c>
      <c r="M952" s="119" t="s">
        <v>2695</v>
      </c>
      <c r="N952" s="119" t="s">
        <v>93</v>
      </c>
      <c r="O952" s="141">
        <f t="shared" si="652"/>
        <v>244324</v>
      </c>
      <c r="P952" s="141">
        <f t="shared" si="654"/>
        <v>244331</v>
      </c>
      <c r="Q952" s="141">
        <f t="shared" si="653"/>
        <v>244326</v>
      </c>
      <c r="R952" s="139"/>
      <c r="S952" s="143"/>
      <c r="T952" s="139"/>
      <c r="U952" s="143"/>
      <c r="V952" s="139" t="s">
        <v>55</v>
      </c>
      <c r="W952" s="143">
        <v>244334</v>
      </c>
      <c r="X952" s="139"/>
      <c r="Y952" s="141"/>
      <c r="Z952" s="119" t="s">
        <v>2764</v>
      </c>
      <c r="AA952" s="144">
        <f>W952-P956</f>
        <v>3</v>
      </c>
    </row>
    <row r="953" spans="1:27" s="145" customFormat="1" ht="36" customHeight="1" x14ac:dyDescent="0.25">
      <c r="A953" s="119" t="s">
        <v>29</v>
      </c>
      <c r="B953" s="139">
        <v>244324</v>
      </c>
      <c r="C953" s="119" t="s">
        <v>14</v>
      </c>
      <c r="D953" s="166">
        <v>680746</v>
      </c>
      <c r="E953" s="119" t="s">
        <v>376</v>
      </c>
      <c r="F953" s="190">
        <v>68120615</v>
      </c>
      <c r="G953" s="119" t="s">
        <v>2690</v>
      </c>
      <c r="H953" s="187" t="s">
        <v>290</v>
      </c>
      <c r="I953" s="147" t="s">
        <v>378</v>
      </c>
      <c r="J953" s="146">
        <v>119.46</v>
      </c>
      <c r="K953" s="146" t="s">
        <v>207</v>
      </c>
      <c r="L953" s="146">
        <f>J953-116</f>
        <v>3.4599999999999937</v>
      </c>
      <c r="M953" s="119" t="s">
        <v>2691</v>
      </c>
      <c r="N953" s="119" t="s">
        <v>93</v>
      </c>
      <c r="O953" s="141">
        <f t="shared" si="652"/>
        <v>244324</v>
      </c>
      <c r="P953" s="141">
        <f t="shared" si="654"/>
        <v>244331</v>
      </c>
      <c r="Q953" s="141">
        <f t="shared" si="653"/>
        <v>244326</v>
      </c>
      <c r="R953" s="139"/>
      <c r="S953" s="143"/>
      <c r="T953" s="139"/>
      <c r="U953" s="143"/>
      <c r="V953" s="139" t="s">
        <v>55</v>
      </c>
      <c r="W953" s="143">
        <v>244326</v>
      </c>
      <c r="X953" s="119"/>
      <c r="Y953" s="141"/>
      <c r="Z953" s="119" t="s">
        <v>2715</v>
      </c>
      <c r="AA953" s="144">
        <f>W953-P955</f>
        <v>-5</v>
      </c>
    </row>
    <row r="954" spans="1:27" s="145" customFormat="1" ht="36" customHeight="1" x14ac:dyDescent="0.25">
      <c r="A954" s="119" t="s">
        <v>29</v>
      </c>
      <c r="B954" s="139">
        <v>244324</v>
      </c>
      <c r="C954" s="119" t="s">
        <v>14</v>
      </c>
      <c r="D954" s="166">
        <v>680746</v>
      </c>
      <c r="E954" s="119" t="s">
        <v>376</v>
      </c>
      <c r="F954" s="190">
        <v>68120616</v>
      </c>
      <c r="G954" s="119" t="s">
        <v>2692</v>
      </c>
      <c r="H954" s="187" t="s">
        <v>276</v>
      </c>
      <c r="I954" s="147" t="s">
        <v>378</v>
      </c>
      <c r="J954" s="146">
        <v>120.45</v>
      </c>
      <c r="K954" s="146" t="s">
        <v>207</v>
      </c>
      <c r="L954" s="146">
        <f>J954-116</f>
        <v>4.4500000000000028</v>
      </c>
      <c r="M954" s="119" t="s">
        <v>2693</v>
      </c>
      <c r="N954" s="119" t="s">
        <v>93</v>
      </c>
      <c r="O954" s="141">
        <f t="shared" si="652"/>
        <v>244324</v>
      </c>
      <c r="P954" s="141">
        <f t="shared" si="654"/>
        <v>244331</v>
      </c>
      <c r="Q954" s="141">
        <f t="shared" si="653"/>
        <v>244326</v>
      </c>
      <c r="R954" s="139"/>
      <c r="S954" s="143"/>
      <c r="T954" s="139"/>
      <c r="U954" s="143"/>
      <c r="V954" s="139" t="s">
        <v>55</v>
      </c>
      <c r="W954" s="143">
        <v>244326</v>
      </c>
      <c r="X954" s="119"/>
      <c r="Y954" s="141"/>
      <c r="Z954" s="119" t="s">
        <v>2715</v>
      </c>
      <c r="AA954" s="144">
        <f>W954-P956</f>
        <v>-5</v>
      </c>
    </row>
    <row r="955" spans="1:27" s="145" customFormat="1" ht="36" customHeight="1" x14ac:dyDescent="0.25">
      <c r="A955" s="119" t="s">
        <v>29</v>
      </c>
      <c r="B955" s="139">
        <v>244324</v>
      </c>
      <c r="C955" s="119" t="s">
        <v>14</v>
      </c>
      <c r="D955" s="166">
        <v>680747</v>
      </c>
      <c r="E955" s="119" t="s">
        <v>1382</v>
      </c>
      <c r="F955" s="190">
        <v>68120632</v>
      </c>
      <c r="G955" s="119" t="s">
        <v>2696</v>
      </c>
      <c r="H955" s="187" t="s">
        <v>225</v>
      </c>
      <c r="I955" s="147" t="s">
        <v>1201</v>
      </c>
      <c r="J955" s="146" t="s">
        <v>731</v>
      </c>
      <c r="K955" s="119" t="s">
        <v>731</v>
      </c>
      <c r="L955" s="146" t="s">
        <v>69</v>
      </c>
      <c r="M955" s="119" t="s">
        <v>2697</v>
      </c>
      <c r="N955" s="119" t="s">
        <v>93</v>
      </c>
      <c r="O955" s="141">
        <f t="shared" si="652"/>
        <v>244324</v>
      </c>
      <c r="P955" s="141">
        <f t="shared" si="654"/>
        <v>244331</v>
      </c>
      <c r="Q955" s="141">
        <f t="shared" si="653"/>
        <v>244326</v>
      </c>
      <c r="R955" s="139"/>
      <c r="S955" s="143"/>
      <c r="T955" s="139"/>
      <c r="U955" s="143"/>
      <c r="V955" s="139" t="s">
        <v>55</v>
      </c>
      <c r="W955" s="143">
        <v>244328</v>
      </c>
      <c r="X955" s="119"/>
      <c r="Y955" s="141"/>
      <c r="Z955" s="119" t="s">
        <v>2734</v>
      </c>
      <c r="AA955" s="144">
        <f>W955-P960</f>
        <v>-4</v>
      </c>
    </row>
    <row r="956" spans="1:27" s="145" customFormat="1" ht="36" customHeight="1" x14ac:dyDescent="0.25">
      <c r="A956" s="119" t="s">
        <v>29</v>
      </c>
      <c r="B956" s="139">
        <v>244324</v>
      </c>
      <c r="C956" s="119" t="s">
        <v>14</v>
      </c>
      <c r="D956" s="166">
        <v>680748</v>
      </c>
      <c r="E956" s="119" t="s">
        <v>309</v>
      </c>
      <c r="F956" s="190">
        <v>68120629</v>
      </c>
      <c r="G956" s="119" t="s">
        <v>2698</v>
      </c>
      <c r="H956" s="187" t="s">
        <v>211</v>
      </c>
      <c r="I956" s="147" t="s">
        <v>310</v>
      </c>
      <c r="J956" s="146">
        <v>134.87</v>
      </c>
      <c r="K956" s="146" t="s">
        <v>200</v>
      </c>
      <c r="L956" s="146">
        <f>J956-132</f>
        <v>2.8700000000000045</v>
      </c>
      <c r="M956" s="119" t="s">
        <v>2699</v>
      </c>
      <c r="N956" s="119" t="s">
        <v>93</v>
      </c>
      <c r="O956" s="141">
        <f t="shared" si="652"/>
        <v>244324</v>
      </c>
      <c r="P956" s="141">
        <f t="shared" si="654"/>
        <v>244331</v>
      </c>
      <c r="Q956" s="141">
        <f t="shared" si="653"/>
        <v>244326</v>
      </c>
      <c r="R956" s="139"/>
      <c r="S956" s="143"/>
      <c r="T956" s="139"/>
      <c r="U956" s="143"/>
      <c r="V956" s="139" t="s">
        <v>55</v>
      </c>
      <c r="W956" s="143">
        <v>244334</v>
      </c>
      <c r="X956" s="139"/>
      <c r="Y956" s="141"/>
      <c r="Z956" s="119" t="s">
        <v>2764</v>
      </c>
      <c r="AA956" s="144">
        <f>W956-P963</f>
        <v>2</v>
      </c>
    </row>
    <row r="957" spans="1:27" s="145" customFormat="1" ht="36" customHeight="1" x14ac:dyDescent="0.25">
      <c r="A957" s="119" t="s">
        <v>29</v>
      </c>
      <c r="B957" s="139">
        <v>244324</v>
      </c>
      <c r="C957" s="119" t="s">
        <v>14</v>
      </c>
      <c r="D957" s="166">
        <v>680749</v>
      </c>
      <c r="E957" s="119" t="s">
        <v>356</v>
      </c>
      <c r="F957" s="190">
        <v>68120636</v>
      </c>
      <c r="G957" s="119" t="s">
        <v>2700</v>
      </c>
      <c r="H957" s="187" t="s">
        <v>250</v>
      </c>
      <c r="I957" s="147" t="s">
        <v>358</v>
      </c>
      <c r="J957" s="146">
        <v>84.78</v>
      </c>
      <c r="K957" s="146" t="s">
        <v>200</v>
      </c>
      <c r="L957" s="146">
        <f>J957-83</f>
        <v>1.7800000000000011</v>
      </c>
      <c r="M957" s="119" t="s">
        <v>2701</v>
      </c>
      <c r="N957" s="119" t="s">
        <v>93</v>
      </c>
      <c r="O957" s="141">
        <f t="shared" si="652"/>
        <v>244324</v>
      </c>
      <c r="P957" s="141">
        <f t="shared" si="654"/>
        <v>244331</v>
      </c>
      <c r="Q957" s="141">
        <f t="shared" si="653"/>
        <v>244326</v>
      </c>
      <c r="R957" s="139"/>
      <c r="S957" s="143"/>
      <c r="T957" s="139"/>
      <c r="U957" s="143"/>
      <c r="V957" s="139" t="s">
        <v>55</v>
      </c>
      <c r="W957" s="143">
        <v>244326</v>
      </c>
      <c r="X957" s="119"/>
      <c r="Y957" s="141"/>
      <c r="Z957" s="119" t="s">
        <v>2472</v>
      </c>
      <c r="AA957" s="144">
        <f>W957-P967</f>
        <v>-7</v>
      </c>
    </row>
    <row r="958" spans="1:27" s="145" customFormat="1" ht="36" customHeight="1" x14ac:dyDescent="0.25">
      <c r="A958" s="119" t="s">
        <v>29</v>
      </c>
      <c r="B958" s="139">
        <v>244325</v>
      </c>
      <c r="C958" s="119" t="s">
        <v>14</v>
      </c>
      <c r="D958" s="166">
        <v>680750</v>
      </c>
      <c r="E958" s="119" t="s">
        <v>376</v>
      </c>
      <c r="F958" s="190">
        <v>68120702</v>
      </c>
      <c r="G958" s="119" t="s">
        <v>2702</v>
      </c>
      <c r="H958" s="187" t="s">
        <v>208</v>
      </c>
      <c r="I958" s="147" t="s">
        <v>378</v>
      </c>
      <c r="J958" s="146">
        <v>118.84</v>
      </c>
      <c r="K958" s="146" t="s">
        <v>200</v>
      </c>
      <c r="L958" s="146">
        <f>J958-116</f>
        <v>2.8400000000000034</v>
      </c>
      <c r="M958" s="119" t="s">
        <v>2704</v>
      </c>
      <c r="N958" s="119" t="s">
        <v>93</v>
      </c>
      <c r="O958" s="141">
        <f t="shared" si="652"/>
        <v>244325</v>
      </c>
      <c r="P958" s="141">
        <f t="shared" si="654"/>
        <v>244332</v>
      </c>
      <c r="Q958" s="141">
        <f t="shared" si="653"/>
        <v>244327</v>
      </c>
      <c r="R958" s="139"/>
      <c r="S958" s="143"/>
      <c r="T958" s="139"/>
      <c r="U958" s="143"/>
      <c r="V958" s="139" t="s">
        <v>55</v>
      </c>
      <c r="W958" s="143">
        <v>244325</v>
      </c>
      <c r="X958" s="119"/>
      <c r="Y958" s="141"/>
      <c r="Z958" s="119" t="s">
        <v>2706</v>
      </c>
      <c r="AA958" s="144">
        <f>W958-P969</f>
        <v>-9</v>
      </c>
    </row>
    <row r="959" spans="1:27" s="145" customFormat="1" ht="36" customHeight="1" x14ac:dyDescent="0.25">
      <c r="A959" s="119" t="s">
        <v>29</v>
      </c>
      <c r="B959" s="139">
        <v>244325</v>
      </c>
      <c r="C959" s="119" t="s">
        <v>14</v>
      </c>
      <c r="D959" s="166">
        <v>680750</v>
      </c>
      <c r="E959" s="119" t="s">
        <v>376</v>
      </c>
      <c r="F959" s="190">
        <v>68120701</v>
      </c>
      <c r="G959" s="119" t="s">
        <v>2703</v>
      </c>
      <c r="H959" s="187" t="s">
        <v>270</v>
      </c>
      <c r="I959" s="147" t="s">
        <v>378</v>
      </c>
      <c r="J959" s="146">
        <v>117.89</v>
      </c>
      <c r="K959" s="146" t="s">
        <v>200</v>
      </c>
      <c r="L959" s="146">
        <f>J959-116</f>
        <v>1.8900000000000006</v>
      </c>
      <c r="M959" s="119" t="s">
        <v>2705</v>
      </c>
      <c r="N959" s="119" t="s">
        <v>93</v>
      </c>
      <c r="O959" s="141">
        <f t="shared" si="652"/>
        <v>244325</v>
      </c>
      <c r="P959" s="141">
        <f t="shared" si="654"/>
        <v>244332</v>
      </c>
      <c r="Q959" s="141">
        <f t="shared" si="653"/>
        <v>244327</v>
      </c>
      <c r="R959" s="139"/>
      <c r="S959" s="143"/>
      <c r="T959" s="139"/>
      <c r="U959" s="143"/>
      <c r="V959" s="139" t="s">
        <v>55</v>
      </c>
      <c r="W959" s="143">
        <v>244325</v>
      </c>
      <c r="X959" s="119"/>
      <c r="Y959" s="141"/>
      <c r="Z959" s="119" t="s">
        <v>2706</v>
      </c>
      <c r="AA959" s="144">
        <f>W959-P970</f>
        <v>-10</v>
      </c>
    </row>
    <row r="960" spans="1:27" s="145" customFormat="1" ht="36" customHeight="1" x14ac:dyDescent="0.25">
      <c r="A960" s="119" t="s">
        <v>29</v>
      </c>
      <c r="B960" s="139">
        <v>244325</v>
      </c>
      <c r="C960" s="119" t="s">
        <v>14</v>
      </c>
      <c r="D960" s="166">
        <v>680750</v>
      </c>
      <c r="E960" s="119" t="s">
        <v>376</v>
      </c>
      <c r="F960" s="190">
        <v>68120703</v>
      </c>
      <c r="G960" s="119" t="s">
        <v>2707</v>
      </c>
      <c r="H960" s="187" t="s">
        <v>276</v>
      </c>
      <c r="I960" s="147" t="s">
        <v>378</v>
      </c>
      <c r="J960" s="146">
        <v>118.13</v>
      </c>
      <c r="K960" s="146" t="s">
        <v>207</v>
      </c>
      <c r="L960" s="146">
        <f>J960-116</f>
        <v>2.1299999999999955</v>
      </c>
      <c r="M960" s="119" t="s">
        <v>2708</v>
      </c>
      <c r="N960" s="119" t="s">
        <v>93</v>
      </c>
      <c r="O960" s="141">
        <f t="shared" si="652"/>
        <v>244325</v>
      </c>
      <c r="P960" s="141">
        <f t="shared" si="654"/>
        <v>244332</v>
      </c>
      <c r="Q960" s="141">
        <f t="shared" si="653"/>
        <v>244327</v>
      </c>
      <c r="R960" s="139"/>
      <c r="S960" s="143"/>
      <c r="T960" s="139"/>
      <c r="U960" s="143"/>
      <c r="V960" s="139" t="s">
        <v>55</v>
      </c>
      <c r="W960" s="143">
        <v>244326</v>
      </c>
      <c r="X960" s="119"/>
      <c r="Y960" s="141"/>
      <c r="Z960" s="119" t="s">
        <v>2715</v>
      </c>
      <c r="AA960" s="144">
        <f>W960-P963</f>
        <v>-6</v>
      </c>
    </row>
    <row r="961" spans="1:27" s="145" customFormat="1" ht="36" customHeight="1" x14ac:dyDescent="0.25">
      <c r="A961" s="119" t="s">
        <v>29</v>
      </c>
      <c r="B961" s="139">
        <v>244325</v>
      </c>
      <c r="C961" s="119" t="s">
        <v>14</v>
      </c>
      <c r="D961" s="166">
        <v>680751</v>
      </c>
      <c r="E961" s="119" t="s">
        <v>309</v>
      </c>
      <c r="F961" s="190">
        <v>68120704</v>
      </c>
      <c r="G961" s="119" t="s">
        <v>2709</v>
      </c>
      <c r="H961" s="187" t="s">
        <v>281</v>
      </c>
      <c r="I961" s="147" t="s">
        <v>310</v>
      </c>
      <c r="J961" s="146">
        <v>133.82</v>
      </c>
      <c r="K961" s="146" t="s">
        <v>207</v>
      </c>
      <c r="L961" s="146">
        <f>J961-132</f>
        <v>1.8199999999999932</v>
      </c>
      <c r="M961" s="119" t="s">
        <v>2710</v>
      </c>
      <c r="N961" s="119" t="s">
        <v>93</v>
      </c>
      <c r="O961" s="141">
        <f t="shared" ref="O961:O962" si="700">B961</f>
        <v>244325</v>
      </c>
      <c r="P961" s="141">
        <f t="shared" ref="P961:P962" si="701">B961+7</f>
        <v>244332</v>
      </c>
      <c r="Q961" s="141">
        <f t="shared" ref="Q961:Q962" si="702">O961+2</f>
        <v>244327</v>
      </c>
      <c r="R961" s="139"/>
      <c r="S961" s="143"/>
      <c r="T961" s="139"/>
      <c r="U961" s="143"/>
      <c r="V961" s="139" t="s">
        <v>55</v>
      </c>
      <c r="W961" s="143">
        <v>244334</v>
      </c>
      <c r="X961" s="139"/>
      <c r="Y961" s="141"/>
      <c r="Z961" s="119" t="s">
        <v>2764</v>
      </c>
      <c r="AA961" s="144"/>
    </row>
    <row r="962" spans="1:27" s="145" customFormat="1" ht="36" customHeight="1" x14ac:dyDescent="0.25">
      <c r="A962" s="119" t="s">
        <v>29</v>
      </c>
      <c r="B962" s="139">
        <v>244325</v>
      </c>
      <c r="C962" s="119" t="s">
        <v>14</v>
      </c>
      <c r="D962" s="166">
        <v>680751</v>
      </c>
      <c r="E962" s="119" t="s">
        <v>309</v>
      </c>
      <c r="F962" s="190">
        <v>68120715</v>
      </c>
      <c r="G962" s="119" t="s">
        <v>2711</v>
      </c>
      <c r="H962" s="187" t="s">
        <v>247</v>
      </c>
      <c r="I962" s="147" t="s">
        <v>310</v>
      </c>
      <c r="J962" s="146">
        <v>136.31</v>
      </c>
      <c r="K962" s="146" t="s">
        <v>207</v>
      </c>
      <c r="L962" s="146">
        <f>J962-132</f>
        <v>4.3100000000000023</v>
      </c>
      <c r="M962" s="119" t="s">
        <v>2712</v>
      </c>
      <c r="N962" s="119" t="s">
        <v>93</v>
      </c>
      <c r="O962" s="141">
        <f t="shared" si="700"/>
        <v>244325</v>
      </c>
      <c r="P962" s="141">
        <f t="shared" si="701"/>
        <v>244332</v>
      </c>
      <c r="Q962" s="141">
        <f t="shared" si="702"/>
        <v>244327</v>
      </c>
      <c r="R962" s="139"/>
      <c r="S962" s="143"/>
      <c r="T962" s="139"/>
      <c r="U962" s="143"/>
      <c r="V962" s="139" t="s">
        <v>55</v>
      </c>
      <c r="W962" s="143">
        <v>244334</v>
      </c>
      <c r="X962" s="139"/>
      <c r="Y962" s="141"/>
      <c r="Z962" s="119" t="s">
        <v>2764</v>
      </c>
      <c r="AA962" s="144"/>
    </row>
    <row r="963" spans="1:27" s="145" customFormat="1" ht="36" customHeight="1" x14ac:dyDescent="0.25">
      <c r="A963" s="119" t="s">
        <v>29</v>
      </c>
      <c r="B963" s="139">
        <v>244325</v>
      </c>
      <c r="C963" s="119" t="s">
        <v>14</v>
      </c>
      <c r="D963" s="166">
        <v>680752</v>
      </c>
      <c r="E963" s="119" t="s">
        <v>420</v>
      </c>
      <c r="F963" s="190">
        <v>68120709</v>
      </c>
      <c r="G963" s="119" t="s">
        <v>2713</v>
      </c>
      <c r="H963" s="187" t="s">
        <v>272</v>
      </c>
      <c r="I963" s="147" t="s">
        <v>1041</v>
      </c>
      <c r="J963" s="146">
        <v>127.53</v>
      </c>
      <c r="K963" s="146" t="s">
        <v>207</v>
      </c>
      <c r="L963" s="146">
        <f>J963-124</f>
        <v>3.5300000000000011</v>
      </c>
      <c r="M963" s="119" t="s">
        <v>2714</v>
      </c>
      <c r="N963" s="119" t="s">
        <v>93</v>
      </c>
      <c r="O963" s="141">
        <f t="shared" si="652"/>
        <v>244325</v>
      </c>
      <c r="P963" s="141">
        <f t="shared" si="654"/>
        <v>244332</v>
      </c>
      <c r="Q963" s="141">
        <f t="shared" si="653"/>
        <v>244327</v>
      </c>
      <c r="R963" s="139"/>
      <c r="S963" s="143"/>
      <c r="T963" s="139"/>
      <c r="U963" s="143"/>
      <c r="V963" s="139" t="s">
        <v>55</v>
      </c>
      <c r="W963" s="143">
        <v>244329</v>
      </c>
      <c r="X963" s="119"/>
      <c r="Y963" s="141"/>
      <c r="Z963" s="119" t="s">
        <v>2735</v>
      </c>
      <c r="AA963" s="144">
        <f>W963-P969</f>
        <v>-5</v>
      </c>
    </row>
    <row r="964" spans="1:27" s="145" customFormat="1" ht="36" customHeight="1" x14ac:dyDescent="0.25">
      <c r="A964" s="119" t="s">
        <v>29</v>
      </c>
      <c r="B964" s="139">
        <v>244326</v>
      </c>
      <c r="C964" s="119" t="s">
        <v>132</v>
      </c>
      <c r="D964" s="166">
        <v>680753</v>
      </c>
      <c r="E964" s="119" t="s">
        <v>879</v>
      </c>
      <c r="F964" s="191" t="s">
        <v>586</v>
      </c>
      <c r="G964" s="119" t="s">
        <v>2716</v>
      </c>
      <c r="H964" s="187" t="s">
        <v>2717</v>
      </c>
      <c r="I964" s="147" t="s">
        <v>203</v>
      </c>
      <c r="J964" s="146" t="s">
        <v>584</v>
      </c>
      <c r="K964" s="146" t="s">
        <v>584</v>
      </c>
      <c r="L964" s="146" t="s">
        <v>346</v>
      </c>
      <c r="M964" s="119">
        <v>1</v>
      </c>
      <c r="N964" s="119" t="s">
        <v>52</v>
      </c>
      <c r="O964" s="141">
        <f t="shared" si="652"/>
        <v>244326</v>
      </c>
      <c r="P964" s="141">
        <f t="shared" si="654"/>
        <v>244333</v>
      </c>
      <c r="Q964" s="141">
        <f t="shared" si="653"/>
        <v>244328</v>
      </c>
      <c r="R964" s="139" t="s">
        <v>55</v>
      </c>
      <c r="S964" s="143">
        <v>244342</v>
      </c>
      <c r="T964" s="139" t="s">
        <v>55</v>
      </c>
      <c r="U964" s="143">
        <v>244343</v>
      </c>
      <c r="V964" s="139" t="s">
        <v>55</v>
      </c>
      <c r="W964" s="143">
        <v>244343</v>
      </c>
      <c r="X964" s="139"/>
      <c r="Y964" s="141"/>
      <c r="Z964" s="119" t="s">
        <v>771</v>
      </c>
      <c r="AA964" s="144">
        <f>W964-P970</f>
        <v>8</v>
      </c>
    </row>
    <row r="965" spans="1:27" s="145" customFormat="1" ht="36" customHeight="1" x14ac:dyDescent="0.25">
      <c r="A965" s="119" t="s">
        <v>29</v>
      </c>
      <c r="B965" s="139">
        <v>244326</v>
      </c>
      <c r="C965" s="119" t="s">
        <v>14</v>
      </c>
      <c r="D965" s="166">
        <v>680754</v>
      </c>
      <c r="E965" s="119" t="s">
        <v>309</v>
      </c>
      <c r="F965" s="190">
        <v>68120823</v>
      </c>
      <c r="G965" s="119" t="s">
        <v>2718</v>
      </c>
      <c r="H965" s="187" t="s">
        <v>247</v>
      </c>
      <c r="I965" s="147" t="s">
        <v>310</v>
      </c>
      <c r="J965" s="146">
        <v>135.28</v>
      </c>
      <c r="K965" s="146" t="s">
        <v>207</v>
      </c>
      <c r="L965" s="146">
        <f>J965-132</f>
        <v>3.2800000000000011</v>
      </c>
      <c r="M965" s="119" t="s">
        <v>2719</v>
      </c>
      <c r="N965" s="119" t="s">
        <v>93</v>
      </c>
      <c r="O965" s="141">
        <f t="shared" si="652"/>
        <v>244326</v>
      </c>
      <c r="P965" s="141">
        <f t="shared" si="654"/>
        <v>244333</v>
      </c>
      <c r="Q965" s="141">
        <f t="shared" si="653"/>
        <v>244328</v>
      </c>
      <c r="R965" s="139"/>
      <c r="S965" s="143"/>
      <c r="T965" s="139"/>
      <c r="U965" s="143"/>
      <c r="V965" s="139" t="s">
        <v>55</v>
      </c>
      <c r="W965" s="143">
        <v>244334</v>
      </c>
      <c r="X965" s="139"/>
      <c r="Y965" s="141"/>
      <c r="Z965" s="119" t="s">
        <v>2764</v>
      </c>
      <c r="AA965" s="144">
        <f>W965-P969</f>
        <v>0</v>
      </c>
    </row>
    <row r="966" spans="1:27" s="145" customFormat="1" ht="36" customHeight="1" x14ac:dyDescent="0.25">
      <c r="A966" s="119" t="s">
        <v>29</v>
      </c>
      <c r="B966" s="139">
        <v>244326</v>
      </c>
      <c r="C966" s="119" t="s">
        <v>14</v>
      </c>
      <c r="D966" s="166">
        <v>680755</v>
      </c>
      <c r="E966" s="119" t="s">
        <v>1122</v>
      </c>
      <c r="F966" s="192">
        <v>68120836</v>
      </c>
      <c r="G966" s="119" t="s">
        <v>2720</v>
      </c>
      <c r="H966" s="187" t="s">
        <v>238</v>
      </c>
      <c r="I966" s="147" t="s">
        <v>1124</v>
      </c>
      <c r="J966" s="146">
        <v>49.49</v>
      </c>
      <c r="K966" s="146" t="s">
        <v>200</v>
      </c>
      <c r="L966" s="146">
        <f>J966-48</f>
        <v>1.490000000000002</v>
      </c>
      <c r="M966" s="119" t="s">
        <v>2721</v>
      </c>
      <c r="N966" s="119" t="s">
        <v>93</v>
      </c>
      <c r="O966" s="141">
        <f t="shared" si="652"/>
        <v>244326</v>
      </c>
      <c r="P966" s="141">
        <f t="shared" si="654"/>
        <v>244333</v>
      </c>
      <c r="Q966" s="141">
        <f t="shared" si="653"/>
        <v>244328</v>
      </c>
      <c r="R966" s="139" t="s">
        <v>55</v>
      </c>
      <c r="S966" s="143">
        <v>244342</v>
      </c>
      <c r="T966" s="139" t="s">
        <v>55</v>
      </c>
      <c r="U966" s="143">
        <v>244343</v>
      </c>
      <c r="V966" s="139" t="s">
        <v>55</v>
      </c>
      <c r="W966" s="143">
        <v>244343</v>
      </c>
      <c r="X966" s="139"/>
      <c r="Y966" s="141"/>
      <c r="Z966" s="119" t="s">
        <v>2782</v>
      </c>
      <c r="AA966" s="144">
        <f>W966-P969</f>
        <v>9</v>
      </c>
    </row>
    <row r="967" spans="1:27" s="145" customFormat="1" ht="36" customHeight="1" x14ac:dyDescent="0.25">
      <c r="A967" s="119" t="s">
        <v>29</v>
      </c>
      <c r="B967" s="139">
        <v>244326</v>
      </c>
      <c r="C967" s="119" t="s">
        <v>14</v>
      </c>
      <c r="D967" s="166">
        <v>680756</v>
      </c>
      <c r="E967" s="119" t="s">
        <v>426</v>
      </c>
      <c r="F967" s="191">
        <v>68120833</v>
      </c>
      <c r="G967" s="119" t="s">
        <v>2722</v>
      </c>
      <c r="H967" s="187" t="s">
        <v>230</v>
      </c>
      <c r="I967" s="147" t="s">
        <v>428</v>
      </c>
      <c r="J967" s="119">
        <v>131.33000000000001</v>
      </c>
      <c r="K967" s="146" t="s">
        <v>200</v>
      </c>
      <c r="L967" s="146">
        <f>J967-129</f>
        <v>2.3300000000000125</v>
      </c>
      <c r="M967" s="119" t="s">
        <v>2723</v>
      </c>
      <c r="N967" s="119" t="s">
        <v>93</v>
      </c>
      <c r="O967" s="141">
        <f t="shared" si="652"/>
        <v>244326</v>
      </c>
      <c r="P967" s="141">
        <f t="shared" si="654"/>
        <v>244333</v>
      </c>
      <c r="Q967" s="141">
        <f t="shared" si="653"/>
        <v>244328</v>
      </c>
      <c r="R967" s="139"/>
      <c r="S967" s="143"/>
      <c r="T967" s="139"/>
      <c r="U967" s="143"/>
      <c r="V967" s="139" t="s">
        <v>55</v>
      </c>
      <c r="W967" s="143">
        <v>244334</v>
      </c>
      <c r="X967" s="139"/>
      <c r="Y967" s="141"/>
      <c r="Z967" s="119" t="s">
        <v>2766</v>
      </c>
      <c r="AA967" s="144">
        <f>W967-P970</f>
        <v>-1</v>
      </c>
    </row>
    <row r="968" spans="1:27" s="145" customFormat="1" ht="36" customHeight="1" x14ac:dyDescent="0.25">
      <c r="A968" s="119" t="s">
        <v>29</v>
      </c>
      <c r="B968" s="139">
        <v>244327</v>
      </c>
      <c r="C968" s="119" t="s">
        <v>14</v>
      </c>
      <c r="D968" s="166">
        <v>680757</v>
      </c>
      <c r="E968" s="119" t="s">
        <v>426</v>
      </c>
      <c r="F968" s="191">
        <v>68120906</v>
      </c>
      <c r="G968" s="119" t="s">
        <v>2724</v>
      </c>
      <c r="H968" s="187" t="s">
        <v>1147</v>
      </c>
      <c r="I968" s="147" t="s">
        <v>428</v>
      </c>
      <c r="J968" s="119">
        <v>134.16</v>
      </c>
      <c r="K968" s="146" t="s">
        <v>207</v>
      </c>
      <c r="L968" s="146">
        <f>J968-129</f>
        <v>5.1599999999999966</v>
      </c>
      <c r="M968" s="119" t="s">
        <v>2725</v>
      </c>
      <c r="N968" s="119" t="s">
        <v>93</v>
      </c>
      <c r="O968" s="141">
        <f t="shared" si="652"/>
        <v>244327</v>
      </c>
      <c r="P968" s="141">
        <f t="shared" si="654"/>
        <v>244334</v>
      </c>
      <c r="Q968" s="141">
        <f t="shared" si="653"/>
        <v>244329</v>
      </c>
      <c r="R968" s="139"/>
      <c r="S968" s="143"/>
      <c r="T968" s="139"/>
      <c r="U968" s="143"/>
      <c r="V968" s="139" t="s">
        <v>55</v>
      </c>
      <c r="W968" s="143">
        <v>244334</v>
      </c>
      <c r="X968" s="139"/>
      <c r="Y968" s="141"/>
      <c r="Z968" s="119" t="s">
        <v>2766</v>
      </c>
      <c r="AA968" s="144">
        <f>W968-P970</f>
        <v>-1</v>
      </c>
    </row>
    <row r="969" spans="1:27" s="145" customFormat="1" ht="36" customHeight="1" x14ac:dyDescent="0.25">
      <c r="A969" s="119" t="s">
        <v>29</v>
      </c>
      <c r="B969" s="139">
        <v>244327</v>
      </c>
      <c r="C969" s="119" t="s">
        <v>14</v>
      </c>
      <c r="D969" s="166">
        <v>680758</v>
      </c>
      <c r="E969" s="119" t="s">
        <v>309</v>
      </c>
      <c r="F969" s="191">
        <v>68120901</v>
      </c>
      <c r="G969" s="119" t="s">
        <v>2726</v>
      </c>
      <c r="H969" s="187" t="s">
        <v>289</v>
      </c>
      <c r="I969" s="147" t="s">
        <v>310</v>
      </c>
      <c r="J969" s="119">
        <v>138.91</v>
      </c>
      <c r="K969" s="146" t="s">
        <v>207</v>
      </c>
      <c r="L969" s="146">
        <f>J969-132</f>
        <v>6.9099999999999966</v>
      </c>
      <c r="M969" s="119" t="s">
        <v>2727</v>
      </c>
      <c r="N969" s="119" t="s">
        <v>93</v>
      </c>
      <c r="O969" s="141">
        <f t="shared" si="652"/>
        <v>244327</v>
      </c>
      <c r="P969" s="141">
        <f t="shared" si="654"/>
        <v>244334</v>
      </c>
      <c r="Q969" s="141">
        <f t="shared" si="653"/>
        <v>244329</v>
      </c>
      <c r="R969" s="139"/>
      <c r="S969" s="143"/>
      <c r="T969" s="139"/>
      <c r="U969" s="143"/>
      <c r="V969" s="139" t="s">
        <v>55</v>
      </c>
      <c r="W969" s="143">
        <v>244334</v>
      </c>
      <c r="X969" s="139"/>
      <c r="Y969" s="141"/>
      <c r="Z969" s="119" t="s">
        <v>2764</v>
      </c>
      <c r="AA969" s="144">
        <f>W969-P971</f>
        <v>-1</v>
      </c>
    </row>
    <row r="970" spans="1:27" s="145" customFormat="1" ht="36" customHeight="1" x14ac:dyDescent="0.25">
      <c r="A970" s="119" t="s">
        <v>29</v>
      </c>
      <c r="B970" s="139">
        <v>244328</v>
      </c>
      <c r="C970" s="119" t="s">
        <v>14</v>
      </c>
      <c r="D970" s="166">
        <v>680759</v>
      </c>
      <c r="E970" s="119" t="s">
        <v>309</v>
      </c>
      <c r="F970" s="191">
        <v>68121001</v>
      </c>
      <c r="G970" s="119" t="s">
        <v>2728</v>
      </c>
      <c r="H970" s="187" t="s">
        <v>841</v>
      </c>
      <c r="I970" s="147" t="s">
        <v>310</v>
      </c>
      <c r="J970" s="119">
        <v>135.02000000000001</v>
      </c>
      <c r="K970" s="146" t="s">
        <v>207</v>
      </c>
      <c r="L970" s="146">
        <f>J970-132</f>
        <v>3.0200000000000102</v>
      </c>
      <c r="M970" s="119" t="s">
        <v>2729</v>
      </c>
      <c r="N970" s="119" t="s">
        <v>93</v>
      </c>
      <c r="O970" s="141">
        <f t="shared" si="652"/>
        <v>244328</v>
      </c>
      <c r="P970" s="141">
        <f t="shared" si="654"/>
        <v>244335</v>
      </c>
      <c r="Q970" s="141">
        <f t="shared" si="653"/>
        <v>244330</v>
      </c>
      <c r="R970" s="139"/>
      <c r="S970" s="143"/>
      <c r="T970" s="139"/>
      <c r="U970" s="143"/>
      <c r="V970" s="139" t="s">
        <v>55</v>
      </c>
      <c r="W970" s="143">
        <v>244334</v>
      </c>
      <c r="X970" s="139"/>
      <c r="Y970" s="141"/>
      <c r="Z970" s="119" t="s">
        <v>2764</v>
      </c>
      <c r="AA970" s="144"/>
    </row>
    <row r="971" spans="1:27" s="145" customFormat="1" ht="36" customHeight="1" x14ac:dyDescent="0.25">
      <c r="A971" s="119" t="s">
        <v>29</v>
      </c>
      <c r="B971" s="139">
        <v>244328</v>
      </c>
      <c r="C971" s="119" t="s">
        <v>14</v>
      </c>
      <c r="D971" s="166">
        <v>680759</v>
      </c>
      <c r="E971" s="119" t="s">
        <v>309</v>
      </c>
      <c r="F971" s="191">
        <v>68121003</v>
      </c>
      <c r="G971" s="119" t="s">
        <v>2730</v>
      </c>
      <c r="H971" s="187" t="s">
        <v>281</v>
      </c>
      <c r="I971" s="147" t="s">
        <v>310</v>
      </c>
      <c r="J971" s="119">
        <v>135.80000000000001</v>
      </c>
      <c r="K971" s="146" t="s">
        <v>207</v>
      </c>
      <c r="L971" s="146">
        <f>J971-132</f>
        <v>3.8000000000000114</v>
      </c>
      <c r="M971" s="119" t="s">
        <v>2731</v>
      </c>
      <c r="N971" s="119" t="s">
        <v>93</v>
      </c>
      <c r="O971" s="141">
        <f t="shared" ref="O971:O1034" si="703">B971</f>
        <v>244328</v>
      </c>
      <c r="P971" s="141">
        <f t="shared" si="654"/>
        <v>244335</v>
      </c>
      <c r="Q971" s="141">
        <f t="shared" ref="Q971:Q1034" si="704">O971+2</f>
        <v>244330</v>
      </c>
      <c r="R971" s="139"/>
      <c r="S971" s="143"/>
      <c r="T971" s="139"/>
      <c r="U971" s="143"/>
      <c r="V971" s="139" t="s">
        <v>55</v>
      </c>
      <c r="W971" s="143">
        <v>244334</v>
      </c>
      <c r="X971" s="139"/>
      <c r="Y971" s="141"/>
      <c r="Z971" s="119" t="s">
        <v>2764</v>
      </c>
      <c r="AA971" s="144">
        <f>W971-P976</f>
        <v>-3</v>
      </c>
    </row>
    <row r="972" spans="1:27" s="145" customFormat="1" ht="36" customHeight="1" x14ac:dyDescent="0.25">
      <c r="A972" s="119" t="s">
        <v>29</v>
      </c>
      <c r="B972" s="139">
        <v>244328</v>
      </c>
      <c r="C972" s="119" t="s">
        <v>14</v>
      </c>
      <c r="D972" s="166">
        <v>680760</v>
      </c>
      <c r="E972" s="119" t="s">
        <v>376</v>
      </c>
      <c r="F972" s="191">
        <v>68121024</v>
      </c>
      <c r="G972" s="119" t="s">
        <v>2732</v>
      </c>
      <c r="H972" s="187" t="s">
        <v>270</v>
      </c>
      <c r="I972" s="147" t="s">
        <v>378</v>
      </c>
      <c r="J972" s="119">
        <v>121.96</v>
      </c>
      <c r="K972" s="146" t="s">
        <v>207</v>
      </c>
      <c r="L972" s="146">
        <f>J972-116</f>
        <v>5.9599999999999937</v>
      </c>
      <c r="M972" s="119" t="s">
        <v>2733</v>
      </c>
      <c r="N972" s="119" t="s">
        <v>93</v>
      </c>
      <c r="O972" s="141">
        <f t="shared" si="703"/>
        <v>244328</v>
      </c>
      <c r="P972" s="141">
        <f t="shared" ref="P972:P1035" si="705">B972+7</f>
        <v>244335</v>
      </c>
      <c r="Q972" s="141">
        <f t="shared" si="704"/>
        <v>244330</v>
      </c>
      <c r="R972" s="139"/>
      <c r="S972" s="143"/>
      <c r="T972" s="139"/>
      <c r="U972" s="143"/>
      <c r="V972" s="139" t="s">
        <v>55</v>
      </c>
      <c r="W972" s="143">
        <v>244329</v>
      </c>
      <c r="X972" s="119"/>
      <c r="Y972" s="141"/>
      <c r="Z972" s="119" t="s">
        <v>2706</v>
      </c>
      <c r="AA972" s="144"/>
    </row>
    <row r="973" spans="1:27" s="145" customFormat="1" ht="36" customHeight="1" x14ac:dyDescent="0.25">
      <c r="A973" s="119" t="s">
        <v>29</v>
      </c>
      <c r="B973" s="139">
        <v>244329</v>
      </c>
      <c r="C973" s="119" t="s">
        <v>14</v>
      </c>
      <c r="D973" s="166">
        <v>680761</v>
      </c>
      <c r="E973" s="119" t="s">
        <v>376</v>
      </c>
      <c r="F973" s="191">
        <v>68121101</v>
      </c>
      <c r="G973" s="119" t="s">
        <v>2736</v>
      </c>
      <c r="H973" s="187" t="s">
        <v>270</v>
      </c>
      <c r="I973" s="147" t="s">
        <v>378</v>
      </c>
      <c r="J973" s="119">
        <v>120.45</v>
      </c>
      <c r="K973" s="146" t="s">
        <v>200</v>
      </c>
      <c r="L973" s="146">
        <f>J973-116</f>
        <v>4.4500000000000028</v>
      </c>
      <c r="M973" s="119" t="s">
        <v>2737</v>
      </c>
      <c r="N973" s="119" t="s">
        <v>93</v>
      </c>
      <c r="O973" s="141">
        <f t="shared" si="703"/>
        <v>244329</v>
      </c>
      <c r="P973" s="141">
        <f t="shared" si="705"/>
        <v>244336</v>
      </c>
      <c r="Q973" s="141">
        <f t="shared" si="704"/>
        <v>244331</v>
      </c>
      <c r="R973" s="139"/>
      <c r="S973" s="143"/>
      <c r="T973" s="139"/>
      <c r="U973" s="143"/>
      <c r="V973" s="139" t="s">
        <v>55</v>
      </c>
      <c r="W973" s="143">
        <v>244329</v>
      </c>
      <c r="X973" s="119"/>
      <c r="Y973" s="141"/>
      <c r="Z973" s="119" t="s">
        <v>2706</v>
      </c>
      <c r="AA973" s="144">
        <f>W973-P977</f>
        <v>-8</v>
      </c>
    </row>
    <row r="974" spans="1:27" s="145" customFormat="1" ht="36" customHeight="1" x14ac:dyDescent="0.25">
      <c r="A974" s="119" t="s">
        <v>29</v>
      </c>
      <c r="B974" s="139">
        <v>244329</v>
      </c>
      <c r="C974" s="119" t="s">
        <v>14</v>
      </c>
      <c r="D974" s="166">
        <v>680762</v>
      </c>
      <c r="E974" s="119" t="s">
        <v>309</v>
      </c>
      <c r="F974" s="191">
        <v>68121105</v>
      </c>
      <c r="G974" s="119" t="s">
        <v>2738</v>
      </c>
      <c r="H974" s="187" t="s">
        <v>247</v>
      </c>
      <c r="I974" s="147" t="s">
        <v>310</v>
      </c>
      <c r="J974" s="119">
        <v>135.05000000000001</v>
      </c>
      <c r="K974" s="146" t="s">
        <v>207</v>
      </c>
      <c r="L974" s="146">
        <f>J974-132</f>
        <v>3.0500000000000114</v>
      </c>
      <c r="M974" s="119" t="s">
        <v>2739</v>
      </c>
      <c r="N974" s="119" t="s">
        <v>93</v>
      </c>
      <c r="O974" s="141">
        <f t="shared" si="703"/>
        <v>244329</v>
      </c>
      <c r="P974" s="141">
        <f t="shared" si="705"/>
        <v>244336</v>
      </c>
      <c r="Q974" s="141">
        <f t="shared" si="704"/>
        <v>244331</v>
      </c>
      <c r="R974" s="139"/>
      <c r="S974" s="143"/>
      <c r="T974" s="139"/>
      <c r="U974" s="143"/>
      <c r="V974" s="139" t="s">
        <v>55</v>
      </c>
      <c r="W974" s="143">
        <v>244334</v>
      </c>
      <c r="X974" s="139"/>
      <c r="Y974" s="141"/>
      <c r="Z974" s="119" t="s">
        <v>2764</v>
      </c>
      <c r="AA974" s="144">
        <f>W974-P978</f>
        <v>-3</v>
      </c>
    </row>
    <row r="975" spans="1:27" s="145" customFormat="1" ht="36" customHeight="1" x14ac:dyDescent="0.25">
      <c r="A975" s="119" t="s">
        <v>29</v>
      </c>
      <c r="B975" s="139">
        <v>244329</v>
      </c>
      <c r="C975" s="119" t="s">
        <v>14</v>
      </c>
      <c r="D975" s="166">
        <v>680763</v>
      </c>
      <c r="E975" s="119" t="s">
        <v>307</v>
      </c>
      <c r="F975" s="190">
        <v>68121155</v>
      </c>
      <c r="G975" s="119" t="s">
        <v>2741</v>
      </c>
      <c r="H975" s="187" t="s">
        <v>284</v>
      </c>
      <c r="I975" s="147" t="s">
        <v>308</v>
      </c>
      <c r="J975" s="119">
        <v>61.23</v>
      </c>
      <c r="K975" s="146" t="s">
        <v>201</v>
      </c>
      <c r="L975" s="119">
        <f>64-J975</f>
        <v>2.7700000000000031</v>
      </c>
      <c r="M975" s="119" t="s">
        <v>2742</v>
      </c>
      <c r="N975" s="119" t="s">
        <v>93</v>
      </c>
      <c r="O975" s="141">
        <f t="shared" si="703"/>
        <v>244329</v>
      </c>
      <c r="P975" s="141">
        <f t="shared" si="705"/>
        <v>244336</v>
      </c>
      <c r="Q975" s="141">
        <f t="shared" si="704"/>
        <v>244331</v>
      </c>
      <c r="R975" s="139"/>
      <c r="S975" s="143"/>
      <c r="T975" s="139"/>
      <c r="U975" s="143"/>
      <c r="V975" s="139" t="s">
        <v>55</v>
      </c>
      <c r="W975" s="143">
        <v>244331</v>
      </c>
      <c r="X975" s="139"/>
      <c r="Y975" s="141"/>
      <c r="Z975" s="119" t="s">
        <v>2751</v>
      </c>
      <c r="AA975" s="144">
        <f>W975-P981</f>
        <v>-8</v>
      </c>
    </row>
    <row r="976" spans="1:27" s="145" customFormat="1" ht="36" customHeight="1" x14ac:dyDescent="0.25">
      <c r="A976" s="119" t="s">
        <v>29</v>
      </c>
      <c r="B976" s="139">
        <v>244330</v>
      </c>
      <c r="C976" s="119" t="s">
        <v>14</v>
      </c>
      <c r="D976" s="166">
        <v>680764</v>
      </c>
      <c r="E976" s="119" t="s">
        <v>2096</v>
      </c>
      <c r="F976" s="190">
        <v>68121215</v>
      </c>
      <c r="G976" s="119" t="s">
        <v>2743</v>
      </c>
      <c r="H976" s="187" t="s">
        <v>218</v>
      </c>
      <c r="I976" s="147" t="s">
        <v>2098</v>
      </c>
      <c r="J976" s="119">
        <v>55.72</v>
      </c>
      <c r="K976" s="146" t="s">
        <v>200</v>
      </c>
      <c r="L976" s="146">
        <f>J976-54</f>
        <v>1.7199999999999989</v>
      </c>
      <c r="M976" s="119" t="s">
        <v>2744</v>
      </c>
      <c r="N976" s="119" t="s">
        <v>93</v>
      </c>
      <c r="O976" s="141">
        <f t="shared" si="703"/>
        <v>244330</v>
      </c>
      <c r="P976" s="141">
        <f t="shared" si="705"/>
        <v>244337</v>
      </c>
      <c r="Q976" s="141">
        <f t="shared" si="704"/>
        <v>244332</v>
      </c>
      <c r="R976" s="139"/>
      <c r="S976" s="143"/>
      <c r="T976" s="139"/>
      <c r="U976" s="143"/>
      <c r="V976" s="139" t="s">
        <v>55</v>
      </c>
      <c r="W976" s="143">
        <v>244331</v>
      </c>
      <c r="X976" s="139"/>
      <c r="Y976" s="141"/>
      <c r="Z976" s="119" t="s">
        <v>2750</v>
      </c>
      <c r="AA976" s="144">
        <f>W976-P977</f>
        <v>-6</v>
      </c>
    </row>
    <row r="977" spans="1:27" s="145" customFormat="1" ht="36" customHeight="1" x14ac:dyDescent="0.25">
      <c r="A977" s="119" t="s">
        <v>29</v>
      </c>
      <c r="B977" s="139">
        <v>244330</v>
      </c>
      <c r="C977" s="119" t="s">
        <v>132</v>
      </c>
      <c r="D977" s="166">
        <v>680765</v>
      </c>
      <c r="E977" s="119">
        <v>997</v>
      </c>
      <c r="F977" s="190" t="s">
        <v>2389</v>
      </c>
      <c r="G977" s="119" t="s">
        <v>2745</v>
      </c>
      <c r="H977" s="187" t="s">
        <v>2746</v>
      </c>
      <c r="I977" s="147" t="s">
        <v>203</v>
      </c>
      <c r="J977" s="119" t="s">
        <v>584</v>
      </c>
      <c r="K977" s="146" t="s">
        <v>584</v>
      </c>
      <c r="L977" s="146" t="s">
        <v>346</v>
      </c>
      <c r="M977" s="119">
        <v>1</v>
      </c>
      <c r="N977" s="119" t="s">
        <v>52</v>
      </c>
      <c r="O977" s="141">
        <f t="shared" si="703"/>
        <v>244330</v>
      </c>
      <c r="P977" s="141">
        <f t="shared" si="705"/>
        <v>244337</v>
      </c>
      <c r="Q977" s="141">
        <f t="shared" si="704"/>
        <v>244332</v>
      </c>
      <c r="R977" s="139" t="s">
        <v>55</v>
      </c>
      <c r="S977" s="143">
        <v>244342</v>
      </c>
      <c r="T977" s="139" t="s">
        <v>55</v>
      </c>
      <c r="U977" s="143">
        <v>244343</v>
      </c>
      <c r="V977" s="139" t="s">
        <v>55</v>
      </c>
      <c r="W977" s="143">
        <v>244343</v>
      </c>
      <c r="X977" s="139"/>
      <c r="Y977" s="141"/>
      <c r="Z977" s="119" t="s">
        <v>771</v>
      </c>
      <c r="AA977" s="144">
        <f>W977-P978</f>
        <v>6</v>
      </c>
    </row>
    <row r="978" spans="1:27" s="145" customFormat="1" ht="36" customHeight="1" x14ac:dyDescent="0.25">
      <c r="A978" s="119" t="s">
        <v>29</v>
      </c>
      <c r="B978" s="139">
        <v>244330</v>
      </c>
      <c r="C978" s="119" t="s">
        <v>14</v>
      </c>
      <c r="D978" s="166">
        <v>680766</v>
      </c>
      <c r="E978" s="119" t="s">
        <v>376</v>
      </c>
      <c r="F978" s="190">
        <v>68121244</v>
      </c>
      <c r="G978" s="119" t="s">
        <v>2747</v>
      </c>
      <c r="H978" s="187" t="s">
        <v>247</v>
      </c>
      <c r="I978" s="147" t="s">
        <v>378</v>
      </c>
      <c r="J978" s="119">
        <v>124.31</v>
      </c>
      <c r="K978" s="146" t="s">
        <v>200</v>
      </c>
      <c r="L978" s="146">
        <f>J978-116</f>
        <v>8.3100000000000023</v>
      </c>
      <c r="M978" s="119" t="s">
        <v>2748</v>
      </c>
      <c r="N978" s="119" t="s">
        <v>93</v>
      </c>
      <c r="O978" s="141">
        <f t="shared" si="703"/>
        <v>244330</v>
      </c>
      <c r="P978" s="141">
        <f t="shared" si="705"/>
        <v>244337</v>
      </c>
      <c r="Q978" s="141">
        <f t="shared" si="704"/>
        <v>244332</v>
      </c>
      <c r="R978" s="139"/>
      <c r="S978" s="143"/>
      <c r="T978" s="139"/>
      <c r="U978" s="143"/>
      <c r="V978" s="139" t="s">
        <v>55</v>
      </c>
      <c r="W978" s="143">
        <v>244336</v>
      </c>
      <c r="X978" s="139"/>
      <c r="Y978" s="141"/>
      <c r="Z978" s="119" t="s">
        <v>2774</v>
      </c>
      <c r="AA978" s="144">
        <f>W978-P981</f>
        <v>-3</v>
      </c>
    </row>
    <row r="979" spans="1:27" s="145" customFormat="1" ht="36" customHeight="1" x14ac:dyDescent="0.25">
      <c r="A979" s="119" t="s">
        <v>29</v>
      </c>
      <c r="B979" s="139">
        <v>244331</v>
      </c>
      <c r="C979" s="119" t="s">
        <v>14</v>
      </c>
      <c r="D979" s="166">
        <v>680767</v>
      </c>
      <c r="E979" s="119" t="s">
        <v>2096</v>
      </c>
      <c r="F979" s="190">
        <v>68121329</v>
      </c>
      <c r="G979" s="119" t="s">
        <v>2752</v>
      </c>
      <c r="H979" s="187" t="s">
        <v>218</v>
      </c>
      <c r="I979" s="147" t="s">
        <v>2098</v>
      </c>
      <c r="J979" s="146">
        <v>56.02</v>
      </c>
      <c r="K979" s="146" t="s">
        <v>200</v>
      </c>
      <c r="L979" s="146">
        <f>J979-54</f>
        <v>2.0200000000000031</v>
      </c>
      <c r="M979" s="119" t="s">
        <v>2753</v>
      </c>
      <c r="N979" s="119" t="s">
        <v>93</v>
      </c>
      <c r="O979" s="141">
        <f t="shared" si="703"/>
        <v>244331</v>
      </c>
      <c r="P979" s="141">
        <f t="shared" si="705"/>
        <v>244338</v>
      </c>
      <c r="Q979" s="141">
        <f t="shared" si="704"/>
        <v>244333</v>
      </c>
      <c r="R979" s="139"/>
      <c r="S979" s="143"/>
      <c r="T979" s="139"/>
      <c r="U979" s="143"/>
      <c r="V979" s="139" t="s">
        <v>55</v>
      </c>
      <c r="W979" s="143">
        <v>244331</v>
      </c>
      <c r="X979" s="139"/>
      <c r="Y979" s="141"/>
      <c r="Z979" s="119" t="s">
        <v>2750</v>
      </c>
      <c r="AA979" s="144"/>
    </row>
    <row r="980" spans="1:27" s="145" customFormat="1" ht="36" customHeight="1" x14ac:dyDescent="0.25">
      <c r="A980" s="119" t="s">
        <v>29</v>
      </c>
      <c r="B980" s="139">
        <v>244331</v>
      </c>
      <c r="C980" s="119" t="s">
        <v>11</v>
      </c>
      <c r="D980" s="166">
        <v>680768</v>
      </c>
      <c r="E980" s="119" t="s">
        <v>779</v>
      </c>
      <c r="F980" s="190" t="s">
        <v>2754</v>
      </c>
      <c r="G980" s="119">
        <v>681211</v>
      </c>
      <c r="H980" s="187" t="s">
        <v>135</v>
      </c>
      <c r="I980" s="147" t="s">
        <v>73</v>
      </c>
      <c r="J980" s="146" t="s">
        <v>1872</v>
      </c>
      <c r="K980" s="119" t="s">
        <v>69</v>
      </c>
      <c r="L980" s="119" t="s">
        <v>69</v>
      </c>
      <c r="M980" s="119" t="s">
        <v>2755</v>
      </c>
      <c r="N980" s="119" t="s">
        <v>53</v>
      </c>
      <c r="O980" s="141">
        <f t="shared" si="703"/>
        <v>244331</v>
      </c>
      <c r="P980" s="141">
        <f t="shared" si="705"/>
        <v>244338</v>
      </c>
      <c r="Q980" s="141">
        <f t="shared" si="704"/>
        <v>244333</v>
      </c>
      <c r="R980" s="139" t="s">
        <v>55</v>
      </c>
      <c r="S980" s="143">
        <v>244342</v>
      </c>
      <c r="T980" s="139" t="s">
        <v>55</v>
      </c>
      <c r="U980" s="143">
        <v>244343</v>
      </c>
      <c r="V980" s="139" t="s">
        <v>55</v>
      </c>
      <c r="W980" s="143">
        <v>244343</v>
      </c>
      <c r="X980" s="139"/>
      <c r="Y980" s="141"/>
      <c r="Z980" s="119" t="s">
        <v>2784</v>
      </c>
      <c r="AA980" s="144"/>
    </row>
    <row r="981" spans="1:27" s="145" customFormat="1" ht="33" customHeight="1" x14ac:dyDescent="0.25">
      <c r="A981" s="119" t="s">
        <v>29</v>
      </c>
      <c r="B981" s="139">
        <v>244332</v>
      </c>
      <c r="C981" s="119" t="s">
        <v>11</v>
      </c>
      <c r="D981" s="166">
        <v>680769</v>
      </c>
      <c r="E981" s="119" t="s">
        <v>779</v>
      </c>
      <c r="F981" s="190" t="s">
        <v>2754</v>
      </c>
      <c r="G981" s="119">
        <v>681211</v>
      </c>
      <c r="H981" s="187" t="s">
        <v>135</v>
      </c>
      <c r="I981" s="147" t="s">
        <v>2756</v>
      </c>
      <c r="J981" s="146" t="s">
        <v>2757</v>
      </c>
      <c r="K981" s="119" t="s">
        <v>69</v>
      </c>
      <c r="L981" s="119" t="s">
        <v>69</v>
      </c>
      <c r="M981" s="119" t="s">
        <v>2758</v>
      </c>
      <c r="N981" s="119" t="s">
        <v>53</v>
      </c>
      <c r="O981" s="141">
        <f t="shared" si="703"/>
        <v>244332</v>
      </c>
      <c r="P981" s="141">
        <f t="shared" si="705"/>
        <v>244339</v>
      </c>
      <c r="Q981" s="141">
        <f t="shared" si="704"/>
        <v>244334</v>
      </c>
      <c r="R981" s="139" t="s">
        <v>55</v>
      </c>
      <c r="S981" s="143">
        <v>244342</v>
      </c>
      <c r="T981" s="139" t="s">
        <v>55</v>
      </c>
      <c r="U981" s="143">
        <v>244343</v>
      </c>
      <c r="V981" s="139" t="s">
        <v>55</v>
      </c>
      <c r="W981" s="143">
        <v>244333</v>
      </c>
      <c r="X981" s="139"/>
      <c r="Y981" s="141"/>
      <c r="Z981" s="119" t="s">
        <v>2759</v>
      </c>
      <c r="AA981" s="144">
        <f>W981-P982</f>
        <v>-7</v>
      </c>
    </row>
    <row r="982" spans="1:27" s="145" customFormat="1" ht="36" customHeight="1" x14ac:dyDescent="0.25">
      <c r="A982" s="119" t="s">
        <v>29</v>
      </c>
      <c r="B982" s="139">
        <v>244333</v>
      </c>
      <c r="C982" s="119" t="s">
        <v>14</v>
      </c>
      <c r="D982" s="166">
        <v>680770</v>
      </c>
      <c r="E982" s="119" t="s">
        <v>426</v>
      </c>
      <c r="F982" s="190">
        <v>68121508</v>
      </c>
      <c r="G982" s="119" t="s">
        <v>2760</v>
      </c>
      <c r="H982" s="187" t="s">
        <v>264</v>
      </c>
      <c r="I982" s="147" t="s">
        <v>428</v>
      </c>
      <c r="J982" s="146">
        <v>135.29</v>
      </c>
      <c r="K982" s="146" t="s">
        <v>207</v>
      </c>
      <c r="L982" s="146">
        <f>J982-129</f>
        <v>6.289999999999992</v>
      </c>
      <c r="M982" s="119" t="s">
        <v>2761</v>
      </c>
      <c r="N982" s="119" t="s">
        <v>93</v>
      </c>
      <c r="O982" s="141">
        <f t="shared" si="703"/>
        <v>244333</v>
      </c>
      <c r="P982" s="141">
        <f t="shared" si="705"/>
        <v>244340</v>
      </c>
      <c r="Q982" s="141">
        <f t="shared" si="704"/>
        <v>244335</v>
      </c>
      <c r="R982" s="139"/>
      <c r="S982" s="143"/>
      <c r="T982" s="139"/>
      <c r="U982" s="143"/>
      <c r="V982" s="139" t="s">
        <v>55</v>
      </c>
      <c r="W982" s="143">
        <v>244334</v>
      </c>
      <c r="X982" s="139"/>
      <c r="Y982" s="141"/>
      <c r="Z982" s="119" t="s">
        <v>2766</v>
      </c>
      <c r="AA982" s="144">
        <f>W982-P983</f>
        <v>-6</v>
      </c>
    </row>
    <row r="983" spans="1:27" s="145" customFormat="1" ht="36" customHeight="1" x14ac:dyDescent="0.25">
      <c r="A983" s="119" t="s">
        <v>29</v>
      </c>
      <c r="B983" s="139">
        <v>244333</v>
      </c>
      <c r="C983" s="119" t="s">
        <v>14</v>
      </c>
      <c r="D983" s="166">
        <v>680771</v>
      </c>
      <c r="E983" s="119" t="s">
        <v>307</v>
      </c>
      <c r="F983" s="190">
        <v>68121508</v>
      </c>
      <c r="G983" s="119" t="s">
        <v>2762</v>
      </c>
      <c r="H983" s="187" t="s">
        <v>213</v>
      </c>
      <c r="I983" s="147" t="s">
        <v>308</v>
      </c>
      <c r="J983" s="146">
        <v>62.47</v>
      </c>
      <c r="K983" s="146" t="s">
        <v>201</v>
      </c>
      <c r="L983" s="146">
        <f>64-J983</f>
        <v>1.5300000000000011</v>
      </c>
      <c r="M983" s="119" t="s">
        <v>793</v>
      </c>
      <c r="N983" s="119" t="s">
        <v>93</v>
      </c>
      <c r="O983" s="141">
        <f t="shared" ref="O983" si="706">B983</f>
        <v>244333</v>
      </c>
      <c r="P983" s="141">
        <f t="shared" ref="P983" si="707">B983+7</f>
        <v>244340</v>
      </c>
      <c r="Q983" s="141">
        <f t="shared" ref="Q983" si="708">O983+2</f>
        <v>244335</v>
      </c>
      <c r="R983" s="139"/>
      <c r="S983" s="143"/>
      <c r="T983" s="139"/>
      <c r="U983" s="143"/>
      <c r="V983" s="139" t="s">
        <v>55</v>
      </c>
      <c r="W983" s="143">
        <v>244333</v>
      </c>
      <c r="X983" s="139"/>
      <c r="Y983" s="141"/>
      <c r="Z983" s="119" t="s">
        <v>2763</v>
      </c>
      <c r="AA983" s="144">
        <f>W983-P984</f>
        <v>-10</v>
      </c>
    </row>
    <row r="984" spans="1:27" s="145" customFormat="1" ht="36" customHeight="1" x14ac:dyDescent="0.25">
      <c r="A984" s="119" t="s">
        <v>29</v>
      </c>
      <c r="B984" s="139">
        <v>244336</v>
      </c>
      <c r="C984" s="119" t="s">
        <v>14</v>
      </c>
      <c r="D984" s="166">
        <v>680772</v>
      </c>
      <c r="E984" s="119" t="s">
        <v>307</v>
      </c>
      <c r="F984" s="190">
        <v>68121805</v>
      </c>
      <c r="G984" s="119" t="s">
        <v>2768</v>
      </c>
      <c r="H984" s="187" t="s">
        <v>284</v>
      </c>
      <c r="I984" s="147" t="s">
        <v>308</v>
      </c>
      <c r="J984" s="146">
        <v>61.26</v>
      </c>
      <c r="K984" s="146" t="s">
        <v>201</v>
      </c>
      <c r="L984" s="146">
        <f>64-J984</f>
        <v>2.740000000000002</v>
      </c>
      <c r="M984" s="149" t="s">
        <v>2769</v>
      </c>
      <c r="N984" s="119" t="s">
        <v>93</v>
      </c>
      <c r="O984" s="141">
        <f t="shared" si="703"/>
        <v>244336</v>
      </c>
      <c r="P984" s="141">
        <f t="shared" si="705"/>
        <v>244343</v>
      </c>
      <c r="Q984" s="141">
        <f t="shared" si="704"/>
        <v>244338</v>
      </c>
      <c r="R984" s="139" t="s">
        <v>55</v>
      </c>
      <c r="S984" s="143">
        <v>244342</v>
      </c>
      <c r="T984" s="139" t="s">
        <v>55</v>
      </c>
      <c r="U984" s="143">
        <v>244343</v>
      </c>
      <c r="V984" s="139" t="s">
        <v>55</v>
      </c>
      <c r="W984" s="143">
        <v>244343</v>
      </c>
      <c r="X984" s="139"/>
      <c r="Y984" s="141"/>
      <c r="Z984" s="119" t="s">
        <v>2306</v>
      </c>
      <c r="AA984" s="144">
        <f>W984-P986</f>
        <v>0</v>
      </c>
    </row>
    <row r="985" spans="1:27" s="145" customFormat="1" ht="36" customHeight="1" x14ac:dyDescent="0.25">
      <c r="A985" s="119" t="s">
        <v>29</v>
      </c>
      <c r="B985" s="139">
        <v>244336</v>
      </c>
      <c r="C985" s="119" t="s">
        <v>14</v>
      </c>
      <c r="D985" s="166">
        <v>680773</v>
      </c>
      <c r="E985" s="119" t="s">
        <v>402</v>
      </c>
      <c r="F985" s="190">
        <v>68121816</v>
      </c>
      <c r="G985" s="119" t="s">
        <v>2770</v>
      </c>
      <c r="H985" s="187" t="s">
        <v>209</v>
      </c>
      <c r="I985" s="147" t="s">
        <v>404</v>
      </c>
      <c r="J985" s="146">
        <v>70.599999999999994</v>
      </c>
      <c r="K985" s="146" t="s">
        <v>200</v>
      </c>
      <c r="L985" s="146">
        <f>J985-67</f>
        <v>3.5999999999999943</v>
      </c>
      <c r="M985" s="149" t="s">
        <v>2771</v>
      </c>
      <c r="N985" s="119" t="s">
        <v>93</v>
      </c>
      <c r="O985" s="141">
        <f t="shared" si="703"/>
        <v>244336</v>
      </c>
      <c r="P985" s="141">
        <f t="shared" si="705"/>
        <v>244343</v>
      </c>
      <c r="Q985" s="141">
        <f t="shared" si="704"/>
        <v>244338</v>
      </c>
      <c r="R985" s="139" t="s">
        <v>55</v>
      </c>
      <c r="S985" s="143">
        <v>244342</v>
      </c>
      <c r="T985" s="139" t="s">
        <v>55</v>
      </c>
      <c r="U985" s="143">
        <v>244343</v>
      </c>
      <c r="V985" s="139" t="s">
        <v>55</v>
      </c>
      <c r="W985" s="143">
        <v>244343</v>
      </c>
      <c r="X985" s="139"/>
      <c r="Y985" s="141"/>
      <c r="Z985" s="119" t="s">
        <v>2783</v>
      </c>
      <c r="AA985" s="144">
        <f>W985-P987</f>
        <v>-1</v>
      </c>
    </row>
    <row r="986" spans="1:27" s="145" customFormat="1" ht="36" customHeight="1" x14ac:dyDescent="0.25">
      <c r="A986" s="119" t="s">
        <v>29</v>
      </c>
      <c r="B986" s="139">
        <v>244336</v>
      </c>
      <c r="C986" s="119" t="s">
        <v>14</v>
      </c>
      <c r="D986" s="166">
        <v>680773</v>
      </c>
      <c r="E986" s="119" t="s">
        <v>402</v>
      </c>
      <c r="F986" s="190">
        <v>68121822</v>
      </c>
      <c r="G986" s="119" t="s">
        <v>2772</v>
      </c>
      <c r="H986" s="187" t="s">
        <v>249</v>
      </c>
      <c r="I986" s="147" t="s">
        <v>404</v>
      </c>
      <c r="J986" s="146">
        <v>70.52</v>
      </c>
      <c r="K986" s="146" t="s">
        <v>200</v>
      </c>
      <c r="L986" s="146">
        <f>J986-67</f>
        <v>3.519999999999996</v>
      </c>
      <c r="M986" s="149" t="s">
        <v>2773</v>
      </c>
      <c r="N986" s="119" t="s">
        <v>93</v>
      </c>
      <c r="O986" s="141">
        <f t="shared" ref="O986" si="709">B986</f>
        <v>244336</v>
      </c>
      <c r="P986" s="141">
        <f t="shared" ref="P986" si="710">B986+7</f>
        <v>244343</v>
      </c>
      <c r="Q986" s="141">
        <f t="shared" ref="Q986" si="711">O986+2</f>
        <v>244338</v>
      </c>
      <c r="R986" s="139" t="s">
        <v>55</v>
      </c>
      <c r="S986" s="143">
        <v>244342</v>
      </c>
      <c r="T986" s="139" t="s">
        <v>55</v>
      </c>
      <c r="U986" s="143">
        <v>244343</v>
      </c>
      <c r="V986" s="139" t="s">
        <v>55</v>
      </c>
      <c r="W986" s="143">
        <v>244343</v>
      </c>
      <c r="X986" s="139"/>
      <c r="Y986" s="141"/>
      <c r="Z986" s="119" t="s">
        <v>2783</v>
      </c>
      <c r="AA986" s="144">
        <f>W986-P988</f>
        <v>-1</v>
      </c>
    </row>
    <row r="987" spans="1:27" s="145" customFormat="1" ht="38.25" customHeight="1" x14ac:dyDescent="0.25">
      <c r="A987" s="119" t="s">
        <v>29</v>
      </c>
      <c r="B987" s="139">
        <v>244337</v>
      </c>
      <c r="C987" s="119" t="s">
        <v>14</v>
      </c>
      <c r="D987" s="166">
        <v>680774</v>
      </c>
      <c r="E987" s="119" t="s">
        <v>376</v>
      </c>
      <c r="F987" s="190">
        <v>68121908</v>
      </c>
      <c r="G987" s="119" t="s">
        <v>2775</v>
      </c>
      <c r="H987" s="187" t="s">
        <v>270</v>
      </c>
      <c r="I987" s="147" t="s">
        <v>378</v>
      </c>
      <c r="J987" s="146">
        <v>118.82</v>
      </c>
      <c r="K987" s="146" t="s">
        <v>207</v>
      </c>
      <c r="L987" s="146">
        <f>J987-116</f>
        <v>2.8199999999999932</v>
      </c>
      <c r="M987" s="149" t="s">
        <v>2776</v>
      </c>
      <c r="N987" s="119" t="s">
        <v>93</v>
      </c>
      <c r="O987" s="141">
        <f t="shared" si="703"/>
        <v>244337</v>
      </c>
      <c r="P987" s="141">
        <f t="shared" si="705"/>
        <v>244344</v>
      </c>
      <c r="Q987" s="141">
        <f t="shared" si="704"/>
        <v>244339</v>
      </c>
      <c r="R987" s="139"/>
      <c r="S987" s="143"/>
      <c r="T987" s="139"/>
      <c r="U987" s="143"/>
      <c r="V987" s="139" t="s">
        <v>55</v>
      </c>
      <c r="W987" s="143">
        <v>244338</v>
      </c>
      <c r="X987" s="139"/>
      <c r="Y987" s="141"/>
      <c r="Z987" s="119" t="s">
        <v>2779</v>
      </c>
      <c r="AA987" s="144">
        <f>W987-P988</f>
        <v>-6</v>
      </c>
    </row>
    <row r="988" spans="1:27" s="145" customFormat="1" ht="36" customHeight="1" x14ac:dyDescent="0.25">
      <c r="A988" s="119" t="s">
        <v>29</v>
      </c>
      <c r="B988" s="139">
        <v>244337</v>
      </c>
      <c r="C988" s="119" t="s">
        <v>14</v>
      </c>
      <c r="D988" s="166">
        <v>680775</v>
      </c>
      <c r="E988" s="119" t="s">
        <v>2096</v>
      </c>
      <c r="F988" s="190">
        <v>68121928</v>
      </c>
      <c r="G988" s="119" t="s">
        <v>2777</v>
      </c>
      <c r="H988" s="187" t="s">
        <v>218</v>
      </c>
      <c r="I988" s="147" t="s">
        <v>2098</v>
      </c>
      <c r="J988" s="146">
        <v>56.07</v>
      </c>
      <c r="K988" s="146" t="s">
        <v>200</v>
      </c>
      <c r="L988" s="146">
        <f>J988-54</f>
        <v>2.0700000000000003</v>
      </c>
      <c r="M988" s="149" t="s">
        <v>2778</v>
      </c>
      <c r="N988" s="119" t="s">
        <v>93</v>
      </c>
      <c r="O988" s="141">
        <f t="shared" si="703"/>
        <v>244337</v>
      </c>
      <c r="P988" s="141">
        <f t="shared" si="705"/>
        <v>244344</v>
      </c>
      <c r="Q988" s="141">
        <f t="shared" si="704"/>
        <v>244339</v>
      </c>
      <c r="R988" s="139" t="s">
        <v>55</v>
      </c>
      <c r="S988" s="143">
        <v>244342</v>
      </c>
      <c r="T988" s="139" t="s">
        <v>55</v>
      </c>
      <c r="U988" s="143">
        <v>244343</v>
      </c>
      <c r="V988" s="139" t="s">
        <v>55</v>
      </c>
      <c r="W988" s="143">
        <v>244343</v>
      </c>
      <c r="X988" s="139"/>
      <c r="Y988" s="141"/>
      <c r="Z988" s="119" t="s">
        <v>2173</v>
      </c>
      <c r="AA988" s="144">
        <f>W988-P991</f>
        <v>244336</v>
      </c>
    </row>
    <row r="989" spans="1:27" s="145" customFormat="1" ht="36" customHeight="1" x14ac:dyDescent="0.25">
      <c r="A989" s="119" t="s">
        <v>29</v>
      </c>
      <c r="B989" s="139">
        <v>244342</v>
      </c>
      <c r="C989" s="119" t="s">
        <v>14</v>
      </c>
      <c r="D989" s="166">
        <v>680776</v>
      </c>
      <c r="E989" s="119" t="s">
        <v>376</v>
      </c>
      <c r="F989" s="190">
        <v>68122405</v>
      </c>
      <c r="G989" s="119" t="s">
        <v>2780</v>
      </c>
      <c r="H989" s="187" t="s">
        <v>290</v>
      </c>
      <c r="I989" s="147" t="s">
        <v>732</v>
      </c>
      <c r="J989" s="146" t="s">
        <v>918</v>
      </c>
      <c r="K989" s="146" t="s">
        <v>918</v>
      </c>
      <c r="L989" s="146" t="s">
        <v>69</v>
      </c>
      <c r="M989" s="149" t="s">
        <v>2781</v>
      </c>
      <c r="N989" s="119" t="s">
        <v>93</v>
      </c>
      <c r="O989" s="141">
        <f t="shared" si="703"/>
        <v>244342</v>
      </c>
      <c r="P989" s="141">
        <f t="shared" si="705"/>
        <v>244349</v>
      </c>
      <c r="Q989" s="141">
        <f t="shared" si="704"/>
        <v>244344</v>
      </c>
      <c r="R989" s="139" t="s">
        <v>55</v>
      </c>
      <c r="S989" s="143">
        <v>244342</v>
      </c>
      <c r="T989" s="139" t="s">
        <v>55</v>
      </c>
      <c r="U989" s="143">
        <v>244343</v>
      </c>
      <c r="V989" s="139" t="s">
        <v>55</v>
      </c>
      <c r="W989" s="143">
        <v>244343</v>
      </c>
      <c r="X989" s="139"/>
      <c r="Y989" s="141"/>
      <c r="Z989" s="119" t="s">
        <v>2308</v>
      </c>
      <c r="AA989" s="144"/>
    </row>
    <row r="990" spans="1:27" s="145" customFormat="1" ht="36" customHeight="1" x14ac:dyDescent="0.25">
      <c r="A990" s="119"/>
      <c r="B990" s="139"/>
      <c r="C990" s="119"/>
      <c r="D990" s="166"/>
      <c r="E990" s="119"/>
      <c r="F990" s="190"/>
      <c r="G990" s="119"/>
      <c r="H990" s="187"/>
      <c r="I990" s="147"/>
      <c r="J990" s="146"/>
      <c r="K990" s="119"/>
      <c r="L990" s="146"/>
      <c r="M990" s="157"/>
      <c r="N990" s="119"/>
      <c r="O990" s="141">
        <f t="shared" si="703"/>
        <v>0</v>
      </c>
      <c r="P990" s="141">
        <f t="shared" si="705"/>
        <v>7</v>
      </c>
      <c r="Q990" s="141">
        <f t="shared" si="704"/>
        <v>2</v>
      </c>
      <c r="R990" s="139"/>
      <c r="S990" s="143"/>
      <c r="T990" s="139"/>
      <c r="U990" s="143"/>
      <c r="V990" s="139"/>
      <c r="W990" s="143"/>
      <c r="X990" s="139"/>
      <c r="Y990" s="141"/>
      <c r="Z990" s="119"/>
      <c r="AA990" s="144"/>
    </row>
    <row r="991" spans="1:27" s="145" customFormat="1" ht="36" customHeight="1" x14ac:dyDescent="0.25">
      <c r="A991" s="119"/>
      <c r="B991" s="139"/>
      <c r="C991" s="119"/>
      <c r="D991" s="166"/>
      <c r="E991" s="119"/>
      <c r="F991" s="190"/>
      <c r="G991" s="119"/>
      <c r="H991" s="187"/>
      <c r="I991" s="147"/>
      <c r="J991" s="146"/>
      <c r="K991" s="146"/>
      <c r="L991" s="146"/>
      <c r="M991" s="149"/>
      <c r="N991" s="119"/>
      <c r="O991" s="141">
        <f t="shared" si="703"/>
        <v>0</v>
      </c>
      <c r="P991" s="141">
        <f t="shared" si="705"/>
        <v>7</v>
      </c>
      <c r="Q991" s="141">
        <f t="shared" si="704"/>
        <v>2</v>
      </c>
      <c r="R991" s="139"/>
      <c r="S991" s="143"/>
      <c r="T991" s="158"/>
      <c r="U991" s="143"/>
      <c r="V991" s="139"/>
      <c r="W991" s="143"/>
      <c r="X991" s="139"/>
      <c r="Y991" s="141"/>
      <c r="Z991" s="119"/>
      <c r="AA991" s="144">
        <f>W991-P992</f>
        <v>-7</v>
      </c>
    </row>
    <row r="992" spans="1:27" s="145" customFormat="1" ht="36" customHeight="1" x14ac:dyDescent="0.25">
      <c r="A992" s="119"/>
      <c r="B992" s="139"/>
      <c r="C992" s="119"/>
      <c r="D992" s="166"/>
      <c r="E992" s="119"/>
      <c r="F992" s="190"/>
      <c r="G992" s="119"/>
      <c r="H992" s="187"/>
      <c r="I992" s="147"/>
      <c r="J992" s="146"/>
      <c r="K992" s="146"/>
      <c r="L992" s="146"/>
      <c r="M992" s="157"/>
      <c r="N992" s="119"/>
      <c r="O992" s="141">
        <f t="shared" si="703"/>
        <v>0</v>
      </c>
      <c r="P992" s="141">
        <f t="shared" si="705"/>
        <v>7</v>
      </c>
      <c r="Q992" s="141">
        <f t="shared" si="704"/>
        <v>2</v>
      </c>
      <c r="R992" s="139"/>
      <c r="S992" s="143"/>
      <c r="T992" s="139"/>
      <c r="U992" s="143"/>
      <c r="V992" s="139"/>
      <c r="W992" s="143"/>
      <c r="X992" s="139"/>
      <c r="Y992" s="141"/>
      <c r="Z992" s="119"/>
      <c r="AA992" s="144"/>
    </row>
    <row r="993" spans="1:27" s="145" customFormat="1" ht="36" customHeight="1" x14ac:dyDescent="0.25">
      <c r="A993" s="119"/>
      <c r="B993" s="139"/>
      <c r="C993" s="119"/>
      <c r="D993" s="166"/>
      <c r="E993" s="119"/>
      <c r="F993" s="190"/>
      <c r="G993" s="119"/>
      <c r="H993" s="187"/>
      <c r="I993" s="147"/>
      <c r="J993" s="146"/>
      <c r="K993" s="146"/>
      <c r="L993" s="146"/>
      <c r="M993" s="157"/>
      <c r="N993" s="119"/>
      <c r="O993" s="141">
        <f t="shared" si="703"/>
        <v>0</v>
      </c>
      <c r="P993" s="141">
        <f t="shared" si="705"/>
        <v>7</v>
      </c>
      <c r="Q993" s="141">
        <f t="shared" si="704"/>
        <v>2</v>
      </c>
      <c r="R993" s="139"/>
      <c r="S993" s="143"/>
      <c r="T993" s="139"/>
      <c r="U993" s="143"/>
      <c r="V993" s="139"/>
      <c r="W993" s="143"/>
      <c r="X993" s="139"/>
      <c r="Y993" s="141"/>
      <c r="Z993" s="119"/>
      <c r="AA993" s="144"/>
    </row>
    <row r="994" spans="1:27" s="145" customFormat="1" ht="36" customHeight="1" x14ac:dyDescent="0.25">
      <c r="A994" s="119"/>
      <c r="B994" s="139"/>
      <c r="C994" s="119"/>
      <c r="D994" s="166"/>
      <c r="E994" s="119"/>
      <c r="F994" s="190"/>
      <c r="G994" s="119"/>
      <c r="H994" s="187"/>
      <c r="I994" s="147"/>
      <c r="J994" s="146"/>
      <c r="K994" s="146"/>
      <c r="L994" s="146"/>
      <c r="M994" s="157"/>
      <c r="N994" s="119"/>
      <c r="O994" s="141">
        <f t="shared" si="703"/>
        <v>0</v>
      </c>
      <c r="P994" s="141">
        <f t="shared" si="705"/>
        <v>7</v>
      </c>
      <c r="Q994" s="141">
        <f t="shared" si="704"/>
        <v>2</v>
      </c>
      <c r="R994" s="139"/>
      <c r="S994" s="143"/>
      <c r="T994" s="139"/>
      <c r="U994" s="143"/>
      <c r="V994" s="139"/>
      <c r="W994" s="143"/>
      <c r="X994" s="139"/>
      <c r="Y994" s="141"/>
      <c r="Z994" s="119"/>
      <c r="AA994" s="144"/>
    </row>
    <row r="995" spans="1:27" s="145" customFormat="1" ht="36" customHeight="1" x14ac:dyDescent="0.25">
      <c r="A995" s="119"/>
      <c r="B995" s="139"/>
      <c r="C995" s="119"/>
      <c r="D995" s="166"/>
      <c r="E995" s="119"/>
      <c r="F995" s="190"/>
      <c r="G995" s="119"/>
      <c r="H995" s="187"/>
      <c r="I995" s="147"/>
      <c r="J995" s="146"/>
      <c r="K995" s="146"/>
      <c r="L995" s="146"/>
      <c r="M995" s="149"/>
      <c r="N995" s="119"/>
      <c r="O995" s="141">
        <f t="shared" si="703"/>
        <v>0</v>
      </c>
      <c r="P995" s="141">
        <f t="shared" si="705"/>
        <v>7</v>
      </c>
      <c r="Q995" s="141">
        <f t="shared" si="704"/>
        <v>2</v>
      </c>
      <c r="R995" s="139"/>
      <c r="S995" s="143"/>
      <c r="T995" s="139"/>
      <c r="U995" s="143"/>
      <c r="V995" s="139"/>
      <c r="W995" s="143"/>
      <c r="X995" s="139"/>
      <c r="Y995" s="141"/>
      <c r="Z995" s="119"/>
      <c r="AA995" s="144"/>
    </row>
    <row r="996" spans="1:27" s="145" customFormat="1" ht="36" customHeight="1" x14ac:dyDescent="0.25">
      <c r="A996" s="119"/>
      <c r="B996" s="139"/>
      <c r="C996" s="119"/>
      <c r="D996" s="166"/>
      <c r="E996" s="119"/>
      <c r="F996" s="190"/>
      <c r="G996" s="119"/>
      <c r="H996" s="187"/>
      <c r="I996" s="147"/>
      <c r="J996" s="146"/>
      <c r="K996" s="146"/>
      <c r="L996" s="146"/>
      <c r="M996" s="149"/>
      <c r="N996" s="119"/>
      <c r="O996" s="141">
        <f t="shared" si="703"/>
        <v>0</v>
      </c>
      <c r="P996" s="141">
        <f t="shared" si="705"/>
        <v>7</v>
      </c>
      <c r="Q996" s="141">
        <f t="shared" si="704"/>
        <v>2</v>
      </c>
      <c r="R996" s="139"/>
      <c r="S996" s="143"/>
      <c r="T996" s="139"/>
      <c r="U996" s="143"/>
      <c r="V996" s="139"/>
      <c r="W996" s="143"/>
      <c r="X996" s="139"/>
      <c r="Y996" s="141"/>
      <c r="Z996" s="119"/>
      <c r="AA996" s="144"/>
    </row>
    <row r="997" spans="1:27" s="145" customFormat="1" ht="36" customHeight="1" x14ac:dyDescent="0.25">
      <c r="A997" s="119"/>
      <c r="B997" s="139"/>
      <c r="C997" s="119"/>
      <c r="D997" s="166"/>
      <c r="E997" s="119"/>
      <c r="F997" s="191"/>
      <c r="G997" s="119"/>
      <c r="H997" s="187"/>
      <c r="I997" s="147"/>
      <c r="J997" s="146"/>
      <c r="K997" s="146"/>
      <c r="L997" s="146"/>
      <c r="M997" s="149"/>
      <c r="N997" s="119"/>
      <c r="O997" s="141">
        <f t="shared" si="703"/>
        <v>0</v>
      </c>
      <c r="P997" s="141">
        <f t="shared" si="705"/>
        <v>7</v>
      </c>
      <c r="Q997" s="141">
        <f t="shared" si="704"/>
        <v>2</v>
      </c>
      <c r="R997" s="139"/>
      <c r="S997" s="143"/>
      <c r="T997" s="139"/>
      <c r="U997" s="143"/>
      <c r="V997" s="139"/>
      <c r="W997" s="143"/>
      <c r="X997" s="139"/>
      <c r="Y997" s="141"/>
      <c r="Z997" s="119"/>
      <c r="AA997" s="144">
        <f>W997-P998</f>
        <v>-7</v>
      </c>
    </row>
    <row r="998" spans="1:27" s="145" customFormat="1" ht="36" customHeight="1" x14ac:dyDescent="0.25">
      <c r="A998" s="119"/>
      <c r="B998" s="139"/>
      <c r="C998" s="119"/>
      <c r="D998" s="166"/>
      <c r="E998" s="119"/>
      <c r="F998" s="190"/>
      <c r="G998" s="119"/>
      <c r="H998" s="187"/>
      <c r="I998" s="147"/>
      <c r="J998" s="146"/>
      <c r="K998" s="146"/>
      <c r="L998" s="146"/>
      <c r="M998" s="149"/>
      <c r="N998" s="119"/>
      <c r="O998" s="141">
        <f t="shared" si="703"/>
        <v>0</v>
      </c>
      <c r="P998" s="141">
        <f t="shared" si="705"/>
        <v>7</v>
      </c>
      <c r="Q998" s="141">
        <f t="shared" si="704"/>
        <v>2</v>
      </c>
      <c r="R998" s="139"/>
      <c r="S998" s="143"/>
      <c r="T998" s="158"/>
      <c r="U998" s="143"/>
      <c r="V998" s="139"/>
      <c r="W998" s="143"/>
      <c r="X998" s="139"/>
      <c r="Y998" s="141"/>
      <c r="Z998" s="119"/>
      <c r="AA998" s="144">
        <f>Z998</f>
        <v>0</v>
      </c>
    </row>
    <row r="999" spans="1:27" s="145" customFormat="1" ht="36" customHeight="1" x14ac:dyDescent="0.25">
      <c r="A999" s="119"/>
      <c r="B999" s="139"/>
      <c r="C999" s="119"/>
      <c r="D999" s="166"/>
      <c r="E999" s="119"/>
      <c r="F999" s="190"/>
      <c r="G999" s="119"/>
      <c r="H999" s="187"/>
      <c r="I999" s="147"/>
      <c r="J999" s="146"/>
      <c r="K999" s="146"/>
      <c r="L999" s="146"/>
      <c r="M999" s="149"/>
      <c r="N999" s="119"/>
      <c r="O999" s="141">
        <f t="shared" si="703"/>
        <v>0</v>
      </c>
      <c r="P999" s="141">
        <f t="shared" si="705"/>
        <v>7</v>
      </c>
      <c r="Q999" s="141">
        <f t="shared" si="704"/>
        <v>2</v>
      </c>
      <c r="R999" s="139"/>
      <c r="S999" s="143"/>
      <c r="T999" s="139"/>
      <c r="U999" s="143"/>
      <c r="V999" s="139"/>
      <c r="W999" s="143"/>
      <c r="X999" s="139"/>
      <c r="Y999" s="141"/>
      <c r="Z999" s="119"/>
      <c r="AA999" s="144"/>
    </row>
    <row r="1000" spans="1:27" s="145" customFormat="1" ht="36" customHeight="1" x14ac:dyDescent="0.25">
      <c r="A1000" s="119"/>
      <c r="B1000" s="139"/>
      <c r="C1000" s="119"/>
      <c r="D1000" s="166"/>
      <c r="E1000" s="119"/>
      <c r="F1000" s="190"/>
      <c r="G1000" s="119"/>
      <c r="H1000" s="187"/>
      <c r="I1000" s="147"/>
      <c r="J1000" s="146"/>
      <c r="K1000" s="146"/>
      <c r="L1000" s="146"/>
      <c r="M1000" s="149"/>
      <c r="N1000" s="119"/>
      <c r="O1000" s="141">
        <f t="shared" si="703"/>
        <v>0</v>
      </c>
      <c r="P1000" s="141">
        <f t="shared" si="705"/>
        <v>7</v>
      </c>
      <c r="Q1000" s="141">
        <f t="shared" si="704"/>
        <v>2</v>
      </c>
      <c r="R1000" s="139"/>
      <c r="S1000" s="143"/>
      <c r="T1000" s="139"/>
      <c r="U1000" s="143"/>
      <c r="V1000" s="139"/>
      <c r="W1000" s="143"/>
      <c r="X1000" s="139"/>
      <c r="Y1000" s="141"/>
      <c r="Z1000" s="119"/>
      <c r="AA1000" s="144"/>
    </row>
    <row r="1001" spans="1:27" s="145" customFormat="1" ht="36" customHeight="1" x14ac:dyDescent="0.25">
      <c r="A1001" s="119"/>
      <c r="B1001" s="139"/>
      <c r="C1001" s="119"/>
      <c r="D1001" s="166"/>
      <c r="E1001" s="119"/>
      <c r="F1001" s="190"/>
      <c r="G1001" s="119"/>
      <c r="H1001" s="187"/>
      <c r="I1001" s="147"/>
      <c r="J1001" s="146"/>
      <c r="K1001" s="146"/>
      <c r="L1001" s="146"/>
      <c r="M1001" s="149"/>
      <c r="N1001" s="119"/>
      <c r="O1001" s="141">
        <f t="shared" si="703"/>
        <v>0</v>
      </c>
      <c r="P1001" s="141">
        <f t="shared" si="705"/>
        <v>7</v>
      </c>
      <c r="Q1001" s="141">
        <f t="shared" si="704"/>
        <v>2</v>
      </c>
      <c r="R1001" s="139"/>
      <c r="S1001" s="143"/>
      <c r="T1001" s="139"/>
      <c r="U1001" s="143"/>
      <c r="V1001" s="139"/>
      <c r="W1001" s="143"/>
      <c r="X1001" s="139"/>
      <c r="Y1001" s="141"/>
      <c r="Z1001" s="119"/>
      <c r="AA1001" s="144"/>
    </row>
    <row r="1002" spans="1:27" s="145" customFormat="1" ht="36" customHeight="1" x14ac:dyDescent="0.25">
      <c r="A1002" s="119"/>
      <c r="B1002" s="139"/>
      <c r="C1002" s="119"/>
      <c r="D1002" s="166"/>
      <c r="E1002" s="119"/>
      <c r="F1002" s="190"/>
      <c r="G1002" s="119"/>
      <c r="H1002" s="187"/>
      <c r="I1002" s="147"/>
      <c r="J1002" s="146"/>
      <c r="K1002" s="146"/>
      <c r="L1002" s="146"/>
      <c r="M1002" s="149"/>
      <c r="N1002" s="119"/>
      <c r="O1002" s="141">
        <f t="shared" si="703"/>
        <v>0</v>
      </c>
      <c r="P1002" s="141">
        <f t="shared" si="705"/>
        <v>7</v>
      </c>
      <c r="Q1002" s="141">
        <f t="shared" si="704"/>
        <v>2</v>
      </c>
      <c r="R1002" s="139"/>
      <c r="S1002" s="143"/>
      <c r="T1002" s="139"/>
      <c r="U1002" s="143"/>
      <c r="V1002" s="139"/>
      <c r="W1002" s="143"/>
      <c r="X1002" s="139"/>
      <c r="Y1002" s="141"/>
      <c r="Z1002" s="119"/>
      <c r="AA1002" s="144"/>
    </row>
    <row r="1003" spans="1:27" s="145" customFormat="1" ht="36" customHeight="1" x14ac:dyDescent="0.25">
      <c r="A1003" s="119"/>
      <c r="B1003" s="139"/>
      <c r="C1003" s="119"/>
      <c r="D1003" s="166"/>
      <c r="E1003" s="119"/>
      <c r="F1003" s="190"/>
      <c r="G1003" s="119"/>
      <c r="H1003" s="187"/>
      <c r="I1003" s="147"/>
      <c r="J1003" s="146"/>
      <c r="K1003" s="146"/>
      <c r="L1003" s="146"/>
      <c r="M1003" s="149"/>
      <c r="N1003" s="119"/>
      <c r="O1003" s="141">
        <f t="shared" si="703"/>
        <v>0</v>
      </c>
      <c r="P1003" s="141">
        <f t="shared" si="705"/>
        <v>7</v>
      </c>
      <c r="Q1003" s="141">
        <f t="shared" si="704"/>
        <v>2</v>
      </c>
      <c r="R1003" s="139"/>
      <c r="S1003" s="143"/>
      <c r="T1003" s="139"/>
      <c r="U1003" s="143"/>
      <c r="V1003" s="139"/>
      <c r="W1003" s="143"/>
      <c r="X1003" s="139"/>
      <c r="Y1003" s="141"/>
      <c r="Z1003" s="119"/>
      <c r="AA1003" s="144">
        <f>W1003-P1005</f>
        <v>-7</v>
      </c>
    </row>
    <row r="1004" spans="1:27" s="145" customFormat="1" ht="36" customHeight="1" x14ac:dyDescent="0.25">
      <c r="A1004" s="119"/>
      <c r="B1004" s="139"/>
      <c r="C1004" s="119"/>
      <c r="D1004" s="166"/>
      <c r="E1004" s="119"/>
      <c r="F1004" s="190"/>
      <c r="G1004" s="119"/>
      <c r="H1004" s="187"/>
      <c r="I1004" s="147"/>
      <c r="J1004" s="146"/>
      <c r="K1004" s="146"/>
      <c r="L1004" s="146"/>
      <c r="M1004" s="149"/>
      <c r="N1004" s="119"/>
      <c r="O1004" s="141">
        <f t="shared" si="703"/>
        <v>0</v>
      </c>
      <c r="P1004" s="141">
        <f t="shared" si="705"/>
        <v>7</v>
      </c>
      <c r="Q1004" s="141">
        <f t="shared" si="704"/>
        <v>2</v>
      </c>
      <c r="R1004" s="139"/>
      <c r="S1004" s="143"/>
      <c r="T1004" s="139"/>
      <c r="U1004" s="143"/>
      <c r="V1004" s="139"/>
      <c r="W1004" s="143"/>
      <c r="X1004" s="139"/>
      <c r="Y1004" s="141"/>
      <c r="Z1004" s="119"/>
      <c r="AA1004" s="144"/>
    </row>
    <row r="1005" spans="1:27" s="145" customFormat="1" ht="36" customHeight="1" x14ac:dyDescent="0.25">
      <c r="A1005" s="119"/>
      <c r="B1005" s="139"/>
      <c r="C1005" s="119"/>
      <c r="D1005" s="166"/>
      <c r="E1005" s="119"/>
      <c r="F1005" s="190"/>
      <c r="G1005" s="119"/>
      <c r="H1005" s="187"/>
      <c r="I1005" s="147"/>
      <c r="J1005" s="146"/>
      <c r="K1005" s="146"/>
      <c r="L1005" s="146"/>
      <c r="M1005" s="149"/>
      <c r="N1005" s="119"/>
      <c r="O1005" s="141">
        <f t="shared" si="703"/>
        <v>0</v>
      </c>
      <c r="P1005" s="141">
        <f t="shared" si="705"/>
        <v>7</v>
      </c>
      <c r="Q1005" s="141">
        <f t="shared" si="704"/>
        <v>2</v>
      </c>
      <c r="R1005" s="139"/>
      <c r="S1005" s="143"/>
      <c r="T1005" s="139"/>
      <c r="U1005" s="143"/>
      <c r="V1005" s="139"/>
      <c r="W1005" s="143"/>
      <c r="X1005" s="139"/>
      <c r="Y1005" s="141"/>
      <c r="Z1005" s="119"/>
      <c r="AA1005" s="144">
        <f>W1005-P1006</f>
        <v>-7</v>
      </c>
    </row>
    <row r="1006" spans="1:27" s="145" customFormat="1" ht="36" customHeight="1" x14ac:dyDescent="0.25">
      <c r="A1006" s="119"/>
      <c r="B1006" s="139"/>
      <c r="C1006" s="119"/>
      <c r="D1006" s="166"/>
      <c r="E1006" s="119"/>
      <c r="F1006" s="190"/>
      <c r="G1006" s="119"/>
      <c r="H1006" s="187"/>
      <c r="I1006" s="147"/>
      <c r="J1006" s="146"/>
      <c r="K1006" s="119"/>
      <c r="L1006" s="146"/>
      <c r="M1006" s="157"/>
      <c r="N1006" s="119"/>
      <c r="O1006" s="141">
        <f t="shared" si="703"/>
        <v>0</v>
      </c>
      <c r="P1006" s="141">
        <f t="shared" si="705"/>
        <v>7</v>
      </c>
      <c r="Q1006" s="141">
        <f t="shared" si="704"/>
        <v>2</v>
      </c>
      <c r="R1006" s="139"/>
      <c r="S1006" s="143"/>
      <c r="T1006" s="158"/>
      <c r="U1006" s="143"/>
      <c r="V1006" s="158"/>
      <c r="W1006" s="143"/>
      <c r="X1006" s="139"/>
      <c r="Y1006" s="141"/>
      <c r="Z1006" s="119"/>
      <c r="AA1006" s="144">
        <f>W1006-P1013</f>
        <v>-7</v>
      </c>
    </row>
    <row r="1007" spans="1:27" s="145" customFormat="1" ht="36" customHeight="1" x14ac:dyDescent="0.25">
      <c r="A1007" s="119"/>
      <c r="B1007" s="139"/>
      <c r="C1007" s="119"/>
      <c r="D1007" s="166"/>
      <c r="E1007" s="119"/>
      <c r="F1007" s="190"/>
      <c r="G1007" s="119"/>
      <c r="H1007" s="187"/>
      <c r="I1007" s="147"/>
      <c r="J1007" s="146"/>
      <c r="K1007" s="119"/>
      <c r="L1007" s="146"/>
      <c r="M1007" s="157"/>
      <c r="N1007" s="119"/>
      <c r="O1007" s="141">
        <f t="shared" si="703"/>
        <v>0</v>
      </c>
      <c r="P1007" s="141">
        <f t="shared" si="705"/>
        <v>7</v>
      </c>
      <c r="Q1007" s="141">
        <f t="shared" si="704"/>
        <v>2</v>
      </c>
      <c r="R1007" s="139"/>
      <c r="S1007" s="143"/>
      <c r="T1007" s="158"/>
      <c r="U1007" s="143"/>
      <c r="V1007" s="158"/>
      <c r="W1007" s="143"/>
      <c r="X1007" s="139"/>
      <c r="Y1007" s="141"/>
      <c r="Z1007" s="119"/>
      <c r="AA1007" s="144">
        <f>W1007-P1014</f>
        <v>-7</v>
      </c>
    </row>
    <row r="1008" spans="1:27" s="145" customFormat="1" ht="36" customHeight="1" x14ac:dyDescent="0.25">
      <c r="A1008" s="119"/>
      <c r="B1008" s="139"/>
      <c r="C1008" s="119"/>
      <c r="D1008" s="166"/>
      <c r="E1008" s="119"/>
      <c r="F1008" s="190"/>
      <c r="G1008" s="119"/>
      <c r="H1008" s="187"/>
      <c r="I1008" s="147"/>
      <c r="J1008" s="146"/>
      <c r="K1008" s="146"/>
      <c r="L1008" s="146"/>
      <c r="M1008" s="149"/>
      <c r="N1008" s="119"/>
      <c r="O1008" s="141">
        <f t="shared" si="703"/>
        <v>0</v>
      </c>
      <c r="P1008" s="141">
        <f t="shared" si="705"/>
        <v>7</v>
      </c>
      <c r="Q1008" s="141">
        <f t="shared" si="704"/>
        <v>2</v>
      </c>
      <c r="R1008" s="139"/>
      <c r="S1008" s="143"/>
      <c r="T1008" s="158"/>
      <c r="U1008" s="143"/>
      <c r="V1008" s="139"/>
      <c r="W1008" s="143"/>
      <c r="X1008" s="139"/>
      <c r="Y1008" s="141"/>
      <c r="Z1008" s="119"/>
      <c r="AA1008" s="144"/>
    </row>
    <row r="1009" spans="1:27" s="145" customFormat="1" ht="36" customHeight="1" x14ac:dyDescent="0.25">
      <c r="A1009" s="119"/>
      <c r="B1009" s="139"/>
      <c r="C1009" s="119"/>
      <c r="D1009" s="166"/>
      <c r="E1009" s="119"/>
      <c r="F1009" s="190"/>
      <c r="G1009" s="119"/>
      <c r="H1009" s="187"/>
      <c r="I1009" s="147"/>
      <c r="J1009" s="146"/>
      <c r="K1009" s="146"/>
      <c r="L1009" s="146"/>
      <c r="M1009" s="149"/>
      <c r="N1009" s="119"/>
      <c r="O1009" s="141">
        <f t="shared" si="703"/>
        <v>0</v>
      </c>
      <c r="P1009" s="141">
        <f t="shared" si="705"/>
        <v>7</v>
      </c>
      <c r="Q1009" s="141">
        <f t="shared" si="704"/>
        <v>2</v>
      </c>
      <c r="R1009" s="139"/>
      <c r="S1009" s="143"/>
      <c r="T1009" s="158"/>
      <c r="U1009" s="143"/>
      <c r="V1009" s="139"/>
      <c r="W1009" s="143"/>
      <c r="X1009" s="139"/>
      <c r="Y1009" s="141"/>
      <c r="Z1009" s="119"/>
      <c r="AA1009" s="144"/>
    </row>
    <row r="1010" spans="1:27" s="145" customFormat="1" ht="36" customHeight="1" x14ac:dyDescent="0.25">
      <c r="A1010" s="119"/>
      <c r="B1010" s="139"/>
      <c r="C1010" s="119"/>
      <c r="D1010" s="166"/>
      <c r="E1010" s="119"/>
      <c r="F1010" s="190"/>
      <c r="G1010" s="119"/>
      <c r="H1010" s="187"/>
      <c r="I1010" s="147"/>
      <c r="J1010" s="146"/>
      <c r="K1010" s="146"/>
      <c r="L1010" s="146"/>
      <c r="M1010" s="149"/>
      <c r="N1010" s="119"/>
      <c r="O1010" s="141">
        <f t="shared" si="703"/>
        <v>0</v>
      </c>
      <c r="P1010" s="141">
        <f t="shared" si="705"/>
        <v>7</v>
      </c>
      <c r="Q1010" s="141">
        <f t="shared" si="704"/>
        <v>2</v>
      </c>
      <c r="R1010" s="139"/>
      <c r="S1010" s="143"/>
      <c r="T1010" s="158"/>
      <c r="U1010" s="143"/>
      <c r="V1010" s="139"/>
      <c r="W1010" s="143"/>
      <c r="X1010" s="139"/>
      <c r="Y1010" s="141"/>
      <c r="Z1010" s="119"/>
      <c r="AA1010" s="144"/>
    </row>
    <row r="1011" spans="1:27" s="145" customFormat="1" ht="36" customHeight="1" x14ac:dyDescent="0.25">
      <c r="A1011" s="119"/>
      <c r="B1011" s="139"/>
      <c r="C1011" s="119"/>
      <c r="D1011" s="166"/>
      <c r="E1011" s="119"/>
      <c r="F1011" s="190"/>
      <c r="G1011" s="119"/>
      <c r="H1011" s="187"/>
      <c r="I1011" s="147"/>
      <c r="J1011" s="146"/>
      <c r="K1011" s="146"/>
      <c r="L1011" s="146"/>
      <c r="M1011" s="149"/>
      <c r="N1011" s="119"/>
      <c r="O1011" s="141">
        <f t="shared" si="703"/>
        <v>0</v>
      </c>
      <c r="P1011" s="141">
        <f t="shared" si="705"/>
        <v>7</v>
      </c>
      <c r="Q1011" s="141">
        <f t="shared" si="704"/>
        <v>2</v>
      </c>
      <c r="R1011" s="139"/>
      <c r="S1011" s="143"/>
      <c r="T1011" s="158"/>
      <c r="U1011" s="143"/>
      <c r="V1011" s="139"/>
      <c r="W1011" s="143"/>
      <c r="X1011" s="139"/>
      <c r="Y1011" s="141"/>
      <c r="Z1011" s="119"/>
      <c r="AA1011" s="144">
        <f>W1011-P1015</f>
        <v>-7</v>
      </c>
    </row>
    <row r="1012" spans="1:27" s="145" customFormat="1" ht="36" customHeight="1" x14ac:dyDescent="0.25">
      <c r="A1012" s="119"/>
      <c r="B1012" s="139"/>
      <c r="C1012" s="119"/>
      <c r="D1012" s="166"/>
      <c r="E1012" s="119"/>
      <c r="F1012" s="190"/>
      <c r="G1012" s="119"/>
      <c r="H1012" s="187"/>
      <c r="I1012" s="147"/>
      <c r="J1012" s="146"/>
      <c r="K1012" s="146"/>
      <c r="L1012" s="146"/>
      <c r="M1012" s="149"/>
      <c r="N1012" s="119"/>
      <c r="O1012" s="141">
        <f t="shared" si="703"/>
        <v>0</v>
      </c>
      <c r="P1012" s="141">
        <f t="shared" si="705"/>
        <v>7</v>
      </c>
      <c r="Q1012" s="141">
        <f t="shared" si="704"/>
        <v>2</v>
      </c>
      <c r="R1012" s="139"/>
      <c r="S1012" s="143"/>
      <c r="T1012" s="158"/>
      <c r="U1012" s="143"/>
      <c r="V1012" s="139"/>
      <c r="W1012" s="143"/>
      <c r="X1012" s="139"/>
      <c r="Y1012" s="141"/>
      <c r="Z1012" s="119"/>
      <c r="AA1012" s="144">
        <f>W1012-P1016</f>
        <v>-7</v>
      </c>
    </row>
    <row r="1013" spans="1:27" s="145" customFormat="1" ht="36" customHeight="1" x14ac:dyDescent="0.25">
      <c r="A1013" s="119"/>
      <c r="B1013" s="139"/>
      <c r="C1013" s="119"/>
      <c r="D1013" s="166"/>
      <c r="E1013" s="119"/>
      <c r="F1013" s="190"/>
      <c r="G1013" s="119"/>
      <c r="H1013" s="187"/>
      <c r="I1013" s="147"/>
      <c r="J1013" s="146"/>
      <c r="K1013" s="146"/>
      <c r="L1013" s="146"/>
      <c r="M1013" s="149"/>
      <c r="N1013" s="119"/>
      <c r="O1013" s="141">
        <f t="shared" si="703"/>
        <v>0</v>
      </c>
      <c r="P1013" s="141">
        <f t="shared" si="705"/>
        <v>7</v>
      </c>
      <c r="Q1013" s="141">
        <f t="shared" si="704"/>
        <v>2</v>
      </c>
      <c r="R1013" s="139"/>
      <c r="S1013" s="143"/>
      <c r="T1013" s="139"/>
      <c r="U1013" s="143"/>
      <c r="V1013" s="139"/>
      <c r="W1013" s="143"/>
      <c r="X1013" s="139"/>
      <c r="Y1013" s="141"/>
      <c r="Z1013" s="119"/>
      <c r="AA1013" s="144">
        <f>W1013-P1015</f>
        <v>-7</v>
      </c>
    </row>
    <row r="1014" spans="1:27" s="145" customFormat="1" ht="36" customHeight="1" x14ac:dyDescent="0.25">
      <c r="A1014" s="119"/>
      <c r="B1014" s="139"/>
      <c r="C1014" s="119"/>
      <c r="D1014" s="166"/>
      <c r="E1014" s="119"/>
      <c r="F1014" s="190"/>
      <c r="G1014" s="119"/>
      <c r="H1014" s="187"/>
      <c r="I1014" s="147"/>
      <c r="J1014" s="146"/>
      <c r="K1014" s="146"/>
      <c r="L1014" s="146"/>
      <c r="M1014" s="119"/>
      <c r="N1014" s="119"/>
      <c r="O1014" s="141">
        <f t="shared" si="703"/>
        <v>0</v>
      </c>
      <c r="P1014" s="141">
        <f t="shared" si="705"/>
        <v>7</v>
      </c>
      <c r="Q1014" s="141">
        <f t="shared" si="704"/>
        <v>2</v>
      </c>
      <c r="R1014" s="139"/>
      <c r="S1014" s="143"/>
      <c r="T1014" s="139"/>
      <c r="U1014" s="143"/>
      <c r="V1014" s="139"/>
      <c r="W1014" s="143"/>
      <c r="X1014" s="139"/>
      <c r="Y1014" s="141"/>
      <c r="Z1014" s="119"/>
      <c r="AA1014" s="144">
        <f>W1014-P1016</f>
        <v>-7</v>
      </c>
    </row>
    <row r="1015" spans="1:27" s="145" customFormat="1" ht="35.25" customHeight="1" x14ac:dyDescent="0.25">
      <c r="A1015" s="119"/>
      <c r="B1015" s="139"/>
      <c r="C1015" s="119"/>
      <c r="D1015" s="166"/>
      <c r="E1015" s="119"/>
      <c r="F1015" s="190"/>
      <c r="G1015" s="119"/>
      <c r="H1015" s="187"/>
      <c r="I1015" s="147"/>
      <c r="J1015" s="146"/>
      <c r="K1015" s="146"/>
      <c r="L1015" s="146"/>
      <c r="M1015" s="149"/>
      <c r="N1015" s="119"/>
      <c r="O1015" s="141">
        <f t="shared" si="703"/>
        <v>0</v>
      </c>
      <c r="P1015" s="141">
        <f t="shared" si="705"/>
        <v>7</v>
      </c>
      <c r="Q1015" s="141">
        <f t="shared" si="704"/>
        <v>2</v>
      </c>
      <c r="R1015" s="139"/>
      <c r="S1015" s="143"/>
      <c r="T1015" s="139"/>
      <c r="U1015" s="143"/>
      <c r="V1015" s="139"/>
      <c r="W1015" s="143"/>
      <c r="X1015" s="139"/>
      <c r="Y1015" s="141"/>
      <c r="Z1015" s="119"/>
      <c r="AA1015" s="144">
        <f>W1015-P1016</f>
        <v>-7</v>
      </c>
    </row>
    <row r="1016" spans="1:27" s="145" customFormat="1" ht="35.25" customHeight="1" x14ac:dyDescent="0.25">
      <c r="A1016" s="119"/>
      <c r="B1016" s="139"/>
      <c r="C1016" s="119"/>
      <c r="D1016" s="166"/>
      <c r="E1016" s="119"/>
      <c r="F1016" s="190"/>
      <c r="G1016" s="119"/>
      <c r="H1016" s="187"/>
      <c r="I1016" s="147"/>
      <c r="J1016" s="146"/>
      <c r="K1016" s="146"/>
      <c r="L1016" s="146"/>
      <c r="M1016" s="149"/>
      <c r="N1016" s="119"/>
      <c r="O1016" s="141">
        <f t="shared" si="703"/>
        <v>0</v>
      </c>
      <c r="P1016" s="141">
        <f t="shared" si="705"/>
        <v>7</v>
      </c>
      <c r="Q1016" s="141">
        <f t="shared" si="704"/>
        <v>2</v>
      </c>
      <c r="R1016" s="139"/>
      <c r="S1016" s="143"/>
      <c r="T1016" s="139"/>
      <c r="U1016" s="143"/>
      <c r="V1016" s="139"/>
      <c r="W1016" s="143"/>
      <c r="X1016" s="139"/>
      <c r="Y1016" s="141"/>
      <c r="Z1016" s="119"/>
      <c r="AA1016" s="144">
        <f>W1016-P1017</f>
        <v>-7</v>
      </c>
    </row>
    <row r="1017" spans="1:27" s="145" customFormat="1" ht="35.25" customHeight="1" x14ac:dyDescent="0.25">
      <c r="A1017" s="119"/>
      <c r="B1017" s="139"/>
      <c r="C1017" s="119"/>
      <c r="D1017" s="166"/>
      <c r="E1017" s="119"/>
      <c r="F1017" s="190"/>
      <c r="G1017" s="119"/>
      <c r="H1017" s="187"/>
      <c r="I1017" s="147"/>
      <c r="J1017" s="146"/>
      <c r="K1017" s="146"/>
      <c r="L1017" s="146"/>
      <c r="M1017" s="149"/>
      <c r="N1017" s="119"/>
      <c r="O1017" s="141">
        <f t="shared" si="703"/>
        <v>0</v>
      </c>
      <c r="P1017" s="141">
        <f t="shared" si="705"/>
        <v>7</v>
      </c>
      <c r="Q1017" s="141">
        <f t="shared" si="704"/>
        <v>2</v>
      </c>
      <c r="R1017" s="139"/>
      <c r="S1017" s="143"/>
      <c r="T1017" s="139"/>
      <c r="U1017" s="143"/>
      <c r="V1017" s="139"/>
      <c r="W1017" s="143"/>
      <c r="X1017" s="139"/>
      <c r="Y1017" s="141"/>
      <c r="Z1017" s="119"/>
      <c r="AA1017" s="144">
        <f>W1017-P1021</f>
        <v>-7</v>
      </c>
    </row>
    <row r="1018" spans="1:27" s="145" customFormat="1" ht="36" customHeight="1" x14ac:dyDescent="0.25">
      <c r="A1018" s="119"/>
      <c r="B1018" s="139"/>
      <c r="C1018" s="119"/>
      <c r="D1018" s="166"/>
      <c r="E1018" s="119"/>
      <c r="F1018" s="190"/>
      <c r="G1018" s="119"/>
      <c r="H1018" s="187"/>
      <c r="I1018" s="147"/>
      <c r="J1018" s="119"/>
      <c r="K1018" s="146"/>
      <c r="L1018" s="119"/>
      <c r="M1018" s="149"/>
      <c r="N1018" s="119"/>
      <c r="O1018" s="141">
        <f t="shared" si="703"/>
        <v>0</v>
      </c>
      <c r="P1018" s="141">
        <f t="shared" si="705"/>
        <v>7</v>
      </c>
      <c r="Q1018" s="141">
        <f t="shared" si="704"/>
        <v>2</v>
      </c>
      <c r="R1018" s="139"/>
      <c r="S1018" s="143"/>
      <c r="T1018" s="139"/>
      <c r="U1018" s="143"/>
      <c r="V1018" s="139"/>
      <c r="W1018" s="143"/>
      <c r="X1018" s="139"/>
      <c r="Y1018" s="141"/>
      <c r="Z1018" s="119"/>
      <c r="AA1018" s="144">
        <f>W1018-P1030</f>
        <v>-7</v>
      </c>
    </row>
    <row r="1019" spans="1:27" s="145" customFormat="1" ht="36" customHeight="1" x14ac:dyDescent="0.25">
      <c r="A1019" s="119"/>
      <c r="B1019" s="139"/>
      <c r="C1019" s="119"/>
      <c r="D1019" s="166"/>
      <c r="E1019" s="119"/>
      <c r="F1019" s="190"/>
      <c r="G1019" s="119"/>
      <c r="H1019" s="187"/>
      <c r="I1019" s="147"/>
      <c r="J1019" s="119"/>
      <c r="K1019" s="146"/>
      <c r="L1019" s="119"/>
      <c r="M1019" s="149"/>
      <c r="N1019" s="119"/>
      <c r="O1019" s="141">
        <f t="shared" si="703"/>
        <v>0</v>
      </c>
      <c r="P1019" s="141">
        <f t="shared" si="705"/>
        <v>7</v>
      </c>
      <c r="Q1019" s="141">
        <f t="shared" si="704"/>
        <v>2</v>
      </c>
      <c r="R1019" s="139"/>
      <c r="S1019" s="143"/>
      <c r="T1019" s="139"/>
      <c r="U1019" s="143"/>
      <c r="V1019" s="139"/>
      <c r="W1019" s="143"/>
      <c r="X1019" s="139"/>
      <c r="Y1019" s="141"/>
      <c r="Z1019" s="119"/>
      <c r="AA1019" s="144">
        <f>W1019-P1031</f>
        <v>-7</v>
      </c>
    </row>
    <row r="1020" spans="1:27" s="145" customFormat="1" ht="36" customHeight="1" x14ac:dyDescent="0.25">
      <c r="A1020" s="119"/>
      <c r="B1020" s="139"/>
      <c r="C1020" s="119"/>
      <c r="D1020" s="166"/>
      <c r="E1020" s="119"/>
      <c r="F1020" s="190"/>
      <c r="G1020" s="119"/>
      <c r="H1020" s="187"/>
      <c r="I1020" s="147"/>
      <c r="J1020" s="119"/>
      <c r="K1020" s="146"/>
      <c r="L1020" s="119"/>
      <c r="M1020" s="149"/>
      <c r="N1020" s="119"/>
      <c r="O1020" s="141">
        <f t="shared" si="703"/>
        <v>0</v>
      </c>
      <c r="P1020" s="141">
        <f t="shared" si="705"/>
        <v>7</v>
      </c>
      <c r="Q1020" s="141">
        <f t="shared" si="704"/>
        <v>2</v>
      </c>
      <c r="R1020" s="139"/>
      <c r="S1020" s="143"/>
      <c r="T1020" s="139"/>
      <c r="U1020" s="143"/>
      <c r="V1020" s="139"/>
      <c r="W1020" s="143"/>
      <c r="X1020" s="139"/>
      <c r="Y1020" s="141"/>
      <c r="Z1020" s="119"/>
      <c r="AA1020" s="144">
        <f>W1020-P1030</f>
        <v>-7</v>
      </c>
    </row>
    <row r="1021" spans="1:27" s="145" customFormat="1" ht="36" customHeight="1" x14ac:dyDescent="0.25">
      <c r="A1021" s="119"/>
      <c r="B1021" s="139"/>
      <c r="C1021" s="119"/>
      <c r="D1021" s="166"/>
      <c r="E1021" s="119"/>
      <c r="F1021" s="190"/>
      <c r="G1021" s="119"/>
      <c r="H1021" s="187"/>
      <c r="I1021" s="147"/>
      <c r="J1021" s="119"/>
      <c r="K1021" s="146"/>
      <c r="L1021" s="119"/>
      <c r="M1021" s="149"/>
      <c r="N1021" s="119"/>
      <c r="O1021" s="141">
        <f t="shared" si="703"/>
        <v>0</v>
      </c>
      <c r="P1021" s="141">
        <f t="shared" si="705"/>
        <v>7</v>
      </c>
      <c r="Q1021" s="141">
        <f t="shared" si="704"/>
        <v>2</v>
      </c>
      <c r="R1021" s="139"/>
      <c r="S1021" s="143"/>
      <c r="T1021" s="139"/>
      <c r="U1021" s="143"/>
      <c r="V1021" s="139"/>
      <c r="W1021" s="143"/>
      <c r="X1021" s="139"/>
      <c r="Y1021" s="141"/>
      <c r="Z1021" s="119"/>
      <c r="AA1021" s="144">
        <f>W1021-P1031</f>
        <v>-7</v>
      </c>
    </row>
    <row r="1022" spans="1:27" s="145" customFormat="1" ht="36" customHeight="1" x14ac:dyDescent="0.25">
      <c r="A1022" s="119"/>
      <c r="B1022" s="139"/>
      <c r="C1022" s="119"/>
      <c r="D1022" s="166"/>
      <c r="E1022" s="119"/>
      <c r="F1022" s="190"/>
      <c r="G1022" s="119"/>
      <c r="H1022" s="187"/>
      <c r="I1022" s="147"/>
      <c r="J1022" s="119"/>
      <c r="K1022" s="146"/>
      <c r="L1022" s="119"/>
      <c r="M1022" s="149"/>
      <c r="N1022" s="119"/>
      <c r="O1022" s="141">
        <f t="shared" si="703"/>
        <v>0</v>
      </c>
      <c r="P1022" s="141">
        <f t="shared" si="705"/>
        <v>7</v>
      </c>
      <c r="Q1022" s="141">
        <f t="shared" si="704"/>
        <v>2</v>
      </c>
      <c r="R1022" s="139"/>
      <c r="S1022" s="143"/>
      <c r="T1022" s="139"/>
      <c r="U1022" s="143"/>
      <c r="V1022" s="139"/>
      <c r="W1022" s="143"/>
      <c r="X1022" s="139"/>
      <c r="Y1022" s="141"/>
      <c r="Z1022" s="119"/>
      <c r="AA1022" s="144">
        <f>W1022-P1032</f>
        <v>-7</v>
      </c>
    </row>
    <row r="1023" spans="1:27" s="145" customFormat="1" ht="36" customHeight="1" x14ac:dyDescent="0.25">
      <c r="A1023" s="119"/>
      <c r="B1023" s="139"/>
      <c r="C1023" s="119"/>
      <c r="D1023" s="166"/>
      <c r="E1023" s="119"/>
      <c r="F1023" s="190"/>
      <c r="G1023" s="119"/>
      <c r="H1023" s="187"/>
      <c r="I1023" s="147"/>
      <c r="J1023" s="146"/>
      <c r="K1023" s="146"/>
      <c r="L1023" s="146"/>
      <c r="M1023" s="149"/>
      <c r="N1023" s="119"/>
      <c r="O1023" s="141">
        <f t="shared" si="703"/>
        <v>0</v>
      </c>
      <c r="P1023" s="141">
        <f t="shared" si="705"/>
        <v>7</v>
      </c>
      <c r="Q1023" s="141">
        <f t="shared" si="704"/>
        <v>2</v>
      </c>
      <c r="R1023" s="139"/>
      <c r="S1023" s="143"/>
      <c r="T1023" s="139"/>
      <c r="U1023" s="143"/>
      <c r="V1023" s="139"/>
      <c r="W1023" s="143"/>
      <c r="X1023" s="139"/>
      <c r="Y1023" s="141"/>
      <c r="Z1023" s="119"/>
      <c r="AA1023" s="144">
        <f>W1023-P1032</f>
        <v>-7</v>
      </c>
    </row>
    <row r="1024" spans="1:27" s="145" customFormat="1" ht="36" customHeight="1" x14ac:dyDescent="0.25">
      <c r="A1024" s="119"/>
      <c r="B1024" s="139"/>
      <c r="C1024" s="119"/>
      <c r="D1024" s="166"/>
      <c r="E1024" s="119"/>
      <c r="F1024" s="190"/>
      <c r="G1024" s="119"/>
      <c r="H1024" s="187"/>
      <c r="I1024" s="147"/>
      <c r="J1024" s="146"/>
      <c r="K1024" s="146"/>
      <c r="L1024" s="146"/>
      <c r="M1024" s="119"/>
      <c r="N1024" s="119"/>
      <c r="O1024" s="141">
        <f t="shared" si="703"/>
        <v>0</v>
      </c>
      <c r="P1024" s="141">
        <f t="shared" si="705"/>
        <v>7</v>
      </c>
      <c r="Q1024" s="141">
        <f t="shared" si="704"/>
        <v>2</v>
      </c>
      <c r="R1024" s="139"/>
      <c r="S1024" s="143"/>
      <c r="T1024" s="139"/>
      <c r="U1024" s="143"/>
      <c r="V1024" s="139"/>
      <c r="W1024" s="143"/>
      <c r="X1024" s="139"/>
      <c r="Y1024" s="141"/>
      <c r="Z1024" s="119"/>
      <c r="AA1024" s="144">
        <f>W1024-P1033</f>
        <v>-7</v>
      </c>
    </row>
    <row r="1025" spans="1:27" s="145" customFormat="1" ht="36" customHeight="1" x14ac:dyDescent="0.25">
      <c r="A1025" s="119"/>
      <c r="B1025" s="139"/>
      <c r="C1025" s="119"/>
      <c r="D1025" s="166"/>
      <c r="E1025" s="119"/>
      <c r="F1025" s="190"/>
      <c r="G1025" s="119"/>
      <c r="H1025" s="187"/>
      <c r="I1025" s="147"/>
      <c r="J1025" s="119"/>
      <c r="K1025" s="146"/>
      <c r="L1025" s="119"/>
      <c r="M1025" s="119"/>
      <c r="N1025" s="119"/>
      <c r="O1025" s="141">
        <f t="shared" si="703"/>
        <v>0</v>
      </c>
      <c r="P1025" s="141">
        <f t="shared" si="705"/>
        <v>7</v>
      </c>
      <c r="Q1025" s="141">
        <f t="shared" si="704"/>
        <v>2</v>
      </c>
      <c r="R1025" s="139"/>
      <c r="S1025" s="143"/>
      <c r="T1025" s="139"/>
      <c r="U1025" s="143"/>
      <c r="V1025" s="139"/>
      <c r="W1025" s="143"/>
      <c r="X1025" s="139"/>
      <c r="Y1025" s="141"/>
      <c r="Z1025" s="119"/>
      <c r="AA1025" s="144">
        <f>W1025-P1034</f>
        <v>-7</v>
      </c>
    </row>
    <row r="1026" spans="1:27" s="145" customFormat="1" ht="36" customHeight="1" x14ac:dyDescent="0.25">
      <c r="A1026" s="119"/>
      <c r="B1026" s="139"/>
      <c r="C1026" s="119"/>
      <c r="D1026" s="166"/>
      <c r="E1026" s="119"/>
      <c r="F1026" s="190"/>
      <c r="G1026" s="119"/>
      <c r="H1026" s="187"/>
      <c r="I1026" s="159"/>
      <c r="J1026" s="146"/>
      <c r="K1026" s="146"/>
      <c r="L1026" s="146"/>
      <c r="M1026" s="119"/>
      <c r="N1026" s="119"/>
      <c r="O1026" s="141">
        <f t="shared" si="703"/>
        <v>0</v>
      </c>
      <c r="P1026" s="141">
        <f t="shared" si="705"/>
        <v>7</v>
      </c>
      <c r="Q1026" s="141">
        <f t="shared" si="704"/>
        <v>2</v>
      </c>
      <c r="R1026" s="139"/>
      <c r="S1026" s="143"/>
      <c r="T1026" s="139"/>
      <c r="U1026" s="143"/>
      <c r="V1026" s="139"/>
      <c r="W1026" s="143"/>
      <c r="X1026" s="139"/>
      <c r="Y1026" s="141"/>
      <c r="Z1026" s="119"/>
      <c r="AA1026" s="144">
        <f>W1026-P1029</f>
        <v>-7</v>
      </c>
    </row>
    <row r="1027" spans="1:27" s="145" customFormat="1" ht="36" customHeight="1" x14ac:dyDescent="0.25">
      <c r="A1027" s="119"/>
      <c r="B1027" s="139"/>
      <c r="C1027" s="119"/>
      <c r="D1027" s="166"/>
      <c r="E1027" s="119"/>
      <c r="F1027" s="190"/>
      <c r="G1027" s="119"/>
      <c r="H1027" s="187"/>
      <c r="I1027" s="147"/>
      <c r="J1027" s="146"/>
      <c r="K1027" s="146"/>
      <c r="L1027" s="146"/>
      <c r="M1027" s="119"/>
      <c r="N1027" s="119"/>
      <c r="O1027" s="141">
        <f t="shared" si="703"/>
        <v>0</v>
      </c>
      <c r="P1027" s="141">
        <f t="shared" si="705"/>
        <v>7</v>
      </c>
      <c r="Q1027" s="141">
        <f t="shared" si="704"/>
        <v>2</v>
      </c>
      <c r="R1027" s="139"/>
      <c r="S1027" s="143"/>
      <c r="T1027" s="139"/>
      <c r="U1027" s="143"/>
      <c r="V1027" s="139"/>
      <c r="W1027" s="143"/>
      <c r="X1027" s="139"/>
      <c r="Y1027" s="141"/>
      <c r="Z1027" s="119"/>
      <c r="AA1027" s="144">
        <f>W1027-P1030</f>
        <v>-7</v>
      </c>
    </row>
    <row r="1028" spans="1:27" s="145" customFormat="1" ht="36" customHeight="1" x14ac:dyDescent="0.25">
      <c r="A1028" s="119"/>
      <c r="B1028" s="139"/>
      <c r="C1028" s="119"/>
      <c r="D1028" s="166"/>
      <c r="E1028" s="119"/>
      <c r="F1028" s="190"/>
      <c r="G1028" s="119"/>
      <c r="H1028" s="187"/>
      <c r="I1028" s="147"/>
      <c r="J1028" s="146"/>
      <c r="K1028" s="146"/>
      <c r="L1028" s="146"/>
      <c r="M1028" s="119"/>
      <c r="N1028" s="119"/>
      <c r="O1028" s="141">
        <f t="shared" si="703"/>
        <v>0</v>
      </c>
      <c r="P1028" s="141">
        <f t="shared" si="705"/>
        <v>7</v>
      </c>
      <c r="Q1028" s="141">
        <f t="shared" si="704"/>
        <v>2</v>
      </c>
      <c r="R1028" s="139"/>
      <c r="S1028" s="143"/>
      <c r="T1028" s="139"/>
      <c r="U1028" s="143"/>
      <c r="V1028" s="139"/>
      <c r="W1028" s="143"/>
      <c r="X1028" s="139"/>
      <c r="Y1028" s="141"/>
      <c r="Z1028" s="119"/>
      <c r="AA1028" s="144">
        <f>W1028-P1031</f>
        <v>-7</v>
      </c>
    </row>
    <row r="1029" spans="1:27" s="145" customFormat="1" ht="36" customHeight="1" x14ac:dyDescent="0.25">
      <c r="A1029" s="119"/>
      <c r="B1029" s="139"/>
      <c r="C1029" s="119"/>
      <c r="D1029" s="166"/>
      <c r="E1029" s="119"/>
      <c r="F1029" s="190"/>
      <c r="G1029" s="119"/>
      <c r="H1029" s="187"/>
      <c r="I1029" s="159"/>
      <c r="J1029" s="146"/>
      <c r="K1029" s="146"/>
      <c r="L1029" s="146"/>
      <c r="M1029" s="119"/>
      <c r="N1029" s="119"/>
      <c r="O1029" s="141">
        <f t="shared" si="703"/>
        <v>0</v>
      </c>
      <c r="P1029" s="141">
        <f t="shared" si="705"/>
        <v>7</v>
      </c>
      <c r="Q1029" s="141">
        <f t="shared" si="704"/>
        <v>2</v>
      </c>
      <c r="R1029" s="139"/>
      <c r="S1029" s="143"/>
      <c r="T1029" s="139"/>
      <c r="U1029" s="143"/>
      <c r="V1029" s="139"/>
      <c r="W1029" s="143"/>
      <c r="X1029" s="139"/>
      <c r="Y1029" s="141"/>
      <c r="Z1029" s="119"/>
      <c r="AA1029" s="144">
        <f>W1029-P1032</f>
        <v>-7</v>
      </c>
    </row>
    <row r="1030" spans="1:27" s="145" customFormat="1" ht="36" customHeight="1" x14ac:dyDescent="0.25">
      <c r="A1030" s="119"/>
      <c r="B1030" s="139"/>
      <c r="C1030" s="119"/>
      <c r="D1030" s="166"/>
      <c r="E1030" s="119"/>
      <c r="F1030" s="190"/>
      <c r="G1030" s="119"/>
      <c r="H1030" s="187"/>
      <c r="I1030" s="159"/>
      <c r="J1030" s="146"/>
      <c r="K1030" s="146"/>
      <c r="L1030" s="146"/>
      <c r="M1030" s="119"/>
      <c r="N1030" s="119"/>
      <c r="O1030" s="141">
        <f t="shared" si="703"/>
        <v>0</v>
      </c>
      <c r="P1030" s="141">
        <f t="shared" si="705"/>
        <v>7</v>
      </c>
      <c r="Q1030" s="141">
        <f t="shared" si="704"/>
        <v>2</v>
      </c>
      <c r="R1030" s="139"/>
      <c r="S1030" s="143"/>
      <c r="T1030" s="139"/>
      <c r="U1030" s="143"/>
      <c r="V1030" s="139"/>
      <c r="W1030" s="143"/>
      <c r="X1030" s="139"/>
      <c r="Y1030" s="141"/>
      <c r="Z1030" s="119"/>
      <c r="AA1030" s="144">
        <f>W1030-P1034</f>
        <v>-7</v>
      </c>
    </row>
    <row r="1031" spans="1:27" s="145" customFormat="1" ht="36" customHeight="1" x14ac:dyDescent="0.25">
      <c r="A1031" s="119"/>
      <c r="B1031" s="139"/>
      <c r="C1031" s="119"/>
      <c r="D1031" s="166"/>
      <c r="E1031" s="119"/>
      <c r="F1031" s="190"/>
      <c r="G1031" s="119"/>
      <c r="H1031" s="187"/>
      <c r="I1031" s="147"/>
      <c r="J1031" s="146"/>
      <c r="K1031" s="146"/>
      <c r="L1031" s="146"/>
      <c r="M1031" s="119"/>
      <c r="N1031" s="119"/>
      <c r="O1031" s="141">
        <f t="shared" si="703"/>
        <v>0</v>
      </c>
      <c r="P1031" s="141">
        <f t="shared" si="705"/>
        <v>7</v>
      </c>
      <c r="Q1031" s="141">
        <f t="shared" si="704"/>
        <v>2</v>
      </c>
      <c r="R1031" s="139"/>
      <c r="S1031" s="143"/>
      <c r="T1031" s="139"/>
      <c r="U1031" s="143"/>
      <c r="V1031" s="139"/>
      <c r="W1031" s="143"/>
      <c r="X1031" s="139"/>
      <c r="Y1031" s="141"/>
      <c r="Z1031" s="119"/>
      <c r="AA1031" s="144">
        <f>W1031-P1032</f>
        <v>-7</v>
      </c>
    </row>
    <row r="1032" spans="1:27" s="145" customFormat="1" ht="36" customHeight="1" x14ac:dyDescent="0.25">
      <c r="A1032" s="119"/>
      <c r="B1032" s="139"/>
      <c r="C1032" s="119"/>
      <c r="D1032" s="166"/>
      <c r="E1032" s="119"/>
      <c r="F1032" s="190"/>
      <c r="G1032" s="119"/>
      <c r="H1032" s="187"/>
      <c r="I1032" s="147"/>
      <c r="J1032" s="146"/>
      <c r="K1032" s="146"/>
      <c r="L1032" s="146"/>
      <c r="M1032" s="119"/>
      <c r="N1032" s="119"/>
      <c r="O1032" s="141">
        <f t="shared" si="703"/>
        <v>0</v>
      </c>
      <c r="P1032" s="141">
        <f t="shared" si="705"/>
        <v>7</v>
      </c>
      <c r="Q1032" s="141">
        <f t="shared" si="704"/>
        <v>2</v>
      </c>
      <c r="R1032" s="139"/>
      <c r="S1032" s="143"/>
      <c r="T1032" s="139"/>
      <c r="U1032" s="143"/>
      <c r="V1032" s="139"/>
      <c r="W1032" s="143"/>
      <c r="X1032" s="139"/>
      <c r="Y1032" s="141"/>
      <c r="Z1032" s="119"/>
      <c r="AA1032" s="144">
        <f>W1032-P1034</f>
        <v>-7</v>
      </c>
    </row>
    <row r="1033" spans="1:27" s="145" customFormat="1" ht="36" customHeight="1" x14ac:dyDescent="0.25">
      <c r="A1033" s="119"/>
      <c r="B1033" s="139"/>
      <c r="C1033" s="119"/>
      <c r="D1033" s="166"/>
      <c r="E1033" s="119"/>
      <c r="F1033" s="190"/>
      <c r="G1033" s="119"/>
      <c r="H1033" s="187"/>
      <c r="I1033" s="147"/>
      <c r="J1033" s="146"/>
      <c r="K1033" s="146"/>
      <c r="L1033" s="146"/>
      <c r="M1033" s="119"/>
      <c r="N1033" s="119"/>
      <c r="O1033" s="141">
        <f t="shared" si="703"/>
        <v>0</v>
      </c>
      <c r="P1033" s="141">
        <f t="shared" si="705"/>
        <v>7</v>
      </c>
      <c r="Q1033" s="141">
        <f t="shared" si="704"/>
        <v>2</v>
      </c>
      <c r="R1033" s="139"/>
      <c r="S1033" s="143"/>
      <c r="T1033" s="139"/>
      <c r="U1033" s="143"/>
      <c r="V1033" s="139"/>
      <c r="W1033" s="143"/>
      <c r="X1033" s="139"/>
      <c r="Y1033" s="141"/>
      <c r="Z1033" s="119"/>
      <c r="AA1033" s="144">
        <f>W1033-P1038</f>
        <v>-7</v>
      </c>
    </row>
    <row r="1034" spans="1:27" s="145" customFormat="1" ht="36" customHeight="1" x14ac:dyDescent="0.25">
      <c r="A1034" s="119"/>
      <c r="B1034" s="139"/>
      <c r="C1034" s="119"/>
      <c r="D1034" s="166"/>
      <c r="E1034" s="119"/>
      <c r="F1034" s="190"/>
      <c r="G1034" s="119"/>
      <c r="H1034" s="187"/>
      <c r="I1034" s="147"/>
      <c r="J1034" s="146"/>
      <c r="K1034" s="146"/>
      <c r="L1034" s="146"/>
      <c r="M1034" s="119"/>
      <c r="N1034" s="119"/>
      <c r="O1034" s="141">
        <f t="shared" si="703"/>
        <v>0</v>
      </c>
      <c r="P1034" s="141">
        <f t="shared" si="705"/>
        <v>7</v>
      </c>
      <c r="Q1034" s="141">
        <f t="shared" si="704"/>
        <v>2</v>
      </c>
      <c r="R1034" s="139"/>
      <c r="S1034" s="143"/>
      <c r="T1034" s="139"/>
      <c r="U1034" s="143"/>
      <c r="V1034" s="139"/>
      <c r="W1034" s="143"/>
      <c r="X1034" s="139"/>
      <c r="Y1034" s="141"/>
      <c r="Z1034" s="119"/>
      <c r="AA1034" s="144">
        <f>W1034-P1043</f>
        <v>-7</v>
      </c>
    </row>
    <row r="1035" spans="1:27" s="145" customFormat="1" ht="36" customHeight="1" x14ac:dyDescent="0.25">
      <c r="A1035" s="119"/>
      <c r="B1035" s="139"/>
      <c r="C1035" s="119"/>
      <c r="D1035" s="166"/>
      <c r="E1035" s="119"/>
      <c r="F1035" s="190"/>
      <c r="G1035" s="119"/>
      <c r="H1035" s="187"/>
      <c r="I1035" s="147"/>
      <c r="J1035" s="146"/>
      <c r="K1035" s="146"/>
      <c r="L1035" s="146"/>
      <c r="M1035" s="119"/>
      <c r="N1035" s="119"/>
      <c r="O1035" s="141">
        <f t="shared" ref="O1035:O1045" si="712">B1035</f>
        <v>0</v>
      </c>
      <c r="P1035" s="141">
        <f t="shared" si="705"/>
        <v>7</v>
      </c>
      <c r="Q1035" s="141">
        <f t="shared" ref="Q1035:Q1045" si="713">O1035+2</f>
        <v>2</v>
      </c>
      <c r="R1035" s="139"/>
      <c r="S1035" s="143"/>
      <c r="T1035" s="139"/>
      <c r="U1035" s="143"/>
      <c r="V1035" s="139"/>
      <c r="W1035" s="143"/>
      <c r="X1035" s="139"/>
      <c r="Y1035" s="141"/>
      <c r="Z1035" s="119"/>
      <c r="AA1035" s="144">
        <f>W1035-P1047</f>
        <v>-7</v>
      </c>
    </row>
    <row r="1036" spans="1:27" s="145" customFormat="1" ht="36" customHeight="1" x14ac:dyDescent="0.25">
      <c r="A1036" s="119"/>
      <c r="B1036" s="139"/>
      <c r="C1036" s="119"/>
      <c r="D1036" s="166"/>
      <c r="E1036" s="119"/>
      <c r="F1036" s="190"/>
      <c r="G1036" s="119"/>
      <c r="H1036" s="187"/>
      <c r="I1036" s="147"/>
      <c r="J1036" s="146"/>
      <c r="K1036" s="119"/>
      <c r="L1036" s="146"/>
      <c r="M1036" s="119"/>
      <c r="N1036" s="119"/>
      <c r="O1036" s="141">
        <f t="shared" si="712"/>
        <v>0</v>
      </c>
      <c r="P1036" s="141">
        <f t="shared" ref="P1036:P1045" si="714">B1036+7</f>
        <v>7</v>
      </c>
      <c r="Q1036" s="141">
        <f t="shared" si="713"/>
        <v>2</v>
      </c>
      <c r="R1036" s="139"/>
      <c r="S1036" s="143"/>
      <c r="T1036" s="139"/>
      <c r="U1036" s="143"/>
      <c r="V1036" s="139"/>
      <c r="W1036" s="143"/>
      <c r="X1036" s="139"/>
      <c r="Y1036" s="141"/>
      <c r="Z1036" s="119"/>
      <c r="AA1036" s="144"/>
    </row>
    <row r="1037" spans="1:27" s="145" customFormat="1" ht="36" customHeight="1" x14ac:dyDescent="0.25">
      <c r="A1037" s="119"/>
      <c r="B1037" s="139"/>
      <c r="C1037" s="119"/>
      <c r="D1037" s="166"/>
      <c r="E1037" s="119"/>
      <c r="F1037" s="190"/>
      <c r="G1037" s="119"/>
      <c r="H1037" s="187"/>
      <c r="I1037" s="147"/>
      <c r="J1037" s="146"/>
      <c r="K1037" s="119"/>
      <c r="L1037" s="146"/>
      <c r="M1037" s="119"/>
      <c r="N1037" s="119"/>
      <c r="O1037" s="141">
        <f t="shared" si="712"/>
        <v>0</v>
      </c>
      <c r="P1037" s="141">
        <f t="shared" si="714"/>
        <v>7</v>
      </c>
      <c r="Q1037" s="141">
        <f t="shared" si="713"/>
        <v>2</v>
      </c>
      <c r="R1037" s="139"/>
      <c r="S1037" s="143"/>
      <c r="T1037" s="139"/>
      <c r="U1037" s="143"/>
      <c r="V1037" s="139"/>
      <c r="W1037" s="143"/>
      <c r="X1037" s="139"/>
      <c r="Y1037" s="141"/>
      <c r="Z1037" s="119"/>
      <c r="AA1037" s="144"/>
    </row>
    <row r="1038" spans="1:27" s="145" customFormat="1" ht="36" customHeight="1" x14ac:dyDescent="0.25">
      <c r="A1038" s="119"/>
      <c r="B1038" s="139"/>
      <c r="C1038" s="119"/>
      <c r="D1038" s="166"/>
      <c r="E1038" s="119"/>
      <c r="F1038" s="190"/>
      <c r="G1038" s="119"/>
      <c r="H1038" s="187"/>
      <c r="I1038" s="147"/>
      <c r="J1038" s="146"/>
      <c r="K1038" s="119"/>
      <c r="L1038" s="146"/>
      <c r="M1038" s="119"/>
      <c r="N1038" s="119"/>
      <c r="O1038" s="141">
        <f t="shared" si="712"/>
        <v>0</v>
      </c>
      <c r="P1038" s="141">
        <f t="shared" si="714"/>
        <v>7</v>
      </c>
      <c r="Q1038" s="141">
        <f t="shared" si="713"/>
        <v>2</v>
      </c>
      <c r="R1038" s="139"/>
      <c r="S1038" s="143"/>
      <c r="T1038" s="139"/>
      <c r="U1038" s="143"/>
      <c r="V1038" s="139"/>
      <c r="W1038" s="143"/>
      <c r="X1038" s="139"/>
      <c r="Y1038" s="141"/>
      <c r="Z1038" s="119"/>
      <c r="AA1038" s="144">
        <f>W1038-P1050</f>
        <v>-7</v>
      </c>
    </row>
    <row r="1039" spans="1:27" s="145" customFormat="1" ht="36" customHeight="1" x14ac:dyDescent="0.25">
      <c r="A1039" s="119"/>
      <c r="B1039" s="139"/>
      <c r="C1039" s="119"/>
      <c r="D1039" s="166"/>
      <c r="E1039" s="119"/>
      <c r="F1039" s="190"/>
      <c r="G1039" s="119"/>
      <c r="H1039" s="187"/>
      <c r="I1039" s="147"/>
      <c r="J1039" s="146"/>
      <c r="K1039" s="119"/>
      <c r="L1039" s="146"/>
      <c r="M1039" s="148"/>
      <c r="N1039" s="119"/>
      <c r="O1039" s="141">
        <f t="shared" si="712"/>
        <v>0</v>
      </c>
      <c r="P1039" s="141">
        <f t="shared" si="714"/>
        <v>7</v>
      </c>
      <c r="Q1039" s="141">
        <f t="shared" si="713"/>
        <v>2</v>
      </c>
      <c r="R1039" s="139"/>
      <c r="S1039" s="143"/>
      <c r="T1039" s="139"/>
      <c r="U1039" s="143"/>
      <c r="V1039" s="139"/>
      <c r="W1039" s="143"/>
      <c r="X1039" s="139"/>
      <c r="Y1039" s="141"/>
      <c r="Z1039" s="119"/>
      <c r="AA1039" s="144">
        <f>W1039-P1051</f>
        <v>-7</v>
      </c>
    </row>
    <row r="1040" spans="1:27" s="145" customFormat="1" ht="36" customHeight="1" x14ac:dyDescent="0.25">
      <c r="A1040" s="119"/>
      <c r="B1040" s="139"/>
      <c r="C1040" s="119"/>
      <c r="D1040" s="166"/>
      <c r="E1040" s="119"/>
      <c r="F1040" s="190"/>
      <c r="G1040" s="119"/>
      <c r="H1040" s="187"/>
      <c r="I1040" s="147"/>
      <c r="J1040" s="146"/>
      <c r="K1040" s="119"/>
      <c r="L1040" s="146"/>
      <c r="M1040" s="148"/>
      <c r="N1040" s="119"/>
      <c r="O1040" s="141">
        <f t="shared" si="712"/>
        <v>0</v>
      </c>
      <c r="P1040" s="141">
        <f t="shared" si="714"/>
        <v>7</v>
      </c>
      <c r="Q1040" s="141">
        <f t="shared" si="713"/>
        <v>2</v>
      </c>
      <c r="R1040" s="139"/>
      <c r="S1040" s="143"/>
      <c r="T1040" s="139"/>
      <c r="U1040" s="143"/>
      <c r="V1040" s="139"/>
      <c r="W1040" s="143"/>
      <c r="X1040" s="139"/>
      <c r="Y1040" s="141"/>
      <c r="Z1040" s="119"/>
      <c r="AA1040" s="144">
        <f>W1040-P1052</f>
        <v>-7</v>
      </c>
    </row>
    <row r="1041" spans="1:27" s="145" customFormat="1" ht="36" customHeight="1" x14ac:dyDescent="0.25">
      <c r="A1041" s="119"/>
      <c r="B1041" s="139"/>
      <c r="C1041" s="119"/>
      <c r="D1041" s="166"/>
      <c r="E1041" s="119"/>
      <c r="F1041" s="190"/>
      <c r="G1041" s="119"/>
      <c r="H1041" s="187"/>
      <c r="I1041" s="147"/>
      <c r="J1041" s="146"/>
      <c r="K1041" s="146"/>
      <c r="L1041" s="146"/>
      <c r="M1041" s="119"/>
      <c r="N1041" s="119"/>
      <c r="O1041" s="141">
        <f t="shared" si="712"/>
        <v>0</v>
      </c>
      <c r="P1041" s="141">
        <f t="shared" si="714"/>
        <v>7</v>
      </c>
      <c r="Q1041" s="141">
        <f t="shared" si="713"/>
        <v>2</v>
      </c>
      <c r="R1041" s="139"/>
      <c r="S1041" s="143"/>
      <c r="T1041" s="139"/>
      <c r="U1041" s="143"/>
      <c r="V1041" s="139"/>
      <c r="W1041" s="143"/>
      <c r="X1041" s="139"/>
      <c r="Y1041" s="141"/>
      <c r="Z1041" s="119"/>
      <c r="AA1041" s="144">
        <f>W1041-P1052</f>
        <v>-7</v>
      </c>
    </row>
    <row r="1042" spans="1:27" s="145" customFormat="1" ht="36" customHeight="1" x14ac:dyDescent="0.25">
      <c r="A1042" s="119"/>
      <c r="B1042" s="139"/>
      <c r="C1042" s="119"/>
      <c r="D1042" s="166"/>
      <c r="E1042" s="119"/>
      <c r="F1042" s="190"/>
      <c r="G1042" s="119"/>
      <c r="H1042" s="187"/>
      <c r="I1042" s="147"/>
      <c r="J1042" s="146"/>
      <c r="K1042" s="146"/>
      <c r="L1042" s="146"/>
      <c r="M1042" s="119"/>
      <c r="N1042" s="119"/>
      <c r="O1042" s="141">
        <f t="shared" si="712"/>
        <v>0</v>
      </c>
      <c r="P1042" s="141">
        <f t="shared" si="714"/>
        <v>7</v>
      </c>
      <c r="Q1042" s="141">
        <f t="shared" si="713"/>
        <v>2</v>
      </c>
      <c r="R1042" s="139"/>
      <c r="S1042" s="143"/>
      <c r="T1042" s="139"/>
      <c r="U1042" s="143"/>
      <c r="V1042" s="139"/>
      <c r="W1042" s="143"/>
      <c r="X1042" s="139"/>
      <c r="Y1042" s="141"/>
      <c r="Z1042" s="119"/>
      <c r="AA1042" s="144">
        <f>W1042-P1053</f>
        <v>-7</v>
      </c>
    </row>
    <row r="1043" spans="1:27" s="145" customFormat="1" ht="36" customHeight="1" x14ac:dyDescent="0.25">
      <c r="A1043" s="119"/>
      <c r="B1043" s="139"/>
      <c r="C1043" s="119"/>
      <c r="D1043" s="166"/>
      <c r="E1043" s="119"/>
      <c r="F1043" s="190"/>
      <c r="G1043" s="119"/>
      <c r="H1043" s="187"/>
      <c r="I1043" s="147"/>
      <c r="J1043" s="119"/>
      <c r="K1043" s="146"/>
      <c r="L1043" s="119"/>
      <c r="M1043" s="119"/>
      <c r="N1043" s="119"/>
      <c r="O1043" s="141">
        <f t="shared" si="712"/>
        <v>0</v>
      </c>
      <c r="P1043" s="141">
        <f t="shared" si="714"/>
        <v>7</v>
      </c>
      <c r="Q1043" s="141">
        <f t="shared" si="713"/>
        <v>2</v>
      </c>
      <c r="R1043" s="139"/>
      <c r="S1043" s="143"/>
      <c r="T1043" s="139"/>
      <c r="U1043" s="143"/>
      <c r="V1043" s="139"/>
      <c r="W1043" s="143"/>
      <c r="X1043" s="139"/>
      <c r="Y1043" s="141"/>
      <c r="Z1043" s="119"/>
      <c r="AA1043" s="144">
        <f>W1043-P1051</f>
        <v>-7</v>
      </c>
    </row>
    <row r="1044" spans="1:27" s="145" customFormat="1" ht="36" customHeight="1" x14ac:dyDescent="0.25">
      <c r="A1044" s="119"/>
      <c r="B1044" s="139"/>
      <c r="C1044" s="119"/>
      <c r="D1044" s="166"/>
      <c r="E1044" s="119"/>
      <c r="F1044" s="190"/>
      <c r="G1044" s="119"/>
      <c r="H1044" s="187"/>
      <c r="I1044" s="147"/>
      <c r="J1044" s="119"/>
      <c r="K1044" s="146"/>
      <c r="L1044" s="119"/>
      <c r="M1044" s="119"/>
      <c r="N1044" s="119"/>
      <c r="O1044" s="141">
        <f t="shared" si="712"/>
        <v>0</v>
      </c>
      <c r="P1044" s="141">
        <f t="shared" si="714"/>
        <v>7</v>
      </c>
      <c r="Q1044" s="141">
        <f t="shared" si="713"/>
        <v>2</v>
      </c>
      <c r="R1044" s="139"/>
      <c r="S1044" s="143"/>
      <c r="T1044" s="139"/>
      <c r="U1044" s="143"/>
      <c r="V1044" s="139"/>
      <c r="W1044" s="143"/>
      <c r="X1044" s="139"/>
      <c r="Y1044" s="141"/>
      <c r="Z1044" s="119"/>
      <c r="AA1044" s="144">
        <f>W1044-P1052</f>
        <v>-7</v>
      </c>
    </row>
    <row r="1045" spans="1:27" s="145" customFormat="1" ht="36" customHeight="1" x14ac:dyDescent="0.25">
      <c r="A1045" s="119"/>
      <c r="B1045" s="139"/>
      <c r="C1045" s="119"/>
      <c r="D1045" s="166"/>
      <c r="E1045" s="119"/>
      <c r="F1045" s="190"/>
      <c r="G1045" s="119"/>
      <c r="H1045" s="187"/>
      <c r="I1045" s="147"/>
      <c r="J1045" s="146"/>
      <c r="K1045" s="146"/>
      <c r="L1045" s="146"/>
      <c r="M1045" s="119"/>
      <c r="N1045" s="119"/>
      <c r="O1045" s="141">
        <f t="shared" si="712"/>
        <v>0</v>
      </c>
      <c r="P1045" s="141">
        <f t="shared" si="714"/>
        <v>7</v>
      </c>
      <c r="Q1045" s="141">
        <f t="shared" si="713"/>
        <v>2</v>
      </c>
      <c r="R1045" s="139"/>
      <c r="S1045" s="143"/>
      <c r="T1045" s="139"/>
      <c r="U1045" s="143"/>
      <c r="V1045" s="139"/>
      <c r="W1045" s="143"/>
      <c r="X1045" s="139"/>
      <c r="Y1045" s="141"/>
      <c r="Z1045" s="119"/>
      <c r="AA1045" s="144">
        <f>W1045-P1052</f>
        <v>-7</v>
      </c>
    </row>
    <row r="1046" spans="1:27" s="145" customFormat="1" ht="36" customHeight="1" x14ac:dyDescent="0.25">
      <c r="A1046" s="119"/>
      <c r="B1046" s="139"/>
      <c r="C1046" s="119"/>
      <c r="D1046" s="166"/>
      <c r="E1046" s="119"/>
      <c r="F1046" s="190"/>
      <c r="G1046" s="119"/>
      <c r="H1046" s="187"/>
      <c r="I1046" s="147"/>
      <c r="J1046" s="146"/>
      <c r="K1046" s="119"/>
      <c r="L1046" s="146"/>
      <c r="M1046" s="119"/>
      <c r="N1046" s="119"/>
      <c r="O1046" s="141"/>
      <c r="P1046" s="141"/>
      <c r="Q1046" s="141"/>
      <c r="R1046" s="139"/>
      <c r="S1046" s="143"/>
      <c r="T1046" s="139"/>
      <c r="U1046" s="143"/>
      <c r="V1046" s="139"/>
      <c r="W1046" s="143"/>
      <c r="X1046" s="139"/>
      <c r="Y1046" s="141"/>
      <c r="Z1046" s="119"/>
      <c r="AA1046" s="144"/>
    </row>
    <row r="1047" spans="1:27" s="145" customFormat="1" ht="36" customHeight="1" x14ac:dyDescent="0.25">
      <c r="A1047" s="119"/>
      <c r="B1047" s="139"/>
      <c r="C1047" s="119"/>
      <c r="D1047" s="166"/>
      <c r="E1047" s="119"/>
      <c r="F1047" s="190"/>
      <c r="G1047" s="119"/>
      <c r="H1047" s="187"/>
      <c r="I1047" s="147"/>
      <c r="J1047" s="146"/>
      <c r="K1047" s="119"/>
      <c r="L1047" s="146"/>
      <c r="M1047" s="119"/>
      <c r="N1047" s="119"/>
      <c r="O1047" s="141">
        <f t="shared" ref="O1047" si="715">B1047</f>
        <v>0</v>
      </c>
      <c r="P1047" s="141">
        <f t="shared" ref="P1047" si="716">O1047+7</f>
        <v>7</v>
      </c>
      <c r="Q1047" s="141">
        <f t="shared" ref="Q1047" si="717">O1047+2</f>
        <v>2</v>
      </c>
      <c r="R1047" s="139"/>
      <c r="S1047" s="143"/>
      <c r="T1047" s="139"/>
      <c r="U1047" s="143"/>
      <c r="V1047" s="139"/>
      <c r="W1047" s="143"/>
      <c r="X1047" s="139"/>
      <c r="Y1047" s="141"/>
      <c r="Z1047" s="119"/>
      <c r="AA1047" s="144">
        <f>W1047-P1057</f>
        <v>-7</v>
      </c>
    </row>
    <row r="1048" spans="1:27" s="145" customFormat="1" ht="36" customHeight="1" x14ac:dyDescent="0.25">
      <c r="A1048" s="119"/>
      <c r="B1048" s="139"/>
      <c r="C1048" s="119"/>
      <c r="D1048" s="166"/>
      <c r="E1048" s="119"/>
      <c r="F1048" s="190"/>
      <c r="G1048" s="119"/>
      <c r="H1048" s="187"/>
      <c r="I1048" s="147"/>
      <c r="J1048" s="146"/>
      <c r="K1048" s="119"/>
      <c r="L1048" s="146"/>
      <c r="M1048" s="148"/>
      <c r="N1048" s="119"/>
      <c r="O1048" s="141">
        <f t="shared" ref="O1048" si="718">B1048</f>
        <v>0</v>
      </c>
      <c r="P1048" s="141">
        <f t="shared" ref="P1048" si="719">O1048+7</f>
        <v>7</v>
      </c>
      <c r="Q1048" s="141">
        <f t="shared" ref="Q1048" si="720">O1048+2</f>
        <v>2</v>
      </c>
      <c r="R1048" s="139"/>
      <c r="S1048" s="143"/>
      <c r="T1048" s="139"/>
      <c r="U1048" s="143"/>
      <c r="V1048" s="139"/>
      <c r="W1048" s="143"/>
      <c r="X1048" s="139"/>
      <c r="Y1048" s="141"/>
      <c r="Z1048" s="119"/>
      <c r="AA1048" s="144">
        <f>W1048-P1058</f>
        <v>-7</v>
      </c>
    </row>
    <row r="1049" spans="1:27" s="145" customFormat="1" ht="36" customHeight="1" x14ac:dyDescent="0.25">
      <c r="A1049" s="119"/>
      <c r="B1049" s="139"/>
      <c r="C1049" s="119"/>
      <c r="D1049" s="166"/>
      <c r="E1049" s="119"/>
      <c r="F1049" s="190"/>
      <c r="G1049" s="119"/>
      <c r="H1049" s="187"/>
      <c r="I1049" s="147"/>
      <c r="J1049" s="146"/>
      <c r="K1049" s="146"/>
      <c r="L1049" s="146"/>
      <c r="M1049" s="148"/>
      <c r="N1049" s="119"/>
      <c r="O1049" s="141">
        <f t="shared" ref="O1049" si="721">B1049</f>
        <v>0</v>
      </c>
      <c r="P1049" s="141">
        <f t="shared" ref="P1049" si="722">O1049+7</f>
        <v>7</v>
      </c>
      <c r="Q1049" s="141">
        <f t="shared" ref="Q1049" si="723">O1049+2</f>
        <v>2</v>
      </c>
      <c r="R1049" s="139"/>
      <c r="S1049" s="143"/>
      <c r="T1049" s="139"/>
      <c r="U1049" s="143"/>
      <c r="V1049" s="139"/>
      <c r="W1049" s="143"/>
      <c r="X1049" s="139"/>
      <c r="Y1049" s="141"/>
      <c r="Z1049" s="119"/>
      <c r="AA1049" s="144">
        <f>W1049-P1059</f>
        <v>-7</v>
      </c>
    </row>
    <row r="1050" spans="1:27" s="145" customFormat="1" ht="36" customHeight="1" x14ac:dyDescent="0.25">
      <c r="A1050" s="119"/>
      <c r="B1050" s="139"/>
      <c r="C1050" s="119"/>
      <c r="D1050" s="166"/>
      <c r="E1050" s="119"/>
      <c r="F1050" s="190"/>
      <c r="G1050" s="119"/>
      <c r="H1050" s="187"/>
      <c r="I1050" s="147"/>
      <c r="J1050" s="146"/>
      <c r="K1050" s="146"/>
      <c r="L1050" s="146"/>
      <c r="M1050" s="119"/>
      <c r="N1050" s="119"/>
      <c r="O1050" s="141">
        <f t="shared" ref="O1050:O1119" si="724">B1050</f>
        <v>0</v>
      </c>
      <c r="P1050" s="141">
        <f t="shared" ref="P1050:P1119" si="725">O1050+7</f>
        <v>7</v>
      </c>
      <c r="Q1050" s="141">
        <f t="shared" ref="Q1050:Q1119" si="726">O1050+2</f>
        <v>2</v>
      </c>
      <c r="R1050" s="139"/>
      <c r="S1050" s="143"/>
      <c r="T1050" s="139"/>
      <c r="U1050" s="143"/>
      <c r="V1050" s="139"/>
      <c r="W1050" s="143"/>
      <c r="X1050" s="139"/>
      <c r="Y1050" s="141"/>
      <c r="Z1050" s="119"/>
      <c r="AA1050" s="144">
        <f>W1050-P1057</f>
        <v>-7</v>
      </c>
    </row>
    <row r="1051" spans="1:27" s="145" customFormat="1" ht="36" customHeight="1" x14ac:dyDescent="0.25">
      <c r="A1051" s="119"/>
      <c r="B1051" s="139"/>
      <c r="C1051" s="119"/>
      <c r="D1051" s="166"/>
      <c r="E1051" s="119"/>
      <c r="F1051" s="190"/>
      <c r="G1051" s="119"/>
      <c r="H1051" s="187"/>
      <c r="I1051" s="147"/>
      <c r="J1051" s="146"/>
      <c r="K1051" s="146"/>
      <c r="L1051" s="146"/>
      <c r="M1051" s="119"/>
      <c r="N1051" s="119"/>
      <c r="O1051" s="141">
        <f t="shared" si="724"/>
        <v>0</v>
      </c>
      <c r="P1051" s="141">
        <f t="shared" si="725"/>
        <v>7</v>
      </c>
      <c r="Q1051" s="141">
        <f t="shared" si="726"/>
        <v>2</v>
      </c>
      <c r="R1051" s="139"/>
      <c r="S1051" s="143"/>
      <c r="T1051" s="139"/>
      <c r="U1051" s="143"/>
      <c r="V1051" s="139"/>
      <c r="W1051" s="143"/>
      <c r="X1051" s="139"/>
      <c r="Y1051" s="141"/>
      <c r="Z1051" s="119"/>
      <c r="AA1051" s="144">
        <f>W1051-P1058</f>
        <v>-7</v>
      </c>
    </row>
    <row r="1052" spans="1:27" s="145" customFormat="1" ht="36" customHeight="1" x14ac:dyDescent="0.25">
      <c r="A1052" s="119"/>
      <c r="B1052" s="139"/>
      <c r="C1052" s="119"/>
      <c r="D1052" s="166"/>
      <c r="E1052" s="119"/>
      <c r="F1052" s="190"/>
      <c r="G1052" s="119"/>
      <c r="H1052" s="187"/>
      <c r="I1052" s="147"/>
      <c r="J1052" s="146"/>
      <c r="K1052" s="146"/>
      <c r="L1052" s="146"/>
      <c r="M1052" s="149"/>
      <c r="N1052" s="119"/>
      <c r="O1052" s="141">
        <f t="shared" si="724"/>
        <v>0</v>
      </c>
      <c r="P1052" s="141">
        <f t="shared" si="725"/>
        <v>7</v>
      </c>
      <c r="Q1052" s="141">
        <f t="shared" si="726"/>
        <v>2</v>
      </c>
      <c r="R1052" s="139"/>
      <c r="S1052" s="143"/>
      <c r="T1052" s="139"/>
      <c r="U1052" s="143"/>
      <c r="V1052" s="139"/>
      <c r="W1052" s="143"/>
      <c r="X1052" s="139"/>
      <c r="Y1052" s="141"/>
      <c r="Z1052" s="119"/>
      <c r="AA1052" s="144">
        <f>W1052-P1059</f>
        <v>-7</v>
      </c>
    </row>
    <row r="1053" spans="1:27" s="145" customFormat="1" ht="36" customHeight="1" x14ac:dyDescent="0.25">
      <c r="A1053" s="119"/>
      <c r="B1053" s="139"/>
      <c r="C1053" s="119"/>
      <c r="D1053" s="166"/>
      <c r="E1053" s="119"/>
      <c r="F1053" s="190"/>
      <c r="G1053" s="119"/>
      <c r="H1053" s="187"/>
      <c r="I1053" s="147"/>
      <c r="J1053" s="146"/>
      <c r="K1053" s="146"/>
      <c r="L1053" s="146"/>
      <c r="M1053" s="119"/>
      <c r="N1053" s="119"/>
      <c r="O1053" s="141">
        <f t="shared" si="724"/>
        <v>0</v>
      </c>
      <c r="P1053" s="141">
        <f t="shared" si="725"/>
        <v>7</v>
      </c>
      <c r="Q1053" s="141">
        <f t="shared" si="726"/>
        <v>2</v>
      </c>
      <c r="R1053" s="139"/>
      <c r="S1053" s="143"/>
      <c r="T1053" s="139"/>
      <c r="U1053" s="143"/>
      <c r="V1053" s="139"/>
      <c r="W1053" s="143"/>
      <c r="X1053" s="139"/>
      <c r="Y1053" s="141"/>
      <c r="Z1053" s="119"/>
      <c r="AA1053" s="144">
        <f>W1053-P1060</f>
        <v>-7</v>
      </c>
    </row>
    <row r="1054" spans="1:27" s="145" customFormat="1" ht="36" customHeight="1" x14ac:dyDescent="0.25">
      <c r="A1054" s="119"/>
      <c r="B1054" s="139"/>
      <c r="C1054" s="119"/>
      <c r="D1054" s="166"/>
      <c r="E1054" s="119"/>
      <c r="F1054" s="190"/>
      <c r="G1054" s="119"/>
      <c r="H1054" s="187"/>
      <c r="I1054" s="147"/>
      <c r="J1054" s="146"/>
      <c r="K1054" s="146"/>
      <c r="L1054" s="146"/>
      <c r="M1054" s="119"/>
      <c r="N1054" s="119"/>
      <c r="O1054" s="141">
        <f t="shared" ref="O1054:O1055" si="727">B1054</f>
        <v>0</v>
      </c>
      <c r="P1054" s="141">
        <f t="shared" ref="P1054:P1055" si="728">O1054+7</f>
        <v>7</v>
      </c>
      <c r="Q1054" s="141">
        <f t="shared" ref="Q1054:Q1055" si="729">O1054+2</f>
        <v>2</v>
      </c>
      <c r="R1054" s="139"/>
      <c r="S1054" s="143"/>
      <c r="T1054" s="139"/>
      <c r="U1054" s="143"/>
      <c r="V1054" s="139"/>
      <c r="W1054" s="143"/>
      <c r="X1054" s="139"/>
      <c r="Y1054" s="141"/>
      <c r="Z1054" s="119"/>
      <c r="AA1054" s="144"/>
    </row>
    <row r="1055" spans="1:27" s="145" customFormat="1" ht="36" customHeight="1" x14ac:dyDescent="0.25">
      <c r="A1055" s="119"/>
      <c r="B1055" s="139"/>
      <c r="C1055" s="119"/>
      <c r="D1055" s="166"/>
      <c r="E1055" s="119"/>
      <c r="F1055" s="190"/>
      <c r="G1055" s="119"/>
      <c r="H1055" s="187"/>
      <c r="I1055" s="147"/>
      <c r="J1055" s="146"/>
      <c r="K1055" s="146"/>
      <c r="L1055" s="146"/>
      <c r="M1055" s="119"/>
      <c r="N1055" s="119"/>
      <c r="O1055" s="141">
        <f t="shared" si="727"/>
        <v>0</v>
      </c>
      <c r="P1055" s="141">
        <f t="shared" si="728"/>
        <v>7</v>
      </c>
      <c r="Q1055" s="141">
        <f t="shared" si="729"/>
        <v>2</v>
      </c>
      <c r="R1055" s="139"/>
      <c r="S1055" s="143"/>
      <c r="T1055" s="139"/>
      <c r="U1055" s="143"/>
      <c r="V1055" s="139"/>
      <c r="W1055" s="143"/>
      <c r="X1055" s="139"/>
      <c r="Y1055" s="141"/>
      <c r="Z1055" s="119"/>
      <c r="AA1055" s="144"/>
    </row>
    <row r="1056" spans="1:27" s="145" customFormat="1" ht="36" customHeight="1" x14ac:dyDescent="0.25">
      <c r="A1056" s="119"/>
      <c r="B1056" s="139"/>
      <c r="C1056" s="119"/>
      <c r="D1056" s="166"/>
      <c r="E1056" s="119"/>
      <c r="F1056" s="190"/>
      <c r="G1056" s="119"/>
      <c r="H1056" s="187"/>
      <c r="I1056" s="147"/>
      <c r="J1056" s="146"/>
      <c r="K1056" s="146"/>
      <c r="L1056" s="146"/>
      <c r="M1056" s="119"/>
      <c r="N1056" s="119"/>
      <c r="O1056" s="141">
        <f t="shared" si="724"/>
        <v>0</v>
      </c>
      <c r="P1056" s="141">
        <f t="shared" si="725"/>
        <v>7</v>
      </c>
      <c r="Q1056" s="141">
        <f t="shared" si="726"/>
        <v>2</v>
      </c>
      <c r="R1056" s="139"/>
      <c r="S1056" s="143"/>
      <c r="T1056" s="139"/>
      <c r="U1056" s="143"/>
      <c r="V1056" s="139"/>
      <c r="W1056" s="143"/>
      <c r="X1056" s="139"/>
      <c r="Y1056" s="141"/>
      <c r="Z1056" s="119"/>
      <c r="AA1056" s="144">
        <f>W1056-P1062</f>
        <v>-7</v>
      </c>
    </row>
    <row r="1057" spans="1:27" s="145" customFormat="1" ht="33" customHeight="1" x14ac:dyDescent="0.25">
      <c r="A1057" s="119"/>
      <c r="B1057" s="139"/>
      <c r="C1057" s="119"/>
      <c r="D1057" s="166"/>
      <c r="E1057" s="119"/>
      <c r="F1057" s="190"/>
      <c r="G1057" s="119"/>
      <c r="H1057" s="187"/>
      <c r="I1057" s="147"/>
      <c r="J1057" s="146"/>
      <c r="K1057" s="146"/>
      <c r="L1057" s="146"/>
      <c r="M1057" s="119"/>
      <c r="N1057" s="119"/>
      <c r="O1057" s="141">
        <f t="shared" si="724"/>
        <v>0</v>
      </c>
      <c r="P1057" s="141">
        <f t="shared" si="725"/>
        <v>7</v>
      </c>
      <c r="Q1057" s="141">
        <f t="shared" si="726"/>
        <v>2</v>
      </c>
      <c r="R1057" s="139"/>
      <c r="S1057" s="143"/>
      <c r="T1057" s="139"/>
      <c r="U1057" s="143"/>
      <c r="V1057" s="139"/>
      <c r="W1057" s="143"/>
      <c r="X1057" s="139"/>
      <c r="Y1057" s="141"/>
      <c r="Z1057" s="119"/>
      <c r="AA1057" s="144">
        <f>W1057-P1059</f>
        <v>-7</v>
      </c>
    </row>
    <row r="1058" spans="1:27" s="145" customFormat="1" ht="36" customHeight="1" x14ac:dyDescent="0.25">
      <c r="A1058" s="119"/>
      <c r="B1058" s="139"/>
      <c r="C1058" s="119"/>
      <c r="D1058" s="166"/>
      <c r="E1058" s="119"/>
      <c r="F1058" s="190"/>
      <c r="G1058" s="119"/>
      <c r="H1058" s="187"/>
      <c r="I1058" s="147"/>
      <c r="J1058" s="146"/>
      <c r="K1058" s="146"/>
      <c r="L1058" s="146"/>
      <c r="M1058" s="149"/>
      <c r="N1058" s="119"/>
      <c r="O1058" s="141">
        <f t="shared" si="724"/>
        <v>0</v>
      </c>
      <c r="P1058" s="141">
        <f t="shared" si="725"/>
        <v>7</v>
      </c>
      <c r="Q1058" s="141">
        <f t="shared" si="726"/>
        <v>2</v>
      </c>
      <c r="R1058" s="139"/>
      <c r="S1058" s="143"/>
      <c r="T1058" s="139"/>
      <c r="U1058" s="143"/>
      <c r="V1058" s="139"/>
      <c r="W1058" s="143"/>
      <c r="X1058" s="139"/>
      <c r="Y1058" s="141"/>
      <c r="Z1058" s="119"/>
      <c r="AA1058" s="144">
        <f>W1058-P1059</f>
        <v>-7</v>
      </c>
    </row>
    <row r="1059" spans="1:27" s="145" customFormat="1" ht="36" customHeight="1" x14ac:dyDescent="0.25">
      <c r="A1059" s="119"/>
      <c r="B1059" s="139"/>
      <c r="C1059" s="119"/>
      <c r="D1059" s="166"/>
      <c r="E1059" s="119"/>
      <c r="F1059" s="190"/>
      <c r="G1059" s="119"/>
      <c r="H1059" s="187"/>
      <c r="I1059" s="147"/>
      <c r="J1059" s="146"/>
      <c r="K1059" s="146"/>
      <c r="L1059" s="146"/>
      <c r="M1059" s="149"/>
      <c r="N1059" s="119"/>
      <c r="O1059" s="141">
        <f t="shared" si="724"/>
        <v>0</v>
      </c>
      <c r="P1059" s="141">
        <f t="shared" si="725"/>
        <v>7</v>
      </c>
      <c r="Q1059" s="141">
        <f t="shared" si="726"/>
        <v>2</v>
      </c>
      <c r="R1059" s="139"/>
      <c r="S1059" s="143"/>
      <c r="T1059" s="139"/>
      <c r="U1059" s="143"/>
      <c r="V1059" s="139"/>
      <c r="W1059" s="143"/>
      <c r="X1059" s="139"/>
      <c r="Y1059" s="141"/>
      <c r="Z1059" s="119"/>
      <c r="AA1059" s="144">
        <f>W1059-P1060</f>
        <v>-7</v>
      </c>
    </row>
    <row r="1060" spans="1:27" s="145" customFormat="1" ht="36" customHeight="1" x14ac:dyDescent="0.25">
      <c r="A1060" s="119"/>
      <c r="B1060" s="139"/>
      <c r="C1060" s="119"/>
      <c r="D1060" s="166"/>
      <c r="E1060" s="119"/>
      <c r="F1060" s="190"/>
      <c r="G1060" s="119"/>
      <c r="H1060" s="187"/>
      <c r="I1060" s="147"/>
      <c r="J1060" s="146"/>
      <c r="K1060" s="146"/>
      <c r="L1060" s="146"/>
      <c r="M1060" s="149"/>
      <c r="N1060" s="119"/>
      <c r="O1060" s="141">
        <f t="shared" si="724"/>
        <v>0</v>
      </c>
      <c r="P1060" s="141">
        <f t="shared" si="725"/>
        <v>7</v>
      </c>
      <c r="Q1060" s="141">
        <f t="shared" si="726"/>
        <v>2</v>
      </c>
      <c r="R1060" s="139"/>
      <c r="S1060" s="143"/>
      <c r="T1060" s="139"/>
      <c r="U1060" s="143"/>
      <c r="V1060" s="139"/>
      <c r="W1060" s="143"/>
      <c r="X1060" s="139"/>
      <c r="Y1060" s="141"/>
      <c r="Z1060" s="119"/>
      <c r="AA1060" s="144">
        <f>W1060-P1062</f>
        <v>-7</v>
      </c>
    </row>
    <row r="1061" spans="1:27" s="145" customFormat="1" ht="36" customHeight="1" x14ac:dyDescent="0.25">
      <c r="A1061" s="119"/>
      <c r="B1061" s="139"/>
      <c r="C1061" s="119"/>
      <c r="D1061" s="166"/>
      <c r="E1061" s="119"/>
      <c r="F1061" s="190"/>
      <c r="G1061" s="119"/>
      <c r="H1061" s="187"/>
      <c r="I1061" s="147"/>
      <c r="J1061" s="146"/>
      <c r="K1061" s="146"/>
      <c r="L1061" s="146"/>
      <c r="M1061" s="149"/>
      <c r="N1061" s="119"/>
      <c r="O1061" s="141">
        <f t="shared" ref="O1061" si="730">B1061</f>
        <v>0</v>
      </c>
      <c r="P1061" s="141">
        <f t="shared" ref="P1061" si="731">O1061+7</f>
        <v>7</v>
      </c>
      <c r="Q1061" s="141">
        <f t="shared" ref="Q1061" si="732">O1061+2</f>
        <v>2</v>
      </c>
      <c r="R1061" s="139"/>
      <c r="S1061" s="143"/>
      <c r="T1061" s="139"/>
      <c r="U1061" s="143"/>
      <c r="V1061" s="139"/>
      <c r="W1061" s="143"/>
      <c r="X1061" s="139"/>
      <c r="Y1061" s="141"/>
      <c r="Z1061" s="119"/>
      <c r="AA1061" s="144"/>
    </row>
    <row r="1062" spans="1:27" s="145" customFormat="1" ht="36" customHeight="1" x14ac:dyDescent="0.25">
      <c r="A1062" s="119"/>
      <c r="B1062" s="139"/>
      <c r="C1062" s="119"/>
      <c r="D1062" s="166"/>
      <c r="E1062" s="119"/>
      <c r="F1062" s="190"/>
      <c r="G1062" s="119"/>
      <c r="H1062" s="187"/>
      <c r="I1062" s="147"/>
      <c r="J1062" s="146"/>
      <c r="K1062" s="146"/>
      <c r="L1062" s="146"/>
      <c r="M1062" s="149"/>
      <c r="N1062" s="119"/>
      <c r="O1062" s="141">
        <f t="shared" si="724"/>
        <v>0</v>
      </c>
      <c r="P1062" s="141">
        <f t="shared" si="725"/>
        <v>7</v>
      </c>
      <c r="Q1062" s="141">
        <f t="shared" si="726"/>
        <v>2</v>
      </c>
      <c r="R1062" s="139"/>
      <c r="S1062" s="143"/>
      <c r="T1062" s="139"/>
      <c r="U1062" s="143"/>
      <c r="V1062" s="139"/>
      <c r="W1062" s="143"/>
      <c r="X1062" s="139"/>
      <c r="Y1062" s="141"/>
      <c r="Z1062" s="119"/>
      <c r="AA1062" s="144">
        <f>W1062-P1065</f>
        <v>-7</v>
      </c>
    </row>
    <row r="1063" spans="1:27" s="145" customFormat="1" ht="33" customHeight="1" x14ac:dyDescent="0.25">
      <c r="A1063" s="119"/>
      <c r="B1063" s="139"/>
      <c r="C1063" s="119"/>
      <c r="D1063" s="166"/>
      <c r="E1063" s="119"/>
      <c r="F1063" s="193"/>
      <c r="G1063" s="119"/>
      <c r="H1063" s="187"/>
      <c r="I1063" s="147"/>
      <c r="J1063" s="146"/>
      <c r="K1063" s="119"/>
      <c r="L1063" s="146"/>
      <c r="M1063" s="148"/>
      <c r="N1063" s="119"/>
      <c r="O1063" s="141">
        <f t="shared" ref="O1063" si="733">B1063</f>
        <v>0</v>
      </c>
      <c r="P1063" s="141">
        <f t="shared" ref="P1063" si="734">O1063+7</f>
        <v>7</v>
      </c>
      <c r="Q1063" s="141">
        <f t="shared" ref="Q1063" si="735">O1063+2</f>
        <v>2</v>
      </c>
      <c r="R1063" s="139"/>
      <c r="S1063" s="143"/>
      <c r="T1063" s="139"/>
      <c r="U1063" s="143"/>
      <c r="V1063" s="139"/>
      <c r="W1063" s="143"/>
      <c r="X1063" s="139"/>
      <c r="Y1063" s="141"/>
      <c r="Z1063" s="119"/>
      <c r="AA1063" s="144"/>
    </row>
    <row r="1064" spans="1:27" s="145" customFormat="1" ht="33" customHeight="1" x14ac:dyDescent="0.25">
      <c r="A1064" s="119"/>
      <c r="B1064" s="139"/>
      <c r="C1064" s="119"/>
      <c r="D1064" s="166"/>
      <c r="E1064" s="119"/>
      <c r="F1064" s="193"/>
      <c r="G1064" s="119"/>
      <c r="H1064" s="187"/>
      <c r="I1064" s="147"/>
      <c r="J1064" s="146"/>
      <c r="K1064" s="119"/>
      <c r="L1064" s="146"/>
      <c r="M1064" s="148"/>
      <c r="N1064" s="119"/>
      <c r="O1064" s="141">
        <f t="shared" ref="O1064" si="736">B1064</f>
        <v>0</v>
      </c>
      <c r="P1064" s="141">
        <f t="shared" ref="P1064" si="737">O1064+7</f>
        <v>7</v>
      </c>
      <c r="Q1064" s="141">
        <f t="shared" ref="Q1064" si="738">O1064+2</f>
        <v>2</v>
      </c>
      <c r="R1064" s="139"/>
      <c r="S1064" s="143"/>
      <c r="T1064" s="139"/>
      <c r="U1064" s="143"/>
      <c r="V1064" s="139"/>
      <c r="W1064" s="143"/>
      <c r="X1064" s="139"/>
      <c r="Y1064" s="141"/>
      <c r="Z1064" s="119"/>
      <c r="AA1064" s="144"/>
    </row>
    <row r="1065" spans="1:27" s="145" customFormat="1" ht="36" customHeight="1" x14ac:dyDescent="0.25">
      <c r="A1065" s="119"/>
      <c r="B1065" s="139"/>
      <c r="C1065" s="119"/>
      <c r="D1065" s="166"/>
      <c r="E1065" s="119"/>
      <c r="F1065" s="190"/>
      <c r="G1065" s="119"/>
      <c r="H1065" s="187"/>
      <c r="I1065" s="147"/>
      <c r="J1065" s="146"/>
      <c r="K1065" s="146"/>
      <c r="L1065" s="146"/>
      <c r="M1065" s="146"/>
      <c r="N1065" s="119"/>
      <c r="O1065" s="141">
        <f t="shared" si="724"/>
        <v>0</v>
      </c>
      <c r="P1065" s="141">
        <f t="shared" si="725"/>
        <v>7</v>
      </c>
      <c r="Q1065" s="141">
        <f t="shared" si="726"/>
        <v>2</v>
      </c>
      <c r="R1065" s="139"/>
      <c r="S1065" s="143"/>
      <c r="T1065" s="139"/>
      <c r="U1065" s="143"/>
      <c r="V1065" s="139"/>
      <c r="W1065" s="143"/>
      <c r="X1065" s="139"/>
      <c r="Y1065" s="141"/>
      <c r="Z1065" s="119"/>
      <c r="AA1065" s="144">
        <f>W1065-P1066</f>
        <v>-7</v>
      </c>
    </row>
    <row r="1066" spans="1:27" s="145" customFormat="1" ht="36" customHeight="1" x14ac:dyDescent="0.25">
      <c r="A1066" s="119"/>
      <c r="B1066" s="139"/>
      <c r="C1066" s="119"/>
      <c r="D1066" s="166"/>
      <c r="E1066" s="119"/>
      <c r="F1066" s="190"/>
      <c r="G1066" s="119"/>
      <c r="H1066" s="187"/>
      <c r="I1066" s="147"/>
      <c r="J1066" s="146"/>
      <c r="K1066" s="146"/>
      <c r="L1066" s="146"/>
      <c r="M1066" s="146"/>
      <c r="N1066" s="119"/>
      <c r="O1066" s="141">
        <f t="shared" si="724"/>
        <v>0</v>
      </c>
      <c r="P1066" s="141">
        <f t="shared" si="725"/>
        <v>7</v>
      </c>
      <c r="Q1066" s="141">
        <f t="shared" si="726"/>
        <v>2</v>
      </c>
      <c r="R1066" s="139"/>
      <c r="S1066" s="143"/>
      <c r="T1066" s="139"/>
      <c r="U1066" s="143"/>
      <c r="V1066" s="139"/>
      <c r="W1066" s="143"/>
      <c r="X1066" s="139"/>
      <c r="Y1066" s="141"/>
      <c r="Z1066" s="119"/>
      <c r="AA1066" s="144">
        <f>W1066-P1072</f>
        <v>-7</v>
      </c>
    </row>
    <row r="1067" spans="1:27" s="145" customFormat="1" ht="36" customHeight="1" x14ac:dyDescent="0.25">
      <c r="A1067" s="119"/>
      <c r="B1067" s="139"/>
      <c r="C1067" s="119"/>
      <c r="D1067" s="166"/>
      <c r="E1067" s="119"/>
      <c r="F1067" s="190"/>
      <c r="G1067" s="119"/>
      <c r="H1067" s="187"/>
      <c r="I1067" s="147"/>
      <c r="J1067" s="146"/>
      <c r="K1067" s="146"/>
      <c r="L1067" s="146"/>
      <c r="M1067" s="146"/>
      <c r="N1067" s="119"/>
      <c r="O1067" s="141">
        <f t="shared" ref="O1067" si="739">B1067</f>
        <v>0</v>
      </c>
      <c r="P1067" s="141">
        <f t="shared" ref="P1067" si="740">O1067+7</f>
        <v>7</v>
      </c>
      <c r="Q1067" s="141">
        <f t="shared" ref="Q1067" si="741">O1067+2</f>
        <v>2</v>
      </c>
      <c r="R1067" s="139"/>
      <c r="S1067" s="143"/>
      <c r="T1067" s="139"/>
      <c r="U1067" s="143"/>
      <c r="V1067" s="139"/>
      <c r="W1067" s="143"/>
      <c r="X1067" s="139"/>
      <c r="Y1067" s="141"/>
      <c r="Z1067" s="119"/>
      <c r="AA1067" s="144"/>
    </row>
    <row r="1068" spans="1:27" s="145" customFormat="1" ht="36" customHeight="1" x14ac:dyDescent="0.25">
      <c r="A1068" s="119"/>
      <c r="B1068" s="139"/>
      <c r="C1068" s="119"/>
      <c r="D1068" s="166"/>
      <c r="E1068" s="119"/>
      <c r="F1068" s="190"/>
      <c r="G1068" s="119"/>
      <c r="H1068" s="187"/>
      <c r="I1068" s="147"/>
      <c r="J1068" s="146"/>
      <c r="K1068" s="146"/>
      <c r="L1068" s="146"/>
      <c r="M1068" s="149"/>
      <c r="N1068" s="119"/>
      <c r="O1068" s="141">
        <f t="shared" si="724"/>
        <v>0</v>
      </c>
      <c r="P1068" s="141">
        <f t="shared" si="725"/>
        <v>7</v>
      </c>
      <c r="Q1068" s="141">
        <f t="shared" si="726"/>
        <v>2</v>
      </c>
      <c r="R1068" s="139"/>
      <c r="S1068" s="143"/>
      <c r="T1068" s="139"/>
      <c r="U1068" s="143"/>
      <c r="V1068" s="139"/>
      <c r="W1068" s="143"/>
      <c r="X1068" s="139"/>
      <c r="Y1068" s="141"/>
      <c r="Z1068" s="119"/>
      <c r="AA1068" s="144">
        <f>W1068-P1075</f>
        <v>-7</v>
      </c>
    </row>
    <row r="1069" spans="1:27" s="145" customFormat="1" ht="36" customHeight="1" x14ac:dyDescent="0.25">
      <c r="A1069" s="119"/>
      <c r="B1069" s="139"/>
      <c r="C1069" s="119"/>
      <c r="D1069" s="166"/>
      <c r="E1069" s="119"/>
      <c r="F1069" s="190"/>
      <c r="G1069" s="119"/>
      <c r="H1069" s="187"/>
      <c r="I1069" s="147"/>
      <c r="J1069" s="146"/>
      <c r="K1069" s="146"/>
      <c r="L1069" s="146"/>
      <c r="M1069" s="149"/>
      <c r="N1069" s="119"/>
      <c r="O1069" s="141">
        <f t="shared" ref="O1069:O1072" si="742">B1069</f>
        <v>0</v>
      </c>
      <c r="P1069" s="141">
        <f t="shared" ref="P1069:P1072" si="743">O1069+7</f>
        <v>7</v>
      </c>
      <c r="Q1069" s="141">
        <f t="shared" ref="Q1069:Q1072" si="744">O1069+2</f>
        <v>2</v>
      </c>
      <c r="R1069" s="139"/>
      <c r="S1069" s="143"/>
      <c r="T1069" s="139"/>
      <c r="U1069" s="143"/>
      <c r="V1069" s="139"/>
      <c r="W1069" s="143"/>
      <c r="X1069" s="139"/>
      <c r="Y1069" s="141"/>
      <c r="Z1069" s="119"/>
      <c r="AA1069" s="144"/>
    </row>
    <row r="1070" spans="1:27" s="145" customFormat="1" ht="36" customHeight="1" x14ac:dyDescent="0.25">
      <c r="A1070" s="119"/>
      <c r="B1070" s="139"/>
      <c r="C1070" s="119"/>
      <c r="D1070" s="166"/>
      <c r="E1070" s="119"/>
      <c r="F1070" s="190"/>
      <c r="G1070" s="119"/>
      <c r="H1070" s="187"/>
      <c r="I1070" s="147"/>
      <c r="J1070" s="146"/>
      <c r="K1070" s="119"/>
      <c r="L1070" s="146"/>
      <c r="M1070" s="149"/>
      <c r="N1070" s="119"/>
      <c r="O1070" s="141">
        <f t="shared" si="742"/>
        <v>0</v>
      </c>
      <c r="P1070" s="141">
        <f t="shared" si="743"/>
        <v>7</v>
      </c>
      <c r="Q1070" s="141">
        <f t="shared" si="744"/>
        <v>2</v>
      </c>
      <c r="R1070" s="139"/>
      <c r="S1070" s="143"/>
      <c r="T1070" s="139"/>
      <c r="U1070" s="143"/>
      <c r="V1070" s="139"/>
      <c r="W1070" s="143"/>
      <c r="X1070" s="139"/>
      <c r="Y1070" s="141"/>
      <c r="Z1070" s="119"/>
      <c r="AA1070" s="144"/>
    </row>
    <row r="1071" spans="1:27" s="145" customFormat="1" ht="36" customHeight="1" x14ac:dyDescent="0.25">
      <c r="A1071" s="119"/>
      <c r="B1071" s="139"/>
      <c r="C1071" s="119"/>
      <c r="D1071" s="166"/>
      <c r="E1071" s="119"/>
      <c r="F1071" s="190"/>
      <c r="G1071" s="119"/>
      <c r="H1071" s="187"/>
      <c r="I1071" s="147"/>
      <c r="J1071" s="146"/>
      <c r="K1071" s="146"/>
      <c r="L1071" s="146"/>
      <c r="M1071" s="149"/>
      <c r="N1071" s="119"/>
      <c r="O1071" s="141">
        <f t="shared" ref="O1071" si="745">B1071</f>
        <v>0</v>
      </c>
      <c r="P1071" s="141">
        <f t="shared" ref="P1071" si="746">O1071+7</f>
        <v>7</v>
      </c>
      <c r="Q1071" s="141">
        <f t="shared" ref="Q1071" si="747">O1071+2</f>
        <v>2</v>
      </c>
      <c r="R1071" s="139"/>
      <c r="S1071" s="143"/>
      <c r="T1071" s="139"/>
      <c r="U1071" s="143"/>
      <c r="V1071" s="139"/>
      <c r="W1071" s="143"/>
      <c r="X1071" s="139"/>
      <c r="Y1071" s="141"/>
      <c r="Z1071" s="119"/>
      <c r="AA1071" s="144"/>
    </row>
    <row r="1072" spans="1:27" s="145" customFormat="1" ht="36" customHeight="1" x14ac:dyDescent="0.25">
      <c r="A1072" s="119"/>
      <c r="B1072" s="139"/>
      <c r="C1072" s="119"/>
      <c r="D1072" s="166"/>
      <c r="E1072" s="119"/>
      <c r="F1072" s="190"/>
      <c r="G1072" s="119"/>
      <c r="H1072" s="187"/>
      <c r="I1072" s="147"/>
      <c r="J1072" s="146"/>
      <c r="K1072" s="146"/>
      <c r="L1072" s="146"/>
      <c r="M1072" s="149"/>
      <c r="N1072" s="119"/>
      <c r="O1072" s="141">
        <f t="shared" si="742"/>
        <v>0</v>
      </c>
      <c r="P1072" s="141">
        <f t="shared" si="743"/>
        <v>7</v>
      </c>
      <c r="Q1072" s="141">
        <f t="shared" si="744"/>
        <v>2</v>
      </c>
      <c r="R1072" s="139"/>
      <c r="S1072" s="143"/>
      <c r="T1072" s="139"/>
      <c r="U1072" s="143"/>
      <c r="V1072" s="139"/>
      <c r="W1072" s="143"/>
      <c r="X1072" s="139"/>
      <c r="Y1072" s="141"/>
      <c r="Z1072" s="119"/>
      <c r="AA1072" s="144">
        <f>W1072-P1075</f>
        <v>-7</v>
      </c>
    </row>
    <row r="1073" spans="1:27" s="145" customFormat="1" ht="36" customHeight="1" x14ac:dyDescent="0.25">
      <c r="A1073" s="119"/>
      <c r="B1073" s="139"/>
      <c r="C1073" s="119"/>
      <c r="D1073" s="166"/>
      <c r="E1073" s="119"/>
      <c r="F1073" s="190"/>
      <c r="G1073" s="119"/>
      <c r="H1073" s="187"/>
      <c r="I1073" s="147"/>
      <c r="J1073" s="119"/>
      <c r="K1073" s="119"/>
      <c r="L1073" s="146"/>
      <c r="M1073" s="119"/>
      <c r="N1073" s="119"/>
      <c r="O1073" s="141">
        <f t="shared" si="724"/>
        <v>0</v>
      </c>
      <c r="P1073" s="141">
        <f t="shared" si="725"/>
        <v>7</v>
      </c>
      <c r="Q1073" s="141">
        <f t="shared" si="726"/>
        <v>2</v>
      </c>
      <c r="R1073" s="139"/>
      <c r="S1073" s="143"/>
      <c r="T1073" s="139"/>
      <c r="U1073" s="143"/>
      <c r="V1073" s="139"/>
      <c r="W1073" s="143"/>
      <c r="X1073" s="139"/>
      <c r="Y1073" s="141"/>
      <c r="Z1073" s="119"/>
      <c r="AA1073" s="144">
        <f>W1073-P1077</f>
        <v>-7</v>
      </c>
    </row>
    <row r="1074" spans="1:27" s="145" customFormat="1" ht="36" customHeight="1" x14ac:dyDescent="0.25">
      <c r="A1074" s="119"/>
      <c r="B1074" s="139"/>
      <c r="C1074" s="119"/>
      <c r="D1074" s="166"/>
      <c r="E1074" s="119"/>
      <c r="F1074" s="190"/>
      <c r="G1074" s="119"/>
      <c r="H1074" s="187"/>
      <c r="I1074" s="147"/>
      <c r="J1074" s="119"/>
      <c r="K1074" s="146"/>
      <c r="L1074" s="119"/>
      <c r="M1074" s="119"/>
      <c r="N1074" s="119"/>
      <c r="O1074" s="141">
        <f t="shared" si="724"/>
        <v>0</v>
      </c>
      <c r="P1074" s="141">
        <f t="shared" si="725"/>
        <v>7</v>
      </c>
      <c r="Q1074" s="141">
        <f t="shared" si="726"/>
        <v>2</v>
      </c>
      <c r="R1074" s="139"/>
      <c r="S1074" s="143"/>
      <c r="T1074" s="139"/>
      <c r="U1074" s="143"/>
      <c r="V1074" s="139"/>
      <c r="W1074" s="143"/>
      <c r="X1074" s="139"/>
      <c r="Y1074" s="141"/>
      <c r="Z1074" s="119"/>
      <c r="AA1074" s="144">
        <f>W1074-P1076</f>
        <v>-7</v>
      </c>
    </row>
    <row r="1075" spans="1:27" s="145" customFormat="1" ht="36" customHeight="1" x14ac:dyDescent="0.25">
      <c r="A1075" s="119"/>
      <c r="B1075" s="139"/>
      <c r="C1075" s="119"/>
      <c r="D1075" s="166"/>
      <c r="E1075" s="119"/>
      <c r="F1075" s="190"/>
      <c r="G1075" s="119"/>
      <c r="H1075" s="187"/>
      <c r="I1075" s="147"/>
      <c r="J1075" s="119"/>
      <c r="K1075" s="146"/>
      <c r="L1075" s="119"/>
      <c r="M1075" s="119"/>
      <c r="N1075" s="119"/>
      <c r="O1075" s="141">
        <f t="shared" ref="O1075" si="748">B1075</f>
        <v>0</v>
      </c>
      <c r="P1075" s="141">
        <f t="shared" ref="P1075" si="749">O1075+7</f>
        <v>7</v>
      </c>
      <c r="Q1075" s="141">
        <f t="shared" ref="Q1075" si="750">O1075+2</f>
        <v>2</v>
      </c>
      <c r="R1075" s="139"/>
      <c r="S1075" s="143"/>
      <c r="T1075" s="139"/>
      <c r="U1075" s="143"/>
      <c r="V1075" s="139"/>
      <c r="W1075" s="143"/>
      <c r="X1075" s="139"/>
      <c r="Y1075" s="141"/>
      <c r="Z1075" s="119"/>
      <c r="AA1075" s="144">
        <f>W1075-P1077</f>
        <v>-7</v>
      </c>
    </row>
    <row r="1076" spans="1:27" s="145" customFormat="1" ht="36" customHeight="1" x14ac:dyDescent="0.25">
      <c r="A1076" s="119"/>
      <c r="B1076" s="139"/>
      <c r="C1076" s="119"/>
      <c r="D1076" s="166"/>
      <c r="E1076" s="119"/>
      <c r="F1076" s="190"/>
      <c r="G1076" s="119"/>
      <c r="H1076" s="187"/>
      <c r="I1076" s="147"/>
      <c r="J1076" s="119"/>
      <c r="K1076" s="119"/>
      <c r="L1076" s="119"/>
      <c r="M1076" s="148"/>
      <c r="N1076" s="119"/>
      <c r="O1076" s="141">
        <f t="shared" ref="O1076" si="751">B1076</f>
        <v>0</v>
      </c>
      <c r="P1076" s="141">
        <f t="shared" ref="P1076" si="752">O1076+7</f>
        <v>7</v>
      </c>
      <c r="Q1076" s="141">
        <f t="shared" ref="Q1076" si="753">O1076+2</f>
        <v>2</v>
      </c>
      <c r="R1076" s="139"/>
      <c r="S1076" s="143"/>
      <c r="T1076" s="139"/>
      <c r="U1076" s="143"/>
      <c r="V1076" s="139"/>
      <c r="W1076" s="143"/>
      <c r="X1076" s="139"/>
      <c r="Y1076" s="141"/>
      <c r="Z1076" s="119"/>
      <c r="AA1076" s="144">
        <f>W1076-P1078</f>
        <v>-7</v>
      </c>
    </row>
    <row r="1077" spans="1:27" s="145" customFormat="1" ht="36" customHeight="1" x14ac:dyDescent="0.25">
      <c r="A1077" s="119"/>
      <c r="B1077" s="139"/>
      <c r="C1077" s="119"/>
      <c r="D1077" s="166"/>
      <c r="E1077" s="119"/>
      <c r="F1077" s="190"/>
      <c r="G1077" s="119"/>
      <c r="H1077" s="187"/>
      <c r="I1077" s="147"/>
      <c r="J1077" s="146"/>
      <c r="K1077" s="146"/>
      <c r="L1077" s="146"/>
      <c r="M1077" s="119"/>
      <c r="N1077" s="119"/>
      <c r="O1077" s="141">
        <f t="shared" si="724"/>
        <v>0</v>
      </c>
      <c r="P1077" s="141">
        <f t="shared" si="725"/>
        <v>7</v>
      </c>
      <c r="Q1077" s="141">
        <f t="shared" si="726"/>
        <v>2</v>
      </c>
      <c r="R1077" s="139"/>
      <c r="S1077" s="143"/>
      <c r="T1077" s="139"/>
      <c r="U1077" s="143"/>
      <c r="V1077" s="139"/>
      <c r="W1077" s="143"/>
      <c r="X1077" s="139"/>
      <c r="Y1077" s="141"/>
      <c r="Z1077" s="119"/>
      <c r="AA1077" s="144">
        <f>W1077-P1079</f>
        <v>-7</v>
      </c>
    </row>
    <row r="1078" spans="1:27" s="145" customFormat="1" ht="36" customHeight="1" x14ac:dyDescent="0.25">
      <c r="A1078" s="119"/>
      <c r="B1078" s="139"/>
      <c r="C1078" s="119"/>
      <c r="D1078" s="166"/>
      <c r="E1078" s="119"/>
      <c r="F1078" s="190"/>
      <c r="G1078" s="119"/>
      <c r="H1078" s="187"/>
      <c r="I1078" s="147"/>
      <c r="J1078" s="119"/>
      <c r="K1078" s="119"/>
      <c r="L1078" s="146"/>
      <c r="M1078" s="119"/>
      <c r="N1078" s="119"/>
      <c r="O1078" s="141">
        <f t="shared" si="724"/>
        <v>0</v>
      </c>
      <c r="P1078" s="141">
        <f t="shared" si="725"/>
        <v>7</v>
      </c>
      <c r="Q1078" s="141">
        <f t="shared" si="726"/>
        <v>2</v>
      </c>
      <c r="R1078" s="139"/>
      <c r="S1078" s="143"/>
      <c r="T1078" s="139"/>
      <c r="U1078" s="143"/>
      <c r="V1078" s="139"/>
      <c r="W1078" s="143"/>
      <c r="X1078" s="139"/>
      <c r="Y1078" s="139"/>
      <c r="Z1078" s="119"/>
      <c r="AA1078" s="144">
        <f>W1078-P1082</f>
        <v>-7</v>
      </c>
    </row>
    <row r="1079" spans="1:27" s="145" customFormat="1" ht="36" customHeight="1" x14ac:dyDescent="0.25">
      <c r="A1079" s="119"/>
      <c r="B1079" s="139"/>
      <c r="C1079" s="119"/>
      <c r="D1079" s="166"/>
      <c r="E1079" s="119"/>
      <c r="F1079" s="190"/>
      <c r="G1079" s="119"/>
      <c r="H1079" s="187"/>
      <c r="I1079" s="147"/>
      <c r="J1079" s="146"/>
      <c r="K1079" s="146"/>
      <c r="L1079" s="146"/>
      <c r="M1079" s="119"/>
      <c r="N1079" s="119"/>
      <c r="O1079" s="141">
        <f t="shared" si="724"/>
        <v>0</v>
      </c>
      <c r="P1079" s="141">
        <f t="shared" si="725"/>
        <v>7</v>
      </c>
      <c r="Q1079" s="141">
        <f t="shared" si="726"/>
        <v>2</v>
      </c>
      <c r="R1079" s="139"/>
      <c r="S1079" s="143"/>
      <c r="T1079" s="139"/>
      <c r="U1079" s="143"/>
      <c r="V1079" s="139"/>
      <c r="W1079" s="143"/>
      <c r="X1079" s="139"/>
      <c r="Y1079" s="141"/>
      <c r="Z1079" s="119"/>
      <c r="AA1079" s="144">
        <f>W1079-P1082</f>
        <v>-7</v>
      </c>
    </row>
    <row r="1080" spans="1:27" s="145" customFormat="1" ht="36" customHeight="1" x14ac:dyDescent="0.25">
      <c r="A1080" s="119"/>
      <c r="B1080" s="139"/>
      <c r="C1080" s="119"/>
      <c r="D1080" s="166"/>
      <c r="E1080" s="119"/>
      <c r="F1080" s="190"/>
      <c r="G1080" s="119"/>
      <c r="H1080" s="187"/>
      <c r="I1080" s="147"/>
      <c r="J1080" s="119"/>
      <c r="K1080" s="146"/>
      <c r="L1080" s="119"/>
      <c r="M1080" s="119"/>
      <c r="N1080" s="119"/>
      <c r="O1080" s="141">
        <f t="shared" ref="O1080" si="754">B1080</f>
        <v>0</v>
      </c>
      <c r="P1080" s="141">
        <f t="shared" ref="P1080" si="755">O1080+7</f>
        <v>7</v>
      </c>
      <c r="Q1080" s="141">
        <f t="shared" ref="Q1080" si="756">O1080+2</f>
        <v>2</v>
      </c>
      <c r="R1080" s="139"/>
      <c r="S1080" s="143"/>
      <c r="T1080" s="139"/>
      <c r="U1080" s="143"/>
      <c r="V1080" s="139"/>
      <c r="W1080" s="143"/>
      <c r="X1080" s="139"/>
      <c r="Y1080" s="141"/>
      <c r="Z1080" s="119"/>
      <c r="AA1080" s="144">
        <f>W1080-P1083</f>
        <v>-7</v>
      </c>
    </row>
    <row r="1081" spans="1:27" s="145" customFormat="1" ht="36" customHeight="1" x14ac:dyDescent="0.25">
      <c r="A1081" s="119"/>
      <c r="B1081" s="139"/>
      <c r="C1081" s="119"/>
      <c r="D1081" s="166"/>
      <c r="E1081" s="119"/>
      <c r="F1081" s="190"/>
      <c r="G1081" s="119"/>
      <c r="H1081" s="187"/>
      <c r="I1081" s="147"/>
      <c r="J1081" s="119"/>
      <c r="K1081" s="146"/>
      <c r="L1081" s="146"/>
      <c r="M1081" s="119"/>
      <c r="N1081" s="119"/>
      <c r="O1081" s="141">
        <f t="shared" si="724"/>
        <v>0</v>
      </c>
      <c r="P1081" s="141">
        <f t="shared" si="725"/>
        <v>7</v>
      </c>
      <c r="Q1081" s="141">
        <f t="shared" si="726"/>
        <v>2</v>
      </c>
      <c r="R1081" s="139"/>
      <c r="S1081" s="143"/>
      <c r="T1081" s="139"/>
      <c r="U1081" s="143"/>
      <c r="V1081" s="139"/>
      <c r="W1081" s="143"/>
      <c r="X1081" s="139"/>
      <c r="Y1081" s="141"/>
      <c r="Z1081" s="119"/>
      <c r="AA1081" s="144">
        <f>W1081-P1085</f>
        <v>-7</v>
      </c>
    </row>
    <row r="1082" spans="1:27" s="145" customFormat="1" ht="36" customHeight="1" x14ac:dyDescent="0.25">
      <c r="A1082" s="119"/>
      <c r="B1082" s="139"/>
      <c r="C1082" s="119"/>
      <c r="D1082" s="166"/>
      <c r="E1082" s="119"/>
      <c r="F1082" s="190"/>
      <c r="G1082" s="119"/>
      <c r="H1082" s="187"/>
      <c r="I1082" s="147"/>
      <c r="J1082" s="119"/>
      <c r="K1082" s="146"/>
      <c r="L1082" s="119"/>
      <c r="M1082" s="119"/>
      <c r="N1082" s="119"/>
      <c r="O1082" s="141">
        <f t="shared" si="724"/>
        <v>0</v>
      </c>
      <c r="P1082" s="141">
        <f t="shared" si="725"/>
        <v>7</v>
      </c>
      <c r="Q1082" s="141">
        <f t="shared" si="726"/>
        <v>2</v>
      </c>
      <c r="R1082" s="139"/>
      <c r="S1082" s="143"/>
      <c r="T1082" s="139"/>
      <c r="U1082" s="143"/>
      <c r="V1082" s="139"/>
      <c r="W1082" s="143"/>
      <c r="X1082" s="139"/>
      <c r="Y1082" s="141"/>
      <c r="Z1082" s="119"/>
      <c r="AA1082" s="144">
        <f>W1082-P1089</f>
        <v>-7</v>
      </c>
    </row>
    <row r="1083" spans="1:27" s="145" customFormat="1" ht="36" customHeight="1" x14ac:dyDescent="0.25">
      <c r="A1083" s="119"/>
      <c r="B1083" s="139"/>
      <c r="C1083" s="119"/>
      <c r="D1083" s="166"/>
      <c r="E1083" s="119"/>
      <c r="F1083" s="190"/>
      <c r="G1083" s="119"/>
      <c r="H1083" s="187"/>
      <c r="I1083" s="147"/>
      <c r="J1083" s="119"/>
      <c r="K1083" s="119"/>
      <c r="L1083" s="146"/>
      <c r="M1083" s="148"/>
      <c r="N1083" s="119"/>
      <c r="O1083" s="141">
        <f t="shared" si="724"/>
        <v>0</v>
      </c>
      <c r="P1083" s="141">
        <f t="shared" si="725"/>
        <v>7</v>
      </c>
      <c r="Q1083" s="141">
        <f t="shared" si="726"/>
        <v>2</v>
      </c>
      <c r="R1083" s="139"/>
      <c r="S1083" s="143"/>
      <c r="T1083" s="139"/>
      <c r="U1083" s="143"/>
      <c r="V1083" s="139"/>
      <c r="W1083" s="143"/>
      <c r="X1083" s="139"/>
      <c r="Y1083" s="141"/>
      <c r="Z1083" s="119"/>
      <c r="AA1083" s="144">
        <f>W1083-P1090</f>
        <v>-7</v>
      </c>
    </row>
    <row r="1084" spans="1:27" s="145" customFormat="1" ht="36" customHeight="1" x14ac:dyDescent="0.25">
      <c r="A1084" s="119"/>
      <c r="B1084" s="139"/>
      <c r="C1084" s="119"/>
      <c r="D1084" s="166"/>
      <c r="E1084" s="119"/>
      <c r="F1084" s="190"/>
      <c r="G1084" s="119"/>
      <c r="H1084" s="187"/>
      <c r="I1084" s="147"/>
      <c r="J1084" s="119"/>
      <c r="K1084" s="119"/>
      <c r="L1084" s="146"/>
      <c r="M1084" s="148"/>
      <c r="N1084" s="119"/>
      <c r="O1084" s="141">
        <f t="shared" ref="O1084" si="757">B1084</f>
        <v>0</v>
      </c>
      <c r="P1084" s="141">
        <f t="shared" ref="P1084" si="758">O1084+7</f>
        <v>7</v>
      </c>
      <c r="Q1084" s="141">
        <f t="shared" ref="Q1084" si="759">O1084+2</f>
        <v>2</v>
      </c>
      <c r="R1084" s="139"/>
      <c r="S1084" s="143"/>
      <c r="T1084" s="139"/>
      <c r="U1084" s="143"/>
      <c r="V1084" s="139"/>
      <c r="W1084" s="143"/>
      <c r="X1084" s="139"/>
      <c r="Y1084" s="141"/>
      <c r="Z1084" s="119"/>
      <c r="AA1084" s="144">
        <f>W1084-P1092</f>
        <v>-7</v>
      </c>
    </row>
    <row r="1085" spans="1:27" s="145" customFormat="1" ht="36" customHeight="1" x14ac:dyDescent="0.25">
      <c r="A1085" s="119"/>
      <c r="B1085" s="139"/>
      <c r="C1085" s="119"/>
      <c r="D1085" s="166"/>
      <c r="E1085" s="119"/>
      <c r="F1085" s="190"/>
      <c r="G1085" s="119"/>
      <c r="H1085" s="187"/>
      <c r="I1085" s="147"/>
      <c r="J1085" s="146"/>
      <c r="K1085" s="146"/>
      <c r="L1085" s="146"/>
      <c r="M1085" s="152"/>
      <c r="N1085" s="119"/>
      <c r="O1085" s="141">
        <f t="shared" si="724"/>
        <v>0</v>
      </c>
      <c r="P1085" s="141">
        <f t="shared" si="725"/>
        <v>7</v>
      </c>
      <c r="Q1085" s="141">
        <f t="shared" si="726"/>
        <v>2</v>
      </c>
      <c r="R1085" s="139"/>
      <c r="S1085" s="143"/>
      <c r="T1085" s="139"/>
      <c r="U1085" s="143"/>
      <c r="V1085" s="139"/>
      <c r="W1085" s="143"/>
      <c r="X1085" s="139"/>
      <c r="Y1085" s="141"/>
      <c r="Z1085" s="119"/>
      <c r="AA1085" s="144">
        <f>W1085-P1090</f>
        <v>-7</v>
      </c>
    </row>
    <row r="1086" spans="1:27" s="145" customFormat="1" ht="36" customHeight="1" x14ac:dyDescent="0.25">
      <c r="A1086" s="119"/>
      <c r="B1086" s="139"/>
      <c r="C1086" s="119"/>
      <c r="D1086" s="166"/>
      <c r="E1086" s="119"/>
      <c r="F1086" s="190"/>
      <c r="G1086" s="119"/>
      <c r="H1086" s="187"/>
      <c r="I1086" s="147"/>
      <c r="J1086" s="119"/>
      <c r="K1086" s="146"/>
      <c r="L1086" s="146"/>
      <c r="M1086" s="119"/>
      <c r="N1086" s="119"/>
      <c r="O1086" s="141">
        <f t="shared" ref="O1086:O1087" si="760">B1086</f>
        <v>0</v>
      </c>
      <c r="P1086" s="141">
        <f t="shared" ref="P1086:P1087" si="761">O1086+7</f>
        <v>7</v>
      </c>
      <c r="Q1086" s="141">
        <f t="shared" ref="Q1086:Q1087" si="762">O1086+2</f>
        <v>2</v>
      </c>
      <c r="R1086" s="139"/>
      <c r="S1086" s="143"/>
      <c r="T1086" s="139"/>
      <c r="U1086" s="143"/>
      <c r="V1086" s="139"/>
      <c r="W1086" s="143"/>
      <c r="X1086" s="139"/>
      <c r="Y1086" s="141"/>
      <c r="Z1086" s="119"/>
      <c r="AA1086" s="144">
        <f>W1086-P1087</f>
        <v>-7</v>
      </c>
    </row>
    <row r="1087" spans="1:27" s="145" customFormat="1" ht="36" customHeight="1" x14ac:dyDescent="0.25">
      <c r="A1087" s="119"/>
      <c r="B1087" s="139"/>
      <c r="C1087" s="119"/>
      <c r="D1087" s="166"/>
      <c r="E1087" s="119"/>
      <c r="F1087" s="190"/>
      <c r="G1087" s="119"/>
      <c r="H1087" s="187"/>
      <c r="I1087" s="147"/>
      <c r="J1087" s="146"/>
      <c r="K1087" s="146"/>
      <c r="L1087" s="146"/>
      <c r="M1087" s="119"/>
      <c r="N1087" s="119"/>
      <c r="O1087" s="141">
        <f t="shared" si="760"/>
        <v>0</v>
      </c>
      <c r="P1087" s="141">
        <f t="shared" si="761"/>
        <v>7</v>
      </c>
      <c r="Q1087" s="141">
        <f t="shared" si="762"/>
        <v>2</v>
      </c>
      <c r="R1087" s="139"/>
      <c r="S1087" s="143"/>
      <c r="T1087" s="139"/>
      <c r="U1087" s="143"/>
      <c r="V1087" s="139"/>
      <c r="W1087" s="143"/>
      <c r="X1087" s="139"/>
      <c r="Y1087" s="141"/>
      <c r="Z1087" s="119"/>
      <c r="AA1087" s="144">
        <f>W1087-P1088</f>
        <v>-7</v>
      </c>
    </row>
    <row r="1088" spans="1:27" s="145" customFormat="1" ht="36" customHeight="1" x14ac:dyDescent="0.25">
      <c r="A1088" s="119"/>
      <c r="B1088" s="139"/>
      <c r="C1088" s="119"/>
      <c r="D1088" s="166"/>
      <c r="E1088" s="119"/>
      <c r="F1088" s="190"/>
      <c r="G1088" s="119"/>
      <c r="H1088" s="187"/>
      <c r="I1088" s="147"/>
      <c r="J1088" s="119"/>
      <c r="K1088" s="146"/>
      <c r="L1088" s="146"/>
      <c r="M1088" s="119"/>
      <c r="N1088" s="119"/>
      <c r="O1088" s="141">
        <f t="shared" si="724"/>
        <v>0</v>
      </c>
      <c r="P1088" s="141">
        <f t="shared" si="725"/>
        <v>7</v>
      </c>
      <c r="Q1088" s="141">
        <f t="shared" si="726"/>
        <v>2</v>
      </c>
      <c r="R1088" s="139"/>
      <c r="S1088" s="143"/>
      <c r="T1088" s="139"/>
      <c r="U1088" s="143"/>
      <c r="V1088" s="139"/>
      <c r="W1088" s="143"/>
      <c r="X1088" s="139"/>
      <c r="Y1088" s="141"/>
      <c r="Z1088" s="119"/>
      <c r="AA1088" s="144">
        <f>W1088-P1089</f>
        <v>-7</v>
      </c>
    </row>
    <row r="1089" spans="1:27" s="145" customFormat="1" ht="36" customHeight="1" x14ac:dyDescent="0.25">
      <c r="A1089" s="119"/>
      <c r="B1089" s="139"/>
      <c r="C1089" s="119"/>
      <c r="D1089" s="166"/>
      <c r="E1089" s="119"/>
      <c r="F1089" s="190"/>
      <c r="G1089" s="139"/>
      <c r="H1089" s="187"/>
      <c r="I1089" s="147"/>
      <c r="J1089" s="146"/>
      <c r="K1089" s="146"/>
      <c r="L1089" s="146"/>
      <c r="M1089" s="119"/>
      <c r="N1089" s="119"/>
      <c r="O1089" s="141">
        <f t="shared" si="724"/>
        <v>0</v>
      </c>
      <c r="P1089" s="141">
        <f t="shared" si="725"/>
        <v>7</v>
      </c>
      <c r="Q1089" s="141">
        <f t="shared" si="726"/>
        <v>2</v>
      </c>
      <c r="R1089" s="139"/>
      <c r="S1089" s="143"/>
      <c r="T1089" s="139"/>
      <c r="U1089" s="143"/>
      <c r="V1089" s="139"/>
      <c r="W1089" s="143"/>
      <c r="X1089" s="139"/>
      <c r="Y1089" s="141"/>
      <c r="Z1089" s="119"/>
      <c r="AA1089" s="144">
        <f>W1089-P1090</f>
        <v>-7</v>
      </c>
    </row>
    <row r="1090" spans="1:27" s="145" customFormat="1" ht="36" customHeight="1" x14ac:dyDescent="0.25">
      <c r="A1090" s="119"/>
      <c r="B1090" s="139"/>
      <c r="C1090" s="119"/>
      <c r="D1090" s="166"/>
      <c r="E1090" s="119"/>
      <c r="F1090" s="190"/>
      <c r="G1090" s="119"/>
      <c r="H1090" s="187"/>
      <c r="I1090" s="147"/>
      <c r="J1090" s="119"/>
      <c r="K1090" s="119"/>
      <c r="L1090" s="119"/>
      <c r="M1090" s="153"/>
      <c r="N1090" s="119"/>
      <c r="O1090" s="141">
        <f t="shared" si="724"/>
        <v>0</v>
      </c>
      <c r="P1090" s="141">
        <f t="shared" si="725"/>
        <v>7</v>
      </c>
      <c r="Q1090" s="141">
        <f t="shared" si="726"/>
        <v>2</v>
      </c>
      <c r="R1090" s="139"/>
      <c r="S1090" s="143"/>
      <c r="T1090" s="139"/>
      <c r="U1090" s="143"/>
      <c r="V1090" s="139"/>
      <c r="W1090" s="143"/>
      <c r="X1090" s="139"/>
      <c r="Y1090" s="141"/>
      <c r="Z1090" s="119"/>
      <c r="AA1090" s="144">
        <f>W1090-P1092</f>
        <v>-7</v>
      </c>
    </row>
    <row r="1091" spans="1:27" s="145" customFormat="1" ht="36" customHeight="1" x14ac:dyDescent="0.25">
      <c r="A1091" s="119"/>
      <c r="B1091" s="139"/>
      <c r="C1091" s="119"/>
      <c r="D1091" s="166"/>
      <c r="E1091" s="119"/>
      <c r="F1091" s="190"/>
      <c r="G1091" s="119"/>
      <c r="H1091" s="187"/>
      <c r="I1091" s="147"/>
      <c r="J1091" s="146"/>
      <c r="K1091" s="119"/>
      <c r="L1091" s="119"/>
      <c r="M1091" s="153"/>
      <c r="N1091" s="119"/>
      <c r="O1091" s="141">
        <f t="shared" ref="O1091" si="763">B1091</f>
        <v>0</v>
      </c>
      <c r="P1091" s="141">
        <f t="shared" ref="P1091" si="764">O1091+7</f>
        <v>7</v>
      </c>
      <c r="Q1091" s="141">
        <f t="shared" ref="Q1091" si="765">O1091+2</f>
        <v>2</v>
      </c>
      <c r="R1091" s="139"/>
      <c r="S1091" s="143"/>
      <c r="T1091" s="139"/>
      <c r="U1091" s="143"/>
      <c r="V1091" s="139"/>
      <c r="W1091" s="143"/>
      <c r="X1091" s="139"/>
      <c r="Y1091" s="141"/>
      <c r="Z1091" s="119"/>
      <c r="AA1091" s="144">
        <f>W1091-P1093</f>
        <v>-7</v>
      </c>
    </row>
    <row r="1092" spans="1:27" s="145" customFormat="1" ht="36" customHeight="1" x14ac:dyDescent="0.25">
      <c r="A1092" s="119"/>
      <c r="B1092" s="139"/>
      <c r="C1092" s="119"/>
      <c r="D1092" s="166"/>
      <c r="E1092" s="119"/>
      <c r="F1092" s="190"/>
      <c r="G1092" s="119"/>
      <c r="H1092" s="187"/>
      <c r="I1092" s="147"/>
      <c r="J1092" s="146"/>
      <c r="K1092" s="146"/>
      <c r="L1092" s="119"/>
      <c r="M1092" s="119"/>
      <c r="N1092" s="119"/>
      <c r="O1092" s="141">
        <f t="shared" si="724"/>
        <v>0</v>
      </c>
      <c r="P1092" s="141">
        <f t="shared" si="725"/>
        <v>7</v>
      </c>
      <c r="Q1092" s="141">
        <f t="shared" si="726"/>
        <v>2</v>
      </c>
      <c r="R1092" s="139"/>
      <c r="S1092" s="143"/>
      <c r="T1092" s="139"/>
      <c r="U1092" s="143"/>
      <c r="V1092" s="139"/>
      <c r="W1092" s="143"/>
      <c r="X1092" s="139"/>
      <c r="Y1092" s="141"/>
      <c r="Z1092" s="119"/>
      <c r="AA1092" s="144">
        <f>W1092-P1093</f>
        <v>-7</v>
      </c>
    </row>
    <row r="1093" spans="1:27" s="145" customFormat="1" ht="36" customHeight="1" x14ac:dyDescent="0.25">
      <c r="A1093" s="119"/>
      <c r="B1093" s="139"/>
      <c r="C1093" s="119"/>
      <c r="D1093" s="166"/>
      <c r="E1093" s="119"/>
      <c r="F1093" s="190"/>
      <c r="G1093" s="119"/>
      <c r="H1093" s="187"/>
      <c r="I1093" s="147"/>
      <c r="J1093" s="119"/>
      <c r="K1093" s="146"/>
      <c r="L1093" s="146"/>
      <c r="M1093" s="119"/>
      <c r="N1093" s="119"/>
      <c r="O1093" s="141">
        <f t="shared" si="724"/>
        <v>0</v>
      </c>
      <c r="P1093" s="141">
        <f t="shared" si="725"/>
        <v>7</v>
      </c>
      <c r="Q1093" s="141">
        <f t="shared" si="726"/>
        <v>2</v>
      </c>
      <c r="R1093" s="139"/>
      <c r="S1093" s="143"/>
      <c r="T1093" s="139"/>
      <c r="U1093" s="143"/>
      <c r="V1093" s="139"/>
      <c r="W1093" s="143"/>
      <c r="X1093" s="139"/>
      <c r="Y1093" s="141"/>
      <c r="Z1093" s="119"/>
      <c r="AA1093" s="144">
        <f>W1093-P1098</f>
        <v>-7</v>
      </c>
    </row>
    <row r="1094" spans="1:27" s="145" customFormat="1" ht="36" customHeight="1" x14ac:dyDescent="0.25">
      <c r="A1094" s="119"/>
      <c r="B1094" s="139"/>
      <c r="C1094" s="119"/>
      <c r="D1094" s="166"/>
      <c r="E1094" s="119"/>
      <c r="F1094" s="190"/>
      <c r="G1094" s="119"/>
      <c r="H1094" s="187"/>
      <c r="I1094" s="147"/>
      <c r="J1094" s="119"/>
      <c r="K1094" s="146"/>
      <c r="L1094" s="146"/>
      <c r="M1094" s="119"/>
      <c r="N1094" s="119"/>
      <c r="O1094" s="141">
        <f t="shared" ref="O1094" si="766">B1094</f>
        <v>0</v>
      </c>
      <c r="P1094" s="141">
        <f t="shared" ref="P1094" si="767">O1094+7</f>
        <v>7</v>
      </c>
      <c r="Q1094" s="141">
        <f t="shared" ref="Q1094" si="768">O1094+2</f>
        <v>2</v>
      </c>
      <c r="R1094" s="139"/>
      <c r="S1094" s="143"/>
      <c r="T1094" s="139"/>
      <c r="U1094" s="143"/>
      <c r="V1094" s="139"/>
      <c r="W1094" s="143"/>
      <c r="X1094" s="139"/>
      <c r="Y1094" s="141"/>
      <c r="Z1094" s="119"/>
      <c r="AA1094" s="144">
        <f>W1094-P1099</f>
        <v>-7</v>
      </c>
    </row>
    <row r="1095" spans="1:27" s="145" customFormat="1" ht="36" customHeight="1" x14ac:dyDescent="0.25">
      <c r="A1095" s="119"/>
      <c r="B1095" s="139"/>
      <c r="C1095" s="119"/>
      <c r="D1095" s="166"/>
      <c r="E1095" s="119"/>
      <c r="F1095" s="190"/>
      <c r="G1095" s="119"/>
      <c r="H1095" s="187"/>
      <c r="I1095" s="147"/>
      <c r="J1095" s="119"/>
      <c r="K1095" s="146"/>
      <c r="L1095" s="146"/>
      <c r="M1095" s="119"/>
      <c r="N1095" s="119"/>
      <c r="O1095" s="141">
        <f t="shared" si="724"/>
        <v>0</v>
      </c>
      <c r="P1095" s="141">
        <f t="shared" si="725"/>
        <v>7</v>
      </c>
      <c r="Q1095" s="141">
        <f t="shared" si="726"/>
        <v>2</v>
      </c>
      <c r="R1095" s="139"/>
      <c r="S1095" s="143"/>
      <c r="T1095" s="139"/>
      <c r="U1095" s="143"/>
      <c r="V1095" s="139"/>
      <c r="W1095" s="143"/>
      <c r="X1095" s="139"/>
      <c r="Y1095" s="141"/>
      <c r="Z1095" s="119"/>
      <c r="AA1095" s="144">
        <f>W1095-P1100</f>
        <v>-7</v>
      </c>
    </row>
    <row r="1096" spans="1:27" s="145" customFormat="1" ht="36" customHeight="1" x14ac:dyDescent="0.25">
      <c r="A1096" s="119"/>
      <c r="B1096" s="139"/>
      <c r="C1096" s="119"/>
      <c r="D1096" s="166"/>
      <c r="E1096" s="119"/>
      <c r="F1096" s="190"/>
      <c r="G1096" s="119"/>
      <c r="H1096" s="187"/>
      <c r="I1096" s="147"/>
      <c r="J1096" s="119"/>
      <c r="K1096" s="146"/>
      <c r="L1096" s="146"/>
      <c r="M1096" s="119"/>
      <c r="N1096" s="119"/>
      <c r="O1096" s="141">
        <f>B1096</f>
        <v>0</v>
      </c>
      <c r="P1096" s="141">
        <f t="shared" si="725"/>
        <v>7</v>
      </c>
      <c r="Q1096" s="141">
        <f t="shared" si="726"/>
        <v>2</v>
      </c>
      <c r="R1096" s="139"/>
      <c r="S1096" s="143"/>
      <c r="T1096" s="139"/>
      <c r="U1096" s="143"/>
      <c r="V1096" s="139"/>
      <c r="W1096" s="143"/>
      <c r="X1096" s="139"/>
      <c r="Y1096" s="141"/>
      <c r="Z1096" s="119"/>
      <c r="AA1096" s="144">
        <f>W1096-P1101</f>
        <v>-7</v>
      </c>
    </row>
    <row r="1097" spans="1:27" s="145" customFormat="1" ht="36" customHeight="1" x14ac:dyDescent="0.25">
      <c r="A1097" s="119"/>
      <c r="B1097" s="139"/>
      <c r="C1097" s="119"/>
      <c r="D1097" s="166"/>
      <c r="E1097" s="119"/>
      <c r="F1097" s="190"/>
      <c r="G1097" s="119"/>
      <c r="H1097" s="187"/>
      <c r="I1097" s="147"/>
      <c r="J1097" s="119"/>
      <c r="K1097" s="146"/>
      <c r="L1097" s="146"/>
      <c r="M1097" s="119"/>
      <c r="N1097" s="119"/>
      <c r="O1097" s="141">
        <f>B1097</f>
        <v>0</v>
      </c>
      <c r="P1097" s="141">
        <f t="shared" ref="P1097" si="769">O1097+7</f>
        <v>7</v>
      </c>
      <c r="Q1097" s="141">
        <f t="shared" ref="Q1097" si="770">O1097+2</f>
        <v>2</v>
      </c>
      <c r="R1097" s="139"/>
      <c r="S1097" s="143"/>
      <c r="T1097" s="139"/>
      <c r="U1097" s="143"/>
      <c r="V1097" s="139"/>
      <c r="W1097" s="143"/>
      <c r="X1097" s="139"/>
      <c r="Y1097" s="141"/>
      <c r="Z1097" s="119"/>
      <c r="AA1097" s="144">
        <f>W1097-P1099</f>
        <v>-7</v>
      </c>
    </row>
    <row r="1098" spans="1:27" s="145" customFormat="1" ht="36" customHeight="1" x14ac:dyDescent="0.25">
      <c r="A1098" s="119"/>
      <c r="B1098" s="139"/>
      <c r="C1098" s="119"/>
      <c r="D1098" s="166"/>
      <c r="E1098" s="119"/>
      <c r="F1098" s="190"/>
      <c r="G1098" s="119"/>
      <c r="H1098" s="187"/>
      <c r="I1098" s="147"/>
      <c r="J1098" s="119"/>
      <c r="K1098" s="146"/>
      <c r="L1098" s="146"/>
      <c r="M1098" s="119"/>
      <c r="N1098" s="119"/>
      <c r="O1098" s="141">
        <f t="shared" si="724"/>
        <v>0</v>
      </c>
      <c r="P1098" s="141">
        <f t="shared" si="725"/>
        <v>7</v>
      </c>
      <c r="Q1098" s="141">
        <f t="shared" si="726"/>
        <v>2</v>
      </c>
      <c r="R1098" s="139"/>
      <c r="S1098" s="143"/>
      <c r="T1098" s="139"/>
      <c r="U1098" s="143"/>
      <c r="V1098" s="139"/>
      <c r="W1098" s="143"/>
      <c r="X1098" s="139"/>
      <c r="Y1098" s="141"/>
      <c r="Z1098" s="119"/>
      <c r="AA1098" s="144">
        <f>W1098-P1100</f>
        <v>-7</v>
      </c>
    </row>
    <row r="1099" spans="1:27" s="145" customFormat="1" ht="36" customHeight="1" x14ac:dyDescent="0.25">
      <c r="A1099" s="119"/>
      <c r="B1099" s="139"/>
      <c r="C1099" s="119"/>
      <c r="D1099" s="166"/>
      <c r="E1099" s="119"/>
      <c r="F1099" s="190"/>
      <c r="G1099" s="119"/>
      <c r="H1099" s="187"/>
      <c r="I1099" s="147"/>
      <c r="J1099" s="146"/>
      <c r="K1099" s="146"/>
      <c r="L1099" s="146"/>
      <c r="M1099" s="119"/>
      <c r="N1099" s="119"/>
      <c r="O1099" s="141">
        <f t="shared" si="724"/>
        <v>0</v>
      </c>
      <c r="P1099" s="141">
        <f t="shared" si="725"/>
        <v>7</v>
      </c>
      <c r="Q1099" s="141">
        <f t="shared" si="726"/>
        <v>2</v>
      </c>
      <c r="R1099" s="139"/>
      <c r="S1099" s="143"/>
      <c r="T1099" s="139"/>
      <c r="U1099" s="143"/>
      <c r="V1099" s="139"/>
      <c r="W1099" s="143"/>
      <c r="X1099" s="139"/>
      <c r="Y1099" s="141"/>
      <c r="Z1099" s="119"/>
      <c r="AA1099" s="144">
        <f>W1099-P1101</f>
        <v>-7</v>
      </c>
    </row>
    <row r="1100" spans="1:27" s="145" customFormat="1" ht="36" customHeight="1" x14ac:dyDescent="0.25">
      <c r="A1100" s="119"/>
      <c r="B1100" s="139"/>
      <c r="C1100" s="119"/>
      <c r="D1100" s="166"/>
      <c r="E1100" s="119"/>
      <c r="F1100" s="190"/>
      <c r="G1100" s="119"/>
      <c r="H1100" s="187"/>
      <c r="I1100" s="147"/>
      <c r="J1100" s="119"/>
      <c r="K1100" s="119"/>
      <c r="L1100" s="119"/>
      <c r="M1100" s="119"/>
      <c r="N1100" s="119"/>
      <c r="O1100" s="141">
        <f t="shared" si="724"/>
        <v>0</v>
      </c>
      <c r="P1100" s="141">
        <f t="shared" si="725"/>
        <v>7</v>
      </c>
      <c r="Q1100" s="141">
        <f t="shared" si="726"/>
        <v>2</v>
      </c>
      <c r="R1100" s="139"/>
      <c r="S1100" s="143"/>
      <c r="T1100" s="139"/>
      <c r="U1100" s="143"/>
      <c r="V1100" s="139"/>
      <c r="W1100" s="143"/>
      <c r="X1100" s="139"/>
      <c r="Y1100" s="141"/>
      <c r="Z1100" s="119"/>
      <c r="AA1100" s="144">
        <f>W1100-P1101</f>
        <v>-7</v>
      </c>
    </row>
    <row r="1101" spans="1:27" s="145" customFormat="1" ht="36" customHeight="1" x14ac:dyDescent="0.25">
      <c r="A1101" s="119"/>
      <c r="B1101" s="139"/>
      <c r="C1101" s="119"/>
      <c r="D1101" s="166"/>
      <c r="E1101" s="119"/>
      <c r="F1101" s="190"/>
      <c r="G1101" s="119"/>
      <c r="H1101" s="187"/>
      <c r="I1101" s="147"/>
      <c r="J1101" s="119"/>
      <c r="K1101" s="146"/>
      <c r="L1101" s="146"/>
      <c r="M1101" s="119"/>
      <c r="N1101" s="119"/>
      <c r="O1101" s="141">
        <f t="shared" si="724"/>
        <v>0</v>
      </c>
      <c r="P1101" s="141">
        <f t="shared" si="725"/>
        <v>7</v>
      </c>
      <c r="Q1101" s="141">
        <f t="shared" si="726"/>
        <v>2</v>
      </c>
      <c r="R1101" s="139"/>
      <c r="S1101" s="143"/>
      <c r="T1101" s="139"/>
      <c r="U1101" s="143"/>
      <c r="V1101" s="139"/>
      <c r="W1101" s="143"/>
      <c r="X1101" s="139"/>
      <c r="Y1101" s="141"/>
      <c r="Z1101" s="119"/>
      <c r="AA1101" s="144">
        <f>W1101-P1103</f>
        <v>-7</v>
      </c>
    </row>
    <row r="1102" spans="1:27" s="145" customFormat="1" ht="36" customHeight="1" x14ac:dyDescent="0.25">
      <c r="A1102" s="119"/>
      <c r="B1102" s="139"/>
      <c r="C1102" s="119"/>
      <c r="D1102" s="166"/>
      <c r="E1102" s="119"/>
      <c r="F1102" s="190"/>
      <c r="G1102" s="119"/>
      <c r="H1102" s="187"/>
      <c r="I1102" s="147"/>
      <c r="J1102" s="119"/>
      <c r="K1102" s="119"/>
      <c r="L1102" s="119"/>
      <c r="M1102" s="119"/>
      <c r="N1102" s="119"/>
      <c r="O1102" s="141">
        <f t="shared" si="724"/>
        <v>0</v>
      </c>
      <c r="P1102" s="141">
        <f t="shared" si="725"/>
        <v>7</v>
      </c>
      <c r="Q1102" s="141">
        <f t="shared" si="726"/>
        <v>2</v>
      </c>
      <c r="R1102" s="139"/>
      <c r="S1102" s="143"/>
      <c r="T1102" s="139"/>
      <c r="U1102" s="143"/>
      <c r="V1102" s="139"/>
      <c r="W1102" s="143"/>
      <c r="X1102" s="139"/>
      <c r="Y1102" s="141"/>
      <c r="Z1102" s="119"/>
      <c r="AA1102" s="144">
        <f>W1102-P1105</f>
        <v>-7</v>
      </c>
    </row>
    <row r="1103" spans="1:27" s="145" customFormat="1" ht="36" customHeight="1" x14ac:dyDescent="0.25">
      <c r="A1103" s="119"/>
      <c r="B1103" s="139"/>
      <c r="C1103" s="119"/>
      <c r="D1103" s="166"/>
      <c r="E1103" s="119"/>
      <c r="F1103" s="190"/>
      <c r="G1103" s="119"/>
      <c r="H1103" s="187"/>
      <c r="I1103" s="147"/>
      <c r="J1103" s="119"/>
      <c r="K1103" s="146"/>
      <c r="L1103" s="146"/>
      <c r="M1103" s="119"/>
      <c r="N1103" s="119"/>
      <c r="O1103" s="141">
        <f t="shared" si="724"/>
        <v>0</v>
      </c>
      <c r="P1103" s="141">
        <f t="shared" si="725"/>
        <v>7</v>
      </c>
      <c r="Q1103" s="141">
        <f t="shared" si="726"/>
        <v>2</v>
      </c>
      <c r="R1103" s="139"/>
      <c r="S1103" s="143"/>
      <c r="T1103" s="139"/>
      <c r="U1103" s="143"/>
      <c r="V1103" s="139"/>
      <c r="W1103" s="143"/>
      <c r="X1103" s="139"/>
      <c r="Y1103" s="141"/>
      <c r="Z1103" s="119"/>
      <c r="AA1103" s="144">
        <f t="shared" ref="AA1103:AA1134" si="771">W1103-P1105</f>
        <v>-7</v>
      </c>
    </row>
    <row r="1104" spans="1:27" s="145" customFormat="1" ht="36" customHeight="1" x14ac:dyDescent="0.25">
      <c r="A1104" s="119"/>
      <c r="B1104" s="139"/>
      <c r="C1104" s="119"/>
      <c r="D1104" s="166"/>
      <c r="E1104" s="119"/>
      <c r="F1104" s="190"/>
      <c r="G1104" s="119"/>
      <c r="H1104" s="187"/>
      <c r="I1104" s="147"/>
      <c r="J1104" s="119"/>
      <c r="K1104" s="146"/>
      <c r="L1104" s="146"/>
      <c r="M1104" s="119"/>
      <c r="N1104" s="119"/>
      <c r="O1104" s="141">
        <f t="shared" si="724"/>
        <v>0</v>
      </c>
      <c r="P1104" s="141">
        <f t="shared" si="725"/>
        <v>7</v>
      </c>
      <c r="Q1104" s="141">
        <f t="shared" si="726"/>
        <v>2</v>
      </c>
      <c r="R1104" s="139"/>
      <c r="S1104" s="143"/>
      <c r="T1104" s="139"/>
      <c r="U1104" s="143"/>
      <c r="V1104" s="139"/>
      <c r="W1104" s="143"/>
      <c r="X1104" s="139"/>
      <c r="Y1104" s="141"/>
      <c r="Z1104" s="119"/>
      <c r="AA1104" s="144">
        <f t="shared" si="771"/>
        <v>-7</v>
      </c>
    </row>
    <row r="1105" spans="1:27" s="145" customFormat="1" ht="36" customHeight="1" x14ac:dyDescent="0.25">
      <c r="A1105" s="119"/>
      <c r="B1105" s="139"/>
      <c r="C1105" s="119"/>
      <c r="D1105" s="166"/>
      <c r="E1105" s="119"/>
      <c r="F1105" s="190"/>
      <c r="G1105" s="119"/>
      <c r="H1105" s="187"/>
      <c r="I1105" s="147"/>
      <c r="J1105" s="142"/>
      <c r="K1105" s="142"/>
      <c r="L1105" s="142"/>
      <c r="M1105" s="119"/>
      <c r="N1105" s="119"/>
      <c r="O1105" s="141">
        <f t="shared" si="724"/>
        <v>0</v>
      </c>
      <c r="P1105" s="141">
        <f t="shared" si="725"/>
        <v>7</v>
      </c>
      <c r="Q1105" s="141">
        <f t="shared" si="726"/>
        <v>2</v>
      </c>
      <c r="R1105" s="139"/>
      <c r="S1105" s="143"/>
      <c r="T1105" s="139"/>
      <c r="U1105" s="143"/>
      <c r="V1105" s="139"/>
      <c r="W1105" s="143"/>
      <c r="X1105" s="139"/>
      <c r="Y1105" s="141"/>
      <c r="Z1105" s="119"/>
      <c r="AA1105" s="144">
        <f t="shared" si="771"/>
        <v>-7</v>
      </c>
    </row>
    <row r="1106" spans="1:27" s="145" customFormat="1" ht="36" customHeight="1" x14ac:dyDescent="0.25">
      <c r="A1106" s="119"/>
      <c r="B1106" s="139"/>
      <c r="C1106" s="119"/>
      <c r="D1106" s="166"/>
      <c r="E1106" s="119"/>
      <c r="F1106" s="190"/>
      <c r="G1106" s="119"/>
      <c r="H1106" s="187"/>
      <c r="I1106" s="147"/>
      <c r="J1106" s="119"/>
      <c r="K1106" s="119"/>
      <c r="L1106" s="119"/>
      <c r="M1106" s="119"/>
      <c r="N1106" s="119"/>
      <c r="O1106" s="141">
        <f t="shared" si="724"/>
        <v>0</v>
      </c>
      <c r="P1106" s="141">
        <f t="shared" si="725"/>
        <v>7</v>
      </c>
      <c r="Q1106" s="141">
        <f t="shared" si="726"/>
        <v>2</v>
      </c>
      <c r="R1106" s="139"/>
      <c r="S1106" s="143"/>
      <c r="T1106" s="139"/>
      <c r="U1106" s="143"/>
      <c r="V1106" s="139"/>
      <c r="W1106" s="143"/>
      <c r="X1106" s="139"/>
      <c r="Y1106" s="141"/>
      <c r="Z1106" s="119"/>
      <c r="AA1106" s="144">
        <f t="shared" si="771"/>
        <v>-7</v>
      </c>
    </row>
    <row r="1107" spans="1:27" s="145" customFormat="1" ht="36" customHeight="1" x14ac:dyDescent="0.25">
      <c r="A1107" s="119"/>
      <c r="B1107" s="139"/>
      <c r="C1107" s="119"/>
      <c r="D1107" s="166"/>
      <c r="E1107" s="119"/>
      <c r="F1107" s="190"/>
      <c r="G1107" s="119"/>
      <c r="H1107" s="187"/>
      <c r="I1107" s="147"/>
      <c r="J1107" s="142"/>
      <c r="K1107" s="142"/>
      <c r="L1107" s="142"/>
      <c r="M1107" s="119"/>
      <c r="N1107" s="119"/>
      <c r="O1107" s="141">
        <f t="shared" si="724"/>
        <v>0</v>
      </c>
      <c r="P1107" s="141">
        <f t="shared" si="725"/>
        <v>7</v>
      </c>
      <c r="Q1107" s="141">
        <f t="shared" si="726"/>
        <v>2</v>
      </c>
      <c r="R1107" s="139"/>
      <c r="S1107" s="143"/>
      <c r="T1107" s="139"/>
      <c r="U1107" s="143"/>
      <c r="V1107" s="139"/>
      <c r="W1107" s="143"/>
      <c r="X1107" s="139"/>
      <c r="Y1107" s="141"/>
      <c r="Z1107" s="119"/>
      <c r="AA1107" s="144">
        <f t="shared" si="771"/>
        <v>-7</v>
      </c>
    </row>
    <row r="1108" spans="1:27" s="145" customFormat="1" ht="36.75" customHeight="1" x14ac:dyDescent="0.25">
      <c r="A1108" s="119"/>
      <c r="B1108" s="139"/>
      <c r="C1108" s="119"/>
      <c r="D1108" s="166"/>
      <c r="E1108" s="119"/>
      <c r="F1108" s="190"/>
      <c r="G1108" s="119"/>
      <c r="H1108" s="187"/>
      <c r="I1108" s="147"/>
      <c r="J1108" s="119"/>
      <c r="K1108" s="146"/>
      <c r="L1108" s="146"/>
      <c r="M1108" s="119"/>
      <c r="N1108" s="119"/>
      <c r="O1108" s="141">
        <f t="shared" si="724"/>
        <v>0</v>
      </c>
      <c r="P1108" s="141">
        <f t="shared" si="725"/>
        <v>7</v>
      </c>
      <c r="Q1108" s="141">
        <f t="shared" si="726"/>
        <v>2</v>
      </c>
      <c r="R1108" s="139"/>
      <c r="S1108" s="143"/>
      <c r="T1108" s="139"/>
      <c r="U1108" s="143"/>
      <c r="V1108" s="139"/>
      <c r="W1108" s="143"/>
      <c r="X1108" s="139"/>
      <c r="Y1108" s="141"/>
      <c r="Z1108" s="119"/>
      <c r="AA1108" s="144">
        <f t="shared" si="771"/>
        <v>-7</v>
      </c>
    </row>
    <row r="1109" spans="1:27" s="145" customFormat="1" ht="36" customHeight="1" x14ac:dyDescent="0.25">
      <c r="A1109" s="119"/>
      <c r="B1109" s="139"/>
      <c r="C1109" s="119"/>
      <c r="D1109" s="166"/>
      <c r="E1109" s="119"/>
      <c r="F1109" s="190"/>
      <c r="G1109" s="119"/>
      <c r="H1109" s="187"/>
      <c r="I1109" s="147"/>
      <c r="J1109" s="119"/>
      <c r="K1109" s="146"/>
      <c r="L1109" s="119"/>
      <c r="M1109" s="119"/>
      <c r="N1109" s="119"/>
      <c r="O1109" s="141">
        <f t="shared" si="724"/>
        <v>0</v>
      </c>
      <c r="P1109" s="141">
        <f t="shared" si="725"/>
        <v>7</v>
      </c>
      <c r="Q1109" s="141">
        <f t="shared" si="726"/>
        <v>2</v>
      </c>
      <c r="R1109" s="139"/>
      <c r="S1109" s="143"/>
      <c r="T1109" s="139"/>
      <c r="U1109" s="143"/>
      <c r="V1109" s="139"/>
      <c r="W1109" s="143"/>
      <c r="X1109" s="139"/>
      <c r="Y1109" s="141"/>
      <c r="Z1109" s="119"/>
      <c r="AA1109" s="144">
        <f t="shared" si="771"/>
        <v>-7</v>
      </c>
    </row>
    <row r="1110" spans="1:27" s="145" customFormat="1" ht="36" customHeight="1" x14ac:dyDescent="0.25">
      <c r="A1110" s="119"/>
      <c r="B1110" s="139"/>
      <c r="C1110" s="119"/>
      <c r="D1110" s="166"/>
      <c r="E1110" s="119"/>
      <c r="F1110" s="190"/>
      <c r="G1110" s="119"/>
      <c r="H1110" s="187"/>
      <c r="I1110" s="147"/>
      <c r="J1110" s="119"/>
      <c r="K1110" s="119"/>
      <c r="L1110" s="119"/>
      <c r="M1110" s="119"/>
      <c r="N1110" s="119"/>
      <c r="O1110" s="141">
        <f t="shared" si="724"/>
        <v>0</v>
      </c>
      <c r="P1110" s="141">
        <f t="shared" si="725"/>
        <v>7</v>
      </c>
      <c r="Q1110" s="141">
        <f t="shared" si="726"/>
        <v>2</v>
      </c>
      <c r="R1110" s="139"/>
      <c r="S1110" s="143"/>
      <c r="T1110" s="139"/>
      <c r="U1110" s="143"/>
      <c r="V1110" s="139"/>
      <c r="W1110" s="143"/>
      <c r="X1110" s="139"/>
      <c r="Y1110" s="141"/>
      <c r="Z1110" s="149"/>
      <c r="AA1110" s="144">
        <f t="shared" si="771"/>
        <v>-7</v>
      </c>
    </row>
    <row r="1111" spans="1:27" s="145" customFormat="1" ht="36" customHeight="1" x14ac:dyDescent="0.25">
      <c r="A1111" s="119"/>
      <c r="B1111" s="139"/>
      <c r="C1111" s="119"/>
      <c r="D1111" s="166"/>
      <c r="E1111" s="119"/>
      <c r="F1111" s="190"/>
      <c r="G1111" s="119"/>
      <c r="H1111" s="187"/>
      <c r="I1111" s="147"/>
      <c r="J1111" s="142"/>
      <c r="K1111" s="142"/>
      <c r="L1111" s="142"/>
      <c r="M1111" s="119"/>
      <c r="N1111" s="119"/>
      <c r="O1111" s="141">
        <f t="shared" si="724"/>
        <v>0</v>
      </c>
      <c r="P1111" s="141">
        <f t="shared" si="725"/>
        <v>7</v>
      </c>
      <c r="Q1111" s="141">
        <f t="shared" si="726"/>
        <v>2</v>
      </c>
      <c r="R1111" s="139"/>
      <c r="S1111" s="143"/>
      <c r="T1111" s="139"/>
      <c r="U1111" s="143"/>
      <c r="V1111" s="139"/>
      <c r="W1111" s="143"/>
      <c r="X1111" s="139"/>
      <c r="Y1111" s="141"/>
      <c r="Z1111" s="119"/>
      <c r="AA1111" s="144">
        <f t="shared" si="771"/>
        <v>-7</v>
      </c>
    </row>
    <row r="1112" spans="1:27" s="145" customFormat="1" ht="36" customHeight="1" x14ac:dyDescent="0.25">
      <c r="A1112" s="119"/>
      <c r="B1112" s="139"/>
      <c r="C1112" s="119"/>
      <c r="D1112" s="166"/>
      <c r="E1112" s="119"/>
      <c r="F1112" s="190"/>
      <c r="G1112" s="119"/>
      <c r="H1112" s="187"/>
      <c r="I1112" s="147"/>
      <c r="J1112" s="146"/>
      <c r="K1112" s="146"/>
      <c r="L1112" s="146"/>
      <c r="M1112" s="119"/>
      <c r="N1112" s="119"/>
      <c r="O1112" s="141">
        <f t="shared" si="724"/>
        <v>0</v>
      </c>
      <c r="P1112" s="141">
        <f t="shared" si="725"/>
        <v>7</v>
      </c>
      <c r="Q1112" s="141">
        <f t="shared" si="726"/>
        <v>2</v>
      </c>
      <c r="R1112" s="139"/>
      <c r="S1112" s="143"/>
      <c r="T1112" s="139"/>
      <c r="U1112" s="143"/>
      <c r="V1112" s="139"/>
      <c r="W1112" s="143"/>
      <c r="X1112" s="139"/>
      <c r="Y1112" s="141"/>
      <c r="Z1112" s="119"/>
      <c r="AA1112" s="144">
        <f t="shared" si="771"/>
        <v>-7</v>
      </c>
    </row>
    <row r="1113" spans="1:27" s="145" customFormat="1" ht="36" customHeight="1" x14ac:dyDescent="0.25">
      <c r="A1113" s="119"/>
      <c r="B1113" s="139"/>
      <c r="C1113" s="119"/>
      <c r="D1113" s="166"/>
      <c r="E1113" s="119"/>
      <c r="F1113" s="190"/>
      <c r="G1113" s="119"/>
      <c r="H1113" s="187"/>
      <c r="I1113" s="147"/>
      <c r="J1113" s="146"/>
      <c r="K1113" s="146"/>
      <c r="L1113" s="146"/>
      <c r="M1113" s="119"/>
      <c r="N1113" s="119"/>
      <c r="O1113" s="141">
        <f t="shared" si="724"/>
        <v>0</v>
      </c>
      <c r="P1113" s="141">
        <f t="shared" si="725"/>
        <v>7</v>
      </c>
      <c r="Q1113" s="141">
        <f t="shared" si="726"/>
        <v>2</v>
      </c>
      <c r="R1113" s="139"/>
      <c r="S1113" s="143"/>
      <c r="T1113" s="139"/>
      <c r="U1113" s="143"/>
      <c r="V1113" s="139"/>
      <c r="W1113" s="143"/>
      <c r="X1113" s="139"/>
      <c r="Y1113" s="141"/>
      <c r="Z1113" s="119"/>
      <c r="AA1113" s="144">
        <f t="shared" si="771"/>
        <v>-7</v>
      </c>
    </row>
    <row r="1114" spans="1:27" s="145" customFormat="1" ht="36" customHeight="1" x14ac:dyDescent="0.25">
      <c r="A1114" s="119"/>
      <c r="B1114" s="139"/>
      <c r="C1114" s="119"/>
      <c r="D1114" s="166"/>
      <c r="E1114" s="119"/>
      <c r="F1114" s="190"/>
      <c r="G1114" s="119"/>
      <c r="H1114" s="187"/>
      <c r="I1114" s="147"/>
      <c r="J1114" s="146"/>
      <c r="K1114" s="146"/>
      <c r="L1114" s="119"/>
      <c r="M1114" s="119"/>
      <c r="N1114" s="119"/>
      <c r="O1114" s="141">
        <f t="shared" si="724"/>
        <v>0</v>
      </c>
      <c r="P1114" s="141">
        <f t="shared" si="725"/>
        <v>7</v>
      </c>
      <c r="Q1114" s="141">
        <f t="shared" si="726"/>
        <v>2</v>
      </c>
      <c r="R1114" s="139"/>
      <c r="S1114" s="143"/>
      <c r="T1114" s="139"/>
      <c r="U1114" s="143"/>
      <c r="V1114" s="139"/>
      <c r="W1114" s="143"/>
      <c r="X1114" s="139"/>
      <c r="Y1114" s="141"/>
      <c r="Z1114" s="119"/>
      <c r="AA1114" s="144">
        <f t="shared" si="771"/>
        <v>-7</v>
      </c>
    </row>
    <row r="1115" spans="1:27" s="145" customFormat="1" ht="36" customHeight="1" x14ac:dyDescent="0.25">
      <c r="A1115" s="119"/>
      <c r="B1115" s="139"/>
      <c r="C1115" s="119"/>
      <c r="D1115" s="166"/>
      <c r="E1115" s="119"/>
      <c r="F1115" s="190"/>
      <c r="G1115" s="119"/>
      <c r="H1115" s="187"/>
      <c r="I1115" s="147"/>
      <c r="J1115" s="146"/>
      <c r="K1115" s="146"/>
      <c r="L1115" s="146"/>
      <c r="M1115" s="150"/>
      <c r="N1115" s="119"/>
      <c r="O1115" s="141">
        <f t="shared" si="724"/>
        <v>0</v>
      </c>
      <c r="P1115" s="141">
        <f t="shared" si="725"/>
        <v>7</v>
      </c>
      <c r="Q1115" s="141">
        <f t="shared" si="726"/>
        <v>2</v>
      </c>
      <c r="R1115" s="139"/>
      <c r="S1115" s="143"/>
      <c r="T1115" s="139"/>
      <c r="U1115" s="143"/>
      <c r="V1115" s="139"/>
      <c r="W1115" s="143"/>
      <c r="X1115" s="139"/>
      <c r="Y1115" s="141"/>
      <c r="Z1115" s="119"/>
      <c r="AA1115" s="144">
        <f t="shared" si="771"/>
        <v>-7</v>
      </c>
    </row>
    <row r="1116" spans="1:27" s="145" customFormat="1" ht="36" customHeight="1" x14ac:dyDescent="0.25">
      <c r="A1116" s="119"/>
      <c r="B1116" s="139"/>
      <c r="C1116" s="119"/>
      <c r="D1116" s="166"/>
      <c r="E1116" s="119"/>
      <c r="F1116" s="190"/>
      <c r="G1116" s="119"/>
      <c r="H1116" s="187"/>
      <c r="I1116" s="147"/>
      <c r="J1116" s="146"/>
      <c r="K1116" s="146"/>
      <c r="L1116" s="146"/>
      <c r="M1116" s="119"/>
      <c r="N1116" s="119"/>
      <c r="O1116" s="141">
        <f t="shared" si="724"/>
        <v>0</v>
      </c>
      <c r="P1116" s="141">
        <f t="shared" si="725"/>
        <v>7</v>
      </c>
      <c r="Q1116" s="141">
        <f t="shared" si="726"/>
        <v>2</v>
      </c>
      <c r="R1116" s="139"/>
      <c r="S1116" s="143"/>
      <c r="T1116" s="139"/>
      <c r="U1116" s="143"/>
      <c r="V1116" s="139"/>
      <c r="W1116" s="143"/>
      <c r="X1116" s="139"/>
      <c r="Y1116" s="141"/>
      <c r="Z1116" s="119"/>
      <c r="AA1116" s="144">
        <f t="shared" si="771"/>
        <v>-7</v>
      </c>
    </row>
    <row r="1117" spans="1:27" s="145" customFormat="1" ht="36" customHeight="1" x14ac:dyDescent="0.25">
      <c r="A1117" s="119"/>
      <c r="B1117" s="139"/>
      <c r="C1117" s="119"/>
      <c r="D1117" s="166"/>
      <c r="E1117" s="119"/>
      <c r="F1117" s="190"/>
      <c r="G1117" s="119"/>
      <c r="H1117" s="187"/>
      <c r="I1117" s="147"/>
      <c r="J1117" s="146"/>
      <c r="K1117" s="146"/>
      <c r="L1117" s="119"/>
      <c r="M1117" s="119"/>
      <c r="N1117" s="119"/>
      <c r="O1117" s="141">
        <f t="shared" si="724"/>
        <v>0</v>
      </c>
      <c r="P1117" s="141">
        <f t="shared" si="725"/>
        <v>7</v>
      </c>
      <c r="Q1117" s="141">
        <f t="shared" si="726"/>
        <v>2</v>
      </c>
      <c r="R1117" s="139"/>
      <c r="S1117" s="143"/>
      <c r="T1117" s="139"/>
      <c r="U1117" s="143"/>
      <c r="V1117" s="139"/>
      <c r="W1117" s="143"/>
      <c r="X1117" s="139"/>
      <c r="Y1117" s="141"/>
      <c r="Z1117" s="119"/>
      <c r="AA1117" s="144">
        <f t="shared" si="771"/>
        <v>-7</v>
      </c>
    </row>
    <row r="1118" spans="1:27" s="145" customFormat="1" ht="36" customHeight="1" x14ac:dyDescent="0.25">
      <c r="A1118" s="119"/>
      <c r="B1118" s="139"/>
      <c r="C1118" s="119"/>
      <c r="D1118" s="166"/>
      <c r="E1118" s="119"/>
      <c r="F1118" s="190"/>
      <c r="G1118" s="119"/>
      <c r="H1118" s="187"/>
      <c r="I1118" s="147"/>
      <c r="J1118" s="146"/>
      <c r="K1118" s="146"/>
      <c r="L1118" s="146"/>
      <c r="M1118" s="119"/>
      <c r="N1118" s="119"/>
      <c r="O1118" s="141">
        <f t="shared" si="724"/>
        <v>0</v>
      </c>
      <c r="P1118" s="141">
        <f t="shared" si="725"/>
        <v>7</v>
      </c>
      <c r="Q1118" s="141">
        <f t="shared" si="726"/>
        <v>2</v>
      </c>
      <c r="R1118" s="139"/>
      <c r="S1118" s="143"/>
      <c r="T1118" s="139"/>
      <c r="U1118" s="143"/>
      <c r="V1118" s="139"/>
      <c r="W1118" s="143"/>
      <c r="X1118" s="139"/>
      <c r="Y1118" s="141"/>
      <c r="Z1118" s="119"/>
      <c r="AA1118" s="144">
        <f t="shared" si="771"/>
        <v>-7</v>
      </c>
    </row>
    <row r="1119" spans="1:27" s="145" customFormat="1" ht="36" customHeight="1" x14ac:dyDescent="0.25">
      <c r="A1119" s="119"/>
      <c r="B1119" s="139"/>
      <c r="C1119" s="119"/>
      <c r="D1119" s="166"/>
      <c r="E1119" s="119"/>
      <c r="F1119" s="190"/>
      <c r="G1119" s="119"/>
      <c r="H1119" s="187"/>
      <c r="I1119" s="147"/>
      <c r="J1119" s="146"/>
      <c r="K1119" s="146"/>
      <c r="L1119" s="146"/>
      <c r="M1119" s="119"/>
      <c r="N1119" s="119"/>
      <c r="O1119" s="141">
        <f t="shared" si="724"/>
        <v>0</v>
      </c>
      <c r="P1119" s="141">
        <f t="shared" si="725"/>
        <v>7</v>
      </c>
      <c r="Q1119" s="141">
        <f t="shared" si="726"/>
        <v>2</v>
      </c>
      <c r="R1119" s="139"/>
      <c r="S1119" s="143"/>
      <c r="T1119" s="139"/>
      <c r="U1119" s="143"/>
      <c r="V1119" s="139"/>
      <c r="W1119" s="143"/>
      <c r="X1119" s="139"/>
      <c r="Y1119" s="141"/>
      <c r="Z1119" s="119"/>
      <c r="AA1119" s="144">
        <f t="shared" si="771"/>
        <v>-7</v>
      </c>
    </row>
    <row r="1120" spans="1:27" s="145" customFormat="1" ht="36" customHeight="1" x14ac:dyDescent="0.25">
      <c r="A1120" s="119"/>
      <c r="B1120" s="139"/>
      <c r="C1120" s="119"/>
      <c r="D1120" s="166"/>
      <c r="E1120" s="119"/>
      <c r="F1120" s="190"/>
      <c r="G1120" s="119"/>
      <c r="H1120" s="187"/>
      <c r="I1120" s="147"/>
      <c r="J1120" s="146"/>
      <c r="K1120" s="146"/>
      <c r="L1120" s="146"/>
      <c r="M1120" s="119"/>
      <c r="N1120" s="119"/>
      <c r="O1120" s="141">
        <f t="shared" ref="O1120:O1133" si="772">B1120</f>
        <v>0</v>
      </c>
      <c r="P1120" s="141">
        <f t="shared" ref="P1120:P1133" si="773">O1120+7</f>
        <v>7</v>
      </c>
      <c r="Q1120" s="141">
        <f t="shared" ref="Q1120:Q1133" si="774">O1120+2</f>
        <v>2</v>
      </c>
      <c r="R1120" s="139"/>
      <c r="S1120" s="143"/>
      <c r="T1120" s="139"/>
      <c r="U1120" s="143"/>
      <c r="V1120" s="139"/>
      <c r="W1120" s="143"/>
      <c r="X1120" s="139"/>
      <c r="Y1120" s="141"/>
      <c r="Z1120" s="119"/>
      <c r="AA1120" s="144">
        <f t="shared" si="771"/>
        <v>-7</v>
      </c>
    </row>
    <row r="1121" spans="1:27" s="145" customFormat="1" ht="36" customHeight="1" x14ac:dyDescent="0.25">
      <c r="A1121" s="119"/>
      <c r="B1121" s="139"/>
      <c r="C1121" s="119"/>
      <c r="D1121" s="166"/>
      <c r="E1121" s="119"/>
      <c r="F1121" s="190"/>
      <c r="G1121" s="119"/>
      <c r="H1121" s="187"/>
      <c r="I1121" s="147"/>
      <c r="J1121" s="146"/>
      <c r="K1121" s="146"/>
      <c r="L1121" s="146"/>
      <c r="M1121" s="119"/>
      <c r="N1121" s="119"/>
      <c r="O1121" s="141">
        <f t="shared" si="772"/>
        <v>0</v>
      </c>
      <c r="P1121" s="141">
        <f t="shared" si="773"/>
        <v>7</v>
      </c>
      <c r="Q1121" s="141">
        <f t="shared" si="774"/>
        <v>2</v>
      </c>
      <c r="R1121" s="139"/>
      <c r="S1121" s="143"/>
      <c r="T1121" s="139"/>
      <c r="U1121" s="143"/>
      <c r="V1121" s="139"/>
      <c r="W1121" s="143"/>
      <c r="X1121" s="139"/>
      <c r="Y1121" s="141"/>
      <c r="Z1121" s="119"/>
      <c r="AA1121" s="144">
        <f t="shared" si="771"/>
        <v>-7</v>
      </c>
    </row>
    <row r="1122" spans="1:27" s="145" customFormat="1" ht="36" customHeight="1" x14ac:dyDescent="0.25">
      <c r="A1122" s="119"/>
      <c r="B1122" s="139"/>
      <c r="C1122" s="119"/>
      <c r="D1122" s="166"/>
      <c r="E1122" s="119"/>
      <c r="F1122" s="190"/>
      <c r="G1122" s="119"/>
      <c r="H1122" s="187"/>
      <c r="I1122" s="147"/>
      <c r="J1122" s="146"/>
      <c r="K1122" s="146"/>
      <c r="L1122" s="146"/>
      <c r="M1122" s="119"/>
      <c r="N1122" s="119"/>
      <c r="O1122" s="141">
        <f t="shared" si="772"/>
        <v>0</v>
      </c>
      <c r="P1122" s="141">
        <f t="shared" si="773"/>
        <v>7</v>
      </c>
      <c r="Q1122" s="141">
        <f t="shared" si="774"/>
        <v>2</v>
      </c>
      <c r="R1122" s="139"/>
      <c r="S1122" s="143"/>
      <c r="T1122" s="139"/>
      <c r="U1122" s="143"/>
      <c r="V1122" s="139"/>
      <c r="W1122" s="143"/>
      <c r="X1122" s="139"/>
      <c r="Y1122" s="141"/>
      <c r="Z1122" s="119"/>
      <c r="AA1122" s="144">
        <f t="shared" si="771"/>
        <v>-7</v>
      </c>
    </row>
    <row r="1123" spans="1:27" s="145" customFormat="1" ht="36" customHeight="1" x14ac:dyDescent="0.25">
      <c r="A1123" s="119"/>
      <c r="B1123" s="139"/>
      <c r="C1123" s="119"/>
      <c r="D1123" s="166"/>
      <c r="E1123" s="119"/>
      <c r="F1123" s="190"/>
      <c r="G1123" s="119"/>
      <c r="H1123" s="187"/>
      <c r="I1123" s="147"/>
      <c r="J1123" s="146"/>
      <c r="K1123" s="146"/>
      <c r="L1123" s="146"/>
      <c r="M1123" s="119"/>
      <c r="N1123" s="119"/>
      <c r="O1123" s="141">
        <f t="shared" si="772"/>
        <v>0</v>
      </c>
      <c r="P1123" s="141">
        <f t="shared" si="773"/>
        <v>7</v>
      </c>
      <c r="Q1123" s="141">
        <f t="shared" si="774"/>
        <v>2</v>
      </c>
      <c r="R1123" s="139"/>
      <c r="S1123" s="143"/>
      <c r="T1123" s="139"/>
      <c r="U1123" s="143"/>
      <c r="V1123" s="139"/>
      <c r="W1123" s="143"/>
      <c r="X1123" s="139"/>
      <c r="Y1123" s="141"/>
      <c r="Z1123" s="119"/>
      <c r="AA1123" s="144">
        <f t="shared" si="771"/>
        <v>-7</v>
      </c>
    </row>
    <row r="1124" spans="1:27" s="145" customFormat="1" ht="36" customHeight="1" x14ac:dyDescent="0.25">
      <c r="A1124" s="119"/>
      <c r="B1124" s="139"/>
      <c r="C1124" s="119"/>
      <c r="D1124" s="166"/>
      <c r="E1124" s="119"/>
      <c r="F1124" s="190"/>
      <c r="G1124" s="119"/>
      <c r="H1124" s="187"/>
      <c r="I1124" s="147"/>
      <c r="J1124" s="146"/>
      <c r="K1124" s="119"/>
      <c r="L1124" s="146"/>
      <c r="M1124" s="119"/>
      <c r="N1124" s="119"/>
      <c r="O1124" s="141">
        <f t="shared" si="772"/>
        <v>0</v>
      </c>
      <c r="P1124" s="141">
        <f t="shared" si="773"/>
        <v>7</v>
      </c>
      <c r="Q1124" s="141">
        <f t="shared" si="774"/>
        <v>2</v>
      </c>
      <c r="R1124" s="139"/>
      <c r="S1124" s="143"/>
      <c r="T1124" s="139"/>
      <c r="U1124" s="143"/>
      <c r="V1124" s="139"/>
      <c r="W1124" s="143"/>
      <c r="X1124" s="139"/>
      <c r="Y1124" s="141"/>
      <c r="Z1124" s="119"/>
      <c r="AA1124" s="144">
        <f t="shared" si="771"/>
        <v>-7</v>
      </c>
    </row>
    <row r="1125" spans="1:27" s="145" customFormat="1" ht="36" customHeight="1" x14ac:dyDescent="0.25">
      <c r="A1125" s="119"/>
      <c r="B1125" s="139"/>
      <c r="C1125" s="119"/>
      <c r="D1125" s="166"/>
      <c r="E1125" s="119"/>
      <c r="F1125" s="190"/>
      <c r="G1125" s="119"/>
      <c r="H1125" s="187"/>
      <c r="I1125" s="147"/>
      <c r="J1125" s="146"/>
      <c r="K1125" s="119"/>
      <c r="L1125" s="146"/>
      <c r="M1125" s="119"/>
      <c r="N1125" s="119"/>
      <c r="O1125" s="141">
        <f t="shared" si="772"/>
        <v>0</v>
      </c>
      <c r="P1125" s="141">
        <f t="shared" si="773"/>
        <v>7</v>
      </c>
      <c r="Q1125" s="141">
        <f t="shared" si="774"/>
        <v>2</v>
      </c>
      <c r="R1125" s="139"/>
      <c r="S1125" s="143"/>
      <c r="T1125" s="139"/>
      <c r="U1125" s="143"/>
      <c r="V1125" s="139"/>
      <c r="W1125" s="143"/>
      <c r="X1125" s="139"/>
      <c r="Y1125" s="141"/>
      <c r="Z1125" s="119"/>
      <c r="AA1125" s="144">
        <f t="shared" si="771"/>
        <v>-7</v>
      </c>
    </row>
    <row r="1126" spans="1:27" s="145" customFormat="1" ht="36" customHeight="1" x14ac:dyDescent="0.25">
      <c r="A1126" s="119"/>
      <c r="B1126" s="139"/>
      <c r="C1126" s="119"/>
      <c r="D1126" s="166"/>
      <c r="E1126" s="119"/>
      <c r="F1126" s="190"/>
      <c r="G1126" s="119"/>
      <c r="H1126" s="187"/>
      <c r="I1126" s="147"/>
      <c r="J1126" s="146"/>
      <c r="K1126" s="119"/>
      <c r="L1126" s="146"/>
      <c r="M1126" s="119"/>
      <c r="N1126" s="119"/>
      <c r="O1126" s="141">
        <f t="shared" si="772"/>
        <v>0</v>
      </c>
      <c r="P1126" s="141">
        <f t="shared" si="773"/>
        <v>7</v>
      </c>
      <c r="Q1126" s="141">
        <f t="shared" si="774"/>
        <v>2</v>
      </c>
      <c r="R1126" s="139"/>
      <c r="S1126" s="143"/>
      <c r="T1126" s="139"/>
      <c r="U1126" s="143"/>
      <c r="V1126" s="139"/>
      <c r="W1126" s="143"/>
      <c r="X1126" s="139"/>
      <c r="Y1126" s="141"/>
      <c r="Z1126" s="119"/>
      <c r="AA1126" s="144">
        <f t="shared" si="771"/>
        <v>-7</v>
      </c>
    </row>
    <row r="1127" spans="1:27" s="145" customFormat="1" ht="36" customHeight="1" x14ac:dyDescent="0.25">
      <c r="A1127" s="119"/>
      <c r="B1127" s="139"/>
      <c r="C1127" s="119"/>
      <c r="D1127" s="166"/>
      <c r="E1127" s="119"/>
      <c r="F1127" s="190"/>
      <c r="G1127" s="119"/>
      <c r="H1127" s="187"/>
      <c r="I1127" s="147"/>
      <c r="J1127" s="146"/>
      <c r="K1127" s="119"/>
      <c r="L1127" s="146"/>
      <c r="M1127" s="119"/>
      <c r="N1127" s="119"/>
      <c r="O1127" s="141">
        <f t="shared" si="772"/>
        <v>0</v>
      </c>
      <c r="P1127" s="141">
        <f t="shared" si="773"/>
        <v>7</v>
      </c>
      <c r="Q1127" s="141">
        <f t="shared" si="774"/>
        <v>2</v>
      </c>
      <c r="R1127" s="139"/>
      <c r="S1127" s="143"/>
      <c r="T1127" s="139"/>
      <c r="U1127" s="143"/>
      <c r="V1127" s="139"/>
      <c r="W1127" s="143"/>
      <c r="X1127" s="139"/>
      <c r="Y1127" s="141"/>
      <c r="Z1127" s="119"/>
      <c r="AA1127" s="144">
        <f t="shared" si="771"/>
        <v>-7</v>
      </c>
    </row>
    <row r="1128" spans="1:27" s="145" customFormat="1" ht="36" customHeight="1" x14ac:dyDescent="0.25">
      <c r="A1128" s="119"/>
      <c r="B1128" s="139"/>
      <c r="C1128" s="119"/>
      <c r="D1128" s="166"/>
      <c r="E1128" s="119"/>
      <c r="F1128" s="190"/>
      <c r="G1128" s="119"/>
      <c r="H1128" s="187"/>
      <c r="I1128" s="147"/>
      <c r="J1128" s="146"/>
      <c r="K1128" s="146"/>
      <c r="L1128" s="146"/>
      <c r="M1128" s="119"/>
      <c r="N1128" s="119"/>
      <c r="O1128" s="141">
        <f t="shared" si="772"/>
        <v>0</v>
      </c>
      <c r="P1128" s="141">
        <f t="shared" si="773"/>
        <v>7</v>
      </c>
      <c r="Q1128" s="141">
        <f t="shared" si="774"/>
        <v>2</v>
      </c>
      <c r="R1128" s="139"/>
      <c r="S1128" s="143"/>
      <c r="T1128" s="139"/>
      <c r="U1128" s="143"/>
      <c r="V1128" s="139"/>
      <c r="W1128" s="143"/>
      <c r="X1128" s="139"/>
      <c r="Y1128" s="141"/>
      <c r="Z1128" s="119"/>
      <c r="AA1128" s="144">
        <f t="shared" si="771"/>
        <v>-7</v>
      </c>
    </row>
    <row r="1129" spans="1:27" s="145" customFormat="1" ht="36" customHeight="1" x14ac:dyDescent="0.25">
      <c r="A1129" s="119"/>
      <c r="B1129" s="139"/>
      <c r="C1129" s="119"/>
      <c r="D1129" s="166"/>
      <c r="E1129" s="119"/>
      <c r="F1129" s="190"/>
      <c r="G1129" s="119"/>
      <c r="H1129" s="187"/>
      <c r="I1129" s="147"/>
      <c r="J1129" s="146"/>
      <c r="K1129" s="119"/>
      <c r="L1129" s="146"/>
      <c r="M1129" s="119"/>
      <c r="N1129" s="119"/>
      <c r="O1129" s="141">
        <f t="shared" si="772"/>
        <v>0</v>
      </c>
      <c r="P1129" s="141">
        <f t="shared" si="773"/>
        <v>7</v>
      </c>
      <c r="Q1129" s="141">
        <f t="shared" si="774"/>
        <v>2</v>
      </c>
      <c r="R1129" s="139"/>
      <c r="S1129" s="143"/>
      <c r="T1129" s="139"/>
      <c r="U1129" s="143"/>
      <c r="V1129" s="139"/>
      <c r="W1129" s="143"/>
      <c r="X1129" s="139"/>
      <c r="Y1129" s="141"/>
      <c r="Z1129" s="119"/>
      <c r="AA1129" s="144">
        <f t="shared" si="771"/>
        <v>-7</v>
      </c>
    </row>
    <row r="1130" spans="1:27" s="145" customFormat="1" ht="36" customHeight="1" x14ac:dyDescent="0.25">
      <c r="A1130" s="119"/>
      <c r="B1130" s="139"/>
      <c r="C1130" s="119"/>
      <c r="D1130" s="166"/>
      <c r="E1130" s="119"/>
      <c r="F1130" s="190"/>
      <c r="G1130" s="119"/>
      <c r="H1130" s="187"/>
      <c r="I1130" s="147"/>
      <c r="J1130" s="146"/>
      <c r="K1130" s="119"/>
      <c r="L1130" s="146"/>
      <c r="M1130" s="119"/>
      <c r="N1130" s="119"/>
      <c r="O1130" s="141">
        <f t="shared" si="772"/>
        <v>0</v>
      </c>
      <c r="P1130" s="141">
        <f t="shared" si="773"/>
        <v>7</v>
      </c>
      <c r="Q1130" s="141">
        <f t="shared" si="774"/>
        <v>2</v>
      </c>
      <c r="R1130" s="139"/>
      <c r="S1130" s="143"/>
      <c r="T1130" s="139"/>
      <c r="U1130" s="143"/>
      <c r="V1130" s="139"/>
      <c r="W1130" s="143"/>
      <c r="X1130" s="139"/>
      <c r="Y1130" s="141"/>
      <c r="Z1130" s="119"/>
      <c r="AA1130" s="144">
        <f t="shared" si="771"/>
        <v>-7</v>
      </c>
    </row>
    <row r="1131" spans="1:27" s="145" customFormat="1" ht="36" customHeight="1" x14ac:dyDescent="0.25">
      <c r="A1131" s="119"/>
      <c r="B1131" s="139"/>
      <c r="C1131" s="119"/>
      <c r="D1131" s="166"/>
      <c r="E1131" s="119"/>
      <c r="F1131" s="190"/>
      <c r="G1131" s="119"/>
      <c r="H1131" s="187"/>
      <c r="I1131" s="147"/>
      <c r="J1131" s="146"/>
      <c r="K1131" s="146"/>
      <c r="L1131" s="119"/>
      <c r="M1131" s="119"/>
      <c r="N1131" s="119"/>
      <c r="O1131" s="141">
        <f t="shared" si="772"/>
        <v>0</v>
      </c>
      <c r="P1131" s="141">
        <f t="shared" si="773"/>
        <v>7</v>
      </c>
      <c r="Q1131" s="141">
        <f t="shared" si="774"/>
        <v>2</v>
      </c>
      <c r="R1131" s="139"/>
      <c r="S1131" s="143"/>
      <c r="T1131" s="139"/>
      <c r="U1131" s="143"/>
      <c r="V1131" s="139"/>
      <c r="W1131" s="143"/>
      <c r="X1131" s="139"/>
      <c r="Y1131" s="141"/>
      <c r="Z1131" s="119"/>
      <c r="AA1131" s="144">
        <f t="shared" si="771"/>
        <v>-7</v>
      </c>
    </row>
    <row r="1132" spans="1:27" s="145" customFormat="1" ht="36" customHeight="1" x14ac:dyDescent="0.25">
      <c r="A1132" s="119"/>
      <c r="B1132" s="139"/>
      <c r="C1132" s="119"/>
      <c r="D1132" s="166"/>
      <c r="E1132" s="119"/>
      <c r="F1132" s="190"/>
      <c r="G1132" s="119"/>
      <c r="H1132" s="187"/>
      <c r="I1132" s="147"/>
      <c r="J1132" s="146"/>
      <c r="K1132" s="146"/>
      <c r="L1132" s="146"/>
      <c r="M1132" s="119"/>
      <c r="N1132" s="119"/>
      <c r="O1132" s="141">
        <f t="shared" si="772"/>
        <v>0</v>
      </c>
      <c r="P1132" s="141">
        <f t="shared" si="773"/>
        <v>7</v>
      </c>
      <c r="Q1132" s="141">
        <f t="shared" si="774"/>
        <v>2</v>
      </c>
      <c r="R1132" s="139"/>
      <c r="S1132" s="143"/>
      <c r="T1132" s="139"/>
      <c r="U1132" s="143"/>
      <c r="V1132" s="139"/>
      <c r="W1132" s="143"/>
      <c r="X1132" s="139"/>
      <c r="Y1132" s="141"/>
      <c r="Z1132" s="119"/>
      <c r="AA1132" s="144">
        <f t="shared" si="771"/>
        <v>-7</v>
      </c>
    </row>
    <row r="1133" spans="1:27" s="145" customFormat="1" ht="36" customHeight="1" x14ac:dyDescent="0.25">
      <c r="A1133" s="119"/>
      <c r="B1133" s="139"/>
      <c r="C1133" s="119"/>
      <c r="D1133" s="166"/>
      <c r="E1133" s="119"/>
      <c r="F1133" s="190"/>
      <c r="G1133" s="119"/>
      <c r="H1133" s="187"/>
      <c r="I1133" s="147"/>
      <c r="J1133" s="146"/>
      <c r="K1133" s="146"/>
      <c r="L1133" s="146"/>
      <c r="M1133" s="119"/>
      <c r="N1133" s="119"/>
      <c r="O1133" s="141">
        <f t="shared" si="772"/>
        <v>0</v>
      </c>
      <c r="P1133" s="141">
        <f t="shared" si="773"/>
        <v>7</v>
      </c>
      <c r="Q1133" s="141">
        <f t="shared" si="774"/>
        <v>2</v>
      </c>
      <c r="R1133" s="139"/>
      <c r="S1133" s="143"/>
      <c r="T1133" s="139"/>
      <c r="U1133" s="143"/>
      <c r="V1133" s="139"/>
      <c r="W1133" s="143"/>
      <c r="X1133" s="139"/>
      <c r="Y1133" s="141"/>
      <c r="Z1133" s="119"/>
      <c r="AA1133" s="144">
        <f t="shared" si="771"/>
        <v>-7</v>
      </c>
    </row>
    <row r="1134" spans="1:27" s="145" customFormat="1" ht="61.5" customHeight="1" x14ac:dyDescent="0.25">
      <c r="A1134" s="119"/>
      <c r="B1134" s="139"/>
      <c r="C1134" s="119"/>
      <c r="D1134" s="166"/>
      <c r="E1134" s="119"/>
      <c r="F1134" s="190"/>
      <c r="G1134" s="119"/>
      <c r="H1134" s="187"/>
      <c r="I1134" s="147"/>
      <c r="J1134" s="146"/>
      <c r="K1134" s="146"/>
      <c r="L1134" s="146"/>
      <c r="M1134" s="119"/>
      <c r="N1134" s="119"/>
      <c r="O1134" s="141">
        <f t="shared" ref="O1134:O1142" si="775">B1134</f>
        <v>0</v>
      </c>
      <c r="P1134" s="141">
        <f t="shared" ref="P1134:P1142" si="776">O1134+7</f>
        <v>7</v>
      </c>
      <c r="Q1134" s="141">
        <f t="shared" ref="Q1134:Q1142" si="777">O1134+2</f>
        <v>2</v>
      </c>
      <c r="R1134" s="139"/>
      <c r="S1134" s="143"/>
      <c r="T1134" s="139"/>
      <c r="U1134" s="143"/>
      <c r="V1134" s="139"/>
      <c r="W1134" s="143"/>
      <c r="X1134" s="139"/>
      <c r="Y1134" s="141"/>
      <c r="Z1134" s="119"/>
      <c r="AA1134" s="144">
        <f t="shared" si="771"/>
        <v>-7</v>
      </c>
    </row>
    <row r="1135" spans="1:27" s="145" customFormat="1" ht="36" customHeight="1" x14ac:dyDescent="0.25">
      <c r="A1135" s="119"/>
      <c r="B1135" s="139"/>
      <c r="C1135" s="119"/>
      <c r="D1135" s="166"/>
      <c r="E1135" s="119"/>
      <c r="F1135" s="190"/>
      <c r="G1135" s="119"/>
      <c r="H1135" s="187"/>
      <c r="I1135" s="147"/>
      <c r="J1135" s="146"/>
      <c r="K1135" s="119"/>
      <c r="L1135" s="146"/>
      <c r="M1135" s="119"/>
      <c r="N1135" s="119"/>
      <c r="O1135" s="141">
        <f t="shared" si="775"/>
        <v>0</v>
      </c>
      <c r="P1135" s="141">
        <f t="shared" si="776"/>
        <v>7</v>
      </c>
      <c r="Q1135" s="141">
        <f t="shared" si="777"/>
        <v>2</v>
      </c>
      <c r="R1135" s="139"/>
      <c r="S1135" s="143"/>
      <c r="T1135" s="139"/>
      <c r="U1135" s="143"/>
      <c r="V1135" s="139"/>
      <c r="W1135" s="143"/>
      <c r="X1135" s="139"/>
      <c r="Y1135" s="141"/>
      <c r="Z1135" s="119"/>
      <c r="AA1135" s="144">
        <f t="shared" ref="AA1135:AA1161" si="778">W1135-P1137</f>
        <v>-7</v>
      </c>
    </row>
    <row r="1136" spans="1:27" s="145" customFormat="1" ht="55.5" customHeight="1" x14ac:dyDescent="0.25">
      <c r="A1136" s="119"/>
      <c r="B1136" s="139"/>
      <c r="C1136" s="119"/>
      <c r="D1136" s="166"/>
      <c r="E1136" s="119"/>
      <c r="F1136" s="190"/>
      <c r="G1136" s="119"/>
      <c r="H1136" s="187"/>
      <c r="I1136" s="147"/>
      <c r="J1136" s="146"/>
      <c r="K1136" s="146"/>
      <c r="L1136" s="146"/>
      <c r="M1136" s="119"/>
      <c r="N1136" s="119"/>
      <c r="O1136" s="141">
        <f t="shared" si="775"/>
        <v>0</v>
      </c>
      <c r="P1136" s="141">
        <f t="shared" si="776"/>
        <v>7</v>
      </c>
      <c r="Q1136" s="141">
        <f t="shared" si="777"/>
        <v>2</v>
      </c>
      <c r="R1136" s="139"/>
      <c r="S1136" s="143"/>
      <c r="T1136" s="139"/>
      <c r="U1136" s="143"/>
      <c r="V1136" s="139"/>
      <c r="W1136" s="143"/>
      <c r="X1136" s="139"/>
      <c r="Y1136" s="141"/>
      <c r="Z1136" s="119"/>
      <c r="AA1136" s="144">
        <f t="shared" si="778"/>
        <v>-7</v>
      </c>
    </row>
    <row r="1137" spans="1:27" s="145" customFormat="1" ht="36" customHeight="1" x14ac:dyDescent="0.25">
      <c r="A1137" s="119"/>
      <c r="B1137" s="139"/>
      <c r="C1137" s="119"/>
      <c r="D1137" s="166"/>
      <c r="E1137" s="119"/>
      <c r="F1137" s="190"/>
      <c r="G1137" s="119"/>
      <c r="H1137" s="187"/>
      <c r="I1137" s="147"/>
      <c r="J1137" s="146"/>
      <c r="K1137" s="146"/>
      <c r="L1137" s="146"/>
      <c r="M1137" s="119"/>
      <c r="N1137" s="119"/>
      <c r="O1137" s="141">
        <f t="shared" si="775"/>
        <v>0</v>
      </c>
      <c r="P1137" s="141">
        <f t="shared" si="776"/>
        <v>7</v>
      </c>
      <c r="Q1137" s="141">
        <f t="shared" si="777"/>
        <v>2</v>
      </c>
      <c r="R1137" s="139"/>
      <c r="S1137" s="143"/>
      <c r="T1137" s="139"/>
      <c r="U1137" s="143"/>
      <c r="V1137" s="139"/>
      <c r="W1137" s="143"/>
      <c r="X1137" s="139"/>
      <c r="Y1137" s="141"/>
      <c r="Z1137" s="119"/>
      <c r="AA1137" s="144">
        <f t="shared" si="778"/>
        <v>-7</v>
      </c>
    </row>
    <row r="1138" spans="1:27" s="145" customFormat="1" ht="36" customHeight="1" x14ac:dyDescent="0.25">
      <c r="A1138" s="119"/>
      <c r="B1138" s="139"/>
      <c r="C1138" s="119"/>
      <c r="D1138" s="166"/>
      <c r="E1138" s="119"/>
      <c r="F1138" s="190"/>
      <c r="G1138" s="119"/>
      <c r="H1138" s="187"/>
      <c r="I1138" s="147"/>
      <c r="J1138" s="146"/>
      <c r="K1138" s="146"/>
      <c r="L1138" s="146"/>
      <c r="M1138" s="119"/>
      <c r="N1138" s="119"/>
      <c r="O1138" s="141">
        <f t="shared" si="775"/>
        <v>0</v>
      </c>
      <c r="P1138" s="141">
        <f t="shared" si="776"/>
        <v>7</v>
      </c>
      <c r="Q1138" s="141">
        <f t="shared" si="777"/>
        <v>2</v>
      </c>
      <c r="R1138" s="139"/>
      <c r="S1138" s="143"/>
      <c r="T1138" s="139"/>
      <c r="U1138" s="143"/>
      <c r="V1138" s="139"/>
      <c r="W1138" s="143"/>
      <c r="X1138" s="139"/>
      <c r="Y1138" s="141"/>
      <c r="Z1138" s="119"/>
      <c r="AA1138" s="144">
        <f t="shared" si="778"/>
        <v>-7</v>
      </c>
    </row>
    <row r="1139" spans="1:27" s="145" customFormat="1" ht="36" customHeight="1" x14ac:dyDescent="0.25">
      <c r="A1139" s="119"/>
      <c r="B1139" s="139"/>
      <c r="C1139" s="119"/>
      <c r="D1139" s="166"/>
      <c r="E1139" s="119"/>
      <c r="F1139" s="190"/>
      <c r="G1139" s="119"/>
      <c r="H1139" s="187"/>
      <c r="I1139" s="147"/>
      <c r="J1139" s="146"/>
      <c r="K1139" s="146"/>
      <c r="L1139" s="119"/>
      <c r="M1139" s="119"/>
      <c r="N1139" s="119"/>
      <c r="O1139" s="141">
        <f t="shared" si="775"/>
        <v>0</v>
      </c>
      <c r="P1139" s="141">
        <f t="shared" si="776"/>
        <v>7</v>
      </c>
      <c r="Q1139" s="141">
        <f t="shared" si="777"/>
        <v>2</v>
      </c>
      <c r="R1139" s="139"/>
      <c r="S1139" s="143"/>
      <c r="T1139" s="139"/>
      <c r="U1139" s="143"/>
      <c r="V1139" s="139"/>
      <c r="W1139" s="143"/>
      <c r="X1139" s="139"/>
      <c r="Y1139" s="141"/>
      <c r="Z1139" s="119"/>
      <c r="AA1139" s="144">
        <f t="shared" si="778"/>
        <v>-7</v>
      </c>
    </row>
    <row r="1140" spans="1:27" s="145" customFormat="1" ht="36" customHeight="1" x14ac:dyDescent="0.25">
      <c r="A1140" s="119"/>
      <c r="B1140" s="139"/>
      <c r="C1140" s="119"/>
      <c r="D1140" s="166"/>
      <c r="E1140" s="119"/>
      <c r="F1140" s="190"/>
      <c r="G1140" s="119"/>
      <c r="H1140" s="187"/>
      <c r="I1140" s="147"/>
      <c r="J1140" s="146"/>
      <c r="K1140" s="146"/>
      <c r="L1140" s="119"/>
      <c r="M1140" s="119"/>
      <c r="N1140" s="119"/>
      <c r="O1140" s="141">
        <f t="shared" si="775"/>
        <v>0</v>
      </c>
      <c r="P1140" s="141">
        <f t="shared" si="776"/>
        <v>7</v>
      </c>
      <c r="Q1140" s="141">
        <f t="shared" si="777"/>
        <v>2</v>
      </c>
      <c r="R1140" s="139"/>
      <c r="S1140" s="143"/>
      <c r="T1140" s="139"/>
      <c r="U1140" s="143"/>
      <c r="V1140" s="139"/>
      <c r="W1140" s="143"/>
      <c r="X1140" s="139"/>
      <c r="Y1140" s="141"/>
      <c r="Z1140" s="119"/>
      <c r="AA1140" s="144">
        <f t="shared" si="778"/>
        <v>-7</v>
      </c>
    </row>
    <row r="1141" spans="1:27" s="145" customFormat="1" ht="36" customHeight="1" x14ac:dyDescent="0.25">
      <c r="A1141" s="119"/>
      <c r="B1141" s="139"/>
      <c r="C1141" s="119"/>
      <c r="D1141" s="166"/>
      <c r="E1141" s="119"/>
      <c r="F1141" s="190"/>
      <c r="G1141" s="119"/>
      <c r="H1141" s="187"/>
      <c r="I1141" s="147"/>
      <c r="J1141" s="146"/>
      <c r="K1141" s="146"/>
      <c r="L1141" s="119"/>
      <c r="M1141" s="119"/>
      <c r="N1141" s="119"/>
      <c r="O1141" s="141">
        <f t="shared" si="775"/>
        <v>0</v>
      </c>
      <c r="P1141" s="141">
        <f t="shared" si="776"/>
        <v>7</v>
      </c>
      <c r="Q1141" s="141">
        <f t="shared" si="777"/>
        <v>2</v>
      </c>
      <c r="R1141" s="139"/>
      <c r="S1141" s="143"/>
      <c r="T1141" s="139"/>
      <c r="U1141" s="143"/>
      <c r="V1141" s="139"/>
      <c r="W1141" s="143"/>
      <c r="X1141" s="139"/>
      <c r="Y1141" s="141"/>
      <c r="Z1141" s="119"/>
      <c r="AA1141" s="144">
        <f t="shared" si="778"/>
        <v>-7</v>
      </c>
    </row>
    <row r="1142" spans="1:27" s="145" customFormat="1" ht="36" customHeight="1" x14ac:dyDescent="0.25">
      <c r="A1142" s="119"/>
      <c r="B1142" s="139"/>
      <c r="C1142" s="119"/>
      <c r="D1142" s="166"/>
      <c r="E1142" s="119"/>
      <c r="F1142" s="190"/>
      <c r="G1142" s="119"/>
      <c r="H1142" s="187"/>
      <c r="I1142" s="147"/>
      <c r="J1142" s="146"/>
      <c r="K1142" s="119"/>
      <c r="L1142" s="146"/>
      <c r="M1142" s="119"/>
      <c r="N1142" s="119"/>
      <c r="O1142" s="141">
        <f t="shared" si="775"/>
        <v>0</v>
      </c>
      <c r="P1142" s="141">
        <f t="shared" si="776"/>
        <v>7</v>
      </c>
      <c r="Q1142" s="141">
        <f t="shared" si="777"/>
        <v>2</v>
      </c>
      <c r="R1142" s="139"/>
      <c r="S1142" s="143"/>
      <c r="T1142" s="139"/>
      <c r="U1142" s="143"/>
      <c r="V1142" s="139"/>
      <c r="W1142" s="143"/>
      <c r="X1142" s="139"/>
      <c r="Y1142" s="141"/>
      <c r="Z1142" s="119"/>
      <c r="AA1142" s="144">
        <f t="shared" si="778"/>
        <v>-7</v>
      </c>
    </row>
    <row r="1143" spans="1:27" s="151" customFormat="1" ht="36" customHeight="1" x14ac:dyDescent="0.25">
      <c r="A1143" s="119"/>
      <c r="B1143" s="139"/>
      <c r="C1143" s="119"/>
      <c r="D1143" s="166"/>
      <c r="E1143" s="119"/>
      <c r="F1143" s="190"/>
      <c r="G1143" s="119"/>
      <c r="H1143" s="187"/>
      <c r="I1143" s="147"/>
      <c r="J1143" s="119"/>
      <c r="K1143" s="119"/>
      <c r="L1143" s="119"/>
      <c r="M1143" s="119"/>
      <c r="N1143" s="119"/>
      <c r="O1143" s="141">
        <f t="shared" ref="O1143:O1155" si="779">B1143</f>
        <v>0</v>
      </c>
      <c r="P1143" s="141">
        <f t="shared" ref="P1143:P1155" si="780">O1143+7</f>
        <v>7</v>
      </c>
      <c r="Q1143" s="141">
        <f t="shared" ref="Q1143:Q1155" si="781">O1143+2</f>
        <v>2</v>
      </c>
      <c r="R1143" s="139"/>
      <c r="S1143" s="143"/>
      <c r="T1143" s="139"/>
      <c r="U1143" s="160"/>
      <c r="V1143" s="139"/>
      <c r="W1143" s="160"/>
      <c r="X1143" s="139"/>
      <c r="Y1143" s="139"/>
      <c r="Z1143" s="119"/>
      <c r="AA1143" s="144">
        <f t="shared" si="778"/>
        <v>-7</v>
      </c>
    </row>
    <row r="1144" spans="1:27" s="145" customFormat="1" ht="36" customHeight="1" x14ac:dyDescent="0.25">
      <c r="A1144" s="119"/>
      <c r="B1144" s="139"/>
      <c r="C1144" s="119"/>
      <c r="D1144" s="166"/>
      <c r="E1144" s="119"/>
      <c r="F1144" s="190"/>
      <c r="G1144" s="119"/>
      <c r="H1144" s="187"/>
      <c r="I1144" s="147"/>
      <c r="J1144" s="146"/>
      <c r="K1144" s="119"/>
      <c r="L1144" s="119"/>
      <c r="M1144" s="119"/>
      <c r="N1144" s="119"/>
      <c r="O1144" s="141">
        <f t="shared" si="779"/>
        <v>0</v>
      </c>
      <c r="P1144" s="141">
        <f t="shared" si="780"/>
        <v>7</v>
      </c>
      <c r="Q1144" s="141">
        <f t="shared" si="781"/>
        <v>2</v>
      </c>
      <c r="R1144" s="139"/>
      <c r="S1144" s="143"/>
      <c r="T1144" s="139"/>
      <c r="U1144" s="160"/>
      <c r="V1144" s="139"/>
      <c r="W1144" s="160"/>
      <c r="X1144" s="139"/>
      <c r="Y1144" s="139"/>
      <c r="Z1144" s="119"/>
      <c r="AA1144" s="144">
        <f t="shared" si="778"/>
        <v>-7</v>
      </c>
    </row>
    <row r="1145" spans="1:27" s="145" customFormat="1" ht="36" customHeight="1" x14ac:dyDescent="0.25">
      <c r="A1145" s="119"/>
      <c r="B1145" s="139"/>
      <c r="C1145" s="119"/>
      <c r="D1145" s="166"/>
      <c r="E1145" s="119"/>
      <c r="F1145" s="190"/>
      <c r="G1145" s="119"/>
      <c r="H1145" s="187"/>
      <c r="I1145" s="147"/>
      <c r="J1145" s="146"/>
      <c r="K1145" s="119"/>
      <c r="L1145" s="119"/>
      <c r="M1145" s="119"/>
      <c r="N1145" s="119"/>
      <c r="O1145" s="141">
        <f t="shared" si="779"/>
        <v>0</v>
      </c>
      <c r="P1145" s="141">
        <f t="shared" si="780"/>
        <v>7</v>
      </c>
      <c r="Q1145" s="141">
        <f t="shared" si="781"/>
        <v>2</v>
      </c>
      <c r="R1145" s="139"/>
      <c r="S1145" s="143"/>
      <c r="T1145" s="139"/>
      <c r="U1145" s="160"/>
      <c r="V1145" s="139"/>
      <c r="W1145" s="160"/>
      <c r="X1145" s="139"/>
      <c r="Y1145" s="139"/>
      <c r="Z1145" s="119"/>
      <c r="AA1145" s="144">
        <f t="shared" si="778"/>
        <v>-7</v>
      </c>
    </row>
    <row r="1146" spans="1:27" s="145" customFormat="1" ht="36" customHeight="1" x14ac:dyDescent="0.25">
      <c r="A1146" s="119"/>
      <c r="B1146" s="139"/>
      <c r="C1146" s="119"/>
      <c r="D1146" s="166"/>
      <c r="E1146" s="119"/>
      <c r="F1146" s="190"/>
      <c r="G1146" s="119"/>
      <c r="H1146" s="187"/>
      <c r="I1146" s="147"/>
      <c r="J1146" s="161"/>
      <c r="K1146" s="119"/>
      <c r="L1146" s="119"/>
      <c r="M1146" s="119"/>
      <c r="N1146" s="119"/>
      <c r="O1146" s="141">
        <f t="shared" si="779"/>
        <v>0</v>
      </c>
      <c r="P1146" s="141">
        <f t="shared" si="780"/>
        <v>7</v>
      </c>
      <c r="Q1146" s="141">
        <f t="shared" si="781"/>
        <v>2</v>
      </c>
      <c r="R1146" s="139"/>
      <c r="S1146" s="143"/>
      <c r="T1146" s="139"/>
      <c r="U1146" s="143"/>
      <c r="V1146" s="139"/>
      <c r="W1146" s="143"/>
      <c r="X1146" s="139"/>
      <c r="Y1146" s="141"/>
      <c r="Z1146" s="119"/>
      <c r="AA1146" s="144">
        <f t="shared" si="778"/>
        <v>-7</v>
      </c>
    </row>
    <row r="1147" spans="1:27" s="145" customFormat="1" ht="36" customHeight="1" x14ac:dyDescent="0.25">
      <c r="A1147" s="119"/>
      <c r="B1147" s="139"/>
      <c r="C1147" s="119"/>
      <c r="D1147" s="166"/>
      <c r="E1147" s="119"/>
      <c r="F1147" s="190"/>
      <c r="G1147" s="119"/>
      <c r="H1147" s="187"/>
      <c r="I1147" s="147"/>
      <c r="J1147" s="146"/>
      <c r="K1147" s="146"/>
      <c r="L1147" s="146"/>
      <c r="M1147" s="119"/>
      <c r="N1147" s="119"/>
      <c r="O1147" s="141">
        <f t="shared" si="779"/>
        <v>0</v>
      </c>
      <c r="P1147" s="141">
        <f t="shared" si="780"/>
        <v>7</v>
      </c>
      <c r="Q1147" s="141">
        <f t="shared" si="781"/>
        <v>2</v>
      </c>
      <c r="R1147" s="139"/>
      <c r="S1147" s="143"/>
      <c r="T1147" s="139"/>
      <c r="U1147" s="143"/>
      <c r="V1147" s="139"/>
      <c r="W1147" s="143"/>
      <c r="X1147" s="139"/>
      <c r="Y1147" s="141"/>
      <c r="Z1147" s="119"/>
      <c r="AA1147" s="144">
        <f t="shared" si="778"/>
        <v>-7</v>
      </c>
    </row>
    <row r="1148" spans="1:27" s="145" customFormat="1" ht="36" customHeight="1" x14ac:dyDescent="0.25">
      <c r="A1148" s="119"/>
      <c r="B1148" s="139"/>
      <c r="C1148" s="119"/>
      <c r="D1148" s="166"/>
      <c r="E1148" s="119"/>
      <c r="F1148" s="190"/>
      <c r="G1148" s="119"/>
      <c r="H1148" s="187"/>
      <c r="I1148" s="147"/>
      <c r="J1148" s="119"/>
      <c r="K1148" s="119"/>
      <c r="L1148" s="119"/>
      <c r="M1148" s="119"/>
      <c r="N1148" s="119"/>
      <c r="O1148" s="141">
        <f t="shared" si="779"/>
        <v>0</v>
      </c>
      <c r="P1148" s="141">
        <f t="shared" si="780"/>
        <v>7</v>
      </c>
      <c r="Q1148" s="141">
        <f t="shared" si="781"/>
        <v>2</v>
      </c>
      <c r="R1148" s="139"/>
      <c r="S1148" s="143"/>
      <c r="T1148" s="139"/>
      <c r="U1148" s="143"/>
      <c r="V1148" s="139"/>
      <c r="W1148" s="143"/>
      <c r="X1148" s="139"/>
      <c r="Y1148" s="141"/>
      <c r="Z1148" s="119"/>
      <c r="AA1148" s="144">
        <f t="shared" si="778"/>
        <v>-7</v>
      </c>
    </row>
    <row r="1149" spans="1:27" s="145" customFormat="1" ht="36" customHeight="1" x14ac:dyDescent="0.25">
      <c r="A1149" s="119"/>
      <c r="B1149" s="139"/>
      <c r="C1149" s="119"/>
      <c r="D1149" s="166"/>
      <c r="E1149" s="119"/>
      <c r="F1149" s="190"/>
      <c r="G1149" s="119"/>
      <c r="H1149" s="187"/>
      <c r="I1149" s="147"/>
      <c r="J1149" s="119"/>
      <c r="K1149" s="119"/>
      <c r="L1149" s="119"/>
      <c r="M1149" s="119"/>
      <c r="N1149" s="119"/>
      <c r="O1149" s="141">
        <f t="shared" si="779"/>
        <v>0</v>
      </c>
      <c r="P1149" s="141">
        <f t="shared" si="780"/>
        <v>7</v>
      </c>
      <c r="Q1149" s="141">
        <f t="shared" si="781"/>
        <v>2</v>
      </c>
      <c r="R1149" s="139"/>
      <c r="S1149" s="143"/>
      <c r="T1149" s="139"/>
      <c r="U1149" s="143"/>
      <c r="V1149" s="139"/>
      <c r="W1149" s="143"/>
      <c r="X1149" s="139"/>
      <c r="Y1149" s="141"/>
      <c r="Z1149" s="119"/>
      <c r="AA1149" s="144">
        <f t="shared" si="778"/>
        <v>-7</v>
      </c>
    </row>
    <row r="1150" spans="1:27" s="145" customFormat="1" ht="43.5" customHeight="1" x14ac:dyDescent="0.25">
      <c r="A1150" s="119"/>
      <c r="B1150" s="139"/>
      <c r="C1150" s="119"/>
      <c r="D1150" s="166"/>
      <c r="E1150" s="119"/>
      <c r="F1150" s="190"/>
      <c r="G1150" s="119"/>
      <c r="H1150" s="187"/>
      <c r="I1150" s="147"/>
      <c r="J1150" s="119"/>
      <c r="K1150" s="119"/>
      <c r="L1150" s="119"/>
      <c r="M1150" s="119"/>
      <c r="N1150" s="119"/>
      <c r="O1150" s="141">
        <f t="shared" si="779"/>
        <v>0</v>
      </c>
      <c r="P1150" s="141">
        <f t="shared" si="780"/>
        <v>7</v>
      </c>
      <c r="Q1150" s="141">
        <f t="shared" si="781"/>
        <v>2</v>
      </c>
      <c r="R1150" s="139"/>
      <c r="S1150" s="143"/>
      <c r="T1150" s="139"/>
      <c r="U1150" s="143"/>
      <c r="V1150" s="139"/>
      <c r="W1150" s="143"/>
      <c r="X1150" s="139"/>
      <c r="Y1150" s="141"/>
      <c r="Z1150" s="119"/>
      <c r="AA1150" s="144">
        <f t="shared" si="778"/>
        <v>-7</v>
      </c>
    </row>
    <row r="1151" spans="1:27" s="145" customFormat="1" ht="43.5" customHeight="1" x14ac:dyDescent="0.25">
      <c r="A1151" s="119"/>
      <c r="B1151" s="139"/>
      <c r="C1151" s="119"/>
      <c r="D1151" s="166"/>
      <c r="E1151" s="119"/>
      <c r="F1151" s="190"/>
      <c r="G1151" s="119"/>
      <c r="H1151" s="187"/>
      <c r="I1151" s="147"/>
      <c r="J1151" s="161"/>
      <c r="K1151" s="119"/>
      <c r="L1151" s="119"/>
      <c r="M1151" s="119"/>
      <c r="N1151" s="119"/>
      <c r="O1151" s="141">
        <f t="shared" si="779"/>
        <v>0</v>
      </c>
      <c r="P1151" s="141">
        <f t="shared" si="780"/>
        <v>7</v>
      </c>
      <c r="Q1151" s="141">
        <f t="shared" si="781"/>
        <v>2</v>
      </c>
      <c r="R1151" s="139"/>
      <c r="S1151" s="143"/>
      <c r="T1151" s="139"/>
      <c r="U1151" s="143"/>
      <c r="V1151" s="139"/>
      <c r="W1151" s="143"/>
      <c r="X1151" s="139"/>
      <c r="Y1151" s="141"/>
      <c r="Z1151" s="119"/>
      <c r="AA1151" s="144">
        <f t="shared" si="778"/>
        <v>-7</v>
      </c>
    </row>
    <row r="1152" spans="1:27" s="145" customFormat="1" ht="54" customHeight="1" x14ac:dyDescent="0.25">
      <c r="A1152" s="119"/>
      <c r="B1152" s="139"/>
      <c r="C1152" s="119"/>
      <c r="D1152" s="166"/>
      <c r="E1152" s="119"/>
      <c r="F1152" s="190"/>
      <c r="G1152" s="119"/>
      <c r="H1152" s="187"/>
      <c r="I1152" s="147"/>
      <c r="J1152" s="146"/>
      <c r="K1152" s="146"/>
      <c r="L1152" s="146"/>
      <c r="M1152" s="119"/>
      <c r="N1152" s="119"/>
      <c r="O1152" s="141">
        <f t="shared" si="779"/>
        <v>0</v>
      </c>
      <c r="P1152" s="141">
        <f t="shared" si="780"/>
        <v>7</v>
      </c>
      <c r="Q1152" s="141">
        <f t="shared" si="781"/>
        <v>2</v>
      </c>
      <c r="R1152" s="139"/>
      <c r="S1152" s="143"/>
      <c r="T1152" s="139"/>
      <c r="U1152" s="143"/>
      <c r="V1152" s="139"/>
      <c r="W1152" s="143"/>
      <c r="X1152" s="139"/>
      <c r="Y1152" s="141"/>
      <c r="Z1152" s="119"/>
      <c r="AA1152" s="144">
        <f t="shared" si="778"/>
        <v>-7</v>
      </c>
    </row>
    <row r="1153" spans="1:27" s="145" customFormat="1" ht="54" customHeight="1" x14ac:dyDescent="0.25">
      <c r="A1153" s="119"/>
      <c r="B1153" s="139"/>
      <c r="C1153" s="119"/>
      <c r="D1153" s="166"/>
      <c r="E1153" s="119"/>
      <c r="F1153" s="190"/>
      <c r="G1153" s="119"/>
      <c r="H1153" s="187"/>
      <c r="I1153" s="147"/>
      <c r="J1153" s="161"/>
      <c r="K1153" s="119"/>
      <c r="L1153" s="119"/>
      <c r="M1153" s="119"/>
      <c r="N1153" s="119"/>
      <c r="O1153" s="141">
        <f t="shared" si="779"/>
        <v>0</v>
      </c>
      <c r="P1153" s="141">
        <f t="shared" si="780"/>
        <v>7</v>
      </c>
      <c r="Q1153" s="141">
        <f t="shared" si="781"/>
        <v>2</v>
      </c>
      <c r="R1153" s="139"/>
      <c r="S1153" s="143"/>
      <c r="T1153" s="139"/>
      <c r="U1153" s="143"/>
      <c r="V1153" s="139"/>
      <c r="W1153" s="143"/>
      <c r="X1153" s="139"/>
      <c r="Y1153" s="141"/>
      <c r="Z1153" s="119"/>
      <c r="AA1153" s="144">
        <f t="shared" si="778"/>
        <v>-7</v>
      </c>
    </row>
    <row r="1154" spans="1:27" s="145" customFormat="1" ht="36" customHeight="1" x14ac:dyDescent="0.25">
      <c r="A1154" s="119"/>
      <c r="B1154" s="139"/>
      <c r="C1154" s="119"/>
      <c r="D1154" s="166"/>
      <c r="E1154" s="119"/>
      <c r="F1154" s="190"/>
      <c r="G1154" s="119"/>
      <c r="H1154" s="187"/>
      <c r="I1154" s="147"/>
      <c r="J1154" s="146"/>
      <c r="K1154" s="119"/>
      <c r="L1154" s="146"/>
      <c r="M1154" s="150"/>
      <c r="N1154" s="119"/>
      <c r="O1154" s="141">
        <f t="shared" si="779"/>
        <v>0</v>
      </c>
      <c r="P1154" s="141">
        <f t="shared" si="780"/>
        <v>7</v>
      </c>
      <c r="Q1154" s="141">
        <f t="shared" si="781"/>
        <v>2</v>
      </c>
      <c r="R1154" s="139"/>
      <c r="S1154" s="143"/>
      <c r="T1154" s="139"/>
      <c r="U1154" s="143"/>
      <c r="V1154" s="139"/>
      <c r="W1154" s="143"/>
      <c r="X1154" s="139"/>
      <c r="Y1154" s="141"/>
      <c r="Z1154" s="119"/>
      <c r="AA1154" s="144">
        <f t="shared" si="778"/>
        <v>-7</v>
      </c>
    </row>
    <row r="1155" spans="1:27" s="145" customFormat="1" ht="36" customHeight="1" x14ac:dyDescent="0.25">
      <c r="A1155" s="119"/>
      <c r="B1155" s="139"/>
      <c r="C1155" s="119"/>
      <c r="D1155" s="166"/>
      <c r="E1155" s="119"/>
      <c r="F1155" s="190"/>
      <c r="G1155" s="119"/>
      <c r="H1155" s="187"/>
      <c r="I1155" s="147"/>
      <c r="J1155" s="146"/>
      <c r="K1155" s="119"/>
      <c r="L1155" s="146"/>
      <c r="M1155" s="150"/>
      <c r="N1155" s="119"/>
      <c r="O1155" s="141">
        <f t="shared" si="779"/>
        <v>0</v>
      </c>
      <c r="P1155" s="141">
        <f t="shared" si="780"/>
        <v>7</v>
      </c>
      <c r="Q1155" s="141">
        <f t="shared" si="781"/>
        <v>2</v>
      </c>
      <c r="R1155" s="139"/>
      <c r="S1155" s="143"/>
      <c r="T1155" s="139"/>
      <c r="U1155" s="143"/>
      <c r="V1155" s="139"/>
      <c r="W1155" s="143"/>
      <c r="X1155" s="139"/>
      <c r="Y1155" s="141"/>
      <c r="Z1155" s="119"/>
      <c r="AA1155" s="144">
        <f t="shared" si="778"/>
        <v>-7</v>
      </c>
    </row>
    <row r="1156" spans="1:27" s="145" customFormat="1" ht="36" customHeight="1" x14ac:dyDescent="0.25">
      <c r="A1156" s="119"/>
      <c r="B1156" s="139"/>
      <c r="C1156" s="119"/>
      <c r="D1156" s="166"/>
      <c r="E1156" s="119"/>
      <c r="F1156" s="190"/>
      <c r="G1156" s="119"/>
      <c r="H1156" s="187"/>
      <c r="I1156" s="147"/>
      <c r="J1156" s="146"/>
      <c r="K1156" s="146"/>
      <c r="L1156" s="146"/>
      <c r="M1156" s="119"/>
      <c r="N1156" s="119"/>
      <c r="O1156" s="141">
        <f t="shared" ref="O1156:O1221" si="782">B1156</f>
        <v>0</v>
      </c>
      <c r="P1156" s="141">
        <f t="shared" ref="P1156:P1221" si="783">O1156+7</f>
        <v>7</v>
      </c>
      <c r="Q1156" s="141">
        <f t="shared" ref="Q1156:Q1221" si="784">O1156+2</f>
        <v>2</v>
      </c>
      <c r="R1156" s="139"/>
      <c r="S1156" s="143"/>
      <c r="T1156" s="139"/>
      <c r="U1156" s="143"/>
      <c r="V1156" s="139"/>
      <c r="W1156" s="143"/>
      <c r="X1156" s="139"/>
      <c r="Y1156" s="141"/>
      <c r="Z1156" s="119"/>
      <c r="AA1156" s="144">
        <f t="shared" si="778"/>
        <v>-7</v>
      </c>
    </row>
    <row r="1157" spans="1:27" s="145" customFormat="1" ht="36" customHeight="1" x14ac:dyDescent="0.25">
      <c r="A1157" s="119"/>
      <c r="B1157" s="139"/>
      <c r="C1157" s="119"/>
      <c r="D1157" s="166"/>
      <c r="E1157" s="119"/>
      <c r="F1157" s="190"/>
      <c r="G1157" s="119"/>
      <c r="H1157" s="187"/>
      <c r="I1157" s="147"/>
      <c r="J1157" s="119"/>
      <c r="K1157" s="119"/>
      <c r="L1157" s="119"/>
      <c r="M1157" s="119"/>
      <c r="N1157" s="119"/>
      <c r="O1157" s="141">
        <f t="shared" si="782"/>
        <v>0</v>
      </c>
      <c r="P1157" s="141">
        <f t="shared" si="783"/>
        <v>7</v>
      </c>
      <c r="Q1157" s="141">
        <f t="shared" si="784"/>
        <v>2</v>
      </c>
      <c r="R1157" s="139"/>
      <c r="S1157" s="143"/>
      <c r="T1157" s="139"/>
      <c r="U1157" s="143"/>
      <c r="V1157" s="139"/>
      <c r="W1157" s="143"/>
      <c r="X1157" s="139"/>
      <c r="Y1157" s="141"/>
      <c r="Z1157" s="119"/>
      <c r="AA1157" s="144">
        <f t="shared" si="778"/>
        <v>-7</v>
      </c>
    </row>
    <row r="1158" spans="1:27" s="145" customFormat="1" ht="36" customHeight="1" x14ac:dyDescent="0.25">
      <c r="A1158" s="119"/>
      <c r="B1158" s="139"/>
      <c r="C1158" s="119"/>
      <c r="D1158" s="166"/>
      <c r="E1158" s="119"/>
      <c r="F1158" s="190"/>
      <c r="G1158" s="119"/>
      <c r="H1158" s="187"/>
      <c r="I1158" s="147"/>
      <c r="J1158" s="119"/>
      <c r="K1158" s="119"/>
      <c r="L1158" s="119"/>
      <c r="M1158" s="119"/>
      <c r="N1158" s="119"/>
      <c r="O1158" s="141">
        <f t="shared" si="782"/>
        <v>0</v>
      </c>
      <c r="P1158" s="141">
        <f t="shared" si="783"/>
        <v>7</v>
      </c>
      <c r="Q1158" s="141">
        <f t="shared" si="784"/>
        <v>2</v>
      </c>
      <c r="R1158" s="139"/>
      <c r="S1158" s="143"/>
      <c r="T1158" s="139"/>
      <c r="U1158" s="143"/>
      <c r="V1158" s="139"/>
      <c r="W1158" s="143"/>
      <c r="X1158" s="139"/>
      <c r="Y1158" s="141"/>
      <c r="Z1158" s="119"/>
      <c r="AA1158" s="144">
        <f t="shared" si="778"/>
        <v>-7</v>
      </c>
    </row>
    <row r="1159" spans="1:27" s="145" customFormat="1" ht="36" customHeight="1" x14ac:dyDescent="0.25">
      <c r="A1159" s="119"/>
      <c r="B1159" s="139"/>
      <c r="C1159" s="119"/>
      <c r="D1159" s="166"/>
      <c r="E1159" s="119"/>
      <c r="F1159" s="190"/>
      <c r="G1159" s="119"/>
      <c r="H1159" s="187"/>
      <c r="I1159" s="147"/>
      <c r="J1159" s="146"/>
      <c r="K1159" s="146"/>
      <c r="L1159" s="119"/>
      <c r="M1159" s="119"/>
      <c r="N1159" s="119"/>
      <c r="O1159" s="141">
        <f t="shared" si="782"/>
        <v>0</v>
      </c>
      <c r="P1159" s="141">
        <f t="shared" si="783"/>
        <v>7</v>
      </c>
      <c r="Q1159" s="141">
        <f t="shared" si="784"/>
        <v>2</v>
      </c>
      <c r="R1159" s="139"/>
      <c r="S1159" s="143"/>
      <c r="T1159" s="139"/>
      <c r="U1159" s="143"/>
      <c r="V1159" s="139"/>
      <c r="W1159" s="143"/>
      <c r="X1159" s="139"/>
      <c r="Y1159" s="141"/>
      <c r="Z1159" s="119"/>
      <c r="AA1159" s="144">
        <f t="shared" si="778"/>
        <v>-7</v>
      </c>
    </row>
    <row r="1160" spans="1:27" s="145" customFormat="1" ht="36" customHeight="1" x14ac:dyDescent="0.25">
      <c r="A1160" s="119"/>
      <c r="B1160" s="139"/>
      <c r="C1160" s="119"/>
      <c r="D1160" s="166"/>
      <c r="E1160" s="119"/>
      <c r="F1160" s="190"/>
      <c r="G1160" s="119"/>
      <c r="H1160" s="187"/>
      <c r="I1160" s="147"/>
      <c r="J1160" s="146"/>
      <c r="K1160" s="146"/>
      <c r="L1160" s="119"/>
      <c r="M1160" s="119"/>
      <c r="N1160" s="119"/>
      <c r="O1160" s="141">
        <f t="shared" si="782"/>
        <v>0</v>
      </c>
      <c r="P1160" s="141">
        <f t="shared" si="783"/>
        <v>7</v>
      </c>
      <c r="Q1160" s="141">
        <f t="shared" si="784"/>
        <v>2</v>
      </c>
      <c r="R1160" s="139"/>
      <c r="S1160" s="143"/>
      <c r="T1160" s="139"/>
      <c r="U1160" s="143"/>
      <c r="V1160" s="139"/>
      <c r="W1160" s="143"/>
      <c r="X1160" s="139"/>
      <c r="Y1160" s="141"/>
      <c r="Z1160" s="119"/>
      <c r="AA1160" s="144">
        <f t="shared" si="778"/>
        <v>-7</v>
      </c>
    </row>
    <row r="1161" spans="1:27" s="145" customFormat="1" ht="18" customHeight="1" x14ac:dyDescent="0.25">
      <c r="A1161" s="119"/>
      <c r="B1161" s="139"/>
      <c r="C1161" s="119"/>
      <c r="D1161" s="166"/>
      <c r="E1161" s="119"/>
      <c r="F1161" s="190"/>
      <c r="G1161" s="119"/>
      <c r="H1161" s="187"/>
      <c r="I1161" s="147"/>
      <c r="J1161" s="146"/>
      <c r="K1161" s="146"/>
      <c r="L1161" s="146"/>
      <c r="M1161" s="119"/>
      <c r="N1161" s="119"/>
      <c r="O1161" s="141">
        <f t="shared" si="782"/>
        <v>0</v>
      </c>
      <c r="P1161" s="141">
        <f t="shared" si="783"/>
        <v>7</v>
      </c>
      <c r="Q1161" s="141">
        <f t="shared" si="784"/>
        <v>2</v>
      </c>
      <c r="R1161" s="139"/>
      <c r="S1161" s="143"/>
      <c r="T1161" s="139"/>
      <c r="U1161" s="143"/>
      <c r="V1161" s="139"/>
      <c r="W1161" s="143"/>
      <c r="X1161" s="119"/>
      <c r="Y1161" s="141"/>
      <c r="Z1161" s="119"/>
      <c r="AA1161" s="144">
        <f t="shared" si="778"/>
        <v>-7</v>
      </c>
    </row>
    <row r="1162" spans="1:27" s="145" customFormat="1" ht="36" customHeight="1" x14ac:dyDescent="0.25">
      <c r="A1162" s="119"/>
      <c r="B1162" s="139"/>
      <c r="C1162" s="119"/>
      <c r="D1162" s="166"/>
      <c r="E1162" s="119"/>
      <c r="F1162" s="190"/>
      <c r="G1162" s="119"/>
      <c r="H1162" s="187"/>
      <c r="I1162" s="147"/>
      <c r="J1162" s="146"/>
      <c r="K1162" s="119"/>
      <c r="L1162" s="146"/>
      <c r="M1162" s="119"/>
      <c r="N1162" s="119"/>
      <c r="O1162" s="141">
        <f t="shared" si="782"/>
        <v>0</v>
      </c>
      <c r="P1162" s="141">
        <f t="shared" si="783"/>
        <v>7</v>
      </c>
      <c r="Q1162" s="141">
        <f t="shared" si="784"/>
        <v>2</v>
      </c>
      <c r="R1162" s="139"/>
      <c r="S1162" s="143"/>
      <c r="T1162" s="139"/>
      <c r="U1162" s="143"/>
      <c r="V1162" s="139"/>
      <c r="W1162" s="143"/>
      <c r="X1162" s="139"/>
      <c r="Y1162" s="141"/>
      <c r="Z1162" s="119"/>
      <c r="AA1162" s="144"/>
    </row>
    <row r="1163" spans="1:27" s="145" customFormat="1" ht="36" customHeight="1" x14ac:dyDescent="0.25">
      <c r="A1163" s="119"/>
      <c r="B1163" s="139"/>
      <c r="C1163" s="119"/>
      <c r="D1163" s="166"/>
      <c r="E1163" s="119"/>
      <c r="F1163" s="190"/>
      <c r="G1163" s="119"/>
      <c r="H1163" s="187"/>
      <c r="I1163" s="147"/>
      <c r="J1163" s="146"/>
      <c r="K1163" s="119"/>
      <c r="L1163" s="146"/>
      <c r="M1163" s="119"/>
      <c r="N1163" s="119"/>
      <c r="O1163" s="141">
        <f t="shared" si="782"/>
        <v>0</v>
      </c>
      <c r="P1163" s="141">
        <f t="shared" si="783"/>
        <v>7</v>
      </c>
      <c r="Q1163" s="141">
        <f t="shared" si="784"/>
        <v>2</v>
      </c>
      <c r="R1163" s="139"/>
      <c r="S1163" s="143"/>
      <c r="T1163" s="139"/>
      <c r="U1163" s="143"/>
      <c r="V1163" s="139"/>
      <c r="W1163" s="143"/>
      <c r="X1163" s="139"/>
      <c r="Y1163" s="141"/>
      <c r="Z1163" s="119"/>
      <c r="AA1163" s="144"/>
    </row>
    <row r="1164" spans="1:27" s="145" customFormat="1" ht="36" customHeight="1" x14ac:dyDescent="0.25">
      <c r="A1164" s="119"/>
      <c r="B1164" s="139"/>
      <c r="C1164" s="119"/>
      <c r="D1164" s="166"/>
      <c r="E1164" s="119"/>
      <c r="F1164" s="190"/>
      <c r="G1164" s="119"/>
      <c r="H1164" s="187"/>
      <c r="I1164" s="147"/>
      <c r="J1164" s="146"/>
      <c r="K1164" s="146"/>
      <c r="L1164" s="146"/>
      <c r="M1164" s="119"/>
      <c r="N1164" s="119"/>
      <c r="O1164" s="141">
        <f t="shared" si="782"/>
        <v>0</v>
      </c>
      <c r="P1164" s="141">
        <f t="shared" si="783"/>
        <v>7</v>
      </c>
      <c r="Q1164" s="141">
        <f t="shared" si="784"/>
        <v>2</v>
      </c>
      <c r="R1164" s="139"/>
      <c r="S1164" s="143"/>
      <c r="T1164" s="139"/>
      <c r="U1164" s="143"/>
      <c r="V1164" s="139"/>
      <c r="W1164" s="143"/>
      <c r="X1164" s="139"/>
      <c r="Y1164" s="141"/>
      <c r="Z1164" s="119"/>
      <c r="AA1164" s="144">
        <f>W1164-P1165</f>
        <v>-7</v>
      </c>
    </row>
    <row r="1165" spans="1:27" s="145" customFormat="1" ht="36" customHeight="1" x14ac:dyDescent="0.25">
      <c r="A1165" s="119"/>
      <c r="B1165" s="139"/>
      <c r="C1165" s="119"/>
      <c r="D1165" s="166"/>
      <c r="E1165" s="119"/>
      <c r="F1165" s="190"/>
      <c r="G1165" s="119"/>
      <c r="H1165" s="187"/>
      <c r="I1165" s="147"/>
      <c r="J1165" s="142"/>
      <c r="K1165" s="119"/>
      <c r="L1165" s="142"/>
      <c r="M1165" s="119"/>
      <c r="N1165" s="119"/>
      <c r="O1165" s="141">
        <f t="shared" si="782"/>
        <v>0</v>
      </c>
      <c r="P1165" s="141">
        <f t="shared" si="783"/>
        <v>7</v>
      </c>
      <c r="Q1165" s="141">
        <f t="shared" si="784"/>
        <v>2</v>
      </c>
      <c r="R1165" s="139"/>
      <c r="S1165" s="143"/>
      <c r="T1165" s="139"/>
      <c r="U1165" s="143"/>
      <c r="V1165" s="139"/>
      <c r="W1165" s="143"/>
      <c r="X1165" s="139"/>
      <c r="Y1165" s="141"/>
      <c r="Z1165" s="119"/>
      <c r="AA1165" s="144">
        <f>W1165-P1168</f>
        <v>-7</v>
      </c>
    </row>
    <row r="1166" spans="1:27" s="145" customFormat="1" ht="36" customHeight="1" x14ac:dyDescent="0.25">
      <c r="A1166" s="119"/>
      <c r="B1166" s="139"/>
      <c r="C1166" s="119"/>
      <c r="D1166" s="166"/>
      <c r="E1166" s="119"/>
      <c r="F1166" s="190"/>
      <c r="G1166" s="119"/>
      <c r="H1166" s="187"/>
      <c r="I1166" s="147"/>
      <c r="J1166" s="146"/>
      <c r="K1166" s="146"/>
      <c r="L1166" s="146"/>
      <c r="M1166" s="119"/>
      <c r="N1166" s="119"/>
      <c r="O1166" s="141">
        <f t="shared" si="782"/>
        <v>0</v>
      </c>
      <c r="P1166" s="141">
        <f t="shared" si="783"/>
        <v>7</v>
      </c>
      <c r="Q1166" s="141">
        <f t="shared" si="784"/>
        <v>2</v>
      </c>
      <c r="R1166" s="139"/>
      <c r="S1166" s="143"/>
      <c r="T1166" s="139"/>
      <c r="U1166" s="143"/>
      <c r="V1166" s="139"/>
      <c r="W1166" s="143"/>
      <c r="X1166" s="139"/>
      <c r="Y1166" s="141"/>
      <c r="Z1166" s="119"/>
      <c r="AA1166" s="144">
        <f>W1166-P1169</f>
        <v>-7</v>
      </c>
    </row>
    <row r="1167" spans="1:27" s="145" customFormat="1" ht="36" customHeight="1" x14ac:dyDescent="0.25">
      <c r="A1167" s="119"/>
      <c r="B1167" s="139"/>
      <c r="C1167" s="119"/>
      <c r="D1167" s="166"/>
      <c r="E1167" s="119"/>
      <c r="F1167" s="190"/>
      <c r="G1167" s="119"/>
      <c r="H1167" s="187"/>
      <c r="I1167" s="147"/>
      <c r="J1167" s="146"/>
      <c r="K1167" s="146"/>
      <c r="L1167" s="146"/>
      <c r="M1167" s="119"/>
      <c r="N1167" s="119"/>
      <c r="O1167" s="141">
        <f t="shared" si="782"/>
        <v>0</v>
      </c>
      <c r="P1167" s="141">
        <f t="shared" si="783"/>
        <v>7</v>
      </c>
      <c r="Q1167" s="141">
        <f t="shared" si="784"/>
        <v>2</v>
      </c>
      <c r="R1167" s="139"/>
      <c r="S1167" s="143"/>
      <c r="T1167" s="139"/>
      <c r="U1167" s="143"/>
      <c r="V1167" s="139"/>
      <c r="W1167" s="143"/>
      <c r="X1167" s="139"/>
      <c r="Y1167" s="141"/>
      <c r="Z1167" s="119"/>
      <c r="AA1167" s="144">
        <f>W1167-P1170</f>
        <v>-7</v>
      </c>
    </row>
    <row r="1168" spans="1:27" s="145" customFormat="1" ht="36" customHeight="1" x14ac:dyDescent="0.25">
      <c r="A1168" s="119"/>
      <c r="B1168" s="139"/>
      <c r="C1168" s="119"/>
      <c r="D1168" s="166"/>
      <c r="E1168" s="119"/>
      <c r="F1168" s="190"/>
      <c r="G1168" s="119"/>
      <c r="H1168" s="187"/>
      <c r="I1168" s="147"/>
      <c r="J1168" s="146"/>
      <c r="K1168" s="146"/>
      <c r="L1168" s="146"/>
      <c r="M1168" s="119"/>
      <c r="N1168" s="119"/>
      <c r="O1168" s="141">
        <f t="shared" si="782"/>
        <v>0</v>
      </c>
      <c r="P1168" s="141">
        <f t="shared" si="783"/>
        <v>7</v>
      </c>
      <c r="Q1168" s="141">
        <f t="shared" si="784"/>
        <v>2</v>
      </c>
      <c r="R1168" s="139"/>
      <c r="S1168" s="143"/>
      <c r="T1168" s="139"/>
      <c r="U1168" s="143"/>
      <c r="V1168" s="139"/>
      <c r="W1168" s="143"/>
      <c r="X1168" s="139"/>
      <c r="Y1168" s="141"/>
      <c r="Z1168" s="119"/>
      <c r="AA1168" s="144">
        <f>W1168-P1169</f>
        <v>-7</v>
      </c>
    </row>
    <row r="1169" spans="1:27" s="145" customFormat="1" ht="36" customHeight="1" x14ac:dyDescent="0.25">
      <c r="A1169" s="119"/>
      <c r="B1169" s="139"/>
      <c r="C1169" s="119"/>
      <c r="D1169" s="166"/>
      <c r="E1169" s="119"/>
      <c r="F1169" s="190"/>
      <c r="G1169" s="119"/>
      <c r="H1169" s="187"/>
      <c r="I1169" s="147"/>
      <c r="J1169" s="146"/>
      <c r="K1169" s="146"/>
      <c r="L1169" s="146"/>
      <c r="M1169" s="119"/>
      <c r="N1169" s="119"/>
      <c r="O1169" s="141">
        <f t="shared" si="782"/>
        <v>0</v>
      </c>
      <c r="P1169" s="141">
        <f t="shared" si="783"/>
        <v>7</v>
      </c>
      <c r="Q1169" s="141">
        <f t="shared" si="784"/>
        <v>2</v>
      </c>
      <c r="R1169" s="139"/>
      <c r="S1169" s="143"/>
      <c r="T1169" s="139"/>
      <c r="U1169" s="143"/>
      <c r="V1169" s="139"/>
      <c r="W1169" s="143"/>
      <c r="X1169" s="139"/>
      <c r="Y1169" s="141"/>
      <c r="Z1169" s="119"/>
      <c r="AA1169" s="144">
        <f>W1169-P1173</f>
        <v>-7</v>
      </c>
    </row>
    <row r="1170" spans="1:27" s="145" customFormat="1" ht="36" customHeight="1" x14ac:dyDescent="0.25">
      <c r="A1170" s="119"/>
      <c r="B1170" s="139"/>
      <c r="C1170" s="119"/>
      <c r="D1170" s="166"/>
      <c r="E1170" s="119"/>
      <c r="F1170" s="190"/>
      <c r="G1170" s="119"/>
      <c r="H1170" s="187"/>
      <c r="I1170" s="147"/>
      <c r="J1170" s="146"/>
      <c r="K1170" s="146"/>
      <c r="L1170" s="146"/>
      <c r="M1170" s="119"/>
      <c r="N1170" s="119"/>
      <c r="O1170" s="141">
        <f t="shared" si="782"/>
        <v>0</v>
      </c>
      <c r="P1170" s="141">
        <f t="shared" si="783"/>
        <v>7</v>
      </c>
      <c r="Q1170" s="141">
        <f t="shared" si="784"/>
        <v>2</v>
      </c>
      <c r="R1170" s="139"/>
      <c r="S1170" s="143"/>
      <c r="T1170" s="139"/>
      <c r="U1170" s="143"/>
      <c r="V1170" s="139"/>
      <c r="W1170" s="143"/>
      <c r="X1170" s="139"/>
      <c r="Y1170" s="141"/>
      <c r="Z1170" s="119"/>
      <c r="AA1170" s="144">
        <f>W1170-P1174</f>
        <v>-7</v>
      </c>
    </row>
    <row r="1171" spans="1:27" s="145" customFormat="1" ht="36" customHeight="1" x14ac:dyDescent="0.25">
      <c r="A1171" s="119"/>
      <c r="B1171" s="139"/>
      <c r="C1171" s="119"/>
      <c r="D1171" s="166"/>
      <c r="E1171" s="119"/>
      <c r="F1171" s="190"/>
      <c r="G1171" s="119"/>
      <c r="H1171" s="187"/>
      <c r="I1171" s="147"/>
      <c r="J1171" s="142"/>
      <c r="K1171" s="119"/>
      <c r="L1171" s="142"/>
      <c r="M1171" s="119"/>
      <c r="N1171" s="119"/>
      <c r="O1171" s="141">
        <f t="shared" si="782"/>
        <v>0</v>
      </c>
      <c r="P1171" s="141">
        <f t="shared" si="783"/>
        <v>7</v>
      </c>
      <c r="Q1171" s="141">
        <f t="shared" si="784"/>
        <v>2</v>
      </c>
      <c r="R1171" s="139"/>
      <c r="S1171" s="143"/>
      <c r="T1171" s="139"/>
      <c r="U1171" s="143"/>
      <c r="V1171" s="139"/>
      <c r="W1171" s="143"/>
      <c r="X1171" s="139"/>
      <c r="Y1171" s="141"/>
      <c r="Z1171" s="119"/>
      <c r="AA1171" s="144">
        <f>W1171-P1177</f>
        <v>-7</v>
      </c>
    </row>
    <row r="1172" spans="1:27" s="145" customFormat="1" ht="36" customHeight="1" x14ac:dyDescent="0.25">
      <c r="A1172" s="119"/>
      <c r="B1172" s="139"/>
      <c r="C1172" s="119"/>
      <c r="D1172" s="166"/>
      <c r="E1172" s="119"/>
      <c r="F1172" s="190"/>
      <c r="G1172" s="119"/>
      <c r="H1172" s="187"/>
      <c r="I1172" s="147"/>
      <c r="J1172" s="146"/>
      <c r="K1172" s="119"/>
      <c r="L1172" s="146"/>
      <c r="M1172" s="119"/>
      <c r="N1172" s="119"/>
      <c r="O1172" s="141">
        <f t="shared" si="782"/>
        <v>0</v>
      </c>
      <c r="P1172" s="141">
        <f t="shared" si="783"/>
        <v>7</v>
      </c>
      <c r="Q1172" s="141">
        <f t="shared" si="784"/>
        <v>2</v>
      </c>
      <c r="R1172" s="139"/>
      <c r="S1172" s="143"/>
      <c r="T1172" s="139"/>
      <c r="U1172" s="143"/>
      <c r="V1172" s="139"/>
      <c r="W1172" s="143"/>
      <c r="X1172" s="139"/>
      <c r="Y1172" s="141"/>
      <c r="Z1172" s="119"/>
      <c r="AA1172" s="144">
        <f>W1172-P1179</f>
        <v>-7</v>
      </c>
    </row>
    <row r="1173" spans="1:27" s="145" customFormat="1" ht="36" customHeight="1" x14ac:dyDescent="0.25">
      <c r="A1173" s="119"/>
      <c r="B1173" s="139"/>
      <c r="C1173" s="119"/>
      <c r="D1173" s="166"/>
      <c r="E1173" s="119"/>
      <c r="F1173" s="190"/>
      <c r="G1173" s="119"/>
      <c r="H1173" s="187"/>
      <c r="I1173" s="147"/>
      <c r="J1173" s="146"/>
      <c r="K1173" s="119"/>
      <c r="L1173" s="146"/>
      <c r="M1173" s="119"/>
      <c r="N1173" s="119"/>
      <c r="O1173" s="141">
        <f t="shared" si="782"/>
        <v>0</v>
      </c>
      <c r="P1173" s="141">
        <f t="shared" si="783"/>
        <v>7</v>
      </c>
      <c r="Q1173" s="141">
        <f t="shared" si="784"/>
        <v>2</v>
      </c>
      <c r="R1173" s="139"/>
      <c r="S1173" s="143"/>
      <c r="T1173" s="139"/>
      <c r="U1173" s="143"/>
      <c r="V1173" s="139"/>
      <c r="W1173" s="143"/>
      <c r="X1173" s="139"/>
      <c r="Y1173" s="141"/>
      <c r="Z1173" s="119"/>
      <c r="AA1173" s="144">
        <f>W1173-P1174</f>
        <v>-7</v>
      </c>
    </row>
    <row r="1174" spans="1:27" s="145" customFormat="1" ht="36" customHeight="1" x14ac:dyDescent="0.25">
      <c r="A1174" s="119"/>
      <c r="B1174" s="139"/>
      <c r="C1174" s="119"/>
      <c r="D1174" s="166"/>
      <c r="E1174" s="119"/>
      <c r="F1174" s="190"/>
      <c r="G1174" s="119"/>
      <c r="H1174" s="187"/>
      <c r="I1174" s="147"/>
      <c r="J1174" s="146"/>
      <c r="K1174" s="119"/>
      <c r="L1174" s="146"/>
      <c r="M1174" s="119"/>
      <c r="N1174" s="119"/>
      <c r="O1174" s="141">
        <f t="shared" si="782"/>
        <v>0</v>
      </c>
      <c r="P1174" s="141">
        <f t="shared" si="783"/>
        <v>7</v>
      </c>
      <c r="Q1174" s="141">
        <f t="shared" si="784"/>
        <v>2</v>
      </c>
      <c r="R1174" s="139"/>
      <c r="S1174" s="143"/>
      <c r="T1174" s="139"/>
      <c r="U1174" s="143"/>
      <c r="V1174" s="139"/>
      <c r="W1174" s="143"/>
      <c r="X1174" s="139"/>
      <c r="Y1174" s="141"/>
      <c r="Z1174" s="119"/>
      <c r="AA1174" s="144">
        <f>W1174-P1179</f>
        <v>-7</v>
      </c>
    </row>
    <row r="1175" spans="1:27" s="145" customFormat="1" ht="36" customHeight="1" x14ac:dyDescent="0.25">
      <c r="A1175" s="119"/>
      <c r="B1175" s="139"/>
      <c r="C1175" s="119"/>
      <c r="D1175" s="166"/>
      <c r="E1175" s="119"/>
      <c r="F1175" s="190"/>
      <c r="G1175" s="119"/>
      <c r="H1175" s="187"/>
      <c r="I1175" s="147"/>
      <c r="J1175" s="142"/>
      <c r="K1175" s="119"/>
      <c r="L1175" s="142"/>
      <c r="M1175" s="119"/>
      <c r="N1175" s="119"/>
      <c r="O1175" s="141">
        <f t="shared" si="782"/>
        <v>0</v>
      </c>
      <c r="P1175" s="141">
        <f t="shared" si="783"/>
        <v>7</v>
      </c>
      <c r="Q1175" s="141">
        <f t="shared" si="784"/>
        <v>2</v>
      </c>
      <c r="R1175" s="139"/>
      <c r="S1175" s="143"/>
      <c r="T1175" s="139"/>
      <c r="U1175" s="143"/>
      <c r="V1175" s="139"/>
      <c r="W1175" s="143"/>
      <c r="X1175" s="139"/>
      <c r="Y1175" s="141"/>
      <c r="Z1175" s="119"/>
      <c r="AA1175" s="144"/>
    </row>
    <row r="1176" spans="1:27" s="145" customFormat="1" ht="36" customHeight="1" x14ac:dyDescent="0.25">
      <c r="A1176" s="119"/>
      <c r="B1176" s="139"/>
      <c r="C1176" s="119"/>
      <c r="D1176" s="166"/>
      <c r="E1176" s="119"/>
      <c r="F1176" s="190"/>
      <c r="G1176" s="119"/>
      <c r="H1176" s="187"/>
      <c r="I1176" s="147"/>
      <c r="J1176" s="142"/>
      <c r="K1176" s="119"/>
      <c r="L1176" s="142"/>
      <c r="M1176" s="119"/>
      <c r="N1176" s="119"/>
      <c r="O1176" s="141">
        <f t="shared" ref="O1176" si="785">B1176</f>
        <v>0</v>
      </c>
      <c r="P1176" s="141">
        <f t="shared" ref="P1176" si="786">O1176+7</f>
        <v>7</v>
      </c>
      <c r="Q1176" s="141">
        <f t="shared" ref="Q1176" si="787">O1176+2</f>
        <v>2</v>
      </c>
      <c r="R1176" s="139"/>
      <c r="S1176" s="143"/>
      <c r="T1176" s="139"/>
      <c r="U1176" s="143"/>
      <c r="V1176" s="139"/>
      <c r="W1176" s="143"/>
      <c r="X1176" s="139"/>
      <c r="Y1176" s="141"/>
      <c r="Z1176" s="119"/>
      <c r="AA1176" s="144"/>
    </row>
    <row r="1177" spans="1:27" s="145" customFormat="1" ht="36" customHeight="1" x14ac:dyDescent="0.25">
      <c r="A1177" s="119"/>
      <c r="B1177" s="139"/>
      <c r="C1177" s="119"/>
      <c r="D1177" s="166"/>
      <c r="E1177" s="119"/>
      <c r="F1177" s="190"/>
      <c r="G1177" s="119"/>
      <c r="H1177" s="187"/>
      <c r="I1177" s="147"/>
      <c r="J1177" s="146"/>
      <c r="K1177" s="146"/>
      <c r="L1177" s="146"/>
      <c r="M1177" s="148"/>
      <c r="N1177" s="119"/>
      <c r="O1177" s="141">
        <f t="shared" si="782"/>
        <v>0</v>
      </c>
      <c r="P1177" s="141">
        <f t="shared" si="783"/>
        <v>7</v>
      </c>
      <c r="Q1177" s="141">
        <f t="shared" si="784"/>
        <v>2</v>
      </c>
      <c r="R1177" s="139"/>
      <c r="S1177" s="143"/>
      <c r="T1177" s="139"/>
      <c r="U1177" s="143"/>
      <c r="V1177" s="139"/>
      <c r="W1177" s="143"/>
      <c r="X1177" s="139"/>
      <c r="Y1177" s="141"/>
      <c r="Z1177" s="119"/>
      <c r="AA1177" s="144">
        <f>W1177-P1180</f>
        <v>-7</v>
      </c>
    </row>
    <row r="1178" spans="1:27" s="145" customFormat="1" ht="18" customHeight="1" x14ac:dyDescent="0.25">
      <c r="A1178" s="119"/>
      <c r="B1178" s="139"/>
      <c r="C1178" s="119"/>
      <c r="D1178" s="166"/>
      <c r="E1178" s="119"/>
      <c r="F1178" s="190"/>
      <c r="G1178" s="119"/>
      <c r="H1178" s="187"/>
      <c r="I1178" s="147"/>
      <c r="J1178" s="146"/>
      <c r="K1178" s="119"/>
      <c r="L1178" s="146"/>
      <c r="M1178" s="148"/>
      <c r="N1178" s="119"/>
      <c r="O1178" s="141">
        <f t="shared" si="782"/>
        <v>0</v>
      </c>
      <c r="P1178" s="141">
        <f t="shared" si="783"/>
        <v>7</v>
      </c>
      <c r="Q1178" s="141">
        <f t="shared" si="784"/>
        <v>2</v>
      </c>
      <c r="R1178" s="139"/>
      <c r="S1178" s="143"/>
      <c r="T1178" s="139"/>
      <c r="U1178" s="143"/>
      <c r="V1178" s="139"/>
      <c r="W1178" s="143"/>
      <c r="X1178" s="139"/>
      <c r="Y1178" s="141"/>
      <c r="Z1178" s="119"/>
      <c r="AA1178" s="144">
        <f>W1178-P1179</f>
        <v>-7</v>
      </c>
    </row>
    <row r="1179" spans="1:27" s="145" customFormat="1" ht="36" customHeight="1" x14ac:dyDescent="0.25">
      <c r="A1179" s="119"/>
      <c r="B1179" s="139"/>
      <c r="C1179" s="119"/>
      <c r="D1179" s="166"/>
      <c r="E1179" s="119"/>
      <c r="F1179" s="190"/>
      <c r="G1179" s="119"/>
      <c r="H1179" s="187"/>
      <c r="I1179" s="147"/>
      <c r="J1179" s="142"/>
      <c r="K1179" s="119"/>
      <c r="L1179" s="142"/>
      <c r="M1179" s="119"/>
      <c r="N1179" s="119"/>
      <c r="O1179" s="141">
        <f t="shared" si="782"/>
        <v>0</v>
      </c>
      <c r="P1179" s="141">
        <f t="shared" si="783"/>
        <v>7</v>
      </c>
      <c r="Q1179" s="141">
        <f t="shared" si="784"/>
        <v>2</v>
      </c>
      <c r="R1179" s="139"/>
      <c r="S1179" s="143"/>
      <c r="T1179" s="139"/>
      <c r="U1179" s="143"/>
      <c r="V1179" s="139"/>
      <c r="W1179" s="143"/>
      <c r="X1179" s="139"/>
      <c r="Y1179" s="141"/>
      <c r="Z1179" s="119"/>
      <c r="AA1179" s="144">
        <f>W1179-P1180</f>
        <v>-7</v>
      </c>
    </row>
    <row r="1180" spans="1:27" s="145" customFormat="1" ht="36" customHeight="1" x14ac:dyDescent="0.25">
      <c r="A1180" s="119"/>
      <c r="B1180" s="139"/>
      <c r="C1180" s="119"/>
      <c r="D1180" s="166"/>
      <c r="E1180" s="119"/>
      <c r="F1180" s="190"/>
      <c r="G1180" s="119"/>
      <c r="H1180" s="187"/>
      <c r="I1180" s="147"/>
      <c r="J1180" s="146"/>
      <c r="K1180" s="119"/>
      <c r="L1180" s="146"/>
      <c r="M1180" s="119"/>
      <c r="N1180" s="119"/>
      <c r="O1180" s="141">
        <f t="shared" si="782"/>
        <v>0</v>
      </c>
      <c r="P1180" s="141">
        <f t="shared" si="783"/>
        <v>7</v>
      </c>
      <c r="Q1180" s="141">
        <f t="shared" si="784"/>
        <v>2</v>
      </c>
      <c r="R1180" s="139"/>
      <c r="S1180" s="143"/>
      <c r="T1180" s="139"/>
      <c r="U1180" s="143"/>
      <c r="V1180" s="139"/>
      <c r="W1180" s="143"/>
      <c r="X1180" s="139"/>
      <c r="Y1180" s="141"/>
      <c r="Z1180" s="119"/>
      <c r="AA1180" s="144">
        <f>W1180-P1181</f>
        <v>-7</v>
      </c>
    </row>
    <row r="1181" spans="1:27" s="145" customFormat="1" ht="36" customHeight="1" x14ac:dyDescent="0.25">
      <c r="A1181" s="119"/>
      <c r="B1181" s="139"/>
      <c r="C1181" s="119"/>
      <c r="D1181" s="166"/>
      <c r="E1181" s="119"/>
      <c r="F1181" s="190"/>
      <c r="G1181" s="119"/>
      <c r="H1181" s="187"/>
      <c r="I1181" s="147"/>
      <c r="J1181" s="146"/>
      <c r="K1181" s="119"/>
      <c r="L1181" s="146"/>
      <c r="M1181" s="119"/>
      <c r="N1181" s="119"/>
      <c r="O1181" s="141">
        <f t="shared" si="782"/>
        <v>0</v>
      </c>
      <c r="P1181" s="141">
        <f t="shared" si="783"/>
        <v>7</v>
      </c>
      <c r="Q1181" s="141">
        <f t="shared" si="784"/>
        <v>2</v>
      </c>
      <c r="R1181" s="139"/>
      <c r="S1181" s="143"/>
      <c r="T1181" s="139"/>
      <c r="U1181" s="143"/>
      <c r="V1181" s="139"/>
      <c r="W1181" s="143"/>
      <c r="X1181" s="139"/>
      <c r="Y1181" s="141"/>
      <c r="Z1181" s="119"/>
      <c r="AA1181" s="144">
        <f>W1181-P1182</f>
        <v>-7</v>
      </c>
    </row>
    <row r="1182" spans="1:27" s="145" customFormat="1" ht="36" customHeight="1" x14ac:dyDescent="0.25">
      <c r="A1182" s="119"/>
      <c r="B1182" s="139"/>
      <c r="C1182" s="119"/>
      <c r="D1182" s="166"/>
      <c r="E1182" s="119"/>
      <c r="F1182" s="190"/>
      <c r="G1182" s="119"/>
      <c r="H1182" s="187"/>
      <c r="I1182" s="147"/>
      <c r="J1182" s="146"/>
      <c r="K1182" s="119"/>
      <c r="L1182" s="119"/>
      <c r="M1182" s="119"/>
      <c r="N1182" s="119"/>
      <c r="O1182" s="141">
        <f t="shared" si="782"/>
        <v>0</v>
      </c>
      <c r="P1182" s="141">
        <f t="shared" si="783"/>
        <v>7</v>
      </c>
      <c r="Q1182" s="141">
        <f t="shared" si="784"/>
        <v>2</v>
      </c>
      <c r="R1182" s="139"/>
      <c r="S1182" s="143"/>
      <c r="T1182" s="139"/>
      <c r="U1182" s="143"/>
      <c r="V1182" s="139"/>
      <c r="W1182" s="143"/>
      <c r="X1182" s="139"/>
      <c r="Y1182" s="141"/>
      <c r="Z1182" s="119"/>
      <c r="AA1182" s="144">
        <f>W1182-P1183</f>
        <v>-7</v>
      </c>
    </row>
    <row r="1183" spans="1:27" s="145" customFormat="1" ht="36" customHeight="1" x14ac:dyDescent="0.25">
      <c r="A1183" s="119"/>
      <c r="B1183" s="139"/>
      <c r="C1183" s="119"/>
      <c r="D1183" s="166"/>
      <c r="E1183" s="119"/>
      <c r="F1183" s="190"/>
      <c r="G1183" s="119"/>
      <c r="H1183" s="187"/>
      <c r="I1183" s="147"/>
      <c r="J1183" s="146"/>
      <c r="K1183" s="119"/>
      <c r="L1183" s="146"/>
      <c r="M1183" s="119"/>
      <c r="N1183" s="119"/>
      <c r="O1183" s="141">
        <f t="shared" si="782"/>
        <v>0</v>
      </c>
      <c r="P1183" s="141">
        <f t="shared" si="783"/>
        <v>7</v>
      </c>
      <c r="Q1183" s="141">
        <f t="shared" si="784"/>
        <v>2</v>
      </c>
      <c r="R1183" s="139"/>
      <c r="S1183" s="143"/>
      <c r="T1183" s="139"/>
      <c r="U1183" s="143"/>
      <c r="V1183" s="139"/>
      <c r="W1183" s="143"/>
      <c r="X1183" s="139"/>
      <c r="Y1183" s="141"/>
      <c r="Z1183" s="119"/>
      <c r="AA1183" s="144">
        <f>W1183-P1185</f>
        <v>-7</v>
      </c>
    </row>
    <row r="1184" spans="1:27" s="145" customFormat="1" ht="36" customHeight="1" x14ac:dyDescent="0.25">
      <c r="A1184" s="119"/>
      <c r="B1184" s="139"/>
      <c r="C1184" s="119"/>
      <c r="D1184" s="166"/>
      <c r="E1184" s="119"/>
      <c r="F1184" s="190"/>
      <c r="G1184" s="119"/>
      <c r="H1184" s="187"/>
      <c r="I1184" s="147"/>
      <c r="J1184" s="146"/>
      <c r="K1184" s="119"/>
      <c r="L1184" s="146"/>
      <c r="M1184" s="119"/>
      <c r="N1184" s="119"/>
      <c r="O1184" s="141">
        <f t="shared" si="782"/>
        <v>0</v>
      </c>
      <c r="P1184" s="141">
        <f t="shared" si="783"/>
        <v>7</v>
      </c>
      <c r="Q1184" s="141">
        <f t="shared" si="784"/>
        <v>2</v>
      </c>
      <c r="R1184" s="139"/>
      <c r="S1184" s="143"/>
      <c r="T1184" s="139"/>
      <c r="U1184" s="143"/>
      <c r="V1184" s="139"/>
      <c r="W1184" s="143"/>
      <c r="X1184" s="139"/>
      <c r="Y1184" s="141"/>
      <c r="Z1184" s="119"/>
      <c r="AA1184" s="144"/>
    </row>
    <row r="1185" spans="1:27" s="145" customFormat="1" ht="36" customHeight="1" x14ac:dyDescent="0.25">
      <c r="A1185" s="119"/>
      <c r="B1185" s="139"/>
      <c r="C1185" s="119"/>
      <c r="D1185" s="166"/>
      <c r="E1185" s="119"/>
      <c r="F1185" s="190"/>
      <c r="G1185" s="119"/>
      <c r="H1185" s="187"/>
      <c r="I1185" s="147"/>
      <c r="J1185" s="119"/>
      <c r="K1185" s="119"/>
      <c r="L1185" s="119"/>
      <c r="M1185" s="119"/>
      <c r="N1185" s="119"/>
      <c r="O1185" s="141">
        <f t="shared" si="782"/>
        <v>0</v>
      </c>
      <c r="P1185" s="141">
        <f t="shared" si="783"/>
        <v>7</v>
      </c>
      <c r="Q1185" s="141">
        <f t="shared" si="784"/>
        <v>2</v>
      </c>
      <c r="R1185" s="139"/>
      <c r="S1185" s="143"/>
      <c r="T1185" s="139"/>
      <c r="U1185" s="143"/>
      <c r="V1185" s="139"/>
      <c r="W1185" s="143"/>
      <c r="X1185" s="139"/>
      <c r="Y1185" s="141"/>
      <c r="Z1185" s="119"/>
      <c r="AA1185" s="144">
        <f>W1185-P1186</f>
        <v>-7</v>
      </c>
    </row>
    <row r="1186" spans="1:27" s="145" customFormat="1" ht="36" customHeight="1" x14ac:dyDescent="0.25">
      <c r="A1186" s="119"/>
      <c r="B1186" s="139"/>
      <c r="C1186" s="119"/>
      <c r="D1186" s="166"/>
      <c r="E1186" s="119"/>
      <c r="F1186" s="190"/>
      <c r="G1186" s="119"/>
      <c r="H1186" s="187"/>
      <c r="I1186" s="147"/>
      <c r="J1186" s="146"/>
      <c r="K1186" s="119"/>
      <c r="L1186" s="146"/>
      <c r="M1186" s="119"/>
      <c r="N1186" s="119"/>
      <c r="O1186" s="141">
        <f t="shared" si="782"/>
        <v>0</v>
      </c>
      <c r="P1186" s="141">
        <f t="shared" si="783"/>
        <v>7</v>
      </c>
      <c r="Q1186" s="141">
        <f t="shared" si="784"/>
        <v>2</v>
      </c>
      <c r="R1186" s="139"/>
      <c r="S1186" s="143"/>
      <c r="T1186" s="139"/>
      <c r="U1186" s="143"/>
      <c r="V1186" s="139"/>
      <c r="W1186" s="143"/>
      <c r="X1186" s="139"/>
      <c r="Y1186" s="141"/>
      <c r="Z1186" s="119"/>
      <c r="AA1186" s="144">
        <f>W1186-P1191</f>
        <v>-7</v>
      </c>
    </row>
    <row r="1187" spans="1:27" s="145" customFormat="1" ht="36" customHeight="1" x14ac:dyDescent="0.25">
      <c r="A1187" s="119"/>
      <c r="B1187" s="139"/>
      <c r="C1187" s="119"/>
      <c r="D1187" s="166"/>
      <c r="E1187" s="119"/>
      <c r="F1187" s="190"/>
      <c r="G1187" s="119"/>
      <c r="H1187" s="187"/>
      <c r="I1187" s="147"/>
      <c r="J1187" s="146"/>
      <c r="K1187" s="146"/>
      <c r="L1187" s="146"/>
      <c r="M1187" s="119"/>
      <c r="N1187" s="119"/>
      <c r="O1187" s="141">
        <f t="shared" si="782"/>
        <v>0</v>
      </c>
      <c r="P1187" s="141">
        <f t="shared" si="783"/>
        <v>7</v>
      </c>
      <c r="Q1187" s="141">
        <f t="shared" si="784"/>
        <v>2</v>
      </c>
      <c r="R1187" s="139"/>
      <c r="S1187" s="143"/>
      <c r="T1187" s="139"/>
      <c r="U1187" s="143"/>
      <c r="V1187" s="139"/>
      <c r="W1187" s="143"/>
      <c r="X1187" s="139"/>
      <c r="Y1187" s="141"/>
      <c r="Z1187" s="119"/>
      <c r="AA1187" s="144"/>
    </row>
    <row r="1188" spans="1:27" s="145" customFormat="1" ht="36" customHeight="1" x14ac:dyDescent="0.25">
      <c r="A1188" s="119"/>
      <c r="B1188" s="139"/>
      <c r="C1188" s="119"/>
      <c r="D1188" s="166"/>
      <c r="E1188" s="119"/>
      <c r="F1188" s="190"/>
      <c r="G1188" s="119"/>
      <c r="H1188" s="187"/>
      <c r="I1188" s="147"/>
      <c r="J1188" s="146"/>
      <c r="K1188" s="119"/>
      <c r="L1188" s="119"/>
      <c r="M1188" s="119"/>
      <c r="N1188" s="119"/>
      <c r="O1188" s="141">
        <f t="shared" si="782"/>
        <v>0</v>
      </c>
      <c r="P1188" s="141">
        <f t="shared" si="783"/>
        <v>7</v>
      </c>
      <c r="Q1188" s="141">
        <f t="shared" si="784"/>
        <v>2</v>
      </c>
      <c r="R1188" s="139"/>
      <c r="S1188" s="143"/>
      <c r="T1188" s="139"/>
      <c r="U1188" s="143"/>
      <c r="V1188" s="139"/>
      <c r="W1188" s="143"/>
      <c r="X1188" s="139"/>
      <c r="Y1188" s="141"/>
      <c r="Z1188" s="119"/>
      <c r="AA1188" s="144"/>
    </row>
    <row r="1189" spans="1:27" s="145" customFormat="1" ht="36" customHeight="1" x14ac:dyDescent="0.25">
      <c r="A1189" s="119"/>
      <c r="B1189" s="139"/>
      <c r="C1189" s="119"/>
      <c r="D1189" s="166"/>
      <c r="E1189" s="119"/>
      <c r="F1189" s="190"/>
      <c r="G1189" s="119"/>
      <c r="H1189" s="187"/>
      <c r="I1189" s="147"/>
      <c r="J1189" s="146"/>
      <c r="K1189" s="146"/>
      <c r="L1189" s="146"/>
      <c r="M1189" s="119"/>
      <c r="N1189" s="119"/>
      <c r="O1189" s="141">
        <f t="shared" si="782"/>
        <v>0</v>
      </c>
      <c r="P1189" s="141">
        <f t="shared" si="783"/>
        <v>7</v>
      </c>
      <c r="Q1189" s="141">
        <f t="shared" si="784"/>
        <v>2</v>
      </c>
      <c r="R1189" s="139"/>
      <c r="S1189" s="143"/>
      <c r="T1189" s="139"/>
      <c r="U1189" s="143"/>
      <c r="V1189" s="139"/>
      <c r="W1189" s="143"/>
      <c r="X1189" s="139"/>
      <c r="Y1189" s="141"/>
      <c r="Z1189" s="119"/>
      <c r="AA1189" s="144"/>
    </row>
    <row r="1190" spans="1:27" s="145" customFormat="1" ht="36" customHeight="1" x14ac:dyDescent="0.25">
      <c r="A1190" s="119"/>
      <c r="B1190" s="139"/>
      <c r="C1190" s="119"/>
      <c r="D1190" s="166"/>
      <c r="E1190" s="119"/>
      <c r="F1190" s="190"/>
      <c r="G1190" s="119"/>
      <c r="H1190" s="187"/>
      <c r="I1190" s="147"/>
      <c r="J1190" s="119"/>
      <c r="K1190" s="119"/>
      <c r="L1190" s="119"/>
      <c r="M1190" s="119"/>
      <c r="N1190" s="119"/>
      <c r="O1190" s="141">
        <f t="shared" si="782"/>
        <v>0</v>
      </c>
      <c r="P1190" s="141">
        <f t="shared" si="783"/>
        <v>7</v>
      </c>
      <c r="Q1190" s="141">
        <f t="shared" si="784"/>
        <v>2</v>
      </c>
      <c r="R1190" s="139"/>
      <c r="S1190" s="143"/>
      <c r="T1190" s="139"/>
      <c r="U1190" s="143"/>
      <c r="V1190" s="139"/>
      <c r="W1190" s="143"/>
      <c r="X1190" s="139"/>
      <c r="Y1190" s="141"/>
      <c r="Z1190" s="119"/>
      <c r="AA1190" s="144"/>
    </row>
    <row r="1191" spans="1:27" s="145" customFormat="1" ht="36" customHeight="1" x14ac:dyDescent="0.25">
      <c r="A1191" s="119"/>
      <c r="B1191" s="139"/>
      <c r="C1191" s="119"/>
      <c r="D1191" s="166"/>
      <c r="E1191" s="119"/>
      <c r="F1191" s="190"/>
      <c r="G1191" s="119"/>
      <c r="H1191" s="187"/>
      <c r="I1191" s="147"/>
      <c r="J1191" s="146"/>
      <c r="K1191" s="119"/>
      <c r="L1191" s="146"/>
      <c r="M1191" s="119"/>
      <c r="N1191" s="119"/>
      <c r="O1191" s="141">
        <f t="shared" si="782"/>
        <v>0</v>
      </c>
      <c r="P1191" s="141">
        <f t="shared" si="783"/>
        <v>7</v>
      </c>
      <c r="Q1191" s="141">
        <f t="shared" si="784"/>
        <v>2</v>
      </c>
      <c r="R1191" s="139"/>
      <c r="S1191" s="143"/>
      <c r="T1191" s="139"/>
      <c r="U1191" s="143"/>
      <c r="V1191" s="139"/>
      <c r="W1191" s="143"/>
      <c r="X1191" s="139"/>
      <c r="Y1191" s="141"/>
      <c r="Z1191" s="119"/>
      <c r="AA1191" s="144">
        <f>W1191-P1192</f>
        <v>-7</v>
      </c>
    </row>
    <row r="1192" spans="1:27" s="145" customFormat="1" ht="36" customHeight="1" x14ac:dyDescent="0.25">
      <c r="A1192" s="119"/>
      <c r="B1192" s="139"/>
      <c r="C1192" s="119"/>
      <c r="D1192" s="166"/>
      <c r="E1192" s="119"/>
      <c r="F1192" s="190"/>
      <c r="G1192" s="119"/>
      <c r="H1192" s="187"/>
      <c r="I1192" s="147"/>
      <c r="J1192" s="146"/>
      <c r="K1192" s="146"/>
      <c r="L1192" s="146"/>
      <c r="M1192" s="119"/>
      <c r="N1192" s="119"/>
      <c r="O1192" s="141">
        <f t="shared" si="782"/>
        <v>0</v>
      </c>
      <c r="P1192" s="141">
        <f t="shared" si="783"/>
        <v>7</v>
      </c>
      <c r="Q1192" s="141">
        <f t="shared" si="784"/>
        <v>2</v>
      </c>
      <c r="R1192" s="139"/>
      <c r="S1192" s="143"/>
      <c r="T1192" s="139"/>
      <c r="U1192" s="143"/>
      <c r="V1192" s="139"/>
      <c r="W1192" s="143"/>
      <c r="X1192" s="139"/>
      <c r="Y1192" s="141"/>
      <c r="Z1192" s="119"/>
      <c r="AA1192" s="144">
        <f>W1192-P1195</f>
        <v>-7</v>
      </c>
    </row>
    <row r="1193" spans="1:27" s="145" customFormat="1" ht="36" customHeight="1" x14ac:dyDescent="0.25">
      <c r="A1193" s="119"/>
      <c r="B1193" s="139"/>
      <c r="C1193" s="119"/>
      <c r="D1193" s="166"/>
      <c r="E1193" s="119"/>
      <c r="F1193" s="190"/>
      <c r="G1193" s="119"/>
      <c r="H1193" s="187"/>
      <c r="I1193" s="147"/>
      <c r="J1193" s="146"/>
      <c r="K1193" s="146"/>
      <c r="L1193" s="119"/>
      <c r="M1193" s="119"/>
      <c r="N1193" s="119"/>
      <c r="O1193" s="141">
        <f t="shared" si="782"/>
        <v>0</v>
      </c>
      <c r="P1193" s="141">
        <f t="shared" si="783"/>
        <v>7</v>
      </c>
      <c r="Q1193" s="141">
        <f t="shared" si="784"/>
        <v>2</v>
      </c>
      <c r="R1193" s="139"/>
      <c r="S1193" s="143"/>
      <c r="T1193" s="139"/>
      <c r="U1193" s="143"/>
      <c r="V1193" s="139"/>
      <c r="W1193" s="143"/>
      <c r="X1193" s="139"/>
      <c r="Y1193" s="141"/>
      <c r="Z1193" s="119"/>
      <c r="AA1193" s="144">
        <f>W1193-P1197</f>
        <v>-7</v>
      </c>
    </row>
    <row r="1194" spans="1:27" s="145" customFormat="1" ht="36" customHeight="1" x14ac:dyDescent="0.25">
      <c r="A1194" s="119"/>
      <c r="B1194" s="139"/>
      <c r="C1194" s="119"/>
      <c r="D1194" s="166"/>
      <c r="E1194" s="119"/>
      <c r="F1194" s="190"/>
      <c r="G1194" s="119"/>
      <c r="H1194" s="187"/>
      <c r="I1194" s="147"/>
      <c r="J1194" s="146"/>
      <c r="K1194" s="146"/>
      <c r="L1194" s="119"/>
      <c r="M1194" s="119"/>
      <c r="N1194" s="119"/>
      <c r="O1194" s="141">
        <f t="shared" si="782"/>
        <v>0</v>
      </c>
      <c r="P1194" s="141">
        <f t="shared" si="783"/>
        <v>7</v>
      </c>
      <c r="Q1194" s="141">
        <f t="shared" si="784"/>
        <v>2</v>
      </c>
      <c r="R1194" s="139"/>
      <c r="S1194" s="143"/>
      <c r="T1194" s="139"/>
      <c r="U1194" s="143"/>
      <c r="V1194" s="139"/>
      <c r="W1194" s="143"/>
      <c r="X1194" s="139"/>
      <c r="Y1194" s="141"/>
      <c r="Z1194" s="119"/>
      <c r="AA1194" s="144">
        <f>W1194-P1199</f>
        <v>-7</v>
      </c>
    </row>
    <row r="1195" spans="1:27" s="145" customFormat="1" ht="18" customHeight="1" x14ac:dyDescent="0.25">
      <c r="A1195" s="119"/>
      <c r="B1195" s="139"/>
      <c r="C1195" s="119"/>
      <c r="D1195" s="166"/>
      <c r="E1195" s="119"/>
      <c r="F1195" s="190"/>
      <c r="G1195" s="119"/>
      <c r="H1195" s="187"/>
      <c r="I1195" s="147"/>
      <c r="J1195" s="146"/>
      <c r="K1195" s="119"/>
      <c r="L1195" s="146"/>
      <c r="M1195" s="119"/>
      <c r="N1195" s="119"/>
      <c r="O1195" s="141">
        <f t="shared" si="782"/>
        <v>0</v>
      </c>
      <c r="P1195" s="141">
        <f t="shared" si="783"/>
        <v>7</v>
      </c>
      <c r="Q1195" s="141">
        <f t="shared" si="784"/>
        <v>2</v>
      </c>
      <c r="R1195" s="139"/>
      <c r="S1195" s="143"/>
      <c r="T1195" s="139"/>
      <c r="U1195" s="143"/>
      <c r="V1195" s="139"/>
      <c r="W1195" s="143"/>
      <c r="X1195" s="139"/>
      <c r="Y1195" s="141"/>
      <c r="Z1195" s="119"/>
      <c r="AA1195" s="144">
        <f>W1195-P1197</f>
        <v>-7</v>
      </c>
    </row>
    <row r="1196" spans="1:27" s="145" customFormat="1" ht="36" customHeight="1" x14ac:dyDescent="0.25">
      <c r="A1196" s="119"/>
      <c r="B1196" s="139"/>
      <c r="C1196" s="119"/>
      <c r="D1196" s="166"/>
      <c r="E1196" s="119"/>
      <c r="F1196" s="190"/>
      <c r="G1196" s="119"/>
      <c r="H1196" s="187"/>
      <c r="I1196" s="147"/>
      <c r="J1196" s="146"/>
      <c r="K1196" s="119"/>
      <c r="L1196" s="146"/>
      <c r="M1196" s="119"/>
      <c r="N1196" s="119"/>
      <c r="O1196" s="141">
        <f t="shared" si="782"/>
        <v>0</v>
      </c>
      <c r="P1196" s="141">
        <f t="shared" si="783"/>
        <v>7</v>
      </c>
      <c r="Q1196" s="141">
        <f t="shared" si="784"/>
        <v>2</v>
      </c>
      <c r="R1196" s="139"/>
      <c r="S1196" s="143"/>
      <c r="T1196" s="139"/>
      <c r="U1196" s="143"/>
      <c r="V1196" s="139"/>
      <c r="W1196" s="143"/>
      <c r="X1196" s="139"/>
      <c r="Y1196" s="141"/>
      <c r="Z1196" s="119"/>
      <c r="AA1196" s="144"/>
    </row>
    <row r="1197" spans="1:27" s="145" customFormat="1" ht="18" customHeight="1" x14ac:dyDescent="0.25">
      <c r="A1197" s="119"/>
      <c r="B1197" s="139"/>
      <c r="C1197" s="119"/>
      <c r="D1197" s="166"/>
      <c r="E1197" s="119"/>
      <c r="F1197" s="190"/>
      <c r="G1197" s="119"/>
      <c r="H1197" s="187"/>
      <c r="I1197" s="147"/>
      <c r="J1197" s="146"/>
      <c r="K1197" s="119"/>
      <c r="L1197" s="146"/>
      <c r="M1197" s="119"/>
      <c r="N1197" s="119"/>
      <c r="O1197" s="141">
        <f t="shared" si="782"/>
        <v>0</v>
      </c>
      <c r="P1197" s="141">
        <f t="shared" si="783"/>
        <v>7</v>
      </c>
      <c r="Q1197" s="141">
        <f t="shared" si="784"/>
        <v>2</v>
      </c>
      <c r="R1197" s="139"/>
      <c r="S1197" s="143"/>
      <c r="T1197" s="139"/>
      <c r="U1197" s="143"/>
      <c r="V1197" s="139"/>
      <c r="W1197" s="143"/>
      <c r="X1197" s="139"/>
      <c r="Y1197" s="141"/>
      <c r="Z1197" s="119"/>
      <c r="AA1197" s="144">
        <f>W1197-P1201</f>
        <v>-7</v>
      </c>
    </row>
    <row r="1198" spans="1:27" s="145" customFormat="1" ht="36" customHeight="1" x14ac:dyDescent="0.25">
      <c r="A1198" s="119"/>
      <c r="B1198" s="139"/>
      <c r="C1198" s="119"/>
      <c r="D1198" s="166"/>
      <c r="E1198" s="119"/>
      <c r="F1198" s="190"/>
      <c r="G1198" s="119"/>
      <c r="H1198" s="187"/>
      <c r="I1198" s="147"/>
      <c r="J1198" s="146"/>
      <c r="K1198" s="119"/>
      <c r="L1198" s="146"/>
      <c r="M1198" s="119"/>
      <c r="N1198" s="119"/>
      <c r="O1198" s="141">
        <f t="shared" si="782"/>
        <v>0</v>
      </c>
      <c r="P1198" s="141">
        <f t="shared" si="783"/>
        <v>7</v>
      </c>
      <c r="Q1198" s="141">
        <f t="shared" si="784"/>
        <v>2</v>
      </c>
      <c r="R1198" s="139"/>
      <c r="S1198" s="143"/>
      <c r="T1198" s="139"/>
      <c r="U1198" s="143"/>
      <c r="V1198" s="139"/>
      <c r="W1198" s="143"/>
      <c r="X1198" s="139"/>
      <c r="Y1198" s="141"/>
      <c r="Z1198" s="119"/>
      <c r="AA1198" s="144"/>
    </row>
    <row r="1199" spans="1:27" s="145" customFormat="1" ht="36" customHeight="1" x14ac:dyDescent="0.25">
      <c r="A1199" s="119"/>
      <c r="B1199" s="139"/>
      <c r="C1199" s="119"/>
      <c r="D1199" s="166"/>
      <c r="E1199" s="119"/>
      <c r="F1199" s="190"/>
      <c r="G1199" s="119"/>
      <c r="H1199" s="187"/>
      <c r="I1199" s="147"/>
      <c r="J1199" s="146"/>
      <c r="K1199" s="119"/>
      <c r="L1199" s="146"/>
      <c r="M1199" s="119"/>
      <c r="N1199" s="119"/>
      <c r="O1199" s="141">
        <f t="shared" si="782"/>
        <v>0</v>
      </c>
      <c r="P1199" s="141">
        <f t="shared" si="783"/>
        <v>7</v>
      </c>
      <c r="Q1199" s="141">
        <f t="shared" si="784"/>
        <v>2</v>
      </c>
      <c r="R1199" s="139"/>
      <c r="S1199" s="143"/>
      <c r="T1199" s="139"/>
      <c r="U1199" s="143"/>
      <c r="V1199" s="139"/>
      <c r="W1199" s="143"/>
      <c r="X1199" s="139"/>
      <c r="Y1199" s="141"/>
      <c r="Z1199" s="119"/>
      <c r="AA1199" s="144"/>
    </row>
    <row r="1200" spans="1:27" s="145" customFormat="1" ht="36" customHeight="1" x14ac:dyDescent="0.25">
      <c r="A1200" s="119"/>
      <c r="B1200" s="139"/>
      <c r="C1200" s="119"/>
      <c r="D1200" s="166"/>
      <c r="E1200" s="119"/>
      <c r="F1200" s="190"/>
      <c r="G1200" s="119"/>
      <c r="H1200" s="187"/>
      <c r="I1200" s="147"/>
      <c r="J1200" s="119"/>
      <c r="K1200" s="119"/>
      <c r="L1200" s="119"/>
      <c r="M1200" s="119"/>
      <c r="N1200" s="119"/>
      <c r="O1200" s="141">
        <f t="shared" si="782"/>
        <v>0</v>
      </c>
      <c r="P1200" s="141">
        <f t="shared" si="783"/>
        <v>7</v>
      </c>
      <c r="Q1200" s="141">
        <f t="shared" si="784"/>
        <v>2</v>
      </c>
      <c r="R1200" s="139"/>
      <c r="S1200" s="143"/>
      <c r="T1200" s="139"/>
      <c r="U1200" s="143"/>
      <c r="V1200" s="139"/>
      <c r="W1200" s="143"/>
      <c r="X1200" s="139"/>
      <c r="Y1200" s="141"/>
      <c r="Z1200" s="119"/>
      <c r="AA1200" s="144"/>
    </row>
    <row r="1201" spans="1:27" s="145" customFormat="1" ht="36" customHeight="1" x14ac:dyDescent="0.25">
      <c r="A1201" s="119"/>
      <c r="B1201" s="139"/>
      <c r="C1201" s="119"/>
      <c r="D1201" s="166"/>
      <c r="E1201" s="119"/>
      <c r="F1201" s="190"/>
      <c r="G1201" s="119"/>
      <c r="H1201" s="187"/>
      <c r="I1201" s="147"/>
      <c r="J1201" s="146"/>
      <c r="K1201" s="146"/>
      <c r="L1201" s="146"/>
      <c r="M1201" s="119"/>
      <c r="N1201" s="119"/>
      <c r="O1201" s="141">
        <f t="shared" si="782"/>
        <v>0</v>
      </c>
      <c r="P1201" s="141">
        <f t="shared" si="783"/>
        <v>7</v>
      </c>
      <c r="Q1201" s="141">
        <f t="shared" si="784"/>
        <v>2</v>
      </c>
      <c r="R1201" s="139"/>
      <c r="S1201" s="143"/>
      <c r="T1201" s="139"/>
      <c r="U1201" s="143"/>
      <c r="V1201" s="139"/>
      <c r="W1201" s="143"/>
      <c r="X1201" s="139"/>
      <c r="Y1201" s="141"/>
      <c r="Z1201" s="119"/>
      <c r="AA1201" s="144">
        <f>W1201-P1202</f>
        <v>-7</v>
      </c>
    </row>
    <row r="1202" spans="1:27" s="145" customFormat="1" ht="36" customHeight="1" x14ac:dyDescent="0.25">
      <c r="A1202" s="119"/>
      <c r="B1202" s="139"/>
      <c r="C1202" s="119"/>
      <c r="D1202" s="166"/>
      <c r="E1202" s="119"/>
      <c r="F1202" s="190"/>
      <c r="G1202" s="119"/>
      <c r="H1202" s="187"/>
      <c r="I1202" s="147"/>
      <c r="J1202" s="146"/>
      <c r="K1202" s="119"/>
      <c r="L1202" s="146"/>
      <c r="M1202" s="119"/>
      <c r="N1202" s="119"/>
      <c r="O1202" s="141">
        <f t="shared" si="782"/>
        <v>0</v>
      </c>
      <c r="P1202" s="141">
        <f t="shared" si="783"/>
        <v>7</v>
      </c>
      <c r="Q1202" s="141">
        <f t="shared" si="784"/>
        <v>2</v>
      </c>
      <c r="R1202" s="139"/>
      <c r="S1202" s="143"/>
      <c r="T1202" s="139"/>
      <c r="U1202" s="143"/>
      <c r="V1202" s="139"/>
      <c r="W1202" s="143"/>
      <c r="X1202" s="139"/>
      <c r="Y1202" s="141"/>
      <c r="Z1202" s="119"/>
      <c r="AA1202" s="144">
        <f>W1202-P1205</f>
        <v>-7</v>
      </c>
    </row>
    <row r="1203" spans="1:27" s="145" customFormat="1" ht="36" customHeight="1" x14ac:dyDescent="0.25">
      <c r="A1203" s="119"/>
      <c r="B1203" s="139"/>
      <c r="C1203" s="119"/>
      <c r="D1203" s="166"/>
      <c r="E1203" s="119"/>
      <c r="F1203" s="190"/>
      <c r="G1203" s="119"/>
      <c r="H1203" s="187"/>
      <c r="I1203" s="147"/>
      <c r="J1203" s="146"/>
      <c r="K1203" s="119"/>
      <c r="L1203" s="119"/>
      <c r="M1203" s="119"/>
      <c r="N1203" s="119"/>
      <c r="O1203" s="141">
        <f t="shared" si="782"/>
        <v>0</v>
      </c>
      <c r="P1203" s="141">
        <f t="shared" si="783"/>
        <v>7</v>
      </c>
      <c r="Q1203" s="141">
        <f t="shared" si="784"/>
        <v>2</v>
      </c>
      <c r="R1203" s="139"/>
      <c r="S1203" s="143"/>
      <c r="T1203" s="139"/>
      <c r="U1203" s="143"/>
      <c r="V1203" s="139"/>
      <c r="W1203" s="143"/>
      <c r="X1203" s="139"/>
      <c r="Y1203" s="141"/>
      <c r="Z1203" s="119"/>
      <c r="AA1203" s="144">
        <f>W1204-P1206</f>
        <v>-7</v>
      </c>
    </row>
    <row r="1204" spans="1:27" s="145" customFormat="1" ht="36" customHeight="1" x14ac:dyDescent="0.25">
      <c r="A1204" s="119"/>
      <c r="B1204" s="139"/>
      <c r="C1204" s="119"/>
      <c r="D1204" s="166"/>
      <c r="E1204" s="119"/>
      <c r="F1204" s="190"/>
      <c r="G1204" s="119"/>
      <c r="H1204" s="187"/>
      <c r="I1204" s="147"/>
      <c r="J1204" s="146"/>
      <c r="K1204" s="119"/>
      <c r="L1204" s="119"/>
      <c r="M1204" s="119"/>
      <c r="N1204" s="119"/>
      <c r="O1204" s="141">
        <f t="shared" ref="O1204" si="788">B1204</f>
        <v>0</v>
      </c>
      <c r="P1204" s="141">
        <f t="shared" ref="P1204" si="789">O1204+7</f>
        <v>7</v>
      </c>
      <c r="Q1204" s="141">
        <f t="shared" ref="Q1204" si="790">O1204+2</f>
        <v>2</v>
      </c>
      <c r="R1204" s="139"/>
      <c r="S1204" s="143"/>
      <c r="T1204" s="139"/>
      <c r="U1204" s="143"/>
      <c r="V1204" s="139"/>
      <c r="W1204" s="143"/>
      <c r="X1204" s="139"/>
      <c r="Y1204" s="141"/>
      <c r="Z1204" s="119"/>
      <c r="AA1204" s="144">
        <f>W1205-P1207</f>
        <v>-7</v>
      </c>
    </row>
    <row r="1205" spans="1:27" s="145" customFormat="1" ht="36" customHeight="1" x14ac:dyDescent="0.25">
      <c r="A1205" s="119"/>
      <c r="B1205" s="139"/>
      <c r="C1205" s="119"/>
      <c r="D1205" s="166"/>
      <c r="E1205" s="119"/>
      <c r="F1205" s="190"/>
      <c r="G1205" s="119"/>
      <c r="H1205" s="187"/>
      <c r="I1205" s="147"/>
      <c r="J1205" s="146"/>
      <c r="K1205" s="146"/>
      <c r="L1205" s="146"/>
      <c r="M1205" s="148"/>
      <c r="N1205" s="119"/>
      <c r="O1205" s="141">
        <f t="shared" si="782"/>
        <v>0</v>
      </c>
      <c r="P1205" s="141">
        <f t="shared" si="783"/>
        <v>7</v>
      </c>
      <c r="Q1205" s="141">
        <f t="shared" si="784"/>
        <v>2</v>
      </c>
      <c r="R1205" s="139"/>
      <c r="S1205" s="143"/>
      <c r="T1205" s="139"/>
      <c r="U1205" s="143"/>
      <c r="V1205" s="139"/>
      <c r="W1205" s="143"/>
      <c r="X1205" s="139"/>
      <c r="Y1205" s="141"/>
      <c r="Z1205" s="119"/>
      <c r="AA1205" s="144">
        <f>W1205-P1206</f>
        <v>-7</v>
      </c>
    </row>
    <row r="1206" spans="1:27" s="145" customFormat="1" ht="36" customHeight="1" x14ac:dyDescent="0.25">
      <c r="A1206" s="119"/>
      <c r="B1206" s="139"/>
      <c r="C1206" s="119"/>
      <c r="D1206" s="166"/>
      <c r="E1206" s="119"/>
      <c r="F1206" s="190"/>
      <c r="G1206" s="119"/>
      <c r="H1206" s="187"/>
      <c r="I1206" s="147"/>
      <c r="J1206" s="142"/>
      <c r="K1206" s="119"/>
      <c r="L1206" s="142"/>
      <c r="M1206" s="148"/>
      <c r="N1206" s="119"/>
      <c r="O1206" s="141">
        <f t="shared" si="782"/>
        <v>0</v>
      </c>
      <c r="P1206" s="141">
        <f t="shared" si="783"/>
        <v>7</v>
      </c>
      <c r="Q1206" s="141">
        <f t="shared" si="784"/>
        <v>2</v>
      </c>
      <c r="R1206" s="139"/>
      <c r="S1206" s="143"/>
      <c r="T1206" s="139"/>
      <c r="U1206" s="143"/>
      <c r="V1206" s="139"/>
      <c r="W1206" s="143"/>
      <c r="X1206" s="139"/>
      <c r="Y1206" s="141"/>
      <c r="Z1206" s="119"/>
      <c r="AA1206" s="144">
        <f>W1206-P1207</f>
        <v>-7</v>
      </c>
    </row>
    <row r="1207" spans="1:27" s="145" customFormat="1" ht="36" customHeight="1" x14ac:dyDescent="0.25">
      <c r="A1207" s="119"/>
      <c r="B1207" s="139"/>
      <c r="C1207" s="119"/>
      <c r="D1207" s="166"/>
      <c r="E1207" s="119"/>
      <c r="F1207" s="190"/>
      <c r="G1207" s="119"/>
      <c r="H1207" s="187"/>
      <c r="I1207" s="147"/>
      <c r="J1207" s="146"/>
      <c r="K1207" s="146"/>
      <c r="L1207" s="146"/>
      <c r="M1207" s="119"/>
      <c r="N1207" s="119"/>
      <c r="O1207" s="141">
        <f t="shared" si="782"/>
        <v>0</v>
      </c>
      <c r="P1207" s="141">
        <f t="shared" si="783"/>
        <v>7</v>
      </c>
      <c r="Q1207" s="141">
        <f t="shared" si="784"/>
        <v>2</v>
      </c>
      <c r="R1207" s="139"/>
      <c r="S1207" s="143"/>
      <c r="T1207" s="139"/>
      <c r="U1207" s="143"/>
      <c r="V1207" s="139"/>
      <c r="W1207" s="143"/>
      <c r="X1207" s="139"/>
      <c r="Y1207" s="141"/>
      <c r="Z1207" s="119"/>
      <c r="AA1207" s="144">
        <f>W1207-P1208</f>
        <v>-7</v>
      </c>
    </row>
    <row r="1208" spans="1:27" s="145" customFormat="1" ht="36" customHeight="1" x14ac:dyDescent="0.25">
      <c r="A1208" s="119"/>
      <c r="B1208" s="139"/>
      <c r="C1208" s="119"/>
      <c r="D1208" s="166"/>
      <c r="E1208" s="119"/>
      <c r="F1208" s="190"/>
      <c r="G1208" s="119"/>
      <c r="H1208" s="187"/>
      <c r="I1208" s="147"/>
      <c r="J1208" s="146"/>
      <c r="K1208" s="146"/>
      <c r="L1208" s="146"/>
      <c r="M1208" s="119"/>
      <c r="N1208" s="119"/>
      <c r="O1208" s="141">
        <f t="shared" si="782"/>
        <v>0</v>
      </c>
      <c r="P1208" s="141">
        <f t="shared" si="783"/>
        <v>7</v>
      </c>
      <c r="Q1208" s="141">
        <f t="shared" si="784"/>
        <v>2</v>
      </c>
      <c r="R1208" s="139"/>
      <c r="S1208" s="143"/>
      <c r="T1208" s="139"/>
      <c r="U1208" s="143"/>
      <c r="V1208" s="139"/>
      <c r="W1208" s="143"/>
      <c r="X1208" s="139"/>
      <c r="Y1208" s="141"/>
      <c r="Z1208" s="119"/>
      <c r="AA1208" s="144">
        <f>W1208-P1211</f>
        <v>-7</v>
      </c>
    </row>
    <row r="1209" spans="1:27" s="145" customFormat="1" ht="36" customHeight="1" x14ac:dyDescent="0.25">
      <c r="A1209" s="119"/>
      <c r="B1209" s="139"/>
      <c r="C1209" s="119"/>
      <c r="D1209" s="166"/>
      <c r="E1209" s="119"/>
      <c r="F1209" s="190"/>
      <c r="G1209" s="119"/>
      <c r="H1209" s="187"/>
      <c r="I1209" s="147"/>
      <c r="J1209" s="146"/>
      <c r="K1209" s="146"/>
      <c r="L1209" s="146"/>
      <c r="M1209" s="119"/>
      <c r="N1209" s="119"/>
      <c r="O1209" s="141">
        <f t="shared" si="782"/>
        <v>0</v>
      </c>
      <c r="P1209" s="141">
        <f t="shared" si="783"/>
        <v>7</v>
      </c>
      <c r="Q1209" s="141">
        <f t="shared" si="784"/>
        <v>2</v>
      </c>
      <c r="R1209" s="139"/>
      <c r="S1209" s="143"/>
      <c r="T1209" s="139"/>
      <c r="U1209" s="143"/>
      <c r="V1209" s="139"/>
      <c r="W1209" s="143"/>
      <c r="X1209" s="139"/>
      <c r="Y1209" s="141"/>
      <c r="Z1209" s="119"/>
      <c r="AA1209" s="144">
        <f>W1209-P1211</f>
        <v>-7</v>
      </c>
    </row>
    <row r="1210" spans="1:27" s="145" customFormat="1" ht="36" customHeight="1" x14ac:dyDescent="0.25">
      <c r="A1210" s="119"/>
      <c r="B1210" s="139"/>
      <c r="C1210" s="119"/>
      <c r="D1210" s="166"/>
      <c r="E1210" s="119"/>
      <c r="F1210" s="190"/>
      <c r="G1210" s="119"/>
      <c r="H1210" s="187"/>
      <c r="I1210" s="147"/>
      <c r="J1210" s="146"/>
      <c r="K1210" s="146"/>
      <c r="L1210" s="146"/>
      <c r="M1210" s="150"/>
      <c r="N1210" s="119"/>
      <c r="O1210" s="141">
        <f t="shared" si="782"/>
        <v>0</v>
      </c>
      <c r="P1210" s="141">
        <f t="shared" si="783"/>
        <v>7</v>
      </c>
      <c r="Q1210" s="141">
        <f t="shared" si="784"/>
        <v>2</v>
      </c>
      <c r="R1210" s="139"/>
      <c r="S1210" s="143"/>
      <c r="T1210" s="139"/>
      <c r="U1210" s="143"/>
      <c r="V1210" s="139"/>
      <c r="W1210" s="143"/>
      <c r="X1210" s="139"/>
      <c r="Y1210" s="141"/>
      <c r="Z1210" s="119"/>
      <c r="AA1210" s="144">
        <f>W1210-P1211</f>
        <v>-7</v>
      </c>
    </row>
    <row r="1211" spans="1:27" s="145" customFormat="1" ht="36" customHeight="1" x14ac:dyDescent="0.25">
      <c r="A1211" s="119"/>
      <c r="B1211" s="139"/>
      <c r="C1211" s="119"/>
      <c r="D1211" s="166"/>
      <c r="E1211" s="119"/>
      <c r="F1211" s="190"/>
      <c r="G1211" s="119"/>
      <c r="H1211" s="187"/>
      <c r="I1211" s="147"/>
      <c r="J1211" s="146"/>
      <c r="K1211" s="146"/>
      <c r="L1211" s="146"/>
      <c r="M1211" s="119"/>
      <c r="N1211" s="119"/>
      <c r="O1211" s="141">
        <f t="shared" si="782"/>
        <v>0</v>
      </c>
      <c r="P1211" s="141">
        <f t="shared" si="783"/>
        <v>7</v>
      </c>
      <c r="Q1211" s="141">
        <f t="shared" si="784"/>
        <v>2</v>
      </c>
      <c r="R1211" s="139"/>
      <c r="S1211" s="143"/>
      <c r="T1211" s="139"/>
      <c r="U1211" s="143"/>
      <c r="V1211" s="139"/>
      <c r="W1211" s="143"/>
      <c r="X1211" s="139"/>
      <c r="Y1211" s="141"/>
      <c r="Z1211" s="119"/>
      <c r="AA1211" s="144">
        <f>W1211-P1212</f>
        <v>-7</v>
      </c>
    </row>
    <row r="1212" spans="1:27" s="145" customFormat="1" ht="36" customHeight="1" x14ac:dyDescent="0.25">
      <c r="A1212" s="119"/>
      <c r="B1212" s="139"/>
      <c r="C1212" s="119"/>
      <c r="D1212" s="166"/>
      <c r="E1212" s="119"/>
      <c r="F1212" s="190"/>
      <c r="G1212" s="119"/>
      <c r="H1212" s="187"/>
      <c r="I1212" s="147"/>
      <c r="J1212" s="146"/>
      <c r="K1212" s="146"/>
      <c r="L1212" s="146"/>
      <c r="M1212" s="119"/>
      <c r="N1212" s="119"/>
      <c r="O1212" s="141">
        <f t="shared" si="782"/>
        <v>0</v>
      </c>
      <c r="P1212" s="141">
        <f t="shared" si="783"/>
        <v>7</v>
      </c>
      <c r="Q1212" s="141">
        <f t="shared" si="784"/>
        <v>2</v>
      </c>
      <c r="R1212" s="139"/>
      <c r="S1212" s="143"/>
      <c r="T1212" s="139"/>
      <c r="U1212" s="143"/>
      <c r="V1212" s="139"/>
      <c r="W1212" s="143"/>
      <c r="X1212" s="139"/>
      <c r="Y1212" s="141"/>
      <c r="Z1212" s="119"/>
      <c r="AA1212" s="144">
        <f>W1212-P1213</f>
        <v>-7</v>
      </c>
    </row>
    <row r="1213" spans="1:27" s="145" customFormat="1" ht="18" customHeight="1" x14ac:dyDescent="0.25">
      <c r="A1213" s="119"/>
      <c r="B1213" s="139"/>
      <c r="C1213" s="119"/>
      <c r="D1213" s="166"/>
      <c r="E1213" s="119"/>
      <c r="F1213" s="190"/>
      <c r="G1213" s="119"/>
      <c r="H1213" s="187"/>
      <c r="I1213" s="147"/>
      <c r="J1213" s="146"/>
      <c r="K1213" s="146"/>
      <c r="L1213" s="146"/>
      <c r="M1213" s="119"/>
      <c r="N1213" s="119"/>
      <c r="O1213" s="141">
        <f t="shared" si="782"/>
        <v>0</v>
      </c>
      <c r="P1213" s="141">
        <f t="shared" si="783"/>
        <v>7</v>
      </c>
      <c r="Q1213" s="141">
        <f t="shared" si="784"/>
        <v>2</v>
      </c>
      <c r="R1213" s="139"/>
      <c r="S1213" s="143"/>
      <c r="T1213" s="139"/>
      <c r="U1213" s="143"/>
      <c r="V1213" s="139"/>
      <c r="W1213" s="143"/>
      <c r="X1213" s="139"/>
      <c r="Y1213" s="141"/>
      <c r="Z1213" s="119"/>
      <c r="AA1213" s="144">
        <f>W1213-P1214</f>
        <v>-7</v>
      </c>
    </row>
    <row r="1214" spans="1:27" s="145" customFormat="1" ht="36" customHeight="1" x14ac:dyDescent="0.25">
      <c r="A1214" s="119"/>
      <c r="B1214" s="139"/>
      <c r="C1214" s="119"/>
      <c r="D1214" s="166"/>
      <c r="E1214" s="119"/>
      <c r="F1214" s="190"/>
      <c r="G1214" s="119"/>
      <c r="H1214" s="187"/>
      <c r="I1214" s="147"/>
      <c r="J1214" s="146"/>
      <c r="K1214" s="146"/>
      <c r="L1214" s="146"/>
      <c r="M1214" s="119"/>
      <c r="N1214" s="119"/>
      <c r="O1214" s="141">
        <f t="shared" si="782"/>
        <v>0</v>
      </c>
      <c r="P1214" s="141">
        <f t="shared" si="783"/>
        <v>7</v>
      </c>
      <c r="Q1214" s="141">
        <f t="shared" si="784"/>
        <v>2</v>
      </c>
      <c r="R1214" s="139"/>
      <c r="S1214" s="143"/>
      <c r="T1214" s="139"/>
      <c r="U1214" s="143"/>
      <c r="V1214" s="139"/>
      <c r="W1214" s="143"/>
      <c r="X1214" s="139"/>
      <c r="Y1214" s="141"/>
      <c r="Z1214" s="119"/>
      <c r="AA1214" s="144">
        <f>W1214-P1215</f>
        <v>-7</v>
      </c>
    </row>
    <row r="1215" spans="1:27" s="145" customFormat="1" ht="36" customHeight="1" x14ac:dyDescent="0.25">
      <c r="A1215" s="119"/>
      <c r="B1215" s="139"/>
      <c r="C1215" s="119"/>
      <c r="D1215" s="166"/>
      <c r="E1215" s="119"/>
      <c r="F1215" s="190"/>
      <c r="G1215" s="119"/>
      <c r="H1215" s="187"/>
      <c r="I1215" s="147"/>
      <c r="J1215" s="142"/>
      <c r="K1215" s="146"/>
      <c r="L1215" s="146"/>
      <c r="M1215" s="119"/>
      <c r="N1215" s="119"/>
      <c r="O1215" s="141">
        <f t="shared" si="782"/>
        <v>0</v>
      </c>
      <c r="P1215" s="141">
        <f t="shared" si="783"/>
        <v>7</v>
      </c>
      <c r="Q1215" s="141">
        <f t="shared" si="784"/>
        <v>2</v>
      </c>
      <c r="R1215" s="139"/>
      <c r="S1215" s="143"/>
      <c r="T1215" s="139"/>
      <c r="U1215" s="143"/>
      <c r="V1215" s="139"/>
      <c r="W1215" s="143"/>
      <c r="X1215" s="139"/>
      <c r="Y1215" s="141"/>
      <c r="Z1215" s="119"/>
      <c r="AA1215" s="144">
        <f>W1215-P1218</f>
        <v>-7</v>
      </c>
    </row>
    <row r="1216" spans="1:27" s="145" customFormat="1" ht="36" customHeight="1" x14ac:dyDescent="0.25">
      <c r="A1216" s="119"/>
      <c r="B1216" s="139"/>
      <c r="C1216" s="119"/>
      <c r="D1216" s="166"/>
      <c r="E1216" s="119"/>
      <c r="F1216" s="190"/>
      <c r="G1216" s="119"/>
      <c r="H1216" s="187"/>
      <c r="I1216" s="147"/>
      <c r="J1216" s="146"/>
      <c r="K1216" s="146"/>
      <c r="L1216" s="146"/>
      <c r="M1216" s="119"/>
      <c r="N1216" s="119"/>
      <c r="O1216" s="141">
        <f t="shared" si="782"/>
        <v>0</v>
      </c>
      <c r="P1216" s="141">
        <f t="shared" si="783"/>
        <v>7</v>
      </c>
      <c r="Q1216" s="141">
        <f t="shared" si="784"/>
        <v>2</v>
      </c>
      <c r="R1216" s="139"/>
      <c r="S1216" s="143"/>
      <c r="T1216" s="139"/>
      <c r="U1216" s="143"/>
      <c r="V1216" s="139"/>
      <c r="W1216" s="143"/>
      <c r="X1216" s="139"/>
      <c r="Y1216" s="141"/>
      <c r="Z1216" s="119"/>
      <c r="AA1216" s="144">
        <f>W1216-P1222</f>
        <v>-7</v>
      </c>
    </row>
    <row r="1217" spans="1:27" s="145" customFormat="1" ht="36" customHeight="1" x14ac:dyDescent="0.25">
      <c r="A1217" s="119"/>
      <c r="B1217" s="139"/>
      <c r="C1217" s="119"/>
      <c r="D1217" s="166"/>
      <c r="E1217" s="119"/>
      <c r="F1217" s="190"/>
      <c r="G1217" s="119"/>
      <c r="H1217" s="187"/>
      <c r="I1217" s="147"/>
      <c r="J1217" s="146"/>
      <c r="K1217" s="146"/>
      <c r="L1217" s="146"/>
      <c r="M1217" s="119"/>
      <c r="N1217" s="119"/>
      <c r="O1217" s="141">
        <f t="shared" si="782"/>
        <v>0</v>
      </c>
      <c r="P1217" s="141">
        <f t="shared" si="783"/>
        <v>7</v>
      </c>
      <c r="Q1217" s="141">
        <f t="shared" si="784"/>
        <v>2</v>
      </c>
      <c r="R1217" s="139"/>
      <c r="S1217" s="143"/>
      <c r="T1217" s="139"/>
      <c r="U1217" s="143"/>
      <c r="V1217" s="139"/>
      <c r="W1217" s="143"/>
      <c r="X1217" s="139"/>
      <c r="Y1217" s="141"/>
      <c r="Z1217" s="119"/>
      <c r="AA1217" s="144">
        <f>W1217-P1223</f>
        <v>-7</v>
      </c>
    </row>
    <row r="1218" spans="1:27" s="145" customFormat="1" ht="37.5" customHeight="1" x14ac:dyDescent="0.25">
      <c r="A1218" s="119"/>
      <c r="B1218" s="139"/>
      <c r="C1218" s="119"/>
      <c r="D1218" s="166"/>
      <c r="E1218" s="119"/>
      <c r="F1218" s="190"/>
      <c r="G1218" s="119"/>
      <c r="H1218" s="187"/>
      <c r="I1218" s="147"/>
      <c r="J1218" s="119"/>
      <c r="K1218" s="119"/>
      <c r="L1218" s="119"/>
      <c r="M1218" s="119"/>
      <c r="N1218" s="119"/>
      <c r="O1218" s="141">
        <f t="shared" si="782"/>
        <v>0</v>
      </c>
      <c r="P1218" s="141">
        <f t="shared" si="783"/>
        <v>7</v>
      </c>
      <c r="Q1218" s="141">
        <f t="shared" si="784"/>
        <v>2</v>
      </c>
      <c r="R1218" s="139"/>
      <c r="S1218" s="143"/>
      <c r="T1218" s="139"/>
      <c r="U1218" s="143"/>
      <c r="V1218" s="139"/>
      <c r="W1218" s="143"/>
      <c r="X1218" s="139"/>
      <c r="Y1218" s="141"/>
      <c r="Z1218" s="119"/>
      <c r="AA1218" s="144">
        <f>W1218-P1222</f>
        <v>-7</v>
      </c>
    </row>
    <row r="1219" spans="1:27" s="145" customFormat="1" ht="37.5" customHeight="1" x14ac:dyDescent="0.25">
      <c r="A1219" s="119"/>
      <c r="B1219" s="139"/>
      <c r="C1219" s="119"/>
      <c r="D1219" s="166"/>
      <c r="E1219" s="119"/>
      <c r="F1219" s="190"/>
      <c r="G1219" s="119"/>
      <c r="H1219" s="187"/>
      <c r="I1219" s="147"/>
      <c r="J1219" s="119"/>
      <c r="K1219" s="119"/>
      <c r="L1219" s="119"/>
      <c r="M1219" s="119"/>
      <c r="N1219" s="119"/>
      <c r="O1219" s="141">
        <f t="shared" si="782"/>
        <v>0</v>
      </c>
      <c r="P1219" s="141">
        <f t="shared" si="783"/>
        <v>7</v>
      </c>
      <c r="Q1219" s="141">
        <f t="shared" si="784"/>
        <v>2</v>
      </c>
      <c r="R1219" s="139"/>
      <c r="S1219" s="143"/>
      <c r="T1219" s="139"/>
      <c r="U1219" s="143"/>
      <c r="V1219" s="139"/>
      <c r="W1219" s="143"/>
      <c r="X1219" s="139"/>
      <c r="Y1219" s="141"/>
      <c r="Z1219" s="119"/>
      <c r="AA1219" s="144">
        <f>W1219-P1223</f>
        <v>-7</v>
      </c>
    </row>
    <row r="1220" spans="1:27" s="145" customFormat="1" ht="37.5" customHeight="1" x14ac:dyDescent="0.25">
      <c r="A1220" s="119"/>
      <c r="B1220" s="139"/>
      <c r="C1220" s="119"/>
      <c r="D1220" s="166"/>
      <c r="E1220" s="119"/>
      <c r="F1220" s="190"/>
      <c r="G1220" s="119"/>
      <c r="H1220" s="187"/>
      <c r="I1220" s="147"/>
      <c r="J1220" s="146"/>
      <c r="K1220" s="146"/>
      <c r="L1220" s="146"/>
      <c r="M1220" s="119"/>
      <c r="N1220" s="119"/>
      <c r="O1220" s="141">
        <f t="shared" si="782"/>
        <v>0</v>
      </c>
      <c r="P1220" s="141">
        <f t="shared" si="783"/>
        <v>7</v>
      </c>
      <c r="Q1220" s="141">
        <f t="shared" si="784"/>
        <v>2</v>
      </c>
      <c r="R1220" s="139"/>
      <c r="S1220" s="143"/>
      <c r="T1220" s="139"/>
      <c r="U1220" s="143"/>
      <c r="V1220" s="139"/>
      <c r="W1220" s="143"/>
      <c r="X1220" s="139"/>
      <c r="Y1220" s="141"/>
      <c r="Z1220" s="119"/>
      <c r="AA1220" s="144">
        <f>W1220-P1224</f>
        <v>-7</v>
      </c>
    </row>
    <row r="1221" spans="1:27" s="145" customFormat="1" ht="36" customHeight="1" x14ac:dyDescent="0.25">
      <c r="A1221" s="119"/>
      <c r="B1221" s="139"/>
      <c r="C1221" s="119"/>
      <c r="D1221" s="166"/>
      <c r="E1221" s="119"/>
      <c r="F1221" s="190"/>
      <c r="G1221" s="119"/>
      <c r="H1221" s="187"/>
      <c r="I1221" s="147"/>
      <c r="J1221" s="146"/>
      <c r="K1221" s="146"/>
      <c r="L1221" s="146"/>
      <c r="M1221" s="150"/>
      <c r="N1221" s="119"/>
      <c r="O1221" s="141">
        <f t="shared" si="782"/>
        <v>0</v>
      </c>
      <c r="P1221" s="141">
        <f t="shared" si="783"/>
        <v>7</v>
      </c>
      <c r="Q1221" s="141">
        <f t="shared" si="784"/>
        <v>2</v>
      </c>
      <c r="R1221" s="139"/>
      <c r="S1221" s="143"/>
      <c r="T1221" s="139"/>
      <c r="U1221" s="143"/>
      <c r="V1221" s="139"/>
      <c r="W1221" s="143"/>
      <c r="X1221" s="139"/>
      <c r="Y1221" s="141"/>
      <c r="Z1221" s="119"/>
      <c r="AA1221" s="144">
        <f>W1221-P1222</f>
        <v>-7</v>
      </c>
    </row>
    <row r="1222" spans="1:27" s="145" customFormat="1" ht="36" customHeight="1" x14ac:dyDescent="0.25">
      <c r="A1222" s="119"/>
      <c r="B1222" s="139"/>
      <c r="C1222" s="119"/>
      <c r="D1222" s="166"/>
      <c r="E1222" s="119"/>
      <c r="F1222" s="190"/>
      <c r="G1222" s="119"/>
      <c r="H1222" s="187"/>
      <c r="I1222" s="147"/>
      <c r="J1222" s="146"/>
      <c r="K1222" s="146"/>
      <c r="L1222" s="146"/>
      <c r="M1222" s="150"/>
      <c r="N1222" s="119"/>
      <c r="O1222" s="141">
        <f t="shared" ref="O1222:O1290" si="791">B1222</f>
        <v>0</v>
      </c>
      <c r="P1222" s="141">
        <f t="shared" ref="P1222:P1290" si="792">O1222+7</f>
        <v>7</v>
      </c>
      <c r="Q1222" s="141">
        <f t="shared" ref="Q1222:Q1290" si="793">O1222+2</f>
        <v>2</v>
      </c>
      <c r="R1222" s="139"/>
      <c r="S1222" s="143"/>
      <c r="T1222" s="139"/>
      <c r="U1222" s="143"/>
      <c r="V1222" s="139"/>
      <c r="W1222" s="143"/>
      <c r="X1222" s="139"/>
      <c r="Y1222" s="141"/>
      <c r="Z1222" s="119"/>
      <c r="AA1222" s="144">
        <f>W1222-P1223</f>
        <v>-7</v>
      </c>
    </row>
    <row r="1223" spans="1:27" s="145" customFormat="1" ht="36" customHeight="1" x14ac:dyDescent="0.25">
      <c r="A1223" s="119"/>
      <c r="B1223" s="139"/>
      <c r="C1223" s="119"/>
      <c r="D1223" s="166"/>
      <c r="E1223" s="119"/>
      <c r="F1223" s="190"/>
      <c r="G1223" s="119"/>
      <c r="H1223" s="187"/>
      <c r="I1223" s="147"/>
      <c r="J1223" s="146"/>
      <c r="K1223" s="119"/>
      <c r="L1223" s="146"/>
      <c r="M1223" s="119"/>
      <c r="N1223" s="119"/>
      <c r="O1223" s="141">
        <f t="shared" si="791"/>
        <v>0</v>
      </c>
      <c r="P1223" s="141">
        <f t="shared" si="792"/>
        <v>7</v>
      </c>
      <c r="Q1223" s="141">
        <f t="shared" si="793"/>
        <v>2</v>
      </c>
      <c r="R1223" s="139"/>
      <c r="S1223" s="143"/>
      <c r="T1223" s="139"/>
      <c r="U1223" s="143"/>
      <c r="V1223" s="139"/>
      <c r="W1223" s="143"/>
      <c r="X1223" s="139"/>
      <c r="Y1223" s="141"/>
      <c r="Z1223" s="119"/>
      <c r="AA1223" s="144">
        <f>W1223-P1224</f>
        <v>-7</v>
      </c>
    </row>
    <row r="1224" spans="1:27" s="145" customFormat="1" ht="36" customHeight="1" x14ac:dyDescent="0.25">
      <c r="A1224" s="119"/>
      <c r="B1224" s="139"/>
      <c r="C1224" s="119"/>
      <c r="D1224" s="166"/>
      <c r="E1224" s="119"/>
      <c r="F1224" s="190"/>
      <c r="G1224" s="119"/>
      <c r="H1224" s="187"/>
      <c r="I1224" s="159"/>
      <c r="J1224" s="119"/>
      <c r="K1224" s="146"/>
      <c r="L1224" s="119"/>
      <c r="M1224" s="119"/>
      <c r="N1224" s="119"/>
      <c r="O1224" s="141">
        <f t="shared" si="791"/>
        <v>0</v>
      </c>
      <c r="P1224" s="141">
        <f t="shared" si="792"/>
        <v>7</v>
      </c>
      <c r="Q1224" s="141">
        <f t="shared" si="793"/>
        <v>2</v>
      </c>
      <c r="R1224" s="139"/>
      <c r="S1224" s="143"/>
      <c r="T1224" s="139"/>
      <c r="U1224" s="143"/>
      <c r="V1224" s="139"/>
      <c r="W1224" s="143"/>
      <c r="X1224" s="139"/>
      <c r="Y1224" s="141"/>
      <c r="Z1224" s="119"/>
      <c r="AA1224" s="144">
        <f>W1224-P1225</f>
        <v>-7</v>
      </c>
    </row>
    <row r="1225" spans="1:27" s="145" customFormat="1" ht="36" customHeight="1" x14ac:dyDescent="0.25">
      <c r="A1225" s="119"/>
      <c r="B1225" s="139"/>
      <c r="C1225" s="119"/>
      <c r="D1225" s="166"/>
      <c r="E1225" s="119"/>
      <c r="F1225" s="190"/>
      <c r="G1225" s="119"/>
      <c r="H1225" s="187"/>
      <c r="I1225" s="147"/>
      <c r="J1225" s="119"/>
      <c r="K1225" s="119"/>
      <c r="L1225" s="119"/>
      <c r="M1225" s="119"/>
      <c r="N1225" s="119"/>
      <c r="O1225" s="141">
        <f t="shared" si="791"/>
        <v>0</v>
      </c>
      <c r="P1225" s="141">
        <f t="shared" si="792"/>
        <v>7</v>
      </c>
      <c r="Q1225" s="141">
        <f t="shared" si="793"/>
        <v>2</v>
      </c>
      <c r="R1225" s="139"/>
      <c r="S1225" s="143"/>
      <c r="T1225" s="139"/>
      <c r="U1225" s="143"/>
      <c r="V1225" s="139"/>
      <c r="W1225" s="143"/>
      <c r="X1225" s="139"/>
      <c r="Y1225" s="141"/>
      <c r="Z1225" s="119"/>
      <c r="AA1225" s="144">
        <f>W1225-P1229</f>
        <v>-7</v>
      </c>
    </row>
    <row r="1226" spans="1:27" s="145" customFormat="1" ht="36" customHeight="1" x14ac:dyDescent="0.25">
      <c r="A1226" s="119"/>
      <c r="B1226" s="139"/>
      <c r="C1226" s="119"/>
      <c r="D1226" s="166"/>
      <c r="E1226" s="119"/>
      <c r="F1226" s="190"/>
      <c r="G1226" s="119"/>
      <c r="H1226" s="187"/>
      <c r="I1226" s="147"/>
      <c r="J1226" s="119"/>
      <c r="K1226" s="119"/>
      <c r="L1226" s="146"/>
      <c r="M1226" s="119"/>
      <c r="N1226" s="119"/>
      <c r="O1226" s="141">
        <f t="shared" si="791"/>
        <v>0</v>
      </c>
      <c r="P1226" s="141">
        <f t="shared" si="792"/>
        <v>7</v>
      </c>
      <c r="Q1226" s="141">
        <f t="shared" si="793"/>
        <v>2</v>
      </c>
      <c r="R1226" s="139"/>
      <c r="S1226" s="143"/>
      <c r="T1226" s="139"/>
      <c r="U1226" s="143"/>
      <c r="V1226" s="139"/>
      <c r="W1226" s="143"/>
      <c r="X1226" s="139"/>
      <c r="Y1226" s="141"/>
      <c r="Z1226" s="119"/>
      <c r="AA1226" s="144">
        <f>W1226-P1233</f>
        <v>-7</v>
      </c>
    </row>
    <row r="1227" spans="1:27" s="145" customFormat="1" ht="36" customHeight="1" x14ac:dyDescent="0.25">
      <c r="A1227" s="119"/>
      <c r="B1227" s="139"/>
      <c r="C1227" s="119"/>
      <c r="D1227" s="166"/>
      <c r="E1227" s="119"/>
      <c r="F1227" s="190"/>
      <c r="G1227" s="119"/>
      <c r="H1227" s="187"/>
      <c r="I1227" s="147"/>
      <c r="J1227" s="119"/>
      <c r="K1227" s="119"/>
      <c r="L1227" s="146"/>
      <c r="M1227" s="119"/>
      <c r="N1227" s="119"/>
      <c r="O1227" s="141">
        <f t="shared" ref="O1227" si="794">B1227</f>
        <v>0</v>
      </c>
      <c r="P1227" s="141">
        <f t="shared" ref="P1227" si="795">O1227+7</f>
        <v>7</v>
      </c>
      <c r="Q1227" s="141">
        <f t="shared" ref="Q1227" si="796">O1227+2</f>
        <v>2</v>
      </c>
      <c r="R1227" s="139"/>
      <c r="S1227" s="143"/>
      <c r="T1227" s="139"/>
      <c r="U1227" s="143"/>
      <c r="V1227" s="139"/>
      <c r="W1227" s="143"/>
      <c r="X1227" s="139"/>
      <c r="Y1227" s="141"/>
      <c r="Z1227" s="119"/>
      <c r="AA1227" s="144">
        <f>W1227-P1234</f>
        <v>-7</v>
      </c>
    </row>
    <row r="1228" spans="1:27" s="145" customFormat="1" ht="36" customHeight="1" x14ac:dyDescent="0.25">
      <c r="A1228" s="119"/>
      <c r="B1228" s="139"/>
      <c r="C1228" s="119"/>
      <c r="D1228" s="166"/>
      <c r="E1228" s="119"/>
      <c r="F1228" s="190"/>
      <c r="G1228" s="119"/>
      <c r="H1228" s="187"/>
      <c r="I1228" s="147"/>
      <c r="J1228" s="119"/>
      <c r="K1228" s="119"/>
      <c r="L1228" s="119"/>
      <c r="M1228" s="148"/>
      <c r="N1228" s="119"/>
      <c r="O1228" s="141">
        <f t="shared" ref="O1228" si="797">B1228</f>
        <v>0</v>
      </c>
      <c r="P1228" s="141">
        <f t="shared" ref="P1228" si="798">O1228+7</f>
        <v>7</v>
      </c>
      <c r="Q1228" s="141">
        <f t="shared" ref="Q1228" si="799">O1228+2</f>
        <v>2</v>
      </c>
      <c r="R1228" s="139"/>
      <c r="S1228" s="143"/>
      <c r="T1228" s="139"/>
      <c r="U1228" s="143"/>
      <c r="V1228" s="139"/>
      <c r="W1228" s="143"/>
      <c r="X1228" s="139"/>
      <c r="Y1228" s="141"/>
      <c r="Z1228" s="119"/>
      <c r="AA1228" s="144">
        <f>W1228-P1235</f>
        <v>-7</v>
      </c>
    </row>
    <row r="1229" spans="1:27" s="151" customFormat="1" ht="36" customHeight="1" x14ac:dyDescent="0.25">
      <c r="A1229" s="119"/>
      <c r="B1229" s="139"/>
      <c r="C1229" s="119"/>
      <c r="D1229" s="166"/>
      <c r="E1229" s="119"/>
      <c r="F1229" s="190"/>
      <c r="G1229" s="119"/>
      <c r="H1229" s="187"/>
      <c r="I1229" s="147"/>
      <c r="J1229" s="146"/>
      <c r="K1229" s="146"/>
      <c r="L1229" s="146"/>
      <c r="M1229" s="148"/>
      <c r="N1229" s="119"/>
      <c r="O1229" s="141">
        <f t="shared" si="791"/>
        <v>0</v>
      </c>
      <c r="P1229" s="141">
        <f t="shared" si="792"/>
        <v>7</v>
      </c>
      <c r="Q1229" s="141">
        <f t="shared" si="793"/>
        <v>2</v>
      </c>
      <c r="R1229" s="139"/>
      <c r="S1229" s="143"/>
      <c r="T1229" s="139"/>
      <c r="U1229" s="143"/>
      <c r="V1229" s="139"/>
      <c r="W1229" s="143"/>
      <c r="X1229" s="139"/>
      <c r="Y1229" s="141"/>
      <c r="Z1229" s="119"/>
      <c r="AA1229" s="144">
        <f>W1229-P1233</f>
        <v>-7</v>
      </c>
    </row>
    <row r="1230" spans="1:27" s="151" customFormat="1" ht="36" customHeight="1" x14ac:dyDescent="0.25">
      <c r="A1230" s="119"/>
      <c r="B1230" s="139"/>
      <c r="C1230" s="119"/>
      <c r="D1230" s="166"/>
      <c r="E1230" s="119"/>
      <c r="F1230" s="190"/>
      <c r="G1230" s="119"/>
      <c r="H1230" s="187"/>
      <c r="I1230" s="147"/>
      <c r="J1230" s="146"/>
      <c r="K1230" s="146"/>
      <c r="L1230" s="146"/>
      <c r="M1230" s="148"/>
      <c r="N1230" s="119"/>
      <c r="O1230" s="141">
        <f t="shared" ref="O1230" si="800">B1230</f>
        <v>0</v>
      </c>
      <c r="P1230" s="141">
        <f t="shared" ref="P1230" si="801">O1230+7</f>
        <v>7</v>
      </c>
      <c r="Q1230" s="141">
        <f t="shared" ref="Q1230" si="802">O1230+2</f>
        <v>2</v>
      </c>
      <c r="R1230" s="139"/>
      <c r="S1230" s="143"/>
      <c r="T1230" s="139"/>
      <c r="U1230" s="143"/>
      <c r="V1230" s="139"/>
      <c r="W1230" s="143"/>
      <c r="X1230" s="139"/>
      <c r="Y1230" s="141"/>
      <c r="Z1230" s="119"/>
      <c r="AA1230" s="144"/>
    </row>
    <row r="1231" spans="1:27" s="145" customFormat="1" ht="36" customHeight="1" x14ac:dyDescent="0.25">
      <c r="A1231" s="119"/>
      <c r="B1231" s="139"/>
      <c r="C1231" s="119"/>
      <c r="D1231" s="166"/>
      <c r="E1231" s="119"/>
      <c r="F1231" s="190"/>
      <c r="G1231" s="119"/>
      <c r="H1231" s="187"/>
      <c r="I1231" s="147"/>
      <c r="J1231" s="119"/>
      <c r="K1231" s="146"/>
      <c r="L1231" s="119"/>
      <c r="M1231" s="150"/>
      <c r="N1231" s="119"/>
      <c r="O1231" s="141">
        <f t="shared" si="791"/>
        <v>0</v>
      </c>
      <c r="P1231" s="141">
        <f t="shared" si="792"/>
        <v>7</v>
      </c>
      <c r="Q1231" s="141">
        <f t="shared" si="793"/>
        <v>2</v>
      </c>
      <c r="R1231" s="139"/>
      <c r="S1231" s="143"/>
      <c r="T1231" s="139"/>
      <c r="U1231" s="143"/>
      <c r="V1231" s="139"/>
      <c r="W1231" s="143"/>
      <c r="X1231" s="139"/>
      <c r="Y1231" s="141"/>
      <c r="Z1231" s="119"/>
      <c r="AA1231" s="144">
        <f>W1231-P1233</f>
        <v>-7</v>
      </c>
    </row>
    <row r="1232" spans="1:27" s="145" customFormat="1" ht="36" customHeight="1" x14ac:dyDescent="0.25">
      <c r="A1232" s="119"/>
      <c r="B1232" s="139"/>
      <c r="C1232" s="119"/>
      <c r="D1232" s="166"/>
      <c r="E1232" s="119"/>
      <c r="F1232" s="190"/>
      <c r="G1232" s="119"/>
      <c r="H1232" s="187"/>
      <c r="I1232" s="147"/>
      <c r="J1232" s="119"/>
      <c r="K1232" s="146"/>
      <c r="L1232" s="119"/>
      <c r="M1232" s="150"/>
      <c r="N1232" s="119"/>
      <c r="O1232" s="141">
        <f t="shared" si="791"/>
        <v>0</v>
      </c>
      <c r="P1232" s="141">
        <f t="shared" si="792"/>
        <v>7</v>
      </c>
      <c r="Q1232" s="141">
        <f t="shared" si="793"/>
        <v>2</v>
      </c>
      <c r="R1232" s="139"/>
      <c r="S1232" s="143"/>
      <c r="T1232" s="139"/>
      <c r="U1232" s="143"/>
      <c r="V1232" s="139"/>
      <c r="W1232" s="143"/>
      <c r="X1232" s="139"/>
      <c r="Y1232" s="141"/>
      <c r="Z1232" s="119"/>
      <c r="AA1232" s="144">
        <f>W1232-P1234</f>
        <v>-7</v>
      </c>
    </row>
    <row r="1233" spans="1:27" s="145" customFormat="1" ht="31.5" customHeight="1" x14ac:dyDescent="0.25">
      <c r="A1233" s="119"/>
      <c r="B1233" s="139"/>
      <c r="C1233" s="119"/>
      <c r="D1233" s="166"/>
      <c r="E1233" s="119"/>
      <c r="F1233" s="190"/>
      <c r="G1233" s="119"/>
      <c r="H1233" s="187"/>
      <c r="I1233" s="147"/>
      <c r="J1233" s="119"/>
      <c r="K1233" s="146"/>
      <c r="L1233" s="119"/>
      <c r="M1233" s="119"/>
      <c r="N1233" s="119"/>
      <c r="O1233" s="141">
        <f t="shared" si="791"/>
        <v>0</v>
      </c>
      <c r="P1233" s="141">
        <f t="shared" si="792"/>
        <v>7</v>
      </c>
      <c r="Q1233" s="141">
        <f t="shared" si="793"/>
        <v>2</v>
      </c>
      <c r="R1233" s="139"/>
      <c r="S1233" s="143"/>
      <c r="T1233" s="139"/>
      <c r="U1233" s="143"/>
      <c r="V1233" s="139"/>
      <c r="W1233" s="143"/>
      <c r="X1233" s="139"/>
      <c r="Y1233" s="141"/>
      <c r="Z1233" s="119"/>
      <c r="AA1233" s="162"/>
    </row>
    <row r="1234" spans="1:27" s="145" customFormat="1" ht="36" customHeight="1" x14ac:dyDescent="0.25">
      <c r="A1234" s="119"/>
      <c r="B1234" s="139"/>
      <c r="C1234" s="119"/>
      <c r="D1234" s="166"/>
      <c r="E1234" s="119"/>
      <c r="F1234" s="190"/>
      <c r="G1234" s="119"/>
      <c r="H1234" s="187"/>
      <c r="I1234" s="147"/>
      <c r="J1234" s="146"/>
      <c r="K1234" s="146"/>
      <c r="L1234" s="119"/>
      <c r="M1234" s="119"/>
      <c r="N1234" s="119"/>
      <c r="O1234" s="141">
        <f t="shared" si="791"/>
        <v>0</v>
      </c>
      <c r="P1234" s="141">
        <f t="shared" si="792"/>
        <v>7</v>
      </c>
      <c r="Q1234" s="141">
        <f t="shared" si="793"/>
        <v>2</v>
      </c>
      <c r="R1234" s="139"/>
      <c r="S1234" s="143"/>
      <c r="T1234" s="139"/>
      <c r="U1234" s="143"/>
      <c r="V1234" s="139"/>
      <c r="W1234" s="143"/>
      <c r="X1234" s="139"/>
      <c r="Y1234" s="141"/>
      <c r="Z1234" s="119"/>
      <c r="AA1234" s="144">
        <f>W1234-P1235</f>
        <v>-7</v>
      </c>
    </row>
    <row r="1235" spans="1:27" s="145" customFormat="1" ht="36" customHeight="1" x14ac:dyDescent="0.25">
      <c r="A1235" s="119"/>
      <c r="B1235" s="139"/>
      <c r="C1235" s="119"/>
      <c r="D1235" s="166"/>
      <c r="E1235" s="119"/>
      <c r="F1235" s="190"/>
      <c r="G1235" s="119"/>
      <c r="H1235" s="187"/>
      <c r="I1235" s="147"/>
      <c r="J1235" s="119"/>
      <c r="K1235" s="119"/>
      <c r="L1235" s="119"/>
      <c r="M1235" s="119"/>
      <c r="N1235" s="119"/>
      <c r="O1235" s="141">
        <f t="shared" si="791"/>
        <v>0</v>
      </c>
      <c r="P1235" s="141">
        <f t="shared" si="792"/>
        <v>7</v>
      </c>
      <c r="Q1235" s="141">
        <f t="shared" si="793"/>
        <v>2</v>
      </c>
      <c r="R1235" s="139"/>
      <c r="S1235" s="143"/>
      <c r="T1235" s="139"/>
      <c r="U1235" s="143"/>
      <c r="V1235" s="139"/>
      <c r="W1235" s="143"/>
      <c r="X1235" s="139"/>
      <c r="Y1235" s="141"/>
      <c r="Z1235" s="119"/>
      <c r="AA1235" s="144">
        <f>W1235-P1241</f>
        <v>-7</v>
      </c>
    </row>
    <row r="1236" spans="1:27" s="145" customFormat="1" ht="36" customHeight="1" x14ac:dyDescent="0.25">
      <c r="A1236" s="119"/>
      <c r="B1236" s="139"/>
      <c r="C1236" s="119"/>
      <c r="D1236" s="166"/>
      <c r="E1236" s="119"/>
      <c r="F1236" s="190"/>
      <c r="G1236" s="119"/>
      <c r="H1236" s="187"/>
      <c r="I1236" s="147"/>
      <c r="J1236" s="142"/>
      <c r="K1236" s="119"/>
      <c r="L1236" s="142"/>
      <c r="M1236" s="119"/>
      <c r="N1236" s="119"/>
      <c r="O1236" s="141">
        <f t="shared" si="791"/>
        <v>0</v>
      </c>
      <c r="P1236" s="141">
        <f t="shared" si="792"/>
        <v>7</v>
      </c>
      <c r="Q1236" s="141">
        <f t="shared" si="793"/>
        <v>2</v>
      </c>
      <c r="R1236" s="139"/>
      <c r="S1236" s="143"/>
      <c r="T1236" s="139"/>
      <c r="U1236" s="143"/>
      <c r="V1236" s="139"/>
      <c r="W1236" s="143"/>
      <c r="X1236" s="139"/>
      <c r="Y1236" s="141"/>
      <c r="Z1236" s="119"/>
      <c r="AA1236" s="144">
        <f>W1236-P1241</f>
        <v>-7</v>
      </c>
    </row>
    <row r="1237" spans="1:27" s="145" customFormat="1" ht="36" customHeight="1" x14ac:dyDescent="0.25">
      <c r="A1237" s="119"/>
      <c r="B1237" s="139"/>
      <c r="C1237" s="119"/>
      <c r="D1237" s="166"/>
      <c r="E1237" s="119"/>
      <c r="F1237" s="190"/>
      <c r="G1237" s="119"/>
      <c r="H1237" s="187"/>
      <c r="I1237" s="147"/>
      <c r="J1237" s="142"/>
      <c r="K1237" s="119"/>
      <c r="L1237" s="142"/>
      <c r="M1237" s="119"/>
      <c r="N1237" s="119"/>
      <c r="O1237" s="141">
        <f t="shared" ref="O1237:O1238" si="803">B1237</f>
        <v>0</v>
      </c>
      <c r="P1237" s="141">
        <f t="shared" ref="P1237:P1238" si="804">O1237+7</f>
        <v>7</v>
      </c>
      <c r="Q1237" s="141">
        <f t="shared" ref="Q1237:Q1238" si="805">O1237+2</f>
        <v>2</v>
      </c>
      <c r="R1237" s="139"/>
      <c r="S1237" s="143"/>
      <c r="T1237" s="139"/>
      <c r="U1237" s="143"/>
      <c r="V1237" s="139"/>
      <c r="W1237" s="143"/>
      <c r="X1237" s="139"/>
      <c r="Y1237" s="141"/>
      <c r="Z1237" s="119"/>
      <c r="AA1237" s="144">
        <f>W1237-P1245</f>
        <v>-7</v>
      </c>
    </row>
    <row r="1238" spans="1:27" s="145" customFormat="1" ht="36" customHeight="1" x14ac:dyDescent="0.25">
      <c r="A1238" s="119"/>
      <c r="B1238" s="139"/>
      <c r="C1238" s="119"/>
      <c r="D1238" s="166"/>
      <c r="E1238" s="119"/>
      <c r="F1238" s="190"/>
      <c r="G1238" s="119"/>
      <c r="H1238" s="187"/>
      <c r="I1238" s="147"/>
      <c r="J1238" s="146"/>
      <c r="K1238" s="146"/>
      <c r="L1238" s="146"/>
      <c r="M1238" s="148"/>
      <c r="N1238" s="119"/>
      <c r="O1238" s="141">
        <f t="shared" si="803"/>
        <v>0</v>
      </c>
      <c r="P1238" s="141">
        <f t="shared" si="804"/>
        <v>7</v>
      </c>
      <c r="Q1238" s="141">
        <f t="shared" si="805"/>
        <v>2</v>
      </c>
      <c r="R1238" s="139"/>
      <c r="S1238" s="143"/>
      <c r="T1238" s="139"/>
      <c r="U1238" s="143"/>
      <c r="V1238" s="139"/>
      <c r="W1238" s="143"/>
      <c r="X1238" s="139"/>
      <c r="Y1238" s="141"/>
      <c r="Z1238" s="119"/>
      <c r="AA1238" s="144">
        <f>W1238-P1241</f>
        <v>-7</v>
      </c>
    </row>
    <row r="1239" spans="1:27" s="145" customFormat="1" ht="36" customHeight="1" x14ac:dyDescent="0.25">
      <c r="A1239" s="119"/>
      <c r="B1239" s="139"/>
      <c r="C1239" s="119"/>
      <c r="D1239" s="166"/>
      <c r="E1239" s="119"/>
      <c r="F1239" s="190"/>
      <c r="G1239" s="119"/>
      <c r="H1239" s="187"/>
      <c r="I1239" s="147"/>
      <c r="J1239" s="146"/>
      <c r="K1239" s="146"/>
      <c r="L1239" s="146"/>
      <c r="M1239" s="148"/>
      <c r="N1239" s="119"/>
      <c r="O1239" s="141">
        <f t="shared" si="791"/>
        <v>0</v>
      </c>
      <c r="P1239" s="141">
        <f t="shared" si="792"/>
        <v>7</v>
      </c>
      <c r="Q1239" s="141">
        <f t="shared" si="793"/>
        <v>2</v>
      </c>
      <c r="R1239" s="139"/>
      <c r="S1239" s="143"/>
      <c r="T1239" s="139"/>
      <c r="U1239" s="143"/>
      <c r="V1239" s="139"/>
      <c r="W1239" s="143"/>
      <c r="X1239" s="139"/>
      <c r="Y1239" s="141"/>
      <c r="Z1239" s="119"/>
      <c r="AA1239" s="144">
        <f>W1239-P1245</f>
        <v>-7</v>
      </c>
    </row>
    <row r="1240" spans="1:27" s="145" customFormat="1" ht="36" customHeight="1" x14ac:dyDescent="0.25">
      <c r="A1240" s="119"/>
      <c r="B1240" s="139"/>
      <c r="C1240" s="119"/>
      <c r="D1240" s="166"/>
      <c r="E1240" s="119"/>
      <c r="F1240" s="190"/>
      <c r="G1240" s="119"/>
      <c r="H1240" s="187"/>
      <c r="I1240" s="147"/>
      <c r="J1240" s="119"/>
      <c r="K1240" s="119"/>
      <c r="L1240" s="119"/>
      <c r="M1240" s="119"/>
      <c r="N1240" s="119"/>
      <c r="O1240" s="141">
        <f t="shared" si="791"/>
        <v>0</v>
      </c>
      <c r="P1240" s="141">
        <f t="shared" si="792"/>
        <v>7</v>
      </c>
      <c r="Q1240" s="141">
        <f t="shared" si="793"/>
        <v>2</v>
      </c>
      <c r="R1240" s="139"/>
      <c r="S1240" s="143"/>
      <c r="T1240" s="139"/>
      <c r="U1240" s="143"/>
      <c r="V1240" s="139"/>
      <c r="W1240" s="143"/>
      <c r="X1240" s="139"/>
      <c r="Y1240" s="141"/>
      <c r="Z1240" s="119"/>
      <c r="AA1240" s="144">
        <f>W1240-P1246</f>
        <v>-7</v>
      </c>
    </row>
    <row r="1241" spans="1:27" s="145" customFormat="1" ht="36" customHeight="1" x14ac:dyDescent="0.25">
      <c r="A1241" s="119"/>
      <c r="B1241" s="139"/>
      <c r="C1241" s="119"/>
      <c r="D1241" s="166"/>
      <c r="E1241" s="119"/>
      <c r="F1241" s="190"/>
      <c r="G1241" s="119"/>
      <c r="H1241" s="187"/>
      <c r="I1241" s="147"/>
      <c r="J1241" s="146"/>
      <c r="K1241" s="119"/>
      <c r="L1241" s="146"/>
      <c r="M1241" s="119"/>
      <c r="N1241" s="119"/>
      <c r="O1241" s="141">
        <f t="shared" si="791"/>
        <v>0</v>
      </c>
      <c r="P1241" s="141">
        <f t="shared" si="792"/>
        <v>7</v>
      </c>
      <c r="Q1241" s="141">
        <f t="shared" si="793"/>
        <v>2</v>
      </c>
      <c r="R1241" s="139"/>
      <c r="S1241" s="143"/>
      <c r="T1241" s="139"/>
      <c r="U1241" s="143"/>
      <c r="V1241" s="139"/>
      <c r="W1241" s="143"/>
      <c r="X1241" s="139"/>
      <c r="Y1241" s="141"/>
      <c r="Z1241" s="119"/>
      <c r="AA1241" s="144">
        <f t="shared" ref="AA1241:AA1247" si="806">W1241-P1245</f>
        <v>-7</v>
      </c>
    </row>
    <row r="1242" spans="1:27" s="145" customFormat="1" ht="36" customHeight="1" x14ac:dyDescent="0.25">
      <c r="A1242" s="119"/>
      <c r="B1242" s="139"/>
      <c r="C1242" s="119"/>
      <c r="D1242" s="166"/>
      <c r="E1242" s="119"/>
      <c r="F1242" s="190"/>
      <c r="G1242" s="119"/>
      <c r="H1242" s="187"/>
      <c r="I1242" s="147"/>
      <c r="J1242" s="146"/>
      <c r="K1242" s="119"/>
      <c r="L1242" s="146"/>
      <c r="M1242" s="119"/>
      <c r="N1242" s="119"/>
      <c r="O1242" s="141">
        <f t="shared" ref="O1242:O1244" si="807">B1242</f>
        <v>0</v>
      </c>
      <c r="P1242" s="141">
        <f t="shared" ref="P1242:P1244" si="808">O1242+7</f>
        <v>7</v>
      </c>
      <c r="Q1242" s="141">
        <f t="shared" ref="Q1242:Q1244" si="809">O1242+2</f>
        <v>2</v>
      </c>
      <c r="R1242" s="139"/>
      <c r="S1242" s="143"/>
      <c r="T1242" s="139"/>
      <c r="U1242" s="143"/>
      <c r="V1242" s="139"/>
      <c r="W1242" s="143"/>
      <c r="X1242" s="139"/>
      <c r="Y1242" s="141"/>
      <c r="Z1242" s="119"/>
      <c r="AA1242" s="144">
        <f t="shared" si="806"/>
        <v>-7</v>
      </c>
    </row>
    <row r="1243" spans="1:27" s="145" customFormat="1" ht="36" customHeight="1" x14ac:dyDescent="0.25">
      <c r="A1243" s="119"/>
      <c r="B1243" s="139"/>
      <c r="C1243" s="119"/>
      <c r="D1243" s="166"/>
      <c r="E1243" s="119"/>
      <c r="F1243" s="190"/>
      <c r="G1243" s="119"/>
      <c r="H1243" s="187"/>
      <c r="I1243" s="147"/>
      <c r="J1243" s="146"/>
      <c r="K1243" s="119"/>
      <c r="L1243" s="146"/>
      <c r="M1243" s="119"/>
      <c r="N1243" s="119"/>
      <c r="O1243" s="141">
        <f t="shared" si="807"/>
        <v>0</v>
      </c>
      <c r="P1243" s="141">
        <f t="shared" si="808"/>
        <v>7</v>
      </c>
      <c r="Q1243" s="141">
        <f t="shared" si="809"/>
        <v>2</v>
      </c>
      <c r="R1243" s="139"/>
      <c r="S1243" s="143"/>
      <c r="T1243" s="139"/>
      <c r="U1243" s="143"/>
      <c r="V1243" s="139"/>
      <c r="W1243" s="143"/>
      <c r="X1243" s="139"/>
      <c r="Y1243" s="141"/>
      <c r="Z1243" s="119"/>
      <c r="AA1243" s="144">
        <f t="shared" si="806"/>
        <v>-7</v>
      </c>
    </row>
    <row r="1244" spans="1:27" s="145" customFormat="1" ht="36" customHeight="1" x14ac:dyDescent="0.25">
      <c r="A1244" s="119"/>
      <c r="B1244" s="139"/>
      <c r="C1244" s="119"/>
      <c r="D1244" s="166"/>
      <c r="E1244" s="119"/>
      <c r="F1244" s="190"/>
      <c r="G1244" s="119"/>
      <c r="H1244" s="187"/>
      <c r="I1244" s="147"/>
      <c r="J1244" s="146"/>
      <c r="K1244" s="119"/>
      <c r="L1244" s="146"/>
      <c r="M1244" s="119"/>
      <c r="N1244" s="119"/>
      <c r="O1244" s="141">
        <f t="shared" si="807"/>
        <v>0</v>
      </c>
      <c r="P1244" s="141">
        <f t="shared" si="808"/>
        <v>7</v>
      </c>
      <c r="Q1244" s="141">
        <f t="shared" si="809"/>
        <v>2</v>
      </c>
      <c r="R1244" s="139"/>
      <c r="S1244" s="143"/>
      <c r="T1244" s="139"/>
      <c r="U1244" s="143"/>
      <c r="V1244" s="139"/>
      <c r="W1244" s="143"/>
      <c r="X1244" s="139"/>
      <c r="Y1244" s="141"/>
      <c r="Z1244" s="119"/>
      <c r="AA1244" s="144">
        <f t="shared" si="806"/>
        <v>-7</v>
      </c>
    </row>
    <row r="1245" spans="1:27" s="145" customFormat="1" ht="36" customHeight="1" x14ac:dyDescent="0.25">
      <c r="A1245" s="119"/>
      <c r="B1245" s="139"/>
      <c r="C1245" s="119"/>
      <c r="D1245" s="166"/>
      <c r="E1245" s="119"/>
      <c r="F1245" s="190"/>
      <c r="G1245" s="119"/>
      <c r="H1245" s="187"/>
      <c r="I1245" s="147"/>
      <c r="J1245" s="146"/>
      <c r="K1245" s="119"/>
      <c r="L1245" s="146"/>
      <c r="M1245" s="119"/>
      <c r="N1245" s="119"/>
      <c r="O1245" s="141">
        <f t="shared" si="791"/>
        <v>0</v>
      </c>
      <c r="P1245" s="141">
        <f t="shared" si="792"/>
        <v>7</v>
      </c>
      <c r="Q1245" s="141">
        <f t="shared" si="793"/>
        <v>2</v>
      </c>
      <c r="R1245" s="139"/>
      <c r="S1245" s="143"/>
      <c r="T1245" s="139"/>
      <c r="U1245" s="143"/>
      <c r="V1245" s="139"/>
      <c r="W1245" s="143"/>
      <c r="X1245" s="139"/>
      <c r="Y1245" s="141"/>
      <c r="Z1245" s="119"/>
      <c r="AA1245" s="144">
        <f t="shared" si="806"/>
        <v>-7</v>
      </c>
    </row>
    <row r="1246" spans="1:27" s="145" customFormat="1" ht="36" customHeight="1" x14ac:dyDescent="0.25">
      <c r="A1246" s="119"/>
      <c r="B1246" s="139"/>
      <c r="C1246" s="119"/>
      <c r="D1246" s="166"/>
      <c r="E1246" s="119"/>
      <c r="F1246" s="190"/>
      <c r="G1246" s="119"/>
      <c r="H1246" s="187"/>
      <c r="I1246" s="147"/>
      <c r="J1246" s="146"/>
      <c r="K1246" s="119"/>
      <c r="L1246" s="146"/>
      <c r="M1246" s="119"/>
      <c r="N1246" s="119"/>
      <c r="O1246" s="141">
        <f t="shared" si="791"/>
        <v>0</v>
      </c>
      <c r="P1246" s="141">
        <f t="shared" si="792"/>
        <v>7</v>
      </c>
      <c r="Q1246" s="141">
        <f t="shared" si="793"/>
        <v>2</v>
      </c>
      <c r="R1246" s="139"/>
      <c r="S1246" s="143"/>
      <c r="T1246" s="139"/>
      <c r="U1246" s="143"/>
      <c r="V1246" s="139"/>
      <c r="W1246" s="143"/>
      <c r="X1246" s="139"/>
      <c r="Y1246" s="141"/>
      <c r="Z1246" s="119"/>
      <c r="AA1246" s="144">
        <f t="shared" si="806"/>
        <v>-7</v>
      </c>
    </row>
    <row r="1247" spans="1:27" s="145" customFormat="1" ht="36" customHeight="1" x14ac:dyDescent="0.25">
      <c r="A1247" s="119"/>
      <c r="B1247" s="139"/>
      <c r="C1247" s="119"/>
      <c r="D1247" s="166"/>
      <c r="E1247" s="119"/>
      <c r="F1247" s="190"/>
      <c r="G1247" s="119"/>
      <c r="H1247" s="187"/>
      <c r="I1247" s="147"/>
      <c r="J1247" s="146"/>
      <c r="K1247" s="119"/>
      <c r="L1247" s="146"/>
      <c r="M1247" s="119"/>
      <c r="N1247" s="119"/>
      <c r="O1247" s="141">
        <f t="shared" si="791"/>
        <v>0</v>
      </c>
      <c r="P1247" s="141">
        <f t="shared" si="792"/>
        <v>7</v>
      </c>
      <c r="Q1247" s="141">
        <f t="shared" si="793"/>
        <v>2</v>
      </c>
      <c r="R1247" s="139"/>
      <c r="S1247" s="143"/>
      <c r="T1247" s="139"/>
      <c r="U1247" s="143"/>
      <c r="V1247" s="139"/>
      <c r="W1247" s="143"/>
      <c r="X1247" s="139"/>
      <c r="Y1247" s="141"/>
      <c r="Z1247" s="119"/>
      <c r="AA1247" s="144">
        <f t="shared" si="806"/>
        <v>-7</v>
      </c>
    </row>
    <row r="1248" spans="1:27" s="145" customFormat="1" ht="36" customHeight="1" x14ac:dyDescent="0.25">
      <c r="A1248" s="119"/>
      <c r="B1248" s="139"/>
      <c r="C1248" s="119"/>
      <c r="D1248" s="166"/>
      <c r="E1248" s="119"/>
      <c r="F1248" s="190"/>
      <c r="G1248" s="119"/>
      <c r="H1248" s="187"/>
      <c r="I1248" s="147"/>
      <c r="J1248" s="146"/>
      <c r="K1248" s="146"/>
      <c r="L1248" s="146"/>
      <c r="M1248" s="119"/>
      <c r="N1248" s="119"/>
      <c r="O1248" s="141">
        <f t="shared" si="791"/>
        <v>0</v>
      </c>
      <c r="P1248" s="141">
        <f t="shared" si="792"/>
        <v>7</v>
      </c>
      <c r="Q1248" s="141">
        <f t="shared" si="793"/>
        <v>2</v>
      </c>
      <c r="R1248" s="139"/>
      <c r="S1248" s="143"/>
      <c r="T1248" s="139"/>
      <c r="U1248" s="143"/>
      <c r="V1248" s="139"/>
      <c r="W1248" s="143"/>
      <c r="X1248" s="139"/>
      <c r="Y1248" s="141"/>
      <c r="Z1248" s="119"/>
      <c r="AA1248" s="144">
        <f t="shared" ref="AA1248:AA1254" si="810">W1248-P1249</f>
        <v>-7</v>
      </c>
    </row>
    <row r="1249" spans="1:27" s="145" customFormat="1" ht="36" customHeight="1" x14ac:dyDescent="0.25">
      <c r="A1249" s="119"/>
      <c r="B1249" s="139"/>
      <c r="C1249" s="17"/>
      <c r="D1249" s="166"/>
      <c r="E1249" s="104"/>
      <c r="F1249" s="190"/>
      <c r="G1249" s="119"/>
      <c r="H1249" s="187"/>
      <c r="I1249" s="147"/>
      <c r="J1249" s="119"/>
      <c r="K1249" s="119"/>
      <c r="L1249" s="146"/>
      <c r="M1249" s="119"/>
      <c r="N1249" s="119"/>
      <c r="O1249" s="141">
        <f t="shared" si="791"/>
        <v>0</v>
      </c>
      <c r="P1249" s="141">
        <f t="shared" si="792"/>
        <v>7</v>
      </c>
      <c r="Q1249" s="141">
        <f t="shared" si="793"/>
        <v>2</v>
      </c>
      <c r="R1249" s="139"/>
      <c r="S1249" s="143"/>
      <c r="T1249" s="139"/>
      <c r="U1249" s="143"/>
      <c r="V1249" s="139"/>
      <c r="W1249" s="143"/>
      <c r="X1249" s="139"/>
      <c r="Y1249" s="141"/>
      <c r="Z1249" s="104"/>
      <c r="AA1249" s="144">
        <f t="shared" si="810"/>
        <v>-7</v>
      </c>
    </row>
    <row r="1250" spans="1:27" s="145" customFormat="1" ht="36" customHeight="1" x14ac:dyDescent="0.25">
      <c r="A1250" s="119"/>
      <c r="B1250" s="139"/>
      <c r="C1250" s="119"/>
      <c r="D1250" s="166"/>
      <c r="E1250" s="119"/>
      <c r="F1250" s="190"/>
      <c r="G1250" s="119"/>
      <c r="H1250" s="187"/>
      <c r="I1250" s="147"/>
      <c r="J1250" s="146"/>
      <c r="K1250" s="146"/>
      <c r="L1250" s="146"/>
      <c r="M1250" s="119"/>
      <c r="N1250" s="119"/>
      <c r="O1250" s="141">
        <f t="shared" si="791"/>
        <v>0</v>
      </c>
      <c r="P1250" s="141">
        <f t="shared" si="792"/>
        <v>7</v>
      </c>
      <c r="Q1250" s="141">
        <f t="shared" si="793"/>
        <v>2</v>
      </c>
      <c r="R1250" s="139"/>
      <c r="S1250" s="143"/>
      <c r="T1250" s="139"/>
      <c r="U1250" s="143"/>
      <c r="V1250" s="139"/>
      <c r="W1250" s="143"/>
      <c r="X1250" s="139"/>
      <c r="Y1250" s="141"/>
      <c r="Z1250" s="119"/>
      <c r="AA1250" s="144">
        <f t="shared" si="810"/>
        <v>-7</v>
      </c>
    </row>
    <row r="1251" spans="1:27" s="145" customFormat="1" ht="36" customHeight="1" x14ac:dyDescent="0.25">
      <c r="A1251" s="119"/>
      <c r="B1251" s="139"/>
      <c r="C1251" s="119"/>
      <c r="D1251" s="166"/>
      <c r="E1251" s="119"/>
      <c r="F1251" s="190"/>
      <c r="G1251" s="119"/>
      <c r="H1251" s="187"/>
      <c r="I1251" s="147"/>
      <c r="J1251" s="119"/>
      <c r="K1251" s="119"/>
      <c r="L1251" s="119"/>
      <c r="M1251" s="150"/>
      <c r="N1251" s="119"/>
      <c r="O1251" s="141">
        <f t="shared" si="791"/>
        <v>0</v>
      </c>
      <c r="P1251" s="141">
        <f t="shared" si="792"/>
        <v>7</v>
      </c>
      <c r="Q1251" s="141">
        <f t="shared" si="793"/>
        <v>2</v>
      </c>
      <c r="R1251" s="139"/>
      <c r="S1251" s="143"/>
      <c r="T1251" s="139"/>
      <c r="U1251" s="143"/>
      <c r="V1251" s="139"/>
      <c r="W1251" s="143"/>
      <c r="X1251" s="139"/>
      <c r="Y1251" s="141"/>
      <c r="Z1251" s="119"/>
      <c r="AA1251" s="144">
        <f t="shared" si="810"/>
        <v>-7</v>
      </c>
    </row>
    <row r="1252" spans="1:27" s="145" customFormat="1" ht="36" customHeight="1" x14ac:dyDescent="0.25">
      <c r="A1252" s="119"/>
      <c r="B1252" s="139"/>
      <c r="C1252" s="119"/>
      <c r="D1252" s="166"/>
      <c r="E1252" s="119"/>
      <c r="F1252" s="190"/>
      <c r="G1252" s="119"/>
      <c r="H1252" s="187"/>
      <c r="I1252" s="147"/>
      <c r="J1252" s="119"/>
      <c r="K1252" s="119"/>
      <c r="L1252" s="119"/>
      <c r="M1252" s="119"/>
      <c r="N1252" s="119"/>
      <c r="O1252" s="141">
        <f t="shared" si="791"/>
        <v>0</v>
      </c>
      <c r="P1252" s="141">
        <f t="shared" si="792"/>
        <v>7</v>
      </c>
      <c r="Q1252" s="141">
        <f t="shared" si="793"/>
        <v>2</v>
      </c>
      <c r="R1252" s="139"/>
      <c r="S1252" s="143"/>
      <c r="T1252" s="139"/>
      <c r="U1252" s="143"/>
      <c r="V1252" s="139"/>
      <c r="W1252" s="143"/>
      <c r="X1252" s="139"/>
      <c r="Y1252" s="141"/>
      <c r="Z1252" s="119"/>
      <c r="AA1252" s="144">
        <f t="shared" si="810"/>
        <v>-7</v>
      </c>
    </row>
    <row r="1253" spans="1:27" s="145" customFormat="1" ht="36" customHeight="1" x14ac:dyDescent="0.25">
      <c r="A1253" s="119"/>
      <c r="B1253" s="139"/>
      <c r="C1253" s="119"/>
      <c r="D1253" s="166"/>
      <c r="E1253" s="119"/>
      <c r="F1253" s="190"/>
      <c r="G1253" s="119"/>
      <c r="H1253" s="187"/>
      <c r="I1253" s="163"/>
      <c r="J1253" s="119"/>
      <c r="K1253" s="119"/>
      <c r="L1253" s="119"/>
      <c r="M1253" s="119"/>
      <c r="N1253" s="119"/>
      <c r="O1253" s="141">
        <f t="shared" si="791"/>
        <v>0</v>
      </c>
      <c r="P1253" s="141">
        <f t="shared" si="792"/>
        <v>7</v>
      </c>
      <c r="Q1253" s="141">
        <f t="shared" si="793"/>
        <v>2</v>
      </c>
      <c r="R1253" s="139"/>
      <c r="S1253" s="143"/>
      <c r="T1253" s="139"/>
      <c r="U1253" s="143"/>
      <c r="V1253" s="139"/>
      <c r="W1253" s="143"/>
      <c r="X1253" s="119"/>
      <c r="Y1253" s="141"/>
      <c r="Z1253" s="119"/>
      <c r="AA1253" s="144">
        <f t="shared" si="810"/>
        <v>-7</v>
      </c>
    </row>
    <row r="1254" spans="1:27" s="145" customFormat="1" ht="36" customHeight="1" x14ac:dyDescent="0.25">
      <c r="A1254" s="119"/>
      <c r="B1254" s="139"/>
      <c r="C1254" s="119"/>
      <c r="D1254" s="166"/>
      <c r="E1254" s="119"/>
      <c r="F1254" s="190"/>
      <c r="G1254" s="119"/>
      <c r="H1254" s="187"/>
      <c r="I1254" s="163"/>
      <c r="J1254" s="119"/>
      <c r="K1254" s="146"/>
      <c r="L1254" s="146"/>
      <c r="M1254" s="119"/>
      <c r="N1254" s="119"/>
      <c r="O1254" s="141">
        <f t="shared" si="791"/>
        <v>0</v>
      </c>
      <c r="P1254" s="141">
        <f t="shared" si="792"/>
        <v>7</v>
      </c>
      <c r="Q1254" s="141">
        <f t="shared" si="793"/>
        <v>2</v>
      </c>
      <c r="R1254" s="139"/>
      <c r="S1254" s="143"/>
      <c r="T1254" s="139"/>
      <c r="U1254" s="143"/>
      <c r="V1254" s="139"/>
      <c r="W1254" s="143"/>
      <c r="X1254" s="139"/>
      <c r="Y1254" s="141"/>
      <c r="Z1254" s="119"/>
      <c r="AA1254" s="144">
        <f t="shared" si="810"/>
        <v>-7</v>
      </c>
    </row>
    <row r="1255" spans="1:27" s="145" customFormat="1" ht="36" customHeight="1" x14ac:dyDescent="0.25">
      <c r="A1255" s="119"/>
      <c r="B1255" s="139"/>
      <c r="C1255" s="119"/>
      <c r="D1255" s="166"/>
      <c r="E1255" s="119"/>
      <c r="F1255" s="190"/>
      <c r="G1255" s="119"/>
      <c r="H1255" s="187"/>
      <c r="I1255" s="147"/>
      <c r="J1255" s="146"/>
      <c r="K1255" s="146"/>
      <c r="L1255" s="146"/>
      <c r="M1255" s="119"/>
      <c r="N1255" s="119"/>
      <c r="O1255" s="141">
        <f t="shared" si="791"/>
        <v>0</v>
      </c>
      <c r="P1255" s="141">
        <f t="shared" si="792"/>
        <v>7</v>
      </c>
      <c r="Q1255" s="141">
        <f t="shared" si="793"/>
        <v>2</v>
      </c>
      <c r="R1255" s="139"/>
      <c r="S1255" s="143"/>
      <c r="T1255" s="139"/>
      <c r="U1255" s="143"/>
      <c r="V1255" s="139"/>
      <c r="W1255" s="143"/>
      <c r="X1255" s="139"/>
      <c r="Y1255" s="141"/>
      <c r="Z1255" s="119"/>
      <c r="AA1255" s="144"/>
    </row>
    <row r="1256" spans="1:27" s="145" customFormat="1" ht="36" customHeight="1" x14ac:dyDescent="0.25">
      <c r="A1256" s="119"/>
      <c r="B1256" s="139"/>
      <c r="C1256" s="119"/>
      <c r="D1256" s="166"/>
      <c r="E1256" s="119"/>
      <c r="F1256" s="190"/>
      <c r="G1256" s="119"/>
      <c r="H1256" s="187"/>
      <c r="I1256" s="147"/>
      <c r="J1256" s="146"/>
      <c r="K1256" s="146"/>
      <c r="L1256" s="146"/>
      <c r="M1256" s="119"/>
      <c r="N1256" s="119"/>
      <c r="O1256" s="141">
        <f t="shared" ref="O1256" si="811">B1256</f>
        <v>0</v>
      </c>
      <c r="P1256" s="141">
        <f t="shared" ref="P1256" si="812">O1256+7</f>
        <v>7</v>
      </c>
      <c r="Q1256" s="141">
        <f t="shared" ref="Q1256" si="813">O1256+2</f>
        <v>2</v>
      </c>
      <c r="R1256" s="139"/>
      <c r="S1256" s="143"/>
      <c r="T1256" s="139"/>
      <c r="U1256" s="143"/>
      <c r="V1256" s="139"/>
      <c r="W1256" s="143"/>
      <c r="X1256" s="139"/>
      <c r="Y1256" s="141"/>
      <c r="Z1256" s="119"/>
      <c r="AA1256" s="144"/>
    </row>
    <row r="1257" spans="1:27" s="145" customFormat="1" ht="36" customHeight="1" x14ac:dyDescent="0.25">
      <c r="A1257" s="119"/>
      <c r="B1257" s="139"/>
      <c r="C1257" s="119"/>
      <c r="D1257" s="166"/>
      <c r="E1257" s="119"/>
      <c r="F1257" s="190"/>
      <c r="G1257" s="119"/>
      <c r="H1257" s="187"/>
      <c r="I1257" s="147"/>
      <c r="J1257" s="146"/>
      <c r="K1257" s="146"/>
      <c r="L1257" s="146"/>
      <c r="M1257" s="119"/>
      <c r="N1257" s="119"/>
      <c r="O1257" s="141">
        <f t="shared" si="791"/>
        <v>0</v>
      </c>
      <c r="P1257" s="141">
        <f t="shared" si="792"/>
        <v>7</v>
      </c>
      <c r="Q1257" s="141">
        <f t="shared" si="793"/>
        <v>2</v>
      </c>
      <c r="R1257" s="139"/>
      <c r="S1257" s="143"/>
      <c r="T1257" s="139"/>
      <c r="U1257" s="143"/>
      <c r="V1257" s="139"/>
      <c r="W1257" s="143"/>
      <c r="X1257" s="139"/>
      <c r="Y1257" s="141"/>
      <c r="Z1257" s="119"/>
      <c r="AA1257" s="144"/>
    </row>
    <row r="1258" spans="1:27" s="145" customFormat="1" ht="36" customHeight="1" x14ac:dyDescent="0.25">
      <c r="A1258" s="119"/>
      <c r="B1258" s="139"/>
      <c r="C1258" s="119"/>
      <c r="D1258" s="166"/>
      <c r="E1258" s="119"/>
      <c r="F1258" s="190"/>
      <c r="G1258" s="119"/>
      <c r="H1258" s="187"/>
      <c r="I1258" s="147"/>
      <c r="J1258" s="146"/>
      <c r="K1258" s="146"/>
      <c r="L1258" s="146"/>
      <c r="M1258" s="119"/>
      <c r="N1258" s="119"/>
      <c r="O1258" s="141">
        <f t="shared" ref="O1258" si="814">B1258</f>
        <v>0</v>
      </c>
      <c r="P1258" s="141">
        <f t="shared" ref="P1258" si="815">O1258+7</f>
        <v>7</v>
      </c>
      <c r="Q1258" s="141">
        <f t="shared" ref="Q1258" si="816">O1258+2</f>
        <v>2</v>
      </c>
      <c r="R1258" s="139"/>
      <c r="S1258" s="143"/>
      <c r="T1258" s="139"/>
      <c r="U1258" s="143"/>
      <c r="V1258" s="139"/>
      <c r="W1258" s="143"/>
      <c r="X1258" s="139"/>
      <c r="Y1258" s="141"/>
      <c r="Z1258" s="119"/>
      <c r="AA1258" s="144"/>
    </row>
    <row r="1259" spans="1:27" s="145" customFormat="1" ht="36" customHeight="1" x14ac:dyDescent="0.25">
      <c r="A1259" s="119"/>
      <c r="B1259" s="139"/>
      <c r="C1259" s="119"/>
      <c r="D1259" s="166"/>
      <c r="E1259" s="119"/>
      <c r="F1259" s="190"/>
      <c r="G1259" s="119"/>
      <c r="H1259" s="187"/>
      <c r="I1259" s="147"/>
      <c r="J1259" s="119"/>
      <c r="K1259" s="146"/>
      <c r="L1259" s="146"/>
      <c r="M1259" s="119"/>
      <c r="N1259" s="119"/>
      <c r="O1259" s="141">
        <f t="shared" si="791"/>
        <v>0</v>
      </c>
      <c r="P1259" s="141">
        <f t="shared" si="792"/>
        <v>7</v>
      </c>
      <c r="Q1259" s="141">
        <f t="shared" si="793"/>
        <v>2</v>
      </c>
      <c r="R1259" s="139"/>
      <c r="S1259" s="143"/>
      <c r="T1259" s="139"/>
      <c r="U1259" s="143"/>
      <c r="V1259" s="139"/>
      <c r="W1259" s="143"/>
      <c r="X1259" s="139"/>
      <c r="Y1259" s="141"/>
      <c r="Z1259" s="119"/>
      <c r="AA1259" s="144"/>
    </row>
    <row r="1260" spans="1:27" s="145" customFormat="1" ht="18" customHeight="1" x14ac:dyDescent="0.25">
      <c r="A1260" s="119"/>
      <c r="B1260" s="139"/>
      <c r="C1260" s="119"/>
      <c r="D1260" s="166"/>
      <c r="E1260" s="119"/>
      <c r="F1260" s="190"/>
      <c r="G1260" s="119"/>
      <c r="H1260" s="187"/>
      <c r="I1260" s="147"/>
      <c r="J1260" s="146"/>
      <c r="K1260" s="146"/>
      <c r="L1260" s="146"/>
      <c r="M1260" s="119"/>
      <c r="N1260" s="119"/>
      <c r="O1260" s="141">
        <f t="shared" si="791"/>
        <v>0</v>
      </c>
      <c r="P1260" s="141">
        <f t="shared" si="792"/>
        <v>7</v>
      </c>
      <c r="Q1260" s="141">
        <f t="shared" si="793"/>
        <v>2</v>
      </c>
      <c r="R1260" s="139"/>
      <c r="S1260" s="143"/>
      <c r="T1260" s="139"/>
      <c r="U1260" s="143"/>
      <c r="V1260" s="139"/>
      <c r="W1260" s="143"/>
      <c r="X1260" s="139"/>
      <c r="Y1260" s="141"/>
      <c r="Z1260" s="119"/>
      <c r="AA1260" s="144"/>
    </row>
    <row r="1261" spans="1:27" s="145" customFormat="1" ht="36" customHeight="1" x14ac:dyDescent="0.25">
      <c r="A1261" s="119"/>
      <c r="B1261" s="139"/>
      <c r="C1261" s="119"/>
      <c r="D1261" s="166"/>
      <c r="E1261" s="119"/>
      <c r="F1261" s="190"/>
      <c r="G1261" s="119"/>
      <c r="H1261" s="187"/>
      <c r="I1261" s="147"/>
      <c r="J1261" s="119"/>
      <c r="K1261" s="146"/>
      <c r="L1261" s="119"/>
      <c r="M1261" s="119"/>
      <c r="N1261" s="119"/>
      <c r="O1261" s="141">
        <f t="shared" si="791"/>
        <v>0</v>
      </c>
      <c r="P1261" s="141">
        <f t="shared" si="792"/>
        <v>7</v>
      </c>
      <c r="Q1261" s="141">
        <f t="shared" si="793"/>
        <v>2</v>
      </c>
      <c r="R1261" s="139"/>
      <c r="S1261" s="143"/>
      <c r="T1261" s="139"/>
      <c r="U1261" s="143"/>
      <c r="V1261" s="139"/>
      <c r="W1261" s="143"/>
      <c r="X1261" s="139"/>
      <c r="Y1261" s="141"/>
      <c r="Z1261" s="119"/>
      <c r="AA1261" s="144"/>
    </row>
    <row r="1262" spans="1:27" s="145" customFormat="1" ht="36" customHeight="1" x14ac:dyDescent="0.25">
      <c r="A1262" s="119"/>
      <c r="B1262" s="139"/>
      <c r="C1262" s="119"/>
      <c r="D1262" s="166"/>
      <c r="E1262" s="119"/>
      <c r="F1262" s="190"/>
      <c r="G1262" s="119"/>
      <c r="H1262" s="187"/>
      <c r="I1262" s="147"/>
      <c r="J1262" s="146"/>
      <c r="K1262" s="146"/>
      <c r="L1262" s="146"/>
      <c r="M1262" s="119"/>
      <c r="N1262" s="119"/>
      <c r="O1262" s="141">
        <f t="shared" si="791"/>
        <v>0</v>
      </c>
      <c r="P1262" s="141">
        <f t="shared" si="792"/>
        <v>7</v>
      </c>
      <c r="Q1262" s="141">
        <f t="shared" si="793"/>
        <v>2</v>
      </c>
      <c r="R1262" s="139"/>
      <c r="S1262" s="143"/>
      <c r="T1262" s="139"/>
      <c r="U1262" s="143"/>
      <c r="V1262" s="139"/>
      <c r="W1262" s="143"/>
      <c r="X1262" s="139"/>
      <c r="Y1262" s="141"/>
      <c r="Z1262" s="119"/>
      <c r="AA1262" s="144"/>
    </row>
    <row r="1263" spans="1:27" s="145" customFormat="1" ht="36" customHeight="1" x14ac:dyDescent="0.25">
      <c r="A1263" s="119"/>
      <c r="B1263" s="139"/>
      <c r="C1263" s="119"/>
      <c r="D1263" s="166"/>
      <c r="E1263" s="119"/>
      <c r="F1263" s="190"/>
      <c r="G1263" s="119"/>
      <c r="H1263" s="187"/>
      <c r="I1263" s="147"/>
      <c r="J1263" s="119"/>
      <c r="K1263" s="119"/>
      <c r="L1263" s="146"/>
      <c r="M1263" s="150"/>
      <c r="N1263" s="119"/>
      <c r="O1263" s="141">
        <f t="shared" si="791"/>
        <v>0</v>
      </c>
      <c r="P1263" s="141">
        <f t="shared" si="792"/>
        <v>7</v>
      </c>
      <c r="Q1263" s="141">
        <f t="shared" si="793"/>
        <v>2</v>
      </c>
      <c r="R1263" s="139"/>
      <c r="S1263" s="143"/>
      <c r="T1263" s="139"/>
      <c r="U1263" s="143"/>
      <c r="V1263" s="139"/>
      <c r="W1263" s="143"/>
      <c r="X1263" s="139"/>
      <c r="Y1263" s="141"/>
      <c r="Z1263" s="119"/>
      <c r="AA1263" s="144"/>
    </row>
    <row r="1264" spans="1:27" s="145" customFormat="1" ht="36" customHeight="1" x14ac:dyDescent="0.25">
      <c r="A1264" s="119"/>
      <c r="B1264" s="139"/>
      <c r="C1264" s="119"/>
      <c r="D1264" s="166"/>
      <c r="E1264" s="119"/>
      <c r="F1264" s="190"/>
      <c r="G1264" s="119"/>
      <c r="H1264" s="187"/>
      <c r="I1264" s="159"/>
      <c r="J1264" s="119"/>
      <c r="K1264" s="119"/>
      <c r="L1264" s="146"/>
      <c r="M1264" s="119"/>
      <c r="N1264" s="119"/>
      <c r="O1264" s="141">
        <f t="shared" si="791"/>
        <v>0</v>
      </c>
      <c r="P1264" s="141">
        <f t="shared" si="792"/>
        <v>7</v>
      </c>
      <c r="Q1264" s="141">
        <f t="shared" si="793"/>
        <v>2</v>
      </c>
      <c r="R1264" s="139"/>
      <c r="S1264" s="143"/>
      <c r="T1264" s="139"/>
      <c r="U1264" s="143"/>
      <c r="V1264" s="139"/>
      <c r="W1264" s="143"/>
      <c r="X1264" s="139"/>
      <c r="Y1264" s="141"/>
      <c r="Z1264" s="119"/>
      <c r="AA1264" s="144"/>
    </row>
    <row r="1265" spans="1:27" s="145" customFormat="1" ht="36" customHeight="1" x14ac:dyDescent="0.25">
      <c r="A1265" s="119"/>
      <c r="B1265" s="139"/>
      <c r="C1265" s="119"/>
      <c r="D1265" s="166"/>
      <c r="E1265" s="119"/>
      <c r="F1265" s="190"/>
      <c r="G1265" s="119"/>
      <c r="H1265" s="187"/>
      <c r="I1265" s="147"/>
      <c r="J1265" s="146"/>
      <c r="K1265" s="146"/>
      <c r="L1265" s="146"/>
      <c r="M1265" s="119"/>
      <c r="N1265" s="119"/>
      <c r="O1265" s="141">
        <f t="shared" si="791"/>
        <v>0</v>
      </c>
      <c r="P1265" s="141">
        <f t="shared" si="792"/>
        <v>7</v>
      </c>
      <c r="Q1265" s="141">
        <f t="shared" si="793"/>
        <v>2</v>
      </c>
      <c r="R1265" s="139"/>
      <c r="S1265" s="143"/>
      <c r="T1265" s="139"/>
      <c r="U1265" s="143"/>
      <c r="V1265" s="139"/>
      <c r="W1265" s="143"/>
      <c r="X1265" s="139"/>
      <c r="Y1265" s="141"/>
      <c r="Z1265" s="119"/>
      <c r="AA1265" s="144"/>
    </row>
    <row r="1266" spans="1:27" s="145" customFormat="1" ht="36" customHeight="1" x14ac:dyDescent="0.25">
      <c r="A1266" s="119"/>
      <c r="B1266" s="139"/>
      <c r="C1266" s="119"/>
      <c r="D1266" s="166"/>
      <c r="E1266" s="104"/>
      <c r="F1266" s="190"/>
      <c r="G1266" s="119"/>
      <c r="H1266" s="187"/>
      <c r="I1266" s="147"/>
      <c r="J1266" s="119"/>
      <c r="K1266" s="119"/>
      <c r="L1266" s="146"/>
      <c r="M1266" s="119"/>
      <c r="N1266" s="119"/>
      <c r="O1266" s="141">
        <f t="shared" si="791"/>
        <v>0</v>
      </c>
      <c r="P1266" s="141">
        <f t="shared" si="792"/>
        <v>7</v>
      </c>
      <c r="Q1266" s="141">
        <f t="shared" si="793"/>
        <v>2</v>
      </c>
      <c r="R1266" s="139"/>
      <c r="S1266" s="143"/>
      <c r="T1266" s="139"/>
      <c r="U1266" s="143"/>
      <c r="V1266" s="139"/>
      <c r="W1266" s="143"/>
      <c r="X1266" s="139"/>
      <c r="Y1266" s="141"/>
      <c r="Z1266" s="104"/>
      <c r="AA1266" s="144"/>
    </row>
    <row r="1267" spans="1:27" s="145" customFormat="1" ht="36" customHeight="1" x14ac:dyDescent="0.25">
      <c r="A1267" s="119"/>
      <c r="B1267" s="139"/>
      <c r="C1267" s="119"/>
      <c r="D1267" s="166"/>
      <c r="E1267" s="119"/>
      <c r="F1267" s="190"/>
      <c r="G1267" s="119"/>
      <c r="H1267" s="187"/>
      <c r="I1267" s="147"/>
      <c r="J1267" s="119"/>
      <c r="K1267" s="146"/>
      <c r="L1267" s="146"/>
      <c r="M1267" s="119"/>
      <c r="N1267" s="119"/>
      <c r="O1267" s="141">
        <f t="shared" si="791"/>
        <v>0</v>
      </c>
      <c r="P1267" s="141">
        <f t="shared" si="792"/>
        <v>7</v>
      </c>
      <c r="Q1267" s="141">
        <f t="shared" si="793"/>
        <v>2</v>
      </c>
      <c r="R1267" s="139"/>
      <c r="S1267" s="143"/>
      <c r="T1267" s="139"/>
      <c r="U1267" s="143"/>
      <c r="V1267" s="139"/>
      <c r="W1267" s="143"/>
      <c r="X1267" s="139"/>
      <c r="Y1267" s="141"/>
      <c r="Z1267" s="119"/>
      <c r="AA1267" s="144"/>
    </row>
    <row r="1268" spans="1:27" s="145" customFormat="1" ht="36" customHeight="1" x14ac:dyDescent="0.25">
      <c r="A1268" s="119"/>
      <c r="B1268" s="139"/>
      <c r="C1268" s="119"/>
      <c r="D1268" s="166"/>
      <c r="E1268" s="119"/>
      <c r="F1268" s="190"/>
      <c r="G1268" s="119"/>
      <c r="H1268" s="187"/>
      <c r="I1268" s="147"/>
      <c r="J1268" s="119"/>
      <c r="K1268" s="146"/>
      <c r="L1268" s="146"/>
      <c r="M1268" s="119"/>
      <c r="N1268" s="119"/>
      <c r="O1268" s="141">
        <f t="shared" si="791"/>
        <v>0</v>
      </c>
      <c r="P1268" s="141">
        <f t="shared" si="792"/>
        <v>7</v>
      </c>
      <c r="Q1268" s="141">
        <f t="shared" si="793"/>
        <v>2</v>
      </c>
      <c r="R1268" s="139"/>
      <c r="S1268" s="143"/>
      <c r="T1268" s="139"/>
      <c r="U1268" s="143"/>
      <c r="V1268" s="139"/>
      <c r="W1268" s="143"/>
      <c r="X1268" s="139"/>
      <c r="Y1268" s="141"/>
      <c r="Z1268" s="119"/>
      <c r="AA1268" s="144"/>
    </row>
    <row r="1269" spans="1:27" s="145" customFormat="1" ht="36" customHeight="1" x14ac:dyDescent="0.25">
      <c r="A1269" s="119"/>
      <c r="B1269" s="139"/>
      <c r="C1269" s="119"/>
      <c r="D1269" s="166"/>
      <c r="E1269" s="119"/>
      <c r="F1269" s="190"/>
      <c r="G1269" s="119"/>
      <c r="H1269" s="187"/>
      <c r="I1269" s="147"/>
      <c r="J1269" s="146"/>
      <c r="K1269" s="146"/>
      <c r="L1269" s="146"/>
      <c r="M1269" s="119"/>
      <c r="N1269" s="119"/>
      <c r="O1269" s="141">
        <f t="shared" si="791"/>
        <v>0</v>
      </c>
      <c r="P1269" s="141">
        <f t="shared" si="792"/>
        <v>7</v>
      </c>
      <c r="Q1269" s="141">
        <f t="shared" si="793"/>
        <v>2</v>
      </c>
      <c r="R1269" s="139"/>
      <c r="S1269" s="143"/>
      <c r="T1269" s="139"/>
      <c r="U1269" s="143"/>
      <c r="V1269" s="139"/>
      <c r="W1269" s="143"/>
      <c r="X1269" s="139"/>
      <c r="Y1269" s="141"/>
      <c r="Z1269" s="119"/>
      <c r="AA1269" s="144"/>
    </row>
    <row r="1270" spans="1:27" s="145" customFormat="1" ht="36" customHeight="1" x14ac:dyDescent="0.25">
      <c r="A1270" s="119"/>
      <c r="B1270" s="139"/>
      <c r="C1270" s="119"/>
      <c r="D1270" s="166"/>
      <c r="E1270" s="119"/>
      <c r="F1270" s="190"/>
      <c r="G1270" s="119"/>
      <c r="H1270" s="187"/>
      <c r="I1270" s="147"/>
      <c r="J1270" s="146"/>
      <c r="K1270" s="146"/>
      <c r="L1270" s="146"/>
      <c r="M1270" s="119"/>
      <c r="N1270" s="119"/>
      <c r="O1270" s="141">
        <f t="shared" si="791"/>
        <v>0</v>
      </c>
      <c r="P1270" s="141">
        <f t="shared" si="792"/>
        <v>7</v>
      </c>
      <c r="Q1270" s="141">
        <f t="shared" si="793"/>
        <v>2</v>
      </c>
      <c r="R1270" s="139"/>
      <c r="S1270" s="143"/>
      <c r="T1270" s="139"/>
      <c r="U1270" s="143"/>
      <c r="V1270" s="139"/>
      <c r="W1270" s="143"/>
      <c r="X1270" s="139"/>
      <c r="Y1270" s="141"/>
      <c r="Z1270" s="119"/>
      <c r="AA1270" s="144"/>
    </row>
    <row r="1271" spans="1:27" s="145" customFormat="1" ht="36" customHeight="1" x14ac:dyDescent="0.25">
      <c r="A1271" s="119"/>
      <c r="B1271" s="139"/>
      <c r="C1271" s="119"/>
      <c r="D1271" s="166"/>
      <c r="E1271" s="119"/>
      <c r="F1271" s="190"/>
      <c r="G1271" s="119"/>
      <c r="H1271" s="187"/>
      <c r="I1271" s="147"/>
      <c r="J1271" s="146"/>
      <c r="K1271" s="146"/>
      <c r="L1271" s="146"/>
      <c r="M1271" s="119"/>
      <c r="N1271" s="119"/>
      <c r="O1271" s="141">
        <f t="shared" ref="O1271" si="817">B1271</f>
        <v>0</v>
      </c>
      <c r="P1271" s="141">
        <f t="shared" ref="P1271" si="818">O1271+7</f>
        <v>7</v>
      </c>
      <c r="Q1271" s="141">
        <f t="shared" ref="Q1271" si="819">O1271+2</f>
        <v>2</v>
      </c>
      <c r="R1271" s="139"/>
      <c r="S1271" s="143"/>
      <c r="T1271" s="139"/>
      <c r="U1271" s="143"/>
      <c r="V1271" s="139"/>
      <c r="W1271" s="143"/>
      <c r="X1271" s="139"/>
      <c r="Y1271" s="141"/>
      <c r="Z1271" s="119"/>
      <c r="AA1271" s="144"/>
    </row>
    <row r="1272" spans="1:27" s="145" customFormat="1" ht="36" customHeight="1" x14ac:dyDescent="0.25">
      <c r="A1272" s="119"/>
      <c r="B1272" s="139"/>
      <c r="C1272" s="119"/>
      <c r="D1272" s="166"/>
      <c r="E1272" s="119"/>
      <c r="F1272" s="190"/>
      <c r="G1272" s="119"/>
      <c r="H1272" s="187"/>
      <c r="I1272" s="147"/>
      <c r="J1272" s="146"/>
      <c r="K1272" s="146"/>
      <c r="L1272" s="146"/>
      <c r="M1272" s="119"/>
      <c r="N1272" s="119"/>
      <c r="O1272" s="141">
        <f t="shared" si="791"/>
        <v>0</v>
      </c>
      <c r="P1272" s="141">
        <f t="shared" si="792"/>
        <v>7</v>
      </c>
      <c r="Q1272" s="141">
        <f t="shared" si="793"/>
        <v>2</v>
      </c>
      <c r="R1272" s="139"/>
      <c r="S1272" s="143"/>
      <c r="T1272" s="139"/>
      <c r="U1272" s="143"/>
      <c r="V1272" s="139"/>
      <c r="W1272" s="143"/>
      <c r="X1272" s="139"/>
      <c r="Y1272" s="141"/>
      <c r="Z1272" s="119"/>
      <c r="AA1272" s="144"/>
    </row>
    <row r="1273" spans="1:27" s="145" customFormat="1" ht="36" customHeight="1" x14ac:dyDescent="0.25">
      <c r="A1273" s="119"/>
      <c r="B1273" s="139"/>
      <c r="C1273" s="119"/>
      <c r="D1273" s="166"/>
      <c r="E1273" s="119"/>
      <c r="F1273" s="190"/>
      <c r="G1273" s="119"/>
      <c r="H1273" s="187"/>
      <c r="I1273" s="147"/>
      <c r="J1273" s="146"/>
      <c r="K1273" s="119"/>
      <c r="L1273" s="119"/>
      <c r="M1273" s="119"/>
      <c r="N1273" s="119"/>
      <c r="O1273" s="141">
        <f t="shared" si="791"/>
        <v>0</v>
      </c>
      <c r="P1273" s="141">
        <f t="shared" si="792"/>
        <v>7</v>
      </c>
      <c r="Q1273" s="141">
        <f t="shared" si="793"/>
        <v>2</v>
      </c>
      <c r="R1273" s="139"/>
      <c r="S1273" s="143"/>
      <c r="T1273" s="139"/>
      <c r="U1273" s="143"/>
      <c r="V1273" s="139"/>
      <c r="W1273" s="143"/>
      <c r="X1273" s="139"/>
      <c r="Y1273" s="141"/>
      <c r="Z1273" s="119"/>
      <c r="AA1273" s="144"/>
    </row>
    <row r="1274" spans="1:27" s="145" customFormat="1" ht="36" customHeight="1" x14ac:dyDescent="0.25">
      <c r="A1274" s="119"/>
      <c r="B1274" s="139"/>
      <c r="C1274" s="119"/>
      <c r="D1274" s="166"/>
      <c r="E1274" s="119"/>
      <c r="F1274" s="190"/>
      <c r="G1274" s="119"/>
      <c r="H1274" s="187"/>
      <c r="I1274" s="147"/>
      <c r="J1274" s="146"/>
      <c r="K1274" s="119"/>
      <c r="L1274" s="146"/>
      <c r="M1274" s="119"/>
      <c r="N1274" s="119"/>
      <c r="O1274" s="141">
        <f t="shared" si="791"/>
        <v>0</v>
      </c>
      <c r="P1274" s="141">
        <f t="shared" si="792"/>
        <v>7</v>
      </c>
      <c r="Q1274" s="141">
        <f t="shared" si="793"/>
        <v>2</v>
      </c>
      <c r="R1274" s="139"/>
      <c r="S1274" s="143"/>
      <c r="T1274" s="139"/>
      <c r="U1274" s="143"/>
      <c r="V1274" s="139"/>
      <c r="W1274" s="143"/>
      <c r="X1274" s="139"/>
      <c r="Y1274" s="141"/>
      <c r="Z1274" s="119"/>
      <c r="AA1274" s="144"/>
    </row>
    <row r="1275" spans="1:27" s="145" customFormat="1" ht="36" customHeight="1" x14ac:dyDescent="0.25">
      <c r="A1275" s="119"/>
      <c r="B1275" s="139"/>
      <c r="C1275" s="119"/>
      <c r="D1275" s="166"/>
      <c r="E1275" s="119"/>
      <c r="F1275" s="190"/>
      <c r="G1275" s="119"/>
      <c r="H1275" s="187"/>
      <c r="I1275" s="147"/>
      <c r="J1275" s="146"/>
      <c r="K1275" s="119"/>
      <c r="L1275" s="146"/>
      <c r="M1275" s="119"/>
      <c r="N1275" s="119"/>
      <c r="O1275" s="141">
        <f t="shared" si="791"/>
        <v>0</v>
      </c>
      <c r="P1275" s="141">
        <f t="shared" si="792"/>
        <v>7</v>
      </c>
      <c r="Q1275" s="141">
        <f t="shared" si="793"/>
        <v>2</v>
      </c>
      <c r="R1275" s="139"/>
      <c r="S1275" s="143"/>
      <c r="T1275" s="139"/>
      <c r="U1275" s="143"/>
      <c r="V1275" s="139"/>
      <c r="W1275" s="143"/>
      <c r="X1275" s="139"/>
      <c r="Y1275" s="141"/>
      <c r="Z1275" s="119"/>
      <c r="AA1275" s="144">
        <f>W1275-P1279</f>
        <v>-7</v>
      </c>
    </row>
    <row r="1276" spans="1:27" s="145" customFormat="1" ht="36" customHeight="1" x14ac:dyDescent="0.25">
      <c r="A1276" s="119"/>
      <c r="B1276" s="139"/>
      <c r="C1276" s="119"/>
      <c r="D1276" s="166"/>
      <c r="E1276" s="119"/>
      <c r="F1276" s="190"/>
      <c r="G1276" s="119"/>
      <c r="H1276" s="187"/>
      <c r="I1276" s="147"/>
      <c r="J1276" s="146"/>
      <c r="K1276" s="146"/>
      <c r="L1276" s="146"/>
      <c r="M1276" s="119"/>
      <c r="N1276" s="119"/>
      <c r="O1276" s="141">
        <f t="shared" ref="O1276" si="820">B1276</f>
        <v>0</v>
      </c>
      <c r="P1276" s="141">
        <f t="shared" ref="P1276" si="821">O1276+7</f>
        <v>7</v>
      </c>
      <c r="Q1276" s="141">
        <f t="shared" ref="Q1276" si="822">O1276+2</f>
        <v>2</v>
      </c>
      <c r="R1276" s="139"/>
      <c r="S1276" s="143"/>
      <c r="T1276" s="139"/>
      <c r="U1276" s="143"/>
      <c r="V1276" s="139"/>
      <c r="W1276" s="143"/>
      <c r="X1276" s="139"/>
      <c r="Y1276" s="141"/>
      <c r="Z1276" s="119"/>
      <c r="AA1276" s="144">
        <f>W1276-P1278</f>
        <v>-7</v>
      </c>
    </row>
    <row r="1277" spans="1:27" s="145" customFormat="1" ht="36" customHeight="1" x14ac:dyDescent="0.25">
      <c r="A1277" s="119"/>
      <c r="B1277" s="139"/>
      <c r="C1277" s="119"/>
      <c r="D1277" s="166"/>
      <c r="E1277" s="119"/>
      <c r="F1277" s="190"/>
      <c r="G1277" s="119"/>
      <c r="H1277" s="187"/>
      <c r="I1277" s="147"/>
      <c r="J1277" s="146"/>
      <c r="K1277" s="146"/>
      <c r="L1277" s="146"/>
      <c r="M1277" s="119"/>
      <c r="N1277" s="119"/>
      <c r="O1277" s="141">
        <f t="shared" ref="O1277" si="823">B1277</f>
        <v>0</v>
      </c>
      <c r="P1277" s="141">
        <f t="shared" ref="P1277" si="824">O1277+7</f>
        <v>7</v>
      </c>
      <c r="Q1277" s="141">
        <f t="shared" ref="Q1277" si="825">O1277+2</f>
        <v>2</v>
      </c>
      <c r="R1277" s="139"/>
      <c r="S1277" s="143"/>
      <c r="T1277" s="139"/>
      <c r="U1277" s="143"/>
      <c r="V1277" s="139"/>
      <c r="W1277" s="143"/>
      <c r="X1277" s="139"/>
      <c r="Y1277" s="141"/>
      <c r="Z1277" s="119"/>
      <c r="AA1277" s="144">
        <f>W1277-P1279</f>
        <v>-7</v>
      </c>
    </row>
    <row r="1278" spans="1:27" s="145" customFormat="1" ht="36" customHeight="1" x14ac:dyDescent="0.25">
      <c r="A1278" s="119"/>
      <c r="B1278" s="139"/>
      <c r="C1278" s="119"/>
      <c r="D1278" s="166"/>
      <c r="E1278" s="119"/>
      <c r="F1278" s="190"/>
      <c r="G1278" s="119"/>
      <c r="H1278" s="187"/>
      <c r="I1278" s="147"/>
      <c r="J1278" s="146"/>
      <c r="K1278" s="146"/>
      <c r="L1278" s="146"/>
      <c r="M1278" s="119"/>
      <c r="N1278" s="119"/>
      <c r="O1278" s="141">
        <f t="shared" si="791"/>
        <v>0</v>
      </c>
      <c r="P1278" s="141">
        <f t="shared" si="792"/>
        <v>7</v>
      </c>
      <c r="Q1278" s="141">
        <f t="shared" si="793"/>
        <v>2</v>
      </c>
      <c r="R1278" s="139"/>
      <c r="S1278" s="143"/>
      <c r="T1278" s="139"/>
      <c r="U1278" s="143"/>
      <c r="V1278" s="139"/>
      <c r="W1278" s="143"/>
      <c r="X1278" s="139"/>
      <c r="Y1278" s="141"/>
      <c r="Z1278" s="119"/>
      <c r="AA1278" s="144">
        <f>W1278-P1280</f>
        <v>-7</v>
      </c>
    </row>
    <row r="1279" spans="1:27" s="145" customFormat="1" ht="36" customHeight="1" x14ac:dyDescent="0.25">
      <c r="A1279" s="119"/>
      <c r="B1279" s="139"/>
      <c r="C1279" s="119"/>
      <c r="D1279" s="166"/>
      <c r="E1279" s="119"/>
      <c r="F1279" s="190"/>
      <c r="G1279" s="119"/>
      <c r="H1279" s="187"/>
      <c r="I1279" s="147"/>
      <c r="J1279" s="119"/>
      <c r="K1279" s="119"/>
      <c r="L1279" s="146"/>
      <c r="M1279" s="119"/>
      <c r="N1279" s="119"/>
      <c r="O1279" s="141">
        <f t="shared" si="791"/>
        <v>0</v>
      </c>
      <c r="P1279" s="141">
        <f t="shared" si="792"/>
        <v>7</v>
      </c>
      <c r="Q1279" s="141">
        <f t="shared" si="793"/>
        <v>2</v>
      </c>
      <c r="R1279" s="139"/>
      <c r="S1279" s="143"/>
      <c r="T1279" s="139"/>
      <c r="U1279" s="143"/>
      <c r="V1279" s="139"/>
      <c r="W1279" s="143"/>
      <c r="X1279" s="139"/>
      <c r="Y1279" s="141"/>
      <c r="Z1279" s="119"/>
      <c r="AA1279" s="144">
        <f t="shared" ref="AA1279:AA1285" si="826">W1279-P1280</f>
        <v>-7</v>
      </c>
    </row>
    <row r="1280" spans="1:27" s="145" customFormat="1" ht="30.75" customHeight="1" x14ac:dyDescent="0.25">
      <c r="A1280" s="119"/>
      <c r="B1280" s="139"/>
      <c r="C1280" s="119"/>
      <c r="D1280" s="166"/>
      <c r="E1280" s="119"/>
      <c r="F1280" s="190"/>
      <c r="G1280" s="119"/>
      <c r="H1280" s="187"/>
      <c r="I1280" s="147"/>
      <c r="J1280" s="146"/>
      <c r="K1280" s="146"/>
      <c r="L1280" s="146"/>
      <c r="M1280" s="119"/>
      <c r="N1280" s="119"/>
      <c r="O1280" s="141">
        <f t="shared" si="791"/>
        <v>0</v>
      </c>
      <c r="P1280" s="141">
        <f t="shared" si="792"/>
        <v>7</v>
      </c>
      <c r="Q1280" s="141">
        <f t="shared" si="793"/>
        <v>2</v>
      </c>
      <c r="R1280" s="139"/>
      <c r="S1280" s="143"/>
      <c r="T1280" s="139"/>
      <c r="U1280" s="143"/>
      <c r="V1280" s="139"/>
      <c r="W1280" s="143"/>
      <c r="X1280" s="139"/>
      <c r="Y1280" s="141"/>
      <c r="Z1280" s="119"/>
      <c r="AA1280" s="144">
        <f t="shared" si="826"/>
        <v>-7</v>
      </c>
    </row>
    <row r="1281" spans="1:27" s="145" customFormat="1" ht="36" customHeight="1" x14ac:dyDescent="0.25">
      <c r="A1281" s="119"/>
      <c r="B1281" s="139"/>
      <c r="C1281" s="119"/>
      <c r="D1281" s="166"/>
      <c r="E1281" s="119"/>
      <c r="F1281" s="190"/>
      <c r="G1281" s="119"/>
      <c r="H1281" s="187"/>
      <c r="I1281" s="147"/>
      <c r="J1281" s="146"/>
      <c r="K1281" s="146"/>
      <c r="L1281" s="146"/>
      <c r="M1281" s="119"/>
      <c r="N1281" s="119"/>
      <c r="O1281" s="141">
        <f t="shared" si="791"/>
        <v>0</v>
      </c>
      <c r="P1281" s="141">
        <f t="shared" si="792"/>
        <v>7</v>
      </c>
      <c r="Q1281" s="141">
        <f t="shared" si="793"/>
        <v>2</v>
      </c>
      <c r="R1281" s="139"/>
      <c r="S1281" s="143"/>
      <c r="T1281" s="139"/>
      <c r="U1281" s="143"/>
      <c r="V1281" s="139"/>
      <c r="W1281" s="143"/>
      <c r="X1281" s="139"/>
      <c r="Y1281" s="141"/>
      <c r="Z1281" s="119"/>
      <c r="AA1281" s="144">
        <f t="shared" si="826"/>
        <v>-7</v>
      </c>
    </row>
    <row r="1282" spans="1:27" s="145" customFormat="1" ht="36" customHeight="1" x14ac:dyDescent="0.25">
      <c r="A1282" s="119"/>
      <c r="B1282" s="139"/>
      <c r="C1282" s="119"/>
      <c r="D1282" s="166"/>
      <c r="E1282" s="119"/>
      <c r="F1282" s="190"/>
      <c r="G1282" s="119"/>
      <c r="H1282" s="187"/>
      <c r="I1282" s="147"/>
      <c r="J1282" s="146"/>
      <c r="K1282" s="146"/>
      <c r="L1282" s="146"/>
      <c r="M1282" s="119"/>
      <c r="N1282" s="119"/>
      <c r="O1282" s="141">
        <f t="shared" si="791"/>
        <v>0</v>
      </c>
      <c r="P1282" s="141">
        <f t="shared" si="792"/>
        <v>7</v>
      </c>
      <c r="Q1282" s="141">
        <f t="shared" si="793"/>
        <v>2</v>
      </c>
      <c r="R1282" s="139"/>
      <c r="S1282" s="143"/>
      <c r="T1282" s="139"/>
      <c r="U1282" s="143"/>
      <c r="V1282" s="139"/>
      <c r="W1282" s="143"/>
      <c r="X1282" s="139"/>
      <c r="Y1282" s="141"/>
      <c r="Z1282" s="119"/>
      <c r="AA1282" s="144">
        <f t="shared" si="826"/>
        <v>-7</v>
      </c>
    </row>
    <row r="1283" spans="1:27" s="145" customFormat="1" ht="36.75" customHeight="1" x14ac:dyDescent="0.25">
      <c r="A1283" s="119"/>
      <c r="B1283" s="139"/>
      <c r="C1283" s="119"/>
      <c r="D1283" s="166"/>
      <c r="E1283" s="119"/>
      <c r="F1283" s="190"/>
      <c r="G1283" s="119"/>
      <c r="H1283" s="187"/>
      <c r="I1283" s="147"/>
      <c r="J1283" s="142"/>
      <c r="K1283" s="119"/>
      <c r="L1283" s="142"/>
      <c r="M1283" s="119"/>
      <c r="N1283" s="119"/>
      <c r="O1283" s="141">
        <f t="shared" si="791"/>
        <v>0</v>
      </c>
      <c r="P1283" s="141">
        <f t="shared" si="792"/>
        <v>7</v>
      </c>
      <c r="Q1283" s="141">
        <f t="shared" si="793"/>
        <v>2</v>
      </c>
      <c r="R1283" s="139"/>
      <c r="S1283" s="143"/>
      <c r="T1283" s="139"/>
      <c r="U1283" s="143"/>
      <c r="V1283" s="139"/>
      <c r="W1283" s="143"/>
      <c r="X1283" s="139"/>
      <c r="Y1283" s="141"/>
      <c r="Z1283" s="119"/>
      <c r="AA1283" s="144">
        <f t="shared" si="826"/>
        <v>-7</v>
      </c>
    </row>
    <row r="1284" spans="1:27" s="145" customFormat="1" ht="36.75" customHeight="1" x14ac:dyDescent="0.25">
      <c r="A1284" s="119"/>
      <c r="B1284" s="139"/>
      <c r="C1284" s="119"/>
      <c r="D1284" s="166"/>
      <c r="E1284" s="119"/>
      <c r="F1284" s="190"/>
      <c r="G1284" s="119"/>
      <c r="H1284" s="187"/>
      <c r="I1284" s="147"/>
      <c r="J1284" s="146"/>
      <c r="K1284" s="146"/>
      <c r="L1284" s="146"/>
      <c r="M1284" s="119"/>
      <c r="N1284" s="119"/>
      <c r="O1284" s="141">
        <f t="shared" si="791"/>
        <v>0</v>
      </c>
      <c r="P1284" s="141">
        <f t="shared" si="792"/>
        <v>7</v>
      </c>
      <c r="Q1284" s="141">
        <f t="shared" si="793"/>
        <v>2</v>
      </c>
      <c r="R1284" s="139"/>
      <c r="S1284" s="143"/>
      <c r="T1284" s="139"/>
      <c r="U1284" s="143"/>
      <c r="V1284" s="139"/>
      <c r="W1284" s="143"/>
      <c r="X1284" s="139"/>
      <c r="Y1284" s="141"/>
      <c r="Z1284" s="119"/>
      <c r="AA1284" s="144">
        <f t="shared" si="826"/>
        <v>-7</v>
      </c>
    </row>
    <row r="1285" spans="1:27" s="145" customFormat="1" ht="36" customHeight="1" x14ac:dyDescent="0.25">
      <c r="A1285" s="119"/>
      <c r="B1285" s="139"/>
      <c r="C1285" s="119"/>
      <c r="D1285" s="166"/>
      <c r="E1285" s="119"/>
      <c r="F1285" s="190"/>
      <c r="G1285" s="119"/>
      <c r="H1285" s="187"/>
      <c r="I1285" s="147"/>
      <c r="J1285" s="146"/>
      <c r="K1285" s="146"/>
      <c r="L1285" s="146"/>
      <c r="M1285" s="119"/>
      <c r="N1285" s="119"/>
      <c r="O1285" s="141">
        <f t="shared" si="791"/>
        <v>0</v>
      </c>
      <c r="P1285" s="141">
        <f t="shared" si="792"/>
        <v>7</v>
      </c>
      <c r="Q1285" s="141">
        <f t="shared" si="793"/>
        <v>2</v>
      </c>
      <c r="R1285" s="139"/>
      <c r="S1285" s="143"/>
      <c r="T1285" s="139"/>
      <c r="U1285" s="143"/>
      <c r="V1285" s="139"/>
      <c r="W1285" s="143"/>
      <c r="X1285" s="139"/>
      <c r="Y1285" s="141"/>
      <c r="Z1285" s="119"/>
      <c r="AA1285" s="144">
        <f t="shared" si="826"/>
        <v>-7</v>
      </c>
    </row>
    <row r="1286" spans="1:27" s="145" customFormat="1" ht="36" customHeight="1" x14ac:dyDescent="0.25">
      <c r="A1286" s="119"/>
      <c r="B1286" s="139"/>
      <c r="C1286" s="119"/>
      <c r="D1286" s="166"/>
      <c r="E1286" s="119"/>
      <c r="F1286" s="190"/>
      <c r="G1286" s="119"/>
      <c r="H1286" s="187"/>
      <c r="I1286" s="147"/>
      <c r="J1286" s="146"/>
      <c r="K1286" s="146"/>
      <c r="L1286" s="146"/>
      <c r="M1286" s="119"/>
      <c r="N1286" s="119"/>
      <c r="O1286" s="141">
        <f t="shared" si="791"/>
        <v>0</v>
      </c>
      <c r="P1286" s="141">
        <f t="shared" si="792"/>
        <v>7</v>
      </c>
      <c r="Q1286" s="141">
        <f t="shared" si="793"/>
        <v>2</v>
      </c>
      <c r="R1286" s="139"/>
      <c r="S1286" s="143"/>
      <c r="T1286" s="139"/>
      <c r="U1286" s="143"/>
      <c r="V1286" s="139"/>
      <c r="W1286" s="143"/>
      <c r="X1286" s="139"/>
      <c r="Y1286" s="141"/>
      <c r="Z1286" s="119"/>
      <c r="AA1286" s="144">
        <f>W1286-P1289</f>
        <v>-7</v>
      </c>
    </row>
    <row r="1287" spans="1:27" s="145" customFormat="1" ht="36" customHeight="1" x14ac:dyDescent="0.25">
      <c r="A1287" s="119"/>
      <c r="B1287" s="139"/>
      <c r="C1287" s="119"/>
      <c r="D1287" s="166"/>
      <c r="E1287" s="119"/>
      <c r="F1287" s="190"/>
      <c r="G1287" s="119"/>
      <c r="H1287" s="187"/>
      <c r="I1287" s="147"/>
      <c r="J1287" s="146"/>
      <c r="K1287" s="146"/>
      <c r="L1287" s="146"/>
      <c r="M1287" s="119"/>
      <c r="N1287" s="119"/>
      <c r="O1287" s="141">
        <f t="shared" ref="O1287" si="827">B1287</f>
        <v>0</v>
      </c>
      <c r="P1287" s="141">
        <f t="shared" ref="P1287" si="828">O1287+7</f>
        <v>7</v>
      </c>
      <c r="Q1287" s="141">
        <f t="shared" ref="Q1287" si="829">O1287+2</f>
        <v>2</v>
      </c>
      <c r="R1287" s="139"/>
      <c r="S1287" s="143"/>
      <c r="T1287" s="139"/>
      <c r="U1287" s="143"/>
      <c r="V1287" s="139"/>
      <c r="W1287" s="143"/>
      <c r="X1287" s="139"/>
      <c r="Y1287" s="141"/>
      <c r="Z1287" s="119"/>
      <c r="AA1287" s="144">
        <f>W1287-P1288</f>
        <v>-7</v>
      </c>
    </row>
    <row r="1288" spans="1:27" s="145" customFormat="1" ht="36" customHeight="1" x14ac:dyDescent="0.25">
      <c r="A1288" s="119"/>
      <c r="B1288" s="139"/>
      <c r="C1288" s="119"/>
      <c r="D1288" s="166"/>
      <c r="E1288" s="119"/>
      <c r="F1288" s="190"/>
      <c r="G1288" s="119"/>
      <c r="H1288" s="187"/>
      <c r="I1288" s="147"/>
      <c r="J1288" s="146"/>
      <c r="K1288" s="146"/>
      <c r="L1288" s="146"/>
      <c r="M1288" s="119"/>
      <c r="N1288" s="119"/>
      <c r="O1288" s="141">
        <f t="shared" ref="O1288" si="830">B1288</f>
        <v>0</v>
      </c>
      <c r="P1288" s="141">
        <f t="shared" ref="P1288" si="831">O1288+7</f>
        <v>7</v>
      </c>
      <c r="Q1288" s="141">
        <f t="shared" ref="Q1288" si="832">O1288+2</f>
        <v>2</v>
      </c>
      <c r="R1288" s="139"/>
      <c r="S1288" s="143"/>
      <c r="T1288" s="139"/>
      <c r="U1288" s="143"/>
      <c r="V1288" s="139"/>
      <c r="W1288" s="143"/>
      <c r="X1288" s="139"/>
      <c r="Y1288" s="141"/>
      <c r="Z1288" s="119"/>
      <c r="AA1288" s="144">
        <f>W1288-P1289</f>
        <v>-7</v>
      </c>
    </row>
    <row r="1289" spans="1:27" s="145" customFormat="1" ht="36" customHeight="1" x14ac:dyDescent="0.25">
      <c r="A1289" s="119"/>
      <c r="B1289" s="139"/>
      <c r="C1289" s="119"/>
      <c r="D1289" s="166"/>
      <c r="E1289" s="119"/>
      <c r="F1289" s="190"/>
      <c r="G1289" s="119"/>
      <c r="H1289" s="187"/>
      <c r="I1289" s="147"/>
      <c r="J1289" s="146"/>
      <c r="K1289" s="146"/>
      <c r="L1289" s="146"/>
      <c r="M1289" s="119"/>
      <c r="N1289" s="119"/>
      <c r="O1289" s="141">
        <f t="shared" si="791"/>
        <v>0</v>
      </c>
      <c r="P1289" s="141">
        <f t="shared" si="792"/>
        <v>7</v>
      </c>
      <c r="Q1289" s="141">
        <f t="shared" si="793"/>
        <v>2</v>
      </c>
      <c r="R1289" s="139"/>
      <c r="S1289" s="143"/>
      <c r="T1289" s="139"/>
      <c r="U1289" s="143"/>
      <c r="V1289" s="139"/>
      <c r="W1289" s="143"/>
      <c r="X1289" s="139"/>
      <c r="Y1289" s="141"/>
      <c r="Z1289" s="119"/>
      <c r="AA1289" s="144">
        <f>W1289-P1290</f>
        <v>-7</v>
      </c>
    </row>
    <row r="1290" spans="1:27" s="145" customFormat="1" ht="36" customHeight="1" x14ac:dyDescent="0.25">
      <c r="A1290" s="119"/>
      <c r="B1290" s="139"/>
      <c r="C1290" s="119"/>
      <c r="D1290" s="166"/>
      <c r="E1290" s="119"/>
      <c r="F1290" s="190"/>
      <c r="G1290" s="119"/>
      <c r="H1290" s="187"/>
      <c r="I1290" s="147"/>
      <c r="J1290" s="146"/>
      <c r="K1290" s="146"/>
      <c r="L1290" s="146"/>
      <c r="M1290" s="119"/>
      <c r="N1290" s="119"/>
      <c r="O1290" s="141">
        <f t="shared" si="791"/>
        <v>0</v>
      </c>
      <c r="P1290" s="141">
        <f t="shared" si="792"/>
        <v>7</v>
      </c>
      <c r="Q1290" s="141">
        <f t="shared" si="793"/>
        <v>2</v>
      </c>
      <c r="R1290" s="139"/>
      <c r="S1290" s="143"/>
      <c r="T1290" s="139"/>
      <c r="U1290" s="143"/>
      <c r="V1290" s="139"/>
      <c r="W1290" s="143"/>
      <c r="X1290" s="139"/>
      <c r="Y1290" s="141"/>
      <c r="Z1290" s="119"/>
      <c r="AA1290" s="144" t="e">
        <f>W1290-#REF!</f>
        <v>#REF!</v>
      </c>
    </row>
  </sheetData>
  <autoFilter ref="A1:AA1045" xr:uid="{00000000-0009-0000-0000-000000000000}"/>
  <mergeCells count="57">
    <mergeCell ref="O459:O461"/>
    <mergeCell ref="M459:M461"/>
    <mergeCell ref="N459:N461"/>
    <mergeCell ref="M518:M519"/>
    <mergeCell ref="M486:M487"/>
    <mergeCell ref="N486:N487"/>
    <mergeCell ref="M474:M475"/>
    <mergeCell ref="N474:N475"/>
    <mergeCell ref="M493:M495"/>
    <mergeCell ref="N493:N495"/>
    <mergeCell ref="N518:N519"/>
    <mergeCell ref="M481:M482"/>
    <mergeCell ref="M476:M477"/>
    <mergeCell ref="N476:N477"/>
    <mergeCell ref="N481:N482"/>
    <mergeCell ref="M478:M479"/>
    <mergeCell ref="P459:P461"/>
    <mergeCell ref="N105:N107"/>
    <mergeCell ref="M105:M107"/>
    <mergeCell ref="M249:M250"/>
    <mergeCell ref="N176:N177"/>
    <mergeCell ref="M176:M177"/>
    <mergeCell ref="N161:N162"/>
    <mergeCell ref="M161:M162"/>
    <mergeCell ref="M184:M185"/>
    <mergeCell ref="N184:N185"/>
    <mergeCell ref="M373:M374"/>
    <mergeCell ref="M330:M331"/>
    <mergeCell ref="N330:N331"/>
    <mergeCell ref="M341:M342"/>
    <mergeCell ref="N341:N342"/>
    <mergeCell ref="M397:M398"/>
    <mergeCell ref="M243:M244"/>
    <mergeCell ref="N243:N244"/>
    <mergeCell ref="N249:N250"/>
    <mergeCell ref="M33:M36"/>
    <mergeCell ref="N33:N36"/>
    <mergeCell ref="M45:M46"/>
    <mergeCell ref="N45:N46"/>
    <mergeCell ref="M83:M85"/>
    <mergeCell ref="N83:N85"/>
    <mergeCell ref="M828:M829"/>
    <mergeCell ref="N828:N829"/>
    <mergeCell ref="M664:M665"/>
    <mergeCell ref="M245:M246"/>
    <mergeCell ref="N245:N246"/>
    <mergeCell ref="M439:M440"/>
    <mergeCell ref="N439:N440"/>
    <mergeCell ref="M389:M390"/>
    <mergeCell ref="N389:N390"/>
    <mergeCell ref="M406:M407"/>
    <mergeCell ref="N406:N407"/>
    <mergeCell ref="N478:N479"/>
    <mergeCell ref="M661:M663"/>
    <mergeCell ref="N661:N663"/>
    <mergeCell ref="M598:M599"/>
    <mergeCell ref="N598:N599"/>
  </mergeCells>
  <phoneticPr fontId="27" type="noConversion"/>
  <conditionalFormatting sqref="W317:W320">
    <cfRule type="timePeriod" dxfId="27" priority="196" timePeriod="lastWeek">
      <formula>AND(TODAY()-ROUNDDOWN(W317,0)&gt;=(WEEKDAY(TODAY())),TODAY()-ROUNDDOWN(W317,0)&lt;(WEEKDAY(TODAY())+7))</formula>
    </cfRule>
  </conditionalFormatting>
  <conditionalFormatting sqref="AA1:AA649 AA662:AA1048576">
    <cfRule type="cellIs" dxfId="26" priority="42" operator="lessThan">
      <formula>7</formula>
    </cfRule>
    <cfRule type="cellIs" dxfId="25" priority="43" operator="greaterThan">
      <formula>7</formula>
    </cfRule>
    <cfRule type="cellIs" dxfId="24" priority="44" operator="lessThan">
      <formula>7</formula>
    </cfRule>
    <cfRule type="cellIs" dxfId="23" priority="45" operator="greaterThan">
      <formula>7</formula>
    </cfRule>
  </conditionalFormatting>
  <conditionalFormatting sqref="AA1:AA1048576">
    <cfRule type="cellIs" dxfId="22" priority="1" operator="equal">
      <formula>7</formula>
    </cfRule>
  </conditionalFormatting>
  <conditionalFormatting sqref="AA528:AA529">
    <cfRule type="cellIs" dxfId="21" priority="4431" operator="lessThan">
      <formula>7</formula>
    </cfRule>
    <cfRule type="cellIs" dxfId="20" priority="4433" operator="greaterThan">
      <formula>7</formula>
    </cfRule>
    <cfRule type="cellIs" dxfId="19" priority="4434" operator="lessThan">
      <formula>7</formula>
    </cfRule>
    <cfRule type="cellIs" dxfId="18" priority="4435" operator="greaterThan">
      <formula>7</formula>
    </cfRule>
  </conditionalFormatting>
  <conditionalFormatting sqref="AA641:AA661">
    <cfRule type="cellIs" dxfId="17" priority="1194" operator="lessThan">
      <formula>7</formula>
    </cfRule>
    <cfRule type="cellIs" dxfId="16" priority="1196" operator="greaterThan">
      <formula>7</formula>
    </cfRule>
    <cfRule type="cellIs" dxfId="15" priority="1197" operator="lessThan">
      <formula>7</formula>
    </cfRule>
    <cfRule type="cellIs" dxfId="14" priority="1198" operator="greaterThan">
      <formula>7</formula>
    </cfRule>
  </conditionalFormatting>
  <conditionalFormatting sqref="AA655:AA658">
    <cfRule type="cellIs" dxfId="13" priority="1184" operator="lessThan">
      <formula>7</formula>
    </cfRule>
    <cfRule type="cellIs" dxfId="12" priority="1186" operator="greaterThan">
      <formula>7</formula>
    </cfRule>
    <cfRule type="cellIs" dxfId="11" priority="1187" operator="lessThan">
      <formula>7</formula>
    </cfRule>
    <cfRule type="cellIs" dxfId="10" priority="1188" operator="greaterThan">
      <formula>7</formula>
    </cfRule>
  </conditionalFormatting>
  <dataValidations count="8">
    <dataValidation type="list" allowBlank="1" showInputMessage="1" showErrorMessage="1" sqref="N1179:N1191 N1193:N1194 N1197:N1205 N1207:N1217 N1221:N1227 N1231:N1232 N1240:N1254 N1256:N1260 N1262:N1290 N1164:N1177 N1236:N1238 N1092:N1162 N1077:N1083 N1085:N1090 N1065:N1075 N991:N992 N995:N1006 N1008:N1039 N1041:N1048 N1050:N1063 N108:N150 N408:N435 N2:N33 N37:N45 N47:N83 N86:N105 N152:N161 N163:N176 N178:N184 N186:N243 N245 N247:N249 N251:N330 N332:N341 N343:N389 N391:N406 N437:N439 N462:N474 N476 N478 N480:N481 N483:N486 N488:N493 N496:N518 N441:N459 N520:N598 N600:N661 N664:N828 N830:N989" xr:uid="{00000000-0002-0000-0000-000000000000}">
      <formula1>หน่วย</formula1>
    </dataValidation>
    <dataValidation type="list" allowBlank="1" showInputMessage="1" showErrorMessage="1" sqref="AA1233 U1146:U1290 W1146:W1290 B2:B266 S2:S1290 B298:B1290 Y2:Y1290 W2:W1142 U2:U1142" xr:uid="{00000000-0002-0000-0000-000001000000}">
      <formula1>วันที่</formula1>
    </dataValidation>
    <dataValidation type="list" allowBlank="1" showInputMessage="1" showErrorMessage="1" sqref="X1162:X1252 X1254:X1290 X2:X21 X86:X95 X98 X101:X102 X104:X106 X26:X81 X243 X270:X272 X108:X241 X255:X256 X265:X266 X258:X263 X268 X275:X278 X280:X282 X389:X391 X382 X386 X285:X380 X393:X465 X469 X467 X545:X552 X471:X475 X479:X530 X534:X543 X559:X575 X577:X686 X688:X734 X738:X801 X803:X808 X853 X892:X896 X899 X901:X905 X810:X848 X850:X851 X857:X884 X887:X890 X925 X961:X962 X951:X952 X956 X914:X923 X912 R2:R1290 X974:X1160 X941:X943 X964:X971 V2:V1290 T2:T1290" xr:uid="{00000000-0002-0000-0000-000002000000}">
      <formula1>สถานะ</formula1>
    </dataValidation>
    <dataValidation type="list" allowBlank="1" showInputMessage="1" showErrorMessage="1" sqref="C1128 C1131:C1142 C1146:C1149 C1151:C1153 C1156:C1171 C1173:C1181 C1183:C1185 C1187:C1248 C1250:C1290 C1100:C1126 C1006:C1098 C2:C150 C152:C1004" xr:uid="{00000000-0002-0000-0000-000003000000}">
      <formula1>แผนก</formula1>
    </dataValidation>
    <dataValidation type="list" allowBlank="1" showInputMessage="1" showErrorMessage="1" sqref="H1165 H1179 H1219 H1185 H1225:H1228 H1235 H1076 H1161 H1171 H1090:H1091 H1175:H1176 H1206 H1100 H1140:H1141 H1083:H1084 H1167 H1193:H1195 H1190 H1078 H1231:H1232 H1202:H1204" xr:uid="{00000000-0002-0000-0000-000004000000}">
      <formula1>เครื่อง</formula1>
    </dataValidation>
    <dataValidation type="list" allowBlank="1" showInputMessage="1" showErrorMessage="1" sqref="I1283 I1070 I1235 I1279 I1206 I1219 I1161 I609 I1037:I1038 I1171:I1172 I1179 I1185 I1100 I994 I1047:I1048 I1078 I1102 I1175:I1176 I1165 I598:I599 I492:I493 I481:I482 I1225:I1228 I1084 I1203:I1204 I1090 I661:I665 I636:I641 I486:I487 I461 I459 I474:I479 I828:I829 I518:I519 I498 I544 I955 I406:I407 I396:I398 I980 I1007 I1040 I1064 I1076 I1073 I29 I83:I85 I105:I107 I45:I46 I33:I36 I373:I374 I161:I162 I184:I185 I176:I177 I379 I389:I390 I256:I257 I259 I249:I250 I301 I246 I243:I244 I438:I440 I342 I495 I990" xr:uid="{00000000-0002-0000-0000-000005000000}">
      <formula1>สเปค</formula1>
    </dataValidation>
    <dataValidation type="list" allowBlank="1" showInputMessage="1" showErrorMessage="1" sqref="K1063:K1064 K1236:K1237 K1219 K1203:K1204 K1171 K1083:K1084 K1206 K828:K829 K1175:K1176 K1165 K1179 K1091 K1070 K1078 K1226:K1227 K1283 K1046:K1048 K1036:K1040 K1279 K664 K661:K662 K635:K638 K1006:K1007 K481:K482 K544 K598 K373:K374 K498 K379 K609 K389:K390 K438:K440 K161:K162 K837 K459 K184:K185 K842:K843 K256:K257 K640:K641 K245:K246 K301 K249:K250 K1076 K1073 K518:K519 K492:K493 K342 K474:K479 K396:K398 K495 K406:K407 K461 K486:K487 K990" xr:uid="{00000000-0002-0000-0000-000006000000}">
      <formula1>ปัญหา</formula1>
    </dataValidation>
    <dataValidation type="list" allowBlank="1" showInputMessage="1" showErrorMessage="1" sqref="A2:A1290" xr:uid="{00000000-0002-0000-0000-000007000000}">
      <formula1>เดือน</formula1>
    </dataValidation>
  </dataValidations>
  <pageMargins left="0.15748031496062992" right="0.15748031496062992" top="0.31496062992125984" bottom="0.15748031496062992" header="0.19685039370078741" footer="0.15748031496062992"/>
  <pageSetup paperSize="9" scale="63" orientation="landscape" horizontalDpi="300" verticalDpi="300" r:id="rId1"/>
  <rowBreaks count="1" manualBreakCount="1">
    <brk id="815" min="3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R285"/>
  <sheetViews>
    <sheetView zoomScaleNormal="100" workbookViewId="0">
      <selection activeCell="D9" sqref="D9"/>
    </sheetView>
  </sheetViews>
  <sheetFormatPr defaultRowHeight="14.25" x14ac:dyDescent="0.2"/>
  <cols>
    <col min="1" max="1" width="8" customWidth="1"/>
    <col min="2" max="2" width="7.875" customWidth="1"/>
    <col min="3" max="3" width="15" customWidth="1"/>
    <col min="4" max="4" width="13.625" customWidth="1"/>
    <col min="5" max="5" width="9.625" customWidth="1"/>
    <col min="6" max="6" width="10.625" customWidth="1"/>
    <col min="7" max="7" width="15.375" customWidth="1"/>
    <col min="8" max="8" width="15.125" customWidth="1"/>
    <col min="9" max="9" width="6.75" customWidth="1"/>
    <col min="10" max="10" width="7.875" customWidth="1"/>
    <col min="11" max="11" width="19.375" customWidth="1"/>
    <col min="12" max="12" width="8.75" customWidth="1"/>
    <col min="18" max="18" width="11.125" bestFit="1" customWidth="1"/>
    <col min="19" max="19" width="15.375" customWidth="1"/>
    <col min="22" max="22" width="10.375" customWidth="1"/>
    <col min="23" max="23" width="14.75" customWidth="1"/>
    <col min="24" max="24" width="17.125" customWidth="1"/>
    <col min="26" max="26" width="10" customWidth="1"/>
    <col min="28" max="28" width="10.375" customWidth="1"/>
    <col min="29" max="29" width="10.625" customWidth="1"/>
    <col min="30" max="30" width="11.75" customWidth="1"/>
  </cols>
  <sheetData>
    <row r="1" spans="1:44" ht="23.25" x14ac:dyDescent="0.5">
      <c r="A1" s="60" t="s">
        <v>202</v>
      </c>
      <c r="B1" s="60"/>
      <c r="C1" s="60"/>
      <c r="D1" s="92"/>
      <c r="E1" s="61"/>
      <c r="F1" s="61"/>
      <c r="G1" s="61"/>
      <c r="H1" s="61"/>
      <c r="I1" s="61"/>
      <c r="J1" s="62" t="s">
        <v>4</v>
      </c>
      <c r="K1" s="62" t="s">
        <v>7</v>
      </c>
      <c r="L1" s="62" t="s">
        <v>3</v>
      </c>
      <c r="N1" s="50" t="s">
        <v>131</v>
      </c>
      <c r="O1" s="51"/>
      <c r="P1" s="52"/>
      <c r="Q1" s="52"/>
      <c r="R1" s="53"/>
      <c r="U1" s="10"/>
      <c r="V1" s="11"/>
    </row>
    <row r="2" spans="1:44" ht="23.25" x14ac:dyDescent="0.2">
      <c r="A2" s="63"/>
      <c r="B2" s="63"/>
      <c r="C2" s="63"/>
      <c r="D2" s="63"/>
      <c r="E2" s="63"/>
      <c r="F2" s="264" t="s">
        <v>78</v>
      </c>
      <c r="G2" s="264"/>
      <c r="H2" s="264"/>
      <c r="I2" s="265"/>
      <c r="J2" s="64">
        <f>A6</f>
        <v>244342</v>
      </c>
      <c r="K2" s="65">
        <f>J2+2</f>
        <v>244344</v>
      </c>
      <c r="L2" s="65">
        <f>J2+7</f>
        <v>244349</v>
      </c>
      <c r="N2" s="54" t="s">
        <v>128</v>
      </c>
      <c r="O2" s="51"/>
      <c r="P2" s="55"/>
      <c r="Q2" s="55"/>
      <c r="R2" s="51"/>
    </row>
    <row r="3" spans="1:44" ht="43.5" customHeight="1" x14ac:dyDescent="0.4">
      <c r="A3" s="61"/>
      <c r="B3" s="63"/>
      <c r="C3" s="63"/>
      <c r="D3" s="63"/>
      <c r="E3" s="63"/>
      <c r="F3" s="63"/>
      <c r="G3" s="217" t="s">
        <v>86</v>
      </c>
      <c r="H3" s="66" t="str">
        <f>N6</f>
        <v>ธันวาคม</v>
      </c>
      <c r="I3" s="67">
        <v>2568</v>
      </c>
      <c r="J3" s="63"/>
      <c r="K3" s="68" t="s">
        <v>91</v>
      </c>
      <c r="L3" s="80" t="s">
        <v>90</v>
      </c>
      <c r="N3" s="54" t="s">
        <v>129</v>
      </c>
      <c r="O3" s="51"/>
      <c r="P3" s="55"/>
      <c r="Q3" s="55"/>
      <c r="R3" s="53"/>
    </row>
    <row r="4" spans="1:44" ht="21.75" customHeight="1" x14ac:dyDescent="0.4">
      <c r="A4" s="263" t="str">
        <f>P6</f>
        <v>PD2ทอ</v>
      </c>
      <c r="B4" s="263"/>
      <c r="C4" s="263"/>
      <c r="D4" s="70"/>
      <c r="E4" s="70"/>
      <c r="F4" s="70"/>
      <c r="G4" s="70"/>
      <c r="H4" s="70"/>
      <c r="I4" s="70"/>
      <c r="J4" s="70"/>
      <c r="K4" s="70"/>
      <c r="L4" s="70"/>
      <c r="M4" t="s">
        <v>204</v>
      </c>
      <c r="N4" s="56" t="s">
        <v>130</v>
      </c>
      <c r="O4" s="51"/>
      <c r="P4" s="55"/>
      <c r="Q4" s="55"/>
      <c r="R4" s="57"/>
      <c r="S4" s="13"/>
    </row>
    <row r="5" spans="1:44" ht="27" customHeight="1" x14ac:dyDescent="0.2">
      <c r="A5" s="203" t="s">
        <v>1</v>
      </c>
      <c r="B5" s="204" t="s">
        <v>81</v>
      </c>
      <c r="C5" s="203" t="s">
        <v>30</v>
      </c>
      <c r="D5" s="58" t="s">
        <v>32</v>
      </c>
      <c r="E5" s="58" t="s">
        <v>31</v>
      </c>
      <c r="F5" s="203" t="s">
        <v>33</v>
      </c>
      <c r="G5" s="203" t="s">
        <v>79</v>
      </c>
      <c r="H5" s="203" t="s">
        <v>35</v>
      </c>
      <c r="I5" s="266" t="s">
        <v>82</v>
      </c>
      <c r="J5" s="267"/>
      <c r="K5" s="203" t="s">
        <v>80</v>
      </c>
      <c r="L5" s="203" t="s">
        <v>87</v>
      </c>
      <c r="N5" s="110" t="s">
        <v>9</v>
      </c>
      <c r="O5" s="19" t="s">
        <v>8</v>
      </c>
      <c r="P5" s="20" t="s">
        <v>2</v>
      </c>
      <c r="Q5" s="21" t="s">
        <v>0</v>
      </c>
      <c r="R5" s="22" t="s">
        <v>30</v>
      </c>
      <c r="S5" s="23" t="s">
        <v>32</v>
      </c>
      <c r="T5" s="24" t="s">
        <v>31</v>
      </c>
      <c r="U5" s="25" t="s">
        <v>33</v>
      </c>
      <c r="V5" s="26" t="s">
        <v>34</v>
      </c>
      <c r="W5" s="27" t="s">
        <v>35</v>
      </c>
      <c r="X5" s="28" t="s">
        <v>77</v>
      </c>
      <c r="Y5" s="29" t="s">
        <v>87</v>
      </c>
      <c r="Z5" s="30" t="s">
        <v>36</v>
      </c>
      <c r="AA5" s="31" t="s">
        <v>37</v>
      </c>
      <c r="AB5" s="32" t="s">
        <v>4</v>
      </c>
      <c r="AC5" s="33" t="s">
        <v>3</v>
      </c>
      <c r="AD5" s="25" t="s">
        <v>7</v>
      </c>
      <c r="AE5" s="14"/>
      <c r="AF5" s="15"/>
      <c r="AG5" s="14"/>
      <c r="AH5" s="15"/>
      <c r="AI5" s="14"/>
      <c r="AJ5" s="15"/>
      <c r="AK5" s="14"/>
      <c r="AL5" s="15"/>
      <c r="AM5" s="14"/>
      <c r="AN5" s="15"/>
      <c r="AO5" s="14"/>
      <c r="AP5" s="15"/>
      <c r="AQ5" s="16"/>
      <c r="AR5" s="35" t="e">
        <f t="shared" ref="AR5" si="0">AN5-AC5</f>
        <v>#VALUE!</v>
      </c>
    </row>
    <row r="6" spans="1:44" s="73" customFormat="1" ht="39.75" customHeight="1" x14ac:dyDescent="0.2">
      <c r="A6" s="250">
        <f>O6</f>
        <v>244342</v>
      </c>
      <c r="B6" s="251">
        <f t="shared" ref="B6:H7" si="1">Q6</f>
        <v>680776</v>
      </c>
      <c r="C6" s="252" t="str">
        <f t="shared" si="1"/>
        <v>WSWT2625800</v>
      </c>
      <c r="D6" s="251">
        <f>S6</f>
        <v>68122405</v>
      </c>
      <c r="E6" s="253" t="str">
        <f t="shared" si="1"/>
        <v>80/241268</v>
      </c>
      <c r="F6" s="251" t="str">
        <f t="shared" si="1"/>
        <v>CL80</v>
      </c>
      <c r="G6" s="253" t="str">
        <f t="shared" si="1"/>
        <v>ลายอัด2/1</v>
      </c>
      <c r="H6" s="254" t="str">
        <f t="shared" si="1"/>
        <v>มีด้ายคู่ 2 คู่ไม่ทราบจำนวนเมตร</v>
      </c>
      <c r="I6" s="253" t="str">
        <f>Z6</f>
        <v>2025/200.9</v>
      </c>
      <c r="J6" s="253" t="str">
        <f>AA6</f>
        <v>เมตร/ก.ก.</v>
      </c>
      <c r="K6" s="253" t="str">
        <f t="shared" ref="K6:L7" si="2">X6</f>
        <v>มีด้ายคู่ 2 คู่ไม่ทราบจำนวนเมตร</v>
      </c>
      <c r="L6" s="254" t="str">
        <f t="shared" si="2"/>
        <v>ไม่ผ่าน</v>
      </c>
      <c r="M6" s="235"/>
      <c r="N6" s="119" t="s">
        <v>29</v>
      </c>
      <c r="O6" s="139">
        <v>244342</v>
      </c>
      <c r="P6" s="119" t="s">
        <v>14</v>
      </c>
      <c r="Q6" s="166">
        <v>680776</v>
      </c>
      <c r="R6" s="119" t="s">
        <v>376</v>
      </c>
      <c r="S6" s="190">
        <v>68122405</v>
      </c>
      <c r="T6" s="119" t="s">
        <v>2780</v>
      </c>
      <c r="U6" s="187" t="s">
        <v>290</v>
      </c>
      <c r="V6" s="147" t="s">
        <v>732</v>
      </c>
      <c r="W6" s="146" t="s">
        <v>918</v>
      </c>
      <c r="X6" s="146" t="s">
        <v>918</v>
      </c>
      <c r="Y6" s="146" t="s">
        <v>69</v>
      </c>
      <c r="Z6" s="149" t="s">
        <v>2781</v>
      </c>
      <c r="AA6" s="119" t="s">
        <v>93</v>
      </c>
      <c r="AB6" s="141">
        <f t="shared" ref="AB6" si="3">O6</f>
        <v>244342</v>
      </c>
      <c r="AC6" s="141">
        <f t="shared" ref="AC6" si="4">O6+7</f>
        <v>244349</v>
      </c>
      <c r="AD6" s="141">
        <f t="shared" ref="AD6" si="5">AB6+2</f>
        <v>244344</v>
      </c>
      <c r="AE6" s="139"/>
      <c r="AF6" s="118"/>
      <c r="AG6" s="14"/>
      <c r="AH6" s="118"/>
      <c r="AI6" s="14"/>
      <c r="AJ6" s="118"/>
      <c r="AK6" s="14"/>
      <c r="AL6" s="15"/>
      <c r="AM6" s="16"/>
      <c r="AN6" s="117">
        <f>AJ6-AC6</f>
        <v>-244349</v>
      </c>
      <c r="AO6" s="14"/>
      <c r="AP6" s="15"/>
      <c r="AQ6" s="16"/>
      <c r="AR6" s="35">
        <f>AN6-AC6</f>
        <v>-488698</v>
      </c>
    </row>
    <row r="7" spans="1:44" s="73" customFormat="1" ht="30" customHeight="1" x14ac:dyDescent="0.2">
      <c r="A7" s="238">
        <f>O7</f>
        <v>244337</v>
      </c>
      <c r="B7" s="239">
        <f t="shared" si="1"/>
        <v>680775</v>
      </c>
      <c r="C7" s="240" t="str">
        <f t="shared" si="1"/>
        <v>WSWT1825800</v>
      </c>
      <c r="D7" s="241">
        <f>S7</f>
        <v>68121928</v>
      </c>
      <c r="E7" s="239" t="str">
        <f t="shared" si="1"/>
        <v>52/191268</v>
      </c>
      <c r="F7" s="256" t="str">
        <f>U7</f>
        <v>CL52</v>
      </c>
      <c r="G7" s="242" t="str">
        <f t="shared" si="1"/>
        <v>49-54</v>
      </c>
      <c r="H7" s="243">
        <f t="shared" si="1"/>
        <v>56.07</v>
      </c>
      <c r="I7" s="242" t="str">
        <f t="shared" ref="I7:J7" si="6">Z7</f>
        <v>2608/173.9</v>
      </c>
      <c r="J7" s="239" t="str">
        <f t="shared" si="6"/>
        <v>เมตร/ก.ก.</v>
      </c>
      <c r="K7" s="242" t="str">
        <f t="shared" si="2"/>
        <v>น้ำหนักสูงกว่ามาตรฐาน</v>
      </c>
      <c r="L7" s="243">
        <f t="shared" si="2"/>
        <v>2.0700000000000003</v>
      </c>
      <c r="M7" s="255"/>
      <c r="N7" s="119" t="s">
        <v>29</v>
      </c>
      <c r="O7" s="139">
        <v>244337</v>
      </c>
      <c r="P7" s="119" t="s">
        <v>14</v>
      </c>
      <c r="Q7" s="166">
        <v>680775</v>
      </c>
      <c r="R7" s="119" t="s">
        <v>2096</v>
      </c>
      <c r="S7" s="190">
        <v>68121928</v>
      </c>
      <c r="T7" s="119" t="s">
        <v>2777</v>
      </c>
      <c r="U7" s="187" t="s">
        <v>218</v>
      </c>
      <c r="V7" s="147" t="s">
        <v>2098</v>
      </c>
      <c r="W7" s="146">
        <v>56.07</v>
      </c>
      <c r="X7" s="146" t="s">
        <v>200</v>
      </c>
      <c r="Y7" s="146">
        <v>2.0700000000000003</v>
      </c>
      <c r="Z7" s="119" t="s">
        <v>2778</v>
      </c>
      <c r="AA7" s="119" t="s">
        <v>93</v>
      </c>
      <c r="AB7" s="141">
        <v>244337</v>
      </c>
      <c r="AC7" s="141">
        <v>244344</v>
      </c>
      <c r="AD7" s="141">
        <v>244339</v>
      </c>
      <c r="AE7" s="139"/>
      <c r="AF7" s="15"/>
      <c r="AG7" s="14"/>
      <c r="AH7" s="15"/>
      <c r="AI7" s="14"/>
      <c r="AJ7" s="15"/>
      <c r="AK7" s="14"/>
      <c r="AL7" s="15"/>
      <c r="AM7" s="14"/>
      <c r="AN7" s="15"/>
      <c r="AO7" s="14"/>
      <c r="AP7" s="15"/>
      <c r="AQ7" s="34"/>
      <c r="AR7" s="35">
        <f>AN7-AC8</f>
        <v>-244343</v>
      </c>
    </row>
    <row r="8" spans="1:44" s="73" customFormat="1" ht="28.5" customHeight="1" x14ac:dyDescent="0.2">
      <c r="A8" s="238">
        <f t="shared" ref="A8:A15" si="7">O8</f>
        <v>244336</v>
      </c>
      <c r="B8" s="239">
        <f t="shared" ref="B8:B15" si="8">Q8</f>
        <v>680773</v>
      </c>
      <c r="C8" s="240" t="str">
        <f t="shared" ref="C8:C15" si="9">R8</f>
        <v>WSWT2125650</v>
      </c>
      <c r="D8" s="241">
        <f t="shared" ref="D8:D15" si="10">S8</f>
        <v>68121822</v>
      </c>
      <c r="E8" s="239" t="str">
        <f t="shared" ref="E8:E15" si="11">T8</f>
        <v>30/181268</v>
      </c>
      <c r="F8" s="239" t="str">
        <f t="shared" ref="F8:F15" si="12">U8</f>
        <v>CL30</v>
      </c>
      <c r="G8" s="242" t="str">
        <f t="shared" ref="G8:G15" si="13">V8</f>
        <v>62-67</v>
      </c>
      <c r="H8" s="243">
        <f t="shared" ref="H8:H15" si="14">W8</f>
        <v>70.52</v>
      </c>
      <c r="I8" s="242" t="str">
        <f t="shared" ref="I8:I15" si="15">Z8</f>
        <v>2500/182.2</v>
      </c>
      <c r="J8" s="239" t="str">
        <f t="shared" ref="J8:J15" si="16">AA8</f>
        <v>เมตร/ก.ก.</v>
      </c>
      <c r="K8" s="242" t="str">
        <f t="shared" ref="K8:K15" si="17">X8</f>
        <v>น้ำหนักสูงกว่ามาตรฐาน</v>
      </c>
      <c r="L8" s="243">
        <f t="shared" ref="L8:L15" si="18">Y8</f>
        <v>3.519999999999996</v>
      </c>
      <c r="M8" s="93"/>
      <c r="N8" s="119" t="s">
        <v>29</v>
      </c>
      <c r="O8" s="139">
        <v>244336</v>
      </c>
      <c r="P8" s="119" t="s">
        <v>14</v>
      </c>
      <c r="Q8" s="166">
        <v>680773</v>
      </c>
      <c r="R8" s="119" t="s">
        <v>402</v>
      </c>
      <c r="S8" s="191">
        <v>68121822</v>
      </c>
      <c r="T8" s="119" t="s">
        <v>2772</v>
      </c>
      <c r="U8" s="187" t="s">
        <v>249</v>
      </c>
      <c r="V8" s="147" t="s">
        <v>404</v>
      </c>
      <c r="W8" s="119">
        <v>70.52</v>
      </c>
      <c r="X8" s="146" t="s">
        <v>200</v>
      </c>
      <c r="Y8" s="146">
        <v>3.519999999999996</v>
      </c>
      <c r="Z8" s="119" t="s">
        <v>2773</v>
      </c>
      <c r="AA8" s="119" t="s">
        <v>93</v>
      </c>
      <c r="AB8" s="141">
        <v>244336</v>
      </c>
      <c r="AC8" s="141">
        <v>244343</v>
      </c>
      <c r="AD8" s="141">
        <v>244338</v>
      </c>
      <c r="AE8" s="139"/>
    </row>
    <row r="9" spans="1:44" ht="33.75" customHeight="1" x14ac:dyDescent="0.2">
      <c r="A9" s="238">
        <f t="shared" si="7"/>
        <v>244325</v>
      </c>
      <c r="B9" s="239">
        <f t="shared" si="8"/>
        <v>680751</v>
      </c>
      <c r="C9" s="240" t="str">
        <f t="shared" si="9"/>
        <v>WSWT2421112512551</v>
      </c>
      <c r="D9" s="241">
        <f t="shared" si="10"/>
        <v>68120704</v>
      </c>
      <c r="E9" s="239" t="str">
        <f t="shared" si="11"/>
        <v>70/071268</v>
      </c>
      <c r="F9" s="239" t="str">
        <f t="shared" si="12"/>
        <v>CL70</v>
      </c>
      <c r="G9" s="242" t="str">
        <f t="shared" si="13"/>
        <v>128-132</v>
      </c>
      <c r="H9" s="243">
        <f t="shared" si="14"/>
        <v>133.82</v>
      </c>
      <c r="I9" s="242" t="str">
        <f t="shared" si="15"/>
        <v>1507/200.9</v>
      </c>
      <c r="J9" s="239" t="str">
        <f t="shared" si="16"/>
        <v>เมตร/ก.ก.</v>
      </c>
      <c r="K9" s="242" t="str">
        <f t="shared" si="17"/>
        <v>น้ำหนักใบสูงกว่ามาตรฐาน</v>
      </c>
      <c r="L9" s="243">
        <f t="shared" si="18"/>
        <v>1.8199999999999932</v>
      </c>
      <c r="M9" s="236"/>
      <c r="N9" s="119" t="s">
        <v>29</v>
      </c>
      <c r="O9" s="139">
        <v>244325</v>
      </c>
      <c r="P9" s="119" t="s">
        <v>14</v>
      </c>
      <c r="Q9" s="166">
        <v>680751</v>
      </c>
      <c r="R9" s="119" t="s">
        <v>309</v>
      </c>
      <c r="S9" s="190">
        <v>68120704</v>
      </c>
      <c r="T9" s="119" t="s">
        <v>2709</v>
      </c>
      <c r="U9" s="187" t="s">
        <v>281</v>
      </c>
      <c r="V9" s="147" t="s">
        <v>310</v>
      </c>
      <c r="W9" s="146">
        <v>133.82</v>
      </c>
      <c r="X9" s="146" t="s">
        <v>207</v>
      </c>
      <c r="Y9" s="146">
        <f>W9-132</f>
        <v>1.8199999999999932</v>
      </c>
      <c r="Z9" s="119" t="s">
        <v>2710</v>
      </c>
      <c r="AA9" s="119" t="s">
        <v>93</v>
      </c>
      <c r="AB9" s="141">
        <f t="shared" ref="AB9:AB11" si="19">O9</f>
        <v>244325</v>
      </c>
      <c r="AC9" s="141">
        <f t="shared" ref="AC9:AC11" si="20">O9+7</f>
        <v>244332</v>
      </c>
      <c r="AD9" s="141">
        <f t="shared" ref="AD9:AD11" si="21">AB9+2</f>
        <v>244327</v>
      </c>
      <c r="AE9" s="14"/>
    </row>
    <row r="10" spans="1:44" ht="30" customHeight="1" x14ac:dyDescent="0.2">
      <c r="A10" s="238">
        <f t="shared" ref="A10:A12" si="22">O10</f>
        <v>244325</v>
      </c>
      <c r="B10" s="239">
        <f t="shared" ref="B10:B12" si="23">Q10</f>
        <v>680751</v>
      </c>
      <c r="C10" s="240" t="str">
        <f t="shared" ref="C10:C12" si="24">R10</f>
        <v>WSWT2421112512551</v>
      </c>
      <c r="D10" s="241">
        <f t="shared" ref="D10:D12" si="25">S10</f>
        <v>68120715</v>
      </c>
      <c r="E10" s="239" t="str">
        <f t="shared" ref="E10:E12" si="26">T10</f>
        <v>28/071268</v>
      </c>
      <c r="F10" s="239" t="str">
        <f t="shared" ref="F10:F12" si="27">U10</f>
        <v>CL28</v>
      </c>
      <c r="G10" s="242" t="str">
        <f t="shared" ref="G10:G12" si="28">V10</f>
        <v>128-132</v>
      </c>
      <c r="H10" s="243">
        <f t="shared" ref="H10:H12" si="29">W10</f>
        <v>136.31</v>
      </c>
      <c r="I10" s="242" t="str">
        <f t="shared" ref="I10:I12" si="30">Z10</f>
        <v>1500/200.5</v>
      </c>
      <c r="J10" s="239" t="str">
        <f t="shared" ref="J10:J12" si="31">AA10</f>
        <v>เมตร/ก.ก.</v>
      </c>
      <c r="K10" s="242" t="str">
        <f t="shared" ref="K10:K12" si="32">X10</f>
        <v>น้ำหนักใบสูงกว่ามาตรฐาน</v>
      </c>
      <c r="L10" s="243">
        <f t="shared" ref="L10:L12" si="33">Y10</f>
        <v>4.3100000000000023</v>
      </c>
      <c r="M10" s="236"/>
      <c r="N10" s="119" t="s">
        <v>29</v>
      </c>
      <c r="O10" s="139">
        <v>244325</v>
      </c>
      <c r="P10" s="119" t="s">
        <v>14</v>
      </c>
      <c r="Q10" s="166">
        <v>680751</v>
      </c>
      <c r="R10" s="119" t="s">
        <v>309</v>
      </c>
      <c r="S10" s="190">
        <v>68120715</v>
      </c>
      <c r="T10" s="119" t="s">
        <v>2711</v>
      </c>
      <c r="U10" s="187" t="s">
        <v>247</v>
      </c>
      <c r="V10" s="147" t="s">
        <v>310</v>
      </c>
      <c r="W10" s="146">
        <v>136.31</v>
      </c>
      <c r="X10" s="146" t="s">
        <v>207</v>
      </c>
      <c r="Y10" s="146">
        <f>W10-132</f>
        <v>4.3100000000000023</v>
      </c>
      <c r="Z10" s="119" t="s">
        <v>2712</v>
      </c>
      <c r="AA10" s="119" t="s">
        <v>93</v>
      </c>
      <c r="AB10" s="141">
        <f t="shared" si="19"/>
        <v>244325</v>
      </c>
      <c r="AC10" s="141">
        <f t="shared" si="20"/>
        <v>244332</v>
      </c>
      <c r="AD10" s="141">
        <f t="shared" si="21"/>
        <v>244327</v>
      </c>
      <c r="AE10" s="14"/>
    </row>
    <row r="11" spans="1:44" ht="31.5" customHeight="1" x14ac:dyDescent="0.2">
      <c r="A11" s="238">
        <f t="shared" si="22"/>
        <v>244325</v>
      </c>
      <c r="B11" s="239">
        <f t="shared" si="23"/>
        <v>680752</v>
      </c>
      <c r="C11" s="240" t="str">
        <f t="shared" si="24"/>
        <v>WSWT2825850</v>
      </c>
      <c r="D11" s="241">
        <f t="shared" si="25"/>
        <v>68120709</v>
      </c>
      <c r="E11" s="239" t="str">
        <f t="shared" si="26"/>
        <v>59/071268</v>
      </c>
      <c r="F11" s="239" t="str">
        <f t="shared" si="27"/>
        <v>CL59</v>
      </c>
      <c r="G11" s="242" t="str">
        <f t="shared" si="28"/>
        <v>121-124</v>
      </c>
      <c r="H11" s="243">
        <f t="shared" si="29"/>
        <v>127.53</v>
      </c>
      <c r="I11" s="242" t="str">
        <f t="shared" si="30"/>
        <v>1500/170.3</v>
      </c>
      <c r="J11" s="239" t="str">
        <f t="shared" si="31"/>
        <v>เมตร/ก.ก.</v>
      </c>
      <c r="K11" s="242" t="str">
        <f t="shared" si="32"/>
        <v>น้ำหนักใบสูงกว่ามาตรฐาน</v>
      </c>
      <c r="L11" s="243">
        <f t="shared" si="33"/>
        <v>3.5300000000000011</v>
      </c>
      <c r="M11" s="236"/>
      <c r="N11" s="119" t="s">
        <v>29</v>
      </c>
      <c r="O11" s="139">
        <v>244325</v>
      </c>
      <c r="P11" s="119" t="s">
        <v>14</v>
      </c>
      <c r="Q11" s="166">
        <v>680752</v>
      </c>
      <c r="R11" s="119" t="s">
        <v>420</v>
      </c>
      <c r="S11" s="190">
        <v>68120709</v>
      </c>
      <c r="T11" s="119" t="s">
        <v>2713</v>
      </c>
      <c r="U11" s="187" t="s">
        <v>272</v>
      </c>
      <c r="V11" s="147" t="s">
        <v>1041</v>
      </c>
      <c r="W11" s="146">
        <v>127.53</v>
      </c>
      <c r="X11" s="146" t="s">
        <v>207</v>
      </c>
      <c r="Y11" s="146">
        <f>W11-124</f>
        <v>3.5300000000000011</v>
      </c>
      <c r="Z11" s="119" t="s">
        <v>2714</v>
      </c>
      <c r="AA11" s="119" t="s">
        <v>93</v>
      </c>
      <c r="AB11" s="141">
        <f t="shared" si="19"/>
        <v>244325</v>
      </c>
      <c r="AC11" s="141">
        <f t="shared" si="20"/>
        <v>244332</v>
      </c>
      <c r="AD11" s="141">
        <f t="shared" si="21"/>
        <v>244327</v>
      </c>
      <c r="AE11" s="14"/>
    </row>
    <row r="12" spans="1:44" ht="30" customHeight="1" x14ac:dyDescent="0.2">
      <c r="A12" s="238">
        <f t="shared" si="22"/>
        <v>244306</v>
      </c>
      <c r="B12" s="239">
        <f t="shared" si="23"/>
        <v>680701</v>
      </c>
      <c r="C12" s="240" t="str">
        <f t="shared" si="24"/>
        <v>WSWT2321112512551</v>
      </c>
      <c r="D12" s="241">
        <f t="shared" si="25"/>
        <v>68111811</v>
      </c>
      <c r="E12" s="239" t="str">
        <f t="shared" si="26"/>
        <v>28/181168</v>
      </c>
      <c r="F12" s="239" t="str">
        <f t="shared" si="27"/>
        <v>CL28</v>
      </c>
      <c r="G12" s="242" t="str">
        <f t="shared" si="28"/>
        <v>127-129</v>
      </c>
      <c r="H12" s="243">
        <f t="shared" si="29"/>
        <v>130.86000000000001</v>
      </c>
      <c r="I12" s="242" t="str">
        <f t="shared" si="30"/>
        <v>1150/149.5</v>
      </c>
      <c r="J12" s="239" t="str">
        <f t="shared" si="31"/>
        <v>เมตร/ก.ก.</v>
      </c>
      <c r="K12" s="242" t="str">
        <f t="shared" si="32"/>
        <v>น้ำหนักใบสูงกว่ามาตรฐาน</v>
      </c>
      <c r="L12" s="243">
        <f t="shared" si="33"/>
        <v>1.8600000000000136</v>
      </c>
      <c r="M12" s="202"/>
      <c r="N12" s="119" t="s">
        <v>28</v>
      </c>
      <c r="O12" s="139">
        <v>244306</v>
      </c>
      <c r="P12" s="119" t="s">
        <v>14</v>
      </c>
      <c r="Q12" s="166">
        <v>680701</v>
      </c>
      <c r="R12" s="119" t="s">
        <v>426</v>
      </c>
      <c r="S12" s="190">
        <v>68111811</v>
      </c>
      <c r="T12" s="119" t="s">
        <v>2574</v>
      </c>
      <c r="U12" s="187" t="s">
        <v>247</v>
      </c>
      <c r="V12" s="147" t="s">
        <v>428</v>
      </c>
      <c r="W12" s="146">
        <v>130.86000000000001</v>
      </c>
      <c r="X12" s="119" t="s">
        <v>207</v>
      </c>
      <c r="Y12" s="146">
        <v>1.8600000000000136</v>
      </c>
      <c r="Z12" s="119" t="s">
        <v>2575</v>
      </c>
      <c r="AA12" s="119" t="s">
        <v>93</v>
      </c>
      <c r="AB12" s="141">
        <v>244306</v>
      </c>
      <c r="AC12" s="141">
        <v>244313</v>
      </c>
      <c r="AD12" s="141">
        <v>244308</v>
      </c>
      <c r="AE12" s="14"/>
    </row>
    <row r="13" spans="1:44" ht="23.25" customHeight="1" x14ac:dyDescent="0.2">
      <c r="A13" s="238">
        <f t="shared" ref="A13" si="34">O13</f>
        <v>244305</v>
      </c>
      <c r="B13" s="239">
        <f t="shared" ref="B13" si="35">Q13</f>
        <v>680692</v>
      </c>
      <c r="C13" s="240" t="str">
        <f t="shared" ref="C13" si="36">R13</f>
        <v>WSWT2025800</v>
      </c>
      <c r="D13" s="241">
        <f t="shared" ref="D13" si="37">S13</f>
        <v>68111741</v>
      </c>
      <c r="E13" s="239" t="str">
        <f t="shared" ref="E13" si="38">T13</f>
        <v>19/171168</v>
      </c>
      <c r="F13" s="239" t="str">
        <f t="shared" ref="F13" si="39">U13</f>
        <v>CL19</v>
      </c>
      <c r="G13" s="242" t="str">
        <f t="shared" ref="G13" si="40">V13</f>
        <v>76-78</v>
      </c>
      <c r="H13" s="243">
        <f t="shared" ref="H13" si="41">W13</f>
        <v>82.92</v>
      </c>
      <c r="I13" s="242" t="str">
        <f t="shared" ref="I13" si="42">Z13</f>
        <v>2500/198.9</v>
      </c>
      <c r="J13" s="239" t="str">
        <f t="shared" ref="J13" si="43">AA13</f>
        <v>เมตร/ก.ก.</v>
      </c>
      <c r="K13" s="242" t="str">
        <f t="shared" ref="K13" si="44">X13</f>
        <v>น้ำหนักใบสูงกว่ามาตรฐาน</v>
      </c>
      <c r="L13" s="243">
        <f t="shared" ref="L13" si="45">Y13</f>
        <v>4.9200000000000017</v>
      </c>
      <c r="M13" s="202"/>
      <c r="N13" s="119" t="s">
        <v>28</v>
      </c>
      <c r="O13" s="139">
        <v>244305</v>
      </c>
      <c r="P13" s="119" t="s">
        <v>14</v>
      </c>
      <c r="Q13" s="166">
        <v>680692</v>
      </c>
      <c r="R13" s="119" t="s">
        <v>433</v>
      </c>
      <c r="S13" s="190">
        <v>68111741</v>
      </c>
      <c r="T13" s="119" t="s">
        <v>2556</v>
      </c>
      <c r="U13" s="187" t="s">
        <v>241</v>
      </c>
      <c r="V13" s="147" t="s">
        <v>304</v>
      </c>
      <c r="W13" s="146">
        <v>82.92</v>
      </c>
      <c r="X13" s="119" t="s">
        <v>207</v>
      </c>
      <c r="Y13" s="146">
        <v>4.9200000000000017</v>
      </c>
      <c r="Z13" s="146" t="s">
        <v>2557</v>
      </c>
      <c r="AA13" s="119" t="s">
        <v>93</v>
      </c>
      <c r="AB13" s="141">
        <v>244305</v>
      </c>
      <c r="AC13" s="141">
        <v>244312</v>
      </c>
      <c r="AD13" s="141">
        <v>244307</v>
      </c>
      <c r="AE13" s="14"/>
    </row>
    <row r="14" spans="1:44" ht="30" customHeight="1" x14ac:dyDescent="0.2">
      <c r="A14" s="238">
        <f t="shared" si="7"/>
        <v>244305</v>
      </c>
      <c r="B14" s="239">
        <f t="shared" si="8"/>
        <v>680693</v>
      </c>
      <c r="C14" s="240" t="str">
        <f t="shared" si="9"/>
        <v>WSWT2321112512551</v>
      </c>
      <c r="D14" s="241">
        <f t="shared" si="10"/>
        <v>68111744</v>
      </c>
      <c r="E14" s="239" t="str">
        <f t="shared" si="11"/>
        <v>70/171168</v>
      </c>
      <c r="F14" s="239" t="str">
        <f t="shared" si="12"/>
        <v>CL70</v>
      </c>
      <c r="G14" s="242" t="str">
        <f t="shared" si="13"/>
        <v>127-129</v>
      </c>
      <c r="H14" s="243">
        <f t="shared" si="14"/>
        <v>130.77000000000001</v>
      </c>
      <c r="I14" s="242" t="str">
        <f t="shared" si="15"/>
        <v>1050/135.2</v>
      </c>
      <c r="J14" s="239" t="str">
        <f t="shared" si="16"/>
        <v>เมตร/ก.ก.</v>
      </c>
      <c r="K14" s="242" t="str">
        <f t="shared" si="17"/>
        <v>น้ำหนักใบสูงกว่ามาตรฐาน</v>
      </c>
      <c r="L14" s="243">
        <f t="shared" si="18"/>
        <v>1.7700000000000102</v>
      </c>
      <c r="N14" s="119" t="s">
        <v>28</v>
      </c>
      <c r="O14" s="139">
        <v>244305</v>
      </c>
      <c r="P14" s="119" t="s">
        <v>14</v>
      </c>
      <c r="Q14" s="166">
        <v>680693</v>
      </c>
      <c r="R14" s="119" t="s">
        <v>426</v>
      </c>
      <c r="S14" s="190">
        <v>68111744</v>
      </c>
      <c r="T14" s="119" t="s">
        <v>2558</v>
      </c>
      <c r="U14" s="187" t="s">
        <v>281</v>
      </c>
      <c r="V14" s="147" t="s">
        <v>428</v>
      </c>
      <c r="W14" s="146">
        <v>130.77000000000001</v>
      </c>
      <c r="X14" s="119" t="s">
        <v>207</v>
      </c>
      <c r="Y14" s="146">
        <v>1.7700000000000102</v>
      </c>
      <c r="Z14" s="146" t="s">
        <v>2559</v>
      </c>
      <c r="AA14" s="119" t="s">
        <v>93</v>
      </c>
      <c r="AB14" s="141">
        <v>244305</v>
      </c>
      <c r="AC14" s="141">
        <v>244312</v>
      </c>
      <c r="AD14" s="141">
        <v>244307</v>
      </c>
      <c r="AE14" s="14"/>
    </row>
    <row r="15" spans="1:44" ht="22.5" customHeight="1" x14ac:dyDescent="0.2">
      <c r="A15" s="238">
        <f t="shared" si="7"/>
        <v>244272</v>
      </c>
      <c r="B15" s="239">
        <f t="shared" si="8"/>
        <v>680606</v>
      </c>
      <c r="C15" s="240" t="str">
        <f t="shared" si="9"/>
        <v>WSWT2025850</v>
      </c>
      <c r="D15" s="241">
        <f t="shared" si="10"/>
        <v>68101553</v>
      </c>
      <c r="E15" s="239" t="str">
        <f t="shared" si="11"/>
        <v>69/151068</v>
      </c>
      <c r="F15" s="239" t="str">
        <f t="shared" si="12"/>
        <v>CL69</v>
      </c>
      <c r="G15" s="242" t="str">
        <f t="shared" si="13"/>
        <v>79-80</v>
      </c>
      <c r="H15" s="243">
        <f t="shared" si="14"/>
        <v>86.61</v>
      </c>
      <c r="I15" s="242" t="str">
        <f t="shared" si="15"/>
        <v>2400/197.4</v>
      </c>
      <c r="J15" s="239" t="str">
        <f t="shared" si="16"/>
        <v>เมตร/ก.ก.</v>
      </c>
      <c r="K15" s="242" t="str">
        <f t="shared" si="17"/>
        <v>น้ำหนักใบสูงกว่ามาตรฐาน</v>
      </c>
      <c r="L15" s="243">
        <f t="shared" si="18"/>
        <v>6.6099999999999994</v>
      </c>
      <c r="N15" s="119" t="s">
        <v>27</v>
      </c>
      <c r="O15" s="139">
        <v>244272</v>
      </c>
      <c r="P15" s="119" t="s">
        <v>14</v>
      </c>
      <c r="Q15" s="166">
        <v>680606</v>
      </c>
      <c r="R15" s="119" t="s">
        <v>413</v>
      </c>
      <c r="S15" s="190">
        <v>68101553</v>
      </c>
      <c r="T15" s="119" t="s">
        <v>2286</v>
      </c>
      <c r="U15" s="187" t="s">
        <v>280</v>
      </c>
      <c r="V15" s="147" t="s">
        <v>415</v>
      </c>
      <c r="W15" s="146">
        <v>86.61</v>
      </c>
      <c r="X15" s="119" t="s">
        <v>207</v>
      </c>
      <c r="Y15" s="146">
        <f>W15-80</f>
        <v>6.6099999999999994</v>
      </c>
      <c r="Z15" s="146" t="s">
        <v>2288</v>
      </c>
      <c r="AA15" s="119" t="s">
        <v>93</v>
      </c>
      <c r="AB15" s="141">
        <f t="shared" ref="AB15" si="46">O15</f>
        <v>244272</v>
      </c>
      <c r="AC15" s="141">
        <f t="shared" ref="AC15" si="47">O15+7</f>
        <v>244279</v>
      </c>
      <c r="AD15" s="141">
        <f t="shared" ref="AD15" si="48">AB15+2</f>
        <v>244274</v>
      </c>
      <c r="AE15" s="14"/>
    </row>
    <row r="16" spans="1:44" ht="37.5" customHeight="1" x14ac:dyDescent="0.4">
      <c r="A16" s="111"/>
      <c r="B16" s="112"/>
      <c r="C16" s="113"/>
      <c r="D16" s="114"/>
      <c r="E16" s="112"/>
      <c r="F16" s="112"/>
      <c r="G16" s="115"/>
      <c r="H16" s="116"/>
      <c r="I16" s="115"/>
      <c r="J16" s="112"/>
      <c r="K16" s="45" t="s">
        <v>88</v>
      </c>
      <c r="L16" s="116"/>
      <c r="N16" s="119" t="s">
        <v>27</v>
      </c>
      <c r="O16" s="139">
        <v>244267</v>
      </c>
      <c r="P16" s="119" t="s">
        <v>14</v>
      </c>
      <c r="Q16" s="166">
        <v>680589</v>
      </c>
      <c r="R16" s="119" t="s">
        <v>420</v>
      </c>
      <c r="S16" s="190">
        <v>68101060</v>
      </c>
      <c r="T16" s="119" t="s">
        <v>2222</v>
      </c>
      <c r="U16" s="187" t="s">
        <v>270</v>
      </c>
      <c r="V16" s="147" t="s">
        <v>1041</v>
      </c>
      <c r="W16" s="146">
        <v>126.19</v>
      </c>
      <c r="X16" s="119" t="s">
        <v>207</v>
      </c>
      <c r="Y16" s="146">
        <f>W16-124</f>
        <v>2.1899999999999977</v>
      </c>
      <c r="Z16" s="119" t="s">
        <v>2147</v>
      </c>
      <c r="AA16" s="119" t="s">
        <v>93</v>
      </c>
      <c r="AB16" s="141">
        <f t="shared" ref="AB16" si="49">O16</f>
        <v>244267</v>
      </c>
      <c r="AC16" s="141">
        <f t="shared" ref="AC16" si="50">O16+7</f>
        <v>244274</v>
      </c>
      <c r="AD16" s="141">
        <f t="shared" ref="AD16" si="51">AB16+2</f>
        <v>244269</v>
      </c>
      <c r="AE16" s="14"/>
    </row>
    <row r="17" spans="1:31" ht="18" customHeight="1" x14ac:dyDescent="0.2">
      <c r="A17" s="111"/>
      <c r="B17" s="112"/>
      <c r="C17" s="113"/>
      <c r="D17" s="114"/>
      <c r="E17" s="112"/>
      <c r="F17" s="112"/>
      <c r="G17" s="115"/>
      <c r="H17" s="116"/>
      <c r="I17" s="115"/>
      <c r="J17" s="112"/>
      <c r="K17" s="46" t="s">
        <v>89</v>
      </c>
      <c r="L17" s="116"/>
      <c r="N17" s="119" t="s">
        <v>23</v>
      </c>
      <c r="O17" s="139">
        <v>244139</v>
      </c>
      <c r="P17" s="119" t="s">
        <v>14</v>
      </c>
      <c r="Q17" s="166">
        <v>680354</v>
      </c>
      <c r="R17" s="119" t="s">
        <v>433</v>
      </c>
      <c r="S17" s="190">
        <v>68060466</v>
      </c>
      <c r="T17" s="119" t="s">
        <v>1508</v>
      </c>
      <c r="U17" s="187" t="s">
        <v>278</v>
      </c>
      <c r="V17" s="147" t="s">
        <v>304</v>
      </c>
      <c r="W17" s="146">
        <v>81.41</v>
      </c>
      <c r="X17" s="119" t="s">
        <v>207</v>
      </c>
      <c r="Y17" s="146">
        <f>W17-78</f>
        <v>3.4099999999999966</v>
      </c>
      <c r="Z17" s="119" t="s">
        <v>1509</v>
      </c>
      <c r="AA17" s="119" t="s">
        <v>93</v>
      </c>
      <c r="AB17" s="141">
        <f t="shared" ref="AB17:AB18" si="52">O17</f>
        <v>244139</v>
      </c>
      <c r="AC17" s="141">
        <f t="shared" ref="AC17:AC18" si="53">O17+7</f>
        <v>244146</v>
      </c>
      <c r="AD17" s="141">
        <f t="shared" ref="AD17:AD18" si="54">AB17+2</f>
        <v>244141</v>
      </c>
      <c r="AE17" s="14"/>
    </row>
    <row r="18" spans="1:31" ht="13.5" customHeight="1" x14ac:dyDescent="0.2">
      <c r="A18" s="111"/>
      <c r="B18" s="112"/>
      <c r="C18" s="113"/>
      <c r="D18" s="114"/>
      <c r="E18" s="112"/>
      <c r="F18" s="112"/>
      <c r="G18" s="115"/>
      <c r="H18" s="116"/>
      <c r="I18" s="115"/>
      <c r="J18" s="112"/>
      <c r="K18" s="47">
        <f ca="1">TODAY()</f>
        <v>46017</v>
      </c>
      <c r="L18" s="116"/>
      <c r="N18" s="119" t="s">
        <v>23</v>
      </c>
      <c r="O18" s="139">
        <v>244139</v>
      </c>
      <c r="P18" s="119" t="s">
        <v>14</v>
      </c>
      <c r="Q18" s="166">
        <v>680355</v>
      </c>
      <c r="R18" s="119" t="s">
        <v>1290</v>
      </c>
      <c r="S18" s="190">
        <v>68060424</v>
      </c>
      <c r="T18" s="119" t="s">
        <v>1510</v>
      </c>
      <c r="U18" s="187" t="s">
        <v>285</v>
      </c>
      <c r="V18" s="147" t="s">
        <v>1104</v>
      </c>
      <c r="W18" s="146" t="s">
        <v>1511</v>
      </c>
      <c r="X18" s="146" t="s">
        <v>1511</v>
      </c>
      <c r="Y18" s="146" t="s">
        <v>69</v>
      </c>
      <c r="Z18" s="119" t="s">
        <v>1512</v>
      </c>
      <c r="AA18" s="119" t="s">
        <v>93</v>
      </c>
      <c r="AB18" s="141">
        <f t="shared" si="52"/>
        <v>244139</v>
      </c>
      <c r="AC18" s="141">
        <f t="shared" si="53"/>
        <v>244146</v>
      </c>
      <c r="AD18" s="141">
        <f t="shared" si="54"/>
        <v>244141</v>
      </c>
      <c r="AE18" s="14"/>
    </row>
    <row r="19" spans="1:31" ht="21" customHeight="1" x14ac:dyDescent="0.2">
      <c r="A19" s="36"/>
      <c r="B19" s="36"/>
      <c r="C19" s="36"/>
      <c r="D19" s="36"/>
      <c r="E19" s="36"/>
      <c r="F19" s="36"/>
      <c r="G19" s="36"/>
      <c r="H19" s="36"/>
      <c r="I19" s="36"/>
      <c r="J19" s="36"/>
      <c r="L19" s="36"/>
      <c r="N19" s="16"/>
      <c r="O19" s="14"/>
      <c r="P19" s="16"/>
      <c r="Q19" s="17"/>
      <c r="R19" s="16"/>
      <c r="S19" s="16"/>
      <c r="T19" s="16"/>
      <c r="U19" s="44"/>
      <c r="V19" s="44"/>
      <c r="W19" s="37"/>
      <c r="X19" s="16"/>
      <c r="Y19" s="37"/>
      <c r="Z19" s="16"/>
      <c r="AA19" s="16"/>
      <c r="AB19" s="15"/>
      <c r="AC19" s="15"/>
      <c r="AD19" s="15"/>
      <c r="AE19" s="14"/>
    </row>
    <row r="20" spans="1:31" ht="36" customHeight="1" x14ac:dyDescent="0.2">
      <c r="A20" s="36"/>
      <c r="B20" s="36"/>
      <c r="C20" s="36"/>
      <c r="D20" s="36"/>
      <c r="E20" s="36"/>
      <c r="F20" s="36"/>
      <c r="G20" s="36"/>
      <c r="H20" s="36"/>
      <c r="I20" s="36"/>
      <c r="J20" s="36"/>
      <c r="L20" s="36"/>
      <c r="N20" s="16"/>
      <c r="O20" s="14"/>
      <c r="P20" s="16"/>
      <c r="Q20" s="17"/>
      <c r="R20" s="16"/>
      <c r="S20" s="16"/>
      <c r="T20" s="16"/>
      <c r="U20" s="44"/>
      <c r="V20" s="44"/>
      <c r="W20" s="37"/>
      <c r="X20" s="16"/>
      <c r="Y20" s="37"/>
      <c r="Z20" s="16"/>
      <c r="AA20" s="16"/>
      <c r="AB20" s="15"/>
      <c r="AC20" s="15"/>
      <c r="AD20" s="15"/>
      <c r="AE20" s="14"/>
    </row>
    <row r="21" spans="1:31" ht="25.5" customHeight="1" x14ac:dyDescent="0.2">
      <c r="A21" s="36"/>
      <c r="B21" s="36"/>
      <c r="C21" s="36"/>
      <c r="D21" s="36"/>
      <c r="E21" s="36"/>
      <c r="F21" s="36"/>
      <c r="G21" s="36"/>
      <c r="H21" s="36"/>
      <c r="I21" s="36"/>
      <c r="J21" s="36"/>
      <c r="L21" s="36"/>
      <c r="N21" s="16"/>
      <c r="O21" s="14"/>
      <c r="P21" s="16"/>
      <c r="Q21" s="17"/>
      <c r="R21" s="16"/>
      <c r="S21" s="16"/>
      <c r="T21" s="16"/>
      <c r="U21" s="44"/>
      <c r="V21" s="44"/>
      <c r="W21" s="37"/>
      <c r="X21" s="16"/>
      <c r="Y21" s="37"/>
      <c r="Z21" s="16"/>
      <c r="AA21" s="16"/>
      <c r="AB21" s="15"/>
      <c r="AC21" s="15"/>
      <c r="AD21" s="15"/>
      <c r="AE21" s="14"/>
    </row>
    <row r="22" spans="1:31" ht="14.25" customHeight="1" x14ac:dyDescent="0.2">
      <c r="A22" s="36"/>
      <c r="B22" s="36"/>
      <c r="C22" s="36"/>
      <c r="D22" s="36"/>
      <c r="E22" s="36"/>
      <c r="F22" s="36"/>
      <c r="G22" s="36"/>
      <c r="H22" s="36"/>
      <c r="I22" s="36"/>
      <c r="J22" s="36"/>
      <c r="L22" s="36"/>
      <c r="N22" s="16"/>
      <c r="O22" s="14"/>
      <c r="P22" s="16"/>
      <c r="Q22" s="17"/>
      <c r="R22" s="16"/>
      <c r="S22" s="16"/>
      <c r="T22" s="16"/>
      <c r="U22" s="44"/>
      <c r="V22" s="44"/>
      <c r="W22" s="37"/>
      <c r="X22" s="16"/>
      <c r="Y22" s="37"/>
      <c r="Z22" s="16"/>
      <c r="AA22" s="16"/>
      <c r="AB22" s="15"/>
      <c r="AC22" s="15"/>
      <c r="AD22" s="15"/>
    </row>
    <row r="23" spans="1:31" ht="21" customHeight="1" x14ac:dyDescent="0.2">
      <c r="A23" s="36"/>
      <c r="B23" s="36"/>
      <c r="C23" s="36"/>
      <c r="D23" s="36"/>
      <c r="E23" s="36"/>
      <c r="F23" s="36"/>
      <c r="G23" s="36"/>
      <c r="H23" s="36"/>
      <c r="I23" s="36"/>
      <c r="J23" s="36"/>
      <c r="L23" s="36"/>
      <c r="N23" s="16"/>
      <c r="O23" s="14"/>
      <c r="P23" s="16"/>
      <c r="Q23" s="17"/>
      <c r="R23" s="16"/>
      <c r="S23" s="16"/>
      <c r="T23" s="16"/>
      <c r="U23" s="44"/>
      <c r="V23" s="44"/>
      <c r="W23" s="37"/>
      <c r="X23" s="16"/>
      <c r="Y23" s="37"/>
      <c r="Z23" s="16"/>
      <c r="AA23" s="16"/>
      <c r="AB23" s="15"/>
      <c r="AC23" s="15"/>
      <c r="AD23" s="15"/>
    </row>
    <row r="24" spans="1:31" ht="18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</row>
    <row r="25" spans="1:31" ht="18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</row>
    <row r="26" spans="1:31" ht="18" x14ac:dyDescent="0.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</row>
    <row r="27" spans="1:31" ht="18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</row>
    <row r="28" spans="1:31" ht="18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</row>
    <row r="29" spans="1:31" ht="18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</row>
    <row r="30" spans="1:31" ht="18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</row>
    <row r="31" spans="1:31" ht="18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</row>
    <row r="32" spans="1:31" ht="18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</row>
    <row r="33" spans="1:12" ht="18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</row>
    <row r="34" spans="1:12" ht="18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  <row r="35" spans="1:12" ht="18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 spans="1:12" ht="18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18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</row>
    <row r="38" spans="1:12" ht="18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</row>
    <row r="39" spans="1:12" ht="18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</row>
    <row r="40" spans="1:12" ht="18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</row>
    <row r="41" spans="1:12" ht="18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</row>
    <row r="42" spans="1:12" ht="18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</row>
    <row r="43" spans="1:12" ht="18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</row>
    <row r="44" spans="1:12" ht="18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</row>
    <row r="45" spans="1:12" ht="18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</row>
    <row r="46" spans="1:12" ht="18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</row>
    <row r="47" spans="1:12" ht="18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</row>
    <row r="48" spans="1:12" ht="18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</row>
    <row r="49" spans="1:12" ht="18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</row>
    <row r="50" spans="1:12" ht="18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</row>
    <row r="51" spans="1:12" ht="18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</row>
    <row r="52" spans="1:12" ht="18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</row>
    <row r="53" spans="1:12" ht="18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</row>
    <row r="54" spans="1:12" ht="18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</row>
    <row r="55" spans="1:12" ht="18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</row>
    <row r="56" spans="1:12" ht="18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</row>
    <row r="57" spans="1:12" ht="18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</row>
    <row r="58" spans="1:12" ht="18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</row>
    <row r="59" spans="1:12" ht="18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</row>
    <row r="60" spans="1:12" ht="18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</row>
    <row r="61" spans="1:12" ht="18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</row>
    <row r="62" spans="1:12" ht="18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</row>
    <row r="63" spans="1:12" ht="18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</row>
    <row r="64" spans="1:12" ht="18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</row>
    <row r="65" spans="1:12" ht="18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8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8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8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8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8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8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8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8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8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8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8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8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8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8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8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8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8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8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8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8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8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8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8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8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8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8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8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8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8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8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8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8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8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8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8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8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8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8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8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8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8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8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8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8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8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8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8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8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8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8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8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8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8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8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8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8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8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8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8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8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8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8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8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8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8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8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8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8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8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8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8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8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8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8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8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8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8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8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8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8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8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8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8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8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8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8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8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8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8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8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8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8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8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8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8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8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8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8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8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8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8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8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8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8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8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8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8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8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8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8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8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8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8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8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8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8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8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8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8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8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8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8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8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8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8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8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8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8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8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8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8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8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8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8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8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8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8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8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8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8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8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8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8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8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8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8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8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8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8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8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8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8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8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8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8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8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8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8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8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8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8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8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8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8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8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8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8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8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8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8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8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8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8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8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8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8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8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8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8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8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8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8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8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8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8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8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8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8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8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8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8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8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8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8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8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8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8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8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8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8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8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8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8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8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8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8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8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8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8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8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8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8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8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8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8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8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8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8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8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8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</sheetData>
  <mergeCells count="3">
    <mergeCell ref="A4:C4"/>
    <mergeCell ref="F2:I2"/>
    <mergeCell ref="I5:J5"/>
  </mergeCells>
  <phoneticPr fontId="27" type="noConversion"/>
  <conditionalFormatting sqref="AR5:AR7 AN6">
    <cfRule type="cellIs" dxfId="9" priority="1" operator="lessThan">
      <formula>7</formula>
    </cfRule>
    <cfRule type="cellIs" dxfId="8" priority="2" operator="equal">
      <formula>7</formula>
    </cfRule>
    <cfRule type="cellIs" dxfId="7" priority="3" operator="greaterThan">
      <formula>7</formula>
    </cfRule>
    <cfRule type="cellIs" dxfId="6" priority="4" operator="lessThan">
      <formula>7</formula>
    </cfRule>
    <cfRule type="cellIs" dxfId="5" priority="5" operator="greaterThan">
      <formula>7</formula>
    </cfRule>
  </conditionalFormatting>
  <dataValidations count="8">
    <dataValidation type="list" allowBlank="1" showInputMessage="1" showErrorMessage="1" sqref="X19:X21" xr:uid="{00000000-0002-0000-0100-000000000000}">
      <formula1>ปัญหา</formula1>
    </dataValidation>
    <dataValidation type="list" allowBlank="1" showInputMessage="1" showErrorMessage="1" sqref="V19:V21" xr:uid="{00000000-0002-0000-0100-000001000000}">
      <formula1>สเปค</formula1>
    </dataValidation>
    <dataValidation type="list" allowBlank="1" showInputMessage="1" showErrorMessage="1" sqref="U19:U21" xr:uid="{00000000-0002-0000-0100-000002000000}">
      <formula1>เครื่อง</formula1>
    </dataValidation>
    <dataValidation type="list" allowBlank="1" showInputMessage="1" showErrorMessage="1" sqref="M6:N6 N7:N23" xr:uid="{00000000-0002-0000-0100-000003000000}">
      <formula1>เดือน</formula1>
    </dataValidation>
    <dataValidation type="list" allowBlank="1" showInputMessage="1" showErrorMessage="1" sqref="AN5 AP5:AP7 AN7 AL5:AL7 AJ5:AJ7 AF5:AF7 AH5:AH7 O6:O23" xr:uid="{00000000-0002-0000-0100-000004000000}">
      <formula1>วันที่</formula1>
    </dataValidation>
    <dataValidation type="list" allowBlank="1" showInputMessage="1" showErrorMessage="1" sqref="AM5 AM7 AK5:AK7 AG5:AG7 AO5:AO7 AI5:AI7 AE5:AE21" xr:uid="{00000000-0002-0000-0100-000005000000}">
      <formula1>สถานะ</formula1>
    </dataValidation>
    <dataValidation type="list" allowBlank="1" showInputMessage="1" showErrorMessage="1" sqref="AA6:AA23" xr:uid="{00000000-0002-0000-0100-000006000000}">
      <formula1>หน่วย</formula1>
    </dataValidation>
    <dataValidation type="list" allowBlank="1" showInputMessage="1" showErrorMessage="1" sqref="P6:P23" xr:uid="{00000000-0002-0000-0100-000007000000}">
      <formula1>แผนก</formula1>
    </dataValidation>
  </dataValidations>
  <pageMargins left="0.11811023622047245" right="0.11811023622047245" top="0.31496062992125984" bottom="0.11811023622047245" header="0.31496062992125984" footer="0.15748031496062992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Q307"/>
  <sheetViews>
    <sheetView workbookViewId="0">
      <selection sqref="A1:P54"/>
    </sheetView>
  </sheetViews>
  <sheetFormatPr defaultRowHeight="14.25" x14ac:dyDescent="0.2"/>
  <cols>
    <col min="1" max="1" width="6.375" style="73" customWidth="1"/>
    <col min="2" max="2" width="7" style="73" bestFit="1" customWidth="1"/>
    <col min="3" max="3" width="18.25" style="73" bestFit="1" customWidth="1"/>
    <col min="4" max="4" width="13.5" style="73" bestFit="1" customWidth="1"/>
    <col min="5" max="5" width="8.75" style="73"/>
    <col min="6" max="6" width="10.875" style="73" customWidth="1"/>
    <col min="7" max="7" width="13.125" style="73" customWidth="1"/>
    <col min="8" max="8" width="9.75" style="73" customWidth="1"/>
    <col min="9" max="9" width="7.625" style="73" customWidth="1"/>
    <col min="10" max="10" width="5.875" style="73" customWidth="1"/>
    <col min="11" max="11" width="21.625" style="73" customWidth="1"/>
    <col min="12" max="12" width="22.875" style="73" bestFit="1" customWidth="1"/>
    <col min="13" max="13" width="10.375" style="73" customWidth="1"/>
    <col min="14" max="14" width="6.625" style="73" customWidth="1"/>
    <col min="15" max="15" width="6.5" style="73" customWidth="1"/>
    <col min="16" max="16" width="15.5" style="73" bestFit="1" customWidth="1"/>
    <col min="17" max="17" width="6" style="73" bestFit="1" customWidth="1"/>
    <col min="18" max="18" width="9.375" style="73" bestFit="1" customWidth="1"/>
    <col min="19" max="19" width="9.375" bestFit="1" customWidth="1"/>
  </cols>
  <sheetData>
    <row r="1" spans="1:43" ht="31.5" x14ac:dyDescent="0.65">
      <c r="A1" s="183" t="s">
        <v>134</v>
      </c>
      <c r="B1" s="60"/>
      <c r="C1" s="60"/>
      <c r="D1" s="60"/>
      <c r="E1" s="61"/>
      <c r="F1" s="61"/>
      <c r="G1" s="61"/>
      <c r="H1" s="61"/>
      <c r="I1" s="61"/>
      <c r="J1" s="71"/>
      <c r="K1" s="71"/>
      <c r="L1" s="71"/>
      <c r="M1" s="71"/>
      <c r="N1" s="71"/>
      <c r="O1" s="71"/>
      <c r="P1" s="71"/>
      <c r="Q1" s="71"/>
      <c r="U1" s="8"/>
      <c r="V1" s="8"/>
      <c r="W1" s="11"/>
      <c r="Z1" s="10"/>
      <c r="AA1" s="11"/>
    </row>
    <row r="2" spans="1:43" ht="34.5" x14ac:dyDescent="0.2">
      <c r="A2" s="63"/>
      <c r="B2" s="63"/>
      <c r="C2" s="63"/>
      <c r="D2" s="66" t="s">
        <v>97</v>
      </c>
      <c r="E2" s="66"/>
      <c r="F2" s="175" t="s">
        <v>133</v>
      </c>
      <c r="G2" s="63"/>
      <c r="H2" s="63"/>
      <c r="I2" s="79"/>
      <c r="J2" s="72"/>
      <c r="K2" s="72"/>
      <c r="L2" s="72"/>
      <c r="M2" s="72"/>
      <c r="N2" s="72"/>
      <c r="O2" s="72"/>
      <c r="P2" s="72"/>
      <c r="Q2" s="72"/>
      <c r="U2" s="9"/>
      <c r="V2" s="9"/>
    </row>
    <row r="3" spans="1:43" ht="23.25" x14ac:dyDescent="0.4">
      <c r="A3" s="61"/>
      <c r="B3" s="63"/>
      <c r="C3" s="63"/>
      <c r="D3" s="63"/>
      <c r="E3" s="63"/>
      <c r="F3" s="63"/>
      <c r="G3" s="88" t="s">
        <v>86</v>
      </c>
      <c r="H3" s="89" t="str">
        <f>S6</f>
        <v>มกราคม</v>
      </c>
      <c r="I3" s="90">
        <v>2558</v>
      </c>
      <c r="J3" s="63"/>
      <c r="M3" s="69"/>
      <c r="N3" s="69"/>
      <c r="O3" s="69"/>
      <c r="P3" s="69"/>
      <c r="Q3" s="69"/>
      <c r="S3" s="206">
        <v>243993</v>
      </c>
      <c r="U3" s="9"/>
      <c r="V3" s="9"/>
      <c r="W3" s="11"/>
    </row>
    <row r="4" spans="1:43" ht="38.25" x14ac:dyDescent="0.4">
      <c r="A4" s="185" t="str">
        <f>U6</f>
        <v>PD</v>
      </c>
      <c r="B4" s="70"/>
      <c r="C4" s="208">
        <v>9</v>
      </c>
      <c r="D4" s="207" t="s">
        <v>52</v>
      </c>
      <c r="E4" s="70"/>
      <c r="F4" s="70"/>
      <c r="G4" s="91"/>
      <c r="H4" s="91"/>
      <c r="I4" s="91"/>
      <c r="J4" s="70"/>
      <c r="K4" s="70"/>
      <c r="L4" s="70"/>
      <c r="M4" s="70"/>
      <c r="N4" s="70"/>
      <c r="O4" s="70"/>
      <c r="P4" s="172"/>
      <c r="Q4" s="70"/>
      <c r="U4" s="9"/>
      <c r="V4" s="9"/>
      <c r="W4" s="12"/>
      <c r="X4" s="13"/>
    </row>
    <row r="5" spans="1:43" ht="46.5" x14ac:dyDescent="0.2">
      <c r="A5" s="59" t="s">
        <v>98</v>
      </c>
      <c r="B5" s="59" t="s">
        <v>81</v>
      </c>
      <c r="C5" s="59" t="s">
        <v>30</v>
      </c>
      <c r="D5" s="59" t="s">
        <v>31</v>
      </c>
      <c r="E5" s="59" t="s">
        <v>32</v>
      </c>
      <c r="F5" s="59" t="s">
        <v>33</v>
      </c>
      <c r="G5" s="59" t="s">
        <v>79</v>
      </c>
      <c r="H5" s="59" t="s">
        <v>35</v>
      </c>
      <c r="I5" s="86" t="s">
        <v>82</v>
      </c>
      <c r="J5" s="87" t="s">
        <v>37</v>
      </c>
      <c r="K5" s="59" t="s">
        <v>80</v>
      </c>
      <c r="L5" s="59" t="s">
        <v>87</v>
      </c>
      <c r="M5" s="94" t="s">
        <v>7</v>
      </c>
      <c r="N5" s="59" t="s">
        <v>103</v>
      </c>
      <c r="O5" s="59" t="s">
        <v>3</v>
      </c>
      <c r="P5" s="173" t="s">
        <v>303</v>
      </c>
      <c r="Q5" s="74"/>
      <c r="R5" s="169"/>
      <c r="S5" s="18" t="s">
        <v>9</v>
      </c>
      <c r="T5" s="19" t="s">
        <v>8</v>
      </c>
      <c r="U5" s="20" t="s">
        <v>2</v>
      </c>
      <c r="V5" s="21" t="s">
        <v>0</v>
      </c>
      <c r="W5" s="22" t="s">
        <v>30</v>
      </c>
      <c r="X5" s="23" t="s">
        <v>32</v>
      </c>
      <c r="Y5" s="24" t="s">
        <v>31</v>
      </c>
      <c r="Z5" s="25" t="s">
        <v>33</v>
      </c>
      <c r="AA5" s="26" t="s">
        <v>34</v>
      </c>
      <c r="AB5" s="27" t="s">
        <v>35</v>
      </c>
      <c r="AC5" s="28" t="s">
        <v>77</v>
      </c>
      <c r="AD5" s="29" t="s">
        <v>87</v>
      </c>
      <c r="AE5" s="30" t="s">
        <v>36</v>
      </c>
      <c r="AF5" s="31" t="s">
        <v>37</v>
      </c>
      <c r="AG5" s="32" t="s">
        <v>4</v>
      </c>
      <c r="AH5" s="33" t="s">
        <v>3</v>
      </c>
      <c r="AI5" s="25" t="s">
        <v>7</v>
      </c>
    </row>
    <row r="6" spans="1:43" ht="84" x14ac:dyDescent="0.2">
      <c r="A6" s="95">
        <f>T6</f>
        <v>243989</v>
      </c>
      <c r="B6" s="96">
        <f t="shared" ref="B6:H9" si="0">V6</f>
        <v>680008</v>
      </c>
      <c r="C6" s="97" t="str">
        <f t="shared" si="0"/>
        <v>ฟีลกู๊ด พี3</v>
      </c>
      <c r="D6" s="96" t="str">
        <f t="shared" si="0"/>
        <v>FWBWT2038100PL</v>
      </c>
      <c r="E6" s="96" t="str">
        <f t="shared" si="0"/>
        <v>PD468010405</v>
      </c>
      <c r="F6" s="96" t="str">
        <f t="shared" si="0"/>
        <v>89/67121836</v>
      </c>
      <c r="G6" s="103" t="str">
        <f t="shared" si="0"/>
        <v>ต้องไม่มีสิ่งปนเปื้อน</v>
      </c>
      <c r="H6" s="98" t="str">
        <f t="shared" si="0"/>
        <v>พบอะไหล่ทอติดมากับกระสอบเคลือบ</v>
      </c>
      <c r="I6" s="99">
        <f t="shared" ref="I6:J9" si="1">AE6</f>
        <v>1</v>
      </c>
      <c r="J6" s="100" t="str">
        <f t="shared" si="1"/>
        <v>ใบ</v>
      </c>
      <c r="K6" s="98" t="str">
        <f t="shared" ref="K6:L9" si="2">AC6</f>
        <v>พบอะไหล่ทอติดมากับกระสอบเคลือบ</v>
      </c>
      <c r="L6" s="96" t="str">
        <f t="shared" si="2"/>
        <v>คัดแยกออก</v>
      </c>
      <c r="M6" s="101">
        <f>AI6</f>
        <v>243991</v>
      </c>
      <c r="N6" s="184" t="s">
        <v>106</v>
      </c>
      <c r="O6" s="95">
        <v>243264</v>
      </c>
      <c r="P6" s="174">
        <f>DATEDIF(M6,$S$3,"D")</f>
        <v>2</v>
      </c>
      <c r="Q6" s="170"/>
      <c r="S6" s="119" t="s">
        <v>18</v>
      </c>
      <c r="T6" s="139">
        <v>243989</v>
      </c>
      <c r="U6" s="119" t="s">
        <v>132</v>
      </c>
      <c r="V6" s="166">
        <v>680008</v>
      </c>
      <c r="W6" s="119" t="s">
        <v>341</v>
      </c>
      <c r="X6" s="190" t="s">
        <v>342</v>
      </c>
      <c r="Y6" s="119" t="s">
        <v>344</v>
      </c>
      <c r="Z6" s="187" t="s">
        <v>343</v>
      </c>
      <c r="AA6" s="154" t="s">
        <v>203</v>
      </c>
      <c r="AB6" s="146" t="s">
        <v>345</v>
      </c>
      <c r="AC6" s="146" t="s">
        <v>345</v>
      </c>
      <c r="AD6" s="146" t="s">
        <v>346</v>
      </c>
      <c r="AE6" s="119">
        <v>1</v>
      </c>
      <c r="AF6" s="119" t="s">
        <v>52</v>
      </c>
      <c r="AG6" s="141">
        <v>243989</v>
      </c>
      <c r="AH6" s="141">
        <v>243996</v>
      </c>
      <c r="AI6" s="141">
        <v>243991</v>
      </c>
      <c r="AJ6" s="139"/>
      <c r="AK6" s="143"/>
      <c r="AL6" s="139"/>
      <c r="AM6" s="143"/>
      <c r="AN6" s="139" t="s">
        <v>55</v>
      </c>
      <c r="AO6" s="143">
        <v>243985</v>
      </c>
      <c r="AP6" s="119" t="s">
        <v>321</v>
      </c>
      <c r="AQ6" s="144">
        <v>-7</v>
      </c>
    </row>
    <row r="7" spans="1:43" ht="63" x14ac:dyDescent="0.2">
      <c r="A7" s="95">
        <f>T7</f>
        <v>243989</v>
      </c>
      <c r="B7" s="96">
        <f t="shared" si="0"/>
        <v>680010</v>
      </c>
      <c r="C7" s="97" t="str">
        <f t="shared" si="0"/>
        <v>WSWT2421112512551</v>
      </c>
      <c r="D7" s="96">
        <f t="shared" si="0"/>
        <v>68010665</v>
      </c>
      <c r="E7" s="96" t="str">
        <f t="shared" si="0"/>
        <v>81/060168</v>
      </c>
      <c r="F7" s="96" t="str">
        <f t="shared" si="0"/>
        <v>CL81</v>
      </c>
      <c r="G7" s="98" t="str">
        <f t="shared" si="0"/>
        <v>128-132</v>
      </c>
      <c r="H7" s="98">
        <f t="shared" si="0"/>
        <v>124.57</v>
      </c>
      <c r="I7" s="99" t="str">
        <f t="shared" si="1"/>
        <v>1345/171.3</v>
      </c>
      <c r="J7" s="100" t="str">
        <f t="shared" si="1"/>
        <v>เมตร/ก.ก.</v>
      </c>
      <c r="K7" s="98" t="str">
        <f t="shared" si="2"/>
        <v>น้ำหนักต่ำกว่ามาตรฐาน</v>
      </c>
      <c r="L7" s="96">
        <f t="shared" si="2"/>
        <v>3.4300000000000068</v>
      </c>
      <c r="M7" s="101">
        <f>AI7</f>
        <v>243991</v>
      </c>
      <c r="N7" s="102" t="s">
        <v>106</v>
      </c>
      <c r="O7" s="171">
        <f>AH7</f>
        <v>243996</v>
      </c>
      <c r="P7" s="174">
        <f t="shared" ref="P7:P40" si="3">DATEDIF(M7,$S$3,"D")</f>
        <v>2</v>
      </c>
      <c r="Q7" s="72"/>
      <c r="S7" s="119" t="s">
        <v>18</v>
      </c>
      <c r="T7" s="139">
        <v>243989</v>
      </c>
      <c r="U7" s="119" t="s">
        <v>14</v>
      </c>
      <c r="V7" s="166">
        <v>680010</v>
      </c>
      <c r="W7" s="119" t="s">
        <v>309</v>
      </c>
      <c r="X7" s="190">
        <v>68010665</v>
      </c>
      <c r="Y7" s="119" t="s">
        <v>354</v>
      </c>
      <c r="Z7" s="187" t="s">
        <v>291</v>
      </c>
      <c r="AA7" s="147" t="s">
        <v>310</v>
      </c>
      <c r="AB7" s="146">
        <v>124.57</v>
      </c>
      <c r="AC7" s="119" t="s">
        <v>201</v>
      </c>
      <c r="AD7" s="146">
        <v>3.4300000000000068</v>
      </c>
      <c r="AE7" s="119" t="s">
        <v>355</v>
      </c>
      <c r="AF7" s="119" t="s">
        <v>93</v>
      </c>
      <c r="AG7" s="141">
        <v>243989</v>
      </c>
      <c r="AH7" s="141">
        <v>243996</v>
      </c>
      <c r="AI7" s="141">
        <v>243991</v>
      </c>
      <c r="AJ7" s="139"/>
      <c r="AK7" s="143"/>
      <c r="AL7" s="139"/>
      <c r="AM7" s="143"/>
      <c r="AN7" s="139" t="s">
        <v>55</v>
      </c>
      <c r="AO7" s="143">
        <v>243985</v>
      </c>
      <c r="AP7" s="119" t="s">
        <v>321</v>
      </c>
      <c r="AQ7" s="144">
        <v>-7</v>
      </c>
    </row>
    <row r="8" spans="1:43" ht="63" x14ac:dyDescent="0.2">
      <c r="A8" s="95">
        <f>T8</f>
        <v>243990</v>
      </c>
      <c r="B8" s="96">
        <f t="shared" si="0"/>
        <v>680012</v>
      </c>
      <c r="C8" s="97" t="str">
        <f t="shared" si="0"/>
        <v>WSWT2025700</v>
      </c>
      <c r="D8" s="96">
        <f t="shared" si="0"/>
        <v>68010725</v>
      </c>
      <c r="E8" s="96" t="str">
        <f t="shared" si="0"/>
        <v>84/070168</v>
      </c>
      <c r="F8" s="96" t="str">
        <f t="shared" si="0"/>
        <v>CL84</v>
      </c>
      <c r="G8" s="98" t="str">
        <f t="shared" si="0"/>
        <v>67-70</v>
      </c>
      <c r="H8" s="98">
        <f t="shared" si="0"/>
        <v>72.650000000000006</v>
      </c>
      <c r="I8" s="99" t="str">
        <f t="shared" si="1"/>
        <v>2500/181.8</v>
      </c>
      <c r="J8" s="100" t="str">
        <f t="shared" si="1"/>
        <v>เมตร/ก.ก.</v>
      </c>
      <c r="K8" s="98" t="str">
        <f t="shared" si="2"/>
        <v>น้ำหนักสูงกว่ามาตรฐาน</v>
      </c>
      <c r="L8" s="96">
        <f t="shared" si="2"/>
        <v>2.6500000000000057</v>
      </c>
      <c r="M8" s="101">
        <f>AI8</f>
        <v>243992</v>
      </c>
      <c r="N8" s="102" t="s">
        <v>106</v>
      </c>
      <c r="O8" s="95">
        <f>AH8</f>
        <v>243997</v>
      </c>
      <c r="P8" s="174">
        <f t="shared" si="3"/>
        <v>1</v>
      </c>
      <c r="Q8" s="72"/>
      <c r="R8" s="93"/>
      <c r="S8" s="119" t="s">
        <v>18</v>
      </c>
      <c r="T8" s="139">
        <v>243990</v>
      </c>
      <c r="U8" s="119" t="s">
        <v>14</v>
      </c>
      <c r="V8" s="166">
        <v>680012</v>
      </c>
      <c r="W8" s="119" t="s">
        <v>306</v>
      </c>
      <c r="X8" s="190">
        <v>68010725</v>
      </c>
      <c r="Y8" s="119" t="s">
        <v>362</v>
      </c>
      <c r="Z8" s="187" t="s">
        <v>221</v>
      </c>
      <c r="AA8" s="147" t="s">
        <v>305</v>
      </c>
      <c r="AB8" s="146">
        <v>72.650000000000006</v>
      </c>
      <c r="AC8" s="119" t="s">
        <v>200</v>
      </c>
      <c r="AD8" s="146">
        <v>2.6500000000000057</v>
      </c>
      <c r="AE8" s="119" t="s">
        <v>363</v>
      </c>
      <c r="AF8" s="119" t="s">
        <v>93</v>
      </c>
      <c r="AG8" s="141">
        <v>243990</v>
      </c>
      <c r="AH8" s="141">
        <v>243997</v>
      </c>
      <c r="AI8" s="141">
        <v>243992</v>
      </c>
      <c r="AJ8" s="139"/>
      <c r="AK8" s="143"/>
      <c r="AL8" s="139"/>
      <c r="AM8" s="143"/>
      <c r="AN8" s="139" t="s">
        <v>55</v>
      </c>
      <c r="AO8" s="143">
        <v>243989</v>
      </c>
      <c r="AP8" s="119" t="s">
        <v>349</v>
      </c>
      <c r="AQ8" s="144">
        <v>-5</v>
      </c>
    </row>
    <row r="9" spans="1:43" ht="63" x14ac:dyDescent="0.2">
      <c r="A9" s="95">
        <f>T9</f>
        <v>243990</v>
      </c>
      <c r="B9" s="96">
        <f t="shared" si="0"/>
        <v>680013</v>
      </c>
      <c r="C9" s="98" t="str">
        <f t="shared" si="0"/>
        <v>WSWT1921720</v>
      </c>
      <c r="D9" s="96">
        <f t="shared" si="0"/>
        <v>68010735</v>
      </c>
      <c r="E9" s="96" t="str">
        <f t="shared" si="0"/>
        <v>17/070168</v>
      </c>
      <c r="F9" s="96" t="str">
        <f t="shared" si="0"/>
        <v>CL17</v>
      </c>
      <c r="G9" s="98" t="str">
        <f t="shared" si="0"/>
        <v>ผ้าทอ2/1</v>
      </c>
      <c r="H9" s="98" t="str">
        <f t="shared" si="0"/>
        <v>ผ้าเป็นขนไม่ทราบจำนวนเมตร</v>
      </c>
      <c r="I9" s="99" t="str">
        <f t="shared" si="1"/>
        <v>2500/198.7</v>
      </c>
      <c r="J9" s="100" t="str">
        <f t="shared" si="1"/>
        <v>เมตร/ก.ก.</v>
      </c>
      <c r="K9" s="98" t="str">
        <f t="shared" si="2"/>
        <v>ผ้าเป็นขนไม่ทราบจำนวนเมตร</v>
      </c>
      <c r="L9" s="96" t="str">
        <f t="shared" si="2"/>
        <v>ไม่ผ่าน</v>
      </c>
      <c r="M9" s="101">
        <f>AI9</f>
        <v>243992</v>
      </c>
      <c r="N9" s="102" t="s">
        <v>106</v>
      </c>
      <c r="O9" s="95">
        <f>AH9</f>
        <v>243997</v>
      </c>
      <c r="P9" s="174">
        <f t="shared" si="3"/>
        <v>1</v>
      </c>
      <c r="Q9" s="72"/>
      <c r="R9" s="93"/>
      <c r="S9" s="119" t="s">
        <v>18</v>
      </c>
      <c r="T9" s="139">
        <v>243990</v>
      </c>
      <c r="U9" s="119" t="s">
        <v>14</v>
      </c>
      <c r="V9" s="166">
        <v>680013</v>
      </c>
      <c r="W9" s="119" t="s">
        <v>307</v>
      </c>
      <c r="X9" s="190">
        <v>68010735</v>
      </c>
      <c r="Y9" s="119" t="s">
        <v>364</v>
      </c>
      <c r="Z9" s="187" t="s">
        <v>239</v>
      </c>
      <c r="AA9" s="147" t="s">
        <v>365</v>
      </c>
      <c r="AB9" s="146" t="s">
        <v>366</v>
      </c>
      <c r="AC9" s="146" t="s">
        <v>366</v>
      </c>
      <c r="AD9" s="146" t="s">
        <v>69</v>
      </c>
      <c r="AE9" s="119" t="s">
        <v>367</v>
      </c>
      <c r="AF9" s="119" t="s">
        <v>93</v>
      </c>
      <c r="AG9" s="141">
        <v>243990</v>
      </c>
      <c r="AH9" s="141">
        <v>243997</v>
      </c>
      <c r="AI9" s="141">
        <v>243992</v>
      </c>
      <c r="AJ9" s="139"/>
      <c r="AK9" s="143"/>
      <c r="AL9" s="139"/>
      <c r="AM9" s="143"/>
      <c r="AN9" s="139" t="s">
        <v>55</v>
      </c>
      <c r="AO9" s="143">
        <v>243989</v>
      </c>
      <c r="AP9" s="119" t="s">
        <v>350</v>
      </c>
      <c r="AQ9" s="144">
        <v>-5</v>
      </c>
    </row>
    <row r="10" spans="1:43" ht="84" x14ac:dyDescent="0.2">
      <c r="A10" s="95">
        <f t="shared" ref="A10:A18" si="4">T10</f>
        <v>243990</v>
      </c>
      <c r="B10" s="96">
        <f t="shared" ref="B10:H18" si="5">V10</f>
        <v>680014</v>
      </c>
      <c r="C10" s="98" t="str">
        <f t="shared" si="5"/>
        <v>WSWT2121670SM</v>
      </c>
      <c r="D10" s="96">
        <f t="shared" si="5"/>
        <v>68010739</v>
      </c>
      <c r="E10" s="96" t="str">
        <f>Y10</f>
        <v>31/070168</v>
      </c>
      <c r="F10" s="96" t="str">
        <f t="shared" si="5"/>
        <v>CL31</v>
      </c>
      <c r="G10" s="98" t="str">
        <f t="shared" si="5"/>
        <v>ผ้าทฮเรียงเส้น</v>
      </c>
      <c r="H10" s="98" t="str">
        <f t="shared" si="5"/>
        <v>ผ้ามีลายอัดไม่ทราบจำนวนเมตร</v>
      </c>
      <c r="I10" s="99" t="str">
        <f t="shared" ref="I10:J18" si="6">AE10</f>
        <v>1350/104.1</v>
      </c>
      <c r="J10" s="100" t="str">
        <f t="shared" si="6"/>
        <v>เมตร/ก.ก.</v>
      </c>
      <c r="K10" s="98" t="str">
        <f t="shared" ref="K10:L18" si="7">AC10</f>
        <v>ผ้ามีลายอัดไม่ทราบจำนวนเมตร</v>
      </c>
      <c r="L10" s="96" t="str">
        <f t="shared" si="7"/>
        <v>ไม่ผ่าน</v>
      </c>
      <c r="M10" s="101">
        <f t="shared" ref="M10" si="8">AI10</f>
        <v>243992</v>
      </c>
      <c r="N10" s="102" t="s">
        <v>106</v>
      </c>
      <c r="O10" s="95">
        <f t="shared" ref="O10" si="9">AH10</f>
        <v>243997</v>
      </c>
      <c r="P10" s="174">
        <f t="shared" si="3"/>
        <v>1</v>
      </c>
      <c r="Q10" s="72"/>
      <c r="S10" s="119" t="s">
        <v>18</v>
      </c>
      <c r="T10" s="139">
        <v>243990</v>
      </c>
      <c r="U10" s="119" t="s">
        <v>14</v>
      </c>
      <c r="V10" s="166">
        <v>680014</v>
      </c>
      <c r="W10" s="119" t="s">
        <v>368</v>
      </c>
      <c r="X10" s="190">
        <v>68010739</v>
      </c>
      <c r="Y10" s="119" t="s">
        <v>369</v>
      </c>
      <c r="Z10" s="187" t="s">
        <v>250</v>
      </c>
      <c r="AA10" s="147" t="s">
        <v>370</v>
      </c>
      <c r="AB10" s="146" t="s">
        <v>371</v>
      </c>
      <c r="AC10" s="146" t="s">
        <v>371</v>
      </c>
      <c r="AD10" s="146" t="s">
        <v>69</v>
      </c>
      <c r="AE10" s="119" t="s">
        <v>372</v>
      </c>
      <c r="AF10" s="119" t="s">
        <v>93</v>
      </c>
      <c r="AG10" s="141">
        <v>243990</v>
      </c>
      <c r="AH10" s="141">
        <v>243997</v>
      </c>
      <c r="AI10" s="141">
        <v>243992</v>
      </c>
      <c r="AJ10" s="139"/>
      <c r="AK10" s="143"/>
      <c r="AL10" s="139"/>
      <c r="AM10" s="143"/>
      <c r="AN10" s="139" t="s">
        <v>55</v>
      </c>
      <c r="AO10" s="143">
        <v>243987</v>
      </c>
      <c r="AP10" s="119" t="s">
        <v>338</v>
      </c>
      <c r="AQ10" s="144">
        <v>-7</v>
      </c>
    </row>
    <row r="11" spans="1:43" ht="42" x14ac:dyDescent="0.2">
      <c r="A11" s="105">
        <f t="shared" si="4"/>
        <v>243990</v>
      </c>
      <c r="B11" s="59">
        <f t="shared" si="5"/>
        <v>680015</v>
      </c>
      <c r="C11" s="59" t="str">
        <f t="shared" si="5"/>
        <v>WSWT2421112512551</v>
      </c>
      <c r="D11" s="59">
        <f t="shared" si="5"/>
        <v>68010746</v>
      </c>
      <c r="E11" s="59" t="str">
        <f t="shared" si="5"/>
        <v>80/070168</v>
      </c>
      <c r="F11" s="59" t="str">
        <f t="shared" si="5"/>
        <v>CL80</v>
      </c>
      <c r="G11" s="106" t="str">
        <f t="shared" si="5"/>
        <v>128-132</v>
      </c>
      <c r="H11" s="106">
        <f t="shared" si="5"/>
        <v>127</v>
      </c>
      <c r="I11" s="86" t="str">
        <f t="shared" si="6"/>
        <v>1600/207.8</v>
      </c>
      <c r="J11" s="87" t="str">
        <f t="shared" si="6"/>
        <v>เมตร/ก.ก.</v>
      </c>
      <c r="K11" s="106" t="str">
        <f t="shared" si="7"/>
        <v>น้ำหนักต่ำกว่ามาตรฐาน</v>
      </c>
      <c r="L11" s="59">
        <f t="shared" si="7"/>
        <v>1</v>
      </c>
      <c r="M11" s="107">
        <f t="shared" ref="M11:M18" si="10">AI11</f>
        <v>243992</v>
      </c>
      <c r="N11" s="108" t="s">
        <v>106</v>
      </c>
      <c r="O11" s="105">
        <f t="shared" ref="O11:O18" si="11">AH11</f>
        <v>243997</v>
      </c>
      <c r="P11" s="174">
        <f t="shared" si="3"/>
        <v>1</v>
      </c>
      <c r="Q11" s="168"/>
      <c r="S11" s="119" t="s">
        <v>18</v>
      </c>
      <c r="T11" s="139">
        <v>243990</v>
      </c>
      <c r="U11" s="119" t="s">
        <v>14</v>
      </c>
      <c r="V11" s="166">
        <v>680015</v>
      </c>
      <c r="W11" s="119" t="s">
        <v>309</v>
      </c>
      <c r="X11" s="190">
        <v>68010746</v>
      </c>
      <c r="Y11" s="119" t="s">
        <v>374</v>
      </c>
      <c r="Z11" s="187" t="s">
        <v>290</v>
      </c>
      <c r="AA11" s="147" t="s">
        <v>310</v>
      </c>
      <c r="AB11" s="146">
        <v>127</v>
      </c>
      <c r="AC11" s="119" t="s">
        <v>201</v>
      </c>
      <c r="AD11" s="146">
        <v>1</v>
      </c>
      <c r="AE11" s="119" t="s">
        <v>375</v>
      </c>
      <c r="AF11" s="119" t="s">
        <v>93</v>
      </c>
      <c r="AG11" s="141">
        <v>243990</v>
      </c>
      <c r="AH11" s="141">
        <v>243997</v>
      </c>
      <c r="AI11" s="141">
        <v>243992</v>
      </c>
      <c r="AJ11" s="139"/>
      <c r="AK11" s="143"/>
      <c r="AL11" s="139"/>
      <c r="AM11" s="143"/>
      <c r="AN11" s="139" t="s">
        <v>55</v>
      </c>
      <c r="AO11" s="143">
        <v>243989</v>
      </c>
      <c r="AP11" s="119" t="s">
        <v>348</v>
      </c>
      <c r="AQ11" s="144">
        <v>-5</v>
      </c>
    </row>
    <row r="12" spans="1:43" ht="42" x14ac:dyDescent="0.2">
      <c r="A12" s="105">
        <f t="shared" si="4"/>
        <v>243990</v>
      </c>
      <c r="B12" s="59">
        <f t="shared" si="5"/>
        <v>680016</v>
      </c>
      <c r="C12" s="59" t="str">
        <f t="shared" si="5"/>
        <v>WSWT2625800</v>
      </c>
      <c r="D12" s="59">
        <f t="shared" si="5"/>
        <v>68010767</v>
      </c>
      <c r="E12" s="59" t="str">
        <f t="shared" si="5"/>
        <v>26/070168</v>
      </c>
      <c r="F12" s="59" t="str">
        <f t="shared" si="5"/>
        <v>CL26</v>
      </c>
      <c r="G12" s="106" t="str">
        <f t="shared" si="5"/>
        <v>111-116</v>
      </c>
      <c r="H12" s="106">
        <f t="shared" si="5"/>
        <v>120.51</v>
      </c>
      <c r="I12" s="86" t="str">
        <f t="shared" si="6"/>
        <v>1104/114.6</v>
      </c>
      <c r="J12" s="87" t="str">
        <f t="shared" si="6"/>
        <v>เมตร/ก.ก.</v>
      </c>
      <c r="K12" s="59" t="str">
        <f t="shared" si="7"/>
        <v>น้ำหนักสูงกว่ามาตรฐาน</v>
      </c>
      <c r="L12" s="59">
        <f t="shared" si="7"/>
        <v>4.5100000000000051</v>
      </c>
      <c r="M12" s="107">
        <f t="shared" si="10"/>
        <v>243992</v>
      </c>
      <c r="N12" s="109" t="s">
        <v>106</v>
      </c>
      <c r="O12" s="105">
        <f t="shared" si="11"/>
        <v>243997</v>
      </c>
      <c r="P12" s="174">
        <f t="shared" si="3"/>
        <v>1</v>
      </c>
      <c r="Q12" s="168"/>
      <c r="S12" s="119" t="s">
        <v>18</v>
      </c>
      <c r="T12" s="139">
        <v>243990</v>
      </c>
      <c r="U12" s="119" t="s">
        <v>14</v>
      </c>
      <c r="V12" s="166">
        <v>680016</v>
      </c>
      <c r="W12" s="119" t="s">
        <v>376</v>
      </c>
      <c r="X12" s="190">
        <v>68010767</v>
      </c>
      <c r="Y12" s="119" t="s">
        <v>380</v>
      </c>
      <c r="Z12" s="187" t="s">
        <v>206</v>
      </c>
      <c r="AA12" s="147" t="s">
        <v>378</v>
      </c>
      <c r="AB12" s="146">
        <v>120.51</v>
      </c>
      <c r="AC12" s="119" t="s">
        <v>200</v>
      </c>
      <c r="AD12" s="146">
        <v>4.5100000000000051</v>
      </c>
      <c r="AE12" s="119" t="s">
        <v>381</v>
      </c>
      <c r="AF12" s="119" t="s">
        <v>93</v>
      </c>
      <c r="AG12" s="141">
        <v>243990</v>
      </c>
      <c r="AH12" s="141">
        <v>243997</v>
      </c>
      <c r="AI12" s="141">
        <v>243992</v>
      </c>
      <c r="AJ12" s="139"/>
      <c r="AK12" s="143"/>
      <c r="AL12" s="139"/>
      <c r="AM12" s="143"/>
      <c r="AN12" s="139" t="s">
        <v>55</v>
      </c>
      <c r="AO12" s="143">
        <v>243989</v>
      </c>
      <c r="AP12" s="119" t="s">
        <v>348</v>
      </c>
      <c r="AQ12" s="144">
        <v>-5</v>
      </c>
    </row>
    <row r="13" spans="1:43" ht="42" x14ac:dyDescent="0.2">
      <c r="A13" s="105">
        <f t="shared" si="4"/>
        <v>243990</v>
      </c>
      <c r="B13" s="59">
        <f t="shared" si="5"/>
        <v>680016</v>
      </c>
      <c r="C13" s="59" t="str">
        <f t="shared" si="5"/>
        <v>WSWT2625800</v>
      </c>
      <c r="D13" s="59">
        <f t="shared" si="5"/>
        <v>68010771</v>
      </c>
      <c r="E13" s="59" t="str">
        <f t="shared" si="5"/>
        <v>1/070168</v>
      </c>
      <c r="F13" s="59" t="str">
        <f t="shared" si="5"/>
        <v>CL1</v>
      </c>
      <c r="G13" s="59" t="str">
        <f t="shared" si="5"/>
        <v>111-116</v>
      </c>
      <c r="H13" s="106">
        <f t="shared" si="5"/>
        <v>118.37</v>
      </c>
      <c r="I13" s="86" t="str">
        <f t="shared" si="6"/>
        <v>1046/109.2</v>
      </c>
      <c r="J13" s="87" t="str">
        <f t="shared" si="6"/>
        <v>เมตร/ก.ก.</v>
      </c>
      <c r="K13" s="59" t="str">
        <f t="shared" si="7"/>
        <v>น้ำหนักสูงกว่ามาตรฐาน</v>
      </c>
      <c r="L13" s="59">
        <f t="shared" si="7"/>
        <v>2.3700000000000045</v>
      </c>
      <c r="M13" s="107">
        <f t="shared" si="10"/>
        <v>243992</v>
      </c>
      <c r="N13" s="108" t="s">
        <v>106</v>
      </c>
      <c r="O13" s="105">
        <f t="shared" si="11"/>
        <v>243997</v>
      </c>
      <c r="P13" s="174">
        <f t="shared" si="3"/>
        <v>1</v>
      </c>
      <c r="Q13" s="168"/>
      <c r="S13" s="119" t="s">
        <v>18</v>
      </c>
      <c r="T13" s="139">
        <v>243990</v>
      </c>
      <c r="U13" s="119" t="s">
        <v>14</v>
      </c>
      <c r="V13" s="166">
        <v>680016</v>
      </c>
      <c r="W13" s="119" t="s">
        <v>376</v>
      </c>
      <c r="X13" s="190">
        <v>68010771</v>
      </c>
      <c r="Y13" s="119" t="s">
        <v>377</v>
      </c>
      <c r="Z13" s="187" t="s">
        <v>225</v>
      </c>
      <c r="AA13" s="147" t="s">
        <v>378</v>
      </c>
      <c r="AB13" s="146">
        <v>118.37</v>
      </c>
      <c r="AC13" s="119" t="s">
        <v>200</v>
      </c>
      <c r="AD13" s="146">
        <v>2.3700000000000045</v>
      </c>
      <c r="AE13" s="119" t="s">
        <v>379</v>
      </c>
      <c r="AF13" s="119" t="s">
        <v>93</v>
      </c>
      <c r="AG13" s="141">
        <v>243990</v>
      </c>
      <c r="AH13" s="141">
        <v>243997</v>
      </c>
      <c r="AI13" s="141">
        <v>243992</v>
      </c>
      <c r="AJ13" s="139"/>
      <c r="AK13" s="143"/>
      <c r="AL13" s="139"/>
      <c r="AM13" s="143"/>
      <c r="AN13" s="139" t="s">
        <v>55</v>
      </c>
      <c r="AO13" s="143">
        <v>243989</v>
      </c>
      <c r="AP13" s="119" t="s">
        <v>348</v>
      </c>
      <c r="AQ13" s="144">
        <v>-5</v>
      </c>
    </row>
    <row r="14" spans="1:43" ht="63" x14ac:dyDescent="0.2">
      <c r="A14" s="105">
        <f t="shared" si="4"/>
        <v>243991</v>
      </c>
      <c r="B14" s="59">
        <f t="shared" si="5"/>
        <v>680017</v>
      </c>
      <c r="C14" s="59" t="str">
        <f t="shared" si="5"/>
        <v>WSWT2625800</v>
      </c>
      <c r="D14" s="59">
        <f t="shared" si="5"/>
        <v>68010802</v>
      </c>
      <c r="E14" s="59" t="str">
        <f t="shared" si="5"/>
        <v>62/080168</v>
      </c>
      <c r="F14" s="59" t="str">
        <f t="shared" si="5"/>
        <v>CL62</v>
      </c>
      <c r="G14" s="59" t="str">
        <f t="shared" si="5"/>
        <v>111-116</v>
      </c>
      <c r="H14" s="106">
        <f t="shared" si="5"/>
        <v>122.84</v>
      </c>
      <c r="I14" s="86" t="str">
        <f t="shared" si="6"/>
        <v>1000/102.6</v>
      </c>
      <c r="J14" s="87" t="str">
        <f t="shared" si="6"/>
        <v>เมตร/ก.ก.</v>
      </c>
      <c r="K14" s="59" t="str">
        <f t="shared" si="7"/>
        <v>น้ำหนักใบสูงกว่ามาตรฐาน</v>
      </c>
      <c r="L14" s="59">
        <f t="shared" si="7"/>
        <v>6.8400000000000034</v>
      </c>
      <c r="M14" s="107">
        <f t="shared" si="10"/>
        <v>243993</v>
      </c>
      <c r="N14" s="109" t="s">
        <v>106</v>
      </c>
      <c r="O14" s="105">
        <f t="shared" si="11"/>
        <v>243998</v>
      </c>
      <c r="P14" s="174">
        <f t="shared" si="3"/>
        <v>0</v>
      </c>
      <c r="Q14" s="168"/>
      <c r="S14" s="119" t="s">
        <v>18</v>
      </c>
      <c r="T14" s="139">
        <v>243991</v>
      </c>
      <c r="U14" s="119" t="s">
        <v>14</v>
      </c>
      <c r="V14" s="166">
        <v>680017</v>
      </c>
      <c r="W14" s="119" t="s">
        <v>376</v>
      </c>
      <c r="X14" s="190">
        <v>68010802</v>
      </c>
      <c r="Y14" s="119" t="s">
        <v>384</v>
      </c>
      <c r="Z14" s="187" t="s">
        <v>274</v>
      </c>
      <c r="AA14" s="147" t="s">
        <v>378</v>
      </c>
      <c r="AB14" s="146">
        <v>122.84</v>
      </c>
      <c r="AC14" s="119" t="s">
        <v>207</v>
      </c>
      <c r="AD14" s="146">
        <v>6.8400000000000034</v>
      </c>
      <c r="AE14" s="119" t="s">
        <v>385</v>
      </c>
      <c r="AF14" s="119" t="s">
        <v>93</v>
      </c>
      <c r="AG14" s="141">
        <v>243991</v>
      </c>
      <c r="AH14" s="141">
        <v>243998</v>
      </c>
      <c r="AI14" s="141">
        <v>243993</v>
      </c>
      <c r="AJ14" s="139"/>
      <c r="AK14" s="143"/>
      <c r="AL14" s="139"/>
      <c r="AM14" s="143"/>
      <c r="AN14" s="139" t="s">
        <v>55</v>
      </c>
      <c r="AO14" s="143">
        <v>243989</v>
      </c>
      <c r="AP14" s="119" t="s">
        <v>347</v>
      </c>
      <c r="AQ14" s="144"/>
    </row>
    <row r="15" spans="1:43" ht="33" customHeight="1" x14ac:dyDescent="0.2">
      <c r="A15" s="105">
        <f t="shared" si="4"/>
        <v>243991</v>
      </c>
      <c r="B15" s="59">
        <f t="shared" si="5"/>
        <v>680017</v>
      </c>
      <c r="C15" s="59" t="str">
        <f t="shared" si="5"/>
        <v>WSWT2625800</v>
      </c>
      <c r="D15" s="59">
        <f t="shared" si="5"/>
        <v>68010804</v>
      </c>
      <c r="E15" s="59" t="str">
        <f t="shared" si="5"/>
        <v>25/080168</v>
      </c>
      <c r="F15" s="59" t="str">
        <f t="shared" si="5"/>
        <v>CL25</v>
      </c>
      <c r="G15" s="59" t="str">
        <f t="shared" si="5"/>
        <v>111-116</v>
      </c>
      <c r="H15" s="106">
        <f t="shared" si="5"/>
        <v>121.01</v>
      </c>
      <c r="I15" s="86" t="str">
        <f t="shared" si="6"/>
        <v>1048/108.9</v>
      </c>
      <c r="J15" s="87" t="str">
        <f t="shared" si="6"/>
        <v>เมตร/ก.ก.</v>
      </c>
      <c r="K15" s="59" t="str">
        <f t="shared" si="7"/>
        <v>น้ำหนักสูงกว่ามาตรฐาน</v>
      </c>
      <c r="L15" s="59">
        <f t="shared" si="7"/>
        <v>5.0100000000000051</v>
      </c>
      <c r="M15" s="107">
        <f t="shared" si="10"/>
        <v>243993</v>
      </c>
      <c r="N15" s="109" t="s">
        <v>106</v>
      </c>
      <c r="O15" s="105">
        <f t="shared" si="11"/>
        <v>243998</v>
      </c>
      <c r="P15" s="174">
        <f t="shared" si="3"/>
        <v>0</v>
      </c>
      <c r="Q15" s="168"/>
      <c r="S15" s="119" t="s">
        <v>18</v>
      </c>
      <c r="T15" s="139">
        <v>243991</v>
      </c>
      <c r="U15" s="119" t="s">
        <v>14</v>
      </c>
      <c r="V15" s="166">
        <v>680017</v>
      </c>
      <c r="W15" s="119" t="s">
        <v>376</v>
      </c>
      <c r="X15" s="190">
        <v>68010804</v>
      </c>
      <c r="Y15" s="119" t="s">
        <v>386</v>
      </c>
      <c r="Z15" s="187" t="s">
        <v>209</v>
      </c>
      <c r="AA15" s="147" t="s">
        <v>378</v>
      </c>
      <c r="AB15" s="146">
        <v>121.01</v>
      </c>
      <c r="AC15" s="119" t="s">
        <v>200</v>
      </c>
      <c r="AD15" s="146">
        <v>5.0100000000000051</v>
      </c>
      <c r="AE15" s="119" t="s">
        <v>387</v>
      </c>
      <c r="AF15" s="119" t="s">
        <v>93</v>
      </c>
      <c r="AG15" s="141">
        <v>243991</v>
      </c>
      <c r="AH15" s="141">
        <v>243998</v>
      </c>
      <c r="AI15" s="141">
        <v>243993</v>
      </c>
      <c r="AJ15" s="139"/>
      <c r="AK15" s="143"/>
      <c r="AL15" s="139"/>
      <c r="AM15" s="143"/>
      <c r="AN15" s="139"/>
      <c r="AO15" s="143"/>
      <c r="AP15" s="119"/>
      <c r="AQ15" s="144"/>
    </row>
    <row r="16" spans="1:43" ht="33" customHeight="1" x14ac:dyDescent="0.2">
      <c r="A16" s="105">
        <f t="shared" si="4"/>
        <v>243991</v>
      </c>
      <c r="B16" s="59">
        <f t="shared" si="5"/>
        <v>680018</v>
      </c>
      <c r="C16" s="59" t="str">
        <f t="shared" si="5"/>
        <v>WSWT2025700</v>
      </c>
      <c r="D16" s="59">
        <f t="shared" si="5"/>
        <v>68010810</v>
      </c>
      <c r="E16" s="59" t="str">
        <f t="shared" si="5"/>
        <v>79/080168</v>
      </c>
      <c r="F16" s="59" t="str">
        <f t="shared" si="5"/>
        <v>CL79</v>
      </c>
      <c r="G16" s="59" t="str">
        <f t="shared" si="5"/>
        <v>67-70</v>
      </c>
      <c r="H16" s="106">
        <f t="shared" si="5"/>
        <v>73.12</v>
      </c>
      <c r="I16" s="86" t="str">
        <f t="shared" si="6"/>
        <v>1825/134.7</v>
      </c>
      <c r="J16" s="87" t="str">
        <f t="shared" si="6"/>
        <v>เมตร/ก.ก.</v>
      </c>
      <c r="K16" s="59" t="str">
        <f t="shared" si="7"/>
        <v>น้ำหนักสูงกว่ามาตรฐาน</v>
      </c>
      <c r="L16" s="59">
        <f t="shared" si="7"/>
        <v>3.1200000000000045</v>
      </c>
      <c r="M16" s="107">
        <f t="shared" si="10"/>
        <v>243993</v>
      </c>
      <c r="N16" s="109" t="s">
        <v>106</v>
      </c>
      <c r="O16" s="105">
        <f t="shared" si="11"/>
        <v>243998</v>
      </c>
      <c r="P16" s="174">
        <f t="shared" si="3"/>
        <v>0</v>
      </c>
      <c r="Q16" s="168"/>
      <c r="S16" s="119" t="s">
        <v>18</v>
      </c>
      <c r="T16" s="139">
        <v>243991</v>
      </c>
      <c r="U16" s="119" t="s">
        <v>14</v>
      </c>
      <c r="V16" s="166">
        <v>680018</v>
      </c>
      <c r="W16" s="119" t="s">
        <v>306</v>
      </c>
      <c r="X16" s="190">
        <v>68010810</v>
      </c>
      <c r="Y16" s="119" t="s">
        <v>388</v>
      </c>
      <c r="Z16" s="187" t="s">
        <v>289</v>
      </c>
      <c r="AA16" s="147" t="s">
        <v>305</v>
      </c>
      <c r="AB16" s="146">
        <v>73.12</v>
      </c>
      <c r="AC16" s="119" t="s">
        <v>200</v>
      </c>
      <c r="AD16" s="146">
        <v>3.1200000000000045</v>
      </c>
      <c r="AE16" s="119" t="s">
        <v>389</v>
      </c>
      <c r="AF16" s="119" t="s">
        <v>93</v>
      </c>
      <c r="AG16" s="141">
        <v>243991</v>
      </c>
      <c r="AH16" s="141">
        <v>243998</v>
      </c>
      <c r="AI16" s="141">
        <v>243993</v>
      </c>
      <c r="AJ16" s="139"/>
      <c r="AK16" s="143"/>
      <c r="AL16" s="139"/>
      <c r="AM16" s="143"/>
      <c r="AN16" s="139"/>
      <c r="AO16" s="143"/>
      <c r="AP16" s="119"/>
      <c r="AQ16" s="144"/>
    </row>
    <row r="17" spans="1:43" ht="33" customHeight="1" x14ac:dyDescent="0.2">
      <c r="A17" s="105">
        <f t="shared" si="4"/>
        <v>243991</v>
      </c>
      <c r="B17" s="59">
        <f t="shared" si="5"/>
        <v>680018</v>
      </c>
      <c r="C17" s="59" t="str">
        <f t="shared" si="5"/>
        <v>WSWT2025700</v>
      </c>
      <c r="D17" s="59">
        <f t="shared" si="5"/>
        <v>68010811</v>
      </c>
      <c r="E17" s="59" t="str">
        <f t="shared" si="5"/>
        <v>84/080168</v>
      </c>
      <c r="F17" s="59" t="str">
        <f t="shared" si="5"/>
        <v>CL84</v>
      </c>
      <c r="G17" s="59" t="str">
        <f t="shared" si="5"/>
        <v>67-70</v>
      </c>
      <c r="H17" s="106">
        <f t="shared" si="5"/>
        <v>73.09</v>
      </c>
      <c r="I17" s="86" t="str">
        <f t="shared" si="6"/>
        <v>1429/104</v>
      </c>
      <c r="J17" s="87" t="str">
        <f t="shared" si="6"/>
        <v>เมตร/ก.ก.</v>
      </c>
      <c r="K17" s="59" t="str">
        <f t="shared" si="7"/>
        <v>น้ำหนักสูงกว่ามาตรฐาน</v>
      </c>
      <c r="L17" s="59">
        <f t="shared" si="7"/>
        <v>3.0900000000000034</v>
      </c>
      <c r="M17" s="107">
        <f t="shared" si="10"/>
        <v>243993</v>
      </c>
      <c r="N17" s="109" t="s">
        <v>106</v>
      </c>
      <c r="O17" s="105">
        <f t="shared" si="11"/>
        <v>243998</v>
      </c>
      <c r="P17" s="174">
        <f t="shared" si="3"/>
        <v>0</v>
      </c>
      <c r="Q17" s="168"/>
      <c r="S17" s="119" t="s">
        <v>18</v>
      </c>
      <c r="T17" s="139">
        <v>243991</v>
      </c>
      <c r="U17" s="119" t="s">
        <v>14</v>
      </c>
      <c r="V17" s="166">
        <v>680018</v>
      </c>
      <c r="W17" s="119" t="s">
        <v>306</v>
      </c>
      <c r="X17" s="190">
        <v>68010811</v>
      </c>
      <c r="Y17" s="119" t="s">
        <v>390</v>
      </c>
      <c r="Z17" s="187" t="s">
        <v>221</v>
      </c>
      <c r="AA17" s="147" t="s">
        <v>305</v>
      </c>
      <c r="AB17" s="146">
        <v>73.09</v>
      </c>
      <c r="AC17" s="119" t="s">
        <v>200</v>
      </c>
      <c r="AD17" s="146">
        <v>3.0900000000000034</v>
      </c>
      <c r="AE17" s="119" t="s">
        <v>391</v>
      </c>
      <c r="AF17" s="119" t="s">
        <v>93</v>
      </c>
      <c r="AG17" s="141">
        <v>243991</v>
      </c>
      <c r="AH17" s="141">
        <v>243998</v>
      </c>
      <c r="AI17" s="141">
        <v>243993</v>
      </c>
      <c r="AJ17" s="139"/>
      <c r="AK17" s="143"/>
      <c r="AL17" s="139"/>
      <c r="AM17" s="143"/>
      <c r="AN17" s="139"/>
      <c r="AO17" s="143"/>
      <c r="AP17" s="119"/>
      <c r="AQ17" s="144"/>
    </row>
    <row r="18" spans="1:43" ht="33" hidden="1" customHeight="1" x14ac:dyDescent="0.2">
      <c r="A18" s="105">
        <f t="shared" si="4"/>
        <v>0</v>
      </c>
      <c r="B18" s="59">
        <f t="shared" si="5"/>
        <v>0</v>
      </c>
      <c r="C18" s="59">
        <f t="shared" si="5"/>
        <v>0</v>
      </c>
      <c r="D18" s="59">
        <f t="shared" si="5"/>
        <v>0</v>
      </c>
      <c r="E18" s="59">
        <f t="shared" si="5"/>
        <v>0</v>
      </c>
      <c r="F18" s="59">
        <f t="shared" si="5"/>
        <v>0</v>
      </c>
      <c r="G18" s="59">
        <f t="shared" si="5"/>
        <v>0</v>
      </c>
      <c r="H18" s="106">
        <f t="shared" si="5"/>
        <v>0</v>
      </c>
      <c r="I18" s="86">
        <f t="shared" si="6"/>
        <v>0</v>
      </c>
      <c r="J18" s="87">
        <f t="shared" si="6"/>
        <v>0</v>
      </c>
      <c r="K18" s="59">
        <f t="shared" si="7"/>
        <v>0</v>
      </c>
      <c r="L18" s="59">
        <f t="shared" si="7"/>
        <v>0</v>
      </c>
      <c r="M18" s="107">
        <f t="shared" si="10"/>
        <v>0</v>
      </c>
      <c r="N18" s="109" t="s">
        <v>106</v>
      </c>
      <c r="O18" s="105">
        <f t="shared" si="11"/>
        <v>0</v>
      </c>
      <c r="P18" s="174">
        <f t="shared" si="3"/>
        <v>243993</v>
      </c>
      <c r="Q18" s="168"/>
      <c r="S18" s="119"/>
      <c r="T18" s="139"/>
      <c r="U18" s="119"/>
      <c r="V18" s="166"/>
      <c r="W18" s="119"/>
      <c r="X18" s="140"/>
      <c r="Y18" s="119"/>
      <c r="Z18" s="141"/>
      <c r="AA18" s="147"/>
      <c r="AB18" s="146"/>
      <c r="AC18" s="119"/>
      <c r="AD18" s="146"/>
      <c r="AE18" s="119"/>
      <c r="AF18" s="119"/>
      <c r="AG18" s="141"/>
      <c r="AH18" s="141"/>
      <c r="AI18" s="141"/>
      <c r="AJ18" s="139"/>
      <c r="AK18" s="143"/>
      <c r="AL18" s="139"/>
      <c r="AM18" s="143"/>
      <c r="AN18" s="139"/>
      <c r="AO18" s="143"/>
      <c r="AP18" s="119"/>
      <c r="AQ18" s="144"/>
    </row>
    <row r="19" spans="1:43" ht="38.25" hidden="1" x14ac:dyDescent="0.2">
      <c r="A19" s="105">
        <f t="shared" ref="A19" si="12">T19</f>
        <v>0</v>
      </c>
      <c r="B19" s="59">
        <f t="shared" ref="B19" si="13">V19</f>
        <v>0</v>
      </c>
      <c r="C19" s="59">
        <f t="shared" ref="C19" si="14">W19</f>
        <v>0</v>
      </c>
      <c r="D19" s="59">
        <f t="shared" ref="D19" si="15">X19</f>
        <v>0</v>
      </c>
      <c r="E19" s="59">
        <f t="shared" ref="E19" si="16">Y19</f>
        <v>0</v>
      </c>
      <c r="F19" s="59">
        <f t="shared" ref="F19" si="17">Z19</f>
        <v>0</v>
      </c>
      <c r="G19" s="59">
        <f t="shared" ref="G19" si="18">AA19</f>
        <v>0</v>
      </c>
      <c r="H19" s="106">
        <f t="shared" ref="H19" si="19">AB19</f>
        <v>0</v>
      </c>
      <c r="I19" s="86">
        <f t="shared" ref="I19" si="20">AE19</f>
        <v>0</v>
      </c>
      <c r="J19" s="87">
        <f t="shared" ref="J19" si="21">AF19</f>
        <v>0</v>
      </c>
      <c r="K19" s="59">
        <f t="shared" ref="K19" si="22">AC19</f>
        <v>0</v>
      </c>
      <c r="L19" s="59">
        <f t="shared" ref="L19" si="23">AD19</f>
        <v>0</v>
      </c>
      <c r="M19" s="107">
        <f t="shared" ref="M19" si="24">AI19</f>
        <v>0</v>
      </c>
      <c r="N19" s="109" t="s">
        <v>106</v>
      </c>
      <c r="O19" s="105">
        <f t="shared" ref="O19" si="25">AH19</f>
        <v>0</v>
      </c>
      <c r="P19" s="174">
        <f t="shared" si="3"/>
        <v>243993</v>
      </c>
      <c r="Q19" s="168"/>
      <c r="S19" s="119"/>
      <c r="T19" s="139"/>
      <c r="U19" s="119"/>
      <c r="V19" s="166"/>
      <c r="W19" s="119"/>
      <c r="X19" s="140"/>
      <c r="Y19" s="119"/>
      <c r="Z19" s="141"/>
      <c r="AA19" s="147"/>
      <c r="AB19" s="146"/>
      <c r="AC19" s="119"/>
      <c r="AD19" s="146"/>
      <c r="AE19" s="119"/>
      <c r="AF19" s="119"/>
      <c r="AG19" s="141"/>
      <c r="AH19" s="141"/>
      <c r="AI19" s="141"/>
      <c r="AJ19" s="139"/>
      <c r="AK19" s="143"/>
      <c r="AL19" s="139"/>
      <c r="AM19" s="143"/>
      <c r="AN19" s="139"/>
      <c r="AO19" s="143"/>
      <c r="AP19" s="119"/>
      <c r="AQ19" s="144"/>
    </row>
    <row r="20" spans="1:43" ht="38.25" hidden="1" x14ac:dyDescent="0.2">
      <c r="A20" s="105">
        <f t="shared" ref="A20:A31" si="26">T20</f>
        <v>0</v>
      </c>
      <c r="B20" s="59">
        <f t="shared" ref="B20:B31" si="27">V20</f>
        <v>0</v>
      </c>
      <c r="C20" s="59">
        <f t="shared" ref="C20:C31" si="28">W20</f>
        <v>0</v>
      </c>
      <c r="D20" s="59">
        <f t="shared" ref="D20:D31" si="29">X20</f>
        <v>0</v>
      </c>
      <c r="E20" s="59">
        <f t="shared" ref="E20:E31" si="30">Y20</f>
        <v>0</v>
      </c>
      <c r="F20" s="59">
        <f t="shared" ref="F20:F31" si="31">Z20</f>
        <v>0</v>
      </c>
      <c r="G20" s="59">
        <f t="shared" ref="G20:G31" si="32">AA20</f>
        <v>0</v>
      </c>
      <c r="H20" s="106">
        <f t="shared" ref="H20:H31" si="33">AB20</f>
        <v>0</v>
      </c>
      <c r="I20" s="86">
        <f t="shared" ref="I20:I31" si="34">AE20</f>
        <v>0</v>
      </c>
      <c r="J20" s="87">
        <f t="shared" ref="J20:J31" si="35">AF20</f>
        <v>0</v>
      </c>
      <c r="K20" s="59">
        <f t="shared" ref="K20:K31" si="36">AC20</f>
        <v>0</v>
      </c>
      <c r="L20" s="59">
        <f t="shared" ref="L20:L31" si="37">AD20</f>
        <v>0</v>
      </c>
      <c r="M20" s="107">
        <f t="shared" ref="M20:M31" si="38">AI20</f>
        <v>0</v>
      </c>
      <c r="N20" s="109" t="s">
        <v>106</v>
      </c>
      <c r="O20" s="105">
        <f t="shared" ref="O20:O31" si="39">AH20</f>
        <v>0</v>
      </c>
      <c r="P20" s="174">
        <f t="shared" si="3"/>
        <v>243993</v>
      </c>
      <c r="Q20" s="168"/>
      <c r="S20" s="119"/>
      <c r="T20" s="139"/>
      <c r="U20" s="119"/>
      <c r="V20" s="166"/>
      <c r="W20" s="119"/>
      <c r="X20" s="140"/>
      <c r="Y20" s="119"/>
      <c r="Z20" s="141"/>
      <c r="AA20" s="147"/>
      <c r="AB20" s="146"/>
      <c r="AC20" s="119"/>
      <c r="AD20" s="146"/>
      <c r="AE20" s="119"/>
      <c r="AF20" s="119"/>
      <c r="AG20" s="141"/>
      <c r="AH20" s="141"/>
      <c r="AI20" s="141"/>
      <c r="AJ20" s="139"/>
      <c r="AK20" s="143"/>
      <c r="AL20" s="139"/>
      <c r="AM20" s="143"/>
      <c r="AN20" s="139"/>
      <c r="AO20" s="143"/>
      <c r="AP20" s="119"/>
      <c r="AQ20" s="144"/>
    </row>
    <row r="21" spans="1:43" ht="38.25" hidden="1" x14ac:dyDescent="0.2">
      <c r="A21" s="105">
        <f t="shared" si="26"/>
        <v>0</v>
      </c>
      <c r="B21" s="59">
        <f t="shared" si="27"/>
        <v>0</v>
      </c>
      <c r="C21" s="59">
        <f t="shared" si="28"/>
        <v>0</v>
      </c>
      <c r="D21" s="59">
        <f t="shared" si="29"/>
        <v>0</v>
      </c>
      <c r="E21" s="59">
        <f t="shared" si="30"/>
        <v>0</v>
      </c>
      <c r="F21" s="59">
        <f t="shared" si="31"/>
        <v>0</v>
      </c>
      <c r="G21" s="59">
        <f t="shared" si="32"/>
        <v>0</v>
      </c>
      <c r="H21" s="106">
        <f t="shared" si="33"/>
        <v>0</v>
      </c>
      <c r="I21" s="86">
        <f t="shared" si="34"/>
        <v>0</v>
      </c>
      <c r="J21" s="87">
        <f t="shared" si="35"/>
        <v>0</v>
      </c>
      <c r="K21" s="59">
        <f t="shared" si="36"/>
        <v>0</v>
      </c>
      <c r="L21" s="59">
        <f t="shared" si="37"/>
        <v>0</v>
      </c>
      <c r="M21" s="107">
        <f t="shared" si="38"/>
        <v>0</v>
      </c>
      <c r="N21" s="109" t="s">
        <v>106</v>
      </c>
      <c r="O21" s="105">
        <f t="shared" si="39"/>
        <v>0</v>
      </c>
      <c r="P21" s="174">
        <f t="shared" si="3"/>
        <v>243993</v>
      </c>
      <c r="Q21" s="168"/>
      <c r="S21" s="119"/>
      <c r="T21" s="139"/>
      <c r="U21" s="119"/>
      <c r="V21" s="166"/>
      <c r="W21" s="119"/>
      <c r="X21" s="140"/>
      <c r="Y21" s="119"/>
      <c r="Z21" s="141"/>
      <c r="AA21" s="147"/>
      <c r="AB21" s="146"/>
      <c r="AC21" s="119"/>
      <c r="AD21" s="146"/>
      <c r="AE21" s="119"/>
      <c r="AF21" s="119"/>
      <c r="AG21" s="141"/>
      <c r="AH21" s="141"/>
      <c r="AI21" s="141"/>
      <c r="AJ21" s="139"/>
      <c r="AK21" s="143"/>
      <c r="AL21" s="139"/>
      <c r="AM21" s="143"/>
      <c r="AN21" s="139"/>
      <c r="AO21" s="143"/>
      <c r="AP21" s="119"/>
      <c r="AQ21" s="144"/>
    </row>
    <row r="22" spans="1:43" ht="38.25" hidden="1" x14ac:dyDescent="0.2">
      <c r="A22" s="105">
        <f t="shared" si="26"/>
        <v>0</v>
      </c>
      <c r="B22" s="59">
        <f t="shared" si="27"/>
        <v>0</v>
      </c>
      <c r="C22" s="59">
        <f t="shared" si="28"/>
        <v>0</v>
      </c>
      <c r="D22" s="59">
        <f t="shared" si="29"/>
        <v>0</v>
      </c>
      <c r="E22" s="59">
        <f t="shared" si="30"/>
        <v>0</v>
      </c>
      <c r="F22" s="59">
        <f t="shared" si="31"/>
        <v>0</v>
      </c>
      <c r="G22" s="59">
        <f t="shared" si="32"/>
        <v>0</v>
      </c>
      <c r="H22" s="106">
        <f t="shared" si="33"/>
        <v>0</v>
      </c>
      <c r="I22" s="86">
        <f t="shared" si="34"/>
        <v>0</v>
      </c>
      <c r="J22" s="87">
        <f t="shared" si="35"/>
        <v>0</v>
      </c>
      <c r="K22" s="59">
        <f t="shared" si="36"/>
        <v>0</v>
      </c>
      <c r="L22" s="59">
        <f t="shared" si="37"/>
        <v>0</v>
      </c>
      <c r="M22" s="107">
        <f t="shared" si="38"/>
        <v>0</v>
      </c>
      <c r="N22" s="109" t="s">
        <v>106</v>
      </c>
      <c r="O22" s="105">
        <f t="shared" si="39"/>
        <v>0</v>
      </c>
      <c r="P22" s="174">
        <f t="shared" si="3"/>
        <v>243993</v>
      </c>
      <c r="Q22" s="168"/>
      <c r="S22" s="119"/>
      <c r="T22" s="139"/>
      <c r="U22" s="119"/>
      <c r="V22" s="166"/>
      <c r="W22" s="119"/>
      <c r="X22" s="140"/>
      <c r="Y22" s="119"/>
      <c r="Z22" s="141"/>
      <c r="AA22" s="147"/>
      <c r="AB22" s="119"/>
      <c r="AC22" s="119"/>
      <c r="AD22" s="146"/>
      <c r="AE22" s="119"/>
      <c r="AF22" s="119"/>
      <c r="AG22" s="141"/>
      <c r="AH22" s="141"/>
      <c r="AI22" s="141"/>
      <c r="AJ22" s="139"/>
      <c r="AK22" s="143"/>
      <c r="AL22" s="139"/>
      <c r="AM22" s="143"/>
      <c r="AN22" s="139"/>
      <c r="AO22" s="143"/>
      <c r="AP22" s="119"/>
      <c r="AQ22" s="144"/>
    </row>
    <row r="23" spans="1:43" ht="38.25" hidden="1" x14ac:dyDescent="0.2">
      <c r="A23" s="105">
        <f t="shared" si="26"/>
        <v>0</v>
      </c>
      <c r="B23" s="59">
        <f t="shared" si="27"/>
        <v>0</v>
      </c>
      <c r="C23" s="59">
        <f t="shared" si="28"/>
        <v>0</v>
      </c>
      <c r="D23" s="59">
        <f t="shared" si="29"/>
        <v>0</v>
      </c>
      <c r="E23" s="59">
        <f t="shared" si="30"/>
        <v>0</v>
      </c>
      <c r="F23" s="59">
        <f t="shared" si="31"/>
        <v>0</v>
      </c>
      <c r="G23" s="59">
        <f t="shared" si="32"/>
        <v>0</v>
      </c>
      <c r="H23" s="106">
        <f t="shared" si="33"/>
        <v>0</v>
      </c>
      <c r="I23" s="86">
        <f t="shared" si="34"/>
        <v>0</v>
      </c>
      <c r="J23" s="87">
        <f t="shared" si="35"/>
        <v>0</v>
      </c>
      <c r="K23" s="59">
        <f t="shared" si="36"/>
        <v>0</v>
      </c>
      <c r="L23" s="59">
        <f t="shared" si="37"/>
        <v>0</v>
      </c>
      <c r="M23" s="107">
        <f t="shared" si="38"/>
        <v>0</v>
      </c>
      <c r="N23" s="109" t="s">
        <v>106</v>
      </c>
      <c r="O23" s="105">
        <f t="shared" si="39"/>
        <v>0</v>
      </c>
      <c r="P23" s="174">
        <f t="shared" si="3"/>
        <v>243993</v>
      </c>
      <c r="Q23" s="168"/>
      <c r="S23" s="119"/>
      <c r="T23" s="139"/>
      <c r="U23" s="119"/>
      <c r="V23" s="166"/>
      <c r="W23" s="119"/>
      <c r="X23" s="140"/>
      <c r="Y23" s="119"/>
      <c r="Z23" s="141"/>
      <c r="AA23" s="147"/>
      <c r="AB23" s="119"/>
      <c r="AC23" s="119"/>
      <c r="AD23" s="146"/>
      <c r="AE23" s="119"/>
      <c r="AF23" s="119"/>
      <c r="AG23" s="141"/>
      <c r="AH23" s="141"/>
      <c r="AI23" s="141"/>
      <c r="AJ23" s="139"/>
      <c r="AK23" s="143"/>
      <c r="AL23" s="139"/>
      <c r="AM23" s="143"/>
      <c r="AN23" s="139"/>
      <c r="AO23" s="143"/>
      <c r="AP23" s="119"/>
      <c r="AQ23" s="144"/>
    </row>
    <row r="24" spans="1:43" ht="38.25" hidden="1" x14ac:dyDescent="0.2">
      <c r="A24" s="105">
        <f t="shared" si="26"/>
        <v>0</v>
      </c>
      <c r="B24" s="59">
        <f t="shared" si="27"/>
        <v>0</v>
      </c>
      <c r="C24" s="59">
        <f t="shared" si="28"/>
        <v>0</v>
      </c>
      <c r="D24" s="59">
        <f t="shared" si="29"/>
        <v>0</v>
      </c>
      <c r="E24" s="59">
        <f t="shared" si="30"/>
        <v>0</v>
      </c>
      <c r="F24" s="59">
        <f t="shared" si="31"/>
        <v>0</v>
      </c>
      <c r="G24" s="59">
        <f t="shared" si="32"/>
        <v>0</v>
      </c>
      <c r="H24" s="106">
        <f t="shared" si="33"/>
        <v>0</v>
      </c>
      <c r="I24" s="86">
        <f t="shared" si="34"/>
        <v>0</v>
      </c>
      <c r="J24" s="87">
        <f t="shared" si="35"/>
        <v>0</v>
      </c>
      <c r="K24" s="59">
        <f t="shared" si="36"/>
        <v>0</v>
      </c>
      <c r="L24" s="59">
        <f t="shared" si="37"/>
        <v>0</v>
      </c>
      <c r="M24" s="107">
        <f t="shared" si="38"/>
        <v>0</v>
      </c>
      <c r="N24" s="109" t="s">
        <v>106</v>
      </c>
      <c r="O24" s="105">
        <f t="shared" si="39"/>
        <v>0</v>
      </c>
      <c r="P24" s="174">
        <f t="shared" si="3"/>
        <v>243993</v>
      </c>
      <c r="Q24" s="168"/>
      <c r="S24" s="119"/>
      <c r="T24" s="139"/>
      <c r="U24" s="119"/>
      <c r="V24" s="166"/>
      <c r="W24" s="119"/>
      <c r="X24" s="140"/>
      <c r="Y24" s="119"/>
      <c r="Z24" s="141"/>
      <c r="AA24" s="147"/>
      <c r="AB24" s="119"/>
      <c r="AC24" s="119"/>
      <c r="AD24" s="146"/>
      <c r="AE24" s="119"/>
      <c r="AF24" s="119"/>
      <c r="AG24" s="141"/>
      <c r="AH24" s="141"/>
      <c r="AI24" s="141"/>
      <c r="AJ24" s="139"/>
      <c r="AK24" s="143"/>
      <c r="AL24" s="139"/>
      <c r="AM24" s="143"/>
      <c r="AN24" s="139"/>
      <c r="AO24" s="143"/>
      <c r="AP24" s="119"/>
      <c r="AQ24" s="144"/>
    </row>
    <row r="25" spans="1:43" ht="38.25" hidden="1" x14ac:dyDescent="0.2">
      <c r="A25" s="105">
        <f t="shared" si="26"/>
        <v>0</v>
      </c>
      <c r="B25" s="59">
        <f t="shared" si="27"/>
        <v>0</v>
      </c>
      <c r="C25" s="59">
        <f t="shared" si="28"/>
        <v>0</v>
      </c>
      <c r="D25" s="59">
        <f t="shared" si="29"/>
        <v>0</v>
      </c>
      <c r="E25" s="59">
        <f t="shared" si="30"/>
        <v>0</v>
      </c>
      <c r="F25" s="59">
        <f t="shared" si="31"/>
        <v>0</v>
      </c>
      <c r="G25" s="59">
        <f t="shared" si="32"/>
        <v>0</v>
      </c>
      <c r="H25" s="106">
        <f t="shared" si="33"/>
        <v>0</v>
      </c>
      <c r="I25" s="86">
        <f t="shared" si="34"/>
        <v>0</v>
      </c>
      <c r="J25" s="87">
        <f t="shared" si="35"/>
        <v>0</v>
      </c>
      <c r="K25" s="59">
        <f t="shared" si="36"/>
        <v>0</v>
      </c>
      <c r="L25" s="59">
        <f t="shared" si="37"/>
        <v>0</v>
      </c>
      <c r="M25" s="107">
        <f t="shared" si="38"/>
        <v>0</v>
      </c>
      <c r="N25" s="109" t="s">
        <v>106</v>
      </c>
      <c r="O25" s="105">
        <f t="shared" si="39"/>
        <v>0</v>
      </c>
      <c r="P25" s="174">
        <f t="shared" si="3"/>
        <v>243993</v>
      </c>
      <c r="Q25" s="168"/>
      <c r="S25" s="119"/>
      <c r="T25" s="139"/>
      <c r="U25" s="119"/>
      <c r="V25" s="166"/>
      <c r="W25" s="119"/>
      <c r="X25" s="140"/>
      <c r="Y25" s="119"/>
      <c r="Z25" s="147"/>
      <c r="AA25" s="147"/>
      <c r="AB25" s="119"/>
      <c r="AC25" s="119"/>
      <c r="AD25" s="146"/>
      <c r="AE25" s="119"/>
      <c r="AF25" s="119"/>
      <c r="AG25" s="141"/>
      <c r="AH25" s="141"/>
      <c r="AI25" s="141"/>
      <c r="AJ25" s="139"/>
      <c r="AK25" s="143"/>
      <c r="AL25" s="139"/>
      <c r="AM25" s="143"/>
      <c r="AN25" s="139"/>
      <c r="AO25" s="143"/>
      <c r="AP25" s="119"/>
      <c r="AQ25" s="144"/>
    </row>
    <row r="26" spans="1:43" ht="38.25" hidden="1" x14ac:dyDescent="0.2">
      <c r="A26" s="105">
        <f t="shared" si="26"/>
        <v>0</v>
      </c>
      <c r="B26" s="59">
        <f t="shared" si="27"/>
        <v>0</v>
      </c>
      <c r="C26" s="59">
        <f t="shared" si="28"/>
        <v>0</v>
      </c>
      <c r="D26" s="59">
        <f t="shared" si="29"/>
        <v>0</v>
      </c>
      <c r="E26" s="59">
        <f t="shared" si="30"/>
        <v>0</v>
      </c>
      <c r="F26" s="59">
        <f t="shared" si="31"/>
        <v>0</v>
      </c>
      <c r="G26" s="59">
        <f t="shared" si="32"/>
        <v>0</v>
      </c>
      <c r="H26" s="106">
        <f t="shared" si="33"/>
        <v>0</v>
      </c>
      <c r="I26" s="86">
        <f t="shared" si="34"/>
        <v>0</v>
      </c>
      <c r="J26" s="87">
        <f t="shared" si="35"/>
        <v>0</v>
      </c>
      <c r="K26" s="59">
        <f t="shared" si="36"/>
        <v>0</v>
      </c>
      <c r="L26" s="59">
        <f t="shared" si="37"/>
        <v>0</v>
      </c>
      <c r="M26" s="107">
        <f t="shared" si="38"/>
        <v>0</v>
      </c>
      <c r="N26" s="109" t="s">
        <v>106</v>
      </c>
      <c r="O26" s="105">
        <f t="shared" si="39"/>
        <v>0</v>
      </c>
      <c r="P26" s="174">
        <f t="shared" si="3"/>
        <v>243993</v>
      </c>
      <c r="Q26" s="168"/>
      <c r="S26" s="119"/>
      <c r="T26" s="139"/>
      <c r="U26" s="119"/>
      <c r="V26" s="166"/>
      <c r="W26" s="119"/>
      <c r="X26" s="140"/>
      <c r="Y26" s="119"/>
      <c r="Z26" s="147"/>
      <c r="AA26" s="147"/>
      <c r="AB26" s="119"/>
      <c r="AC26" s="119"/>
      <c r="AD26" s="146"/>
      <c r="AE26" s="119"/>
      <c r="AF26" s="119"/>
      <c r="AG26" s="141"/>
      <c r="AH26" s="141"/>
      <c r="AI26" s="141"/>
      <c r="AJ26" s="139"/>
      <c r="AK26" s="143"/>
      <c r="AL26" s="139"/>
      <c r="AM26" s="143"/>
      <c r="AN26" s="139"/>
      <c r="AO26" s="143"/>
      <c r="AP26" s="119"/>
      <c r="AQ26" s="144"/>
    </row>
    <row r="27" spans="1:43" ht="38.25" hidden="1" x14ac:dyDescent="0.2">
      <c r="A27" s="105">
        <f t="shared" si="26"/>
        <v>0</v>
      </c>
      <c r="B27" s="59">
        <f t="shared" si="27"/>
        <v>0</v>
      </c>
      <c r="C27" s="59">
        <f t="shared" si="28"/>
        <v>0</v>
      </c>
      <c r="D27" s="59">
        <f t="shared" si="29"/>
        <v>0</v>
      </c>
      <c r="E27" s="59">
        <f t="shared" si="30"/>
        <v>0</v>
      </c>
      <c r="F27" s="59">
        <f t="shared" si="31"/>
        <v>0</v>
      </c>
      <c r="G27" s="59">
        <f t="shared" si="32"/>
        <v>0</v>
      </c>
      <c r="H27" s="106">
        <f t="shared" si="33"/>
        <v>0</v>
      </c>
      <c r="I27" s="86">
        <f t="shared" si="34"/>
        <v>0</v>
      </c>
      <c r="J27" s="87">
        <f t="shared" si="35"/>
        <v>0</v>
      </c>
      <c r="K27" s="59">
        <f t="shared" si="36"/>
        <v>0</v>
      </c>
      <c r="L27" s="59">
        <f t="shared" si="37"/>
        <v>0</v>
      </c>
      <c r="M27" s="107">
        <f t="shared" si="38"/>
        <v>0</v>
      </c>
      <c r="N27" s="109" t="s">
        <v>106</v>
      </c>
      <c r="O27" s="105">
        <f t="shared" si="39"/>
        <v>0</v>
      </c>
      <c r="P27" s="174">
        <f t="shared" si="3"/>
        <v>243993</v>
      </c>
      <c r="Q27" s="168"/>
      <c r="S27" s="119"/>
      <c r="T27" s="139"/>
      <c r="U27" s="119"/>
      <c r="V27" s="166"/>
      <c r="W27" s="119"/>
      <c r="X27" s="140"/>
      <c r="Y27" s="119"/>
      <c r="Z27" s="147"/>
      <c r="AA27" s="147"/>
      <c r="AB27" s="119"/>
      <c r="AC27" s="119"/>
      <c r="AD27" s="146"/>
      <c r="AE27" s="119"/>
      <c r="AF27" s="119"/>
      <c r="AG27" s="141"/>
      <c r="AH27" s="141"/>
      <c r="AI27" s="141"/>
      <c r="AJ27" s="139"/>
      <c r="AK27" s="143"/>
      <c r="AL27" s="139"/>
      <c r="AM27" s="143"/>
      <c r="AN27" s="139"/>
      <c r="AO27" s="143"/>
      <c r="AP27" s="119"/>
      <c r="AQ27" s="144"/>
    </row>
    <row r="28" spans="1:43" ht="38.25" hidden="1" x14ac:dyDescent="0.2">
      <c r="A28" s="105">
        <f t="shared" si="26"/>
        <v>0</v>
      </c>
      <c r="B28" s="59">
        <f t="shared" si="27"/>
        <v>0</v>
      </c>
      <c r="C28" s="59">
        <f t="shared" si="28"/>
        <v>0</v>
      </c>
      <c r="D28" s="59">
        <f t="shared" si="29"/>
        <v>0</v>
      </c>
      <c r="E28" s="59">
        <f t="shared" si="30"/>
        <v>0</v>
      </c>
      <c r="F28" s="59">
        <f t="shared" si="31"/>
        <v>0</v>
      </c>
      <c r="G28" s="59">
        <f t="shared" si="32"/>
        <v>0</v>
      </c>
      <c r="H28" s="106">
        <f t="shared" si="33"/>
        <v>0</v>
      </c>
      <c r="I28" s="86">
        <f t="shared" si="34"/>
        <v>0</v>
      </c>
      <c r="J28" s="87">
        <f t="shared" si="35"/>
        <v>0</v>
      </c>
      <c r="K28" s="59">
        <f t="shared" si="36"/>
        <v>0</v>
      </c>
      <c r="L28" s="59">
        <f t="shared" si="37"/>
        <v>0</v>
      </c>
      <c r="M28" s="107">
        <f t="shared" si="38"/>
        <v>0</v>
      </c>
      <c r="N28" s="109" t="s">
        <v>106</v>
      </c>
      <c r="O28" s="105">
        <f t="shared" si="39"/>
        <v>0</v>
      </c>
      <c r="P28" s="174">
        <f t="shared" si="3"/>
        <v>243993</v>
      </c>
      <c r="Q28" s="168"/>
      <c r="S28" s="119"/>
      <c r="T28" s="139"/>
      <c r="U28" s="119"/>
      <c r="V28" s="166"/>
      <c r="W28" s="119"/>
      <c r="X28" s="140"/>
      <c r="Y28" s="119"/>
      <c r="Z28" s="147"/>
      <c r="AA28" s="147"/>
      <c r="AB28" s="119"/>
      <c r="AC28" s="119"/>
      <c r="AD28" s="146"/>
      <c r="AE28" s="119"/>
      <c r="AF28" s="119"/>
      <c r="AG28" s="141"/>
      <c r="AH28" s="141"/>
      <c r="AI28" s="141"/>
      <c r="AJ28" s="139"/>
      <c r="AK28" s="143"/>
      <c r="AL28" s="139"/>
      <c r="AM28" s="143"/>
      <c r="AN28" s="139"/>
      <c r="AO28" s="143"/>
      <c r="AP28" s="119"/>
      <c r="AQ28" s="144"/>
    </row>
    <row r="29" spans="1:43" ht="38.25" hidden="1" x14ac:dyDescent="0.2">
      <c r="A29" s="105">
        <f t="shared" si="26"/>
        <v>0</v>
      </c>
      <c r="B29" s="59">
        <f t="shared" si="27"/>
        <v>0</v>
      </c>
      <c r="C29" s="59">
        <f t="shared" si="28"/>
        <v>0</v>
      </c>
      <c r="D29" s="59">
        <f t="shared" si="29"/>
        <v>0</v>
      </c>
      <c r="E29" s="59">
        <f t="shared" si="30"/>
        <v>0</v>
      </c>
      <c r="F29" s="59">
        <f t="shared" si="31"/>
        <v>0</v>
      </c>
      <c r="G29" s="59">
        <f t="shared" si="32"/>
        <v>0</v>
      </c>
      <c r="H29" s="106">
        <f t="shared" si="33"/>
        <v>0</v>
      </c>
      <c r="I29" s="86">
        <f t="shared" si="34"/>
        <v>0</v>
      </c>
      <c r="J29" s="87">
        <f t="shared" si="35"/>
        <v>0</v>
      </c>
      <c r="K29" s="59">
        <f t="shared" si="36"/>
        <v>0</v>
      </c>
      <c r="L29" s="59">
        <f t="shared" si="37"/>
        <v>0</v>
      </c>
      <c r="M29" s="107">
        <f t="shared" si="38"/>
        <v>0</v>
      </c>
      <c r="N29" s="109" t="s">
        <v>106</v>
      </c>
      <c r="O29" s="105">
        <f t="shared" si="39"/>
        <v>0</v>
      </c>
      <c r="P29" s="174">
        <f t="shared" si="3"/>
        <v>243993</v>
      </c>
      <c r="Q29" s="168"/>
      <c r="S29" s="119"/>
      <c r="T29" s="139"/>
      <c r="U29" s="119"/>
      <c r="V29" s="166"/>
      <c r="W29" s="119"/>
      <c r="X29" s="140"/>
      <c r="Y29" s="119"/>
      <c r="Z29" s="147"/>
      <c r="AA29" s="147"/>
      <c r="AB29" s="119"/>
      <c r="AC29" s="119"/>
      <c r="AD29" s="146"/>
      <c r="AE29" s="119"/>
      <c r="AF29" s="119"/>
      <c r="AG29" s="141"/>
      <c r="AH29" s="141"/>
      <c r="AI29" s="141"/>
      <c r="AJ29" s="139"/>
      <c r="AK29" s="143"/>
      <c r="AL29" s="139"/>
      <c r="AM29" s="143"/>
      <c r="AN29" s="139"/>
      <c r="AO29" s="143"/>
      <c r="AP29" s="119"/>
      <c r="AQ29" s="144"/>
    </row>
    <row r="30" spans="1:43" ht="38.25" hidden="1" x14ac:dyDescent="0.2">
      <c r="A30" s="105">
        <f t="shared" si="26"/>
        <v>0</v>
      </c>
      <c r="B30" s="59">
        <f t="shared" si="27"/>
        <v>0</v>
      </c>
      <c r="C30" s="59">
        <f t="shared" si="28"/>
        <v>0</v>
      </c>
      <c r="D30" s="59">
        <f t="shared" si="29"/>
        <v>0</v>
      </c>
      <c r="E30" s="59">
        <f t="shared" si="30"/>
        <v>0</v>
      </c>
      <c r="F30" s="59">
        <f t="shared" si="31"/>
        <v>0</v>
      </c>
      <c r="G30" s="59">
        <f t="shared" si="32"/>
        <v>0</v>
      </c>
      <c r="H30" s="106">
        <f t="shared" si="33"/>
        <v>0</v>
      </c>
      <c r="I30" s="86">
        <f t="shared" si="34"/>
        <v>0</v>
      </c>
      <c r="J30" s="87">
        <f t="shared" si="35"/>
        <v>0</v>
      </c>
      <c r="K30" s="59">
        <f t="shared" si="36"/>
        <v>0</v>
      </c>
      <c r="L30" s="59">
        <f t="shared" si="37"/>
        <v>0</v>
      </c>
      <c r="M30" s="107">
        <f t="shared" si="38"/>
        <v>0</v>
      </c>
      <c r="N30" s="109" t="s">
        <v>106</v>
      </c>
      <c r="O30" s="105">
        <f t="shared" si="39"/>
        <v>0</v>
      </c>
      <c r="P30" s="174">
        <f t="shared" si="3"/>
        <v>243993</v>
      </c>
      <c r="Q30" s="168"/>
      <c r="S30" s="119"/>
      <c r="T30" s="139"/>
      <c r="U30" s="119"/>
      <c r="V30" s="166"/>
      <c r="W30" s="119"/>
      <c r="X30" s="140"/>
      <c r="Y30" s="119"/>
      <c r="Z30" s="147"/>
      <c r="AA30" s="147"/>
      <c r="AB30" s="119"/>
      <c r="AC30" s="119"/>
      <c r="AD30" s="146"/>
      <c r="AE30" s="119"/>
      <c r="AF30" s="119"/>
      <c r="AG30" s="141"/>
      <c r="AH30" s="141"/>
      <c r="AI30" s="141"/>
      <c r="AJ30" s="139"/>
      <c r="AK30" s="143"/>
      <c r="AL30" s="139"/>
      <c r="AM30" s="143"/>
      <c r="AN30" s="139"/>
      <c r="AO30" s="143"/>
      <c r="AP30" s="119"/>
      <c r="AQ30" s="144"/>
    </row>
    <row r="31" spans="1:43" ht="38.25" hidden="1" x14ac:dyDescent="0.2">
      <c r="A31" s="105">
        <f t="shared" si="26"/>
        <v>0</v>
      </c>
      <c r="B31" s="59">
        <f t="shared" si="27"/>
        <v>0</v>
      </c>
      <c r="C31" s="59">
        <f t="shared" si="28"/>
        <v>0</v>
      </c>
      <c r="D31" s="59">
        <f t="shared" si="29"/>
        <v>0</v>
      </c>
      <c r="E31" s="59">
        <f t="shared" si="30"/>
        <v>0</v>
      </c>
      <c r="F31" s="59">
        <f t="shared" si="31"/>
        <v>0</v>
      </c>
      <c r="G31" s="59">
        <f t="shared" si="32"/>
        <v>0</v>
      </c>
      <c r="H31" s="106">
        <f t="shared" si="33"/>
        <v>0</v>
      </c>
      <c r="I31" s="86">
        <f t="shared" si="34"/>
        <v>0</v>
      </c>
      <c r="J31" s="87">
        <f t="shared" si="35"/>
        <v>0</v>
      </c>
      <c r="K31" s="59">
        <f t="shared" si="36"/>
        <v>0</v>
      </c>
      <c r="L31" s="59">
        <f t="shared" si="37"/>
        <v>0</v>
      </c>
      <c r="M31" s="107">
        <f t="shared" si="38"/>
        <v>0</v>
      </c>
      <c r="N31" s="109" t="s">
        <v>106</v>
      </c>
      <c r="O31" s="105">
        <f t="shared" si="39"/>
        <v>0</v>
      </c>
      <c r="P31" s="174">
        <f t="shared" si="3"/>
        <v>243993</v>
      </c>
      <c r="Q31" s="168"/>
      <c r="S31" s="119"/>
      <c r="T31" s="139"/>
      <c r="U31" s="119"/>
      <c r="V31" s="166"/>
      <c r="W31" s="119"/>
      <c r="X31" s="140"/>
      <c r="Y31" s="119"/>
      <c r="Z31" s="147"/>
      <c r="AA31" s="141"/>
      <c r="AB31" s="119"/>
      <c r="AC31" s="119"/>
      <c r="AD31" s="119"/>
      <c r="AE31" s="119"/>
      <c r="AF31" s="119"/>
      <c r="AG31" s="141"/>
      <c r="AH31" s="141"/>
      <c r="AI31" s="141"/>
      <c r="AJ31" s="139"/>
      <c r="AK31" s="143"/>
      <c r="AL31" s="139"/>
      <c r="AM31" s="143"/>
      <c r="AN31" s="139"/>
      <c r="AO31" s="143"/>
      <c r="AP31" s="119"/>
      <c r="AQ31" s="144"/>
    </row>
    <row r="32" spans="1:43" ht="49.5" hidden="1" customHeight="1" x14ac:dyDescent="0.2">
      <c r="A32" s="105">
        <f t="shared" ref="A32:A40" si="40">T32</f>
        <v>0</v>
      </c>
      <c r="B32" s="59">
        <f t="shared" ref="B32:B40" si="41">V32</f>
        <v>0</v>
      </c>
      <c r="C32" s="59">
        <f t="shared" ref="C32:C40" si="42">W32</f>
        <v>0</v>
      </c>
      <c r="D32" s="59">
        <f t="shared" ref="D32:D40" si="43">X32</f>
        <v>0</v>
      </c>
      <c r="E32" s="59">
        <f t="shared" ref="E32:E40" si="44">Y32</f>
        <v>0</v>
      </c>
      <c r="F32" s="59">
        <f t="shared" ref="F32:F40" si="45">Z32</f>
        <v>0</v>
      </c>
      <c r="G32" s="59">
        <f t="shared" ref="G32:G40" si="46">AA32</f>
        <v>0</v>
      </c>
      <c r="H32" s="106">
        <f t="shared" ref="H32:H40" si="47">AB32</f>
        <v>0</v>
      </c>
      <c r="I32" s="86">
        <f t="shared" ref="I32:I40" si="48">AE32</f>
        <v>0</v>
      </c>
      <c r="J32" s="87">
        <f t="shared" ref="J32:J40" si="49">AF32</f>
        <v>0</v>
      </c>
      <c r="K32" s="59">
        <f t="shared" ref="K32:K40" si="50">AC32</f>
        <v>0</v>
      </c>
      <c r="L32" s="59">
        <f t="shared" ref="L32:L40" si="51">AD32</f>
        <v>0</v>
      </c>
      <c r="M32" s="107">
        <f t="shared" ref="M32:M40" si="52">AI32</f>
        <v>0</v>
      </c>
      <c r="N32" s="109" t="s">
        <v>106</v>
      </c>
      <c r="O32" s="105">
        <f t="shared" ref="O32:O40" si="53">AH32</f>
        <v>0</v>
      </c>
      <c r="P32" s="174">
        <f t="shared" si="3"/>
        <v>243993</v>
      </c>
      <c r="Q32" s="168"/>
      <c r="S32" s="119"/>
      <c r="T32" s="139"/>
      <c r="U32" s="119"/>
      <c r="V32" s="166"/>
      <c r="W32" s="119"/>
      <c r="X32" s="140"/>
      <c r="Y32" s="119"/>
      <c r="Z32" s="147"/>
      <c r="AA32" s="147"/>
      <c r="AB32" s="119"/>
      <c r="AC32" s="119"/>
      <c r="AD32" s="119"/>
      <c r="AE32" s="119"/>
      <c r="AF32" s="119"/>
      <c r="AG32" s="141"/>
      <c r="AH32" s="141"/>
      <c r="AI32" s="141"/>
      <c r="AJ32" s="139"/>
      <c r="AK32" s="143"/>
      <c r="AL32" s="139"/>
      <c r="AM32" s="143"/>
      <c r="AN32" s="139" t="s">
        <v>55</v>
      </c>
      <c r="AO32" s="143">
        <v>243292</v>
      </c>
      <c r="AP32" s="119" t="s">
        <v>302</v>
      </c>
      <c r="AQ32" s="144">
        <v>3</v>
      </c>
    </row>
    <row r="33" spans="1:43" ht="21.75" hidden="1" customHeight="1" x14ac:dyDescent="0.2">
      <c r="A33" s="105">
        <f t="shared" si="40"/>
        <v>0</v>
      </c>
      <c r="B33" s="59">
        <f t="shared" si="41"/>
        <v>0</v>
      </c>
      <c r="C33" s="59">
        <f t="shared" si="42"/>
        <v>0</v>
      </c>
      <c r="D33" s="59">
        <f t="shared" si="43"/>
        <v>0</v>
      </c>
      <c r="E33" s="59">
        <f t="shared" si="44"/>
        <v>0</v>
      </c>
      <c r="F33" s="59">
        <f t="shared" si="45"/>
        <v>0</v>
      </c>
      <c r="G33" s="59">
        <f t="shared" si="46"/>
        <v>0</v>
      </c>
      <c r="H33" s="106">
        <f t="shared" si="47"/>
        <v>0</v>
      </c>
      <c r="I33" s="86">
        <f t="shared" si="48"/>
        <v>0</v>
      </c>
      <c r="J33" s="87">
        <f t="shared" si="49"/>
        <v>0</v>
      </c>
      <c r="K33" s="59">
        <f t="shared" si="50"/>
        <v>0</v>
      </c>
      <c r="L33" s="59">
        <f t="shared" si="51"/>
        <v>0</v>
      </c>
      <c r="M33" s="107">
        <f t="shared" si="52"/>
        <v>0</v>
      </c>
      <c r="N33" s="109" t="s">
        <v>106</v>
      </c>
      <c r="O33" s="105">
        <f t="shared" si="53"/>
        <v>0</v>
      </c>
      <c r="P33" s="174">
        <f t="shared" si="3"/>
        <v>243993</v>
      </c>
      <c r="Q33" s="168"/>
      <c r="S33" s="119"/>
      <c r="T33" s="139"/>
      <c r="U33" s="119"/>
      <c r="V33" s="166"/>
      <c r="W33" s="119"/>
      <c r="X33" s="140"/>
      <c r="Y33" s="119"/>
      <c r="Z33" s="147"/>
      <c r="AA33" s="147"/>
      <c r="AB33" s="119"/>
      <c r="AC33" s="119"/>
      <c r="AD33" s="146"/>
      <c r="AE33" s="119"/>
      <c r="AF33" s="119"/>
      <c r="AG33" s="141"/>
      <c r="AH33" s="141"/>
      <c r="AI33" s="141"/>
      <c r="AJ33" s="139"/>
      <c r="AK33" s="143"/>
      <c r="AL33" s="139"/>
      <c r="AM33" s="143"/>
      <c r="AN33" s="139" t="s">
        <v>55</v>
      </c>
      <c r="AO33" s="143">
        <v>243286</v>
      </c>
      <c r="AP33" s="119" t="s">
        <v>302</v>
      </c>
      <c r="AQ33" s="144">
        <v>-7</v>
      </c>
    </row>
    <row r="34" spans="1:43" ht="20.45" hidden="1" customHeight="1" x14ac:dyDescent="0.2">
      <c r="A34" s="105">
        <f t="shared" si="40"/>
        <v>0</v>
      </c>
      <c r="B34" s="59">
        <f t="shared" si="41"/>
        <v>0</v>
      </c>
      <c r="C34" s="59">
        <f t="shared" si="42"/>
        <v>0</v>
      </c>
      <c r="D34" s="59">
        <f t="shared" si="43"/>
        <v>0</v>
      </c>
      <c r="E34" s="59">
        <f t="shared" si="44"/>
        <v>0</v>
      </c>
      <c r="F34" s="59">
        <f t="shared" si="45"/>
        <v>0</v>
      </c>
      <c r="G34" s="59">
        <f t="shared" si="46"/>
        <v>0</v>
      </c>
      <c r="H34" s="106">
        <f t="shared" si="47"/>
        <v>0</v>
      </c>
      <c r="I34" s="86">
        <f t="shared" si="48"/>
        <v>0</v>
      </c>
      <c r="J34" s="87">
        <f t="shared" si="49"/>
        <v>0</v>
      </c>
      <c r="K34" s="59">
        <f t="shared" si="50"/>
        <v>0</v>
      </c>
      <c r="L34" s="59">
        <f t="shared" si="51"/>
        <v>0</v>
      </c>
      <c r="M34" s="107">
        <f t="shared" si="52"/>
        <v>0</v>
      </c>
      <c r="N34" s="109" t="s">
        <v>106</v>
      </c>
      <c r="O34" s="105">
        <f t="shared" si="53"/>
        <v>0</v>
      </c>
      <c r="P34" s="174">
        <f t="shared" si="3"/>
        <v>243993</v>
      </c>
      <c r="Q34" s="168"/>
      <c r="S34" s="119"/>
      <c r="T34" s="139"/>
      <c r="U34" s="119"/>
      <c r="V34" s="166"/>
      <c r="W34" s="119"/>
      <c r="X34" s="140"/>
      <c r="Y34" s="119"/>
      <c r="Z34" s="147"/>
      <c r="AA34" s="147"/>
      <c r="AB34" s="119"/>
      <c r="AC34" s="119"/>
      <c r="AD34" s="146"/>
      <c r="AE34" s="119"/>
      <c r="AF34" s="119"/>
      <c r="AG34" s="141"/>
      <c r="AH34" s="141"/>
      <c r="AI34" s="141"/>
      <c r="AJ34" s="139"/>
      <c r="AK34" s="143"/>
      <c r="AL34" s="139"/>
      <c r="AM34" s="143"/>
      <c r="AN34" s="139" t="s">
        <v>55</v>
      </c>
      <c r="AO34" s="143">
        <v>243288</v>
      </c>
      <c r="AP34" s="119" t="s">
        <v>302</v>
      </c>
      <c r="AQ34" s="144">
        <v>-5</v>
      </c>
    </row>
    <row r="35" spans="1:43" ht="20.45" hidden="1" customHeight="1" x14ac:dyDescent="0.2">
      <c r="A35" s="105">
        <f t="shared" si="40"/>
        <v>0</v>
      </c>
      <c r="B35" s="59">
        <f t="shared" si="41"/>
        <v>0</v>
      </c>
      <c r="C35" s="59">
        <f t="shared" si="42"/>
        <v>0</v>
      </c>
      <c r="D35" s="59">
        <f t="shared" si="43"/>
        <v>0</v>
      </c>
      <c r="E35" s="59">
        <f t="shared" si="44"/>
        <v>0</v>
      </c>
      <c r="F35" s="59">
        <f t="shared" si="45"/>
        <v>0</v>
      </c>
      <c r="G35" s="59">
        <f t="shared" si="46"/>
        <v>0</v>
      </c>
      <c r="H35" s="106">
        <f t="shared" si="47"/>
        <v>0</v>
      </c>
      <c r="I35" s="86">
        <f t="shared" si="48"/>
        <v>0</v>
      </c>
      <c r="J35" s="87">
        <f t="shared" si="49"/>
        <v>0</v>
      </c>
      <c r="K35" s="59">
        <f t="shared" si="50"/>
        <v>0</v>
      </c>
      <c r="L35" s="59">
        <f t="shared" si="51"/>
        <v>0</v>
      </c>
      <c r="M35" s="107">
        <f t="shared" si="52"/>
        <v>0</v>
      </c>
      <c r="N35" s="109" t="s">
        <v>106</v>
      </c>
      <c r="O35" s="105">
        <f t="shared" si="53"/>
        <v>0</v>
      </c>
      <c r="P35" s="173">
        <f t="shared" si="3"/>
        <v>243993</v>
      </c>
      <c r="Q35" s="168"/>
      <c r="S35" s="119"/>
      <c r="T35" s="139"/>
      <c r="U35" s="119"/>
      <c r="V35" s="166"/>
      <c r="W35" s="119"/>
      <c r="X35" s="140"/>
      <c r="Y35" s="119"/>
      <c r="Z35" s="147"/>
      <c r="AA35" s="147"/>
      <c r="AB35" s="119"/>
      <c r="AC35" s="119"/>
      <c r="AD35" s="146"/>
      <c r="AE35" s="119"/>
      <c r="AF35" s="119"/>
      <c r="AG35" s="141"/>
      <c r="AH35" s="141"/>
      <c r="AI35" s="141"/>
    </row>
    <row r="36" spans="1:43" ht="29.25" hidden="1" x14ac:dyDescent="0.2">
      <c r="A36" s="105">
        <f t="shared" si="40"/>
        <v>0</v>
      </c>
      <c r="B36" s="59">
        <f t="shared" si="41"/>
        <v>0</v>
      </c>
      <c r="C36" s="59">
        <f t="shared" si="42"/>
        <v>0</v>
      </c>
      <c r="D36" s="59">
        <f t="shared" si="43"/>
        <v>0</v>
      </c>
      <c r="E36" s="59">
        <f t="shared" si="44"/>
        <v>0</v>
      </c>
      <c r="F36" s="59">
        <f t="shared" si="45"/>
        <v>0</v>
      </c>
      <c r="G36" s="59">
        <f t="shared" si="46"/>
        <v>0</v>
      </c>
      <c r="H36" s="106">
        <f t="shared" si="47"/>
        <v>0</v>
      </c>
      <c r="I36" s="86">
        <f t="shared" si="48"/>
        <v>0</v>
      </c>
      <c r="J36" s="87">
        <f t="shared" si="49"/>
        <v>0</v>
      </c>
      <c r="K36" s="59">
        <f t="shared" si="50"/>
        <v>0</v>
      </c>
      <c r="L36" s="59">
        <f t="shared" si="51"/>
        <v>0</v>
      </c>
      <c r="M36" s="107">
        <f t="shared" si="52"/>
        <v>0</v>
      </c>
      <c r="N36" s="109" t="s">
        <v>106</v>
      </c>
      <c r="O36" s="105">
        <f t="shared" si="53"/>
        <v>0</v>
      </c>
      <c r="P36" s="173">
        <f t="shared" si="3"/>
        <v>243993</v>
      </c>
      <c r="Q36" s="168"/>
      <c r="S36" s="119"/>
      <c r="T36" s="139"/>
      <c r="U36" s="119"/>
      <c r="V36" s="166"/>
      <c r="W36" s="119"/>
      <c r="X36" s="140"/>
      <c r="Y36" s="119"/>
      <c r="Z36" s="147"/>
      <c r="AA36" s="147"/>
      <c r="AB36" s="119"/>
      <c r="AC36" s="119"/>
      <c r="AD36" s="146"/>
      <c r="AE36" s="119"/>
      <c r="AF36" s="119"/>
      <c r="AG36" s="141"/>
      <c r="AH36" s="141"/>
      <c r="AI36" s="141"/>
    </row>
    <row r="37" spans="1:43" ht="29.25" hidden="1" x14ac:dyDescent="0.2">
      <c r="A37" s="105">
        <f t="shared" si="40"/>
        <v>0</v>
      </c>
      <c r="B37" s="59">
        <f t="shared" si="41"/>
        <v>0</v>
      </c>
      <c r="C37" s="59">
        <f t="shared" si="42"/>
        <v>0</v>
      </c>
      <c r="D37" s="59">
        <f t="shared" si="43"/>
        <v>0</v>
      </c>
      <c r="E37" s="59">
        <f t="shared" si="44"/>
        <v>0</v>
      </c>
      <c r="F37" s="59">
        <f t="shared" si="45"/>
        <v>0</v>
      </c>
      <c r="G37" s="59">
        <f t="shared" si="46"/>
        <v>0</v>
      </c>
      <c r="H37" s="106">
        <f t="shared" si="47"/>
        <v>0</v>
      </c>
      <c r="I37" s="86">
        <f t="shared" si="48"/>
        <v>0</v>
      </c>
      <c r="J37" s="87">
        <f t="shared" si="49"/>
        <v>0</v>
      </c>
      <c r="K37" s="59">
        <f t="shared" si="50"/>
        <v>0</v>
      </c>
      <c r="L37" s="59">
        <f t="shared" si="51"/>
        <v>0</v>
      </c>
      <c r="M37" s="107">
        <f t="shared" si="52"/>
        <v>0</v>
      </c>
      <c r="N37" s="109" t="s">
        <v>106</v>
      </c>
      <c r="O37" s="105">
        <f t="shared" si="53"/>
        <v>0</v>
      </c>
      <c r="P37" s="173">
        <f t="shared" si="3"/>
        <v>243993</v>
      </c>
      <c r="Q37" s="168"/>
      <c r="S37" s="119"/>
      <c r="T37" s="139"/>
      <c r="U37" s="119"/>
      <c r="V37" s="166"/>
      <c r="W37" s="119"/>
      <c r="X37" s="140"/>
      <c r="Y37" s="119"/>
      <c r="Z37" s="147"/>
      <c r="AA37" s="147"/>
      <c r="AB37" s="119"/>
      <c r="AC37" s="119"/>
      <c r="AD37" s="119"/>
      <c r="AE37" s="119"/>
      <c r="AF37" s="119"/>
      <c r="AG37" s="141"/>
      <c r="AH37" s="141"/>
      <c r="AI37" s="141"/>
    </row>
    <row r="38" spans="1:43" ht="29.25" hidden="1" x14ac:dyDescent="0.2">
      <c r="A38" s="105">
        <f t="shared" si="40"/>
        <v>0</v>
      </c>
      <c r="B38" s="59">
        <f t="shared" si="41"/>
        <v>0</v>
      </c>
      <c r="C38" s="59">
        <f t="shared" si="42"/>
        <v>0</v>
      </c>
      <c r="D38" s="59">
        <f t="shared" si="43"/>
        <v>0</v>
      </c>
      <c r="E38" s="59">
        <f t="shared" si="44"/>
        <v>0</v>
      </c>
      <c r="F38" s="59">
        <f t="shared" si="45"/>
        <v>0</v>
      </c>
      <c r="G38" s="59">
        <f t="shared" si="46"/>
        <v>0</v>
      </c>
      <c r="H38" s="106">
        <f t="shared" si="47"/>
        <v>0</v>
      </c>
      <c r="I38" s="86">
        <f t="shared" si="48"/>
        <v>0</v>
      </c>
      <c r="J38" s="87">
        <f t="shared" si="49"/>
        <v>0</v>
      </c>
      <c r="K38" s="59">
        <f t="shared" si="50"/>
        <v>0</v>
      </c>
      <c r="L38" s="59">
        <f t="shared" si="51"/>
        <v>0</v>
      </c>
      <c r="M38" s="107">
        <f t="shared" si="52"/>
        <v>0</v>
      </c>
      <c r="N38" s="109" t="s">
        <v>106</v>
      </c>
      <c r="O38" s="105">
        <f t="shared" si="53"/>
        <v>0</v>
      </c>
      <c r="P38" s="173">
        <f t="shared" si="3"/>
        <v>243993</v>
      </c>
      <c r="Q38" s="168"/>
      <c r="S38" s="119"/>
      <c r="T38" s="139"/>
      <c r="U38" s="119"/>
      <c r="V38" s="166"/>
      <c r="W38" s="119"/>
      <c r="X38" s="140"/>
      <c r="Y38" s="119"/>
      <c r="Z38" s="147"/>
      <c r="AA38" s="147"/>
      <c r="AB38" s="119"/>
      <c r="AC38" s="119"/>
      <c r="AD38" s="146"/>
      <c r="AE38" s="119"/>
      <c r="AF38" s="119"/>
      <c r="AG38" s="141"/>
      <c r="AH38" s="141"/>
      <c r="AI38" s="141"/>
    </row>
    <row r="39" spans="1:43" ht="29.25" hidden="1" x14ac:dyDescent="0.2">
      <c r="A39" s="105">
        <f t="shared" si="40"/>
        <v>0</v>
      </c>
      <c r="B39" s="59">
        <f t="shared" si="41"/>
        <v>0</v>
      </c>
      <c r="C39" s="59">
        <f t="shared" si="42"/>
        <v>0</v>
      </c>
      <c r="D39" s="59">
        <f t="shared" si="43"/>
        <v>0</v>
      </c>
      <c r="E39" s="59">
        <f t="shared" si="44"/>
        <v>0</v>
      </c>
      <c r="F39" s="59">
        <f t="shared" si="45"/>
        <v>0</v>
      </c>
      <c r="G39" s="59">
        <f t="shared" si="46"/>
        <v>0</v>
      </c>
      <c r="H39" s="106">
        <f t="shared" si="47"/>
        <v>0</v>
      </c>
      <c r="I39" s="86">
        <f t="shared" si="48"/>
        <v>0</v>
      </c>
      <c r="J39" s="87">
        <f t="shared" si="49"/>
        <v>0</v>
      </c>
      <c r="K39" s="59">
        <f t="shared" si="50"/>
        <v>0</v>
      </c>
      <c r="L39" s="59">
        <f t="shared" si="51"/>
        <v>0</v>
      </c>
      <c r="M39" s="107">
        <f t="shared" si="52"/>
        <v>0</v>
      </c>
      <c r="N39" s="109" t="s">
        <v>106</v>
      </c>
      <c r="O39" s="105">
        <f t="shared" si="53"/>
        <v>0</v>
      </c>
      <c r="P39" s="173">
        <f t="shared" si="3"/>
        <v>243993</v>
      </c>
      <c r="Q39" s="168"/>
      <c r="S39" s="119"/>
      <c r="T39" s="139"/>
      <c r="U39" s="119"/>
      <c r="V39" s="166"/>
      <c r="W39" s="119"/>
      <c r="X39" s="140"/>
      <c r="Y39" s="119"/>
      <c r="Z39" s="147"/>
      <c r="AA39" s="147"/>
      <c r="AB39" s="119"/>
      <c r="AC39" s="119"/>
      <c r="AD39" s="146"/>
      <c r="AE39" s="119"/>
      <c r="AF39" s="119"/>
      <c r="AG39" s="141"/>
      <c r="AH39" s="141"/>
      <c r="AI39" s="141"/>
    </row>
    <row r="40" spans="1:43" ht="29.25" hidden="1" x14ac:dyDescent="0.2">
      <c r="A40" s="105">
        <f t="shared" si="40"/>
        <v>0</v>
      </c>
      <c r="B40" s="59">
        <f t="shared" si="41"/>
        <v>0</v>
      </c>
      <c r="C40" s="59">
        <f t="shared" si="42"/>
        <v>0</v>
      </c>
      <c r="D40" s="59">
        <f t="shared" si="43"/>
        <v>0</v>
      </c>
      <c r="E40" s="59">
        <f t="shared" si="44"/>
        <v>0</v>
      </c>
      <c r="F40" s="59">
        <f t="shared" si="45"/>
        <v>0</v>
      </c>
      <c r="G40" s="59">
        <f t="shared" si="46"/>
        <v>0</v>
      </c>
      <c r="H40" s="106">
        <f t="shared" si="47"/>
        <v>0</v>
      </c>
      <c r="I40" s="86">
        <f t="shared" si="48"/>
        <v>0</v>
      </c>
      <c r="J40" s="87">
        <f t="shared" si="49"/>
        <v>0</v>
      </c>
      <c r="K40" s="59">
        <f t="shared" si="50"/>
        <v>0</v>
      </c>
      <c r="L40" s="59">
        <f t="shared" si="51"/>
        <v>0</v>
      </c>
      <c r="M40" s="107">
        <f t="shared" si="52"/>
        <v>0</v>
      </c>
      <c r="N40" s="109" t="s">
        <v>106</v>
      </c>
      <c r="O40" s="105">
        <f t="shared" si="53"/>
        <v>0</v>
      </c>
      <c r="P40" s="173">
        <f t="shared" si="3"/>
        <v>243993</v>
      </c>
      <c r="Q40" s="168"/>
      <c r="S40" s="119"/>
      <c r="T40" s="139"/>
      <c r="U40" s="119"/>
      <c r="V40" s="166"/>
      <c r="W40" s="119"/>
      <c r="X40" s="140"/>
      <c r="Y40" s="119"/>
      <c r="Z40" s="147"/>
      <c r="AA40" s="147"/>
      <c r="AB40" s="146"/>
      <c r="AC40" s="119"/>
      <c r="AD40" s="146"/>
      <c r="AE40" s="119"/>
      <c r="AF40" s="119"/>
      <c r="AG40" s="141"/>
      <c r="AH40" s="141"/>
      <c r="AI40" s="141"/>
    </row>
    <row r="41" spans="1:43" ht="29.25" hidden="1" x14ac:dyDescent="0.4">
      <c r="A41" s="105">
        <f t="shared" ref="A41:A50" si="54">T41</f>
        <v>0</v>
      </c>
      <c r="B41" s="59">
        <f t="shared" ref="B41:B50" si="55">V41</f>
        <v>0</v>
      </c>
      <c r="C41" s="59">
        <f t="shared" ref="C41:C50" si="56">W41</f>
        <v>0</v>
      </c>
      <c r="D41" s="59">
        <f t="shared" ref="D41:D50" si="57">X41</f>
        <v>0</v>
      </c>
      <c r="E41" s="59">
        <f t="shared" ref="E41:E50" si="58">Y41</f>
        <v>0</v>
      </c>
      <c r="F41" s="59">
        <f t="shared" ref="F41:F50" si="59">Z41</f>
        <v>0</v>
      </c>
      <c r="G41" s="59">
        <f t="shared" ref="G41:G50" si="60">AA41</f>
        <v>0</v>
      </c>
      <c r="H41" s="106">
        <f t="shared" ref="H41:H50" si="61">AB41</f>
        <v>0</v>
      </c>
      <c r="I41" s="86">
        <f t="shared" ref="I41:I50" si="62">AE41</f>
        <v>0</v>
      </c>
      <c r="J41" s="87">
        <f t="shared" ref="J41:J50" si="63">AF41</f>
        <v>0</v>
      </c>
      <c r="K41" s="59">
        <f t="shared" ref="K41:K50" si="64">AC41</f>
        <v>0</v>
      </c>
      <c r="L41" s="59">
        <f t="shared" ref="L41:L50" si="65">AD41</f>
        <v>0</v>
      </c>
      <c r="M41" s="107">
        <f t="shared" ref="M41:M50" si="66">AI41</f>
        <v>0</v>
      </c>
      <c r="N41" s="109" t="s">
        <v>106</v>
      </c>
      <c r="O41" s="105">
        <f t="shared" ref="O41:O50" si="67">AH41</f>
        <v>0</v>
      </c>
      <c r="P41" s="173">
        <f t="shared" ref="P41:P50" si="68">DATEDIF(M41,$S$3,"D")</f>
        <v>243993</v>
      </c>
      <c r="Q41" s="75"/>
      <c r="S41" s="119"/>
      <c r="T41" s="139"/>
      <c r="U41" s="119"/>
      <c r="V41" s="166"/>
      <c r="W41" s="119"/>
      <c r="X41" s="140"/>
      <c r="Y41" s="119"/>
      <c r="Z41" s="147"/>
      <c r="AA41" s="147"/>
      <c r="AB41" s="119"/>
      <c r="AC41" s="119"/>
      <c r="AD41" s="146"/>
      <c r="AE41" s="119"/>
      <c r="AF41" s="119"/>
      <c r="AG41" s="141"/>
      <c r="AH41" s="141"/>
      <c r="AI41" s="141"/>
    </row>
    <row r="42" spans="1:43" ht="29.25" hidden="1" x14ac:dyDescent="0.2">
      <c r="A42" s="105">
        <f t="shared" si="54"/>
        <v>0</v>
      </c>
      <c r="B42" s="59">
        <f t="shared" si="55"/>
        <v>0</v>
      </c>
      <c r="C42" s="59">
        <f t="shared" si="56"/>
        <v>0</v>
      </c>
      <c r="D42" s="59">
        <f t="shared" si="57"/>
        <v>0</v>
      </c>
      <c r="E42" s="59">
        <f t="shared" si="58"/>
        <v>0</v>
      </c>
      <c r="F42" s="59">
        <f t="shared" si="59"/>
        <v>0</v>
      </c>
      <c r="G42" s="59">
        <f t="shared" si="60"/>
        <v>0</v>
      </c>
      <c r="H42" s="106">
        <f t="shared" si="61"/>
        <v>0</v>
      </c>
      <c r="I42" s="86">
        <f t="shared" si="62"/>
        <v>0</v>
      </c>
      <c r="J42" s="87">
        <f t="shared" si="63"/>
        <v>0</v>
      </c>
      <c r="K42" s="59">
        <f t="shared" si="64"/>
        <v>0</v>
      </c>
      <c r="L42" s="59">
        <f t="shared" si="65"/>
        <v>0</v>
      </c>
      <c r="M42" s="107">
        <f t="shared" si="66"/>
        <v>0</v>
      </c>
      <c r="N42" s="109" t="s">
        <v>106</v>
      </c>
      <c r="O42" s="105">
        <f t="shared" si="67"/>
        <v>0</v>
      </c>
      <c r="P42" s="173">
        <f t="shared" si="68"/>
        <v>243993</v>
      </c>
      <c r="Q42" s="76"/>
      <c r="S42" s="119"/>
      <c r="T42" s="139"/>
      <c r="U42" s="119"/>
      <c r="V42" s="166"/>
      <c r="W42" s="119"/>
      <c r="X42" s="140"/>
      <c r="Y42" s="119"/>
      <c r="Z42" s="147"/>
      <c r="AA42" s="147"/>
      <c r="AB42" s="146"/>
      <c r="AC42" s="119"/>
      <c r="AD42" s="146"/>
      <c r="AE42" s="119"/>
      <c r="AF42" s="119"/>
      <c r="AG42" s="141"/>
      <c r="AH42" s="141"/>
      <c r="AI42" s="141"/>
    </row>
    <row r="43" spans="1:43" ht="29.25" hidden="1" x14ac:dyDescent="0.2">
      <c r="A43" s="105">
        <f t="shared" si="54"/>
        <v>0</v>
      </c>
      <c r="B43" s="59">
        <f t="shared" si="55"/>
        <v>0</v>
      </c>
      <c r="C43" s="59">
        <f t="shared" si="56"/>
        <v>0</v>
      </c>
      <c r="D43" s="59">
        <f t="shared" si="57"/>
        <v>0</v>
      </c>
      <c r="E43" s="59">
        <f t="shared" si="58"/>
        <v>0</v>
      </c>
      <c r="F43" s="59">
        <f t="shared" si="59"/>
        <v>0</v>
      </c>
      <c r="G43" s="59">
        <f t="shared" si="60"/>
        <v>0</v>
      </c>
      <c r="H43" s="106">
        <f t="shared" si="61"/>
        <v>0</v>
      </c>
      <c r="I43" s="86">
        <f t="shared" si="62"/>
        <v>0</v>
      </c>
      <c r="J43" s="87">
        <f t="shared" si="63"/>
        <v>0</v>
      </c>
      <c r="K43" s="59">
        <f t="shared" si="64"/>
        <v>0</v>
      </c>
      <c r="L43" s="59">
        <f t="shared" si="65"/>
        <v>0</v>
      </c>
      <c r="M43" s="107">
        <f t="shared" si="66"/>
        <v>0</v>
      </c>
      <c r="N43" s="109" t="s">
        <v>106</v>
      </c>
      <c r="O43" s="105">
        <f t="shared" si="67"/>
        <v>0</v>
      </c>
      <c r="P43" s="173">
        <f t="shared" si="68"/>
        <v>243993</v>
      </c>
      <c r="Q43" s="77"/>
      <c r="S43" s="119"/>
      <c r="T43" s="139"/>
      <c r="U43" s="119"/>
      <c r="V43" s="166"/>
      <c r="W43" s="119"/>
      <c r="X43" s="140"/>
      <c r="Y43" s="119"/>
      <c r="Z43" s="147"/>
      <c r="AA43" s="147"/>
      <c r="AB43" s="119"/>
      <c r="AC43" s="119"/>
      <c r="AD43" s="146"/>
      <c r="AE43" s="119"/>
      <c r="AF43" s="119"/>
      <c r="AG43" s="141"/>
      <c r="AH43" s="141"/>
      <c r="AI43" s="141"/>
    </row>
    <row r="44" spans="1:43" ht="29.25" hidden="1" x14ac:dyDescent="0.2">
      <c r="A44" s="105">
        <f t="shared" si="54"/>
        <v>0</v>
      </c>
      <c r="B44" s="59">
        <f t="shared" si="55"/>
        <v>0</v>
      </c>
      <c r="C44" s="59">
        <f t="shared" si="56"/>
        <v>0</v>
      </c>
      <c r="D44" s="59">
        <f t="shared" si="57"/>
        <v>0</v>
      </c>
      <c r="E44" s="59">
        <f t="shared" si="58"/>
        <v>0</v>
      </c>
      <c r="F44" s="59">
        <f t="shared" si="59"/>
        <v>0</v>
      </c>
      <c r="G44" s="59">
        <f t="shared" si="60"/>
        <v>0</v>
      </c>
      <c r="H44" s="106">
        <f t="shared" si="61"/>
        <v>0</v>
      </c>
      <c r="I44" s="86">
        <f t="shared" si="62"/>
        <v>0</v>
      </c>
      <c r="J44" s="87">
        <f t="shared" si="63"/>
        <v>0</v>
      </c>
      <c r="K44" s="59">
        <f t="shared" si="64"/>
        <v>0</v>
      </c>
      <c r="L44" s="59">
        <f t="shared" si="65"/>
        <v>0</v>
      </c>
      <c r="M44" s="107">
        <f t="shared" si="66"/>
        <v>0</v>
      </c>
      <c r="N44" s="109" t="s">
        <v>106</v>
      </c>
      <c r="O44" s="105">
        <f t="shared" si="67"/>
        <v>0</v>
      </c>
      <c r="P44" s="173">
        <f t="shared" si="68"/>
        <v>243993</v>
      </c>
      <c r="Q44" s="74"/>
      <c r="S44" s="119"/>
      <c r="T44" s="139"/>
      <c r="U44" s="119"/>
      <c r="V44" s="166"/>
      <c r="W44" s="119"/>
      <c r="X44" s="140"/>
      <c r="Y44" s="119"/>
      <c r="Z44" s="147"/>
      <c r="AA44" s="147"/>
      <c r="AB44" s="119"/>
      <c r="AC44" s="119"/>
      <c r="AD44" s="119"/>
      <c r="AE44" s="119"/>
      <c r="AF44" s="119"/>
      <c r="AG44" s="141"/>
      <c r="AH44" s="141"/>
      <c r="AI44" s="141"/>
    </row>
    <row r="45" spans="1:43" ht="29.25" hidden="1" x14ac:dyDescent="0.2">
      <c r="A45" s="105">
        <f t="shared" si="54"/>
        <v>0</v>
      </c>
      <c r="B45" s="59">
        <f t="shared" si="55"/>
        <v>0</v>
      </c>
      <c r="C45" s="59">
        <f t="shared" si="56"/>
        <v>0</v>
      </c>
      <c r="D45" s="59">
        <f t="shared" si="57"/>
        <v>0</v>
      </c>
      <c r="E45" s="59">
        <f t="shared" si="58"/>
        <v>0</v>
      </c>
      <c r="F45" s="59">
        <f t="shared" si="59"/>
        <v>0</v>
      </c>
      <c r="G45" s="59">
        <f t="shared" si="60"/>
        <v>0</v>
      </c>
      <c r="H45" s="106">
        <f t="shared" si="61"/>
        <v>0</v>
      </c>
      <c r="I45" s="86">
        <f t="shared" si="62"/>
        <v>0</v>
      </c>
      <c r="J45" s="87">
        <f t="shared" si="63"/>
        <v>0</v>
      </c>
      <c r="K45" s="59">
        <f t="shared" si="64"/>
        <v>0</v>
      </c>
      <c r="L45" s="59">
        <f t="shared" si="65"/>
        <v>0</v>
      </c>
      <c r="M45" s="107">
        <f t="shared" si="66"/>
        <v>0</v>
      </c>
      <c r="N45" s="109" t="s">
        <v>106</v>
      </c>
      <c r="O45" s="105">
        <f t="shared" si="67"/>
        <v>0</v>
      </c>
      <c r="P45" s="173">
        <f t="shared" si="68"/>
        <v>243993</v>
      </c>
      <c r="Q45" s="74"/>
      <c r="S45" s="119"/>
      <c r="T45" s="139"/>
      <c r="U45" s="119"/>
      <c r="V45" s="166"/>
      <c r="W45" s="119"/>
      <c r="X45" s="140"/>
      <c r="Y45" s="119"/>
      <c r="Z45" s="147"/>
      <c r="AA45" s="147"/>
      <c r="AB45" s="119"/>
      <c r="AC45" s="119"/>
      <c r="AD45" s="146"/>
      <c r="AE45" s="119"/>
      <c r="AF45" s="119"/>
      <c r="AG45" s="141"/>
      <c r="AH45" s="141"/>
      <c r="AI45" s="141"/>
    </row>
    <row r="46" spans="1:43" ht="29.25" hidden="1" x14ac:dyDescent="0.2">
      <c r="A46" s="105">
        <f t="shared" si="54"/>
        <v>0</v>
      </c>
      <c r="B46" s="59">
        <f t="shared" si="55"/>
        <v>0</v>
      </c>
      <c r="C46" s="59">
        <f t="shared" si="56"/>
        <v>0</v>
      </c>
      <c r="D46" s="59">
        <f t="shared" si="57"/>
        <v>0</v>
      </c>
      <c r="E46" s="59">
        <f t="shared" si="58"/>
        <v>0</v>
      </c>
      <c r="F46" s="59">
        <f t="shared" si="59"/>
        <v>0</v>
      </c>
      <c r="G46" s="59">
        <f t="shared" si="60"/>
        <v>0</v>
      </c>
      <c r="H46" s="106">
        <f t="shared" si="61"/>
        <v>0</v>
      </c>
      <c r="I46" s="86">
        <f t="shared" si="62"/>
        <v>0</v>
      </c>
      <c r="J46" s="87">
        <f t="shared" si="63"/>
        <v>0</v>
      </c>
      <c r="K46" s="59">
        <f t="shared" si="64"/>
        <v>0</v>
      </c>
      <c r="L46" s="59">
        <f t="shared" si="65"/>
        <v>0</v>
      </c>
      <c r="M46" s="107">
        <f t="shared" si="66"/>
        <v>0</v>
      </c>
      <c r="N46" s="109" t="s">
        <v>106</v>
      </c>
      <c r="O46" s="105">
        <f t="shared" si="67"/>
        <v>0</v>
      </c>
      <c r="P46" s="173">
        <f t="shared" si="68"/>
        <v>243993</v>
      </c>
      <c r="Q46" s="74"/>
      <c r="S46" s="119"/>
      <c r="T46" s="139"/>
      <c r="U46" s="119"/>
      <c r="V46" s="166"/>
      <c r="W46" s="119"/>
      <c r="X46" s="140"/>
      <c r="Y46" s="119"/>
      <c r="Z46" s="147"/>
      <c r="AA46" s="147"/>
      <c r="AB46" s="119"/>
      <c r="AC46" s="119"/>
      <c r="AD46" s="146"/>
      <c r="AE46" s="119"/>
      <c r="AF46" s="119"/>
      <c r="AG46" s="141"/>
      <c r="AH46" s="141"/>
      <c r="AI46" s="141"/>
    </row>
    <row r="47" spans="1:43" ht="29.25" hidden="1" x14ac:dyDescent="0.2">
      <c r="A47" s="105">
        <f t="shared" si="54"/>
        <v>0</v>
      </c>
      <c r="B47" s="59">
        <f t="shared" si="55"/>
        <v>0</v>
      </c>
      <c r="C47" s="59">
        <f t="shared" si="56"/>
        <v>0</v>
      </c>
      <c r="D47" s="59">
        <f t="shared" si="57"/>
        <v>0</v>
      </c>
      <c r="E47" s="59">
        <f t="shared" si="58"/>
        <v>0</v>
      </c>
      <c r="F47" s="59">
        <f t="shared" si="59"/>
        <v>0</v>
      </c>
      <c r="G47" s="59">
        <f t="shared" si="60"/>
        <v>0</v>
      </c>
      <c r="H47" s="106">
        <f t="shared" si="61"/>
        <v>0</v>
      </c>
      <c r="I47" s="86">
        <f t="shared" si="62"/>
        <v>0</v>
      </c>
      <c r="J47" s="87">
        <f t="shared" si="63"/>
        <v>0</v>
      </c>
      <c r="K47" s="59">
        <f t="shared" si="64"/>
        <v>0</v>
      </c>
      <c r="L47" s="59">
        <f t="shared" si="65"/>
        <v>0</v>
      </c>
      <c r="M47" s="107">
        <f t="shared" si="66"/>
        <v>0</v>
      </c>
      <c r="N47" s="109" t="s">
        <v>106</v>
      </c>
      <c r="O47" s="105">
        <f t="shared" si="67"/>
        <v>0</v>
      </c>
      <c r="P47" s="173">
        <f t="shared" si="68"/>
        <v>243993</v>
      </c>
      <c r="Q47" s="74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</row>
    <row r="48" spans="1:43" ht="29.25" hidden="1" x14ac:dyDescent="0.2">
      <c r="A48" s="105">
        <f t="shared" si="54"/>
        <v>0</v>
      </c>
      <c r="B48" s="59">
        <f t="shared" si="55"/>
        <v>0</v>
      </c>
      <c r="C48" s="59">
        <f t="shared" si="56"/>
        <v>0</v>
      </c>
      <c r="D48" s="59">
        <f t="shared" si="57"/>
        <v>0</v>
      </c>
      <c r="E48" s="59">
        <f t="shared" si="58"/>
        <v>0</v>
      </c>
      <c r="F48" s="59">
        <f t="shared" si="59"/>
        <v>0</v>
      </c>
      <c r="G48" s="59">
        <f t="shared" si="60"/>
        <v>0</v>
      </c>
      <c r="H48" s="106">
        <f t="shared" si="61"/>
        <v>0</v>
      </c>
      <c r="I48" s="86">
        <f t="shared" si="62"/>
        <v>0</v>
      </c>
      <c r="J48" s="87">
        <f t="shared" si="63"/>
        <v>0</v>
      </c>
      <c r="K48" s="59">
        <f t="shared" si="64"/>
        <v>0</v>
      </c>
      <c r="L48" s="59">
        <f t="shared" si="65"/>
        <v>0</v>
      </c>
      <c r="M48" s="107">
        <f t="shared" si="66"/>
        <v>0</v>
      </c>
      <c r="N48" s="109" t="s">
        <v>106</v>
      </c>
      <c r="O48" s="105">
        <f t="shared" si="67"/>
        <v>0</v>
      </c>
      <c r="P48" s="173">
        <f t="shared" si="68"/>
        <v>243993</v>
      </c>
      <c r="Q48" s="74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</row>
    <row r="49" spans="1:35" ht="29.25" hidden="1" x14ac:dyDescent="0.2">
      <c r="A49" s="105">
        <f t="shared" si="54"/>
        <v>0</v>
      </c>
      <c r="B49" s="59">
        <f t="shared" si="55"/>
        <v>0</v>
      </c>
      <c r="C49" s="59">
        <f t="shared" si="56"/>
        <v>0</v>
      </c>
      <c r="D49" s="59">
        <f t="shared" si="57"/>
        <v>0</v>
      </c>
      <c r="E49" s="59">
        <f t="shared" si="58"/>
        <v>0</v>
      </c>
      <c r="F49" s="59">
        <f t="shared" si="59"/>
        <v>0</v>
      </c>
      <c r="G49" s="59">
        <f t="shared" si="60"/>
        <v>0</v>
      </c>
      <c r="H49" s="106">
        <f t="shared" si="61"/>
        <v>0</v>
      </c>
      <c r="I49" s="86">
        <f t="shared" si="62"/>
        <v>0</v>
      </c>
      <c r="J49" s="87">
        <f t="shared" si="63"/>
        <v>0</v>
      </c>
      <c r="K49" s="59">
        <f t="shared" si="64"/>
        <v>0</v>
      </c>
      <c r="L49" s="59">
        <f t="shared" si="65"/>
        <v>0</v>
      </c>
      <c r="M49" s="107">
        <f t="shared" si="66"/>
        <v>0</v>
      </c>
      <c r="N49" s="109" t="s">
        <v>106</v>
      </c>
      <c r="O49" s="105">
        <f t="shared" si="67"/>
        <v>0</v>
      </c>
      <c r="P49" s="173">
        <f t="shared" si="68"/>
        <v>243993</v>
      </c>
      <c r="Q49" s="74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</row>
    <row r="50" spans="1:35" ht="29.25" hidden="1" x14ac:dyDescent="0.2">
      <c r="A50" s="105">
        <f t="shared" si="54"/>
        <v>0</v>
      </c>
      <c r="B50" s="59">
        <f t="shared" si="55"/>
        <v>0</v>
      </c>
      <c r="C50" s="59">
        <f t="shared" si="56"/>
        <v>0</v>
      </c>
      <c r="D50" s="59">
        <f t="shared" si="57"/>
        <v>0</v>
      </c>
      <c r="E50" s="59">
        <f t="shared" si="58"/>
        <v>0</v>
      </c>
      <c r="F50" s="59">
        <f t="shared" si="59"/>
        <v>0</v>
      </c>
      <c r="G50" s="59">
        <f t="shared" si="60"/>
        <v>0</v>
      </c>
      <c r="H50" s="106">
        <f t="shared" si="61"/>
        <v>0</v>
      </c>
      <c r="I50" s="86">
        <f t="shared" si="62"/>
        <v>0</v>
      </c>
      <c r="J50" s="87">
        <f t="shared" si="63"/>
        <v>0</v>
      </c>
      <c r="K50" s="59">
        <f t="shared" si="64"/>
        <v>0</v>
      </c>
      <c r="L50" s="59">
        <f t="shared" si="65"/>
        <v>0</v>
      </c>
      <c r="M50" s="107">
        <f t="shared" si="66"/>
        <v>0</v>
      </c>
      <c r="N50" s="109" t="s">
        <v>106</v>
      </c>
      <c r="O50" s="105">
        <f t="shared" si="67"/>
        <v>0</v>
      </c>
      <c r="P50" s="173">
        <f t="shared" si="68"/>
        <v>243993</v>
      </c>
      <c r="Q50" s="74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</row>
    <row r="51" spans="1:35" ht="18" x14ac:dyDescent="0.2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</row>
    <row r="52" spans="1:35" ht="29.25" x14ac:dyDescent="0.6">
      <c r="A52" s="176" t="s">
        <v>102</v>
      </c>
      <c r="B52" s="177"/>
      <c r="C52" s="177"/>
      <c r="D52" s="178"/>
      <c r="E52" s="178"/>
      <c r="F52" s="178"/>
      <c r="G52" s="178"/>
      <c r="H52" s="178"/>
      <c r="I52" s="178"/>
      <c r="J52" s="178"/>
      <c r="K52" s="178"/>
      <c r="L52" s="178"/>
      <c r="M52" s="179" t="s">
        <v>88</v>
      </c>
      <c r="N52" s="179"/>
      <c r="O52" s="179"/>
      <c r="P52" s="179"/>
      <c r="Q52" s="74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</row>
    <row r="53" spans="1:35" ht="29.25" x14ac:dyDescent="0.2">
      <c r="A53" s="180" t="s">
        <v>101</v>
      </c>
      <c r="B53" s="178"/>
      <c r="C53" s="178"/>
      <c r="D53" s="178"/>
      <c r="E53" s="178"/>
      <c r="F53" s="178"/>
      <c r="G53" s="178"/>
      <c r="H53" s="178"/>
      <c r="I53" s="178"/>
      <c r="J53" s="178"/>
      <c r="K53" s="178"/>
      <c r="L53" s="178"/>
      <c r="M53" s="181" t="s">
        <v>89</v>
      </c>
      <c r="N53" s="181"/>
      <c r="O53" s="181"/>
      <c r="P53" s="181"/>
      <c r="Q53" s="74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</row>
    <row r="54" spans="1:35" ht="29.25" x14ac:dyDescent="0.2">
      <c r="A54" s="178"/>
      <c r="B54" s="178"/>
      <c r="C54" s="178"/>
      <c r="D54" s="178"/>
      <c r="E54" s="178"/>
      <c r="F54" s="178"/>
      <c r="G54" s="178"/>
      <c r="H54" s="178"/>
      <c r="I54" s="178"/>
      <c r="J54" s="178"/>
      <c r="K54" s="178"/>
      <c r="L54" s="178"/>
      <c r="M54" s="182">
        <f ca="1">TODAY()</f>
        <v>46017</v>
      </c>
      <c r="N54" s="182"/>
      <c r="O54" s="182"/>
      <c r="P54" s="182"/>
      <c r="Q54" s="74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</row>
    <row r="55" spans="1:35" ht="18" x14ac:dyDescent="0.2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</row>
    <row r="56" spans="1:35" ht="18" x14ac:dyDescent="0.2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</row>
    <row r="57" spans="1:35" ht="18" x14ac:dyDescent="0.2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</row>
    <row r="58" spans="1:35" ht="18" x14ac:dyDescent="0.2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</row>
    <row r="59" spans="1:35" ht="18" x14ac:dyDescent="0.2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</row>
    <row r="60" spans="1:35" ht="18" x14ac:dyDescent="0.2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</row>
    <row r="61" spans="1:35" ht="18" x14ac:dyDescent="0.2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</row>
    <row r="62" spans="1:35" ht="18" x14ac:dyDescent="0.2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</row>
    <row r="63" spans="1:35" ht="18" x14ac:dyDescent="0.2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</row>
    <row r="64" spans="1:35" ht="18" x14ac:dyDescent="0.2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</row>
    <row r="65" spans="1:17" ht="18" x14ac:dyDescent="0.2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</row>
    <row r="66" spans="1:17" ht="18" x14ac:dyDescent="0.2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</row>
    <row r="67" spans="1:17" ht="18" x14ac:dyDescent="0.2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</row>
    <row r="68" spans="1:17" ht="18" x14ac:dyDescent="0.2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</row>
    <row r="69" spans="1:17" ht="18" x14ac:dyDescent="0.2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</row>
    <row r="70" spans="1:17" ht="18" x14ac:dyDescent="0.2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</row>
    <row r="71" spans="1:17" ht="18" x14ac:dyDescent="0.2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</row>
    <row r="72" spans="1:17" ht="18" x14ac:dyDescent="0.2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</row>
    <row r="73" spans="1:17" ht="18" x14ac:dyDescent="0.2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</row>
    <row r="74" spans="1:17" ht="18" x14ac:dyDescent="0.2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</row>
    <row r="75" spans="1:17" ht="18" x14ac:dyDescent="0.2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</row>
    <row r="76" spans="1:17" ht="18" x14ac:dyDescent="0.2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</row>
    <row r="77" spans="1:17" ht="18" x14ac:dyDescent="0.2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</row>
    <row r="78" spans="1:17" ht="18" x14ac:dyDescent="0.2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</row>
    <row r="79" spans="1:17" ht="18" x14ac:dyDescent="0.2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</row>
    <row r="80" spans="1:17" ht="18" x14ac:dyDescent="0.2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</row>
    <row r="81" spans="1:17" ht="18" x14ac:dyDescent="0.2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</row>
    <row r="82" spans="1:17" ht="18" x14ac:dyDescent="0.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</row>
    <row r="83" spans="1:17" ht="18" x14ac:dyDescent="0.2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</row>
    <row r="84" spans="1:17" ht="18" x14ac:dyDescent="0.2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</row>
    <row r="85" spans="1:17" ht="18" x14ac:dyDescent="0.2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</row>
    <row r="86" spans="1:17" ht="18" x14ac:dyDescent="0.2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</row>
    <row r="87" spans="1:17" ht="18" x14ac:dyDescent="0.2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</row>
    <row r="88" spans="1:17" ht="18" x14ac:dyDescent="0.2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</row>
    <row r="89" spans="1:17" ht="18" x14ac:dyDescent="0.2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</row>
    <row r="90" spans="1:17" ht="18" x14ac:dyDescent="0.2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</row>
    <row r="91" spans="1:17" ht="18" x14ac:dyDescent="0.2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</row>
    <row r="92" spans="1:17" ht="18" x14ac:dyDescent="0.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</row>
    <row r="93" spans="1:17" ht="18" x14ac:dyDescent="0.2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</row>
    <row r="94" spans="1:17" ht="18" x14ac:dyDescent="0.2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</row>
    <row r="95" spans="1:17" ht="18" x14ac:dyDescent="0.2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</row>
    <row r="96" spans="1:17" ht="18" x14ac:dyDescent="0.2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</row>
    <row r="97" spans="1:17" ht="18" x14ac:dyDescent="0.2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</row>
    <row r="98" spans="1:17" ht="18" x14ac:dyDescent="0.2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</row>
    <row r="99" spans="1:17" ht="18" x14ac:dyDescent="0.2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</row>
    <row r="100" spans="1:17" ht="18" x14ac:dyDescent="0.2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</row>
    <row r="101" spans="1:17" ht="18" x14ac:dyDescent="0.2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</row>
    <row r="102" spans="1:17" ht="18" x14ac:dyDescent="0.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</row>
    <row r="103" spans="1:17" ht="18" x14ac:dyDescent="0.2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</row>
    <row r="104" spans="1:17" ht="18" x14ac:dyDescent="0.2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spans="1:17" ht="18" x14ac:dyDescent="0.2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</row>
    <row r="106" spans="1:17" ht="18" x14ac:dyDescent="0.2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</row>
    <row r="107" spans="1:17" ht="18" x14ac:dyDescent="0.2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</row>
    <row r="108" spans="1:17" ht="18" x14ac:dyDescent="0.2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</row>
    <row r="109" spans="1:17" ht="18" x14ac:dyDescent="0.2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</row>
    <row r="110" spans="1:17" ht="18" x14ac:dyDescent="0.2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</row>
    <row r="111" spans="1:17" ht="18" x14ac:dyDescent="0.2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</row>
    <row r="112" spans="1:17" ht="18" x14ac:dyDescent="0.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</row>
    <row r="113" spans="1:17" ht="18" x14ac:dyDescent="0.2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</row>
    <row r="114" spans="1:17" ht="18" x14ac:dyDescent="0.2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</row>
    <row r="115" spans="1:17" ht="18" x14ac:dyDescent="0.2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</row>
    <row r="116" spans="1:17" ht="18" x14ac:dyDescent="0.2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</row>
    <row r="117" spans="1:17" ht="18" x14ac:dyDescent="0.2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</row>
    <row r="118" spans="1:17" ht="18" x14ac:dyDescent="0.2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</row>
    <row r="119" spans="1:17" ht="18" x14ac:dyDescent="0.2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</row>
    <row r="120" spans="1:17" ht="18" x14ac:dyDescent="0.2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</row>
    <row r="121" spans="1:17" ht="18" x14ac:dyDescent="0.2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</row>
    <row r="122" spans="1:17" ht="18" x14ac:dyDescent="0.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</row>
    <row r="123" spans="1:17" ht="18" x14ac:dyDescent="0.2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</row>
    <row r="124" spans="1:17" ht="18" x14ac:dyDescent="0.2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</row>
    <row r="125" spans="1:17" ht="18" x14ac:dyDescent="0.2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</row>
    <row r="126" spans="1:17" ht="18" x14ac:dyDescent="0.2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</row>
    <row r="127" spans="1:17" ht="18" x14ac:dyDescent="0.2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</row>
    <row r="128" spans="1:17" ht="18" x14ac:dyDescent="0.2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spans="1:17" ht="18" x14ac:dyDescent="0.2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</row>
    <row r="130" spans="1:17" ht="18" x14ac:dyDescent="0.2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</row>
    <row r="131" spans="1:17" ht="18" x14ac:dyDescent="0.2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</row>
    <row r="132" spans="1:17" ht="18" x14ac:dyDescent="0.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</row>
    <row r="133" spans="1:17" ht="18" x14ac:dyDescent="0.2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</row>
    <row r="134" spans="1:17" ht="18" x14ac:dyDescent="0.2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</row>
    <row r="135" spans="1:17" ht="18" x14ac:dyDescent="0.2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</row>
    <row r="136" spans="1:17" ht="18" x14ac:dyDescent="0.2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</row>
    <row r="137" spans="1:17" ht="18" x14ac:dyDescent="0.2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</row>
    <row r="138" spans="1:17" ht="18" x14ac:dyDescent="0.2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</row>
    <row r="139" spans="1:17" ht="18" x14ac:dyDescent="0.2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</row>
    <row r="140" spans="1:17" ht="18" x14ac:dyDescent="0.2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spans="1:17" ht="18" x14ac:dyDescent="0.2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</row>
    <row r="142" spans="1:17" ht="18" x14ac:dyDescent="0.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</row>
    <row r="143" spans="1:17" ht="18" x14ac:dyDescent="0.2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</row>
    <row r="144" spans="1:17" ht="18" x14ac:dyDescent="0.2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</row>
    <row r="145" spans="1:17" ht="18" x14ac:dyDescent="0.2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</row>
    <row r="146" spans="1:17" ht="18" x14ac:dyDescent="0.2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</row>
    <row r="147" spans="1:17" ht="18" x14ac:dyDescent="0.2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</row>
    <row r="148" spans="1:17" ht="18" x14ac:dyDescent="0.2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</row>
    <row r="149" spans="1:17" ht="18" x14ac:dyDescent="0.2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</row>
    <row r="150" spans="1:17" ht="18" x14ac:dyDescent="0.2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</row>
    <row r="151" spans="1:17" ht="18" x14ac:dyDescent="0.2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</row>
    <row r="152" spans="1:17" ht="18" x14ac:dyDescent="0.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</row>
    <row r="153" spans="1:17" ht="18" x14ac:dyDescent="0.2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</row>
    <row r="154" spans="1:17" ht="18" x14ac:dyDescent="0.2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</row>
    <row r="155" spans="1:17" ht="18" x14ac:dyDescent="0.2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</row>
    <row r="156" spans="1:17" ht="18" x14ac:dyDescent="0.2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</row>
    <row r="157" spans="1:17" ht="18" x14ac:dyDescent="0.2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</row>
    <row r="158" spans="1:17" ht="18" x14ac:dyDescent="0.2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</row>
    <row r="159" spans="1:17" ht="18" x14ac:dyDescent="0.2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</row>
    <row r="160" spans="1:17" ht="18" x14ac:dyDescent="0.2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</row>
    <row r="161" spans="1:17" ht="18" x14ac:dyDescent="0.2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</row>
    <row r="162" spans="1:17" ht="18" x14ac:dyDescent="0.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</row>
    <row r="163" spans="1:17" ht="18" x14ac:dyDescent="0.2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</row>
    <row r="164" spans="1:17" ht="18" x14ac:dyDescent="0.2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spans="1:17" ht="18" x14ac:dyDescent="0.2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</row>
    <row r="166" spans="1:17" ht="18" x14ac:dyDescent="0.2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</row>
    <row r="167" spans="1:17" ht="18" x14ac:dyDescent="0.2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</row>
    <row r="168" spans="1:17" ht="18" x14ac:dyDescent="0.2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</row>
    <row r="169" spans="1:17" ht="18" x14ac:dyDescent="0.2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</row>
    <row r="170" spans="1:17" ht="18" x14ac:dyDescent="0.2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</row>
    <row r="171" spans="1:17" ht="18" x14ac:dyDescent="0.2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</row>
    <row r="172" spans="1:17" ht="18" x14ac:dyDescent="0.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</row>
    <row r="173" spans="1:17" ht="18" x14ac:dyDescent="0.2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</row>
    <row r="174" spans="1:17" ht="18" x14ac:dyDescent="0.2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</row>
    <row r="175" spans="1:17" ht="18" x14ac:dyDescent="0.2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</row>
    <row r="176" spans="1:17" ht="18" x14ac:dyDescent="0.2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spans="1:17" ht="18" x14ac:dyDescent="0.2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</row>
    <row r="178" spans="1:17" ht="18" x14ac:dyDescent="0.2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</row>
    <row r="179" spans="1:17" ht="18" x14ac:dyDescent="0.2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</row>
    <row r="180" spans="1:17" ht="18" x14ac:dyDescent="0.2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</row>
    <row r="181" spans="1:17" ht="18" x14ac:dyDescent="0.2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</row>
    <row r="182" spans="1:17" ht="18" x14ac:dyDescent="0.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</row>
    <row r="183" spans="1:17" ht="18" x14ac:dyDescent="0.2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</row>
    <row r="184" spans="1:17" ht="18" x14ac:dyDescent="0.2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</row>
    <row r="185" spans="1:17" ht="18" x14ac:dyDescent="0.2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</row>
    <row r="186" spans="1:17" ht="18" x14ac:dyDescent="0.2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</row>
    <row r="187" spans="1:17" ht="18" x14ac:dyDescent="0.2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</row>
    <row r="188" spans="1:17" ht="18" x14ac:dyDescent="0.2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</row>
    <row r="189" spans="1:17" ht="18" x14ac:dyDescent="0.2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</row>
    <row r="190" spans="1:17" ht="18" x14ac:dyDescent="0.2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</row>
    <row r="191" spans="1:17" ht="18" x14ac:dyDescent="0.2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</row>
    <row r="192" spans="1:17" ht="18" x14ac:dyDescent="0.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</row>
    <row r="193" spans="1:17" ht="18" x14ac:dyDescent="0.2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</row>
    <row r="194" spans="1:17" ht="18" x14ac:dyDescent="0.2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</row>
    <row r="195" spans="1:17" ht="18" x14ac:dyDescent="0.2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</row>
    <row r="196" spans="1:17" ht="18" x14ac:dyDescent="0.2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</row>
    <row r="197" spans="1:17" ht="18" x14ac:dyDescent="0.2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</row>
    <row r="198" spans="1:17" ht="18" x14ac:dyDescent="0.2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</row>
    <row r="199" spans="1:17" ht="18" x14ac:dyDescent="0.2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</row>
    <row r="200" spans="1:17" ht="18" x14ac:dyDescent="0.2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  <row r="201" spans="1:17" ht="18" x14ac:dyDescent="0.2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</row>
    <row r="202" spans="1:17" ht="18" x14ac:dyDescent="0.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</row>
    <row r="203" spans="1:17" ht="18" x14ac:dyDescent="0.2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</row>
    <row r="204" spans="1:17" ht="18" x14ac:dyDescent="0.2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</row>
    <row r="205" spans="1:17" ht="18" x14ac:dyDescent="0.2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</row>
    <row r="206" spans="1:17" ht="18" x14ac:dyDescent="0.2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</row>
    <row r="207" spans="1:17" ht="18" x14ac:dyDescent="0.2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</row>
    <row r="208" spans="1:17" ht="18" x14ac:dyDescent="0.2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</row>
    <row r="209" spans="1:17" ht="18" x14ac:dyDescent="0.2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</row>
    <row r="210" spans="1:17" ht="18" x14ac:dyDescent="0.2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</row>
    <row r="211" spans="1:17" ht="18" x14ac:dyDescent="0.2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</row>
    <row r="212" spans="1:17" ht="18" x14ac:dyDescent="0.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</row>
    <row r="213" spans="1:17" ht="18" x14ac:dyDescent="0.2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</row>
    <row r="214" spans="1:17" ht="18" x14ac:dyDescent="0.2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</row>
    <row r="215" spans="1:17" ht="18" x14ac:dyDescent="0.2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</row>
    <row r="216" spans="1:17" ht="18" x14ac:dyDescent="0.2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</row>
    <row r="217" spans="1:17" ht="18" x14ac:dyDescent="0.2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</row>
    <row r="218" spans="1:17" ht="18" x14ac:dyDescent="0.2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</row>
    <row r="219" spans="1:17" ht="18" x14ac:dyDescent="0.2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</row>
    <row r="220" spans="1:17" ht="18" x14ac:dyDescent="0.2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</row>
    <row r="221" spans="1:17" ht="18" x14ac:dyDescent="0.2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</row>
    <row r="222" spans="1:17" ht="18" x14ac:dyDescent="0.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</row>
    <row r="223" spans="1:17" ht="18" x14ac:dyDescent="0.2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</row>
    <row r="224" spans="1:17" ht="18" x14ac:dyDescent="0.2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</row>
    <row r="225" spans="1:17" ht="18" x14ac:dyDescent="0.2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</row>
    <row r="226" spans="1:17" ht="18" x14ac:dyDescent="0.2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</row>
    <row r="227" spans="1:17" ht="18" x14ac:dyDescent="0.2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</row>
    <row r="228" spans="1:17" ht="18" x14ac:dyDescent="0.2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</row>
    <row r="229" spans="1:17" ht="18" x14ac:dyDescent="0.2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</row>
    <row r="230" spans="1:17" ht="18" x14ac:dyDescent="0.2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</row>
    <row r="231" spans="1:17" ht="18" x14ac:dyDescent="0.2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</row>
    <row r="232" spans="1:17" ht="18" x14ac:dyDescent="0.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</row>
    <row r="233" spans="1:17" ht="18" x14ac:dyDescent="0.2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</row>
    <row r="234" spans="1:17" ht="18" x14ac:dyDescent="0.2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</row>
    <row r="235" spans="1:17" ht="18" x14ac:dyDescent="0.2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</row>
    <row r="236" spans="1:17" ht="18" x14ac:dyDescent="0.2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</row>
    <row r="237" spans="1:17" ht="18" x14ac:dyDescent="0.2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</row>
    <row r="238" spans="1:17" ht="18" x14ac:dyDescent="0.2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</row>
    <row r="239" spans="1:17" ht="18" x14ac:dyDescent="0.2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</row>
    <row r="240" spans="1:17" ht="18" x14ac:dyDescent="0.2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</row>
    <row r="241" spans="1:17" ht="18" x14ac:dyDescent="0.2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</row>
    <row r="242" spans="1:17" ht="18" x14ac:dyDescent="0.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</row>
    <row r="243" spans="1:17" ht="18" x14ac:dyDescent="0.2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</row>
    <row r="244" spans="1:17" ht="18" x14ac:dyDescent="0.2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</row>
    <row r="245" spans="1:17" ht="18" x14ac:dyDescent="0.2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</row>
    <row r="246" spans="1:17" ht="18" x14ac:dyDescent="0.2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</row>
    <row r="247" spans="1:17" ht="18" x14ac:dyDescent="0.2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</row>
    <row r="248" spans="1:17" ht="18" x14ac:dyDescent="0.2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</row>
    <row r="249" spans="1:17" ht="18" x14ac:dyDescent="0.2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</row>
    <row r="250" spans="1:17" ht="18" x14ac:dyDescent="0.2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</row>
    <row r="251" spans="1:17" ht="18" x14ac:dyDescent="0.2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</row>
    <row r="252" spans="1:17" ht="18" x14ac:dyDescent="0.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</row>
    <row r="253" spans="1:17" ht="18" x14ac:dyDescent="0.2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</row>
    <row r="254" spans="1:17" ht="18" x14ac:dyDescent="0.2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</row>
    <row r="255" spans="1:17" ht="18" x14ac:dyDescent="0.2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</row>
    <row r="256" spans="1:17" ht="18" x14ac:dyDescent="0.2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</row>
    <row r="257" spans="1:17" ht="18" x14ac:dyDescent="0.2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</row>
    <row r="258" spans="1:17" ht="18" x14ac:dyDescent="0.2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</row>
    <row r="259" spans="1:17" ht="18" x14ac:dyDescent="0.2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</row>
    <row r="260" spans="1:17" ht="18" x14ac:dyDescent="0.2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</row>
    <row r="261" spans="1:17" ht="18" x14ac:dyDescent="0.2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</row>
    <row r="262" spans="1:17" ht="18" x14ac:dyDescent="0.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</row>
    <row r="263" spans="1:17" ht="18" x14ac:dyDescent="0.2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</row>
    <row r="264" spans="1:17" ht="18" x14ac:dyDescent="0.2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</row>
    <row r="265" spans="1:17" ht="18" x14ac:dyDescent="0.2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</row>
    <row r="266" spans="1:17" ht="18" x14ac:dyDescent="0.2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</row>
    <row r="267" spans="1:17" ht="18" x14ac:dyDescent="0.2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</row>
    <row r="268" spans="1:17" ht="18" x14ac:dyDescent="0.2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</row>
    <row r="269" spans="1:17" ht="18" x14ac:dyDescent="0.2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</row>
    <row r="270" spans="1:17" ht="18" x14ac:dyDescent="0.2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</row>
    <row r="271" spans="1:17" ht="18" x14ac:dyDescent="0.2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</row>
    <row r="272" spans="1:17" ht="18" x14ac:dyDescent="0.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</row>
    <row r="273" spans="1:17" ht="18" x14ac:dyDescent="0.2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</row>
    <row r="274" spans="1:17" ht="18" x14ac:dyDescent="0.2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</row>
    <row r="275" spans="1:17" ht="18" x14ac:dyDescent="0.2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</row>
    <row r="276" spans="1:17" ht="18" x14ac:dyDescent="0.2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</row>
    <row r="277" spans="1:17" ht="18" x14ac:dyDescent="0.2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</row>
    <row r="278" spans="1:17" ht="18" x14ac:dyDescent="0.2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</row>
    <row r="279" spans="1:17" ht="18" x14ac:dyDescent="0.2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</row>
    <row r="280" spans="1:17" ht="18" x14ac:dyDescent="0.2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</row>
    <row r="281" spans="1:17" ht="18" x14ac:dyDescent="0.2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</row>
    <row r="282" spans="1:17" ht="18" x14ac:dyDescent="0.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</row>
    <row r="283" spans="1:17" ht="18" x14ac:dyDescent="0.2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</row>
    <row r="284" spans="1:17" ht="18" x14ac:dyDescent="0.2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</row>
    <row r="285" spans="1:17" ht="18" x14ac:dyDescent="0.2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</row>
    <row r="286" spans="1:17" ht="18" x14ac:dyDescent="0.2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</row>
    <row r="287" spans="1:17" ht="18" x14ac:dyDescent="0.2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</row>
    <row r="288" spans="1:17" ht="18" x14ac:dyDescent="0.2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</row>
    <row r="289" spans="1:17" ht="18" x14ac:dyDescent="0.2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</row>
    <row r="290" spans="1:17" ht="18" x14ac:dyDescent="0.2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</row>
    <row r="291" spans="1:17" ht="18" x14ac:dyDescent="0.2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</row>
    <row r="292" spans="1:17" ht="18" x14ac:dyDescent="0.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</row>
    <row r="293" spans="1:17" ht="18" x14ac:dyDescent="0.2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</row>
    <row r="294" spans="1:17" ht="18" x14ac:dyDescent="0.2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</row>
    <row r="295" spans="1:17" ht="18" x14ac:dyDescent="0.2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</row>
    <row r="296" spans="1:17" ht="18" x14ac:dyDescent="0.2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</row>
    <row r="297" spans="1:17" ht="18" x14ac:dyDescent="0.2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</row>
    <row r="298" spans="1:17" ht="18" x14ac:dyDescent="0.2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</row>
    <row r="299" spans="1:17" ht="18" x14ac:dyDescent="0.2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</row>
    <row r="300" spans="1:17" ht="18" x14ac:dyDescent="0.2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</row>
    <row r="301" spans="1:17" ht="18" x14ac:dyDescent="0.2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</row>
    <row r="302" spans="1:17" ht="18" x14ac:dyDescent="0.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</row>
    <row r="303" spans="1:17" ht="18" x14ac:dyDescent="0.2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</row>
    <row r="304" spans="1:17" ht="18" x14ac:dyDescent="0.2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</row>
    <row r="305" spans="1:17" ht="18" x14ac:dyDescent="0.2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</row>
    <row r="306" spans="1:17" ht="18" x14ac:dyDescent="0.2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</row>
    <row r="307" spans="1:17" ht="18" x14ac:dyDescent="0.2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</row>
  </sheetData>
  <conditionalFormatting sqref="AQ6:AQ34">
    <cfRule type="cellIs" dxfId="4" priority="1" operator="equal">
      <formula>7</formula>
    </cfRule>
    <cfRule type="cellIs" dxfId="3" priority="2" operator="lessThan">
      <formula>7</formula>
    </cfRule>
    <cfRule type="cellIs" dxfId="2" priority="3" operator="greaterThan">
      <formula>7</formula>
    </cfRule>
    <cfRule type="cellIs" dxfId="1" priority="4" operator="lessThan">
      <formula>7</formula>
    </cfRule>
    <cfRule type="cellIs" dxfId="0" priority="5" operator="greaterThan">
      <formula>7</formula>
    </cfRule>
  </conditionalFormatting>
  <dataValidations count="6">
    <dataValidation type="list" allowBlank="1" showInputMessage="1" showErrorMessage="1" sqref="AF6:AF46" xr:uid="{00000000-0002-0000-0200-000000000000}">
      <formula1>หน่วย</formula1>
    </dataValidation>
    <dataValidation type="list" allowBlank="1" showInputMessage="1" showErrorMessage="1" sqref="AK6:AK34 AO6:AO34 T30:T46 AM6:AM34 T6:T17" xr:uid="{00000000-0002-0000-0200-000001000000}">
      <formula1>วันที่</formula1>
    </dataValidation>
    <dataValidation type="list" allowBlank="1" showInputMessage="1" showErrorMessage="1" sqref="S6:S46" xr:uid="{00000000-0002-0000-0200-000002000000}">
      <formula1>เดือน</formula1>
    </dataValidation>
    <dataValidation type="list" allowBlank="1" showInputMessage="1" showErrorMessage="1" sqref="U6:U46" xr:uid="{00000000-0002-0000-0200-000003000000}">
      <formula1>แผนก</formula1>
    </dataValidation>
    <dataValidation type="list" allowBlank="1" showInputMessage="1" showErrorMessage="1" sqref="N6:N50" xr:uid="{00000000-0002-0000-0200-000004000000}">
      <formula1>ค้างที่</formula1>
    </dataValidation>
    <dataValidation type="list" allowBlank="1" showInputMessage="1" showErrorMessage="1" sqref="AL6:AL34 AJ6:AJ34 AN6:AN34" xr:uid="{00000000-0002-0000-0200-000005000000}">
      <formula1>สถานะ</formula1>
    </dataValidation>
  </dataValidations>
  <pageMargins left="0.23622047244094491" right="0.11811023622047245" top="0.15748031496062992" bottom="0.15748031496062992" header="0.35433070866141736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B105"/>
  <sheetViews>
    <sheetView topLeftCell="A73" workbookViewId="0">
      <selection activeCell="J812" sqref="J812"/>
    </sheetView>
  </sheetViews>
  <sheetFormatPr defaultRowHeight="14.25" x14ac:dyDescent="0.2"/>
  <cols>
    <col min="1" max="1" width="57.25" bestFit="1" customWidth="1"/>
    <col min="2" max="2" width="17.125" bestFit="1" customWidth="1"/>
    <col min="3" max="4" width="5.375" bestFit="1" customWidth="1"/>
    <col min="5" max="10" width="4.25" bestFit="1" customWidth="1"/>
    <col min="11" max="11" width="4.125" bestFit="1" customWidth="1"/>
    <col min="12" max="12" width="9.125" bestFit="1" customWidth="1"/>
    <col min="13" max="13" width="4.125" bestFit="1" customWidth="1"/>
    <col min="14" max="14" width="12.5" bestFit="1" customWidth="1"/>
    <col min="15" max="60" width="5.25" bestFit="1" customWidth="1"/>
    <col min="61" max="61" width="4.25" bestFit="1" customWidth="1"/>
    <col min="62" max="76" width="5.25" bestFit="1" customWidth="1"/>
    <col min="77" max="77" width="4.25" bestFit="1" customWidth="1"/>
    <col min="78" max="80" width="5.25" bestFit="1" customWidth="1"/>
    <col min="81" max="81" width="5.375" bestFit="1" customWidth="1"/>
    <col min="82" max="82" width="14.625" bestFit="1" customWidth="1"/>
    <col min="83" max="83" width="4.25" bestFit="1" customWidth="1"/>
    <col min="84" max="84" width="5.75" bestFit="1" customWidth="1"/>
    <col min="85" max="85" width="4.625" bestFit="1" customWidth="1"/>
    <col min="86" max="87" width="5.375" bestFit="1" customWidth="1"/>
    <col min="88" max="93" width="4.25" bestFit="1" customWidth="1"/>
    <col min="94" max="94" width="4.125" bestFit="1" customWidth="1"/>
    <col min="95" max="95" width="9.125" bestFit="1" customWidth="1"/>
    <col min="96" max="98" width="4.125" bestFit="1" customWidth="1"/>
    <col min="99" max="99" width="4.25" bestFit="1" customWidth="1"/>
    <col min="100" max="100" width="15.75" bestFit="1" customWidth="1"/>
    <col min="101" max="101" width="5.5" bestFit="1" customWidth="1"/>
    <col min="102" max="102" width="12.5" bestFit="1" customWidth="1"/>
  </cols>
  <sheetData>
    <row r="1" spans="1:2" x14ac:dyDescent="0.2">
      <c r="A1" s="81" t="s">
        <v>2</v>
      </c>
      <c r="B1" t="s">
        <v>198</v>
      </c>
    </row>
    <row r="3" spans="1:2" x14ac:dyDescent="0.2">
      <c r="A3" s="81" t="s">
        <v>197</v>
      </c>
      <c r="B3" t="s">
        <v>199</v>
      </c>
    </row>
    <row r="4" spans="1:2" x14ac:dyDescent="0.2">
      <c r="A4" s="82" t="s">
        <v>187</v>
      </c>
      <c r="B4">
        <v>5000</v>
      </c>
    </row>
    <row r="5" spans="1:2" x14ac:dyDescent="0.2">
      <c r="A5" s="83" t="s">
        <v>186</v>
      </c>
      <c r="B5">
        <v>5000</v>
      </c>
    </row>
    <row r="6" spans="1:2" x14ac:dyDescent="0.2">
      <c r="A6" s="84" t="s">
        <v>188</v>
      </c>
      <c r="B6">
        <v>5000</v>
      </c>
    </row>
    <row r="7" spans="1:2" x14ac:dyDescent="0.2">
      <c r="A7" s="82" t="s">
        <v>184</v>
      </c>
      <c r="B7">
        <v>14215</v>
      </c>
    </row>
    <row r="8" spans="1:2" x14ac:dyDescent="0.2">
      <c r="A8" s="83" t="s">
        <v>183</v>
      </c>
      <c r="B8">
        <v>14215</v>
      </c>
    </row>
    <row r="9" spans="1:2" x14ac:dyDescent="0.2">
      <c r="A9" s="84" t="s">
        <v>185</v>
      </c>
      <c r="B9">
        <v>14215</v>
      </c>
    </row>
    <row r="10" spans="1:2" x14ac:dyDescent="0.2">
      <c r="A10" s="82" t="s">
        <v>182</v>
      </c>
      <c r="B10">
        <v>320</v>
      </c>
    </row>
    <row r="11" spans="1:2" x14ac:dyDescent="0.2">
      <c r="A11" s="83" t="s">
        <v>191</v>
      </c>
      <c r="B11">
        <v>133</v>
      </c>
    </row>
    <row r="12" spans="1:2" x14ac:dyDescent="0.2">
      <c r="A12" s="84" t="s">
        <v>192</v>
      </c>
      <c r="B12">
        <v>133</v>
      </c>
    </row>
    <row r="13" spans="1:2" x14ac:dyDescent="0.2">
      <c r="A13" s="83" t="s">
        <v>181</v>
      </c>
      <c r="B13">
        <v>187</v>
      </c>
    </row>
    <row r="14" spans="1:2" x14ac:dyDescent="0.2">
      <c r="A14" s="84" t="s">
        <v>137</v>
      </c>
      <c r="B14">
        <v>187</v>
      </c>
    </row>
    <row r="15" spans="1:2" x14ac:dyDescent="0.2">
      <c r="A15" s="82" t="s">
        <v>46</v>
      </c>
      <c r="B15">
        <v>3178</v>
      </c>
    </row>
    <row r="16" spans="1:2" x14ac:dyDescent="0.2">
      <c r="A16" s="83" t="s">
        <v>193</v>
      </c>
      <c r="B16">
        <v>190</v>
      </c>
    </row>
    <row r="17" spans="1:2" x14ac:dyDescent="0.2">
      <c r="A17" s="84" t="s">
        <v>137</v>
      </c>
      <c r="B17">
        <v>190</v>
      </c>
    </row>
    <row r="18" spans="1:2" x14ac:dyDescent="0.2">
      <c r="A18" s="83" t="s">
        <v>178</v>
      </c>
      <c r="B18">
        <v>751</v>
      </c>
    </row>
    <row r="19" spans="1:2" x14ac:dyDescent="0.2">
      <c r="A19" s="84" t="s">
        <v>179</v>
      </c>
      <c r="B19">
        <v>751</v>
      </c>
    </row>
    <row r="20" spans="1:2" x14ac:dyDescent="0.2">
      <c r="A20" s="83" t="s">
        <v>142</v>
      </c>
      <c r="B20">
        <v>275</v>
      </c>
    </row>
    <row r="21" spans="1:2" x14ac:dyDescent="0.2">
      <c r="A21" s="84" t="s">
        <v>137</v>
      </c>
      <c r="B21">
        <v>275</v>
      </c>
    </row>
    <row r="22" spans="1:2" x14ac:dyDescent="0.2">
      <c r="A22" s="83" t="s">
        <v>145</v>
      </c>
      <c r="B22">
        <v>441</v>
      </c>
    </row>
    <row r="23" spans="1:2" x14ac:dyDescent="0.2">
      <c r="A23" s="84" t="s">
        <v>137</v>
      </c>
      <c r="B23">
        <v>348</v>
      </c>
    </row>
    <row r="24" spans="1:2" x14ac:dyDescent="0.2">
      <c r="A24" s="84" t="s">
        <v>154</v>
      </c>
      <c r="B24">
        <v>93</v>
      </c>
    </row>
    <row r="25" spans="1:2" x14ac:dyDescent="0.2">
      <c r="A25" s="83" t="s">
        <v>170</v>
      </c>
      <c r="B25">
        <v>347</v>
      </c>
    </row>
    <row r="26" spans="1:2" x14ac:dyDescent="0.2">
      <c r="A26" s="84" t="s">
        <v>171</v>
      </c>
      <c r="B26">
        <v>347</v>
      </c>
    </row>
    <row r="27" spans="1:2" x14ac:dyDescent="0.2">
      <c r="A27" s="83" t="s">
        <v>162</v>
      </c>
      <c r="B27">
        <v>203</v>
      </c>
    </row>
    <row r="28" spans="1:2" x14ac:dyDescent="0.2">
      <c r="A28" s="84" t="s">
        <v>137</v>
      </c>
      <c r="B28">
        <v>203</v>
      </c>
    </row>
    <row r="29" spans="1:2" x14ac:dyDescent="0.2">
      <c r="A29" s="83" t="s">
        <v>161</v>
      </c>
      <c r="B29">
        <v>193</v>
      </c>
    </row>
    <row r="30" spans="1:2" x14ac:dyDescent="0.2">
      <c r="A30" s="84" t="s">
        <v>137</v>
      </c>
      <c r="B30">
        <v>193</v>
      </c>
    </row>
    <row r="31" spans="1:2" x14ac:dyDescent="0.2">
      <c r="A31" s="83" t="s">
        <v>136</v>
      </c>
      <c r="B31">
        <v>165</v>
      </c>
    </row>
    <row r="32" spans="1:2" x14ac:dyDescent="0.2">
      <c r="A32" s="84" t="s">
        <v>137</v>
      </c>
      <c r="B32">
        <v>165</v>
      </c>
    </row>
    <row r="33" spans="1:2" x14ac:dyDescent="0.2">
      <c r="A33" s="83" t="s">
        <v>163</v>
      </c>
      <c r="B33">
        <v>213</v>
      </c>
    </row>
    <row r="34" spans="1:2" x14ac:dyDescent="0.2">
      <c r="A34" s="84" t="s">
        <v>137</v>
      </c>
      <c r="B34">
        <v>213</v>
      </c>
    </row>
    <row r="35" spans="1:2" x14ac:dyDescent="0.2">
      <c r="A35" s="83" t="s">
        <v>172</v>
      </c>
      <c r="B35">
        <v>400</v>
      </c>
    </row>
    <row r="36" spans="1:2" x14ac:dyDescent="0.2">
      <c r="A36" s="84" t="s">
        <v>137</v>
      </c>
      <c r="B36">
        <v>400</v>
      </c>
    </row>
    <row r="37" spans="1:2" x14ac:dyDescent="0.2">
      <c r="A37" s="82" t="s">
        <v>47</v>
      </c>
      <c r="B37">
        <v>5226</v>
      </c>
    </row>
    <row r="38" spans="1:2" x14ac:dyDescent="0.2">
      <c r="A38" s="83" t="s">
        <v>155</v>
      </c>
      <c r="B38">
        <v>50</v>
      </c>
    </row>
    <row r="39" spans="1:2" x14ac:dyDescent="0.2">
      <c r="A39" s="84" t="s">
        <v>137</v>
      </c>
      <c r="B39">
        <v>50</v>
      </c>
    </row>
    <row r="40" spans="1:2" x14ac:dyDescent="0.2">
      <c r="A40" s="83" t="s">
        <v>189</v>
      </c>
      <c r="B40">
        <v>152</v>
      </c>
    </row>
    <row r="41" spans="1:2" x14ac:dyDescent="0.2">
      <c r="A41" s="84" t="s">
        <v>190</v>
      </c>
      <c r="B41">
        <v>152</v>
      </c>
    </row>
    <row r="42" spans="1:2" x14ac:dyDescent="0.2">
      <c r="A42" s="83" t="s">
        <v>194</v>
      </c>
      <c r="B42">
        <v>2590</v>
      </c>
    </row>
    <row r="43" spans="1:2" x14ac:dyDescent="0.2">
      <c r="A43" s="84" t="s">
        <v>195</v>
      </c>
      <c r="B43">
        <v>2590</v>
      </c>
    </row>
    <row r="44" spans="1:2" x14ac:dyDescent="0.2">
      <c r="A44" s="83" t="s">
        <v>176</v>
      </c>
      <c r="B44">
        <v>766</v>
      </c>
    </row>
    <row r="45" spans="1:2" x14ac:dyDescent="0.2">
      <c r="A45" s="84" t="s">
        <v>137</v>
      </c>
      <c r="B45">
        <v>766</v>
      </c>
    </row>
    <row r="46" spans="1:2" x14ac:dyDescent="0.2">
      <c r="A46" s="83" t="s">
        <v>148</v>
      </c>
      <c r="B46">
        <v>218</v>
      </c>
    </row>
    <row r="47" spans="1:2" x14ac:dyDescent="0.2">
      <c r="A47" s="84" t="s">
        <v>169</v>
      </c>
      <c r="B47">
        <v>218</v>
      </c>
    </row>
    <row r="48" spans="1:2" x14ac:dyDescent="0.2">
      <c r="A48" s="83" t="s">
        <v>177</v>
      </c>
      <c r="B48">
        <v>1150</v>
      </c>
    </row>
    <row r="49" spans="1:2" x14ac:dyDescent="0.2">
      <c r="A49" s="84" t="s">
        <v>137</v>
      </c>
      <c r="B49">
        <v>1150</v>
      </c>
    </row>
    <row r="50" spans="1:2" x14ac:dyDescent="0.2">
      <c r="A50" s="83" t="s">
        <v>157</v>
      </c>
      <c r="B50">
        <v>300</v>
      </c>
    </row>
    <row r="51" spans="1:2" x14ac:dyDescent="0.2">
      <c r="A51" s="84" t="s">
        <v>137</v>
      </c>
      <c r="B51">
        <v>300</v>
      </c>
    </row>
    <row r="52" spans="1:2" x14ac:dyDescent="0.2">
      <c r="A52" s="82" t="s">
        <v>107</v>
      </c>
      <c r="B52">
        <v>8700</v>
      </c>
    </row>
    <row r="53" spans="1:2" x14ac:dyDescent="0.2">
      <c r="A53" s="83" t="s">
        <v>139</v>
      </c>
      <c r="B53">
        <v>418</v>
      </c>
    </row>
    <row r="54" spans="1:2" x14ac:dyDescent="0.2">
      <c r="A54" s="84" t="s">
        <v>137</v>
      </c>
      <c r="B54">
        <v>418</v>
      </c>
    </row>
    <row r="55" spans="1:2" x14ac:dyDescent="0.2">
      <c r="A55" s="83" t="s">
        <v>180</v>
      </c>
      <c r="B55">
        <v>169</v>
      </c>
    </row>
    <row r="56" spans="1:2" x14ac:dyDescent="0.2">
      <c r="A56" s="84" t="s">
        <v>137</v>
      </c>
      <c r="B56">
        <v>169</v>
      </c>
    </row>
    <row r="57" spans="1:2" x14ac:dyDescent="0.2">
      <c r="A57" s="83" t="s">
        <v>145</v>
      </c>
      <c r="B57">
        <v>5040</v>
      </c>
    </row>
    <row r="58" spans="1:2" x14ac:dyDescent="0.2">
      <c r="A58" s="84" t="s">
        <v>146</v>
      </c>
      <c r="B58">
        <v>5040</v>
      </c>
    </row>
    <row r="59" spans="1:2" x14ac:dyDescent="0.2">
      <c r="A59" s="83" t="s">
        <v>164</v>
      </c>
      <c r="B59">
        <v>3073</v>
      </c>
    </row>
    <row r="60" spans="1:2" x14ac:dyDescent="0.2">
      <c r="A60" s="84" t="s">
        <v>165</v>
      </c>
      <c r="B60">
        <v>3073</v>
      </c>
    </row>
    <row r="61" spans="1:2" x14ac:dyDescent="0.2">
      <c r="A61" s="82" t="s">
        <v>108</v>
      </c>
      <c r="B61">
        <v>6131</v>
      </c>
    </row>
    <row r="62" spans="1:2" x14ac:dyDescent="0.2">
      <c r="A62" s="83" t="s">
        <v>166</v>
      </c>
      <c r="B62">
        <v>235</v>
      </c>
    </row>
    <row r="63" spans="1:2" x14ac:dyDescent="0.2">
      <c r="A63" s="84" t="s">
        <v>167</v>
      </c>
      <c r="B63">
        <v>235</v>
      </c>
    </row>
    <row r="64" spans="1:2" x14ac:dyDescent="0.2">
      <c r="A64" s="83" t="s">
        <v>152</v>
      </c>
      <c r="B64">
        <v>5546</v>
      </c>
    </row>
    <row r="65" spans="1:2" x14ac:dyDescent="0.2">
      <c r="A65" s="84" t="s">
        <v>153</v>
      </c>
      <c r="B65">
        <v>5546</v>
      </c>
    </row>
    <row r="66" spans="1:2" x14ac:dyDescent="0.2">
      <c r="A66" s="83" t="s">
        <v>158</v>
      </c>
      <c r="B66">
        <v>350</v>
      </c>
    </row>
    <row r="67" spans="1:2" x14ac:dyDescent="0.2">
      <c r="A67" s="84" t="s">
        <v>137</v>
      </c>
      <c r="B67">
        <v>350</v>
      </c>
    </row>
    <row r="68" spans="1:2" x14ac:dyDescent="0.2">
      <c r="A68" s="82" t="s">
        <v>110</v>
      </c>
      <c r="B68">
        <v>1068</v>
      </c>
    </row>
    <row r="69" spans="1:2" x14ac:dyDescent="0.2">
      <c r="A69" s="83" t="s">
        <v>138</v>
      </c>
      <c r="B69">
        <v>326</v>
      </c>
    </row>
    <row r="70" spans="1:2" x14ac:dyDescent="0.2">
      <c r="A70" s="84" t="s">
        <v>137</v>
      </c>
      <c r="B70">
        <v>326</v>
      </c>
    </row>
    <row r="71" spans="1:2" x14ac:dyDescent="0.2">
      <c r="A71" s="83" t="s">
        <v>140</v>
      </c>
      <c r="B71">
        <v>0</v>
      </c>
    </row>
    <row r="72" spans="1:2" x14ac:dyDescent="0.2">
      <c r="A72" s="84" t="s">
        <v>141</v>
      </c>
      <c r="B72">
        <v>0</v>
      </c>
    </row>
    <row r="73" spans="1:2" x14ac:dyDescent="0.2">
      <c r="A73" s="83" t="s">
        <v>175</v>
      </c>
      <c r="B73">
        <v>397</v>
      </c>
    </row>
    <row r="74" spans="1:2" x14ac:dyDescent="0.2">
      <c r="A74" s="84" t="s">
        <v>137</v>
      </c>
      <c r="B74">
        <v>397</v>
      </c>
    </row>
    <row r="75" spans="1:2" x14ac:dyDescent="0.2">
      <c r="A75" s="83" t="s">
        <v>174</v>
      </c>
      <c r="B75">
        <v>148</v>
      </c>
    </row>
    <row r="76" spans="1:2" x14ac:dyDescent="0.2">
      <c r="A76" s="84" t="s">
        <v>137</v>
      </c>
      <c r="B76">
        <v>148</v>
      </c>
    </row>
    <row r="77" spans="1:2" x14ac:dyDescent="0.2">
      <c r="A77" s="83" t="s">
        <v>168</v>
      </c>
      <c r="B77">
        <v>197</v>
      </c>
    </row>
    <row r="78" spans="1:2" x14ac:dyDescent="0.2">
      <c r="A78" s="84" t="s">
        <v>137</v>
      </c>
      <c r="B78">
        <v>197</v>
      </c>
    </row>
    <row r="79" spans="1:2" x14ac:dyDescent="0.2">
      <c r="A79" s="82" t="s">
        <v>159</v>
      </c>
      <c r="B79">
        <v>937</v>
      </c>
    </row>
    <row r="80" spans="1:2" x14ac:dyDescent="0.2">
      <c r="A80" s="83" t="s">
        <v>160</v>
      </c>
      <c r="B80">
        <v>185</v>
      </c>
    </row>
    <row r="81" spans="1:2" x14ac:dyDescent="0.2">
      <c r="A81" s="84" t="s">
        <v>137</v>
      </c>
      <c r="B81">
        <v>185</v>
      </c>
    </row>
    <row r="82" spans="1:2" x14ac:dyDescent="0.2">
      <c r="A82" s="83" t="s">
        <v>180</v>
      </c>
      <c r="B82">
        <v>0</v>
      </c>
    </row>
    <row r="83" spans="1:2" x14ac:dyDescent="0.2">
      <c r="A83" s="85">
        <v>242009</v>
      </c>
      <c r="B83">
        <v>0</v>
      </c>
    </row>
    <row r="84" spans="1:2" x14ac:dyDescent="0.2">
      <c r="A84" s="83" t="s">
        <v>161</v>
      </c>
      <c r="B84">
        <v>189</v>
      </c>
    </row>
    <row r="85" spans="1:2" x14ac:dyDescent="0.2">
      <c r="A85" s="84" t="s">
        <v>137</v>
      </c>
      <c r="B85">
        <v>189</v>
      </c>
    </row>
    <row r="86" spans="1:2" x14ac:dyDescent="0.2">
      <c r="A86" s="83" t="s">
        <v>158</v>
      </c>
      <c r="B86">
        <v>161</v>
      </c>
    </row>
    <row r="87" spans="1:2" x14ac:dyDescent="0.2">
      <c r="A87" s="84" t="s">
        <v>137</v>
      </c>
      <c r="B87">
        <v>161</v>
      </c>
    </row>
    <row r="88" spans="1:2" x14ac:dyDescent="0.2">
      <c r="A88" s="83" t="s">
        <v>156</v>
      </c>
      <c r="B88">
        <v>140</v>
      </c>
    </row>
    <row r="89" spans="1:2" x14ac:dyDescent="0.2">
      <c r="A89" s="84" t="s">
        <v>137</v>
      </c>
      <c r="B89">
        <v>140</v>
      </c>
    </row>
    <row r="90" spans="1:2" x14ac:dyDescent="0.2">
      <c r="A90" s="83" t="s">
        <v>173</v>
      </c>
      <c r="B90">
        <v>262</v>
      </c>
    </row>
    <row r="91" spans="1:2" x14ac:dyDescent="0.2">
      <c r="A91" s="84" t="s">
        <v>137</v>
      </c>
      <c r="B91">
        <v>262</v>
      </c>
    </row>
    <row r="92" spans="1:2" x14ac:dyDescent="0.2">
      <c r="A92" s="82" t="s">
        <v>38</v>
      </c>
      <c r="B92">
        <v>3935</v>
      </c>
    </row>
    <row r="93" spans="1:2" x14ac:dyDescent="0.2">
      <c r="A93" s="83" t="s">
        <v>142</v>
      </c>
      <c r="B93">
        <v>850</v>
      </c>
    </row>
    <row r="94" spans="1:2" x14ac:dyDescent="0.2">
      <c r="A94" s="84" t="s">
        <v>150</v>
      </c>
      <c r="B94">
        <v>850</v>
      </c>
    </row>
    <row r="95" spans="1:2" x14ac:dyDescent="0.2">
      <c r="A95" s="83" t="s">
        <v>143</v>
      </c>
      <c r="B95">
        <v>1185</v>
      </c>
    </row>
    <row r="96" spans="1:2" x14ac:dyDescent="0.2">
      <c r="A96" s="84" t="s">
        <v>144</v>
      </c>
      <c r="B96">
        <v>1185</v>
      </c>
    </row>
    <row r="97" spans="1:2" x14ac:dyDescent="0.2">
      <c r="A97" s="83" t="s">
        <v>148</v>
      </c>
      <c r="B97">
        <v>1900</v>
      </c>
    </row>
    <row r="98" spans="1:2" x14ac:dyDescent="0.2">
      <c r="A98" s="84" t="s">
        <v>149</v>
      </c>
      <c r="B98">
        <v>1900</v>
      </c>
    </row>
    <row r="99" spans="1:2" x14ac:dyDescent="0.2">
      <c r="A99" s="82" t="s">
        <v>151</v>
      </c>
      <c r="B99">
        <v>750</v>
      </c>
    </row>
    <row r="100" spans="1:2" x14ac:dyDescent="0.2">
      <c r="A100" s="83" t="s">
        <v>142</v>
      </c>
      <c r="B100">
        <v>750</v>
      </c>
    </row>
    <row r="101" spans="1:2" x14ac:dyDescent="0.2">
      <c r="A101" s="84" t="s">
        <v>144</v>
      </c>
      <c r="B101">
        <v>750</v>
      </c>
    </row>
    <row r="102" spans="1:2" x14ac:dyDescent="0.2">
      <c r="A102" s="82" t="s">
        <v>39</v>
      </c>
      <c r="B102">
        <v>900</v>
      </c>
    </row>
    <row r="103" spans="1:2" x14ac:dyDescent="0.2">
      <c r="A103" s="83" t="s">
        <v>147</v>
      </c>
      <c r="B103">
        <v>900</v>
      </c>
    </row>
    <row r="104" spans="1:2" x14ac:dyDescent="0.2">
      <c r="A104" s="84" t="s">
        <v>137</v>
      </c>
      <c r="B104">
        <v>900</v>
      </c>
    </row>
    <row r="105" spans="1:2" x14ac:dyDescent="0.2">
      <c r="A105" s="82" t="s">
        <v>196</v>
      </c>
      <c r="B105">
        <v>50360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366"/>
  <sheetViews>
    <sheetView workbookViewId="0">
      <selection activeCell="H8" sqref="H8"/>
    </sheetView>
  </sheetViews>
  <sheetFormatPr defaultRowHeight="14.25" x14ac:dyDescent="0.2"/>
  <cols>
    <col min="2" max="2" width="10.375" bestFit="1" customWidth="1"/>
    <col min="7" max="7" width="17.125" customWidth="1"/>
    <col min="8" max="8" width="19.25" customWidth="1"/>
  </cols>
  <sheetData>
    <row r="1" spans="1:11" ht="18" x14ac:dyDescent="0.4">
      <c r="A1" t="s">
        <v>11</v>
      </c>
      <c r="B1" s="1">
        <v>243984</v>
      </c>
      <c r="C1" t="s">
        <v>18</v>
      </c>
      <c r="D1" t="s">
        <v>38</v>
      </c>
      <c r="E1" t="s">
        <v>50</v>
      </c>
      <c r="F1" t="s">
        <v>55</v>
      </c>
      <c r="G1" s="2" t="s">
        <v>76</v>
      </c>
      <c r="H1" s="3" t="s">
        <v>59</v>
      </c>
      <c r="I1" s="4">
        <v>79</v>
      </c>
      <c r="J1" s="5" t="s">
        <v>60</v>
      </c>
      <c r="K1" t="s">
        <v>106</v>
      </c>
    </row>
    <row r="2" spans="1:11" ht="18" x14ac:dyDescent="0.4">
      <c r="A2" t="s">
        <v>12</v>
      </c>
      <c r="B2" s="1">
        <v>243985</v>
      </c>
      <c r="C2" t="s">
        <v>19</v>
      </c>
      <c r="D2" t="s">
        <v>39</v>
      </c>
      <c r="E2" t="s">
        <v>51</v>
      </c>
      <c r="F2" t="s">
        <v>56</v>
      </c>
      <c r="G2" s="2" t="s">
        <v>61</v>
      </c>
      <c r="H2" s="3" t="s">
        <v>62</v>
      </c>
      <c r="I2" s="4">
        <v>82.15</v>
      </c>
      <c r="J2" s="5" t="s">
        <v>60</v>
      </c>
      <c r="K2" t="s">
        <v>105</v>
      </c>
    </row>
    <row r="3" spans="1:11" ht="18" x14ac:dyDescent="0.4">
      <c r="A3" t="s">
        <v>13</v>
      </c>
      <c r="B3" s="1">
        <v>243986</v>
      </c>
      <c r="C3" t="s">
        <v>20</v>
      </c>
      <c r="D3" t="s">
        <v>135</v>
      </c>
      <c r="E3" t="s">
        <v>52</v>
      </c>
      <c r="F3" t="s">
        <v>57</v>
      </c>
      <c r="G3" s="2" t="s">
        <v>63</v>
      </c>
      <c r="H3" s="3" t="s">
        <v>64</v>
      </c>
      <c r="I3" s="6">
        <v>460</v>
      </c>
      <c r="J3" s="5" t="s">
        <v>60</v>
      </c>
      <c r="K3" t="s">
        <v>104</v>
      </c>
    </row>
    <row r="4" spans="1:11" ht="23.25" x14ac:dyDescent="0.4">
      <c r="A4" t="s">
        <v>14</v>
      </c>
      <c r="B4" s="1">
        <v>243987</v>
      </c>
      <c r="C4" t="s">
        <v>21</v>
      </c>
      <c r="D4" t="s">
        <v>40</v>
      </c>
      <c r="E4" t="s">
        <v>54</v>
      </c>
      <c r="G4" s="2" t="s">
        <v>65</v>
      </c>
      <c r="H4" s="7" t="s">
        <v>122</v>
      </c>
      <c r="I4" s="4" t="s">
        <v>66</v>
      </c>
      <c r="J4" s="5" t="s">
        <v>67</v>
      </c>
      <c r="K4" s="38" t="s">
        <v>57</v>
      </c>
    </row>
    <row r="5" spans="1:11" ht="18" x14ac:dyDescent="0.4">
      <c r="A5" t="s">
        <v>15</v>
      </c>
      <c r="B5" s="1">
        <v>243988</v>
      </c>
      <c r="C5" t="s">
        <v>22</v>
      </c>
      <c r="D5" t="s">
        <v>41</v>
      </c>
      <c r="E5" t="s">
        <v>53</v>
      </c>
      <c r="G5" s="2" t="s">
        <v>74</v>
      </c>
      <c r="H5" s="7" t="s">
        <v>100</v>
      </c>
      <c r="I5" s="4" t="s">
        <v>66</v>
      </c>
      <c r="J5" s="5" t="s">
        <v>68</v>
      </c>
    </row>
    <row r="6" spans="1:11" ht="18" x14ac:dyDescent="0.4">
      <c r="A6" t="s">
        <v>16</v>
      </c>
      <c r="B6" s="1">
        <v>243989</v>
      </c>
      <c r="C6" t="s">
        <v>23</v>
      </c>
      <c r="D6" t="s">
        <v>42</v>
      </c>
      <c r="E6" t="s">
        <v>83</v>
      </c>
      <c r="G6" s="2" t="s">
        <v>75</v>
      </c>
      <c r="H6" s="7" t="s">
        <v>125</v>
      </c>
      <c r="I6" s="4" t="s">
        <v>69</v>
      </c>
      <c r="J6" s="5" t="s">
        <v>70</v>
      </c>
    </row>
    <row r="7" spans="1:11" ht="18" x14ac:dyDescent="0.4">
      <c r="A7" t="s">
        <v>17</v>
      </c>
      <c r="B7" s="1">
        <v>243990</v>
      </c>
      <c r="C7" t="s">
        <v>24</v>
      </c>
      <c r="D7" t="s">
        <v>43</v>
      </c>
      <c r="E7" t="s">
        <v>92</v>
      </c>
      <c r="G7" s="2" t="s">
        <v>84</v>
      </c>
      <c r="H7" s="7" t="s">
        <v>126</v>
      </c>
      <c r="I7" s="4" t="s">
        <v>66</v>
      </c>
      <c r="J7" s="5" t="s">
        <v>72</v>
      </c>
    </row>
    <row r="8" spans="1:11" ht="18" x14ac:dyDescent="0.4">
      <c r="A8" t="s">
        <v>10</v>
      </c>
      <c r="B8" s="1">
        <v>243991</v>
      </c>
      <c r="C8" t="s">
        <v>25</v>
      </c>
      <c r="D8" t="s">
        <v>44</v>
      </c>
      <c r="E8" t="s">
        <v>93</v>
      </c>
      <c r="G8" s="2" t="s">
        <v>85</v>
      </c>
      <c r="H8" s="3" t="s">
        <v>127</v>
      </c>
      <c r="I8" s="4" t="s">
        <v>66</v>
      </c>
      <c r="J8" s="5"/>
    </row>
    <row r="9" spans="1:11" ht="18" x14ac:dyDescent="0.2">
      <c r="A9" t="s">
        <v>132</v>
      </c>
      <c r="B9" s="1">
        <v>243992</v>
      </c>
      <c r="C9" t="s">
        <v>26</v>
      </c>
      <c r="D9" t="s">
        <v>45</v>
      </c>
      <c r="E9" t="s">
        <v>94</v>
      </c>
      <c r="G9" s="2" t="s">
        <v>71</v>
      </c>
      <c r="H9" s="48" t="s">
        <v>123</v>
      </c>
    </row>
    <row r="10" spans="1:11" ht="18" x14ac:dyDescent="0.2">
      <c r="B10" s="1">
        <v>243993</v>
      </c>
      <c r="C10" t="s">
        <v>27</v>
      </c>
      <c r="D10" t="s">
        <v>46</v>
      </c>
      <c r="G10" s="2" t="s">
        <v>73</v>
      </c>
      <c r="H10" s="48" t="s">
        <v>124</v>
      </c>
    </row>
    <row r="11" spans="1:11" ht="18" x14ac:dyDescent="0.2">
      <c r="B11" s="1">
        <v>243994</v>
      </c>
      <c r="C11" t="s">
        <v>28</v>
      </c>
      <c r="D11" t="s">
        <v>47</v>
      </c>
      <c r="G11" s="2" t="s">
        <v>75</v>
      </c>
      <c r="H11" s="48"/>
    </row>
    <row r="12" spans="1:11" ht="18" x14ac:dyDescent="0.2">
      <c r="B12" s="1">
        <v>243995</v>
      </c>
      <c r="C12" t="s">
        <v>29</v>
      </c>
      <c r="D12" t="s">
        <v>107</v>
      </c>
      <c r="G12" s="2" t="s">
        <v>203</v>
      </c>
    </row>
    <row r="13" spans="1:11" x14ac:dyDescent="0.2">
      <c r="B13" s="1">
        <v>243996</v>
      </c>
      <c r="D13" t="s">
        <v>108</v>
      </c>
    </row>
    <row r="14" spans="1:11" x14ac:dyDescent="0.2">
      <c r="B14" s="1">
        <v>243997</v>
      </c>
      <c r="D14" t="s">
        <v>109</v>
      </c>
    </row>
    <row r="15" spans="1:11" x14ac:dyDescent="0.2">
      <c r="B15" s="1">
        <v>243998</v>
      </c>
      <c r="D15" t="s">
        <v>110</v>
      </c>
    </row>
    <row r="16" spans="1:11" x14ac:dyDescent="0.2">
      <c r="B16" s="1">
        <v>243999</v>
      </c>
      <c r="D16" t="s">
        <v>48</v>
      </c>
    </row>
    <row r="17" spans="2:4" x14ac:dyDescent="0.2">
      <c r="B17" s="1">
        <v>244000</v>
      </c>
      <c r="D17" t="s">
        <v>49</v>
      </c>
    </row>
    <row r="18" spans="2:4" x14ac:dyDescent="0.2">
      <c r="B18" s="1">
        <v>244001</v>
      </c>
      <c r="D18" t="s">
        <v>225</v>
      </c>
    </row>
    <row r="19" spans="2:4" x14ac:dyDescent="0.2">
      <c r="B19" s="1">
        <v>244002</v>
      </c>
      <c r="D19" t="s">
        <v>226</v>
      </c>
    </row>
    <row r="20" spans="2:4" x14ac:dyDescent="0.2">
      <c r="B20" s="1">
        <v>244003</v>
      </c>
      <c r="D20" t="s">
        <v>227</v>
      </c>
    </row>
    <row r="21" spans="2:4" x14ac:dyDescent="0.2">
      <c r="B21" s="1">
        <v>244004</v>
      </c>
      <c r="D21" t="s">
        <v>228</v>
      </c>
    </row>
    <row r="22" spans="2:4" x14ac:dyDescent="0.2">
      <c r="B22" s="1">
        <v>244005</v>
      </c>
      <c r="D22" t="s">
        <v>229</v>
      </c>
    </row>
    <row r="23" spans="2:4" x14ac:dyDescent="0.2">
      <c r="B23" s="1">
        <v>244006</v>
      </c>
      <c r="D23" t="s">
        <v>211</v>
      </c>
    </row>
    <row r="24" spans="2:4" x14ac:dyDescent="0.2">
      <c r="B24" s="1">
        <v>244007</v>
      </c>
      <c r="D24" t="s">
        <v>230</v>
      </c>
    </row>
    <row r="25" spans="2:4" x14ac:dyDescent="0.2">
      <c r="B25" s="1">
        <v>244008</v>
      </c>
      <c r="D25" t="s">
        <v>231</v>
      </c>
    </row>
    <row r="26" spans="2:4" x14ac:dyDescent="0.2">
      <c r="B26" s="1">
        <v>244009</v>
      </c>
      <c r="D26" t="s">
        <v>232</v>
      </c>
    </row>
    <row r="27" spans="2:4" x14ac:dyDescent="0.2">
      <c r="B27" s="1">
        <v>244010</v>
      </c>
      <c r="D27" t="s">
        <v>233</v>
      </c>
    </row>
    <row r="28" spans="2:4" x14ac:dyDescent="0.2">
      <c r="B28" s="1">
        <v>244011</v>
      </c>
      <c r="D28" t="s">
        <v>234</v>
      </c>
    </row>
    <row r="29" spans="2:4" x14ac:dyDescent="0.2">
      <c r="B29" s="1">
        <v>244012</v>
      </c>
      <c r="D29" t="s">
        <v>235</v>
      </c>
    </row>
    <row r="30" spans="2:4" x14ac:dyDescent="0.2">
      <c r="B30" s="1">
        <v>244013</v>
      </c>
      <c r="D30" t="s">
        <v>236</v>
      </c>
    </row>
    <row r="31" spans="2:4" x14ac:dyDescent="0.2">
      <c r="B31" s="1">
        <v>244014</v>
      </c>
      <c r="D31" t="s">
        <v>213</v>
      </c>
    </row>
    <row r="32" spans="2:4" x14ac:dyDescent="0.2">
      <c r="B32" s="1">
        <v>244015</v>
      </c>
      <c r="D32" t="s">
        <v>237</v>
      </c>
    </row>
    <row r="33" spans="2:4" x14ac:dyDescent="0.2">
      <c r="B33" s="1">
        <v>244016</v>
      </c>
      <c r="D33" t="s">
        <v>238</v>
      </c>
    </row>
    <row r="34" spans="2:4" x14ac:dyDescent="0.2">
      <c r="B34" s="1">
        <v>244017</v>
      </c>
      <c r="D34" t="s">
        <v>239</v>
      </c>
    </row>
    <row r="35" spans="2:4" x14ac:dyDescent="0.2">
      <c r="B35" s="1">
        <v>244018</v>
      </c>
      <c r="D35" t="s">
        <v>240</v>
      </c>
    </row>
    <row r="36" spans="2:4" x14ac:dyDescent="0.2">
      <c r="B36" s="1">
        <v>244019</v>
      </c>
      <c r="D36" t="s">
        <v>241</v>
      </c>
    </row>
    <row r="37" spans="2:4" x14ac:dyDescent="0.2">
      <c r="B37" s="1">
        <v>244020</v>
      </c>
      <c r="D37" t="s">
        <v>242</v>
      </c>
    </row>
    <row r="38" spans="2:4" x14ac:dyDescent="0.2">
      <c r="B38" s="1">
        <v>244021</v>
      </c>
      <c r="D38" t="s">
        <v>243</v>
      </c>
    </row>
    <row r="39" spans="2:4" x14ac:dyDescent="0.2">
      <c r="B39" s="1">
        <v>244022</v>
      </c>
      <c r="D39" t="s">
        <v>244</v>
      </c>
    </row>
    <row r="40" spans="2:4" x14ac:dyDescent="0.2">
      <c r="B40" s="1">
        <v>244023</v>
      </c>
      <c r="D40" t="s">
        <v>245</v>
      </c>
    </row>
    <row r="41" spans="2:4" x14ac:dyDescent="0.2">
      <c r="B41" s="1">
        <v>244024</v>
      </c>
      <c r="D41" t="s">
        <v>246</v>
      </c>
    </row>
    <row r="42" spans="2:4" x14ac:dyDescent="0.2">
      <c r="B42" s="1">
        <v>244025</v>
      </c>
      <c r="D42" t="s">
        <v>209</v>
      </c>
    </row>
    <row r="43" spans="2:4" x14ac:dyDescent="0.2">
      <c r="B43" s="1">
        <v>244026</v>
      </c>
      <c r="D43" t="s">
        <v>206</v>
      </c>
    </row>
    <row r="44" spans="2:4" x14ac:dyDescent="0.2">
      <c r="B44" s="1">
        <v>244027</v>
      </c>
      <c r="D44" t="s">
        <v>208</v>
      </c>
    </row>
    <row r="45" spans="2:4" x14ac:dyDescent="0.2">
      <c r="B45" s="1">
        <v>244028</v>
      </c>
      <c r="D45" t="s">
        <v>247</v>
      </c>
    </row>
    <row r="46" spans="2:4" x14ac:dyDescent="0.2">
      <c r="B46" s="1">
        <v>244029</v>
      </c>
      <c r="D46" t="s">
        <v>248</v>
      </c>
    </row>
    <row r="47" spans="2:4" x14ac:dyDescent="0.2">
      <c r="B47" s="1">
        <v>244030</v>
      </c>
      <c r="D47" t="s">
        <v>249</v>
      </c>
    </row>
    <row r="48" spans="2:4" x14ac:dyDescent="0.2">
      <c r="B48" s="1">
        <v>244031</v>
      </c>
      <c r="D48" t="s">
        <v>250</v>
      </c>
    </row>
    <row r="49" spans="2:4" x14ac:dyDescent="0.2">
      <c r="B49" s="1">
        <v>244032</v>
      </c>
      <c r="D49" t="s">
        <v>251</v>
      </c>
    </row>
    <row r="50" spans="2:4" x14ac:dyDescent="0.2">
      <c r="B50" s="1">
        <v>244033</v>
      </c>
      <c r="D50" t="s">
        <v>252</v>
      </c>
    </row>
    <row r="51" spans="2:4" x14ac:dyDescent="0.2">
      <c r="B51" s="1">
        <v>244034</v>
      </c>
      <c r="D51" t="s">
        <v>253</v>
      </c>
    </row>
    <row r="52" spans="2:4" x14ac:dyDescent="0.2">
      <c r="B52" s="1">
        <v>244035</v>
      </c>
      <c r="D52" t="s">
        <v>254</v>
      </c>
    </row>
    <row r="53" spans="2:4" x14ac:dyDescent="0.2">
      <c r="B53" s="1">
        <v>244036</v>
      </c>
      <c r="D53" t="s">
        <v>255</v>
      </c>
    </row>
    <row r="54" spans="2:4" x14ac:dyDescent="0.2">
      <c r="B54" s="1">
        <v>244037</v>
      </c>
      <c r="D54" t="s">
        <v>256</v>
      </c>
    </row>
    <row r="55" spans="2:4" x14ac:dyDescent="0.2">
      <c r="B55" s="1">
        <v>244038</v>
      </c>
      <c r="D55" t="s">
        <v>257</v>
      </c>
    </row>
    <row r="56" spans="2:4" x14ac:dyDescent="0.2">
      <c r="B56" s="1">
        <v>244039</v>
      </c>
      <c r="D56" t="s">
        <v>222</v>
      </c>
    </row>
    <row r="57" spans="2:4" x14ac:dyDescent="0.2">
      <c r="B57" s="1">
        <v>244040</v>
      </c>
      <c r="D57" t="s">
        <v>258</v>
      </c>
    </row>
    <row r="58" spans="2:4" x14ac:dyDescent="0.2">
      <c r="B58" s="1">
        <v>244041</v>
      </c>
      <c r="D58" t="s">
        <v>259</v>
      </c>
    </row>
    <row r="59" spans="2:4" x14ac:dyDescent="0.2">
      <c r="B59" s="1">
        <v>244042</v>
      </c>
      <c r="D59" t="s">
        <v>223</v>
      </c>
    </row>
    <row r="60" spans="2:4" x14ac:dyDescent="0.2">
      <c r="B60" s="1">
        <v>244044</v>
      </c>
      <c r="D60" t="s">
        <v>260</v>
      </c>
    </row>
    <row r="61" spans="2:4" x14ac:dyDescent="0.2">
      <c r="B61" s="1">
        <v>244045</v>
      </c>
      <c r="D61" t="s">
        <v>210</v>
      </c>
    </row>
    <row r="62" spans="2:4" x14ac:dyDescent="0.2">
      <c r="B62" s="1">
        <v>244046</v>
      </c>
      <c r="D62" t="s">
        <v>261</v>
      </c>
    </row>
    <row r="63" spans="2:4" x14ac:dyDescent="0.2">
      <c r="B63" s="1">
        <v>244047</v>
      </c>
      <c r="D63" t="s">
        <v>262</v>
      </c>
    </row>
    <row r="64" spans="2:4" x14ac:dyDescent="0.2">
      <c r="B64" s="1">
        <v>244048</v>
      </c>
      <c r="D64" t="s">
        <v>263</v>
      </c>
    </row>
    <row r="65" spans="2:4" x14ac:dyDescent="0.2">
      <c r="B65" s="1">
        <v>244049</v>
      </c>
      <c r="D65" t="s">
        <v>264</v>
      </c>
    </row>
    <row r="66" spans="2:4" x14ac:dyDescent="0.2">
      <c r="B66" s="1">
        <v>244050</v>
      </c>
      <c r="D66" t="s">
        <v>265</v>
      </c>
    </row>
    <row r="67" spans="2:4" x14ac:dyDescent="0.2">
      <c r="B67" s="1">
        <v>244051</v>
      </c>
      <c r="D67" t="s">
        <v>266</v>
      </c>
    </row>
    <row r="68" spans="2:4" x14ac:dyDescent="0.2">
      <c r="B68" s="1">
        <v>244052</v>
      </c>
      <c r="D68" t="s">
        <v>215</v>
      </c>
    </row>
    <row r="69" spans="2:4" x14ac:dyDescent="0.2">
      <c r="B69" s="1">
        <v>244053</v>
      </c>
      <c r="D69" t="s">
        <v>218</v>
      </c>
    </row>
    <row r="70" spans="2:4" x14ac:dyDescent="0.2">
      <c r="B70" s="1">
        <v>244054</v>
      </c>
      <c r="D70" t="s">
        <v>267</v>
      </c>
    </row>
    <row r="71" spans="2:4" x14ac:dyDescent="0.2">
      <c r="B71" s="1">
        <v>244055</v>
      </c>
      <c r="D71" t="s">
        <v>268</v>
      </c>
    </row>
    <row r="72" spans="2:4" x14ac:dyDescent="0.2">
      <c r="B72" s="1">
        <v>244056</v>
      </c>
      <c r="D72" t="s">
        <v>269</v>
      </c>
    </row>
    <row r="73" spans="2:4" x14ac:dyDescent="0.2">
      <c r="B73" s="1">
        <v>244057</v>
      </c>
      <c r="D73" t="s">
        <v>217</v>
      </c>
    </row>
    <row r="74" spans="2:4" x14ac:dyDescent="0.2">
      <c r="B74" s="1">
        <v>244058</v>
      </c>
      <c r="D74" t="s">
        <v>270</v>
      </c>
    </row>
    <row r="75" spans="2:4" x14ac:dyDescent="0.2">
      <c r="B75" s="1">
        <v>244059</v>
      </c>
      <c r="D75" t="s">
        <v>271</v>
      </c>
    </row>
    <row r="76" spans="2:4" x14ac:dyDescent="0.2">
      <c r="B76" s="1">
        <v>244060</v>
      </c>
      <c r="D76" t="s">
        <v>272</v>
      </c>
    </row>
    <row r="77" spans="2:4" x14ac:dyDescent="0.2">
      <c r="B77" s="1">
        <v>244061</v>
      </c>
      <c r="D77" t="s">
        <v>205</v>
      </c>
    </row>
    <row r="78" spans="2:4" x14ac:dyDescent="0.2">
      <c r="B78" s="1">
        <v>244062</v>
      </c>
      <c r="D78" t="s">
        <v>273</v>
      </c>
    </row>
    <row r="79" spans="2:4" x14ac:dyDescent="0.2">
      <c r="B79" s="1">
        <v>244063</v>
      </c>
      <c r="D79" t="s">
        <v>274</v>
      </c>
    </row>
    <row r="80" spans="2:4" x14ac:dyDescent="0.2">
      <c r="B80" s="1">
        <v>244064</v>
      </c>
      <c r="D80" t="s">
        <v>275</v>
      </c>
    </row>
    <row r="81" spans="2:4" x14ac:dyDescent="0.2">
      <c r="B81" s="1">
        <v>244065</v>
      </c>
      <c r="D81" t="s">
        <v>276</v>
      </c>
    </row>
    <row r="82" spans="2:4" x14ac:dyDescent="0.2">
      <c r="B82" s="1">
        <v>244066</v>
      </c>
      <c r="D82" t="s">
        <v>219</v>
      </c>
    </row>
    <row r="83" spans="2:4" x14ac:dyDescent="0.2">
      <c r="B83" s="1">
        <v>244067</v>
      </c>
      <c r="D83" t="s">
        <v>277</v>
      </c>
    </row>
    <row r="84" spans="2:4" x14ac:dyDescent="0.2">
      <c r="B84" s="1">
        <v>244068</v>
      </c>
      <c r="D84" t="s">
        <v>278</v>
      </c>
    </row>
    <row r="85" spans="2:4" x14ac:dyDescent="0.2">
      <c r="B85" s="1">
        <v>244069</v>
      </c>
      <c r="D85" t="s">
        <v>279</v>
      </c>
    </row>
    <row r="86" spans="2:4" x14ac:dyDescent="0.2">
      <c r="B86" s="1">
        <v>244070</v>
      </c>
      <c r="D86" t="s">
        <v>280</v>
      </c>
    </row>
    <row r="87" spans="2:4" x14ac:dyDescent="0.2">
      <c r="B87" s="1">
        <v>244071</v>
      </c>
      <c r="D87" t="s">
        <v>281</v>
      </c>
    </row>
    <row r="88" spans="2:4" x14ac:dyDescent="0.2">
      <c r="B88" s="1">
        <v>244072</v>
      </c>
      <c r="D88" t="s">
        <v>282</v>
      </c>
    </row>
    <row r="89" spans="2:4" x14ac:dyDescent="0.2">
      <c r="B89" s="1">
        <v>244073</v>
      </c>
      <c r="D89" t="s">
        <v>283</v>
      </c>
    </row>
    <row r="90" spans="2:4" x14ac:dyDescent="0.2">
      <c r="B90" s="1">
        <v>244074</v>
      </c>
      <c r="D90" t="s">
        <v>284</v>
      </c>
    </row>
    <row r="91" spans="2:4" x14ac:dyDescent="0.2">
      <c r="B91" s="1">
        <v>244075</v>
      </c>
      <c r="D91" t="s">
        <v>285</v>
      </c>
    </row>
    <row r="92" spans="2:4" x14ac:dyDescent="0.2">
      <c r="B92" s="1">
        <v>244076</v>
      </c>
      <c r="D92" t="s">
        <v>224</v>
      </c>
    </row>
    <row r="93" spans="2:4" x14ac:dyDescent="0.2">
      <c r="B93" s="1">
        <v>244077</v>
      </c>
      <c r="D93" t="s">
        <v>286</v>
      </c>
    </row>
    <row r="94" spans="2:4" x14ac:dyDescent="0.2">
      <c r="B94" s="1">
        <v>244078</v>
      </c>
      <c r="D94" t="s">
        <v>287</v>
      </c>
    </row>
    <row r="95" spans="2:4" x14ac:dyDescent="0.2">
      <c r="B95" s="1">
        <v>244079</v>
      </c>
      <c r="D95" t="s">
        <v>288</v>
      </c>
    </row>
    <row r="96" spans="2:4" x14ac:dyDescent="0.2">
      <c r="B96" s="1">
        <v>244080</v>
      </c>
      <c r="D96" t="s">
        <v>289</v>
      </c>
    </row>
    <row r="97" spans="2:4" x14ac:dyDescent="0.2">
      <c r="B97" s="1">
        <v>244081</v>
      </c>
      <c r="D97" t="s">
        <v>290</v>
      </c>
    </row>
    <row r="98" spans="2:4" x14ac:dyDescent="0.2">
      <c r="B98" s="1">
        <v>244082</v>
      </c>
      <c r="D98" t="s">
        <v>291</v>
      </c>
    </row>
    <row r="99" spans="2:4" x14ac:dyDescent="0.2">
      <c r="B99" s="1">
        <v>244083</v>
      </c>
      <c r="D99" t="s">
        <v>292</v>
      </c>
    </row>
    <row r="100" spans="2:4" x14ac:dyDescent="0.2">
      <c r="B100" s="1">
        <v>244084</v>
      </c>
      <c r="D100" t="s">
        <v>214</v>
      </c>
    </row>
    <row r="101" spans="2:4" x14ac:dyDescent="0.2">
      <c r="B101" s="1">
        <v>244085</v>
      </c>
      <c r="D101" t="s">
        <v>221</v>
      </c>
    </row>
    <row r="102" spans="2:4" x14ac:dyDescent="0.2">
      <c r="B102" s="1">
        <v>244086</v>
      </c>
      <c r="D102" t="s">
        <v>293</v>
      </c>
    </row>
    <row r="103" spans="2:4" x14ac:dyDescent="0.2">
      <c r="B103" s="1">
        <v>244087</v>
      </c>
      <c r="D103" t="s">
        <v>294</v>
      </c>
    </row>
    <row r="104" spans="2:4" x14ac:dyDescent="0.2">
      <c r="B104" s="1">
        <v>244088</v>
      </c>
      <c r="D104" t="s">
        <v>295</v>
      </c>
    </row>
    <row r="105" spans="2:4" x14ac:dyDescent="0.2">
      <c r="B105" s="1">
        <v>244089</v>
      </c>
      <c r="D105" t="s">
        <v>296</v>
      </c>
    </row>
    <row r="106" spans="2:4" x14ac:dyDescent="0.2">
      <c r="B106" s="1">
        <v>244090</v>
      </c>
      <c r="D106" t="s">
        <v>297</v>
      </c>
    </row>
    <row r="107" spans="2:4" x14ac:dyDescent="0.2">
      <c r="B107" s="1">
        <v>244091</v>
      </c>
      <c r="D107" t="s">
        <v>298</v>
      </c>
    </row>
    <row r="108" spans="2:4" x14ac:dyDescent="0.2">
      <c r="B108" s="1">
        <v>244092</v>
      </c>
      <c r="D108" t="s">
        <v>299</v>
      </c>
    </row>
    <row r="109" spans="2:4" x14ac:dyDescent="0.2">
      <c r="B109" s="1">
        <v>244093</v>
      </c>
      <c r="D109" t="s">
        <v>220</v>
      </c>
    </row>
    <row r="110" spans="2:4" x14ac:dyDescent="0.2">
      <c r="B110" s="1">
        <v>244094</v>
      </c>
      <c r="D110" t="s">
        <v>300</v>
      </c>
    </row>
    <row r="111" spans="2:4" x14ac:dyDescent="0.2">
      <c r="B111" s="1">
        <v>244095</v>
      </c>
      <c r="D111" t="s">
        <v>212</v>
      </c>
    </row>
    <row r="112" spans="2:4" x14ac:dyDescent="0.2">
      <c r="B112" s="1">
        <v>244096</v>
      </c>
      <c r="D112" t="s">
        <v>301</v>
      </c>
    </row>
    <row r="113" spans="2:2" x14ac:dyDescent="0.2">
      <c r="B113" s="1">
        <v>244097</v>
      </c>
    </row>
    <row r="114" spans="2:2" x14ac:dyDescent="0.2">
      <c r="B114" s="1">
        <v>244098</v>
      </c>
    </row>
    <row r="115" spans="2:2" x14ac:dyDescent="0.2">
      <c r="B115" s="1">
        <v>244099</v>
      </c>
    </row>
    <row r="116" spans="2:2" x14ac:dyDescent="0.2">
      <c r="B116" s="1">
        <v>244100</v>
      </c>
    </row>
    <row r="117" spans="2:2" x14ac:dyDescent="0.2">
      <c r="B117" s="1">
        <v>244101</v>
      </c>
    </row>
    <row r="118" spans="2:2" x14ac:dyDescent="0.2">
      <c r="B118" s="1">
        <v>244102</v>
      </c>
    </row>
    <row r="119" spans="2:2" x14ac:dyDescent="0.2">
      <c r="B119" s="1">
        <v>244103</v>
      </c>
    </row>
    <row r="120" spans="2:2" x14ac:dyDescent="0.2">
      <c r="B120" s="1">
        <v>244104</v>
      </c>
    </row>
    <row r="121" spans="2:2" x14ac:dyDescent="0.2">
      <c r="B121" s="1">
        <v>244105</v>
      </c>
    </row>
    <row r="122" spans="2:2" x14ac:dyDescent="0.2">
      <c r="B122" s="1">
        <v>244106</v>
      </c>
    </row>
    <row r="123" spans="2:2" x14ac:dyDescent="0.2">
      <c r="B123" s="1">
        <v>244107</v>
      </c>
    </row>
    <row r="124" spans="2:2" x14ac:dyDescent="0.2">
      <c r="B124" s="1">
        <v>244108</v>
      </c>
    </row>
    <row r="125" spans="2:2" x14ac:dyDescent="0.2">
      <c r="B125" s="1">
        <v>244109</v>
      </c>
    </row>
    <row r="126" spans="2:2" x14ac:dyDescent="0.2">
      <c r="B126" s="1">
        <v>244110</v>
      </c>
    </row>
    <row r="127" spans="2:2" x14ac:dyDescent="0.2">
      <c r="B127" s="1">
        <v>244111</v>
      </c>
    </row>
    <row r="128" spans="2:2" x14ac:dyDescent="0.2">
      <c r="B128" s="1">
        <v>244112</v>
      </c>
    </row>
    <row r="129" spans="2:2" x14ac:dyDescent="0.2">
      <c r="B129" s="1">
        <v>244113</v>
      </c>
    </row>
    <row r="130" spans="2:2" x14ac:dyDescent="0.2">
      <c r="B130" s="1">
        <v>244114</v>
      </c>
    </row>
    <row r="131" spans="2:2" x14ac:dyDescent="0.2">
      <c r="B131" s="1">
        <v>244115</v>
      </c>
    </row>
    <row r="132" spans="2:2" x14ac:dyDescent="0.2">
      <c r="B132" s="1">
        <v>244116</v>
      </c>
    </row>
    <row r="133" spans="2:2" x14ac:dyDescent="0.2">
      <c r="B133" s="1">
        <v>244117</v>
      </c>
    </row>
    <row r="134" spans="2:2" x14ac:dyDescent="0.2">
      <c r="B134" s="1">
        <v>244118</v>
      </c>
    </row>
    <row r="135" spans="2:2" x14ac:dyDescent="0.2">
      <c r="B135" s="1">
        <v>244119</v>
      </c>
    </row>
    <row r="136" spans="2:2" x14ac:dyDescent="0.2">
      <c r="B136" s="1">
        <v>244120</v>
      </c>
    </row>
    <row r="137" spans="2:2" x14ac:dyDescent="0.2">
      <c r="B137" s="1">
        <v>244121</v>
      </c>
    </row>
    <row r="138" spans="2:2" x14ac:dyDescent="0.2">
      <c r="B138" s="1">
        <v>244122</v>
      </c>
    </row>
    <row r="139" spans="2:2" x14ac:dyDescent="0.2">
      <c r="B139" s="1">
        <v>244123</v>
      </c>
    </row>
    <row r="140" spans="2:2" x14ac:dyDescent="0.2">
      <c r="B140" s="1">
        <v>244124</v>
      </c>
    </row>
    <row r="141" spans="2:2" x14ac:dyDescent="0.2">
      <c r="B141" s="1">
        <v>244125</v>
      </c>
    </row>
    <row r="142" spans="2:2" x14ac:dyDescent="0.2">
      <c r="B142" s="1">
        <v>244126</v>
      </c>
    </row>
    <row r="143" spans="2:2" x14ac:dyDescent="0.2">
      <c r="B143" s="1">
        <v>244127</v>
      </c>
    </row>
    <row r="144" spans="2:2" x14ac:dyDescent="0.2">
      <c r="B144" s="1">
        <v>244128</v>
      </c>
    </row>
    <row r="145" spans="2:2" x14ac:dyDescent="0.2">
      <c r="B145" s="1">
        <v>244129</v>
      </c>
    </row>
    <row r="146" spans="2:2" x14ac:dyDescent="0.2">
      <c r="B146" s="1">
        <v>244130</v>
      </c>
    </row>
    <row r="147" spans="2:2" x14ac:dyDescent="0.2">
      <c r="B147" s="1">
        <v>244131</v>
      </c>
    </row>
    <row r="148" spans="2:2" x14ac:dyDescent="0.2">
      <c r="B148" s="1">
        <v>244132</v>
      </c>
    </row>
    <row r="149" spans="2:2" x14ac:dyDescent="0.2">
      <c r="B149" s="1">
        <v>244133</v>
      </c>
    </row>
    <row r="150" spans="2:2" x14ac:dyDescent="0.2">
      <c r="B150" s="1">
        <v>244134</v>
      </c>
    </row>
    <row r="151" spans="2:2" x14ac:dyDescent="0.2">
      <c r="B151" s="1">
        <v>244135</v>
      </c>
    </row>
    <row r="152" spans="2:2" x14ac:dyDescent="0.2">
      <c r="B152" s="1">
        <v>244136</v>
      </c>
    </row>
    <row r="153" spans="2:2" x14ac:dyDescent="0.2">
      <c r="B153" s="1">
        <v>244137</v>
      </c>
    </row>
    <row r="154" spans="2:2" x14ac:dyDescent="0.2">
      <c r="B154" s="1">
        <v>244138</v>
      </c>
    </row>
    <row r="155" spans="2:2" x14ac:dyDescent="0.2">
      <c r="B155" s="1">
        <v>244139</v>
      </c>
    </row>
    <row r="156" spans="2:2" x14ac:dyDescent="0.2">
      <c r="B156" s="1">
        <v>244140</v>
      </c>
    </row>
    <row r="157" spans="2:2" x14ac:dyDescent="0.2">
      <c r="B157" s="1">
        <v>244141</v>
      </c>
    </row>
    <row r="158" spans="2:2" x14ac:dyDescent="0.2">
      <c r="B158" s="1">
        <v>244142</v>
      </c>
    </row>
    <row r="159" spans="2:2" x14ac:dyDescent="0.2">
      <c r="B159" s="1">
        <v>244143</v>
      </c>
    </row>
    <row r="160" spans="2:2" x14ac:dyDescent="0.2">
      <c r="B160" s="1">
        <v>244144</v>
      </c>
    </row>
    <row r="161" spans="2:2" x14ac:dyDescent="0.2">
      <c r="B161" s="1">
        <v>244145</v>
      </c>
    </row>
    <row r="162" spans="2:2" x14ac:dyDescent="0.2">
      <c r="B162" s="1">
        <v>244146</v>
      </c>
    </row>
    <row r="163" spans="2:2" x14ac:dyDescent="0.2">
      <c r="B163" s="1">
        <v>244147</v>
      </c>
    </row>
    <row r="164" spans="2:2" x14ac:dyDescent="0.2">
      <c r="B164" s="1">
        <v>244148</v>
      </c>
    </row>
    <row r="165" spans="2:2" x14ac:dyDescent="0.2">
      <c r="B165" s="1">
        <v>244149</v>
      </c>
    </row>
    <row r="166" spans="2:2" x14ac:dyDescent="0.2">
      <c r="B166" s="1">
        <v>244150</v>
      </c>
    </row>
    <row r="167" spans="2:2" x14ac:dyDescent="0.2">
      <c r="B167" s="1">
        <v>244151</v>
      </c>
    </row>
    <row r="168" spans="2:2" x14ac:dyDescent="0.2">
      <c r="B168" s="1">
        <v>244152</v>
      </c>
    </row>
    <row r="169" spans="2:2" x14ac:dyDescent="0.2">
      <c r="B169" s="1">
        <v>244153</v>
      </c>
    </row>
    <row r="170" spans="2:2" x14ac:dyDescent="0.2">
      <c r="B170" s="1">
        <v>244154</v>
      </c>
    </row>
    <row r="171" spans="2:2" x14ac:dyDescent="0.2">
      <c r="B171" s="1">
        <v>244155</v>
      </c>
    </row>
    <row r="172" spans="2:2" x14ac:dyDescent="0.2">
      <c r="B172" s="1">
        <v>244156</v>
      </c>
    </row>
    <row r="173" spans="2:2" x14ac:dyDescent="0.2">
      <c r="B173" s="1">
        <v>244157</v>
      </c>
    </row>
    <row r="174" spans="2:2" x14ac:dyDescent="0.2">
      <c r="B174" s="1">
        <v>244158</v>
      </c>
    </row>
    <row r="175" spans="2:2" x14ac:dyDescent="0.2">
      <c r="B175" s="1">
        <v>244159</v>
      </c>
    </row>
    <row r="176" spans="2:2" x14ac:dyDescent="0.2">
      <c r="B176" s="1">
        <v>244160</v>
      </c>
    </row>
    <row r="177" spans="2:2" x14ac:dyDescent="0.2">
      <c r="B177" s="1">
        <v>244161</v>
      </c>
    </row>
    <row r="178" spans="2:2" x14ac:dyDescent="0.2">
      <c r="B178" s="1">
        <v>244162</v>
      </c>
    </row>
    <row r="179" spans="2:2" x14ac:dyDescent="0.2">
      <c r="B179" s="1">
        <v>244163</v>
      </c>
    </row>
    <row r="180" spans="2:2" x14ac:dyDescent="0.2">
      <c r="B180" s="1">
        <v>244164</v>
      </c>
    </row>
    <row r="181" spans="2:2" x14ac:dyDescent="0.2">
      <c r="B181" s="1">
        <v>244165</v>
      </c>
    </row>
    <row r="182" spans="2:2" x14ac:dyDescent="0.2">
      <c r="B182" s="1">
        <v>244166</v>
      </c>
    </row>
    <row r="183" spans="2:2" x14ac:dyDescent="0.2">
      <c r="B183" s="1">
        <v>244167</v>
      </c>
    </row>
    <row r="184" spans="2:2" x14ac:dyDescent="0.2">
      <c r="B184" s="1">
        <v>244168</v>
      </c>
    </row>
    <row r="185" spans="2:2" x14ac:dyDescent="0.2">
      <c r="B185" s="1">
        <v>244169</v>
      </c>
    </row>
    <row r="186" spans="2:2" x14ac:dyDescent="0.2">
      <c r="B186" s="1">
        <v>244170</v>
      </c>
    </row>
    <row r="187" spans="2:2" x14ac:dyDescent="0.2">
      <c r="B187" s="1">
        <v>244171</v>
      </c>
    </row>
    <row r="188" spans="2:2" x14ac:dyDescent="0.2">
      <c r="B188" s="1">
        <v>244172</v>
      </c>
    </row>
    <row r="189" spans="2:2" x14ac:dyDescent="0.2">
      <c r="B189" s="1">
        <v>244173</v>
      </c>
    </row>
    <row r="190" spans="2:2" x14ac:dyDescent="0.2">
      <c r="B190" s="1">
        <v>244174</v>
      </c>
    </row>
    <row r="191" spans="2:2" x14ac:dyDescent="0.2">
      <c r="B191" s="1">
        <v>244175</v>
      </c>
    </row>
    <row r="192" spans="2:2" x14ac:dyDescent="0.2">
      <c r="B192" s="1">
        <v>244176</v>
      </c>
    </row>
    <row r="193" spans="2:2" x14ac:dyDescent="0.2">
      <c r="B193" s="1">
        <v>244177</v>
      </c>
    </row>
    <row r="194" spans="2:2" x14ac:dyDescent="0.2">
      <c r="B194" s="1">
        <v>244178</v>
      </c>
    </row>
    <row r="195" spans="2:2" x14ac:dyDescent="0.2">
      <c r="B195" s="1">
        <v>244179</v>
      </c>
    </row>
    <row r="196" spans="2:2" x14ac:dyDescent="0.2">
      <c r="B196" s="1">
        <v>244180</v>
      </c>
    </row>
    <row r="197" spans="2:2" x14ac:dyDescent="0.2">
      <c r="B197" s="1">
        <v>244181</v>
      </c>
    </row>
    <row r="198" spans="2:2" x14ac:dyDescent="0.2">
      <c r="B198" s="1">
        <v>244182</v>
      </c>
    </row>
    <row r="199" spans="2:2" x14ac:dyDescent="0.2">
      <c r="B199" s="1">
        <v>244183</v>
      </c>
    </row>
    <row r="200" spans="2:2" x14ac:dyDescent="0.2">
      <c r="B200" s="1">
        <v>244184</v>
      </c>
    </row>
    <row r="201" spans="2:2" x14ac:dyDescent="0.2">
      <c r="B201" s="1">
        <v>244185</v>
      </c>
    </row>
    <row r="202" spans="2:2" x14ac:dyDescent="0.2">
      <c r="B202" s="1">
        <v>244186</v>
      </c>
    </row>
    <row r="203" spans="2:2" x14ac:dyDescent="0.2">
      <c r="B203" s="1">
        <v>244187</v>
      </c>
    </row>
    <row r="204" spans="2:2" x14ac:dyDescent="0.2">
      <c r="B204" s="1">
        <v>244188</v>
      </c>
    </row>
    <row r="205" spans="2:2" x14ac:dyDescent="0.2">
      <c r="B205" s="1">
        <v>244189</v>
      </c>
    </row>
    <row r="206" spans="2:2" x14ac:dyDescent="0.2">
      <c r="B206" s="1">
        <v>244190</v>
      </c>
    </row>
    <row r="207" spans="2:2" x14ac:dyDescent="0.2">
      <c r="B207" s="1">
        <v>244191</v>
      </c>
    </row>
    <row r="208" spans="2:2" x14ac:dyDescent="0.2">
      <c r="B208" s="1">
        <v>244192</v>
      </c>
    </row>
    <row r="209" spans="2:2" x14ac:dyDescent="0.2">
      <c r="B209" s="1">
        <v>244193</v>
      </c>
    </row>
    <row r="210" spans="2:2" x14ac:dyDescent="0.2">
      <c r="B210" s="1">
        <v>244194</v>
      </c>
    </row>
    <row r="211" spans="2:2" x14ac:dyDescent="0.2">
      <c r="B211" s="1">
        <v>244195</v>
      </c>
    </row>
    <row r="212" spans="2:2" x14ac:dyDescent="0.2">
      <c r="B212" s="1">
        <v>244196</v>
      </c>
    </row>
    <row r="213" spans="2:2" x14ac:dyDescent="0.2">
      <c r="B213" s="1">
        <v>244197</v>
      </c>
    </row>
    <row r="214" spans="2:2" x14ac:dyDescent="0.2">
      <c r="B214" s="1">
        <v>244198</v>
      </c>
    </row>
    <row r="215" spans="2:2" x14ac:dyDescent="0.2">
      <c r="B215" s="1">
        <v>244199</v>
      </c>
    </row>
    <row r="216" spans="2:2" x14ac:dyDescent="0.2">
      <c r="B216" s="1">
        <v>244200</v>
      </c>
    </row>
    <row r="217" spans="2:2" x14ac:dyDescent="0.2">
      <c r="B217" s="1">
        <v>244201</v>
      </c>
    </row>
    <row r="218" spans="2:2" x14ac:dyDescent="0.2">
      <c r="B218" s="1">
        <v>244202</v>
      </c>
    </row>
    <row r="219" spans="2:2" x14ac:dyDescent="0.2">
      <c r="B219" s="1">
        <v>244203</v>
      </c>
    </row>
    <row r="220" spans="2:2" x14ac:dyDescent="0.2">
      <c r="B220" s="1">
        <v>244204</v>
      </c>
    </row>
    <row r="221" spans="2:2" x14ac:dyDescent="0.2">
      <c r="B221" s="1">
        <v>244205</v>
      </c>
    </row>
    <row r="222" spans="2:2" x14ac:dyDescent="0.2">
      <c r="B222" s="1">
        <v>244206</v>
      </c>
    </row>
    <row r="223" spans="2:2" x14ac:dyDescent="0.2">
      <c r="B223" s="1">
        <v>244207</v>
      </c>
    </row>
    <row r="224" spans="2:2" x14ac:dyDescent="0.2">
      <c r="B224" s="1">
        <v>244208</v>
      </c>
    </row>
    <row r="225" spans="2:2" x14ac:dyDescent="0.2">
      <c r="B225" s="1">
        <v>244209</v>
      </c>
    </row>
    <row r="226" spans="2:2" x14ac:dyDescent="0.2">
      <c r="B226" s="1">
        <v>244210</v>
      </c>
    </row>
    <row r="227" spans="2:2" x14ac:dyDescent="0.2">
      <c r="B227" s="1">
        <v>244211</v>
      </c>
    </row>
    <row r="228" spans="2:2" x14ac:dyDescent="0.2">
      <c r="B228" s="1">
        <v>244212</v>
      </c>
    </row>
    <row r="229" spans="2:2" x14ac:dyDescent="0.2">
      <c r="B229" s="1">
        <v>244213</v>
      </c>
    </row>
    <row r="230" spans="2:2" x14ac:dyDescent="0.2">
      <c r="B230" s="1">
        <v>244214</v>
      </c>
    </row>
    <row r="231" spans="2:2" x14ac:dyDescent="0.2">
      <c r="B231" s="1">
        <v>244215</v>
      </c>
    </row>
    <row r="232" spans="2:2" x14ac:dyDescent="0.2">
      <c r="B232" s="1">
        <v>244216</v>
      </c>
    </row>
    <row r="233" spans="2:2" x14ac:dyDescent="0.2">
      <c r="B233" s="1">
        <v>244217</v>
      </c>
    </row>
    <row r="234" spans="2:2" x14ac:dyDescent="0.2">
      <c r="B234" s="1">
        <v>244218</v>
      </c>
    </row>
    <row r="235" spans="2:2" x14ac:dyDescent="0.2">
      <c r="B235" s="1">
        <v>244219</v>
      </c>
    </row>
    <row r="236" spans="2:2" x14ac:dyDescent="0.2">
      <c r="B236" s="1">
        <v>244220</v>
      </c>
    </row>
    <row r="237" spans="2:2" x14ac:dyDescent="0.2">
      <c r="B237" s="1">
        <v>244221</v>
      </c>
    </row>
    <row r="238" spans="2:2" x14ac:dyDescent="0.2">
      <c r="B238" s="1">
        <v>244222</v>
      </c>
    </row>
    <row r="239" spans="2:2" x14ac:dyDescent="0.2">
      <c r="B239" s="1">
        <v>244223</v>
      </c>
    </row>
    <row r="240" spans="2:2" x14ac:dyDescent="0.2">
      <c r="B240" s="1">
        <v>244224</v>
      </c>
    </row>
    <row r="241" spans="2:2" x14ac:dyDescent="0.2">
      <c r="B241" s="1">
        <v>244225</v>
      </c>
    </row>
    <row r="242" spans="2:2" x14ac:dyDescent="0.2">
      <c r="B242" s="1">
        <v>244226</v>
      </c>
    </row>
    <row r="243" spans="2:2" x14ac:dyDescent="0.2">
      <c r="B243" s="1">
        <v>244227</v>
      </c>
    </row>
    <row r="244" spans="2:2" x14ac:dyDescent="0.2">
      <c r="B244" s="1">
        <v>244228</v>
      </c>
    </row>
    <row r="245" spans="2:2" x14ac:dyDescent="0.2">
      <c r="B245" s="1">
        <v>244229</v>
      </c>
    </row>
    <row r="246" spans="2:2" x14ac:dyDescent="0.2">
      <c r="B246" s="1">
        <v>244230</v>
      </c>
    </row>
    <row r="247" spans="2:2" x14ac:dyDescent="0.2">
      <c r="B247" s="1">
        <v>244231</v>
      </c>
    </row>
    <row r="248" spans="2:2" x14ac:dyDescent="0.2">
      <c r="B248" s="1">
        <v>244232</v>
      </c>
    </row>
    <row r="249" spans="2:2" x14ac:dyDescent="0.2">
      <c r="B249" s="1">
        <v>244233</v>
      </c>
    </row>
    <row r="250" spans="2:2" x14ac:dyDescent="0.2">
      <c r="B250" s="1">
        <v>244234</v>
      </c>
    </row>
    <row r="251" spans="2:2" x14ac:dyDescent="0.2">
      <c r="B251" s="1">
        <v>244235</v>
      </c>
    </row>
    <row r="252" spans="2:2" x14ac:dyDescent="0.2">
      <c r="B252" s="1">
        <v>244236</v>
      </c>
    </row>
    <row r="253" spans="2:2" x14ac:dyDescent="0.2">
      <c r="B253" s="1">
        <v>244237</v>
      </c>
    </row>
    <row r="254" spans="2:2" x14ac:dyDescent="0.2">
      <c r="B254" s="1">
        <v>244238</v>
      </c>
    </row>
    <row r="255" spans="2:2" x14ac:dyDescent="0.2">
      <c r="B255" s="1">
        <v>244239</v>
      </c>
    </row>
    <row r="256" spans="2:2" x14ac:dyDescent="0.2">
      <c r="B256" s="1">
        <v>244240</v>
      </c>
    </row>
    <row r="257" spans="2:2" x14ac:dyDescent="0.2">
      <c r="B257" s="1">
        <v>244241</v>
      </c>
    </row>
    <row r="258" spans="2:2" x14ac:dyDescent="0.2">
      <c r="B258" s="1">
        <v>244242</v>
      </c>
    </row>
    <row r="259" spans="2:2" x14ac:dyDescent="0.2">
      <c r="B259" s="1">
        <v>244243</v>
      </c>
    </row>
    <row r="260" spans="2:2" x14ac:dyDescent="0.2">
      <c r="B260" s="1">
        <v>244244</v>
      </c>
    </row>
    <row r="261" spans="2:2" x14ac:dyDescent="0.2">
      <c r="B261" s="1">
        <v>244245</v>
      </c>
    </row>
    <row r="262" spans="2:2" x14ac:dyDescent="0.2">
      <c r="B262" s="1">
        <v>244246</v>
      </c>
    </row>
    <row r="263" spans="2:2" x14ac:dyDescent="0.2">
      <c r="B263" s="1">
        <v>244247</v>
      </c>
    </row>
    <row r="264" spans="2:2" x14ac:dyDescent="0.2">
      <c r="B264" s="1">
        <v>244248</v>
      </c>
    </row>
    <row r="265" spans="2:2" x14ac:dyDescent="0.2">
      <c r="B265" s="1">
        <v>244249</v>
      </c>
    </row>
    <row r="266" spans="2:2" x14ac:dyDescent="0.2">
      <c r="B266" s="1">
        <v>244250</v>
      </c>
    </row>
    <row r="267" spans="2:2" x14ac:dyDescent="0.2">
      <c r="B267" s="1">
        <v>244251</v>
      </c>
    </row>
    <row r="268" spans="2:2" x14ac:dyDescent="0.2">
      <c r="B268" s="1">
        <v>244252</v>
      </c>
    </row>
    <row r="269" spans="2:2" x14ac:dyDescent="0.2">
      <c r="B269" s="1">
        <v>244253</v>
      </c>
    </row>
    <row r="270" spans="2:2" x14ac:dyDescent="0.2">
      <c r="B270" s="1">
        <v>244254</v>
      </c>
    </row>
    <row r="271" spans="2:2" x14ac:dyDescent="0.2">
      <c r="B271" s="1">
        <v>244255</v>
      </c>
    </row>
    <row r="272" spans="2:2" x14ac:dyDescent="0.2">
      <c r="B272" s="1">
        <v>244256</v>
      </c>
    </row>
    <row r="273" spans="2:2" x14ac:dyDescent="0.2">
      <c r="B273" s="1">
        <v>244257</v>
      </c>
    </row>
    <row r="274" spans="2:2" x14ac:dyDescent="0.2">
      <c r="B274" s="1">
        <v>244258</v>
      </c>
    </row>
    <row r="275" spans="2:2" x14ac:dyDescent="0.2">
      <c r="B275" s="1">
        <v>244259</v>
      </c>
    </row>
    <row r="276" spans="2:2" x14ac:dyDescent="0.2">
      <c r="B276" s="1">
        <v>244260</v>
      </c>
    </row>
    <row r="277" spans="2:2" x14ac:dyDescent="0.2">
      <c r="B277" s="1">
        <v>244261</v>
      </c>
    </row>
    <row r="278" spans="2:2" x14ac:dyDescent="0.2">
      <c r="B278" s="1">
        <v>244262</v>
      </c>
    </row>
    <row r="279" spans="2:2" x14ac:dyDescent="0.2">
      <c r="B279" s="1">
        <v>244263</v>
      </c>
    </row>
    <row r="280" spans="2:2" x14ac:dyDescent="0.2">
      <c r="B280" s="1">
        <v>244264</v>
      </c>
    </row>
    <row r="281" spans="2:2" x14ac:dyDescent="0.2">
      <c r="B281" s="1">
        <v>244265</v>
      </c>
    </row>
    <row r="282" spans="2:2" x14ac:dyDescent="0.2">
      <c r="B282" s="1">
        <v>244266</v>
      </c>
    </row>
    <row r="283" spans="2:2" x14ac:dyDescent="0.2">
      <c r="B283" s="1">
        <v>244267</v>
      </c>
    </row>
    <row r="284" spans="2:2" x14ac:dyDescent="0.2">
      <c r="B284" s="1">
        <v>244268</v>
      </c>
    </row>
    <row r="285" spans="2:2" x14ac:dyDescent="0.2">
      <c r="B285" s="1">
        <v>244269</v>
      </c>
    </row>
    <row r="286" spans="2:2" x14ac:dyDescent="0.2">
      <c r="B286" s="1">
        <v>244270</v>
      </c>
    </row>
    <row r="287" spans="2:2" x14ac:dyDescent="0.2">
      <c r="B287" s="1">
        <v>244271</v>
      </c>
    </row>
    <row r="288" spans="2:2" x14ac:dyDescent="0.2">
      <c r="B288" s="1">
        <v>244272</v>
      </c>
    </row>
    <row r="289" spans="2:2" x14ac:dyDescent="0.2">
      <c r="B289" s="1">
        <v>244273</v>
      </c>
    </row>
    <row r="290" spans="2:2" x14ac:dyDescent="0.2">
      <c r="B290" s="1">
        <v>244274</v>
      </c>
    </row>
    <row r="291" spans="2:2" x14ac:dyDescent="0.2">
      <c r="B291" s="1">
        <v>244275</v>
      </c>
    </row>
    <row r="292" spans="2:2" x14ac:dyDescent="0.2">
      <c r="B292" s="1">
        <v>244276</v>
      </c>
    </row>
    <row r="293" spans="2:2" x14ac:dyDescent="0.2">
      <c r="B293" s="1">
        <v>244277</v>
      </c>
    </row>
    <row r="294" spans="2:2" x14ac:dyDescent="0.2">
      <c r="B294" s="1">
        <v>244278</v>
      </c>
    </row>
    <row r="295" spans="2:2" x14ac:dyDescent="0.2">
      <c r="B295" s="1">
        <v>244279</v>
      </c>
    </row>
    <row r="296" spans="2:2" x14ac:dyDescent="0.2">
      <c r="B296" s="1">
        <v>244280</v>
      </c>
    </row>
    <row r="297" spans="2:2" x14ac:dyDescent="0.2">
      <c r="B297" s="1">
        <v>244281</v>
      </c>
    </row>
    <row r="298" spans="2:2" x14ac:dyDescent="0.2">
      <c r="B298" s="1">
        <v>244282</v>
      </c>
    </row>
    <row r="299" spans="2:2" x14ac:dyDescent="0.2">
      <c r="B299" s="1">
        <v>244283</v>
      </c>
    </row>
    <row r="300" spans="2:2" x14ac:dyDescent="0.2">
      <c r="B300" s="1">
        <v>244284</v>
      </c>
    </row>
    <row r="301" spans="2:2" x14ac:dyDescent="0.2">
      <c r="B301" s="1">
        <v>244285</v>
      </c>
    </row>
    <row r="302" spans="2:2" x14ac:dyDescent="0.2">
      <c r="B302" s="1">
        <v>244286</v>
      </c>
    </row>
    <row r="303" spans="2:2" x14ac:dyDescent="0.2">
      <c r="B303" s="1">
        <v>244287</v>
      </c>
    </row>
    <row r="304" spans="2:2" x14ac:dyDescent="0.2">
      <c r="B304" s="1">
        <v>244288</v>
      </c>
    </row>
    <row r="305" spans="2:2" x14ac:dyDescent="0.2">
      <c r="B305" s="1">
        <v>244289</v>
      </c>
    </row>
    <row r="306" spans="2:2" x14ac:dyDescent="0.2">
      <c r="B306" s="1">
        <v>244290</v>
      </c>
    </row>
    <row r="307" spans="2:2" x14ac:dyDescent="0.2">
      <c r="B307" s="1">
        <v>244291</v>
      </c>
    </row>
    <row r="308" spans="2:2" x14ac:dyDescent="0.2">
      <c r="B308" s="1">
        <v>244292</v>
      </c>
    </row>
    <row r="309" spans="2:2" x14ac:dyDescent="0.2">
      <c r="B309" s="1">
        <v>244293</v>
      </c>
    </row>
    <row r="310" spans="2:2" x14ac:dyDescent="0.2">
      <c r="B310" s="1">
        <v>244294</v>
      </c>
    </row>
    <row r="311" spans="2:2" x14ac:dyDescent="0.2">
      <c r="B311" s="1">
        <v>244295</v>
      </c>
    </row>
    <row r="312" spans="2:2" x14ac:dyDescent="0.2">
      <c r="B312" s="1">
        <v>244296</v>
      </c>
    </row>
    <row r="313" spans="2:2" x14ac:dyDescent="0.2">
      <c r="B313" s="1">
        <v>244297</v>
      </c>
    </row>
    <row r="314" spans="2:2" x14ac:dyDescent="0.2">
      <c r="B314" s="1">
        <v>244298</v>
      </c>
    </row>
    <row r="315" spans="2:2" x14ac:dyDescent="0.2">
      <c r="B315" s="1">
        <v>244299</v>
      </c>
    </row>
    <row r="316" spans="2:2" x14ac:dyDescent="0.2">
      <c r="B316" s="1">
        <v>244300</v>
      </c>
    </row>
    <row r="317" spans="2:2" x14ac:dyDescent="0.2">
      <c r="B317" s="1">
        <v>244301</v>
      </c>
    </row>
    <row r="318" spans="2:2" x14ac:dyDescent="0.2">
      <c r="B318" s="1">
        <v>244302</v>
      </c>
    </row>
    <row r="319" spans="2:2" x14ac:dyDescent="0.2">
      <c r="B319" s="1">
        <v>244303</v>
      </c>
    </row>
    <row r="320" spans="2:2" x14ac:dyDescent="0.2">
      <c r="B320" s="1">
        <v>244304</v>
      </c>
    </row>
    <row r="321" spans="2:2" x14ac:dyDescent="0.2">
      <c r="B321" s="1">
        <v>244305</v>
      </c>
    </row>
    <row r="322" spans="2:2" x14ac:dyDescent="0.2">
      <c r="B322" s="1">
        <v>244306</v>
      </c>
    </row>
    <row r="323" spans="2:2" x14ac:dyDescent="0.2">
      <c r="B323" s="1">
        <v>244307</v>
      </c>
    </row>
    <row r="324" spans="2:2" x14ac:dyDescent="0.2">
      <c r="B324" s="1">
        <v>244308</v>
      </c>
    </row>
    <row r="325" spans="2:2" x14ac:dyDescent="0.2">
      <c r="B325" s="1">
        <v>244309</v>
      </c>
    </row>
    <row r="326" spans="2:2" x14ac:dyDescent="0.2">
      <c r="B326" s="1">
        <v>244310</v>
      </c>
    </row>
    <row r="327" spans="2:2" x14ac:dyDescent="0.2">
      <c r="B327" s="1">
        <v>244311</v>
      </c>
    </row>
    <row r="328" spans="2:2" x14ac:dyDescent="0.2">
      <c r="B328" s="1">
        <v>244312</v>
      </c>
    </row>
    <row r="329" spans="2:2" x14ac:dyDescent="0.2">
      <c r="B329" s="1">
        <v>244313</v>
      </c>
    </row>
    <row r="330" spans="2:2" x14ac:dyDescent="0.2">
      <c r="B330" s="1">
        <v>244314</v>
      </c>
    </row>
    <row r="331" spans="2:2" x14ac:dyDescent="0.2">
      <c r="B331" s="1">
        <v>244315</v>
      </c>
    </row>
    <row r="332" spans="2:2" x14ac:dyDescent="0.2">
      <c r="B332" s="1">
        <v>244316</v>
      </c>
    </row>
    <row r="333" spans="2:2" x14ac:dyDescent="0.2">
      <c r="B333" s="1">
        <v>244317</v>
      </c>
    </row>
    <row r="334" spans="2:2" x14ac:dyDescent="0.2">
      <c r="B334" s="1">
        <v>244318</v>
      </c>
    </row>
    <row r="335" spans="2:2" x14ac:dyDescent="0.2">
      <c r="B335" s="1">
        <v>244319</v>
      </c>
    </row>
    <row r="336" spans="2:2" x14ac:dyDescent="0.2">
      <c r="B336" s="1">
        <v>244320</v>
      </c>
    </row>
    <row r="337" spans="2:2" x14ac:dyDescent="0.2">
      <c r="B337" s="1">
        <v>244321</v>
      </c>
    </row>
    <row r="338" spans="2:2" x14ac:dyDescent="0.2">
      <c r="B338" s="1">
        <v>244322</v>
      </c>
    </row>
    <row r="339" spans="2:2" x14ac:dyDescent="0.2">
      <c r="B339" s="1">
        <v>244323</v>
      </c>
    </row>
    <row r="340" spans="2:2" x14ac:dyDescent="0.2">
      <c r="B340" s="1">
        <v>244324</v>
      </c>
    </row>
    <row r="341" spans="2:2" x14ac:dyDescent="0.2">
      <c r="B341" s="1">
        <v>244325</v>
      </c>
    </row>
    <row r="342" spans="2:2" x14ac:dyDescent="0.2">
      <c r="B342" s="1">
        <v>244326</v>
      </c>
    </row>
    <row r="343" spans="2:2" x14ac:dyDescent="0.2">
      <c r="B343" s="1">
        <v>244327</v>
      </c>
    </row>
    <row r="344" spans="2:2" x14ac:dyDescent="0.2">
      <c r="B344" s="1">
        <v>244328</v>
      </c>
    </row>
    <row r="345" spans="2:2" x14ac:dyDescent="0.2">
      <c r="B345" s="1">
        <v>244329</v>
      </c>
    </row>
    <row r="346" spans="2:2" x14ac:dyDescent="0.2">
      <c r="B346" s="1">
        <v>244330</v>
      </c>
    </row>
    <row r="347" spans="2:2" x14ac:dyDescent="0.2">
      <c r="B347" s="1">
        <v>244331</v>
      </c>
    </row>
    <row r="348" spans="2:2" x14ac:dyDescent="0.2">
      <c r="B348" s="1">
        <v>244332</v>
      </c>
    </row>
    <row r="349" spans="2:2" x14ac:dyDescent="0.2">
      <c r="B349" s="1">
        <v>244333</v>
      </c>
    </row>
    <row r="350" spans="2:2" x14ac:dyDescent="0.2">
      <c r="B350" s="1">
        <v>244334</v>
      </c>
    </row>
    <row r="351" spans="2:2" x14ac:dyDescent="0.2">
      <c r="B351" s="1">
        <v>244335</v>
      </c>
    </row>
    <row r="352" spans="2:2" x14ac:dyDescent="0.2">
      <c r="B352" s="1">
        <v>244336</v>
      </c>
    </row>
    <row r="353" spans="2:2" x14ac:dyDescent="0.2">
      <c r="B353" s="1">
        <v>244337</v>
      </c>
    </row>
    <row r="354" spans="2:2" x14ac:dyDescent="0.2">
      <c r="B354" s="1">
        <v>244338</v>
      </c>
    </row>
    <row r="355" spans="2:2" x14ac:dyDescent="0.2">
      <c r="B355" s="1">
        <v>244339</v>
      </c>
    </row>
    <row r="356" spans="2:2" x14ac:dyDescent="0.2">
      <c r="B356" s="1">
        <v>244340</v>
      </c>
    </row>
    <row r="357" spans="2:2" x14ac:dyDescent="0.2">
      <c r="B357" s="1">
        <v>244341</v>
      </c>
    </row>
    <row r="358" spans="2:2" x14ac:dyDescent="0.2">
      <c r="B358" s="1">
        <v>244342</v>
      </c>
    </row>
    <row r="359" spans="2:2" x14ac:dyDescent="0.2">
      <c r="B359" s="1">
        <v>244343</v>
      </c>
    </row>
    <row r="360" spans="2:2" x14ac:dyDescent="0.2">
      <c r="B360" s="1">
        <v>244344</v>
      </c>
    </row>
    <row r="361" spans="2:2" x14ac:dyDescent="0.2">
      <c r="B361" s="1">
        <v>244345</v>
      </c>
    </row>
    <row r="362" spans="2:2" x14ac:dyDescent="0.2">
      <c r="B362" s="1">
        <v>244346</v>
      </c>
    </row>
    <row r="363" spans="2:2" x14ac:dyDescent="0.2">
      <c r="B363" s="1">
        <v>244347</v>
      </c>
    </row>
    <row r="364" spans="2:2" x14ac:dyDescent="0.2">
      <c r="B364" s="1">
        <v>244348</v>
      </c>
    </row>
    <row r="365" spans="2:2" x14ac:dyDescent="0.2">
      <c r="B365" s="1">
        <v>244349</v>
      </c>
    </row>
    <row r="366" spans="2:2" x14ac:dyDescent="0.2">
      <c r="B36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B31"/>
  <sheetViews>
    <sheetView workbookViewId="0">
      <selection activeCell="A134" sqref="A134"/>
    </sheetView>
  </sheetViews>
  <sheetFormatPr defaultRowHeight="14.25" x14ac:dyDescent="0.2"/>
  <sheetData>
    <row r="1" spans="1:2" ht="18" x14ac:dyDescent="0.25">
      <c r="A1" s="41" t="s">
        <v>116</v>
      </c>
    </row>
    <row r="4" spans="1:2" ht="15" x14ac:dyDescent="0.2">
      <c r="A4" s="39" t="s">
        <v>111</v>
      </c>
      <c r="B4" s="40" t="s">
        <v>117</v>
      </c>
    </row>
    <row r="9" spans="1:2" ht="15" x14ac:dyDescent="0.2">
      <c r="A9" s="39" t="s">
        <v>112</v>
      </c>
      <c r="B9" s="40" t="s">
        <v>113</v>
      </c>
    </row>
    <row r="16" spans="1:2" ht="15" x14ac:dyDescent="0.2">
      <c r="A16" s="39" t="s">
        <v>114</v>
      </c>
      <c r="B16" s="40" t="s">
        <v>115</v>
      </c>
    </row>
    <row r="17" spans="1:2" x14ac:dyDescent="0.2">
      <c r="B17" s="43" t="s">
        <v>121</v>
      </c>
    </row>
    <row r="22" spans="1:2" ht="15" x14ac:dyDescent="0.2">
      <c r="A22" s="39" t="s">
        <v>118</v>
      </c>
      <c r="B22" s="40" t="s">
        <v>119</v>
      </c>
    </row>
    <row r="31" spans="1:2" x14ac:dyDescent="0.2">
      <c r="B31" s="4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6</vt:i4>
      </vt:variant>
      <vt:variant>
        <vt:lpstr>ช่วงที่มีชื่อ</vt:lpstr>
      </vt:variant>
      <vt:variant>
        <vt:i4>11</vt:i4>
      </vt:variant>
    </vt:vector>
  </HeadingPairs>
  <TitlesOfParts>
    <vt:vector size="17" baseType="lpstr">
      <vt:lpstr>NCR รวม</vt:lpstr>
      <vt:lpstr>ฟอร์มส่งncr</vt:lpstr>
      <vt:lpstr>ฟอร์มค้างตอบNCR</vt:lpstr>
      <vt:lpstr>Sheet2</vt:lpstr>
      <vt:lpstr>Sheet3</vt:lpstr>
      <vt:lpstr>Sheet1</vt:lpstr>
      <vt:lpstr>'NCR รวม'!_Hlk124761273</vt:lpstr>
      <vt:lpstr>'NCR รวม'!Print_Area</vt:lpstr>
      <vt:lpstr>ค้างที่</vt:lpstr>
      <vt:lpstr>เครื่อง</vt:lpstr>
      <vt:lpstr>เดือน</vt:lpstr>
      <vt:lpstr>ปัญหา</vt:lpstr>
      <vt:lpstr>แผนก</vt:lpstr>
      <vt:lpstr>วันที่</vt:lpstr>
      <vt:lpstr>สถานะ</vt:lpstr>
      <vt:lpstr>สเปค</vt:lpstr>
      <vt:lpstr>หน่วย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QA-03</cp:lastModifiedBy>
  <cp:lastPrinted>2025-12-24T03:52:32Z</cp:lastPrinted>
  <dcterms:created xsi:type="dcterms:W3CDTF">2014-10-28T04:08:35Z</dcterms:created>
  <dcterms:modified xsi:type="dcterms:W3CDTF">2025-12-26T08:41:16Z</dcterms:modified>
</cp:coreProperties>
</file>